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manpearl/pixelmonks/leaderlodge/data/seeds/progressiverummy/"/>
    </mc:Choice>
  </mc:AlternateContent>
  <xr:revisionPtr revIDLastSave="0" documentId="13_ncr:1_{0B1C2B38-23EF-AE49-8B96-97282DF3DA61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Raw Games" sheetId="1" r:id="rId1"/>
    <sheet name="Leaders (dont edit)" sheetId="2" r:id="rId2"/>
    <sheet name="Stats (dont edit)" sheetId="3" r:id="rId3"/>
    <sheet name="Constants (dont edit)" sheetId="4" r:id="rId4"/>
    <sheet name="Pivot (dont edit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2" i="1"/>
  <c r="A43" i="1" s="1"/>
  <c r="A44" i="1" s="1"/>
  <c r="A45" i="1" s="1"/>
  <c r="A46" i="1" s="1"/>
  <c r="A47" i="1" s="1"/>
  <c r="A48" i="1" s="1"/>
  <c r="A49" i="1" s="1"/>
  <c r="A50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5" i="1"/>
  <c r="A66" i="1"/>
  <c r="A67" i="1"/>
  <c r="A68" i="1" s="1"/>
  <c r="A69" i="1" s="1"/>
  <c r="A70" i="1" s="1"/>
  <c r="A71" i="1" s="1"/>
  <c r="A72" i="1" s="1"/>
  <c r="A73" i="1" s="1"/>
  <c r="A74" i="1" s="1"/>
  <c r="A75" i="1" s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91" i="1"/>
  <c r="A92" i="1"/>
  <c r="A93" i="1"/>
  <c r="A94" i="1"/>
  <c r="A95" i="1"/>
  <c r="A96" i="1"/>
  <c r="A97" i="1" s="1"/>
  <c r="A100" i="1"/>
  <c r="A101" i="1"/>
  <c r="A102" i="1" s="1"/>
  <c r="A103" i="1" s="1"/>
  <c r="A104" i="1" s="1"/>
  <c r="A105" i="1" s="1"/>
  <c r="A106" i="1" s="1"/>
  <c r="A107" i="1" s="1"/>
  <c r="A99" i="1"/>
  <c r="A90" i="1"/>
  <c r="A77" i="1"/>
  <c r="A64" i="1"/>
  <c r="A52" i="1"/>
  <c r="A41" i="1"/>
  <c r="A21" i="1"/>
  <c r="A8" i="1"/>
  <c r="A9" i="1"/>
  <c r="A10" i="1"/>
  <c r="A11" i="1"/>
  <c r="A12" i="1" s="1"/>
  <c r="A7" i="1"/>
  <c r="B14" i="4"/>
  <c r="B13" i="4"/>
  <c r="B12" i="4"/>
  <c r="B11" i="4"/>
  <c r="B10" i="4"/>
  <c r="L11" i="2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G9" i="2"/>
  <c r="F9" i="2"/>
  <c r="E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K7" i="2"/>
  <c r="J7" i="2"/>
  <c r="I7" i="2"/>
  <c r="H7" i="2"/>
  <c r="G7" i="2"/>
  <c r="F7" i="2"/>
  <c r="E7" i="2"/>
  <c r="D7" i="2"/>
  <c r="C7" i="2"/>
  <c r="B7" i="2"/>
  <c r="A7" i="2"/>
  <c r="L6" i="2"/>
  <c r="K6" i="2"/>
  <c r="J6" i="2"/>
  <c r="I6" i="2"/>
  <c r="H6" i="2"/>
  <c r="G6" i="2"/>
  <c r="F6" i="2"/>
  <c r="E6" i="2"/>
  <c r="D6" i="2"/>
  <c r="C6" i="2"/>
  <c r="B6" i="2"/>
  <c r="A6" i="2"/>
  <c r="L5" i="2"/>
  <c r="K5" i="2"/>
  <c r="J5" i="2"/>
  <c r="I5" i="2"/>
  <c r="H5" i="2"/>
  <c r="G5" i="2"/>
  <c r="F5" i="2"/>
  <c r="E5" i="2"/>
  <c r="D5" i="2"/>
  <c r="C5" i="2"/>
  <c r="B5" i="2"/>
  <c r="A5" i="2"/>
  <c r="L4" i="2"/>
  <c r="K4" i="2"/>
  <c r="J4" i="2"/>
  <c r="I4" i="2"/>
  <c r="H4" i="2"/>
  <c r="G4" i="2"/>
  <c r="F4" i="2"/>
  <c r="E4" i="2"/>
  <c r="D4" i="2"/>
  <c r="C4" i="2"/>
  <c r="B4" i="2"/>
  <c r="A4" i="2"/>
  <c r="L3" i="2"/>
  <c r="K3" i="2"/>
  <c r="J3" i="2"/>
  <c r="I3" i="2"/>
  <c r="H3" i="2"/>
  <c r="G3" i="2"/>
  <c r="F3" i="2"/>
  <c r="E3" i="2"/>
  <c r="D3" i="2"/>
  <c r="C3" i="2"/>
  <c r="B3" i="2"/>
  <c r="A3" i="2"/>
  <c r="L2" i="2"/>
  <c r="K2" i="2"/>
  <c r="J2" i="2"/>
  <c r="I2" i="2"/>
  <c r="H2" i="2"/>
  <c r="G2" i="2"/>
  <c r="F2" i="2"/>
  <c r="E2" i="2"/>
  <c r="D2" i="2"/>
  <c r="C2" i="2"/>
  <c r="B2" i="2"/>
  <c r="A2" i="2"/>
  <c r="A1" i="2" a="1"/>
  <c r="AF1" i="2" s="1"/>
  <c r="R435" i="1"/>
  <c r="O435" i="1"/>
  <c r="N435" i="1"/>
  <c r="R434" i="1"/>
  <c r="O434" i="1"/>
  <c r="N434" i="1"/>
  <c r="R433" i="1"/>
  <c r="O433" i="1"/>
  <c r="N433" i="1"/>
  <c r="R432" i="1"/>
  <c r="O432" i="1"/>
  <c r="N432" i="1"/>
  <c r="R431" i="1"/>
  <c r="O431" i="1"/>
  <c r="N431" i="1"/>
  <c r="R430" i="1"/>
  <c r="O430" i="1"/>
  <c r="N430" i="1"/>
  <c r="R429" i="1"/>
  <c r="O429" i="1"/>
  <c r="N429" i="1"/>
  <c r="R428" i="1"/>
  <c r="O428" i="1"/>
  <c r="N428" i="1"/>
  <c r="R427" i="1"/>
  <c r="O427" i="1"/>
  <c r="N427" i="1"/>
  <c r="R426" i="1"/>
  <c r="O426" i="1"/>
  <c r="N426" i="1"/>
  <c r="R425" i="1"/>
  <c r="O425" i="1"/>
  <c r="N425" i="1"/>
  <c r="R424" i="1"/>
  <c r="O424" i="1"/>
  <c r="N424" i="1"/>
  <c r="R423" i="1"/>
  <c r="O423" i="1"/>
  <c r="N423" i="1"/>
  <c r="R422" i="1"/>
  <c r="O422" i="1"/>
  <c r="N422" i="1"/>
  <c r="R421" i="1"/>
  <c r="O421" i="1"/>
  <c r="N421" i="1"/>
  <c r="R420" i="1"/>
  <c r="O420" i="1"/>
  <c r="N420" i="1"/>
  <c r="R419" i="1"/>
  <c r="O419" i="1"/>
  <c r="N419" i="1"/>
  <c r="R418" i="1"/>
  <c r="O418" i="1"/>
  <c r="N418" i="1"/>
  <c r="R417" i="1"/>
  <c r="O417" i="1"/>
  <c r="N417" i="1"/>
  <c r="R416" i="1"/>
  <c r="O416" i="1"/>
  <c r="N416" i="1"/>
  <c r="R415" i="1"/>
  <c r="O415" i="1"/>
  <c r="N415" i="1"/>
  <c r="R414" i="1"/>
  <c r="O414" i="1"/>
  <c r="N414" i="1"/>
  <c r="R413" i="1"/>
  <c r="O413" i="1"/>
  <c r="N413" i="1"/>
  <c r="R412" i="1"/>
  <c r="O412" i="1"/>
  <c r="N412" i="1"/>
  <c r="R411" i="1"/>
  <c r="O411" i="1"/>
  <c r="N411" i="1"/>
  <c r="R410" i="1"/>
  <c r="O410" i="1"/>
  <c r="N410" i="1"/>
  <c r="R409" i="1"/>
  <c r="O409" i="1"/>
  <c r="N409" i="1"/>
  <c r="R408" i="1"/>
  <c r="O408" i="1"/>
  <c r="N408" i="1"/>
  <c r="R407" i="1"/>
  <c r="O407" i="1"/>
  <c r="N407" i="1"/>
  <c r="R406" i="1"/>
  <c r="O406" i="1"/>
  <c r="N406" i="1"/>
  <c r="R405" i="1"/>
  <c r="O405" i="1"/>
  <c r="N405" i="1"/>
  <c r="R404" i="1"/>
  <c r="O404" i="1"/>
  <c r="N404" i="1"/>
  <c r="R403" i="1"/>
  <c r="O403" i="1"/>
  <c r="N403" i="1"/>
  <c r="R402" i="1"/>
  <c r="O402" i="1"/>
  <c r="N402" i="1"/>
  <c r="R401" i="1"/>
  <c r="O401" i="1"/>
  <c r="N401" i="1"/>
  <c r="R400" i="1"/>
  <c r="O400" i="1"/>
  <c r="N400" i="1"/>
  <c r="R399" i="1"/>
  <c r="O399" i="1"/>
  <c r="N399" i="1"/>
  <c r="R398" i="1"/>
  <c r="O398" i="1"/>
  <c r="N398" i="1"/>
  <c r="R397" i="1"/>
  <c r="O397" i="1"/>
  <c r="N397" i="1"/>
  <c r="R396" i="1"/>
  <c r="O396" i="1"/>
  <c r="N396" i="1"/>
  <c r="R395" i="1"/>
  <c r="O395" i="1"/>
  <c r="N395" i="1"/>
  <c r="R394" i="1"/>
  <c r="O394" i="1"/>
  <c r="N394" i="1"/>
  <c r="R393" i="1"/>
  <c r="O393" i="1"/>
  <c r="N393" i="1"/>
  <c r="R392" i="1"/>
  <c r="O392" i="1"/>
  <c r="N392" i="1"/>
  <c r="R391" i="1"/>
  <c r="O391" i="1"/>
  <c r="N391" i="1"/>
  <c r="R390" i="1"/>
  <c r="O390" i="1"/>
  <c r="N390" i="1"/>
  <c r="R389" i="1"/>
  <c r="O389" i="1"/>
  <c r="N389" i="1"/>
  <c r="R388" i="1"/>
  <c r="O388" i="1"/>
  <c r="N388" i="1"/>
  <c r="R387" i="1"/>
  <c r="O387" i="1"/>
  <c r="N387" i="1"/>
  <c r="R386" i="1"/>
  <c r="O386" i="1"/>
  <c r="N386" i="1"/>
  <c r="R385" i="1"/>
  <c r="O385" i="1"/>
  <c r="N385" i="1"/>
  <c r="R384" i="1"/>
  <c r="O384" i="1"/>
  <c r="N384" i="1"/>
  <c r="R383" i="1"/>
  <c r="O383" i="1"/>
  <c r="N383" i="1"/>
  <c r="R382" i="1"/>
  <c r="O382" i="1"/>
  <c r="N382" i="1"/>
  <c r="R381" i="1"/>
  <c r="O381" i="1"/>
  <c r="N381" i="1"/>
  <c r="R380" i="1"/>
  <c r="O380" i="1"/>
  <c r="N380" i="1"/>
  <c r="R379" i="1"/>
  <c r="O379" i="1"/>
  <c r="N379" i="1"/>
  <c r="R378" i="1"/>
  <c r="O378" i="1"/>
  <c r="N378" i="1"/>
  <c r="R377" i="1"/>
  <c r="O377" i="1"/>
  <c r="N377" i="1"/>
  <c r="R376" i="1"/>
  <c r="O376" i="1"/>
  <c r="N376" i="1"/>
  <c r="R375" i="1"/>
  <c r="O375" i="1"/>
  <c r="N375" i="1"/>
  <c r="R374" i="1"/>
  <c r="O374" i="1"/>
  <c r="N374" i="1"/>
  <c r="R373" i="1"/>
  <c r="O373" i="1"/>
  <c r="N373" i="1"/>
  <c r="R372" i="1"/>
  <c r="O372" i="1"/>
  <c r="N372" i="1"/>
  <c r="R371" i="1"/>
  <c r="O371" i="1"/>
  <c r="N371" i="1"/>
  <c r="R370" i="1"/>
  <c r="O370" i="1"/>
  <c r="N370" i="1"/>
  <c r="R369" i="1"/>
  <c r="O369" i="1"/>
  <c r="N369" i="1"/>
  <c r="R368" i="1"/>
  <c r="O368" i="1"/>
  <c r="N368" i="1"/>
  <c r="R367" i="1"/>
  <c r="O367" i="1"/>
  <c r="N367" i="1"/>
  <c r="R366" i="1"/>
  <c r="O366" i="1"/>
  <c r="N366" i="1"/>
  <c r="R365" i="1"/>
  <c r="O365" i="1"/>
  <c r="N365" i="1"/>
  <c r="R364" i="1"/>
  <c r="O364" i="1"/>
  <c r="N364" i="1"/>
  <c r="R363" i="1"/>
  <c r="O363" i="1"/>
  <c r="N363" i="1"/>
  <c r="R362" i="1"/>
  <c r="O362" i="1"/>
  <c r="N362" i="1"/>
  <c r="R361" i="1"/>
  <c r="O361" i="1"/>
  <c r="N361" i="1"/>
  <c r="R360" i="1"/>
  <c r="O360" i="1"/>
  <c r="N360" i="1"/>
  <c r="R359" i="1"/>
  <c r="O359" i="1"/>
  <c r="N359" i="1"/>
  <c r="R358" i="1"/>
  <c r="O358" i="1"/>
  <c r="N358" i="1"/>
  <c r="R357" i="1"/>
  <c r="O357" i="1"/>
  <c r="N357" i="1"/>
  <c r="R356" i="1"/>
  <c r="O356" i="1"/>
  <c r="N356" i="1"/>
  <c r="R355" i="1"/>
  <c r="O355" i="1"/>
  <c r="N355" i="1"/>
  <c r="R354" i="1"/>
  <c r="O354" i="1"/>
  <c r="N354" i="1"/>
  <c r="R353" i="1"/>
  <c r="O353" i="1"/>
  <c r="N353" i="1"/>
  <c r="R352" i="1"/>
  <c r="O352" i="1"/>
  <c r="N352" i="1"/>
  <c r="R351" i="1"/>
  <c r="O351" i="1"/>
  <c r="N351" i="1"/>
  <c r="R350" i="1"/>
  <c r="O350" i="1"/>
  <c r="N350" i="1"/>
  <c r="R349" i="1"/>
  <c r="O349" i="1"/>
  <c r="N349" i="1"/>
  <c r="R348" i="1"/>
  <c r="O348" i="1"/>
  <c r="N348" i="1"/>
  <c r="R347" i="1"/>
  <c r="O347" i="1"/>
  <c r="N347" i="1"/>
  <c r="R346" i="1"/>
  <c r="O346" i="1"/>
  <c r="N346" i="1"/>
  <c r="R345" i="1"/>
  <c r="O345" i="1"/>
  <c r="N345" i="1"/>
  <c r="R344" i="1"/>
  <c r="O344" i="1"/>
  <c r="N344" i="1"/>
  <c r="R343" i="1"/>
  <c r="O343" i="1"/>
  <c r="N343" i="1"/>
  <c r="R342" i="1"/>
  <c r="O342" i="1"/>
  <c r="N342" i="1"/>
  <c r="R341" i="1"/>
  <c r="O341" i="1"/>
  <c r="N341" i="1"/>
  <c r="R340" i="1"/>
  <c r="O340" i="1"/>
  <c r="N340" i="1"/>
  <c r="R339" i="1"/>
  <c r="O339" i="1"/>
  <c r="N339" i="1"/>
  <c r="R338" i="1"/>
  <c r="O338" i="1"/>
  <c r="N338" i="1"/>
  <c r="R337" i="1"/>
  <c r="O337" i="1"/>
  <c r="N337" i="1"/>
  <c r="R336" i="1"/>
  <c r="O336" i="1"/>
  <c r="N336" i="1"/>
  <c r="R335" i="1"/>
  <c r="O335" i="1"/>
  <c r="N335" i="1"/>
  <c r="R334" i="1"/>
  <c r="O334" i="1"/>
  <c r="N334" i="1"/>
  <c r="R333" i="1"/>
  <c r="O333" i="1"/>
  <c r="N333" i="1"/>
  <c r="R332" i="1"/>
  <c r="O332" i="1"/>
  <c r="N332" i="1"/>
  <c r="R331" i="1"/>
  <c r="O331" i="1"/>
  <c r="N331" i="1"/>
  <c r="R330" i="1"/>
  <c r="O330" i="1"/>
  <c r="N330" i="1"/>
  <c r="R329" i="1"/>
  <c r="O329" i="1"/>
  <c r="N329" i="1"/>
  <c r="R328" i="1"/>
  <c r="O328" i="1"/>
  <c r="N328" i="1"/>
  <c r="R327" i="1"/>
  <c r="O327" i="1"/>
  <c r="N327" i="1"/>
  <c r="R326" i="1"/>
  <c r="O326" i="1"/>
  <c r="N326" i="1"/>
  <c r="R325" i="1"/>
  <c r="O325" i="1"/>
  <c r="N325" i="1"/>
  <c r="R324" i="1"/>
  <c r="O324" i="1"/>
  <c r="N324" i="1"/>
  <c r="R323" i="1"/>
  <c r="O323" i="1"/>
  <c r="N323" i="1"/>
  <c r="R322" i="1"/>
  <c r="O322" i="1"/>
  <c r="N322" i="1"/>
  <c r="R321" i="1"/>
  <c r="O321" i="1"/>
  <c r="N321" i="1"/>
  <c r="R320" i="1"/>
  <c r="O320" i="1"/>
  <c r="N320" i="1"/>
  <c r="R319" i="1"/>
  <c r="O319" i="1"/>
  <c r="N319" i="1"/>
  <c r="R318" i="1"/>
  <c r="O318" i="1"/>
  <c r="N318" i="1"/>
  <c r="R317" i="1"/>
  <c r="O317" i="1"/>
  <c r="N317" i="1"/>
  <c r="R316" i="1"/>
  <c r="O316" i="1"/>
  <c r="N316" i="1"/>
  <c r="R315" i="1"/>
  <c r="O315" i="1"/>
  <c r="N315" i="1"/>
  <c r="R314" i="1"/>
  <c r="O314" i="1"/>
  <c r="N314" i="1"/>
  <c r="R313" i="1"/>
  <c r="O313" i="1"/>
  <c r="N313" i="1"/>
  <c r="R312" i="1"/>
  <c r="O312" i="1"/>
  <c r="N312" i="1"/>
  <c r="R311" i="1"/>
  <c r="O311" i="1"/>
  <c r="N311" i="1"/>
  <c r="R310" i="1"/>
  <c r="O310" i="1"/>
  <c r="N310" i="1"/>
  <c r="R309" i="1"/>
  <c r="O309" i="1"/>
  <c r="N309" i="1"/>
  <c r="R308" i="1"/>
  <c r="O308" i="1"/>
  <c r="N308" i="1"/>
  <c r="R307" i="1"/>
  <c r="O307" i="1"/>
  <c r="N307" i="1"/>
  <c r="R306" i="1"/>
  <c r="O306" i="1"/>
  <c r="N306" i="1"/>
  <c r="R305" i="1"/>
  <c r="O305" i="1"/>
  <c r="N305" i="1"/>
  <c r="R304" i="1"/>
  <c r="O304" i="1"/>
  <c r="N304" i="1"/>
  <c r="R303" i="1"/>
  <c r="O303" i="1"/>
  <c r="N303" i="1"/>
  <c r="R302" i="1"/>
  <c r="O302" i="1"/>
  <c r="N302" i="1"/>
  <c r="R301" i="1"/>
  <c r="O301" i="1"/>
  <c r="N301" i="1"/>
  <c r="R300" i="1"/>
  <c r="O300" i="1"/>
  <c r="N300" i="1"/>
  <c r="R299" i="1"/>
  <c r="O299" i="1"/>
  <c r="N299" i="1"/>
  <c r="R298" i="1"/>
  <c r="O298" i="1"/>
  <c r="N298" i="1"/>
  <c r="R297" i="1"/>
  <c r="O297" i="1"/>
  <c r="N297" i="1"/>
  <c r="R296" i="1"/>
  <c r="O296" i="1"/>
  <c r="N296" i="1"/>
  <c r="R295" i="1"/>
  <c r="O295" i="1"/>
  <c r="N295" i="1"/>
  <c r="R294" i="1"/>
  <c r="O294" i="1"/>
  <c r="N294" i="1"/>
  <c r="R293" i="1"/>
  <c r="O293" i="1"/>
  <c r="N293" i="1"/>
  <c r="R292" i="1"/>
  <c r="O292" i="1"/>
  <c r="N292" i="1"/>
  <c r="R291" i="1"/>
  <c r="O291" i="1"/>
  <c r="N291" i="1"/>
  <c r="R290" i="1"/>
  <c r="O290" i="1"/>
  <c r="N290" i="1"/>
  <c r="R289" i="1"/>
  <c r="O289" i="1"/>
  <c r="N289" i="1"/>
  <c r="R288" i="1"/>
  <c r="O288" i="1"/>
  <c r="N288" i="1"/>
  <c r="R287" i="1"/>
  <c r="O287" i="1"/>
  <c r="N287" i="1"/>
  <c r="R286" i="1"/>
  <c r="O286" i="1"/>
  <c r="N286" i="1"/>
  <c r="R285" i="1"/>
  <c r="O285" i="1"/>
  <c r="N285" i="1"/>
  <c r="R284" i="1"/>
  <c r="O284" i="1"/>
  <c r="N284" i="1"/>
  <c r="R283" i="1"/>
  <c r="O283" i="1"/>
  <c r="N283" i="1"/>
  <c r="R282" i="1"/>
  <c r="O282" i="1"/>
  <c r="N282" i="1"/>
  <c r="R281" i="1"/>
  <c r="O281" i="1"/>
  <c r="N281" i="1"/>
  <c r="R280" i="1"/>
  <c r="O280" i="1"/>
  <c r="N280" i="1"/>
  <c r="R279" i="1"/>
  <c r="O279" i="1"/>
  <c r="N279" i="1"/>
  <c r="R278" i="1"/>
  <c r="O278" i="1"/>
  <c r="N278" i="1"/>
  <c r="R277" i="1"/>
  <c r="O277" i="1"/>
  <c r="N277" i="1"/>
  <c r="R276" i="1"/>
  <c r="O276" i="1"/>
  <c r="N276" i="1"/>
  <c r="R275" i="1"/>
  <c r="O275" i="1"/>
  <c r="N275" i="1"/>
  <c r="R274" i="1"/>
  <c r="O274" i="1"/>
  <c r="N274" i="1"/>
  <c r="R273" i="1"/>
  <c r="O273" i="1"/>
  <c r="N273" i="1"/>
  <c r="R272" i="1"/>
  <c r="O272" i="1"/>
  <c r="N272" i="1"/>
  <c r="R271" i="1"/>
  <c r="O271" i="1"/>
  <c r="N271" i="1"/>
  <c r="R270" i="1"/>
  <c r="O270" i="1"/>
  <c r="N270" i="1"/>
  <c r="R269" i="1"/>
  <c r="O269" i="1"/>
  <c r="N269" i="1"/>
  <c r="R268" i="1"/>
  <c r="O268" i="1"/>
  <c r="N268" i="1"/>
  <c r="R267" i="1"/>
  <c r="O267" i="1"/>
  <c r="N267" i="1"/>
  <c r="R266" i="1"/>
  <c r="O266" i="1"/>
  <c r="N266" i="1"/>
  <c r="R265" i="1"/>
  <c r="O265" i="1"/>
  <c r="N265" i="1"/>
  <c r="R264" i="1"/>
  <c r="O264" i="1"/>
  <c r="N264" i="1"/>
  <c r="R263" i="1"/>
  <c r="O263" i="1"/>
  <c r="N263" i="1"/>
  <c r="R262" i="1"/>
  <c r="O262" i="1"/>
  <c r="N262" i="1"/>
  <c r="R261" i="1"/>
  <c r="O261" i="1"/>
  <c r="N261" i="1"/>
  <c r="R260" i="1"/>
  <c r="O260" i="1"/>
  <c r="N260" i="1"/>
  <c r="R259" i="1"/>
  <c r="O259" i="1"/>
  <c r="N259" i="1"/>
  <c r="R258" i="1"/>
  <c r="O258" i="1"/>
  <c r="N258" i="1"/>
  <c r="R257" i="1"/>
  <c r="O257" i="1"/>
  <c r="N257" i="1"/>
  <c r="R256" i="1"/>
  <c r="O256" i="1"/>
  <c r="N256" i="1"/>
  <c r="R255" i="1"/>
  <c r="O255" i="1"/>
  <c r="N255" i="1"/>
  <c r="R254" i="1"/>
  <c r="O254" i="1"/>
  <c r="N254" i="1"/>
  <c r="R253" i="1"/>
  <c r="O253" i="1"/>
  <c r="N253" i="1"/>
  <c r="R252" i="1"/>
  <c r="O252" i="1"/>
  <c r="N252" i="1"/>
  <c r="R251" i="1"/>
  <c r="O251" i="1"/>
  <c r="N251" i="1"/>
  <c r="R250" i="1"/>
  <c r="O250" i="1"/>
  <c r="N250" i="1"/>
  <c r="R249" i="1"/>
  <c r="O249" i="1"/>
  <c r="N249" i="1"/>
  <c r="R248" i="1"/>
  <c r="O248" i="1"/>
  <c r="N248" i="1"/>
  <c r="R247" i="1"/>
  <c r="O247" i="1"/>
  <c r="N247" i="1"/>
  <c r="R246" i="1"/>
  <c r="O246" i="1"/>
  <c r="N246" i="1"/>
  <c r="R245" i="1"/>
  <c r="O245" i="1"/>
  <c r="N245" i="1"/>
  <c r="R244" i="1"/>
  <c r="O244" i="1"/>
  <c r="N244" i="1"/>
  <c r="R243" i="1"/>
  <c r="O243" i="1"/>
  <c r="N243" i="1"/>
  <c r="R242" i="1"/>
  <c r="O242" i="1"/>
  <c r="N242" i="1"/>
  <c r="R241" i="1"/>
  <c r="O241" i="1"/>
  <c r="N241" i="1"/>
  <c r="R240" i="1"/>
  <c r="O240" i="1"/>
  <c r="N240" i="1"/>
  <c r="R239" i="1"/>
  <c r="O239" i="1"/>
  <c r="N239" i="1"/>
  <c r="R238" i="1"/>
  <c r="O238" i="1"/>
  <c r="N238" i="1"/>
  <c r="R237" i="1"/>
  <c r="O237" i="1"/>
  <c r="N237" i="1"/>
  <c r="R236" i="1"/>
  <c r="O236" i="1"/>
  <c r="N236" i="1"/>
  <c r="R235" i="1"/>
  <c r="O235" i="1"/>
  <c r="N235" i="1"/>
  <c r="R234" i="1"/>
  <c r="O234" i="1"/>
  <c r="N234" i="1"/>
  <c r="R233" i="1"/>
  <c r="O233" i="1"/>
  <c r="N233" i="1"/>
  <c r="R232" i="1"/>
  <c r="O232" i="1"/>
  <c r="N232" i="1"/>
  <c r="R231" i="1"/>
  <c r="O231" i="1"/>
  <c r="N231" i="1"/>
  <c r="R230" i="1"/>
  <c r="O230" i="1"/>
  <c r="N230" i="1"/>
  <c r="R229" i="1"/>
  <c r="O229" i="1"/>
  <c r="N229" i="1"/>
  <c r="R228" i="1"/>
  <c r="O228" i="1"/>
  <c r="N228" i="1"/>
  <c r="R227" i="1"/>
  <c r="O227" i="1"/>
  <c r="N227" i="1"/>
  <c r="R226" i="1"/>
  <c r="O226" i="1"/>
  <c r="N226" i="1"/>
  <c r="R225" i="1"/>
  <c r="O225" i="1"/>
  <c r="N225" i="1"/>
  <c r="R224" i="1"/>
  <c r="O224" i="1"/>
  <c r="N224" i="1"/>
  <c r="R223" i="1"/>
  <c r="O223" i="1"/>
  <c r="N223" i="1"/>
  <c r="R222" i="1"/>
  <c r="O222" i="1"/>
  <c r="N222" i="1"/>
  <c r="R221" i="1"/>
  <c r="O221" i="1"/>
  <c r="N221" i="1"/>
  <c r="R220" i="1"/>
  <c r="O220" i="1"/>
  <c r="N220" i="1"/>
  <c r="R219" i="1"/>
  <c r="O219" i="1"/>
  <c r="N219" i="1"/>
  <c r="R218" i="1"/>
  <c r="O218" i="1"/>
  <c r="N218" i="1"/>
  <c r="R217" i="1"/>
  <c r="O217" i="1"/>
  <c r="N217" i="1"/>
  <c r="R216" i="1"/>
  <c r="O216" i="1"/>
  <c r="N216" i="1"/>
  <c r="R215" i="1"/>
  <c r="O215" i="1"/>
  <c r="N215" i="1"/>
  <c r="R214" i="1"/>
  <c r="O214" i="1"/>
  <c r="N214" i="1"/>
  <c r="R213" i="1"/>
  <c r="O213" i="1"/>
  <c r="N213" i="1"/>
  <c r="R212" i="1"/>
  <c r="O212" i="1"/>
  <c r="N212" i="1"/>
  <c r="R211" i="1"/>
  <c r="O211" i="1"/>
  <c r="N211" i="1"/>
  <c r="R210" i="1"/>
  <c r="O210" i="1"/>
  <c r="N210" i="1"/>
  <c r="R209" i="1"/>
  <c r="O209" i="1"/>
  <c r="N209" i="1"/>
  <c r="R208" i="1"/>
  <c r="O208" i="1"/>
  <c r="N208" i="1"/>
  <c r="R207" i="1"/>
  <c r="O207" i="1"/>
  <c r="N207" i="1"/>
  <c r="R206" i="1"/>
  <c r="O206" i="1"/>
  <c r="N206" i="1"/>
  <c r="R205" i="1"/>
  <c r="O205" i="1"/>
  <c r="N205" i="1"/>
  <c r="R204" i="1"/>
  <c r="O204" i="1"/>
  <c r="N204" i="1"/>
  <c r="R203" i="1"/>
  <c r="O203" i="1"/>
  <c r="N203" i="1"/>
  <c r="R202" i="1"/>
  <c r="O202" i="1"/>
  <c r="N202" i="1"/>
  <c r="R201" i="1"/>
  <c r="O201" i="1"/>
  <c r="N201" i="1"/>
  <c r="R200" i="1"/>
  <c r="O200" i="1"/>
  <c r="N200" i="1"/>
  <c r="R199" i="1"/>
  <c r="O199" i="1"/>
  <c r="N199" i="1"/>
  <c r="R198" i="1"/>
  <c r="O198" i="1"/>
  <c r="N198" i="1"/>
  <c r="R197" i="1"/>
  <c r="O197" i="1"/>
  <c r="N197" i="1"/>
  <c r="R196" i="1"/>
  <c r="O196" i="1"/>
  <c r="N196" i="1"/>
  <c r="R195" i="1"/>
  <c r="O195" i="1"/>
  <c r="N195" i="1"/>
  <c r="R194" i="1"/>
  <c r="O194" i="1"/>
  <c r="N194" i="1"/>
  <c r="R193" i="1"/>
  <c r="O193" i="1"/>
  <c r="N193" i="1"/>
  <c r="R192" i="1"/>
  <c r="O192" i="1"/>
  <c r="N192" i="1"/>
  <c r="R191" i="1"/>
  <c r="O191" i="1"/>
  <c r="N191" i="1"/>
  <c r="R190" i="1"/>
  <c r="O190" i="1"/>
  <c r="N190" i="1"/>
  <c r="R189" i="1"/>
  <c r="O189" i="1"/>
  <c r="N189" i="1"/>
  <c r="R188" i="1"/>
  <c r="O188" i="1"/>
  <c r="N188" i="1"/>
  <c r="R187" i="1"/>
  <c r="O187" i="1"/>
  <c r="N187" i="1"/>
  <c r="R186" i="1"/>
  <c r="O186" i="1"/>
  <c r="N186" i="1"/>
  <c r="R185" i="1"/>
  <c r="O185" i="1"/>
  <c r="N185" i="1"/>
  <c r="R184" i="1"/>
  <c r="O184" i="1"/>
  <c r="N184" i="1"/>
  <c r="R183" i="1"/>
  <c r="O183" i="1"/>
  <c r="N183" i="1"/>
  <c r="R182" i="1"/>
  <c r="O182" i="1"/>
  <c r="N182" i="1"/>
  <c r="R181" i="1"/>
  <c r="O181" i="1"/>
  <c r="N181" i="1"/>
  <c r="R180" i="1"/>
  <c r="O180" i="1"/>
  <c r="N180" i="1"/>
  <c r="R179" i="1"/>
  <c r="O179" i="1"/>
  <c r="N179" i="1"/>
  <c r="R178" i="1"/>
  <c r="O178" i="1"/>
  <c r="N178" i="1"/>
  <c r="R177" i="1"/>
  <c r="O177" i="1"/>
  <c r="N177" i="1"/>
  <c r="R176" i="1"/>
  <c r="O176" i="1"/>
  <c r="N176" i="1"/>
  <c r="R175" i="1"/>
  <c r="O175" i="1"/>
  <c r="N175" i="1"/>
  <c r="R174" i="1"/>
  <c r="O174" i="1"/>
  <c r="N174" i="1"/>
  <c r="R173" i="1"/>
  <c r="O173" i="1"/>
  <c r="N173" i="1"/>
  <c r="R172" i="1"/>
  <c r="O172" i="1"/>
  <c r="N172" i="1"/>
  <c r="R171" i="1"/>
  <c r="O171" i="1"/>
  <c r="N171" i="1"/>
  <c r="R170" i="1"/>
  <c r="O170" i="1"/>
  <c r="N170" i="1"/>
  <c r="R169" i="1"/>
  <c r="O169" i="1"/>
  <c r="N169" i="1"/>
  <c r="R168" i="1"/>
  <c r="O168" i="1"/>
  <c r="N168" i="1"/>
  <c r="R167" i="1"/>
  <c r="O167" i="1"/>
  <c r="N167" i="1"/>
  <c r="R166" i="1"/>
  <c r="O166" i="1"/>
  <c r="N166" i="1"/>
  <c r="R165" i="1"/>
  <c r="O165" i="1"/>
  <c r="N165" i="1"/>
  <c r="R164" i="1"/>
  <c r="O164" i="1"/>
  <c r="N164" i="1"/>
  <c r="R163" i="1"/>
  <c r="O163" i="1"/>
  <c r="N163" i="1"/>
  <c r="R162" i="1"/>
  <c r="O162" i="1"/>
  <c r="N162" i="1"/>
  <c r="R161" i="1"/>
  <c r="O161" i="1"/>
  <c r="N161" i="1"/>
  <c r="R160" i="1"/>
  <c r="O160" i="1"/>
  <c r="N160" i="1"/>
  <c r="R159" i="1"/>
  <c r="O159" i="1"/>
  <c r="N159" i="1"/>
  <c r="R158" i="1"/>
  <c r="O158" i="1"/>
  <c r="N158" i="1"/>
  <c r="R157" i="1"/>
  <c r="O157" i="1"/>
  <c r="N157" i="1"/>
  <c r="R156" i="1"/>
  <c r="O156" i="1"/>
  <c r="N156" i="1"/>
  <c r="R155" i="1"/>
  <c r="O155" i="1"/>
  <c r="N155" i="1"/>
  <c r="R154" i="1"/>
  <c r="O154" i="1"/>
  <c r="N154" i="1"/>
  <c r="R153" i="1"/>
  <c r="O153" i="1"/>
  <c r="N153" i="1"/>
  <c r="R152" i="1"/>
  <c r="O152" i="1"/>
  <c r="N152" i="1"/>
  <c r="R151" i="1"/>
  <c r="O151" i="1"/>
  <c r="N151" i="1"/>
  <c r="R150" i="1"/>
  <c r="O150" i="1"/>
  <c r="N150" i="1"/>
  <c r="R149" i="1"/>
  <c r="O149" i="1"/>
  <c r="N149" i="1"/>
  <c r="R148" i="1"/>
  <c r="O148" i="1"/>
  <c r="N148" i="1"/>
  <c r="R147" i="1"/>
  <c r="O147" i="1"/>
  <c r="N147" i="1"/>
  <c r="R146" i="1"/>
  <c r="O146" i="1"/>
  <c r="N146" i="1"/>
  <c r="R145" i="1"/>
  <c r="O145" i="1"/>
  <c r="N145" i="1"/>
  <c r="R144" i="1"/>
  <c r="O144" i="1"/>
  <c r="N144" i="1"/>
  <c r="R143" i="1"/>
  <c r="O143" i="1"/>
  <c r="N143" i="1"/>
  <c r="R142" i="1"/>
  <c r="O142" i="1"/>
  <c r="N142" i="1"/>
  <c r="R141" i="1"/>
  <c r="O141" i="1"/>
  <c r="N141" i="1"/>
  <c r="R140" i="1"/>
  <c r="O140" i="1"/>
  <c r="N140" i="1"/>
  <c r="R139" i="1"/>
  <c r="O139" i="1"/>
  <c r="N139" i="1"/>
  <c r="R138" i="1"/>
  <c r="O138" i="1"/>
  <c r="N138" i="1"/>
  <c r="R137" i="1"/>
  <c r="O137" i="1"/>
  <c r="N137" i="1"/>
  <c r="R136" i="1"/>
  <c r="O136" i="1"/>
  <c r="N136" i="1"/>
  <c r="R135" i="1"/>
  <c r="O135" i="1"/>
  <c r="N135" i="1"/>
  <c r="R134" i="1"/>
  <c r="O134" i="1"/>
  <c r="N134" i="1"/>
  <c r="R133" i="1"/>
  <c r="O133" i="1"/>
  <c r="N133" i="1"/>
  <c r="R132" i="1"/>
  <c r="O132" i="1"/>
  <c r="N132" i="1"/>
  <c r="R131" i="1"/>
  <c r="O131" i="1"/>
  <c r="N131" i="1"/>
  <c r="R130" i="1"/>
  <c r="O130" i="1"/>
  <c r="N130" i="1"/>
  <c r="R129" i="1"/>
  <c r="O129" i="1"/>
  <c r="N129" i="1"/>
  <c r="R128" i="1"/>
  <c r="O128" i="1"/>
  <c r="N128" i="1"/>
  <c r="R127" i="1"/>
  <c r="O127" i="1"/>
  <c r="N127" i="1"/>
  <c r="R126" i="1"/>
  <c r="O126" i="1"/>
  <c r="N126" i="1"/>
  <c r="R125" i="1"/>
  <c r="O125" i="1"/>
  <c r="N125" i="1"/>
  <c r="R124" i="1"/>
  <c r="O124" i="1"/>
  <c r="N124" i="1"/>
  <c r="R123" i="1"/>
  <c r="O123" i="1"/>
  <c r="N123" i="1"/>
  <c r="R122" i="1"/>
  <c r="O122" i="1"/>
  <c r="N122" i="1"/>
  <c r="R121" i="1"/>
  <c r="O121" i="1"/>
  <c r="N121" i="1"/>
  <c r="R120" i="1"/>
  <c r="O120" i="1"/>
  <c r="N120" i="1"/>
  <c r="R119" i="1"/>
  <c r="O119" i="1"/>
  <c r="N119" i="1"/>
  <c r="R118" i="1"/>
  <c r="O118" i="1"/>
  <c r="N118" i="1"/>
  <c r="R117" i="1"/>
  <c r="O117" i="1"/>
  <c r="N117" i="1"/>
  <c r="R116" i="1"/>
  <c r="O116" i="1"/>
  <c r="N116" i="1"/>
  <c r="R115" i="1"/>
  <c r="O115" i="1"/>
  <c r="N115" i="1"/>
  <c r="R114" i="1"/>
  <c r="O114" i="1"/>
  <c r="N114" i="1"/>
  <c r="R113" i="1"/>
  <c r="O113" i="1"/>
  <c r="N113" i="1"/>
  <c r="R112" i="1"/>
  <c r="O112" i="1"/>
  <c r="N112" i="1"/>
  <c r="R111" i="1"/>
  <c r="O111" i="1"/>
  <c r="N111" i="1"/>
  <c r="R110" i="1"/>
  <c r="O110" i="1"/>
  <c r="N110" i="1"/>
  <c r="R109" i="1"/>
  <c r="O109" i="1"/>
  <c r="N109" i="1"/>
  <c r="R108" i="1"/>
  <c r="O108" i="1"/>
  <c r="N108" i="1"/>
  <c r="R107" i="1"/>
  <c r="O107" i="1"/>
  <c r="N107" i="1"/>
  <c r="R106" i="1"/>
  <c r="O106" i="1"/>
  <c r="N106" i="1"/>
  <c r="R105" i="1"/>
  <c r="O105" i="1"/>
  <c r="N105" i="1"/>
  <c r="R104" i="1"/>
  <c r="O104" i="1"/>
  <c r="N104" i="1"/>
  <c r="R103" i="1"/>
  <c r="O103" i="1"/>
  <c r="N103" i="1"/>
  <c r="R102" i="1"/>
  <c r="O102" i="1"/>
  <c r="N102" i="1"/>
  <c r="R101" i="1"/>
  <c r="O101" i="1"/>
  <c r="N101" i="1"/>
  <c r="R100" i="1"/>
  <c r="O100" i="1"/>
  <c r="N100" i="1"/>
  <c r="R99" i="1"/>
  <c r="O99" i="1"/>
  <c r="N99" i="1"/>
  <c r="R98" i="1"/>
  <c r="O98" i="1"/>
  <c r="N98" i="1"/>
  <c r="R97" i="1"/>
  <c r="O97" i="1"/>
  <c r="N97" i="1"/>
  <c r="R96" i="1"/>
  <c r="O96" i="1"/>
  <c r="N96" i="1"/>
  <c r="R95" i="1"/>
  <c r="O95" i="1"/>
  <c r="N95" i="1"/>
  <c r="R94" i="1"/>
  <c r="O94" i="1"/>
  <c r="N94" i="1"/>
  <c r="R93" i="1"/>
  <c r="O93" i="1"/>
  <c r="N93" i="1"/>
  <c r="R92" i="1"/>
  <c r="O92" i="1"/>
  <c r="N92" i="1"/>
  <c r="R91" i="1"/>
  <c r="O91" i="1"/>
  <c r="N91" i="1"/>
  <c r="R90" i="1"/>
  <c r="O90" i="1"/>
  <c r="N90" i="1"/>
  <c r="R89" i="1"/>
  <c r="O89" i="1"/>
  <c r="N89" i="1"/>
  <c r="R88" i="1"/>
  <c r="O88" i="1"/>
  <c r="N88" i="1"/>
  <c r="R87" i="1"/>
  <c r="O87" i="1"/>
  <c r="N87" i="1"/>
  <c r="R86" i="1"/>
  <c r="O86" i="1"/>
  <c r="N86" i="1"/>
  <c r="R85" i="1"/>
  <c r="O85" i="1"/>
  <c r="N85" i="1"/>
  <c r="R84" i="1"/>
  <c r="O84" i="1"/>
  <c r="N84" i="1"/>
  <c r="R83" i="1"/>
  <c r="O83" i="1"/>
  <c r="N83" i="1"/>
  <c r="R82" i="1"/>
  <c r="O82" i="1"/>
  <c r="N82" i="1"/>
  <c r="R81" i="1"/>
  <c r="O81" i="1"/>
  <c r="N81" i="1"/>
  <c r="R80" i="1"/>
  <c r="O80" i="1"/>
  <c r="N80" i="1"/>
  <c r="R79" i="1"/>
  <c r="O79" i="1"/>
  <c r="N79" i="1"/>
  <c r="R78" i="1"/>
  <c r="O78" i="1"/>
  <c r="N78" i="1"/>
  <c r="R77" i="1"/>
  <c r="O77" i="1"/>
  <c r="N77" i="1"/>
  <c r="R76" i="1"/>
  <c r="O76" i="1"/>
  <c r="N76" i="1"/>
  <c r="R75" i="1"/>
  <c r="O75" i="1"/>
  <c r="N75" i="1"/>
  <c r="R74" i="1"/>
  <c r="O74" i="1"/>
  <c r="N74" i="1"/>
  <c r="R73" i="1"/>
  <c r="O73" i="1"/>
  <c r="N73" i="1"/>
  <c r="R72" i="1"/>
  <c r="O72" i="1"/>
  <c r="N72" i="1"/>
  <c r="R71" i="1"/>
  <c r="O71" i="1"/>
  <c r="N71" i="1"/>
  <c r="R70" i="1"/>
  <c r="O70" i="1"/>
  <c r="N70" i="1"/>
  <c r="R69" i="1"/>
  <c r="O69" i="1"/>
  <c r="N69" i="1"/>
  <c r="R68" i="1"/>
  <c r="O68" i="1"/>
  <c r="N68" i="1"/>
  <c r="R67" i="1"/>
  <c r="O67" i="1"/>
  <c r="N67" i="1"/>
  <c r="R66" i="1"/>
  <c r="O66" i="1"/>
  <c r="N66" i="1"/>
  <c r="R65" i="1"/>
  <c r="O65" i="1"/>
  <c r="N65" i="1"/>
  <c r="R64" i="1"/>
  <c r="O64" i="1"/>
  <c r="N64" i="1"/>
  <c r="R63" i="1"/>
  <c r="O63" i="1"/>
  <c r="N63" i="1"/>
  <c r="R62" i="1"/>
  <c r="O62" i="1"/>
  <c r="N62" i="1"/>
  <c r="R61" i="1"/>
  <c r="O61" i="1"/>
  <c r="N61" i="1"/>
  <c r="R60" i="1"/>
  <c r="O60" i="1"/>
  <c r="N60" i="1"/>
  <c r="R59" i="1"/>
  <c r="O59" i="1"/>
  <c r="N59" i="1"/>
  <c r="R58" i="1"/>
  <c r="O58" i="1"/>
  <c r="N58" i="1"/>
  <c r="R57" i="1"/>
  <c r="O57" i="1"/>
  <c r="N57" i="1"/>
  <c r="R56" i="1"/>
  <c r="O56" i="1"/>
  <c r="N56" i="1"/>
  <c r="R55" i="1"/>
  <c r="O55" i="1"/>
  <c r="N55" i="1"/>
  <c r="R54" i="1"/>
  <c r="O54" i="1"/>
  <c r="N54" i="1"/>
  <c r="R53" i="1"/>
  <c r="O53" i="1"/>
  <c r="N53" i="1"/>
  <c r="R52" i="1"/>
  <c r="O52" i="1"/>
  <c r="N52" i="1"/>
  <c r="R51" i="1"/>
  <c r="O51" i="1"/>
  <c r="N51" i="1"/>
  <c r="R50" i="1"/>
  <c r="O50" i="1"/>
  <c r="N50" i="1"/>
  <c r="R49" i="1"/>
  <c r="O49" i="1"/>
  <c r="N49" i="1"/>
  <c r="R48" i="1"/>
  <c r="O48" i="1"/>
  <c r="N48" i="1"/>
  <c r="R47" i="1"/>
  <c r="O47" i="1"/>
  <c r="N47" i="1"/>
  <c r="R46" i="1"/>
  <c r="O46" i="1"/>
  <c r="N46" i="1"/>
  <c r="R45" i="1"/>
  <c r="O45" i="1"/>
  <c r="N45" i="1"/>
  <c r="R44" i="1"/>
  <c r="O44" i="1"/>
  <c r="N44" i="1"/>
  <c r="R43" i="1"/>
  <c r="O43" i="1"/>
  <c r="N43" i="1"/>
  <c r="R42" i="1"/>
  <c r="O42" i="1"/>
  <c r="N42" i="1"/>
  <c r="R41" i="1"/>
  <c r="O41" i="1"/>
  <c r="N41" i="1"/>
  <c r="R40" i="1"/>
  <c r="O40" i="1"/>
  <c r="N40" i="1"/>
  <c r="R39" i="1"/>
  <c r="O39" i="1"/>
  <c r="N39" i="1"/>
  <c r="R38" i="1"/>
  <c r="O38" i="1"/>
  <c r="N38" i="1"/>
  <c r="R37" i="1"/>
  <c r="O37" i="1"/>
  <c r="N37" i="1"/>
  <c r="R36" i="1"/>
  <c r="O36" i="1"/>
  <c r="N36" i="1"/>
  <c r="R35" i="1"/>
  <c r="O35" i="1"/>
  <c r="N35" i="1"/>
  <c r="R34" i="1"/>
  <c r="O34" i="1"/>
  <c r="N34" i="1"/>
  <c r="R33" i="1"/>
  <c r="O33" i="1"/>
  <c r="N33" i="1"/>
  <c r="R32" i="1"/>
  <c r="O32" i="1"/>
  <c r="N32" i="1"/>
  <c r="R31" i="1"/>
  <c r="O31" i="1"/>
  <c r="N31" i="1"/>
  <c r="R30" i="1"/>
  <c r="O30" i="1"/>
  <c r="N30" i="1"/>
  <c r="R29" i="1"/>
  <c r="O29" i="1"/>
  <c r="N29" i="1"/>
  <c r="R28" i="1"/>
  <c r="O28" i="1"/>
  <c r="N28" i="1"/>
  <c r="R27" i="1"/>
  <c r="O27" i="1"/>
  <c r="N27" i="1"/>
  <c r="R26" i="1"/>
  <c r="O26" i="1"/>
  <c r="N26" i="1"/>
  <c r="R25" i="1"/>
  <c r="O25" i="1"/>
  <c r="N25" i="1"/>
  <c r="R24" i="1"/>
  <c r="O24" i="1"/>
  <c r="N24" i="1"/>
  <c r="R23" i="1"/>
  <c r="O23" i="1"/>
  <c r="N23" i="1"/>
  <c r="R22" i="1"/>
  <c r="O22" i="1"/>
  <c r="N22" i="1"/>
  <c r="R21" i="1"/>
  <c r="O21" i="1"/>
  <c r="N21" i="1"/>
  <c r="R20" i="1"/>
  <c r="O20" i="1"/>
  <c r="N20" i="1"/>
  <c r="R19" i="1"/>
  <c r="O19" i="1"/>
  <c r="N19" i="1"/>
  <c r="R18" i="1"/>
  <c r="O18" i="1"/>
  <c r="N18" i="1"/>
  <c r="R17" i="1"/>
  <c r="O17" i="1"/>
  <c r="N17" i="1"/>
  <c r="R16" i="1"/>
  <c r="O16" i="1"/>
  <c r="N16" i="1"/>
  <c r="R15" i="1"/>
  <c r="O15" i="1"/>
  <c r="N15" i="1"/>
  <c r="R14" i="1"/>
  <c r="O14" i="1"/>
  <c r="N14" i="1"/>
  <c r="R13" i="1"/>
  <c r="O13" i="1"/>
  <c r="N13" i="1"/>
  <c r="R12" i="1"/>
  <c r="O12" i="1"/>
  <c r="N12" i="1"/>
  <c r="R11" i="1"/>
  <c r="O11" i="1"/>
  <c r="N11" i="1"/>
  <c r="R10" i="1"/>
  <c r="O10" i="1"/>
  <c r="N10" i="1"/>
  <c r="R9" i="1"/>
  <c r="O9" i="1"/>
  <c r="N9" i="1"/>
  <c r="R8" i="1"/>
  <c r="O8" i="1"/>
  <c r="N8" i="1"/>
  <c r="R7" i="1"/>
  <c r="O7" i="1"/>
  <c r="N7" i="1"/>
  <c r="R6" i="1"/>
  <c r="O6" i="1"/>
  <c r="N6" i="1"/>
  <c r="R5" i="1"/>
  <c r="O5" i="1"/>
  <c r="N5" i="1"/>
  <c r="R4" i="1"/>
  <c r="O4" i="1"/>
  <c r="N4" i="1"/>
  <c r="R3" i="1"/>
  <c r="O3" i="1"/>
  <c r="N3" i="1"/>
  <c r="R2" i="1"/>
  <c r="O2" i="1"/>
  <c r="N2" i="1"/>
  <c r="A13" i="1" l="1"/>
  <c r="A14" i="1" s="1"/>
  <c r="A15" i="1" s="1"/>
  <c r="A16" i="1" s="1"/>
  <c r="A17" i="1" s="1"/>
  <c r="A18" i="1" s="1"/>
  <c r="A19" i="1" s="1"/>
  <c r="A1" i="5" a="1"/>
  <c r="ADB57" i="5" s="1"/>
  <c r="U27" i="5"/>
  <c r="AGU26" i="5"/>
  <c r="AC25" i="5"/>
  <c r="YR25" i="5"/>
  <c r="AAJ27" i="5"/>
  <c r="KF27" i="5"/>
  <c r="GQ27" i="5"/>
  <c r="ALA26" i="5"/>
  <c r="AIO26" i="5"/>
  <c r="GW26" i="5"/>
  <c r="UI25" i="5"/>
  <c r="TS25" i="5"/>
  <c r="QQ25" i="5"/>
  <c r="CH28" i="5"/>
  <c r="AFG27" i="5"/>
  <c r="AEV26" i="5"/>
  <c r="WV26" i="5"/>
  <c r="WF26" i="5"/>
  <c r="UZ26" i="5"/>
  <c r="TD26" i="5"/>
  <c r="DD26" i="5"/>
  <c r="ADN25" i="5"/>
  <c r="TB25" i="5"/>
  <c r="SL25" i="5"/>
  <c r="RF25" i="5"/>
  <c r="JF25" i="5"/>
  <c r="DB25" i="5"/>
  <c r="AAH27" i="5"/>
  <c r="II27" i="5"/>
  <c r="GO27" i="5"/>
  <c r="N27" i="5"/>
  <c r="AME26" i="5"/>
  <c r="AJC26" i="5"/>
  <c r="XK26" i="5"/>
  <c r="IA26" i="5"/>
  <c r="FO26" i="5"/>
  <c r="EY26" i="5"/>
  <c r="DS26" i="5"/>
  <c r="AMC25" i="5"/>
  <c r="AJA25" i="5"/>
  <c r="ABQ25" i="5"/>
  <c r="WO27" i="5"/>
  <c r="KX27" i="5"/>
  <c r="JY27" i="5"/>
  <c r="JC27" i="5"/>
  <c r="GN27" i="5"/>
  <c r="ALN26" i="5"/>
  <c r="ABB26" i="5"/>
  <c r="WD26" i="5"/>
  <c r="RV26" i="5"/>
  <c r="RF26" i="5"/>
  <c r="PZ26" i="5"/>
  <c r="GT26" i="5"/>
  <c r="EH26" i="5"/>
  <c r="AKF25" i="5"/>
  <c r="XX25" i="5"/>
  <c r="XH25" i="5"/>
  <c r="WB25" i="5"/>
  <c r="VL25" i="5"/>
  <c r="UF25" i="5"/>
  <c r="QN25" i="5"/>
  <c r="MV25" i="5"/>
  <c r="GU28" i="5"/>
  <c r="BW28" i="5"/>
  <c r="ALG27" i="5"/>
  <c r="AJK27" i="5"/>
  <c r="AGL27" i="5"/>
  <c r="AAF27" i="5"/>
  <c r="WN27" i="5"/>
  <c r="NX27" i="5"/>
  <c r="MT27" i="5"/>
  <c r="LR27" i="5"/>
  <c r="KW27" i="5"/>
  <c r="HG27" i="5"/>
  <c r="EU27" i="5"/>
  <c r="BA27" i="5"/>
  <c r="AKW26" i="5"/>
  <c r="AKG26" i="5"/>
  <c r="AJQ26" i="5"/>
  <c r="AIK26" i="5"/>
  <c r="AFY26" i="5"/>
  <c r="ADM26" i="5"/>
  <c r="ABQ26" i="5"/>
  <c r="AAK26" i="5"/>
  <c r="YO26" i="5"/>
  <c r="XI26" i="5"/>
  <c r="WC26" i="5"/>
  <c r="UG26" i="5"/>
  <c r="TA26" i="5"/>
  <c r="RE26" i="5"/>
  <c r="PI26" i="5"/>
  <c r="OC26" i="5"/>
  <c r="KK26" i="5"/>
  <c r="JU26" i="5"/>
  <c r="IO26" i="5"/>
  <c r="HY26" i="5"/>
  <c r="GS26" i="5"/>
  <c r="EW26" i="5"/>
  <c r="CK26" i="5"/>
  <c r="Y26" i="5"/>
  <c r="ALK25" i="5"/>
  <c r="AKE25" i="5"/>
  <c r="AJO25" i="5"/>
  <c r="AIY25" i="5"/>
  <c r="AHS25" i="5"/>
  <c r="AEQ25" i="5"/>
  <c r="ACE25" i="5"/>
  <c r="AAY25" i="5"/>
  <c r="YM25" i="5"/>
  <c r="XW25" i="5"/>
  <c r="XG25" i="5"/>
  <c r="WA25" i="5"/>
  <c r="UE25" i="5"/>
  <c r="SI25" i="5"/>
  <c r="PW25" i="5"/>
  <c r="OQ25" i="5"/>
  <c r="KY25" i="5"/>
  <c r="KI25" i="5"/>
  <c r="JS25" i="5"/>
  <c r="GP28" i="5"/>
  <c r="BR28" i="5"/>
  <c r="AHS27" i="5"/>
  <c r="ADW27" i="5"/>
  <c r="YY27" i="5"/>
  <c r="UA27" i="5"/>
  <c r="SU27" i="5"/>
  <c r="RO27" i="5"/>
  <c r="QI27" i="5"/>
  <c r="MS27" i="5"/>
  <c r="JA27" i="5"/>
  <c r="FN27" i="5"/>
  <c r="DE27" i="5"/>
  <c r="AZ27" i="5"/>
  <c r="AD27" i="5"/>
  <c r="K27" i="5"/>
  <c r="ALL26" i="5"/>
  <c r="AIZ26" i="5"/>
  <c r="AHD26" i="5"/>
  <c r="AFH26" i="5"/>
  <c r="ADL26" i="5"/>
  <c r="ABP26" i="5"/>
  <c r="ZD26" i="5"/>
  <c r="YN26" i="5"/>
  <c r="XX26" i="5"/>
  <c r="WR26" i="5"/>
  <c r="UV26" i="5"/>
  <c r="SJ26" i="5"/>
  <c r="QN26" i="5"/>
  <c r="NL26" i="5"/>
  <c r="MV26" i="5"/>
  <c r="MF26" i="5"/>
  <c r="LP26" i="5"/>
  <c r="KJ26" i="5"/>
  <c r="IN26" i="5"/>
  <c r="EV26" i="5"/>
  <c r="CZ26" i="5"/>
  <c r="BD26" i="5"/>
  <c r="AN26" i="5"/>
  <c r="X26" i="5"/>
  <c r="H26" i="5"/>
  <c r="ALJ25" i="5"/>
  <c r="AIH25" i="5"/>
  <c r="AFF25" i="5"/>
  <c r="ADZ25" i="5"/>
  <c r="ACD25" i="5"/>
  <c r="ABN25" i="5"/>
  <c r="AAH25" i="5"/>
  <c r="ZB25" i="5"/>
  <c r="XV25" i="5"/>
  <c r="VJ25" i="5"/>
  <c r="SX25" i="5"/>
  <c r="RR25" i="5"/>
  <c r="OP25" i="5"/>
  <c r="NZ25" i="5"/>
  <c r="NJ25" i="5"/>
  <c r="MT25" i="5"/>
  <c r="LN25" i="5"/>
  <c r="IL25" i="5"/>
  <c r="FJ25" i="5"/>
  <c r="ED25" i="5"/>
  <c r="BQ28" i="5"/>
  <c r="T28" i="5"/>
  <c r="AKW27" i="5"/>
  <c r="AJA27" i="5"/>
  <c r="AGJ27" i="5"/>
  <c r="XR27" i="5"/>
  <c r="TZ27" i="5"/>
  <c r="RN27" i="5"/>
  <c r="NV27" i="5"/>
  <c r="MR27" i="5"/>
  <c r="LP27" i="5"/>
  <c r="KU27" i="5"/>
  <c r="FM27" i="5"/>
  <c r="DD27" i="5"/>
  <c r="AY27" i="5"/>
  <c r="J27" i="5"/>
  <c r="AKE26" i="5"/>
  <c r="AIY26" i="5"/>
  <c r="AHS26" i="5"/>
  <c r="AHC26" i="5"/>
  <c r="AFG26" i="5"/>
  <c r="ADK26" i="5"/>
  <c r="ABO26" i="5"/>
  <c r="ZC26" i="5"/>
  <c r="WQ26" i="5"/>
  <c r="WA26" i="5"/>
  <c r="VK26" i="5"/>
  <c r="UE26" i="5"/>
  <c r="SY26" i="5"/>
  <c r="QM26" i="5"/>
  <c r="OA26" i="5"/>
  <c r="MU26" i="5"/>
  <c r="KI26" i="5"/>
  <c r="JS26" i="5"/>
  <c r="IM26" i="5"/>
  <c r="HW26" i="5"/>
  <c r="FK26" i="5"/>
  <c r="DO26" i="5"/>
  <c r="BS26" i="5"/>
  <c r="W26" i="5"/>
  <c r="ALI25" i="5"/>
  <c r="AIW25" i="5"/>
  <c r="AIG25" i="5"/>
  <c r="AHQ25" i="5"/>
  <c r="AGK25" i="5"/>
  <c r="AEO25" i="5"/>
  <c r="ACC25" i="5"/>
  <c r="AAG25" i="5"/>
  <c r="XE25" i="5"/>
  <c r="WO25" i="5"/>
  <c r="VY25" i="5"/>
  <c r="VI25" i="5"/>
  <c r="UC25" i="5"/>
  <c r="K28" i="5"/>
  <c r="AES27" i="5"/>
  <c r="ADM27" i="5"/>
  <c r="ACG27" i="5"/>
  <c r="XI27" i="5"/>
  <c r="WC27" i="5"/>
  <c r="UW27" i="5"/>
  <c r="TQ27" i="5"/>
  <c r="RE27" i="5"/>
  <c r="KT27" i="5"/>
  <c r="HY27" i="5"/>
  <c r="HD27" i="5"/>
  <c r="GF27" i="5"/>
  <c r="DC27" i="5"/>
  <c r="CJ27" i="5"/>
  <c r="AX27" i="5"/>
  <c r="I27" i="5"/>
  <c r="AKT26" i="5"/>
  <c r="AIX26" i="5"/>
  <c r="AHB26" i="5"/>
  <c r="AGL26" i="5"/>
  <c r="AFF26" i="5"/>
  <c r="ACD26" i="5"/>
  <c r="ABN26" i="5"/>
  <c r="AAH26" i="5"/>
  <c r="ZR26" i="5"/>
  <c r="YL26" i="5"/>
  <c r="WP26" i="5"/>
  <c r="UD26" i="5"/>
  <c r="SH26" i="5"/>
  <c r="RR26" i="5"/>
  <c r="PF26" i="5"/>
  <c r="OP26" i="5"/>
  <c r="NZ26" i="5"/>
  <c r="NJ26" i="5"/>
  <c r="MD26" i="5"/>
  <c r="JB26" i="5"/>
  <c r="GP26" i="5"/>
  <c r="FZ26" i="5"/>
  <c r="FJ26" i="5"/>
  <c r="CX26" i="5"/>
  <c r="CH26" i="5"/>
  <c r="BR26" i="5"/>
  <c r="AL26" i="5"/>
  <c r="ALX25" i="5"/>
  <c r="AKB25" i="5"/>
  <c r="AHP25" i="5"/>
  <c r="AGJ25" i="5"/>
  <c r="AFT25" i="5"/>
  <c r="ACR25" i="5"/>
  <c r="ACB25" i="5"/>
  <c r="ABL25" i="5"/>
  <c r="AAV25" i="5"/>
  <c r="ZP25" i="5"/>
  <c r="XT25" i="5"/>
  <c r="AIX27" i="5"/>
  <c r="AGH27" i="5"/>
  <c r="AER27" i="5"/>
  <c r="AAZ27" i="5"/>
  <c r="ZT27" i="5"/>
  <c r="YN27" i="5"/>
  <c r="XH27" i="5"/>
  <c r="UV27" i="5"/>
  <c r="MP27" i="5"/>
  <c r="JS27" i="5"/>
  <c r="IX27" i="5"/>
  <c r="HX27" i="5"/>
  <c r="FK27" i="5"/>
  <c r="EQ27" i="5"/>
  <c r="DU27" i="5"/>
  <c r="DB27" i="5"/>
  <c r="AT27" i="5"/>
  <c r="AKC26" i="5"/>
  <c r="AIG26" i="5"/>
  <c r="AHQ26" i="5"/>
  <c r="AHA26" i="5"/>
  <c r="AFE26" i="5"/>
  <c r="ADY26" i="5"/>
  <c r="ACS26" i="5"/>
  <c r="ACC26" i="5"/>
  <c r="AAG26" i="5"/>
  <c r="XU26" i="5"/>
  <c r="VY26" i="5"/>
  <c r="VI26" i="5"/>
  <c r="UC26" i="5"/>
  <c r="RQ26" i="5"/>
  <c r="RA26" i="5"/>
  <c r="QK26" i="5"/>
  <c r="PE26" i="5"/>
  <c r="NI26" i="5"/>
  <c r="LM26" i="5"/>
  <c r="IK26" i="5"/>
  <c r="HU26" i="5"/>
  <c r="HE26" i="5"/>
  <c r="FI26" i="5"/>
  <c r="EC26" i="5"/>
  <c r="DM26" i="5"/>
  <c r="CW26" i="5"/>
  <c r="AK26" i="5"/>
  <c r="ALG25" i="5"/>
  <c r="AJK25" i="5"/>
  <c r="AIU25" i="5"/>
  <c r="AIE25" i="5"/>
  <c r="AFS25" i="5"/>
  <c r="AFC25" i="5"/>
  <c r="ADW25" i="5"/>
  <c r="ACA25" i="5"/>
  <c r="TA25" i="5"/>
  <c r="LQ25" i="5"/>
  <c r="GU25" i="5"/>
  <c r="FL25" i="5"/>
  <c r="CW25" i="5"/>
  <c r="ALG24" i="5"/>
  <c r="AKC24" i="5"/>
  <c r="AIY24" i="5"/>
  <c r="AGX24" i="5"/>
  <c r="AFT24" i="5"/>
  <c r="ADL24" i="5"/>
  <c r="AAG24" i="5"/>
  <c r="UF24" i="5"/>
  <c r="TK24" i="5"/>
  <c r="SK24" i="5"/>
  <c r="QQ24" i="5"/>
  <c r="PW24" i="5"/>
  <c r="OK24" i="5"/>
  <c r="NO24" i="5"/>
  <c r="MV24" i="5"/>
  <c r="LJ24" i="5"/>
  <c r="HY24" i="5"/>
  <c r="FM24" i="5"/>
  <c r="EW24" i="5"/>
  <c r="EG24" i="5"/>
  <c r="DA24" i="5"/>
  <c r="BU24" i="5"/>
  <c r="BE24" i="5"/>
  <c r="AO24" i="5"/>
  <c r="I24" i="5"/>
  <c r="AKU23" i="5"/>
  <c r="AII23" i="5"/>
  <c r="AGM23" i="5"/>
  <c r="AFW23" i="5"/>
  <c r="AFG23" i="5"/>
  <c r="ACU23" i="5"/>
  <c r="ABO23" i="5"/>
  <c r="AAY23" i="5"/>
  <c r="AAI23" i="5"/>
  <c r="ZS23" i="5"/>
  <c r="XW23" i="5"/>
  <c r="WA23" i="5"/>
  <c r="UE23" i="5"/>
  <c r="SY23" i="5"/>
  <c r="RS23" i="5"/>
  <c r="PW23" i="5"/>
  <c r="PG23" i="5"/>
  <c r="OQ23" i="5"/>
  <c r="OA23" i="5"/>
  <c r="MU23" i="5"/>
  <c r="LO23" i="5"/>
  <c r="JC23" i="5"/>
  <c r="GQ23" i="5"/>
  <c r="GA23" i="5"/>
  <c r="EU23" i="5"/>
  <c r="DO23" i="5"/>
  <c r="CY23" i="5"/>
  <c r="BS23" i="5"/>
  <c r="BC23" i="5"/>
  <c r="AM23" i="5"/>
  <c r="ALI22" i="5"/>
  <c r="AJM22" i="5"/>
  <c r="AIW22" i="5"/>
  <c r="AHQ22" i="5"/>
  <c r="AGK22" i="5"/>
  <c r="AFU22" i="5"/>
  <c r="ADY22" i="5"/>
  <c r="ACS22" i="5"/>
  <c r="ABM22" i="5"/>
  <c r="AAW22" i="5"/>
  <c r="AAG22" i="5"/>
  <c r="ZA22" i="5"/>
  <c r="XE22" i="5"/>
  <c r="WO22" i="5"/>
  <c r="US22" i="5"/>
  <c r="UC22" i="5"/>
  <c r="RQ22" i="5"/>
  <c r="RA22" i="5"/>
  <c r="QK22" i="5"/>
  <c r="PU22" i="5"/>
  <c r="PE22" i="5"/>
  <c r="OO22" i="5"/>
  <c r="NY22" i="5"/>
  <c r="MS22" i="5"/>
  <c r="KW22" i="5"/>
  <c r="KG22" i="5"/>
  <c r="GO22" i="5"/>
  <c r="FY22" i="5"/>
  <c r="FI22" i="5"/>
  <c r="ES22" i="5"/>
  <c r="EC22" i="5"/>
  <c r="DM22" i="5"/>
  <c r="CW22" i="5"/>
  <c r="CG22" i="5"/>
  <c r="BQ22" i="5"/>
  <c r="AK22" i="5"/>
  <c r="AKQ21" i="5"/>
  <c r="AIU21" i="5"/>
  <c r="AHO21" i="5"/>
  <c r="AGY21" i="5"/>
  <c r="AGI21" i="5"/>
  <c r="AFS21" i="5"/>
  <c r="AFC21" i="5"/>
  <c r="AEM21" i="5"/>
  <c r="ADW21" i="5"/>
  <c r="ACQ21" i="5"/>
  <c r="ABK21" i="5"/>
  <c r="AAE21" i="5"/>
  <c r="XC21" i="5"/>
  <c r="WM21" i="5"/>
  <c r="VG21" i="5"/>
  <c r="UQ21" i="5"/>
  <c r="UA21" i="5"/>
  <c r="SU21" i="5"/>
  <c r="RO21" i="5"/>
  <c r="QY21" i="5"/>
  <c r="QI21" i="5"/>
  <c r="PS21" i="5"/>
  <c r="PC21" i="5"/>
  <c r="NW21" i="5"/>
  <c r="ABK25" i="5"/>
  <c r="VX25" i="5"/>
  <c r="NY25" i="5"/>
  <c r="LM25" i="5"/>
  <c r="JQ25" i="5"/>
  <c r="II25" i="5"/>
  <c r="GS25" i="5"/>
  <c r="FK25" i="5"/>
  <c r="EB25" i="5"/>
  <c r="CV25" i="5"/>
  <c r="BP25" i="5"/>
  <c r="ALF24" i="5"/>
  <c r="AFS24" i="5"/>
  <c r="AEO24" i="5"/>
  <c r="ADK24" i="5"/>
  <c r="ACG24" i="5"/>
  <c r="ABJ24" i="5"/>
  <c r="AAF24" i="5"/>
  <c r="ZB24" i="5"/>
  <c r="XX24" i="5"/>
  <c r="XB24" i="5"/>
  <c r="VZ24" i="5"/>
  <c r="UE24" i="5"/>
  <c r="TJ24" i="5"/>
  <c r="PV24" i="5"/>
  <c r="NN24" i="5"/>
  <c r="MU24" i="5"/>
  <c r="MB24" i="5"/>
  <c r="LI24" i="5"/>
  <c r="KM24" i="5"/>
  <c r="JV24" i="5"/>
  <c r="JE24" i="5"/>
  <c r="IN24" i="5"/>
  <c r="HH24" i="5"/>
  <c r="GR24" i="5"/>
  <c r="FL24" i="5"/>
  <c r="EV24" i="5"/>
  <c r="CZ24" i="5"/>
  <c r="BD24" i="5"/>
  <c r="AN24" i="5"/>
  <c r="X24" i="5"/>
  <c r="H24" i="5"/>
  <c r="ALZ23" i="5"/>
  <c r="ALJ23" i="5"/>
  <c r="AKD23" i="5"/>
  <c r="AIX23" i="5"/>
  <c r="AIH23" i="5"/>
  <c r="AHR23" i="5"/>
  <c r="AHB23" i="5"/>
  <c r="AFV23" i="5"/>
  <c r="AEP23" i="5"/>
  <c r="ACT23" i="5"/>
  <c r="ACD23" i="5"/>
  <c r="ABN23" i="5"/>
  <c r="AAX23" i="5"/>
  <c r="ZR23" i="5"/>
  <c r="ZB23" i="5"/>
  <c r="YL23" i="5"/>
  <c r="XV23" i="5"/>
  <c r="XF23" i="5"/>
  <c r="WP23" i="5"/>
  <c r="VJ23" i="5"/>
  <c r="UT23" i="5"/>
  <c r="TN23" i="5"/>
  <c r="RR23" i="5"/>
  <c r="RB23" i="5"/>
  <c r="PV23" i="5"/>
  <c r="PF23" i="5"/>
  <c r="OP23" i="5"/>
  <c r="NZ23" i="5"/>
  <c r="NJ23" i="5"/>
  <c r="MT23" i="5"/>
  <c r="MD23" i="5"/>
  <c r="KX23" i="5"/>
  <c r="KH23" i="5"/>
  <c r="JR23" i="5"/>
  <c r="IL23" i="5"/>
  <c r="FZ23" i="5"/>
  <c r="FJ23" i="5"/>
  <c r="ET23" i="5"/>
  <c r="ED23" i="5"/>
  <c r="DN23" i="5"/>
  <c r="CX23" i="5"/>
  <c r="CH23" i="5"/>
  <c r="BR23" i="5"/>
  <c r="AL23" i="5"/>
  <c r="V23" i="5"/>
  <c r="F23" i="5"/>
  <c r="ALX22" i="5"/>
  <c r="AKR22" i="5"/>
  <c r="AIF22" i="5"/>
  <c r="AHP22" i="5"/>
  <c r="AGZ22" i="5"/>
  <c r="AGJ22" i="5"/>
  <c r="AFT22" i="5"/>
  <c r="AFD22" i="5"/>
  <c r="AEN22" i="5"/>
  <c r="ADH22" i="5"/>
  <c r="ACR22" i="5"/>
  <c r="ACB22" i="5"/>
  <c r="ABL22" i="5"/>
  <c r="AAV22" i="5"/>
  <c r="YZ22" i="5"/>
  <c r="XD22" i="5"/>
  <c r="WN22" i="5"/>
  <c r="VX22" i="5"/>
  <c r="VH22" i="5"/>
  <c r="UR22" i="5"/>
  <c r="UB22" i="5"/>
  <c r="SV22" i="5"/>
  <c r="SF22" i="5"/>
  <c r="RP22" i="5"/>
  <c r="QZ22" i="5"/>
  <c r="PT22" i="5"/>
  <c r="PD22" i="5"/>
  <c r="NX22" i="5"/>
  <c r="MB22" i="5"/>
  <c r="LL22" i="5"/>
  <c r="KV22" i="5"/>
  <c r="KF22" i="5"/>
  <c r="JP22" i="5"/>
  <c r="IJ22" i="5"/>
  <c r="HT22" i="5"/>
  <c r="HD22" i="5"/>
  <c r="FX22" i="5"/>
  <c r="FH22" i="5"/>
  <c r="ER22" i="5"/>
  <c r="EB22" i="5"/>
  <c r="CV22" i="5"/>
  <c r="AZ22" i="5"/>
  <c r="AJ22" i="5"/>
  <c r="T22" i="5"/>
  <c r="D22" i="5"/>
  <c r="ALF21" i="5"/>
  <c r="AKP21" i="5"/>
  <c r="AJJ21" i="5"/>
  <c r="AIT21" i="5"/>
  <c r="AID21" i="5"/>
  <c r="AHN21" i="5"/>
  <c r="AGX21" i="5"/>
  <c r="AGH21" i="5"/>
  <c r="AFB21" i="5"/>
  <c r="ADF21" i="5"/>
  <c r="ACP21" i="5"/>
  <c r="ABZ21" i="5"/>
  <c r="AAT21" i="5"/>
  <c r="ZN21" i="5"/>
  <c r="YX21" i="5"/>
  <c r="YH21" i="5"/>
  <c r="XR21" i="5"/>
  <c r="XB21" i="5"/>
  <c r="WL21" i="5"/>
  <c r="VV21" i="5"/>
  <c r="VF21" i="5"/>
  <c r="TZ21" i="5"/>
  <c r="SD21" i="5"/>
  <c r="RN21" i="5"/>
  <c r="PR21" i="5"/>
  <c r="PB21" i="5"/>
  <c r="OL21" i="5"/>
  <c r="AAU25" i="5"/>
  <c r="VW25" i="5"/>
  <c r="SV25" i="5"/>
  <c r="QJ25" i="5"/>
  <c r="NX25" i="5"/>
  <c r="LL25" i="5"/>
  <c r="JP25" i="5"/>
  <c r="GR25" i="5"/>
  <c r="CU25" i="5"/>
  <c r="C25" i="5"/>
  <c r="ALE24" i="5"/>
  <c r="AKA24" i="5"/>
  <c r="AIW24" i="5"/>
  <c r="AHS24" i="5"/>
  <c r="AGO24" i="5"/>
  <c r="AFR24" i="5"/>
  <c r="AEN24" i="5"/>
  <c r="ADJ24" i="5"/>
  <c r="ACF24" i="5"/>
  <c r="ABI24" i="5"/>
  <c r="ZA24" i="5"/>
  <c r="UD24" i="5"/>
  <c r="TI24" i="5"/>
  <c r="SI24" i="5"/>
  <c r="RN24" i="5"/>
  <c r="QO24" i="5"/>
  <c r="PU24" i="5"/>
  <c r="PB24" i="5"/>
  <c r="OF24" i="5"/>
  <c r="NM24" i="5"/>
  <c r="MT24" i="5"/>
  <c r="MA24" i="5"/>
  <c r="LE24" i="5"/>
  <c r="JD24" i="5"/>
  <c r="GQ24" i="5"/>
  <c r="GA24" i="5"/>
  <c r="FK24" i="5"/>
  <c r="EU24" i="5"/>
  <c r="EE24" i="5"/>
  <c r="DO24" i="5"/>
  <c r="CY24" i="5"/>
  <c r="CI24" i="5"/>
  <c r="BS24" i="5"/>
  <c r="BC24" i="5"/>
  <c r="AM24" i="5"/>
  <c r="G24" i="5"/>
  <c r="ALI23" i="5"/>
  <c r="AIW23" i="5"/>
  <c r="AIG23" i="5"/>
  <c r="AHQ23" i="5"/>
  <c r="AHA23" i="5"/>
  <c r="AGK23" i="5"/>
  <c r="AFU23" i="5"/>
  <c r="AFE23" i="5"/>
  <c r="AEO23" i="5"/>
  <c r="ADY23" i="5"/>
  <c r="ACS23" i="5"/>
  <c r="ACC23" i="5"/>
  <c r="ABM23" i="5"/>
  <c r="ZQ23" i="5"/>
  <c r="XU23" i="5"/>
  <c r="XE23" i="5"/>
  <c r="WO23" i="5"/>
  <c r="VY23" i="5"/>
  <c r="VI23" i="5"/>
  <c r="US23" i="5"/>
  <c r="UC23" i="5"/>
  <c r="TM23" i="5"/>
  <c r="SW23" i="5"/>
  <c r="SG23" i="5"/>
  <c r="RQ23" i="5"/>
  <c r="RA23" i="5"/>
  <c r="PE23" i="5"/>
  <c r="NI23" i="5"/>
  <c r="MS23" i="5"/>
  <c r="MC23" i="5"/>
  <c r="LM23" i="5"/>
  <c r="KW23" i="5"/>
  <c r="KG23" i="5"/>
  <c r="JQ23" i="5"/>
  <c r="JA23" i="5"/>
  <c r="IK23" i="5"/>
  <c r="HU23" i="5"/>
  <c r="HE23" i="5"/>
  <c r="FY23" i="5"/>
  <c r="ES23" i="5"/>
  <c r="CW23" i="5"/>
  <c r="CG23" i="5"/>
  <c r="BQ23" i="5"/>
  <c r="BA23" i="5"/>
  <c r="AK23" i="5"/>
  <c r="U23" i="5"/>
  <c r="E23" i="5"/>
  <c r="ALW22" i="5"/>
  <c r="ALG22" i="5"/>
  <c r="AKQ22" i="5"/>
  <c r="AJK22" i="5"/>
  <c r="AIU22" i="5"/>
  <c r="AHO22" i="5"/>
  <c r="AFS22" i="5"/>
  <c r="AFC22" i="5"/>
  <c r="AEM22" i="5"/>
  <c r="ADW22" i="5"/>
  <c r="ADG22" i="5"/>
  <c r="ACQ22" i="5"/>
  <c r="ACA22" i="5"/>
  <c r="ABK22" i="5"/>
  <c r="AAU22" i="5"/>
  <c r="ZO22" i="5"/>
  <c r="YY22" i="5"/>
  <c r="YI22" i="5"/>
  <c r="XC22" i="5"/>
  <c r="VG22" i="5"/>
  <c r="UQ22" i="5"/>
  <c r="UA22" i="5"/>
  <c r="TK22" i="5"/>
  <c r="SU22" i="5"/>
  <c r="SE22" i="5"/>
  <c r="RO22" i="5"/>
  <c r="QY22" i="5"/>
  <c r="PS22" i="5"/>
  <c r="PC22" i="5"/>
  <c r="OM22" i="5"/>
  <c r="NW22" i="5"/>
  <c r="MQ22" i="5"/>
  <c r="KU22" i="5"/>
  <c r="KE22" i="5"/>
  <c r="JO22" i="5"/>
  <c r="IY22" i="5"/>
  <c r="II22" i="5"/>
  <c r="HS22" i="5"/>
  <c r="HC22" i="5"/>
  <c r="FW22" i="5"/>
  <c r="FG22" i="5"/>
  <c r="EQ22" i="5"/>
  <c r="EA22" i="5"/>
  <c r="DK22" i="5"/>
  <c r="CE22" i="5"/>
  <c r="AI22" i="5"/>
  <c r="S22" i="5"/>
  <c r="C22" i="5"/>
  <c r="ALU21" i="5"/>
  <c r="ALE21" i="5"/>
  <c r="AKO21" i="5"/>
  <c r="AJI21" i="5"/>
  <c r="AIS21" i="5"/>
  <c r="AIC21" i="5"/>
  <c r="AHM21" i="5"/>
  <c r="AGW21" i="5"/>
  <c r="AGG21" i="5"/>
  <c r="AFA21" i="5"/>
  <c r="ADE21" i="5"/>
  <c r="ACO21" i="5"/>
  <c r="ABY21" i="5"/>
  <c r="ABI21" i="5"/>
  <c r="AAS21" i="5"/>
  <c r="AAC21" i="5"/>
  <c r="ZM21" i="5"/>
  <c r="YW21" i="5"/>
  <c r="YG21" i="5"/>
  <c r="XQ21" i="5"/>
  <c r="XA21" i="5"/>
  <c r="WK21" i="5"/>
  <c r="VE21" i="5"/>
  <c r="TI21" i="5"/>
  <c r="SS21" i="5"/>
  <c r="SC21" i="5"/>
  <c r="RM21" i="5"/>
  <c r="QW21" i="5"/>
  <c r="QG21" i="5"/>
  <c r="PQ21" i="5"/>
  <c r="PA21" i="5"/>
  <c r="OK21" i="5"/>
  <c r="NU21" i="5"/>
  <c r="NE21" i="5"/>
  <c r="AAE25" i="5"/>
  <c r="SU25" i="5"/>
  <c r="LK25" i="5"/>
  <c r="JO25" i="5"/>
  <c r="HY25" i="5"/>
  <c r="GQ25" i="5"/>
  <c r="FH25" i="5"/>
  <c r="DS25" i="5"/>
  <c r="CM25" i="5"/>
  <c r="BG25" i="5"/>
  <c r="AA25" i="5"/>
  <c r="AMC24" i="5"/>
  <c r="AKW24" i="5"/>
  <c r="AJZ24" i="5"/>
  <c r="AHR24" i="5"/>
  <c r="AEM24" i="5"/>
  <c r="ADI24" i="5"/>
  <c r="ACE24" i="5"/>
  <c r="ABA24" i="5"/>
  <c r="AAD24" i="5"/>
  <c r="YZ24" i="5"/>
  <c r="XV24" i="5"/>
  <c r="WT24" i="5"/>
  <c r="VX24" i="5"/>
  <c r="UX24" i="5"/>
  <c r="UC24" i="5"/>
  <c r="TD24" i="5"/>
  <c r="RM24" i="5"/>
  <c r="PA24" i="5"/>
  <c r="OE24" i="5"/>
  <c r="NL24" i="5"/>
  <c r="MS24" i="5"/>
  <c r="LZ24" i="5"/>
  <c r="LD24" i="5"/>
  <c r="KK24" i="5"/>
  <c r="JT24" i="5"/>
  <c r="JC24" i="5"/>
  <c r="IL24" i="5"/>
  <c r="HV24" i="5"/>
  <c r="HF24" i="5"/>
  <c r="FZ24" i="5"/>
  <c r="ED24" i="5"/>
  <c r="DN24" i="5"/>
  <c r="CX24" i="5"/>
  <c r="CH24" i="5"/>
  <c r="BR24" i="5"/>
  <c r="BB24" i="5"/>
  <c r="AL24" i="5"/>
  <c r="V24" i="5"/>
  <c r="F24" i="5"/>
  <c r="ALX23" i="5"/>
  <c r="ALH23" i="5"/>
  <c r="AKR23" i="5"/>
  <c r="AJL23" i="5"/>
  <c r="AIV23" i="5"/>
  <c r="AIF23" i="5"/>
  <c r="AHP23" i="5"/>
  <c r="AGZ23" i="5"/>
  <c r="AGJ23" i="5"/>
  <c r="AFT23" i="5"/>
  <c r="AFD23" i="5"/>
  <c r="AEN23" i="5"/>
  <c r="ADX23" i="5"/>
  <c r="ADH23" i="5"/>
  <c r="ACR23" i="5"/>
  <c r="ACB23" i="5"/>
  <c r="ABL23" i="5"/>
  <c r="AAV23" i="5"/>
  <c r="AAF23" i="5"/>
  <c r="ZP23" i="5"/>
  <c r="YZ23" i="5"/>
  <c r="YJ23" i="5"/>
  <c r="XT23" i="5"/>
  <c r="XD23" i="5"/>
  <c r="WN23" i="5"/>
  <c r="VX23" i="5"/>
  <c r="VH23" i="5"/>
  <c r="UR23" i="5"/>
  <c r="UB23" i="5"/>
  <c r="TL23" i="5"/>
  <c r="SV23" i="5"/>
  <c r="SF23" i="5"/>
  <c r="RP23" i="5"/>
  <c r="QZ23" i="5"/>
  <c r="QJ23" i="5"/>
  <c r="PT23" i="5"/>
  <c r="PD23" i="5"/>
  <c r="ON23" i="5"/>
  <c r="NX23" i="5"/>
  <c r="NH23" i="5"/>
  <c r="MR23" i="5"/>
  <c r="MB23" i="5"/>
  <c r="LL23" i="5"/>
  <c r="KV23" i="5"/>
  <c r="KF23" i="5"/>
  <c r="JP23" i="5"/>
  <c r="IZ23" i="5"/>
  <c r="IJ23" i="5"/>
  <c r="HT23" i="5"/>
  <c r="HD23" i="5"/>
  <c r="GN23" i="5"/>
  <c r="FX23" i="5"/>
  <c r="FH23" i="5"/>
  <c r="ER23" i="5"/>
  <c r="EB23" i="5"/>
  <c r="DL23" i="5"/>
  <c r="CV23" i="5"/>
  <c r="CF23" i="5"/>
  <c r="BP23" i="5"/>
  <c r="AZ23" i="5"/>
  <c r="AJ23" i="5"/>
  <c r="T23" i="5"/>
  <c r="D23" i="5"/>
  <c r="ALV22" i="5"/>
  <c r="ALF22" i="5"/>
  <c r="AKP22" i="5"/>
  <c r="AJZ22" i="5"/>
  <c r="AJJ22" i="5"/>
  <c r="AIT22" i="5"/>
  <c r="AID22" i="5"/>
  <c r="AHN22" i="5"/>
  <c r="AGX22" i="5"/>
  <c r="AGH22" i="5"/>
  <c r="AFR22" i="5"/>
  <c r="AFB22" i="5"/>
  <c r="AEL22" i="5"/>
  <c r="ADV22" i="5"/>
  <c r="ADF22" i="5"/>
  <c r="ACP22" i="5"/>
  <c r="ABZ22" i="5"/>
  <c r="ABJ22" i="5"/>
  <c r="AAT22" i="5"/>
  <c r="AAD22" i="5"/>
  <c r="ZN22" i="5"/>
  <c r="YX22" i="5"/>
  <c r="YH22" i="5"/>
  <c r="XR22" i="5"/>
  <c r="XB22" i="5"/>
  <c r="WL22" i="5"/>
  <c r="VV22" i="5"/>
  <c r="VF22" i="5"/>
  <c r="UP22" i="5"/>
  <c r="TZ22" i="5"/>
  <c r="TJ22" i="5"/>
  <c r="ST22" i="5"/>
  <c r="SD22" i="5"/>
  <c r="RN22" i="5"/>
  <c r="QX22" i="5"/>
  <c r="QH22" i="5"/>
  <c r="PR22" i="5"/>
  <c r="PB22" i="5"/>
  <c r="OL22" i="5"/>
  <c r="NV22" i="5"/>
  <c r="NF22" i="5"/>
  <c r="MP22" i="5"/>
  <c r="LZ22" i="5"/>
  <c r="LJ22" i="5"/>
  <c r="KT22" i="5"/>
  <c r="KD22" i="5"/>
  <c r="JN22" i="5"/>
  <c r="IX22" i="5"/>
  <c r="IH22" i="5"/>
  <c r="HR22" i="5"/>
  <c r="HB22" i="5"/>
  <c r="GL22" i="5"/>
  <c r="FV22" i="5"/>
  <c r="FF22" i="5"/>
  <c r="EP22" i="5"/>
  <c r="DZ22" i="5"/>
  <c r="DJ22" i="5"/>
  <c r="CT22" i="5"/>
  <c r="CD22" i="5"/>
  <c r="BN22" i="5"/>
  <c r="AX22" i="5"/>
  <c r="AH22" i="5"/>
  <c r="R22" i="5"/>
  <c r="B22" i="5"/>
  <c r="ALT21" i="5"/>
  <c r="ALD21" i="5"/>
  <c r="AKN21" i="5"/>
  <c r="AJX21" i="5"/>
  <c r="AJH21" i="5"/>
  <c r="AIR21" i="5"/>
  <c r="AIB21" i="5"/>
  <c r="AHL21" i="5"/>
  <c r="AGV21" i="5"/>
  <c r="AGF21" i="5"/>
  <c r="AFP21" i="5"/>
  <c r="AEZ21" i="5"/>
  <c r="AEJ21" i="5"/>
  <c r="ADT21" i="5"/>
  <c r="ADD21" i="5"/>
  <c r="ACN21" i="5"/>
  <c r="ABX21" i="5"/>
  <c r="ABH21" i="5"/>
  <c r="AAR21" i="5"/>
  <c r="AAB21" i="5"/>
  <c r="ZL21" i="5"/>
  <c r="YV21" i="5"/>
  <c r="YF21" i="5"/>
  <c r="XP21" i="5"/>
  <c r="WZ21" i="5"/>
  <c r="WJ21" i="5"/>
  <c r="VT21" i="5"/>
  <c r="VD21" i="5"/>
  <c r="UN21" i="5"/>
  <c r="TX21" i="5"/>
  <c r="TH21" i="5"/>
  <c r="ZO25" i="5"/>
  <c r="VH25" i="5"/>
  <c r="SK25" i="5"/>
  <c r="PY25" i="5"/>
  <c r="NM25" i="5"/>
  <c r="LC25" i="5"/>
  <c r="JG25" i="5"/>
  <c r="HX25" i="5"/>
  <c r="GO25" i="5"/>
  <c r="FG25" i="5"/>
  <c r="DQ25" i="5"/>
  <c r="CK25" i="5"/>
  <c r="BE25" i="5"/>
  <c r="Y25" i="5"/>
  <c r="AMA24" i="5"/>
  <c r="AKV24" i="5"/>
  <c r="AJY24" i="5"/>
  <c r="AIU24" i="5"/>
  <c r="AHQ24" i="5"/>
  <c r="AGM24" i="5"/>
  <c r="AFI24" i="5"/>
  <c r="AEL24" i="5"/>
  <c r="ADH24" i="5"/>
  <c r="ACD24" i="5"/>
  <c r="AAZ24" i="5"/>
  <c r="AAC24" i="5"/>
  <c r="YY24" i="5"/>
  <c r="XU24" i="5"/>
  <c r="WS24" i="5"/>
  <c r="VW24" i="5"/>
  <c r="UW24" i="5"/>
  <c r="UB24" i="5"/>
  <c r="TB24" i="5"/>
  <c r="SG24" i="5"/>
  <c r="RH24" i="5"/>
  <c r="QM24" i="5"/>
  <c r="PS24" i="5"/>
  <c r="OW24" i="5"/>
  <c r="OD24" i="5"/>
  <c r="NK24" i="5"/>
  <c r="MR24" i="5"/>
  <c r="LY24" i="5"/>
  <c r="LC24" i="5"/>
  <c r="KJ24" i="5"/>
  <c r="JS24" i="5"/>
  <c r="JB24" i="5"/>
  <c r="IK24" i="5"/>
  <c r="HU24" i="5"/>
  <c r="HE24" i="5"/>
  <c r="GO24" i="5"/>
  <c r="FY24" i="5"/>
  <c r="FI24" i="5"/>
  <c r="ES24" i="5"/>
  <c r="EC24" i="5"/>
  <c r="DM24" i="5"/>
  <c r="CW24" i="5"/>
  <c r="CG24" i="5"/>
  <c r="BQ24" i="5"/>
  <c r="BA24" i="5"/>
  <c r="AK24" i="5"/>
  <c r="U24" i="5"/>
  <c r="E24" i="5"/>
  <c r="ALW23" i="5"/>
  <c r="ALG23" i="5"/>
  <c r="AKQ23" i="5"/>
  <c r="AKA23" i="5"/>
  <c r="AJK23" i="5"/>
  <c r="AIU23" i="5"/>
  <c r="AIE23" i="5"/>
  <c r="AHO23" i="5"/>
  <c r="AGY23" i="5"/>
  <c r="AGI23" i="5"/>
  <c r="AFS23" i="5"/>
  <c r="AFC23" i="5"/>
  <c r="AEM23" i="5"/>
  <c r="ADW23" i="5"/>
  <c r="ADG23" i="5"/>
  <c r="ACQ23" i="5"/>
  <c r="ACA23" i="5"/>
  <c r="ABK23" i="5"/>
  <c r="AAU23" i="5"/>
  <c r="AAE23" i="5"/>
  <c r="ZO23" i="5"/>
  <c r="YY23" i="5"/>
  <c r="YI23" i="5"/>
  <c r="XS23" i="5"/>
  <c r="XC23" i="5"/>
  <c r="WM23" i="5"/>
  <c r="VW23" i="5"/>
  <c r="VG23" i="5"/>
  <c r="UQ23" i="5"/>
  <c r="UA23" i="5"/>
  <c r="TK23" i="5"/>
  <c r="SU23" i="5"/>
  <c r="SE23" i="5"/>
  <c r="RO23" i="5"/>
  <c r="QY23" i="5"/>
  <c r="QI23" i="5"/>
  <c r="PS23" i="5"/>
  <c r="PC23" i="5"/>
  <c r="OM23" i="5"/>
  <c r="NW23" i="5"/>
  <c r="NG23" i="5"/>
  <c r="MQ23" i="5"/>
  <c r="MA23" i="5"/>
  <c r="LK23" i="5"/>
  <c r="KU23" i="5"/>
  <c r="KE23" i="5"/>
  <c r="JO23" i="5"/>
  <c r="IY23" i="5"/>
  <c r="II23" i="5"/>
  <c r="HS23" i="5"/>
  <c r="HC23" i="5"/>
  <c r="GM23" i="5"/>
  <c r="FW23" i="5"/>
  <c r="FG23" i="5"/>
  <c r="EQ23" i="5"/>
  <c r="EA23" i="5"/>
  <c r="DK23" i="5"/>
  <c r="CU23" i="5"/>
  <c r="CE23" i="5"/>
  <c r="BO23" i="5"/>
  <c r="AY23" i="5"/>
  <c r="AI23" i="5"/>
  <c r="S23" i="5"/>
  <c r="C23" i="5"/>
  <c r="ALU22" i="5"/>
  <c r="ALE22" i="5"/>
  <c r="AKO22" i="5"/>
  <c r="AJY22" i="5"/>
  <c r="AJI22" i="5"/>
  <c r="AIS22" i="5"/>
  <c r="AIC22" i="5"/>
  <c r="AHM22" i="5"/>
  <c r="AGW22" i="5"/>
  <c r="AGG22" i="5"/>
  <c r="AFQ22" i="5"/>
  <c r="AFA22" i="5"/>
  <c r="AEK22" i="5"/>
  <c r="ADU22" i="5"/>
  <c r="ADE22" i="5"/>
  <c r="ACO22" i="5"/>
  <c r="ABY22" i="5"/>
  <c r="ABI22" i="5"/>
  <c r="AAS22" i="5"/>
  <c r="AAC22" i="5"/>
  <c r="ZM22" i="5"/>
  <c r="YW22" i="5"/>
  <c r="YG22" i="5"/>
  <c r="XQ22" i="5"/>
  <c r="XA22" i="5"/>
  <c r="WK22" i="5"/>
  <c r="VU22" i="5"/>
  <c r="VE22" i="5"/>
  <c r="UO22" i="5"/>
  <c r="TY22" i="5"/>
  <c r="TI22" i="5"/>
  <c r="SS22" i="5"/>
  <c r="SC22" i="5"/>
  <c r="RM22" i="5"/>
  <c r="QW22" i="5"/>
  <c r="QG22" i="5"/>
  <c r="PQ22" i="5"/>
  <c r="PA22" i="5"/>
  <c r="OK22" i="5"/>
  <c r="NU22" i="5"/>
  <c r="NE22" i="5"/>
  <c r="MO22" i="5"/>
  <c r="LY22" i="5"/>
  <c r="LI22" i="5"/>
  <c r="KS22" i="5"/>
  <c r="KC22" i="5"/>
  <c r="JM22" i="5"/>
  <c r="IW22" i="5"/>
  <c r="IG22" i="5"/>
  <c r="HQ22" i="5"/>
  <c r="HA22" i="5"/>
  <c r="GK22" i="5"/>
  <c r="FU22" i="5"/>
  <c r="FE22" i="5"/>
  <c r="EO22" i="5"/>
  <c r="DY22" i="5"/>
  <c r="DI22" i="5"/>
  <c r="CS22" i="5"/>
  <c r="CC22" i="5"/>
  <c r="BM22" i="5"/>
  <c r="AW22" i="5"/>
  <c r="AG22" i="5"/>
  <c r="Q22" i="5"/>
  <c r="A22" i="5"/>
  <c r="ALS21" i="5"/>
  <c r="ALC21" i="5"/>
  <c r="AKM21" i="5"/>
  <c r="AJW21" i="5"/>
  <c r="AJG21" i="5"/>
  <c r="AIQ21" i="5"/>
  <c r="AIA21" i="5"/>
  <c r="AHK21" i="5"/>
  <c r="AGU21" i="5"/>
  <c r="AGE21" i="5"/>
  <c r="AFO21" i="5"/>
  <c r="AEY21" i="5"/>
  <c r="AEI21" i="5"/>
  <c r="ADS21" i="5"/>
  <c r="ADC21" i="5"/>
  <c r="ACM21" i="5"/>
  <c r="ABW21" i="5"/>
  <c r="YY25" i="5"/>
  <c r="VG25" i="5"/>
  <c r="SG25" i="5"/>
  <c r="PU25" i="5"/>
  <c r="NI25" i="5"/>
  <c r="LA25" i="5"/>
  <c r="JE25" i="5"/>
  <c r="HW25" i="5"/>
  <c r="GN25" i="5"/>
  <c r="EY25" i="5"/>
  <c r="DP25" i="5"/>
  <c r="CJ25" i="5"/>
  <c r="BD25" i="5"/>
  <c r="X25" i="5"/>
  <c r="ALZ24" i="5"/>
  <c r="AKU24" i="5"/>
  <c r="AJQ24" i="5"/>
  <c r="AIT24" i="5"/>
  <c r="AHP24" i="5"/>
  <c r="AGL24" i="5"/>
  <c r="AFH24" i="5"/>
  <c r="AEK24" i="5"/>
  <c r="ADG24" i="5"/>
  <c r="ACC24" i="5"/>
  <c r="AAY24" i="5"/>
  <c r="ZU24" i="5"/>
  <c r="YX24" i="5"/>
  <c r="XT24" i="5"/>
  <c r="WR24" i="5"/>
  <c r="VV24" i="5"/>
  <c r="UV24" i="5"/>
  <c r="UA24" i="5"/>
  <c r="TA24" i="5"/>
  <c r="SF24" i="5"/>
  <c r="RF24" i="5"/>
  <c r="QL24" i="5"/>
  <c r="PR24" i="5"/>
  <c r="OV24" i="5"/>
  <c r="OC24" i="5"/>
  <c r="NJ24" i="5"/>
  <c r="MQ24" i="5"/>
  <c r="LU24" i="5"/>
  <c r="LB24" i="5"/>
  <c r="KI24" i="5"/>
  <c r="JR24" i="5"/>
  <c r="JA24" i="5"/>
  <c r="IJ24" i="5"/>
  <c r="HT24" i="5"/>
  <c r="HD24" i="5"/>
  <c r="GN24" i="5"/>
  <c r="FX24" i="5"/>
  <c r="FH24" i="5"/>
  <c r="ER24" i="5"/>
  <c r="EB24" i="5"/>
  <c r="DL24" i="5"/>
  <c r="CV24" i="5"/>
  <c r="CF24" i="5"/>
  <c r="BP24" i="5"/>
  <c r="AZ24" i="5"/>
  <c r="AJ24" i="5"/>
  <c r="T24" i="5"/>
  <c r="D24" i="5"/>
  <c r="ALV23" i="5"/>
  <c r="ALF23" i="5"/>
  <c r="AKP23" i="5"/>
  <c r="AJZ23" i="5"/>
  <c r="AJJ23" i="5"/>
  <c r="AIT23" i="5"/>
  <c r="AID23" i="5"/>
  <c r="AHN23" i="5"/>
  <c r="AGX23" i="5"/>
  <c r="AGH23" i="5"/>
  <c r="AFR23" i="5"/>
  <c r="AFB23" i="5"/>
  <c r="AEL23" i="5"/>
  <c r="ADV23" i="5"/>
  <c r="ADF23" i="5"/>
  <c r="ACP23" i="5"/>
  <c r="ABZ23" i="5"/>
  <c r="ABJ23" i="5"/>
  <c r="AAT23" i="5"/>
  <c r="AAD23" i="5"/>
  <c r="ZN23" i="5"/>
  <c r="YX23" i="5"/>
  <c r="YH23" i="5"/>
  <c r="XR23" i="5"/>
  <c r="XB23" i="5"/>
  <c r="WL23" i="5"/>
  <c r="VV23" i="5"/>
  <c r="VF23" i="5"/>
  <c r="UP23" i="5"/>
  <c r="TZ23" i="5"/>
  <c r="TJ23" i="5"/>
  <c r="ST23" i="5"/>
  <c r="SD23" i="5"/>
  <c r="RN23" i="5"/>
  <c r="QX23" i="5"/>
  <c r="QH23" i="5"/>
  <c r="PR23" i="5"/>
  <c r="PB23" i="5"/>
  <c r="OL23" i="5"/>
  <c r="NV23" i="5"/>
  <c r="NF23" i="5"/>
  <c r="MP23" i="5"/>
  <c r="LZ23" i="5"/>
  <c r="LJ23" i="5"/>
  <c r="KT23" i="5"/>
  <c r="KD23" i="5"/>
  <c r="JN23" i="5"/>
  <c r="IX23" i="5"/>
  <c r="IH23" i="5"/>
  <c r="HR23" i="5"/>
  <c r="HB23" i="5"/>
  <c r="GL23" i="5"/>
  <c r="FV23" i="5"/>
  <c r="FF23" i="5"/>
  <c r="EP23" i="5"/>
  <c r="DZ23" i="5"/>
  <c r="DJ23" i="5"/>
  <c r="CT23" i="5"/>
  <c r="CD23" i="5"/>
  <c r="BN23" i="5"/>
  <c r="AX23" i="5"/>
  <c r="AH23" i="5"/>
  <c r="R23" i="5"/>
  <c r="B23" i="5"/>
  <c r="ALT22" i="5"/>
  <c r="ALD22" i="5"/>
  <c r="AKN22" i="5"/>
  <c r="AJX22" i="5"/>
  <c r="AJH22" i="5"/>
  <c r="AIR22" i="5"/>
  <c r="AIB22" i="5"/>
  <c r="AHL22" i="5"/>
  <c r="AGV22" i="5"/>
  <c r="AGF22" i="5"/>
  <c r="AFP22" i="5"/>
  <c r="AEZ22" i="5"/>
  <c r="AEJ22" i="5"/>
  <c r="ADT22" i="5"/>
  <c r="ADD22" i="5"/>
  <c r="ACN22" i="5"/>
  <c r="ABX22" i="5"/>
  <c r="ABH22" i="5"/>
  <c r="AAR22" i="5"/>
  <c r="AAB22" i="5"/>
  <c r="ZL22" i="5"/>
  <c r="YV22" i="5"/>
  <c r="YF22" i="5"/>
  <c r="XP22" i="5"/>
  <c r="WZ22" i="5"/>
  <c r="WJ22" i="5"/>
  <c r="VT22" i="5"/>
  <c r="VD22" i="5"/>
  <c r="UN22" i="5"/>
  <c r="TX22" i="5"/>
  <c r="TH22" i="5"/>
  <c r="SR22" i="5"/>
  <c r="SB22" i="5"/>
  <c r="RL22" i="5"/>
  <c r="QV22" i="5"/>
  <c r="QF22" i="5"/>
  <c r="PP22" i="5"/>
  <c r="OZ22" i="5"/>
  <c r="OJ22" i="5"/>
  <c r="NT22" i="5"/>
  <c r="ND22" i="5"/>
  <c r="MN22" i="5"/>
  <c r="LX22" i="5"/>
  <c r="LH22" i="5"/>
  <c r="KR22" i="5"/>
  <c r="KB22" i="5"/>
  <c r="JL22" i="5"/>
  <c r="IV22" i="5"/>
  <c r="IF22" i="5"/>
  <c r="HP22" i="5"/>
  <c r="GZ22" i="5"/>
  <c r="GJ22" i="5"/>
  <c r="FT22" i="5"/>
  <c r="FD22" i="5"/>
  <c r="EN22" i="5"/>
  <c r="DX22" i="5"/>
  <c r="DH22" i="5"/>
  <c r="CR22" i="5"/>
  <c r="CB22" i="5"/>
  <c r="BL22" i="5"/>
  <c r="AV22" i="5"/>
  <c r="AF22" i="5"/>
  <c r="P22" i="5"/>
  <c r="AMH21" i="5"/>
  <c r="ALR21" i="5"/>
  <c r="ALB21" i="5"/>
  <c r="AKL21" i="5"/>
  <c r="AJV21" i="5"/>
  <c r="AJF21" i="5"/>
  <c r="AIP21" i="5"/>
  <c r="AHZ21" i="5"/>
  <c r="AHJ21" i="5"/>
  <c r="AGT21" i="5"/>
  <c r="AGD21" i="5"/>
  <c r="AFN21" i="5"/>
  <c r="AEX21" i="5"/>
  <c r="AEH21" i="5"/>
  <c r="ADR21" i="5"/>
  <c r="ADB21" i="5"/>
  <c r="ACL21" i="5"/>
  <c r="ABV21" i="5"/>
  <c r="ABF21" i="5"/>
  <c r="AAP21" i="5"/>
  <c r="ZZ21" i="5"/>
  <c r="ZJ21" i="5"/>
  <c r="YT21" i="5"/>
  <c r="YD21" i="5"/>
  <c r="XN21" i="5"/>
  <c r="YO25" i="5"/>
  <c r="UW25" i="5"/>
  <c r="SF25" i="5"/>
  <c r="PT25" i="5"/>
  <c r="NH25" i="5"/>
  <c r="KW25" i="5"/>
  <c r="JD25" i="5"/>
  <c r="HU25" i="5"/>
  <c r="GM25" i="5"/>
  <c r="EW25" i="5"/>
  <c r="DO25" i="5"/>
  <c r="CI25" i="5"/>
  <c r="BC25" i="5"/>
  <c r="W25" i="5"/>
  <c r="ALY24" i="5"/>
  <c r="AKT24" i="5"/>
  <c r="AJP24" i="5"/>
  <c r="AIS24" i="5"/>
  <c r="AHO24" i="5"/>
  <c r="AGK24" i="5"/>
  <c r="AFG24" i="5"/>
  <c r="AEC24" i="5"/>
  <c r="ADF24" i="5"/>
  <c r="ACB24" i="5"/>
  <c r="AAX24" i="5"/>
  <c r="ZT24" i="5"/>
  <c r="YW24" i="5"/>
  <c r="XS24" i="5"/>
  <c r="WQ24" i="5"/>
  <c r="VU24" i="5"/>
  <c r="UU24" i="5"/>
  <c r="TZ24" i="5"/>
  <c r="SZ24" i="5"/>
  <c r="SE24" i="5"/>
  <c r="RE24" i="5"/>
  <c r="QK24" i="5"/>
  <c r="PQ24" i="5"/>
  <c r="OU24" i="5"/>
  <c r="OB24" i="5"/>
  <c r="NI24" i="5"/>
  <c r="MP24" i="5"/>
  <c r="LT24" i="5"/>
  <c r="LA24" i="5"/>
  <c r="KH24" i="5"/>
  <c r="JQ24" i="5"/>
  <c r="IZ24" i="5"/>
  <c r="II24" i="5"/>
  <c r="HS24" i="5"/>
  <c r="HC24" i="5"/>
  <c r="GM24" i="5"/>
  <c r="FW24" i="5"/>
  <c r="FG24" i="5"/>
  <c r="EQ24" i="5"/>
  <c r="EA24" i="5"/>
  <c r="DK24" i="5"/>
  <c r="CU24" i="5"/>
  <c r="CE24" i="5"/>
  <c r="BO24" i="5"/>
  <c r="AY24" i="5"/>
  <c r="AI24" i="5"/>
  <c r="S24" i="5"/>
  <c r="C24" i="5"/>
  <c r="ALU23" i="5"/>
  <c r="ALE23" i="5"/>
  <c r="AKO23" i="5"/>
  <c r="AJY23" i="5"/>
  <c r="AJI23" i="5"/>
  <c r="AIS23" i="5"/>
  <c r="AIC23" i="5"/>
  <c r="AHM23" i="5"/>
  <c r="AGW23" i="5"/>
  <c r="AGG23" i="5"/>
  <c r="AFQ23" i="5"/>
  <c r="AFA23" i="5"/>
  <c r="AEK23" i="5"/>
  <c r="ADU23" i="5"/>
  <c r="ADE23" i="5"/>
  <c r="ACO23" i="5"/>
  <c r="ABY23" i="5"/>
  <c r="ABI23" i="5"/>
  <c r="AAS23" i="5"/>
  <c r="AAC23" i="5"/>
  <c r="ZM23" i="5"/>
  <c r="YW23" i="5"/>
  <c r="YG23" i="5"/>
  <c r="XQ23" i="5"/>
  <c r="XA23" i="5"/>
  <c r="WK23" i="5"/>
  <c r="VU23" i="5"/>
  <c r="VE23" i="5"/>
  <c r="UO23" i="5"/>
  <c r="TY23" i="5"/>
  <c r="TI23" i="5"/>
  <c r="SS23" i="5"/>
  <c r="SC23" i="5"/>
  <c r="RM23" i="5"/>
  <c r="QW23" i="5"/>
  <c r="QG23" i="5"/>
  <c r="PQ23" i="5"/>
  <c r="PA23" i="5"/>
  <c r="OK23" i="5"/>
  <c r="NU23" i="5"/>
  <c r="NE23" i="5"/>
  <c r="MO23" i="5"/>
  <c r="LY23" i="5"/>
  <c r="LI23" i="5"/>
  <c r="KS23" i="5"/>
  <c r="KC23" i="5"/>
  <c r="JM23" i="5"/>
  <c r="IW23" i="5"/>
  <c r="IG23" i="5"/>
  <c r="HQ23" i="5"/>
  <c r="HA23" i="5"/>
  <c r="GK23" i="5"/>
  <c r="FU23" i="5"/>
  <c r="FE23" i="5"/>
  <c r="EO23" i="5"/>
  <c r="DY23" i="5"/>
  <c r="DI23" i="5"/>
  <c r="CS23" i="5"/>
  <c r="CC23" i="5"/>
  <c r="BM23" i="5"/>
  <c r="AW23" i="5"/>
  <c r="AG23" i="5"/>
  <c r="Q23" i="5"/>
  <c r="A23" i="5"/>
  <c r="ALS22" i="5"/>
  <c r="ALC22" i="5"/>
  <c r="AKM22" i="5"/>
  <c r="AJW22" i="5"/>
  <c r="AJG22" i="5"/>
  <c r="AIQ22" i="5"/>
  <c r="AIA22" i="5"/>
  <c r="AHK22" i="5"/>
  <c r="AGU22" i="5"/>
  <c r="AGE22" i="5"/>
  <c r="AFO22" i="5"/>
  <c r="AEY22" i="5"/>
  <c r="AEI22" i="5"/>
  <c r="ADS22" i="5"/>
  <c r="ADC22" i="5"/>
  <c r="ACM22" i="5"/>
  <c r="ABW22" i="5"/>
  <c r="ABG22" i="5"/>
  <c r="AAQ22" i="5"/>
  <c r="AAA22" i="5"/>
  <c r="ZK22" i="5"/>
  <c r="YU22" i="5"/>
  <c r="YE22" i="5"/>
  <c r="XO22" i="5"/>
  <c r="WY22" i="5"/>
  <c r="WI22" i="5"/>
  <c r="VS22" i="5"/>
  <c r="VC22" i="5"/>
  <c r="UM22" i="5"/>
  <c r="TW22" i="5"/>
  <c r="TG22" i="5"/>
  <c r="SQ22" i="5"/>
  <c r="SA22" i="5"/>
  <c r="RK22" i="5"/>
  <c r="QU22" i="5"/>
  <c r="QE22" i="5"/>
  <c r="PO22" i="5"/>
  <c r="OY22" i="5"/>
  <c r="OI22" i="5"/>
  <c r="NS22" i="5"/>
  <c r="NC22" i="5"/>
  <c r="MM22" i="5"/>
  <c r="LW22" i="5"/>
  <c r="LG22" i="5"/>
  <c r="KQ22" i="5"/>
  <c r="KA22" i="5"/>
  <c r="JK22" i="5"/>
  <c r="IU22" i="5"/>
  <c r="IE22" i="5"/>
  <c r="HO22" i="5"/>
  <c r="GY22" i="5"/>
  <c r="GI22" i="5"/>
  <c r="FS22" i="5"/>
  <c r="FC22" i="5"/>
  <c r="EM22" i="5"/>
  <c r="DW22" i="5"/>
  <c r="DG22" i="5"/>
  <c r="CQ22" i="5"/>
  <c r="CA22" i="5"/>
  <c r="BK22" i="5"/>
  <c r="AU22" i="5"/>
  <c r="AE22" i="5"/>
  <c r="O22" i="5"/>
  <c r="AMG21" i="5"/>
  <c r="ALQ21" i="5"/>
  <c r="ALA21" i="5"/>
  <c r="AKK21" i="5"/>
  <c r="AJU21" i="5"/>
  <c r="AJE21" i="5"/>
  <c r="AIO21" i="5"/>
  <c r="AHY21" i="5"/>
  <c r="AHI21" i="5"/>
  <c r="AGS21" i="5"/>
  <c r="AGC21" i="5"/>
  <c r="AFM21" i="5"/>
  <c r="AEW21" i="5"/>
  <c r="YI25" i="5"/>
  <c r="UR25" i="5"/>
  <c r="SE25" i="5"/>
  <c r="PS25" i="5"/>
  <c r="NG25" i="5"/>
  <c r="KV25" i="5"/>
  <c r="JC25" i="5"/>
  <c r="HT25" i="5"/>
  <c r="GE25" i="5"/>
  <c r="EV25" i="5"/>
  <c r="DN25" i="5"/>
  <c r="CH25" i="5"/>
  <c r="BB25" i="5"/>
  <c r="V25" i="5"/>
  <c r="ALX24" i="5"/>
  <c r="AKS24" i="5"/>
  <c r="AJO24" i="5"/>
  <c r="AIK24" i="5"/>
  <c r="AHN24" i="5"/>
  <c r="AGJ24" i="5"/>
  <c r="AFF24" i="5"/>
  <c r="AEB24" i="5"/>
  <c r="ADE24" i="5"/>
  <c r="ACA24" i="5"/>
  <c r="AAW24" i="5"/>
  <c r="ZS24" i="5"/>
  <c r="YO24" i="5"/>
  <c r="XR24" i="5"/>
  <c r="WP24" i="5"/>
  <c r="VP24" i="5"/>
  <c r="UT24" i="5"/>
  <c r="TY24" i="5"/>
  <c r="SY24" i="5"/>
  <c r="SD24" i="5"/>
  <c r="RD24" i="5"/>
  <c r="QJ24" i="5"/>
  <c r="PM24" i="5"/>
  <c r="OT24" i="5"/>
  <c r="OA24" i="5"/>
  <c r="NH24" i="5"/>
  <c r="MO24" i="5"/>
  <c r="LS24" i="5"/>
  <c r="KZ24" i="5"/>
  <c r="KG24" i="5"/>
  <c r="JP24" i="5"/>
  <c r="IY24" i="5"/>
  <c r="IH24" i="5"/>
  <c r="HR24" i="5"/>
  <c r="HB24" i="5"/>
  <c r="GL24" i="5"/>
  <c r="FV24" i="5"/>
  <c r="FF24" i="5"/>
  <c r="EP24" i="5"/>
  <c r="DZ24" i="5"/>
  <c r="DJ24" i="5"/>
  <c r="CT24" i="5"/>
  <c r="CD24" i="5"/>
  <c r="BN24" i="5"/>
  <c r="AX24" i="5"/>
  <c r="AH24" i="5"/>
  <c r="R24" i="5"/>
  <c r="B24" i="5"/>
  <c r="ALT23" i="5"/>
  <c r="ALD23" i="5"/>
  <c r="AKN23" i="5"/>
  <c r="AJX23" i="5"/>
  <c r="AJH23" i="5"/>
  <c r="AIR23" i="5"/>
  <c r="AIB23" i="5"/>
  <c r="AHL23" i="5"/>
  <c r="AGV23" i="5"/>
  <c r="AGF23" i="5"/>
  <c r="AFP23" i="5"/>
  <c r="AEZ23" i="5"/>
  <c r="AEJ23" i="5"/>
  <c r="ADT23" i="5"/>
  <c r="ADD23" i="5"/>
  <c r="ACN23" i="5"/>
  <c r="ABX23" i="5"/>
  <c r="ABH23" i="5"/>
  <c r="AAR23" i="5"/>
  <c r="AAB23" i="5"/>
  <c r="ZL23" i="5"/>
  <c r="YV23" i="5"/>
  <c r="YF23" i="5"/>
  <c r="XP23" i="5"/>
  <c r="WZ23" i="5"/>
  <c r="WJ23" i="5"/>
  <c r="VT23" i="5"/>
  <c r="VD23" i="5"/>
  <c r="UN23" i="5"/>
  <c r="TX23" i="5"/>
  <c r="TH23" i="5"/>
  <c r="SR23" i="5"/>
  <c r="SB23" i="5"/>
  <c r="RL23" i="5"/>
  <c r="QV23" i="5"/>
  <c r="QF23" i="5"/>
  <c r="PP23" i="5"/>
  <c r="OZ23" i="5"/>
  <c r="OJ23" i="5"/>
  <c r="NT23" i="5"/>
  <c r="ND23" i="5"/>
  <c r="MN23" i="5"/>
  <c r="LX23" i="5"/>
  <c r="LH23" i="5"/>
  <c r="KR23" i="5"/>
  <c r="KB23" i="5"/>
  <c r="JL23" i="5"/>
  <c r="IV23" i="5"/>
  <c r="IF23" i="5"/>
  <c r="HP23" i="5"/>
  <c r="GZ23" i="5"/>
  <c r="GJ23" i="5"/>
  <c r="FT23" i="5"/>
  <c r="FD23" i="5"/>
  <c r="EN23" i="5"/>
  <c r="DX23" i="5"/>
  <c r="DH23" i="5"/>
  <c r="CR23" i="5"/>
  <c r="CB23" i="5"/>
  <c r="BL23" i="5"/>
  <c r="AV23" i="5"/>
  <c r="AF23" i="5"/>
  <c r="P23" i="5"/>
  <c r="AMH22" i="5"/>
  <c r="ALR22" i="5"/>
  <c r="ALB22" i="5"/>
  <c r="AKL22" i="5"/>
  <c r="AJV22" i="5"/>
  <c r="AJF22" i="5"/>
  <c r="AIP22" i="5"/>
  <c r="AHZ22" i="5"/>
  <c r="AHJ22" i="5"/>
  <c r="AGT22" i="5"/>
  <c r="AGD22" i="5"/>
  <c r="AFN22" i="5"/>
  <c r="AEX22" i="5"/>
  <c r="AEH22" i="5"/>
  <c r="ADR22" i="5"/>
  <c r="ADB22" i="5"/>
  <c r="ACL22" i="5"/>
  <c r="ABV22" i="5"/>
  <c r="ABF22" i="5"/>
  <c r="AAP22" i="5"/>
  <c r="ZZ22" i="5"/>
  <c r="ZJ22" i="5"/>
  <c r="YT22" i="5"/>
  <c r="YD22" i="5"/>
  <c r="XN22" i="5"/>
  <c r="WX22" i="5"/>
  <c r="WH22" i="5"/>
  <c r="VR22" i="5"/>
  <c r="VB22" i="5"/>
  <c r="UL22" i="5"/>
  <c r="TV22" i="5"/>
  <c r="TF22" i="5"/>
  <c r="SP22" i="5"/>
  <c r="RZ22" i="5"/>
  <c r="RJ22" i="5"/>
  <c r="QT22" i="5"/>
  <c r="QD22" i="5"/>
  <c r="PN22" i="5"/>
  <c r="OX22" i="5"/>
  <c r="OH22" i="5"/>
  <c r="NR22" i="5"/>
  <c r="NB22" i="5"/>
  <c r="ML22" i="5"/>
  <c r="LV22" i="5"/>
  <c r="LF22" i="5"/>
  <c r="KP22" i="5"/>
  <c r="JZ22" i="5"/>
  <c r="JJ22" i="5"/>
  <c r="IT22" i="5"/>
  <c r="ID22" i="5"/>
  <c r="HN22" i="5"/>
  <c r="GX22" i="5"/>
  <c r="GH22" i="5"/>
  <c r="FR22" i="5"/>
  <c r="FB22" i="5"/>
  <c r="EL22" i="5"/>
  <c r="DV22" i="5"/>
  <c r="DF22" i="5"/>
  <c r="CP22" i="5"/>
  <c r="BZ22" i="5"/>
  <c r="BJ22" i="5"/>
  <c r="AT22" i="5"/>
  <c r="AD22" i="5"/>
  <c r="N22" i="5"/>
  <c r="AMF21" i="5"/>
  <c r="ALP21" i="5"/>
  <c r="AKZ21" i="5"/>
  <c r="AKJ21" i="5"/>
  <c r="AJT21" i="5"/>
  <c r="AJD21" i="5"/>
  <c r="AIN21" i="5"/>
  <c r="AHX21" i="5"/>
  <c r="AHH21" i="5"/>
  <c r="XY25" i="5"/>
  <c r="UQ25" i="5"/>
  <c r="RU25" i="5"/>
  <c r="PI25" i="5"/>
  <c r="MW25" i="5"/>
  <c r="KU25" i="5"/>
  <c r="JA25" i="5"/>
  <c r="HS25" i="5"/>
  <c r="GC25" i="5"/>
  <c r="EU25" i="5"/>
  <c r="DM25" i="5"/>
  <c r="CG25" i="5"/>
  <c r="BA25" i="5"/>
  <c r="U25" i="5"/>
  <c r="ALW24" i="5"/>
  <c r="AKR24" i="5"/>
  <c r="AJN24" i="5"/>
  <c r="AIJ24" i="5"/>
  <c r="AHM24" i="5"/>
  <c r="AGI24" i="5"/>
  <c r="AFE24" i="5"/>
  <c r="AEA24" i="5"/>
  <c r="ACW24" i="5"/>
  <c r="ABZ24" i="5"/>
  <c r="AAV24" i="5"/>
  <c r="ZR24" i="5"/>
  <c r="YN24" i="5"/>
  <c r="XQ24" i="5"/>
  <c r="WO24" i="5"/>
  <c r="VN24" i="5"/>
  <c r="US24" i="5"/>
  <c r="TT24" i="5"/>
  <c r="SX24" i="5"/>
  <c r="SC24" i="5"/>
  <c r="RC24" i="5"/>
  <c r="QI24" i="5"/>
  <c r="PL24" i="5"/>
  <c r="OS24" i="5"/>
  <c r="NZ24" i="5"/>
  <c r="NG24" i="5"/>
  <c r="MK24" i="5"/>
  <c r="LR24" i="5"/>
  <c r="KY24" i="5"/>
  <c r="KF24" i="5"/>
  <c r="JO24" i="5"/>
  <c r="IX24" i="5"/>
  <c r="IG24" i="5"/>
  <c r="HQ24" i="5"/>
  <c r="HA24" i="5"/>
  <c r="GK24" i="5"/>
  <c r="FU24" i="5"/>
  <c r="FE24" i="5"/>
  <c r="EO24" i="5"/>
  <c r="DY24" i="5"/>
  <c r="DI24" i="5"/>
  <c r="CS24" i="5"/>
  <c r="CC24" i="5"/>
  <c r="BM24" i="5"/>
  <c r="AW24" i="5"/>
  <c r="AG24" i="5"/>
  <c r="Q24" i="5"/>
  <c r="A24" i="5"/>
  <c r="ALS23" i="5"/>
  <c r="ALC23" i="5"/>
  <c r="AKM23" i="5"/>
  <c r="AJW23" i="5"/>
  <c r="AJG23" i="5"/>
  <c r="AIQ23" i="5"/>
  <c r="AIA23" i="5"/>
  <c r="AHK23" i="5"/>
  <c r="AGU23" i="5"/>
  <c r="AGE23" i="5"/>
  <c r="AFO23" i="5"/>
  <c r="AEY23" i="5"/>
  <c r="AEI23" i="5"/>
  <c r="ADS23" i="5"/>
  <c r="ADC23" i="5"/>
  <c r="ACM23" i="5"/>
  <c r="ABW23" i="5"/>
  <c r="ABG23" i="5"/>
  <c r="AAQ23" i="5"/>
  <c r="AAA23" i="5"/>
  <c r="ZK23" i="5"/>
  <c r="YU23" i="5"/>
  <c r="YE23" i="5"/>
  <c r="XO23" i="5"/>
  <c r="WY23" i="5"/>
  <c r="WI23" i="5"/>
  <c r="VS23" i="5"/>
  <c r="VC23" i="5"/>
  <c r="UM23" i="5"/>
  <c r="TW23" i="5"/>
  <c r="TG23" i="5"/>
  <c r="SQ23" i="5"/>
  <c r="SA23" i="5"/>
  <c r="RK23" i="5"/>
  <c r="QU23" i="5"/>
  <c r="QE23" i="5"/>
  <c r="PO23" i="5"/>
  <c r="OY23" i="5"/>
  <c r="OI23" i="5"/>
  <c r="NS23" i="5"/>
  <c r="NC23" i="5"/>
  <c r="MM23" i="5"/>
  <c r="LW23" i="5"/>
  <c r="LG23" i="5"/>
  <c r="KQ23" i="5"/>
  <c r="KA23" i="5"/>
  <c r="JK23" i="5"/>
  <c r="IU23" i="5"/>
  <c r="IE23" i="5"/>
  <c r="HO23" i="5"/>
  <c r="GY23" i="5"/>
  <c r="GI23" i="5"/>
  <c r="FS23" i="5"/>
  <c r="FC23" i="5"/>
  <c r="EM23" i="5"/>
  <c r="DW23" i="5"/>
  <c r="DG23" i="5"/>
  <c r="CQ23" i="5"/>
  <c r="CA23" i="5"/>
  <c r="BK23" i="5"/>
  <c r="AU23" i="5"/>
  <c r="AE23" i="5"/>
  <c r="O23" i="5"/>
  <c r="AMG22" i="5"/>
  <c r="ALQ22" i="5"/>
  <c r="ALA22" i="5"/>
  <c r="AKK22" i="5"/>
  <c r="AJU22" i="5"/>
  <c r="AJE22" i="5"/>
  <c r="AIO22" i="5"/>
  <c r="AHY22" i="5"/>
  <c r="AHI22" i="5"/>
  <c r="AGS22" i="5"/>
  <c r="AGC22" i="5"/>
  <c r="AFM22" i="5"/>
  <c r="AEW22" i="5"/>
  <c r="AEG22" i="5"/>
  <c r="ADQ22" i="5"/>
  <c r="ADA22" i="5"/>
  <c r="ACK22" i="5"/>
  <c r="ABU22" i="5"/>
  <c r="ABE22" i="5"/>
  <c r="AAO22" i="5"/>
  <c r="ZY22" i="5"/>
  <c r="ZI22" i="5"/>
  <c r="YS22" i="5"/>
  <c r="XS25" i="5"/>
  <c r="UG25" i="5"/>
  <c r="RQ25" i="5"/>
  <c r="PE25" i="5"/>
  <c r="MS25" i="5"/>
  <c r="KM25" i="5"/>
  <c r="IZ25" i="5"/>
  <c r="HK25" i="5"/>
  <c r="GB25" i="5"/>
  <c r="ES25" i="5"/>
  <c r="DL25" i="5"/>
  <c r="CF25" i="5"/>
  <c r="AZ25" i="5"/>
  <c r="T25" i="5"/>
  <c r="ALV24" i="5"/>
  <c r="AKQ24" i="5"/>
  <c r="AJM24" i="5"/>
  <c r="AII24" i="5"/>
  <c r="AHE24" i="5"/>
  <c r="AGH24" i="5"/>
  <c r="AFD24" i="5"/>
  <c r="ADZ24" i="5"/>
  <c r="ACV24" i="5"/>
  <c r="ABY24" i="5"/>
  <c r="AAU24" i="5"/>
  <c r="ZQ24" i="5"/>
  <c r="YM24" i="5"/>
  <c r="XJ24" i="5"/>
  <c r="WN24" i="5"/>
  <c r="VM24" i="5"/>
  <c r="UR24" i="5"/>
  <c r="TR24" i="5"/>
  <c r="SW24" i="5"/>
  <c r="RX24" i="5"/>
  <c r="RB24" i="5"/>
  <c r="QH24" i="5"/>
  <c r="PK24" i="5"/>
  <c r="OR24" i="5"/>
  <c r="NY24" i="5"/>
  <c r="NF24" i="5"/>
  <c r="MJ24" i="5"/>
  <c r="LQ24" i="5"/>
  <c r="KX24" i="5"/>
  <c r="KE24" i="5"/>
  <c r="JN24" i="5"/>
  <c r="IW24" i="5"/>
  <c r="IF24" i="5"/>
  <c r="HP24" i="5"/>
  <c r="GZ24" i="5"/>
  <c r="GJ24" i="5"/>
  <c r="FT24" i="5"/>
  <c r="FD24" i="5"/>
  <c r="EN24" i="5"/>
  <c r="DX24" i="5"/>
  <c r="DH24" i="5"/>
  <c r="CR24" i="5"/>
  <c r="CB24" i="5"/>
  <c r="BL24" i="5"/>
  <c r="AV24" i="5"/>
  <c r="AF24" i="5"/>
  <c r="P24" i="5"/>
  <c r="AMH23" i="5"/>
  <c r="ALR23" i="5"/>
  <c r="ALB23" i="5"/>
  <c r="AKL23" i="5"/>
  <c r="AJV23" i="5"/>
  <c r="AJF23" i="5"/>
  <c r="AIP23" i="5"/>
  <c r="AHZ23" i="5"/>
  <c r="AHJ23" i="5"/>
  <c r="AGT23" i="5"/>
  <c r="AGD23" i="5"/>
  <c r="AFN23" i="5"/>
  <c r="AEX23" i="5"/>
  <c r="AEH23" i="5"/>
  <c r="ADR23" i="5"/>
  <c r="ADB23" i="5"/>
  <c r="ACL23" i="5"/>
  <c r="ABV23" i="5"/>
  <c r="ABF23" i="5"/>
  <c r="AAP23" i="5"/>
  <c r="ZZ23" i="5"/>
  <c r="ZJ23" i="5"/>
  <c r="YT23" i="5"/>
  <c r="YD23" i="5"/>
  <c r="XN23" i="5"/>
  <c r="WX23" i="5"/>
  <c r="WH23" i="5"/>
  <c r="VR23" i="5"/>
  <c r="VB23" i="5"/>
  <c r="UL23" i="5"/>
  <c r="TV23" i="5"/>
  <c r="TF23" i="5"/>
  <c r="SP23" i="5"/>
  <c r="RZ23" i="5"/>
  <c r="RJ23" i="5"/>
  <c r="QT23" i="5"/>
  <c r="QD23" i="5"/>
  <c r="PN23" i="5"/>
  <c r="OX23" i="5"/>
  <c r="OH23" i="5"/>
  <c r="NR23" i="5"/>
  <c r="NB23" i="5"/>
  <c r="ML23" i="5"/>
  <c r="LV23" i="5"/>
  <c r="LF23" i="5"/>
  <c r="KP23" i="5"/>
  <c r="JZ23" i="5"/>
  <c r="JJ23" i="5"/>
  <c r="IT23" i="5"/>
  <c r="ID23" i="5"/>
  <c r="HN23" i="5"/>
  <c r="GX23" i="5"/>
  <c r="GH23" i="5"/>
  <c r="FR23" i="5"/>
  <c r="FB23" i="5"/>
  <c r="EL23" i="5"/>
  <c r="DV23" i="5"/>
  <c r="DF23" i="5"/>
  <c r="CP23" i="5"/>
  <c r="BZ23" i="5"/>
  <c r="BJ23" i="5"/>
  <c r="AT23" i="5"/>
  <c r="AD23" i="5"/>
  <c r="N23" i="5"/>
  <c r="AMF22" i="5"/>
  <c r="ALP22" i="5"/>
  <c r="AKZ22" i="5"/>
  <c r="AKJ22" i="5"/>
  <c r="AJT22" i="5"/>
  <c r="AJD22" i="5"/>
  <c r="AIN22" i="5"/>
  <c r="AHX22" i="5"/>
  <c r="AHH22" i="5"/>
  <c r="AGR22" i="5"/>
  <c r="AGB22" i="5"/>
  <c r="AFL22" i="5"/>
  <c r="AEV22" i="5"/>
  <c r="AEF22" i="5"/>
  <c r="ADP22" i="5"/>
  <c r="ACZ22" i="5"/>
  <c r="ACJ22" i="5"/>
  <c r="XI25" i="5"/>
  <c r="UB25" i="5"/>
  <c r="RP25" i="5"/>
  <c r="PD25" i="5"/>
  <c r="MR25" i="5"/>
  <c r="KK25" i="5"/>
  <c r="IY25" i="5"/>
  <c r="HI25" i="5"/>
  <c r="GA25" i="5"/>
  <c r="ER25" i="5"/>
  <c r="DK25" i="5"/>
  <c r="CE25" i="5"/>
  <c r="AY25" i="5"/>
  <c r="S25" i="5"/>
  <c r="ALU24" i="5"/>
  <c r="AKP24" i="5"/>
  <c r="AJL24" i="5"/>
  <c r="AIH24" i="5"/>
  <c r="AHD24" i="5"/>
  <c r="AGG24" i="5"/>
  <c r="AFC24" i="5"/>
  <c r="ADY24" i="5"/>
  <c r="ACU24" i="5"/>
  <c r="ABQ24" i="5"/>
  <c r="AAT24" i="5"/>
  <c r="ZP24" i="5"/>
  <c r="YL24" i="5"/>
  <c r="XI24" i="5"/>
  <c r="WM24" i="5"/>
  <c r="VL24" i="5"/>
  <c r="UQ24" i="5"/>
  <c r="TQ24" i="5"/>
  <c r="SV24" i="5"/>
  <c r="RV24" i="5"/>
  <c r="RA24" i="5"/>
  <c r="QG24" i="5"/>
  <c r="PJ24" i="5"/>
  <c r="OQ24" i="5"/>
  <c r="NX24" i="5"/>
  <c r="NE24" i="5"/>
  <c r="MI24" i="5"/>
  <c r="LP24" i="5"/>
  <c r="KW24" i="5"/>
  <c r="KD24" i="5"/>
  <c r="JM24" i="5"/>
  <c r="IV24" i="5"/>
  <c r="IE24" i="5"/>
  <c r="HO24" i="5"/>
  <c r="GY24" i="5"/>
  <c r="GI24" i="5"/>
  <c r="FS24" i="5"/>
  <c r="FC24" i="5"/>
  <c r="EM24" i="5"/>
  <c r="DW24" i="5"/>
  <c r="DG24" i="5"/>
  <c r="CQ24" i="5"/>
  <c r="CA24" i="5"/>
  <c r="BK24" i="5"/>
  <c r="AU24" i="5"/>
  <c r="AE24" i="5"/>
  <c r="O24" i="5"/>
  <c r="AMG23" i="5"/>
  <c r="ALQ23" i="5"/>
  <c r="ALA23" i="5"/>
  <c r="AKK23" i="5"/>
  <c r="AJU23" i="5"/>
  <c r="AJE23" i="5"/>
  <c r="AIO23" i="5"/>
  <c r="AHY23" i="5"/>
  <c r="AHI23" i="5"/>
  <c r="AGS23" i="5"/>
  <c r="AGC23" i="5"/>
  <c r="AFM23" i="5"/>
  <c r="AEW23" i="5"/>
  <c r="AEG23" i="5"/>
  <c r="ADQ23" i="5"/>
  <c r="ADA23" i="5"/>
  <c r="ACK23" i="5"/>
  <c r="ABU23" i="5"/>
  <c r="ABE23" i="5"/>
  <c r="AAO23" i="5"/>
  <c r="ZY23" i="5"/>
  <c r="ZI23" i="5"/>
  <c r="YS23" i="5"/>
  <c r="YC23" i="5"/>
  <c r="XM23" i="5"/>
  <c r="WW23" i="5"/>
  <c r="WG23" i="5"/>
  <c r="VQ23" i="5"/>
  <c r="VA23" i="5"/>
  <c r="UK23" i="5"/>
  <c r="TU23" i="5"/>
  <c r="TE23" i="5"/>
  <c r="SO23" i="5"/>
  <c r="RY23" i="5"/>
  <c r="RI23" i="5"/>
  <c r="QS23" i="5"/>
  <c r="QC23" i="5"/>
  <c r="PM23" i="5"/>
  <c r="OW23" i="5"/>
  <c r="OG23" i="5"/>
  <c r="NQ23" i="5"/>
  <c r="NA23" i="5"/>
  <c r="MK23" i="5"/>
  <c r="LU23" i="5"/>
  <c r="LE23" i="5"/>
  <c r="KO23" i="5"/>
  <c r="JY23" i="5"/>
  <c r="JI23" i="5"/>
  <c r="IS23" i="5"/>
  <c r="IC23" i="5"/>
  <c r="HM23" i="5"/>
  <c r="GW23" i="5"/>
  <c r="GG23" i="5"/>
  <c r="FQ23" i="5"/>
  <c r="FA23" i="5"/>
  <c r="EK23" i="5"/>
  <c r="DU23" i="5"/>
  <c r="DE23" i="5"/>
  <c r="CO23" i="5"/>
  <c r="BY23" i="5"/>
  <c r="BI23" i="5"/>
  <c r="AS23" i="5"/>
  <c r="AC23" i="5"/>
  <c r="M23" i="5"/>
  <c r="AME22" i="5"/>
  <c r="ALO22" i="5"/>
  <c r="AKY22" i="5"/>
  <c r="AKI22" i="5"/>
  <c r="AJS22" i="5"/>
  <c r="AJC22" i="5"/>
  <c r="AIM22" i="5"/>
  <c r="AHW22" i="5"/>
  <c r="AHG22" i="5"/>
  <c r="AGQ22" i="5"/>
  <c r="AGA22" i="5"/>
  <c r="AFK22" i="5"/>
  <c r="AEU22" i="5"/>
  <c r="AEE22" i="5"/>
  <c r="ADO22" i="5"/>
  <c r="ACY22" i="5"/>
  <c r="ACI22" i="5"/>
  <c r="ABS22" i="5"/>
  <c r="ABC22" i="5"/>
  <c r="AAM22" i="5"/>
  <c r="ZW22" i="5"/>
  <c r="ZG22" i="5"/>
  <c r="YQ22" i="5"/>
  <c r="YA22" i="5"/>
  <c r="XK22" i="5"/>
  <c r="WU22" i="5"/>
  <c r="WE22" i="5"/>
  <c r="VO22" i="5"/>
  <c r="UY22" i="5"/>
  <c r="UI22" i="5"/>
  <c r="TS22" i="5"/>
  <c r="TC22" i="5"/>
  <c r="SM22" i="5"/>
  <c r="RW22" i="5"/>
  <c r="RG22" i="5"/>
  <c r="QQ22" i="5"/>
  <c r="QA22" i="5"/>
  <c r="PK22" i="5"/>
  <c r="OU22" i="5"/>
  <c r="OE22" i="5"/>
  <c r="NO22" i="5"/>
  <c r="MY22" i="5"/>
  <c r="MI22" i="5"/>
  <c r="LS22" i="5"/>
  <c r="XD25" i="5"/>
  <c r="UA25" i="5"/>
  <c r="RO25" i="5"/>
  <c r="PC25" i="5"/>
  <c r="MQ25" i="5"/>
  <c r="KG25" i="5"/>
  <c r="IQ25" i="5"/>
  <c r="HH25" i="5"/>
  <c r="FY25" i="5"/>
  <c r="EQ25" i="5"/>
  <c r="DC25" i="5"/>
  <c r="BW25" i="5"/>
  <c r="AQ25" i="5"/>
  <c r="K25" i="5"/>
  <c r="ALM24" i="5"/>
  <c r="AKO24" i="5"/>
  <c r="AJK24" i="5"/>
  <c r="AIG24" i="5"/>
  <c r="AHC24" i="5"/>
  <c r="AFY24" i="5"/>
  <c r="AFB24" i="5"/>
  <c r="ADX24" i="5"/>
  <c r="ACT24" i="5"/>
  <c r="ABP24" i="5"/>
  <c r="AAS24" i="5"/>
  <c r="ZO24" i="5"/>
  <c r="YK24" i="5"/>
  <c r="XH24" i="5"/>
  <c r="WL24" i="5"/>
  <c r="VK24" i="5"/>
  <c r="UP24" i="5"/>
  <c r="TP24" i="5"/>
  <c r="SU24" i="5"/>
  <c r="RU24" i="5"/>
  <c r="QZ24" i="5"/>
  <c r="QB24" i="5"/>
  <c r="PI24" i="5"/>
  <c r="OP24" i="5"/>
  <c r="NW24" i="5"/>
  <c r="NA24" i="5"/>
  <c r="MH24" i="5"/>
  <c r="LO24" i="5"/>
  <c r="KV24" i="5"/>
  <c r="KC24" i="5"/>
  <c r="JL24" i="5"/>
  <c r="IU24" i="5"/>
  <c r="ID24" i="5"/>
  <c r="HN24" i="5"/>
  <c r="GX24" i="5"/>
  <c r="GH24" i="5"/>
  <c r="FR24" i="5"/>
  <c r="FB24" i="5"/>
  <c r="EL24" i="5"/>
  <c r="DV24" i="5"/>
  <c r="DF24" i="5"/>
  <c r="CP24" i="5"/>
  <c r="BZ24" i="5"/>
  <c r="BJ24" i="5"/>
  <c r="AT24" i="5"/>
  <c r="AD24" i="5"/>
  <c r="N24" i="5"/>
  <c r="AMF23" i="5"/>
  <c r="ALP23" i="5"/>
  <c r="AKZ23" i="5"/>
  <c r="AKJ23" i="5"/>
  <c r="AJT23" i="5"/>
  <c r="AJD23" i="5"/>
  <c r="AIN23" i="5"/>
  <c r="AHX23" i="5"/>
  <c r="AHH23" i="5"/>
  <c r="AGR23" i="5"/>
  <c r="AGB23" i="5"/>
  <c r="AFL23" i="5"/>
  <c r="AEV23" i="5"/>
  <c r="AEF23" i="5"/>
  <c r="ADP23" i="5"/>
  <c r="ACZ23" i="5"/>
  <c r="ACJ23" i="5"/>
  <c r="ABT23" i="5"/>
  <c r="ABD23" i="5"/>
  <c r="AAN23" i="5"/>
  <c r="ZX23" i="5"/>
  <c r="ZH23" i="5"/>
  <c r="YR23" i="5"/>
  <c r="YB23" i="5"/>
  <c r="XL23" i="5"/>
  <c r="WV23" i="5"/>
  <c r="WF23" i="5"/>
  <c r="VP23" i="5"/>
  <c r="UZ23" i="5"/>
  <c r="UJ23" i="5"/>
  <c r="TT23" i="5"/>
  <c r="TD23" i="5"/>
  <c r="SN23" i="5"/>
  <c r="RX23" i="5"/>
  <c r="RH23" i="5"/>
  <c r="QR23" i="5"/>
  <c r="QB23" i="5"/>
  <c r="PL23" i="5"/>
  <c r="OV23" i="5"/>
  <c r="OF23" i="5"/>
  <c r="NP23" i="5"/>
  <c r="MZ23" i="5"/>
  <c r="MJ23" i="5"/>
  <c r="LT23" i="5"/>
  <c r="LD23" i="5"/>
  <c r="KN23" i="5"/>
  <c r="JX23" i="5"/>
  <c r="JH23" i="5"/>
  <c r="IR23" i="5"/>
  <c r="IB23" i="5"/>
  <c r="HL23" i="5"/>
  <c r="GV23" i="5"/>
  <c r="GF23" i="5"/>
  <c r="FP23" i="5"/>
  <c r="EZ23" i="5"/>
  <c r="EJ23" i="5"/>
  <c r="DT23" i="5"/>
  <c r="DD23" i="5"/>
  <c r="CN23" i="5"/>
  <c r="BX23" i="5"/>
  <c r="BH23" i="5"/>
  <c r="AR23" i="5"/>
  <c r="AB23" i="5"/>
  <c r="L23" i="5"/>
  <c r="AMD22" i="5"/>
  <c r="ALN22" i="5"/>
  <c r="AKX22" i="5"/>
  <c r="AKH22" i="5"/>
  <c r="AJR22" i="5"/>
  <c r="AJB22" i="5"/>
  <c r="AIL22" i="5"/>
  <c r="AHV22" i="5"/>
  <c r="AHF22" i="5"/>
  <c r="AGP22" i="5"/>
  <c r="AFZ22" i="5"/>
  <c r="AFJ22" i="5"/>
  <c r="AET22" i="5"/>
  <c r="AED22" i="5"/>
  <c r="ADN22" i="5"/>
  <c r="ACX22" i="5"/>
  <c r="ACH22" i="5"/>
  <c r="ABR22" i="5"/>
  <c r="ABB22" i="5"/>
  <c r="AAL22" i="5"/>
  <c r="ZV22" i="5"/>
  <c r="ZF22" i="5"/>
  <c r="YP22" i="5"/>
  <c r="XZ22" i="5"/>
  <c r="XJ22" i="5"/>
  <c r="WT22" i="5"/>
  <c r="WD22" i="5"/>
  <c r="VN22" i="5"/>
  <c r="UX22" i="5"/>
  <c r="UH22" i="5"/>
  <c r="TR22" i="5"/>
  <c r="TB22" i="5"/>
  <c r="SL22" i="5"/>
  <c r="RV22" i="5"/>
  <c r="XC25" i="5"/>
  <c r="TQ25" i="5"/>
  <c r="RE25" i="5"/>
  <c r="OS25" i="5"/>
  <c r="MG25" i="5"/>
  <c r="KF25" i="5"/>
  <c r="IO25" i="5"/>
  <c r="HG25" i="5"/>
  <c r="FX25" i="5"/>
  <c r="EI25" i="5"/>
  <c r="DA25" i="5"/>
  <c r="BU25" i="5"/>
  <c r="AO25" i="5"/>
  <c r="I25" i="5"/>
  <c r="ALK24" i="5"/>
  <c r="AKG24" i="5"/>
  <c r="AJJ24" i="5"/>
  <c r="AIF24" i="5"/>
  <c r="AHB24" i="5"/>
  <c r="AFX24" i="5"/>
  <c r="AFA24" i="5"/>
  <c r="ADW24" i="5"/>
  <c r="ACS24" i="5"/>
  <c r="ABO24" i="5"/>
  <c r="AAK24" i="5"/>
  <c r="ZN24" i="5"/>
  <c r="YJ24" i="5"/>
  <c r="XG24" i="5"/>
  <c r="WK24" i="5"/>
  <c r="VJ24" i="5"/>
  <c r="UO24" i="5"/>
  <c r="TO24" i="5"/>
  <c r="ST24" i="5"/>
  <c r="RT24" i="5"/>
  <c r="QY24" i="5"/>
  <c r="QA24" i="5"/>
  <c r="PH24" i="5"/>
  <c r="OO24" i="5"/>
  <c r="NV24" i="5"/>
  <c r="MZ24" i="5"/>
  <c r="MG24" i="5"/>
  <c r="LN24" i="5"/>
  <c r="KU24" i="5"/>
  <c r="KB24" i="5"/>
  <c r="JK24" i="5"/>
  <c r="IS24" i="5"/>
  <c r="IC24" i="5"/>
  <c r="HM24" i="5"/>
  <c r="GW24" i="5"/>
  <c r="GG24" i="5"/>
  <c r="FQ24" i="5"/>
  <c r="FA24" i="5"/>
  <c r="EK24" i="5"/>
  <c r="DU24" i="5"/>
  <c r="DE24" i="5"/>
  <c r="CO24" i="5"/>
  <c r="BY24" i="5"/>
  <c r="BI24" i="5"/>
  <c r="AS24" i="5"/>
  <c r="AC24" i="5"/>
  <c r="M24" i="5"/>
  <c r="AME23" i="5"/>
  <c r="ALO23" i="5"/>
  <c r="AKY23" i="5"/>
  <c r="AKI23" i="5"/>
  <c r="AJS23" i="5"/>
  <c r="AJC23" i="5"/>
  <c r="AIM23" i="5"/>
  <c r="AHW23" i="5"/>
  <c r="AHG23" i="5"/>
  <c r="AGQ23" i="5"/>
  <c r="AGA23" i="5"/>
  <c r="AFK23" i="5"/>
  <c r="AEU23" i="5"/>
  <c r="AEE23" i="5"/>
  <c r="ADO23" i="5"/>
  <c r="ACY23" i="5"/>
  <c r="ACI23" i="5"/>
  <c r="ABS23" i="5"/>
  <c r="ABC23" i="5"/>
  <c r="AAM23" i="5"/>
  <c r="ZW23" i="5"/>
  <c r="ZG23" i="5"/>
  <c r="YQ23" i="5"/>
  <c r="YA23" i="5"/>
  <c r="XK23" i="5"/>
  <c r="WU23" i="5"/>
  <c r="WE23" i="5"/>
  <c r="VO23" i="5"/>
  <c r="UY23" i="5"/>
  <c r="UI23" i="5"/>
  <c r="TS23" i="5"/>
  <c r="TC23" i="5"/>
  <c r="SM23" i="5"/>
  <c r="RW23" i="5"/>
  <c r="RG23" i="5"/>
  <c r="QQ23" i="5"/>
  <c r="QA23" i="5"/>
  <c r="PK23" i="5"/>
  <c r="OU23" i="5"/>
  <c r="OE23" i="5"/>
  <c r="NO23" i="5"/>
  <c r="MY23" i="5"/>
  <c r="MI23" i="5"/>
  <c r="LS23" i="5"/>
  <c r="LC23" i="5"/>
  <c r="KM23" i="5"/>
  <c r="JW23" i="5"/>
  <c r="JG23" i="5"/>
  <c r="IQ23" i="5"/>
  <c r="IA23" i="5"/>
  <c r="HK23" i="5"/>
  <c r="GU23" i="5"/>
  <c r="GE23" i="5"/>
  <c r="FO23" i="5"/>
  <c r="EY23" i="5"/>
  <c r="EI23" i="5"/>
  <c r="DS23" i="5"/>
  <c r="DC23" i="5"/>
  <c r="CM23" i="5"/>
  <c r="BW23" i="5"/>
  <c r="BG23" i="5"/>
  <c r="AQ23" i="5"/>
  <c r="AA23" i="5"/>
  <c r="K23" i="5"/>
  <c r="AMC22" i="5"/>
  <c r="ALM22" i="5"/>
  <c r="AKW22" i="5"/>
  <c r="AKG22" i="5"/>
  <c r="AJQ22" i="5"/>
  <c r="AJA22" i="5"/>
  <c r="AIK22" i="5"/>
  <c r="AHU22" i="5"/>
  <c r="AHE22" i="5"/>
  <c r="AGO22" i="5"/>
  <c r="AFY22" i="5"/>
  <c r="AFI22" i="5"/>
  <c r="AES22" i="5"/>
  <c r="AEC22" i="5"/>
  <c r="ADM22" i="5"/>
  <c r="ACW22" i="5"/>
  <c r="ACG22" i="5"/>
  <c r="ABQ22" i="5"/>
  <c r="ABA22" i="5"/>
  <c r="AAK22" i="5"/>
  <c r="ZU22" i="5"/>
  <c r="ZE22" i="5"/>
  <c r="YO22" i="5"/>
  <c r="XY22" i="5"/>
  <c r="XI22" i="5"/>
  <c r="WS22" i="5"/>
  <c r="WC22" i="5"/>
  <c r="VM22" i="5"/>
  <c r="UW22" i="5"/>
  <c r="UG22" i="5"/>
  <c r="TQ22" i="5"/>
  <c r="TA22" i="5"/>
  <c r="SK22" i="5"/>
  <c r="RU22" i="5"/>
  <c r="RE22" i="5"/>
  <c r="QO22" i="5"/>
  <c r="PY22" i="5"/>
  <c r="PI22" i="5"/>
  <c r="OS22" i="5"/>
  <c r="OC22" i="5"/>
  <c r="NM22" i="5"/>
  <c r="MW22" i="5"/>
  <c r="MG22" i="5"/>
  <c r="LQ22" i="5"/>
  <c r="LA22" i="5"/>
  <c r="WS25" i="5"/>
  <c r="TM25" i="5"/>
  <c r="RA25" i="5"/>
  <c r="OO25" i="5"/>
  <c r="MC25" i="5"/>
  <c r="KE25" i="5"/>
  <c r="IN25" i="5"/>
  <c r="HE25" i="5"/>
  <c r="FW25" i="5"/>
  <c r="EG25" i="5"/>
  <c r="CZ25" i="5"/>
  <c r="BT25" i="5"/>
  <c r="AN25" i="5"/>
  <c r="H25" i="5"/>
  <c r="ALJ24" i="5"/>
  <c r="AKF24" i="5"/>
  <c r="AJI24" i="5"/>
  <c r="AIE24" i="5"/>
  <c r="AHA24" i="5"/>
  <c r="AFW24" i="5"/>
  <c r="AES24" i="5"/>
  <c r="ADV24" i="5"/>
  <c r="ACR24" i="5"/>
  <c r="ABN24" i="5"/>
  <c r="AAJ24" i="5"/>
  <c r="ZM24" i="5"/>
  <c r="YI24" i="5"/>
  <c r="XF24" i="5"/>
  <c r="WD24" i="5"/>
  <c r="VI24" i="5"/>
  <c r="UJ24" i="5"/>
  <c r="TN24" i="5"/>
  <c r="SS24" i="5"/>
  <c r="RS24" i="5"/>
  <c r="QX24" i="5"/>
  <c r="PZ24" i="5"/>
  <c r="PG24" i="5"/>
  <c r="ON24" i="5"/>
  <c r="NU24" i="5"/>
  <c r="MY24" i="5"/>
  <c r="MF24" i="5"/>
  <c r="LM24" i="5"/>
  <c r="KT24" i="5"/>
  <c r="KA24" i="5"/>
  <c r="JI24" i="5"/>
  <c r="IR24" i="5"/>
  <c r="IB24" i="5"/>
  <c r="HL24" i="5"/>
  <c r="GV24" i="5"/>
  <c r="GF24" i="5"/>
  <c r="FP24" i="5"/>
  <c r="EZ24" i="5"/>
  <c r="EJ24" i="5"/>
  <c r="DT24" i="5"/>
  <c r="DD24" i="5"/>
  <c r="CN24" i="5"/>
  <c r="BX24" i="5"/>
  <c r="BH24" i="5"/>
  <c r="AR24" i="5"/>
  <c r="AB24" i="5"/>
  <c r="L24" i="5"/>
  <c r="AMD23" i="5"/>
  <c r="ALN23" i="5"/>
  <c r="AKX23" i="5"/>
  <c r="AKH23" i="5"/>
  <c r="AJR23" i="5"/>
  <c r="AJB23" i="5"/>
  <c r="AIL23" i="5"/>
  <c r="AHV23" i="5"/>
  <c r="AHF23" i="5"/>
  <c r="AGP23" i="5"/>
  <c r="AFZ23" i="5"/>
  <c r="AFJ23" i="5"/>
  <c r="AET23" i="5"/>
  <c r="AED23" i="5"/>
  <c r="ADN23" i="5"/>
  <c r="ACX23" i="5"/>
  <c r="ACH23" i="5"/>
  <c r="ABR23" i="5"/>
  <c r="ABB23" i="5"/>
  <c r="AAL23" i="5"/>
  <c r="ZV23" i="5"/>
  <c r="ZF23" i="5"/>
  <c r="YP23" i="5"/>
  <c r="XZ23" i="5"/>
  <c r="XJ23" i="5"/>
  <c r="WT23" i="5"/>
  <c r="WD23" i="5"/>
  <c r="VN23" i="5"/>
  <c r="UX23" i="5"/>
  <c r="UH23" i="5"/>
  <c r="TR23" i="5"/>
  <c r="TB23" i="5"/>
  <c r="SL23" i="5"/>
  <c r="RV23" i="5"/>
  <c r="RF23" i="5"/>
  <c r="QP23" i="5"/>
  <c r="PZ23" i="5"/>
  <c r="PJ23" i="5"/>
  <c r="OT23" i="5"/>
  <c r="OD23" i="5"/>
  <c r="NN23" i="5"/>
  <c r="MX23" i="5"/>
  <c r="MH23" i="5"/>
  <c r="LR23" i="5"/>
  <c r="LB23" i="5"/>
  <c r="KL23" i="5"/>
  <c r="JV23" i="5"/>
  <c r="JF23" i="5"/>
  <c r="IP23" i="5"/>
  <c r="HZ23" i="5"/>
  <c r="HJ23" i="5"/>
  <c r="GT23" i="5"/>
  <c r="GD23" i="5"/>
  <c r="FN23" i="5"/>
  <c r="EX23" i="5"/>
  <c r="EH23" i="5"/>
  <c r="DR23" i="5"/>
  <c r="DB23" i="5"/>
  <c r="CL23" i="5"/>
  <c r="BV23" i="5"/>
  <c r="BF23" i="5"/>
  <c r="AP23" i="5"/>
  <c r="Z23" i="5"/>
  <c r="J23" i="5"/>
  <c r="AMB22" i="5"/>
  <c r="ALL22" i="5"/>
  <c r="AKV22" i="5"/>
  <c r="AKF22" i="5"/>
  <c r="AJP22" i="5"/>
  <c r="AIZ22" i="5"/>
  <c r="AIJ22" i="5"/>
  <c r="AHT22" i="5"/>
  <c r="AHD22" i="5"/>
  <c r="AGN22" i="5"/>
  <c r="AFX22" i="5"/>
  <c r="AFH22" i="5"/>
  <c r="AER22" i="5"/>
  <c r="AEB22" i="5"/>
  <c r="ADL22" i="5"/>
  <c r="ACV22" i="5"/>
  <c r="ACF22" i="5"/>
  <c r="ABP22" i="5"/>
  <c r="AAZ22" i="5"/>
  <c r="AAJ22" i="5"/>
  <c r="ZT22" i="5"/>
  <c r="ZD22" i="5"/>
  <c r="WN25" i="5"/>
  <c r="TL25" i="5"/>
  <c r="QZ25" i="5"/>
  <c r="ON25" i="5"/>
  <c r="MB25" i="5"/>
  <c r="JW25" i="5"/>
  <c r="IM25" i="5"/>
  <c r="HD25" i="5"/>
  <c r="FO25" i="5"/>
  <c r="EF25" i="5"/>
  <c r="CY25" i="5"/>
  <c r="BS25" i="5"/>
  <c r="AM25" i="5"/>
  <c r="G25" i="5"/>
  <c r="ALI24" i="5"/>
  <c r="AKE24" i="5"/>
  <c r="AJA24" i="5"/>
  <c r="AID24" i="5"/>
  <c r="AGZ24" i="5"/>
  <c r="AFV24" i="5"/>
  <c r="AER24" i="5"/>
  <c r="ADU24" i="5"/>
  <c r="ACQ24" i="5"/>
  <c r="ABM24" i="5"/>
  <c r="AAI24" i="5"/>
  <c r="ZE24" i="5"/>
  <c r="YH24" i="5"/>
  <c r="XE24" i="5"/>
  <c r="WC24" i="5"/>
  <c r="VH24" i="5"/>
  <c r="UH24" i="5"/>
  <c r="TM24" i="5"/>
  <c r="SN24" i="5"/>
  <c r="RR24" i="5"/>
  <c r="QW24" i="5"/>
  <c r="PY24" i="5"/>
  <c r="PF24" i="5"/>
  <c r="OM24" i="5"/>
  <c r="NQ24" i="5"/>
  <c r="MX24" i="5"/>
  <c r="ME24" i="5"/>
  <c r="LL24" i="5"/>
  <c r="KS24" i="5"/>
  <c r="JY24" i="5"/>
  <c r="JH24" i="5"/>
  <c r="IQ24" i="5"/>
  <c r="IA24" i="5"/>
  <c r="HK24" i="5"/>
  <c r="GU24" i="5"/>
  <c r="GE24" i="5"/>
  <c r="FO24" i="5"/>
  <c r="EY24" i="5"/>
  <c r="EI24" i="5"/>
  <c r="DS24" i="5"/>
  <c r="DC24" i="5"/>
  <c r="CM24" i="5"/>
  <c r="BW24" i="5"/>
  <c r="BG24" i="5"/>
  <c r="AQ24" i="5"/>
  <c r="AA24" i="5"/>
  <c r="K24" i="5"/>
  <c r="AMC23" i="5"/>
  <c r="ALM23" i="5"/>
  <c r="AKW23" i="5"/>
  <c r="AKG23" i="5"/>
  <c r="AJQ23" i="5"/>
  <c r="AJA23" i="5"/>
  <c r="AIK23" i="5"/>
  <c r="AHU23" i="5"/>
  <c r="AHE23" i="5"/>
  <c r="AGO23" i="5"/>
  <c r="AFY23" i="5"/>
  <c r="AFI23" i="5"/>
  <c r="AES23" i="5"/>
  <c r="AEC23" i="5"/>
  <c r="ADM23" i="5"/>
  <c r="ACW23" i="5"/>
  <c r="ACG23" i="5"/>
  <c r="ABQ23" i="5"/>
  <c r="ABA23" i="5"/>
  <c r="AAK23" i="5"/>
  <c r="ZU23" i="5"/>
  <c r="ZE23" i="5"/>
  <c r="YO23" i="5"/>
  <c r="XY23" i="5"/>
  <c r="XI23" i="5"/>
  <c r="WS23" i="5"/>
  <c r="WC23" i="5"/>
  <c r="VM23" i="5"/>
  <c r="UW23" i="5"/>
  <c r="UG23" i="5"/>
  <c r="TQ23" i="5"/>
  <c r="TA23" i="5"/>
  <c r="SK23" i="5"/>
  <c r="RU23" i="5"/>
  <c r="RE23" i="5"/>
  <c r="QO23" i="5"/>
  <c r="PY23" i="5"/>
  <c r="PI23" i="5"/>
  <c r="OS23" i="5"/>
  <c r="OC23" i="5"/>
  <c r="NM23" i="5"/>
  <c r="MW23" i="5"/>
  <c r="MG23" i="5"/>
  <c r="LQ23" i="5"/>
  <c r="LA23" i="5"/>
  <c r="KK23" i="5"/>
  <c r="JU23" i="5"/>
  <c r="JE23" i="5"/>
  <c r="IO23" i="5"/>
  <c r="HY23" i="5"/>
  <c r="HI23" i="5"/>
  <c r="GS23" i="5"/>
  <c r="GC23" i="5"/>
  <c r="FM23" i="5"/>
  <c r="EW23" i="5"/>
  <c r="EG23" i="5"/>
  <c r="DQ23" i="5"/>
  <c r="DA23" i="5"/>
  <c r="CK23" i="5"/>
  <c r="BU23" i="5"/>
  <c r="BE23" i="5"/>
  <c r="AO23" i="5"/>
  <c r="Y23" i="5"/>
  <c r="I23" i="5"/>
  <c r="AMA22" i="5"/>
  <c r="ALK22" i="5"/>
  <c r="AKU22" i="5"/>
  <c r="AKE22" i="5"/>
  <c r="AJO22" i="5"/>
  <c r="AIY22" i="5"/>
  <c r="AII22" i="5"/>
  <c r="AHS22" i="5"/>
  <c r="AHC22" i="5"/>
  <c r="AGM22" i="5"/>
  <c r="AFW22" i="5"/>
  <c r="AFG22" i="5"/>
  <c r="AEQ22" i="5"/>
  <c r="AEA22" i="5"/>
  <c r="ADK22" i="5"/>
  <c r="ACU22" i="5"/>
  <c r="ACE22" i="5"/>
  <c r="ABO22" i="5"/>
  <c r="AAY22" i="5"/>
  <c r="AAI22" i="5"/>
  <c r="ZS22" i="5"/>
  <c r="ZC22" i="5"/>
  <c r="WM25" i="5"/>
  <c r="TK25" i="5"/>
  <c r="QY25" i="5"/>
  <c r="OM25" i="5"/>
  <c r="MA25" i="5"/>
  <c r="JU25" i="5"/>
  <c r="IK25" i="5"/>
  <c r="HC25" i="5"/>
  <c r="FM25" i="5"/>
  <c r="EE25" i="5"/>
  <c r="CX25" i="5"/>
  <c r="BR25" i="5"/>
  <c r="AL25" i="5"/>
  <c r="F25" i="5"/>
  <c r="ALH24" i="5"/>
  <c r="AKD24" i="5"/>
  <c r="AIZ24" i="5"/>
  <c r="AIC24" i="5"/>
  <c r="AGY24" i="5"/>
  <c r="AFU24" i="5"/>
  <c r="AEQ24" i="5"/>
  <c r="ADM24" i="5"/>
  <c r="ACP24" i="5"/>
  <c r="ABL24" i="5"/>
  <c r="AAH24" i="5"/>
  <c r="ZD24" i="5"/>
  <c r="YG24" i="5"/>
  <c r="XD24" i="5"/>
  <c r="WB24" i="5"/>
  <c r="VG24" i="5"/>
  <c r="UG24" i="5"/>
  <c r="TL24" i="5"/>
  <c r="SL24" i="5"/>
  <c r="RQ24" i="5"/>
  <c r="QR24" i="5"/>
  <c r="PX24" i="5"/>
  <c r="PE24" i="5"/>
  <c r="OL24" i="5"/>
  <c r="NP24" i="5"/>
  <c r="MW24" i="5"/>
  <c r="MD24" i="5"/>
  <c r="LK24" i="5"/>
  <c r="KO24" i="5"/>
  <c r="JX24" i="5"/>
  <c r="JG24" i="5"/>
  <c r="IP24" i="5"/>
  <c r="HZ24" i="5"/>
  <c r="HJ24" i="5"/>
  <c r="GT24" i="5"/>
  <c r="GD24" i="5"/>
  <c r="FN24" i="5"/>
  <c r="EX24" i="5"/>
  <c r="EH24" i="5"/>
  <c r="DR24" i="5"/>
  <c r="DB24" i="5"/>
  <c r="CL24" i="5"/>
  <c r="BV24" i="5"/>
  <c r="BF24" i="5"/>
  <c r="AP24" i="5"/>
  <c r="Z24" i="5"/>
  <c r="J24" i="5"/>
  <c r="AMB23" i="5"/>
  <c r="ALL23" i="5"/>
  <c r="AKV23" i="5"/>
  <c r="AKF23" i="5"/>
  <c r="AJP23" i="5"/>
  <c r="AIZ23" i="5"/>
  <c r="AIJ23" i="5"/>
  <c r="AHT23" i="5"/>
  <c r="AHD23" i="5"/>
  <c r="AGN23" i="5"/>
  <c r="AFX23" i="5"/>
  <c r="AFH23" i="5"/>
  <c r="AER23" i="5"/>
  <c r="AEB23" i="5"/>
  <c r="ADL23" i="5"/>
  <c r="ACV23" i="5"/>
  <c r="ACF23" i="5"/>
  <c r="ABP23" i="5"/>
  <c r="AAZ23" i="5"/>
  <c r="AAJ23" i="5"/>
  <c r="ZT23" i="5"/>
  <c r="ZD23" i="5"/>
  <c r="YN23" i="5"/>
  <c r="XX23" i="5"/>
  <c r="XH23" i="5"/>
  <c r="WR23" i="5"/>
  <c r="WB23" i="5"/>
  <c r="VL23" i="5"/>
  <c r="UV23" i="5"/>
  <c r="UF23" i="5"/>
  <c r="TP23" i="5"/>
  <c r="SZ23" i="5"/>
  <c r="SJ23" i="5"/>
  <c r="RT23" i="5"/>
  <c r="RD23" i="5"/>
  <c r="QN23" i="5"/>
  <c r="PX23" i="5"/>
  <c r="PH23" i="5"/>
  <c r="OR23" i="5"/>
  <c r="OB23" i="5"/>
  <c r="NL23" i="5"/>
  <c r="MV23" i="5"/>
  <c r="MF23" i="5"/>
  <c r="LP23" i="5"/>
  <c r="KZ23" i="5"/>
  <c r="KJ23" i="5"/>
  <c r="JT23" i="5"/>
  <c r="JD23" i="5"/>
  <c r="IN23" i="5"/>
  <c r="HX23" i="5"/>
  <c r="HH23" i="5"/>
  <c r="GR23" i="5"/>
  <c r="GB23" i="5"/>
  <c r="FL23" i="5"/>
  <c r="EV23" i="5"/>
  <c r="EF23" i="5"/>
  <c r="DP23" i="5"/>
  <c r="CZ23" i="5"/>
  <c r="CJ23" i="5"/>
  <c r="BT23" i="5"/>
  <c r="BD23" i="5"/>
  <c r="AN23" i="5"/>
  <c r="X23" i="5"/>
  <c r="H23" i="5"/>
  <c r="ALZ22" i="5"/>
  <c r="ALJ22" i="5"/>
  <c r="AKT22" i="5"/>
  <c r="AKD22" i="5"/>
  <c r="AJN22" i="5"/>
  <c r="AIX22" i="5"/>
  <c r="AIH22" i="5"/>
  <c r="AHR22" i="5"/>
  <c r="AHB22" i="5"/>
  <c r="AGL22" i="5"/>
  <c r="AFV22" i="5"/>
  <c r="AFF22" i="5"/>
  <c r="AEP22" i="5"/>
  <c r="ADZ22" i="5"/>
  <c r="ADJ22" i="5"/>
  <c r="ACT22" i="5"/>
  <c r="ACD22" i="5"/>
  <c r="YB22" i="5"/>
  <c r="WB22" i="5"/>
  <c r="UE22" i="5"/>
  <c r="SH22" i="5"/>
  <c r="QM22" i="5"/>
  <c r="OT22" i="5"/>
  <c r="NA22" i="5"/>
  <c r="LO22" i="5"/>
  <c r="KH22" i="5"/>
  <c r="JB22" i="5"/>
  <c r="HV22" i="5"/>
  <c r="GP22" i="5"/>
  <c r="FJ22" i="5"/>
  <c r="ED22" i="5"/>
  <c r="CX22" i="5"/>
  <c r="BR22" i="5"/>
  <c r="AL22" i="5"/>
  <c r="F22" i="5"/>
  <c r="ALH21" i="5"/>
  <c r="AKB21" i="5"/>
  <c r="AIV21" i="5"/>
  <c r="AHP21" i="5"/>
  <c r="AGK21" i="5"/>
  <c r="AFG21" i="5"/>
  <c r="AED21" i="5"/>
  <c r="ADH21" i="5"/>
  <c r="ACF21" i="5"/>
  <c r="ABE21" i="5"/>
  <c r="AAJ21" i="5"/>
  <c r="ZK21" i="5"/>
  <c r="YO21" i="5"/>
  <c r="XT21" i="5"/>
  <c r="WU21" i="5"/>
  <c r="WA21" i="5"/>
  <c r="VC21" i="5"/>
  <c r="UI21" i="5"/>
  <c r="TO21" i="5"/>
  <c r="SR21" i="5"/>
  <c r="RY21" i="5"/>
  <c r="RF21" i="5"/>
  <c r="QM21" i="5"/>
  <c r="PT21" i="5"/>
  <c r="OX21" i="5"/>
  <c r="OE21" i="5"/>
  <c r="NM21" i="5"/>
  <c r="MU21" i="5"/>
  <c r="MD21" i="5"/>
  <c r="LM21" i="5"/>
  <c r="KV21" i="5"/>
  <c r="KF21" i="5"/>
  <c r="JP21" i="5"/>
  <c r="IZ21" i="5"/>
  <c r="IJ21" i="5"/>
  <c r="HT21" i="5"/>
  <c r="HD21" i="5"/>
  <c r="GN21" i="5"/>
  <c r="FX21" i="5"/>
  <c r="FH21" i="5"/>
  <c r="ER21" i="5"/>
  <c r="EB21" i="5"/>
  <c r="DL21" i="5"/>
  <c r="CV21" i="5"/>
  <c r="CF21" i="5"/>
  <c r="BP21" i="5"/>
  <c r="AZ21" i="5"/>
  <c r="AJ21" i="5"/>
  <c r="T21" i="5"/>
  <c r="D21" i="5"/>
  <c r="ALV20" i="5"/>
  <c r="ALF20" i="5"/>
  <c r="AKP20" i="5"/>
  <c r="AJZ20" i="5"/>
  <c r="AJJ20" i="5"/>
  <c r="AIT20" i="5"/>
  <c r="AID20" i="5"/>
  <c r="AHN20" i="5"/>
  <c r="AGX20" i="5"/>
  <c r="AGH20" i="5"/>
  <c r="AFR20" i="5"/>
  <c r="AFB20" i="5"/>
  <c r="AEL20" i="5"/>
  <c r="ADV20" i="5"/>
  <c r="ADF20" i="5"/>
  <c r="ACP20" i="5"/>
  <c r="ABZ20" i="5"/>
  <c r="ABJ20" i="5"/>
  <c r="AAT20" i="5"/>
  <c r="AAD20" i="5"/>
  <c r="ZN20" i="5"/>
  <c r="YX20" i="5"/>
  <c r="YH20" i="5"/>
  <c r="XR20" i="5"/>
  <c r="XB20" i="5"/>
  <c r="WL20" i="5"/>
  <c r="VV20" i="5"/>
  <c r="VF20" i="5"/>
  <c r="UP20" i="5"/>
  <c r="TZ20" i="5"/>
  <c r="TJ20" i="5"/>
  <c r="ST20" i="5"/>
  <c r="SD20" i="5"/>
  <c r="RN20" i="5"/>
  <c r="QX20" i="5"/>
  <c r="QH20" i="5"/>
  <c r="PR20" i="5"/>
  <c r="PB20" i="5"/>
  <c r="OL20" i="5"/>
  <c r="NV20" i="5"/>
  <c r="NF20" i="5"/>
  <c r="MP20" i="5"/>
  <c r="LZ20" i="5"/>
  <c r="LJ20" i="5"/>
  <c r="KT20" i="5"/>
  <c r="KD20" i="5"/>
  <c r="JN20" i="5"/>
  <c r="IX20" i="5"/>
  <c r="IH20" i="5"/>
  <c r="HR20" i="5"/>
  <c r="HB20" i="5"/>
  <c r="GL20" i="5"/>
  <c r="FV20" i="5"/>
  <c r="FF20" i="5"/>
  <c r="EP20" i="5"/>
  <c r="DZ20" i="5"/>
  <c r="DJ20" i="5"/>
  <c r="CT20" i="5"/>
  <c r="CD20" i="5"/>
  <c r="BN20" i="5"/>
  <c r="AX20" i="5"/>
  <c r="AH20" i="5"/>
  <c r="R20" i="5"/>
  <c r="B20" i="5"/>
  <c r="ALT19" i="5"/>
  <c r="ALD19" i="5"/>
  <c r="AKN19" i="5"/>
  <c r="AJX19" i="5"/>
  <c r="AJH19" i="5"/>
  <c r="AIR19" i="5"/>
  <c r="AIB19" i="5"/>
  <c r="AHL19" i="5"/>
  <c r="AGV19" i="5"/>
  <c r="AGF19" i="5"/>
  <c r="AFP19" i="5"/>
  <c r="AEZ19" i="5"/>
  <c r="AEJ19" i="5"/>
  <c r="ADT19" i="5"/>
  <c r="ADD19" i="5"/>
  <c r="ACN19" i="5"/>
  <c r="ABX19" i="5"/>
  <c r="ABH19" i="5"/>
  <c r="AAR19" i="5"/>
  <c r="AAB19" i="5"/>
  <c r="ZL19" i="5"/>
  <c r="YV19" i="5"/>
  <c r="YF19" i="5"/>
  <c r="XP19" i="5"/>
  <c r="WZ19" i="5"/>
  <c r="WJ19" i="5"/>
  <c r="VT19" i="5"/>
  <c r="VD19" i="5"/>
  <c r="UN19" i="5"/>
  <c r="TX19" i="5"/>
  <c r="TH19" i="5"/>
  <c r="SR19" i="5"/>
  <c r="SB19" i="5"/>
  <c r="RL19" i="5"/>
  <c r="QV19" i="5"/>
  <c r="QF19" i="5"/>
  <c r="PP19" i="5"/>
  <c r="OZ19" i="5"/>
  <c r="OJ19" i="5"/>
  <c r="NT19" i="5"/>
  <c r="ND19" i="5"/>
  <c r="MN19" i="5"/>
  <c r="LX19" i="5"/>
  <c r="LH19" i="5"/>
  <c r="KR19" i="5"/>
  <c r="KB19" i="5"/>
  <c r="JL19" i="5"/>
  <c r="IV19" i="5"/>
  <c r="IF19" i="5"/>
  <c r="HP19" i="5"/>
  <c r="GZ19" i="5"/>
  <c r="GJ19" i="5"/>
  <c r="FT19" i="5"/>
  <c r="FD19" i="5"/>
  <c r="EN19" i="5"/>
  <c r="DX19" i="5"/>
  <c r="DH19" i="5"/>
  <c r="CR19" i="5"/>
  <c r="CB19" i="5"/>
  <c r="BL19" i="5"/>
  <c r="AV19" i="5"/>
  <c r="AF19" i="5"/>
  <c r="P19" i="5"/>
  <c r="AMH18" i="5"/>
  <c r="ALR18" i="5"/>
  <c r="ALB18" i="5"/>
  <c r="AKL18" i="5"/>
  <c r="AJV18" i="5"/>
  <c r="AJF18" i="5"/>
  <c r="AIP18" i="5"/>
  <c r="AHZ18" i="5"/>
  <c r="AHJ18" i="5"/>
  <c r="AGT18" i="5"/>
  <c r="AGD18" i="5"/>
  <c r="AFN18" i="5"/>
  <c r="AEX18" i="5"/>
  <c r="AEH18" i="5"/>
  <c r="ADR18" i="5"/>
  <c r="ADB18" i="5"/>
  <c r="ACL18" i="5"/>
  <c r="ABV18" i="5"/>
  <c r="ABF18" i="5"/>
  <c r="AAP18" i="5"/>
  <c r="ZZ18" i="5"/>
  <c r="ZJ18" i="5"/>
  <c r="YT18" i="5"/>
  <c r="YD18" i="5"/>
  <c r="XN18" i="5"/>
  <c r="ABT22" i="5"/>
  <c r="XX22" i="5"/>
  <c r="WA22" i="5"/>
  <c r="UD22" i="5"/>
  <c r="RY22" i="5"/>
  <c r="QL22" i="5"/>
  <c r="OR22" i="5"/>
  <c r="MZ22" i="5"/>
  <c r="LN22" i="5"/>
  <c r="JY22" i="5"/>
  <c r="IS22" i="5"/>
  <c r="HM22" i="5"/>
  <c r="GG22" i="5"/>
  <c r="FA22" i="5"/>
  <c r="DU22" i="5"/>
  <c r="CO22" i="5"/>
  <c r="BI22" i="5"/>
  <c r="AC22" i="5"/>
  <c r="AME21" i="5"/>
  <c r="AKY21" i="5"/>
  <c r="AJS21" i="5"/>
  <c r="AIM21" i="5"/>
  <c r="AHG21" i="5"/>
  <c r="AGJ21" i="5"/>
  <c r="AFF21" i="5"/>
  <c r="AEC21" i="5"/>
  <c r="ADA21" i="5"/>
  <c r="ACE21" i="5"/>
  <c r="ABD21" i="5"/>
  <c r="AAI21" i="5"/>
  <c r="ZI21" i="5"/>
  <c r="YN21" i="5"/>
  <c r="XO21" i="5"/>
  <c r="WT21" i="5"/>
  <c r="VZ21" i="5"/>
  <c r="VB21" i="5"/>
  <c r="UH21" i="5"/>
  <c r="TN21" i="5"/>
  <c r="SQ21" i="5"/>
  <c r="RX21" i="5"/>
  <c r="RE21" i="5"/>
  <c r="QL21" i="5"/>
  <c r="PP21" i="5"/>
  <c r="OW21" i="5"/>
  <c r="OD21" i="5"/>
  <c r="NL21" i="5"/>
  <c r="MT21" i="5"/>
  <c r="MC21" i="5"/>
  <c r="LL21" i="5"/>
  <c r="KU21" i="5"/>
  <c r="KE21" i="5"/>
  <c r="JO21" i="5"/>
  <c r="IY21" i="5"/>
  <c r="II21" i="5"/>
  <c r="HS21" i="5"/>
  <c r="HC21" i="5"/>
  <c r="GM21" i="5"/>
  <c r="FW21" i="5"/>
  <c r="FG21" i="5"/>
  <c r="EQ21" i="5"/>
  <c r="EA21" i="5"/>
  <c r="DK21" i="5"/>
  <c r="CU21" i="5"/>
  <c r="CE21" i="5"/>
  <c r="BO21" i="5"/>
  <c r="AY21" i="5"/>
  <c r="AI21" i="5"/>
  <c r="S21" i="5"/>
  <c r="C21" i="5"/>
  <c r="ALU20" i="5"/>
  <c r="ALE20" i="5"/>
  <c r="AKO20" i="5"/>
  <c r="AJY20" i="5"/>
  <c r="AJI20" i="5"/>
  <c r="AIS20" i="5"/>
  <c r="AIC20" i="5"/>
  <c r="AHM20" i="5"/>
  <c r="AGW20" i="5"/>
  <c r="AGG20" i="5"/>
  <c r="AFQ20" i="5"/>
  <c r="AFA20" i="5"/>
  <c r="AEK20" i="5"/>
  <c r="ADU20" i="5"/>
  <c r="ADE20" i="5"/>
  <c r="ACO20" i="5"/>
  <c r="ABY20" i="5"/>
  <c r="ABI20" i="5"/>
  <c r="AAS20" i="5"/>
  <c r="AAC20" i="5"/>
  <c r="ZM20" i="5"/>
  <c r="YW20" i="5"/>
  <c r="YG20" i="5"/>
  <c r="XQ20" i="5"/>
  <c r="XA20" i="5"/>
  <c r="WK20" i="5"/>
  <c r="VU20" i="5"/>
  <c r="VE20" i="5"/>
  <c r="UO20" i="5"/>
  <c r="TY20" i="5"/>
  <c r="TI20" i="5"/>
  <c r="SS20" i="5"/>
  <c r="SC20" i="5"/>
  <c r="RM20" i="5"/>
  <c r="QW20" i="5"/>
  <c r="QG20" i="5"/>
  <c r="PQ20" i="5"/>
  <c r="PA20" i="5"/>
  <c r="OK20" i="5"/>
  <c r="NU20" i="5"/>
  <c r="NE20" i="5"/>
  <c r="MO20" i="5"/>
  <c r="LY20" i="5"/>
  <c r="LI20" i="5"/>
  <c r="KS20" i="5"/>
  <c r="KC20" i="5"/>
  <c r="JM20" i="5"/>
  <c r="IW20" i="5"/>
  <c r="IG20" i="5"/>
  <c r="HQ20" i="5"/>
  <c r="HA20" i="5"/>
  <c r="GK20" i="5"/>
  <c r="FU20" i="5"/>
  <c r="FE20" i="5"/>
  <c r="EO20" i="5"/>
  <c r="DY20" i="5"/>
  <c r="DI20" i="5"/>
  <c r="CS20" i="5"/>
  <c r="CC20" i="5"/>
  <c r="BM20" i="5"/>
  <c r="AW20" i="5"/>
  <c r="AG20" i="5"/>
  <c r="Q20" i="5"/>
  <c r="A20" i="5"/>
  <c r="ALS19" i="5"/>
  <c r="ALC19" i="5"/>
  <c r="AKM19" i="5"/>
  <c r="AJW19" i="5"/>
  <c r="AJG19" i="5"/>
  <c r="AIQ19" i="5"/>
  <c r="AIA19" i="5"/>
  <c r="AHK19" i="5"/>
  <c r="AGU19" i="5"/>
  <c r="AGE19" i="5"/>
  <c r="AFO19" i="5"/>
  <c r="AEY19" i="5"/>
  <c r="AEI19" i="5"/>
  <c r="ADS19" i="5"/>
  <c r="ADC19" i="5"/>
  <c r="ACM19" i="5"/>
  <c r="ABW19" i="5"/>
  <c r="ABG19" i="5"/>
  <c r="AAQ19" i="5"/>
  <c r="AAA19" i="5"/>
  <c r="ZK19" i="5"/>
  <c r="YU19" i="5"/>
  <c r="YE19" i="5"/>
  <c r="XO19" i="5"/>
  <c r="WY19" i="5"/>
  <c r="WI19" i="5"/>
  <c r="VS19" i="5"/>
  <c r="VC19" i="5"/>
  <c r="UM19" i="5"/>
  <c r="TW19" i="5"/>
  <c r="TG19" i="5"/>
  <c r="SQ19" i="5"/>
  <c r="SA19" i="5"/>
  <c r="RK19" i="5"/>
  <c r="QU19" i="5"/>
  <c r="QE19" i="5"/>
  <c r="PO19" i="5"/>
  <c r="OY19" i="5"/>
  <c r="OI19" i="5"/>
  <c r="NS19" i="5"/>
  <c r="NC19" i="5"/>
  <c r="MM19" i="5"/>
  <c r="LW19" i="5"/>
  <c r="LG19" i="5"/>
  <c r="KQ19" i="5"/>
  <c r="KA19" i="5"/>
  <c r="JK19" i="5"/>
  <c r="IU19" i="5"/>
  <c r="IE19" i="5"/>
  <c r="HO19" i="5"/>
  <c r="GY19" i="5"/>
  <c r="GI19" i="5"/>
  <c r="FS19" i="5"/>
  <c r="FC19" i="5"/>
  <c r="EM19" i="5"/>
  <c r="DW19" i="5"/>
  <c r="DG19" i="5"/>
  <c r="CQ19" i="5"/>
  <c r="CA19" i="5"/>
  <c r="BK19" i="5"/>
  <c r="AU19" i="5"/>
  <c r="AE19" i="5"/>
  <c r="O19" i="5"/>
  <c r="AMG18" i="5"/>
  <c r="ALQ18" i="5"/>
  <c r="ALA18" i="5"/>
  <c r="AKK18" i="5"/>
  <c r="AJU18" i="5"/>
  <c r="AJE18" i="5"/>
  <c r="AIO18" i="5"/>
  <c r="AHY18" i="5"/>
  <c r="AHI18" i="5"/>
  <c r="AGS18" i="5"/>
  <c r="AGC18" i="5"/>
  <c r="AFM18" i="5"/>
  <c r="AEW18" i="5"/>
  <c r="AEG18" i="5"/>
  <c r="ADQ18" i="5"/>
  <c r="ADA18" i="5"/>
  <c r="ACK18" i="5"/>
  <c r="ABU18" i="5"/>
  <c r="ABE18" i="5"/>
  <c r="AAO18" i="5"/>
  <c r="ZY18" i="5"/>
  <c r="ZI18" i="5"/>
  <c r="YS18" i="5"/>
  <c r="YC18" i="5"/>
  <c r="ABN22" i="5"/>
  <c r="XW22" i="5"/>
  <c r="VZ22" i="5"/>
  <c r="TU22" i="5"/>
  <c r="RX22" i="5"/>
  <c r="QC22" i="5"/>
  <c r="OQ22" i="5"/>
  <c r="MX22" i="5"/>
  <c r="LE22" i="5"/>
  <c r="JX22" i="5"/>
  <c r="IR22" i="5"/>
  <c r="HL22" i="5"/>
  <c r="GF22" i="5"/>
  <c r="EZ22" i="5"/>
  <c r="DT22" i="5"/>
  <c r="CN22" i="5"/>
  <c r="BH22" i="5"/>
  <c r="AB22" i="5"/>
  <c r="AMD21" i="5"/>
  <c r="AKX21" i="5"/>
  <c r="AJR21" i="5"/>
  <c r="AIL21" i="5"/>
  <c r="AHF21" i="5"/>
  <c r="AGB21" i="5"/>
  <c r="AFE21" i="5"/>
  <c r="AEB21" i="5"/>
  <c r="ACZ21" i="5"/>
  <c r="ACD21" i="5"/>
  <c r="ABC21" i="5"/>
  <c r="AAH21" i="5"/>
  <c r="ZH21" i="5"/>
  <c r="YM21" i="5"/>
  <c r="XM21" i="5"/>
  <c r="WS21" i="5"/>
  <c r="VY21" i="5"/>
  <c r="VA21" i="5"/>
  <c r="UG21" i="5"/>
  <c r="TM21" i="5"/>
  <c r="SP21" i="5"/>
  <c r="RW21" i="5"/>
  <c r="RD21" i="5"/>
  <c r="QK21" i="5"/>
  <c r="PO21" i="5"/>
  <c r="OV21" i="5"/>
  <c r="OC21" i="5"/>
  <c r="NK21" i="5"/>
  <c r="MS21" i="5"/>
  <c r="MB21" i="5"/>
  <c r="LJ21" i="5"/>
  <c r="KT21" i="5"/>
  <c r="KD21" i="5"/>
  <c r="JN21" i="5"/>
  <c r="IX21" i="5"/>
  <c r="IH21" i="5"/>
  <c r="HR21" i="5"/>
  <c r="HB21" i="5"/>
  <c r="GL21" i="5"/>
  <c r="FV21" i="5"/>
  <c r="FF21" i="5"/>
  <c r="EP21" i="5"/>
  <c r="DZ21" i="5"/>
  <c r="DJ21" i="5"/>
  <c r="CT21" i="5"/>
  <c r="CD21" i="5"/>
  <c r="BN21" i="5"/>
  <c r="AX21" i="5"/>
  <c r="AH21" i="5"/>
  <c r="R21" i="5"/>
  <c r="B21" i="5"/>
  <c r="ALT20" i="5"/>
  <c r="ALD20" i="5"/>
  <c r="AKN20" i="5"/>
  <c r="AJX20" i="5"/>
  <c r="AJH20" i="5"/>
  <c r="AIR20" i="5"/>
  <c r="AIB20" i="5"/>
  <c r="AHL20" i="5"/>
  <c r="AGV20" i="5"/>
  <c r="AGF20" i="5"/>
  <c r="AFP20" i="5"/>
  <c r="AEZ20" i="5"/>
  <c r="AEJ20" i="5"/>
  <c r="ADT20" i="5"/>
  <c r="ADD20" i="5"/>
  <c r="ACN20" i="5"/>
  <c r="ABX20" i="5"/>
  <c r="ABH20" i="5"/>
  <c r="AAR20" i="5"/>
  <c r="AAB20" i="5"/>
  <c r="ZL20" i="5"/>
  <c r="YV20" i="5"/>
  <c r="YF20" i="5"/>
  <c r="XP20" i="5"/>
  <c r="WZ20" i="5"/>
  <c r="WJ20" i="5"/>
  <c r="VT20" i="5"/>
  <c r="VD20" i="5"/>
  <c r="UN20" i="5"/>
  <c r="TX20" i="5"/>
  <c r="TH20" i="5"/>
  <c r="SR20" i="5"/>
  <c r="SB20" i="5"/>
  <c r="RL20" i="5"/>
  <c r="QV20" i="5"/>
  <c r="QF20" i="5"/>
  <c r="PP20" i="5"/>
  <c r="OZ20" i="5"/>
  <c r="OJ20" i="5"/>
  <c r="NT20" i="5"/>
  <c r="ND20" i="5"/>
  <c r="MN20" i="5"/>
  <c r="LX20" i="5"/>
  <c r="LH20" i="5"/>
  <c r="KR20" i="5"/>
  <c r="KB20" i="5"/>
  <c r="JL20" i="5"/>
  <c r="IV20" i="5"/>
  <c r="IF20" i="5"/>
  <c r="HP20" i="5"/>
  <c r="GZ20" i="5"/>
  <c r="GJ20" i="5"/>
  <c r="FT20" i="5"/>
  <c r="FD20" i="5"/>
  <c r="EN20" i="5"/>
  <c r="DX20" i="5"/>
  <c r="DH20" i="5"/>
  <c r="CR20" i="5"/>
  <c r="CB20" i="5"/>
  <c r="BL20" i="5"/>
  <c r="AV20" i="5"/>
  <c r="AF20" i="5"/>
  <c r="P20" i="5"/>
  <c r="AMH19" i="5"/>
  <c r="ALR19" i="5"/>
  <c r="ALB19" i="5"/>
  <c r="AKL19" i="5"/>
  <c r="AJV19" i="5"/>
  <c r="AJF19" i="5"/>
  <c r="AIP19" i="5"/>
  <c r="AHZ19" i="5"/>
  <c r="AHJ19" i="5"/>
  <c r="AGT19" i="5"/>
  <c r="AGD19" i="5"/>
  <c r="AFN19" i="5"/>
  <c r="AEX19" i="5"/>
  <c r="AEH19" i="5"/>
  <c r="ADR19" i="5"/>
  <c r="ADB19" i="5"/>
  <c r="ACL19" i="5"/>
  <c r="ABV19" i="5"/>
  <c r="ABF19" i="5"/>
  <c r="AAP19" i="5"/>
  <c r="ZZ19" i="5"/>
  <c r="ZJ19" i="5"/>
  <c r="YT19" i="5"/>
  <c r="YD19" i="5"/>
  <c r="XN19" i="5"/>
  <c r="WX19" i="5"/>
  <c r="WH19" i="5"/>
  <c r="VR19" i="5"/>
  <c r="VB19" i="5"/>
  <c r="UL19" i="5"/>
  <c r="TV19" i="5"/>
  <c r="TF19" i="5"/>
  <c r="SP19" i="5"/>
  <c r="RZ19" i="5"/>
  <c r="RJ19" i="5"/>
  <c r="QT19" i="5"/>
  <c r="QD19" i="5"/>
  <c r="PN19" i="5"/>
  <c r="OX19" i="5"/>
  <c r="OH19" i="5"/>
  <c r="NR19" i="5"/>
  <c r="NB19" i="5"/>
  <c r="ML19" i="5"/>
  <c r="LV19" i="5"/>
  <c r="LF19" i="5"/>
  <c r="KP19" i="5"/>
  <c r="JZ19" i="5"/>
  <c r="JJ19" i="5"/>
  <c r="IT19" i="5"/>
  <c r="ID19" i="5"/>
  <c r="HN19" i="5"/>
  <c r="GX19" i="5"/>
  <c r="GH19" i="5"/>
  <c r="FR19" i="5"/>
  <c r="FB19" i="5"/>
  <c r="EL19" i="5"/>
  <c r="DV19" i="5"/>
  <c r="DF19" i="5"/>
  <c r="CP19" i="5"/>
  <c r="BZ19" i="5"/>
  <c r="BJ19" i="5"/>
  <c r="AT19" i="5"/>
  <c r="AD19" i="5"/>
  <c r="N19" i="5"/>
  <c r="AMF18" i="5"/>
  <c r="ALP18" i="5"/>
  <c r="AKZ18" i="5"/>
  <c r="AKJ18" i="5"/>
  <c r="AJT18" i="5"/>
  <c r="AJD18" i="5"/>
  <c r="AIN18" i="5"/>
  <c r="AHX18" i="5"/>
  <c r="AHH18" i="5"/>
  <c r="AGR18" i="5"/>
  <c r="AGB18" i="5"/>
  <c r="AFL18" i="5"/>
  <c r="AEV18" i="5"/>
  <c r="AEF18" i="5"/>
  <c r="ADP18" i="5"/>
  <c r="ACZ18" i="5"/>
  <c r="ACJ18" i="5"/>
  <c r="ABT18" i="5"/>
  <c r="ABD18" i="5"/>
  <c r="AAN18" i="5"/>
  <c r="ZX18" i="5"/>
  <c r="ZH18" i="5"/>
  <c r="YR18" i="5"/>
  <c r="YB18" i="5"/>
  <c r="ABD22" i="5"/>
  <c r="XV22" i="5"/>
  <c r="VQ22" i="5"/>
  <c r="TT22" i="5"/>
  <c r="RT22" i="5"/>
  <c r="QB22" i="5"/>
  <c r="OP22" i="5"/>
  <c r="MV22" i="5"/>
  <c r="LD22" i="5"/>
  <c r="JW22" i="5"/>
  <c r="IQ22" i="5"/>
  <c r="HK22" i="5"/>
  <c r="GE22" i="5"/>
  <c r="EY22" i="5"/>
  <c r="DS22" i="5"/>
  <c r="CM22" i="5"/>
  <c r="BG22" i="5"/>
  <c r="AA22" i="5"/>
  <c r="AMC21" i="5"/>
  <c r="AKW21" i="5"/>
  <c r="AJQ21" i="5"/>
  <c r="AIK21" i="5"/>
  <c r="AHE21" i="5"/>
  <c r="AGA21" i="5"/>
  <c r="AFD21" i="5"/>
  <c r="AEA21" i="5"/>
  <c r="ACY21" i="5"/>
  <c r="ACC21" i="5"/>
  <c r="ABB21" i="5"/>
  <c r="AAG21" i="5"/>
  <c r="ZG21" i="5"/>
  <c r="YL21" i="5"/>
  <c r="XL21" i="5"/>
  <c r="WR21" i="5"/>
  <c r="VX21" i="5"/>
  <c r="UZ21" i="5"/>
  <c r="UF21" i="5"/>
  <c r="TL21" i="5"/>
  <c r="SO21" i="5"/>
  <c r="RV21" i="5"/>
  <c r="RC21" i="5"/>
  <c r="QJ21" i="5"/>
  <c r="PN21" i="5"/>
  <c r="OU21" i="5"/>
  <c r="OB21" i="5"/>
  <c r="NJ21" i="5"/>
  <c r="MR21" i="5"/>
  <c r="LZ21" i="5"/>
  <c r="LI21" i="5"/>
  <c r="KS21" i="5"/>
  <c r="KC21" i="5"/>
  <c r="JM21" i="5"/>
  <c r="IW21" i="5"/>
  <c r="IG21" i="5"/>
  <c r="HQ21" i="5"/>
  <c r="HA21" i="5"/>
  <c r="GK21" i="5"/>
  <c r="FU21" i="5"/>
  <c r="FE21" i="5"/>
  <c r="EO21" i="5"/>
  <c r="DY21" i="5"/>
  <c r="DI21" i="5"/>
  <c r="CS21" i="5"/>
  <c r="CC21" i="5"/>
  <c r="BM21" i="5"/>
  <c r="AW21" i="5"/>
  <c r="AG21" i="5"/>
  <c r="Q21" i="5"/>
  <c r="A21" i="5"/>
  <c r="ALS20" i="5"/>
  <c r="ALC20" i="5"/>
  <c r="AKM20" i="5"/>
  <c r="AJW20" i="5"/>
  <c r="AJG20" i="5"/>
  <c r="AIQ20" i="5"/>
  <c r="AIA20" i="5"/>
  <c r="AHK20" i="5"/>
  <c r="AGU20" i="5"/>
  <c r="AGE20" i="5"/>
  <c r="AFO20" i="5"/>
  <c r="AEY20" i="5"/>
  <c r="AEI20" i="5"/>
  <c r="ADS20" i="5"/>
  <c r="ADC20" i="5"/>
  <c r="ACM20" i="5"/>
  <c r="ABW20" i="5"/>
  <c r="ABG20" i="5"/>
  <c r="AAQ20" i="5"/>
  <c r="AAA20" i="5"/>
  <c r="ZK20" i="5"/>
  <c r="YU20" i="5"/>
  <c r="YE20" i="5"/>
  <c r="XO20" i="5"/>
  <c r="WY20" i="5"/>
  <c r="WI20" i="5"/>
  <c r="VS20" i="5"/>
  <c r="VC20" i="5"/>
  <c r="UM20" i="5"/>
  <c r="TW20" i="5"/>
  <c r="TG20" i="5"/>
  <c r="SQ20" i="5"/>
  <c r="SA20" i="5"/>
  <c r="RK20" i="5"/>
  <c r="QU20" i="5"/>
  <c r="QE20" i="5"/>
  <c r="PO20" i="5"/>
  <c r="OY20" i="5"/>
  <c r="OI20" i="5"/>
  <c r="NS20" i="5"/>
  <c r="NC20" i="5"/>
  <c r="MM20" i="5"/>
  <c r="LW20" i="5"/>
  <c r="LG20" i="5"/>
  <c r="KQ20" i="5"/>
  <c r="KA20" i="5"/>
  <c r="JK20" i="5"/>
  <c r="IU20" i="5"/>
  <c r="IE20" i="5"/>
  <c r="HO20" i="5"/>
  <c r="GY20" i="5"/>
  <c r="GI20" i="5"/>
  <c r="FS20" i="5"/>
  <c r="FC20" i="5"/>
  <c r="EM20" i="5"/>
  <c r="DW20" i="5"/>
  <c r="DG20" i="5"/>
  <c r="CQ20" i="5"/>
  <c r="CA20" i="5"/>
  <c r="BK20" i="5"/>
  <c r="AU20" i="5"/>
  <c r="AE20" i="5"/>
  <c r="O20" i="5"/>
  <c r="AMG19" i="5"/>
  <c r="ALQ19" i="5"/>
  <c r="ALA19" i="5"/>
  <c r="AKK19" i="5"/>
  <c r="AJU19" i="5"/>
  <c r="AJE19" i="5"/>
  <c r="AIO19" i="5"/>
  <c r="AHY19" i="5"/>
  <c r="AHI19" i="5"/>
  <c r="AGS19" i="5"/>
  <c r="AGC19" i="5"/>
  <c r="AFM19" i="5"/>
  <c r="AEW19" i="5"/>
  <c r="AEG19" i="5"/>
  <c r="ADQ19" i="5"/>
  <c r="ADA19" i="5"/>
  <c r="ACK19" i="5"/>
  <c r="ABU19" i="5"/>
  <c r="ABE19" i="5"/>
  <c r="AAO19" i="5"/>
  <c r="ZY19" i="5"/>
  <c r="ZI19" i="5"/>
  <c r="YS19" i="5"/>
  <c r="YC19" i="5"/>
  <c r="XM19" i="5"/>
  <c r="WW19" i="5"/>
  <c r="WG19" i="5"/>
  <c r="VQ19" i="5"/>
  <c r="VA19" i="5"/>
  <c r="UK19" i="5"/>
  <c r="TU19" i="5"/>
  <c r="TE19" i="5"/>
  <c r="SO19" i="5"/>
  <c r="RY19" i="5"/>
  <c r="RI19" i="5"/>
  <c r="QS19" i="5"/>
  <c r="QC19" i="5"/>
  <c r="PM19" i="5"/>
  <c r="OW19" i="5"/>
  <c r="OG19" i="5"/>
  <c r="NQ19" i="5"/>
  <c r="NA19" i="5"/>
  <c r="MK19" i="5"/>
  <c r="LU19" i="5"/>
  <c r="LE19" i="5"/>
  <c r="KO19" i="5"/>
  <c r="JY19" i="5"/>
  <c r="JI19" i="5"/>
  <c r="IS19" i="5"/>
  <c r="IC19" i="5"/>
  <c r="HM19" i="5"/>
  <c r="GW19" i="5"/>
  <c r="GG19" i="5"/>
  <c r="FQ19" i="5"/>
  <c r="FA19" i="5"/>
  <c r="EK19" i="5"/>
  <c r="DU19" i="5"/>
  <c r="DE19" i="5"/>
  <c r="CO19" i="5"/>
  <c r="BY19" i="5"/>
  <c r="BI19" i="5"/>
  <c r="AS19" i="5"/>
  <c r="AC19" i="5"/>
  <c r="M19" i="5"/>
  <c r="AME18" i="5"/>
  <c r="ALO18" i="5"/>
  <c r="AKY18" i="5"/>
  <c r="AKI18" i="5"/>
  <c r="AJS18" i="5"/>
  <c r="AJC18" i="5"/>
  <c r="AIM18" i="5"/>
  <c r="AHW18" i="5"/>
  <c r="AHG18" i="5"/>
  <c r="AGQ18" i="5"/>
  <c r="AGA18" i="5"/>
  <c r="AFK18" i="5"/>
  <c r="AEU18" i="5"/>
  <c r="AEE18" i="5"/>
  <c r="ADO18" i="5"/>
  <c r="AAX22" i="5"/>
  <c r="XM22" i="5"/>
  <c r="VP22" i="5"/>
  <c r="TP22" i="5"/>
  <c r="RS22" i="5"/>
  <c r="PZ22" i="5"/>
  <c r="OG22" i="5"/>
  <c r="MU22" i="5"/>
  <c r="LC22" i="5"/>
  <c r="JV22" i="5"/>
  <c r="IP22" i="5"/>
  <c r="HJ22" i="5"/>
  <c r="GD22" i="5"/>
  <c r="EX22" i="5"/>
  <c r="DR22" i="5"/>
  <c r="CL22" i="5"/>
  <c r="BF22" i="5"/>
  <c r="Z22" i="5"/>
  <c r="AMB21" i="5"/>
  <c r="AKV21" i="5"/>
  <c r="AJP21" i="5"/>
  <c r="AIJ21" i="5"/>
  <c r="AHD21" i="5"/>
  <c r="AFZ21" i="5"/>
  <c r="AEV21" i="5"/>
  <c r="ADZ21" i="5"/>
  <c r="ACX21" i="5"/>
  <c r="ACB21" i="5"/>
  <c r="ABA21" i="5"/>
  <c r="AAF21" i="5"/>
  <c r="ZF21" i="5"/>
  <c r="YK21" i="5"/>
  <c r="XK21" i="5"/>
  <c r="WQ21" i="5"/>
  <c r="VS21" i="5"/>
  <c r="UY21" i="5"/>
  <c r="UE21" i="5"/>
  <c r="TG21" i="5"/>
  <c r="SN21" i="5"/>
  <c r="RU21" i="5"/>
  <c r="RB21" i="5"/>
  <c r="QF21" i="5"/>
  <c r="PM21" i="5"/>
  <c r="OT21" i="5"/>
  <c r="OA21" i="5"/>
  <c r="NI21" i="5"/>
  <c r="MP21" i="5"/>
  <c r="LY21" i="5"/>
  <c r="LH21" i="5"/>
  <c r="KR21" i="5"/>
  <c r="KB21" i="5"/>
  <c r="JL21" i="5"/>
  <c r="IV21" i="5"/>
  <c r="IF21" i="5"/>
  <c r="HP21" i="5"/>
  <c r="GZ21" i="5"/>
  <c r="GJ21" i="5"/>
  <c r="FT21" i="5"/>
  <c r="FD21" i="5"/>
  <c r="EN21" i="5"/>
  <c r="DX21" i="5"/>
  <c r="DH21" i="5"/>
  <c r="CR21" i="5"/>
  <c r="CB21" i="5"/>
  <c r="BL21" i="5"/>
  <c r="AV21" i="5"/>
  <c r="AF21" i="5"/>
  <c r="P21" i="5"/>
  <c r="AMH20" i="5"/>
  <c r="ALR20" i="5"/>
  <c r="ALB20" i="5"/>
  <c r="AKL20" i="5"/>
  <c r="AJV20" i="5"/>
  <c r="AJF20" i="5"/>
  <c r="AIP20" i="5"/>
  <c r="AHZ20" i="5"/>
  <c r="AHJ20" i="5"/>
  <c r="AGT20" i="5"/>
  <c r="AGD20" i="5"/>
  <c r="AFN20" i="5"/>
  <c r="AEX20" i="5"/>
  <c r="AEH20" i="5"/>
  <c r="ADR20" i="5"/>
  <c r="ADB20" i="5"/>
  <c r="ACL20" i="5"/>
  <c r="ABV20" i="5"/>
  <c r="ABF20" i="5"/>
  <c r="AAP20" i="5"/>
  <c r="ZZ20" i="5"/>
  <c r="ZJ20" i="5"/>
  <c r="YT20" i="5"/>
  <c r="YD20" i="5"/>
  <c r="XN20" i="5"/>
  <c r="WX20" i="5"/>
  <c r="WH20" i="5"/>
  <c r="VR20" i="5"/>
  <c r="VB20" i="5"/>
  <c r="UL20" i="5"/>
  <c r="TV20" i="5"/>
  <c r="TF20" i="5"/>
  <c r="SP20" i="5"/>
  <c r="RZ20" i="5"/>
  <c r="RJ20" i="5"/>
  <c r="QT20" i="5"/>
  <c r="QD20" i="5"/>
  <c r="PN20" i="5"/>
  <c r="OX20" i="5"/>
  <c r="OH20" i="5"/>
  <c r="NR20" i="5"/>
  <c r="NB20" i="5"/>
  <c r="ML20" i="5"/>
  <c r="LV20" i="5"/>
  <c r="LF20" i="5"/>
  <c r="KP20" i="5"/>
  <c r="JZ20" i="5"/>
  <c r="JJ20" i="5"/>
  <c r="IT20" i="5"/>
  <c r="ID20" i="5"/>
  <c r="HN20" i="5"/>
  <c r="GX20" i="5"/>
  <c r="GH20" i="5"/>
  <c r="FR20" i="5"/>
  <c r="FB20" i="5"/>
  <c r="EL20" i="5"/>
  <c r="DV20" i="5"/>
  <c r="DF20" i="5"/>
  <c r="CP20" i="5"/>
  <c r="BZ20" i="5"/>
  <c r="BJ20" i="5"/>
  <c r="AT20" i="5"/>
  <c r="AD20" i="5"/>
  <c r="N20" i="5"/>
  <c r="AMF19" i="5"/>
  <c r="ALP19" i="5"/>
  <c r="AKZ19" i="5"/>
  <c r="AKJ19" i="5"/>
  <c r="AJT19" i="5"/>
  <c r="AJD19" i="5"/>
  <c r="AIN19" i="5"/>
  <c r="AHX19" i="5"/>
  <c r="AHH19" i="5"/>
  <c r="AGR19" i="5"/>
  <c r="AGB19" i="5"/>
  <c r="AFL19" i="5"/>
  <c r="AEV19" i="5"/>
  <c r="AEF19" i="5"/>
  <c r="ADP19" i="5"/>
  <c r="ACZ19" i="5"/>
  <c r="ACJ19" i="5"/>
  <c r="ABT19" i="5"/>
  <c r="ABD19" i="5"/>
  <c r="AAN19" i="5"/>
  <c r="ZX19" i="5"/>
  <c r="ZH19" i="5"/>
  <c r="YR19" i="5"/>
  <c r="YB19" i="5"/>
  <c r="XL19" i="5"/>
  <c r="WV19" i="5"/>
  <c r="WF19" i="5"/>
  <c r="VP19" i="5"/>
  <c r="UZ19" i="5"/>
  <c r="UJ19" i="5"/>
  <c r="TT19" i="5"/>
  <c r="TD19" i="5"/>
  <c r="SN19" i="5"/>
  <c r="RX19" i="5"/>
  <c r="RH19" i="5"/>
  <c r="QR19" i="5"/>
  <c r="QB19" i="5"/>
  <c r="PL19" i="5"/>
  <c r="OV19" i="5"/>
  <c r="OF19" i="5"/>
  <c r="NP19" i="5"/>
  <c r="MZ19" i="5"/>
  <c r="MJ19" i="5"/>
  <c r="LT19" i="5"/>
  <c r="LD19" i="5"/>
  <c r="KN19" i="5"/>
  <c r="JX19" i="5"/>
  <c r="JH19" i="5"/>
  <c r="IR19" i="5"/>
  <c r="IB19" i="5"/>
  <c r="HL19" i="5"/>
  <c r="GV19" i="5"/>
  <c r="GF19" i="5"/>
  <c r="FP19" i="5"/>
  <c r="EZ19" i="5"/>
  <c r="EJ19" i="5"/>
  <c r="DT19" i="5"/>
  <c r="DD19" i="5"/>
  <c r="CN19" i="5"/>
  <c r="BX19" i="5"/>
  <c r="BH19" i="5"/>
  <c r="AR19" i="5"/>
  <c r="AB19" i="5"/>
  <c r="L19" i="5"/>
  <c r="AMD18" i="5"/>
  <c r="ALN18" i="5"/>
  <c r="AKX18" i="5"/>
  <c r="AKH18" i="5"/>
  <c r="AJR18" i="5"/>
  <c r="AJB18" i="5"/>
  <c r="AIL18" i="5"/>
  <c r="AHV18" i="5"/>
  <c r="AHF18" i="5"/>
  <c r="AGP18" i="5"/>
  <c r="AFZ18" i="5"/>
  <c r="AFJ18" i="5"/>
  <c r="AAN22" i="5"/>
  <c r="XL22" i="5"/>
  <c r="VL22" i="5"/>
  <c r="TO22" i="5"/>
  <c r="RR22" i="5"/>
  <c r="PX22" i="5"/>
  <c r="OF22" i="5"/>
  <c r="MT22" i="5"/>
  <c r="LB22" i="5"/>
  <c r="JU22" i="5"/>
  <c r="IO22" i="5"/>
  <c r="HI22" i="5"/>
  <c r="GC22" i="5"/>
  <c r="EW22" i="5"/>
  <c r="DQ22" i="5"/>
  <c r="CK22" i="5"/>
  <c r="BE22" i="5"/>
  <c r="Y22" i="5"/>
  <c r="AMA21" i="5"/>
  <c r="AKU21" i="5"/>
  <c r="AJO21" i="5"/>
  <c r="AII21" i="5"/>
  <c r="AHC21" i="5"/>
  <c r="AFY21" i="5"/>
  <c r="AEU21" i="5"/>
  <c r="ADY21" i="5"/>
  <c r="ACW21" i="5"/>
  <c r="ABU21" i="5"/>
  <c r="AAZ21" i="5"/>
  <c r="AAA21" i="5"/>
  <c r="ZE21" i="5"/>
  <c r="YJ21" i="5"/>
  <c r="XJ21" i="5"/>
  <c r="WP21" i="5"/>
  <c r="VR21" i="5"/>
  <c r="UX21" i="5"/>
  <c r="UD21" i="5"/>
  <c r="TF21" i="5"/>
  <c r="SM21" i="5"/>
  <c r="RT21" i="5"/>
  <c r="RA21" i="5"/>
  <c r="QE21" i="5"/>
  <c r="PL21" i="5"/>
  <c r="OS21" i="5"/>
  <c r="NZ21" i="5"/>
  <c r="NH21" i="5"/>
  <c r="MO21" i="5"/>
  <c r="LX21" i="5"/>
  <c r="LG21" i="5"/>
  <c r="KQ21" i="5"/>
  <c r="KA21" i="5"/>
  <c r="JK21" i="5"/>
  <c r="IU21" i="5"/>
  <c r="IE21" i="5"/>
  <c r="HO21" i="5"/>
  <c r="GY21" i="5"/>
  <c r="GI21" i="5"/>
  <c r="FS21" i="5"/>
  <c r="FC21" i="5"/>
  <c r="EM21" i="5"/>
  <c r="DW21" i="5"/>
  <c r="DG21" i="5"/>
  <c r="CQ21" i="5"/>
  <c r="CA21" i="5"/>
  <c r="BK21" i="5"/>
  <c r="AU21" i="5"/>
  <c r="AE21" i="5"/>
  <c r="O21" i="5"/>
  <c r="AMG20" i="5"/>
  <c r="ALQ20" i="5"/>
  <c r="ALA20" i="5"/>
  <c r="AKK20" i="5"/>
  <c r="AJU20" i="5"/>
  <c r="AJE20" i="5"/>
  <c r="AIO20" i="5"/>
  <c r="AHY20" i="5"/>
  <c r="AHI20" i="5"/>
  <c r="AGS20" i="5"/>
  <c r="AGC20" i="5"/>
  <c r="AFM20" i="5"/>
  <c r="AEW20" i="5"/>
  <c r="AEG20" i="5"/>
  <c r="ADQ20" i="5"/>
  <c r="ADA20" i="5"/>
  <c r="ACK20" i="5"/>
  <c r="ABU20" i="5"/>
  <c r="ABE20" i="5"/>
  <c r="AAO20" i="5"/>
  <c r="ZY20" i="5"/>
  <c r="ZI20" i="5"/>
  <c r="YS20" i="5"/>
  <c r="YC20" i="5"/>
  <c r="XM20" i="5"/>
  <c r="WW20" i="5"/>
  <c r="WG20" i="5"/>
  <c r="VQ20" i="5"/>
  <c r="VA20" i="5"/>
  <c r="UK20" i="5"/>
  <c r="TU20" i="5"/>
  <c r="TE20" i="5"/>
  <c r="SO20" i="5"/>
  <c r="RY20" i="5"/>
  <c r="RI20" i="5"/>
  <c r="QS20" i="5"/>
  <c r="QC20" i="5"/>
  <c r="PM20" i="5"/>
  <c r="OW20" i="5"/>
  <c r="OG20" i="5"/>
  <c r="NQ20" i="5"/>
  <c r="NA20" i="5"/>
  <c r="MK20" i="5"/>
  <c r="LU20" i="5"/>
  <c r="LE20" i="5"/>
  <c r="KO20" i="5"/>
  <c r="JY20" i="5"/>
  <c r="JI20" i="5"/>
  <c r="IS20" i="5"/>
  <c r="IC20" i="5"/>
  <c r="HM20" i="5"/>
  <c r="GW20" i="5"/>
  <c r="GG20" i="5"/>
  <c r="FQ20" i="5"/>
  <c r="FA20" i="5"/>
  <c r="EK20" i="5"/>
  <c r="DU20" i="5"/>
  <c r="DE20" i="5"/>
  <c r="CO20" i="5"/>
  <c r="BY20" i="5"/>
  <c r="BI20" i="5"/>
  <c r="AS20" i="5"/>
  <c r="AC20" i="5"/>
  <c r="M20" i="5"/>
  <c r="AME19" i="5"/>
  <c r="ALO19" i="5"/>
  <c r="AKY19" i="5"/>
  <c r="AKI19" i="5"/>
  <c r="AJS19" i="5"/>
  <c r="AJC19" i="5"/>
  <c r="AIM19" i="5"/>
  <c r="AHW19" i="5"/>
  <c r="AHG19" i="5"/>
  <c r="AGQ19" i="5"/>
  <c r="AGA19" i="5"/>
  <c r="AFK19" i="5"/>
  <c r="AEU19" i="5"/>
  <c r="AEE19" i="5"/>
  <c r="ADO19" i="5"/>
  <c r="ACY19" i="5"/>
  <c r="ACI19" i="5"/>
  <c r="ABS19" i="5"/>
  <c r="ABC19" i="5"/>
  <c r="AAM19" i="5"/>
  <c r="ZW19" i="5"/>
  <c r="ZG19" i="5"/>
  <c r="YQ19" i="5"/>
  <c r="YA19" i="5"/>
  <c r="XK19" i="5"/>
  <c r="WU19" i="5"/>
  <c r="WE19" i="5"/>
  <c r="VO19" i="5"/>
  <c r="UY19" i="5"/>
  <c r="UI19" i="5"/>
  <c r="TS19" i="5"/>
  <c r="TC19" i="5"/>
  <c r="SM19" i="5"/>
  <c r="RW19" i="5"/>
  <c r="RG19" i="5"/>
  <c r="QQ19" i="5"/>
  <c r="QA19" i="5"/>
  <c r="PK19" i="5"/>
  <c r="OU19" i="5"/>
  <c r="OE19" i="5"/>
  <c r="NO19" i="5"/>
  <c r="MY19" i="5"/>
  <c r="MI19" i="5"/>
  <c r="LS19" i="5"/>
  <c r="LC19" i="5"/>
  <c r="KM19" i="5"/>
  <c r="JW19" i="5"/>
  <c r="JG19" i="5"/>
  <c r="IQ19" i="5"/>
  <c r="IA19" i="5"/>
  <c r="HK19" i="5"/>
  <c r="GU19" i="5"/>
  <c r="GE19" i="5"/>
  <c r="FO19" i="5"/>
  <c r="EY19" i="5"/>
  <c r="EI19" i="5"/>
  <c r="DS19" i="5"/>
  <c r="DC19" i="5"/>
  <c r="CM19" i="5"/>
  <c r="BW19" i="5"/>
  <c r="BG19" i="5"/>
  <c r="AQ19" i="5"/>
  <c r="AA19" i="5"/>
  <c r="K19" i="5"/>
  <c r="AMC18" i="5"/>
  <c r="ALM18" i="5"/>
  <c r="AKW18" i="5"/>
  <c r="AKG18" i="5"/>
  <c r="AAH22" i="5"/>
  <c r="XH22" i="5"/>
  <c r="VK22" i="5"/>
  <c r="TN22" i="5"/>
  <c r="RI22" i="5"/>
  <c r="PW22" i="5"/>
  <c r="OD22" i="5"/>
  <c r="MK22" i="5"/>
  <c r="KZ22" i="5"/>
  <c r="JT22" i="5"/>
  <c r="IN22" i="5"/>
  <c r="HH22" i="5"/>
  <c r="GB22" i="5"/>
  <c r="EV22" i="5"/>
  <c r="DP22" i="5"/>
  <c r="CJ22" i="5"/>
  <c r="BD22" i="5"/>
  <c r="X22" i="5"/>
  <c r="ALZ21" i="5"/>
  <c r="AKT21" i="5"/>
  <c r="AJN21" i="5"/>
  <c r="AIH21" i="5"/>
  <c r="AHB21" i="5"/>
  <c r="AFX21" i="5"/>
  <c r="AET21" i="5"/>
  <c r="ADX21" i="5"/>
  <c r="ACV21" i="5"/>
  <c r="ABT21" i="5"/>
  <c r="AAY21" i="5"/>
  <c r="ZY21" i="5"/>
  <c r="ZD21" i="5"/>
  <c r="YE21" i="5"/>
  <c r="XI21" i="5"/>
  <c r="WO21" i="5"/>
  <c r="VQ21" i="5"/>
  <c r="UW21" i="5"/>
  <c r="UC21" i="5"/>
  <c r="TE21" i="5"/>
  <c r="SL21" i="5"/>
  <c r="RS21" i="5"/>
  <c r="QZ21" i="5"/>
  <c r="QD21" i="5"/>
  <c r="PK21" i="5"/>
  <c r="OR21" i="5"/>
  <c r="NY21" i="5"/>
  <c r="NF21" i="5"/>
  <c r="MN21" i="5"/>
  <c r="LW21" i="5"/>
  <c r="LF21" i="5"/>
  <c r="KP21" i="5"/>
  <c r="JZ21" i="5"/>
  <c r="JJ21" i="5"/>
  <c r="IT21" i="5"/>
  <c r="ID21" i="5"/>
  <c r="HN21" i="5"/>
  <c r="GX21" i="5"/>
  <c r="GH21" i="5"/>
  <c r="FR21" i="5"/>
  <c r="FB21" i="5"/>
  <c r="EL21" i="5"/>
  <c r="DV21" i="5"/>
  <c r="DF21" i="5"/>
  <c r="CP21" i="5"/>
  <c r="BZ21" i="5"/>
  <c r="BJ21" i="5"/>
  <c r="AT21" i="5"/>
  <c r="AD21" i="5"/>
  <c r="N21" i="5"/>
  <c r="AMF20" i="5"/>
  <c r="ALP20" i="5"/>
  <c r="AKZ20" i="5"/>
  <c r="AKJ20" i="5"/>
  <c r="AJT20" i="5"/>
  <c r="AJD20" i="5"/>
  <c r="AIN20" i="5"/>
  <c r="AHX20" i="5"/>
  <c r="AHH20" i="5"/>
  <c r="AGR20" i="5"/>
  <c r="AGB20" i="5"/>
  <c r="AFL20" i="5"/>
  <c r="AEV20" i="5"/>
  <c r="AEF20" i="5"/>
  <c r="ADP20" i="5"/>
  <c r="ACZ20" i="5"/>
  <c r="ACJ20" i="5"/>
  <c r="ABT20" i="5"/>
  <c r="ABD20" i="5"/>
  <c r="AAN20" i="5"/>
  <c r="ZX20" i="5"/>
  <c r="ZH20" i="5"/>
  <c r="YR20" i="5"/>
  <c r="YB20" i="5"/>
  <c r="XL20" i="5"/>
  <c r="WV20" i="5"/>
  <c r="WF20" i="5"/>
  <c r="VP20" i="5"/>
  <c r="UZ20" i="5"/>
  <c r="UJ20" i="5"/>
  <c r="TT20" i="5"/>
  <c r="TD20" i="5"/>
  <c r="SN20" i="5"/>
  <c r="RX20" i="5"/>
  <c r="RH20" i="5"/>
  <c r="QR20" i="5"/>
  <c r="QB20" i="5"/>
  <c r="PL20" i="5"/>
  <c r="OV20" i="5"/>
  <c r="OF20" i="5"/>
  <c r="NP20" i="5"/>
  <c r="MZ20" i="5"/>
  <c r="MJ20" i="5"/>
  <c r="LT20" i="5"/>
  <c r="LD20" i="5"/>
  <c r="KN20" i="5"/>
  <c r="JX20" i="5"/>
  <c r="JH20" i="5"/>
  <c r="IR20" i="5"/>
  <c r="IB20" i="5"/>
  <c r="HL20" i="5"/>
  <c r="GV20" i="5"/>
  <c r="GF20" i="5"/>
  <c r="FP20" i="5"/>
  <c r="EZ20" i="5"/>
  <c r="EJ20" i="5"/>
  <c r="DT20" i="5"/>
  <c r="DD20" i="5"/>
  <c r="CN20" i="5"/>
  <c r="BX20" i="5"/>
  <c r="BH20" i="5"/>
  <c r="AR20" i="5"/>
  <c r="AB20" i="5"/>
  <c r="L20" i="5"/>
  <c r="AMD19" i="5"/>
  <c r="ALN19" i="5"/>
  <c r="AKX19" i="5"/>
  <c r="AKH19" i="5"/>
  <c r="AJR19" i="5"/>
  <c r="AJB19" i="5"/>
  <c r="AIL19" i="5"/>
  <c r="AHV19" i="5"/>
  <c r="AHF19" i="5"/>
  <c r="AGP19" i="5"/>
  <c r="AFZ19" i="5"/>
  <c r="AFJ19" i="5"/>
  <c r="AET19" i="5"/>
  <c r="AED19" i="5"/>
  <c r="ADN19" i="5"/>
  <c r="ACX19" i="5"/>
  <c r="ACH19" i="5"/>
  <c r="ABR19" i="5"/>
  <c r="ABB19" i="5"/>
  <c r="AAL19" i="5"/>
  <c r="ZV19" i="5"/>
  <c r="ZF19" i="5"/>
  <c r="YP19" i="5"/>
  <c r="XZ19" i="5"/>
  <c r="XJ19" i="5"/>
  <c r="WT19" i="5"/>
  <c r="WD19" i="5"/>
  <c r="VN19" i="5"/>
  <c r="UX19" i="5"/>
  <c r="UH19" i="5"/>
  <c r="TR19" i="5"/>
  <c r="TB19" i="5"/>
  <c r="SL19" i="5"/>
  <c r="RV19" i="5"/>
  <c r="RF19" i="5"/>
  <c r="QP19" i="5"/>
  <c r="PZ19" i="5"/>
  <c r="PJ19" i="5"/>
  <c r="OT19" i="5"/>
  <c r="OD19" i="5"/>
  <c r="NN19" i="5"/>
  <c r="MX19" i="5"/>
  <c r="MH19" i="5"/>
  <c r="LR19" i="5"/>
  <c r="LB19" i="5"/>
  <c r="KL19" i="5"/>
  <c r="JV19" i="5"/>
  <c r="JF19" i="5"/>
  <c r="IP19" i="5"/>
  <c r="HZ19" i="5"/>
  <c r="HJ19" i="5"/>
  <c r="GT19" i="5"/>
  <c r="GD19" i="5"/>
  <c r="FN19" i="5"/>
  <c r="EX19" i="5"/>
  <c r="ZX22" i="5"/>
  <c r="XG22" i="5"/>
  <c r="VJ22" i="5"/>
  <c r="TE22" i="5"/>
  <c r="RH22" i="5"/>
  <c r="PV22" i="5"/>
  <c r="OB22" i="5"/>
  <c r="MJ22" i="5"/>
  <c r="KY22" i="5"/>
  <c r="JS22" i="5"/>
  <c r="IM22" i="5"/>
  <c r="HG22" i="5"/>
  <c r="GA22" i="5"/>
  <c r="EU22" i="5"/>
  <c r="DO22" i="5"/>
  <c r="CI22" i="5"/>
  <c r="BC22" i="5"/>
  <c r="W22" i="5"/>
  <c r="ALY21" i="5"/>
  <c r="AKS21" i="5"/>
  <c r="AJM21" i="5"/>
  <c r="AIG21" i="5"/>
  <c r="AHA21" i="5"/>
  <c r="AFW21" i="5"/>
  <c r="AES21" i="5"/>
  <c r="ADQ21" i="5"/>
  <c r="ACU21" i="5"/>
  <c r="ABS21" i="5"/>
  <c r="AAX21" i="5"/>
  <c r="ZX21" i="5"/>
  <c r="ZC21" i="5"/>
  <c r="YC21" i="5"/>
  <c r="XH21" i="5"/>
  <c r="WN21" i="5"/>
  <c r="VP21" i="5"/>
  <c r="UV21" i="5"/>
  <c r="UB21" i="5"/>
  <c r="TD21" i="5"/>
  <c r="SK21" i="5"/>
  <c r="RR21" i="5"/>
  <c r="QV21" i="5"/>
  <c r="QC21" i="5"/>
  <c r="PJ21" i="5"/>
  <c r="OQ21" i="5"/>
  <c r="NX21" i="5"/>
  <c r="ND21" i="5"/>
  <c r="MM21" i="5"/>
  <c r="LV21" i="5"/>
  <c r="LE21" i="5"/>
  <c r="KO21" i="5"/>
  <c r="JY21" i="5"/>
  <c r="JI21" i="5"/>
  <c r="IS21" i="5"/>
  <c r="IC21" i="5"/>
  <c r="HM21" i="5"/>
  <c r="GW21" i="5"/>
  <c r="GG21" i="5"/>
  <c r="FQ21" i="5"/>
  <c r="FA21" i="5"/>
  <c r="EK21" i="5"/>
  <c r="DU21" i="5"/>
  <c r="DE21" i="5"/>
  <c r="CO21" i="5"/>
  <c r="BY21" i="5"/>
  <c r="BI21" i="5"/>
  <c r="AS21" i="5"/>
  <c r="AC21" i="5"/>
  <c r="M21" i="5"/>
  <c r="AME20" i="5"/>
  <c r="ALO20" i="5"/>
  <c r="AKY20" i="5"/>
  <c r="AKI20" i="5"/>
  <c r="AJS20" i="5"/>
  <c r="AJC20" i="5"/>
  <c r="AIM20" i="5"/>
  <c r="AHW20" i="5"/>
  <c r="AHG20" i="5"/>
  <c r="AGQ20" i="5"/>
  <c r="AGA20" i="5"/>
  <c r="AFK20" i="5"/>
  <c r="AEU20" i="5"/>
  <c r="AEE20" i="5"/>
  <c r="ADO20" i="5"/>
  <c r="ACY20" i="5"/>
  <c r="ACI20" i="5"/>
  <c r="ABS20" i="5"/>
  <c r="ABC20" i="5"/>
  <c r="AAM20" i="5"/>
  <c r="ZW20" i="5"/>
  <c r="ZG20" i="5"/>
  <c r="YQ20" i="5"/>
  <c r="YA20" i="5"/>
  <c r="XK20" i="5"/>
  <c r="WU20" i="5"/>
  <c r="WE20" i="5"/>
  <c r="VO20" i="5"/>
  <c r="UY20" i="5"/>
  <c r="UI20" i="5"/>
  <c r="TS20" i="5"/>
  <c r="TC20" i="5"/>
  <c r="SM20" i="5"/>
  <c r="RW20" i="5"/>
  <c r="RG20" i="5"/>
  <c r="QQ20" i="5"/>
  <c r="QA20" i="5"/>
  <c r="PK20" i="5"/>
  <c r="OU20" i="5"/>
  <c r="OE20" i="5"/>
  <c r="NO20" i="5"/>
  <c r="MY20" i="5"/>
  <c r="MI20" i="5"/>
  <c r="LS20" i="5"/>
  <c r="LC20" i="5"/>
  <c r="KM20" i="5"/>
  <c r="JW20" i="5"/>
  <c r="JG20" i="5"/>
  <c r="IQ20" i="5"/>
  <c r="IA20" i="5"/>
  <c r="HK20" i="5"/>
  <c r="GU20" i="5"/>
  <c r="GE20" i="5"/>
  <c r="FO20" i="5"/>
  <c r="EY20" i="5"/>
  <c r="EI20" i="5"/>
  <c r="DS20" i="5"/>
  <c r="DC20" i="5"/>
  <c r="CM20" i="5"/>
  <c r="BW20" i="5"/>
  <c r="BG20" i="5"/>
  <c r="AQ20" i="5"/>
  <c r="AA20" i="5"/>
  <c r="K20" i="5"/>
  <c r="AMC19" i="5"/>
  <c r="ALM19" i="5"/>
  <c r="AKW19" i="5"/>
  <c r="AKG19" i="5"/>
  <c r="AJQ19" i="5"/>
  <c r="AJA19" i="5"/>
  <c r="AIK19" i="5"/>
  <c r="AHU19" i="5"/>
  <c r="AHE19" i="5"/>
  <c r="AGO19" i="5"/>
  <c r="AFY19" i="5"/>
  <c r="AFI19" i="5"/>
  <c r="AES19" i="5"/>
  <c r="AEC19" i="5"/>
  <c r="ADM19" i="5"/>
  <c r="ACW19" i="5"/>
  <c r="ACG19" i="5"/>
  <c r="ABQ19" i="5"/>
  <c r="ABA19" i="5"/>
  <c r="AAK19" i="5"/>
  <c r="ZU19" i="5"/>
  <c r="ZE19" i="5"/>
  <c r="YO19" i="5"/>
  <c r="XY19" i="5"/>
  <c r="XI19" i="5"/>
  <c r="WS19" i="5"/>
  <c r="WC19" i="5"/>
  <c r="VM19" i="5"/>
  <c r="UW19" i="5"/>
  <c r="UG19" i="5"/>
  <c r="TQ19" i="5"/>
  <c r="TA19" i="5"/>
  <c r="SK19" i="5"/>
  <c r="RU19" i="5"/>
  <c r="RE19" i="5"/>
  <c r="QO19" i="5"/>
  <c r="PY19" i="5"/>
  <c r="PI19" i="5"/>
  <c r="OS19" i="5"/>
  <c r="OC19" i="5"/>
  <c r="NM19" i="5"/>
  <c r="MW19" i="5"/>
  <c r="MG19" i="5"/>
  <c r="LQ19" i="5"/>
  <c r="LA19" i="5"/>
  <c r="KK19" i="5"/>
  <c r="JU19" i="5"/>
  <c r="JE19" i="5"/>
  <c r="IO19" i="5"/>
  <c r="HY19" i="5"/>
  <c r="HI19" i="5"/>
  <c r="GS19" i="5"/>
  <c r="GC19" i="5"/>
  <c r="FM19" i="5"/>
  <c r="EW19" i="5"/>
  <c r="EG19" i="5"/>
  <c r="DQ19" i="5"/>
  <c r="DA19" i="5"/>
  <c r="CK19" i="5"/>
  <c r="BU19" i="5"/>
  <c r="BE19" i="5"/>
  <c r="AO19" i="5"/>
  <c r="Y19" i="5"/>
  <c r="I19" i="5"/>
  <c r="AMA18" i="5"/>
  <c r="ALK18" i="5"/>
  <c r="AKU18" i="5"/>
  <c r="AKE18" i="5"/>
  <c r="AJO18" i="5"/>
  <c r="AIY18" i="5"/>
  <c r="AII18" i="5"/>
  <c r="ZR22" i="5"/>
  <c r="XF22" i="5"/>
  <c r="VA22" i="5"/>
  <c r="TD22" i="5"/>
  <c r="RF22" i="5"/>
  <c r="PM22" i="5"/>
  <c r="OA22" i="5"/>
  <c r="MH22" i="5"/>
  <c r="KX22" i="5"/>
  <c r="JR22" i="5"/>
  <c r="IL22" i="5"/>
  <c r="HF22" i="5"/>
  <c r="FZ22" i="5"/>
  <c r="ET22" i="5"/>
  <c r="DN22" i="5"/>
  <c r="CH22" i="5"/>
  <c r="BB22" i="5"/>
  <c r="V22" i="5"/>
  <c r="ALX21" i="5"/>
  <c r="AKR21" i="5"/>
  <c r="AJL21" i="5"/>
  <c r="AIF21" i="5"/>
  <c r="AGZ21" i="5"/>
  <c r="AFV21" i="5"/>
  <c r="AER21" i="5"/>
  <c r="ADP21" i="5"/>
  <c r="ACT21" i="5"/>
  <c r="ABR21" i="5"/>
  <c r="AAW21" i="5"/>
  <c r="ZW21" i="5"/>
  <c r="ZB21" i="5"/>
  <c r="YB21" i="5"/>
  <c r="XG21" i="5"/>
  <c r="WI21" i="5"/>
  <c r="VO21" i="5"/>
  <c r="UU21" i="5"/>
  <c r="TW21" i="5"/>
  <c r="TC21" i="5"/>
  <c r="SJ21" i="5"/>
  <c r="RQ21" i="5"/>
  <c r="QU21" i="5"/>
  <c r="QB21" i="5"/>
  <c r="PI21" i="5"/>
  <c r="OP21" i="5"/>
  <c r="NV21" i="5"/>
  <c r="NC21" i="5"/>
  <c r="ML21" i="5"/>
  <c r="LU21" i="5"/>
  <c r="LD21" i="5"/>
  <c r="KN21" i="5"/>
  <c r="JX21" i="5"/>
  <c r="JH21" i="5"/>
  <c r="IR21" i="5"/>
  <c r="IB21" i="5"/>
  <c r="HL21" i="5"/>
  <c r="GV21" i="5"/>
  <c r="GF21" i="5"/>
  <c r="FP21" i="5"/>
  <c r="EZ21" i="5"/>
  <c r="EJ21" i="5"/>
  <c r="DT21" i="5"/>
  <c r="DD21" i="5"/>
  <c r="CN21" i="5"/>
  <c r="BX21" i="5"/>
  <c r="BH21" i="5"/>
  <c r="AR21" i="5"/>
  <c r="AB21" i="5"/>
  <c r="L21" i="5"/>
  <c r="AMD20" i="5"/>
  <c r="ALN20" i="5"/>
  <c r="AKX20" i="5"/>
  <c r="AKH20" i="5"/>
  <c r="AJR20" i="5"/>
  <c r="AJB20" i="5"/>
  <c r="AIL20" i="5"/>
  <c r="AHV20" i="5"/>
  <c r="AHF20" i="5"/>
  <c r="AGP20" i="5"/>
  <c r="AFZ20" i="5"/>
  <c r="AFJ20" i="5"/>
  <c r="AET20" i="5"/>
  <c r="AED20" i="5"/>
  <c r="ADN20" i="5"/>
  <c r="ACX20" i="5"/>
  <c r="ACH20" i="5"/>
  <c r="ABR20" i="5"/>
  <c r="ABB20" i="5"/>
  <c r="AAL20" i="5"/>
  <c r="ZV20" i="5"/>
  <c r="ZF20" i="5"/>
  <c r="YP20" i="5"/>
  <c r="XZ20" i="5"/>
  <c r="XJ20" i="5"/>
  <c r="WT20" i="5"/>
  <c r="WD20" i="5"/>
  <c r="VN20" i="5"/>
  <c r="UX20" i="5"/>
  <c r="UH20" i="5"/>
  <c r="TR20" i="5"/>
  <c r="TB20" i="5"/>
  <c r="SL20" i="5"/>
  <c r="RV20" i="5"/>
  <c r="RF20" i="5"/>
  <c r="QP20" i="5"/>
  <c r="PZ20" i="5"/>
  <c r="PJ20" i="5"/>
  <c r="OT20" i="5"/>
  <c r="OD20" i="5"/>
  <c r="NN20" i="5"/>
  <c r="MX20" i="5"/>
  <c r="MH20" i="5"/>
  <c r="LR20" i="5"/>
  <c r="LB20" i="5"/>
  <c r="KL20" i="5"/>
  <c r="JV20" i="5"/>
  <c r="JF20" i="5"/>
  <c r="IP20" i="5"/>
  <c r="HZ20" i="5"/>
  <c r="HJ20" i="5"/>
  <c r="GT20" i="5"/>
  <c r="GD20" i="5"/>
  <c r="FN20" i="5"/>
  <c r="EX20" i="5"/>
  <c r="EH20" i="5"/>
  <c r="DR20" i="5"/>
  <c r="DB20" i="5"/>
  <c r="CL20" i="5"/>
  <c r="BV20" i="5"/>
  <c r="BF20" i="5"/>
  <c r="AP20" i="5"/>
  <c r="Z20" i="5"/>
  <c r="J20" i="5"/>
  <c r="AMB19" i="5"/>
  <c r="ALL19" i="5"/>
  <c r="AKV19" i="5"/>
  <c r="AKF19" i="5"/>
  <c r="AJP19" i="5"/>
  <c r="AIZ19" i="5"/>
  <c r="AIJ19" i="5"/>
  <c r="AHT19" i="5"/>
  <c r="AHD19" i="5"/>
  <c r="AGN19" i="5"/>
  <c r="AFX19" i="5"/>
  <c r="AFH19" i="5"/>
  <c r="AER19" i="5"/>
  <c r="ZH22" i="5"/>
  <c r="WW22" i="5"/>
  <c r="UZ22" i="5"/>
  <c r="SZ22" i="5"/>
  <c r="RD22" i="5"/>
  <c r="PL22" i="5"/>
  <c r="NZ22" i="5"/>
  <c r="MF22" i="5"/>
  <c r="KO22" i="5"/>
  <c r="JI22" i="5"/>
  <c r="IC22" i="5"/>
  <c r="GW22" i="5"/>
  <c r="FQ22" i="5"/>
  <c r="EK22" i="5"/>
  <c r="DE22" i="5"/>
  <c r="BY22" i="5"/>
  <c r="AS22" i="5"/>
  <c r="M22" i="5"/>
  <c r="ALO21" i="5"/>
  <c r="AKI21" i="5"/>
  <c r="AJC21" i="5"/>
  <c r="AHW21" i="5"/>
  <c r="AGR21" i="5"/>
  <c r="AFU21" i="5"/>
  <c r="AEQ21" i="5"/>
  <c r="ADO21" i="5"/>
  <c r="ACS21" i="5"/>
  <c r="ABQ21" i="5"/>
  <c r="AAV21" i="5"/>
  <c r="ZV21" i="5"/>
  <c r="ZA21" i="5"/>
  <c r="YA21" i="5"/>
  <c r="XF21" i="5"/>
  <c r="WH21" i="5"/>
  <c r="VN21" i="5"/>
  <c r="UT21" i="5"/>
  <c r="TV21" i="5"/>
  <c r="TB21" i="5"/>
  <c r="SI21" i="5"/>
  <c r="RP21" i="5"/>
  <c r="QT21" i="5"/>
  <c r="QA21" i="5"/>
  <c r="PH21" i="5"/>
  <c r="OO21" i="5"/>
  <c r="NT21" i="5"/>
  <c r="NB21" i="5"/>
  <c r="MK21" i="5"/>
  <c r="LT21" i="5"/>
  <c r="LC21" i="5"/>
  <c r="KM21" i="5"/>
  <c r="JW21" i="5"/>
  <c r="JG21" i="5"/>
  <c r="IQ21" i="5"/>
  <c r="IA21" i="5"/>
  <c r="HK21" i="5"/>
  <c r="GU21" i="5"/>
  <c r="GE21" i="5"/>
  <c r="FO21" i="5"/>
  <c r="EY21" i="5"/>
  <c r="EI21" i="5"/>
  <c r="DS21" i="5"/>
  <c r="DC21" i="5"/>
  <c r="CM21" i="5"/>
  <c r="BW21" i="5"/>
  <c r="BG21" i="5"/>
  <c r="AQ21" i="5"/>
  <c r="AA21" i="5"/>
  <c r="K21" i="5"/>
  <c r="AMC20" i="5"/>
  <c r="ALM20" i="5"/>
  <c r="AKW20" i="5"/>
  <c r="AKG20" i="5"/>
  <c r="AJQ20" i="5"/>
  <c r="AJA20" i="5"/>
  <c r="AIK20" i="5"/>
  <c r="AHU20" i="5"/>
  <c r="AHE20" i="5"/>
  <c r="AGO20" i="5"/>
  <c r="AFY20" i="5"/>
  <c r="AFI20" i="5"/>
  <c r="AES20" i="5"/>
  <c r="AEC20" i="5"/>
  <c r="ADM20" i="5"/>
  <c r="ACW20" i="5"/>
  <c r="ACG20" i="5"/>
  <c r="ABQ20" i="5"/>
  <c r="ABA20" i="5"/>
  <c r="AAK20" i="5"/>
  <c r="ZU20" i="5"/>
  <c r="ZE20" i="5"/>
  <c r="YO20" i="5"/>
  <c r="XY20" i="5"/>
  <c r="XI20" i="5"/>
  <c r="WS20" i="5"/>
  <c r="WC20" i="5"/>
  <c r="VM20" i="5"/>
  <c r="UW20" i="5"/>
  <c r="UG20" i="5"/>
  <c r="TQ20" i="5"/>
  <c r="TA20" i="5"/>
  <c r="SK20" i="5"/>
  <c r="RU20" i="5"/>
  <c r="RE20" i="5"/>
  <c r="QO20" i="5"/>
  <c r="PY20" i="5"/>
  <c r="PI20" i="5"/>
  <c r="OS20" i="5"/>
  <c r="OC20" i="5"/>
  <c r="NM20" i="5"/>
  <c r="MW20" i="5"/>
  <c r="MG20" i="5"/>
  <c r="LQ20" i="5"/>
  <c r="LA20" i="5"/>
  <c r="KK20" i="5"/>
  <c r="JU20" i="5"/>
  <c r="JE20" i="5"/>
  <c r="IO20" i="5"/>
  <c r="HY20" i="5"/>
  <c r="HI20" i="5"/>
  <c r="GS20" i="5"/>
  <c r="GC20" i="5"/>
  <c r="FM20" i="5"/>
  <c r="EW20" i="5"/>
  <c r="EG20" i="5"/>
  <c r="DQ20" i="5"/>
  <c r="DA20" i="5"/>
  <c r="CK20" i="5"/>
  <c r="BU20" i="5"/>
  <c r="BE20" i="5"/>
  <c r="AO20" i="5"/>
  <c r="Y20" i="5"/>
  <c r="I20" i="5"/>
  <c r="AMA19" i="5"/>
  <c r="ALK19" i="5"/>
  <c r="AKU19" i="5"/>
  <c r="AKE19" i="5"/>
  <c r="AJO19" i="5"/>
  <c r="AIY19" i="5"/>
  <c r="AII19" i="5"/>
  <c r="AHS19" i="5"/>
  <c r="AHC19" i="5"/>
  <c r="AGM19" i="5"/>
  <c r="AFW19" i="5"/>
  <c r="AFG19" i="5"/>
  <c r="AEQ19" i="5"/>
  <c r="AEA19" i="5"/>
  <c r="ADK19" i="5"/>
  <c r="ACU19" i="5"/>
  <c r="ACE19" i="5"/>
  <c r="ABO19" i="5"/>
  <c r="AAY19" i="5"/>
  <c r="AAI19" i="5"/>
  <c r="ZS19" i="5"/>
  <c r="ZC19" i="5"/>
  <c r="YM19" i="5"/>
  <c r="XW19" i="5"/>
  <c r="XG19" i="5"/>
  <c r="WQ19" i="5"/>
  <c r="WA19" i="5"/>
  <c r="VK19" i="5"/>
  <c r="UU19" i="5"/>
  <c r="UE19" i="5"/>
  <c r="TO19" i="5"/>
  <c r="SY19" i="5"/>
  <c r="SI19" i="5"/>
  <c r="RS19" i="5"/>
  <c r="RC19" i="5"/>
  <c r="QM19" i="5"/>
  <c r="PW19" i="5"/>
  <c r="PG19" i="5"/>
  <c r="ZB22" i="5"/>
  <c r="WV22" i="5"/>
  <c r="UV22" i="5"/>
  <c r="SY22" i="5"/>
  <c r="RC22" i="5"/>
  <c r="PJ22" i="5"/>
  <c r="NQ22" i="5"/>
  <c r="ME22" i="5"/>
  <c r="KN22" i="5"/>
  <c r="JH22" i="5"/>
  <c r="IB22" i="5"/>
  <c r="GV22" i="5"/>
  <c r="FP22" i="5"/>
  <c r="EJ22" i="5"/>
  <c r="DD22" i="5"/>
  <c r="BX22" i="5"/>
  <c r="AR22" i="5"/>
  <c r="L22" i="5"/>
  <c r="ALN21" i="5"/>
  <c r="AKH21" i="5"/>
  <c r="AJB21" i="5"/>
  <c r="AHV21" i="5"/>
  <c r="AGQ21" i="5"/>
  <c r="AFT21" i="5"/>
  <c r="AEP21" i="5"/>
  <c r="ADN21" i="5"/>
  <c r="ACR21" i="5"/>
  <c r="ABP21" i="5"/>
  <c r="AAQ21" i="5"/>
  <c r="ZU21" i="5"/>
  <c r="YZ21" i="5"/>
  <c r="XZ21" i="5"/>
  <c r="XE21" i="5"/>
  <c r="WG21" i="5"/>
  <c r="VM21" i="5"/>
  <c r="US21" i="5"/>
  <c r="TU21" i="5"/>
  <c r="TA21" i="5"/>
  <c r="SH21" i="5"/>
  <c r="RL21" i="5"/>
  <c r="QS21" i="5"/>
  <c r="PZ21" i="5"/>
  <c r="PG21" i="5"/>
  <c r="ON21" i="5"/>
  <c r="NS21" i="5"/>
  <c r="NA21" i="5"/>
  <c r="MJ21" i="5"/>
  <c r="LS21" i="5"/>
  <c r="LB21" i="5"/>
  <c r="KL21" i="5"/>
  <c r="JV21" i="5"/>
  <c r="JF21" i="5"/>
  <c r="IP21" i="5"/>
  <c r="HZ21" i="5"/>
  <c r="HJ21" i="5"/>
  <c r="GT21" i="5"/>
  <c r="GD21" i="5"/>
  <c r="FN21" i="5"/>
  <c r="EX21" i="5"/>
  <c r="EH21" i="5"/>
  <c r="DR21" i="5"/>
  <c r="DB21" i="5"/>
  <c r="CL21" i="5"/>
  <c r="BV21" i="5"/>
  <c r="BF21" i="5"/>
  <c r="AP21" i="5"/>
  <c r="Z21" i="5"/>
  <c r="J21" i="5"/>
  <c r="AMB20" i="5"/>
  <c r="ALL20" i="5"/>
  <c r="AKV20" i="5"/>
  <c r="AKF20" i="5"/>
  <c r="AJP20" i="5"/>
  <c r="AIZ20" i="5"/>
  <c r="AIJ20" i="5"/>
  <c r="AHT20" i="5"/>
  <c r="AHD20" i="5"/>
  <c r="AGN20" i="5"/>
  <c r="AFX20" i="5"/>
  <c r="AFH20" i="5"/>
  <c r="AER20" i="5"/>
  <c r="AEB20" i="5"/>
  <c r="ADL20" i="5"/>
  <c r="ACV20" i="5"/>
  <c r="ACF20" i="5"/>
  <c r="ABP20" i="5"/>
  <c r="AAZ20" i="5"/>
  <c r="AAJ20" i="5"/>
  <c r="ZT20" i="5"/>
  <c r="ZD20" i="5"/>
  <c r="YN20" i="5"/>
  <c r="XX20" i="5"/>
  <c r="XH20" i="5"/>
  <c r="WR20" i="5"/>
  <c r="WB20" i="5"/>
  <c r="VL20" i="5"/>
  <c r="UV20" i="5"/>
  <c r="UF20" i="5"/>
  <c r="TP20" i="5"/>
  <c r="SZ20" i="5"/>
  <c r="SJ20" i="5"/>
  <c r="RT20" i="5"/>
  <c r="RD20" i="5"/>
  <c r="QN20" i="5"/>
  <c r="PX20" i="5"/>
  <c r="PH20" i="5"/>
  <c r="OR20" i="5"/>
  <c r="OB20" i="5"/>
  <c r="NL20" i="5"/>
  <c r="MV20" i="5"/>
  <c r="MF20" i="5"/>
  <c r="LP20" i="5"/>
  <c r="KZ20" i="5"/>
  <c r="KJ20" i="5"/>
  <c r="JT20" i="5"/>
  <c r="JD20" i="5"/>
  <c r="IN20" i="5"/>
  <c r="HX20" i="5"/>
  <c r="HH20" i="5"/>
  <c r="GR20" i="5"/>
  <c r="GB20" i="5"/>
  <c r="FL20" i="5"/>
  <c r="EV20" i="5"/>
  <c r="EF20" i="5"/>
  <c r="DP20" i="5"/>
  <c r="CZ20" i="5"/>
  <c r="CJ20" i="5"/>
  <c r="BT20" i="5"/>
  <c r="BD20" i="5"/>
  <c r="AN20" i="5"/>
  <c r="X20" i="5"/>
  <c r="H20" i="5"/>
  <c r="ALZ19" i="5"/>
  <c r="ALJ19" i="5"/>
  <c r="AKT19" i="5"/>
  <c r="AKD19" i="5"/>
  <c r="AJN19" i="5"/>
  <c r="AIX19" i="5"/>
  <c r="AIH19" i="5"/>
  <c r="AHR19" i="5"/>
  <c r="AHB19" i="5"/>
  <c r="AGL19" i="5"/>
  <c r="AFV19" i="5"/>
  <c r="AFF19" i="5"/>
  <c r="AEP19" i="5"/>
  <c r="ADZ19" i="5"/>
  <c r="ADJ19" i="5"/>
  <c r="ACT19" i="5"/>
  <c r="ACD19" i="5"/>
  <c r="ABN19" i="5"/>
  <c r="AAX19" i="5"/>
  <c r="AAH19" i="5"/>
  <c r="ZR19" i="5"/>
  <c r="ZB19" i="5"/>
  <c r="YL19" i="5"/>
  <c r="XV19" i="5"/>
  <c r="XF19" i="5"/>
  <c r="WP19" i="5"/>
  <c r="VZ19" i="5"/>
  <c r="VJ19" i="5"/>
  <c r="UT19" i="5"/>
  <c r="UD19" i="5"/>
  <c r="TN19" i="5"/>
  <c r="SX19" i="5"/>
  <c r="SH19" i="5"/>
  <c r="YR22" i="5"/>
  <c r="WR22" i="5"/>
  <c r="UU22" i="5"/>
  <c r="SX22" i="5"/>
  <c r="RB22" i="5"/>
  <c r="PH22" i="5"/>
  <c r="NP22" i="5"/>
  <c r="MD22" i="5"/>
  <c r="KM22" i="5"/>
  <c r="JG22" i="5"/>
  <c r="IA22" i="5"/>
  <c r="GU22" i="5"/>
  <c r="FO22" i="5"/>
  <c r="EI22" i="5"/>
  <c r="DC22" i="5"/>
  <c r="BW22" i="5"/>
  <c r="AQ22" i="5"/>
  <c r="K22" i="5"/>
  <c r="ALM21" i="5"/>
  <c r="AKG21" i="5"/>
  <c r="AJA21" i="5"/>
  <c r="AHU21" i="5"/>
  <c r="AGP21" i="5"/>
  <c r="AFL21" i="5"/>
  <c r="AEO21" i="5"/>
  <c r="ADM21" i="5"/>
  <c r="ACK21" i="5"/>
  <c r="ABO21" i="5"/>
  <c r="AAO21" i="5"/>
  <c r="ZT21" i="5"/>
  <c r="YU21" i="5"/>
  <c r="XY21" i="5"/>
  <c r="XD21" i="5"/>
  <c r="WF21" i="5"/>
  <c r="VL21" i="5"/>
  <c r="UR21" i="5"/>
  <c r="TT21" i="5"/>
  <c r="SZ21" i="5"/>
  <c r="SG21" i="5"/>
  <c r="RK21" i="5"/>
  <c r="QR21" i="5"/>
  <c r="PY21" i="5"/>
  <c r="PF21" i="5"/>
  <c r="OJ21" i="5"/>
  <c r="NR21" i="5"/>
  <c r="MZ21" i="5"/>
  <c r="MI21" i="5"/>
  <c r="LR21" i="5"/>
  <c r="LA21" i="5"/>
  <c r="KK21" i="5"/>
  <c r="JU21" i="5"/>
  <c r="JE21" i="5"/>
  <c r="IO21" i="5"/>
  <c r="HY21" i="5"/>
  <c r="HI21" i="5"/>
  <c r="GS21" i="5"/>
  <c r="GC21" i="5"/>
  <c r="FM21" i="5"/>
  <c r="EW21" i="5"/>
  <c r="EG21" i="5"/>
  <c r="DQ21" i="5"/>
  <c r="DA21" i="5"/>
  <c r="CK21" i="5"/>
  <c r="BU21" i="5"/>
  <c r="BE21" i="5"/>
  <c r="AO21" i="5"/>
  <c r="Y21" i="5"/>
  <c r="I21" i="5"/>
  <c r="AMA20" i="5"/>
  <c r="ALK20" i="5"/>
  <c r="AKU20" i="5"/>
  <c r="AKE20" i="5"/>
  <c r="AJO20" i="5"/>
  <c r="AIY20" i="5"/>
  <c r="AII20" i="5"/>
  <c r="AHS20" i="5"/>
  <c r="AHC20" i="5"/>
  <c r="AGM20" i="5"/>
  <c r="AFW20" i="5"/>
  <c r="AFG20" i="5"/>
  <c r="AEQ20" i="5"/>
  <c r="AEA20" i="5"/>
  <c r="ADK20" i="5"/>
  <c r="ACU20" i="5"/>
  <c r="ACE20" i="5"/>
  <c r="ABO20" i="5"/>
  <c r="AAY20" i="5"/>
  <c r="AAI20" i="5"/>
  <c r="ZS20" i="5"/>
  <c r="ZC20" i="5"/>
  <c r="YM20" i="5"/>
  <c r="XW20" i="5"/>
  <c r="XG20" i="5"/>
  <c r="WQ20" i="5"/>
  <c r="WA20" i="5"/>
  <c r="VK20" i="5"/>
  <c r="UU20" i="5"/>
  <c r="UE20" i="5"/>
  <c r="TO20" i="5"/>
  <c r="SY20" i="5"/>
  <c r="SI20" i="5"/>
  <c r="RS20" i="5"/>
  <c r="RC20" i="5"/>
  <c r="QM20" i="5"/>
  <c r="PW20" i="5"/>
  <c r="PG20" i="5"/>
  <c r="OQ20" i="5"/>
  <c r="OA20" i="5"/>
  <c r="NK20" i="5"/>
  <c r="MU20" i="5"/>
  <c r="ME20" i="5"/>
  <c r="LO20" i="5"/>
  <c r="KY20" i="5"/>
  <c r="KI20" i="5"/>
  <c r="JS20" i="5"/>
  <c r="JC20" i="5"/>
  <c r="IM20" i="5"/>
  <c r="HW20" i="5"/>
  <c r="HG20" i="5"/>
  <c r="GQ20" i="5"/>
  <c r="GA20" i="5"/>
  <c r="FK20" i="5"/>
  <c r="EU20" i="5"/>
  <c r="EE20" i="5"/>
  <c r="DO20" i="5"/>
  <c r="CY20" i="5"/>
  <c r="CI20" i="5"/>
  <c r="BS20" i="5"/>
  <c r="BC20" i="5"/>
  <c r="AM20" i="5"/>
  <c r="W20" i="5"/>
  <c r="G20" i="5"/>
  <c r="ALY19" i="5"/>
  <c r="ALI19" i="5"/>
  <c r="AKS19" i="5"/>
  <c r="AKC19" i="5"/>
  <c r="AJM19" i="5"/>
  <c r="AIW19" i="5"/>
  <c r="AIG19" i="5"/>
  <c r="AHQ19" i="5"/>
  <c r="AHA19" i="5"/>
  <c r="AGK19" i="5"/>
  <c r="AFU19" i="5"/>
  <c r="AFE19" i="5"/>
  <c r="AEO19" i="5"/>
  <c r="ADY19" i="5"/>
  <c r="ADI19" i="5"/>
  <c r="ACS19" i="5"/>
  <c r="ACC19" i="5"/>
  <c r="ABM19" i="5"/>
  <c r="AAW19" i="5"/>
  <c r="AAG19" i="5"/>
  <c r="ZQ19" i="5"/>
  <c r="ZA19" i="5"/>
  <c r="YK19" i="5"/>
  <c r="XU19" i="5"/>
  <c r="XE19" i="5"/>
  <c r="WO19" i="5"/>
  <c r="VY19" i="5"/>
  <c r="VI19" i="5"/>
  <c r="YN22" i="5"/>
  <c r="WQ22" i="5"/>
  <c r="UT22" i="5"/>
  <c r="SO22" i="5"/>
  <c r="QS22" i="5"/>
  <c r="PG22" i="5"/>
  <c r="NN22" i="5"/>
  <c r="LU22" i="5"/>
  <c r="KL22" i="5"/>
  <c r="JF22" i="5"/>
  <c r="HZ22" i="5"/>
  <c r="GT22" i="5"/>
  <c r="FN22" i="5"/>
  <c r="EH22" i="5"/>
  <c r="DB22" i="5"/>
  <c r="BV22" i="5"/>
  <c r="AP22" i="5"/>
  <c r="J22" i="5"/>
  <c r="ALL21" i="5"/>
  <c r="AKF21" i="5"/>
  <c r="AIZ21" i="5"/>
  <c r="AHT21" i="5"/>
  <c r="AGO21" i="5"/>
  <c r="AFK21" i="5"/>
  <c r="AEN21" i="5"/>
  <c r="ADL21" i="5"/>
  <c r="ACJ21" i="5"/>
  <c r="ABN21" i="5"/>
  <c r="AAN21" i="5"/>
  <c r="ZS21" i="5"/>
  <c r="YS21" i="5"/>
  <c r="XX21" i="5"/>
  <c r="WY21" i="5"/>
  <c r="WE21" i="5"/>
  <c r="VK21" i="5"/>
  <c r="UM21" i="5"/>
  <c r="TS21" i="5"/>
  <c r="SY21" i="5"/>
  <c r="SF21" i="5"/>
  <c r="RJ21" i="5"/>
  <c r="QQ21" i="5"/>
  <c r="PX21" i="5"/>
  <c r="PE21" i="5"/>
  <c r="OI21" i="5"/>
  <c r="NQ21" i="5"/>
  <c r="MY21" i="5"/>
  <c r="MH21" i="5"/>
  <c r="LQ21" i="5"/>
  <c r="KZ21" i="5"/>
  <c r="KJ21" i="5"/>
  <c r="JT21" i="5"/>
  <c r="JD21" i="5"/>
  <c r="IN21" i="5"/>
  <c r="HX21" i="5"/>
  <c r="HH21" i="5"/>
  <c r="GR21" i="5"/>
  <c r="GB21" i="5"/>
  <c r="FL21" i="5"/>
  <c r="EV21" i="5"/>
  <c r="EF21" i="5"/>
  <c r="DP21" i="5"/>
  <c r="CZ21" i="5"/>
  <c r="CJ21" i="5"/>
  <c r="BT21" i="5"/>
  <c r="BD21" i="5"/>
  <c r="AN21" i="5"/>
  <c r="X21" i="5"/>
  <c r="H21" i="5"/>
  <c r="ALZ20" i="5"/>
  <c r="ALJ20" i="5"/>
  <c r="AKT20" i="5"/>
  <c r="AKD20" i="5"/>
  <c r="AJN20" i="5"/>
  <c r="AIX20" i="5"/>
  <c r="AIH20" i="5"/>
  <c r="AHR20" i="5"/>
  <c r="AHB20" i="5"/>
  <c r="AGL20" i="5"/>
  <c r="AFV20" i="5"/>
  <c r="AFF20" i="5"/>
  <c r="AEP20" i="5"/>
  <c r="ADZ20" i="5"/>
  <c r="ADJ20" i="5"/>
  <c r="ACT20" i="5"/>
  <c r="ACD20" i="5"/>
  <c r="ABN20" i="5"/>
  <c r="AAX20" i="5"/>
  <c r="AAH20" i="5"/>
  <c r="ZR20" i="5"/>
  <c r="ZB20" i="5"/>
  <c r="YL20" i="5"/>
  <c r="XV20" i="5"/>
  <c r="XF20" i="5"/>
  <c r="WP20" i="5"/>
  <c r="VZ20" i="5"/>
  <c r="VJ20" i="5"/>
  <c r="UT20" i="5"/>
  <c r="UD20" i="5"/>
  <c r="TN20" i="5"/>
  <c r="SX20" i="5"/>
  <c r="SH20" i="5"/>
  <c r="RR20" i="5"/>
  <c r="RB20" i="5"/>
  <c r="QL20" i="5"/>
  <c r="PV20" i="5"/>
  <c r="PF20" i="5"/>
  <c r="OP20" i="5"/>
  <c r="NZ20" i="5"/>
  <c r="NJ20" i="5"/>
  <c r="MT20" i="5"/>
  <c r="MD20" i="5"/>
  <c r="LN20" i="5"/>
  <c r="KX20" i="5"/>
  <c r="KH20" i="5"/>
  <c r="JR20" i="5"/>
  <c r="JB20" i="5"/>
  <c r="IL20" i="5"/>
  <c r="HV20" i="5"/>
  <c r="HF20" i="5"/>
  <c r="GP20" i="5"/>
  <c r="FZ20" i="5"/>
  <c r="FJ20" i="5"/>
  <c r="ET20" i="5"/>
  <c r="ED20" i="5"/>
  <c r="DN20" i="5"/>
  <c r="CX20" i="5"/>
  <c r="CH20" i="5"/>
  <c r="BR20" i="5"/>
  <c r="BB20" i="5"/>
  <c r="AL20" i="5"/>
  <c r="V20" i="5"/>
  <c r="F20" i="5"/>
  <c r="ALX19" i="5"/>
  <c r="ALH19" i="5"/>
  <c r="AKR19" i="5"/>
  <c r="AKB19" i="5"/>
  <c r="AJL19" i="5"/>
  <c r="AIV19" i="5"/>
  <c r="AIF19" i="5"/>
  <c r="AHP19" i="5"/>
  <c r="AGZ19" i="5"/>
  <c r="AGJ19" i="5"/>
  <c r="AFT19" i="5"/>
  <c r="AFD19" i="5"/>
  <c r="AEN19" i="5"/>
  <c r="ADX19" i="5"/>
  <c r="ADH19" i="5"/>
  <c r="ACR19" i="5"/>
  <c r="ACB19" i="5"/>
  <c r="ABL19" i="5"/>
  <c r="AAV19" i="5"/>
  <c r="AAF19" i="5"/>
  <c r="ZP19" i="5"/>
  <c r="YZ19" i="5"/>
  <c r="YJ19" i="5"/>
  <c r="XT19" i="5"/>
  <c r="XD19" i="5"/>
  <c r="WN19" i="5"/>
  <c r="VX19" i="5"/>
  <c r="VH19" i="5"/>
  <c r="UR19" i="5"/>
  <c r="UB19" i="5"/>
  <c r="TL19" i="5"/>
  <c r="SV19" i="5"/>
  <c r="SF19" i="5"/>
  <c r="RP19" i="5"/>
  <c r="QZ19" i="5"/>
  <c r="QJ19" i="5"/>
  <c r="PT19" i="5"/>
  <c r="PD19" i="5"/>
  <c r="ON19" i="5"/>
  <c r="YM22" i="5"/>
  <c r="WP22" i="5"/>
  <c r="UK22" i="5"/>
  <c r="SN22" i="5"/>
  <c r="QR22" i="5"/>
  <c r="PF22" i="5"/>
  <c r="NL22" i="5"/>
  <c r="LT22" i="5"/>
  <c r="KK22" i="5"/>
  <c r="JE22" i="5"/>
  <c r="HY22" i="5"/>
  <c r="GS22" i="5"/>
  <c r="FM22" i="5"/>
  <c r="EG22" i="5"/>
  <c r="DA22" i="5"/>
  <c r="BU22" i="5"/>
  <c r="AO22" i="5"/>
  <c r="I22" i="5"/>
  <c r="ALK21" i="5"/>
  <c r="AKE21" i="5"/>
  <c r="AIY21" i="5"/>
  <c r="AHS21" i="5"/>
  <c r="AGN21" i="5"/>
  <c r="AFJ21" i="5"/>
  <c r="AEG21" i="5"/>
  <c r="ADK21" i="5"/>
  <c r="ACI21" i="5"/>
  <c r="ABM21" i="5"/>
  <c r="AAM21" i="5"/>
  <c r="ZR21" i="5"/>
  <c r="YR21" i="5"/>
  <c r="XW21" i="5"/>
  <c r="WX21" i="5"/>
  <c r="WD21" i="5"/>
  <c r="VJ21" i="5"/>
  <c r="UL21" i="5"/>
  <c r="TR21" i="5"/>
  <c r="SX21" i="5"/>
  <c r="SB21" i="5"/>
  <c r="RI21" i="5"/>
  <c r="QP21" i="5"/>
  <c r="PW21" i="5"/>
  <c r="PD21" i="5"/>
  <c r="OH21" i="5"/>
  <c r="NP21" i="5"/>
  <c r="MX21" i="5"/>
  <c r="MG21" i="5"/>
  <c r="LP21" i="5"/>
  <c r="KY21" i="5"/>
  <c r="KI21" i="5"/>
  <c r="JS21" i="5"/>
  <c r="JC21" i="5"/>
  <c r="IM21" i="5"/>
  <c r="HW21" i="5"/>
  <c r="HG21" i="5"/>
  <c r="GQ21" i="5"/>
  <c r="GA21" i="5"/>
  <c r="FK21" i="5"/>
  <c r="EU21" i="5"/>
  <c r="EE21" i="5"/>
  <c r="DO21" i="5"/>
  <c r="CY21" i="5"/>
  <c r="CI21" i="5"/>
  <c r="BS21" i="5"/>
  <c r="BC21" i="5"/>
  <c r="AM21" i="5"/>
  <c r="W21" i="5"/>
  <c r="G21" i="5"/>
  <c r="ALY20" i="5"/>
  <c r="ALI20" i="5"/>
  <c r="AKS20" i="5"/>
  <c r="AKC20" i="5"/>
  <c r="AJM20" i="5"/>
  <c r="AIW20" i="5"/>
  <c r="AIG20" i="5"/>
  <c r="AHQ20" i="5"/>
  <c r="AHA20" i="5"/>
  <c r="AGK20" i="5"/>
  <c r="AFU20" i="5"/>
  <c r="AFE20" i="5"/>
  <c r="AEO20" i="5"/>
  <c r="ADY20" i="5"/>
  <c r="ADI20" i="5"/>
  <c r="ACS20" i="5"/>
  <c r="ACC20" i="5"/>
  <c r="ABM20" i="5"/>
  <c r="AAW20" i="5"/>
  <c r="AAG20" i="5"/>
  <c r="ZQ20" i="5"/>
  <c r="ZA20" i="5"/>
  <c r="YK20" i="5"/>
  <c r="XU20" i="5"/>
  <c r="XE20" i="5"/>
  <c r="WO20" i="5"/>
  <c r="VY20" i="5"/>
  <c r="VI20" i="5"/>
  <c r="US20" i="5"/>
  <c r="UC20" i="5"/>
  <c r="TM20" i="5"/>
  <c r="SW20" i="5"/>
  <c r="SG20" i="5"/>
  <c r="RQ20" i="5"/>
  <c r="RA20" i="5"/>
  <c r="QK20" i="5"/>
  <c r="PU20" i="5"/>
  <c r="PE20" i="5"/>
  <c r="OO20" i="5"/>
  <c r="NY20" i="5"/>
  <c r="NI20" i="5"/>
  <c r="MS20" i="5"/>
  <c r="MC20" i="5"/>
  <c r="LM20" i="5"/>
  <c r="KW20" i="5"/>
  <c r="KG20" i="5"/>
  <c r="JQ20" i="5"/>
  <c r="JA20" i="5"/>
  <c r="IK20" i="5"/>
  <c r="HU20" i="5"/>
  <c r="HE20" i="5"/>
  <c r="GO20" i="5"/>
  <c r="FY20" i="5"/>
  <c r="FI20" i="5"/>
  <c r="ES20" i="5"/>
  <c r="EC20" i="5"/>
  <c r="DM20" i="5"/>
  <c r="CW20" i="5"/>
  <c r="CG20" i="5"/>
  <c r="BQ20" i="5"/>
  <c r="BA20" i="5"/>
  <c r="AK20" i="5"/>
  <c r="U20" i="5"/>
  <c r="E20" i="5"/>
  <c r="ALW19" i="5"/>
  <c r="ALG19" i="5"/>
  <c r="AKQ19" i="5"/>
  <c r="AKA19" i="5"/>
  <c r="AJK19" i="5"/>
  <c r="AIU19" i="5"/>
  <c r="AIE19" i="5"/>
  <c r="AHO19" i="5"/>
  <c r="AGY19" i="5"/>
  <c r="AGI19" i="5"/>
  <c r="AFS19" i="5"/>
  <c r="AFC19" i="5"/>
  <c r="AEM19" i="5"/>
  <c r="ADW19" i="5"/>
  <c r="ADG19" i="5"/>
  <c r="YL22" i="5"/>
  <c r="WG22" i="5"/>
  <c r="UJ22" i="5"/>
  <c r="SJ22" i="5"/>
  <c r="QP22" i="5"/>
  <c r="OW22" i="5"/>
  <c r="NK22" i="5"/>
  <c r="LR22" i="5"/>
  <c r="KJ22" i="5"/>
  <c r="JD22" i="5"/>
  <c r="HX22" i="5"/>
  <c r="GR22" i="5"/>
  <c r="FL22" i="5"/>
  <c r="EF22" i="5"/>
  <c r="CZ22" i="5"/>
  <c r="BT22" i="5"/>
  <c r="AN22" i="5"/>
  <c r="H22" i="5"/>
  <c r="ALJ21" i="5"/>
  <c r="AKD21" i="5"/>
  <c r="AIX21" i="5"/>
  <c r="AHR21" i="5"/>
  <c r="AGM21" i="5"/>
  <c r="AFI21" i="5"/>
  <c r="AEF21" i="5"/>
  <c r="ADJ21" i="5"/>
  <c r="ACH21" i="5"/>
  <c r="ABL21" i="5"/>
  <c r="AAL21" i="5"/>
  <c r="ZQ21" i="5"/>
  <c r="YQ21" i="5"/>
  <c r="XV21" i="5"/>
  <c r="WW21" i="5"/>
  <c r="WC21" i="5"/>
  <c r="VI21" i="5"/>
  <c r="UK21" i="5"/>
  <c r="TQ21" i="5"/>
  <c r="SW21" i="5"/>
  <c r="SA21" i="5"/>
  <c r="RH21" i="5"/>
  <c r="QO21" i="5"/>
  <c r="PV21" i="5"/>
  <c r="OZ21" i="5"/>
  <c r="OG21" i="5"/>
  <c r="NO21" i="5"/>
  <c r="MW21" i="5"/>
  <c r="MF21" i="5"/>
  <c r="LO21" i="5"/>
  <c r="KX21" i="5"/>
  <c r="KH21" i="5"/>
  <c r="JR21" i="5"/>
  <c r="JB21" i="5"/>
  <c r="IL21" i="5"/>
  <c r="HV21" i="5"/>
  <c r="HF21" i="5"/>
  <c r="GP21" i="5"/>
  <c r="FZ21" i="5"/>
  <c r="FJ21" i="5"/>
  <c r="ET21" i="5"/>
  <c r="ED21" i="5"/>
  <c r="DN21" i="5"/>
  <c r="CX21" i="5"/>
  <c r="CH21" i="5"/>
  <c r="BR21" i="5"/>
  <c r="BB21" i="5"/>
  <c r="AL21" i="5"/>
  <c r="V21" i="5"/>
  <c r="F21" i="5"/>
  <c r="ALX20" i="5"/>
  <c r="ALH20" i="5"/>
  <c r="AKR20" i="5"/>
  <c r="AKB20" i="5"/>
  <c r="AJL20" i="5"/>
  <c r="AIV20" i="5"/>
  <c r="AIF20" i="5"/>
  <c r="AHP20" i="5"/>
  <c r="AGZ20" i="5"/>
  <c r="AGJ20" i="5"/>
  <c r="AFT20" i="5"/>
  <c r="AFD20" i="5"/>
  <c r="AEN20" i="5"/>
  <c r="ADX20" i="5"/>
  <c r="ADH20" i="5"/>
  <c r="ACR20" i="5"/>
  <c r="ACB20" i="5"/>
  <c r="ABL20" i="5"/>
  <c r="AAV20" i="5"/>
  <c r="AAF20" i="5"/>
  <c r="ZP20" i="5"/>
  <c r="YZ20" i="5"/>
  <c r="YJ20" i="5"/>
  <c r="XT20" i="5"/>
  <c r="XD20" i="5"/>
  <c r="WN20" i="5"/>
  <c r="VX20" i="5"/>
  <c r="VH20" i="5"/>
  <c r="UR20" i="5"/>
  <c r="UB20" i="5"/>
  <c r="TL20" i="5"/>
  <c r="SV20" i="5"/>
  <c r="SF20" i="5"/>
  <c r="RP20" i="5"/>
  <c r="QZ20" i="5"/>
  <c r="QJ20" i="5"/>
  <c r="PT20" i="5"/>
  <c r="PD20" i="5"/>
  <c r="ON20" i="5"/>
  <c r="NX20" i="5"/>
  <c r="NH20" i="5"/>
  <c r="MR20" i="5"/>
  <c r="MB20" i="5"/>
  <c r="LL20" i="5"/>
  <c r="KV20" i="5"/>
  <c r="KF20" i="5"/>
  <c r="JP20" i="5"/>
  <c r="IZ20" i="5"/>
  <c r="IJ20" i="5"/>
  <c r="HT20" i="5"/>
  <c r="HD20" i="5"/>
  <c r="GN20" i="5"/>
  <c r="FX20" i="5"/>
  <c r="FH20" i="5"/>
  <c r="ER20" i="5"/>
  <c r="EB20" i="5"/>
  <c r="DL20" i="5"/>
  <c r="CV20" i="5"/>
  <c r="CF20" i="5"/>
  <c r="BP20" i="5"/>
  <c r="AZ20" i="5"/>
  <c r="AJ20" i="5"/>
  <c r="T20" i="5"/>
  <c r="D20" i="5"/>
  <c r="ALV19" i="5"/>
  <c r="ALF19" i="5"/>
  <c r="AKP19" i="5"/>
  <c r="AJZ19" i="5"/>
  <c r="AJJ19" i="5"/>
  <c r="AIT19" i="5"/>
  <c r="AID19" i="5"/>
  <c r="AHN19" i="5"/>
  <c r="AGX19" i="5"/>
  <c r="AGH19" i="5"/>
  <c r="AFR19" i="5"/>
  <c r="AFB19" i="5"/>
  <c r="AEL19" i="5"/>
  <c r="ADV19" i="5"/>
  <c r="ADF19" i="5"/>
  <c r="YC22" i="5"/>
  <c r="WF22" i="5"/>
  <c r="UF22" i="5"/>
  <c r="SI22" i="5"/>
  <c r="QN22" i="5"/>
  <c r="OV22" i="5"/>
  <c r="NJ22" i="5"/>
  <c r="LP22" i="5"/>
  <c r="KI22" i="5"/>
  <c r="JC22" i="5"/>
  <c r="HW22" i="5"/>
  <c r="GQ22" i="5"/>
  <c r="FK22" i="5"/>
  <c r="EE22" i="5"/>
  <c r="CY22" i="5"/>
  <c r="BS22" i="5"/>
  <c r="AM22" i="5"/>
  <c r="G22" i="5"/>
  <c r="ALI21" i="5"/>
  <c r="AKC21" i="5"/>
  <c r="AIW21" i="5"/>
  <c r="AHQ21" i="5"/>
  <c r="AGL21" i="5"/>
  <c r="AFH21" i="5"/>
  <c r="AEE21" i="5"/>
  <c r="ADI21" i="5"/>
  <c r="ACG21" i="5"/>
  <c r="ABG21" i="5"/>
  <c r="AAK21" i="5"/>
  <c r="ZP21" i="5"/>
  <c r="YP21" i="5"/>
  <c r="XU21" i="5"/>
  <c r="WV21" i="5"/>
  <c r="WB21" i="5"/>
  <c r="VH21" i="5"/>
  <c r="UJ21" i="5"/>
  <c r="TP21" i="5"/>
  <c r="SV21" i="5"/>
  <c r="RZ21" i="5"/>
  <c r="RG21" i="5"/>
  <c r="QN21" i="5"/>
  <c r="PU21" i="5"/>
  <c r="OY21" i="5"/>
  <c r="OF21" i="5"/>
  <c r="NN21" i="5"/>
  <c r="MV21" i="5"/>
  <c r="ME21" i="5"/>
  <c r="LN21" i="5"/>
  <c r="KW21" i="5"/>
  <c r="KG21" i="5"/>
  <c r="JQ21" i="5"/>
  <c r="JA21" i="5"/>
  <c r="IK21" i="5"/>
  <c r="HU21" i="5"/>
  <c r="HE21" i="5"/>
  <c r="GO21" i="5"/>
  <c r="FY21" i="5"/>
  <c r="FI21" i="5"/>
  <c r="ES21" i="5"/>
  <c r="EC21" i="5"/>
  <c r="DM21" i="5"/>
  <c r="CW21" i="5"/>
  <c r="CG21" i="5"/>
  <c r="BQ21" i="5"/>
  <c r="BA21" i="5"/>
  <c r="AK21" i="5"/>
  <c r="U21" i="5"/>
  <c r="E21" i="5"/>
  <c r="ALW20" i="5"/>
  <c r="ALG20" i="5"/>
  <c r="AKQ20" i="5"/>
  <c r="AKA20" i="5"/>
  <c r="AJK20" i="5"/>
  <c r="AIU20" i="5"/>
  <c r="AIE20" i="5"/>
  <c r="AHO20" i="5"/>
  <c r="AGY20" i="5"/>
  <c r="AGI20" i="5"/>
  <c r="AFS20" i="5"/>
  <c r="AFC20" i="5"/>
  <c r="AEM20" i="5"/>
  <c r="ADW20" i="5"/>
  <c r="ADG20" i="5"/>
  <c r="ACQ20" i="5"/>
  <c r="ACA20" i="5"/>
  <c r="ABK20" i="5"/>
  <c r="AAU20" i="5"/>
  <c r="AAE20" i="5"/>
  <c r="ZO20" i="5"/>
  <c r="YY20" i="5"/>
  <c r="YI20" i="5"/>
  <c r="XS20" i="5"/>
  <c r="XC20" i="5"/>
  <c r="WM20" i="5"/>
  <c r="VW20" i="5"/>
  <c r="VG20" i="5"/>
  <c r="UQ20" i="5"/>
  <c r="UA20" i="5"/>
  <c r="TK20" i="5"/>
  <c r="SU20" i="5"/>
  <c r="SE20" i="5"/>
  <c r="RO20" i="5"/>
  <c r="QY20" i="5"/>
  <c r="QI20" i="5"/>
  <c r="PS20" i="5"/>
  <c r="PC20" i="5"/>
  <c r="OM20" i="5"/>
  <c r="NW20" i="5"/>
  <c r="NG20" i="5"/>
  <c r="MQ20" i="5"/>
  <c r="MA20" i="5"/>
  <c r="LK20" i="5"/>
  <c r="KU20" i="5"/>
  <c r="KE20" i="5"/>
  <c r="JO20" i="5"/>
  <c r="IY20" i="5"/>
  <c r="II20" i="5"/>
  <c r="HS20" i="5"/>
  <c r="HC20" i="5"/>
  <c r="GM20" i="5"/>
  <c r="FW20" i="5"/>
  <c r="FG20" i="5"/>
  <c r="EQ20" i="5"/>
  <c r="EA20" i="5"/>
  <c r="DK20" i="5"/>
  <c r="CU20" i="5"/>
  <c r="CE20" i="5"/>
  <c r="BO20" i="5"/>
  <c r="AY20" i="5"/>
  <c r="AI20" i="5"/>
  <c r="S20" i="5"/>
  <c r="C20" i="5"/>
  <c r="ALU19" i="5"/>
  <c r="ALE19" i="5"/>
  <c r="AKO19" i="5"/>
  <c r="ACQ19" i="5"/>
  <c r="AAE19" i="5"/>
  <c r="XS19" i="5"/>
  <c r="VG19" i="5"/>
  <c r="TJ19" i="5"/>
  <c r="RN19" i="5"/>
  <c r="PU19" i="5"/>
  <c r="OK19" i="5"/>
  <c r="NE19" i="5"/>
  <c r="LY19" i="5"/>
  <c r="KS19" i="5"/>
  <c r="JM19" i="5"/>
  <c r="IG19" i="5"/>
  <c r="HA19" i="5"/>
  <c r="FU19" i="5"/>
  <c r="EO19" i="5"/>
  <c r="DK19" i="5"/>
  <c r="CG19" i="5"/>
  <c r="BC19" i="5"/>
  <c r="Z19" i="5"/>
  <c r="B19" i="5"/>
  <c r="ALF18" i="5"/>
  <c r="AKB18" i="5"/>
  <c r="AJA18" i="5"/>
  <c r="AID18" i="5"/>
  <c r="AHD18" i="5"/>
  <c r="AGI18" i="5"/>
  <c r="AFI18" i="5"/>
  <c r="AEO18" i="5"/>
  <c r="ADU18" i="5"/>
  <c r="ACX18" i="5"/>
  <c r="ACE18" i="5"/>
  <c r="ABL18" i="5"/>
  <c r="AAS18" i="5"/>
  <c r="ZW18" i="5"/>
  <c r="ZD18" i="5"/>
  <c r="YK18" i="5"/>
  <c r="XR18" i="5"/>
  <c r="XA18" i="5"/>
  <c r="WK18" i="5"/>
  <c r="VU18" i="5"/>
  <c r="VE18" i="5"/>
  <c r="UO18" i="5"/>
  <c r="TY18" i="5"/>
  <c r="TI18" i="5"/>
  <c r="SS18" i="5"/>
  <c r="SC18" i="5"/>
  <c r="RM18" i="5"/>
  <c r="QW18" i="5"/>
  <c r="QG18" i="5"/>
  <c r="PQ18" i="5"/>
  <c r="PA18" i="5"/>
  <c r="OK18" i="5"/>
  <c r="NU18" i="5"/>
  <c r="NE18" i="5"/>
  <c r="MO18" i="5"/>
  <c r="LY18" i="5"/>
  <c r="LI18" i="5"/>
  <c r="KS18" i="5"/>
  <c r="KC18" i="5"/>
  <c r="JM18" i="5"/>
  <c r="IW18" i="5"/>
  <c r="IG18" i="5"/>
  <c r="HQ18" i="5"/>
  <c r="HA18" i="5"/>
  <c r="GK18" i="5"/>
  <c r="FU18" i="5"/>
  <c r="FE18" i="5"/>
  <c r="EO18" i="5"/>
  <c r="DY18" i="5"/>
  <c r="DI18" i="5"/>
  <c r="CS18" i="5"/>
  <c r="CC18" i="5"/>
  <c r="BM18" i="5"/>
  <c r="AW18" i="5"/>
  <c r="AG18" i="5"/>
  <c r="Q18" i="5"/>
  <c r="A18" i="5"/>
  <c r="ALS17" i="5"/>
  <c r="ALC17" i="5"/>
  <c r="AKM17" i="5"/>
  <c r="AJW17" i="5"/>
  <c r="AJG17" i="5"/>
  <c r="AIQ17" i="5"/>
  <c r="AIA17" i="5"/>
  <c r="AHK17" i="5"/>
  <c r="AGU17" i="5"/>
  <c r="AGE17" i="5"/>
  <c r="AFO17" i="5"/>
  <c r="AEY17" i="5"/>
  <c r="AEI17" i="5"/>
  <c r="ADS17" i="5"/>
  <c r="ADC17" i="5"/>
  <c r="ACM17" i="5"/>
  <c r="ABW17" i="5"/>
  <c r="ABG17" i="5"/>
  <c r="AAQ17" i="5"/>
  <c r="AAA17" i="5"/>
  <c r="ZK17" i="5"/>
  <c r="YU17" i="5"/>
  <c r="YE17" i="5"/>
  <c r="XO17" i="5"/>
  <c r="WY17" i="5"/>
  <c r="WI17" i="5"/>
  <c r="VS17" i="5"/>
  <c r="VC17" i="5"/>
  <c r="UM17" i="5"/>
  <c r="TW17" i="5"/>
  <c r="TG17" i="5"/>
  <c r="SQ17" i="5"/>
  <c r="SA17" i="5"/>
  <c r="RK17" i="5"/>
  <c r="QU17" i="5"/>
  <c r="QE17" i="5"/>
  <c r="PO17" i="5"/>
  <c r="OY17" i="5"/>
  <c r="OI17" i="5"/>
  <c r="NS17" i="5"/>
  <c r="NC17" i="5"/>
  <c r="MM17" i="5"/>
  <c r="LW17" i="5"/>
  <c r="LG17" i="5"/>
  <c r="KQ17" i="5"/>
  <c r="KA17" i="5"/>
  <c r="JK17" i="5"/>
  <c r="IU17" i="5"/>
  <c r="IE17" i="5"/>
  <c r="HO17" i="5"/>
  <c r="GY17" i="5"/>
  <c r="GI17" i="5"/>
  <c r="FS17" i="5"/>
  <c r="FC17" i="5"/>
  <c r="EM17" i="5"/>
  <c r="DW17" i="5"/>
  <c r="DG17" i="5"/>
  <c r="CQ17" i="5"/>
  <c r="CA17" i="5"/>
  <c r="BK17" i="5"/>
  <c r="AU17" i="5"/>
  <c r="AE17" i="5"/>
  <c r="O17" i="5"/>
  <c r="AMG16" i="5"/>
  <c r="ALQ16" i="5"/>
  <c r="ALA16" i="5"/>
  <c r="AKK16" i="5"/>
  <c r="AJU16" i="5"/>
  <c r="AJE16" i="5"/>
  <c r="AIO16" i="5"/>
  <c r="AHY16" i="5"/>
  <c r="AHI16" i="5"/>
  <c r="AGS16" i="5"/>
  <c r="AGC16" i="5"/>
  <c r="AFM16" i="5"/>
  <c r="AEW16" i="5"/>
  <c r="AEG16" i="5"/>
  <c r="ADQ16" i="5"/>
  <c r="ADA16" i="5"/>
  <c r="ACK16" i="5"/>
  <c r="ABU16" i="5"/>
  <c r="ABE16" i="5"/>
  <c r="AAO16" i="5"/>
  <c r="ZY16" i="5"/>
  <c r="ZI16" i="5"/>
  <c r="YS16" i="5"/>
  <c r="YC16" i="5"/>
  <c r="XM16" i="5"/>
  <c r="WW16" i="5"/>
  <c r="WG16" i="5"/>
  <c r="VQ16" i="5"/>
  <c r="VA16" i="5"/>
  <c r="UK16" i="5"/>
  <c r="TU16" i="5"/>
  <c r="TE16" i="5"/>
  <c r="SO16" i="5"/>
  <c r="RY16" i="5"/>
  <c r="RI16" i="5"/>
  <c r="QS16" i="5"/>
  <c r="QC16" i="5"/>
  <c r="PM16" i="5"/>
  <c r="OW16" i="5"/>
  <c r="OG16" i="5"/>
  <c r="NQ16" i="5"/>
  <c r="NA16" i="5"/>
  <c r="MK16" i="5"/>
  <c r="LU16" i="5"/>
  <c r="LE16" i="5"/>
  <c r="KO16" i="5"/>
  <c r="JY16" i="5"/>
  <c r="JI16" i="5"/>
  <c r="IS16" i="5"/>
  <c r="IC16" i="5"/>
  <c r="HM16" i="5"/>
  <c r="GW16" i="5"/>
  <c r="GG16" i="5"/>
  <c r="FQ16" i="5"/>
  <c r="FA16" i="5"/>
  <c r="EK16" i="5"/>
  <c r="DU16" i="5"/>
  <c r="DE16" i="5"/>
  <c r="CO16" i="5"/>
  <c r="BY16" i="5"/>
  <c r="BI16" i="5"/>
  <c r="AS16" i="5"/>
  <c r="AC16" i="5"/>
  <c r="M16" i="5"/>
  <c r="AME15" i="5"/>
  <c r="ALO15" i="5"/>
  <c r="AKY15" i="5"/>
  <c r="AKI15" i="5"/>
  <c r="AJS15" i="5"/>
  <c r="AJC15" i="5"/>
  <c r="AIM15" i="5"/>
  <c r="AHW15" i="5"/>
  <c r="AHG15" i="5"/>
  <c r="AGQ15" i="5"/>
  <c r="AGA15" i="5"/>
  <c r="AFK15" i="5"/>
  <c r="AEU15" i="5"/>
  <c r="AEE15" i="5"/>
  <c r="ADO15" i="5"/>
  <c r="ACY15" i="5"/>
  <c r="ACI15" i="5"/>
  <c r="ABS15" i="5"/>
  <c r="AJY19" i="5"/>
  <c r="ACP19" i="5"/>
  <c r="AAD19" i="5"/>
  <c r="XR19" i="5"/>
  <c r="VF19" i="5"/>
  <c r="TI19" i="5"/>
  <c r="RM19" i="5"/>
  <c r="PS19" i="5"/>
  <c r="OB19" i="5"/>
  <c r="MV19" i="5"/>
  <c r="LP19" i="5"/>
  <c r="KJ19" i="5"/>
  <c r="JD19" i="5"/>
  <c r="HX19" i="5"/>
  <c r="GR19" i="5"/>
  <c r="FL19" i="5"/>
  <c r="EH19" i="5"/>
  <c r="DJ19" i="5"/>
  <c r="CF19" i="5"/>
  <c r="BB19" i="5"/>
  <c r="X19" i="5"/>
  <c r="A19" i="5"/>
  <c r="ALE18" i="5"/>
  <c r="AKA18" i="5"/>
  <c r="AIZ18" i="5"/>
  <c r="AIC18" i="5"/>
  <c r="AHC18" i="5"/>
  <c r="AGH18" i="5"/>
  <c r="AFH18" i="5"/>
  <c r="AEN18" i="5"/>
  <c r="ADT18" i="5"/>
  <c r="ACW18" i="5"/>
  <c r="ACD18" i="5"/>
  <c r="ABK18" i="5"/>
  <c r="AAR18" i="5"/>
  <c r="ZV18" i="5"/>
  <c r="ZC18" i="5"/>
  <c r="YJ18" i="5"/>
  <c r="XQ18" i="5"/>
  <c r="WZ18" i="5"/>
  <c r="WJ18" i="5"/>
  <c r="VT18" i="5"/>
  <c r="VD18" i="5"/>
  <c r="UN18" i="5"/>
  <c r="TX18" i="5"/>
  <c r="TH18" i="5"/>
  <c r="SR18" i="5"/>
  <c r="SB18" i="5"/>
  <c r="RL18" i="5"/>
  <c r="QV18" i="5"/>
  <c r="QF18" i="5"/>
  <c r="PP18" i="5"/>
  <c r="OZ18" i="5"/>
  <c r="OJ18" i="5"/>
  <c r="NT18" i="5"/>
  <c r="ND18" i="5"/>
  <c r="MN18" i="5"/>
  <c r="LX18" i="5"/>
  <c r="LH18" i="5"/>
  <c r="KR18" i="5"/>
  <c r="KB18" i="5"/>
  <c r="JL18" i="5"/>
  <c r="IV18" i="5"/>
  <c r="IF18" i="5"/>
  <c r="HP18" i="5"/>
  <c r="GZ18" i="5"/>
  <c r="GJ18" i="5"/>
  <c r="FT18" i="5"/>
  <c r="FD18" i="5"/>
  <c r="EN18" i="5"/>
  <c r="DX18" i="5"/>
  <c r="DH18" i="5"/>
  <c r="CR18" i="5"/>
  <c r="CB18" i="5"/>
  <c r="BL18" i="5"/>
  <c r="AV18" i="5"/>
  <c r="AF18" i="5"/>
  <c r="P18" i="5"/>
  <c r="AMH17" i="5"/>
  <c r="ALR17" i="5"/>
  <c r="ALB17" i="5"/>
  <c r="AKL17" i="5"/>
  <c r="AJV17" i="5"/>
  <c r="AJF17" i="5"/>
  <c r="AIP17" i="5"/>
  <c r="AHZ17" i="5"/>
  <c r="AHJ17" i="5"/>
  <c r="AGT17" i="5"/>
  <c r="AGD17" i="5"/>
  <c r="AFN17" i="5"/>
  <c r="AEX17" i="5"/>
  <c r="AEH17" i="5"/>
  <c r="ADR17" i="5"/>
  <c r="ADB17" i="5"/>
  <c r="ACL17" i="5"/>
  <c r="ABV17" i="5"/>
  <c r="ABF17" i="5"/>
  <c r="AAP17" i="5"/>
  <c r="ZZ17" i="5"/>
  <c r="ZJ17" i="5"/>
  <c r="YT17" i="5"/>
  <c r="YD17" i="5"/>
  <c r="XN17" i="5"/>
  <c r="WX17" i="5"/>
  <c r="WH17" i="5"/>
  <c r="VR17" i="5"/>
  <c r="VB17" i="5"/>
  <c r="UL17" i="5"/>
  <c r="TV17" i="5"/>
  <c r="TF17" i="5"/>
  <c r="SP17" i="5"/>
  <c r="RZ17" i="5"/>
  <c r="RJ17" i="5"/>
  <c r="QT17" i="5"/>
  <c r="QD17" i="5"/>
  <c r="PN17" i="5"/>
  <c r="OX17" i="5"/>
  <c r="OH17" i="5"/>
  <c r="NR17" i="5"/>
  <c r="NB17" i="5"/>
  <c r="ML17" i="5"/>
  <c r="LV17" i="5"/>
  <c r="LF17" i="5"/>
  <c r="KP17" i="5"/>
  <c r="JZ17" i="5"/>
  <c r="JJ17" i="5"/>
  <c r="IT17" i="5"/>
  <c r="ID17" i="5"/>
  <c r="HN17" i="5"/>
  <c r="GX17" i="5"/>
  <c r="GH17" i="5"/>
  <c r="FR17" i="5"/>
  <c r="FB17" i="5"/>
  <c r="EL17" i="5"/>
  <c r="DV17" i="5"/>
  <c r="DF17" i="5"/>
  <c r="CP17" i="5"/>
  <c r="BZ17" i="5"/>
  <c r="BJ17" i="5"/>
  <c r="AT17" i="5"/>
  <c r="AD17" i="5"/>
  <c r="N17" i="5"/>
  <c r="AMF16" i="5"/>
  <c r="ALP16" i="5"/>
  <c r="AKZ16" i="5"/>
  <c r="AKJ16" i="5"/>
  <c r="AJT16" i="5"/>
  <c r="AJD16" i="5"/>
  <c r="AIN16" i="5"/>
  <c r="AHX16" i="5"/>
  <c r="AHH16" i="5"/>
  <c r="AGR16" i="5"/>
  <c r="AGB16" i="5"/>
  <c r="AFL16" i="5"/>
  <c r="AEV16" i="5"/>
  <c r="AEF16" i="5"/>
  <c r="ADP16" i="5"/>
  <c r="ACZ16" i="5"/>
  <c r="ACJ16" i="5"/>
  <c r="ABT16" i="5"/>
  <c r="ABD16" i="5"/>
  <c r="AAN16" i="5"/>
  <c r="ZX16" i="5"/>
  <c r="ZH16" i="5"/>
  <c r="YR16" i="5"/>
  <c r="YB16" i="5"/>
  <c r="XL16" i="5"/>
  <c r="WV16" i="5"/>
  <c r="WF16" i="5"/>
  <c r="VP16" i="5"/>
  <c r="UZ16" i="5"/>
  <c r="UJ16" i="5"/>
  <c r="TT16" i="5"/>
  <c r="TD16" i="5"/>
  <c r="SN16" i="5"/>
  <c r="RX16" i="5"/>
  <c r="RH16" i="5"/>
  <c r="QR16" i="5"/>
  <c r="QB16" i="5"/>
  <c r="PL16" i="5"/>
  <c r="OV16" i="5"/>
  <c r="OF16" i="5"/>
  <c r="NP16" i="5"/>
  <c r="MZ16" i="5"/>
  <c r="MJ16" i="5"/>
  <c r="LT16" i="5"/>
  <c r="LD16" i="5"/>
  <c r="KN16" i="5"/>
  <c r="JX16" i="5"/>
  <c r="JH16" i="5"/>
  <c r="IR16" i="5"/>
  <c r="IB16" i="5"/>
  <c r="HL16" i="5"/>
  <c r="GV16" i="5"/>
  <c r="GF16" i="5"/>
  <c r="FP16" i="5"/>
  <c r="EZ16" i="5"/>
  <c r="EJ16" i="5"/>
  <c r="DT16" i="5"/>
  <c r="DD16" i="5"/>
  <c r="CN16" i="5"/>
  <c r="BX16" i="5"/>
  <c r="BH16" i="5"/>
  <c r="AR16" i="5"/>
  <c r="AB16" i="5"/>
  <c r="L16" i="5"/>
  <c r="AMD15" i="5"/>
  <c r="ALN15" i="5"/>
  <c r="AKX15" i="5"/>
  <c r="AKH15" i="5"/>
  <c r="AJR15" i="5"/>
  <c r="AJB15" i="5"/>
  <c r="AIL15" i="5"/>
  <c r="AHV15" i="5"/>
  <c r="AHF15" i="5"/>
  <c r="AGP15" i="5"/>
  <c r="AFZ15" i="5"/>
  <c r="AFJ15" i="5"/>
  <c r="AET15" i="5"/>
  <c r="AED15" i="5"/>
  <c r="ADN15" i="5"/>
  <c r="ACX15" i="5"/>
  <c r="ACH15" i="5"/>
  <c r="ABR15" i="5"/>
  <c r="AJI19" i="5"/>
  <c r="ACO19" i="5"/>
  <c r="AAC19" i="5"/>
  <c r="XQ19" i="5"/>
  <c r="VE19" i="5"/>
  <c r="SZ19" i="5"/>
  <c r="RD19" i="5"/>
  <c r="PR19" i="5"/>
  <c r="OA19" i="5"/>
  <c r="MU19" i="5"/>
  <c r="LO19" i="5"/>
  <c r="KI19" i="5"/>
  <c r="JC19" i="5"/>
  <c r="HW19" i="5"/>
  <c r="GQ19" i="5"/>
  <c r="FK19" i="5"/>
  <c r="EF19" i="5"/>
  <c r="DI19" i="5"/>
  <c r="CE19" i="5"/>
  <c r="BA19" i="5"/>
  <c r="W19" i="5"/>
  <c r="AMB18" i="5"/>
  <c r="ALD18" i="5"/>
  <c r="AJZ18" i="5"/>
  <c r="AIX18" i="5"/>
  <c r="AIB18" i="5"/>
  <c r="AHB18" i="5"/>
  <c r="AGG18" i="5"/>
  <c r="AFG18" i="5"/>
  <c r="AEM18" i="5"/>
  <c r="ADS18" i="5"/>
  <c r="ACV18" i="5"/>
  <c r="ACC18" i="5"/>
  <c r="ABJ18" i="5"/>
  <c r="AAQ18" i="5"/>
  <c r="ZU18" i="5"/>
  <c r="ZB18" i="5"/>
  <c r="YI18" i="5"/>
  <c r="XP18" i="5"/>
  <c r="WY18" i="5"/>
  <c r="WI18" i="5"/>
  <c r="VS18" i="5"/>
  <c r="VC18" i="5"/>
  <c r="UM18" i="5"/>
  <c r="TW18" i="5"/>
  <c r="TG18" i="5"/>
  <c r="SQ18" i="5"/>
  <c r="SA18" i="5"/>
  <c r="RK18" i="5"/>
  <c r="QU18" i="5"/>
  <c r="QE18" i="5"/>
  <c r="PO18" i="5"/>
  <c r="OY18" i="5"/>
  <c r="OI18" i="5"/>
  <c r="NS18" i="5"/>
  <c r="NC18" i="5"/>
  <c r="MM18" i="5"/>
  <c r="LW18" i="5"/>
  <c r="LG18" i="5"/>
  <c r="KQ18" i="5"/>
  <c r="KA18" i="5"/>
  <c r="JK18" i="5"/>
  <c r="IU18" i="5"/>
  <c r="IE18" i="5"/>
  <c r="HO18" i="5"/>
  <c r="GY18" i="5"/>
  <c r="GI18" i="5"/>
  <c r="FS18" i="5"/>
  <c r="FC18" i="5"/>
  <c r="EM18" i="5"/>
  <c r="DW18" i="5"/>
  <c r="DG18" i="5"/>
  <c r="CQ18" i="5"/>
  <c r="CA18" i="5"/>
  <c r="BK18" i="5"/>
  <c r="AU18" i="5"/>
  <c r="AE18" i="5"/>
  <c r="O18" i="5"/>
  <c r="AMG17" i="5"/>
  <c r="ALQ17" i="5"/>
  <c r="ALA17" i="5"/>
  <c r="AKK17" i="5"/>
  <c r="AJU17" i="5"/>
  <c r="AJE17" i="5"/>
  <c r="AIO17" i="5"/>
  <c r="AHY17" i="5"/>
  <c r="AHI17" i="5"/>
  <c r="AGS17" i="5"/>
  <c r="AGC17" i="5"/>
  <c r="AFM17" i="5"/>
  <c r="AEW17" i="5"/>
  <c r="AEG17" i="5"/>
  <c r="ADQ17" i="5"/>
  <c r="ADA17" i="5"/>
  <c r="ACK17" i="5"/>
  <c r="ABU17" i="5"/>
  <c r="ABE17" i="5"/>
  <c r="AAO17" i="5"/>
  <c r="ZY17" i="5"/>
  <c r="ZI17" i="5"/>
  <c r="YS17" i="5"/>
  <c r="YC17" i="5"/>
  <c r="XM17" i="5"/>
  <c r="WW17" i="5"/>
  <c r="WG17" i="5"/>
  <c r="VQ17" i="5"/>
  <c r="VA17" i="5"/>
  <c r="UK17" i="5"/>
  <c r="TU17" i="5"/>
  <c r="TE17" i="5"/>
  <c r="SO17" i="5"/>
  <c r="RY17" i="5"/>
  <c r="RI17" i="5"/>
  <c r="QS17" i="5"/>
  <c r="QC17" i="5"/>
  <c r="PM17" i="5"/>
  <c r="OW17" i="5"/>
  <c r="OG17" i="5"/>
  <c r="NQ17" i="5"/>
  <c r="NA17" i="5"/>
  <c r="MK17" i="5"/>
  <c r="LU17" i="5"/>
  <c r="LE17" i="5"/>
  <c r="KO17" i="5"/>
  <c r="JY17" i="5"/>
  <c r="JI17" i="5"/>
  <c r="IS17" i="5"/>
  <c r="IC17" i="5"/>
  <c r="HM17" i="5"/>
  <c r="GW17" i="5"/>
  <c r="GG17" i="5"/>
  <c r="FQ17" i="5"/>
  <c r="FA17" i="5"/>
  <c r="EK17" i="5"/>
  <c r="DU17" i="5"/>
  <c r="DE17" i="5"/>
  <c r="CO17" i="5"/>
  <c r="BY17" i="5"/>
  <c r="BI17" i="5"/>
  <c r="AS17" i="5"/>
  <c r="AC17" i="5"/>
  <c r="M17" i="5"/>
  <c r="AME16" i="5"/>
  <c r="ALO16" i="5"/>
  <c r="AKY16" i="5"/>
  <c r="AKI16" i="5"/>
  <c r="AJS16" i="5"/>
  <c r="AJC16" i="5"/>
  <c r="AIM16" i="5"/>
  <c r="AHW16" i="5"/>
  <c r="AHG16" i="5"/>
  <c r="AGQ16" i="5"/>
  <c r="AGA16" i="5"/>
  <c r="AFK16" i="5"/>
  <c r="AEU16" i="5"/>
  <c r="AEE16" i="5"/>
  <c r="ADO16" i="5"/>
  <c r="ACY16" i="5"/>
  <c r="ACI16" i="5"/>
  <c r="ABS16" i="5"/>
  <c r="ABC16" i="5"/>
  <c r="AAM16" i="5"/>
  <c r="ZW16" i="5"/>
  <c r="ZG16" i="5"/>
  <c r="YQ16" i="5"/>
  <c r="YA16" i="5"/>
  <c r="XK16" i="5"/>
  <c r="WU16" i="5"/>
  <c r="WE16" i="5"/>
  <c r="VO16" i="5"/>
  <c r="UY16" i="5"/>
  <c r="UI16" i="5"/>
  <c r="TS16" i="5"/>
  <c r="TC16" i="5"/>
  <c r="SM16" i="5"/>
  <c r="RW16" i="5"/>
  <c r="RG16" i="5"/>
  <c r="QQ16" i="5"/>
  <c r="QA16" i="5"/>
  <c r="PK16" i="5"/>
  <c r="OU16" i="5"/>
  <c r="OE16" i="5"/>
  <c r="NO16" i="5"/>
  <c r="MY16" i="5"/>
  <c r="MI16" i="5"/>
  <c r="LS16" i="5"/>
  <c r="LC16" i="5"/>
  <c r="KM16" i="5"/>
  <c r="JW16" i="5"/>
  <c r="JG16" i="5"/>
  <c r="IQ16" i="5"/>
  <c r="IA16" i="5"/>
  <c r="HK16" i="5"/>
  <c r="GU16" i="5"/>
  <c r="GE16" i="5"/>
  <c r="FO16" i="5"/>
  <c r="EY16" i="5"/>
  <c r="EI16" i="5"/>
  <c r="DS16" i="5"/>
  <c r="DC16" i="5"/>
  <c r="CM16" i="5"/>
  <c r="BW16" i="5"/>
  <c r="BG16" i="5"/>
  <c r="AQ16" i="5"/>
  <c r="AA16" i="5"/>
  <c r="K16" i="5"/>
  <c r="AMC15" i="5"/>
  <c r="ALM15" i="5"/>
  <c r="AKW15" i="5"/>
  <c r="AKG15" i="5"/>
  <c r="AJQ15" i="5"/>
  <c r="AJA15" i="5"/>
  <c r="AIK15" i="5"/>
  <c r="AHU15" i="5"/>
  <c r="AHE15" i="5"/>
  <c r="AGO15" i="5"/>
  <c r="AFY15" i="5"/>
  <c r="AFI15" i="5"/>
  <c r="AES15" i="5"/>
  <c r="AEC15" i="5"/>
  <c r="ADM15" i="5"/>
  <c r="ACW15" i="5"/>
  <c r="ACG15" i="5"/>
  <c r="ABQ15" i="5"/>
  <c r="AIS19" i="5"/>
  <c r="ACF19" i="5"/>
  <c r="ZT19" i="5"/>
  <c r="XH19" i="5"/>
  <c r="UV19" i="5"/>
  <c r="SW19" i="5"/>
  <c r="RB19" i="5"/>
  <c r="PQ19" i="5"/>
  <c r="NZ19" i="5"/>
  <c r="MT19" i="5"/>
  <c r="LN19" i="5"/>
  <c r="KH19" i="5"/>
  <c r="JB19" i="5"/>
  <c r="HV19" i="5"/>
  <c r="GP19" i="5"/>
  <c r="FJ19" i="5"/>
  <c r="EE19" i="5"/>
  <c r="DB19" i="5"/>
  <c r="CD19" i="5"/>
  <c r="AZ19" i="5"/>
  <c r="V19" i="5"/>
  <c r="ALZ18" i="5"/>
  <c r="ALC18" i="5"/>
  <c r="AJY18" i="5"/>
  <c r="AIW18" i="5"/>
  <c r="AIA18" i="5"/>
  <c r="AHA18" i="5"/>
  <c r="AGF18" i="5"/>
  <c r="AFF18" i="5"/>
  <c r="AEL18" i="5"/>
  <c r="ADN18" i="5"/>
  <c r="ACU18" i="5"/>
  <c r="ACB18" i="5"/>
  <c r="ABI18" i="5"/>
  <c r="AAM18" i="5"/>
  <c r="ZT18" i="5"/>
  <c r="ZA18" i="5"/>
  <c r="YH18" i="5"/>
  <c r="XO18" i="5"/>
  <c r="WX18" i="5"/>
  <c r="WH18" i="5"/>
  <c r="VR18" i="5"/>
  <c r="VB18" i="5"/>
  <c r="UL18" i="5"/>
  <c r="TV18" i="5"/>
  <c r="TF18" i="5"/>
  <c r="SP18" i="5"/>
  <c r="RZ18" i="5"/>
  <c r="RJ18" i="5"/>
  <c r="QT18" i="5"/>
  <c r="QD18" i="5"/>
  <c r="PN18" i="5"/>
  <c r="OX18" i="5"/>
  <c r="OH18" i="5"/>
  <c r="NR18" i="5"/>
  <c r="NB18" i="5"/>
  <c r="ML18" i="5"/>
  <c r="LV18" i="5"/>
  <c r="LF18" i="5"/>
  <c r="KP18" i="5"/>
  <c r="JZ18" i="5"/>
  <c r="JJ18" i="5"/>
  <c r="IT18" i="5"/>
  <c r="ID18" i="5"/>
  <c r="HN18" i="5"/>
  <c r="GX18" i="5"/>
  <c r="GH18" i="5"/>
  <c r="FR18" i="5"/>
  <c r="FB18" i="5"/>
  <c r="EL18" i="5"/>
  <c r="DV18" i="5"/>
  <c r="DF18" i="5"/>
  <c r="CP18" i="5"/>
  <c r="BZ18" i="5"/>
  <c r="BJ18" i="5"/>
  <c r="AT18" i="5"/>
  <c r="AD18" i="5"/>
  <c r="N18" i="5"/>
  <c r="AMF17" i="5"/>
  <c r="ALP17" i="5"/>
  <c r="AKZ17" i="5"/>
  <c r="AKJ17" i="5"/>
  <c r="AJT17" i="5"/>
  <c r="AJD17" i="5"/>
  <c r="AIN17" i="5"/>
  <c r="AHX17" i="5"/>
  <c r="AHH17" i="5"/>
  <c r="AGR17" i="5"/>
  <c r="AGB17" i="5"/>
  <c r="AFL17" i="5"/>
  <c r="AEV17" i="5"/>
  <c r="AEF17" i="5"/>
  <c r="ADP17" i="5"/>
  <c r="ACZ17" i="5"/>
  <c r="ACJ17" i="5"/>
  <c r="ABT17" i="5"/>
  <c r="ABD17" i="5"/>
  <c r="AAN17" i="5"/>
  <c r="ZX17" i="5"/>
  <c r="ZH17" i="5"/>
  <c r="YR17" i="5"/>
  <c r="YB17" i="5"/>
  <c r="XL17" i="5"/>
  <c r="WV17" i="5"/>
  <c r="WF17" i="5"/>
  <c r="VP17" i="5"/>
  <c r="UZ17" i="5"/>
  <c r="UJ17" i="5"/>
  <c r="TT17" i="5"/>
  <c r="TD17" i="5"/>
  <c r="SN17" i="5"/>
  <c r="RX17" i="5"/>
  <c r="RH17" i="5"/>
  <c r="QR17" i="5"/>
  <c r="QB17" i="5"/>
  <c r="PL17" i="5"/>
  <c r="OV17" i="5"/>
  <c r="OF17" i="5"/>
  <c r="NP17" i="5"/>
  <c r="MZ17" i="5"/>
  <c r="MJ17" i="5"/>
  <c r="LT17" i="5"/>
  <c r="LD17" i="5"/>
  <c r="KN17" i="5"/>
  <c r="JX17" i="5"/>
  <c r="JH17" i="5"/>
  <c r="IR17" i="5"/>
  <c r="IB17" i="5"/>
  <c r="HL17" i="5"/>
  <c r="GV17" i="5"/>
  <c r="GF17" i="5"/>
  <c r="FP17" i="5"/>
  <c r="EZ17" i="5"/>
  <c r="EJ17" i="5"/>
  <c r="DT17" i="5"/>
  <c r="DD17" i="5"/>
  <c r="CN17" i="5"/>
  <c r="BX17" i="5"/>
  <c r="BH17" i="5"/>
  <c r="AR17" i="5"/>
  <c r="AB17" i="5"/>
  <c r="L17" i="5"/>
  <c r="AMD16" i="5"/>
  <c r="ALN16" i="5"/>
  <c r="AKX16" i="5"/>
  <c r="AKH16" i="5"/>
  <c r="AJR16" i="5"/>
  <c r="AJB16" i="5"/>
  <c r="AIL16" i="5"/>
  <c r="AHV16" i="5"/>
  <c r="AHF16" i="5"/>
  <c r="AGP16" i="5"/>
  <c r="AFZ16" i="5"/>
  <c r="AFJ16" i="5"/>
  <c r="AET16" i="5"/>
  <c r="AED16" i="5"/>
  <c r="ADN16" i="5"/>
  <c r="ACX16" i="5"/>
  <c r="ACH16" i="5"/>
  <c r="ABR16" i="5"/>
  <c r="ABB16" i="5"/>
  <c r="AAL16" i="5"/>
  <c r="ZV16" i="5"/>
  <c r="ZF16" i="5"/>
  <c r="YP16" i="5"/>
  <c r="XZ16" i="5"/>
  <c r="XJ16" i="5"/>
  <c r="WT16" i="5"/>
  <c r="WD16" i="5"/>
  <c r="VN16" i="5"/>
  <c r="UX16" i="5"/>
  <c r="UH16" i="5"/>
  <c r="TR16" i="5"/>
  <c r="TB16" i="5"/>
  <c r="SL16" i="5"/>
  <c r="RV16" i="5"/>
  <c r="RF16" i="5"/>
  <c r="QP16" i="5"/>
  <c r="PZ16" i="5"/>
  <c r="PJ16" i="5"/>
  <c r="OT16" i="5"/>
  <c r="OD16" i="5"/>
  <c r="NN16" i="5"/>
  <c r="MX16" i="5"/>
  <c r="MH16" i="5"/>
  <c r="LR16" i="5"/>
  <c r="LB16" i="5"/>
  <c r="KL16" i="5"/>
  <c r="JV16" i="5"/>
  <c r="JF16" i="5"/>
  <c r="IP16" i="5"/>
  <c r="HZ16" i="5"/>
  <c r="HJ16" i="5"/>
  <c r="GT16" i="5"/>
  <c r="GD16" i="5"/>
  <c r="FN16" i="5"/>
  <c r="EX16" i="5"/>
  <c r="EH16" i="5"/>
  <c r="DR16" i="5"/>
  <c r="DB16" i="5"/>
  <c r="CL16" i="5"/>
  <c r="BV16" i="5"/>
  <c r="BF16" i="5"/>
  <c r="AP16" i="5"/>
  <c r="Z16" i="5"/>
  <c r="J16" i="5"/>
  <c r="AMB15" i="5"/>
  <c r="ALL15" i="5"/>
  <c r="AKV15" i="5"/>
  <c r="AKF15" i="5"/>
  <c r="AJP15" i="5"/>
  <c r="AIZ15" i="5"/>
  <c r="AIJ15" i="5"/>
  <c r="AHT15" i="5"/>
  <c r="AIC19" i="5"/>
  <c r="ACA19" i="5"/>
  <c r="ZO19" i="5"/>
  <c r="XC19" i="5"/>
  <c r="US19" i="5"/>
  <c r="SU19" i="5"/>
  <c r="RA19" i="5"/>
  <c r="PH19" i="5"/>
  <c r="NY19" i="5"/>
  <c r="MS19" i="5"/>
  <c r="LM19" i="5"/>
  <c r="KG19" i="5"/>
  <c r="JA19" i="5"/>
  <c r="HU19" i="5"/>
  <c r="GO19" i="5"/>
  <c r="FI19" i="5"/>
  <c r="ED19" i="5"/>
  <c r="CZ19" i="5"/>
  <c r="CC19" i="5"/>
  <c r="AY19" i="5"/>
  <c r="U19" i="5"/>
  <c r="ALY18" i="5"/>
  <c r="AKV18" i="5"/>
  <c r="AJX18" i="5"/>
  <c r="AIV18" i="5"/>
  <c r="AHU18" i="5"/>
  <c r="AGZ18" i="5"/>
  <c r="AGE18" i="5"/>
  <c r="AFE18" i="5"/>
  <c r="AEK18" i="5"/>
  <c r="ADM18" i="5"/>
  <c r="ACT18" i="5"/>
  <c r="ACA18" i="5"/>
  <c r="ABH18" i="5"/>
  <c r="AAL18" i="5"/>
  <c r="ZS18" i="5"/>
  <c r="YZ18" i="5"/>
  <c r="YG18" i="5"/>
  <c r="XM18" i="5"/>
  <c r="WW18" i="5"/>
  <c r="WG18" i="5"/>
  <c r="VQ18" i="5"/>
  <c r="VA18" i="5"/>
  <c r="UK18" i="5"/>
  <c r="TU18" i="5"/>
  <c r="TE18" i="5"/>
  <c r="SO18" i="5"/>
  <c r="RY18" i="5"/>
  <c r="RI18" i="5"/>
  <c r="QS18" i="5"/>
  <c r="QC18" i="5"/>
  <c r="PM18" i="5"/>
  <c r="OW18" i="5"/>
  <c r="OG18" i="5"/>
  <c r="NQ18" i="5"/>
  <c r="NA18" i="5"/>
  <c r="MK18" i="5"/>
  <c r="LU18" i="5"/>
  <c r="LE18" i="5"/>
  <c r="KO18" i="5"/>
  <c r="JY18" i="5"/>
  <c r="JI18" i="5"/>
  <c r="IS18" i="5"/>
  <c r="IC18" i="5"/>
  <c r="HM18" i="5"/>
  <c r="GW18" i="5"/>
  <c r="GG18" i="5"/>
  <c r="FQ18" i="5"/>
  <c r="FA18" i="5"/>
  <c r="EK18" i="5"/>
  <c r="DU18" i="5"/>
  <c r="DE18" i="5"/>
  <c r="CO18" i="5"/>
  <c r="BY18" i="5"/>
  <c r="BI18" i="5"/>
  <c r="AS18" i="5"/>
  <c r="AC18" i="5"/>
  <c r="M18" i="5"/>
  <c r="AME17" i="5"/>
  <c r="ALO17" i="5"/>
  <c r="AKY17" i="5"/>
  <c r="AKI17" i="5"/>
  <c r="AJS17" i="5"/>
  <c r="AJC17" i="5"/>
  <c r="AIM17" i="5"/>
  <c r="AHW17" i="5"/>
  <c r="AHG17" i="5"/>
  <c r="AGQ17" i="5"/>
  <c r="AGA17" i="5"/>
  <c r="AFK17" i="5"/>
  <c r="AEU17" i="5"/>
  <c r="AEE17" i="5"/>
  <c r="ADO17" i="5"/>
  <c r="ACY17" i="5"/>
  <c r="ACI17" i="5"/>
  <c r="ABS17" i="5"/>
  <c r="ABC17" i="5"/>
  <c r="AAM17" i="5"/>
  <c r="ZW17" i="5"/>
  <c r="ZG17" i="5"/>
  <c r="YQ17" i="5"/>
  <c r="YA17" i="5"/>
  <c r="XK17" i="5"/>
  <c r="WU17" i="5"/>
  <c r="WE17" i="5"/>
  <c r="VO17" i="5"/>
  <c r="UY17" i="5"/>
  <c r="UI17" i="5"/>
  <c r="TS17" i="5"/>
  <c r="TC17" i="5"/>
  <c r="SM17" i="5"/>
  <c r="RW17" i="5"/>
  <c r="RG17" i="5"/>
  <c r="QQ17" i="5"/>
  <c r="QA17" i="5"/>
  <c r="PK17" i="5"/>
  <c r="OU17" i="5"/>
  <c r="OE17" i="5"/>
  <c r="NO17" i="5"/>
  <c r="MY17" i="5"/>
  <c r="MI17" i="5"/>
  <c r="LS17" i="5"/>
  <c r="LC17" i="5"/>
  <c r="KM17" i="5"/>
  <c r="JW17" i="5"/>
  <c r="JG17" i="5"/>
  <c r="IQ17" i="5"/>
  <c r="IA17" i="5"/>
  <c r="HK17" i="5"/>
  <c r="GU17" i="5"/>
  <c r="GE17" i="5"/>
  <c r="FO17" i="5"/>
  <c r="EY17" i="5"/>
  <c r="EI17" i="5"/>
  <c r="DS17" i="5"/>
  <c r="DC17" i="5"/>
  <c r="CM17" i="5"/>
  <c r="BW17" i="5"/>
  <c r="BG17" i="5"/>
  <c r="AQ17" i="5"/>
  <c r="AA17" i="5"/>
  <c r="K17" i="5"/>
  <c r="AMC16" i="5"/>
  <c r="ALM16" i="5"/>
  <c r="AKW16" i="5"/>
  <c r="AKG16" i="5"/>
  <c r="AJQ16" i="5"/>
  <c r="AJA16" i="5"/>
  <c r="AIK16" i="5"/>
  <c r="AHU16" i="5"/>
  <c r="AHE16" i="5"/>
  <c r="AGO16" i="5"/>
  <c r="AFY16" i="5"/>
  <c r="AFI16" i="5"/>
  <c r="AES16" i="5"/>
  <c r="AEC16" i="5"/>
  <c r="ADM16" i="5"/>
  <c r="ACW16" i="5"/>
  <c r="ACG16" i="5"/>
  <c r="ABQ16" i="5"/>
  <c r="ABA16" i="5"/>
  <c r="AAK16" i="5"/>
  <c r="ZU16" i="5"/>
  <c r="ZE16" i="5"/>
  <c r="YO16" i="5"/>
  <c r="XY16" i="5"/>
  <c r="XI16" i="5"/>
  <c r="WS16" i="5"/>
  <c r="WC16" i="5"/>
  <c r="VM16" i="5"/>
  <c r="UW16" i="5"/>
  <c r="UG16" i="5"/>
  <c r="TQ16" i="5"/>
  <c r="TA16" i="5"/>
  <c r="SK16" i="5"/>
  <c r="RU16" i="5"/>
  <c r="RE16" i="5"/>
  <c r="QO16" i="5"/>
  <c r="PY16" i="5"/>
  <c r="PI16" i="5"/>
  <c r="OS16" i="5"/>
  <c r="OC16" i="5"/>
  <c r="NM16" i="5"/>
  <c r="MW16" i="5"/>
  <c r="MG16" i="5"/>
  <c r="LQ16" i="5"/>
  <c r="LA16" i="5"/>
  <c r="KK16" i="5"/>
  <c r="JU16" i="5"/>
  <c r="JE16" i="5"/>
  <c r="IO16" i="5"/>
  <c r="HY16" i="5"/>
  <c r="HI16" i="5"/>
  <c r="GS16" i="5"/>
  <c r="GC16" i="5"/>
  <c r="FM16" i="5"/>
  <c r="EW16" i="5"/>
  <c r="EG16" i="5"/>
  <c r="DQ16" i="5"/>
  <c r="DA16" i="5"/>
  <c r="CK16" i="5"/>
  <c r="BU16" i="5"/>
  <c r="BE16" i="5"/>
  <c r="AO16" i="5"/>
  <c r="Y16" i="5"/>
  <c r="I16" i="5"/>
  <c r="AHM19" i="5"/>
  <c r="ABZ19" i="5"/>
  <c r="ZN19" i="5"/>
  <c r="XB19" i="5"/>
  <c r="UQ19" i="5"/>
  <c r="ST19" i="5"/>
  <c r="QY19" i="5"/>
  <c r="PF19" i="5"/>
  <c r="NX19" i="5"/>
  <c r="MR19" i="5"/>
  <c r="LL19" i="5"/>
  <c r="KF19" i="5"/>
  <c r="IZ19" i="5"/>
  <c r="HT19" i="5"/>
  <c r="GN19" i="5"/>
  <c r="FH19" i="5"/>
  <c r="EC19" i="5"/>
  <c r="CY19" i="5"/>
  <c r="BV19" i="5"/>
  <c r="AX19" i="5"/>
  <c r="T19" i="5"/>
  <c r="ALX18" i="5"/>
  <c r="AKT18" i="5"/>
  <c r="AJW18" i="5"/>
  <c r="AIU18" i="5"/>
  <c r="AHT18" i="5"/>
  <c r="AGY18" i="5"/>
  <c r="AFY18" i="5"/>
  <c r="AFD18" i="5"/>
  <c r="AEJ18" i="5"/>
  <c r="ADL18" i="5"/>
  <c r="ACS18" i="5"/>
  <c r="ABZ18" i="5"/>
  <c r="ABG18" i="5"/>
  <c r="AAK18" i="5"/>
  <c r="ZR18" i="5"/>
  <c r="YY18" i="5"/>
  <c r="YF18" i="5"/>
  <c r="XL18" i="5"/>
  <c r="WV18" i="5"/>
  <c r="WF18" i="5"/>
  <c r="VP18" i="5"/>
  <c r="UZ18" i="5"/>
  <c r="UJ18" i="5"/>
  <c r="TT18" i="5"/>
  <c r="TD18" i="5"/>
  <c r="SN18" i="5"/>
  <c r="RX18" i="5"/>
  <c r="RH18" i="5"/>
  <c r="QR18" i="5"/>
  <c r="QB18" i="5"/>
  <c r="PL18" i="5"/>
  <c r="OV18" i="5"/>
  <c r="OF18" i="5"/>
  <c r="NP18" i="5"/>
  <c r="MZ18" i="5"/>
  <c r="MJ18" i="5"/>
  <c r="LT18" i="5"/>
  <c r="LD18" i="5"/>
  <c r="KN18" i="5"/>
  <c r="JX18" i="5"/>
  <c r="JH18" i="5"/>
  <c r="IR18" i="5"/>
  <c r="IB18" i="5"/>
  <c r="HL18" i="5"/>
  <c r="GV18" i="5"/>
  <c r="GF18" i="5"/>
  <c r="FP18" i="5"/>
  <c r="EZ18" i="5"/>
  <c r="EJ18" i="5"/>
  <c r="DT18" i="5"/>
  <c r="DD18" i="5"/>
  <c r="CN18" i="5"/>
  <c r="BX18" i="5"/>
  <c r="BH18" i="5"/>
  <c r="AR18" i="5"/>
  <c r="AB18" i="5"/>
  <c r="L18" i="5"/>
  <c r="AMD17" i="5"/>
  <c r="ALN17" i="5"/>
  <c r="AKX17" i="5"/>
  <c r="AKH17" i="5"/>
  <c r="AJR17" i="5"/>
  <c r="AJB17" i="5"/>
  <c r="AIL17" i="5"/>
  <c r="AHV17" i="5"/>
  <c r="AHF17" i="5"/>
  <c r="AGP17" i="5"/>
  <c r="AFZ17" i="5"/>
  <c r="AFJ17" i="5"/>
  <c r="AET17" i="5"/>
  <c r="AED17" i="5"/>
  <c r="ADN17" i="5"/>
  <c r="ACX17" i="5"/>
  <c r="ACH17" i="5"/>
  <c r="ABR17" i="5"/>
  <c r="ABB17" i="5"/>
  <c r="AAL17" i="5"/>
  <c r="ZV17" i="5"/>
  <c r="ZF17" i="5"/>
  <c r="YP17" i="5"/>
  <c r="XZ17" i="5"/>
  <c r="XJ17" i="5"/>
  <c r="WT17" i="5"/>
  <c r="WD17" i="5"/>
  <c r="VN17" i="5"/>
  <c r="UX17" i="5"/>
  <c r="UH17" i="5"/>
  <c r="TR17" i="5"/>
  <c r="TB17" i="5"/>
  <c r="SL17" i="5"/>
  <c r="RV17" i="5"/>
  <c r="RF17" i="5"/>
  <c r="QP17" i="5"/>
  <c r="PZ17" i="5"/>
  <c r="PJ17" i="5"/>
  <c r="OT17" i="5"/>
  <c r="OD17" i="5"/>
  <c r="NN17" i="5"/>
  <c r="MX17" i="5"/>
  <c r="MH17" i="5"/>
  <c r="LR17" i="5"/>
  <c r="LB17" i="5"/>
  <c r="KL17" i="5"/>
  <c r="JV17" i="5"/>
  <c r="JF17" i="5"/>
  <c r="IP17" i="5"/>
  <c r="HZ17" i="5"/>
  <c r="HJ17" i="5"/>
  <c r="GT17" i="5"/>
  <c r="GD17" i="5"/>
  <c r="FN17" i="5"/>
  <c r="EX17" i="5"/>
  <c r="EH17" i="5"/>
  <c r="DR17" i="5"/>
  <c r="DB17" i="5"/>
  <c r="CL17" i="5"/>
  <c r="BV17" i="5"/>
  <c r="BF17" i="5"/>
  <c r="AP17" i="5"/>
  <c r="Z17" i="5"/>
  <c r="J17" i="5"/>
  <c r="AMB16" i="5"/>
  <c r="ALL16" i="5"/>
  <c r="AKV16" i="5"/>
  <c r="AKF16" i="5"/>
  <c r="AJP16" i="5"/>
  <c r="AIZ16" i="5"/>
  <c r="AIJ16" i="5"/>
  <c r="AHT16" i="5"/>
  <c r="AHD16" i="5"/>
  <c r="AGN16" i="5"/>
  <c r="AFX16" i="5"/>
  <c r="AFH16" i="5"/>
  <c r="AER16" i="5"/>
  <c r="AEB16" i="5"/>
  <c r="ADL16" i="5"/>
  <c r="ACV16" i="5"/>
  <c r="ACF16" i="5"/>
  <c r="ABP16" i="5"/>
  <c r="AAZ16" i="5"/>
  <c r="AAJ16" i="5"/>
  <c r="ZT16" i="5"/>
  <c r="ZD16" i="5"/>
  <c r="YN16" i="5"/>
  <c r="XX16" i="5"/>
  <c r="XH16" i="5"/>
  <c r="WR16" i="5"/>
  <c r="WB16" i="5"/>
  <c r="VL16" i="5"/>
  <c r="UV16" i="5"/>
  <c r="UF16" i="5"/>
  <c r="TP16" i="5"/>
  <c r="SZ16" i="5"/>
  <c r="SJ16" i="5"/>
  <c r="RT16" i="5"/>
  <c r="RD16" i="5"/>
  <c r="QN16" i="5"/>
  <c r="PX16" i="5"/>
  <c r="PH16" i="5"/>
  <c r="OR16" i="5"/>
  <c r="OB16" i="5"/>
  <c r="NL16" i="5"/>
  <c r="MV16" i="5"/>
  <c r="MF16" i="5"/>
  <c r="LP16" i="5"/>
  <c r="KZ16" i="5"/>
  <c r="KJ16" i="5"/>
  <c r="JT16" i="5"/>
  <c r="JD16" i="5"/>
  <c r="IN16" i="5"/>
  <c r="HX16" i="5"/>
  <c r="HH16" i="5"/>
  <c r="GR16" i="5"/>
  <c r="GB16" i="5"/>
  <c r="FL16" i="5"/>
  <c r="EV16" i="5"/>
  <c r="EF16" i="5"/>
  <c r="DP16" i="5"/>
  <c r="CZ16" i="5"/>
  <c r="CJ16" i="5"/>
  <c r="BT16" i="5"/>
  <c r="BD16" i="5"/>
  <c r="AN16" i="5"/>
  <c r="AGW19" i="5"/>
  <c r="ABY19" i="5"/>
  <c r="ZM19" i="5"/>
  <c r="XA19" i="5"/>
  <c r="UP19" i="5"/>
  <c r="SS19" i="5"/>
  <c r="QX19" i="5"/>
  <c r="PE19" i="5"/>
  <c r="NW19" i="5"/>
  <c r="MQ19" i="5"/>
  <c r="LK19" i="5"/>
  <c r="KE19" i="5"/>
  <c r="IY19" i="5"/>
  <c r="HS19" i="5"/>
  <c r="GM19" i="5"/>
  <c r="FG19" i="5"/>
  <c r="EB19" i="5"/>
  <c r="CX19" i="5"/>
  <c r="BT19" i="5"/>
  <c r="AW19" i="5"/>
  <c r="S19" i="5"/>
  <c r="ALW18" i="5"/>
  <c r="AKS18" i="5"/>
  <c r="AJQ18" i="5"/>
  <c r="AIT18" i="5"/>
  <c r="AHS18" i="5"/>
  <c r="AGX18" i="5"/>
  <c r="AFX18" i="5"/>
  <c r="AFC18" i="5"/>
  <c r="AEI18" i="5"/>
  <c r="ADK18" i="5"/>
  <c r="ACR18" i="5"/>
  <c r="ABY18" i="5"/>
  <c r="ABC18" i="5"/>
  <c r="AAJ18" i="5"/>
  <c r="ZQ18" i="5"/>
  <c r="YX18" i="5"/>
  <c r="YE18" i="5"/>
  <c r="XK18" i="5"/>
  <c r="WU18" i="5"/>
  <c r="WE18" i="5"/>
  <c r="VO18" i="5"/>
  <c r="UY18" i="5"/>
  <c r="UI18" i="5"/>
  <c r="TS18" i="5"/>
  <c r="TC18" i="5"/>
  <c r="SM18" i="5"/>
  <c r="RW18" i="5"/>
  <c r="RG18" i="5"/>
  <c r="QQ18" i="5"/>
  <c r="QA18" i="5"/>
  <c r="PK18" i="5"/>
  <c r="OU18" i="5"/>
  <c r="OE18" i="5"/>
  <c r="NO18" i="5"/>
  <c r="MY18" i="5"/>
  <c r="MI18" i="5"/>
  <c r="LS18" i="5"/>
  <c r="LC18" i="5"/>
  <c r="KM18" i="5"/>
  <c r="JW18" i="5"/>
  <c r="JG18" i="5"/>
  <c r="IQ18" i="5"/>
  <c r="IA18" i="5"/>
  <c r="HK18" i="5"/>
  <c r="GU18" i="5"/>
  <c r="GE18" i="5"/>
  <c r="FO18" i="5"/>
  <c r="EY18" i="5"/>
  <c r="EI18" i="5"/>
  <c r="DS18" i="5"/>
  <c r="DC18" i="5"/>
  <c r="CM18" i="5"/>
  <c r="BW18" i="5"/>
  <c r="BG18" i="5"/>
  <c r="AQ18" i="5"/>
  <c r="AA18" i="5"/>
  <c r="K18" i="5"/>
  <c r="AMC17" i="5"/>
  <c r="ALM17" i="5"/>
  <c r="AKW17" i="5"/>
  <c r="AKG17" i="5"/>
  <c r="AJQ17" i="5"/>
  <c r="AJA17" i="5"/>
  <c r="AIK17" i="5"/>
  <c r="AHU17" i="5"/>
  <c r="AHE17" i="5"/>
  <c r="AGO17" i="5"/>
  <c r="AFY17" i="5"/>
  <c r="AFI17" i="5"/>
  <c r="AES17" i="5"/>
  <c r="AEC17" i="5"/>
  <c r="ADM17" i="5"/>
  <c r="ACW17" i="5"/>
  <c r="ACG17" i="5"/>
  <c r="ABQ17" i="5"/>
  <c r="ABA17" i="5"/>
  <c r="AAK17" i="5"/>
  <c r="ZU17" i="5"/>
  <c r="ZE17" i="5"/>
  <c r="YO17" i="5"/>
  <c r="XY17" i="5"/>
  <c r="XI17" i="5"/>
  <c r="WS17" i="5"/>
  <c r="WC17" i="5"/>
  <c r="VM17" i="5"/>
  <c r="UW17" i="5"/>
  <c r="UG17" i="5"/>
  <c r="TQ17" i="5"/>
  <c r="TA17" i="5"/>
  <c r="SK17" i="5"/>
  <c r="RU17" i="5"/>
  <c r="RE17" i="5"/>
  <c r="QO17" i="5"/>
  <c r="PY17" i="5"/>
  <c r="PI17" i="5"/>
  <c r="OS17" i="5"/>
  <c r="OC17" i="5"/>
  <c r="NM17" i="5"/>
  <c r="MW17" i="5"/>
  <c r="MG17" i="5"/>
  <c r="LQ17" i="5"/>
  <c r="LA17" i="5"/>
  <c r="KK17" i="5"/>
  <c r="JU17" i="5"/>
  <c r="JE17" i="5"/>
  <c r="IO17" i="5"/>
  <c r="HY17" i="5"/>
  <c r="HI17" i="5"/>
  <c r="GS17" i="5"/>
  <c r="GC17" i="5"/>
  <c r="FM17" i="5"/>
  <c r="EW17" i="5"/>
  <c r="EG17" i="5"/>
  <c r="DQ17" i="5"/>
  <c r="DA17" i="5"/>
  <c r="CK17" i="5"/>
  <c r="BU17" i="5"/>
  <c r="BE17" i="5"/>
  <c r="AO17" i="5"/>
  <c r="Y17" i="5"/>
  <c r="I17" i="5"/>
  <c r="AMA16" i="5"/>
  <c r="ALK16" i="5"/>
  <c r="AKU16" i="5"/>
  <c r="AKE16" i="5"/>
  <c r="AJO16" i="5"/>
  <c r="AIY16" i="5"/>
  <c r="AII16" i="5"/>
  <c r="AHS16" i="5"/>
  <c r="AHC16" i="5"/>
  <c r="AGM16" i="5"/>
  <c r="AFW16" i="5"/>
  <c r="AFG16" i="5"/>
  <c r="AEQ16" i="5"/>
  <c r="AEA16" i="5"/>
  <c r="ADK16" i="5"/>
  <c r="ACU16" i="5"/>
  <c r="ACE16" i="5"/>
  <c r="ABO16" i="5"/>
  <c r="AAY16" i="5"/>
  <c r="AAI16" i="5"/>
  <c r="ZS16" i="5"/>
  <c r="ZC16" i="5"/>
  <c r="YM16" i="5"/>
  <c r="XW16" i="5"/>
  <c r="XG16" i="5"/>
  <c r="WQ16" i="5"/>
  <c r="WA16" i="5"/>
  <c r="VK16" i="5"/>
  <c r="UU16" i="5"/>
  <c r="UE16" i="5"/>
  <c r="TO16" i="5"/>
  <c r="SY16" i="5"/>
  <c r="SI16" i="5"/>
  <c r="RS16" i="5"/>
  <c r="RC16" i="5"/>
  <c r="QM16" i="5"/>
  <c r="PW16" i="5"/>
  <c r="PG16" i="5"/>
  <c r="OQ16" i="5"/>
  <c r="OA16" i="5"/>
  <c r="NK16" i="5"/>
  <c r="MU16" i="5"/>
  <c r="ME16" i="5"/>
  <c r="LO16" i="5"/>
  <c r="KY16" i="5"/>
  <c r="KI16" i="5"/>
  <c r="AGG19" i="5"/>
  <c r="ABP19" i="5"/>
  <c r="ZD19" i="5"/>
  <c r="WR19" i="5"/>
  <c r="UO19" i="5"/>
  <c r="SJ19" i="5"/>
  <c r="QW19" i="5"/>
  <c r="PC19" i="5"/>
  <c r="NV19" i="5"/>
  <c r="MP19" i="5"/>
  <c r="LJ19" i="5"/>
  <c r="KD19" i="5"/>
  <c r="IX19" i="5"/>
  <c r="HR19" i="5"/>
  <c r="GL19" i="5"/>
  <c r="FF19" i="5"/>
  <c r="EA19" i="5"/>
  <c r="CW19" i="5"/>
  <c r="BS19" i="5"/>
  <c r="AP19" i="5"/>
  <c r="R19" i="5"/>
  <c r="ALV18" i="5"/>
  <c r="AKR18" i="5"/>
  <c r="AJP18" i="5"/>
  <c r="AIS18" i="5"/>
  <c r="AHR18" i="5"/>
  <c r="AGW18" i="5"/>
  <c r="AFW18" i="5"/>
  <c r="AFB18" i="5"/>
  <c r="AED18" i="5"/>
  <c r="ADJ18" i="5"/>
  <c r="ACQ18" i="5"/>
  <c r="ABX18" i="5"/>
  <c r="ABB18" i="5"/>
  <c r="AAI18" i="5"/>
  <c r="ZP18" i="5"/>
  <c r="YW18" i="5"/>
  <c r="YA18" i="5"/>
  <c r="XJ18" i="5"/>
  <c r="WT18" i="5"/>
  <c r="WD18" i="5"/>
  <c r="VN18" i="5"/>
  <c r="UX18" i="5"/>
  <c r="UH18" i="5"/>
  <c r="TR18" i="5"/>
  <c r="TB18" i="5"/>
  <c r="SL18" i="5"/>
  <c r="RV18" i="5"/>
  <c r="RF18" i="5"/>
  <c r="QP18" i="5"/>
  <c r="PZ18" i="5"/>
  <c r="PJ18" i="5"/>
  <c r="OT18" i="5"/>
  <c r="OD18" i="5"/>
  <c r="NN18" i="5"/>
  <c r="MX18" i="5"/>
  <c r="MH18" i="5"/>
  <c r="LR18" i="5"/>
  <c r="LB18" i="5"/>
  <c r="KL18" i="5"/>
  <c r="JV18" i="5"/>
  <c r="JF18" i="5"/>
  <c r="IP18" i="5"/>
  <c r="HZ18" i="5"/>
  <c r="HJ18" i="5"/>
  <c r="GT18" i="5"/>
  <c r="GD18" i="5"/>
  <c r="FN18" i="5"/>
  <c r="EX18" i="5"/>
  <c r="EH18" i="5"/>
  <c r="DR18" i="5"/>
  <c r="DB18" i="5"/>
  <c r="CL18" i="5"/>
  <c r="BV18" i="5"/>
  <c r="BF18" i="5"/>
  <c r="AP18" i="5"/>
  <c r="Z18" i="5"/>
  <c r="J18" i="5"/>
  <c r="AMB17" i="5"/>
  <c r="ALL17" i="5"/>
  <c r="AKV17" i="5"/>
  <c r="AKF17" i="5"/>
  <c r="AJP17" i="5"/>
  <c r="AIZ17" i="5"/>
  <c r="AIJ17" i="5"/>
  <c r="AHT17" i="5"/>
  <c r="AHD17" i="5"/>
  <c r="AGN17" i="5"/>
  <c r="AFX17" i="5"/>
  <c r="AFH17" i="5"/>
  <c r="AER17" i="5"/>
  <c r="AEB17" i="5"/>
  <c r="ADL17" i="5"/>
  <c r="ACV17" i="5"/>
  <c r="ACF17" i="5"/>
  <c r="ABP17" i="5"/>
  <c r="AAZ17" i="5"/>
  <c r="AAJ17" i="5"/>
  <c r="ZT17" i="5"/>
  <c r="ZD17" i="5"/>
  <c r="YN17" i="5"/>
  <c r="XX17" i="5"/>
  <c r="XH17" i="5"/>
  <c r="WR17" i="5"/>
  <c r="WB17" i="5"/>
  <c r="VL17" i="5"/>
  <c r="UV17" i="5"/>
  <c r="UF17" i="5"/>
  <c r="TP17" i="5"/>
  <c r="SZ17" i="5"/>
  <c r="SJ17" i="5"/>
  <c r="RT17" i="5"/>
  <c r="RD17" i="5"/>
  <c r="QN17" i="5"/>
  <c r="PX17" i="5"/>
  <c r="PH17" i="5"/>
  <c r="OR17" i="5"/>
  <c r="OB17" i="5"/>
  <c r="NL17" i="5"/>
  <c r="MV17" i="5"/>
  <c r="MF17" i="5"/>
  <c r="LP17" i="5"/>
  <c r="KZ17" i="5"/>
  <c r="KJ17" i="5"/>
  <c r="JT17" i="5"/>
  <c r="JD17" i="5"/>
  <c r="IN17" i="5"/>
  <c r="HX17" i="5"/>
  <c r="HH17" i="5"/>
  <c r="GR17" i="5"/>
  <c r="GB17" i="5"/>
  <c r="FL17" i="5"/>
  <c r="EV17" i="5"/>
  <c r="EF17" i="5"/>
  <c r="DP17" i="5"/>
  <c r="CZ17" i="5"/>
  <c r="CJ17" i="5"/>
  <c r="BT17" i="5"/>
  <c r="BD17" i="5"/>
  <c r="AN17" i="5"/>
  <c r="X17" i="5"/>
  <c r="H17" i="5"/>
  <c r="ALZ16" i="5"/>
  <c r="ALJ16" i="5"/>
  <c r="AKT16" i="5"/>
  <c r="AKD16" i="5"/>
  <c r="AJN16" i="5"/>
  <c r="AIX16" i="5"/>
  <c r="AIH16" i="5"/>
  <c r="AHR16" i="5"/>
  <c r="AHB16" i="5"/>
  <c r="AGL16" i="5"/>
  <c r="AFV16" i="5"/>
  <c r="AFF16" i="5"/>
  <c r="AEP16" i="5"/>
  <c r="ADZ16" i="5"/>
  <c r="ADJ16" i="5"/>
  <c r="ACT16" i="5"/>
  <c r="ACD16" i="5"/>
  <c r="ABN16" i="5"/>
  <c r="AAX16" i="5"/>
  <c r="AAH16" i="5"/>
  <c r="ZR16" i="5"/>
  <c r="ZB16" i="5"/>
  <c r="YL16" i="5"/>
  <c r="XV16" i="5"/>
  <c r="XF16" i="5"/>
  <c r="WP16" i="5"/>
  <c r="VZ16" i="5"/>
  <c r="VJ16" i="5"/>
  <c r="UT16" i="5"/>
  <c r="UD16" i="5"/>
  <c r="TN16" i="5"/>
  <c r="SX16" i="5"/>
  <c r="SH16" i="5"/>
  <c r="RR16" i="5"/>
  <c r="RB16" i="5"/>
  <c r="QL16" i="5"/>
  <c r="PV16" i="5"/>
  <c r="PF16" i="5"/>
  <c r="OP16" i="5"/>
  <c r="NZ16" i="5"/>
  <c r="NJ16" i="5"/>
  <c r="MT16" i="5"/>
  <c r="MD16" i="5"/>
  <c r="LN16" i="5"/>
  <c r="KX16" i="5"/>
  <c r="KH16" i="5"/>
  <c r="JR16" i="5"/>
  <c r="JB16" i="5"/>
  <c r="IL16" i="5"/>
  <c r="HV16" i="5"/>
  <c r="HF16" i="5"/>
  <c r="GP16" i="5"/>
  <c r="FZ16" i="5"/>
  <c r="FJ16" i="5"/>
  <c r="ET16" i="5"/>
  <c r="ED16" i="5"/>
  <c r="DN16" i="5"/>
  <c r="CX16" i="5"/>
  <c r="CH16" i="5"/>
  <c r="BR16" i="5"/>
  <c r="BB16" i="5"/>
  <c r="AFQ19" i="5"/>
  <c r="ABK19" i="5"/>
  <c r="YY19" i="5"/>
  <c r="WM19" i="5"/>
  <c r="UF19" i="5"/>
  <c r="SG19" i="5"/>
  <c r="QN19" i="5"/>
  <c r="PB19" i="5"/>
  <c r="NU19" i="5"/>
  <c r="MO19" i="5"/>
  <c r="LI19" i="5"/>
  <c r="KC19" i="5"/>
  <c r="IW19" i="5"/>
  <c r="HQ19" i="5"/>
  <c r="GK19" i="5"/>
  <c r="FE19" i="5"/>
  <c r="DZ19" i="5"/>
  <c r="CV19" i="5"/>
  <c r="BR19" i="5"/>
  <c r="AN19" i="5"/>
  <c r="Q19" i="5"/>
  <c r="ALU18" i="5"/>
  <c r="AKQ18" i="5"/>
  <c r="AJN18" i="5"/>
  <c r="AIR18" i="5"/>
  <c r="AHQ18" i="5"/>
  <c r="AGV18" i="5"/>
  <c r="AFV18" i="5"/>
  <c r="AFA18" i="5"/>
  <c r="AEC18" i="5"/>
  <c r="ADI18" i="5"/>
  <c r="ACP18" i="5"/>
  <c r="ABW18" i="5"/>
  <c r="ABA18" i="5"/>
  <c r="AAH18" i="5"/>
  <c r="ZO18" i="5"/>
  <c r="YV18" i="5"/>
  <c r="XZ18" i="5"/>
  <c r="XI18" i="5"/>
  <c r="WS18" i="5"/>
  <c r="WC18" i="5"/>
  <c r="VM18" i="5"/>
  <c r="UW18" i="5"/>
  <c r="UG18" i="5"/>
  <c r="TQ18" i="5"/>
  <c r="TA18" i="5"/>
  <c r="SK18" i="5"/>
  <c r="RU18" i="5"/>
  <c r="RE18" i="5"/>
  <c r="QO18" i="5"/>
  <c r="PY18" i="5"/>
  <c r="PI18" i="5"/>
  <c r="OS18" i="5"/>
  <c r="OC18" i="5"/>
  <c r="NM18" i="5"/>
  <c r="MW18" i="5"/>
  <c r="MG18" i="5"/>
  <c r="LQ18" i="5"/>
  <c r="LA18" i="5"/>
  <c r="KK18" i="5"/>
  <c r="JU18" i="5"/>
  <c r="JE18" i="5"/>
  <c r="IO18" i="5"/>
  <c r="HY18" i="5"/>
  <c r="HI18" i="5"/>
  <c r="GS18" i="5"/>
  <c r="GC18" i="5"/>
  <c r="FM18" i="5"/>
  <c r="EW18" i="5"/>
  <c r="EG18" i="5"/>
  <c r="DQ18" i="5"/>
  <c r="DA18" i="5"/>
  <c r="CK18" i="5"/>
  <c r="BU18" i="5"/>
  <c r="BE18" i="5"/>
  <c r="AO18" i="5"/>
  <c r="Y18" i="5"/>
  <c r="I18" i="5"/>
  <c r="AMA17" i="5"/>
  <c r="ALK17" i="5"/>
  <c r="AKU17" i="5"/>
  <c r="AKE17" i="5"/>
  <c r="AJO17" i="5"/>
  <c r="AIY17" i="5"/>
  <c r="AII17" i="5"/>
  <c r="AHS17" i="5"/>
  <c r="AHC17" i="5"/>
  <c r="AGM17" i="5"/>
  <c r="AFW17" i="5"/>
  <c r="AFG17" i="5"/>
  <c r="AEQ17" i="5"/>
  <c r="AEA17" i="5"/>
  <c r="ADK17" i="5"/>
  <c r="ACU17" i="5"/>
  <c r="ACE17" i="5"/>
  <c r="ABO17" i="5"/>
  <c r="AAY17" i="5"/>
  <c r="AAI17" i="5"/>
  <c r="ZS17" i="5"/>
  <c r="ZC17" i="5"/>
  <c r="YM17" i="5"/>
  <c r="XW17" i="5"/>
  <c r="XG17" i="5"/>
  <c r="WQ17" i="5"/>
  <c r="WA17" i="5"/>
  <c r="VK17" i="5"/>
  <c r="UU17" i="5"/>
  <c r="UE17" i="5"/>
  <c r="TO17" i="5"/>
  <c r="SY17" i="5"/>
  <c r="SI17" i="5"/>
  <c r="RS17" i="5"/>
  <c r="RC17" i="5"/>
  <c r="QM17" i="5"/>
  <c r="PW17" i="5"/>
  <c r="PG17" i="5"/>
  <c r="OQ17" i="5"/>
  <c r="OA17" i="5"/>
  <c r="NK17" i="5"/>
  <c r="MU17" i="5"/>
  <c r="ME17" i="5"/>
  <c r="LO17" i="5"/>
  <c r="KY17" i="5"/>
  <c r="KI17" i="5"/>
  <c r="JS17" i="5"/>
  <c r="JC17" i="5"/>
  <c r="IM17" i="5"/>
  <c r="HW17" i="5"/>
  <c r="HG17" i="5"/>
  <c r="GQ17" i="5"/>
  <c r="GA17" i="5"/>
  <c r="FK17" i="5"/>
  <c r="EU17" i="5"/>
  <c r="EE17" i="5"/>
  <c r="DO17" i="5"/>
  <c r="CY17" i="5"/>
  <c r="CI17" i="5"/>
  <c r="BS17" i="5"/>
  <c r="BC17" i="5"/>
  <c r="AM17" i="5"/>
  <c r="W17" i="5"/>
  <c r="G17" i="5"/>
  <c r="ALY16" i="5"/>
  <c r="ALI16" i="5"/>
  <c r="AKS16" i="5"/>
  <c r="AKC16" i="5"/>
  <c r="AJM16" i="5"/>
  <c r="AIW16" i="5"/>
  <c r="AIG16" i="5"/>
  <c r="AHQ16" i="5"/>
  <c r="AHA16" i="5"/>
  <c r="AGK16" i="5"/>
  <c r="AFU16" i="5"/>
  <c r="AFE16" i="5"/>
  <c r="AEO16" i="5"/>
  <c r="ADY16" i="5"/>
  <c r="AFA19" i="5"/>
  <c r="ABJ19" i="5"/>
  <c r="YX19" i="5"/>
  <c r="WL19" i="5"/>
  <c r="UC19" i="5"/>
  <c r="SE19" i="5"/>
  <c r="QL19" i="5"/>
  <c r="PA19" i="5"/>
  <c r="NL19" i="5"/>
  <c r="MF19" i="5"/>
  <c r="KZ19" i="5"/>
  <c r="JT19" i="5"/>
  <c r="IN19" i="5"/>
  <c r="HH19" i="5"/>
  <c r="GB19" i="5"/>
  <c r="EV19" i="5"/>
  <c r="DY19" i="5"/>
  <c r="CU19" i="5"/>
  <c r="BQ19" i="5"/>
  <c r="AM19" i="5"/>
  <c r="J19" i="5"/>
  <c r="ALT18" i="5"/>
  <c r="AKP18" i="5"/>
  <c r="AJM18" i="5"/>
  <c r="AIQ18" i="5"/>
  <c r="AHP18" i="5"/>
  <c r="AGU18" i="5"/>
  <c r="AFU18" i="5"/>
  <c r="AEZ18" i="5"/>
  <c r="AEB18" i="5"/>
  <c r="ADH18" i="5"/>
  <c r="ACO18" i="5"/>
  <c r="ABS18" i="5"/>
  <c r="AAZ18" i="5"/>
  <c r="AAG18" i="5"/>
  <c r="ZN18" i="5"/>
  <c r="YU18" i="5"/>
  <c r="XY18" i="5"/>
  <c r="XH18" i="5"/>
  <c r="WR18" i="5"/>
  <c r="WB18" i="5"/>
  <c r="VL18" i="5"/>
  <c r="UV18" i="5"/>
  <c r="UF18" i="5"/>
  <c r="TP18" i="5"/>
  <c r="SZ18" i="5"/>
  <c r="SJ18" i="5"/>
  <c r="RT18" i="5"/>
  <c r="RD18" i="5"/>
  <c r="QN18" i="5"/>
  <c r="PX18" i="5"/>
  <c r="PH18" i="5"/>
  <c r="OR18" i="5"/>
  <c r="OB18" i="5"/>
  <c r="NL18" i="5"/>
  <c r="MV18" i="5"/>
  <c r="MF18" i="5"/>
  <c r="LP18" i="5"/>
  <c r="KZ18" i="5"/>
  <c r="KJ18" i="5"/>
  <c r="JT18" i="5"/>
  <c r="JD18" i="5"/>
  <c r="IN18" i="5"/>
  <c r="HX18" i="5"/>
  <c r="HH18" i="5"/>
  <c r="GR18" i="5"/>
  <c r="GB18" i="5"/>
  <c r="FL18" i="5"/>
  <c r="EV18" i="5"/>
  <c r="EF18" i="5"/>
  <c r="DP18" i="5"/>
  <c r="CZ18" i="5"/>
  <c r="CJ18" i="5"/>
  <c r="BT18" i="5"/>
  <c r="BD18" i="5"/>
  <c r="AN18" i="5"/>
  <c r="X18" i="5"/>
  <c r="H18" i="5"/>
  <c r="ALZ17" i="5"/>
  <c r="ALJ17" i="5"/>
  <c r="AKT17" i="5"/>
  <c r="AKD17" i="5"/>
  <c r="AJN17" i="5"/>
  <c r="AIX17" i="5"/>
  <c r="AIH17" i="5"/>
  <c r="AHR17" i="5"/>
  <c r="AHB17" i="5"/>
  <c r="AGL17" i="5"/>
  <c r="AFV17" i="5"/>
  <c r="AFF17" i="5"/>
  <c r="AEP17" i="5"/>
  <c r="ADZ17" i="5"/>
  <c r="ADJ17" i="5"/>
  <c r="ACT17" i="5"/>
  <c r="ACD17" i="5"/>
  <c r="ABN17" i="5"/>
  <c r="AAX17" i="5"/>
  <c r="AAH17" i="5"/>
  <c r="ZR17" i="5"/>
  <c r="ZB17" i="5"/>
  <c r="YL17" i="5"/>
  <c r="XV17" i="5"/>
  <c r="XF17" i="5"/>
  <c r="WP17" i="5"/>
  <c r="VZ17" i="5"/>
  <c r="VJ17" i="5"/>
  <c r="UT17" i="5"/>
  <c r="UD17" i="5"/>
  <c r="TN17" i="5"/>
  <c r="SX17" i="5"/>
  <c r="SH17" i="5"/>
  <c r="RR17" i="5"/>
  <c r="RB17" i="5"/>
  <c r="QL17" i="5"/>
  <c r="PV17" i="5"/>
  <c r="PF17" i="5"/>
  <c r="OP17" i="5"/>
  <c r="NZ17" i="5"/>
  <c r="NJ17" i="5"/>
  <c r="MT17" i="5"/>
  <c r="MD17" i="5"/>
  <c r="LN17" i="5"/>
  <c r="KX17" i="5"/>
  <c r="KH17" i="5"/>
  <c r="JR17" i="5"/>
  <c r="JB17" i="5"/>
  <c r="IL17" i="5"/>
  <c r="HV17" i="5"/>
  <c r="HF17" i="5"/>
  <c r="AEK19" i="5"/>
  <c r="ABI19" i="5"/>
  <c r="YW19" i="5"/>
  <c r="WK19" i="5"/>
  <c r="UA19" i="5"/>
  <c r="SD19" i="5"/>
  <c r="QK19" i="5"/>
  <c r="OR19" i="5"/>
  <c r="NK19" i="5"/>
  <c r="ME19" i="5"/>
  <c r="KY19" i="5"/>
  <c r="JS19" i="5"/>
  <c r="IM19" i="5"/>
  <c r="HG19" i="5"/>
  <c r="GA19" i="5"/>
  <c r="EU19" i="5"/>
  <c r="DR19" i="5"/>
  <c r="CT19" i="5"/>
  <c r="BP19" i="5"/>
  <c r="AL19" i="5"/>
  <c r="H19" i="5"/>
  <c r="ALS18" i="5"/>
  <c r="AKO18" i="5"/>
  <c r="AJL18" i="5"/>
  <c r="AIK18" i="5"/>
  <c r="AHO18" i="5"/>
  <c r="AGO18" i="5"/>
  <c r="AFT18" i="5"/>
  <c r="AEY18" i="5"/>
  <c r="AEA18" i="5"/>
  <c r="ADG18" i="5"/>
  <c r="ACN18" i="5"/>
  <c r="ABR18" i="5"/>
  <c r="AAY18" i="5"/>
  <c r="AAF18" i="5"/>
  <c r="ZM18" i="5"/>
  <c r="YQ18" i="5"/>
  <c r="XX18" i="5"/>
  <c r="XG18" i="5"/>
  <c r="WQ18" i="5"/>
  <c r="WA18" i="5"/>
  <c r="VK18" i="5"/>
  <c r="UU18" i="5"/>
  <c r="UE18" i="5"/>
  <c r="TO18" i="5"/>
  <c r="SY18" i="5"/>
  <c r="SI18" i="5"/>
  <c r="RS18" i="5"/>
  <c r="RC18" i="5"/>
  <c r="QM18" i="5"/>
  <c r="PW18" i="5"/>
  <c r="PG18" i="5"/>
  <c r="OQ18" i="5"/>
  <c r="OA18" i="5"/>
  <c r="NK18" i="5"/>
  <c r="MU18" i="5"/>
  <c r="ME18" i="5"/>
  <c r="LO18" i="5"/>
  <c r="KY18" i="5"/>
  <c r="KI18" i="5"/>
  <c r="JS18" i="5"/>
  <c r="JC18" i="5"/>
  <c r="IM18" i="5"/>
  <c r="HW18" i="5"/>
  <c r="HG18" i="5"/>
  <c r="GQ18" i="5"/>
  <c r="GA18" i="5"/>
  <c r="FK18" i="5"/>
  <c r="EU18" i="5"/>
  <c r="EE18" i="5"/>
  <c r="DO18" i="5"/>
  <c r="CY18" i="5"/>
  <c r="CI18" i="5"/>
  <c r="BS18" i="5"/>
  <c r="BC18" i="5"/>
  <c r="AM18" i="5"/>
  <c r="W18" i="5"/>
  <c r="G18" i="5"/>
  <c r="ALY17" i="5"/>
  <c r="ALI17" i="5"/>
  <c r="AKS17" i="5"/>
  <c r="AKC17" i="5"/>
  <c r="AJM17" i="5"/>
  <c r="AIW17" i="5"/>
  <c r="AIG17" i="5"/>
  <c r="AHQ17" i="5"/>
  <c r="AHA17" i="5"/>
  <c r="AGK17" i="5"/>
  <c r="AFU17" i="5"/>
  <c r="AFE17" i="5"/>
  <c r="AEO17" i="5"/>
  <c r="ADY17" i="5"/>
  <c r="ADI17" i="5"/>
  <c r="ACS17" i="5"/>
  <c r="ACC17" i="5"/>
  <c r="ABM17" i="5"/>
  <c r="AAW17" i="5"/>
  <c r="AAG17" i="5"/>
  <c r="ZQ17" i="5"/>
  <c r="ZA17" i="5"/>
  <c r="YK17" i="5"/>
  <c r="XU17" i="5"/>
  <c r="XE17" i="5"/>
  <c r="WO17" i="5"/>
  <c r="VY17" i="5"/>
  <c r="VI17" i="5"/>
  <c r="US17" i="5"/>
  <c r="UC17" i="5"/>
  <c r="TM17" i="5"/>
  <c r="SW17" i="5"/>
  <c r="SG17" i="5"/>
  <c r="RQ17" i="5"/>
  <c r="RA17" i="5"/>
  <c r="QK17" i="5"/>
  <c r="PU17" i="5"/>
  <c r="PE17" i="5"/>
  <c r="OO17" i="5"/>
  <c r="NY17" i="5"/>
  <c r="NI17" i="5"/>
  <c r="MS17" i="5"/>
  <c r="MC17" i="5"/>
  <c r="LM17" i="5"/>
  <c r="KW17" i="5"/>
  <c r="KG17" i="5"/>
  <c r="JQ17" i="5"/>
  <c r="JA17" i="5"/>
  <c r="IK17" i="5"/>
  <c r="HU17" i="5"/>
  <c r="HE17" i="5"/>
  <c r="GO17" i="5"/>
  <c r="FY17" i="5"/>
  <c r="FI17" i="5"/>
  <c r="ES17" i="5"/>
  <c r="EC17" i="5"/>
  <c r="DM17" i="5"/>
  <c r="CW17" i="5"/>
  <c r="CG17" i="5"/>
  <c r="BQ17" i="5"/>
  <c r="BA17" i="5"/>
  <c r="AK17" i="5"/>
  <c r="U17" i="5"/>
  <c r="E17" i="5"/>
  <c r="ALW16" i="5"/>
  <c r="ALG16" i="5"/>
  <c r="AKQ16" i="5"/>
  <c r="AKA16" i="5"/>
  <c r="AJK16" i="5"/>
  <c r="AIU16" i="5"/>
  <c r="AIE16" i="5"/>
  <c r="AHO16" i="5"/>
  <c r="AGY16" i="5"/>
  <c r="AGI16" i="5"/>
  <c r="AFS16" i="5"/>
  <c r="AFC16" i="5"/>
  <c r="AEM16" i="5"/>
  <c r="ADW16" i="5"/>
  <c r="ADG16" i="5"/>
  <c r="ACQ16" i="5"/>
  <c r="ACA16" i="5"/>
  <c r="ABK16" i="5"/>
  <c r="AAU16" i="5"/>
  <c r="AAE16" i="5"/>
  <c r="ZO16" i="5"/>
  <c r="YY16" i="5"/>
  <c r="YI16" i="5"/>
  <c r="XS16" i="5"/>
  <c r="XC16" i="5"/>
  <c r="WM16" i="5"/>
  <c r="VW16" i="5"/>
  <c r="VG16" i="5"/>
  <c r="AEB19" i="5"/>
  <c r="AAZ19" i="5"/>
  <c r="YN19" i="5"/>
  <c r="WB19" i="5"/>
  <c r="TZ19" i="5"/>
  <c r="SC19" i="5"/>
  <c r="QI19" i="5"/>
  <c r="OQ19" i="5"/>
  <c r="NJ19" i="5"/>
  <c r="MD19" i="5"/>
  <c r="KX19" i="5"/>
  <c r="JR19" i="5"/>
  <c r="IL19" i="5"/>
  <c r="HF19" i="5"/>
  <c r="FZ19" i="5"/>
  <c r="ET19" i="5"/>
  <c r="DP19" i="5"/>
  <c r="CS19" i="5"/>
  <c r="BO19" i="5"/>
  <c r="AK19" i="5"/>
  <c r="G19" i="5"/>
  <c r="ALL18" i="5"/>
  <c r="AKN18" i="5"/>
  <c r="AJK18" i="5"/>
  <c r="AIJ18" i="5"/>
  <c r="AHN18" i="5"/>
  <c r="AGN18" i="5"/>
  <c r="AFS18" i="5"/>
  <c r="AET18" i="5"/>
  <c r="ADZ18" i="5"/>
  <c r="ADF18" i="5"/>
  <c r="ACM18" i="5"/>
  <c r="ABQ18" i="5"/>
  <c r="AAX18" i="5"/>
  <c r="AAE18" i="5"/>
  <c r="ZL18" i="5"/>
  <c r="YP18" i="5"/>
  <c r="XW18" i="5"/>
  <c r="XF18" i="5"/>
  <c r="WP18" i="5"/>
  <c r="VZ18" i="5"/>
  <c r="VJ18" i="5"/>
  <c r="UT18" i="5"/>
  <c r="UD18" i="5"/>
  <c r="TN18" i="5"/>
  <c r="SX18" i="5"/>
  <c r="SH18" i="5"/>
  <c r="RR18" i="5"/>
  <c r="RB18" i="5"/>
  <c r="QL18" i="5"/>
  <c r="PV18" i="5"/>
  <c r="PF18" i="5"/>
  <c r="OP18" i="5"/>
  <c r="NZ18" i="5"/>
  <c r="NJ18" i="5"/>
  <c r="MT18" i="5"/>
  <c r="MD18" i="5"/>
  <c r="LN18" i="5"/>
  <c r="KX18" i="5"/>
  <c r="KH18" i="5"/>
  <c r="JR18" i="5"/>
  <c r="JB18" i="5"/>
  <c r="IL18" i="5"/>
  <c r="HV18" i="5"/>
  <c r="HF18" i="5"/>
  <c r="GP18" i="5"/>
  <c r="FZ18" i="5"/>
  <c r="FJ18" i="5"/>
  <c r="ET18" i="5"/>
  <c r="ED18" i="5"/>
  <c r="DN18" i="5"/>
  <c r="CX18" i="5"/>
  <c r="CH18" i="5"/>
  <c r="BR18" i="5"/>
  <c r="BB18" i="5"/>
  <c r="AL18" i="5"/>
  <c r="V18" i="5"/>
  <c r="F18" i="5"/>
  <c r="ALX17" i="5"/>
  <c r="ALH17" i="5"/>
  <c r="AKR17" i="5"/>
  <c r="AKB17" i="5"/>
  <c r="AJL17" i="5"/>
  <c r="AIV17" i="5"/>
  <c r="AIF17" i="5"/>
  <c r="AHP17" i="5"/>
  <c r="AGZ17" i="5"/>
  <c r="AGJ17" i="5"/>
  <c r="AFT17" i="5"/>
  <c r="AFD17" i="5"/>
  <c r="AEN17" i="5"/>
  <c r="ADX17" i="5"/>
  <c r="ADH17" i="5"/>
  <c r="ACR17" i="5"/>
  <c r="ACB17" i="5"/>
  <c r="ABL17" i="5"/>
  <c r="AAV17" i="5"/>
  <c r="AAF17" i="5"/>
  <c r="ZP17" i="5"/>
  <c r="YZ17" i="5"/>
  <c r="YJ17" i="5"/>
  <c r="XT17" i="5"/>
  <c r="XD17" i="5"/>
  <c r="WN17" i="5"/>
  <c r="VX17" i="5"/>
  <c r="VH17" i="5"/>
  <c r="UR17" i="5"/>
  <c r="UB17" i="5"/>
  <c r="TL17" i="5"/>
  <c r="SV17" i="5"/>
  <c r="SF17" i="5"/>
  <c r="RP17" i="5"/>
  <c r="QZ17" i="5"/>
  <c r="QJ17" i="5"/>
  <c r="PT17" i="5"/>
  <c r="PD17" i="5"/>
  <c r="ON17" i="5"/>
  <c r="NX17" i="5"/>
  <c r="NH17" i="5"/>
  <c r="MR17" i="5"/>
  <c r="MB17" i="5"/>
  <c r="LL17" i="5"/>
  <c r="KV17" i="5"/>
  <c r="KF17" i="5"/>
  <c r="JP17" i="5"/>
  <c r="IZ17" i="5"/>
  <c r="IJ17" i="5"/>
  <c r="HT17" i="5"/>
  <c r="HD17" i="5"/>
  <c r="GN17" i="5"/>
  <c r="FX17" i="5"/>
  <c r="FH17" i="5"/>
  <c r="ER17" i="5"/>
  <c r="EB17" i="5"/>
  <c r="DL17" i="5"/>
  <c r="CV17" i="5"/>
  <c r="CF17" i="5"/>
  <c r="BP17" i="5"/>
  <c r="AZ17" i="5"/>
  <c r="AJ17" i="5"/>
  <c r="T17" i="5"/>
  <c r="D17" i="5"/>
  <c r="ALV16" i="5"/>
  <c r="ALF16" i="5"/>
  <c r="AKP16" i="5"/>
  <c r="AJZ16" i="5"/>
  <c r="AJJ16" i="5"/>
  <c r="AIT16" i="5"/>
  <c r="AID16" i="5"/>
  <c r="AHN16" i="5"/>
  <c r="AGX16" i="5"/>
  <c r="AGH16" i="5"/>
  <c r="AFR16" i="5"/>
  <c r="AFB16" i="5"/>
  <c r="AEL16" i="5"/>
  <c r="ADV16" i="5"/>
  <c r="ADF16" i="5"/>
  <c r="ACP16" i="5"/>
  <c r="ADU19" i="5"/>
  <c r="AAU19" i="5"/>
  <c r="YI19" i="5"/>
  <c r="VW19" i="5"/>
  <c r="TY19" i="5"/>
  <c r="RT19" i="5"/>
  <c r="QH19" i="5"/>
  <c r="OP19" i="5"/>
  <c r="NI19" i="5"/>
  <c r="MC19" i="5"/>
  <c r="KW19" i="5"/>
  <c r="JQ19" i="5"/>
  <c r="IK19" i="5"/>
  <c r="HE19" i="5"/>
  <c r="FY19" i="5"/>
  <c r="ES19" i="5"/>
  <c r="DO19" i="5"/>
  <c r="CL19" i="5"/>
  <c r="BN19" i="5"/>
  <c r="AJ19" i="5"/>
  <c r="F19" i="5"/>
  <c r="ALJ18" i="5"/>
  <c r="AKM18" i="5"/>
  <c r="AJJ18" i="5"/>
  <c r="AIH18" i="5"/>
  <c r="AHM18" i="5"/>
  <c r="AGM18" i="5"/>
  <c r="AFR18" i="5"/>
  <c r="AES18" i="5"/>
  <c r="ADY18" i="5"/>
  <c r="ADE18" i="5"/>
  <c r="ACI18" i="5"/>
  <c r="ABP18" i="5"/>
  <c r="AAW18" i="5"/>
  <c r="AAD18" i="5"/>
  <c r="ZK18" i="5"/>
  <c r="YO18" i="5"/>
  <c r="XV18" i="5"/>
  <c r="XE18" i="5"/>
  <c r="WO18" i="5"/>
  <c r="VY18" i="5"/>
  <c r="VI18" i="5"/>
  <c r="US18" i="5"/>
  <c r="UC18" i="5"/>
  <c r="TM18" i="5"/>
  <c r="SW18" i="5"/>
  <c r="SG18" i="5"/>
  <c r="RQ18" i="5"/>
  <c r="RA18" i="5"/>
  <c r="QK18" i="5"/>
  <c r="PU18" i="5"/>
  <c r="PE18" i="5"/>
  <c r="OO18" i="5"/>
  <c r="NY18" i="5"/>
  <c r="NI18" i="5"/>
  <c r="MS18" i="5"/>
  <c r="MC18" i="5"/>
  <c r="LM18" i="5"/>
  <c r="KW18" i="5"/>
  <c r="KG18" i="5"/>
  <c r="JQ18" i="5"/>
  <c r="JA18" i="5"/>
  <c r="IK18" i="5"/>
  <c r="HU18" i="5"/>
  <c r="HE18" i="5"/>
  <c r="GO18" i="5"/>
  <c r="FY18" i="5"/>
  <c r="FI18" i="5"/>
  <c r="ES18" i="5"/>
  <c r="EC18" i="5"/>
  <c r="DM18" i="5"/>
  <c r="CW18" i="5"/>
  <c r="CG18" i="5"/>
  <c r="BQ18" i="5"/>
  <c r="BA18" i="5"/>
  <c r="AK18" i="5"/>
  <c r="U18" i="5"/>
  <c r="E18" i="5"/>
  <c r="ALW17" i="5"/>
  <c r="ALG17" i="5"/>
  <c r="AKQ17" i="5"/>
  <c r="AKA17" i="5"/>
  <c r="AJK17" i="5"/>
  <c r="AIU17" i="5"/>
  <c r="AIE17" i="5"/>
  <c r="AHO17" i="5"/>
  <c r="AGY17" i="5"/>
  <c r="AGI17" i="5"/>
  <c r="AFS17" i="5"/>
  <c r="AFC17" i="5"/>
  <c r="AEM17" i="5"/>
  <c r="ADW17" i="5"/>
  <c r="ADG17" i="5"/>
  <c r="ACQ17" i="5"/>
  <c r="ACA17" i="5"/>
  <c r="ABK17" i="5"/>
  <c r="AAU17" i="5"/>
  <c r="AAE17" i="5"/>
  <c r="ZO17" i="5"/>
  <c r="YY17" i="5"/>
  <c r="YI17" i="5"/>
  <c r="XS17" i="5"/>
  <c r="XC17" i="5"/>
  <c r="WM17" i="5"/>
  <c r="VW17" i="5"/>
  <c r="VG17" i="5"/>
  <c r="UQ17" i="5"/>
  <c r="UA17" i="5"/>
  <c r="TK17" i="5"/>
  <c r="SU17" i="5"/>
  <c r="SE17" i="5"/>
  <c r="RO17" i="5"/>
  <c r="QY17" i="5"/>
  <c r="QI17" i="5"/>
  <c r="PS17" i="5"/>
  <c r="PC17" i="5"/>
  <c r="OM17" i="5"/>
  <c r="NW17" i="5"/>
  <c r="NG17" i="5"/>
  <c r="MQ17" i="5"/>
  <c r="MA17" i="5"/>
  <c r="LK17" i="5"/>
  <c r="KU17" i="5"/>
  <c r="KE17" i="5"/>
  <c r="JO17" i="5"/>
  <c r="IY17" i="5"/>
  <c r="II17" i="5"/>
  <c r="HS17" i="5"/>
  <c r="HC17" i="5"/>
  <c r="GM17" i="5"/>
  <c r="FW17" i="5"/>
  <c r="FG17" i="5"/>
  <c r="EQ17" i="5"/>
  <c r="EA17" i="5"/>
  <c r="DK17" i="5"/>
  <c r="CU17" i="5"/>
  <c r="CE17" i="5"/>
  <c r="BO17" i="5"/>
  <c r="AY17" i="5"/>
  <c r="AI17" i="5"/>
  <c r="S17" i="5"/>
  <c r="C17" i="5"/>
  <c r="ALU16" i="5"/>
  <c r="ALE16" i="5"/>
  <c r="AKO16" i="5"/>
  <c r="AJY16" i="5"/>
  <c r="AJI16" i="5"/>
  <c r="AIS16" i="5"/>
  <c r="AIC16" i="5"/>
  <c r="AHM16" i="5"/>
  <c r="AGW16" i="5"/>
  <c r="AGG16" i="5"/>
  <c r="AFQ16" i="5"/>
  <c r="AFA16" i="5"/>
  <c r="AEK16" i="5"/>
  <c r="ADU16" i="5"/>
  <c r="ADE16" i="5"/>
  <c r="ACO16" i="5"/>
  <c r="ABY16" i="5"/>
  <c r="ABI16" i="5"/>
  <c r="AAS16" i="5"/>
  <c r="AAC16" i="5"/>
  <c r="ZM16" i="5"/>
  <c r="YW16" i="5"/>
  <c r="YG16" i="5"/>
  <c r="XQ16" i="5"/>
  <c r="XA16" i="5"/>
  <c r="WK16" i="5"/>
  <c r="VU16" i="5"/>
  <c r="VE16" i="5"/>
  <c r="UO16" i="5"/>
  <c r="TY16" i="5"/>
  <c r="TI16" i="5"/>
  <c r="SS16" i="5"/>
  <c r="SC16" i="5"/>
  <c r="RM16" i="5"/>
  <c r="ADL19" i="5"/>
  <c r="AAT19" i="5"/>
  <c r="YH19" i="5"/>
  <c r="VV19" i="5"/>
  <c r="TP19" i="5"/>
  <c r="RR19" i="5"/>
  <c r="QG19" i="5"/>
  <c r="OO19" i="5"/>
  <c r="NH19" i="5"/>
  <c r="MB19" i="5"/>
  <c r="KV19" i="5"/>
  <c r="JP19" i="5"/>
  <c r="IJ19" i="5"/>
  <c r="HD19" i="5"/>
  <c r="FX19" i="5"/>
  <c r="ER19" i="5"/>
  <c r="DN19" i="5"/>
  <c r="CJ19" i="5"/>
  <c r="BM19" i="5"/>
  <c r="AI19" i="5"/>
  <c r="E19" i="5"/>
  <c r="ALI18" i="5"/>
  <c r="AKF18" i="5"/>
  <c r="AJI18" i="5"/>
  <c r="AIG18" i="5"/>
  <c r="AHL18" i="5"/>
  <c r="AGL18" i="5"/>
  <c r="AFQ18" i="5"/>
  <c r="AER18" i="5"/>
  <c r="ADX18" i="5"/>
  <c r="ADD18" i="5"/>
  <c r="ACH18" i="5"/>
  <c r="ABO18" i="5"/>
  <c r="AAV18" i="5"/>
  <c r="AAC18" i="5"/>
  <c r="ZG18" i="5"/>
  <c r="YN18" i="5"/>
  <c r="XU18" i="5"/>
  <c r="XD18" i="5"/>
  <c r="WN18" i="5"/>
  <c r="VX18" i="5"/>
  <c r="VH18" i="5"/>
  <c r="UR18" i="5"/>
  <c r="UB18" i="5"/>
  <c r="TL18" i="5"/>
  <c r="SV18" i="5"/>
  <c r="SF18" i="5"/>
  <c r="RP18" i="5"/>
  <c r="QZ18" i="5"/>
  <c r="QJ18" i="5"/>
  <c r="PT18" i="5"/>
  <c r="PD18" i="5"/>
  <c r="ON18" i="5"/>
  <c r="NX18" i="5"/>
  <c r="NH18" i="5"/>
  <c r="MR18" i="5"/>
  <c r="MB18" i="5"/>
  <c r="LL18" i="5"/>
  <c r="KV18" i="5"/>
  <c r="KF18" i="5"/>
  <c r="JP18" i="5"/>
  <c r="IZ18" i="5"/>
  <c r="IJ18" i="5"/>
  <c r="HT18" i="5"/>
  <c r="HD18" i="5"/>
  <c r="GN18" i="5"/>
  <c r="FX18" i="5"/>
  <c r="FH18" i="5"/>
  <c r="ER18" i="5"/>
  <c r="EB18" i="5"/>
  <c r="DL18" i="5"/>
  <c r="CV18" i="5"/>
  <c r="CF18" i="5"/>
  <c r="BP18" i="5"/>
  <c r="AZ18" i="5"/>
  <c r="AJ18" i="5"/>
  <c r="T18" i="5"/>
  <c r="D18" i="5"/>
  <c r="ALV17" i="5"/>
  <c r="ALF17" i="5"/>
  <c r="AKP17" i="5"/>
  <c r="AJZ17" i="5"/>
  <c r="AJJ17" i="5"/>
  <c r="AIT17" i="5"/>
  <c r="AID17" i="5"/>
  <c r="AHN17" i="5"/>
  <c r="AGX17" i="5"/>
  <c r="AGH17" i="5"/>
  <c r="AFR17" i="5"/>
  <c r="AFB17" i="5"/>
  <c r="AEL17" i="5"/>
  <c r="ADV17" i="5"/>
  <c r="ADF17" i="5"/>
  <c r="ACP17" i="5"/>
  <c r="ABZ17" i="5"/>
  <c r="ABJ17" i="5"/>
  <c r="AAT17" i="5"/>
  <c r="AAD17" i="5"/>
  <c r="ZN17" i="5"/>
  <c r="YX17" i="5"/>
  <c r="YH17" i="5"/>
  <c r="XR17" i="5"/>
  <c r="XB17" i="5"/>
  <c r="WL17" i="5"/>
  <c r="VV17" i="5"/>
  <c r="VF17" i="5"/>
  <c r="UP17" i="5"/>
  <c r="TZ17" i="5"/>
  <c r="TJ17" i="5"/>
  <c r="ST17" i="5"/>
  <c r="SD17" i="5"/>
  <c r="RN17" i="5"/>
  <c r="QX17" i="5"/>
  <c r="QH17" i="5"/>
  <c r="PR17" i="5"/>
  <c r="PB17" i="5"/>
  <c r="OL17" i="5"/>
  <c r="NV17" i="5"/>
  <c r="NF17" i="5"/>
  <c r="MP17" i="5"/>
  <c r="LZ17" i="5"/>
  <c r="LJ17" i="5"/>
  <c r="KT17" i="5"/>
  <c r="KD17" i="5"/>
  <c r="JN17" i="5"/>
  <c r="IX17" i="5"/>
  <c r="IH17" i="5"/>
  <c r="HR17" i="5"/>
  <c r="HB17" i="5"/>
  <c r="GL17" i="5"/>
  <c r="FV17" i="5"/>
  <c r="FF17" i="5"/>
  <c r="EP17" i="5"/>
  <c r="DZ17" i="5"/>
  <c r="DJ17" i="5"/>
  <c r="CT17" i="5"/>
  <c r="CD17" i="5"/>
  <c r="BN17" i="5"/>
  <c r="AX17" i="5"/>
  <c r="AH17" i="5"/>
  <c r="R17" i="5"/>
  <c r="B17" i="5"/>
  <c r="ALT16" i="5"/>
  <c r="ALD16" i="5"/>
  <c r="AKN16" i="5"/>
  <c r="AJX16" i="5"/>
  <c r="AJH16" i="5"/>
  <c r="AIR16" i="5"/>
  <c r="AIB16" i="5"/>
  <c r="ADE19" i="5"/>
  <c r="AAS19" i="5"/>
  <c r="YG19" i="5"/>
  <c r="VU19" i="5"/>
  <c r="TM19" i="5"/>
  <c r="RQ19" i="5"/>
  <c r="PX19" i="5"/>
  <c r="OM19" i="5"/>
  <c r="NG19" i="5"/>
  <c r="MA19" i="5"/>
  <c r="KU19" i="5"/>
  <c r="JO19" i="5"/>
  <c r="II19" i="5"/>
  <c r="HC19" i="5"/>
  <c r="FW19" i="5"/>
  <c r="EQ19" i="5"/>
  <c r="DM19" i="5"/>
  <c r="CI19" i="5"/>
  <c r="BF19" i="5"/>
  <c r="AH19" i="5"/>
  <c r="D19" i="5"/>
  <c r="ALH18" i="5"/>
  <c r="AKD18" i="5"/>
  <c r="AJH18" i="5"/>
  <c r="AIF18" i="5"/>
  <c r="AHK18" i="5"/>
  <c r="AGK18" i="5"/>
  <c r="AFP18" i="5"/>
  <c r="AEQ18" i="5"/>
  <c r="ADW18" i="5"/>
  <c r="ADC18" i="5"/>
  <c r="ACG18" i="5"/>
  <c r="ABN18" i="5"/>
  <c r="AAU18" i="5"/>
  <c r="AAB18" i="5"/>
  <c r="ZF18" i="5"/>
  <c r="YM18" i="5"/>
  <c r="XT18" i="5"/>
  <c r="XC18" i="5"/>
  <c r="WM18" i="5"/>
  <c r="VW18" i="5"/>
  <c r="VG18" i="5"/>
  <c r="UQ18" i="5"/>
  <c r="UA18" i="5"/>
  <c r="TK18" i="5"/>
  <c r="SU18" i="5"/>
  <c r="SE18" i="5"/>
  <c r="RO18" i="5"/>
  <c r="QY18" i="5"/>
  <c r="QI18" i="5"/>
  <c r="PS18" i="5"/>
  <c r="PC18" i="5"/>
  <c r="OM18" i="5"/>
  <c r="NW18" i="5"/>
  <c r="NG18" i="5"/>
  <c r="MQ18" i="5"/>
  <c r="MA18" i="5"/>
  <c r="LK18" i="5"/>
  <c r="KU18" i="5"/>
  <c r="KE18" i="5"/>
  <c r="JO18" i="5"/>
  <c r="IY18" i="5"/>
  <c r="II18" i="5"/>
  <c r="HS18" i="5"/>
  <c r="HC18" i="5"/>
  <c r="GM18" i="5"/>
  <c r="FW18" i="5"/>
  <c r="FG18" i="5"/>
  <c r="EQ18" i="5"/>
  <c r="EA18" i="5"/>
  <c r="DK18" i="5"/>
  <c r="CU18" i="5"/>
  <c r="CE18" i="5"/>
  <c r="BO18" i="5"/>
  <c r="AY18" i="5"/>
  <c r="AI18" i="5"/>
  <c r="S18" i="5"/>
  <c r="C18" i="5"/>
  <c r="ALU17" i="5"/>
  <c r="ALE17" i="5"/>
  <c r="AKO17" i="5"/>
  <c r="AJY17" i="5"/>
  <c r="AJI17" i="5"/>
  <c r="AIS17" i="5"/>
  <c r="AIC17" i="5"/>
  <c r="AHM17" i="5"/>
  <c r="AGW17" i="5"/>
  <c r="AGG17" i="5"/>
  <c r="AFQ17" i="5"/>
  <c r="AFA17" i="5"/>
  <c r="AEK17" i="5"/>
  <c r="ADU17" i="5"/>
  <c r="ADE17" i="5"/>
  <c r="ACO17" i="5"/>
  <c r="ABY17" i="5"/>
  <c r="ABI17" i="5"/>
  <c r="AAS17" i="5"/>
  <c r="AAC17" i="5"/>
  <c r="ZM17" i="5"/>
  <c r="YW17" i="5"/>
  <c r="YG17" i="5"/>
  <c r="XQ17" i="5"/>
  <c r="XA17" i="5"/>
  <c r="WK17" i="5"/>
  <c r="VU17" i="5"/>
  <c r="VE17" i="5"/>
  <c r="UO17" i="5"/>
  <c r="TY17" i="5"/>
  <c r="TI17" i="5"/>
  <c r="SS17" i="5"/>
  <c r="SC17" i="5"/>
  <c r="RM17" i="5"/>
  <c r="QW17" i="5"/>
  <c r="QG17" i="5"/>
  <c r="PQ17" i="5"/>
  <c r="PA17" i="5"/>
  <c r="OK17" i="5"/>
  <c r="NU17" i="5"/>
  <c r="NE17" i="5"/>
  <c r="MO17" i="5"/>
  <c r="LY17" i="5"/>
  <c r="LI17" i="5"/>
  <c r="KS17" i="5"/>
  <c r="KC17" i="5"/>
  <c r="JM17" i="5"/>
  <c r="IW17" i="5"/>
  <c r="IG17" i="5"/>
  <c r="HQ17" i="5"/>
  <c r="HA17" i="5"/>
  <c r="GK17" i="5"/>
  <c r="FU17" i="5"/>
  <c r="FE17" i="5"/>
  <c r="EO17" i="5"/>
  <c r="DY17" i="5"/>
  <c r="DI17" i="5"/>
  <c r="CS17" i="5"/>
  <c r="CC17" i="5"/>
  <c r="BM17" i="5"/>
  <c r="AW17" i="5"/>
  <c r="AG17" i="5"/>
  <c r="Q17" i="5"/>
  <c r="A17" i="5"/>
  <c r="ALS16" i="5"/>
  <c r="ALC16" i="5"/>
  <c r="AKM16" i="5"/>
  <c r="AJW16" i="5"/>
  <c r="AJG16" i="5"/>
  <c r="AIQ16" i="5"/>
  <c r="AIA16" i="5"/>
  <c r="AHK16" i="5"/>
  <c r="AGU16" i="5"/>
  <c r="AGE16" i="5"/>
  <c r="AFO16" i="5"/>
  <c r="AEY16" i="5"/>
  <c r="AEI16" i="5"/>
  <c r="ADS16" i="5"/>
  <c r="ACV19" i="5"/>
  <c r="AAJ19" i="5"/>
  <c r="XX19" i="5"/>
  <c r="VL19" i="5"/>
  <c r="TK19" i="5"/>
  <c r="RO19" i="5"/>
  <c r="PV19" i="5"/>
  <c r="OL19" i="5"/>
  <c r="NF19" i="5"/>
  <c r="LZ19" i="5"/>
  <c r="KT19" i="5"/>
  <c r="JN19" i="5"/>
  <c r="IH19" i="5"/>
  <c r="HB19" i="5"/>
  <c r="FV19" i="5"/>
  <c r="EP19" i="5"/>
  <c r="DL19" i="5"/>
  <c r="CH19" i="5"/>
  <c r="BD19" i="5"/>
  <c r="AG19" i="5"/>
  <c r="C19" i="5"/>
  <c r="ALG18" i="5"/>
  <c r="AKC18" i="5"/>
  <c r="AJG18" i="5"/>
  <c r="AIE18" i="5"/>
  <c r="AHE18" i="5"/>
  <c r="AGJ18" i="5"/>
  <c r="AFO18" i="5"/>
  <c r="AEP18" i="5"/>
  <c r="ADV18" i="5"/>
  <c r="ACY18" i="5"/>
  <c r="ACF18" i="5"/>
  <c r="ABM18" i="5"/>
  <c r="AAT18" i="5"/>
  <c r="AAA18" i="5"/>
  <c r="ZE18" i="5"/>
  <c r="YL18" i="5"/>
  <c r="XS18" i="5"/>
  <c r="XB18" i="5"/>
  <c r="WL18" i="5"/>
  <c r="VV18" i="5"/>
  <c r="VF18" i="5"/>
  <c r="UP18" i="5"/>
  <c r="TZ18" i="5"/>
  <c r="TJ18" i="5"/>
  <c r="ST18" i="5"/>
  <c r="SD18" i="5"/>
  <c r="RN18" i="5"/>
  <c r="QX18" i="5"/>
  <c r="QH18" i="5"/>
  <c r="PR18" i="5"/>
  <c r="PB18" i="5"/>
  <c r="OL18" i="5"/>
  <c r="NV18" i="5"/>
  <c r="NF18" i="5"/>
  <c r="MP18" i="5"/>
  <c r="LZ18" i="5"/>
  <c r="LJ18" i="5"/>
  <c r="KT18" i="5"/>
  <c r="KD18" i="5"/>
  <c r="JN18" i="5"/>
  <c r="IX18" i="5"/>
  <c r="IH18" i="5"/>
  <c r="HR18" i="5"/>
  <c r="HB18" i="5"/>
  <c r="GL18" i="5"/>
  <c r="FV18" i="5"/>
  <c r="FF18" i="5"/>
  <c r="EP18" i="5"/>
  <c r="DZ18" i="5"/>
  <c r="DJ18" i="5"/>
  <c r="CT18" i="5"/>
  <c r="CD18" i="5"/>
  <c r="BN18" i="5"/>
  <c r="AX18" i="5"/>
  <c r="AH18" i="5"/>
  <c r="R18" i="5"/>
  <c r="B18" i="5"/>
  <c r="ALT17" i="5"/>
  <c r="ALD17" i="5"/>
  <c r="AKN17" i="5"/>
  <c r="AJX17" i="5"/>
  <c r="AJH17" i="5"/>
  <c r="AIR17" i="5"/>
  <c r="AIB17" i="5"/>
  <c r="AHL17" i="5"/>
  <c r="AGV17" i="5"/>
  <c r="AGF17" i="5"/>
  <c r="AFP17" i="5"/>
  <c r="AEZ17" i="5"/>
  <c r="AEJ17" i="5"/>
  <c r="ADT17" i="5"/>
  <c r="ADD17" i="5"/>
  <c r="ACN17" i="5"/>
  <c r="ABX17" i="5"/>
  <c r="ABH17" i="5"/>
  <c r="AAR17" i="5"/>
  <c r="AAB17" i="5"/>
  <c r="ZL17" i="5"/>
  <c r="YV17" i="5"/>
  <c r="YF17" i="5"/>
  <c r="XP17" i="5"/>
  <c r="WZ17" i="5"/>
  <c r="WJ17" i="5"/>
  <c r="VT17" i="5"/>
  <c r="VD17" i="5"/>
  <c r="UN17" i="5"/>
  <c r="TX17" i="5"/>
  <c r="TH17" i="5"/>
  <c r="SR17" i="5"/>
  <c r="SB17" i="5"/>
  <c r="RL17" i="5"/>
  <c r="QV17" i="5"/>
  <c r="QF17" i="5"/>
  <c r="PP17" i="5"/>
  <c r="OZ17" i="5"/>
  <c r="OJ17" i="5"/>
  <c r="NT17" i="5"/>
  <c r="ND17" i="5"/>
  <c r="MN17" i="5"/>
  <c r="LX17" i="5"/>
  <c r="LH17" i="5"/>
  <c r="KR17" i="5"/>
  <c r="KB17" i="5"/>
  <c r="JL17" i="5"/>
  <c r="IV17" i="5"/>
  <c r="IF17" i="5"/>
  <c r="HP17" i="5"/>
  <c r="GZ17" i="5"/>
  <c r="GJ17" i="5"/>
  <c r="FT17" i="5"/>
  <c r="FD17" i="5"/>
  <c r="EN17" i="5"/>
  <c r="DX17" i="5"/>
  <c r="DH17" i="5"/>
  <c r="CR17" i="5"/>
  <c r="CB17" i="5"/>
  <c r="BL17" i="5"/>
  <c r="AV17" i="5"/>
  <c r="AF17" i="5"/>
  <c r="P17" i="5"/>
  <c r="AMH16" i="5"/>
  <c r="ALR16" i="5"/>
  <c r="ALB16" i="5"/>
  <c r="AKL16" i="5"/>
  <c r="AJV16" i="5"/>
  <c r="AJF16" i="5"/>
  <c r="AIP16" i="5"/>
  <c r="AHZ16" i="5"/>
  <c r="GP17" i="5"/>
  <c r="AKB16" i="5"/>
  <c r="AFD16" i="5"/>
  <c r="ACN16" i="5"/>
  <c r="AAV16" i="5"/>
  <c r="ZJ16" i="5"/>
  <c r="XP16" i="5"/>
  <c r="VX16" i="5"/>
  <c r="UM16" i="5"/>
  <c r="SW16" i="5"/>
  <c r="RO16" i="5"/>
  <c r="QH16" i="5"/>
  <c r="PB16" i="5"/>
  <c r="NV16" i="5"/>
  <c r="MP16" i="5"/>
  <c r="LJ16" i="5"/>
  <c r="KD16" i="5"/>
  <c r="IZ16" i="5"/>
  <c r="HW16" i="5"/>
  <c r="GY16" i="5"/>
  <c r="FU16" i="5"/>
  <c r="EQ16" i="5"/>
  <c r="DM16" i="5"/>
  <c r="CP16" i="5"/>
  <c r="BL16" i="5"/>
  <c r="AI16" i="5"/>
  <c r="N16" i="5"/>
  <c r="ALW15" i="5"/>
  <c r="ALC15" i="5"/>
  <c r="AKE15" i="5"/>
  <c r="AJK15" i="5"/>
  <c r="AIQ15" i="5"/>
  <c r="AHS15" i="5"/>
  <c r="AGZ15" i="5"/>
  <c r="AGG15" i="5"/>
  <c r="AFN15" i="5"/>
  <c r="AER15" i="5"/>
  <c r="ADY15" i="5"/>
  <c r="ADF15" i="5"/>
  <c r="ACM15" i="5"/>
  <c r="ABT15" i="5"/>
  <c r="ABA15" i="5"/>
  <c r="AAK15" i="5"/>
  <c r="ZU15" i="5"/>
  <c r="ZE15" i="5"/>
  <c r="YO15" i="5"/>
  <c r="XY15" i="5"/>
  <c r="XI15" i="5"/>
  <c r="WS15" i="5"/>
  <c r="WC15" i="5"/>
  <c r="VM15" i="5"/>
  <c r="UW15" i="5"/>
  <c r="UG15" i="5"/>
  <c r="TQ15" i="5"/>
  <c r="TA15" i="5"/>
  <c r="SK15" i="5"/>
  <c r="RU15" i="5"/>
  <c r="RE15" i="5"/>
  <c r="QO15" i="5"/>
  <c r="PY15" i="5"/>
  <c r="PI15" i="5"/>
  <c r="OS15" i="5"/>
  <c r="OC15" i="5"/>
  <c r="NM15" i="5"/>
  <c r="MW15" i="5"/>
  <c r="MG15" i="5"/>
  <c r="LQ15" i="5"/>
  <c r="LA15" i="5"/>
  <c r="KK15" i="5"/>
  <c r="JU15" i="5"/>
  <c r="JE15" i="5"/>
  <c r="IO15" i="5"/>
  <c r="HY15" i="5"/>
  <c r="HI15" i="5"/>
  <c r="GS15" i="5"/>
  <c r="GC15" i="5"/>
  <c r="FM15" i="5"/>
  <c r="EW15" i="5"/>
  <c r="EG15" i="5"/>
  <c r="DQ15" i="5"/>
  <c r="DA15" i="5"/>
  <c r="CK15" i="5"/>
  <c r="BU15" i="5"/>
  <c r="BE15" i="5"/>
  <c r="AO15" i="5"/>
  <c r="Y15" i="5"/>
  <c r="I15" i="5"/>
  <c r="AMA14" i="5"/>
  <c r="ALK14" i="5"/>
  <c r="AKU14" i="5"/>
  <c r="AKE14" i="5"/>
  <c r="AJO14" i="5"/>
  <c r="AIY14" i="5"/>
  <c r="AII14" i="5"/>
  <c r="AHS14" i="5"/>
  <c r="AHC14" i="5"/>
  <c r="AGM14" i="5"/>
  <c r="AFW14" i="5"/>
  <c r="AFG14" i="5"/>
  <c r="AEQ14" i="5"/>
  <c r="AEA14" i="5"/>
  <c r="ADK14" i="5"/>
  <c r="ACU14" i="5"/>
  <c r="ACE14" i="5"/>
  <c r="ABO14" i="5"/>
  <c r="AAY14" i="5"/>
  <c r="AAI14" i="5"/>
  <c r="ZS14" i="5"/>
  <c r="ZC14" i="5"/>
  <c r="YM14" i="5"/>
  <c r="XW14" i="5"/>
  <c r="XG14" i="5"/>
  <c r="WQ14" i="5"/>
  <c r="WA14" i="5"/>
  <c r="VK14" i="5"/>
  <c r="UU14" i="5"/>
  <c r="UE14" i="5"/>
  <c r="TO14" i="5"/>
  <c r="SY14" i="5"/>
  <c r="SI14" i="5"/>
  <c r="RS14" i="5"/>
  <c r="RC14" i="5"/>
  <c r="QM14" i="5"/>
  <c r="PW14" i="5"/>
  <c r="PG14" i="5"/>
  <c r="OQ14" i="5"/>
  <c r="OA14" i="5"/>
  <c r="NK14" i="5"/>
  <c r="MU14" i="5"/>
  <c r="ME14" i="5"/>
  <c r="LO14" i="5"/>
  <c r="KY14" i="5"/>
  <c r="KI14" i="5"/>
  <c r="JS14" i="5"/>
  <c r="JC14" i="5"/>
  <c r="IM14" i="5"/>
  <c r="HW14" i="5"/>
  <c r="HG14" i="5"/>
  <c r="GQ14" i="5"/>
  <c r="GA14" i="5"/>
  <c r="FK14" i="5"/>
  <c r="EU14" i="5"/>
  <c r="EE14" i="5"/>
  <c r="DO14" i="5"/>
  <c r="CY14" i="5"/>
  <c r="CI14" i="5"/>
  <c r="BS14" i="5"/>
  <c r="BC14" i="5"/>
  <c r="AM14" i="5"/>
  <c r="W14" i="5"/>
  <c r="G14" i="5"/>
  <c r="ALY13" i="5"/>
  <c r="ALI13" i="5"/>
  <c r="AKS13" i="5"/>
  <c r="AKC13" i="5"/>
  <c r="AJM13" i="5"/>
  <c r="AIW13" i="5"/>
  <c r="AIG13" i="5"/>
  <c r="AHQ13" i="5"/>
  <c r="AHA13" i="5"/>
  <c r="AGK13" i="5"/>
  <c r="AFU13" i="5"/>
  <c r="AFE13" i="5"/>
  <c r="AEO13" i="5"/>
  <c r="ADY13" i="5"/>
  <c r="ADI13" i="5"/>
  <c r="ACS13" i="5"/>
  <c r="ACC13" i="5"/>
  <c r="ABM13" i="5"/>
  <c r="AAW13" i="5"/>
  <c r="AAG13" i="5"/>
  <c r="ZQ13" i="5"/>
  <c r="ZA13" i="5"/>
  <c r="YK13" i="5"/>
  <c r="XU13" i="5"/>
  <c r="XE13" i="5"/>
  <c r="WO13" i="5"/>
  <c r="VY13" i="5"/>
  <c r="VI13" i="5"/>
  <c r="US13" i="5"/>
  <c r="UC13" i="5"/>
  <c r="TM13" i="5"/>
  <c r="SW13" i="5"/>
  <c r="SG13" i="5"/>
  <c r="RQ13" i="5"/>
  <c r="RA13" i="5"/>
  <c r="QK13" i="5"/>
  <c r="PU13" i="5"/>
  <c r="PE13" i="5"/>
  <c r="OO13" i="5"/>
  <c r="NY13" i="5"/>
  <c r="NI13" i="5"/>
  <c r="MS13" i="5"/>
  <c r="MC13" i="5"/>
  <c r="LM13" i="5"/>
  <c r="KW13" i="5"/>
  <c r="KG13" i="5"/>
  <c r="JQ13" i="5"/>
  <c r="JA13" i="5"/>
  <c r="IK13" i="5"/>
  <c r="HU13" i="5"/>
  <c r="HE13" i="5"/>
  <c r="GO13" i="5"/>
  <c r="FY13" i="5"/>
  <c r="FI13" i="5"/>
  <c r="ES13" i="5"/>
  <c r="EC13" i="5"/>
  <c r="DM13" i="5"/>
  <c r="CW13" i="5"/>
  <c r="CG13" i="5"/>
  <c r="BQ13" i="5"/>
  <c r="BA13" i="5"/>
  <c r="AK13" i="5"/>
  <c r="U13" i="5"/>
  <c r="E13" i="5"/>
  <c r="ALW12" i="5"/>
  <c r="ALG12" i="5"/>
  <c r="AKQ12" i="5"/>
  <c r="AKA12" i="5"/>
  <c r="AJK12" i="5"/>
  <c r="AIU12" i="5"/>
  <c r="AIE12" i="5"/>
  <c r="AHO12" i="5"/>
  <c r="AGY12" i="5"/>
  <c r="AGI12" i="5"/>
  <c r="AFS12" i="5"/>
  <c r="AFC12" i="5"/>
  <c r="AEM12" i="5"/>
  <c r="ADW12" i="5"/>
  <c r="ADG12" i="5"/>
  <c r="ACQ12" i="5"/>
  <c r="ACA12" i="5"/>
  <c r="ABK12" i="5"/>
  <c r="AAU12" i="5"/>
  <c r="AAE12" i="5"/>
  <c r="ZO12" i="5"/>
  <c r="YY12" i="5"/>
  <c r="YI12" i="5"/>
  <c r="XS12" i="5"/>
  <c r="XC12" i="5"/>
  <c r="WM12" i="5"/>
  <c r="VW12" i="5"/>
  <c r="VG12" i="5"/>
  <c r="UQ12" i="5"/>
  <c r="UA12" i="5"/>
  <c r="TK12" i="5"/>
  <c r="FZ17" i="5"/>
  <c r="AJL16" i="5"/>
  <c r="AEZ16" i="5"/>
  <c r="ACM16" i="5"/>
  <c r="AAT16" i="5"/>
  <c r="ZA16" i="5"/>
  <c r="XO16" i="5"/>
  <c r="VV16" i="5"/>
  <c r="UL16" i="5"/>
  <c r="SV16" i="5"/>
  <c r="RN16" i="5"/>
  <c r="QG16" i="5"/>
  <c r="PA16" i="5"/>
  <c r="NU16" i="5"/>
  <c r="MO16" i="5"/>
  <c r="LI16" i="5"/>
  <c r="KC16" i="5"/>
  <c r="IY16" i="5"/>
  <c r="HU16" i="5"/>
  <c r="GX16" i="5"/>
  <c r="FT16" i="5"/>
  <c r="EP16" i="5"/>
  <c r="DL16" i="5"/>
  <c r="CI16" i="5"/>
  <c r="BK16" i="5"/>
  <c r="AH16" i="5"/>
  <c r="H16" i="5"/>
  <c r="ALV15" i="5"/>
  <c r="ALB15" i="5"/>
  <c r="AKD15" i="5"/>
  <c r="AJJ15" i="5"/>
  <c r="AIP15" i="5"/>
  <c r="AHR15" i="5"/>
  <c r="AGY15" i="5"/>
  <c r="AGF15" i="5"/>
  <c r="AFM15" i="5"/>
  <c r="AEQ15" i="5"/>
  <c r="ADX15" i="5"/>
  <c r="ADE15" i="5"/>
  <c r="ACL15" i="5"/>
  <c r="ABP15" i="5"/>
  <c r="AAZ15" i="5"/>
  <c r="AAJ15" i="5"/>
  <c r="ZT15" i="5"/>
  <c r="ZD15" i="5"/>
  <c r="YN15" i="5"/>
  <c r="XX15" i="5"/>
  <c r="XH15" i="5"/>
  <c r="WR15" i="5"/>
  <c r="WB15" i="5"/>
  <c r="VL15" i="5"/>
  <c r="UV15" i="5"/>
  <c r="UF15" i="5"/>
  <c r="TP15" i="5"/>
  <c r="SZ15" i="5"/>
  <c r="SJ15" i="5"/>
  <c r="RT15" i="5"/>
  <c r="RD15" i="5"/>
  <c r="QN15" i="5"/>
  <c r="PX15" i="5"/>
  <c r="PH15" i="5"/>
  <c r="OR15" i="5"/>
  <c r="OB15" i="5"/>
  <c r="NL15" i="5"/>
  <c r="MV15" i="5"/>
  <c r="MF15" i="5"/>
  <c r="LP15" i="5"/>
  <c r="KZ15" i="5"/>
  <c r="KJ15" i="5"/>
  <c r="JT15" i="5"/>
  <c r="JD15" i="5"/>
  <c r="IN15" i="5"/>
  <c r="HX15" i="5"/>
  <c r="HH15" i="5"/>
  <c r="GR15" i="5"/>
  <c r="GB15" i="5"/>
  <c r="FL15" i="5"/>
  <c r="EV15" i="5"/>
  <c r="EF15" i="5"/>
  <c r="DP15" i="5"/>
  <c r="CZ15" i="5"/>
  <c r="CJ15" i="5"/>
  <c r="BT15" i="5"/>
  <c r="BD15" i="5"/>
  <c r="AN15" i="5"/>
  <c r="X15" i="5"/>
  <c r="H15" i="5"/>
  <c r="ALZ14" i="5"/>
  <c r="ALJ14" i="5"/>
  <c r="AKT14" i="5"/>
  <c r="AKD14" i="5"/>
  <c r="AJN14" i="5"/>
  <c r="AIX14" i="5"/>
  <c r="AIH14" i="5"/>
  <c r="AHR14" i="5"/>
  <c r="AHB14" i="5"/>
  <c r="AGL14" i="5"/>
  <c r="AFV14" i="5"/>
  <c r="AFF14" i="5"/>
  <c r="AEP14" i="5"/>
  <c r="ADZ14" i="5"/>
  <c r="ADJ14" i="5"/>
  <c r="ACT14" i="5"/>
  <c r="ACD14" i="5"/>
  <c r="ABN14" i="5"/>
  <c r="AAX14" i="5"/>
  <c r="AAH14" i="5"/>
  <c r="ZR14" i="5"/>
  <c r="ZB14" i="5"/>
  <c r="YL14" i="5"/>
  <c r="XV14" i="5"/>
  <c r="XF14" i="5"/>
  <c r="WP14" i="5"/>
  <c r="VZ14" i="5"/>
  <c r="VJ14" i="5"/>
  <c r="UT14" i="5"/>
  <c r="UD14" i="5"/>
  <c r="TN14" i="5"/>
  <c r="SX14" i="5"/>
  <c r="SH14" i="5"/>
  <c r="RR14" i="5"/>
  <c r="RB14" i="5"/>
  <c r="QL14" i="5"/>
  <c r="PV14" i="5"/>
  <c r="PF14" i="5"/>
  <c r="OP14" i="5"/>
  <c r="NZ14" i="5"/>
  <c r="NJ14" i="5"/>
  <c r="MT14" i="5"/>
  <c r="MD14" i="5"/>
  <c r="LN14" i="5"/>
  <c r="KX14" i="5"/>
  <c r="KH14" i="5"/>
  <c r="JR14" i="5"/>
  <c r="JB14" i="5"/>
  <c r="IL14" i="5"/>
  <c r="HV14" i="5"/>
  <c r="HF14" i="5"/>
  <c r="GP14" i="5"/>
  <c r="FZ14" i="5"/>
  <c r="FJ14" i="5"/>
  <c r="ET14" i="5"/>
  <c r="ED14" i="5"/>
  <c r="DN14" i="5"/>
  <c r="CX14" i="5"/>
  <c r="CH14" i="5"/>
  <c r="BR14" i="5"/>
  <c r="BB14" i="5"/>
  <c r="AL14" i="5"/>
  <c r="V14" i="5"/>
  <c r="F14" i="5"/>
  <c r="ALX13" i="5"/>
  <c r="ALH13" i="5"/>
  <c r="AKR13" i="5"/>
  <c r="AKB13" i="5"/>
  <c r="AJL13" i="5"/>
  <c r="AIV13" i="5"/>
  <c r="AIF13" i="5"/>
  <c r="AHP13" i="5"/>
  <c r="AGZ13" i="5"/>
  <c r="AGJ13" i="5"/>
  <c r="AFT13" i="5"/>
  <c r="AFD13" i="5"/>
  <c r="AEN13" i="5"/>
  <c r="ADX13" i="5"/>
  <c r="ADH13" i="5"/>
  <c r="ACR13" i="5"/>
  <c r="ACB13" i="5"/>
  <c r="ABL13" i="5"/>
  <c r="AAV13" i="5"/>
  <c r="AAF13" i="5"/>
  <c r="ZP13" i="5"/>
  <c r="YZ13" i="5"/>
  <c r="YJ13" i="5"/>
  <c r="XT13" i="5"/>
  <c r="XD13" i="5"/>
  <c r="WN13" i="5"/>
  <c r="VX13" i="5"/>
  <c r="VH13" i="5"/>
  <c r="UR13" i="5"/>
  <c r="UB13" i="5"/>
  <c r="TL13" i="5"/>
  <c r="SV13" i="5"/>
  <c r="SF13" i="5"/>
  <c r="RP13" i="5"/>
  <c r="QZ13" i="5"/>
  <c r="QJ13" i="5"/>
  <c r="PT13" i="5"/>
  <c r="PD13" i="5"/>
  <c r="ON13" i="5"/>
  <c r="NX13" i="5"/>
  <c r="NH13" i="5"/>
  <c r="MR13" i="5"/>
  <c r="MB13" i="5"/>
  <c r="LL13" i="5"/>
  <c r="KV13" i="5"/>
  <c r="KF13" i="5"/>
  <c r="JP13" i="5"/>
  <c r="IZ13" i="5"/>
  <c r="IJ13" i="5"/>
  <c r="HT13" i="5"/>
  <c r="HD13" i="5"/>
  <c r="GN13" i="5"/>
  <c r="FX13" i="5"/>
  <c r="FH13" i="5"/>
  <c r="ER13" i="5"/>
  <c r="EB13" i="5"/>
  <c r="DL13" i="5"/>
  <c r="CV13" i="5"/>
  <c r="CF13" i="5"/>
  <c r="BP13" i="5"/>
  <c r="AZ13" i="5"/>
  <c r="AJ13" i="5"/>
  <c r="T13" i="5"/>
  <c r="D13" i="5"/>
  <c r="ALV12" i="5"/>
  <c r="ALF12" i="5"/>
  <c r="AKP12" i="5"/>
  <c r="AJZ12" i="5"/>
  <c r="AJJ12" i="5"/>
  <c r="AIT12" i="5"/>
  <c r="AID12" i="5"/>
  <c r="AHN12" i="5"/>
  <c r="AGX12" i="5"/>
  <c r="AGH12" i="5"/>
  <c r="AFR12" i="5"/>
  <c r="AFB12" i="5"/>
  <c r="AEL12" i="5"/>
  <c r="ADV12" i="5"/>
  <c r="ADF12" i="5"/>
  <c r="ACP12" i="5"/>
  <c r="ABZ12" i="5"/>
  <c r="ABJ12" i="5"/>
  <c r="AAT12" i="5"/>
  <c r="FJ17" i="5"/>
  <c r="AIV16" i="5"/>
  <c r="AEX16" i="5"/>
  <c r="ACL16" i="5"/>
  <c r="AAR16" i="5"/>
  <c r="YZ16" i="5"/>
  <c r="XN16" i="5"/>
  <c r="VT16" i="5"/>
  <c r="UC16" i="5"/>
  <c r="SU16" i="5"/>
  <c r="RL16" i="5"/>
  <c r="QF16" i="5"/>
  <c r="OZ16" i="5"/>
  <c r="NT16" i="5"/>
  <c r="MN16" i="5"/>
  <c r="LH16" i="5"/>
  <c r="KB16" i="5"/>
  <c r="IX16" i="5"/>
  <c r="HT16" i="5"/>
  <c r="GQ16" i="5"/>
  <c r="FS16" i="5"/>
  <c r="EO16" i="5"/>
  <c r="DK16" i="5"/>
  <c r="CG16" i="5"/>
  <c r="BJ16" i="5"/>
  <c r="AG16" i="5"/>
  <c r="G16" i="5"/>
  <c r="ALU15" i="5"/>
  <c r="ALA15" i="5"/>
  <c r="AKC15" i="5"/>
  <c r="AJI15" i="5"/>
  <c r="AIO15" i="5"/>
  <c r="AHQ15" i="5"/>
  <c r="AGX15" i="5"/>
  <c r="AGE15" i="5"/>
  <c r="AFL15" i="5"/>
  <c r="AEP15" i="5"/>
  <c r="ADW15" i="5"/>
  <c r="ADD15" i="5"/>
  <c r="ACK15" i="5"/>
  <c r="ABO15" i="5"/>
  <c r="AAY15" i="5"/>
  <c r="AAI15" i="5"/>
  <c r="ZS15" i="5"/>
  <c r="ZC15" i="5"/>
  <c r="YM15" i="5"/>
  <c r="XW15" i="5"/>
  <c r="XG15" i="5"/>
  <c r="WQ15" i="5"/>
  <c r="WA15" i="5"/>
  <c r="VK15" i="5"/>
  <c r="UU15" i="5"/>
  <c r="UE15" i="5"/>
  <c r="TO15" i="5"/>
  <c r="SY15" i="5"/>
  <c r="SI15" i="5"/>
  <c r="RS15" i="5"/>
  <c r="RC15" i="5"/>
  <c r="QM15" i="5"/>
  <c r="PW15" i="5"/>
  <c r="PG15" i="5"/>
  <c r="OQ15" i="5"/>
  <c r="OA15" i="5"/>
  <c r="NK15" i="5"/>
  <c r="MU15" i="5"/>
  <c r="ME15" i="5"/>
  <c r="LO15" i="5"/>
  <c r="KY15" i="5"/>
  <c r="KI15" i="5"/>
  <c r="JS15" i="5"/>
  <c r="JC15" i="5"/>
  <c r="IM15" i="5"/>
  <c r="HW15" i="5"/>
  <c r="HG15" i="5"/>
  <c r="GQ15" i="5"/>
  <c r="GA15" i="5"/>
  <c r="FK15" i="5"/>
  <c r="EU15" i="5"/>
  <c r="EE15" i="5"/>
  <c r="DO15" i="5"/>
  <c r="CY15" i="5"/>
  <c r="CI15" i="5"/>
  <c r="BS15" i="5"/>
  <c r="BC15" i="5"/>
  <c r="AM15" i="5"/>
  <c r="W15" i="5"/>
  <c r="G15" i="5"/>
  <c r="ALY14" i="5"/>
  <c r="ALI14" i="5"/>
  <c r="AKS14" i="5"/>
  <c r="AKC14" i="5"/>
  <c r="AJM14" i="5"/>
  <c r="AIW14" i="5"/>
  <c r="AIG14" i="5"/>
  <c r="AHQ14" i="5"/>
  <c r="AHA14" i="5"/>
  <c r="AGK14" i="5"/>
  <c r="AFU14" i="5"/>
  <c r="AFE14" i="5"/>
  <c r="AEO14" i="5"/>
  <c r="ADY14" i="5"/>
  <c r="ADI14" i="5"/>
  <c r="ACS14" i="5"/>
  <c r="ACC14" i="5"/>
  <c r="ABM14" i="5"/>
  <c r="AAW14" i="5"/>
  <c r="AAG14" i="5"/>
  <c r="ZQ14" i="5"/>
  <c r="ZA14" i="5"/>
  <c r="YK14" i="5"/>
  <c r="XU14" i="5"/>
  <c r="XE14" i="5"/>
  <c r="WO14" i="5"/>
  <c r="VY14" i="5"/>
  <c r="VI14" i="5"/>
  <c r="US14" i="5"/>
  <c r="UC14" i="5"/>
  <c r="TM14" i="5"/>
  <c r="SW14" i="5"/>
  <c r="SG14" i="5"/>
  <c r="RQ14" i="5"/>
  <c r="RA14" i="5"/>
  <c r="QK14" i="5"/>
  <c r="PU14" i="5"/>
  <c r="PE14" i="5"/>
  <c r="OO14" i="5"/>
  <c r="NY14" i="5"/>
  <c r="NI14" i="5"/>
  <c r="MS14" i="5"/>
  <c r="MC14" i="5"/>
  <c r="LM14" i="5"/>
  <c r="KW14" i="5"/>
  <c r="KG14" i="5"/>
  <c r="JQ14" i="5"/>
  <c r="JA14" i="5"/>
  <c r="IK14" i="5"/>
  <c r="HU14" i="5"/>
  <c r="HE14" i="5"/>
  <c r="GO14" i="5"/>
  <c r="FY14" i="5"/>
  <c r="FI14" i="5"/>
  <c r="ES14" i="5"/>
  <c r="EC14" i="5"/>
  <c r="DM14" i="5"/>
  <c r="CW14" i="5"/>
  <c r="CG14" i="5"/>
  <c r="BQ14" i="5"/>
  <c r="BA14" i="5"/>
  <c r="AK14" i="5"/>
  <c r="U14" i="5"/>
  <c r="E14" i="5"/>
  <c r="ALW13" i="5"/>
  <c r="ALG13" i="5"/>
  <c r="AKQ13" i="5"/>
  <c r="AKA13" i="5"/>
  <c r="AJK13" i="5"/>
  <c r="AIU13" i="5"/>
  <c r="AIE13" i="5"/>
  <c r="AHO13" i="5"/>
  <c r="AGY13" i="5"/>
  <c r="AGI13" i="5"/>
  <c r="AFS13" i="5"/>
  <c r="AFC13" i="5"/>
  <c r="AEM13" i="5"/>
  <c r="ADW13" i="5"/>
  <c r="ADG13" i="5"/>
  <c r="ACQ13" i="5"/>
  <c r="ACA13" i="5"/>
  <c r="ABK13" i="5"/>
  <c r="AAU13" i="5"/>
  <c r="AAE13" i="5"/>
  <c r="ZO13" i="5"/>
  <c r="YY13" i="5"/>
  <c r="YI13" i="5"/>
  <c r="XS13" i="5"/>
  <c r="XC13" i="5"/>
  <c r="WM13" i="5"/>
  <c r="VW13" i="5"/>
  <c r="VG13" i="5"/>
  <c r="UQ13" i="5"/>
  <c r="UA13" i="5"/>
  <c r="TK13" i="5"/>
  <c r="SU13" i="5"/>
  <c r="SE13" i="5"/>
  <c r="RO13" i="5"/>
  <c r="QY13" i="5"/>
  <c r="QI13" i="5"/>
  <c r="PS13" i="5"/>
  <c r="PC13" i="5"/>
  <c r="OM13" i="5"/>
  <c r="NW13" i="5"/>
  <c r="NG13" i="5"/>
  <c r="MQ13" i="5"/>
  <c r="MA13" i="5"/>
  <c r="LK13" i="5"/>
  <c r="KU13" i="5"/>
  <c r="KE13" i="5"/>
  <c r="JO13" i="5"/>
  <c r="IY13" i="5"/>
  <c r="II13" i="5"/>
  <c r="HS13" i="5"/>
  <c r="HC13" i="5"/>
  <c r="GM13" i="5"/>
  <c r="FW13" i="5"/>
  <c r="FG13" i="5"/>
  <c r="EQ13" i="5"/>
  <c r="EA13" i="5"/>
  <c r="DK13" i="5"/>
  <c r="CU13" i="5"/>
  <c r="CE13" i="5"/>
  <c r="BO13" i="5"/>
  <c r="AY13" i="5"/>
  <c r="AI13" i="5"/>
  <c r="S13" i="5"/>
  <c r="C13" i="5"/>
  <c r="ALU12" i="5"/>
  <c r="ALE12" i="5"/>
  <c r="AKO12" i="5"/>
  <c r="AJY12" i="5"/>
  <c r="AJI12" i="5"/>
  <c r="AIS12" i="5"/>
  <c r="AIC12" i="5"/>
  <c r="AHM12" i="5"/>
  <c r="AGW12" i="5"/>
  <c r="AGG12" i="5"/>
  <c r="AFQ12" i="5"/>
  <c r="AFA12" i="5"/>
  <c r="AEK12" i="5"/>
  <c r="ADU12" i="5"/>
  <c r="ADE12" i="5"/>
  <c r="ACO12" i="5"/>
  <c r="ABY12" i="5"/>
  <c r="ABI12" i="5"/>
  <c r="AAS12" i="5"/>
  <c r="AAC12" i="5"/>
  <c r="ET17" i="5"/>
  <c r="AIF16" i="5"/>
  <c r="AEN16" i="5"/>
  <c r="ACC16" i="5"/>
  <c r="AAQ16" i="5"/>
  <c r="YX16" i="5"/>
  <c r="XE16" i="5"/>
  <c r="VS16" i="5"/>
  <c r="UB16" i="5"/>
  <c r="ST16" i="5"/>
  <c r="RK16" i="5"/>
  <c r="QE16" i="5"/>
  <c r="OY16" i="5"/>
  <c r="NS16" i="5"/>
  <c r="MM16" i="5"/>
  <c r="LG16" i="5"/>
  <c r="KA16" i="5"/>
  <c r="IW16" i="5"/>
  <c r="HS16" i="5"/>
  <c r="GO16" i="5"/>
  <c r="FR16" i="5"/>
  <c r="EN16" i="5"/>
  <c r="DJ16" i="5"/>
  <c r="CF16" i="5"/>
  <c r="BC16" i="5"/>
  <c r="AF16" i="5"/>
  <c r="F16" i="5"/>
  <c r="ALT15" i="5"/>
  <c r="AKZ15" i="5"/>
  <c r="AKB15" i="5"/>
  <c r="AJH15" i="5"/>
  <c r="AIN15" i="5"/>
  <c r="AHP15" i="5"/>
  <c r="AGW15" i="5"/>
  <c r="AGD15" i="5"/>
  <c r="AFH15" i="5"/>
  <c r="AEO15" i="5"/>
  <c r="ADV15" i="5"/>
  <c r="ADC15" i="5"/>
  <c r="ACJ15" i="5"/>
  <c r="ABN15" i="5"/>
  <c r="AAX15" i="5"/>
  <c r="AAH15" i="5"/>
  <c r="ZR15" i="5"/>
  <c r="ZB15" i="5"/>
  <c r="YL15" i="5"/>
  <c r="XV15" i="5"/>
  <c r="XF15" i="5"/>
  <c r="WP15" i="5"/>
  <c r="VZ15" i="5"/>
  <c r="VJ15" i="5"/>
  <c r="UT15" i="5"/>
  <c r="UD15" i="5"/>
  <c r="TN15" i="5"/>
  <c r="SX15" i="5"/>
  <c r="SH15" i="5"/>
  <c r="RR15" i="5"/>
  <c r="RB15" i="5"/>
  <c r="QL15" i="5"/>
  <c r="PV15" i="5"/>
  <c r="PF15" i="5"/>
  <c r="OP15" i="5"/>
  <c r="NZ15" i="5"/>
  <c r="NJ15" i="5"/>
  <c r="MT15" i="5"/>
  <c r="MD15" i="5"/>
  <c r="LN15" i="5"/>
  <c r="KX15" i="5"/>
  <c r="KH15" i="5"/>
  <c r="JR15" i="5"/>
  <c r="JB15" i="5"/>
  <c r="IL15" i="5"/>
  <c r="HV15" i="5"/>
  <c r="HF15" i="5"/>
  <c r="GP15" i="5"/>
  <c r="FZ15" i="5"/>
  <c r="FJ15" i="5"/>
  <c r="ET15" i="5"/>
  <c r="ED15" i="5"/>
  <c r="DN15" i="5"/>
  <c r="CX15" i="5"/>
  <c r="CH15" i="5"/>
  <c r="BR15" i="5"/>
  <c r="BB15" i="5"/>
  <c r="AL15" i="5"/>
  <c r="V15" i="5"/>
  <c r="F15" i="5"/>
  <c r="ALX14" i="5"/>
  <c r="ALH14" i="5"/>
  <c r="AKR14" i="5"/>
  <c r="AKB14" i="5"/>
  <c r="AJL14" i="5"/>
  <c r="AIV14" i="5"/>
  <c r="AIF14" i="5"/>
  <c r="AHP14" i="5"/>
  <c r="AGZ14" i="5"/>
  <c r="AGJ14" i="5"/>
  <c r="AFT14" i="5"/>
  <c r="AFD14" i="5"/>
  <c r="AEN14" i="5"/>
  <c r="ADX14" i="5"/>
  <c r="ADH14" i="5"/>
  <c r="ACR14" i="5"/>
  <c r="ACB14" i="5"/>
  <c r="ABL14" i="5"/>
  <c r="AAV14" i="5"/>
  <c r="AAF14" i="5"/>
  <c r="ZP14" i="5"/>
  <c r="YZ14" i="5"/>
  <c r="YJ14" i="5"/>
  <c r="XT14" i="5"/>
  <c r="XD14" i="5"/>
  <c r="WN14" i="5"/>
  <c r="VX14" i="5"/>
  <c r="VH14" i="5"/>
  <c r="UR14" i="5"/>
  <c r="UB14" i="5"/>
  <c r="TL14" i="5"/>
  <c r="SV14" i="5"/>
  <c r="SF14" i="5"/>
  <c r="RP14" i="5"/>
  <c r="QZ14" i="5"/>
  <c r="QJ14" i="5"/>
  <c r="PT14" i="5"/>
  <c r="PD14" i="5"/>
  <c r="ON14" i="5"/>
  <c r="NX14" i="5"/>
  <c r="NH14" i="5"/>
  <c r="MR14" i="5"/>
  <c r="MB14" i="5"/>
  <c r="LL14" i="5"/>
  <c r="KV14" i="5"/>
  <c r="KF14" i="5"/>
  <c r="JP14" i="5"/>
  <c r="IZ14" i="5"/>
  <c r="IJ14" i="5"/>
  <c r="HT14" i="5"/>
  <c r="HD14" i="5"/>
  <c r="GN14" i="5"/>
  <c r="FX14" i="5"/>
  <c r="FH14" i="5"/>
  <c r="ER14" i="5"/>
  <c r="EB14" i="5"/>
  <c r="DL14" i="5"/>
  <c r="CV14" i="5"/>
  <c r="CF14" i="5"/>
  <c r="BP14" i="5"/>
  <c r="AZ14" i="5"/>
  <c r="AJ14" i="5"/>
  <c r="T14" i="5"/>
  <c r="D14" i="5"/>
  <c r="ALV13" i="5"/>
  <c r="ALF13" i="5"/>
  <c r="AKP13" i="5"/>
  <c r="AJZ13" i="5"/>
  <c r="AJJ13" i="5"/>
  <c r="AIT13" i="5"/>
  <c r="AID13" i="5"/>
  <c r="AHN13" i="5"/>
  <c r="AGX13" i="5"/>
  <c r="AGH13" i="5"/>
  <c r="AFR13" i="5"/>
  <c r="AFB13" i="5"/>
  <c r="AEL13" i="5"/>
  <c r="ADV13" i="5"/>
  <c r="ADF13" i="5"/>
  <c r="ACP13" i="5"/>
  <c r="ABZ13" i="5"/>
  <c r="ABJ13" i="5"/>
  <c r="AAT13" i="5"/>
  <c r="AAD13" i="5"/>
  <c r="ZN13" i="5"/>
  <c r="YX13" i="5"/>
  <c r="YH13" i="5"/>
  <c r="XR13" i="5"/>
  <c r="XB13" i="5"/>
  <c r="WL13" i="5"/>
  <c r="VV13" i="5"/>
  <c r="VF13" i="5"/>
  <c r="UP13" i="5"/>
  <c r="TZ13" i="5"/>
  <c r="TJ13" i="5"/>
  <c r="ST13" i="5"/>
  <c r="SD13" i="5"/>
  <c r="RN13" i="5"/>
  <c r="QX13" i="5"/>
  <c r="QH13" i="5"/>
  <c r="PR13" i="5"/>
  <c r="PB13" i="5"/>
  <c r="OL13" i="5"/>
  <c r="NV13" i="5"/>
  <c r="NF13" i="5"/>
  <c r="MP13" i="5"/>
  <c r="LZ13" i="5"/>
  <c r="LJ13" i="5"/>
  <c r="KT13" i="5"/>
  <c r="KD13" i="5"/>
  <c r="JN13" i="5"/>
  <c r="IX13" i="5"/>
  <c r="IH13" i="5"/>
  <c r="HR13" i="5"/>
  <c r="HB13" i="5"/>
  <c r="GL13" i="5"/>
  <c r="FV13" i="5"/>
  <c r="FF13" i="5"/>
  <c r="EP13" i="5"/>
  <c r="DZ13" i="5"/>
  <c r="DJ13" i="5"/>
  <c r="CT13" i="5"/>
  <c r="CD13" i="5"/>
  <c r="BN13" i="5"/>
  <c r="AX13" i="5"/>
  <c r="AH13" i="5"/>
  <c r="R13" i="5"/>
  <c r="B13" i="5"/>
  <c r="ALT12" i="5"/>
  <c r="ALD12" i="5"/>
  <c r="AKN12" i="5"/>
  <c r="AJX12" i="5"/>
  <c r="AJH12" i="5"/>
  <c r="AIR12" i="5"/>
  <c r="AIB12" i="5"/>
  <c r="AHL12" i="5"/>
  <c r="ED17" i="5"/>
  <c r="AHP16" i="5"/>
  <c r="AEJ16" i="5"/>
  <c r="ACB16" i="5"/>
  <c r="AAP16" i="5"/>
  <c r="YV16" i="5"/>
  <c r="XD16" i="5"/>
  <c r="VR16" i="5"/>
  <c r="UA16" i="5"/>
  <c r="SR16" i="5"/>
  <c r="RJ16" i="5"/>
  <c r="QD16" i="5"/>
  <c r="OX16" i="5"/>
  <c r="NR16" i="5"/>
  <c r="ML16" i="5"/>
  <c r="LF16" i="5"/>
  <c r="JZ16" i="5"/>
  <c r="IV16" i="5"/>
  <c r="HR16" i="5"/>
  <c r="GN16" i="5"/>
  <c r="FK16" i="5"/>
  <c r="EM16" i="5"/>
  <c r="DI16" i="5"/>
  <c r="CE16" i="5"/>
  <c r="BA16" i="5"/>
  <c r="AE16" i="5"/>
  <c r="E16" i="5"/>
  <c r="ALS15" i="5"/>
  <c r="AKU15" i="5"/>
  <c r="AKA15" i="5"/>
  <c r="AJG15" i="5"/>
  <c r="AII15" i="5"/>
  <c r="AHO15" i="5"/>
  <c r="AGV15" i="5"/>
  <c r="AGC15" i="5"/>
  <c r="AFG15" i="5"/>
  <c r="AEN15" i="5"/>
  <c r="ADU15" i="5"/>
  <c r="ADB15" i="5"/>
  <c r="ACF15" i="5"/>
  <c r="ABM15" i="5"/>
  <c r="AAW15" i="5"/>
  <c r="AAG15" i="5"/>
  <c r="ZQ15" i="5"/>
  <c r="ZA15" i="5"/>
  <c r="YK15" i="5"/>
  <c r="XU15" i="5"/>
  <c r="XE15" i="5"/>
  <c r="WO15" i="5"/>
  <c r="VY15" i="5"/>
  <c r="VI15" i="5"/>
  <c r="US15" i="5"/>
  <c r="UC15" i="5"/>
  <c r="TM15" i="5"/>
  <c r="SW15" i="5"/>
  <c r="SG15" i="5"/>
  <c r="RQ15" i="5"/>
  <c r="RA15" i="5"/>
  <c r="QK15" i="5"/>
  <c r="PU15" i="5"/>
  <c r="PE15" i="5"/>
  <c r="OO15" i="5"/>
  <c r="NY15" i="5"/>
  <c r="NI15" i="5"/>
  <c r="MS15" i="5"/>
  <c r="MC15" i="5"/>
  <c r="LM15" i="5"/>
  <c r="KW15" i="5"/>
  <c r="KG15" i="5"/>
  <c r="JQ15" i="5"/>
  <c r="JA15" i="5"/>
  <c r="IK15" i="5"/>
  <c r="HU15" i="5"/>
  <c r="HE15" i="5"/>
  <c r="GO15" i="5"/>
  <c r="FY15" i="5"/>
  <c r="FI15" i="5"/>
  <c r="ES15" i="5"/>
  <c r="EC15" i="5"/>
  <c r="DM15" i="5"/>
  <c r="CW15" i="5"/>
  <c r="CG15" i="5"/>
  <c r="BQ15" i="5"/>
  <c r="BA15" i="5"/>
  <c r="AK15" i="5"/>
  <c r="U15" i="5"/>
  <c r="E15" i="5"/>
  <c r="ALW14" i="5"/>
  <c r="ALG14" i="5"/>
  <c r="AKQ14" i="5"/>
  <c r="AKA14" i="5"/>
  <c r="AJK14" i="5"/>
  <c r="AIU14" i="5"/>
  <c r="AIE14" i="5"/>
  <c r="AHO14" i="5"/>
  <c r="AGY14" i="5"/>
  <c r="AGI14" i="5"/>
  <c r="AFS14" i="5"/>
  <c r="AFC14" i="5"/>
  <c r="AEM14" i="5"/>
  <c r="ADW14" i="5"/>
  <c r="ADG14" i="5"/>
  <c r="ACQ14" i="5"/>
  <c r="ACA14" i="5"/>
  <c r="ABK14" i="5"/>
  <c r="AAU14" i="5"/>
  <c r="AAE14" i="5"/>
  <c r="ZO14" i="5"/>
  <c r="YY14" i="5"/>
  <c r="YI14" i="5"/>
  <c r="XS14" i="5"/>
  <c r="XC14" i="5"/>
  <c r="WM14" i="5"/>
  <c r="VW14" i="5"/>
  <c r="VG14" i="5"/>
  <c r="UQ14" i="5"/>
  <c r="UA14" i="5"/>
  <c r="TK14" i="5"/>
  <c r="SU14" i="5"/>
  <c r="SE14" i="5"/>
  <c r="RO14" i="5"/>
  <c r="QY14" i="5"/>
  <c r="QI14" i="5"/>
  <c r="PS14" i="5"/>
  <c r="PC14" i="5"/>
  <c r="OM14" i="5"/>
  <c r="NW14" i="5"/>
  <c r="NG14" i="5"/>
  <c r="MQ14" i="5"/>
  <c r="MA14" i="5"/>
  <c r="LK14" i="5"/>
  <c r="KU14" i="5"/>
  <c r="KE14" i="5"/>
  <c r="JO14" i="5"/>
  <c r="IY14" i="5"/>
  <c r="II14" i="5"/>
  <c r="HS14" i="5"/>
  <c r="HC14" i="5"/>
  <c r="GM14" i="5"/>
  <c r="FW14" i="5"/>
  <c r="FG14" i="5"/>
  <c r="EQ14" i="5"/>
  <c r="EA14" i="5"/>
  <c r="DK14" i="5"/>
  <c r="CU14" i="5"/>
  <c r="CE14" i="5"/>
  <c r="BO14" i="5"/>
  <c r="AY14" i="5"/>
  <c r="AI14" i="5"/>
  <c r="S14" i="5"/>
  <c r="C14" i="5"/>
  <c r="ALU13" i="5"/>
  <c r="ALE13" i="5"/>
  <c r="AKO13" i="5"/>
  <c r="AJY13" i="5"/>
  <c r="AJI13" i="5"/>
  <c r="AIS13" i="5"/>
  <c r="AIC13" i="5"/>
  <c r="AHM13" i="5"/>
  <c r="AGW13" i="5"/>
  <c r="AGG13" i="5"/>
  <c r="AFQ13" i="5"/>
  <c r="AFA13" i="5"/>
  <c r="AEK13" i="5"/>
  <c r="ADU13" i="5"/>
  <c r="ADE13" i="5"/>
  <c r="ACO13" i="5"/>
  <c r="ABY13" i="5"/>
  <c r="ABI13" i="5"/>
  <c r="AAS13" i="5"/>
  <c r="AAC13" i="5"/>
  <c r="ZM13" i="5"/>
  <c r="YW13" i="5"/>
  <c r="YG13" i="5"/>
  <c r="XQ13" i="5"/>
  <c r="XA13" i="5"/>
  <c r="WK13" i="5"/>
  <c r="VU13" i="5"/>
  <c r="VE13" i="5"/>
  <c r="UO13" i="5"/>
  <c r="TY13" i="5"/>
  <c r="TI13" i="5"/>
  <c r="SS13" i="5"/>
  <c r="SC13" i="5"/>
  <c r="RM13" i="5"/>
  <c r="QW13" i="5"/>
  <c r="QG13" i="5"/>
  <c r="PQ13" i="5"/>
  <c r="PA13" i="5"/>
  <c r="OK13" i="5"/>
  <c r="NU13" i="5"/>
  <c r="NE13" i="5"/>
  <c r="MO13" i="5"/>
  <c r="LY13" i="5"/>
  <c r="LI13" i="5"/>
  <c r="KS13" i="5"/>
  <c r="KC13" i="5"/>
  <c r="JM13" i="5"/>
  <c r="IW13" i="5"/>
  <c r="IG13" i="5"/>
  <c r="HQ13" i="5"/>
  <c r="HA13" i="5"/>
  <c r="GK13" i="5"/>
  <c r="FU13" i="5"/>
  <c r="FE13" i="5"/>
  <c r="EO13" i="5"/>
  <c r="DY13" i="5"/>
  <c r="DI13" i="5"/>
  <c r="CS13" i="5"/>
  <c r="CC13" i="5"/>
  <c r="BM13" i="5"/>
  <c r="AW13" i="5"/>
  <c r="AG13" i="5"/>
  <c r="Q13" i="5"/>
  <c r="A13" i="5"/>
  <c r="DN17" i="5"/>
  <c r="AHL16" i="5"/>
  <c r="AEH16" i="5"/>
  <c r="ABZ16" i="5"/>
  <c r="AAG16" i="5"/>
  <c r="YU16" i="5"/>
  <c r="XB16" i="5"/>
  <c r="VI16" i="5"/>
  <c r="TZ16" i="5"/>
  <c r="SQ16" i="5"/>
  <c r="RA16" i="5"/>
  <c r="PU16" i="5"/>
  <c r="OO16" i="5"/>
  <c r="NI16" i="5"/>
  <c r="MC16" i="5"/>
  <c r="KW16" i="5"/>
  <c r="JS16" i="5"/>
  <c r="IU16" i="5"/>
  <c r="HQ16" i="5"/>
  <c r="GM16" i="5"/>
  <c r="FI16" i="5"/>
  <c r="EL16" i="5"/>
  <c r="DH16" i="5"/>
  <c r="CD16" i="5"/>
  <c r="AZ16" i="5"/>
  <c r="AD16" i="5"/>
  <c r="D16" i="5"/>
  <c r="ALR15" i="5"/>
  <c r="AKT15" i="5"/>
  <c r="AJZ15" i="5"/>
  <c r="AJF15" i="5"/>
  <c r="AIH15" i="5"/>
  <c r="AHN15" i="5"/>
  <c r="AGU15" i="5"/>
  <c r="AGB15" i="5"/>
  <c r="AFF15" i="5"/>
  <c r="AEM15" i="5"/>
  <c r="ADT15" i="5"/>
  <c r="ADA15" i="5"/>
  <c r="ACE15" i="5"/>
  <c r="ABL15" i="5"/>
  <c r="AAV15" i="5"/>
  <c r="AAF15" i="5"/>
  <c r="ZP15" i="5"/>
  <c r="YZ15" i="5"/>
  <c r="YJ15" i="5"/>
  <c r="XT15" i="5"/>
  <c r="XD15" i="5"/>
  <c r="WN15" i="5"/>
  <c r="VX15" i="5"/>
  <c r="VH15" i="5"/>
  <c r="UR15" i="5"/>
  <c r="UB15" i="5"/>
  <c r="TL15" i="5"/>
  <c r="SV15" i="5"/>
  <c r="SF15" i="5"/>
  <c r="RP15" i="5"/>
  <c r="QZ15" i="5"/>
  <c r="QJ15" i="5"/>
  <c r="PT15" i="5"/>
  <c r="PD15" i="5"/>
  <c r="ON15" i="5"/>
  <c r="NX15" i="5"/>
  <c r="NH15" i="5"/>
  <c r="MR15" i="5"/>
  <c r="MB15" i="5"/>
  <c r="LL15" i="5"/>
  <c r="KV15" i="5"/>
  <c r="KF15" i="5"/>
  <c r="JP15" i="5"/>
  <c r="IZ15" i="5"/>
  <c r="IJ15" i="5"/>
  <c r="HT15" i="5"/>
  <c r="HD15" i="5"/>
  <c r="GN15" i="5"/>
  <c r="FX15" i="5"/>
  <c r="FH15" i="5"/>
  <c r="ER15" i="5"/>
  <c r="EB15" i="5"/>
  <c r="DL15" i="5"/>
  <c r="CV15" i="5"/>
  <c r="CF15" i="5"/>
  <c r="BP15" i="5"/>
  <c r="AZ15" i="5"/>
  <c r="AJ15" i="5"/>
  <c r="T15" i="5"/>
  <c r="D15" i="5"/>
  <c r="ALV14" i="5"/>
  <c r="ALF14" i="5"/>
  <c r="AKP14" i="5"/>
  <c r="AJZ14" i="5"/>
  <c r="AJJ14" i="5"/>
  <c r="AIT14" i="5"/>
  <c r="AID14" i="5"/>
  <c r="AHN14" i="5"/>
  <c r="AGX14" i="5"/>
  <c r="AGH14" i="5"/>
  <c r="AFR14" i="5"/>
  <c r="AFB14" i="5"/>
  <c r="AEL14" i="5"/>
  <c r="ADV14" i="5"/>
  <c r="ADF14" i="5"/>
  <c r="ACP14" i="5"/>
  <c r="ABZ14" i="5"/>
  <c r="ABJ14" i="5"/>
  <c r="AAT14" i="5"/>
  <c r="AAD14" i="5"/>
  <c r="ZN14" i="5"/>
  <c r="YX14" i="5"/>
  <c r="YH14" i="5"/>
  <c r="XR14" i="5"/>
  <c r="XB14" i="5"/>
  <c r="WL14" i="5"/>
  <c r="VV14" i="5"/>
  <c r="VF14" i="5"/>
  <c r="UP14" i="5"/>
  <c r="TZ14" i="5"/>
  <c r="TJ14" i="5"/>
  <c r="ST14" i="5"/>
  <c r="SD14" i="5"/>
  <c r="RN14" i="5"/>
  <c r="QX14" i="5"/>
  <c r="QH14" i="5"/>
  <c r="PR14" i="5"/>
  <c r="PB14" i="5"/>
  <c r="OL14" i="5"/>
  <c r="NV14" i="5"/>
  <c r="NF14" i="5"/>
  <c r="MP14" i="5"/>
  <c r="LZ14" i="5"/>
  <c r="LJ14" i="5"/>
  <c r="KT14" i="5"/>
  <c r="KD14" i="5"/>
  <c r="JN14" i="5"/>
  <c r="IX14" i="5"/>
  <c r="IH14" i="5"/>
  <c r="HR14" i="5"/>
  <c r="HB14" i="5"/>
  <c r="GL14" i="5"/>
  <c r="FV14" i="5"/>
  <c r="FF14" i="5"/>
  <c r="EP14" i="5"/>
  <c r="DZ14" i="5"/>
  <c r="DJ14" i="5"/>
  <c r="CT14" i="5"/>
  <c r="CD14" i="5"/>
  <c r="BN14" i="5"/>
  <c r="AX14" i="5"/>
  <c r="AH14" i="5"/>
  <c r="R14" i="5"/>
  <c r="B14" i="5"/>
  <c r="ALT13" i="5"/>
  <c r="ALD13" i="5"/>
  <c r="AKN13" i="5"/>
  <c r="AJX13" i="5"/>
  <c r="AJH13" i="5"/>
  <c r="AIR13" i="5"/>
  <c r="AIB13" i="5"/>
  <c r="AHL13" i="5"/>
  <c r="AGV13" i="5"/>
  <c r="AGF13" i="5"/>
  <c r="AFP13" i="5"/>
  <c r="AEZ13" i="5"/>
  <c r="AEJ13" i="5"/>
  <c r="ADT13" i="5"/>
  <c r="ADD13" i="5"/>
  <c r="ACN13" i="5"/>
  <c r="ABX13" i="5"/>
  <c r="ABH13" i="5"/>
  <c r="AAR13" i="5"/>
  <c r="AAB13" i="5"/>
  <c r="ZL13" i="5"/>
  <c r="YV13" i="5"/>
  <c r="YF13" i="5"/>
  <c r="XP13" i="5"/>
  <c r="WZ13" i="5"/>
  <c r="WJ13" i="5"/>
  <c r="VT13" i="5"/>
  <c r="VD13" i="5"/>
  <c r="UN13" i="5"/>
  <c r="TX13" i="5"/>
  <c r="TH13" i="5"/>
  <c r="SR13" i="5"/>
  <c r="SB13" i="5"/>
  <c r="RL13" i="5"/>
  <c r="QV13" i="5"/>
  <c r="QF13" i="5"/>
  <c r="PP13" i="5"/>
  <c r="OZ13" i="5"/>
  <c r="OJ13" i="5"/>
  <c r="NT13" i="5"/>
  <c r="ND13" i="5"/>
  <c r="MN13" i="5"/>
  <c r="LX13" i="5"/>
  <c r="LH13" i="5"/>
  <c r="KR13" i="5"/>
  <c r="KB13" i="5"/>
  <c r="JL13" i="5"/>
  <c r="IV13" i="5"/>
  <c r="IF13" i="5"/>
  <c r="HP13" i="5"/>
  <c r="GZ13" i="5"/>
  <c r="GJ13" i="5"/>
  <c r="FT13" i="5"/>
  <c r="FD13" i="5"/>
  <c r="EN13" i="5"/>
  <c r="DX13" i="5"/>
  <c r="DH13" i="5"/>
  <c r="CR13" i="5"/>
  <c r="CB13" i="5"/>
  <c r="BL13" i="5"/>
  <c r="AV13" i="5"/>
  <c r="AF13" i="5"/>
  <c r="P13" i="5"/>
  <c r="AMH12" i="5"/>
  <c r="CX17" i="5"/>
  <c r="AHJ16" i="5"/>
  <c r="ADX16" i="5"/>
  <c r="ABX16" i="5"/>
  <c r="AAF16" i="5"/>
  <c r="YT16" i="5"/>
  <c r="WZ16" i="5"/>
  <c r="VH16" i="5"/>
  <c r="TX16" i="5"/>
  <c r="SP16" i="5"/>
  <c r="QZ16" i="5"/>
  <c r="PT16" i="5"/>
  <c r="ON16" i="5"/>
  <c r="NH16" i="5"/>
  <c r="MB16" i="5"/>
  <c r="KV16" i="5"/>
  <c r="JQ16" i="5"/>
  <c r="IT16" i="5"/>
  <c r="HP16" i="5"/>
  <c r="GL16" i="5"/>
  <c r="FH16" i="5"/>
  <c r="EE16" i="5"/>
  <c r="DG16" i="5"/>
  <c r="CC16" i="5"/>
  <c r="AY16" i="5"/>
  <c r="X16" i="5"/>
  <c r="C16" i="5"/>
  <c r="ALQ15" i="5"/>
  <c r="AKS15" i="5"/>
  <c r="AJY15" i="5"/>
  <c r="AJE15" i="5"/>
  <c r="AIG15" i="5"/>
  <c r="AHM15" i="5"/>
  <c r="AGT15" i="5"/>
  <c r="AFX15" i="5"/>
  <c r="AFE15" i="5"/>
  <c r="AEL15" i="5"/>
  <c r="ADS15" i="5"/>
  <c r="ACZ15" i="5"/>
  <c r="ACD15" i="5"/>
  <c r="ABK15" i="5"/>
  <c r="AAU15" i="5"/>
  <c r="AAE15" i="5"/>
  <c r="ZO15" i="5"/>
  <c r="YY15" i="5"/>
  <c r="YI15" i="5"/>
  <c r="XS15" i="5"/>
  <c r="XC15" i="5"/>
  <c r="WM15" i="5"/>
  <c r="VW15" i="5"/>
  <c r="VG15" i="5"/>
  <c r="UQ15" i="5"/>
  <c r="UA15" i="5"/>
  <c r="TK15" i="5"/>
  <c r="SU15" i="5"/>
  <c r="SE15" i="5"/>
  <c r="RO15" i="5"/>
  <c r="QY15" i="5"/>
  <c r="QI15" i="5"/>
  <c r="PS15" i="5"/>
  <c r="PC15" i="5"/>
  <c r="OM15" i="5"/>
  <c r="NW15" i="5"/>
  <c r="NG15" i="5"/>
  <c r="MQ15" i="5"/>
  <c r="MA15" i="5"/>
  <c r="LK15" i="5"/>
  <c r="KU15" i="5"/>
  <c r="KE15" i="5"/>
  <c r="JO15" i="5"/>
  <c r="IY15" i="5"/>
  <c r="II15" i="5"/>
  <c r="HS15" i="5"/>
  <c r="HC15" i="5"/>
  <c r="GM15" i="5"/>
  <c r="FW15" i="5"/>
  <c r="FG15" i="5"/>
  <c r="EQ15" i="5"/>
  <c r="EA15" i="5"/>
  <c r="DK15" i="5"/>
  <c r="CU15" i="5"/>
  <c r="CE15" i="5"/>
  <c r="BO15" i="5"/>
  <c r="AY15" i="5"/>
  <c r="AI15" i="5"/>
  <c r="S15" i="5"/>
  <c r="C15" i="5"/>
  <c r="ALU14" i="5"/>
  <c r="ALE14" i="5"/>
  <c r="AKO14" i="5"/>
  <c r="AJY14" i="5"/>
  <c r="AJI14" i="5"/>
  <c r="AIS14" i="5"/>
  <c r="AIC14" i="5"/>
  <c r="AHM14" i="5"/>
  <c r="AGW14" i="5"/>
  <c r="AGG14" i="5"/>
  <c r="AFQ14" i="5"/>
  <c r="AFA14" i="5"/>
  <c r="AEK14" i="5"/>
  <c r="ADU14" i="5"/>
  <c r="ADE14" i="5"/>
  <c r="ACO14" i="5"/>
  <c r="ABY14" i="5"/>
  <c r="ABI14" i="5"/>
  <c r="AAS14" i="5"/>
  <c r="AAC14" i="5"/>
  <c r="ZM14" i="5"/>
  <c r="YW14" i="5"/>
  <c r="YG14" i="5"/>
  <c r="XQ14" i="5"/>
  <c r="XA14" i="5"/>
  <c r="WK14" i="5"/>
  <c r="VU14" i="5"/>
  <c r="VE14" i="5"/>
  <c r="UO14" i="5"/>
  <c r="TY14" i="5"/>
  <c r="TI14" i="5"/>
  <c r="SS14" i="5"/>
  <c r="SC14" i="5"/>
  <c r="RM14" i="5"/>
  <c r="QW14" i="5"/>
  <c r="QG14" i="5"/>
  <c r="PQ14" i="5"/>
  <c r="PA14" i="5"/>
  <c r="OK14" i="5"/>
  <c r="NU14" i="5"/>
  <c r="NE14" i="5"/>
  <c r="MO14" i="5"/>
  <c r="LY14" i="5"/>
  <c r="LI14" i="5"/>
  <c r="KS14" i="5"/>
  <c r="KC14" i="5"/>
  <c r="JM14" i="5"/>
  <c r="IW14" i="5"/>
  <c r="IG14" i="5"/>
  <c r="HQ14" i="5"/>
  <c r="HA14" i="5"/>
  <c r="GK14" i="5"/>
  <c r="FU14" i="5"/>
  <c r="FE14" i="5"/>
  <c r="EO14" i="5"/>
  <c r="DY14" i="5"/>
  <c r="DI14" i="5"/>
  <c r="CS14" i="5"/>
  <c r="CC14" i="5"/>
  <c r="BM14" i="5"/>
  <c r="AW14" i="5"/>
  <c r="AG14" i="5"/>
  <c r="Q14" i="5"/>
  <c r="A14" i="5"/>
  <c r="ALS13" i="5"/>
  <c r="ALC13" i="5"/>
  <c r="AKM13" i="5"/>
  <c r="AJW13" i="5"/>
  <c r="AJG13" i="5"/>
  <c r="AIQ13" i="5"/>
  <c r="AIA13" i="5"/>
  <c r="AHK13" i="5"/>
  <c r="AGU13" i="5"/>
  <c r="AGE13" i="5"/>
  <c r="AFO13" i="5"/>
  <c r="AEY13" i="5"/>
  <c r="AEI13" i="5"/>
  <c r="ADS13" i="5"/>
  <c r="ADC13" i="5"/>
  <c r="ACM13" i="5"/>
  <c r="ABW13" i="5"/>
  <c r="ABG13" i="5"/>
  <c r="AAQ13" i="5"/>
  <c r="AAA13" i="5"/>
  <c r="ZK13" i="5"/>
  <c r="YU13" i="5"/>
  <c r="YE13" i="5"/>
  <c r="XO13" i="5"/>
  <c r="WY13" i="5"/>
  <c r="WI13" i="5"/>
  <c r="VS13" i="5"/>
  <c r="VC13" i="5"/>
  <c r="UM13" i="5"/>
  <c r="TW13" i="5"/>
  <c r="TG13" i="5"/>
  <c r="SQ13" i="5"/>
  <c r="SA13" i="5"/>
  <c r="RK13" i="5"/>
  <c r="QU13" i="5"/>
  <c r="QE13" i="5"/>
  <c r="PO13" i="5"/>
  <c r="OY13" i="5"/>
  <c r="OI13" i="5"/>
  <c r="NS13" i="5"/>
  <c r="NC13" i="5"/>
  <c r="MM13" i="5"/>
  <c r="LW13" i="5"/>
  <c r="LG13" i="5"/>
  <c r="KQ13" i="5"/>
  <c r="KA13" i="5"/>
  <c r="JK13" i="5"/>
  <c r="IU13" i="5"/>
  <c r="IE13" i="5"/>
  <c r="HO13" i="5"/>
  <c r="GY13" i="5"/>
  <c r="GI13" i="5"/>
  <c r="FS13" i="5"/>
  <c r="FC13" i="5"/>
  <c r="CH17" i="5"/>
  <c r="AGZ16" i="5"/>
  <c r="ADT16" i="5"/>
  <c r="ABW16" i="5"/>
  <c r="AAD16" i="5"/>
  <c r="YK16" i="5"/>
  <c r="WY16" i="5"/>
  <c r="VF16" i="5"/>
  <c r="TW16" i="5"/>
  <c r="SG16" i="5"/>
  <c r="QY16" i="5"/>
  <c r="PS16" i="5"/>
  <c r="OM16" i="5"/>
  <c r="NG16" i="5"/>
  <c r="MA16" i="5"/>
  <c r="KU16" i="5"/>
  <c r="JP16" i="5"/>
  <c r="IM16" i="5"/>
  <c r="HO16" i="5"/>
  <c r="GK16" i="5"/>
  <c r="FG16" i="5"/>
  <c r="EC16" i="5"/>
  <c r="DF16" i="5"/>
  <c r="CB16" i="5"/>
  <c r="AX16" i="5"/>
  <c r="W16" i="5"/>
  <c r="B16" i="5"/>
  <c r="ALP15" i="5"/>
  <c r="AKR15" i="5"/>
  <c r="AJX15" i="5"/>
  <c r="AJD15" i="5"/>
  <c r="AIF15" i="5"/>
  <c r="AHL15" i="5"/>
  <c r="AGS15" i="5"/>
  <c r="AFW15" i="5"/>
  <c r="AFD15" i="5"/>
  <c r="AEK15" i="5"/>
  <c r="ADR15" i="5"/>
  <c r="ACV15" i="5"/>
  <c r="ACC15" i="5"/>
  <c r="ABJ15" i="5"/>
  <c r="AAT15" i="5"/>
  <c r="AAD15" i="5"/>
  <c r="ZN15" i="5"/>
  <c r="YX15" i="5"/>
  <c r="YH15" i="5"/>
  <c r="XR15" i="5"/>
  <c r="XB15" i="5"/>
  <c r="WL15" i="5"/>
  <c r="VV15" i="5"/>
  <c r="VF15" i="5"/>
  <c r="UP15" i="5"/>
  <c r="TZ15" i="5"/>
  <c r="TJ15" i="5"/>
  <c r="ST15" i="5"/>
  <c r="SD15" i="5"/>
  <c r="RN15" i="5"/>
  <c r="QX15" i="5"/>
  <c r="QH15" i="5"/>
  <c r="PR15" i="5"/>
  <c r="PB15" i="5"/>
  <c r="OL15" i="5"/>
  <c r="NV15" i="5"/>
  <c r="NF15" i="5"/>
  <c r="MP15" i="5"/>
  <c r="LZ15" i="5"/>
  <c r="LJ15" i="5"/>
  <c r="KT15" i="5"/>
  <c r="KD15" i="5"/>
  <c r="JN15" i="5"/>
  <c r="IX15" i="5"/>
  <c r="IH15" i="5"/>
  <c r="HR15" i="5"/>
  <c r="HB15" i="5"/>
  <c r="GL15" i="5"/>
  <c r="FV15" i="5"/>
  <c r="FF15" i="5"/>
  <c r="EP15" i="5"/>
  <c r="DZ15" i="5"/>
  <c r="DJ15" i="5"/>
  <c r="CT15" i="5"/>
  <c r="CD15" i="5"/>
  <c r="BN15" i="5"/>
  <c r="AX15" i="5"/>
  <c r="AH15" i="5"/>
  <c r="R15" i="5"/>
  <c r="B15" i="5"/>
  <c r="ALT14" i="5"/>
  <c r="ALD14" i="5"/>
  <c r="AKN14" i="5"/>
  <c r="AJX14" i="5"/>
  <c r="AJH14" i="5"/>
  <c r="AIR14" i="5"/>
  <c r="AIB14" i="5"/>
  <c r="AHL14" i="5"/>
  <c r="AGV14" i="5"/>
  <c r="AGF14" i="5"/>
  <c r="AFP14" i="5"/>
  <c r="AEZ14" i="5"/>
  <c r="AEJ14" i="5"/>
  <c r="ADT14" i="5"/>
  <c r="ADD14" i="5"/>
  <c r="ACN14" i="5"/>
  <c r="ABX14" i="5"/>
  <c r="ABH14" i="5"/>
  <c r="AAR14" i="5"/>
  <c r="AAB14" i="5"/>
  <c r="ZL14" i="5"/>
  <c r="YV14" i="5"/>
  <c r="YF14" i="5"/>
  <c r="XP14" i="5"/>
  <c r="WZ14" i="5"/>
  <c r="WJ14" i="5"/>
  <c r="VT14" i="5"/>
  <c r="VD14" i="5"/>
  <c r="UN14" i="5"/>
  <c r="TX14" i="5"/>
  <c r="TH14" i="5"/>
  <c r="SR14" i="5"/>
  <c r="SB14" i="5"/>
  <c r="RL14" i="5"/>
  <c r="QV14" i="5"/>
  <c r="QF14" i="5"/>
  <c r="PP14" i="5"/>
  <c r="OZ14" i="5"/>
  <c r="OJ14" i="5"/>
  <c r="NT14" i="5"/>
  <c r="ND14" i="5"/>
  <c r="MN14" i="5"/>
  <c r="LX14" i="5"/>
  <c r="LH14" i="5"/>
  <c r="KR14" i="5"/>
  <c r="KB14" i="5"/>
  <c r="JL14" i="5"/>
  <c r="IV14" i="5"/>
  <c r="IF14" i="5"/>
  <c r="HP14" i="5"/>
  <c r="GZ14" i="5"/>
  <c r="GJ14" i="5"/>
  <c r="FT14" i="5"/>
  <c r="FD14" i="5"/>
  <c r="EN14" i="5"/>
  <c r="DX14" i="5"/>
  <c r="DH14" i="5"/>
  <c r="CR14" i="5"/>
  <c r="CB14" i="5"/>
  <c r="BL14" i="5"/>
  <c r="AV14" i="5"/>
  <c r="AF14" i="5"/>
  <c r="P14" i="5"/>
  <c r="AMH13" i="5"/>
  <c r="ALR13" i="5"/>
  <c r="ALB13" i="5"/>
  <c r="AKL13" i="5"/>
  <c r="AJV13" i="5"/>
  <c r="AJF13" i="5"/>
  <c r="AIP13" i="5"/>
  <c r="AHZ13" i="5"/>
  <c r="AHJ13" i="5"/>
  <c r="AGT13" i="5"/>
  <c r="AGD13" i="5"/>
  <c r="AFN13" i="5"/>
  <c r="AEX13" i="5"/>
  <c r="AEH13" i="5"/>
  <c r="ADR13" i="5"/>
  <c r="ADB13" i="5"/>
  <c r="ACL13" i="5"/>
  <c r="ABV13" i="5"/>
  <c r="ABF13" i="5"/>
  <c r="AAP13" i="5"/>
  <c r="BR17" i="5"/>
  <c r="AGV16" i="5"/>
  <c r="ADR16" i="5"/>
  <c r="ABV16" i="5"/>
  <c r="AAB16" i="5"/>
  <c r="YJ16" i="5"/>
  <c r="WX16" i="5"/>
  <c r="VD16" i="5"/>
  <c r="TV16" i="5"/>
  <c r="SF16" i="5"/>
  <c r="QX16" i="5"/>
  <c r="PR16" i="5"/>
  <c r="OL16" i="5"/>
  <c r="NF16" i="5"/>
  <c r="LZ16" i="5"/>
  <c r="KT16" i="5"/>
  <c r="JO16" i="5"/>
  <c r="IK16" i="5"/>
  <c r="HN16" i="5"/>
  <c r="GJ16" i="5"/>
  <c r="FF16" i="5"/>
  <c r="EB16" i="5"/>
  <c r="CY16" i="5"/>
  <c r="CA16" i="5"/>
  <c r="AW16" i="5"/>
  <c r="V16" i="5"/>
  <c r="A16" i="5"/>
  <c r="ALK15" i="5"/>
  <c r="AKQ15" i="5"/>
  <c r="AJW15" i="5"/>
  <c r="AIY15" i="5"/>
  <c r="AIE15" i="5"/>
  <c r="AHK15" i="5"/>
  <c r="AGR15" i="5"/>
  <c r="AFV15" i="5"/>
  <c r="AFC15" i="5"/>
  <c r="AEJ15" i="5"/>
  <c r="ADQ15" i="5"/>
  <c r="ACU15" i="5"/>
  <c r="ACB15" i="5"/>
  <c r="ABI15" i="5"/>
  <c r="AAS15" i="5"/>
  <c r="AAC15" i="5"/>
  <c r="ZM15" i="5"/>
  <c r="YW15" i="5"/>
  <c r="YG15" i="5"/>
  <c r="XQ15" i="5"/>
  <c r="XA15" i="5"/>
  <c r="WK15" i="5"/>
  <c r="VU15" i="5"/>
  <c r="VE15" i="5"/>
  <c r="UO15" i="5"/>
  <c r="TY15" i="5"/>
  <c r="TI15" i="5"/>
  <c r="SS15" i="5"/>
  <c r="SC15" i="5"/>
  <c r="RM15" i="5"/>
  <c r="QW15" i="5"/>
  <c r="QG15" i="5"/>
  <c r="PQ15" i="5"/>
  <c r="PA15" i="5"/>
  <c r="OK15" i="5"/>
  <c r="NU15" i="5"/>
  <c r="NE15" i="5"/>
  <c r="MO15" i="5"/>
  <c r="LY15" i="5"/>
  <c r="LI15" i="5"/>
  <c r="KS15" i="5"/>
  <c r="KC15" i="5"/>
  <c r="JM15" i="5"/>
  <c r="IW15" i="5"/>
  <c r="IG15" i="5"/>
  <c r="HQ15" i="5"/>
  <c r="HA15" i="5"/>
  <c r="GK15" i="5"/>
  <c r="FU15" i="5"/>
  <c r="FE15" i="5"/>
  <c r="EO15" i="5"/>
  <c r="DY15" i="5"/>
  <c r="DI15" i="5"/>
  <c r="CS15" i="5"/>
  <c r="CC15" i="5"/>
  <c r="BM15" i="5"/>
  <c r="AW15" i="5"/>
  <c r="AG15" i="5"/>
  <c r="Q15" i="5"/>
  <c r="A15" i="5"/>
  <c r="ALS14" i="5"/>
  <c r="ALC14" i="5"/>
  <c r="AKM14" i="5"/>
  <c r="AJW14" i="5"/>
  <c r="AJG14" i="5"/>
  <c r="AIQ14" i="5"/>
  <c r="AIA14" i="5"/>
  <c r="AHK14" i="5"/>
  <c r="AGU14" i="5"/>
  <c r="AGE14" i="5"/>
  <c r="AFO14" i="5"/>
  <c r="AEY14" i="5"/>
  <c r="AEI14" i="5"/>
  <c r="ADS14" i="5"/>
  <c r="ADC14" i="5"/>
  <c r="ACM14" i="5"/>
  <c r="ABW14" i="5"/>
  <c r="ABG14" i="5"/>
  <c r="AAQ14" i="5"/>
  <c r="AAA14" i="5"/>
  <c r="ZK14" i="5"/>
  <c r="YU14" i="5"/>
  <c r="YE14" i="5"/>
  <c r="XO14" i="5"/>
  <c r="WY14" i="5"/>
  <c r="WI14" i="5"/>
  <c r="VS14" i="5"/>
  <c r="VC14" i="5"/>
  <c r="UM14" i="5"/>
  <c r="TW14" i="5"/>
  <c r="TG14" i="5"/>
  <c r="SQ14" i="5"/>
  <c r="SA14" i="5"/>
  <c r="RK14" i="5"/>
  <c r="QU14" i="5"/>
  <c r="QE14" i="5"/>
  <c r="PO14" i="5"/>
  <c r="OY14" i="5"/>
  <c r="OI14" i="5"/>
  <c r="NS14" i="5"/>
  <c r="NC14" i="5"/>
  <c r="MM14" i="5"/>
  <c r="LW14" i="5"/>
  <c r="LG14" i="5"/>
  <c r="KQ14" i="5"/>
  <c r="KA14" i="5"/>
  <c r="JK14" i="5"/>
  <c r="IU14" i="5"/>
  <c r="IE14" i="5"/>
  <c r="HO14" i="5"/>
  <c r="GY14" i="5"/>
  <c r="GI14" i="5"/>
  <c r="FS14" i="5"/>
  <c r="FC14" i="5"/>
  <c r="EM14" i="5"/>
  <c r="DW14" i="5"/>
  <c r="DG14" i="5"/>
  <c r="CQ14" i="5"/>
  <c r="CA14" i="5"/>
  <c r="BK14" i="5"/>
  <c r="AU14" i="5"/>
  <c r="AE14" i="5"/>
  <c r="O14" i="5"/>
  <c r="AMG13" i="5"/>
  <c r="ALQ13" i="5"/>
  <c r="ALA13" i="5"/>
  <c r="AKK13" i="5"/>
  <c r="AJU13" i="5"/>
  <c r="AJE13" i="5"/>
  <c r="AIO13" i="5"/>
  <c r="AHY13" i="5"/>
  <c r="AHI13" i="5"/>
  <c r="AGS13" i="5"/>
  <c r="AGC13" i="5"/>
  <c r="AFM13" i="5"/>
  <c r="AEW13" i="5"/>
  <c r="AEG13" i="5"/>
  <c r="ADQ13" i="5"/>
  <c r="ADA13" i="5"/>
  <c r="ACK13" i="5"/>
  <c r="ABU13" i="5"/>
  <c r="ABE13" i="5"/>
  <c r="AAO13" i="5"/>
  <c r="ZY13" i="5"/>
  <c r="ZI13" i="5"/>
  <c r="YS13" i="5"/>
  <c r="YC13" i="5"/>
  <c r="XM13" i="5"/>
  <c r="WW13" i="5"/>
  <c r="WG13" i="5"/>
  <c r="VQ13" i="5"/>
  <c r="VA13" i="5"/>
  <c r="UK13" i="5"/>
  <c r="TU13" i="5"/>
  <c r="TE13" i="5"/>
  <c r="SO13" i="5"/>
  <c r="RY13" i="5"/>
  <c r="RI13" i="5"/>
  <c r="QS13" i="5"/>
  <c r="QC13" i="5"/>
  <c r="PM13" i="5"/>
  <c r="OW13" i="5"/>
  <c r="OG13" i="5"/>
  <c r="NQ13" i="5"/>
  <c r="NA13" i="5"/>
  <c r="MK13" i="5"/>
  <c r="BB17" i="5"/>
  <c r="AGT16" i="5"/>
  <c r="ADI16" i="5"/>
  <c r="ABM16" i="5"/>
  <c r="AAA16" i="5"/>
  <c r="YH16" i="5"/>
  <c r="WO16" i="5"/>
  <c r="VC16" i="5"/>
  <c r="TM16" i="5"/>
  <c r="SE16" i="5"/>
  <c r="QW16" i="5"/>
  <c r="PQ16" i="5"/>
  <c r="OK16" i="5"/>
  <c r="NE16" i="5"/>
  <c r="LY16" i="5"/>
  <c r="KS16" i="5"/>
  <c r="JN16" i="5"/>
  <c r="IJ16" i="5"/>
  <c r="HG16" i="5"/>
  <c r="GI16" i="5"/>
  <c r="FE16" i="5"/>
  <c r="EA16" i="5"/>
  <c r="CW16" i="5"/>
  <c r="BZ16" i="5"/>
  <c r="AV16" i="5"/>
  <c r="U16" i="5"/>
  <c r="AMH15" i="5"/>
  <c r="ALJ15" i="5"/>
  <c r="AKP15" i="5"/>
  <c r="AJV15" i="5"/>
  <c r="AIX15" i="5"/>
  <c r="AID15" i="5"/>
  <c r="AHJ15" i="5"/>
  <c r="AGN15" i="5"/>
  <c r="AFU15" i="5"/>
  <c r="AFB15" i="5"/>
  <c r="AEI15" i="5"/>
  <c r="ADP15" i="5"/>
  <c r="ACT15" i="5"/>
  <c r="ACA15" i="5"/>
  <c r="ABH15" i="5"/>
  <c r="AAR15" i="5"/>
  <c r="AAB15" i="5"/>
  <c r="ZL15" i="5"/>
  <c r="YV15" i="5"/>
  <c r="YF15" i="5"/>
  <c r="XP15" i="5"/>
  <c r="WZ15" i="5"/>
  <c r="WJ15" i="5"/>
  <c r="VT15" i="5"/>
  <c r="VD15" i="5"/>
  <c r="UN15" i="5"/>
  <c r="TX15" i="5"/>
  <c r="TH15" i="5"/>
  <c r="SR15" i="5"/>
  <c r="SB15" i="5"/>
  <c r="RL15" i="5"/>
  <c r="QV15" i="5"/>
  <c r="QF15" i="5"/>
  <c r="PP15" i="5"/>
  <c r="OZ15" i="5"/>
  <c r="OJ15" i="5"/>
  <c r="NT15" i="5"/>
  <c r="ND15" i="5"/>
  <c r="MN15" i="5"/>
  <c r="LX15" i="5"/>
  <c r="LH15" i="5"/>
  <c r="KR15" i="5"/>
  <c r="KB15" i="5"/>
  <c r="JL15" i="5"/>
  <c r="IV15" i="5"/>
  <c r="IF15" i="5"/>
  <c r="HP15" i="5"/>
  <c r="GZ15" i="5"/>
  <c r="GJ15" i="5"/>
  <c r="FT15" i="5"/>
  <c r="FD15" i="5"/>
  <c r="EN15" i="5"/>
  <c r="DX15" i="5"/>
  <c r="DH15" i="5"/>
  <c r="CR15" i="5"/>
  <c r="CB15" i="5"/>
  <c r="BL15" i="5"/>
  <c r="AV15" i="5"/>
  <c r="AF15" i="5"/>
  <c r="P15" i="5"/>
  <c r="AMH14" i="5"/>
  <c r="ALR14" i="5"/>
  <c r="ALB14" i="5"/>
  <c r="AKL14" i="5"/>
  <c r="AJV14" i="5"/>
  <c r="AJF14" i="5"/>
  <c r="AIP14" i="5"/>
  <c r="AHZ14" i="5"/>
  <c r="AHJ14" i="5"/>
  <c r="AGT14" i="5"/>
  <c r="AGD14" i="5"/>
  <c r="AFN14" i="5"/>
  <c r="AEX14" i="5"/>
  <c r="AEH14" i="5"/>
  <c r="ADR14" i="5"/>
  <c r="ADB14" i="5"/>
  <c r="ACL14" i="5"/>
  <c r="ABV14" i="5"/>
  <c r="ABF14" i="5"/>
  <c r="AAP14" i="5"/>
  <c r="ZZ14" i="5"/>
  <c r="ZJ14" i="5"/>
  <c r="YT14" i="5"/>
  <c r="YD14" i="5"/>
  <c r="XN14" i="5"/>
  <c r="WX14" i="5"/>
  <c r="WH14" i="5"/>
  <c r="VR14" i="5"/>
  <c r="VB14" i="5"/>
  <c r="UL14" i="5"/>
  <c r="TV14" i="5"/>
  <c r="TF14" i="5"/>
  <c r="SP14" i="5"/>
  <c r="RZ14" i="5"/>
  <c r="RJ14" i="5"/>
  <c r="QT14" i="5"/>
  <c r="QD14" i="5"/>
  <c r="PN14" i="5"/>
  <c r="OX14" i="5"/>
  <c r="OH14" i="5"/>
  <c r="NR14" i="5"/>
  <c r="NB14" i="5"/>
  <c r="ML14" i="5"/>
  <c r="LV14" i="5"/>
  <c r="LF14" i="5"/>
  <c r="KP14" i="5"/>
  <c r="JZ14" i="5"/>
  <c r="JJ14" i="5"/>
  <c r="IT14" i="5"/>
  <c r="ID14" i="5"/>
  <c r="HN14" i="5"/>
  <c r="GX14" i="5"/>
  <c r="GH14" i="5"/>
  <c r="FR14" i="5"/>
  <c r="FB14" i="5"/>
  <c r="EL14" i="5"/>
  <c r="DV14" i="5"/>
  <c r="DF14" i="5"/>
  <c r="CP14" i="5"/>
  <c r="BZ14" i="5"/>
  <c r="BJ14" i="5"/>
  <c r="AT14" i="5"/>
  <c r="AD14" i="5"/>
  <c r="N14" i="5"/>
  <c r="AMF13" i="5"/>
  <c r="ALP13" i="5"/>
  <c r="AKZ13" i="5"/>
  <c r="AKJ13" i="5"/>
  <c r="AJT13" i="5"/>
  <c r="AJD13" i="5"/>
  <c r="AIN13" i="5"/>
  <c r="AHX13" i="5"/>
  <c r="AHH13" i="5"/>
  <c r="AGR13" i="5"/>
  <c r="AGB13" i="5"/>
  <c r="AFL13" i="5"/>
  <c r="AEV13" i="5"/>
  <c r="AEF13" i="5"/>
  <c r="ADP13" i="5"/>
  <c r="ACZ13" i="5"/>
  <c r="ACJ13" i="5"/>
  <c r="ABT13" i="5"/>
  <c r="ABD13" i="5"/>
  <c r="AAN13" i="5"/>
  <c r="ZX13" i="5"/>
  <c r="AL17" i="5"/>
  <c r="AGJ16" i="5"/>
  <c r="ADH16" i="5"/>
  <c r="ABL16" i="5"/>
  <c r="ZZ16" i="5"/>
  <c r="YF16" i="5"/>
  <c r="WN16" i="5"/>
  <c r="VB16" i="5"/>
  <c r="TL16" i="5"/>
  <c r="SD16" i="5"/>
  <c r="QV16" i="5"/>
  <c r="PP16" i="5"/>
  <c r="OJ16" i="5"/>
  <c r="ND16" i="5"/>
  <c r="LX16" i="5"/>
  <c r="KR16" i="5"/>
  <c r="JM16" i="5"/>
  <c r="II16" i="5"/>
  <c r="HE16" i="5"/>
  <c r="GH16" i="5"/>
  <c r="FD16" i="5"/>
  <c r="DZ16" i="5"/>
  <c r="CV16" i="5"/>
  <c r="BS16" i="5"/>
  <c r="AU16" i="5"/>
  <c r="T16" i="5"/>
  <c r="AMG15" i="5"/>
  <c r="ALI15" i="5"/>
  <c r="AKO15" i="5"/>
  <c r="AJU15" i="5"/>
  <c r="AIW15" i="5"/>
  <c r="AIC15" i="5"/>
  <c r="AHI15" i="5"/>
  <c r="AGM15" i="5"/>
  <c r="AFT15" i="5"/>
  <c r="AFA15" i="5"/>
  <c r="AEH15" i="5"/>
  <c r="ADL15" i="5"/>
  <c r="ACS15" i="5"/>
  <c r="ABZ15" i="5"/>
  <c r="ABG15" i="5"/>
  <c r="AAQ15" i="5"/>
  <c r="AAA15" i="5"/>
  <c r="ZK15" i="5"/>
  <c r="YU15" i="5"/>
  <c r="YE15" i="5"/>
  <c r="XO15" i="5"/>
  <c r="WY15" i="5"/>
  <c r="WI15" i="5"/>
  <c r="VS15" i="5"/>
  <c r="VC15" i="5"/>
  <c r="UM15" i="5"/>
  <c r="TW15" i="5"/>
  <c r="TG15" i="5"/>
  <c r="SQ15" i="5"/>
  <c r="SA15" i="5"/>
  <c r="RK15" i="5"/>
  <c r="QU15" i="5"/>
  <c r="QE15" i="5"/>
  <c r="PO15" i="5"/>
  <c r="OY15" i="5"/>
  <c r="OI15" i="5"/>
  <c r="NS15" i="5"/>
  <c r="NC15" i="5"/>
  <c r="MM15" i="5"/>
  <c r="LW15" i="5"/>
  <c r="LG15" i="5"/>
  <c r="KQ15" i="5"/>
  <c r="KA15" i="5"/>
  <c r="JK15" i="5"/>
  <c r="IU15" i="5"/>
  <c r="IE15" i="5"/>
  <c r="HO15" i="5"/>
  <c r="GY15" i="5"/>
  <c r="GI15" i="5"/>
  <c r="FS15" i="5"/>
  <c r="FC15" i="5"/>
  <c r="EM15" i="5"/>
  <c r="DW15" i="5"/>
  <c r="DG15" i="5"/>
  <c r="CQ15" i="5"/>
  <c r="CA15" i="5"/>
  <c r="BK15" i="5"/>
  <c r="AU15" i="5"/>
  <c r="AE15" i="5"/>
  <c r="O15" i="5"/>
  <c r="AMG14" i="5"/>
  <c r="ALQ14" i="5"/>
  <c r="ALA14" i="5"/>
  <c r="AKK14" i="5"/>
  <c r="AJU14" i="5"/>
  <c r="AJE14" i="5"/>
  <c r="AIO14" i="5"/>
  <c r="AHY14" i="5"/>
  <c r="AHI14" i="5"/>
  <c r="AGS14" i="5"/>
  <c r="AGC14" i="5"/>
  <c r="AFM14" i="5"/>
  <c r="AEW14" i="5"/>
  <c r="AEG14" i="5"/>
  <c r="ADQ14" i="5"/>
  <c r="ADA14" i="5"/>
  <c r="ACK14" i="5"/>
  <c r="ABU14" i="5"/>
  <c r="ABE14" i="5"/>
  <c r="AAO14" i="5"/>
  <c r="ZY14" i="5"/>
  <c r="ZI14" i="5"/>
  <c r="YS14" i="5"/>
  <c r="YC14" i="5"/>
  <c r="XM14" i="5"/>
  <c r="WW14" i="5"/>
  <c r="WG14" i="5"/>
  <c r="VQ14" i="5"/>
  <c r="VA14" i="5"/>
  <c r="UK14" i="5"/>
  <c r="TU14" i="5"/>
  <c r="TE14" i="5"/>
  <c r="SO14" i="5"/>
  <c r="RY14" i="5"/>
  <c r="RI14" i="5"/>
  <c r="QS14" i="5"/>
  <c r="QC14" i="5"/>
  <c r="PM14" i="5"/>
  <c r="OW14" i="5"/>
  <c r="OG14" i="5"/>
  <c r="NQ14" i="5"/>
  <c r="NA14" i="5"/>
  <c r="MK14" i="5"/>
  <c r="LU14" i="5"/>
  <c r="LE14" i="5"/>
  <c r="KO14" i="5"/>
  <c r="JY14" i="5"/>
  <c r="JI14" i="5"/>
  <c r="IS14" i="5"/>
  <c r="IC14" i="5"/>
  <c r="HM14" i="5"/>
  <c r="GW14" i="5"/>
  <c r="GG14" i="5"/>
  <c r="FQ14" i="5"/>
  <c r="FA14" i="5"/>
  <c r="EK14" i="5"/>
  <c r="DU14" i="5"/>
  <c r="DE14" i="5"/>
  <c r="CO14" i="5"/>
  <c r="BY14" i="5"/>
  <c r="BI14" i="5"/>
  <c r="AS14" i="5"/>
  <c r="AC14" i="5"/>
  <c r="M14" i="5"/>
  <c r="AME13" i="5"/>
  <c r="ALO13" i="5"/>
  <c r="AKY13" i="5"/>
  <c r="AKI13" i="5"/>
  <c r="AJS13" i="5"/>
  <c r="AJC13" i="5"/>
  <c r="AIM13" i="5"/>
  <c r="AHW13" i="5"/>
  <c r="AHG13" i="5"/>
  <c r="AGQ13" i="5"/>
  <c r="AGA13" i="5"/>
  <c r="AFK13" i="5"/>
  <c r="AEU13" i="5"/>
  <c r="AEE13" i="5"/>
  <c r="ADO13" i="5"/>
  <c r="ACY13" i="5"/>
  <c r="ACI13" i="5"/>
  <c r="ABS13" i="5"/>
  <c r="ABC13" i="5"/>
  <c r="AAM13" i="5"/>
  <c r="ZW13" i="5"/>
  <c r="ZG13" i="5"/>
  <c r="YQ13" i="5"/>
  <c r="YA13" i="5"/>
  <c r="XK13" i="5"/>
  <c r="WU13" i="5"/>
  <c r="WE13" i="5"/>
  <c r="VO13" i="5"/>
  <c r="UY13" i="5"/>
  <c r="UI13" i="5"/>
  <c r="V17" i="5"/>
  <c r="AGF16" i="5"/>
  <c r="ADD16" i="5"/>
  <c r="ABJ16" i="5"/>
  <c r="ZQ16" i="5"/>
  <c r="YE16" i="5"/>
  <c r="WL16" i="5"/>
  <c r="US16" i="5"/>
  <c r="TK16" i="5"/>
  <c r="SB16" i="5"/>
  <c r="QU16" i="5"/>
  <c r="PO16" i="5"/>
  <c r="OI16" i="5"/>
  <c r="NC16" i="5"/>
  <c r="LW16" i="5"/>
  <c r="KQ16" i="5"/>
  <c r="JL16" i="5"/>
  <c r="IH16" i="5"/>
  <c r="HD16" i="5"/>
  <c r="GA16" i="5"/>
  <c r="FC16" i="5"/>
  <c r="DY16" i="5"/>
  <c r="CU16" i="5"/>
  <c r="BQ16" i="5"/>
  <c r="AT16" i="5"/>
  <c r="S16" i="5"/>
  <c r="AMF15" i="5"/>
  <c r="ALH15" i="5"/>
  <c r="AKN15" i="5"/>
  <c r="AJT15" i="5"/>
  <c r="AIV15" i="5"/>
  <c r="AIB15" i="5"/>
  <c r="AHH15" i="5"/>
  <c r="AGL15" i="5"/>
  <c r="AFS15" i="5"/>
  <c r="AEZ15" i="5"/>
  <c r="AEG15" i="5"/>
  <c r="ADK15" i="5"/>
  <c r="ACR15" i="5"/>
  <c r="ABY15" i="5"/>
  <c r="ABF15" i="5"/>
  <c r="AAP15" i="5"/>
  <c r="ZZ15" i="5"/>
  <c r="ZJ15" i="5"/>
  <c r="YT15" i="5"/>
  <c r="YD15" i="5"/>
  <c r="XN15" i="5"/>
  <c r="WX15" i="5"/>
  <c r="WH15" i="5"/>
  <c r="VR15" i="5"/>
  <c r="VB15" i="5"/>
  <c r="UL15" i="5"/>
  <c r="TV15" i="5"/>
  <c r="TF15" i="5"/>
  <c r="SP15" i="5"/>
  <c r="RZ15" i="5"/>
  <c r="RJ15" i="5"/>
  <c r="QT15" i="5"/>
  <c r="QD15" i="5"/>
  <c r="PN15" i="5"/>
  <c r="OX15" i="5"/>
  <c r="OH15" i="5"/>
  <c r="NR15" i="5"/>
  <c r="NB15" i="5"/>
  <c r="ML15" i="5"/>
  <c r="LV15" i="5"/>
  <c r="LF15" i="5"/>
  <c r="KP15" i="5"/>
  <c r="JZ15" i="5"/>
  <c r="JJ15" i="5"/>
  <c r="IT15" i="5"/>
  <c r="ID15" i="5"/>
  <c r="HN15" i="5"/>
  <c r="GX15" i="5"/>
  <c r="GH15" i="5"/>
  <c r="FR15" i="5"/>
  <c r="FB15" i="5"/>
  <c r="EL15" i="5"/>
  <c r="DV15" i="5"/>
  <c r="DF15" i="5"/>
  <c r="CP15" i="5"/>
  <c r="BZ15" i="5"/>
  <c r="BJ15" i="5"/>
  <c r="AT15" i="5"/>
  <c r="AD15" i="5"/>
  <c r="N15" i="5"/>
  <c r="AMF14" i="5"/>
  <c r="ALP14" i="5"/>
  <c r="AKZ14" i="5"/>
  <c r="AKJ14" i="5"/>
  <c r="AJT14" i="5"/>
  <c r="AJD14" i="5"/>
  <c r="AIN14" i="5"/>
  <c r="AHX14" i="5"/>
  <c r="AHH14" i="5"/>
  <c r="AGR14" i="5"/>
  <c r="AGB14" i="5"/>
  <c r="AFL14" i="5"/>
  <c r="AEV14" i="5"/>
  <c r="AEF14" i="5"/>
  <c r="ADP14" i="5"/>
  <c r="ACZ14" i="5"/>
  <c r="ACJ14" i="5"/>
  <c r="ABT14" i="5"/>
  <c r="ABD14" i="5"/>
  <c r="AAN14" i="5"/>
  <c r="ZX14" i="5"/>
  <c r="ZH14" i="5"/>
  <c r="YR14" i="5"/>
  <c r="YB14" i="5"/>
  <c r="XL14" i="5"/>
  <c r="WV14" i="5"/>
  <c r="WF14" i="5"/>
  <c r="VP14" i="5"/>
  <c r="UZ14" i="5"/>
  <c r="UJ14" i="5"/>
  <c r="TT14" i="5"/>
  <c r="TD14" i="5"/>
  <c r="SN14" i="5"/>
  <c r="RX14" i="5"/>
  <c r="RH14" i="5"/>
  <c r="QR14" i="5"/>
  <c r="QB14" i="5"/>
  <c r="PL14" i="5"/>
  <c r="OV14" i="5"/>
  <c r="OF14" i="5"/>
  <c r="NP14" i="5"/>
  <c r="MZ14" i="5"/>
  <c r="MJ14" i="5"/>
  <c r="LT14" i="5"/>
  <c r="LD14" i="5"/>
  <c r="KN14" i="5"/>
  <c r="JX14" i="5"/>
  <c r="JH14" i="5"/>
  <c r="IR14" i="5"/>
  <c r="IB14" i="5"/>
  <c r="HL14" i="5"/>
  <c r="GV14" i="5"/>
  <c r="GF14" i="5"/>
  <c r="FP14" i="5"/>
  <c r="EZ14" i="5"/>
  <c r="EJ14" i="5"/>
  <c r="DT14" i="5"/>
  <c r="DD14" i="5"/>
  <c r="CN14" i="5"/>
  <c r="BX14" i="5"/>
  <c r="BH14" i="5"/>
  <c r="AR14" i="5"/>
  <c r="AB14" i="5"/>
  <c r="L14" i="5"/>
  <c r="AMD13" i="5"/>
  <c r="ALN13" i="5"/>
  <c r="AKX13" i="5"/>
  <c r="AKH13" i="5"/>
  <c r="AJR13" i="5"/>
  <c r="AJB13" i="5"/>
  <c r="AIL13" i="5"/>
  <c r="AHV13" i="5"/>
  <c r="AHF13" i="5"/>
  <c r="AGP13" i="5"/>
  <c r="AFZ13" i="5"/>
  <c r="AFJ13" i="5"/>
  <c r="AET13" i="5"/>
  <c r="AED13" i="5"/>
  <c r="ADN13" i="5"/>
  <c r="F17" i="5"/>
  <c r="AGD16" i="5"/>
  <c r="ADC16" i="5"/>
  <c r="ABH16" i="5"/>
  <c r="ZP16" i="5"/>
  <c r="YD16" i="5"/>
  <c r="WJ16" i="5"/>
  <c r="UR16" i="5"/>
  <c r="TJ16" i="5"/>
  <c r="SA16" i="5"/>
  <c r="QT16" i="5"/>
  <c r="PN16" i="5"/>
  <c r="OH16" i="5"/>
  <c r="NB16" i="5"/>
  <c r="LV16" i="5"/>
  <c r="KP16" i="5"/>
  <c r="JK16" i="5"/>
  <c r="IG16" i="5"/>
  <c r="HC16" i="5"/>
  <c r="FY16" i="5"/>
  <c r="FB16" i="5"/>
  <c r="DX16" i="5"/>
  <c r="CT16" i="5"/>
  <c r="BP16" i="5"/>
  <c r="AM16" i="5"/>
  <c r="R16" i="5"/>
  <c r="AMA15" i="5"/>
  <c r="ALG15" i="5"/>
  <c r="AKM15" i="5"/>
  <c r="AJO15" i="5"/>
  <c r="AIU15" i="5"/>
  <c r="AIA15" i="5"/>
  <c r="AHD15" i="5"/>
  <c r="AGK15" i="5"/>
  <c r="AFR15" i="5"/>
  <c r="AEY15" i="5"/>
  <c r="AEF15" i="5"/>
  <c r="ADJ15" i="5"/>
  <c r="ACQ15" i="5"/>
  <c r="ABX15" i="5"/>
  <c r="ABE15" i="5"/>
  <c r="AAO15" i="5"/>
  <c r="ZY15" i="5"/>
  <c r="ZI15" i="5"/>
  <c r="YS15" i="5"/>
  <c r="YC15" i="5"/>
  <c r="XM15" i="5"/>
  <c r="WW15" i="5"/>
  <c r="WG15" i="5"/>
  <c r="VQ15" i="5"/>
  <c r="VA15" i="5"/>
  <c r="UK15" i="5"/>
  <c r="TU15" i="5"/>
  <c r="TE15" i="5"/>
  <c r="SO15" i="5"/>
  <c r="RY15" i="5"/>
  <c r="RI15" i="5"/>
  <c r="QS15" i="5"/>
  <c r="QC15" i="5"/>
  <c r="PM15" i="5"/>
  <c r="OW15" i="5"/>
  <c r="OG15" i="5"/>
  <c r="NQ15" i="5"/>
  <c r="NA15" i="5"/>
  <c r="MK15" i="5"/>
  <c r="LU15" i="5"/>
  <c r="LE15" i="5"/>
  <c r="KO15" i="5"/>
  <c r="JY15" i="5"/>
  <c r="JI15" i="5"/>
  <c r="IS15" i="5"/>
  <c r="IC15" i="5"/>
  <c r="HM15" i="5"/>
  <c r="GW15" i="5"/>
  <c r="GG15" i="5"/>
  <c r="FQ15" i="5"/>
  <c r="FA15" i="5"/>
  <c r="EK15" i="5"/>
  <c r="DU15" i="5"/>
  <c r="DE15" i="5"/>
  <c r="CO15" i="5"/>
  <c r="BY15" i="5"/>
  <c r="BI15" i="5"/>
  <c r="AS15" i="5"/>
  <c r="AC15" i="5"/>
  <c r="M15" i="5"/>
  <c r="AME14" i="5"/>
  <c r="ALO14" i="5"/>
  <c r="AKY14" i="5"/>
  <c r="AKI14" i="5"/>
  <c r="AJS14" i="5"/>
  <c r="AJC14" i="5"/>
  <c r="AIM14" i="5"/>
  <c r="AHW14" i="5"/>
  <c r="AHG14" i="5"/>
  <c r="AGQ14" i="5"/>
  <c r="AGA14" i="5"/>
  <c r="AFK14" i="5"/>
  <c r="AEU14" i="5"/>
  <c r="AEE14" i="5"/>
  <c r="ADO14" i="5"/>
  <c r="ACY14" i="5"/>
  <c r="ACI14" i="5"/>
  <c r="ABS14" i="5"/>
  <c r="ABC14" i="5"/>
  <c r="AAM14" i="5"/>
  <c r="ZW14" i="5"/>
  <c r="ZG14" i="5"/>
  <c r="YQ14" i="5"/>
  <c r="YA14" i="5"/>
  <c r="XK14" i="5"/>
  <c r="WU14" i="5"/>
  <c r="WE14" i="5"/>
  <c r="VO14" i="5"/>
  <c r="UY14" i="5"/>
  <c r="UI14" i="5"/>
  <c r="TS14" i="5"/>
  <c r="TC14" i="5"/>
  <c r="SM14" i="5"/>
  <c r="RW14" i="5"/>
  <c r="RG14" i="5"/>
  <c r="QQ14" i="5"/>
  <c r="QA14" i="5"/>
  <c r="PK14" i="5"/>
  <c r="OU14" i="5"/>
  <c r="OE14" i="5"/>
  <c r="NO14" i="5"/>
  <c r="MY14" i="5"/>
  <c r="MI14" i="5"/>
  <c r="LS14" i="5"/>
  <c r="LC14" i="5"/>
  <c r="KM14" i="5"/>
  <c r="JW14" i="5"/>
  <c r="JG14" i="5"/>
  <c r="IQ14" i="5"/>
  <c r="IA14" i="5"/>
  <c r="HK14" i="5"/>
  <c r="GU14" i="5"/>
  <c r="GE14" i="5"/>
  <c r="FO14" i="5"/>
  <c r="EY14" i="5"/>
  <c r="EI14" i="5"/>
  <c r="DS14" i="5"/>
  <c r="DC14" i="5"/>
  <c r="CM14" i="5"/>
  <c r="BW14" i="5"/>
  <c r="BG14" i="5"/>
  <c r="AQ14" i="5"/>
  <c r="AA14" i="5"/>
  <c r="K14" i="5"/>
  <c r="AMC13" i="5"/>
  <c r="ALM13" i="5"/>
  <c r="AKW13" i="5"/>
  <c r="AKG13" i="5"/>
  <c r="AJQ13" i="5"/>
  <c r="AJA13" i="5"/>
  <c r="AIK13" i="5"/>
  <c r="AHU13" i="5"/>
  <c r="AHE13" i="5"/>
  <c r="AGO13" i="5"/>
  <c r="AFY13" i="5"/>
  <c r="AFI13" i="5"/>
  <c r="AES13" i="5"/>
  <c r="AEC13" i="5"/>
  <c r="ADM13" i="5"/>
  <c r="ACW13" i="5"/>
  <c r="ACG13" i="5"/>
  <c r="ABQ13" i="5"/>
  <c r="ABA13" i="5"/>
  <c r="AAK13" i="5"/>
  <c r="ZU13" i="5"/>
  <c r="ZE13" i="5"/>
  <c r="YO13" i="5"/>
  <c r="XY13" i="5"/>
  <c r="XI13" i="5"/>
  <c r="WS13" i="5"/>
  <c r="WC13" i="5"/>
  <c r="VM13" i="5"/>
  <c r="UW13" i="5"/>
  <c r="UG13" i="5"/>
  <c r="ALX16" i="5"/>
  <c r="AFT16" i="5"/>
  <c r="ADB16" i="5"/>
  <c r="ABG16" i="5"/>
  <c r="ZN16" i="5"/>
  <c r="XU16" i="5"/>
  <c r="WI16" i="5"/>
  <c r="UQ16" i="5"/>
  <c r="TH16" i="5"/>
  <c r="RZ16" i="5"/>
  <c r="QK16" i="5"/>
  <c r="PE16" i="5"/>
  <c r="NY16" i="5"/>
  <c r="MS16" i="5"/>
  <c r="LM16" i="5"/>
  <c r="KG16" i="5"/>
  <c r="JJ16" i="5"/>
  <c r="IF16" i="5"/>
  <c r="HB16" i="5"/>
  <c r="FX16" i="5"/>
  <c r="EU16" i="5"/>
  <c r="DW16" i="5"/>
  <c r="CS16" i="5"/>
  <c r="BO16" i="5"/>
  <c r="AL16" i="5"/>
  <c r="Q16" i="5"/>
  <c r="ALZ15" i="5"/>
  <c r="ALF15" i="5"/>
  <c r="AKL15" i="5"/>
  <c r="AJN15" i="5"/>
  <c r="AIT15" i="5"/>
  <c r="AHZ15" i="5"/>
  <c r="AHC15" i="5"/>
  <c r="AGJ15" i="5"/>
  <c r="AFQ15" i="5"/>
  <c r="AEX15" i="5"/>
  <c r="AEB15" i="5"/>
  <c r="ADI15" i="5"/>
  <c r="ACP15" i="5"/>
  <c r="ABW15" i="5"/>
  <c r="ABD15" i="5"/>
  <c r="AAN15" i="5"/>
  <c r="ZX15" i="5"/>
  <c r="ZH15" i="5"/>
  <c r="YR15" i="5"/>
  <c r="YB15" i="5"/>
  <c r="XL15" i="5"/>
  <c r="WV15" i="5"/>
  <c r="WF15" i="5"/>
  <c r="VP15" i="5"/>
  <c r="UZ15" i="5"/>
  <c r="UJ15" i="5"/>
  <c r="TT15" i="5"/>
  <c r="TD15" i="5"/>
  <c r="SN15" i="5"/>
  <c r="RX15" i="5"/>
  <c r="RH15" i="5"/>
  <c r="QR15" i="5"/>
  <c r="QB15" i="5"/>
  <c r="PL15" i="5"/>
  <c r="OV15" i="5"/>
  <c r="OF15" i="5"/>
  <c r="NP15" i="5"/>
  <c r="MZ15" i="5"/>
  <c r="MJ15" i="5"/>
  <c r="LT15" i="5"/>
  <c r="LD15" i="5"/>
  <c r="KN15" i="5"/>
  <c r="JX15" i="5"/>
  <c r="JH15" i="5"/>
  <c r="IR15" i="5"/>
  <c r="IB15" i="5"/>
  <c r="HL15" i="5"/>
  <c r="GV15" i="5"/>
  <c r="GF15" i="5"/>
  <c r="FP15" i="5"/>
  <c r="EZ15" i="5"/>
  <c r="EJ15" i="5"/>
  <c r="DT15" i="5"/>
  <c r="DD15" i="5"/>
  <c r="CN15" i="5"/>
  <c r="BX15" i="5"/>
  <c r="BH15" i="5"/>
  <c r="AR15" i="5"/>
  <c r="AB15" i="5"/>
  <c r="L15" i="5"/>
  <c r="AMD14" i="5"/>
  <c r="ALN14" i="5"/>
  <c r="AKX14" i="5"/>
  <c r="AKH14" i="5"/>
  <c r="AJR14" i="5"/>
  <c r="AJB14" i="5"/>
  <c r="AIL14" i="5"/>
  <c r="AHV14" i="5"/>
  <c r="AHF14" i="5"/>
  <c r="AGP14" i="5"/>
  <c r="AFZ14" i="5"/>
  <c r="AFJ14" i="5"/>
  <c r="AET14" i="5"/>
  <c r="AED14" i="5"/>
  <c r="ADN14" i="5"/>
  <c r="ACX14" i="5"/>
  <c r="ACH14" i="5"/>
  <c r="ABR14" i="5"/>
  <c r="ABB14" i="5"/>
  <c r="AAL14" i="5"/>
  <c r="ZV14" i="5"/>
  <c r="ZF14" i="5"/>
  <c r="YP14" i="5"/>
  <c r="XZ14" i="5"/>
  <c r="XJ14" i="5"/>
  <c r="WT14" i="5"/>
  <c r="WD14" i="5"/>
  <c r="VN14" i="5"/>
  <c r="UX14" i="5"/>
  <c r="UH14" i="5"/>
  <c r="TR14" i="5"/>
  <c r="TB14" i="5"/>
  <c r="SL14" i="5"/>
  <c r="RV14" i="5"/>
  <c r="RF14" i="5"/>
  <c r="QP14" i="5"/>
  <c r="PZ14" i="5"/>
  <c r="PJ14" i="5"/>
  <c r="OT14" i="5"/>
  <c r="OD14" i="5"/>
  <c r="NN14" i="5"/>
  <c r="MX14" i="5"/>
  <c r="MH14" i="5"/>
  <c r="LR14" i="5"/>
  <c r="LB14" i="5"/>
  <c r="KL14" i="5"/>
  <c r="JV14" i="5"/>
  <c r="JF14" i="5"/>
  <c r="IP14" i="5"/>
  <c r="HZ14" i="5"/>
  <c r="HJ14" i="5"/>
  <c r="GT14" i="5"/>
  <c r="GD14" i="5"/>
  <c r="FN14" i="5"/>
  <c r="EX14" i="5"/>
  <c r="EH14" i="5"/>
  <c r="DR14" i="5"/>
  <c r="DB14" i="5"/>
  <c r="CL14" i="5"/>
  <c r="BV14" i="5"/>
  <c r="BF14" i="5"/>
  <c r="AP14" i="5"/>
  <c r="Z14" i="5"/>
  <c r="J14" i="5"/>
  <c r="AMB13" i="5"/>
  <c r="ALL13" i="5"/>
  <c r="AKV13" i="5"/>
  <c r="AKF13" i="5"/>
  <c r="AJP13" i="5"/>
  <c r="AIZ13" i="5"/>
  <c r="ALH16" i="5"/>
  <c r="AFP16" i="5"/>
  <c r="ACS16" i="5"/>
  <c r="ABF16" i="5"/>
  <c r="ZL16" i="5"/>
  <c r="XT16" i="5"/>
  <c r="WH16" i="5"/>
  <c r="UP16" i="5"/>
  <c r="TG16" i="5"/>
  <c r="RQ16" i="5"/>
  <c r="QJ16" i="5"/>
  <c r="PD16" i="5"/>
  <c r="NX16" i="5"/>
  <c r="MR16" i="5"/>
  <c r="LL16" i="5"/>
  <c r="KF16" i="5"/>
  <c r="JC16" i="5"/>
  <c r="IE16" i="5"/>
  <c r="HA16" i="5"/>
  <c r="FW16" i="5"/>
  <c r="ES16" i="5"/>
  <c r="DV16" i="5"/>
  <c r="CR16" i="5"/>
  <c r="BN16" i="5"/>
  <c r="AK16" i="5"/>
  <c r="P16" i="5"/>
  <c r="ALY15" i="5"/>
  <c r="ALE15" i="5"/>
  <c r="AKK15" i="5"/>
  <c r="AJM15" i="5"/>
  <c r="AIS15" i="5"/>
  <c r="AHY15" i="5"/>
  <c r="AHB15" i="5"/>
  <c r="AGI15" i="5"/>
  <c r="AFP15" i="5"/>
  <c r="AEW15" i="5"/>
  <c r="AEA15" i="5"/>
  <c r="ADH15" i="5"/>
  <c r="ACO15" i="5"/>
  <c r="ABV15" i="5"/>
  <c r="ABC15" i="5"/>
  <c r="AAM15" i="5"/>
  <c r="ZW15" i="5"/>
  <c r="ZG15" i="5"/>
  <c r="YQ15" i="5"/>
  <c r="YA15" i="5"/>
  <c r="XK15" i="5"/>
  <c r="WU15" i="5"/>
  <c r="WE15" i="5"/>
  <c r="VO15" i="5"/>
  <c r="UY15" i="5"/>
  <c r="UI15" i="5"/>
  <c r="TS15" i="5"/>
  <c r="TC15" i="5"/>
  <c r="SM15" i="5"/>
  <c r="RW15" i="5"/>
  <c r="RG15" i="5"/>
  <c r="QQ15" i="5"/>
  <c r="QA15" i="5"/>
  <c r="PK15" i="5"/>
  <c r="OU15" i="5"/>
  <c r="OE15" i="5"/>
  <c r="NO15" i="5"/>
  <c r="MY15" i="5"/>
  <c r="MI15" i="5"/>
  <c r="LS15" i="5"/>
  <c r="LC15" i="5"/>
  <c r="KM15" i="5"/>
  <c r="JW15" i="5"/>
  <c r="JG15" i="5"/>
  <c r="IQ15" i="5"/>
  <c r="IA15" i="5"/>
  <c r="HK15" i="5"/>
  <c r="GU15" i="5"/>
  <c r="GE15" i="5"/>
  <c r="FO15" i="5"/>
  <c r="EY15" i="5"/>
  <c r="EI15" i="5"/>
  <c r="DS15" i="5"/>
  <c r="DC15" i="5"/>
  <c r="CM15" i="5"/>
  <c r="BW15" i="5"/>
  <c r="BG15" i="5"/>
  <c r="AQ15" i="5"/>
  <c r="AA15" i="5"/>
  <c r="K15" i="5"/>
  <c r="AMC14" i="5"/>
  <c r="ALM14" i="5"/>
  <c r="AKW14" i="5"/>
  <c r="AKG14" i="5"/>
  <c r="AJQ14" i="5"/>
  <c r="AJA14" i="5"/>
  <c r="AIK14" i="5"/>
  <c r="AHU14" i="5"/>
  <c r="AHE14" i="5"/>
  <c r="AGO14" i="5"/>
  <c r="AFY14" i="5"/>
  <c r="AFI14" i="5"/>
  <c r="AES14" i="5"/>
  <c r="AEC14" i="5"/>
  <c r="ADM14" i="5"/>
  <c r="ACW14" i="5"/>
  <c r="ACG14" i="5"/>
  <c r="ABQ14" i="5"/>
  <c r="ABA14" i="5"/>
  <c r="AAK14" i="5"/>
  <c r="ZU14" i="5"/>
  <c r="ZE14" i="5"/>
  <c r="YO14" i="5"/>
  <c r="XY14" i="5"/>
  <c r="XI14" i="5"/>
  <c r="WS14" i="5"/>
  <c r="WC14" i="5"/>
  <c r="VM14" i="5"/>
  <c r="UW14" i="5"/>
  <c r="UG14" i="5"/>
  <c r="TQ14" i="5"/>
  <c r="TA14" i="5"/>
  <c r="SK14" i="5"/>
  <c r="RU14" i="5"/>
  <c r="RE14" i="5"/>
  <c r="QO14" i="5"/>
  <c r="PY14" i="5"/>
  <c r="PI14" i="5"/>
  <c r="OS14" i="5"/>
  <c r="OC14" i="5"/>
  <c r="NM14" i="5"/>
  <c r="MW14" i="5"/>
  <c r="MG14" i="5"/>
  <c r="LQ14" i="5"/>
  <c r="LA14" i="5"/>
  <c r="KK14" i="5"/>
  <c r="JU14" i="5"/>
  <c r="JE14" i="5"/>
  <c r="IO14" i="5"/>
  <c r="HY14" i="5"/>
  <c r="HI14" i="5"/>
  <c r="GS14" i="5"/>
  <c r="GC14" i="5"/>
  <c r="FM14" i="5"/>
  <c r="EW14" i="5"/>
  <c r="EG14" i="5"/>
  <c r="DQ14" i="5"/>
  <c r="DA14" i="5"/>
  <c r="CK14" i="5"/>
  <c r="BU14" i="5"/>
  <c r="BE14" i="5"/>
  <c r="AO14" i="5"/>
  <c r="Y14" i="5"/>
  <c r="I14" i="5"/>
  <c r="AMA13" i="5"/>
  <c r="ALK13" i="5"/>
  <c r="AKU13" i="5"/>
  <c r="AKE13" i="5"/>
  <c r="AJO13" i="5"/>
  <c r="AIY13" i="5"/>
  <c r="AII13" i="5"/>
  <c r="AHS13" i="5"/>
  <c r="AHC13" i="5"/>
  <c r="AGM13" i="5"/>
  <c r="AFW13" i="5"/>
  <c r="AFG13" i="5"/>
  <c r="AEQ13" i="5"/>
  <c r="AEA13" i="5"/>
  <c r="ADK13" i="5"/>
  <c r="ACU13" i="5"/>
  <c r="ACE13" i="5"/>
  <c r="ABO13" i="5"/>
  <c r="AAY13" i="5"/>
  <c r="AAI13" i="5"/>
  <c r="AKR16" i="5"/>
  <c r="AFN16" i="5"/>
  <c r="ACR16" i="5"/>
  <c r="AAW16" i="5"/>
  <c r="ZK16" i="5"/>
  <c r="XR16" i="5"/>
  <c r="VY16" i="5"/>
  <c r="UN16" i="5"/>
  <c r="TF16" i="5"/>
  <c r="RP16" i="5"/>
  <c r="QI16" i="5"/>
  <c r="PC16" i="5"/>
  <c r="NW16" i="5"/>
  <c r="MQ16" i="5"/>
  <c r="LK16" i="5"/>
  <c r="KE16" i="5"/>
  <c r="JA16" i="5"/>
  <c r="ID16" i="5"/>
  <c r="GZ16" i="5"/>
  <c r="FV16" i="5"/>
  <c r="ER16" i="5"/>
  <c r="DO16" i="5"/>
  <c r="CQ16" i="5"/>
  <c r="BM16" i="5"/>
  <c r="AJ16" i="5"/>
  <c r="O16" i="5"/>
  <c r="ALX15" i="5"/>
  <c r="ALD15" i="5"/>
  <c r="AKJ15" i="5"/>
  <c r="AJL15" i="5"/>
  <c r="AIR15" i="5"/>
  <c r="AHX15" i="5"/>
  <c r="AHA15" i="5"/>
  <c r="AGH15" i="5"/>
  <c r="AFO15" i="5"/>
  <c r="AEV15" i="5"/>
  <c r="ADZ15" i="5"/>
  <c r="ADG15" i="5"/>
  <c r="ACN15" i="5"/>
  <c r="ABU15" i="5"/>
  <c r="ABB15" i="5"/>
  <c r="AAL15" i="5"/>
  <c r="ZV15" i="5"/>
  <c r="ZF15" i="5"/>
  <c r="YP15" i="5"/>
  <c r="XZ15" i="5"/>
  <c r="XJ15" i="5"/>
  <c r="WT15" i="5"/>
  <c r="WD15" i="5"/>
  <c r="VN15" i="5"/>
  <c r="UX15" i="5"/>
  <c r="UH15" i="5"/>
  <c r="TR15" i="5"/>
  <c r="TB15" i="5"/>
  <c r="SL15" i="5"/>
  <c r="RV15" i="5"/>
  <c r="RF15" i="5"/>
  <c r="QP15" i="5"/>
  <c r="PZ15" i="5"/>
  <c r="PJ15" i="5"/>
  <c r="OT15" i="5"/>
  <c r="OD15" i="5"/>
  <c r="NN15" i="5"/>
  <c r="MX15" i="5"/>
  <c r="MH15" i="5"/>
  <c r="LR15" i="5"/>
  <c r="LB15" i="5"/>
  <c r="KL15" i="5"/>
  <c r="JV15" i="5"/>
  <c r="JF15" i="5"/>
  <c r="IP15" i="5"/>
  <c r="HZ15" i="5"/>
  <c r="HJ15" i="5"/>
  <c r="GT15" i="5"/>
  <c r="GD15" i="5"/>
  <c r="FN15" i="5"/>
  <c r="EX15" i="5"/>
  <c r="EH15" i="5"/>
  <c r="DR15" i="5"/>
  <c r="DB15" i="5"/>
  <c r="CL15" i="5"/>
  <c r="BV15" i="5"/>
  <c r="BF15" i="5"/>
  <c r="AP15" i="5"/>
  <c r="Z15" i="5"/>
  <c r="J15" i="5"/>
  <c r="AMB14" i="5"/>
  <c r="ALL14" i="5"/>
  <c r="AKV14" i="5"/>
  <c r="AKF14" i="5"/>
  <c r="AJP14" i="5"/>
  <c r="AIZ14" i="5"/>
  <c r="AIJ14" i="5"/>
  <c r="AHT14" i="5"/>
  <c r="AHD14" i="5"/>
  <c r="AGN14" i="5"/>
  <c r="AFX14" i="5"/>
  <c r="AFH14" i="5"/>
  <c r="AER14" i="5"/>
  <c r="AEB14" i="5"/>
  <c r="ADL14" i="5"/>
  <c r="ACV14" i="5"/>
  <c r="ACF14" i="5"/>
  <c r="ABP14" i="5"/>
  <c r="AAZ14" i="5"/>
  <c r="AAJ14" i="5"/>
  <c r="ZT14" i="5"/>
  <c r="ZD14" i="5"/>
  <c r="YN14" i="5"/>
  <c r="XX14" i="5"/>
  <c r="XH14" i="5"/>
  <c r="WR14" i="5"/>
  <c r="WB14" i="5"/>
  <c r="VL14" i="5"/>
  <c r="UV14" i="5"/>
  <c r="UF14" i="5"/>
  <c r="TP14" i="5"/>
  <c r="SZ14" i="5"/>
  <c r="SJ14" i="5"/>
  <c r="RT14" i="5"/>
  <c r="RD14" i="5"/>
  <c r="QN14" i="5"/>
  <c r="PX14" i="5"/>
  <c r="PH14" i="5"/>
  <c r="OR14" i="5"/>
  <c r="OB14" i="5"/>
  <c r="NL14" i="5"/>
  <c r="MV14" i="5"/>
  <c r="MF14" i="5"/>
  <c r="LP14" i="5"/>
  <c r="KZ14" i="5"/>
  <c r="KJ14" i="5"/>
  <c r="JT14" i="5"/>
  <c r="JD14" i="5"/>
  <c r="IN14" i="5"/>
  <c r="HX14" i="5"/>
  <c r="HH14" i="5"/>
  <c r="GR14" i="5"/>
  <c r="GB14" i="5"/>
  <c r="FL14" i="5"/>
  <c r="EV14" i="5"/>
  <c r="EF14" i="5"/>
  <c r="DP14" i="5"/>
  <c r="CZ14" i="5"/>
  <c r="CJ14" i="5"/>
  <c r="BT14" i="5"/>
  <c r="BD14" i="5"/>
  <c r="AN14" i="5"/>
  <c r="X14" i="5"/>
  <c r="H14" i="5"/>
  <c r="ALZ13" i="5"/>
  <c r="ALJ13" i="5"/>
  <c r="AKT13" i="5"/>
  <c r="AKD13" i="5"/>
  <c r="AJN13" i="5"/>
  <c r="AIX13" i="5"/>
  <c r="AIH13" i="5"/>
  <c r="AHR13" i="5"/>
  <c r="AHB13" i="5"/>
  <c r="AGL13" i="5"/>
  <c r="AFV13" i="5"/>
  <c r="AIJ13" i="5"/>
  <c r="ACH13" i="5"/>
  <c r="ZR13" i="5"/>
  <c r="XX13" i="5"/>
  <c r="WF13" i="5"/>
  <c r="UT13" i="5"/>
  <c r="TD13" i="5"/>
  <c r="RX13" i="5"/>
  <c r="QR13" i="5"/>
  <c r="PL13" i="5"/>
  <c r="OF13" i="5"/>
  <c r="MZ13" i="5"/>
  <c r="LU13" i="5"/>
  <c r="KX13" i="5"/>
  <c r="JT13" i="5"/>
  <c r="IP13" i="5"/>
  <c r="HL13" i="5"/>
  <c r="GH13" i="5"/>
  <c r="FK13" i="5"/>
  <c r="EH13" i="5"/>
  <c r="DF13" i="5"/>
  <c r="CJ13" i="5"/>
  <c r="BH13" i="5"/>
  <c r="AL13" i="5"/>
  <c r="J13" i="5"/>
  <c r="ALR12" i="5"/>
  <c r="AKX12" i="5"/>
  <c r="AKD12" i="5"/>
  <c r="AJF12" i="5"/>
  <c r="AIL12" i="5"/>
  <c r="AHR12" i="5"/>
  <c r="AGU12" i="5"/>
  <c r="AGB12" i="5"/>
  <c r="AFI12" i="5"/>
  <c r="AEP12" i="5"/>
  <c r="ADT12" i="5"/>
  <c r="ADA12" i="5"/>
  <c r="ACH12" i="5"/>
  <c r="ABO12" i="5"/>
  <c r="AAV12" i="5"/>
  <c r="AAA12" i="5"/>
  <c r="ZJ12" i="5"/>
  <c r="YS12" i="5"/>
  <c r="YB12" i="5"/>
  <c r="XK12" i="5"/>
  <c r="WT12" i="5"/>
  <c r="WC12" i="5"/>
  <c r="VL12" i="5"/>
  <c r="UU12" i="5"/>
  <c r="UD12" i="5"/>
  <c r="TM12" i="5"/>
  <c r="SV12" i="5"/>
  <c r="SF12" i="5"/>
  <c r="RP12" i="5"/>
  <c r="QZ12" i="5"/>
  <c r="QJ12" i="5"/>
  <c r="PT12" i="5"/>
  <c r="PD12" i="5"/>
  <c r="ON12" i="5"/>
  <c r="NX12" i="5"/>
  <c r="NH12" i="5"/>
  <c r="MR12" i="5"/>
  <c r="MB12" i="5"/>
  <c r="LL12" i="5"/>
  <c r="KV12" i="5"/>
  <c r="KF12" i="5"/>
  <c r="JP12" i="5"/>
  <c r="IZ12" i="5"/>
  <c r="IJ12" i="5"/>
  <c r="HT12" i="5"/>
  <c r="HD12" i="5"/>
  <c r="GN12" i="5"/>
  <c r="FX12" i="5"/>
  <c r="FH12" i="5"/>
  <c r="ER12" i="5"/>
  <c r="EB12" i="5"/>
  <c r="DL12" i="5"/>
  <c r="CV12" i="5"/>
  <c r="CF12" i="5"/>
  <c r="BP12" i="5"/>
  <c r="AZ12" i="5"/>
  <c r="AJ12" i="5"/>
  <c r="T12" i="5"/>
  <c r="D12" i="5"/>
  <c r="ALV11" i="5"/>
  <c r="ALF11" i="5"/>
  <c r="AKP11" i="5"/>
  <c r="AJZ11" i="5"/>
  <c r="AJJ11" i="5"/>
  <c r="AIT11" i="5"/>
  <c r="AID11" i="5"/>
  <c r="AHN11" i="5"/>
  <c r="AGX11" i="5"/>
  <c r="AGH11" i="5"/>
  <c r="AFR11" i="5"/>
  <c r="AFB11" i="5"/>
  <c r="AEL11" i="5"/>
  <c r="ADV11" i="5"/>
  <c r="ADF11" i="5"/>
  <c r="ACP11" i="5"/>
  <c r="ABZ11" i="5"/>
  <c r="ABJ11" i="5"/>
  <c r="AAT11" i="5"/>
  <c r="AAD11" i="5"/>
  <c r="ZN11" i="5"/>
  <c r="YX11" i="5"/>
  <c r="YH11" i="5"/>
  <c r="XR11" i="5"/>
  <c r="XB11" i="5"/>
  <c r="WL11" i="5"/>
  <c r="VV11" i="5"/>
  <c r="VF11" i="5"/>
  <c r="UP11" i="5"/>
  <c r="TZ11" i="5"/>
  <c r="TJ11" i="5"/>
  <c r="ST11" i="5"/>
  <c r="SD11" i="5"/>
  <c r="RN11" i="5"/>
  <c r="QX11" i="5"/>
  <c r="QH11" i="5"/>
  <c r="PR11" i="5"/>
  <c r="PB11" i="5"/>
  <c r="OL11" i="5"/>
  <c r="NV11" i="5"/>
  <c r="NF11" i="5"/>
  <c r="MP11" i="5"/>
  <c r="LZ11" i="5"/>
  <c r="LJ11" i="5"/>
  <c r="KT11" i="5"/>
  <c r="KD11" i="5"/>
  <c r="JN11" i="5"/>
  <c r="IX11" i="5"/>
  <c r="IH11" i="5"/>
  <c r="HR11" i="5"/>
  <c r="HB11" i="5"/>
  <c r="GL11" i="5"/>
  <c r="FV11" i="5"/>
  <c r="FF11" i="5"/>
  <c r="EP11" i="5"/>
  <c r="DZ11" i="5"/>
  <c r="DJ11" i="5"/>
  <c r="CT11" i="5"/>
  <c r="CD11" i="5"/>
  <c r="BN11" i="5"/>
  <c r="AX11" i="5"/>
  <c r="AH11" i="5"/>
  <c r="R11" i="5"/>
  <c r="B11" i="5"/>
  <c r="ALT10" i="5"/>
  <c r="ALD10" i="5"/>
  <c r="AKN10" i="5"/>
  <c r="AJX10" i="5"/>
  <c r="AJH10" i="5"/>
  <c r="AIR10" i="5"/>
  <c r="AIB10" i="5"/>
  <c r="AHL10" i="5"/>
  <c r="AGV10" i="5"/>
  <c r="AGF10" i="5"/>
  <c r="AFP10" i="5"/>
  <c r="AEZ10" i="5"/>
  <c r="AEJ10" i="5"/>
  <c r="ADT10" i="5"/>
  <c r="ADD10" i="5"/>
  <c r="ACN10" i="5"/>
  <c r="ABX10" i="5"/>
  <c r="ABH10" i="5"/>
  <c r="AAR10" i="5"/>
  <c r="AAB10" i="5"/>
  <c r="ZL10" i="5"/>
  <c r="YV10" i="5"/>
  <c r="YF10" i="5"/>
  <c r="XP10" i="5"/>
  <c r="WZ10" i="5"/>
  <c r="WJ10" i="5"/>
  <c r="VT10" i="5"/>
  <c r="VD10" i="5"/>
  <c r="UN10" i="5"/>
  <c r="TX10" i="5"/>
  <c r="TH10" i="5"/>
  <c r="SR10" i="5"/>
  <c r="SB10" i="5"/>
  <c r="RL10" i="5"/>
  <c r="QV10" i="5"/>
  <c r="QF10" i="5"/>
  <c r="PP10" i="5"/>
  <c r="OZ10" i="5"/>
  <c r="OJ10" i="5"/>
  <c r="NT10" i="5"/>
  <c r="ND10" i="5"/>
  <c r="MN10" i="5"/>
  <c r="LX10" i="5"/>
  <c r="LH10" i="5"/>
  <c r="KR10" i="5"/>
  <c r="KB10" i="5"/>
  <c r="JL10" i="5"/>
  <c r="IV10" i="5"/>
  <c r="IF10" i="5"/>
  <c r="HP10" i="5"/>
  <c r="GZ10" i="5"/>
  <c r="GJ10" i="5"/>
  <c r="FT10" i="5"/>
  <c r="FD10" i="5"/>
  <c r="EN10" i="5"/>
  <c r="DX10" i="5"/>
  <c r="DH10" i="5"/>
  <c r="CR10" i="5"/>
  <c r="CB10" i="5"/>
  <c r="BL10" i="5"/>
  <c r="AV10" i="5"/>
  <c r="AF10" i="5"/>
  <c r="P10" i="5"/>
  <c r="AMH9" i="5"/>
  <c r="ALR9" i="5"/>
  <c r="ALB9" i="5"/>
  <c r="AKL9" i="5"/>
  <c r="AJV9" i="5"/>
  <c r="AJF9" i="5"/>
  <c r="AIP9" i="5"/>
  <c r="AHZ9" i="5"/>
  <c r="AHJ9" i="5"/>
  <c r="AGT9" i="5"/>
  <c r="AGD9" i="5"/>
  <c r="AFN9" i="5"/>
  <c r="AEX9" i="5"/>
  <c r="AEH9" i="5"/>
  <c r="ADR9" i="5"/>
  <c r="ADB9" i="5"/>
  <c r="ACL9" i="5"/>
  <c r="ABV9" i="5"/>
  <c r="ABF9" i="5"/>
  <c r="AAP9" i="5"/>
  <c r="ZZ9" i="5"/>
  <c r="ZJ9" i="5"/>
  <c r="YT9" i="5"/>
  <c r="YD9" i="5"/>
  <c r="XN9" i="5"/>
  <c r="WX9" i="5"/>
  <c r="WH9" i="5"/>
  <c r="AHT13" i="5"/>
  <c r="ACF13" i="5"/>
  <c r="ZJ13" i="5"/>
  <c r="XW13" i="5"/>
  <c r="WD13" i="5"/>
  <c r="UL13" i="5"/>
  <c r="TC13" i="5"/>
  <c r="RW13" i="5"/>
  <c r="QQ13" i="5"/>
  <c r="PK13" i="5"/>
  <c r="OE13" i="5"/>
  <c r="MY13" i="5"/>
  <c r="LT13" i="5"/>
  <c r="KP13" i="5"/>
  <c r="JS13" i="5"/>
  <c r="IO13" i="5"/>
  <c r="HK13" i="5"/>
  <c r="GG13" i="5"/>
  <c r="FJ13" i="5"/>
  <c r="EG13" i="5"/>
  <c r="DE13" i="5"/>
  <c r="CI13" i="5"/>
  <c r="BG13" i="5"/>
  <c r="AE13" i="5"/>
  <c r="I13" i="5"/>
  <c r="ALQ12" i="5"/>
  <c r="AKW12" i="5"/>
  <c r="AKC12" i="5"/>
  <c r="AJE12" i="5"/>
  <c r="AIK12" i="5"/>
  <c r="AHQ12" i="5"/>
  <c r="AGT12" i="5"/>
  <c r="AGA12" i="5"/>
  <c r="AFH12" i="5"/>
  <c r="AEO12" i="5"/>
  <c r="ADS12" i="5"/>
  <c r="ACZ12" i="5"/>
  <c r="ACG12" i="5"/>
  <c r="ABN12" i="5"/>
  <c r="AAR12" i="5"/>
  <c r="ZZ12" i="5"/>
  <c r="ZI12" i="5"/>
  <c r="YR12" i="5"/>
  <c r="YA12" i="5"/>
  <c r="XJ12" i="5"/>
  <c r="WS12" i="5"/>
  <c r="WB12" i="5"/>
  <c r="VK12" i="5"/>
  <c r="UT12" i="5"/>
  <c r="UC12" i="5"/>
  <c r="TL12" i="5"/>
  <c r="SU12" i="5"/>
  <c r="SE12" i="5"/>
  <c r="RO12" i="5"/>
  <c r="QY12" i="5"/>
  <c r="QI12" i="5"/>
  <c r="PS12" i="5"/>
  <c r="PC12" i="5"/>
  <c r="OM12" i="5"/>
  <c r="NW12" i="5"/>
  <c r="NG12" i="5"/>
  <c r="MQ12" i="5"/>
  <c r="MA12" i="5"/>
  <c r="LK12" i="5"/>
  <c r="KU12" i="5"/>
  <c r="KE12" i="5"/>
  <c r="JO12" i="5"/>
  <c r="IY12" i="5"/>
  <c r="II12" i="5"/>
  <c r="HS12" i="5"/>
  <c r="HC12" i="5"/>
  <c r="GM12" i="5"/>
  <c r="FW12" i="5"/>
  <c r="FG12" i="5"/>
  <c r="EQ12" i="5"/>
  <c r="EA12" i="5"/>
  <c r="DK12" i="5"/>
  <c r="CU12" i="5"/>
  <c r="CE12" i="5"/>
  <c r="BO12" i="5"/>
  <c r="AY12" i="5"/>
  <c r="AI12" i="5"/>
  <c r="S12" i="5"/>
  <c r="C12" i="5"/>
  <c r="ALU11" i="5"/>
  <c r="ALE11" i="5"/>
  <c r="AKO11" i="5"/>
  <c r="AJY11" i="5"/>
  <c r="AJI11" i="5"/>
  <c r="AIS11" i="5"/>
  <c r="AIC11" i="5"/>
  <c r="AHM11" i="5"/>
  <c r="AGW11" i="5"/>
  <c r="AGG11" i="5"/>
  <c r="AFQ11" i="5"/>
  <c r="AFA11" i="5"/>
  <c r="AEK11" i="5"/>
  <c r="ADU11" i="5"/>
  <c r="ADE11" i="5"/>
  <c r="ACO11" i="5"/>
  <c r="ABY11" i="5"/>
  <c r="ABI11" i="5"/>
  <c r="AAS11" i="5"/>
  <c r="AAC11" i="5"/>
  <c r="ZM11" i="5"/>
  <c r="YW11" i="5"/>
  <c r="YG11" i="5"/>
  <c r="XQ11" i="5"/>
  <c r="XA11" i="5"/>
  <c r="WK11" i="5"/>
  <c r="VU11" i="5"/>
  <c r="VE11" i="5"/>
  <c r="UO11" i="5"/>
  <c r="TY11" i="5"/>
  <c r="TI11" i="5"/>
  <c r="SS11" i="5"/>
  <c r="SC11" i="5"/>
  <c r="RM11" i="5"/>
  <c r="QW11" i="5"/>
  <c r="QG11" i="5"/>
  <c r="PQ11" i="5"/>
  <c r="PA11" i="5"/>
  <c r="OK11" i="5"/>
  <c r="NU11" i="5"/>
  <c r="NE11" i="5"/>
  <c r="MO11" i="5"/>
  <c r="LY11" i="5"/>
  <c r="LI11" i="5"/>
  <c r="KS11" i="5"/>
  <c r="KC11" i="5"/>
  <c r="JM11" i="5"/>
  <c r="IW11" i="5"/>
  <c r="IG11" i="5"/>
  <c r="HQ11" i="5"/>
  <c r="HA11" i="5"/>
  <c r="GK11" i="5"/>
  <c r="FU11" i="5"/>
  <c r="FE11" i="5"/>
  <c r="EO11" i="5"/>
  <c r="DY11" i="5"/>
  <c r="DI11" i="5"/>
  <c r="CS11" i="5"/>
  <c r="CC11" i="5"/>
  <c r="BM11" i="5"/>
  <c r="AW11" i="5"/>
  <c r="AG11" i="5"/>
  <c r="Q11" i="5"/>
  <c r="A11" i="5"/>
  <c r="ALS10" i="5"/>
  <c r="ALC10" i="5"/>
  <c r="AKM10" i="5"/>
  <c r="AJW10" i="5"/>
  <c r="AJG10" i="5"/>
  <c r="AIQ10" i="5"/>
  <c r="AIA10" i="5"/>
  <c r="AHK10" i="5"/>
  <c r="AGU10" i="5"/>
  <c r="AGE10" i="5"/>
  <c r="AFO10" i="5"/>
  <c r="AEY10" i="5"/>
  <c r="AEI10" i="5"/>
  <c r="ADS10" i="5"/>
  <c r="ADC10" i="5"/>
  <c r="ACM10" i="5"/>
  <c r="ABW10" i="5"/>
  <c r="ABG10" i="5"/>
  <c r="AAQ10" i="5"/>
  <c r="AAA10" i="5"/>
  <c r="ZK10" i="5"/>
  <c r="YU10" i="5"/>
  <c r="YE10" i="5"/>
  <c r="XO10" i="5"/>
  <c r="WY10" i="5"/>
  <c r="WI10" i="5"/>
  <c r="VS10" i="5"/>
  <c r="VC10" i="5"/>
  <c r="UM10" i="5"/>
  <c r="TW10" i="5"/>
  <c r="TG10" i="5"/>
  <c r="SQ10" i="5"/>
  <c r="SA10" i="5"/>
  <c r="RK10" i="5"/>
  <c r="QU10" i="5"/>
  <c r="QE10" i="5"/>
  <c r="PO10" i="5"/>
  <c r="OY10" i="5"/>
  <c r="OI10" i="5"/>
  <c r="NS10" i="5"/>
  <c r="NC10" i="5"/>
  <c r="MM10" i="5"/>
  <c r="LW10" i="5"/>
  <c r="LG10" i="5"/>
  <c r="KQ10" i="5"/>
  <c r="KA10" i="5"/>
  <c r="JK10" i="5"/>
  <c r="IU10" i="5"/>
  <c r="IE10" i="5"/>
  <c r="HO10" i="5"/>
  <c r="GY10" i="5"/>
  <c r="GI10" i="5"/>
  <c r="FS10" i="5"/>
  <c r="FC10" i="5"/>
  <c r="EM10" i="5"/>
  <c r="DW10" i="5"/>
  <c r="DG10" i="5"/>
  <c r="CQ10" i="5"/>
  <c r="CA10" i="5"/>
  <c r="BK10" i="5"/>
  <c r="AU10" i="5"/>
  <c r="AE10" i="5"/>
  <c r="O10" i="5"/>
  <c r="AMG9" i="5"/>
  <c r="ALQ9" i="5"/>
  <c r="ALA9" i="5"/>
  <c r="AKK9" i="5"/>
  <c r="AJU9" i="5"/>
  <c r="AJE9" i="5"/>
  <c r="AIO9" i="5"/>
  <c r="AHY9" i="5"/>
  <c r="AHI9" i="5"/>
  <c r="AGS9" i="5"/>
  <c r="AGC9" i="5"/>
  <c r="AFM9" i="5"/>
  <c r="AEW9" i="5"/>
  <c r="AEG9" i="5"/>
  <c r="ADQ9" i="5"/>
  <c r="ADA9" i="5"/>
  <c r="ACK9" i="5"/>
  <c r="ABU9" i="5"/>
  <c r="ABE9" i="5"/>
  <c r="AAO9" i="5"/>
  <c r="ZY9" i="5"/>
  <c r="ZI9" i="5"/>
  <c r="YS9" i="5"/>
  <c r="YC9" i="5"/>
  <c r="XM9" i="5"/>
  <c r="WW9" i="5"/>
  <c r="AHD13" i="5"/>
  <c r="ACD13" i="5"/>
  <c r="ZH13" i="5"/>
  <c r="XV13" i="5"/>
  <c r="WB13" i="5"/>
  <c r="UJ13" i="5"/>
  <c r="TB13" i="5"/>
  <c r="RV13" i="5"/>
  <c r="QP13" i="5"/>
  <c r="PJ13" i="5"/>
  <c r="OD13" i="5"/>
  <c r="MX13" i="5"/>
  <c r="LS13" i="5"/>
  <c r="KO13" i="5"/>
  <c r="JR13" i="5"/>
  <c r="IN13" i="5"/>
  <c r="HJ13" i="5"/>
  <c r="GF13" i="5"/>
  <c r="FB13" i="5"/>
  <c r="EF13" i="5"/>
  <c r="DD13" i="5"/>
  <c r="CH13" i="5"/>
  <c r="BF13" i="5"/>
  <c r="AD13" i="5"/>
  <c r="H13" i="5"/>
  <c r="ALP12" i="5"/>
  <c r="AKV12" i="5"/>
  <c r="AKB12" i="5"/>
  <c r="AJD12" i="5"/>
  <c r="AIJ12" i="5"/>
  <c r="AHP12" i="5"/>
  <c r="AGS12" i="5"/>
  <c r="AFZ12" i="5"/>
  <c r="AFG12" i="5"/>
  <c r="AEN12" i="5"/>
  <c r="ADR12" i="5"/>
  <c r="ACY12" i="5"/>
  <c r="ACF12" i="5"/>
  <c r="ABM12" i="5"/>
  <c r="AAQ12" i="5"/>
  <c r="ZY12" i="5"/>
  <c r="ZH12" i="5"/>
  <c r="YQ12" i="5"/>
  <c r="XZ12" i="5"/>
  <c r="XI12" i="5"/>
  <c r="WR12" i="5"/>
  <c r="WA12" i="5"/>
  <c r="VJ12" i="5"/>
  <c r="US12" i="5"/>
  <c r="UB12" i="5"/>
  <c r="TJ12" i="5"/>
  <c r="ST12" i="5"/>
  <c r="SD12" i="5"/>
  <c r="RN12" i="5"/>
  <c r="QX12" i="5"/>
  <c r="QH12" i="5"/>
  <c r="PR12" i="5"/>
  <c r="PB12" i="5"/>
  <c r="OL12" i="5"/>
  <c r="NV12" i="5"/>
  <c r="NF12" i="5"/>
  <c r="MP12" i="5"/>
  <c r="LZ12" i="5"/>
  <c r="LJ12" i="5"/>
  <c r="KT12" i="5"/>
  <c r="KD12" i="5"/>
  <c r="JN12" i="5"/>
  <c r="IX12" i="5"/>
  <c r="IH12" i="5"/>
  <c r="HR12" i="5"/>
  <c r="HB12" i="5"/>
  <c r="GL12" i="5"/>
  <c r="FV12" i="5"/>
  <c r="FF12" i="5"/>
  <c r="EP12" i="5"/>
  <c r="DZ12" i="5"/>
  <c r="DJ12" i="5"/>
  <c r="CT12" i="5"/>
  <c r="CD12" i="5"/>
  <c r="BN12" i="5"/>
  <c r="AX12" i="5"/>
  <c r="AH12" i="5"/>
  <c r="R12" i="5"/>
  <c r="B12" i="5"/>
  <c r="ALT11" i="5"/>
  <c r="ALD11" i="5"/>
  <c r="AKN11" i="5"/>
  <c r="AJX11" i="5"/>
  <c r="AJH11" i="5"/>
  <c r="AIR11" i="5"/>
  <c r="AIB11" i="5"/>
  <c r="AHL11" i="5"/>
  <c r="AGV11" i="5"/>
  <c r="AGF11" i="5"/>
  <c r="AFP11" i="5"/>
  <c r="AEZ11" i="5"/>
  <c r="AEJ11" i="5"/>
  <c r="ADT11" i="5"/>
  <c r="ADD11" i="5"/>
  <c r="ACN11" i="5"/>
  <c r="ABX11" i="5"/>
  <c r="ABH11" i="5"/>
  <c r="AAR11" i="5"/>
  <c r="AAB11" i="5"/>
  <c r="ZL11" i="5"/>
  <c r="YV11" i="5"/>
  <c r="YF11" i="5"/>
  <c r="XP11" i="5"/>
  <c r="WZ11" i="5"/>
  <c r="WJ11" i="5"/>
  <c r="VT11" i="5"/>
  <c r="VD11" i="5"/>
  <c r="UN11" i="5"/>
  <c r="TX11" i="5"/>
  <c r="TH11" i="5"/>
  <c r="SR11" i="5"/>
  <c r="SB11" i="5"/>
  <c r="RL11" i="5"/>
  <c r="QV11" i="5"/>
  <c r="QF11" i="5"/>
  <c r="PP11" i="5"/>
  <c r="OZ11" i="5"/>
  <c r="OJ11" i="5"/>
  <c r="NT11" i="5"/>
  <c r="ND11" i="5"/>
  <c r="MN11" i="5"/>
  <c r="LX11" i="5"/>
  <c r="LH11" i="5"/>
  <c r="KR11" i="5"/>
  <c r="KB11" i="5"/>
  <c r="JL11" i="5"/>
  <c r="IV11" i="5"/>
  <c r="IF11" i="5"/>
  <c r="HP11" i="5"/>
  <c r="GZ11" i="5"/>
  <c r="GJ11" i="5"/>
  <c r="FT11" i="5"/>
  <c r="FD11" i="5"/>
  <c r="EN11" i="5"/>
  <c r="DX11" i="5"/>
  <c r="DH11" i="5"/>
  <c r="CR11" i="5"/>
  <c r="CB11" i="5"/>
  <c r="BL11" i="5"/>
  <c r="AV11" i="5"/>
  <c r="AF11" i="5"/>
  <c r="P11" i="5"/>
  <c r="AMH10" i="5"/>
  <c r="ALR10" i="5"/>
  <c r="ALB10" i="5"/>
  <c r="AKL10" i="5"/>
  <c r="AJV10" i="5"/>
  <c r="AJF10" i="5"/>
  <c r="AIP10" i="5"/>
  <c r="AHZ10" i="5"/>
  <c r="AHJ10" i="5"/>
  <c r="AGT10" i="5"/>
  <c r="AGD10" i="5"/>
  <c r="AFN10" i="5"/>
  <c r="AEX10" i="5"/>
  <c r="AEH10" i="5"/>
  <c r="ADR10" i="5"/>
  <c r="ADB10" i="5"/>
  <c r="ACL10" i="5"/>
  <c r="ABV10" i="5"/>
  <c r="ABF10" i="5"/>
  <c r="AAP10" i="5"/>
  <c r="ZZ10" i="5"/>
  <c r="ZJ10" i="5"/>
  <c r="YT10" i="5"/>
  <c r="YD10" i="5"/>
  <c r="XN10" i="5"/>
  <c r="WX10" i="5"/>
  <c r="WH10" i="5"/>
  <c r="VR10" i="5"/>
  <c r="VB10" i="5"/>
  <c r="UL10" i="5"/>
  <c r="TV10" i="5"/>
  <c r="TF10" i="5"/>
  <c r="SP10" i="5"/>
  <c r="RZ10" i="5"/>
  <c r="RJ10" i="5"/>
  <c r="QT10" i="5"/>
  <c r="QD10" i="5"/>
  <c r="PN10" i="5"/>
  <c r="OX10" i="5"/>
  <c r="OH10" i="5"/>
  <c r="NR10" i="5"/>
  <c r="NB10" i="5"/>
  <c r="ML10" i="5"/>
  <c r="LV10" i="5"/>
  <c r="LF10" i="5"/>
  <c r="KP10" i="5"/>
  <c r="JZ10" i="5"/>
  <c r="JJ10" i="5"/>
  <c r="IT10" i="5"/>
  <c r="ID10" i="5"/>
  <c r="HN10" i="5"/>
  <c r="GX10" i="5"/>
  <c r="GH10" i="5"/>
  <c r="FR10" i="5"/>
  <c r="FB10" i="5"/>
  <c r="EL10" i="5"/>
  <c r="DV10" i="5"/>
  <c r="DF10" i="5"/>
  <c r="CP10" i="5"/>
  <c r="BZ10" i="5"/>
  <c r="BJ10" i="5"/>
  <c r="AT10" i="5"/>
  <c r="AD10" i="5"/>
  <c r="N10" i="5"/>
  <c r="AMF9" i="5"/>
  <c r="ALP9" i="5"/>
  <c r="AKZ9" i="5"/>
  <c r="AKJ9" i="5"/>
  <c r="AJT9" i="5"/>
  <c r="AJD9" i="5"/>
  <c r="AIN9" i="5"/>
  <c r="AHX9" i="5"/>
  <c r="AHH9" i="5"/>
  <c r="AGR9" i="5"/>
  <c r="AGB9" i="5"/>
  <c r="AFL9" i="5"/>
  <c r="AEV9" i="5"/>
  <c r="AEF9" i="5"/>
  <c r="ADP9" i="5"/>
  <c r="ACZ9" i="5"/>
  <c r="ACJ9" i="5"/>
  <c r="ABT9" i="5"/>
  <c r="ABD9" i="5"/>
  <c r="AAN9" i="5"/>
  <c r="ZX9" i="5"/>
  <c r="ZH9" i="5"/>
  <c r="YR9" i="5"/>
  <c r="YB9" i="5"/>
  <c r="XL9" i="5"/>
  <c r="WV9" i="5"/>
  <c r="WF9" i="5"/>
  <c r="VP9" i="5"/>
  <c r="UZ9" i="5"/>
  <c r="AGN13" i="5"/>
  <c r="ABR13" i="5"/>
  <c r="ZF13" i="5"/>
  <c r="XN13" i="5"/>
  <c r="WA13" i="5"/>
  <c r="UH13" i="5"/>
  <c r="TA13" i="5"/>
  <c r="RU13" i="5"/>
  <c r="QO13" i="5"/>
  <c r="PI13" i="5"/>
  <c r="OC13" i="5"/>
  <c r="MW13" i="5"/>
  <c r="LR13" i="5"/>
  <c r="KN13" i="5"/>
  <c r="JJ13" i="5"/>
  <c r="IM13" i="5"/>
  <c r="HI13" i="5"/>
  <c r="GE13" i="5"/>
  <c r="FA13" i="5"/>
  <c r="EE13" i="5"/>
  <c r="DC13" i="5"/>
  <c r="CA13" i="5"/>
  <c r="BE13" i="5"/>
  <c r="AC13" i="5"/>
  <c r="G13" i="5"/>
  <c r="ALO12" i="5"/>
  <c r="AKU12" i="5"/>
  <c r="AJW12" i="5"/>
  <c r="AJC12" i="5"/>
  <c r="AII12" i="5"/>
  <c r="AHK12" i="5"/>
  <c r="AGR12" i="5"/>
  <c r="AFY12" i="5"/>
  <c r="AFF12" i="5"/>
  <c r="AEJ12" i="5"/>
  <c r="ADQ12" i="5"/>
  <c r="ACX12" i="5"/>
  <c r="ACE12" i="5"/>
  <c r="ABL12" i="5"/>
  <c r="AAP12" i="5"/>
  <c r="ZX12" i="5"/>
  <c r="ZG12" i="5"/>
  <c r="YP12" i="5"/>
  <c r="XY12" i="5"/>
  <c r="XH12" i="5"/>
  <c r="WQ12" i="5"/>
  <c r="VZ12" i="5"/>
  <c r="VI12" i="5"/>
  <c r="UR12" i="5"/>
  <c r="TZ12" i="5"/>
  <c r="TI12" i="5"/>
  <c r="SS12" i="5"/>
  <c r="SC12" i="5"/>
  <c r="RM12" i="5"/>
  <c r="QW12" i="5"/>
  <c r="QG12" i="5"/>
  <c r="PQ12" i="5"/>
  <c r="PA12" i="5"/>
  <c r="OK12" i="5"/>
  <c r="NU12" i="5"/>
  <c r="NE12" i="5"/>
  <c r="MO12" i="5"/>
  <c r="LY12" i="5"/>
  <c r="LI12" i="5"/>
  <c r="KS12" i="5"/>
  <c r="KC12" i="5"/>
  <c r="JM12" i="5"/>
  <c r="IW12" i="5"/>
  <c r="IG12" i="5"/>
  <c r="HQ12" i="5"/>
  <c r="HA12" i="5"/>
  <c r="GK12" i="5"/>
  <c r="FU12" i="5"/>
  <c r="FE12" i="5"/>
  <c r="EO12" i="5"/>
  <c r="DY12" i="5"/>
  <c r="DI12" i="5"/>
  <c r="CS12" i="5"/>
  <c r="CC12" i="5"/>
  <c r="BM12" i="5"/>
  <c r="AW12" i="5"/>
  <c r="AG12" i="5"/>
  <c r="Q12" i="5"/>
  <c r="A12" i="5"/>
  <c r="ALS11" i="5"/>
  <c r="ALC11" i="5"/>
  <c r="AKM11" i="5"/>
  <c r="AJW11" i="5"/>
  <c r="AJG11" i="5"/>
  <c r="AIQ11" i="5"/>
  <c r="AIA11" i="5"/>
  <c r="AHK11" i="5"/>
  <c r="AGU11" i="5"/>
  <c r="AGE11" i="5"/>
  <c r="AFO11" i="5"/>
  <c r="AEY11" i="5"/>
  <c r="AEI11" i="5"/>
  <c r="ADS11" i="5"/>
  <c r="ADC11" i="5"/>
  <c r="ACM11" i="5"/>
  <c r="ABW11" i="5"/>
  <c r="ABG11" i="5"/>
  <c r="AAQ11" i="5"/>
  <c r="AAA11" i="5"/>
  <c r="ZK11" i="5"/>
  <c r="YU11" i="5"/>
  <c r="YE11" i="5"/>
  <c r="XO11" i="5"/>
  <c r="WY11" i="5"/>
  <c r="WI11" i="5"/>
  <c r="VS11" i="5"/>
  <c r="VC11" i="5"/>
  <c r="UM11" i="5"/>
  <c r="TW11" i="5"/>
  <c r="TG11" i="5"/>
  <c r="SQ11" i="5"/>
  <c r="SA11" i="5"/>
  <c r="RK11" i="5"/>
  <c r="QU11" i="5"/>
  <c r="QE11" i="5"/>
  <c r="PO11" i="5"/>
  <c r="OY11" i="5"/>
  <c r="OI11" i="5"/>
  <c r="NS11" i="5"/>
  <c r="NC11" i="5"/>
  <c r="MM11" i="5"/>
  <c r="LW11" i="5"/>
  <c r="LG11" i="5"/>
  <c r="KQ11" i="5"/>
  <c r="KA11" i="5"/>
  <c r="JK11" i="5"/>
  <c r="IU11" i="5"/>
  <c r="IE11" i="5"/>
  <c r="HO11" i="5"/>
  <c r="GY11" i="5"/>
  <c r="GI11" i="5"/>
  <c r="FS11" i="5"/>
  <c r="FC11" i="5"/>
  <c r="EM11" i="5"/>
  <c r="DW11" i="5"/>
  <c r="DG11" i="5"/>
  <c r="CQ11" i="5"/>
  <c r="CA11" i="5"/>
  <c r="BK11" i="5"/>
  <c r="AU11" i="5"/>
  <c r="AE11" i="5"/>
  <c r="O11" i="5"/>
  <c r="AMG10" i="5"/>
  <c r="ALQ10" i="5"/>
  <c r="ALA10" i="5"/>
  <c r="AKK10" i="5"/>
  <c r="AJU10" i="5"/>
  <c r="AJE10" i="5"/>
  <c r="AIO10" i="5"/>
  <c r="AHY10" i="5"/>
  <c r="AHI10" i="5"/>
  <c r="AGS10" i="5"/>
  <c r="AGC10" i="5"/>
  <c r="AFM10" i="5"/>
  <c r="AEW10" i="5"/>
  <c r="AEG10" i="5"/>
  <c r="ADQ10" i="5"/>
  <c r="ADA10" i="5"/>
  <c r="ACK10" i="5"/>
  <c r="ABU10" i="5"/>
  <c r="ABE10" i="5"/>
  <c r="AAO10" i="5"/>
  <c r="ZY10" i="5"/>
  <c r="ZI10" i="5"/>
  <c r="YS10" i="5"/>
  <c r="YC10" i="5"/>
  <c r="XM10" i="5"/>
  <c r="WW10" i="5"/>
  <c r="WG10" i="5"/>
  <c r="VQ10" i="5"/>
  <c r="VA10" i="5"/>
  <c r="UK10" i="5"/>
  <c r="TU10" i="5"/>
  <c r="TE10" i="5"/>
  <c r="SO10" i="5"/>
  <c r="RY10" i="5"/>
  <c r="RI10" i="5"/>
  <c r="QS10" i="5"/>
  <c r="QC10" i="5"/>
  <c r="PM10" i="5"/>
  <c r="OW10" i="5"/>
  <c r="OG10" i="5"/>
  <c r="NQ10" i="5"/>
  <c r="NA10" i="5"/>
  <c r="MK10" i="5"/>
  <c r="LU10" i="5"/>
  <c r="LE10" i="5"/>
  <c r="KO10" i="5"/>
  <c r="JY10" i="5"/>
  <c r="JI10" i="5"/>
  <c r="IS10" i="5"/>
  <c r="IC10" i="5"/>
  <c r="HM10" i="5"/>
  <c r="GW10" i="5"/>
  <c r="GG10" i="5"/>
  <c r="FQ10" i="5"/>
  <c r="FA10" i="5"/>
  <c r="EK10" i="5"/>
  <c r="DU10" i="5"/>
  <c r="DE10" i="5"/>
  <c r="CO10" i="5"/>
  <c r="BY10" i="5"/>
  <c r="BI10" i="5"/>
  <c r="AS10" i="5"/>
  <c r="AC10" i="5"/>
  <c r="M10" i="5"/>
  <c r="AME9" i="5"/>
  <c r="ALO9" i="5"/>
  <c r="AKY9" i="5"/>
  <c r="AKI9" i="5"/>
  <c r="AJS9" i="5"/>
  <c r="AJC9" i="5"/>
  <c r="AIM9" i="5"/>
  <c r="AHW9" i="5"/>
  <c r="AHG9" i="5"/>
  <c r="AGQ9" i="5"/>
  <c r="AGA9" i="5"/>
  <c r="AFK9" i="5"/>
  <c r="AEU9" i="5"/>
  <c r="AEE9" i="5"/>
  <c r="ADO9" i="5"/>
  <c r="ACY9" i="5"/>
  <c r="ACI9" i="5"/>
  <c r="ABS9" i="5"/>
  <c r="ABC9" i="5"/>
  <c r="AAM9" i="5"/>
  <c r="ZW9" i="5"/>
  <c r="ZG9" i="5"/>
  <c r="YQ9" i="5"/>
  <c r="YA9" i="5"/>
  <c r="AFX13" i="5"/>
  <c r="ABP13" i="5"/>
  <c r="ZD13" i="5"/>
  <c r="XL13" i="5"/>
  <c r="VZ13" i="5"/>
  <c r="UF13" i="5"/>
  <c r="SZ13" i="5"/>
  <c r="RT13" i="5"/>
  <c r="QN13" i="5"/>
  <c r="PH13" i="5"/>
  <c r="OB13" i="5"/>
  <c r="MV13" i="5"/>
  <c r="LQ13" i="5"/>
  <c r="KM13" i="5"/>
  <c r="JI13" i="5"/>
  <c r="IL13" i="5"/>
  <c r="HH13" i="5"/>
  <c r="GD13" i="5"/>
  <c r="EZ13" i="5"/>
  <c r="ED13" i="5"/>
  <c r="DB13" i="5"/>
  <c r="BZ13" i="5"/>
  <c r="BD13" i="5"/>
  <c r="AB13" i="5"/>
  <c r="F13" i="5"/>
  <c r="ALN12" i="5"/>
  <c r="AKT12" i="5"/>
  <c r="AJV12" i="5"/>
  <c r="AJB12" i="5"/>
  <c r="AIH12" i="5"/>
  <c r="AHJ12" i="5"/>
  <c r="AGQ12" i="5"/>
  <c r="AFX12" i="5"/>
  <c r="AFE12" i="5"/>
  <c r="AEI12" i="5"/>
  <c r="ADP12" i="5"/>
  <c r="ACW12" i="5"/>
  <c r="ACD12" i="5"/>
  <c r="ABH12" i="5"/>
  <c r="AAO12" i="5"/>
  <c r="ZW12" i="5"/>
  <c r="ZF12" i="5"/>
  <c r="YO12" i="5"/>
  <c r="XX12" i="5"/>
  <c r="XG12" i="5"/>
  <c r="WP12" i="5"/>
  <c r="VY12" i="5"/>
  <c r="VH12" i="5"/>
  <c r="UP12" i="5"/>
  <c r="TY12" i="5"/>
  <c r="TH12" i="5"/>
  <c r="SR12" i="5"/>
  <c r="SB12" i="5"/>
  <c r="RL12" i="5"/>
  <c r="QV12" i="5"/>
  <c r="QF12" i="5"/>
  <c r="PP12" i="5"/>
  <c r="OZ12" i="5"/>
  <c r="OJ12" i="5"/>
  <c r="NT12" i="5"/>
  <c r="ND12" i="5"/>
  <c r="MN12" i="5"/>
  <c r="LX12" i="5"/>
  <c r="LH12" i="5"/>
  <c r="KR12" i="5"/>
  <c r="KB12" i="5"/>
  <c r="JL12" i="5"/>
  <c r="IV12" i="5"/>
  <c r="IF12" i="5"/>
  <c r="HP12" i="5"/>
  <c r="GZ12" i="5"/>
  <c r="GJ12" i="5"/>
  <c r="FT12" i="5"/>
  <c r="FD12" i="5"/>
  <c r="EN12" i="5"/>
  <c r="DX12" i="5"/>
  <c r="DH12" i="5"/>
  <c r="CR12" i="5"/>
  <c r="CB12" i="5"/>
  <c r="BL12" i="5"/>
  <c r="AV12" i="5"/>
  <c r="AF12" i="5"/>
  <c r="P12" i="5"/>
  <c r="AMH11" i="5"/>
  <c r="ALR11" i="5"/>
  <c r="ALB11" i="5"/>
  <c r="AKL11" i="5"/>
  <c r="AJV11" i="5"/>
  <c r="AJF11" i="5"/>
  <c r="AIP11" i="5"/>
  <c r="AHZ11" i="5"/>
  <c r="AHJ11" i="5"/>
  <c r="AGT11" i="5"/>
  <c r="AGD11" i="5"/>
  <c r="AFN11" i="5"/>
  <c r="AEX11" i="5"/>
  <c r="AEH11" i="5"/>
  <c r="ADR11" i="5"/>
  <c r="ADB11" i="5"/>
  <c r="ACL11" i="5"/>
  <c r="ABV11" i="5"/>
  <c r="ABF11" i="5"/>
  <c r="AAP11" i="5"/>
  <c r="ZZ11" i="5"/>
  <c r="ZJ11" i="5"/>
  <c r="YT11" i="5"/>
  <c r="YD11" i="5"/>
  <c r="XN11" i="5"/>
  <c r="WX11" i="5"/>
  <c r="WH11" i="5"/>
  <c r="VR11" i="5"/>
  <c r="VB11" i="5"/>
  <c r="UL11" i="5"/>
  <c r="TV11" i="5"/>
  <c r="TF11" i="5"/>
  <c r="SP11" i="5"/>
  <c r="RZ11" i="5"/>
  <c r="RJ11" i="5"/>
  <c r="QT11" i="5"/>
  <c r="QD11" i="5"/>
  <c r="PN11" i="5"/>
  <c r="OX11" i="5"/>
  <c r="OH11" i="5"/>
  <c r="NR11" i="5"/>
  <c r="NB11" i="5"/>
  <c r="ML11" i="5"/>
  <c r="LV11" i="5"/>
  <c r="LF11" i="5"/>
  <c r="KP11" i="5"/>
  <c r="JZ11" i="5"/>
  <c r="JJ11" i="5"/>
  <c r="IT11" i="5"/>
  <c r="ID11" i="5"/>
  <c r="HN11" i="5"/>
  <c r="GX11" i="5"/>
  <c r="GH11" i="5"/>
  <c r="FR11" i="5"/>
  <c r="FB11" i="5"/>
  <c r="EL11" i="5"/>
  <c r="DV11" i="5"/>
  <c r="DF11" i="5"/>
  <c r="CP11" i="5"/>
  <c r="BZ11" i="5"/>
  <c r="BJ11" i="5"/>
  <c r="AT11" i="5"/>
  <c r="AD11" i="5"/>
  <c r="N11" i="5"/>
  <c r="AMF10" i="5"/>
  <c r="ALP10" i="5"/>
  <c r="AKZ10" i="5"/>
  <c r="AKJ10" i="5"/>
  <c r="AJT10" i="5"/>
  <c r="AJD10" i="5"/>
  <c r="AIN10" i="5"/>
  <c r="AHX10" i="5"/>
  <c r="AHH10" i="5"/>
  <c r="AGR10" i="5"/>
  <c r="AGB10" i="5"/>
  <c r="AFL10" i="5"/>
  <c r="AEV10" i="5"/>
  <c r="AEF10" i="5"/>
  <c r="ADP10" i="5"/>
  <c r="ACZ10" i="5"/>
  <c r="ACJ10" i="5"/>
  <c r="ABT10" i="5"/>
  <c r="ABD10" i="5"/>
  <c r="AAN10" i="5"/>
  <c r="ZX10" i="5"/>
  <c r="ZH10" i="5"/>
  <c r="YR10" i="5"/>
  <c r="YB10" i="5"/>
  <c r="XL10" i="5"/>
  <c r="WV10" i="5"/>
  <c r="WF10" i="5"/>
  <c r="VP10" i="5"/>
  <c r="UZ10" i="5"/>
  <c r="UJ10" i="5"/>
  <c r="TT10" i="5"/>
  <c r="TD10" i="5"/>
  <c r="SN10" i="5"/>
  <c r="RX10" i="5"/>
  <c r="RH10" i="5"/>
  <c r="QR10" i="5"/>
  <c r="QB10" i="5"/>
  <c r="PL10" i="5"/>
  <c r="OV10" i="5"/>
  <c r="OF10" i="5"/>
  <c r="NP10" i="5"/>
  <c r="MZ10" i="5"/>
  <c r="MJ10" i="5"/>
  <c r="LT10" i="5"/>
  <c r="LD10" i="5"/>
  <c r="KN10" i="5"/>
  <c r="JX10" i="5"/>
  <c r="JH10" i="5"/>
  <c r="IR10" i="5"/>
  <c r="IB10" i="5"/>
  <c r="HL10" i="5"/>
  <c r="GV10" i="5"/>
  <c r="GF10" i="5"/>
  <c r="FP10" i="5"/>
  <c r="EZ10" i="5"/>
  <c r="EJ10" i="5"/>
  <c r="DT10" i="5"/>
  <c r="DD10" i="5"/>
  <c r="CN10" i="5"/>
  <c r="BX10" i="5"/>
  <c r="BH10" i="5"/>
  <c r="AR10" i="5"/>
  <c r="AB10" i="5"/>
  <c r="L10" i="5"/>
  <c r="AMD9" i="5"/>
  <c r="ALN9" i="5"/>
  <c r="AKX9" i="5"/>
  <c r="AKH9" i="5"/>
  <c r="AJR9" i="5"/>
  <c r="AJB9" i="5"/>
  <c r="AIL9" i="5"/>
  <c r="AHV9" i="5"/>
  <c r="AHF9" i="5"/>
  <c r="AFH13" i="5"/>
  <c r="ABN13" i="5"/>
  <c r="ZC13" i="5"/>
  <c r="XJ13" i="5"/>
  <c r="VR13" i="5"/>
  <c r="UE13" i="5"/>
  <c r="SY13" i="5"/>
  <c r="RS13" i="5"/>
  <c r="QM13" i="5"/>
  <c r="PG13" i="5"/>
  <c r="OA13" i="5"/>
  <c r="MU13" i="5"/>
  <c r="LP13" i="5"/>
  <c r="KL13" i="5"/>
  <c r="JH13" i="5"/>
  <c r="ID13" i="5"/>
  <c r="HG13" i="5"/>
  <c r="GC13" i="5"/>
  <c r="EY13" i="5"/>
  <c r="DW13" i="5"/>
  <c r="DA13" i="5"/>
  <c r="BY13" i="5"/>
  <c r="BC13" i="5"/>
  <c r="AA13" i="5"/>
  <c r="AMG12" i="5"/>
  <c r="ALM12" i="5"/>
  <c r="AKS12" i="5"/>
  <c r="AJU12" i="5"/>
  <c r="AJA12" i="5"/>
  <c r="AIG12" i="5"/>
  <c r="AHI12" i="5"/>
  <c r="AGP12" i="5"/>
  <c r="AFW12" i="5"/>
  <c r="AFD12" i="5"/>
  <c r="AEH12" i="5"/>
  <c r="ADO12" i="5"/>
  <c r="ACV12" i="5"/>
  <c r="ACC12" i="5"/>
  <c r="ABG12" i="5"/>
  <c r="AAN12" i="5"/>
  <c r="ZV12" i="5"/>
  <c r="ZE12" i="5"/>
  <c r="YN12" i="5"/>
  <c r="XW12" i="5"/>
  <c r="XF12" i="5"/>
  <c r="WO12" i="5"/>
  <c r="VX12" i="5"/>
  <c r="VF12" i="5"/>
  <c r="UO12" i="5"/>
  <c r="TX12" i="5"/>
  <c r="TG12" i="5"/>
  <c r="SQ12" i="5"/>
  <c r="SA12" i="5"/>
  <c r="RK12" i="5"/>
  <c r="QU12" i="5"/>
  <c r="QE12" i="5"/>
  <c r="PO12" i="5"/>
  <c r="OY12" i="5"/>
  <c r="OI12" i="5"/>
  <c r="NS12" i="5"/>
  <c r="NC12" i="5"/>
  <c r="MM12" i="5"/>
  <c r="LW12" i="5"/>
  <c r="LG12" i="5"/>
  <c r="KQ12" i="5"/>
  <c r="KA12" i="5"/>
  <c r="JK12" i="5"/>
  <c r="IU12" i="5"/>
  <c r="IE12" i="5"/>
  <c r="HO12" i="5"/>
  <c r="GY12" i="5"/>
  <c r="GI12" i="5"/>
  <c r="FS12" i="5"/>
  <c r="FC12" i="5"/>
  <c r="EM12" i="5"/>
  <c r="DW12" i="5"/>
  <c r="DG12" i="5"/>
  <c r="CQ12" i="5"/>
  <c r="CA12" i="5"/>
  <c r="BK12" i="5"/>
  <c r="AU12" i="5"/>
  <c r="AE12" i="5"/>
  <c r="O12" i="5"/>
  <c r="AMG11" i="5"/>
  <c r="ALQ11" i="5"/>
  <c r="ALA11" i="5"/>
  <c r="AKK11" i="5"/>
  <c r="AJU11" i="5"/>
  <c r="AJE11" i="5"/>
  <c r="AIO11" i="5"/>
  <c r="AHY11" i="5"/>
  <c r="AHI11" i="5"/>
  <c r="AGS11" i="5"/>
  <c r="AGC11" i="5"/>
  <c r="AFM11" i="5"/>
  <c r="AEW11" i="5"/>
  <c r="AEG11" i="5"/>
  <c r="ADQ11" i="5"/>
  <c r="ADA11" i="5"/>
  <c r="ACK11" i="5"/>
  <c r="ABU11" i="5"/>
  <c r="ABE11" i="5"/>
  <c r="AAO11" i="5"/>
  <c r="ZY11" i="5"/>
  <c r="ZI11" i="5"/>
  <c r="YS11" i="5"/>
  <c r="YC11" i="5"/>
  <c r="XM11" i="5"/>
  <c r="WW11" i="5"/>
  <c r="WG11" i="5"/>
  <c r="VQ11" i="5"/>
  <c r="VA11" i="5"/>
  <c r="UK11" i="5"/>
  <c r="TU11" i="5"/>
  <c r="TE11" i="5"/>
  <c r="SO11" i="5"/>
  <c r="RY11" i="5"/>
  <c r="RI11" i="5"/>
  <c r="QS11" i="5"/>
  <c r="QC11" i="5"/>
  <c r="PM11" i="5"/>
  <c r="OW11" i="5"/>
  <c r="OG11" i="5"/>
  <c r="NQ11" i="5"/>
  <c r="NA11" i="5"/>
  <c r="MK11" i="5"/>
  <c r="LU11" i="5"/>
  <c r="LE11" i="5"/>
  <c r="KO11" i="5"/>
  <c r="JY11" i="5"/>
  <c r="JI11" i="5"/>
  <c r="IS11" i="5"/>
  <c r="IC11" i="5"/>
  <c r="HM11" i="5"/>
  <c r="GW11" i="5"/>
  <c r="GG11" i="5"/>
  <c r="FQ11" i="5"/>
  <c r="FA11" i="5"/>
  <c r="EK11" i="5"/>
  <c r="DU11" i="5"/>
  <c r="DE11" i="5"/>
  <c r="CO11" i="5"/>
  <c r="BY11" i="5"/>
  <c r="BI11" i="5"/>
  <c r="AS11" i="5"/>
  <c r="AC11" i="5"/>
  <c r="M11" i="5"/>
  <c r="AME10" i="5"/>
  <c r="ALO10" i="5"/>
  <c r="AKY10" i="5"/>
  <c r="AKI10" i="5"/>
  <c r="AJS10" i="5"/>
  <c r="AJC10" i="5"/>
  <c r="AIM10" i="5"/>
  <c r="AHW10" i="5"/>
  <c r="AHG10" i="5"/>
  <c r="AGQ10" i="5"/>
  <c r="AGA10" i="5"/>
  <c r="AFK10" i="5"/>
  <c r="AEU10" i="5"/>
  <c r="AEE10" i="5"/>
  <c r="ADO10" i="5"/>
  <c r="ACY10" i="5"/>
  <c r="ACI10" i="5"/>
  <c r="ABS10" i="5"/>
  <c r="ABC10" i="5"/>
  <c r="AAM10" i="5"/>
  <c r="ZW10" i="5"/>
  <c r="ZG10" i="5"/>
  <c r="YQ10" i="5"/>
  <c r="YA10" i="5"/>
  <c r="XK10" i="5"/>
  <c r="WU10" i="5"/>
  <c r="WE10" i="5"/>
  <c r="VO10" i="5"/>
  <c r="UY10" i="5"/>
  <c r="UI10" i="5"/>
  <c r="TS10" i="5"/>
  <c r="TC10" i="5"/>
  <c r="SM10" i="5"/>
  <c r="RW10" i="5"/>
  <c r="RG10" i="5"/>
  <c r="QQ10" i="5"/>
  <c r="QA10" i="5"/>
  <c r="PK10" i="5"/>
  <c r="OU10" i="5"/>
  <c r="OE10" i="5"/>
  <c r="NO10" i="5"/>
  <c r="MY10" i="5"/>
  <c r="MI10" i="5"/>
  <c r="LS10" i="5"/>
  <c r="LC10" i="5"/>
  <c r="KM10" i="5"/>
  <c r="JW10" i="5"/>
  <c r="JG10" i="5"/>
  <c r="IQ10" i="5"/>
  <c r="IA10" i="5"/>
  <c r="HK10" i="5"/>
  <c r="GU10" i="5"/>
  <c r="GE10" i="5"/>
  <c r="FO10" i="5"/>
  <c r="EY10" i="5"/>
  <c r="EI10" i="5"/>
  <c r="DS10" i="5"/>
  <c r="DC10" i="5"/>
  <c r="CM10" i="5"/>
  <c r="BW10" i="5"/>
  <c r="BG10" i="5"/>
  <c r="AQ10" i="5"/>
  <c r="AA10" i="5"/>
  <c r="K10" i="5"/>
  <c r="AMC9" i="5"/>
  <c r="ALM9" i="5"/>
  <c r="AFF13" i="5"/>
  <c r="ABB13" i="5"/>
  <c r="ZB13" i="5"/>
  <c r="XH13" i="5"/>
  <c r="VP13" i="5"/>
  <c r="UD13" i="5"/>
  <c r="SX13" i="5"/>
  <c r="RR13" i="5"/>
  <c r="QL13" i="5"/>
  <c r="PF13" i="5"/>
  <c r="NZ13" i="5"/>
  <c r="MT13" i="5"/>
  <c r="LO13" i="5"/>
  <c r="KK13" i="5"/>
  <c r="JG13" i="5"/>
  <c r="IC13" i="5"/>
  <c r="HF13" i="5"/>
  <c r="GB13" i="5"/>
  <c r="EX13" i="5"/>
  <c r="DV13" i="5"/>
  <c r="CZ13" i="5"/>
  <c r="BX13" i="5"/>
  <c r="BB13" i="5"/>
  <c r="Z13" i="5"/>
  <c r="AMF12" i="5"/>
  <c r="ALL12" i="5"/>
  <c r="AKR12" i="5"/>
  <c r="AJT12" i="5"/>
  <c r="AIZ12" i="5"/>
  <c r="AIF12" i="5"/>
  <c r="AHH12" i="5"/>
  <c r="AGO12" i="5"/>
  <c r="AFV12" i="5"/>
  <c r="AEZ12" i="5"/>
  <c r="AEG12" i="5"/>
  <c r="ADN12" i="5"/>
  <c r="ACU12" i="5"/>
  <c r="ACB12" i="5"/>
  <c r="ABF12" i="5"/>
  <c r="AAM12" i="5"/>
  <c r="ZU12" i="5"/>
  <c r="ZD12" i="5"/>
  <c r="YM12" i="5"/>
  <c r="XV12" i="5"/>
  <c r="XE12" i="5"/>
  <c r="WN12" i="5"/>
  <c r="VV12" i="5"/>
  <c r="VE12" i="5"/>
  <c r="UN12" i="5"/>
  <c r="TW12" i="5"/>
  <c r="TF12" i="5"/>
  <c r="SP12" i="5"/>
  <c r="RZ12" i="5"/>
  <c r="RJ12" i="5"/>
  <c r="QT12" i="5"/>
  <c r="QD12" i="5"/>
  <c r="PN12" i="5"/>
  <c r="OX12" i="5"/>
  <c r="OH12" i="5"/>
  <c r="NR12" i="5"/>
  <c r="NB12" i="5"/>
  <c r="ML12" i="5"/>
  <c r="LV12" i="5"/>
  <c r="LF12" i="5"/>
  <c r="KP12" i="5"/>
  <c r="JZ12" i="5"/>
  <c r="JJ12" i="5"/>
  <c r="IT12" i="5"/>
  <c r="ID12" i="5"/>
  <c r="HN12" i="5"/>
  <c r="GX12" i="5"/>
  <c r="GH12" i="5"/>
  <c r="FR12" i="5"/>
  <c r="FB12" i="5"/>
  <c r="EL12" i="5"/>
  <c r="DV12" i="5"/>
  <c r="DF12" i="5"/>
  <c r="CP12" i="5"/>
  <c r="BZ12" i="5"/>
  <c r="BJ12" i="5"/>
  <c r="AT12" i="5"/>
  <c r="AD12" i="5"/>
  <c r="N12" i="5"/>
  <c r="AMF11" i="5"/>
  <c r="ALP11" i="5"/>
  <c r="AKZ11" i="5"/>
  <c r="AKJ11" i="5"/>
  <c r="AJT11" i="5"/>
  <c r="AJD11" i="5"/>
  <c r="AIN11" i="5"/>
  <c r="AHX11" i="5"/>
  <c r="AHH11" i="5"/>
  <c r="AGR11" i="5"/>
  <c r="AGB11" i="5"/>
  <c r="AFL11" i="5"/>
  <c r="AEV11" i="5"/>
  <c r="AEF11" i="5"/>
  <c r="ADP11" i="5"/>
  <c r="ACZ11" i="5"/>
  <c r="ACJ11" i="5"/>
  <c r="ABT11" i="5"/>
  <c r="ABD11" i="5"/>
  <c r="AAN11" i="5"/>
  <c r="ZX11" i="5"/>
  <c r="ZH11" i="5"/>
  <c r="YR11" i="5"/>
  <c r="YB11" i="5"/>
  <c r="XL11" i="5"/>
  <c r="WV11" i="5"/>
  <c r="WF11" i="5"/>
  <c r="VP11" i="5"/>
  <c r="UZ11" i="5"/>
  <c r="UJ11" i="5"/>
  <c r="TT11" i="5"/>
  <c r="TD11" i="5"/>
  <c r="SN11" i="5"/>
  <c r="RX11" i="5"/>
  <c r="RH11" i="5"/>
  <c r="QR11" i="5"/>
  <c r="QB11" i="5"/>
  <c r="PL11" i="5"/>
  <c r="OV11" i="5"/>
  <c r="OF11" i="5"/>
  <c r="NP11" i="5"/>
  <c r="MZ11" i="5"/>
  <c r="MJ11" i="5"/>
  <c r="LT11" i="5"/>
  <c r="LD11" i="5"/>
  <c r="KN11" i="5"/>
  <c r="JX11" i="5"/>
  <c r="JH11" i="5"/>
  <c r="IR11" i="5"/>
  <c r="IB11" i="5"/>
  <c r="HL11" i="5"/>
  <c r="GV11" i="5"/>
  <c r="GF11" i="5"/>
  <c r="FP11" i="5"/>
  <c r="EZ11" i="5"/>
  <c r="EJ11" i="5"/>
  <c r="DT11" i="5"/>
  <c r="DD11" i="5"/>
  <c r="CN11" i="5"/>
  <c r="BX11" i="5"/>
  <c r="BH11" i="5"/>
  <c r="AR11" i="5"/>
  <c r="AB11" i="5"/>
  <c r="L11" i="5"/>
  <c r="AMD10" i="5"/>
  <c r="ALN10" i="5"/>
  <c r="AKX10" i="5"/>
  <c r="AKH10" i="5"/>
  <c r="AJR10" i="5"/>
  <c r="AJB10" i="5"/>
  <c r="AIL10" i="5"/>
  <c r="AHV10" i="5"/>
  <c r="AHF10" i="5"/>
  <c r="AGP10" i="5"/>
  <c r="AFZ10" i="5"/>
  <c r="AFJ10" i="5"/>
  <c r="AET10" i="5"/>
  <c r="AED10" i="5"/>
  <c r="ADN10" i="5"/>
  <c r="ACX10" i="5"/>
  <c r="ACH10" i="5"/>
  <c r="ABR10" i="5"/>
  <c r="ABB10" i="5"/>
  <c r="AAL10" i="5"/>
  <c r="ZV10" i="5"/>
  <c r="ZF10" i="5"/>
  <c r="YP10" i="5"/>
  <c r="XZ10" i="5"/>
  <c r="XJ10" i="5"/>
  <c r="WT10" i="5"/>
  <c r="WD10" i="5"/>
  <c r="VN10" i="5"/>
  <c r="UX10" i="5"/>
  <c r="UH10" i="5"/>
  <c r="TR10" i="5"/>
  <c r="TB10" i="5"/>
  <c r="SL10" i="5"/>
  <c r="RV10" i="5"/>
  <c r="RF10" i="5"/>
  <c r="QP10" i="5"/>
  <c r="PZ10" i="5"/>
  <c r="PJ10" i="5"/>
  <c r="OT10" i="5"/>
  <c r="OD10" i="5"/>
  <c r="NN10" i="5"/>
  <c r="MX10" i="5"/>
  <c r="MH10" i="5"/>
  <c r="LR10" i="5"/>
  <c r="LB10" i="5"/>
  <c r="KL10" i="5"/>
  <c r="JV10" i="5"/>
  <c r="JF10" i="5"/>
  <c r="IP10" i="5"/>
  <c r="HZ10" i="5"/>
  <c r="HJ10" i="5"/>
  <c r="GT10" i="5"/>
  <c r="GD10" i="5"/>
  <c r="FN10" i="5"/>
  <c r="EX10" i="5"/>
  <c r="EH10" i="5"/>
  <c r="DR10" i="5"/>
  <c r="DB10" i="5"/>
  <c r="CL10" i="5"/>
  <c r="BV10" i="5"/>
  <c r="BF10" i="5"/>
  <c r="AP10" i="5"/>
  <c r="Z10" i="5"/>
  <c r="J10" i="5"/>
  <c r="AMB9" i="5"/>
  <c r="ALL9" i="5"/>
  <c r="AER13" i="5"/>
  <c r="AAZ13" i="5"/>
  <c r="YT13" i="5"/>
  <c r="XG13" i="5"/>
  <c r="VN13" i="5"/>
  <c r="TV13" i="5"/>
  <c r="SP13" i="5"/>
  <c r="RJ13" i="5"/>
  <c r="QD13" i="5"/>
  <c r="OX13" i="5"/>
  <c r="NR13" i="5"/>
  <c r="ML13" i="5"/>
  <c r="LN13" i="5"/>
  <c r="KJ13" i="5"/>
  <c r="JF13" i="5"/>
  <c r="IB13" i="5"/>
  <c r="GX13" i="5"/>
  <c r="GA13" i="5"/>
  <c r="EW13" i="5"/>
  <c r="DU13" i="5"/>
  <c r="CY13" i="5"/>
  <c r="BW13" i="5"/>
  <c r="AU13" i="5"/>
  <c r="Y13" i="5"/>
  <c r="AME12" i="5"/>
  <c r="ALK12" i="5"/>
  <c r="AKM12" i="5"/>
  <c r="AJS12" i="5"/>
  <c r="AIY12" i="5"/>
  <c r="AIA12" i="5"/>
  <c r="AHG12" i="5"/>
  <c r="AGN12" i="5"/>
  <c r="AFU12" i="5"/>
  <c r="AEY12" i="5"/>
  <c r="AEF12" i="5"/>
  <c r="ADM12" i="5"/>
  <c r="ACT12" i="5"/>
  <c r="ABX12" i="5"/>
  <c r="ABE12" i="5"/>
  <c r="AAL12" i="5"/>
  <c r="ZT12" i="5"/>
  <c r="ZC12" i="5"/>
  <c r="YL12" i="5"/>
  <c r="XU12" i="5"/>
  <c r="XD12" i="5"/>
  <c r="WL12" i="5"/>
  <c r="VU12" i="5"/>
  <c r="VD12" i="5"/>
  <c r="UM12" i="5"/>
  <c r="TV12" i="5"/>
  <c r="TE12" i="5"/>
  <c r="SO12" i="5"/>
  <c r="RY12" i="5"/>
  <c r="RI12" i="5"/>
  <c r="QS12" i="5"/>
  <c r="QC12" i="5"/>
  <c r="PM12" i="5"/>
  <c r="OW12" i="5"/>
  <c r="OG12" i="5"/>
  <c r="NQ12" i="5"/>
  <c r="NA12" i="5"/>
  <c r="MK12" i="5"/>
  <c r="LU12" i="5"/>
  <c r="LE12" i="5"/>
  <c r="KO12" i="5"/>
  <c r="JY12" i="5"/>
  <c r="JI12" i="5"/>
  <c r="IS12" i="5"/>
  <c r="IC12" i="5"/>
  <c r="HM12" i="5"/>
  <c r="GW12" i="5"/>
  <c r="GG12" i="5"/>
  <c r="FQ12" i="5"/>
  <c r="FA12" i="5"/>
  <c r="EK12" i="5"/>
  <c r="DU12" i="5"/>
  <c r="DE12" i="5"/>
  <c r="CO12" i="5"/>
  <c r="BY12" i="5"/>
  <c r="BI12" i="5"/>
  <c r="AS12" i="5"/>
  <c r="AC12" i="5"/>
  <c r="M12" i="5"/>
  <c r="AME11" i="5"/>
  <c r="ALO11" i="5"/>
  <c r="AKY11" i="5"/>
  <c r="AKI11" i="5"/>
  <c r="AJS11" i="5"/>
  <c r="AJC11" i="5"/>
  <c r="AIM11" i="5"/>
  <c r="AHW11" i="5"/>
  <c r="AHG11" i="5"/>
  <c r="AGQ11" i="5"/>
  <c r="AGA11" i="5"/>
  <c r="AFK11" i="5"/>
  <c r="AEU11" i="5"/>
  <c r="AEE11" i="5"/>
  <c r="ADO11" i="5"/>
  <c r="ACY11" i="5"/>
  <c r="ACI11" i="5"/>
  <c r="ABS11" i="5"/>
  <c r="ABC11" i="5"/>
  <c r="AAM11" i="5"/>
  <c r="ZW11" i="5"/>
  <c r="ZG11" i="5"/>
  <c r="YQ11" i="5"/>
  <c r="YA11" i="5"/>
  <c r="XK11" i="5"/>
  <c r="WU11" i="5"/>
  <c r="WE11" i="5"/>
  <c r="VO11" i="5"/>
  <c r="UY11" i="5"/>
  <c r="UI11" i="5"/>
  <c r="TS11" i="5"/>
  <c r="TC11" i="5"/>
  <c r="SM11" i="5"/>
  <c r="RW11" i="5"/>
  <c r="RG11" i="5"/>
  <c r="QQ11" i="5"/>
  <c r="QA11" i="5"/>
  <c r="PK11" i="5"/>
  <c r="OU11" i="5"/>
  <c r="OE11" i="5"/>
  <c r="NO11" i="5"/>
  <c r="MY11" i="5"/>
  <c r="MI11" i="5"/>
  <c r="LS11" i="5"/>
  <c r="LC11" i="5"/>
  <c r="KM11" i="5"/>
  <c r="JW11" i="5"/>
  <c r="JG11" i="5"/>
  <c r="IQ11" i="5"/>
  <c r="IA11" i="5"/>
  <c r="HK11" i="5"/>
  <c r="GU11" i="5"/>
  <c r="GE11" i="5"/>
  <c r="FO11" i="5"/>
  <c r="EY11" i="5"/>
  <c r="EI11" i="5"/>
  <c r="DS11" i="5"/>
  <c r="DC11" i="5"/>
  <c r="CM11" i="5"/>
  <c r="BW11" i="5"/>
  <c r="BG11" i="5"/>
  <c r="AQ11" i="5"/>
  <c r="AA11" i="5"/>
  <c r="K11" i="5"/>
  <c r="AMC10" i="5"/>
  <c r="ALM10" i="5"/>
  <c r="AKW10" i="5"/>
  <c r="AKG10" i="5"/>
  <c r="AJQ10" i="5"/>
  <c r="AJA10" i="5"/>
  <c r="AIK10" i="5"/>
  <c r="AHU10" i="5"/>
  <c r="AHE10" i="5"/>
  <c r="AGO10" i="5"/>
  <c r="AFY10" i="5"/>
  <c r="AFI10" i="5"/>
  <c r="AES10" i="5"/>
  <c r="AEC10" i="5"/>
  <c r="ADM10" i="5"/>
  <c r="ACW10" i="5"/>
  <c r="ACG10" i="5"/>
  <c r="ABQ10" i="5"/>
  <c r="ABA10" i="5"/>
  <c r="AAK10" i="5"/>
  <c r="ZU10" i="5"/>
  <c r="ZE10" i="5"/>
  <c r="YO10" i="5"/>
  <c r="XY10" i="5"/>
  <c r="XI10" i="5"/>
  <c r="WS10" i="5"/>
  <c r="WC10" i="5"/>
  <c r="VM10" i="5"/>
  <c r="UW10" i="5"/>
  <c r="UG10" i="5"/>
  <c r="TQ10" i="5"/>
  <c r="TA10" i="5"/>
  <c r="SK10" i="5"/>
  <c r="RU10" i="5"/>
  <c r="RE10" i="5"/>
  <c r="QO10" i="5"/>
  <c r="PY10" i="5"/>
  <c r="PI10" i="5"/>
  <c r="OS10" i="5"/>
  <c r="OC10" i="5"/>
  <c r="NM10" i="5"/>
  <c r="MW10" i="5"/>
  <c r="MG10" i="5"/>
  <c r="LQ10" i="5"/>
  <c r="LA10" i="5"/>
  <c r="KK10" i="5"/>
  <c r="JU10" i="5"/>
  <c r="JE10" i="5"/>
  <c r="IO10" i="5"/>
  <c r="HY10" i="5"/>
  <c r="HI10" i="5"/>
  <c r="GS10" i="5"/>
  <c r="GC10" i="5"/>
  <c r="FM10" i="5"/>
  <c r="EW10" i="5"/>
  <c r="EG10" i="5"/>
  <c r="DQ10" i="5"/>
  <c r="DA10" i="5"/>
  <c r="CK10" i="5"/>
  <c r="BU10" i="5"/>
  <c r="BE10" i="5"/>
  <c r="AO10" i="5"/>
  <c r="Y10" i="5"/>
  <c r="I10" i="5"/>
  <c r="AMA9" i="5"/>
  <c r="ALK9" i="5"/>
  <c r="AKU9" i="5"/>
  <c r="AKE9" i="5"/>
  <c r="AJO9" i="5"/>
  <c r="AEP13" i="5"/>
  <c r="AAX13" i="5"/>
  <c r="YR13" i="5"/>
  <c r="XF13" i="5"/>
  <c r="VL13" i="5"/>
  <c r="TT13" i="5"/>
  <c r="SN13" i="5"/>
  <c r="RH13" i="5"/>
  <c r="QB13" i="5"/>
  <c r="OV13" i="5"/>
  <c r="NP13" i="5"/>
  <c r="MJ13" i="5"/>
  <c r="LF13" i="5"/>
  <c r="KI13" i="5"/>
  <c r="JE13" i="5"/>
  <c r="IA13" i="5"/>
  <c r="GW13" i="5"/>
  <c r="FZ13" i="5"/>
  <c r="EV13" i="5"/>
  <c r="DT13" i="5"/>
  <c r="CX13" i="5"/>
  <c r="BV13" i="5"/>
  <c r="AT13" i="5"/>
  <c r="X13" i="5"/>
  <c r="AMD12" i="5"/>
  <c r="ALJ12" i="5"/>
  <c r="AKL12" i="5"/>
  <c r="AJR12" i="5"/>
  <c r="AIX12" i="5"/>
  <c r="AHZ12" i="5"/>
  <c r="AHF12" i="5"/>
  <c r="AGM12" i="5"/>
  <c r="AFT12" i="5"/>
  <c r="AEX12" i="5"/>
  <c r="AEE12" i="5"/>
  <c r="ADL12" i="5"/>
  <c r="ACS12" i="5"/>
  <c r="ABW12" i="5"/>
  <c r="ABD12" i="5"/>
  <c r="AAK12" i="5"/>
  <c r="ZS12" i="5"/>
  <c r="ZB12" i="5"/>
  <c r="YK12" i="5"/>
  <c r="XT12" i="5"/>
  <c r="XB12" i="5"/>
  <c r="WK12" i="5"/>
  <c r="VT12" i="5"/>
  <c r="VC12" i="5"/>
  <c r="UL12" i="5"/>
  <c r="TU12" i="5"/>
  <c r="TD12" i="5"/>
  <c r="SN12" i="5"/>
  <c r="RX12" i="5"/>
  <c r="RH12" i="5"/>
  <c r="QR12" i="5"/>
  <c r="QB12" i="5"/>
  <c r="PL12" i="5"/>
  <c r="OV12" i="5"/>
  <c r="OF12" i="5"/>
  <c r="NP12" i="5"/>
  <c r="MZ12" i="5"/>
  <c r="MJ12" i="5"/>
  <c r="LT12" i="5"/>
  <c r="LD12" i="5"/>
  <c r="KN12" i="5"/>
  <c r="JX12" i="5"/>
  <c r="JH12" i="5"/>
  <c r="IR12" i="5"/>
  <c r="IB12" i="5"/>
  <c r="HL12" i="5"/>
  <c r="GV12" i="5"/>
  <c r="GF12" i="5"/>
  <c r="FP12" i="5"/>
  <c r="EZ12" i="5"/>
  <c r="EJ12" i="5"/>
  <c r="DT12" i="5"/>
  <c r="DD12" i="5"/>
  <c r="CN12" i="5"/>
  <c r="BX12" i="5"/>
  <c r="BH12" i="5"/>
  <c r="AR12" i="5"/>
  <c r="AB12" i="5"/>
  <c r="L12" i="5"/>
  <c r="AMD11" i="5"/>
  <c r="ALN11" i="5"/>
  <c r="AKX11" i="5"/>
  <c r="AKH11" i="5"/>
  <c r="AJR11" i="5"/>
  <c r="AJB11" i="5"/>
  <c r="AIL11" i="5"/>
  <c r="AHV11" i="5"/>
  <c r="AHF11" i="5"/>
  <c r="AGP11" i="5"/>
  <c r="AFZ11" i="5"/>
  <c r="AFJ11" i="5"/>
  <c r="AET11" i="5"/>
  <c r="AED11" i="5"/>
  <c r="ADN11" i="5"/>
  <c r="ACX11" i="5"/>
  <c r="ACH11" i="5"/>
  <c r="ABR11" i="5"/>
  <c r="ABB11" i="5"/>
  <c r="AAL11" i="5"/>
  <c r="ZV11" i="5"/>
  <c r="ZF11" i="5"/>
  <c r="YP11" i="5"/>
  <c r="XZ11" i="5"/>
  <c r="XJ11" i="5"/>
  <c r="WT11" i="5"/>
  <c r="WD11" i="5"/>
  <c r="VN11" i="5"/>
  <c r="UX11" i="5"/>
  <c r="UH11" i="5"/>
  <c r="TR11" i="5"/>
  <c r="TB11" i="5"/>
  <c r="SL11" i="5"/>
  <c r="RV11" i="5"/>
  <c r="RF11" i="5"/>
  <c r="QP11" i="5"/>
  <c r="PZ11" i="5"/>
  <c r="PJ11" i="5"/>
  <c r="OT11" i="5"/>
  <c r="OD11" i="5"/>
  <c r="NN11" i="5"/>
  <c r="MX11" i="5"/>
  <c r="MH11" i="5"/>
  <c r="LR11" i="5"/>
  <c r="LB11" i="5"/>
  <c r="KL11" i="5"/>
  <c r="JV11" i="5"/>
  <c r="JF11" i="5"/>
  <c r="IP11" i="5"/>
  <c r="HZ11" i="5"/>
  <c r="HJ11" i="5"/>
  <c r="GT11" i="5"/>
  <c r="GD11" i="5"/>
  <c r="FN11" i="5"/>
  <c r="EX11" i="5"/>
  <c r="EH11" i="5"/>
  <c r="DR11" i="5"/>
  <c r="DB11" i="5"/>
  <c r="CL11" i="5"/>
  <c r="BV11" i="5"/>
  <c r="BF11" i="5"/>
  <c r="AP11" i="5"/>
  <c r="Z11" i="5"/>
  <c r="J11" i="5"/>
  <c r="AMB10" i="5"/>
  <c r="ALL10" i="5"/>
  <c r="AKV10" i="5"/>
  <c r="AKF10" i="5"/>
  <c r="AJP10" i="5"/>
  <c r="AIZ10" i="5"/>
  <c r="AIJ10" i="5"/>
  <c r="AHT10" i="5"/>
  <c r="AHD10" i="5"/>
  <c r="AGN10" i="5"/>
  <c r="AFX10" i="5"/>
  <c r="AEB13" i="5"/>
  <c r="AAL13" i="5"/>
  <c r="YP13" i="5"/>
  <c r="WX13" i="5"/>
  <c r="VK13" i="5"/>
  <c r="TS13" i="5"/>
  <c r="SM13" i="5"/>
  <c r="RG13" i="5"/>
  <c r="QA13" i="5"/>
  <c r="OU13" i="5"/>
  <c r="NO13" i="5"/>
  <c r="MI13" i="5"/>
  <c r="LE13" i="5"/>
  <c r="KH13" i="5"/>
  <c r="JD13" i="5"/>
  <c r="HZ13" i="5"/>
  <c r="GV13" i="5"/>
  <c r="FR13" i="5"/>
  <c r="EU13" i="5"/>
  <c r="DS13" i="5"/>
  <c r="CQ13" i="5"/>
  <c r="BU13" i="5"/>
  <c r="AS13" i="5"/>
  <c r="W13" i="5"/>
  <c r="AMC12" i="5"/>
  <c r="ALI12" i="5"/>
  <c r="AKK12" i="5"/>
  <c r="AJQ12" i="5"/>
  <c r="AIW12" i="5"/>
  <c r="AHY12" i="5"/>
  <c r="AHE12" i="5"/>
  <c r="AGL12" i="5"/>
  <c r="AFP12" i="5"/>
  <c r="AEW12" i="5"/>
  <c r="AED12" i="5"/>
  <c r="ADK12" i="5"/>
  <c r="ACR12" i="5"/>
  <c r="ABV12" i="5"/>
  <c r="ABC12" i="5"/>
  <c r="AAJ12" i="5"/>
  <c r="ZR12" i="5"/>
  <c r="ZA12" i="5"/>
  <c r="YJ12" i="5"/>
  <c r="XR12" i="5"/>
  <c r="XA12" i="5"/>
  <c r="WJ12" i="5"/>
  <c r="VS12" i="5"/>
  <c r="VB12" i="5"/>
  <c r="UK12" i="5"/>
  <c r="TT12" i="5"/>
  <c r="TC12" i="5"/>
  <c r="SM12" i="5"/>
  <c r="RW12" i="5"/>
  <c r="RG12" i="5"/>
  <c r="QQ12" i="5"/>
  <c r="QA12" i="5"/>
  <c r="PK12" i="5"/>
  <c r="OU12" i="5"/>
  <c r="OE12" i="5"/>
  <c r="NO12" i="5"/>
  <c r="MY12" i="5"/>
  <c r="MI12" i="5"/>
  <c r="LS12" i="5"/>
  <c r="LC12" i="5"/>
  <c r="KM12" i="5"/>
  <c r="JW12" i="5"/>
  <c r="JG12" i="5"/>
  <c r="IQ12" i="5"/>
  <c r="IA12" i="5"/>
  <c r="HK12" i="5"/>
  <c r="GU12" i="5"/>
  <c r="GE12" i="5"/>
  <c r="FO12" i="5"/>
  <c r="EY12" i="5"/>
  <c r="EI12" i="5"/>
  <c r="DS12" i="5"/>
  <c r="DC12" i="5"/>
  <c r="CM12" i="5"/>
  <c r="BW12" i="5"/>
  <c r="BG12" i="5"/>
  <c r="AQ12" i="5"/>
  <c r="AA12" i="5"/>
  <c r="K12" i="5"/>
  <c r="AMC11" i="5"/>
  <c r="ALM11" i="5"/>
  <c r="AKW11" i="5"/>
  <c r="AKG11" i="5"/>
  <c r="AJQ11" i="5"/>
  <c r="AJA11" i="5"/>
  <c r="AIK11" i="5"/>
  <c r="AHU11" i="5"/>
  <c r="AHE11" i="5"/>
  <c r="AGO11" i="5"/>
  <c r="AFY11" i="5"/>
  <c r="AFI11" i="5"/>
  <c r="AES11" i="5"/>
  <c r="AEC11" i="5"/>
  <c r="ADM11" i="5"/>
  <c r="ACW11" i="5"/>
  <c r="ACG11" i="5"/>
  <c r="ABQ11" i="5"/>
  <c r="ABA11" i="5"/>
  <c r="AAK11" i="5"/>
  <c r="ZU11" i="5"/>
  <c r="ZE11" i="5"/>
  <c r="YO11" i="5"/>
  <c r="XY11" i="5"/>
  <c r="XI11" i="5"/>
  <c r="WS11" i="5"/>
  <c r="WC11" i="5"/>
  <c r="VM11" i="5"/>
  <c r="UW11" i="5"/>
  <c r="UG11" i="5"/>
  <c r="TQ11" i="5"/>
  <c r="TA11" i="5"/>
  <c r="SK11" i="5"/>
  <c r="RU11" i="5"/>
  <c r="RE11" i="5"/>
  <c r="QO11" i="5"/>
  <c r="PY11" i="5"/>
  <c r="PI11" i="5"/>
  <c r="OS11" i="5"/>
  <c r="OC11" i="5"/>
  <c r="NM11" i="5"/>
  <c r="MW11" i="5"/>
  <c r="MG11" i="5"/>
  <c r="LQ11" i="5"/>
  <c r="LA11" i="5"/>
  <c r="KK11" i="5"/>
  <c r="JU11" i="5"/>
  <c r="JE11" i="5"/>
  <c r="IO11" i="5"/>
  <c r="HY11" i="5"/>
  <c r="HI11" i="5"/>
  <c r="GS11" i="5"/>
  <c r="GC11" i="5"/>
  <c r="FM11" i="5"/>
  <c r="EW11" i="5"/>
  <c r="EG11" i="5"/>
  <c r="DQ11" i="5"/>
  <c r="DA11" i="5"/>
  <c r="CK11" i="5"/>
  <c r="BU11" i="5"/>
  <c r="BE11" i="5"/>
  <c r="AO11" i="5"/>
  <c r="Y11" i="5"/>
  <c r="I11" i="5"/>
  <c r="AMA10" i="5"/>
  <c r="ALK10" i="5"/>
  <c r="AKU10" i="5"/>
  <c r="AKE10" i="5"/>
  <c r="AJO10" i="5"/>
  <c r="AIY10" i="5"/>
  <c r="AII10" i="5"/>
  <c r="AHS10" i="5"/>
  <c r="AHC10" i="5"/>
  <c r="AGM10" i="5"/>
  <c r="AFW10" i="5"/>
  <c r="AFG10" i="5"/>
  <c r="AEQ10" i="5"/>
  <c r="AEA10" i="5"/>
  <c r="ADK10" i="5"/>
  <c r="ACU10" i="5"/>
  <c r="ACE10" i="5"/>
  <c r="ABO10" i="5"/>
  <c r="AAY10" i="5"/>
  <c r="AAI10" i="5"/>
  <c r="ZS10" i="5"/>
  <c r="ZC10" i="5"/>
  <c r="YM10" i="5"/>
  <c r="XW10" i="5"/>
  <c r="XG10" i="5"/>
  <c r="WQ10" i="5"/>
  <c r="WA10" i="5"/>
  <c r="VK10" i="5"/>
  <c r="UU10" i="5"/>
  <c r="UE10" i="5"/>
  <c r="ADZ13" i="5"/>
  <c r="AAJ13" i="5"/>
  <c r="YN13" i="5"/>
  <c r="WV13" i="5"/>
  <c r="VJ13" i="5"/>
  <c r="TR13" i="5"/>
  <c r="SL13" i="5"/>
  <c r="RF13" i="5"/>
  <c r="PZ13" i="5"/>
  <c r="OT13" i="5"/>
  <c r="NN13" i="5"/>
  <c r="MH13" i="5"/>
  <c r="LD13" i="5"/>
  <c r="JZ13" i="5"/>
  <c r="JC13" i="5"/>
  <c r="HY13" i="5"/>
  <c r="GU13" i="5"/>
  <c r="FQ13" i="5"/>
  <c r="ET13" i="5"/>
  <c r="DR13" i="5"/>
  <c r="CP13" i="5"/>
  <c r="BT13" i="5"/>
  <c r="AR13" i="5"/>
  <c r="V13" i="5"/>
  <c r="AMB12" i="5"/>
  <c r="ALH12" i="5"/>
  <c r="AKJ12" i="5"/>
  <c r="AJP12" i="5"/>
  <c r="AIV12" i="5"/>
  <c r="AHX12" i="5"/>
  <c r="AHD12" i="5"/>
  <c r="AGK12" i="5"/>
  <c r="AFO12" i="5"/>
  <c r="AEV12" i="5"/>
  <c r="AEC12" i="5"/>
  <c r="ADJ12" i="5"/>
  <c r="ACN12" i="5"/>
  <c r="ABU12" i="5"/>
  <c r="ABB12" i="5"/>
  <c r="AAI12" i="5"/>
  <c r="ZQ12" i="5"/>
  <c r="YZ12" i="5"/>
  <c r="YH12" i="5"/>
  <c r="XQ12" i="5"/>
  <c r="WZ12" i="5"/>
  <c r="WI12" i="5"/>
  <c r="VR12" i="5"/>
  <c r="VA12" i="5"/>
  <c r="UJ12" i="5"/>
  <c r="TS12" i="5"/>
  <c r="TB12" i="5"/>
  <c r="SL12" i="5"/>
  <c r="RV12" i="5"/>
  <c r="RF12" i="5"/>
  <c r="QP12" i="5"/>
  <c r="PZ12" i="5"/>
  <c r="PJ12" i="5"/>
  <c r="OT12" i="5"/>
  <c r="OD12" i="5"/>
  <c r="NN12" i="5"/>
  <c r="MX12" i="5"/>
  <c r="MH12" i="5"/>
  <c r="LR12" i="5"/>
  <c r="LB12" i="5"/>
  <c r="KL12" i="5"/>
  <c r="JV12" i="5"/>
  <c r="JF12" i="5"/>
  <c r="IP12" i="5"/>
  <c r="HZ12" i="5"/>
  <c r="HJ12" i="5"/>
  <c r="GT12" i="5"/>
  <c r="GD12" i="5"/>
  <c r="FN12" i="5"/>
  <c r="EX12" i="5"/>
  <c r="EH12" i="5"/>
  <c r="DR12" i="5"/>
  <c r="DB12" i="5"/>
  <c r="CL12" i="5"/>
  <c r="BV12" i="5"/>
  <c r="BF12" i="5"/>
  <c r="AP12" i="5"/>
  <c r="Z12" i="5"/>
  <c r="J12" i="5"/>
  <c r="AMB11" i="5"/>
  <c r="ALL11" i="5"/>
  <c r="AKV11" i="5"/>
  <c r="AKF11" i="5"/>
  <c r="AJP11" i="5"/>
  <c r="AIZ11" i="5"/>
  <c r="AIJ11" i="5"/>
  <c r="AHT11" i="5"/>
  <c r="AHD11" i="5"/>
  <c r="AGN11" i="5"/>
  <c r="AFX11" i="5"/>
  <c r="AFH11" i="5"/>
  <c r="AER11" i="5"/>
  <c r="AEB11" i="5"/>
  <c r="ADL11" i="5"/>
  <c r="ACV11" i="5"/>
  <c r="ACF11" i="5"/>
  <c r="ABP11" i="5"/>
  <c r="AAZ11" i="5"/>
  <c r="AAJ11" i="5"/>
  <c r="ZT11" i="5"/>
  <c r="ZD11" i="5"/>
  <c r="YN11" i="5"/>
  <c r="XX11" i="5"/>
  <c r="XH11" i="5"/>
  <c r="WR11" i="5"/>
  <c r="WB11" i="5"/>
  <c r="VL11" i="5"/>
  <c r="UV11" i="5"/>
  <c r="UF11" i="5"/>
  <c r="TP11" i="5"/>
  <c r="SZ11" i="5"/>
  <c r="SJ11" i="5"/>
  <c r="RT11" i="5"/>
  <c r="RD11" i="5"/>
  <c r="QN11" i="5"/>
  <c r="PX11" i="5"/>
  <c r="PH11" i="5"/>
  <c r="OR11" i="5"/>
  <c r="OB11" i="5"/>
  <c r="NL11" i="5"/>
  <c r="MV11" i="5"/>
  <c r="MF11" i="5"/>
  <c r="LP11" i="5"/>
  <c r="KZ11" i="5"/>
  <c r="KJ11" i="5"/>
  <c r="JT11" i="5"/>
  <c r="JD11" i="5"/>
  <c r="IN11" i="5"/>
  <c r="HX11" i="5"/>
  <c r="HH11" i="5"/>
  <c r="GR11" i="5"/>
  <c r="GB11" i="5"/>
  <c r="FL11" i="5"/>
  <c r="EV11" i="5"/>
  <c r="EF11" i="5"/>
  <c r="DP11" i="5"/>
  <c r="CZ11" i="5"/>
  <c r="CJ11" i="5"/>
  <c r="BT11" i="5"/>
  <c r="BD11" i="5"/>
  <c r="AN11" i="5"/>
  <c r="X11" i="5"/>
  <c r="H11" i="5"/>
  <c r="ALZ10" i="5"/>
  <c r="ALJ10" i="5"/>
  <c r="AKT10" i="5"/>
  <c r="AKD10" i="5"/>
  <c r="AJN10" i="5"/>
  <c r="AIX10" i="5"/>
  <c r="AIH10" i="5"/>
  <c r="AHR10" i="5"/>
  <c r="AHB10" i="5"/>
  <c r="AGL10" i="5"/>
  <c r="AFV10" i="5"/>
  <c r="AFF10" i="5"/>
  <c r="AEP10" i="5"/>
  <c r="ADZ10" i="5"/>
  <c r="ADJ10" i="5"/>
  <c r="ACT10" i="5"/>
  <c r="ACD10" i="5"/>
  <c r="ABN10" i="5"/>
  <c r="AAX10" i="5"/>
  <c r="AAH10" i="5"/>
  <c r="ZR10" i="5"/>
  <c r="ZB10" i="5"/>
  <c r="YL10" i="5"/>
  <c r="XV10" i="5"/>
  <c r="XF10" i="5"/>
  <c r="WP10" i="5"/>
  <c r="VZ10" i="5"/>
  <c r="VJ10" i="5"/>
  <c r="UT10" i="5"/>
  <c r="UD10" i="5"/>
  <c r="TN10" i="5"/>
  <c r="SX10" i="5"/>
  <c r="SH10" i="5"/>
  <c r="RR10" i="5"/>
  <c r="RB10" i="5"/>
  <c r="QL10" i="5"/>
  <c r="PV10" i="5"/>
  <c r="ADL13" i="5"/>
  <c r="AAH13" i="5"/>
  <c r="YM13" i="5"/>
  <c r="WT13" i="5"/>
  <c r="VB13" i="5"/>
  <c r="TQ13" i="5"/>
  <c r="SK13" i="5"/>
  <c r="RE13" i="5"/>
  <c r="PY13" i="5"/>
  <c r="OS13" i="5"/>
  <c r="NM13" i="5"/>
  <c r="MG13" i="5"/>
  <c r="LC13" i="5"/>
  <c r="JY13" i="5"/>
  <c r="JB13" i="5"/>
  <c r="HX13" i="5"/>
  <c r="GT13" i="5"/>
  <c r="FP13" i="5"/>
  <c r="EM13" i="5"/>
  <c r="DQ13" i="5"/>
  <c r="CO13" i="5"/>
  <c r="BS13" i="5"/>
  <c r="AQ13" i="5"/>
  <c r="O13" i="5"/>
  <c r="AMA12" i="5"/>
  <c r="ALC12" i="5"/>
  <c r="AKI12" i="5"/>
  <c r="AJO12" i="5"/>
  <c r="AIQ12" i="5"/>
  <c r="AHW12" i="5"/>
  <c r="AHC12" i="5"/>
  <c r="AGJ12" i="5"/>
  <c r="AFN12" i="5"/>
  <c r="AEU12" i="5"/>
  <c r="AEB12" i="5"/>
  <c r="ADI12" i="5"/>
  <c r="ACM12" i="5"/>
  <c r="ABT12" i="5"/>
  <c r="ABA12" i="5"/>
  <c r="AAH12" i="5"/>
  <c r="ZP12" i="5"/>
  <c r="YX12" i="5"/>
  <c r="YG12" i="5"/>
  <c r="XP12" i="5"/>
  <c r="WY12" i="5"/>
  <c r="WH12" i="5"/>
  <c r="VQ12" i="5"/>
  <c r="UZ12" i="5"/>
  <c r="UI12" i="5"/>
  <c r="TR12" i="5"/>
  <c r="TA12" i="5"/>
  <c r="SK12" i="5"/>
  <c r="RU12" i="5"/>
  <c r="RE12" i="5"/>
  <c r="QO12" i="5"/>
  <c r="PY12" i="5"/>
  <c r="PI12" i="5"/>
  <c r="OS12" i="5"/>
  <c r="OC12" i="5"/>
  <c r="NM12" i="5"/>
  <c r="MW12" i="5"/>
  <c r="MG12" i="5"/>
  <c r="LQ12" i="5"/>
  <c r="LA12" i="5"/>
  <c r="KK12" i="5"/>
  <c r="JU12" i="5"/>
  <c r="JE12" i="5"/>
  <c r="IO12" i="5"/>
  <c r="HY12" i="5"/>
  <c r="HI12" i="5"/>
  <c r="GS12" i="5"/>
  <c r="GC12" i="5"/>
  <c r="FM12" i="5"/>
  <c r="EW12" i="5"/>
  <c r="EG12" i="5"/>
  <c r="DQ12" i="5"/>
  <c r="DA12" i="5"/>
  <c r="CK12" i="5"/>
  <c r="BU12" i="5"/>
  <c r="BE12" i="5"/>
  <c r="AO12" i="5"/>
  <c r="Y12" i="5"/>
  <c r="I12" i="5"/>
  <c r="AMA11" i="5"/>
  <c r="ALK11" i="5"/>
  <c r="AKU11" i="5"/>
  <c r="AKE11" i="5"/>
  <c r="AJO11" i="5"/>
  <c r="AIY11" i="5"/>
  <c r="AII11" i="5"/>
  <c r="AHS11" i="5"/>
  <c r="AHC11" i="5"/>
  <c r="AGM11" i="5"/>
  <c r="AFW11" i="5"/>
  <c r="AFG11" i="5"/>
  <c r="AEQ11" i="5"/>
  <c r="AEA11" i="5"/>
  <c r="ADK11" i="5"/>
  <c r="ACU11" i="5"/>
  <c r="ACE11" i="5"/>
  <c r="ABO11" i="5"/>
  <c r="AAY11" i="5"/>
  <c r="AAI11" i="5"/>
  <c r="ZS11" i="5"/>
  <c r="ZC11" i="5"/>
  <c r="YM11" i="5"/>
  <c r="XW11" i="5"/>
  <c r="XG11" i="5"/>
  <c r="WQ11" i="5"/>
  <c r="WA11" i="5"/>
  <c r="VK11" i="5"/>
  <c r="UU11" i="5"/>
  <c r="UE11" i="5"/>
  <c r="TO11" i="5"/>
  <c r="SY11" i="5"/>
  <c r="SI11" i="5"/>
  <c r="RS11" i="5"/>
  <c r="RC11" i="5"/>
  <c r="QM11" i="5"/>
  <c r="PW11" i="5"/>
  <c r="PG11" i="5"/>
  <c r="OQ11" i="5"/>
  <c r="OA11" i="5"/>
  <c r="NK11" i="5"/>
  <c r="MU11" i="5"/>
  <c r="ME11" i="5"/>
  <c r="LO11" i="5"/>
  <c r="KY11" i="5"/>
  <c r="KI11" i="5"/>
  <c r="JS11" i="5"/>
  <c r="JC11" i="5"/>
  <c r="IM11" i="5"/>
  <c r="HW11" i="5"/>
  <c r="HG11" i="5"/>
  <c r="GQ11" i="5"/>
  <c r="GA11" i="5"/>
  <c r="FK11" i="5"/>
  <c r="EU11" i="5"/>
  <c r="EE11" i="5"/>
  <c r="DO11" i="5"/>
  <c r="CY11" i="5"/>
  <c r="CI11" i="5"/>
  <c r="BS11" i="5"/>
  <c r="BC11" i="5"/>
  <c r="AM11" i="5"/>
  <c r="W11" i="5"/>
  <c r="G11" i="5"/>
  <c r="ALY10" i="5"/>
  <c r="ALI10" i="5"/>
  <c r="AKS10" i="5"/>
  <c r="AKC10" i="5"/>
  <c r="AJM10" i="5"/>
  <c r="AIW10" i="5"/>
  <c r="AIG10" i="5"/>
  <c r="AHQ10" i="5"/>
  <c r="AHA10" i="5"/>
  <c r="AGK10" i="5"/>
  <c r="AFU10" i="5"/>
  <c r="AFE10" i="5"/>
  <c r="AEO10" i="5"/>
  <c r="ADY10" i="5"/>
  <c r="ADI10" i="5"/>
  <c r="ACS10" i="5"/>
  <c r="ACC10" i="5"/>
  <c r="ABM10" i="5"/>
  <c r="AAW10" i="5"/>
  <c r="AAG10" i="5"/>
  <c r="ZQ10" i="5"/>
  <c r="ZA10" i="5"/>
  <c r="YK10" i="5"/>
  <c r="ADJ13" i="5"/>
  <c r="ZZ13" i="5"/>
  <c r="YL13" i="5"/>
  <c r="WR13" i="5"/>
  <c r="UZ13" i="5"/>
  <c r="TP13" i="5"/>
  <c r="SJ13" i="5"/>
  <c r="RD13" i="5"/>
  <c r="PX13" i="5"/>
  <c r="OR13" i="5"/>
  <c r="NL13" i="5"/>
  <c r="MF13" i="5"/>
  <c r="LB13" i="5"/>
  <c r="JX13" i="5"/>
  <c r="IT13" i="5"/>
  <c r="HW13" i="5"/>
  <c r="GS13" i="5"/>
  <c r="FO13" i="5"/>
  <c r="EL13" i="5"/>
  <c r="DP13" i="5"/>
  <c r="CN13" i="5"/>
  <c r="BR13" i="5"/>
  <c r="AP13" i="5"/>
  <c r="N13" i="5"/>
  <c r="ALZ12" i="5"/>
  <c r="ALB12" i="5"/>
  <c r="AKH12" i="5"/>
  <c r="AJN12" i="5"/>
  <c r="AIP12" i="5"/>
  <c r="AHV12" i="5"/>
  <c r="AHB12" i="5"/>
  <c r="AGF12" i="5"/>
  <c r="AFM12" i="5"/>
  <c r="AET12" i="5"/>
  <c r="AEA12" i="5"/>
  <c r="ADH12" i="5"/>
  <c r="ACL12" i="5"/>
  <c r="ABS12" i="5"/>
  <c r="AAZ12" i="5"/>
  <c r="AAG12" i="5"/>
  <c r="ZN12" i="5"/>
  <c r="YW12" i="5"/>
  <c r="YF12" i="5"/>
  <c r="XO12" i="5"/>
  <c r="WX12" i="5"/>
  <c r="WG12" i="5"/>
  <c r="VP12" i="5"/>
  <c r="UY12" i="5"/>
  <c r="UH12" i="5"/>
  <c r="TQ12" i="5"/>
  <c r="SZ12" i="5"/>
  <c r="SJ12" i="5"/>
  <c r="RT12" i="5"/>
  <c r="RD12" i="5"/>
  <c r="QN12" i="5"/>
  <c r="PX12" i="5"/>
  <c r="PH12" i="5"/>
  <c r="OR12" i="5"/>
  <c r="OB12" i="5"/>
  <c r="NL12" i="5"/>
  <c r="MV12" i="5"/>
  <c r="MF12" i="5"/>
  <c r="LP12" i="5"/>
  <c r="KZ12" i="5"/>
  <c r="KJ12" i="5"/>
  <c r="JT12" i="5"/>
  <c r="JD12" i="5"/>
  <c r="IN12" i="5"/>
  <c r="HX12" i="5"/>
  <c r="HH12" i="5"/>
  <c r="GR12" i="5"/>
  <c r="GB12" i="5"/>
  <c r="FL12" i="5"/>
  <c r="EV12" i="5"/>
  <c r="EF12" i="5"/>
  <c r="DP12" i="5"/>
  <c r="CZ12" i="5"/>
  <c r="CJ12" i="5"/>
  <c r="BT12" i="5"/>
  <c r="BD12" i="5"/>
  <c r="AN12" i="5"/>
  <c r="X12" i="5"/>
  <c r="H12" i="5"/>
  <c r="ALZ11" i="5"/>
  <c r="ALJ11" i="5"/>
  <c r="AKT11" i="5"/>
  <c r="AKD11" i="5"/>
  <c r="AJN11" i="5"/>
  <c r="AIX11" i="5"/>
  <c r="AIH11" i="5"/>
  <c r="AHR11" i="5"/>
  <c r="AHB11" i="5"/>
  <c r="AGL11" i="5"/>
  <c r="AFV11" i="5"/>
  <c r="AFF11" i="5"/>
  <c r="AEP11" i="5"/>
  <c r="ADZ11" i="5"/>
  <c r="ADJ11" i="5"/>
  <c r="ACT11" i="5"/>
  <c r="ACD11" i="5"/>
  <c r="ABN11" i="5"/>
  <c r="AAX11" i="5"/>
  <c r="AAH11" i="5"/>
  <c r="ZR11" i="5"/>
  <c r="ZB11" i="5"/>
  <c r="YL11" i="5"/>
  <c r="XV11" i="5"/>
  <c r="XF11" i="5"/>
  <c r="WP11" i="5"/>
  <c r="VZ11" i="5"/>
  <c r="VJ11" i="5"/>
  <c r="UT11" i="5"/>
  <c r="UD11" i="5"/>
  <c r="TN11" i="5"/>
  <c r="SX11" i="5"/>
  <c r="SH11" i="5"/>
  <c r="RR11" i="5"/>
  <c r="RB11" i="5"/>
  <c r="QL11" i="5"/>
  <c r="PV11" i="5"/>
  <c r="PF11" i="5"/>
  <c r="OP11" i="5"/>
  <c r="NZ11" i="5"/>
  <c r="NJ11" i="5"/>
  <c r="MT11" i="5"/>
  <c r="MD11" i="5"/>
  <c r="LN11" i="5"/>
  <c r="KX11" i="5"/>
  <c r="KH11" i="5"/>
  <c r="JR11" i="5"/>
  <c r="JB11" i="5"/>
  <c r="IL11" i="5"/>
  <c r="HV11" i="5"/>
  <c r="HF11" i="5"/>
  <c r="GP11" i="5"/>
  <c r="FZ11" i="5"/>
  <c r="FJ11" i="5"/>
  <c r="ET11" i="5"/>
  <c r="ED11" i="5"/>
  <c r="DN11" i="5"/>
  <c r="CX11" i="5"/>
  <c r="CH11" i="5"/>
  <c r="BR11" i="5"/>
  <c r="BB11" i="5"/>
  <c r="AL11" i="5"/>
  <c r="V11" i="5"/>
  <c r="F11" i="5"/>
  <c r="ALX10" i="5"/>
  <c r="ALH10" i="5"/>
  <c r="AKR10" i="5"/>
  <c r="AKB10" i="5"/>
  <c r="AJL10" i="5"/>
  <c r="AIV10" i="5"/>
  <c r="AIF10" i="5"/>
  <c r="AHP10" i="5"/>
  <c r="AGZ10" i="5"/>
  <c r="AGJ10" i="5"/>
  <c r="AFT10" i="5"/>
  <c r="AFD10" i="5"/>
  <c r="AEN10" i="5"/>
  <c r="ADX10" i="5"/>
  <c r="ADH10" i="5"/>
  <c r="ACR10" i="5"/>
  <c r="ACB10" i="5"/>
  <c r="ABL10" i="5"/>
  <c r="AAV10" i="5"/>
  <c r="AAF10" i="5"/>
  <c r="ZP10" i="5"/>
  <c r="YZ10" i="5"/>
  <c r="YJ10" i="5"/>
  <c r="XT10" i="5"/>
  <c r="XD10" i="5"/>
  <c r="WN10" i="5"/>
  <c r="VX10" i="5"/>
  <c r="VH10" i="5"/>
  <c r="UR10" i="5"/>
  <c r="UB10" i="5"/>
  <c r="TL10" i="5"/>
  <c r="ACX13" i="5"/>
  <c r="ZV13" i="5"/>
  <c r="YD13" i="5"/>
  <c r="WQ13" i="5"/>
  <c r="UX13" i="5"/>
  <c r="TO13" i="5"/>
  <c r="SI13" i="5"/>
  <c r="RC13" i="5"/>
  <c r="PW13" i="5"/>
  <c r="OQ13" i="5"/>
  <c r="NK13" i="5"/>
  <c r="ME13" i="5"/>
  <c r="LA13" i="5"/>
  <c r="JW13" i="5"/>
  <c r="IS13" i="5"/>
  <c r="HV13" i="5"/>
  <c r="GR13" i="5"/>
  <c r="FN13" i="5"/>
  <c r="EK13" i="5"/>
  <c r="DO13" i="5"/>
  <c r="CM13" i="5"/>
  <c r="BK13" i="5"/>
  <c r="AO13" i="5"/>
  <c r="M13" i="5"/>
  <c r="ALY12" i="5"/>
  <c r="ALA12" i="5"/>
  <c r="AKG12" i="5"/>
  <c r="AJM12" i="5"/>
  <c r="AIO12" i="5"/>
  <c r="AHU12" i="5"/>
  <c r="AHA12" i="5"/>
  <c r="AGE12" i="5"/>
  <c r="AFL12" i="5"/>
  <c r="AES12" i="5"/>
  <c r="ADZ12" i="5"/>
  <c r="ADD12" i="5"/>
  <c r="ACK12" i="5"/>
  <c r="ABR12" i="5"/>
  <c r="AAY12" i="5"/>
  <c r="AAF12" i="5"/>
  <c r="ZM12" i="5"/>
  <c r="YV12" i="5"/>
  <c r="YE12" i="5"/>
  <c r="XN12" i="5"/>
  <c r="WW12" i="5"/>
  <c r="WF12" i="5"/>
  <c r="VO12" i="5"/>
  <c r="UX12" i="5"/>
  <c r="UG12" i="5"/>
  <c r="TP12" i="5"/>
  <c r="SY12" i="5"/>
  <c r="SI12" i="5"/>
  <c r="RS12" i="5"/>
  <c r="RC12" i="5"/>
  <c r="QM12" i="5"/>
  <c r="PW12" i="5"/>
  <c r="PG12" i="5"/>
  <c r="OQ12" i="5"/>
  <c r="OA12" i="5"/>
  <c r="NK12" i="5"/>
  <c r="MU12" i="5"/>
  <c r="ME12" i="5"/>
  <c r="LO12" i="5"/>
  <c r="KY12" i="5"/>
  <c r="KI12" i="5"/>
  <c r="JS12" i="5"/>
  <c r="JC12" i="5"/>
  <c r="IM12" i="5"/>
  <c r="HW12" i="5"/>
  <c r="HG12" i="5"/>
  <c r="GQ12" i="5"/>
  <c r="GA12" i="5"/>
  <c r="FK12" i="5"/>
  <c r="EU12" i="5"/>
  <c r="EE12" i="5"/>
  <c r="DO12" i="5"/>
  <c r="CY12" i="5"/>
  <c r="CI12" i="5"/>
  <c r="BS12" i="5"/>
  <c r="BC12" i="5"/>
  <c r="AM12" i="5"/>
  <c r="W12" i="5"/>
  <c r="G12" i="5"/>
  <c r="ALY11" i="5"/>
  <c r="ALI11" i="5"/>
  <c r="AKS11" i="5"/>
  <c r="AKC11" i="5"/>
  <c r="AJM11" i="5"/>
  <c r="AIW11" i="5"/>
  <c r="AIG11" i="5"/>
  <c r="AHQ11" i="5"/>
  <c r="AHA11" i="5"/>
  <c r="AGK11" i="5"/>
  <c r="AFU11" i="5"/>
  <c r="AFE11" i="5"/>
  <c r="AEO11" i="5"/>
  <c r="ADY11" i="5"/>
  <c r="ADI11" i="5"/>
  <c r="ACS11" i="5"/>
  <c r="ACC11" i="5"/>
  <c r="ABM11" i="5"/>
  <c r="AAW11" i="5"/>
  <c r="AAG11" i="5"/>
  <c r="ZQ11" i="5"/>
  <c r="ZA11" i="5"/>
  <c r="YK11" i="5"/>
  <c r="XU11" i="5"/>
  <c r="XE11" i="5"/>
  <c r="WO11" i="5"/>
  <c r="VY11" i="5"/>
  <c r="VI11" i="5"/>
  <c r="US11" i="5"/>
  <c r="UC11" i="5"/>
  <c r="TM11" i="5"/>
  <c r="SW11" i="5"/>
  <c r="SG11" i="5"/>
  <c r="RQ11" i="5"/>
  <c r="RA11" i="5"/>
  <c r="QK11" i="5"/>
  <c r="PU11" i="5"/>
  <c r="PE11" i="5"/>
  <c r="OO11" i="5"/>
  <c r="NY11" i="5"/>
  <c r="NI11" i="5"/>
  <c r="MS11" i="5"/>
  <c r="MC11" i="5"/>
  <c r="LM11" i="5"/>
  <c r="KW11" i="5"/>
  <c r="KG11" i="5"/>
  <c r="JQ11" i="5"/>
  <c r="JA11" i="5"/>
  <c r="IK11" i="5"/>
  <c r="HU11" i="5"/>
  <c r="HE11" i="5"/>
  <c r="GO11" i="5"/>
  <c r="FY11" i="5"/>
  <c r="FI11" i="5"/>
  <c r="ES11" i="5"/>
  <c r="EC11" i="5"/>
  <c r="DM11" i="5"/>
  <c r="CW11" i="5"/>
  <c r="CG11" i="5"/>
  <c r="BQ11" i="5"/>
  <c r="BA11" i="5"/>
  <c r="AK11" i="5"/>
  <c r="U11" i="5"/>
  <c r="E11" i="5"/>
  <c r="ALW10" i="5"/>
  <c r="ALG10" i="5"/>
  <c r="AKQ10" i="5"/>
  <c r="AKA10" i="5"/>
  <c r="AJK10" i="5"/>
  <c r="AIU10" i="5"/>
  <c r="AIE10" i="5"/>
  <c r="AHO10" i="5"/>
  <c r="AGY10" i="5"/>
  <c r="AGI10" i="5"/>
  <c r="AFS10" i="5"/>
  <c r="AFC10" i="5"/>
  <c r="AEM10" i="5"/>
  <c r="ADW10" i="5"/>
  <c r="ADG10" i="5"/>
  <c r="ACV13" i="5"/>
  <c r="ZT13" i="5"/>
  <c r="YB13" i="5"/>
  <c r="WP13" i="5"/>
  <c r="UV13" i="5"/>
  <c r="TN13" i="5"/>
  <c r="SH13" i="5"/>
  <c r="RB13" i="5"/>
  <c r="PV13" i="5"/>
  <c r="OP13" i="5"/>
  <c r="NJ13" i="5"/>
  <c r="MD13" i="5"/>
  <c r="KZ13" i="5"/>
  <c r="JV13" i="5"/>
  <c r="IR13" i="5"/>
  <c r="HN13" i="5"/>
  <c r="GQ13" i="5"/>
  <c r="FM13" i="5"/>
  <c r="EJ13" i="5"/>
  <c r="DN13" i="5"/>
  <c r="CL13" i="5"/>
  <c r="BJ13" i="5"/>
  <c r="AN13" i="5"/>
  <c r="L13" i="5"/>
  <c r="ALX12" i="5"/>
  <c r="AKZ12" i="5"/>
  <c r="AKF12" i="5"/>
  <c r="AJL12" i="5"/>
  <c r="AIN12" i="5"/>
  <c r="AHT12" i="5"/>
  <c r="AGZ12" i="5"/>
  <c r="AGD12" i="5"/>
  <c r="AFK12" i="5"/>
  <c r="AER12" i="5"/>
  <c r="ADY12" i="5"/>
  <c r="ADC12" i="5"/>
  <c r="ACJ12" i="5"/>
  <c r="ABQ12" i="5"/>
  <c r="AAX12" i="5"/>
  <c r="AAD12" i="5"/>
  <c r="ZL12" i="5"/>
  <c r="YU12" i="5"/>
  <c r="YD12" i="5"/>
  <c r="XM12" i="5"/>
  <c r="WV12" i="5"/>
  <c r="WE12" i="5"/>
  <c r="VN12" i="5"/>
  <c r="UW12" i="5"/>
  <c r="UF12" i="5"/>
  <c r="TO12" i="5"/>
  <c r="SX12" i="5"/>
  <c r="SH12" i="5"/>
  <c r="RR12" i="5"/>
  <c r="RB12" i="5"/>
  <c r="QL12" i="5"/>
  <c r="PV12" i="5"/>
  <c r="PF12" i="5"/>
  <c r="OP12" i="5"/>
  <c r="NZ12" i="5"/>
  <c r="NJ12" i="5"/>
  <c r="MT12" i="5"/>
  <c r="MD12" i="5"/>
  <c r="LN12" i="5"/>
  <c r="KX12" i="5"/>
  <c r="KH12" i="5"/>
  <c r="JR12" i="5"/>
  <c r="JB12" i="5"/>
  <c r="IL12" i="5"/>
  <c r="HV12" i="5"/>
  <c r="HF12" i="5"/>
  <c r="GP12" i="5"/>
  <c r="FZ12" i="5"/>
  <c r="FJ12" i="5"/>
  <c r="ET12" i="5"/>
  <c r="ED12" i="5"/>
  <c r="DN12" i="5"/>
  <c r="CX12" i="5"/>
  <c r="CH12" i="5"/>
  <c r="BR12" i="5"/>
  <c r="BB12" i="5"/>
  <c r="AL12" i="5"/>
  <c r="V12" i="5"/>
  <c r="F12" i="5"/>
  <c r="ALX11" i="5"/>
  <c r="ALH11" i="5"/>
  <c r="AKR11" i="5"/>
  <c r="AKB11" i="5"/>
  <c r="AJL11" i="5"/>
  <c r="AIV11" i="5"/>
  <c r="AIF11" i="5"/>
  <c r="AHP11" i="5"/>
  <c r="AGZ11" i="5"/>
  <c r="AGJ11" i="5"/>
  <c r="AFT11" i="5"/>
  <c r="AFD11" i="5"/>
  <c r="AEN11" i="5"/>
  <c r="ADX11" i="5"/>
  <c r="ADH11" i="5"/>
  <c r="ACR11" i="5"/>
  <c r="ACB11" i="5"/>
  <c r="ABL11" i="5"/>
  <c r="AAV11" i="5"/>
  <c r="AAF11" i="5"/>
  <c r="ZP11" i="5"/>
  <c r="YZ11" i="5"/>
  <c r="YJ11" i="5"/>
  <c r="XT11" i="5"/>
  <c r="XD11" i="5"/>
  <c r="WN11" i="5"/>
  <c r="VX11" i="5"/>
  <c r="VH11" i="5"/>
  <c r="UR11" i="5"/>
  <c r="UB11" i="5"/>
  <c r="TL11" i="5"/>
  <c r="SV11" i="5"/>
  <c r="SF11" i="5"/>
  <c r="RP11" i="5"/>
  <c r="QZ11" i="5"/>
  <c r="QJ11" i="5"/>
  <c r="PT11" i="5"/>
  <c r="PD11" i="5"/>
  <c r="ON11" i="5"/>
  <c r="NX11" i="5"/>
  <c r="NH11" i="5"/>
  <c r="MR11" i="5"/>
  <c r="MB11" i="5"/>
  <c r="LL11" i="5"/>
  <c r="KV11" i="5"/>
  <c r="KF11" i="5"/>
  <c r="JP11" i="5"/>
  <c r="IZ11" i="5"/>
  <c r="IJ11" i="5"/>
  <c r="HT11" i="5"/>
  <c r="HD11" i="5"/>
  <c r="GN11" i="5"/>
  <c r="ACT13" i="5"/>
  <c r="ZS13" i="5"/>
  <c r="XZ13" i="5"/>
  <c r="WH13" i="5"/>
  <c r="UU13" i="5"/>
  <c r="TF13" i="5"/>
  <c r="RZ13" i="5"/>
  <c r="QT13" i="5"/>
  <c r="PN13" i="5"/>
  <c r="OH13" i="5"/>
  <c r="NB13" i="5"/>
  <c r="LV13" i="5"/>
  <c r="KY13" i="5"/>
  <c r="JU13" i="5"/>
  <c r="IQ13" i="5"/>
  <c r="HM13" i="5"/>
  <c r="GP13" i="5"/>
  <c r="FL13" i="5"/>
  <c r="EI13" i="5"/>
  <c r="DG13" i="5"/>
  <c r="CK13" i="5"/>
  <c r="BI13" i="5"/>
  <c r="AM13" i="5"/>
  <c r="K13" i="5"/>
  <c r="ALS12" i="5"/>
  <c r="AKY12" i="5"/>
  <c r="AKE12" i="5"/>
  <c r="AJG12" i="5"/>
  <c r="AIM12" i="5"/>
  <c r="AHS12" i="5"/>
  <c r="AGV12" i="5"/>
  <c r="AGC12" i="5"/>
  <c r="AFJ12" i="5"/>
  <c r="AEQ12" i="5"/>
  <c r="ADX12" i="5"/>
  <c r="ADB12" i="5"/>
  <c r="ACI12" i="5"/>
  <c r="ABP12" i="5"/>
  <c r="AAW12" i="5"/>
  <c r="AAB12" i="5"/>
  <c r="ZK12" i="5"/>
  <c r="YT12" i="5"/>
  <c r="YC12" i="5"/>
  <c r="XL12" i="5"/>
  <c r="WU12" i="5"/>
  <c r="WD12" i="5"/>
  <c r="VM12" i="5"/>
  <c r="UV12" i="5"/>
  <c r="UE12" i="5"/>
  <c r="TN12" i="5"/>
  <c r="SW12" i="5"/>
  <c r="SG12" i="5"/>
  <c r="RQ12" i="5"/>
  <c r="RA12" i="5"/>
  <c r="QK12" i="5"/>
  <c r="PU12" i="5"/>
  <c r="PE12" i="5"/>
  <c r="OO12" i="5"/>
  <c r="NY12" i="5"/>
  <c r="NI12" i="5"/>
  <c r="MS12" i="5"/>
  <c r="MC12" i="5"/>
  <c r="LM12" i="5"/>
  <c r="KW12" i="5"/>
  <c r="KG12" i="5"/>
  <c r="JQ12" i="5"/>
  <c r="JA12" i="5"/>
  <c r="IK12" i="5"/>
  <c r="HU12" i="5"/>
  <c r="HE12" i="5"/>
  <c r="GO12" i="5"/>
  <c r="FY12" i="5"/>
  <c r="FI12" i="5"/>
  <c r="ES12" i="5"/>
  <c r="EC12" i="5"/>
  <c r="DM12" i="5"/>
  <c r="CW12" i="5"/>
  <c r="CG12" i="5"/>
  <c r="BQ12" i="5"/>
  <c r="BA12" i="5"/>
  <c r="AK12" i="5"/>
  <c r="U12" i="5"/>
  <c r="E12" i="5"/>
  <c r="ALW11" i="5"/>
  <c r="ALG11" i="5"/>
  <c r="AKQ11" i="5"/>
  <c r="AKA11" i="5"/>
  <c r="AJK11" i="5"/>
  <c r="AIU11" i="5"/>
  <c r="AIE11" i="5"/>
  <c r="AHO11" i="5"/>
  <c r="AGY11" i="5"/>
  <c r="AGI11" i="5"/>
  <c r="AFS11" i="5"/>
  <c r="AFC11" i="5"/>
  <c r="AEM11" i="5"/>
  <c r="ADW11" i="5"/>
  <c r="ADG11" i="5"/>
  <c r="ACQ11" i="5"/>
  <c r="ACA11" i="5"/>
  <c r="ABK11" i="5"/>
  <c r="AAU11" i="5"/>
  <c r="AAE11" i="5"/>
  <c r="ZO11" i="5"/>
  <c r="YY11" i="5"/>
  <c r="YI11" i="5"/>
  <c r="XS11" i="5"/>
  <c r="XC11" i="5"/>
  <c r="WM11" i="5"/>
  <c r="VW11" i="5"/>
  <c r="VG11" i="5"/>
  <c r="UQ11" i="5"/>
  <c r="UA11" i="5"/>
  <c r="TK11" i="5"/>
  <c r="SU11" i="5"/>
  <c r="SE11" i="5"/>
  <c r="RO11" i="5"/>
  <c r="QY11" i="5"/>
  <c r="QI11" i="5"/>
  <c r="PS11" i="5"/>
  <c r="PC11" i="5"/>
  <c r="OM11" i="5"/>
  <c r="NW11" i="5"/>
  <c r="NG11" i="5"/>
  <c r="MQ11" i="5"/>
  <c r="MA11" i="5"/>
  <c r="LK11" i="5"/>
  <c r="KU11" i="5"/>
  <c r="KE11" i="5"/>
  <c r="JO11" i="5"/>
  <c r="IY11" i="5"/>
  <c r="II11" i="5"/>
  <c r="HS11" i="5"/>
  <c r="HC11" i="5"/>
  <c r="GM11" i="5"/>
  <c r="FW11" i="5"/>
  <c r="FG11" i="5"/>
  <c r="EQ11" i="5"/>
  <c r="EA11" i="5"/>
  <c r="DK11" i="5"/>
  <c r="CU11" i="5"/>
  <c r="CE11" i="5"/>
  <c r="BO11" i="5"/>
  <c r="AY11" i="5"/>
  <c r="AI11" i="5"/>
  <c r="S11" i="5"/>
  <c r="C11" i="5"/>
  <c r="ALU10" i="5"/>
  <c r="ALE10" i="5"/>
  <c r="FX11" i="5"/>
  <c r="AJZ10" i="5"/>
  <c r="AFH10" i="5"/>
  <c r="ACF10" i="5"/>
  <c r="ZT10" i="5"/>
  <c r="XQ10" i="5"/>
  <c r="VL10" i="5"/>
  <c r="TO10" i="5"/>
  <c r="SE10" i="5"/>
  <c r="QW10" i="5"/>
  <c r="PG10" i="5"/>
  <c r="OA10" i="5"/>
  <c r="MU10" i="5"/>
  <c r="LO10" i="5"/>
  <c r="KI10" i="5"/>
  <c r="JC10" i="5"/>
  <c r="HW10" i="5"/>
  <c r="GQ10" i="5"/>
  <c r="FK10" i="5"/>
  <c r="EE10" i="5"/>
  <c r="CY10" i="5"/>
  <c r="BS10" i="5"/>
  <c r="AM10" i="5"/>
  <c r="G10" i="5"/>
  <c r="ALI9" i="5"/>
  <c r="AKM9" i="5"/>
  <c r="AJK9" i="5"/>
  <c r="AIK9" i="5"/>
  <c r="AHP9" i="5"/>
  <c r="AGU9" i="5"/>
  <c r="AFW9" i="5"/>
  <c r="AFC9" i="5"/>
  <c r="AEI9" i="5"/>
  <c r="ADK9" i="5"/>
  <c r="ACQ9" i="5"/>
  <c r="ABW9" i="5"/>
  <c r="AAY9" i="5"/>
  <c r="AAE9" i="5"/>
  <c r="ZK9" i="5"/>
  <c r="YM9" i="5"/>
  <c r="XS9" i="5"/>
  <c r="WZ9" i="5"/>
  <c r="WE9" i="5"/>
  <c r="VN9" i="5"/>
  <c r="UW9" i="5"/>
  <c r="UG9" i="5"/>
  <c r="TQ9" i="5"/>
  <c r="TA9" i="5"/>
  <c r="SK9" i="5"/>
  <c r="RU9" i="5"/>
  <c r="RE9" i="5"/>
  <c r="QO9" i="5"/>
  <c r="PY9" i="5"/>
  <c r="PI9" i="5"/>
  <c r="OS9" i="5"/>
  <c r="OC9" i="5"/>
  <c r="NM9" i="5"/>
  <c r="MW9" i="5"/>
  <c r="MG9" i="5"/>
  <c r="LQ9" i="5"/>
  <c r="LA9" i="5"/>
  <c r="KK9" i="5"/>
  <c r="JU9" i="5"/>
  <c r="JE9" i="5"/>
  <c r="IO9" i="5"/>
  <c r="HY9" i="5"/>
  <c r="HI9" i="5"/>
  <c r="GS9" i="5"/>
  <c r="GC9" i="5"/>
  <c r="FM9" i="5"/>
  <c r="EW9" i="5"/>
  <c r="EG9" i="5"/>
  <c r="DQ9" i="5"/>
  <c r="DA9" i="5"/>
  <c r="CK9" i="5"/>
  <c r="BU9" i="5"/>
  <c r="BE9" i="5"/>
  <c r="AO9" i="5"/>
  <c r="Y9" i="5"/>
  <c r="I9" i="5"/>
  <c r="AMA8" i="5"/>
  <c r="ALK8" i="5"/>
  <c r="AKU8" i="5"/>
  <c r="AKE8" i="5"/>
  <c r="AJO8" i="5"/>
  <c r="AIY8" i="5"/>
  <c r="AII8" i="5"/>
  <c r="AHS8" i="5"/>
  <c r="AHC8" i="5"/>
  <c r="AGM8" i="5"/>
  <c r="AFW8" i="5"/>
  <c r="AFG8" i="5"/>
  <c r="AEQ8" i="5"/>
  <c r="AEA8" i="5"/>
  <c r="ADK8" i="5"/>
  <c r="ACU8" i="5"/>
  <c r="ACE8" i="5"/>
  <c r="ABO8" i="5"/>
  <c r="AAY8" i="5"/>
  <c r="AAI8" i="5"/>
  <c r="ZS8" i="5"/>
  <c r="ZC8" i="5"/>
  <c r="YM8" i="5"/>
  <c r="XW8" i="5"/>
  <c r="XG8" i="5"/>
  <c r="WQ8" i="5"/>
  <c r="WA8" i="5"/>
  <c r="VK8" i="5"/>
  <c r="UU8" i="5"/>
  <c r="UE8" i="5"/>
  <c r="TO8" i="5"/>
  <c r="SY8" i="5"/>
  <c r="SI8" i="5"/>
  <c r="RS8" i="5"/>
  <c r="RC8" i="5"/>
  <c r="QM8" i="5"/>
  <c r="PW8" i="5"/>
  <c r="PG8" i="5"/>
  <c r="OQ8" i="5"/>
  <c r="OA8" i="5"/>
  <c r="NK8" i="5"/>
  <c r="MU8" i="5"/>
  <c r="ME8" i="5"/>
  <c r="LO8" i="5"/>
  <c r="KY8" i="5"/>
  <c r="KI8" i="5"/>
  <c r="JS8" i="5"/>
  <c r="JC8" i="5"/>
  <c r="IM8" i="5"/>
  <c r="HW8" i="5"/>
  <c r="HG8" i="5"/>
  <c r="GQ8" i="5"/>
  <c r="GA8" i="5"/>
  <c r="FK8" i="5"/>
  <c r="EU8" i="5"/>
  <c r="EE8" i="5"/>
  <c r="DO8" i="5"/>
  <c r="CY8" i="5"/>
  <c r="CI8" i="5"/>
  <c r="BS8" i="5"/>
  <c r="BC8" i="5"/>
  <c r="AM8" i="5"/>
  <c r="W8" i="5"/>
  <c r="G8" i="5"/>
  <c r="ALY7" i="5"/>
  <c r="ALI7" i="5"/>
  <c r="AKS7" i="5"/>
  <c r="AKC7" i="5"/>
  <c r="AJM7" i="5"/>
  <c r="AIW7" i="5"/>
  <c r="AIG7" i="5"/>
  <c r="AHQ7" i="5"/>
  <c r="AHA7" i="5"/>
  <c r="AGK7" i="5"/>
  <c r="AFU7" i="5"/>
  <c r="AFE7" i="5"/>
  <c r="AEO7" i="5"/>
  <c r="ADY7" i="5"/>
  <c r="ADI7" i="5"/>
  <c r="ACS7" i="5"/>
  <c r="ACC7" i="5"/>
  <c r="ABM7" i="5"/>
  <c r="AAW7" i="5"/>
  <c r="AAG7" i="5"/>
  <c r="ZQ7" i="5"/>
  <c r="ZA7" i="5"/>
  <c r="YK7" i="5"/>
  <c r="XU7" i="5"/>
  <c r="XE7" i="5"/>
  <c r="WO7" i="5"/>
  <c r="VY7" i="5"/>
  <c r="VI7" i="5"/>
  <c r="US7" i="5"/>
  <c r="UC7" i="5"/>
  <c r="TM7" i="5"/>
  <c r="SW7" i="5"/>
  <c r="SG7" i="5"/>
  <c r="RQ7" i="5"/>
  <c r="RA7" i="5"/>
  <c r="QK7" i="5"/>
  <c r="PU7" i="5"/>
  <c r="PE7" i="5"/>
  <c r="OO7" i="5"/>
  <c r="NY7" i="5"/>
  <c r="NI7" i="5"/>
  <c r="MS7" i="5"/>
  <c r="MC7" i="5"/>
  <c r="LM7" i="5"/>
  <c r="KW7" i="5"/>
  <c r="KG7" i="5"/>
  <c r="JQ7" i="5"/>
  <c r="JA7" i="5"/>
  <c r="IK7" i="5"/>
  <c r="HU7" i="5"/>
  <c r="HE7" i="5"/>
  <c r="GO7" i="5"/>
  <c r="FY7" i="5"/>
  <c r="FI7" i="5"/>
  <c r="ES7" i="5"/>
  <c r="EC7" i="5"/>
  <c r="DM7" i="5"/>
  <c r="CW7" i="5"/>
  <c r="CG7" i="5"/>
  <c r="BQ7" i="5"/>
  <c r="BA7" i="5"/>
  <c r="AK7" i="5"/>
  <c r="U7" i="5"/>
  <c r="E7" i="5"/>
  <c r="ALW6" i="5"/>
  <c r="ALG6" i="5"/>
  <c r="AKQ6" i="5"/>
  <c r="AKA6" i="5"/>
  <c r="AJK6" i="5"/>
  <c r="AIU6" i="5"/>
  <c r="AIE6" i="5"/>
  <c r="AHO6" i="5"/>
  <c r="AGY6" i="5"/>
  <c r="AGI6" i="5"/>
  <c r="AFS6" i="5"/>
  <c r="AFC6" i="5"/>
  <c r="AEM6" i="5"/>
  <c r="ADW6" i="5"/>
  <c r="ADG6" i="5"/>
  <c r="ACQ6" i="5"/>
  <c r="ACA6" i="5"/>
  <c r="ABK6" i="5"/>
  <c r="AAU6" i="5"/>
  <c r="AAE6" i="5"/>
  <c r="ZO6" i="5"/>
  <c r="YY6" i="5"/>
  <c r="YI6" i="5"/>
  <c r="XS6" i="5"/>
  <c r="XC6" i="5"/>
  <c r="WM6" i="5"/>
  <c r="VW6" i="5"/>
  <c r="VG6" i="5"/>
  <c r="UQ6" i="5"/>
  <c r="UA6" i="5"/>
  <c r="TK6" i="5"/>
  <c r="SU6" i="5"/>
  <c r="SE6" i="5"/>
  <c r="RO6" i="5"/>
  <c r="QY6" i="5"/>
  <c r="QI6" i="5"/>
  <c r="PS6" i="5"/>
  <c r="PC6" i="5"/>
  <c r="OM6" i="5"/>
  <c r="NW6" i="5"/>
  <c r="NG6" i="5"/>
  <c r="MQ6" i="5"/>
  <c r="MA6" i="5"/>
  <c r="LK6" i="5"/>
  <c r="KU6" i="5"/>
  <c r="KE6" i="5"/>
  <c r="JO6" i="5"/>
  <c r="IY6" i="5"/>
  <c r="II6" i="5"/>
  <c r="HS6" i="5"/>
  <c r="HC6" i="5"/>
  <c r="FH11" i="5"/>
  <c r="AJY10" i="5"/>
  <c r="AFB10" i="5"/>
  <c r="ACA10" i="5"/>
  <c r="ZO10" i="5"/>
  <c r="XH10" i="5"/>
  <c r="VI10" i="5"/>
  <c r="TM10" i="5"/>
  <c r="SD10" i="5"/>
  <c r="QN10" i="5"/>
  <c r="PF10" i="5"/>
  <c r="NZ10" i="5"/>
  <c r="MT10" i="5"/>
  <c r="LN10" i="5"/>
  <c r="KH10" i="5"/>
  <c r="JB10" i="5"/>
  <c r="HV10" i="5"/>
  <c r="GP10" i="5"/>
  <c r="FJ10" i="5"/>
  <c r="ED10" i="5"/>
  <c r="CX10" i="5"/>
  <c r="BR10" i="5"/>
  <c r="AL10" i="5"/>
  <c r="F10" i="5"/>
  <c r="ALH9" i="5"/>
  <c r="AKG9" i="5"/>
  <c r="AJJ9" i="5"/>
  <c r="AIJ9" i="5"/>
  <c r="AHO9" i="5"/>
  <c r="AGP9" i="5"/>
  <c r="AFV9" i="5"/>
  <c r="AFB9" i="5"/>
  <c r="AED9" i="5"/>
  <c r="ADJ9" i="5"/>
  <c r="ACP9" i="5"/>
  <c r="ABR9" i="5"/>
  <c r="AAX9" i="5"/>
  <c r="AAD9" i="5"/>
  <c r="ZF9" i="5"/>
  <c r="YL9" i="5"/>
  <c r="XR9" i="5"/>
  <c r="WY9" i="5"/>
  <c r="WD9" i="5"/>
  <c r="VM9" i="5"/>
  <c r="UV9" i="5"/>
  <c r="UF9" i="5"/>
  <c r="TP9" i="5"/>
  <c r="SZ9" i="5"/>
  <c r="SJ9" i="5"/>
  <c r="RT9" i="5"/>
  <c r="RD9" i="5"/>
  <c r="QN9" i="5"/>
  <c r="PX9" i="5"/>
  <c r="PH9" i="5"/>
  <c r="OR9" i="5"/>
  <c r="OB9" i="5"/>
  <c r="NL9" i="5"/>
  <c r="MV9" i="5"/>
  <c r="MF9" i="5"/>
  <c r="LP9" i="5"/>
  <c r="KZ9" i="5"/>
  <c r="KJ9" i="5"/>
  <c r="JT9" i="5"/>
  <c r="JD9" i="5"/>
  <c r="IN9" i="5"/>
  <c r="HX9" i="5"/>
  <c r="HH9" i="5"/>
  <c r="GR9" i="5"/>
  <c r="GB9" i="5"/>
  <c r="FL9" i="5"/>
  <c r="EV9" i="5"/>
  <c r="EF9" i="5"/>
  <c r="DP9" i="5"/>
  <c r="CZ9" i="5"/>
  <c r="CJ9" i="5"/>
  <c r="BT9" i="5"/>
  <c r="BD9" i="5"/>
  <c r="AN9" i="5"/>
  <c r="X9" i="5"/>
  <c r="H9" i="5"/>
  <c r="ALZ8" i="5"/>
  <c r="ALJ8" i="5"/>
  <c r="AKT8" i="5"/>
  <c r="AKD8" i="5"/>
  <c r="AJN8" i="5"/>
  <c r="AIX8" i="5"/>
  <c r="AIH8" i="5"/>
  <c r="AHR8" i="5"/>
  <c r="AHB8" i="5"/>
  <c r="AGL8" i="5"/>
  <c r="AFV8" i="5"/>
  <c r="AFF8" i="5"/>
  <c r="AEP8" i="5"/>
  <c r="ADZ8" i="5"/>
  <c r="ADJ8" i="5"/>
  <c r="ACT8" i="5"/>
  <c r="ACD8" i="5"/>
  <c r="ABN8" i="5"/>
  <c r="AAX8" i="5"/>
  <c r="AAH8" i="5"/>
  <c r="ZR8" i="5"/>
  <c r="ZB8" i="5"/>
  <c r="YL8" i="5"/>
  <c r="XV8" i="5"/>
  <c r="XF8" i="5"/>
  <c r="WP8" i="5"/>
  <c r="VZ8" i="5"/>
  <c r="VJ8" i="5"/>
  <c r="UT8" i="5"/>
  <c r="UD8" i="5"/>
  <c r="TN8" i="5"/>
  <c r="SX8" i="5"/>
  <c r="SH8" i="5"/>
  <c r="RR8" i="5"/>
  <c r="RB8" i="5"/>
  <c r="QL8" i="5"/>
  <c r="PV8" i="5"/>
  <c r="PF8" i="5"/>
  <c r="OP8" i="5"/>
  <c r="NZ8" i="5"/>
  <c r="NJ8" i="5"/>
  <c r="MT8" i="5"/>
  <c r="MD8" i="5"/>
  <c r="LN8" i="5"/>
  <c r="KX8" i="5"/>
  <c r="KH8" i="5"/>
  <c r="JR8" i="5"/>
  <c r="JB8" i="5"/>
  <c r="IL8" i="5"/>
  <c r="HV8" i="5"/>
  <c r="HF8" i="5"/>
  <c r="GP8" i="5"/>
  <c r="FZ8" i="5"/>
  <c r="FJ8" i="5"/>
  <c r="ET8" i="5"/>
  <c r="ED8" i="5"/>
  <c r="DN8" i="5"/>
  <c r="CX8" i="5"/>
  <c r="CH8" i="5"/>
  <c r="BR8" i="5"/>
  <c r="BB8" i="5"/>
  <c r="AL8" i="5"/>
  <c r="V8" i="5"/>
  <c r="F8" i="5"/>
  <c r="ALX7" i="5"/>
  <c r="ALH7" i="5"/>
  <c r="AKR7" i="5"/>
  <c r="AKB7" i="5"/>
  <c r="AJL7" i="5"/>
  <c r="AIV7" i="5"/>
  <c r="AIF7" i="5"/>
  <c r="AHP7" i="5"/>
  <c r="AGZ7" i="5"/>
  <c r="AGJ7" i="5"/>
  <c r="AFT7" i="5"/>
  <c r="AFD7" i="5"/>
  <c r="AEN7" i="5"/>
  <c r="ADX7" i="5"/>
  <c r="ADH7" i="5"/>
  <c r="ACR7" i="5"/>
  <c r="ACB7" i="5"/>
  <c r="ABL7" i="5"/>
  <c r="AAV7" i="5"/>
  <c r="AAF7" i="5"/>
  <c r="ZP7" i="5"/>
  <c r="YZ7" i="5"/>
  <c r="YJ7" i="5"/>
  <c r="XT7" i="5"/>
  <c r="XD7" i="5"/>
  <c r="WN7" i="5"/>
  <c r="VX7" i="5"/>
  <c r="VH7" i="5"/>
  <c r="UR7" i="5"/>
  <c r="UB7" i="5"/>
  <c r="TL7" i="5"/>
  <c r="SV7" i="5"/>
  <c r="SF7" i="5"/>
  <c r="RP7" i="5"/>
  <c r="QZ7" i="5"/>
  <c r="QJ7" i="5"/>
  <c r="PT7" i="5"/>
  <c r="PD7" i="5"/>
  <c r="ON7" i="5"/>
  <c r="NX7" i="5"/>
  <c r="NH7" i="5"/>
  <c r="MR7" i="5"/>
  <c r="MB7" i="5"/>
  <c r="LL7" i="5"/>
  <c r="KV7" i="5"/>
  <c r="KF7" i="5"/>
  <c r="JP7" i="5"/>
  <c r="IZ7" i="5"/>
  <c r="IJ7" i="5"/>
  <c r="HT7" i="5"/>
  <c r="HD7" i="5"/>
  <c r="GN7" i="5"/>
  <c r="FX7" i="5"/>
  <c r="FH7" i="5"/>
  <c r="ER7" i="5"/>
  <c r="EB7" i="5"/>
  <c r="DL7" i="5"/>
  <c r="CV7" i="5"/>
  <c r="CF7" i="5"/>
  <c r="BP7" i="5"/>
  <c r="AZ7" i="5"/>
  <c r="AJ7" i="5"/>
  <c r="T7" i="5"/>
  <c r="D7" i="5"/>
  <c r="ALV6" i="5"/>
  <c r="ALF6" i="5"/>
  <c r="AKP6" i="5"/>
  <c r="AJZ6" i="5"/>
  <c r="AJJ6" i="5"/>
  <c r="AIT6" i="5"/>
  <c r="AID6" i="5"/>
  <c r="AHN6" i="5"/>
  <c r="AGX6" i="5"/>
  <c r="AGH6" i="5"/>
  <c r="AFR6" i="5"/>
  <c r="AFB6" i="5"/>
  <c r="AEL6" i="5"/>
  <c r="ADV6" i="5"/>
  <c r="ADF6" i="5"/>
  <c r="ACP6" i="5"/>
  <c r="ABZ6" i="5"/>
  <c r="ABJ6" i="5"/>
  <c r="AAT6" i="5"/>
  <c r="AAD6" i="5"/>
  <c r="ZN6" i="5"/>
  <c r="YX6" i="5"/>
  <c r="YH6" i="5"/>
  <c r="XR6" i="5"/>
  <c r="XB6" i="5"/>
  <c r="WL6" i="5"/>
  <c r="VV6" i="5"/>
  <c r="VF6" i="5"/>
  <c r="UP6" i="5"/>
  <c r="TZ6" i="5"/>
  <c r="TJ6" i="5"/>
  <c r="ST6" i="5"/>
  <c r="SD6" i="5"/>
  <c r="RN6" i="5"/>
  <c r="QX6" i="5"/>
  <c r="QH6" i="5"/>
  <c r="PR6" i="5"/>
  <c r="PB6" i="5"/>
  <c r="OL6" i="5"/>
  <c r="NV6" i="5"/>
  <c r="NF6" i="5"/>
  <c r="MP6" i="5"/>
  <c r="LZ6" i="5"/>
  <c r="LJ6" i="5"/>
  <c r="KT6" i="5"/>
  <c r="KD6" i="5"/>
  <c r="JN6" i="5"/>
  <c r="IX6" i="5"/>
  <c r="IH6" i="5"/>
  <c r="HR6" i="5"/>
  <c r="HB6" i="5"/>
  <c r="ER11" i="5"/>
  <c r="AJJ10" i="5"/>
  <c r="AFA10" i="5"/>
  <c r="ABZ10" i="5"/>
  <c r="ZN10" i="5"/>
  <c r="XE10" i="5"/>
  <c r="VG10" i="5"/>
  <c r="TK10" i="5"/>
  <c r="SC10" i="5"/>
  <c r="QM10" i="5"/>
  <c r="PE10" i="5"/>
  <c r="NY10" i="5"/>
  <c r="MS10" i="5"/>
  <c r="LM10" i="5"/>
  <c r="KG10" i="5"/>
  <c r="JA10" i="5"/>
  <c r="HU10" i="5"/>
  <c r="GO10" i="5"/>
  <c r="FI10" i="5"/>
  <c r="EC10" i="5"/>
  <c r="CW10" i="5"/>
  <c r="BQ10" i="5"/>
  <c r="AK10" i="5"/>
  <c r="E10" i="5"/>
  <c r="ALG9" i="5"/>
  <c r="AKF9" i="5"/>
  <c r="AJI9" i="5"/>
  <c r="AII9" i="5"/>
  <c r="AHN9" i="5"/>
  <c r="AGO9" i="5"/>
  <c r="AFU9" i="5"/>
  <c r="AFA9" i="5"/>
  <c r="AEC9" i="5"/>
  <c r="ADI9" i="5"/>
  <c r="ACO9" i="5"/>
  <c r="ABQ9" i="5"/>
  <c r="AAW9" i="5"/>
  <c r="AAC9" i="5"/>
  <c r="ZE9" i="5"/>
  <c r="YK9" i="5"/>
  <c r="XQ9" i="5"/>
  <c r="WU9" i="5"/>
  <c r="WC9" i="5"/>
  <c r="VL9" i="5"/>
  <c r="UU9" i="5"/>
  <c r="UE9" i="5"/>
  <c r="TO9" i="5"/>
  <c r="SY9" i="5"/>
  <c r="SI9" i="5"/>
  <c r="RS9" i="5"/>
  <c r="RC9" i="5"/>
  <c r="QM9" i="5"/>
  <c r="PW9" i="5"/>
  <c r="PG9" i="5"/>
  <c r="OQ9" i="5"/>
  <c r="OA9" i="5"/>
  <c r="NK9" i="5"/>
  <c r="MU9" i="5"/>
  <c r="ME9" i="5"/>
  <c r="LO9" i="5"/>
  <c r="KY9" i="5"/>
  <c r="KI9" i="5"/>
  <c r="JS9" i="5"/>
  <c r="JC9" i="5"/>
  <c r="IM9" i="5"/>
  <c r="HW9" i="5"/>
  <c r="HG9" i="5"/>
  <c r="GQ9" i="5"/>
  <c r="GA9" i="5"/>
  <c r="FK9" i="5"/>
  <c r="EU9" i="5"/>
  <c r="EE9" i="5"/>
  <c r="DO9" i="5"/>
  <c r="CY9" i="5"/>
  <c r="CI9" i="5"/>
  <c r="BS9" i="5"/>
  <c r="BC9" i="5"/>
  <c r="AM9" i="5"/>
  <c r="W9" i="5"/>
  <c r="G9" i="5"/>
  <c r="ALY8" i="5"/>
  <c r="ALI8" i="5"/>
  <c r="AKS8" i="5"/>
  <c r="AKC8" i="5"/>
  <c r="AJM8" i="5"/>
  <c r="AIW8" i="5"/>
  <c r="AIG8" i="5"/>
  <c r="AHQ8" i="5"/>
  <c r="AHA8" i="5"/>
  <c r="AGK8" i="5"/>
  <c r="AFU8" i="5"/>
  <c r="AFE8" i="5"/>
  <c r="AEO8" i="5"/>
  <c r="ADY8" i="5"/>
  <c r="ADI8" i="5"/>
  <c r="ACS8" i="5"/>
  <c r="ACC8" i="5"/>
  <c r="ABM8" i="5"/>
  <c r="AAW8" i="5"/>
  <c r="AAG8" i="5"/>
  <c r="ZQ8" i="5"/>
  <c r="ZA8" i="5"/>
  <c r="YK8" i="5"/>
  <c r="XU8" i="5"/>
  <c r="XE8" i="5"/>
  <c r="WO8" i="5"/>
  <c r="VY8" i="5"/>
  <c r="VI8" i="5"/>
  <c r="US8" i="5"/>
  <c r="UC8" i="5"/>
  <c r="TM8" i="5"/>
  <c r="SW8" i="5"/>
  <c r="SG8" i="5"/>
  <c r="RQ8" i="5"/>
  <c r="RA8" i="5"/>
  <c r="QK8" i="5"/>
  <c r="PU8" i="5"/>
  <c r="PE8" i="5"/>
  <c r="OO8" i="5"/>
  <c r="NY8" i="5"/>
  <c r="NI8" i="5"/>
  <c r="MS8" i="5"/>
  <c r="MC8" i="5"/>
  <c r="LM8" i="5"/>
  <c r="KW8" i="5"/>
  <c r="KG8" i="5"/>
  <c r="JQ8" i="5"/>
  <c r="JA8" i="5"/>
  <c r="IK8" i="5"/>
  <c r="HU8" i="5"/>
  <c r="HE8" i="5"/>
  <c r="GO8" i="5"/>
  <c r="FY8" i="5"/>
  <c r="FI8" i="5"/>
  <c r="ES8" i="5"/>
  <c r="EC8" i="5"/>
  <c r="DM8" i="5"/>
  <c r="CW8" i="5"/>
  <c r="CG8" i="5"/>
  <c r="BQ8" i="5"/>
  <c r="BA8" i="5"/>
  <c r="AK8" i="5"/>
  <c r="U8" i="5"/>
  <c r="E8" i="5"/>
  <c r="ALW7" i="5"/>
  <c r="ALG7" i="5"/>
  <c r="AKQ7" i="5"/>
  <c r="AKA7" i="5"/>
  <c r="AJK7" i="5"/>
  <c r="AIU7" i="5"/>
  <c r="AIE7" i="5"/>
  <c r="AHO7" i="5"/>
  <c r="AGY7" i="5"/>
  <c r="AGI7" i="5"/>
  <c r="AFS7" i="5"/>
  <c r="AFC7" i="5"/>
  <c r="AEM7" i="5"/>
  <c r="ADW7" i="5"/>
  <c r="ADG7" i="5"/>
  <c r="ACQ7" i="5"/>
  <c r="ACA7" i="5"/>
  <c r="ABK7" i="5"/>
  <c r="AAU7" i="5"/>
  <c r="AAE7" i="5"/>
  <c r="ZO7" i="5"/>
  <c r="YY7" i="5"/>
  <c r="YI7" i="5"/>
  <c r="XS7" i="5"/>
  <c r="XC7" i="5"/>
  <c r="WM7" i="5"/>
  <c r="VW7" i="5"/>
  <c r="VG7" i="5"/>
  <c r="UQ7" i="5"/>
  <c r="UA7" i="5"/>
  <c r="TK7" i="5"/>
  <c r="SU7" i="5"/>
  <c r="SE7" i="5"/>
  <c r="RO7" i="5"/>
  <c r="QY7" i="5"/>
  <c r="QI7" i="5"/>
  <c r="PS7" i="5"/>
  <c r="PC7" i="5"/>
  <c r="OM7" i="5"/>
  <c r="NW7" i="5"/>
  <c r="NG7" i="5"/>
  <c r="MQ7" i="5"/>
  <c r="MA7" i="5"/>
  <c r="LK7" i="5"/>
  <c r="KU7" i="5"/>
  <c r="KE7" i="5"/>
  <c r="JO7" i="5"/>
  <c r="IY7" i="5"/>
  <c r="II7" i="5"/>
  <c r="HS7" i="5"/>
  <c r="HC7" i="5"/>
  <c r="GM7" i="5"/>
  <c r="FW7" i="5"/>
  <c r="FG7" i="5"/>
  <c r="EQ7" i="5"/>
  <c r="EA7" i="5"/>
  <c r="DK7" i="5"/>
  <c r="CU7" i="5"/>
  <c r="CE7" i="5"/>
  <c r="BO7" i="5"/>
  <c r="AY7" i="5"/>
  <c r="AI7" i="5"/>
  <c r="S7" i="5"/>
  <c r="C7" i="5"/>
  <c r="ALU6" i="5"/>
  <c r="ALE6" i="5"/>
  <c r="AKO6" i="5"/>
  <c r="AJY6" i="5"/>
  <c r="AJI6" i="5"/>
  <c r="AIS6" i="5"/>
  <c r="AIC6" i="5"/>
  <c r="AHM6" i="5"/>
  <c r="AGW6" i="5"/>
  <c r="AGG6" i="5"/>
  <c r="AFQ6" i="5"/>
  <c r="AFA6" i="5"/>
  <c r="AEK6" i="5"/>
  <c r="ADU6" i="5"/>
  <c r="ADE6" i="5"/>
  <c r="ACO6" i="5"/>
  <c r="ABY6" i="5"/>
  <c r="ABI6" i="5"/>
  <c r="AAS6" i="5"/>
  <c r="AAC6" i="5"/>
  <c r="ZM6" i="5"/>
  <c r="YW6" i="5"/>
  <c r="YG6" i="5"/>
  <c r="XQ6" i="5"/>
  <c r="XA6" i="5"/>
  <c r="WK6" i="5"/>
  <c r="VU6" i="5"/>
  <c r="VE6" i="5"/>
  <c r="UO6" i="5"/>
  <c r="TY6" i="5"/>
  <c r="TI6" i="5"/>
  <c r="SS6" i="5"/>
  <c r="SC6" i="5"/>
  <c r="RM6" i="5"/>
  <c r="QW6" i="5"/>
  <c r="QG6" i="5"/>
  <c r="PQ6" i="5"/>
  <c r="PA6" i="5"/>
  <c r="OK6" i="5"/>
  <c r="NU6" i="5"/>
  <c r="NE6" i="5"/>
  <c r="MO6" i="5"/>
  <c r="LY6" i="5"/>
  <c r="LI6" i="5"/>
  <c r="KS6" i="5"/>
  <c r="KC6" i="5"/>
  <c r="JM6" i="5"/>
  <c r="IW6" i="5"/>
  <c r="IG6" i="5"/>
  <c r="HQ6" i="5"/>
  <c r="HA6" i="5"/>
  <c r="EB11" i="5"/>
  <c r="AJI10" i="5"/>
  <c r="AER10" i="5"/>
  <c r="ABY10" i="5"/>
  <c r="ZM10" i="5"/>
  <c r="XC10" i="5"/>
  <c r="VF10" i="5"/>
  <c r="TJ10" i="5"/>
  <c r="RT10" i="5"/>
  <c r="QK10" i="5"/>
  <c r="PD10" i="5"/>
  <c r="NX10" i="5"/>
  <c r="MR10" i="5"/>
  <c r="LL10" i="5"/>
  <c r="KF10" i="5"/>
  <c r="IZ10" i="5"/>
  <c r="HT10" i="5"/>
  <c r="GN10" i="5"/>
  <c r="FH10" i="5"/>
  <c r="EB10" i="5"/>
  <c r="CV10" i="5"/>
  <c r="BP10" i="5"/>
  <c r="AJ10" i="5"/>
  <c r="D10" i="5"/>
  <c r="ALF9" i="5"/>
  <c r="AKD9" i="5"/>
  <c r="AJH9" i="5"/>
  <c r="AIH9" i="5"/>
  <c r="AHM9" i="5"/>
  <c r="AGN9" i="5"/>
  <c r="AFT9" i="5"/>
  <c r="AEZ9" i="5"/>
  <c r="AEB9" i="5"/>
  <c r="ADH9" i="5"/>
  <c r="ACN9" i="5"/>
  <c r="ABP9" i="5"/>
  <c r="AAV9" i="5"/>
  <c r="AAB9" i="5"/>
  <c r="ZD9" i="5"/>
  <c r="YJ9" i="5"/>
  <c r="XP9" i="5"/>
  <c r="WT9" i="5"/>
  <c r="WB9" i="5"/>
  <c r="VK9" i="5"/>
  <c r="UT9" i="5"/>
  <c r="UD9" i="5"/>
  <c r="TN9" i="5"/>
  <c r="SX9" i="5"/>
  <c r="SH9" i="5"/>
  <c r="RR9" i="5"/>
  <c r="RB9" i="5"/>
  <c r="QL9" i="5"/>
  <c r="PV9" i="5"/>
  <c r="PF9" i="5"/>
  <c r="OP9" i="5"/>
  <c r="NZ9" i="5"/>
  <c r="NJ9" i="5"/>
  <c r="MT9" i="5"/>
  <c r="MD9" i="5"/>
  <c r="LN9" i="5"/>
  <c r="KX9" i="5"/>
  <c r="KH9" i="5"/>
  <c r="JR9" i="5"/>
  <c r="JB9" i="5"/>
  <c r="IL9" i="5"/>
  <c r="HV9" i="5"/>
  <c r="HF9" i="5"/>
  <c r="GP9" i="5"/>
  <c r="FZ9" i="5"/>
  <c r="FJ9" i="5"/>
  <c r="ET9" i="5"/>
  <c r="ED9" i="5"/>
  <c r="DN9" i="5"/>
  <c r="CX9" i="5"/>
  <c r="CH9" i="5"/>
  <c r="BR9" i="5"/>
  <c r="BB9" i="5"/>
  <c r="AL9" i="5"/>
  <c r="V9" i="5"/>
  <c r="F9" i="5"/>
  <c r="ALX8" i="5"/>
  <c r="ALH8" i="5"/>
  <c r="AKR8" i="5"/>
  <c r="AKB8" i="5"/>
  <c r="AJL8" i="5"/>
  <c r="AIV8" i="5"/>
  <c r="AIF8" i="5"/>
  <c r="AHP8" i="5"/>
  <c r="AGZ8" i="5"/>
  <c r="AGJ8" i="5"/>
  <c r="AFT8" i="5"/>
  <c r="AFD8" i="5"/>
  <c r="AEN8" i="5"/>
  <c r="ADX8" i="5"/>
  <c r="ADH8" i="5"/>
  <c r="ACR8" i="5"/>
  <c r="ACB8" i="5"/>
  <c r="ABL8" i="5"/>
  <c r="AAV8" i="5"/>
  <c r="AAF8" i="5"/>
  <c r="ZP8" i="5"/>
  <c r="YZ8" i="5"/>
  <c r="YJ8" i="5"/>
  <c r="XT8" i="5"/>
  <c r="XD8" i="5"/>
  <c r="WN8" i="5"/>
  <c r="VX8" i="5"/>
  <c r="VH8" i="5"/>
  <c r="UR8" i="5"/>
  <c r="UB8" i="5"/>
  <c r="TL8" i="5"/>
  <c r="SV8" i="5"/>
  <c r="SF8" i="5"/>
  <c r="RP8" i="5"/>
  <c r="QZ8" i="5"/>
  <c r="QJ8" i="5"/>
  <c r="PT8" i="5"/>
  <c r="PD8" i="5"/>
  <c r="ON8" i="5"/>
  <c r="NX8" i="5"/>
  <c r="NH8" i="5"/>
  <c r="MR8" i="5"/>
  <c r="MB8" i="5"/>
  <c r="LL8" i="5"/>
  <c r="KV8" i="5"/>
  <c r="KF8" i="5"/>
  <c r="JP8" i="5"/>
  <c r="IZ8" i="5"/>
  <c r="IJ8" i="5"/>
  <c r="HT8" i="5"/>
  <c r="HD8" i="5"/>
  <c r="GN8" i="5"/>
  <c r="FX8" i="5"/>
  <c r="FH8" i="5"/>
  <c r="ER8" i="5"/>
  <c r="EB8" i="5"/>
  <c r="DL8" i="5"/>
  <c r="CV8" i="5"/>
  <c r="CF8" i="5"/>
  <c r="BP8" i="5"/>
  <c r="AZ8" i="5"/>
  <c r="AJ8" i="5"/>
  <c r="T8" i="5"/>
  <c r="D8" i="5"/>
  <c r="ALV7" i="5"/>
  <c r="ALF7" i="5"/>
  <c r="AKP7" i="5"/>
  <c r="AJZ7" i="5"/>
  <c r="AJJ7" i="5"/>
  <c r="AIT7" i="5"/>
  <c r="AID7" i="5"/>
  <c r="AHN7" i="5"/>
  <c r="AGX7" i="5"/>
  <c r="AGH7" i="5"/>
  <c r="AFR7" i="5"/>
  <c r="AFB7" i="5"/>
  <c r="AEL7" i="5"/>
  <c r="ADV7" i="5"/>
  <c r="ADF7" i="5"/>
  <c r="ACP7" i="5"/>
  <c r="ABZ7" i="5"/>
  <c r="ABJ7" i="5"/>
  <c r="AAT7" i="5"/>
  <c r="AAD7" i="5"/>
  <c r="ZN7" i="5"/>
  <c r="YX7" i="5"/>
  <c r="YH7" i="5"/>
  <c r="XR7" i="5"/>
  <c r="XB7" i="5"/>
  <c r="WL7" i="5"/>
  <c r="VV7" i="5"/>
  <c r="VF7" i="5"/>
  <c r="UP7" i="5"/>
  <c r="TZ7" i="5"/>
  <c r="TJ7" i="5"/>
  <c r="ST7" i="5"/>
  <c r="SD7" i="5"/>
  <c r="RN7" i="5"/>
  <c r="QX7" i="5"/>
  <c r="QH7" i="5"/>
  <c r="PR7" i="5"/>
  <c r="PB7" i="5"/>
  <c r="OL7" i="5"/>
  <c r="NV7" i="5"/>
  <c r="NF7" i="5"/>
  <c r="MP7" i="5"/>
  <c r="LZ7" i="5"/>
  <c r="LJ7" i="5"/>
  <c r="KT7" i="5"/>
  <c r="KD7" i="5"/>
  <c r="JN7" i="5"/>
  <c r="IX7" i="5"/>
  <c r="IH7" i="5"/>
  <c r="HR7" i="5"/>
  <c r="HB7" i="5"/>
  <c r="GL7" i="5"/>
  <c r="FV7" i="5"/>
  <c r="FF7" i="5"/>
  <c r="EP7" i="5"/>
  <c r="DZ7" i="5"/>
  <c r="DJ7" i="5"/>
  <c r="CT7" i="5"/>
  <c r="CD7" i="5"/>
  <c r="BN7" i="5"/>
  <c r="AX7" i="5"/>
  <c r="AH7" i="5"/>
  <c r="R7" i="5"/>
  <c r="B7" i="5"/>
  <c r="ALT6" i="5"/>
  <c r="ALD6" i="5"/>
  <c r="AKN6" i="5"/>
  <c r="AJX6" i="5"/>
  <c r="AJH6" i="5"/>
  <c r="AIR6" i="5"/>
  <c r="AIB6" i="5"/>
  <c r="AHL6" i="5"/>
  <c r="AGV6" i="5"/>
  <c r="AGF6" i="5"/>
  <c r="AFP6" i="5"/>
  <c r="AEZ6" i="5"/>
  <c r="AEJ6" i="5"/>
  <c r="ADT6" i="5"/>
  <c r="ADD6" i="5"/>
  <c r="ACN6" i="5"/>
  <c r="ABX6" i="5"/>
  <c r="ABH6" i="5"/>
  <c r="AAR6" i="5"/>
  <c r="AAB6" i="5"/>
  <c r="ZL6" i="5"/>
  <c r="YV6" i="5"/>
  <c r="YF6" i="5"/>
  <c r="XP6" i="5"/>
  <c r="WZ6" i="5"/>
  <c r="DL11" i="5"/>
  <c r="AIT10" i="5"/>
  <c r="AEL10" i="5"/>
  <c r="ABP10" i="5"/>
  <c r="ZD10" i="5"/>
  <c r="XB10" i="5"/>
  <c r="VE10" i="5"/>
  <c r="TI10" i="5"/>
  <c r="RS10" i="5"/>
  <c r="QJ10" i="5"/>
  <c r="PC10" i="5"/>
  <c r="NW10" i="5"/>
  <c r="MQ10" i="5"/>
  <c r="LK10" i="5"/>
  <c r="KE10" i="5"/>
  <c r="IY10" i="5"/>
  <c r="HS10" i="5"/>
  <c r="GM10" i="5"/>
  <c r="FG10" i="5"/>
  <c r="EA10" i="5"/>
  <c r="CU10" i="5"/>
  <c r="BO10" i="5"/>
  <c r="AI10" i="5"/>
  <c r="C10" i="5"/>
  <c r="ALE9" i="5"/>
  <c r="AKC9" i="5"/>
  <c r="AJG9" i="5"/>
  <c r="AIG9" i="5"/>
  <c r="AHL9" i="5"/>
  <c r="AGM9" i="5"/>
  <c r="AFS9" i="5"/>
  <c r="AEY9" i="5"/>
  <c r="AEA9" i="5"/>
  <c r="ADG9" i="5"/>
  <c r="ACM9" i="5"/>
  <c r="ABO9" i="5"/>
  <c r="AAU9" i="5"/>
  <c r="AAA9" i="5"/>
  <c r="ZC9" i="5"/>
  <c r="YI9" i="5"/>
  <c r="XO9" i="5"/>
  <c r="WS9" i="5"/>
  <c r="WA9" i="5"/>
  <c r="VJ9" i="5"/>
  <c r="US9" i="5"/>
  <c r="UC9" i="5"/>
  <c r="TM9" i="5"/>
  <c r="SW9" i="5"/>
  <c r="SG9" i="5"/>
  <c r="RQ9" i="5"/>
  <c r="RA9" i="5"/>
  <c r="QK9" i="5"/>
  <c r="PU9" i="5"/>
  <c r="PE9" i="5"/>
  <c r="OO9" i="5"/>
  <c r="NY9" i="5"/>
  <c r="NI9" i="5"/>
  <c r="MS9" i="5"/>
  <c r="MC9" i="5"/>
  <c r="LM9" i="5"/>
  <c r="KW9" i="5"/>
  <c r="KG9" i="5"/>
  <c r="JQ9" i="5"/>
  <c r="JA9" i="5"/>
  <c r="IK9" i="5"/>
  <c r="HU9" i="5"/>
  <c r="HE9" i="5"/>
  <c r="GO9" i="5"/>
  <c r="FY9" i="5"/>
  <c r="FI9" i="5"/>
  <c r="ES9" i="5"/>
  <c r="EC9" i="5"/>
  <c r="DM9" i="5"/>
  <c r="CW9" i="5"/>
  <c r="CG9" i="5"/>
  <c r="BQ9" i="5"/>
  <c r="BA9" i="5"/>
  <c r="AK9" i="5"/>
  <c r="U9" i="5"/>
  <c r="E9" i="5"/>
  <c r="ALW8" i="5"/>
  <c r="ALG8" i="5"/>
  <c r="AKQ8" i="5"/>
  <c r="AKA8" i="5"/>
  <c r="AJK8" i="5"/>
  <c r="AIU8" i="5"/>
  <c r="AIE8" i="5"/>
  <c r="AHO8" i="5"/>
  <c r="AGY8" i="5"/>
  <c r="AGI8" i="5"/>
  <c r="AFS8" i="5"/>
  <c r="AFC8" i="5"/>
  <c r="AEM8" i="5"/>
  <c r="ADW8" i="5"/>
  <c r="ADG8" i="5"/>
  <c r="ACQ8" i="5"/>
  <c r="ACA8" i="5"/>
  <c r="ABK8" i="5"/>
  <c r="AAU8" i="5"/>
  <c r="AAE8" i="5"/>
  <c r="ZO8" i="5"/>
  <c r="YY8" i="5"/>
  <c r="YI8" i="5"/>
  <c r="XS8" i="5"/>
  <c r="XC8" i="5"/>
  <c r="WM8" i="5"/>
  <c r="VW8" i="5"/>
  <c r="VG8" i="5"/>
  <c r="UQ8" i="5"/>
  <c r="UA8" i="5"/>
  <c r="TK8" i="5"/>
  <c r="SU8" i="5"/>
  <c r="SE8" i="5"/>
  <c r="RO8" i="5"/>
  <c r="QY8" i="5"/>
  <c r="QI8" i="5"/>
  <c r="PS8" i="5"/>
  <c r="PC8" i="5"/>
  <c r="OM8" i="5"/>
  <c r="NW8" i="5"/>
  <c r="NG8" i="5"/>
  <c r="MQ8" i="5"/>
  <c r="MA8" i="5"/>
  <c r="LK8" i="5"/>
  <c r="KU8" i="5"/>
  <c r="KE8" i="5"/>
  <c r="JO8" i="5"/>
  <c r="IY8" i="5"/>
  <c r="II8" i="5"/>
  <c r="HS8" i="5"/>
  <c r="HC8" i="5"/>
  <c r="GM8" i="5"/>
  <c r="FW8" i="5"/>
  <c r="FG8" i="5"/>
  <c r="EQ8" i="5"/>
  <c r="EA8" i="5"/>
  <c r="DK8" i="5"/>
  <c r="CU8" i="5"/>
  <c r="CE8" i="5"/>
  <c r="BO8" i="5"/>
  <c r="AY8" i="5"/>
  <c r="AI8" i="5"/>
  <c r="S8" i="5"/>
  <c r="C8" i="5"/>
  <c r="ALU7" i="5"/>
  <c r="ALE7" i="5"/>
  <c r="AKO7" i="5"/>
  <c r="AJY7" i="5"/>
  <c r="AJI7" i="5"/>
  <c r="AIS7" i="5"/>
  <c r="AIC7" i="5"/>
  <c r="AHM7" i="5"/>
  <c r="AGW7" i="5"/>
  <c r="AGG7" i="5"/>
  <c r="AFQ7" i="5"/>
  <c r="AFA7" i="5"/>
  <c r="AEK7" i="5"/>
  <c r="ADU7" i="5"/>
  <c r="ADE7" i="5"/>
  <c r="ACO7" i="5"/>
  <c r="ABY7" i="5"/>
  <c r="ABI7" i="5"/>
  <c r="AAS7" i="5"/>
  <c r="AAC7" i="5"/>
  <c r="ZM7" i="5"/>
  <c r="YW7" i="5"/>
  <c r="YG7" i="5"/>
  <c r="XQ7" i="5"/>
  <c r="XA7" i="5"/>
  <c r="WK7" i="5"/>
  <c r="VU7" i="5"/>
  <c r="VE7" i="5"/>
  <c r="UO7" i="5"/>
  <c r="TY7" i="5"/>
  <c r="TI7" i="5"/>
  <c r="SS7" i="5"/>
  <c r="SC7" i="5"/>
  <c r="RM7" i="5"/>
  <c r="QW7" i="5"/>
  <c r="QG7" i="5"/>
  <c r="PQ7" i="5"/>
  <c r="PA7" i="5"/>
  <c r="OK7" i="5"/>
  <c r="NU7" i="5"/>
  <c r="NE7" i="5"/>
  <c r="MO7" i="5"/>
  <c r="LY7" i="5"/>
  <c r="LI7" i="5"/>
  <c r="KS7" i="5"/>
  <c r="KC7" i="5"/>
  <c r="JM7" i="5"/>
  <c r="IW7" i="5"/>
  <c r="IG7" i="5"/>
  <c r="HQ7" i="5"/>
  <c r="HA7" i="5"/>
  <c r="GK7" i="5"/>
  <c r="FU7" i="5"/>
  <c r="FE7" i="5"/>
  <c r="EO7" i="5"/>
  <c r="DY7" i="5"/>
  <c r="DI7" i="5"/>
  <c r="CS7" i="5"/>
  <c r="CC7" i="5"/>
  <c r="BM7" i="5"/>
  <c r="AW7" i="5"/>
  <c r="AG7" i="5"/>
  <c r="Q7" i="5"/>
  <c r="A7" i="5"/>
  <c r="ALS6" i="5"/>
  <c r="ALC6" i="5"/>
  <c r="AKM6" i="5"/>
  <c r="AJW6" i="5"/>
  <c r="AJG6" i="5"/>
  <c r="AIQ6" i="5"/>
  <c r="AIA6" i="5"/>
  <c r="AHK6" i="5"/>
  <c r="AGU6" i="5"/>
  <c r="AGE6" i="5"/>
  <c r="AFO6" i="5"/>
  <c r="AEY6" i="5"/>
  <c r="AEI6" i="5"/>
  <c r="ADS6" i="5"/>
  <c r="ADC6" i="5"/>
  <c r="ACM6" i="5"/>
  <c r="ABW6" i="5"/>
  <c r="ABG6" i="5"/>
  <c r="AAQ6" i="5"/>
  <c r="AAA6" i="5"/>
  <c r="ZK6" i="5"/>
  <c r="YU6" i="5"/>
  <c r="YE6" i="5"/>
  <c r="XO6" i="5"/>
  <c r="WY6" i="5"/>
  <c r="WI6" i="5"/>
  <c r="VS6" i="5"/>
  <c r="VC6" i="5"/>
  <c r="UM6" i="5"/>
  <c r="TW6" i="5"/>
  <c r="TG6" i="5"/>
  <c r="SQ6" i="5"/>
  <c r="SA6" i="5"/>
  <c r="RK6" i="5"/>
  <c r="QU6" i="5"/>
  <c r="QE6" i="5"/>
  <c r="PO6" i="5"/>
  <c r="OY6" i="5"/>
  <c r="OI6" i="5"/>
  <c r="NS6" i="5"/>
  <c r="CV11" i="5"/>
  <c r="AIS10" i="5"/>
  <c r="AEK10" i="5"/>
  <c r="ABK10" i="5"/>
  <c r="YY10" i="5"/>
  <c r="XA10" i="5"/>
  <c r="UV10" i="5"/>
  <c r="SZ10" i="5"/>
  <c r="RQ10" i="5"/>
  <c r="QI10" i="5"/>
  <c r="PB10" i="5"/>
  <c r="NV10" i="5"/>
  <c r="MP10" i="5"/>
  <c r="LJ10" i="5"/>
  <c r="KD10" i="5"/>
  <c r="IX10" i="5"/>
  <c r="HR10" i="5"/>
  <c r="GL10" i="5"/>
  <c r="FF10" i="5"/>
  <c r="DZ10" i="5"/>
  <c r="CT10" i="5"/>
  <c r="BN10" i="5"/>
  <c r="AH10" i="5"/>
  <c r="B10" i="5"/>
  <c r="ALD9" i="5"/>
  <c r="AKB9" i="5"/>
  <c r="AJA9" i="5"/>
  <c r="AIF9" i="5"/>
  <c r="AHK9" i="5"/>
  <c r="AGL9" i="5"/>
  <c r="AFR9" i="5"/>
  <c r="AET9" i="5"/>
  <c r="ADZ9" i="5"/>
  <c r="ADF9" i="5"/>
  <c r="ACH9" i="5"/>
  <c r="ABN9" i="5"/>
  <c r="AAT9" i="5"/>
  <c r="ZV9" i="5"/>
  <c r="ZB9" i="5"/>
  <c r="YH9" i="5"/>
  <c r="XK9" i="5"/>
  <c r="WR9" i="5"/>
  <c r="VZ9" i="5"/>
  <c r="VI9" i="5"/>
  <c r="UR9" i="5"/>
  <c r="UB9" i="5"/>
  <c r="TL9" i="5"/>
  <c r="SV9" i="5"/>
  <c r="SF9" i="5"/>
  <c r="RP9" i="5"/>
  <c r="QZ9" i="5"/>
  <c r="QJ9" i="5"/>
  <c r="PT9" i="5"/>
  <c r="PD9" i="5"/>
  <c r="ON9" i="5"/>
  <c r="NX9" i="5"/>
  <c r="NH9" i="5"/>
  <c r="MR9" i="5"/>
  <c r="MB9" i="5"/>
  <c r="LL9" i="5"/>
  <c r="KV9" i="5"/>
  <c r="KF9" i="5"/>
  <c r="JP9" i="5"/>
  <c r="IZ9" i="5"/>
  <c r="IJ9" i="5"/>
  <c r="HT9" i="5"/>
  <c r="HD9" i="5"/>
  <c r="GN9" i="5"/>
  <c r="FX9" i="5"/>
  <c r="FH9" i="5"/>
  <c r="ER9" i="5"/>
  <c r="EB9" i="5"/>
  <c r="DL9" i="5"/>
  <c r="CV9" i="5"/>
  <c r="CF9" i="5"/>
  <c r="BP9" i="5"/>
  <c r="AZ9" i="5"/>
  <c r="AJ9" i="5"/>
  <c r="T9" i="5"/>
  <c r="D9" i="5"/>
  <c r="ALV8" i="5"/>
  <c r="ALF8" i="5"/>
  <c r="AKP8" i="5"/>
  <c r="AJZ8" i="5"/>
  <c r="AJJ8" i="5"/>
  <c r="AIT8" i="5"/>
  <c r="AID8" i="5"/>
  <c r="AHN8" i="5"/>
  <c r="AGX8" i="5"/>
  <c r="AGH8" i="5"/>
  <c r="AFR8" i="5"/>
  <c r="AFB8" i="5"/>
  <c r="AEL8" i="5"/>
  <c r="ADV8" i="5"/>
  <c r="ADF8" i="5"/>
  <c r="ACP8" i="5"/>
  <c r="ABZ8" i="5"/>
  <c r="ABJ8" i="5"/>
  <c r="AAT8" i="5"/>
  <c r="AAD8" i="5"/>
  <c r="ZN8" i="5"/>
  <c r="YX8" i="5"/>
  <c r="YH8" i="5"/>
  <c r="XR8" i="5"/>
  <c r="XB8" i="5"/>
  <c r="WL8" i="5"/>
  <c r="VV8" i="5"/>
  <c r="VF8" i="5"/>
  <c r="UP8" i="5"/>
  <c r="TZ8" i="5"/>
  <c r="TJ8" i="5"/>
  <c r="ST8" i="5"/>
  <c r="SD8" i="5"/>
  <c r="RN8" i="5"/>
  <c r="QX8" i="5"/>
  <c r="QH8" i="5"/>
  <c r="PR8" i="5"/>
  <c r="PB8" i="5"/>
  <c r="OL8" i="5"/>
  <c r="NV8" i="5"/>
  <c r="NF8" i="5"/>
  <c r="MP8" i="5"/>
  <c r="LZ8" i="5"/>
  <c r="LJ8" i="5"/>
  <c r="KT8" i="5"/>
  <c r="KD8" i="5"/>
  <c r="JN8" i="5"/>
  <c r="IX8" i="5"/>
  <c r="IH8" i="5"/>
  <c r="HR8" i="5"/>
  <c r="HB8" i="5"/>
  <c r="GL8" i="5"/>
  <c r="FV8" i="5"/>
  <c r="FF8" i="5"/>
  <c r="EP8" i="5"/>
  <c r="DZ8" i="5"/>
  <c r="DJ8" i="5"/>
  <c r="CT8" i="5"/>
  <c r="CD8" i="5"/>
  <c r="BN8" i="5"/>
  <c r="AX8" i="5"/>
  <c r="AH8" i="5"/>
  <c r="R8" i="5"/>
  <c r="B8" i="5"/>
  <c r="ALT7" i="5"/>
  <c r="ALD7" i="5"/>
  <c r="AKN7" i="5"/>
  <c r="AJX7" i="5"/>
  <c r="AJH7" i="5"/>
  <c r="AIR7" i="5"/>
  <c r="AIB7" i="5"/>
  <c r="AHL7" i="5"/>
  <c r="AGV7" i="5"/>
  <c r="AGF7" i="5"/>
  <c r="AFP7" i="5"/>
  <c r="AEZ7" i="5"/>
  <c r="AEJ7" i="5"/>
  <c r="ADT7" i="5"/>
  <c r="ADD7" i="5"/>
  <c r="ACN7" i="5"/>
  <c r="ABX7" i="5"/>
  <c r="ABH7" i="5"/>
  <c r="AAR7" i="5"/>
  <c r="AAB7" i="5"/>
  <c r="ZL7" i="5"/>
  <c r="YV7" i="5"/>
  <c r="YF7" i="5"/>
  <c r="XP7" i="5"/>
  <c r="WZ7" i="5"/>
  <c r="WJ7" i="5"/>
  <c r="VT7" i="5"/>
  <c r="VD7" i="5"/>
  <c r="UN7" i="5"/>
  <c r="TX7" i="5"/>
  <c r="TH7" i="5"/>
  <c r="SR7" i="5"/>
  <c r="SB7" i="5"/>
  <c r="RL7" i="5"/>
  <c r="QV7" i="5"/>
  <c r="QF7" i="5"/>
  <c r="PP7" i="5"/>
  <c r="OZ7" i="5"/>
  <c r="OJ7" i="5"/>
  <c r="NT7" i="5"/>
  <c r="ND7" i="5"/>
  <c r="MN7" i="5"/>
  <c r="LX7" i="5"/>
  <c r="LH7" i="5"/>
  <c r="KR7" i="5"/>
  <c r="KB7" i="5"/>
  <c r="JL7" i="5"/>
  <c r="IV7" i="5"/>
  <c r="IF7" i="5"/>
  <c r="HP7" i="5"/>
  <c r="GZ7" i="5"/>
  <c r="GJ7" i="5"/>
  <c r="FT7" i="5"/>
  <c r="FD7" i="5"/>
  <c r="EN7" i="5"/>
  <c r="DX7" i="5"/>
  <c r="DH7" i="5"/>
  <c r="CR7" i="5"/>
  <c r="CB7" i="5"/>
  <c r="BL7" i="5"/>
  <c r="AV7" i="5"/>
  <c r="AF7" i="5"/>
  <c r="P7" i="5"/>
  <c r="AMH6" i="5"/>
  <c r="ALR6" i="5"/>
  <c r="ALB6" i="5"/>
  <c r="AKL6" i="5"/>
  <c r="AJV6" i="5"/>
  <c r="AJF6" i="5"/>
  <c r="AIP6" i="5"/>
  <c r="AHZ6" i="5"/>
  <c r="AHJ6" i="5"/>
  <c r="AGT6" i="5"/>
  <c r="AGD6" i="5"/>
  <c r="AFN6" i="5"/>
  <c r="AEX6" i="5"/>
  <c r="AEH6" i="5"/>
  <c r="ADR6" i="5"/>
  <c r="ADB6" i="5"/>
  <c r="ACL6" i="5"/>
  <c r="ABV6" i="5"/>
  <c r="ABF6" i="5"/>
  <c r="AAP6" i="5"/>
  <c r="ZZ6" i="5"/>
  <c r="ZJ6" i="5"/>
  <c r="YT6" i="5"/>
  <c r="YD6" i="5"/>
  <c r="XN6" i="5"/>
  <c r="WX6" i="5"/>
  <c r="WH6" i="5"/>
  <c r="VR6" i="5"/>
  <c r="VB6" i="5"/>
  <c r="UL6" i="5"/>
  <c r="TV6" i="5"/>
  <c r="TF6" i="5"/>
  <c r="SP6" i="5"/>
  <c r="RZ6" i="5"/>
  <c r="RJ6" i="5"/>
  <c r="QT6" i="5"/>
  <c r="QD6" i="5"/>
  <c r="PN6" i="5"/>
  <c r="OX6" i="5"/>
  <c r="OH6" i="5"/>
  <c r="CF11" i="5"/>
  <c r="AID10" i="5"/>
  <c r="AEB10" i="5"/>
  <c r="ABJ10" i="5"/>
  <c r="YX10" i="5"/>
  <c r="WR10" i="5"/>
  <c r="US10" i="5"/>
  <c r="SY10" i="5"/>
  <c r="RP10" i="5"/>
  <c r="QH10" i="5"/>
  <c r="PA10" i="5"/>
  <c r="NU10" i="5"/>
  <c r="MO10" i="5"/>
  <c r="LI10" i="5"/>
  <c r="KC10" i="5"/>
  <c r="IW10" i="5"/>
  <c r="HQ10" i="5"/>
  <c r="GK10" i="5"/>
  <c r="FE10" i="5"/>
  <c r="DY10" i="5"/>
  <c r="CS10" i="5"/>
  <c r="BM10" i="5"/>
  <c r="AG10" i="5"/>
  <c r="A10" i="5"/>
  <c r="ALC9" i="5"/>
  <c r="AKA9" i="5"/>
  <c r="AIZ9" i="5"/>
  <c r="AIE9" i="5"/>
  <c r="AHE9" i="5"/>
  <c r="AGK9" i="5"/>
  <c r="AFQ9" i="5"/>
  <c r="AES9" i="5"/>
  <c r="ADY9" i="5"/>
  <c r="ADE9" i="5"/>
  <c r="ACG9" i="5"/>
  <c r="ABM9" i="5"/>
  <c r="AAS9" i="5"/>
  <c r="ZU9" i="5"/>
  <c r="ZA9" i="5"/>
  <c r="YG9" i="5"/>
  <c r="XJ9" i="5"/>
  <c r="WQ9" i="5"/>
  <c r="VY9" i="5"/>
  <c r="VH9" i="5"/>
  <c r="UQ9" i="5"/>
  <c r="UA9" i="5"/>
  <c r="TK9" i="5"/>
  <c r="SU9" i="5"/>
  <c r="SE9" i="5"/>
  <c r="RO9" i="5"/>
  <c r="QY9" i="5"/>
  <c r="QI9" i="5"/>
  <c r="PS9" i="5"/>
  <c r="PC9" i="5"/>
  <c r="OM9" i="5"/>
  <c r="NW9" i="5"/>
  <c r="NG9" i="5"/>
  <c r="MQ9" i="5"/>
  <c r="MA9" i="5"/>
  <c r="LK9" i="5"/>
  <c r="KU9" i="5"/>
  <c r="KE9" i="5"/>
  <c r="JO9" i="5"/>
  <c r="IY9" i="5"/>
  <c r="II9" i="5"/>
  <c r="HS9" i="5"/>
  <c r="HC9" i="5"/>
  <c r="GM9" i="5"/>
  <c r="FW9" i="5"/>
  <c r="FG9" i="5"/>
  <c r="EQ9" i="5"/>
  <c r="EA9" i="5"/>
  <c r="DK9" i="5"/>
  <c r="CU9" i="5"/>
  <c r="CE9" i="5"/>
  <c r="BO9" i="5"/>
  <c r="AY9" i="5"/>
  <c r="AI9" i="5"/>
  <c r="S9" i="5"/>
  <c r="C9" i="5"/>
  <c r="ALU8" i="5"/>
  <c r="ALE8" i="5"/>
  <c r="AKO8" i="5"/>
  <c r="AJY8" i="5"/>
  <c r="AJI8" i="5"/>
  <c r="AIS8" i="5"/>
  <c r="AIC8" i="5"/>
  <c r="AHM8" i="5"/>
  <c r="AGW8" i="5"/>
  <c r="AGG8" i="5"/>
  <c r="AFQ8" i="5"/>
  <c r="AFA8" i="5"/>
  <c r="AEK8" i="5"/>
  <c r="ADU8" i="5"/>
  <c r="ADE8" i="5"/>
  <c r="ACO8" i="5"/>
  <c r="ABY8" i="5"/>
  <c r="ABI8" i="5"/>
  <c r="AAS8" i="5"/>
  <c r="AAC8" i="5"/>
  <c r="ZM8" i="5"/>
  <c r="YW8" i="5"/>
  <c r="YG8" i="5"/>
  <c r="XQ8" i="5"/>
  <c r="XA8" i="5"/>
  <c r="WK8" i="5"/>
  <c r="VU8" i="5"/>
  <c r="VE8" i="5"/>
  <c r="UO8" i="5"/>
  <c r="TY8" i="5"/>
  <c r="TI8" i="5"/>
  <c r="SS8" i="5"/>
  <c r="SC8" i="5"/>
  <c r="RM8" i="5"/>
  <c r="QW8" i="5"/>
  <c r="QG8" i="5"/>
  <c r="PQ8" i="5"/>
  <c r="PA8" i="5"/>
  <c r="OK8" i="5"/>
  <c r="NU8" i="5"/>
  <c r="NE8" i="5"/>
  <c r="MO8" i="5"/>
  <c r="LY8" i="5"/>
  <c r="LI8" i="5"/>
  <c r="KS8" i="5"/>
  <c r="KC8" i="5"/>
  <c r="JM8" i="5"/>
  <c r="IW8" i="5"/>
  <c r="IG8" i="5"/>
  <c r="HQ8" i="5"/>
  <c r="HA8" i="5"/>
  <c r="GK8" i="5"/>
  <c r="FU8" i="5"/>
  <c r="FE8" i="5"/>
  <c r="EO8" i="5"/>
  <c r="DY8" i="5"/>
  <c r="DI8" i="5"/>
  <c r="CS8" i="5"/>
  <c r="CC8" i="5"/>
  <c r="BM8" i="5"/>
  <c r="AW8" i="5"/>
  <c r="AG8" i="5"/>
  <c r="Q8" i="5"/>
  <c r="A8" i="5"/>
  <c r="ALS7" i="5"/>
  <c r="ALC7" i="5"/>
  <c r="AKM7" i="5"/>
  <c r="AJW7" i="5"/>
  <c r="AJG7" i="5"/>
  <c r="AIQ7" i="5"/>
  <c r="AIA7" i="5"/>
  <c r="AHK7" i="5"/>
  <c r="AGU7" i="5"/>
  <c r="AGE7" i="5"/>
  <c r="AFO7" i="5"/>
  <c r="AEY7" i="5"/>
  <c r="AEI7" i="5"/>
  <c r="ADS7" i="5"/>
  <c r="ADC7" i="5"/>
  <c r="ACM7" i="5"/>
  <c r="ABW7" i="5"/>
  <c r="ABG7" i="5"/>
  <c r="AAQ7" i="5"/>
  <c r="AAA7" i="5"/>
  <c r="ZK7" i="5"/>
  <c r="YU7" i="5"/>
  <c r="YE7" i="5"/>
  <c r="XO7" i="5"/>
  <c r="WY7" i="5"/>
  <c r="WI7" i="5"/>
  <c r="VS7" i="5"/>
  <c r="VC7" i="5"/>
  <c r="UM7" i="5"/>
  <c r="TW7" i="5"/>
  <c r="TG7" i="5"/>
  <c r="SQ7" i="5"/>
  <c r="SA7" i="5"/>
  <c r="RK7" i="5"/>
  <c r="QU7" i="5"/>
  <c r="QE7" i="5"/>
  <c r="PO7" i="5"/>
  <c r="OY7" i="5"/>
  <c r="OI7" i="5"/>
  <c r="NS7" i="5"/>
  <c r="NC7" i="5"/>
  <c r="MM7" i="5"/>
  <c r="LW7" i="5"/>
  <c r="LG7" i="5"/>
  <c r="KQ7" i="5"/>
  <c r="KA7" i="5"/>
  <c r="JK7" i="5"/>
  <c r="IU7" i="5"/>
  <c r="IE7" i="5"/>
  <c r="HO7" i="5"/>
  <c r="GY7" i="5"/>
  <c r="GI7" i="5"/>
  <c r="FS7" i="5"/>
  <c r="FC7" i="5"/>
  <c r="EM7" i="5"/>
  <c r="DW7" i="5"/>
  <c r="DG7" i="5"/>
  <c r="CQ7" i="5"/>
  <c r="CA7" i="5"/>
  <c r="BK7" i="5"/>
  <c r="AU7" i="5"/>
  <c r="AE7" i="5"/>
  <c r="O7" i="5"/>
  <c r="AMG6" i="5"/>
  <c r="ALQ6" i="5"/>
  <c r="ALA6" i="5"/>
  <c r="AKK6" i="5"/>
  <c r="AJU6" i="5"/>
  <c r="AJE6" i="5"/>
  <c r="AIO6" i="5"/>
  <c r="AHY6" i="5"/>
  <c r="AHI6" i="5"/>
  <c r="AGS6" i="5"/>
  <c r="AGC6" i="5"/>
  <c r="AFM6" i="5"/>
  <c r="AEW6" i="5"/>
  <c r="AEG6" i="5"/>
  <c r="ADQ6" i="5"/>
  <c r="ADA6" i="5"/>
  <c r="ACK6" i="5"/>
  <c r="ABU6" i="5"/>
  <c r="ABE6" i="5"/>
  <c r="AAO6" i="5"/>
  <c r="ZY6" i="5"/>
  <c r="ZI6" i="5"/>
  <c r="YS6" i="5"/>
  <c r="YC6" i="5"/>
  <c r="XM6" i="5"/>
  <c r="WW6" i="5"/>
  <c r="WG6" i="5"/>
  <c r="VQ6" i="5"/>
  <c r="VA6" i="5"/>
  <c r="UK6" i="5"/>
  <c r="TU6" i="5"/>
  <c r="BP11" i="5"/>
  <c r="AIC10" i="5"/>
  <c r="ADV10" i="5"/>
  <c r="ABI10" i="5"/>
  <c r="YW10" i="5"/>
  <c r="WO10" i="5"/>
  <c r="UQ10" i="5"/>
  <c r="SW10" i="5"/>
  <c r="RO10" i="5"/>
  <c r="QG10" i="5"/>
  <c r="OR10" i="5"/>
  <c r="NL10" i="5"/>
  <c r="MF10" i="5"/>
  <c r="KZ10" i="5"/>
  <c r="JT10" i="5"/>
  <c r="IN10" i="5"/>
  <c r="HH10" i="5"/>
  <c r="GB10" i="5"/>
  <c r="EV10" i="5"/>
  <c r="DP10" i="5"/>
  <c r="CJ10" i="5"/>
  <c r="BD10" i="5"/>
  <c r="X10" i="5"/>
  <c r="ALZ9" i="5"/>
  <c r="AKW9" i="5"/>
  <c r="AJZ9" i="5"/>
  <c r="AIY9" i="5"/>
  <c r="AID9" i="5"/>
  <c r="AHD9" i="5"/>
  <c r="AGJ9" i="5"/>
  <c r="AFP9" i="5"/>
  <c r="AER9" i="5"/>
  <c r="ADX9" i="5"/>
  <c r="ADD9" i="5"/>
  <c r="ACF9" i="5"/>
  <c r="ABL9" i="5"/>
  <c r="AAR9" i="5"/>
  <c r="ZT9" i="5"/>
  <c r="YZ9" i="5"/>
  <c r="YF9" i="5"/>
  <c r="XI9" i="5"/>
  <c r="WP9" i="5"/>
  <c r="VX9" i="5"/>
  <c r="VG9" i="5"/>
  <c r="UP9" i="5"/>
  <c r="TZ9" i="5"/>
  <c r="TJ9" i="5"/>
  <c r="ST9" i="5"/>
  <c r="SD9" i="5"/>
  <c r="RN9" i="5"/>
  <c r="QX9" i="5"/>
  <c r="QH9" i="5"/>
  <c r="PR9" i="5"/>
  <c r="PB9" i="5"/>
  <c r="OL9" i="5"/>
  <c r="NV9" i="5"/>
  <c r="NF9" i="5"/>
  <c r="MP9" i="5"/>
  <c r="LZ9" i="5"/>
  <c r="LJ9" i="5"/>
  <c r="KT9" i="5"/>
  <c r="KD9" i="5"/>
  <c r="JN9" i="5"/>
  <c r="IX9" i="5"/>
  <c r="IH9" i="5"/>
  <c r="HR9" i="5"/>
  <c r="HB9" i="5"/>
  <c r="GL9" i="5"/>
  <c r="FV9" i="5"/>
  <c r="FF9" i="5"/>
  <c r="EP9" i="5"/>
  <c r="DZ9" i="5"/>
  <c r="DJ9" i="5"/>
  <c r="CT9" i="5"/>
  <c r="CD9" i="5"/>
  <c r="BN9" i="5"/>
  <c r="AX9" i="5"/>
  <c r="AH9" i="5"/>
  <c r="R9" i="5"/>
  <c r="B9" i="5"/>
  <c r="ALT8" i="5"/>
  <c r="ALD8" i="5"/>
  <c r="AKN8" i="5"/>
  <c r="AJX8" i="5"/>
  <c r="AJH8" i="5"/>
  <c r="AIR8" i="5"/>
  <c r="AIB8" i="5"/>
  <c r="AHL8" i="5"/>
  <c r="AGV8" i="5"/>
  <c r="AGF8" i="5"/>
  <c r="AFP8" i="5"/>
  <c r="AEZ8" i="5"/>
  <c r="AEJ8" i="5"/>
  <c r="ADT8" i="5"/>
  <c r="ADD8" i="5"/>
  <c r="ACN8" i="5"/>
  <c r="ABX8" i="5"/>
  <c r="ABH8" i="5"/>
  <c r="AAR8" i="5"/>
  <c r="AAB8" i="5"/>
  <c r="ZL8" i="5"/>
  <c r="YV8" i="5"/>
  <c r="YF8" i="5"/>
  <c r="XP8" i="5"/>
  <c r="WZ8" i="5"/>
  <c r="WJ8" i="5"/>
  <c r="VT8" i="5"/>
  <c r="VD8" i="5"/>
  <c r="UN8" i="5"/>
  <c r="TX8" i="5"/>
  <c r="TH8" i="5"/>
  <c r="SR8" i="5"/>
  <c r="SB8" i="5"/>
  <c r="RL8" i="5"/>
  <c r="QV8" i="5"/>
  <c r="QF8" i="5"/>
  <c r="PP8" i="5"/>
  <c r="OZ8" i="5"/>
  <c r="OJ8" i="5"/>
  <c r="NT8" i="5"/>
  <c r="ND8" i="5"/>
  <c r="MN8" i="5"/>
  <c r="LX8" i="5"/>
  <c r="LH8" i="5"/>
  <c r="KR8" i="5"/>
  <c r="KB8" i="5"/>
  <c r="JL8" i="5"/>
  <c r="IV8" i="5"/>
  <c r="IF8" i="5"/>
  <c r="HP8" i="5"/>
  <c r="GZ8" i="5"/>
  <c r="GJ8" i="5"/>
  <c r="FT8" i="5"/>
  <c r="FD8" i="5"/>
  <c r="EN8" i="5"/>
  <c r="DX8" i="5"/>
  <c r="DH8" i="5"/>
  <c r="CR8" i="5"/>
  <c r="CB8" i="5"/>
  <c r="BL8" i="5"/>
  <c r="AV8" i="5"/>
  <c r="AF8" i="5"/>
  <c r="P8" i="5"/>
  <c r="AMH7" i="5"/>
  <c r="ALR7" i="5"/>
  <c r="ALB7" i="5"/>
  <c r="AKL7" i="5"/>
  <c r="AJV7" i="5"/>
  <c r="AJF7" i="5"/>
  <c r="AIP7" i="5"/>
  <c r="AHZ7" i="5"/>
  <c r="AHJ7" i="5"/>
  <c r="AGT7" i="5"/>
  <c r="AGD7" i="5"/>
  <c r="AFN7" i="5"/>
  <c r="AEX7" i="5"/>
  <c r="AEH7" i="5"/>
  <c r="ADR7" i="5"/>
  <c r="ADB7" i="5"/>
  <c r="ACL7" i="5"/>
  <c r="ABV7" i="5"/>
  <c r="ABF7" i="5"/>
  <c r="AAP7" i="5"/>
  <c r="ZZ7" i="5"/>
  <c r="ZJ7" i="5"/>
  <c r="YT7" i="5"/>
  <c r="YD7" i="5"/>
  <c r="XN7" i="5"/>
  <c r="WX7" i="5"/>
  <c r="WH7" i="5"/>
  <c r="VR7" i="5"/>
  <c r="VB7" i="5"/>
  <c r="UL7" i="5"/>
  <c r="TV7" i="5"/>
  <c r="TF7" i="5"/>
  <c r="SP7" i="5"/>
  <c r="RZ7" i="5"/>
  <c r="RJ7" i="5"/>
  <c r="QT7" i="5"/>
  <c r="QD7" i="5"/>
  <c r="PN7" i="5"/>
  <c r="OX7" i="5"/>
  <c r="OH7" i="5"/>
  <c r="NR7" i="5"/>
  <c r="NB7" i="5"/>
  <c r="ML7" i="5"/>
  <c r="LV7" i="5"/>
  <c r="LF7" i="5"/>
  <c r="KP7" i="5"/>
  <c r="JZ7" i="5"/>
  <c r="JJ7" i="5"/>
  <c r="IT7" i="5"/>
  <c r="ID7" i="5"/>
  <c r="HN7" i="5"/>
  <c r="GX7" i="5"/>
  <c r="GH7" i="5"/>
  <c r="FR7" i="5"/>
  <c r="FB7" i="5"/>
  <c r="EL7" i="5"/>
  <c r="DV7" i="5"/>
  <c r="DF7" i="5"/>
  <c r="CP7" i="5"/>
  <c r="BZ7" i="5"/>
  <c r="BJ7" i="5"/>
  <c r="AT7" i="5"/>
  <c r="AD7" i="5"/>
  <c r="N7" i="5"/>
  <c r="AMF6" i="5"/>
  <c r="ALP6" i="5"/>
  <c r="AKZ6" i="5"/>
  <c r="AKJ6" i="5"/>
  <c r="AJT6" i="5"/>
  <c r="AJD6" i="5"/>
  <c r="AIN6" i="5"/>
  <c r="AHX6" i="5"/>
  <c r="AHH6" i="5"/>
  <c r="AZ11" i="5"/>
  <c r="AHN10" i="5"/>
  <c r="ADU10" i="5"/>
  <c r="AAZ10" i="5"/>
  <c r="YN10" i="5"/>
  <c r="WM10" i="5"/>
  <c r="UP10" i="5"/>
  <c r="SV10" i="5"/>
  <c r="RN10" i="5"/>
  <c r="PX10" i="5"/>
  <c r="OQ10" i="5"/>
  <c r="NK10" i="5"/>
  <c r="ME10" i="5"/>
  <c r="KY10" i="5"/>
  <c r="JS10" i="5"/>
  <c r="IM10" i="5"/>
  <c r="HG10" i="5"/>
  <c r="GA10" i="5"/>
  <c r="EU10" i="5"/>
  <c r="DO10" i="5"/>
  <c r="CI10" i="5"/>
  <c r="BC10" i="5"/>
  <c r="W10" i="5"/>
  <c r="ALY9" i="5"/>
  <c r="AKV9" i="5"/>
  <c r="AJY9" i="5"/>
  <c r="AIX9" i="5"/>
  <c r="AIC9" i="5"/>
  <c r="AHC9" i="5"/>
  <c r="AGI9" i="5"/>
  <c r="AFO9" i="5"/>
  <c r="AEQ9" i="5"/>
  <c r="ADW9" i="5"/>
  <c r="ADC9" i="5"/>
  <c r="ACE9" i="5"/>
  <c r="ABK9" i="5"/>
  <c r="AAQ9" i="5"/>
  <c r="ZS9" i="5"/>
  <c r="YY9" i="5"/>
  <c r="YE9" i="5"/>
  <c r="XH9" i="5"/>
  <c r="WO9" i="5"/>
  <c r="VW9" i="5"/>
  <c r="VF9" i="5"/>
  <c r="UO9" i="5"/>
  <c r="TY9" i="5"/>
  <c r="TI9" i="5"/>
  <c r="SS9" i="5"/>
  <c r="SC9" i="5"/>
  <c r="RM9" i="5"/>
  <c r="QW9" i="5"/>
  <c r="QG9" i="5"/>
  <c r="PQ9" i="5"/>
  <c r="PA9" i="5"/>
  <c r="OK9" i="5"/>
  <c r="NU9" i="5"/>
  <c r="NE9" i="5"/>
  <c r="MO9" i="5"/>
  <c r="LY9" i="5"/>
  <c r="LI9" i="5"/>
  <c r="KS9" i="5"/>
  <c r="KC9" i="5"/>
  <c r="JM9" i="5"/>
  <c r="IW9" i="5"/>
  <c r="IG9" i="5"/>
  <c r="HQ9" i="5"/>
  <c r="HA9" i="5"/>
  <c r="GK9" i="5"/>
  <c r="FU9" i="5"/>
  <c r="FE9" i="5"/>
  <c r="EO9" i="5"/>
  <c r="DY9" i="5"/>
  <c r="DI9" i="5"/>
  <c r="CS9" i="5"/>
  <c r="CC9" i="5"/>
  <c r="BM9" i="5"/>
  <c r="AW9" i="5"/>
  <c r="AG9" i="5"/>
  <c r="Q9" i="5"/>
  <c r="A9" i="5"/>
  <c r="ALS8" i="5"/>
  <c r="ALC8" i="5"/>
  <c r="AKM8" i="5"/>
  <c r="AJW8" i="5"/>
  <c r="AJG8" i="5"/>
  <c r="AIQ8" i="5"/>
  <c r="AIA8" i="5"/>
  <c r="AHK8" i="5"/>
  <c r="AGU8" i="5"/>
  <c r="AGE8" i="5"/>
  <c r="AFO8" i="5"/>
  <c r="AEY8" i="5"/>
  <c r="AEI8" i="5"/>
  <c r="ADS8" i="5"/>
  <c r="ADC8" i="5"/>
  <c r="ACM8" i="5"/>
  <c r="ABW8" i="5"/>
  <c r="ABG8" i="5"/>
  <c r="AAQ8" i="5"/>
  <c r="AAA8" i="5"/>
  <c r="ZK8" i="5"/>
  <c r="YU8" i="5"/>
  <c r="YE8" i="5"/>
  <c r="XO8" i="5"/>
  <c r="WY8" i="5"/>
  <c r="WI8" i="5"/>
  <c r="VS8" i="5"/>
  <c r="VC8" i="5"/>
  <c r="UM8" i="5"/>
  <c r="TW8" i="5"/>
  <c r="TG8" i="5"/>
  <c r="SQ8" i="5"/>
  <c r="SA8" i="5"/>
  <c r="RK8" i="5"/>
  <c r="QU8" i="5"/>
  <c r="QE8" i="5"/>
  <c r="PO8" i="5"/>
  <c r="OY8" i="5"/>
  <c r="OI8" i="5"/>
  <c r="NS8" i="5"/>
  <c r="NC8" i="5"/>
  <c r="MM8" i="5"/>
  <c r="LW8" i="5"/>
  <c r="LG8" i="5"/>
  <c r="KQ8" i="5"/>
  <c r="KA8" i="5"/>
  <c r="JK8" i="5"/>
  <c r="IU8" i="5"/>
  <c r="IE8" i="5"/>
  <c r="HO8" i="5"/>
  <c r="GY8" i="5"/>
  <c r="GI8" i="5"/>
  <c r="FS8" i="5"/>
  <c r="FC8" i="5"/>
  <c r="EM8" i="5"/>
  <c r="DW8" i="5"/>
  <c r="DG8" i="5"/>
  <c r="CQ8" i="5"/>
  <c r="CA8" i="5"/>
  <c r="BK8" i="5"/>
  <c r="AU8" i="5"/>
  <c r="AE8" i="5"/>
  <c r="O8" i="5"/>
  <c r="AMG7" i="5"/>
  <c r="ALQ7" i="5"/>
  <c r="ALA7" i="5"/>
  <c r="AKK7" i="5"/>
  <c r="AJU7" i="5"/>
  <c r="AJE7" i="5"/>
  <c r="AIO7" i="5"/>
  <c r="AHY7" i="5"/>
  <c r="AHI7" i="5"/>
  <c r="AGS7" i="5"/>
  <c r="AGC7" i="5"/>
  <c r="AFM7" i="5"/>
  <c r="AEW7" i="5"/>
  <c r="AEG7" i="5"/>
  <c r="ADQ7" i="5"/>
  <c r="ADA7" i="5"/>
  <c r="ACK7" i="5"/>
  <c r="ABU7" i="5"/>
  <c r="ABE7" i="5"/>
  <c r="AAO7" i="5"/>
  <c r="ZY7" i="5"/>
  <c r="ZI7" i="5"/>
  <c r="YS7" i="5"/>
  <c r="YC7" i="5"/>
  <c r="XM7" i="5"/>
  <c r="WW7" i="5"/>
  <c r="WG7" i="5"/>
  <c r="VQ7" i="5"/>
  <c r="VA7" i="5"/>
  <c r="UK7" i="5"/>
  <c r="TU7" i="5"/>
  <c r="AJ11" i="5"/>
  <c r="AHM10" i="5"/>
  <c r="ADL10" i="5"/>
  <c r="AAU10" i="5"/>
  <c r="YI10" i="5"/>
  <c r="WL10" i="5"/>
  <c r="UO10" i="5"/>
  <c r="SU10" i="5"/>
  <c r="RM10" i="5"/>
  <c r="PW10" i="5"/>
  <c r="OP10" i="5"/>
  <c r="NJ10" i="5"/>
  <c r="MD10" i="5"/>
  <c r="KX10" i="5"/>
  <c r="JR10" i="5"/>
  <c r="IL10" i="5"/>
  <c r="HF10" i="5"/>
  <c r="FZ10" i="5"/>
  <c r="ET10" i="5"/>
  <c r="DN10" i="5"/>
  <c r="CH10" i="5"/>
  <c r="BB10" i="5"/>
  <c r="V10" i="5"/>
  <c r="ALX9" i="5"/>
  <c r="AKT9" i="5"/>
  <c r="AJX9" i="5"/>
  <c r="AIW9" i="5"/>
  <c r="AIB9" i="5"/>
  <c r="AHB9" i="5"/>
  <c r="AGH9" i="5"/>
  <c r="AFJ9" i="5"/>
  <c r="AEP9" i="5"/>
  <c r="ADV9" i="5"/>
  <c r="ACX9" i="5"/>
  <c r="ACD9" i="5"/>
  <c r="ABJ9" i="5"/>
  <c r="AAL9" i="5"/>
  <c r="ZR9" i="5"/>
  <c r="YX9" i="5"/>
  <c r="XZ9" i="5"/>
  <c r="XG9" i="5"/>
  <c r="WN9" i="5"/>
  <c r="VV9" i="5"/>
  <c r="VE9" i="5"/>
  <c r="UN9" i="5"/>
  <c r="TX9" i="5"/>
  <c r="TH9" i="5"/>
  <c r="SR9" i="5"/>
  <c r="SB9" i="5"/>
  <c r="RL9" i="5"/>
  <c r="QV9" i="5"/>
  <c r="QF9" i="5"/>
  <c r="PP9" i="5"/>
  <c r="OZ9" i="5"/>
  <c r="OJ9" i="5"/>
  <c r="NT9" i="5"/>
  <c r="ND9" i="5"/>
  <c r="MN9" i="5"/>
  <c r="LX9" i="5"/>
  <c r="LH9" i="5"/>
  <c r="KR9" i="5"/>
  <c r="KB9" i="5"/>
  <c r="JL9" i="5"/>
  <c r="IV9" i="5"/>
  <c r="IF9" i="5"/>
  <c r="HP9" i="5"/>
  <c r="GZ9" i="5"/>
  <c r="GJ9" i="5"/>
  <c r="FT9" i="5"/>
  <c r="FD9" i="5"/>
  <c r="EN9" i="5"/>
  <c r="DX9" i="5"/>
  <c r="DH9" i="5"/>
  <c r="CR9" i="5"/>
  <c r="CB9" i="5"/>
  <c r="BL9" i="5"/>
  <c r="AV9" i="5"/>
  <c r="AF9" i="5"/>
  <c r="P9" i="5"/>
  <c r="AMH8" i="5"/>
  <c r="ALR8" i="5"/>
  <c r="ALB8" i="5"/>
  <c r="AKL8" i="5"/>
  <c r="AJV8" i="5"/>
  <c r="AJF8" i="5"/>
  <c r="AIP8" i="5"/>
  <c r="AHZ8" i="5"/>
  <c r="AHJ8" i="5"/>
  <c r="AGT8" i="5"/>
  <c r="AGD8" i="5"/>
  <c r="AFN8" i="5"/>
  <c r="AEX8" i="5"/>
  <c r="AEH8" i="5"/>
  <c r="ADR8" i="5"/>
  <c r="ADB8" i="5"/>
  <c r="ACL8" i="5"/>
  <c r="ABV8" i="5"/>
  <c r="ABF8" i="5"/>
  <c r="AAP8" i="5"/>
  <c r="ZZ8" i="5"/>
  <c r="ZJ8" i="5"/>
  <c r="YT8" i="5"/>
  <c r="YD8" i="5"/>
  <c r="XN8" i="5"/>
  <c r="WX8" i="5"/>
  <c r="WH8" i="5"/>
  <c r="VR8" i="5"/>
  <c r="VB8" i="5"/>
  <c r="UL8" i="5"/>
  <c r="TV8" i="5"/>
  <c r="TF8" i="5"/>
  <c r="SP8" i="5"/>
  <c r="RZ8" i="5"/>
  <c r="RJ8" i="5"/>
  <c r="QT8" i="5"/>
  <c r="QD8" i="5"/>
  <c r="PN8" i="5"/>
  <c r="OX8" i="5"/>
  <c r="OH8" i="5"/>
  <c r="NR8" i="5"/>
  <c r="NB8" i="5"/>
  <c r="ML8" i="5"/>
  <c r="LV8" i="5"/>
  <c r="LF8" i="5"/>
  <c r="KP8" i="5"/>
  <c r="JZ8" i="5"/>
  <c r="JJ8" i="5"/>
  <c r="IT8" i="5"/>
  <c r="ID8" i="5"/>
  <c r="HN8" i="5"/>
  <c r="GX8" i="5"/>
  <c r="GH8" i="5"/>
  <c r="FR8" i="5"/>
  <c r="FB8" i="5"/>
  <c r="EL8" i="5"/>
  <c r="DV8" i="5"/>
  <c r="DF8" i="5"/>
  <c r="CP8" i="5"/>
  <c r="BZ8" i="5"/>
  <c r="BJ8" i="5"/>
  <c r="AT8" i="5"/>
  <c r="AD8" i="5"/>
  <c r="N8" i="5"/>
  <c r="AMF7" i="5"/>
  <c r="ALP7" i="5"/>
  <c r="AKZ7" i="5"/>
  <c r="AKJ7" i="5"/>
  <c r="AJT7" i="5"/>
  <c r="AJD7" i="5"/>
  <c r="AIN7" i="5"/>
  <c r="AHX7" i="5"/>
  <c r="AHH7" i="5"/>
  <c r="AGR7" i="5"/>
  <c r="AGB7" i="5"/>
  <c r="AFL7" i="5"/>
  <c r="AEV7" i="5"/>
  <c r="AEF7" i="5"/>
  <c r="ADP7" i="5"/>
  <c r="ACZ7" i="5"/>
  <c r="ACJ7" i="5"/>
  <c r="ABT7" i="5"/>
  <c r="ABD7" i="5"/>
  <c r="AAN7" i="5"/>
  <c r="ZX7" i="5"/>
  <c r="ZH7" i="5"/>
  <c r="YR7" i="5"/>
  <c r="YB7" i="5"/>
  <c r="XL7" i="5"/>
  <c r="WV7" i="5"/>
  <c r="WF7" i="5"/>
  <c r="VP7" i="5"/>
  <c r="UZ7" i="5"/>
  <c r="UJ7" i="5"/>
  <c r="TT7" i="5"/>
  <c r="TD7" i="5"/>
  <c r="SN7" i="5"/>
  <c r="RX7" i="5"/>
  <c r="RH7" i="5"/>
  <c r="QR7" i="5"/>
  <c r="QB7" i="5"/>
  <c r="PL7" i="5"/>
  <c r="OV7" i="5"/>
  <c r="OF7" i="5"/>
  <c r="NP7" i="5"/>
  <c r="MZ7" i="5"/>
  <c r="MJ7" i="5"/>
  <c r="LT7" i="5"/>
  <c r="LD7" i="5"/>
  <c r="KN7" i="5"/>
  <c r="JX7" i="5"/>
  <c r="JH7" i="5"/>
  <c r="IR7" i="5"/>
  <c r="IB7" i="5"/>
  <c r="HL7" i="5"/>
  <c r="GV7" i="5"/>
  <c r="GF7" i="5"/>
  <c r="FP7" i="5"/>
  <c r="EZ7" i="5"/>
  <c r="EJ7" i="5"/>
  <c r="DT7" i="5"/>
  <c r="DD7" i="5"/>
  <c r="CN7" i="5"/>
  <c r="BX7" i="5"/>
  <c r="BH7" i="5"/>
  <c r="AR7" i="5"/>
  <c r="AB7" i="5"/>
  <c r="L7" i="5"/>
  <c r="AMD6" i="5"/>
  <c r="ALN6" i="5"/>
  <c r="T11" i="5"/>
  <c r="AGX10" i="5"/>
  <c r="ADF10" i="5"/>
  <c r="AAT10" i="5"/>
  <c r="YH10" i="5"/>
  <c r="WK10" i="5"/>
  <c r="UF10" i="5"/>
  <c r="ST10" i="5"/>
  <c r="RD10" i="5"/>
  <c r="PU10" i="5"/>
  <c r="OO10" i="5"/>
  <c r="NI10" i="5"/>
  <c r="MC10" i="5"/>
  <c r="KW10" i="5"/>
  <c r="JQ10" i="5"/>
  <c r="IK10" i="5"/>
  <c r="HE10" i="5"/>
  <c r="FY10" i="5"/>
  <c r="ES10" i="5"/>
  <c r="DM10" i="5"/>
  <c r="CG10" i="5"/>
  <c r="BA10" i="5"/>
  <c r="U10" i="5"/>
  <c r="ALW9" i="5"/>
  <c r="AKS9" i="5"/>
  <c r="AJW9" i="5"/>
  <c r="AIV9" i="5"/>
  <c r="AIA9" i="5"/>
  <c r="AHA9" i="5"/>
  <c r="AGG9" i="5"/>
  <c r="AFI9" i="5"/>
  <c r="AEO9" i="5"/>
  <c r="ADU9" i="5"/>
  <c r="ACW9" i="5"/>
  <c r="ACC9" i="5"/>
  <c r="ABI9" i="5"/>
  <c r="AAK9" i="5"/>
  <c r="ZQ9" i="5"/>
  <c r="YW9" i="5"/>
  <c r="XY9" i="5"/>
  <c r="XF9" i="5"/>
  <c r="WM9" i="5"/>
  <c r="VU9" i="5"/>
  <c r="VD9" i="5"/>
  <c r="UM9" i="5"/>
  <c r="TW9" i="5"/>
  <c r="TG9" i="5"/>
  <c r="SQ9" i="5"/>
  <c r="SA9" i="5"/>
  <c r="RK9" i="5"/>
  <c r="QU9" i="5"/>
  <c r="QE9" i="5"/>
  <c r="PO9" i="5"/>
  <c r="OY9" i="5"/>
  <c r="OI9" i="5"/>
  <c r="NS9" i="5"/>
  <c r="NC9" i="5"/>
  <c r="MM9" i="5"/>
  <c r="LW9" i="5"/>
  <c r="LG9" i="5"/>
  <c r="KQ9" i="5"/>
  <c r="KA9" i="5"/>
  <c r="JK9" i="5"/>
  <c r="IU9" i="5"/>
  <c r="IE9" i="5"/>
  <c r="HO9" i="5"/>
  <c r="GY9" i="5"/>
  <c r="GI9" i="5"/>
  <c r="FS9" i="5"/>
  <c r="FC9" i="5"/>
  <c r="EM9" i="5"/>
  <c r="DW9" i="5"/>
  <c r="DG9" i="5"/>
  <c r="CQ9" i="5"/>
  <c r="CA9" i="5"/>
  <c r="BK9" i="5"/>
  <c r="AU9" i="5"/>
  <c r="AE9" i="5"/>
  <c r="O9" i="5"/>
  <c r="AMG8" i="5"/>
  <c r="ALQ8" i="5"/>
  <c r="ALA8" i="5"/>
  <c r="AKK8" i="5"/>
  <c r="AJU8" i="5"/>
  <c r="AJE8" i="5"/>
  <c r="AIO8" i="5"/>
  <c r="AHY8" i="5"/>
  <c r="AHI8" i="5"/>
  <c r="AGS8" i="5"/>
  <c r="AGC8" i="5"/>
  <c r="AFM8" i="5"/>
  <c r="AEW8" i="5"/>
  <c r="AEG8" i="5"/>
  <c r="ADQ8" i="5"/>
  <c r="ADA8" i="5"/>
  <c r="ACK8" i="5"/>
  <c r="ABU8" i="5"/>
  <c r="ABE8" i="5"/>
  <c r="AAO8" i="5"/>
  <c r="ZY8" i="5"/>
  <c r="ZI8" i="5"/>
  <c r="YS8" i="5"/>
  <c r="YC8" i="5"/>
  <c r="XM8" i="5"/>
  <c r="WW8" i="5"/>
  <c r="WG8" i="5"/>
  <c r="VQ8" i="5"/>
  <c r="VA8" i="5"/>
  <c r="UK8" i="5"/>
  <c r="TU8" i="5"/>
  <c r="TE8" i="5"/>
  <c r="SO8" i="5"/>
  <c r="RY8" i="5"/>
  <c r="RI8" i="5"/>
  <c r="QS8" i="5"/>
  <c r="QC8" i="5"/>
  <c r="PM8" i="5"/>
  <c r="OW8" i="5"/>
  <c r="OG8" i="5"/>
  <c r="NQ8" i="5"/>
  <c r="NA8" i="5"/>
  <c r="MK8" i="5"/>
  <c r="LU8" i="5"/>
  <c r="LE8" i="5"/>
  <c r="KO8" i="5"/>
  <c r="JY8" i="5"/>
  <c r="JI8" i="5"/>
  <c r="IS8" i="5"/>
  <c r="IC8" i="5"/>
  <c r="HM8" i="5"/>
  <c r="GW8" i="5"/>
  <c r="GG8" i="5"/>
  <c r="FQ8" i="5"/>
  <c r="FA8" i="5"/>
  <c r="EK8" i="5"/>
  <c r="DU8" i="5"/>
  <c r="DE8" i="5"/>
  <c r="CO8" i="5"/>
  <c r="BY8" i="5"/>
  <c r="BI8" i="5"/>
  <c r="AS8" i="5"/>
  <c r="AC8" i="5"/>
  <c r="M8" i="5"/>
  <c r="AME7" i="5"/>
  <c r="ALO7" i="5"/>
  <c r="AKY7" i="5"/>
  <c r="AKI7" i="5"/>
  <c r="AJS7" i="5"/>
  <c r="AJC7" i="5"/>
  <c r="AIM7" i="5"/>
  <c r="AHW7" i="5"/>
  <c r="AHG7" i="5"/>
  <c r="AGQ7" i="5"/>
  <c r="AGA7" i="5"/>
  <c r="AFK7" i="5"/>
  <c r="AEU7" i="5"/>
  <c r="AEE7" i="5"/>
  <c r="ADO7" i="5"/>
  <c r="ACY7" i="5"/>
  <c r="ACI7" i="5"/>
  <c r="ABS7" i="5"/>
  <c r="ABC7" i="5"/>
  <c r="AAM7" i="5"/>
  <c r="ZW7" i="5"/>
  <c r="ZG7" i="5"/>
  <c r="YQ7" i="5"/>
  <c r="YA7" i="5"/>
  <c r="XK7" i="5"/>
  <c r="WU7" i="5"/>
  <c r="WE7" i="5"/>
  <c r="VO7" i="5"/>
  <c r="UY7" i="5"/>
  <c r="UI7" i="5"/>
  <c r="TS7" i="5"/>
  <c r="TC7" i="5"/>
  <c r="SM7" i="5"/>
  <c r="RW7" i="5"/>
  <c r="RG7" i="5"/>
  <c r="QQ7" i="5"/>
  <c r="QA7" i="5"/>
  <c r="PK7" i="5"/>
  <c r="OU7" i="5"/>
  <c r="OE7" i="5"/>
  <c r="NO7" i="5"/>
  <c r="MY7" i="5"/>
  <c r="MI7" i="5"/>
  <c r="LS7" i="5"/>
  <c r="LC7" i="5"/>
  <c r="KM7" i="5"/>
  <c r="JW7" i="5"/>
  <c r="JG7" i="5"/>
  <c r="IQ7" i="5"/>
  <c r="IA7" i="5"/>
  <c r="HK7" i="5"/>
  <c r="GU7" i="5"/>
  <c r="GE7" i="5"/>
  <c r="D11" i="5"/>
  <c r="AGW10" i="5"/>
  <c r="ADE10" i="5"/>
  <c r="AAS10" i="5"/>
  <c r="YG10" i="5"/>
  <c r="WB10" i="5"/>
  <c r="UC10" i="5"/>
  <c r="SS10" i="5"/>
  <c r="RC10" i="5"/>
  <c r="PT10" i="5"/>
  <c r="ON10" i="5"/>
  <c r="NH10" i="5"/>
  <c r="MB10" i="5"/>
  <c r="KV10" i="5"/>
  <c r="JP10" i="5"/>
  <c r="IJ10" i="5"/>
  <c r="HD10" i="5"/>
  <c r="FX10" i="5"/>
  <c r="ER10" i="5"/>
  <c r="DL10" i="5"/>
  <c r="CF10" i="5"/>
  <c r="AZ10" i="5"/>
  <c r="T10" i="5"/>
  <c r="ALV9" i="5"/>
  <c r="AKR9" i="5"/>
  <c r="AJQ9" i="5"/>
  <c r="AIU9" i="5"/>
  <c r="AHU9" i="5"/>
  <c r="AGZ9" i="5"/>
  <c r="AGF9" i="5"/>
  <c r="AFH9" i="5"/>
  <c r="AEN9" i="5"/>
  <c r="ADT9" i="5"/>
  <c r="ACV9" i="5"/>
  <c r="ACB9" i="5"/>
  <c r="ABH9" i="5"/>
  <c r="AAJ9" i="5"/>
  <c r="ZP9" i="5"/>
  <c r="YV9" i="5"/>
  <c r="XX9" i="5"/>
  <c r="XE9" i="5"/>
  <c r="WL9" i="5"/>
  <c r="VT9" i="5"/>
  <c r="VC9" i="5"/>
  <c r="UL9" i="5"/>
  <c r="TV9" i="5"/>
  <c r="TF9" i="5"/>
  <c r="SP9" i="5"/>
  <c r="RZ9" i="5"/>
  <c r="RJ9" i="5"/>
  <c r="QT9" i="5"/>
  <c r="QD9" i="5"/>
  <c r="PN9" i="5"/>
  <c r="OX9" i="5"/>
  <c r="OH9" i="5"/>
  <c r="NR9" i="5"/>
  <c r="NB9" i="5"/>
  <c r="ML9" i="5"/>
  <c r="LV9" i="5"/>
  <c r="LF9" i="5"/>
  <c r="KP9" i="5"/>
  <c r="JZ9" i="5"/>
  <c r="JJ9" i="5"/>
  <c r="IT9" i="5"/>
  <c r="ID9" i="5"/>
  <c r="HN9" i="5"/>
  <c r="GX9" i="5"/>
  <c r="GH9" i="5"/>
  <c r="FR9" i="5"/>
  <c r="FB9" i="5"/>
  <c r="EL9" i="5"/>
  <c r="DV9" i="5"/>
  <c r="DF9" i="5"/>
  <c r="CP9" i="5"/>
  <c r="BZ9" i="5"/>
  <c r="BJ9" i="5"/>
  <c r="AT9" i="5"/>
  <c r="AD9" i="5"/>
  <c r="N9" i="5"/>
  <c r="AMF8" i="5"/>
  <c r="ALP8" i="5"/>
  <c r="AKZ8" i="5"/>
  <c r="AKJ8" i="5"/>
  <c r="AJT8" i="5"/>
  <c r="AJD8" i="5"/>
  <c r="AIN8" i="5"/>
  <c r="AHX8" i="5"/>
  <c r="AHH8" i="5"/>
  <c r="AGR8" i="5"/>
  <c r="AGB8" i="5"/>
  <c r="AFL8" i="5"/>
  <c r="AEV8" i="5"/>
  <c r="AEF8" i="5"/>
  <c r="ADP8" i="5"/>
  <c r="ACZ8" i="5"/>
  <c r="ACJ8" i="5"/>
  <c r="ABT8" i="5"/>
  <c r="ABD8" i="5"/>
  <c r="AAN8" i="5"/>
  <c r="ZX8" i="5"/>
  <c r="ZH8" i="5"/>
  <c r="YR8" i="5"/>
  <c r="YB8" i="5"/>
  <c r="XL8" i="5"/>
  <c r="WV8" i="5"/>
  <c r="WF8" i="5"/>
  <c r="VP8" i="5"/>
  <c r="UZ8" i="5"/>
  <c r="UJ8" i="5"/>
  <c r="TT8" i="5"/>
  <c r="TD8" i="5"/>
  <c r="SN8" i="5"/>
  <c r="RX8" i="5"/>
  <c r="RH8" i="5"/>
  <c r="QR8" i="5"/>
  <c r="QB8" i="5"/>
  <c r="PL8" i="5"/>
  <c r="OV8" i="5"/>
  <c r="OF8" i="5"/>
  <c r="NP8" i="5"/>
  <c r="MZ8" i="5"/>
  <c r="MJ8" i="5"/>
  <c r="LT8" i="5"/>
  <c r="LD8" i="5"/>
  <c r="KN8" i="5"/>
  <c r="JX8" i="5"/>
  <c r="JH8" i="5"/>
  <c r="IR8" i="5"/>
  <c r="IB8" i="5"/>
  <c r="HL8" i="5"/>
  <c r="GV8" i="5"/>
  <c r="GF8" i="5"/>
  <c r="FP8" i="5"/>
  <c r="EZ8" i="5"/>
  <c r="EJ8" i="5"/>
  <c r="DT8" i="5"/>
  <c r="DD8" i="5"/>
  <c r="CN8" i="5"/>
  <c r="BX8" i="5"/>
  <c r="BH8" i="5"/>
  <c r="AR8" i="5"/>
  <c r="AB8" i="5"/>
  <c r="L8" i="5"/>
  <c r="AMD7" i="5"/>
  <c r="ALN7" i="5"/>
  <c r="AKX7" i="5"/>
  <c r="AKH7" i="5"/>
  <c r="AJR7" i="5"/>
  <c r="AJB7" i="5"/>
  <c r="AIL7" i="5"/>
  <c r="AHV7" i="5"/>
  <c r="AHF7" i="5"/>
  <c r="AGP7" i="5"/>
  <c r="AFZ7" i="5"/>
  <c r="AFJ7" i="5"/>
  <c r="AET7" i="5"/>
  <c r="AED7" i="5"/>
  <c r="ADN7" i="5"/>
  <c r="ACX7" i="5"/>
  <c r="ACH7" i="5"/>
  <c r="ALV10" i="5"/>
  <c r="AGH10" i="5"/>
  <c r="ACV10" i="5"/>
  <c r="AAJ10" i="5"/>
  <c r="XX10" i="5"/>
  <c r="VY10" i="5"/>
  <c r="UA10" i="5"/>
  <c r="SJ10" i="5"/>
  <c r="RA10" i="5"/>
  <c r="PS10" i="5"/>
  <c r="OM10" i="5"/>
  <c r="NG10" i="5"/>
  <c r="MA10" i="5"/>
  <c r="KU10" i="5"/>
  <c r="JO10" i="5"/>
  <c r="II10" i="5"/>
  <c r="HC10" i="5"/>
  <c r="FW10" i="5"/>
  <c r="EQ10" i="5"/>
  <c r="DK10" i="5"/>
  <c r="CE10" i="5"/>
  <c r="AY10" i="5"/>
  <c r="S10" i="5"/>
  <c r="ALU9" i="5"/>
  <c r="AKQ9" i="5"/>
  <c r="AJP9" i="5"/>
  <c r="AIT9" i="5"/>
  <c r="AHT9" i="5"/>
  <c r="AGY9" i="5"/>
  <c r="AGE9" i="5"/>
  <c r="AFG9" i="5"/>
  <c r="AEM9" i="5"/>
  <c r="ADS9" i="5"/>
  <c r="ACU9" i="5"/>
  <c r="ACA9" i="5"/>
  <c r="ABG9" i="5"/>
  <c r="AAI9" i="5"/>
  <c r="ZO9" i="5"/>
  <c r="YU9" i="5"/>
  <c r="XW9" i="5"/>
  <c r="XD9" i="5"/>
  <c r="WK9" i="5"/>
  <c r="VS9" i="5"/>
  <c r="VB9" i="5"/>
  <c r="UK9" i="5"/>
  <c r="TU9" i="5"/>
  <c r="TE9" i="5"/>
  <c r="SO9" i="5"/>
  <c r="RY9" i="5"/>
  <c r="RI9" i="5"/>
  <c r="QS9" i="5"/>
  <c r="QC9" i="5"/>
  <c r="PM9" i="5"/>
  <c r="OW9" i="5"/>
  <c r="OG9" i="5"/>
  <c r="NQ9" i="5"/>
  <c r="NA9" i="5"/>
  <c r="MK9" i="5"/>
  <c r="LU9" i="5"/>
  <c r="LE9" i="5"/>
  <c r="KO9" i="5"/>
  <c r="JY9" i="5"/>
  <c r="JI9" i="5"/>
  <c r="IS9" i="5"/>
  <c r="IC9" i="5"/>
  <c r="HM9" i="5"/>
  <c r="GW9" i="5"/>
  <c r="GG9" i="5"/>
  <c r="FQ9" i="5"/>
  <c r="FA9" i="5"/>
  <c r="EK9" i="5"/>
  <c r="DU9" i="5"/>
  <c r="DE9" i="5"/>
  <c r="CO9" i="5"/>
  <c r="BY9" i="5"/>
  <c r="BI9" i="5"/>
  <c r="AS9" i="5"/>
  <c r="AC9" i="5"/>
  <c r="M9" i="5"/>
  <c r="AME8" i="5"/>
  <c r="ALO8" i="5"/>
  <c r="AKY8" i="5"/>
  <c r="AKI8" i="5"/>
  <c r="AJS8" i="5"/>
  <c r="AJC8" i="5"/>
  <c r="AIM8" i="5"/>
  <c r="AHW8" i="5"/>
  <c r="AHG8" i="5"/>
  <c r="AGQ8" i="5"/>
  <c r="AGA8" i="5"/>
  <c r="AFK8" i="5"/>
  <c r="AEU8" i="5"/>
  <c r="AEE8" i="5"/>
  <c r="ADO8" i="5"/>
  <c r="ACY8" i="5"/>
  <c r="ACI8" i="5"/>
  <c r="ABS8" i="5"/>
  <c r="ABC8" i="5"/>
  <c r="AAM8" i="5"/>
  <c r="ZW8" i="5"/>
  <c r="ZG8" i="5"/>
  <c r="YQ8" i="5"/>
  <c r="YA8" i="5"/>
  <c r="XK8" i="5"/>
  <c r="WU8" i="5"/>
  <c r="WE8" i="5"/>
  <c r="VO8" i="5"/>
  <c r="UY8" i="5"/>
  <c r="UI8" i="5"/>
  <c r="TS8" i="5"/>
  <c r="TC8" i="5"/>
  <c r="SM8" i="5"/>
  <c r="RW8" i="5"/>
  <c r="RG8" i="5"/>
  <c r="QQ8" i="5"/>
  <c r="QA8" i="5"/>
  <c r="PK8" i="5"/>
  <c r="OU8" i="5"/>
  <c r="OE8" i="5"/>
  <c r="NO8" i="5"/>
  <c r="MY8" i="5"/>
  <c r="MI8" i="5"/>
  <c r="LS8" i="5"/>
  <c r="LC8" i="5"/>
  <c r="KM8" i="5"/>
  <c r="JW8" i="5"/>
  <c r="JG8" i="5"/>
  <c r="IQ8" i="5"/>
  <c r="IA8" i="5"/>
  <c r="HK8" i="5"/>
  <c r="GU8" i="5"/>
  <c r="GE8" i="5"/>
  <c r="FO8" i="5"/>
  <c r="EY8" i="5"/>
  <c r="EI8" i="5"/>
  <c r="DS8" i="5"/>
  <c r="DC8" i="5"/>
  <c r="CM8" i="5"/>
  <c r="BW8" i="5"/>
  <c r="BG8" i="5"/>
  <c r="AQ8" i="5"/>
  <c r="AA8" i="5"/>
  <c r="K8" i="5"/>
  <c r="AMC7" i="5"/>
  <c r="ALM7" i="5"/>
  <c r="AKW7" i="5"/>
  <c r="AKG7" i="5"/>
  <c r="AJQ7" i="5"/>
  <c r="AJA7" i="5"/>
  <c r="AIK7" i="5"/>
  <c r="AHU7" i="5"/>
  <c r="AHE7" i="5"/>
  <c r="AGO7" i="5"/>
  <c r="AFY7" i="5"/>
  <c r="AFI7" i="5"/>
  <c r="AES7" i="5"/>
  <c r="AEC7" i="5"/>
  <c r="ADM7" i="5"/>
  <c r="ACW7" i="5"/>
  <c r="ACG7" i="5"/>
  <c r="ABQ7" i="5"/>
  <c r="ABA7" i="5"/>
  <c r="AAK7" i="5"/>
  <c r="ZU7" i="5"/>
  <c r="ZE7" i="5"/>
  <c r="YO7" i="5"/>
  <c r="XY7" i="5"/>
  <c r="XI7" i="5"/>
  <c r="WS7" i="5"/>
  <c r="WC7" i="5"/>
  <c r="VM7" i="5"/>
  <c r="UW7" i="5"/>
  <c r="UG7" i="5"/>
  <c r="TQ7" i="5"/>
  <c r="TA7" i="5"/>
  <c r="SK7" i="5"/>
  <c r="RU7" i="5"/>
  <c r="RE7" i="5"/>
  <c r="QO7" i="5"/>
  <c r="PY7" i="5"/>
  <c r="PI7" i="5"/>
  <c r="OS7" i="5"/>
  <c r="OC7" i="5"/>
  <c r="NM7" i="5"/>
  <c r="MW7" i="5"/>
  <c r="MG7" i="5"/>
  <c r="LQ7" i="5"/>
  <c r="LA7" i="5"/>
  <c r="KK7" i="5"/>
  <c r="JU7" i="5"/>
  <c r="JE7" i="5"/>
  <c r="IO7" i="5"/>
  <c r="HY7" i="5"/>
  <c r="HI7" i="5"/>
  <c r="GS7" i="5"/>
  <c r="GC7" i="5"/>
  <c r="FM7" i="5"/>
  <c r="ALF10" i="5"/>
  <c r="AGG10" i="5"/>
  <c r="ACQ10" i="5"/>
  <c r="AAE10" i="5"/>
  <c r="XU10" i="5"/>
  <c r="VW10" i="5"/>
  <c r="TZ10" i="5"/>
  <c r="SI10" i="5"/>
  <c r="QZ10" i="5"/>
  <c r="PR10" i="5"/>
  <c r="OL10" i="5"/>
  <c r="NF10" i="5"/>
  <c r="LZ10" i="5"/>
  <c r="KT10" i="5"/>
  <c r="JN10" i="5"/>
  <c r="IH10" i="5"/>
  <c r="HB10" i="5"/>
  <c r="FV10" i="5"/>
  <c r="EP10" i="5"/>
  <c r="DJ10" i="5"/>
  <c r="CD10" i="5"/>
  <c r="AX10" i="5"/>
  <c r="R10" i="5"/>
  <c r="ALT9" i="5"/>
  <c r="AKP9" i="5"/>
  <c r="AJN9" i="5"/>
  <c r="AIS9" i="5"/>
  <c r="AHS9" i="5"/>
  <c r="AGX9" i="5"/>
  <c r="AFZ9" i="5"/>
  <c r="AFF9" i="5"/>
  <c r="AEL9" i="5"/>
  <c r="ADN9" i="5"/>
  <c r="ACT9" i="5"/>
  <c r="ABZ9" i="5"/>
  <c r="ABB9" i="5"/>
  <c r="AAH9" i="5"/>
  <c r="ZN9" i="5"/>
  <c r="YP9" i="5"/>
  <c r="XV9" i="5"/>
  <c r="XC9" i="5"/>
  <c r="WJ9" i="5"/>
  <c r="VR9" i="5"/>
  <c r="VA9" i="5"/>
  <c r="UJ9" i="5"/>
  <c r="TT9" i="5"/>
  <c r="TD9" i="5"/>
  <c r="SN9" i="5"/>
  <c r="RX9" i="5"/>
  <c r="RH9" i="5"/>
  <c r="QR9" i="5"/>
  <c r="QB9" i="5"/>
  <c r="PL9" i="5"/>
  <c r="OV9" i="5"/>
  <c r="OF9" i="5"/>
  <c r="NP9" i="5"/>
  <c r="MZ9" i="5"/>
  <c r="MJ9" i="5"/>
  <c r="LT9" i="5"/>
  <c r="LD9" i="5"/>
  <c r="KN9" i="5"/>
  <c r="JX9" i="5"/>
  <c r="JH9" i="5"/>
  <c r="IR9" i="5"/>
  <c r="IB9" i="5"/>
  <c r="HL9" i="5"/>
  <c r="GV9" i="5"/>
  <c r="GF9" i="5"/>
  <c r="FP9" i="5"/>
  <c r="EZ9" i="5"/>
  <c r="EJ9" i="5"/>
  <c r="DT9" i="5"/>
  <c r="DD9" i="5"/>
  <c r="CN9" i="5"/>
  <c r="BX9" i="5"/>
  <c r="BH9" i="5"/>
  <c r="AR9" i="5"/>
  <c r="AB9" i="5"/>
  <c r="L9" i="5"/>
  <c r="AMD8" i="5"/>
  <c r="ALN8" i="5"/>
  <c r="AKX8" i="5"/>
  <c r="AKH8" i="5"/>
  <c r="AJR8" i="5"/>
  <c r="AJB8" i="5"/>
  <c r="AIL8" i="5"/>
  <c r="AHV8" i="5"/>
  <c r="AHF8" i="5"/>
  <c r="AGP8" i="5"/>
  <c r="AFZ8" i="5"/>
  <c r="AFJ8" i="5"/>
  <c r="AET8" i="5"/>
  <c r="AED8" i="5"/>
  <c r="ADN8" i="5"/>
  <c r="ACX8" i="5"/>
  <c r="ACH8" i="5"/>
  <c r="ABR8" i="5"/>
  <c r="ABB8" i="5"/>
  <c r="AAL8" i="5"/>
  <c r="ZV8" i="5"/>
  <c r="ZF8" i="5"/>
  <c r="YP8" i="5"/>
  <c r="XZ8" i="5"/>
  <c r="XJ8" i="5"/>
  <c r="WT8" i="5"/>
  <c r="WD8" i="5"/>
  <c r="VN8" i="5"/>
  <c r="UX8" i="5"/>
  <c r="UH8" i="5"/>
  <c r="TR8" i="5"/>
  <c r="TB8" i="5"/>
  <c r="SL8" i="5"/>
  <c r="RV8" i="5"/>
  <c r="RF8" i="5"/>
  <c r="QP8" i="5"/>
  <c r="PZ8" i="5"/>
  <c r="PJ8" i="5"/>
  <c r="OT8" i="5"/>
  <c r="OD8" i="5"/>
  <c r="NN8" i="5"/>
  <c r="MX8" i="5"/>
  <c r="MH8" i="5"/>
  <c r="LR8" i="5"/>
  <c r="LB8" i="5"/>
  <c r="KL8" i="5"/>
  <c r="JV8" i="5"/>
  <c r="JF8" i="5"/>
  <c r="IP8" i="5"/>
  <c r="HZ8" i="5"/>
  <c r="HJ8" i="5"/>
  <c r="GT8" i="5"/>
  <c r="GD8" i="5"/>
  <c r="FN8" i="5"/>
  <c r="EX8" i="5"/>
  <c r="EH8" i="5"/>
  <c r="DR8" i="5"/>
  <c r="DB8" i="5"/>
  <c r="CL8" i="5"/>
  <c r="BV8" i="5"/>
  <c r="BF8" i="5"/>
  <c r="AP8" i="5"/>
  <c r="Z8" i="5"/>
  <c r="J8" i="5"/>
  <c r="AMB7" i="5"/>
  <c r="ALL7" i="5"/>
  <c r="AKV7" i="5"/>
  <c r="AKF7" i="5"/>
  <c r="AJP7" i="5"/>
  <c r="AIZ7" i="5"/>
  <c r="AIJ7" i="5"/>
  <c r="AHT7" i="5"/>
  <c r="AHD7" i="5"/>
  <c r="AGN7" i="5"/>
  <c r="AFX7" i="5"/>
  <c r="AFH7" i="5"/>
  <c r="AER7" i="5"/>
  <c r="AEB7" i="5"/>
  <c r="ADL7" i="5"/>
  <c r="ACV7" i="5"/>
  <c r="ACF7" i="5"/>
  <c r="ABP7" i="5"/>
  <c r="AAZ7" i="5"/>
  <c r="AAJ7" i="5"/>
  <c r="AKP10" i="5"/>
  <c r="AFR10" i="5"/>
  <c r="ACP10" i="5"/>
  <c r="AAD10" i="5"/>
  <c r="XS10" i="5"/>
  <c r="VV10" i="5"/>
  <c r="TY10" i="5"/>
  <c r="SG10" i="5"/>
  <c r="QY10" i="5"/>
  <c r="PQ10" i="5"/>
  <c r="OK10" i="5"/>
  <c r="NE10" i="5"/>
  <c r="LY10" i="5"/>
  <c r="KS10" i="5"/>
  <c r="JM10" i="5"/>
  <c r="IG10" i="5"/>
  <c r="HA10" i="5"/>
  <c r="FU10" i="5"/>
  <c r="EO10" i="5"/>
  <c r="DI10" i="5"/>
  <c r="CC10" i="5"/>
  <c r="AW10" i="5"/>
  <c r="Q10" i="5"/>
  <c r="ALS9" i="5"/>
  <c r="AKO9" i="5"/>
  <c r="AJM9" i="5"/>
  <c r="AIR9" i="5"/>
  <c r="AHR9" i="5"/>
  <c r="AGW9" i="5"/>
  <c r="AFY9" i="5"/>
  <c r="AFE9" i="5"/>
  <c r="AEK9" i="5"/>
  <c r="ADM9" i="5"/>
  <c r="ACS9" i="5"/>
  <c r="ABY9" i="5"/>
  <c r="ABA9" i="5"/>
  <c r="AAG9" i="5"/>
  <c r="ZM9" i="5"/>
  <c r="YO9" i="5"/>
  <c r="XU9" i="5"/>
  <c r="XB9" i="5"/>
  <c r="WI9" i="5"/>
  <c r="VQ9" i="5"/>
  <c r="UY9" i="5"/>
  <c r="UI9" i="5"/>
  <c r="TS9" i="5"/>
  <c r="TC9" i="5"/>
  <c r="SM9" i="5"/>
  <c r="RW9" i="5"/>
  <c r="RG9" i="5"/>
  <c r="QQ9" i="5"/>
  <c r="QA9" i="5"/>
  <c r="PK9" i="5"/>
  <c r="OU9" i="5"/>
  <c r="OE9" i="5"/>
  <c r="NO9" i="5"/>
  <c r="MY9" i="5"/>
  <c r="MI9" i="5"/>
  <c r="LS9" i="5"/>
  <c r="LC9" i="5"/>
  <c r="KM9" i="5"/>
  <c r="JW9" i="5"/>
  <c r="JG9" i="5"/>
  <c r="IQ9" i="5"/>
  <c r="IA9" i="5"/>
  <c r="HK9" i="5"/>
  <c r="GU9" i="5"/>
  <c r="GE9" i="5"/>
  <c r="FO9" i="5"/>
  <c r="EY9" i="5"/>
  <c r="EI9" i="5"/>
  <c r="DS9" i="5"/>
  <c r="DC9" i="5"/>
  <c r="CM9" i="5"/>
  <c r="BW9" i="5"/>
  <c r="BG9" i="5"/>
  <c r="AQ9" i="5"/>
  <c r="AA9" i="5"/>
  <c r="K9" i="5"/>
  <c r="AMC8" i="5"/>
  <c r="ALM8" i="5"/>
  <c r="AKW8" i="5"/>
  <c r="AKG8" i="5"/>
  <c r="AJQ8" i="5"/>
  <c r="AJA8" i="5"/>
  <c r="AIK8" i="5"/>
  <c r="AHU8" i="5"/>
  <c r="AHE8" i="5"/>
  <c r="AGO8" i="5"/>
  <c r="AFY8" i="5"/>
  <c r="AFI8" i="5"/>
  <c r="AES8" i="5"/>
  <c r="AEC8" i="5"/>
  <c r="ADM8" i="5"/>
  <c r="ACW8" i="5"/>
  <c r="ACG8" i="5"/>
  <c r="ABQ8" i="5"/>
  <c r="ABA8" i="5"/>
  <c r="AAK8" i="5"/>
  <c r="ZU8" i="5"/>
  <c r="ZE8" i="5"/>
  <c r="YO8" i="5"/>
  <c r="XY8" i="5"/>
  <c r="XI8" i="5"/>
  <c r="WS8" i="5"/>
  <c r="WC8" i="5"/>
  <c r="VM8" i="5"/>
  <c r="UW8" i="5"/>
  <c r="UG8" i="5"/>
  <c r="TQ8" i="5"/>
  <c r="TA8" i="5"/>
  <c r="SK8" i="5"/>
  <c r="RU8" i="5"/>
  <c r="RE8" i="5"/>
  <c r="QO8" i="5"/>
  <c r="PY8" i="5"/>
  <c r="PI8" i="5"/>
  <c r="OS8" i="5"/>
  <c r="OC8" i="5"/>
  <c r="NM8" i="5"/>
  <c r="MW8" i="5"/>
  <c r="MG8" i="5"/>
  <c r="LQ8" i="5"/>
  <c r="LA8" i="5"/>
  <c r="KK8" i="5"/>
  <c r="JU8" i="5"/>
  <c r="JE8" i="5"/>
  <c r="IO8" i="5"/>
  <c r="HY8" i="5"/>
  <c r="HI8" i="5"/>
  <c r="GS8" i="5"/>
  <c r="GC8" i="5"/>
  <c r="FM8" i="5"/>
  <c r="EW8" i="5"/>
  <c r="EG8" i="5"/>
  <c r="DQ8" i="5"/>
  <c r="DA8" i="5"/>
  <c r="CK8" i="5"/>
  <c r="BU8" i="5"/>
  <c r="BE8" i="5"/>
  <c r="AO8" i="5"/>
  <c r="Y8" i="5"/>
  <c r="I8" i="5"/>
  <c r="AMA7" i="5"/>
  <c r="ALK7" i="5"/>
  <c r="AKU7" i="5"/>
  <c r="AKE7" i="5"/>
  <c r="AJO7" i="5"/>
  <c r="AIY7" i="5"/>
  <c r="AII7" i="5"/>
  <c r="AHS7" i="5"/>
  <c r="AHC7" i="5"/>
  <c r="AGM7" i="5"/>
  <c r="AFW7" i="5"/>
  <c r="AFG7" i="5"/>
  <c r="AEQ7" i="5"/>
  <c r="AEA7" i="5"/>
  <c r="ADK7" i="5"/>
  <c r="ACU7" i="5"/>
  <c r="ACE7" i="5"/>
  <c r="ABO7" i="5"/>
  <c r="AAY7" i="5"/>
  <c r="AAI7" i="5"/>
  <c r="ZS7" i="5"/>
  <c r="ZC7" i="5"/>
  <c r="YM7" i="5"/>
  <c r="XW7" i="5"/>
  <c r="XG7" i="5"/>
  <c r="WQ7" i="5"/>
  <c r="WA7" i="5"/>
  <c r="VK7" i="5"/>
  <c r="AKO10" i="5"/>
  <c r="AFQ10" i="5"/>
  <c r="ACO10" i="5"/>
  <c r="AAC10" i="5"/>
  <c r="XR10" i="5"/>
  <c r="VU10" i="5"/>
  <c r="TP10" i="5"/>
  <c r="SF10" i="5"/>
  <c r="QX10" i="5"/>
  <c r="PH10" i="5"/>
  <c r="OB10" i="5"/>
  <c r="MV10" i="5"/>
  <c r="LP10" i="5"/>
  <c r="KJ10" i="5"/>
  <c r="JD10" i="5"/>
  <c r="HX10" i="5"/>
  <c r="GR10" i="5"/>
  <c r="FL10" i="5"/>
  <c r="EF10" i="5"/>
  <c r="CZ10" i="5"/>
  <c r="BT10" i="5"/>
  <c r="AN10" i="5"/>
  <c r="H10" i="5"/>
  <c r="ALJ9" i="5"/>
  <c r="AKN9" i="5"/>
  <c r="AJL9" i="5"/>
  <c r="AIQ9" i="5"/>
  <c r="AHQ9" i="5"/>
  <c r="AGV9" i="5"/>
  <c r="AFX9" i="5"/>
  <c r="AFD9" i="5"/>
  <c r="AEJ9" i="5"/>
  <c r="ADL9" i="5"/>
  <c r="ACR9" i="5"/>
  <c r="ABX9" i="5"/>
  <c r="AAZ9" i="5"/>
  <c r="AAF9" i="5"/>
  <c r="ZL9" i="5"/>
  <c r="YN9" i="5"/>
  <c r="XT9" i="5"/>
  <c r="XA9" i="5"/>
  <c r="WG9" i="5"/>
  <c r="VO9" i="5"/>
  <c r="UX9" i="5"/>
  <c r="UH9" i="5"/>
  <c r="TR9" i="5"/>
  <c r="TB9" i="5"/>
  <c r="SL9" i="5"/>
  <c r="RV9" i="5"/>
  <c r="RF9" i="5"/>
  <c r="QP9" i="5"/>
  <c r="PZ9" i="5"/>
  <c r="PJ9" i="5"/>
  <c r="OT9" i="5"/>
  <c r="OD9" i="5"/>
  <c r="NN9" i="5"/>
  <c r="MX9" i="5"/>
  <c r="MH9" i="5"/>
  <c r="LR9" i="5"/>
  <c r="LB9" i="5"/>
  <c r="KL9" i="5"/>
  <c r="JV9" i="5"/>
  <c r="JF9" i="5"/>
  <c r="IP9" i="5"/>
  <c r="HZ9" i="5"/>
  <c r="HJ9" i="5"/>
  <c r="GT9" i="5"/>
  <c r="GD9" i="5"/>
  <c r="FN9" i="5"/>
  <c r="EX9" i="5"/>
  <c r="EH9" i="5"/>
  <c r="DR9" i="5"/>
  <c r="DB9" i="5"/>
  <c r="CL9" i="5"/>
  <c r="BV9" i="5"/>
  <c r="BF9" i="5"/>
  <c r="AP9" i="5"/>
  <c r="Z9" i="5"/>
  <c r="J9" i="5"/>
  <c r="AMB8" i="5"/>
  <c r="ALL8" i="5"/>
  <c r="AKV8" i="5"/>
  <c r="AKF8" i="5"/>
  <c r="AJP8" i="5"/>
  <c r="AIZ8" i="5"/>
  <c r="AIJ8" i="5"/>
  <c r="AHT8" i="5"/>
  <c r="AHD8" i="5"/>
  <c r="AGN8" i="5"/>
  <c r="AFX8" i="5"/>
  <c r="AFH8" i="5"/>
  <c r="AER8" i="5"/>
  <c r="AEB8" i="5"/>
  <c r="ADL8" i="5"/>
  <c r="ACV8" i="5"/>
  <c r="ACF8" i="5"/>
  <c r="ABP8" i="5"/>
  <c r="AAZ8" i="5"/>
  <c r="AAJ8" i="5"/>
  <c r="ZT8" i="5"/>
  <c r="ZD8" i="5"/>
  <c r="YN8" i="5"/>
  <c r="XX8" i="5"/>
  <c r="XH8" i="5"/>
  <c r="WR8" i="5"/>
  <c r="WB8" i="5"/>
  <c r="VL8" i="5"/>
  <c r="UV8" i="5"/>
  <c r="UF8" i="5"/>
  <c r="TP8" i="5"/>
  <c r="SZ8" i="5"/>
  <c r="SJ8" i="5"/>
  <c r="RT8" i="5"/>
  <c r="RD8" i="5"/>
  <c r="QN8" i="5"/>
  <c r="PX8" i="5"/>
  <c r="PH8" i="5"/>
  <c r="OR8" i="5"/>
  <c r="OB8" i="5"/>
  <c r="NL8" i="5"/>
  <c r="MV8" i="5"/>
  <c r="MF8" i="5"/>
  <c r="LP8" i="5"/>
  <c r="KZ8" i="5"/>
  <c r="KJ8" i="5"/>
  <c r="JT8" i="5"/>
  <c r="JD8" i="5"/>
  <c r="IN8" i="5"/>
  <c r="HX8" i="5"/>
  <c r="HH8" i="5"/>
  <c r="GR8" i="5"/>
  <c r="GB8" i="5"/>
  <c r="FL8" i="5"/>
  <c r="EV8" i="5"/>
  <c r="EF8" i="5"/>
  <c r="DP8" i="5"/>
  <c r="CZ8" i="5"/>
  <c r="CJ8" i="5"/>
  <c r="BT8" i="5"/>
  <c r="BD8" i="5"/>
  <c r="AN8" i="5"/>
  <c r="X8" i="5"/>
  <c r="H8" i="5"/>
  <c r="ALZ7" i="5"/>
  <c r="ALJ7" i="5"/>
  <c r="AKT7" i="5"/>
  <c r="AKD7" i="5"/>
  <c r="AJN7" i="5"/>
  <c r="AIX7" i="5"/>
  <c r="AIH7" i="5"/>
  <c r="AHR7" i="5"/>
  <c r="AHB7" i="5"/>
  <c r="AGL7" i="5"/>
  <c r="AFV7" i="5"/>
  <c r="AFF7" i="5"/>
  <c r="AEP7" i="5"/>
  <c r="ADZ7" i="5"/>
  <c r="ADJ7" i="5"/>
  <c r="ACT7" i="5"/>
  <c r="ACD7" i="5"/>
  <c r="ABN7" i="5"/>
  <c r="AAX7" i="5"/>
  <c r="AAH7" i="5"/>
  <c r="ZR7" i="5"/>
  <c r="ZB7" i="5"/>
  <c r="YL7" i="5"/>
  <c r="XV7" i="5"/>
  <c r="XF7" i="5"/>
  <c r="WP7" i="5"/>
  <c r="VZ7" i="5"/>
  <c r="ABR7" i="5"/>
  <c r="WB7" i="5"/>
  <c r="TE7" i="5"/>
  <c r="RF7" i="5"/>
  <c r="PH7" i="5"/>
  <c r="NK7" i="5"/>
  <c r="LN7" i="5"/>
  <c r="JI7" i="5"/>
  <c r="HJ7" i="5"/>
  <c r="FN7" i="5"/>
  <c r="EE7" i="5"/>
  <c r="CO7" i="5"/>
  <c r="BF7" i="5"/>
  <c r="X7" i="5"/>
  <c r="ALX6" i="5"/>
  <c r="AKI6" i="5"/>
  <c r="AJC6" i="5"/>
  <c r="AHW6" i="5"/>
  <c r="AGR6" i="5"/>
  <c r="AFU6" i="5"/>
  <c r="AEQ6" i="5"/>
  <c r="ADM6" i="5"/>
  <c r="ACI6" i="5"/>
  <c r="ABL6" i="5"/>
  <c r="AAH6" i="5"/>
  <c r="ZD6" i="5"/>
  <c r="XZ6" i="5"/>
  <c r="WV6" i="5"/>
  <c r="VZ6" i="5"/>
  <c r="UX6" i="5"/>
  <c r="UB6" i="5"/>
  <c r="TA6" i="5"/>
  <c r="SF6" i="5"/>
  <c r="RF6" i="5"/>
  <c r="QK6" i="5"/>
  <c r="PK6" i="5"/>
  <c r="OP6" i="5"/>
  <c r="NQ6" i="5"/>
  <c r="MX6" i="5"/>
  <c r="ME6" i="5"/>
  <c r="LL6" i="5"/>
  <c r="KP6" i="5"/>
  <c r="JW6" i="5"/>
  <c r="JD6" i="5"/>
  <c r="IK6" i="5"/>
  <c r="HO6" i="5"/>
  <c r="GV6" i="5"/>
  <c r="GF6" i="5"/>
  <c r="FP6" i="5"/>
  <c r="EZ6" i="5"/>
  <c r="EJ6" i="5"/>
  <c r="DT6" i="5"/>
  <c r="DD6" i="5"/>
  <c r="CN6" i="5"/>
  <c r="BX6" i="5"/>
  <c r="BH6" i="5"/>
  <c r="AR6" i="5"/>
  <c r="AB6" i="5"/>
  <c r="L6" i="5"/>
  <c r="AMD5" i="5"/>
  <c r="ALN5" i="5"/>
  <c r="AKX5" i="5"/>
  <c r="AKH5" i="5"/>
  <c r="AJR5" i="5"/>
  <c r="AJB5" i="5"/>
  <c r="AIL5" i="5"/>
  <c r="AHV5" i="5"/>
  <c r="AHF5" i="5"/>
  <c r="AGP5" i="5"/>
  <c r="AFZ5" i="5"/>
  <c r="AFJ5" i="5"/>
  <c r="AET5" i="5"/>
  <c r="AED5" i="5"/>
  <c r="ADN5" i="5"/>
  <c r="ACX5" i="5"/>
  <c r="ACH5" i="5"/>
  <c r="ABR5" i="5"/>
  <c r="ABB5" i="5"/>
  <c r="AAL5" i="5"/>
  <c r="ZV5" i="5"/>
  <c r="ZF5" i="5"/>
  <c r="YP5" i="5"/>
  <c r="XZ5" i="5"/>
  <c r="XJ5" i="5"/>
  <c r="WT5" i="5"/>
  <c r="WD5" i="5"/>
  <c r="VN5" i="5"/>
  <c r="UX5" i="5"/>
  <c r="UH5" i="5"/>
  <c r="TR5" i="5"/>
  <c r="TB5" i="5"/>
  <c r="SL5" i="5"/>
  <c r="RV5" i="5"/>
  <c r="RF5" i="5"/>
  <c r="QP5" i="5"/>
  <c r="PZ5" i="5"/>
  <c r="PJ5" i="5"/>
  <c r="OT5" i="5"/>
  <c r="OD5" i="5"/>
  <c r="NN5" i="5"/>
  <c r="MX5" i="5"/>
  <c r="MH5" i="5"/>
  <c r="LR5" i="5"/>
  <c r="LB5" i="5"/>
  <c r="KL5" i="5"/>
  <c r="JV5" i="5"/>
  <c r="JF5" i="5"/>
  <c r="IP5" i="5"/>
  <c r="HZ5" i="5"/>
  <c r="HJ5" i="5"/>
  <c r="GT5" i="5"/>
  <c r="GD5" i="5"/>
  <c r="FN5" i="5"/>
  <c r="EX5" i="5"/>
  <c r="EH5" i="5"/>
  <c r="DR5" i="5"/>
  <c r="DB5" i="5"/>
  <c r="CL5" i="5"/>
  <c r="BV5" i="5"/>
  <c r="BF5" i="5"/>
  <c r="AP5" i="5"/>
  <c r="Z5" i="5"/>
  <c r="J5" i="5"/>
  <c r="AMB4" i="5"/>
  <c r="ALL4" i="5"/>
  <c r="AKV4" i="5"/>
  <c r="AKF4" i="5"/>
  <c r="AJP4" i="5"/>
  <c r="AIZ4" i="5"/>
  <c r="AIJ4" i="5"/>
  <c r="AHT4" i="5"/>
  <c r="AHD4" i="5"/>
  <c r="AGN4" i="5"/>
  <c r="AFX4" i="5"/>
  <c r="AFH4" i="5"/>
  <c r="AER4" i="5"/>
  <c r="AEB4" i="5"/>
  <c r="ADL4" i="5"/>
  <c r="ACV4" i="5"/>
  <c r="ACF4" i="5"/>
  <c r="ABP4" i="5"/>
  <c r="AAZ4" i="5"/>
  <c r="AAJ4" i="5"/>
  <c r="ZT4" i="5"/>
  <c r="ZD4" i="5"/>
  <c r="YN4" i="5"/>
  <c r="XX4" i="5"/>
  <c r="XH4" i="5"/>
  <c r="WR4" i="5"/>
  <c r="WB4" i="5"/>
  <c r="VL4" i="5"/>
  <c r="UV4" i="5"/>
  <c r="UF4" i="5"/>
  <c r="TP4" i="5"/>
  <c r="SZ4" i="5"/>
  <c r="SJ4" i="5"/>
  <c r="RT4" i="5"/>
  <c r="RD4" i="5"/>
  <c r="QN4" i="5"/>
  <c r="PX4" i="5"/>
  <c r="PH4" i="5"/>
  <c r="OR4" i="5"/>
  <c r="OB4" i="5"/>
  <c r="NL4" i="5"/>
  <c r="MV4" i="5"/>
  <c r="MF4" i="5"/>
  <c r="LP4" i="5"/>
  <c r="KZ4" i="5"/>
  <c r="KJ4" i="5"/>
  <c r="JT4" i="5"/>
  <c r="JD4" i="5"/>
  <c r="IN4" i="5"/>
  <c r="HX4" i="5"/>
  <c r="HH4" i="5"/>
  <c r="GR4" i="5"/>
  <c r="GB4" i="5"/>
  <c r="FL4" i="5"/>
  <c r="EV4" i="5"/>
  <c r="EF4" i="5"/>
  <c r="DP4" i="5"/>
  <c r="CZ4" i="5"/>
  <c r="CJ4" i="5"/>
  <c r="BT4" i="5"/>
  <c r="BD4" i="5"/>
  <c r="AN4" i="5"/>
  <c r="X4" i="5"/>
  <c r="H4" i="5"/>
  <c r="ALZ3" i="5"/>
  <c r="ALJ3" i="5"/>
  <c r="AKT3" i="5"/>
  <c r="AKD3" i="5"/>
  <c r="AJN3" i="5"/>
  <c r="AIX3" i="5"/>
  <c r="AIH3" i="5"/>
  <c r="AHR3" i="5"/>
  <c r="AHB3" i="5"/>
  <c r="AGL3" i="5"/>
  <c r="AFV3" i="5"/>
  <c r="AFF3" i="5"/>
  <c r="AEP3" i="5"/>
  <c r="ADZ3" i="5"/>
  <c r="ADJ3" i="5"/>
  <c r="ACT3" i="5"/>
  <c r="ACD3" i="5"/>
  <c r="ABN3" i="5"/>
  <c r="AAX3" i="5"/>
  <c r="AAH3" i="5"/>
  <c r="ZR3" i="5"/>
  <c r="ZB3" i="5"/>
  <c r="YL3" i="5"/>
  <c r="XV3" i="5"/>
  <c r="XF3" i="5"/>
  <c r="WP3" i="5"/>
  <c r="VZ3" i="5"/>
  <c r="VJ3" i="5"/>
  <c r="UT3" i="5"/>
  <c r="UD3" i="5"/>
  <c r="TN3" i="5"/>
  <c r="SX3" i="5"/>
  <c r="SH3" i="5"/>
  <c r="RR3" i="5"/>
  <c r="RB3" i="5"/>
  <c r="QL3" i="5"/>
  <c r="PV3" i="5"/>
  <c r="PF3" i="5"/>
  <c r="OP3" i="5"/>
  <c r="NZ3" i="5"/>
  <c r="NJ3" i="5"/>
  <c r="MT3" i="5"/>
  <c r="MD3" i="5"/>
  <c r="LN3" i="5"/>
  <c r="KX3" i="5"/>
  <c r="KH3" i="5"/>
  <c r="JR3" i="5"/>
  <c r="JB3" i="5"/>
  <c r="IL3" i="5"/>
  <c r="HV3" i="5"/>
  <c r="HF3" i="5"/>
  <c r="GP3" i="5"/>
  <c r="FZ3" i="5"/>
  <c r="FJ3" i="5"/>
  <c r="ET3" i="5"/>
  <c r="ED3" i="5"/>
  <c r="DN3" i="5"/>
  <c r="CX3" i="5"/>
  <c r="CH3" i="5"/>
  <c r="BR3" i="5"/>
  <c r="BB3" i="5"/>
  <c r="AL3" i="5"/>
  <c r="V3" i="5"/>
  <c r="F3" i="5"/>
  <c r="ALX2" i="5"/>
  <c r="ALH2" i="5"/>
  <c r="AKR2" i="5"/>
  <c r="AKB2" i="5"/>
  <c r="AJL2" i="5"/>
  <c r="ABB7" i="5"/>
  <c r="VN7" i="5"/>
  <c r="TB7" i="5"/>
  <c r="RD7" i="5"/>
  <c r="PG7" i="5"/>
  <c r="NJ7" i="5"/>
  <c r="LE7" i="5"/>
  <c r="JF7" i="5"/>
  <c r="HH7" i="5"/>
  <c r="FL7" i="5"/>
  <c r="ED7" i="5"/>
  <c r="CM7" i="5"/>
  <c r="BE7" i="5"/>
  <c r="W7" i="5"/>
  <c r="ALO6" i="5"/>
  <c r="AKH6" i="5"/>
  <c r="AJB6" i="5"/>
  <c r="AHV6" i="5"/>
  <c r="AGQ6" i="5"/>
  <c r="AFT6" i="5"/>
  <c r="AEP6" i="5"/>
  <c r="ADL6" i="5"/>
  <c r="ACH6" i="5"/>
  <c r="ABD6" i="5"/>
  <c r="AAG6" i="5"/>
  <c r="ZC6" i="5"/>
  <c r="XY6" i="5"/>
  <c r="WU6" i="5"/>
  <c r="VY6" i="5"/>
  <c r="UW6" i="5"/>
  <c r="TX6" i="5"/>
  <c r="SZ6" i="5"/>
  <c r="SB6" i="5"/>
  <c r="RE6" i="5"/>
  <c r="QJ6" i="5"/>
  <c r="PJ6" i="5"/>
  <c r="OO6" i="5"/>
  <c r="NP6" i="5"/>
  <c r="MW6" i="5"/>
  <c r="MD6" i="5"/>
  <c r="LH6" i="5"/>
  <c r="KO6" i="5"/>
  <c r="JV6" i="5"/>
  <c r="JC6" i="5"/>
  <c r="IJ6" i="5"/>
  <c r="HN6" i="5"/>
  <c r="GU6" i="5"/>
  <c r="GE6" i="5"/>
  <c r="FO6" i="5"/>
  <c r="EY6" i="5"/>
  <c r="EI6" i="5"/>
  <c r="DS6" i="5"/>
  <c r="DC6" i="5"/>
  <c r="CM6" i="5"/>
  <c r="BW6" i="5"/>
  <c r="BG6" i="5"/>
  <c r="AQ6" i="5"/>
  <c r="AA6" i="5"/>
  <c r="K6" i="5"/>
  <c r="AMC5" i="5"/>
  <c r="ALM5" i="5"/>
  <c r="AKW5" i="5"/>
  <c r="AKG5" i="5"/>
  <c r="AJQ5" i="5"/>
  <c r="AJA5" i="5"/>
  <c r="AIK5" i="5"/>
  <c r="AHU5" i="5"/>
  <c r="AHE5" i="5"/>
  <c r="AGO5" i="5"/>
  <c r="AFY5" i="5"/>
  <c r="AFI5" i="5"/>
  <c r="AES5" i="5"/>
  <c r="AEC5" i="5"/>
  <c r="ADM5" i="5"/>
  <c r="ACW5" i="5"/>
  <c r="ACG5" i="5"/>
  <c r="ABQ5" i="5"/>
  <c r="ABA5" i="5"/>
  <c r="AAK5" i="5"/>
  <c r="ZU5" i="5"/>
  <c r="ZE5" i="5"/>
  <c r="YO5" i="5"/>
  <c r="XY5" i="5"/>
  <c r="XI5" i="5"/>
  <c r="WS5" i="5"/>
  <c r="WC5" i="5"/>
  <c r="VM5" i="5"/>
  <c r="UW5" i="5"/>
  <c r="UG5" i="5"/>
  <c r="TQ5" i="5"/>
  <c r="TA5" i="5"/>
  <c r="SK5" i="5"/>
  <c r="RU5" i="5"/>
  <c r="RE5" i="5"/>
  <c r="QO5" i="5"/>
  <c r="PY5" i="5"/>
  <c r="PI5" i="5"/>
  <c r="OS5" i="5"/>
  <c r="OC5" i="5"/>
  <c r="NM5" i="5"/>
  <c r="MW5" i="5"/>
  <c r="MG5" i="5"/>
  <c r="LQ5" i="5"/>
  <c r="LA5" i="5"/>
  <c r="KK5" i="5"/>
  <c r="JU5" i="5"/>
  <c r="JE5" i="5"/>
  <c r="IO5" i="5"/>
  <c r="HY5" i="5"/>
  <c r="HI5" i="5"/>
  <c r="GS5" i="5"/>
  <c r="GC5" i="5"/>
  <c r="FM5" i="5"/>
  <c r="EW5" i="5"/>
  <c r="EG5" i="5"/>
  <c r="DQ5" i="5"/>
  <c r="DA5" i="5"/>
  <c r="CK5" i="5"/>
  <c r="BU5" i="5"/>
  <c r="BE5" i="5"/>
  <c r="AO5" i="5"/>
  <c r="Y5" i="5"/>
  <c r="I5" i="5"/>
  <c r="AMA4" i="5"/>
  <c r="ALK4" i="5"/>
  <c r="AKU4" i="5"/>
  <c r="AKE4" i="5"/>
  <c r="AJO4" i="5"/>
  <c r="AIY4" i="5"/>
  <c r="AII4" i="5"/>
  <c r="AHS4" i="5"/>
  <c r="AHC4" i="5"/>
  <c r="AGM4" i="5"/>
  <c r="AFW4" i="5"/>
  <c r="AFG4" i="5"/>
  <c r="AEQ4" i="5"/>
  <c r="AEA4" i="5"/>
  <c r="ADK4" i="5"/>
  <c r="ACU4" i="5"/>
  <c r="ACE4" i="5"/>
  <c r="ABO4" i="5"/>
  <c r="AAY4" i="5"/>
  <c r="AAI4" i="5"/>
  <c r="ZS4" i="5"/>
  <c r="ZC4" i="5"/>
  <c r="YM4" i="5"/>
  <c r="XW4" i="5"/>
  <c r="XG4" i="5"/>
  <c r="WQ4" i="5"/>
  <c r="WA4" i="5"/>
  <c r="VK4" i="5"/>
  <c r="UU4" i="5"/>
  <c r="UE4" i="5"/>
  <c r="TO4" i="5"/>
  <c r="SY4" i="5"/>
  <c r="SI4" i="5"/>
  <c r="RS4" i="5"/>
  <c r="RC4" i="5"/>
  <c r="QM4" i="5"/>
  <c r="PW4" i="5"/>
  <c r="PG4" i="5"/>
  <c r="OQ4" i="5"/>
  <c r="OA4" i="5"/>
  <c r="NK4" i="5"/>
  <c r="MU4" i="5"/>
  <c r="ME4" i="5"/>
  <c r="LO4" i="5"/>
  <c r="KY4" i="5"/>
  <c r="KI4" i="5"/>
  <c r="JS4" i="5"/>
  <c r="JC4" i="5"/>
  <c r="IM4" i="5"/>
  <c r="HW4" i="5"/>
  <c r="HG4" i="5"/>
  <c r="GQ4" i="5"/>
  <c r="GA4" i="5"/>
  <c r="FK4" i="5"/>
  <c r="EU4" i="5"/>
  <c r="EE4" i="5"/>
  <c r="DO4" i="5"/>
  <c r="CY4" i="5"/>
  <c r="CI4" i="5"/>
  <c r="BS4" i="5"/>
  <c r="BC4" i="5"/>
  <c r="AM4" i="5"/>
  <c r="W4" i="5"/>
  <c r="G4" i="5"/>
  <c r="ALY3" i="5"/>
  <c r="ALI3" i="5"/>
  <c r="AKS3" i="5"/>
  <c r="AKC3" i="5"/>
  <c r="AJM3" i="5"/>
  <c r="AIW3" i="5"/>
  <c r="AIG3" i="5"/>
  <c r="AHQ3" i="5"/>
  <c r="AHA3" i="5"/>
  <c r="AGK3" i="5"/>
  <c r="AFU3" i="5"/>
  <c r="AFE3" i="5"/>
  <c r="AEO3" i="5"/>
  <c r="ADY3" i="5"/>
  <c r="ADI3" i="5"/>
  <c r="ACS3" i="5"/>
  <c r="ACC3" i="5"/>
  <c r="ABM3" i="5"/>
  <c r="AAW3" i="5"/>
  <c r="AAG3" i="5"/>
  <c r="ZQ3" i="5"/>
  <c r="ZA3" i="5"/>
  <c r="YK3" i="5"/>
  <c r="XU3" i="5"/>
  <c r="XE3" i="5"/>
  <c r="WO3" i="5"/>
  <c r="VY3" i="5"/>
  <c r="VI3" i="5"/>
  <c r="US3" i="5"/>
  <c r="UC3" i="5"/>
  <c r="TM3" i="5"/>
  <c r="SW3" i="5"/>
  <c r="SG3" i="5"/>
  <c r="RQ3" i="5"/>
  <c r="RA3" i="5"/>
  <c r="QK3" i="5"/>
  <c r="PU3" i="5"/>
  <c r="PE3" i="5"/>
  <c r="OO3" i="5"/>
  <c r="NY3" i="5"/>
  <c r="NI3" i="5"/>
  <c r="MS3" i="5"/>
  <c r="MC3" i="5"/>
  <c r="LM3" i="5"/>
  <c r="KW3" i="5"/>
  <c r="KG3" i="5"/>
  <c r="JQ3" i="5"/>
  <c r="JA3" i="5"/>
  <c r="IK3" i="5"/>
  <c r="HU3" i="5"/>
  <c r="HE3" i="5"/>
  <c r="GO3" i="5"/>
  <c r="FY3" i="5"/>
  <c r="FI3" i="5"/>
  <c r="ES3" i="5"/>
  <c r="EC3" i="5"/>
  <c r="DM3" i="5"/>
  <c r="CW3" i="5"/>
  <c r="CG3" i="5"/>
  <c r="BQ3" i="5"/>
  <c r="BA3" i="5"/>
  <c r="AK3" i="5"/>
  <c r="U3" i="5"/>
  <c r="E3" i="5"/>
  <c r="ALW2" i="5"/>
  <c r="ALG2" i="5"/>
  <c r="AKQ2" i="5"/>
  <c r="AKA2" i="5"/>
  <c r="AAL7" i="5"/>
  <c r="VL7" i="5"/>
  <c r="SZ7" i="5"/>
  <c r="RC7" i="5"/>
  <c r="PF7" i="5"/>
  <c r="NA7" i="5"/>
  <c r="LB7" i="5"/>
  <c r="JD7" i="5"/>
  <c r="HG7" i="5"/>
  <c r="FK7" i="5"/>
  <c r="DU7" i="5"/>
  <c r="CL7" i="5"/>
  <c r="BD7" i="5"/>
  <c r="V7" i="5"/>
  <c r="ALM6" i="5"/>
  <c r="AKG6" i="5"/>
  <c r="AJA6" i="5"/>
  <c r="AHU6" i="5"/>
  <c r="AGP6" i="5"/>
  <c r="AFL6" i="5"/>
  <c r="AEO6" i="5"/>
  <c r="ADK6" i="5"/>
  <c r="ACG6" i="5"/>
  <c r="ABC6" i="5"/>
  <c r="AAF6" i="5"/>
  <c r="ZB6" i="5"/>
  <c r="XX6" i="5"/>
  <c r="WT6" i="5"/>
  <c r="VX6" i="5"/>
  <c r="UV6" i="5"/>
  <c r="TT6" i="5"/>
  <c r="SY6" i="5"/>
  <c r="RY6" i="5"/>
  <c r="RD6" i="5"/>
  <c r="QF6" i="5"/>
  <c r="PI6" i="5"/>
  <c r="ON6" i="5"/>
  <c r="NO6" i="5"/>
  <c r="MV6" i="5"/>
  <c r="MC6" i="5"/>
  <c r="LG6" i="5"/>
  <c r="KN6" i="5"/>
  <c r="JU6" i="5"/>
  <c r="JB6" i="5"/>
  <c r="IF6" i="5"/>
  <c r="HM6" i="5"/>
  <c r="GT6" i="5"/>
  <c r="GD6" i="5"/>
  <c r="FN6" i="5"/>
  <c r="EX6" i="5"/>
  <c r="EH6" i="5"/>
  <c r="DR6" i="5"/>
  <c r="DB6" i="5"/>
  <c r="CL6" i="5"/>
  <c r="BV6" i="5"/>
  <c r="BF6" i="5"/>
  <c r="AP6" i="5"/>
  <c r="Z6" i="5"/>
  <c r="J6" i="5"/>
  <c r="AMB5" i="5"/>
  <c r="ALL5" i="5"/>
  <c r="AKV5" i="5"/>
  <c r="AKF5" i="5"/>
  <c r="AJP5" i="5"/>
  <c r="AIZ5" i="5"/>
  <c r="AIJ5" i="5"/>
  <c r="AHT5" i="5"/>
  <c r="AHD5" i="5"/>
  <c r="AGN5" i="5"/>
  <c r="AFX5" i="5"/>
  <c r="AFH5" i="5"/>
  <c r="AER5" i="5"/>
  <c r="AEB5" i="5"/>
  <c r="ADL5" i="5"/>
  <c r="ACV5" i="5"/>
  <c r="ACF5" i="5"/>
  <c r="ABP5" i="5"/>
  <c r="AAZ5" i="5"/>
  <c r="AAJ5" i="5"/>
  <c r="ZT5" i="5"/>
  <c r="ZD5" i="5"/>
  <c r="YN5" i="5"/>
  <c r="XX5" i="5"/>
  <c r="XH5" i="5"/>
  <c r="WR5" i="5"/>
  <c r="WB5" i="5"/>
  <c r="VL5" i="5"/>
  <c r="UV5" i="5"/>
  <c r="UF5" i="5"/>
  <c r="TP5" i="5"/>
  <c r="SZ5" i="5"/>
  <c r="SJ5" i="5"/>
  <c r="RT5" i="5"/>
  <c r="RD5" i="5"/>
  <c r="QN5" i="5"/>
  <c r="PX5" i="5"/>
  <c r="PH5" i="5"/>
  <c r="OR5" i="5"/>
  <c r="OB5" i="5"/>
  <c r="NL5" i="5"/>
  <c r="MV5" i="5"/>
  <c r="MF5" i="5"/>
  <c r="LP5" i="5"/>
  <c r="KZ5" i="5"/>
  <c r="KJ5" i="5"/>
  <c r="JT5" i="5"/>
  <c r="JD5" i="5"/>
  <c r="IN5" i="5"/>
  <c r="HX5" i="5"/>
  <c r="HH5" i="5"/>
  <c r="GR5" i="5"/>
  <c r="GB5" i="5"/>
  <c r="FL5" i="5"/>
  <c r="EV5" i="5"/>
  <c r="EF5" i="5"/>
  <c r="DP5" i="5"/>
  <c r="CZ5" i="5"/>
  <c r="CJ5" i="5"/>
  <c r="BT5" i="5"/>
  <c r="BD5" i="5"/>
  <c r="AN5" i="5"/>
  <c r="X5" i="5"/>
  <c r="H5" i="5"/>
  <c r="ALZ4" i="5"/>
  <c r="ALJ4" i="5"/>
  <c r="AKT4" i="5"/>
  <c r="AKD4" i="5"/>
  <c r="AJN4" i="5"/>
  <c r="AIX4" i="5"/>
  <c r="AIH4" i="5"/>
  <c r="AHR4" i="5"/>
  <c r="AHB4" i="5"/>
  <c r="AGL4" i="5"/>
  <c r="AFV4" i="5"/>
  <c r="AFF4" i="5"/>
  <c r="AEP4" i="5"/>
  <c r="ADZ4" i="5"/>
  <c r="ADJ4" i="5"/>
  <c r="ACT4" i="5"/>
  <c r="ACD4" i="5"/>
  <c r="ABN4" i="5"/>
  <c r="AAX4" i="5"/>
  <c r="AAH4" i="5"/>
  <c r="ZR4" i="5"/>
  <c r="ZB4" i="5"/>
  <c r="YL4" i="5"/>
  <c r="XV4" i="5"/>
  <c r="XF4" i="5"/>
  <c r="WP4" i="5"/>
  <c r="VZ4" i="5"/>
  <c r="VJ4" i="5"/>
  <c r="UT4" i="5"/>
  <c r="UD4" i="5"/>
  <c r="TN4" i="5"/>
  <c r="SX4" i="5"/>
  <c r="SH4" i="5"/>
  <c r="RR4" i="5"/>
  <c r="RB4" i="5"/>
  <c r="QL4" i="5"/>
  <c r="PV4" i="5"/>
  <c r="PF4" i="5"/>
  <c r="OP4" i="5"/>
  <c r="NZ4" i="5"/>
  <c r="NJ4" i="5"/>
  <c r="MT4" i="5"/>
  <c r="MD4" i="5"/>
  <c r="LN4" i="5"/>
  <c r="KX4" i="5"/>
  <c r="KH4" i="5"/>
  <c r="JR4" i="5"/>
  <c r="JB4" i="5"/>
  <c r="IL4" i="5"/>
  <c r="HV4" i="5"/>
  <c r="HF4" i="5"/>
  <c r="GP4" i="5"/>
  <c r="FZ4" i="5"/>
  <c r="FJ4" i="5"/>
  <c r="ET4" i="5"/>
  <c r="ED4" i="5"/>
  <c r="DN4" i="5"/>
  <c r="CX4" i="5"/>
  <c r="CH4" i="5"/>
  <c r="BR4" i="5"/>
  <c r="BB4" i="5"/>
  <c r="AL4" i="5"/>
  <c r="V4" i="5"/>
  <c r="F4" i="5"/>
  <c r="ALX3" i="5"/>
  <c r="ALH3" i="5"/>
  <c r="AKR3" i="5"/>
  <c r="AKB3" i="5"/>
  <c r="AJL3" i="5"/>
  <c r="AIV3" i="5"/>
  <c r="AIF3" i="5"/>
  <c r="AHP3" i="5"/>
  <c r="AGZ3" i="5"/>
  <c r="AGJ3" i="5"/>
  <c r="AFT3" i="5"/>
  <c r="AFD3" i="5"/>
  <c r="AEN3" i="5"/>
  <c r="ADX3" i="5"/>
  <c r="ADH3" i="5"/>
  <c r="ACR3" i="5"/>
  <c r="ACB3" i="5"/>
  <c r="ABL3" i="5"/>
  <c r="AAV3" i="5"/>
  <c r="AAF3" i="5"/>
  <c r="ZP3" i="5"/>
  <c r="YZ3" i="5"/>
  <c r="YJ3" i="5"/>
  <c r="XT3" i="5"/>
  <c r="XD3" i="5"/>
  <c r="WN3" i="5"/>
  <c r="VX3" i="5"/>
  <c r="VH3" i="5"/>
  <c r="UR3" i="5"/>
  <c r="UB3" i="5"/>
  <c r="TL3" i="5"/>
  <c r="SV3" i="5"/>
  <c r="SF3" i="5"/>
  <c r="RP3" i="5"/>
  <c r="QZ3" i="5"/>
  <c r="QJ3" i="5"/>
  <c r="PT3" i="5"/>
  <c r="PD3" i="5"/>
  <c r="ON3" i="5"/>
  <c r="NX3" i="5"/>
  <c r="NH3" i="5"/>
  <c r="MR3" i="5"/>
  <c r="MB3" i="5"/>
  <c r="LL3" i="5"/>
  <c r="KV3" i="5"/>
  <c r="KF3" i="5"/>
  <c r="JP3" i="5"/>
  <c r="IZ3" i="5"/>
  <c r="IJ3" i="5"/>
  <c r="HT3" i="5"/>
  <c r="HD3" i="5"/>
  <c r="GN3" i="5"/>
  <c r="FX3" i="5"/>
  <c r="FH3" i="5"/>
  <c r="ER3" i="5"/>
  <c r="EB3" i="5"/>
  <c r="DL3" i="5"/>
  <c r="CV3" i="5"/>
  <c r="CF3" i="5"/>
  <c r="BP3" i="5"/>
  <c r="AZ3" i="5"/>
  <c r="AJ3" i="5"/>
  <c r="T3" i="5"/>
  <c r="D3" i="5"/>
  <c r="ALV2" i="5"/>
  <c r="ALF2" i="5"/>
  <c r="AKP2" i="5"/>
  <c r="AJZ2" i="5"/>
  <c r="AJJ2" i="5"/>
  <c r="ZV7" i="5"/>
  <c r="VJ7" i="5"/>
  <c r="SY7" i="5"/>
  <c r="RB7" i="5"/>
  <c r="OW7" i="5"/>
  <c r="MX7" i="5"/>
  <c r="KZ7" i="5"/>
  <c r="JC7" i="5"/>
  <c r="HF7" i="5"/>
  <c r="FJ7" i="5"/>
  <c r="DS7" i="5"/>
  <c r="CK7" i="5"/>
  <c r="BC7" i="5"/>
  <c r="M7" i="5"/>
  <c r="ALL6" i="5"/>
  <c r="AKF6" i="5"/>
  <c r="AIZ6" i="5"/>
  <c r="AHT6" i="5"/>
  <c r="AGO6" i="5"/>
  <c r="AFK6" i="5"/>
  <c r="AEN6" i="5"/>
  <c r="ADJ6" i="5"/>
  <c r="ACF6" i="5"/>
  <c r="ABB6" i="5"/>
  <c r="ZX6" i="5"/>
  <c r="ZA6" i="5"/>
  <c r="XW6" i="5"/>
  <c r="WS6" i="5"/>
  <c r="VT6" i="5"/>
  <c r="UU6" i="5"/>
  <c r="TS6" i="5"/>
  <c r="SX6" i="5"/>
  <c r="RX6" i="5"/>
  <c r="RC6" i="5"/>
  <c r="QC6" i="5"/>
  <c r="PH6" i="5"/>
  <c r="OJ6" i="5"/>
  <c r="NN6" i="5"/>
  <c r="MU6" i="5"/>
  <c r="MB6" i="5"/>
  <c r="LF6" i="5"/>
  <c r="KM6" i="5"/>
  <c r="JT6" i="5"/>
  <c r="JA6" i="5"/>
  <c r="IE6" i="5"/>
  <c r="HL6" i="5"/>
  <c r="GS6" i="5"/>
  <c r="GC6" i="5"/>
  <c r="FM6" i="5"/>
  <c r="EW6" i="5"/>
  <c r="EG6" i="5"/>
  <c r="DQ6" i="5"/>
  <c r="DA6" i="5"/>
  <c r="CK6" i="5"/>
  <c r="BU6" i="5"/>
  <c r="BE6" i="5"/>
  <c r="AO6" i="5"/>
  <c r="Y6" i="5"/>
  <c r="I6" i="5"/>
  <c r="AMA5" i="5"/>
  <c r="ALK5" i="5"/>
  <c r="AKU5" i="5"/>
  <c r="AKE5" i="5"/>
  <c r="AJO5" i="5"/>
  <c r="AIY5" i="5"/>
  <c r="AII5" i="5"/>
  <c r="AHS5" i="5"/>
  <c r="AHC5" i="5"/>
  <c r="AGM5" i="5"/>
  <c r="AFW5" i="5"/>
  <c r="AFG5" i="5"/>
  <c r="AEQ5" i="5"/>
  <c r="AEA5" i="5"/>
  <c r="ADK5" i="5"/>
  <c r="ACU5" i="5"/>
  <c r="ACE5" i="5"/>
  <c r="ABO5" i="5"/>
  <c r="AAY5" i="5"/>
  <c r="AAI5" i="5"/>
  <c r="ZS5" i="5"/>
  <c r="ZC5" i="5"/>
  <c r="YM5" i="5"/>
  <c r="XW5" i="5"/>
  <c r="XG5" i="5"/>
  <c r="WQ5" i="5"/>
  <c r="WA5" i="5"/>
  <c r="VK5" i="5"/>
  <c r="UU5" i="5"/>
  <c r="UE5" i="5"/>
  <c r="TO5" i="5"/>
  <c r="SY5" i="5"/>
  <c r="SI5" i="5"/>
  <c r="RS5" i="5"/>
  <c r="RC5" i="5"/>
  <c r="QM5" i="5"/>
  <c r="PW5" i="5"/>
  <c r="PG5" i="5"/>
  <c r="OQ5" i="5"/>
  <c r="OA5" i="5"/>
  <c r="NK5" i="5"/>
  <c r="MU5" i="5"/>
  <c r="ME5" i="5"/>
  <c r="LO5" i="5"/>
  <c r="KY5" i="5"/>
  <c r="KI5" i="5"/>
  <c r="JS5" i="5"/>
  <c r="JC5" i="5"/>
  <c r="IM5" i="5"/>
  <c r="HW5" i="5"/>
  <c r="HG5" i="5"/>
  <c r="GQ5" i="5"/>
  <c r="GA5" i="5"/>
  <c r="FK5" i="5"/>
  <c r="EU5" i="5"/>
  <c r="EE5" i="5"/>
  <c r="DO5" i="5"/>
  <c r="CY5" i="5"/>
  <c r="CI5" i="5"/>
  <c r="BS5" i="5"/>
  <c r="BC5" i="5"/>
  <c r="AM5" i="5"/>
  <c r="W5" i="5"/>
  <c r="G5" i="5"/>
  <c r="ALY4" i="5"/>
  <c r="ALI4" i="5"/>
  <c r="AKS4" i="5"/>
  <c r="AKC4" i="5"/>
  <c r="AJM4" i="5"/>
  <c r="AIW4" i="5"/>
  <c r="AIG4" i="5"/>
  <c r="AHQ4" i="5"/>
  <c r="AHA4" i="5"/>
  <c r="AGK4" i="5"/>
  <c r="AFU4" i="5"/>
  <c r="AFE4" i="5"/>
  <c r="AEO4" i="5"/>
  <c r="ADY4" i="5"/>
  <c r="ADI4" i="5"/>
  <c r="ACS4" i="5"/>
  <c r="ACC4" i="5"/>
  <c r="ABM4" i="5"/>
  <c r="AAW4" i="5"/>
  <c r="AAG4" i="5"/>
  <c r="ZQ4" i="5"/>
  <c r="ZA4" i="5"/>
  <c r="YK4" i="5"/>
  <c r="XU4" i="5"/>
  <c r="XE4" i="5"/>
  <c r="WO4" i="5"/>
  <c r="VY4" i="5"/>
  <c r="VI4" i="5"/>
  <c r="US4" i="5"/>
  <c r="UC4" i="5"/>
  <c r="TM4" i="5"/>
  <c r="SW4" i="5"/>
  <c r="SG4" i="5"/>
  <c r="RQ4" i="5"/>
  <c r="RA4" i="5"/>
  <c r="QK4" i="5"/>
  <c r="PU4" i="5"/>
  <c r="PE4" i="5"/>
  <c r="OO4" i="5"/>
  <c r="NY4" i="5"/>
  <c r="NI4" i="5"/>
  <c r="MS4" i="5"/>
  <c r="MC4" i="5"/>
  <c r="LM4" i="5"/>
  <c r="KW4" i="5"/>
  <c r="KG4" i="5"/>
  <c r="JQ4" i="5"/>
  <c r="JA4" i="5"/>
  <c r="IK4" i="5"/>
  <c r="HU4" i="5"/>
  <c r="HE4" i="5"/>
  <c r="GO4" i="5"/>
  <c r="FY4" i="5"/>
  <c r="FI4" i="5"/>
  <c r="ES4" i="5"/>
  <c r="EC4" i="5"/>
  <c r="DM4" i="5"/>
  <c r="CW4" i="5"/>
  <c r="CG4" i="5"/>
  <c r="BQ4" i="5"/>
  <c r="BA4" i="5"/>
  <c r="AK4" i="5"/>
  <c r="U4" i="5"/>
  <c r="E4" i="5"/>
  <c r="ALW3" i="5"/>
  <c r="ALG3" i="5"/>
  <c r="AKQ3" i="5"/>
  <c r="AKA3" i="5"/>
  <c r="AJK3" i="5"/>
  <c r="AIU3" i="5"/>
  <c r="AIE3" i="5"/>
  <c r="AHO3" i="5"/>
  <c r="AGY3" i="5"/>
  <c r="AGI3" i="5"/>
  <c r="AFS3" i="5"/>
  <c r="AFC3" i="5"/>
  <c r="AEM3" i="5"/>
  <c r="ADW3" i="5"/>
  <c r="ADG3" i="5"/>
  <c r="ACQ3" i="5"/>
  <c r="ACA3" i="5"/>
  <c r="ABK3" i="5"/>
  <c r="AAU3" i="5"/>
  <c r="AAE3" i="5"/>
  <c r="ZO3" i="5"/>
  <c r="YY3" i="5"/>
  <c r="YI3" i="5"/>
  <c r="XS3" i="5"/>
  <c r="XC3" i="5"/>
  <c r="WM3" i="5"/>
  <c r="VW3" i="5"/>
  <c r="VG3" i="5"/>
  <c r="UQ3" i="5"/>
  <c r="UA3" i="5"/>
  <c r="TK3" i="5"/>
  <c r="SU3" i="5"/>
  <c r="SE3" i="5"/>
  <c r="RO3" i="5"/>
  <c r="QY3" i="5"/>
  <c r="QI3" i="5"/>
  <c r="PS3" i="5"/>
  <c r="PC3" i="5"/>
  <c r="OM3" i="5"/>
  <c r="NW3" i="5"/>
  <c r="NG3" i="5"/>
  <c r="MQ3" i="5"/>
  <c r="MA3" i="5"/>
  <c r="LK3" i="5"/>
  <c r="KU3" i="5"/>
  <c r="KE3" i="5"/>
  <c r="JO3" i="5"/>
  <c r="IY3" i="5"/>
  <c r="II3" i="5"/>
  <c r="HS3" i="5"/>
  <c r="HC3" i="5"/>
  <c r="GM3" i="5"/>
  <c r="FW3" i="5"/>
  <c r="FG3" i="5"/>
  <c r="EQ3" i="5"/>
  <c r="EA3" i="5"/>
  <c r="DK3" i="5"/>
  <c r="CU3" i="5"/>
  <c r="CE3" i="5"/>
  <c r="BO3" i="5"/>
  <c r="AY3" i="5"/>
  <c r="AI3" i="5"/>
  <c r="S3" i="5"/>
  <c r="C3" i="5"/>
  <c r="ZT7" i="5"/>
  <c r="UX7" i="5"/>
  <c r="SX7" i="5"/>
  <c r="QS7" i="5"/>
  <c r="OT7" i="5"/>
  <c r="MV7" i="5"/>
  <c r="KY7" i="5"/>
  <c r="JB7" i="5"/>
  <c r="GW7" i="5"/>
  <c r="FA7" i="5"/>
  <c r="DR7" i="5"/>
  <c r="CJ7" i="5"/>
  <c r="BB7" i="5"/>
  <c r="K7" i="5"/>
  <c r="ALK6" i="5"/>
  <c r="AKE6" i="5"/>
  <c r="AIY6" i="5"/>
  <c r="AHS6" i="5"/>
  <c r="AGN6" i="5"/>
  <c r="AFJ6" i="5"/>
  <c r="AEF6" i="5"/>
  <c r="ADI6" i="5"/>
  <c r="ACE6" i="5"/>
  <c r="ABA6" i="5"/>
  <c r="ZW6" i="5"/>
  <c r="YZ6" i="5"/>
  <c r="XV6" i="5"/>
  <c r="WR6" i="5"/>
  <c r="VP6" i="5"/>
  <c r="UT6" i="5"/>
  <c r="TR6" i="5"/>
  <c r="SW6" i="5"/>
  <c r="RW6" i="5"/>
  <c r="RB6" i="5"/>
  <c r="QB6" i="5"/>
  <c r="PG6" i="5"/>
  <c r="OG6" i="5"/>
  <c r="NM6" i="5"/>
  <c r="MT6" i="5"/>
  <c r="LX6" i="5"/>
  <c r="LE6" i="5"/>
  <c r="KL6" i="5"/>
  <c r="JS6" i="5"/>
  <c r="IZ6" i="5"/>
  <c r="ID6" i="5"/>
  <c r="HK6" i="5"/>
  <c r="GR6" i="5"/>
  <c r="GB6" i="5"/>
  <c r="FL6" i="5"/>
  <c r="EV6" i="5"/>
  <c r="EF6" i="5"/>
  <c r="DP6" i="5"/>
  <c r="CZ6" i="5"/>
  <c r="CJ6" i="5"/>
  <c r="BT6" i="5"/>
  <c r="BD6" i="5"/>
  <c r="AN6" i="5"/>
  <c r="X6" i="5"/>
  <c r="H6" i="5"/>
  <c r="ALZ5" i="5"/>
  <c r="ALJ5" i="5"/>
  <c r="AKT5" i="5"/>
  <c r="AKD5" i="5"/>
  <c r="AJN5" i="5"/>
  <c r="AIX5" i="5"/>
  <c r="AIH5" i="5"/>
  <c r="AHR5" i="5"/>
  <c r="AHB5" i="5"/>
  <c r="AGL5" i="5"/>
  <c r="AFV5" i="5"/>
  <c r="AFF5" i="5"/>
  <c r="AEP5" i="5"/>
  <c r="ADZ5" i="5"/>
  <c r="ADJ5" i="5"/>
  <c r="ACT5" i="5"/>
  <c r="ACD5" i="5"/>
  <c r="ABN5" i="5"/>
  <c r="AAX5" i="5"/>
  <c r="AAH5" i="5"/>
  <c r="ZR5" i="5"/>
  <c r="ZB5" i="5"/>
  <c r="YL5" i="5"/>
  <c r="XV5" i="5"/>
  <c r="XF5" i="5"/>
  <c r="WP5" i="5"/>
  <c r="VZ5" i="5"/>
  <c r="VJ5" i="5"/>
  <c r="UT5" i="5"/>
  <c r="UD5" i="5"/>
  <c r="TN5" i="5"/>
  <c r="SX5" i="5"/>
  <c r="SH5" i="5"/>
  <c r="RR5" i="5"/>
  <c r="RB5" i="5"/>
  <c r="QL5" i="5"/>
  <c r="PV5" i="5"/>
  <c r="PF5" i="5"/>
  <c r="OP5" i="5"/>
  <c r="NZ5" i="5"/>
  <c r="NJ5" i="5"/>
  <c r="MT5" i="5"/>
  <c r="MD5" i="5"/>
  <c r="LN5" i="5"/>
  <c r="KX5" i="5"/>
  <c r="KH5" i="5"/>
  <c r="JR5" i="5"/>
  <c r="JB5" i="5"/>
  <c r="IL5" i="5"/>
  <c r="HV5" i="5"/>
  <c r="HF5" i="5"/>
  <c r="GP5" i="5"/>
  <c r="FZ5" i="5"/>
  <c r="FJ5" i="5"/>
  <c r="ET5" i="5"/>
  <c r="ED5" i="5"/>
  <c r="DN5" i="5"/>
  <c r="CX5" i="5"/>
  <c r="CH5" i="5"/>
  <c r="BR5" i="5"/>
  <c r="BB5" i="5"/>
  <c r="AL5" i="5"/>
  <c r="V5" i="5"/>
  <c r="F5" i="5"/>
  <c r="ALX4" i="5"/>
  <c r="ALH4" i="5"/>
  <c r="AKR4" i="5"/>
  <c r="AKB4" i="5"/>
  <c r="AJL4" i="5"/>
  <c r="AIV4" i="5"/>
  <c r="AIF4" i="5"/>
  <c r="AHP4" i="5"/>
  <c r="AGZ4" i="5"/>
  <c r="AGJ4" i="5"/>
  <c r="AFT4" i="5"/>
  <c r="AFD4" i="5"/>
  <c r="AEN4" i="5"/>
  <c r="ADX4" i="5"/>
  <c r="ADH4" i="5"/>
  <c r="ACR4" i="5"/>
  <c r="ACB4" i="5"/>
  <c r="ABL4" i="5"/>
  <c r="AAV4" i="5"/>
  <c r="AAF4" i="5"/>
  <c r="ZP4" i="5"/>
  <c r="YZ4" i="5"/>
  <c r="YJ4" i="5"/>
  <c r="XT4" i="5"/>
  <c r="XD4" i="5"/>
  <c r="WN4" i="5"/>
  <c r="VX4" i="5"/>
  <c r="VH4" i="5"/>
  <c r="UR4" i="5"/>
  <c r="UB4" i="5"/>
  <c r="TL4" i="5"/>
  <c r="SV4" i="5"/>
  <c r="SF4" i="5"/>
  <c r="RP4" i="5"/>
  <c r="QZ4" i="5"/>
  <c r="QJ4" i="5"/>
  <c r="PT4" i="5"/>
  <c r="PD4" i="5"/>
  <c r="ON4" i="5"/>
  <c r="NX4" i="5"/>
  <c r="NH4" i="5"/>
  <c r="MR4" i="5"/>
  <c r="MB4" i="5"/>
  <c r="LL4" i="5"/>
  <c r="KV4" i="5"/>
  <c r="KF4" i="5"/>
  <c r="JP4" i="5"/>
  <c r="IZ4" i="5"/>
  <c r="IJ4" i="5"/>
  <c r="HT4" i="5"/>
  <c r="HD4" i="5"/>
  <c r="GN4" i="5"/>
  <c r="FX4" i="5"/>
  <c r="FH4" i="5"/>
  <c r="ER4" i="5"/>
  <c r="EB4" i="5"/>
  <c r="DL4" i="5"/>
  <c r="CV4" i="5"/>
  <c r="CF4" i="5"/>
  <c r="BP4" i="5"/>
  <c r="AZ4" i="5"/>
  <c r="AJ4" i="5"/>
  <c r="T4" i="5"/>
  <c r="D4" i="5"/>
  <c r="ALV3" i="5"/>
  <c r="ALF3" i="5"/>
  <c r="AKP3" i="5"/>
  <c r="AJZ3" i="5"/>
  <c r="AJJ3" i="5"/>
  <c r="AIT3" i="5"/>
  <c r="AID3" i="5"/>
  <c r="AHN3" i="5"/>
  <c r="AGX3" i="5"/>
  <c r="AGH3" i="5"/>
  <c r="AFR3" i="5"/>
  <c r="AFB3" i="5"/>
  <c r="AEL3" i="5"/>
  <c r="ADV3" i="5"/>
  <c r="ADF3" i="5"/>
  <c r="ACP3" i="5"/>
  <c r="ABZ3" i="5"/>
  <c r="ABJ3" i="5"/>
  <c r="AAT3" i="5"/>
  <c r="AAD3" i="5"/>
  <c r="ZN3" i="5"/>
  <c r="YX3" i="5"/>
  <c r="YH3" i="5"/>
  <c r="XR3" i="5"/>
  <c r="XB3" i="5"/>
  <c r="WL3" i="5"/>
  <c r="VV3" i="5"/>
  <c r="VF3" i="5"/>
  <c r="UP3" i="5"/>
  <c r="TZ3" i="5"/>
  <c r="TJ3" i="5"/>
  <c r="ST3" i="5"/>
  <c r="SD3" i="5"/>
  <c r="RN3" i="5"/>
  <c r="QX3" i="5"/>
  <c r="QH3" i="5"/>
  <c r="PR3" i="5"/>
  <c r="PB3" i="5"/>
  <c r="OL3" i="5"/>
  <c r="NV3" i="5"/>
  <c r="NF3" i="5"/>
  <c r="MP3" i="5"/>
  <c r="LZ3" i="5"/>
  <c r="LJ3" i="5"/>
  <c r="KT3" i="5"/>
  <c r="KD3" i="5"/>
  <c r="JN3" i="5"/>
  <c r="IX3" i="5"/>
  <c r="IH3" i="5"/>
  <c r="HR3" i="5"/>
  <c r="HB3" i="5"/>
  <c r="GL3" i="5"/>
  <c r="FV3" i="5"/>
  <c r="FF3" i="5"/>
  <c r="EP3" i="5"/>
  <c r="DZ3" i="5"/>
  <c r="DJ3" i="5"/>
  <c r="CT3" i="5"/>
  <c r="ZF7" i="5"/>
  <c r="UV7" i="5"/>
  <c r="SO7" i="5"/>
  <c r="QP7" i="5"/>
  <c r="OR7" i="5"/>
  <c r="MU7" i="5"/>
  <c r="KX7" i="5"/>
  <c r="IS7" i="5"/>
  <c r="GT7" i="5"/>
  <c r="EY7" i="5"/>
  <c r="DQ7" i="5"/>
  <c r="CI7" i="5"/>
  <c r="AS7" i="5"/>
  <c r="J7" i="5"/>
  <c r="ALJ6" i="5"/>
  <c r="AKD6" i="5"/>
  <c r="AIX6" i="5"/>
  <c r="AHR6" i="5"/>
  <c r="AGM6" i="5"/>
  <c r="AFI6" i="5"/>
  <c r="AEE6" i="5"/>
  <c r="ADH6" i="5"/>
  <c r="ACD6" i="5"/>
  <c r="AAZ6" i="5"/>
  <c r="ZV6" i="5"/>
  <c r="YR6" i="5"/>
  <c r="XU6" i="5"/>
  <c r="WQ6" i="5"/>
  <c r="VO6" i="5"/>
  <c r="US6" i="5"/>
  <c r="TQ6" i="5"/>
  <c r="SV6" i="5"/>
  <c r="RV6" i="5"/>
  <c r="RA6" i="5"/>
  <c r="QA6" i="5"/>
  <c r="PF6" i="5"/>
  <c r="OF6" i="5"/>
  <c r="NL6" i="5"/>
  <c r="MS6" i="5"/>
  <c r="LW6" i="5"/>
  <c r="LD6" i="5"/>
  <c r="KK6" i="5"/>
  <c r="JR6" i="5"/>
  <c r="IV6" i="5"/>
  <c r="IC6" i="5"/>
  <c r="HJ6" i="5"/>
  <c r="GQ6" i="5"/>
  <c r="GA6" i="5"/>
  <c r="FK6" i="5"/>
  <c r="EU6" i="5"/>
  <c r="EE6" i="5"/>
  <c r="DO6" i="5"/>
  <c r="CY6" i="5"/>
  <c r="CI6" i="5"/>
  <c r="BS6" i="5"/>
  <c r="BC6" i="5"/>
  <c r="AM6" i="5"/>
  <c r="W6" i="5"/>
  <c r="G6" i="5"/>
  <c r="ALY5" i="5"/>
  <c r="ALI5" i="5"/>
  <c r="AKS5" i="5"/>
  <c r="AKC5" i="5"/>
  <c r="AJM5" i="5"/>
  <c r="AIW5" i="5"/>
  <c r="AIG5" i="5"/>
  <c r="AHQ5" i="5"/>
  <c r="AHA5" i="5"/>
  <c r="AGK5" i="5"/>
  <c r="AFU5" i="5"/>
  <c r="AFE5" i="5"/>
  <c r="AEO5" i="5"/>
  <c r="ADY5" i="5"/>
  <c r="ADI5" i="5"/>
  <c r="ACS5" i="5"/>
  <c r="ACC5" i="5"/>
  <c r="ABM5" i="5"/>
  <c r="AAW5" i="5"/>
  <c r="AAG5" i="5"/>
  <c r="ZQ5" i="5"/>
  <c r="ZA5" i="5"/>
  <c r="YK5" i="5"/>
  <c r="XU5" i="5"/>
  <c r="XE5" i="5"/>
  <c r="WO5" i="5"/>
  <c r="VY5" i="5"/>
  <c r="VI5" i="5"/>
  <c r="US5" i="5"/>
  <c r="UC5" i="5"/>
  <c r="TM5" i="5"/>
  <c r="SW5" i="5"/>
  <c r="SG5" i="5"/>
  <c r="RQ5" i="5"/>
  <c r="RA5" i="5"/>
  <c r="QK5" i="5"/>
  <c r="PU5" i="5"/>
  <c r="PE5" i="5"/>
  <c r="OO5" i="5"/>
  <c r="NY5" i="5"/>
  <c r="NI5" i="5"/>
  <c r="MS5" i="5"/>
  <c r="MC5" i="5"/>
  <c r="LM5" i="5"/>
  <c r="KW5" i="5"/>
  <c r="KG5" i="5"/>
  <c r="JQ5" i="5"/>
  <c r="JA5" i="5"/>
  <c r="IK5" i="5"/>
  <c r="HU5" i="5"/>
  <c r="HE5" i="5"/>
  <c r="GO5" i="5"/>
  <c r="FY5" i="5"/>
  <c r="FI5" i="5"/>
  <c r="ES5" i="5"/>
  <c r="EC5" i="5"/>
  <c r="DM5" i="5"/>
  <c r="CW5" i="5"/>
  <c r="CG5" i="5"/>
  <c r="BQ5" i="5"/>
  <c r="BA5" i="5"/>
  <c r="AK5" i="5"/>
  <c r="U5" i="5"/>
  <c r="E5" i="5"/>
  <c r="ALW4" i="5"/>
  <c r="ALG4" i="5"/>
  <c r="AKQ4" i="5"/>
  <c r="AKA4" i="5"/>
  <c r="AJK4" i="5"/>
  <c r="AIU4" i="5"/>
  <c r="AIE4" i="5"/>
  <c r="AHO4" i="5"/>
  <c r="AGY4" i="5"/>
  <c r="AGI4" i="5"/>
  <c r="AFS4" i="5"/>
  <c r="AFC4" i="5"/>
  <c r="AEM4" i="5"/>
  <c r="ADW4" i="5"/>
  <c r="ADG4" i="5"/>
  <c r="ACQ4" i="5"/>
  <c r="ACA4" i="5"/>
  <c r="ABK4" i="5"/>
  <c r="AAU4" i="5"/>
  <c r="AAE4" i="5"/>
  <c r="ZO4" i="5"/>
  <c r="YY4" i="5"/>
  <c r="YI4" i="5"/>
  <c r="XS4" i="5"/>
  <c r="XC4" i="5"/>
  <c r="WM4" i="5"/>
  <c r="VW4" i="5"/>
  <c r="VG4" i="5"/>
  <c r="UQ4" i="5"/>
  <c r="UA4" i="5"/>
  <c r="TK4" i="5"/>
  <c r="SU4" i="5"/>
  <c r="SE4" i="5"/>
  <c r="RO4" i="5"/>
  <c r="QY4" i="5"/>
  <c r="QI4" i="5"/>
  <c r="PS4" i="5"/>
  <c r="PC4" i="5"/>
  <c r="OM4" i="5"/>
  <c r="NW4" i="5"/>
  <c r="NG4" i="5"/>
  <c r="MQ4" i="5"/>
  <c r="MA4" i="5"/>
  <c r="LK4" i="5"/>
  <c r="KU4" i="5"/>
  <c r="KE4" i="5"/>
  <c r="JO4" i="5"/>
  <c r="IY4" i="5"/>
  <c r="II4" i="5"/>
  <c r="HS4" i="5"/>
  <c r="HC4" i="5"/>
  <c r="GM4" i="5"/>
  <c r="FW4" i="5"/>
  <c r="FG4" i="5"/>
  <c r="EQ4" i="5"/>
  <c r="EA4" i="5"/>
  <c r="DK4" i="5"/>
  <c r="CU4" i="5"/>
  <c r="CE4" i="5"/>
  <c r="BO4" i="5"/>
  <c r="AY4" i="5"/>
  <c r="AI4" i="5"/>
  <c r="S4" i="5"/>
  <c r="C4" i="5"/>
  <c r="ALU3" i="5"/>
  <c r="ALE3" i="5"/>
  <c r="AKO3" i="5"/>
  <c r="AJY3" i="5"/>
  <c r="AJI3" i="5"/>
  <c r="AIS3" i="5"/>
  <c r="AIC3" i="5"/>
  <c r="AHM3" i="5"/>
  <c r="AGW3" i="5"/>
  <c r="AGG3" i="5"/>
  <c r="AFQ3" i="5"/>
  <c r="AFA3" i="5"/>
  <c r="AEK3" i="5"/>
  <c r="ADU3" i="5"/>
  <c r="ADE3" i="5"/>
  <c r="ACO3" i="5"/>
  <c r="ABY3" i="5"/>
  <c r="ABI3" i="5"/>
  <c r="AAS3" i="5"/>
  <c r="AAC3" i="5"/>
  <c r="ZM3" i="5"/>
  <c r="YW3" i="5"/>
  <c r="YG3" i="5"/>
  <c r="XQ3" i="5"/>
  <c r="XA3" i="5"/>
  <c r="WK3" i="5"/>
  <c r="VU3" i="5"/>
  <c r="VE3" i="5"/>
  <c r="UO3" i="5"/>
  <c r="TY3" i="5"/>
  <c r="TI3" i="5"/>
  <c r="SS3" i="5"/>
  <c r="SC3" i="5"/>
  <c r="RM3" i="5"/>
  <c r="QW3" i="5"/>
  <c r="QG3" i="5"/>
  <c r="PQ3" i="5"/>
  <c r="PA3" i="5"/>
  <c r="OK3" i="5"/>
  <c r="NU3" i="5"/>
  <c r="NE3" i="5"/>
  <c r="MO3" i="5"/>
  <c r="LY3" i="5"/>
  <c r="LI3" i="5"/>
  <c r="KS3" i="5"/>
  <c r="KC3" i="5"/>
  <c r="JM3" i="5"/>
  <c r="IW3" i="5"/>
  <c r="IG3" i="5"/>
  <c r="HQ3" i="5"/>
  <c r="HA3" i="5"/>
  <c r="GK3" i="5"/>
  <c r="FU3" i="5"/>
  <c r="FE3" i="5"/>
  <c r="EO3" i="5"/>
  <c r="DY3" i="5"/>
  <c r="DI3" i="5"/>
  <c r="CS3" i="5"/>
  <c r="ZD7" i="5"/>
  <c r="UU7" i="5"/>
  <c r="SL7" i="5"/>
  <c r="QN7" i="5"/>
  <c r="OQ7" i="5"/>
  <c r="MT7" i="5"/>
  <c r="KO7" i="5"/>
  <c r="IP7" i="5"/>
  <c r="GR7" i="5"/>
  <c r="EX7" i="5"/>
  <c r="DP7" i="5"/>
  <c r="CH7" i="5"/>
  <c r="AQ7" i="5"/>
  <c r="I7" i="5"/>
  <c r="ALI6" i="5"/>
  <c r="AKC6" i="5"/>
  <c r="AIW6" i="5"/>
  <c r="AHQ6" i="5"/>
  <c r="AGL6" i="5"/>
  <c r="AFH6" i="5"/>
  <c r="AED6" i="5"/>
  <c r="ACZ6" i="5"/>
  <c r="ACC6" i="5"/>
  <c r="AAY6" i="5"/>
  <c r="ZU6" i="5"/>
  <c r="YQ6" i="5"/>
  <c r="XT6" i="5"/>
  <c r="WP6" i="5"/>
  <c r="VN6" i="5"/>
  <c r="UR6" i="5"/>
  <c r="TP6" i="5"/>
  <c r="SR6" i="5"/>
  <c r="RU6" i="5"/>
  <c r="QZ6" i="5"/>
  <c r="PZ6" i="5"/>
  <c r="PE6" i="5"/>
  <c r="OE6" i="5"/>
  <c r="NK6" i="5"/>
  <c r="MR6" i="5"/>
  <c r="LV6" i="5"/>
  <c r="LC6" i="5"/>
  <c r="KJ6" i="5"/>
  <c r="JQ6" i="5"/>
  <c r="IU6" i="5"/>
  <c r="IB6" i="5"/>
  <c r="HI6" i="5"/>
  <c r="GP6" i="5"/>
  <c r="FZ6" i="5"/>
  <c r="FJ6" i="5"/>
  <c r="ET6" i="5"/>
  <c r="ED6" i="5"/>
  <c r="DN6" i="5"/>
  <c r="CX6" i="5"/>
  <c r="CH6" i="5"/>
  <c r="BR6" i="5"/>
  <c r="BB6" i="5"/>
  <c r="AL6" i="5"/>
  <c r="V6" i="5"/>
  <c r="F6" i="5"/>
  <c r="ALX5" i="5"/>
  <c r="ALH5" i="5"/>
  <c r="AKR5" i="5"/>
  <c r="AKB5" i="5"/>
  <c r="AJL5" i="5"/>
  <c r="AIV5" i="5"/>
  <c r="AIF5" i="5"/>
  <c r="AHP5" i="5"/>
  <c r="AGZ5" i="5"/>
  <c r="AGJ5" i="5"/>
  <c r="AFT5" i="5"/>
  <c r="AFD5" i="5"/>
  <c r="AEN5" i="5"/>
  <c r="ADX5" i="5"/>
  <c r="ADH5" i="5"/>
  <c r="ACR5" i="5"/>
  <c r="ACB5" i="5"/>
  <c r="ABL5" i="5"/>
  <c r="AAV5" i="5"/>
  <c r="AAF5" i="5"/>
  <c r="ZP5" i="5"/>
  <c r="YZ5" i="5"/>
  <c r="YJ5" i="5"/>
  <c r="XT5" i="5"/>
  <c r="XD5" i="5"/>
  <c r="WN5" i="5"/>
  <c r="VX5" i="5"/>
  <c r="VH5" i="5"/>
  <c r="UR5" i="5"/>
  <c r="UB5" i="5"/>
  <c r="TL5" i="5"/>
  <c r="SV5" i="5"/>
  <c r="SF5" i="5"/>
  <c r="RP5" i="5"/>
  <c r="QZ5" i="5"/>
  <c r="QJ5" i="5"/>
  <c r="PT5" i="5"/>
  <c r="PD5" i="5"/>
  <c r="ON5" i="5"/>
  <c r="NX5" i="5"/>
  <c r="NH5" i="5"/>
  <c r="MR5" i="5"/>
  <c r="MB5" i="5"/>
  <c r="LL5" i="5"/>
  <c r="KV5" i="5"/>
  <c r="KF5" i="5"/>
  <c r="JP5" i="5"/>
  <c r="IZ5" i="5"/>
  <c r="IJ5" i="5"/>
  <c r="HT5" i="5"/>
  <c r="HD5" i="5"/>
  <c r="GN5" i="5"/>
  <c r="FX5" i="5"/>
  <c r="FH5" i="5"/>
  <c r="ER5" i="5"/>
  <c r="EB5" i="5"/>
  <c r="DL5" i="5"/>
  <c r="CV5" i="5"/>
  <c r="CF5" i="5"/>
  <c r="BP5" i="5"/>
  <c r="AZ5" i="5"/>
  <c r="AJ5" i="5"/>
  <c r="T5" i="5"/>
  <c r="D5" i="5"/>
  <c r="ALV4" i="5"/>
  <c r="ALF4" i="5"/>
  <c r="AKP4" i="5"/>
  <c r="AJZ4" i="5"/>
  <c r="AJJ4" i="5"/>
  <c r="AIT4" i="5"/>
  <c r="AID4" i="5"/>
  <c r="AHN4" i="5"/>
  <c r="AGX4" i="5"/>
  <c r="AGH4" i="5"/>
  <c r="AFR4" i="5"/>
  <c r="AFB4" i="5"/>
  <c r="AEL4" i="5"/>
  <c r="ADV4" i="5"/>
  <c r="ADF4" i="5"/>
  <c r="ACP4" i="5"/>
  <c r="ABZ4" i="5"/>
  <c r="ABJ4" i="5"/>
  <c r="AAT4" i="5"/>
  <c r="AAD4" i="5"/>
  <c r="ZN4" i="5"/>
  <c r="YX4" i="5"/>
  <c r="YH4" i="5"/>
  <c r="XR4" i="5"/>
  <c r="XB4" i="5"/>
  <c r="WL4" i="5"/>
  <c r="VV4" i="5"/>
  <c r="VF4" i="5"/>
  <c r="UP4" i="5"/>
  <c r="TZ4" i="5"/>
  <c r="TJ4" i="5"/>
  <c r="ST4" i="5"/>
  <c r="SD4" i="5"/>
  <c r="RN4" i="5"/>
  <c r="QX4" i="5"/>
  <c r="QH4" i="5"/>
  <c r="PR4" i="5"/>
  <c r="PB4" i="5"/>
  <c r="OL4" i="5"/>
  <c r="NV4" i="5"/>
  <c r="NF4" i="5"/>
  <c r="MP4" i="5"/>
  <c r="LZ4" i="5"/>
  <c r="LJ4" i="5"/>
  <c r="KT4" i="5"/>
  <c r="KD4" i="5"/>
  <c r="JN4" i="5"/>
  <c r="IX4" i="5"/>
  <c r="IH4" i="5"/>
  <c r="HR4" i="5"/>
  <c r="HB4" i="5"/>
  <c r="GL4" i="5"/>
  <c r="FV4" i="5"/>
  <c r="FF4" i="5"/>
  <c r="EP4" i="5"/>
  <c r="DZ4" i="5"/>
  <c r="DJ4" i="5"/>
  <c r="CT4" i="5"/>
  <c r="CD4" i="5"/>
  <c r="BN4" i="5"/>
  <c r="AX4" i="5"/>
  <c r="AH4" i="5"/>
  <c r="R4" i="5"/>
  <c r="B4" i="5"/>
  <c r="ALT3" i="5"/>
  <c r="ALD3" i="5"/>
  <c r="AKN3" i="5"/>
  <c r="AJX3" i="5"/>
  <c r="AJH3" i="5"/>
  <c r="AIR3" i="5"/>
  <c r="AIB3" i="5"/>
  <c r="AHL3" i="5"/>
  <c r="AGV3" i="5"/>
  <c r="AGF3" i="5"/>
  <c r="AFP3" i="5"/>
  <c r="AEZ3" i="5"/>
  <c r="AEJ3" i="5"/>
  <c r="ADT3" i="5"/>
  <c r="ADD3" i="5"/>
  <c r="ACN3" i="5"/>
  <c r="ABX3" i="5"/>
  <c r="ABH3" i="5"/>
  <c r="AAR3" i="5"/>
  <c r="AAB3" i="5"/>
  <c r="ZL3" i="5"/>
  <c r="YV3" i="5"/>
  <c r="YF3" i="5"/>
  <c r="XP3" i="5"/>
  <c r="WZ3" i="5"/>
  <c r="WJ3" i="5"/>
  <c r="VT3" i="5"/>
  <c r="VD3" i="5"/>
  <c r="UN3" i="5"/>
  <c r="TX3" i="5"/>
  <c r="TH3" i="5"/>
  <c r="SR3" i="5"/>
  <c r="SB3" i="5"/>
  <c r="RL3" i="5"/>
  <c r="QV3" i="5"/>
  <c r="QF3" i="5"/>
  <c r="PP3" i="5"/>
  <c r="OZ3" i="5"/>
  <c r="OJ3" i="5"/>
  <c r="YP7" i="5"/>
  <c r="UT7" i="5"/>
  <c r="SJ7" i="5"/>
  <c r="QM7" i="5"/>
  <c r="OP7" i="5"/>
  <c r="MK7" i="5"/>
  <c r="KL7" i="5"/>
  <c r="IN7" i="5"/>
  <c r="GQ7" i="5"/>
  <c r="EW7" i="5"/>
  <c r="DO7" i="5"/>
  <c r="BY7" i="5"/>
  <c r="AP7" i="5"/>
  <c r="H7" i="5"/>
  <c r="ALH6" i="5"/>
  <c r="AKB6" i="5"/>
  <c r="AIV6" i="5"/>
  <c r="AHP6" i="5"/>
  <c r="AGK6" i="5"/>
  <c r="AFG6" i="5"/>
  <c r="AEC6" i="5"/>
  <c r="ACY6" i="5"/>
  <c r="ACB6" i="5"/>
  <c r="AAX6" i="5"/>
  <c r="ZT6" i="5"/>
  <c r="YP6" i="5"/>
  <c r="XL6" i="5"/>
  <c r="WO6" i="5"/>
  <c r="VM6" i="5"/>
  <c r="UN6" i="5"/>
  <c r="TO6" i="5"/>
  <c r="SO6" i="5"/>
  <c r="RT6" i="5"/>
  <c r="QV6" i="5"/>
  <c r="PY6" i="5"/>
  <c r="PD6" i="5"/>
  <c r="OD6" i="5"/>
  <c r="NJ6" i="5"/>
  <c r="MN6" i="5"/>
  <c r="LU6" i="5"/>
  <c r="LB6" i="5"/>
  <c r="KI6" i="5"/>
  <c r="JP6" i="5"/>
  <c r="IT6" i="5"/>
  <c r="IA6" i="5"/>
  <c r="HH6" i="5"/>
  <c r="GO6" i="5"/>
  <c r="FY6" i="5"/>
  <c r="FI6" i="5"/>
  <c r="ES6" i="5"/>
  <c r="EC6" i="5"/>
  <c r="DM6" i="5"/>
  <c r="CW6" i="5"/>
  <c r="CG6" i="5"/>
  <c r="BQ6" i="5"/>
  <c r="BA6" i="5"/>
  <c r="AK6" i="5"/>
  <c r="U6" i="5"/>
  <c r="E6" i="5"/>
  <c r="ALW5" i="5"/>
  <c r="ALG5" i="5"/>
  <c r="AKQ5" i="5"/>
  <c r="AKA5" i="5"/>
  <c r="AJK5" i="5"/>
  <c r="AIU5" i="5"/>
  <c r="AIE5" i="5"/>
  <c r="AHO5" i="5"/>
  <c r="AGY5" i="5"/>
  <c r="AGI5" i="5"/>
  <c r="AFS5" i="5"/>
  <c r="AFC5" i="5"/>
  <c r="AEM5" i="5"/>
  <c r="ADW5" i="5"/>
  <c r="ADG5" i="5"/>
  <c r="ACQ5" i="5"/>
  <c r="ACA5" i="5"/>
  <c r="ABK5" i="5"/>
  <c r="AAU5" i="5"/>
  <c r="AAE5" i="5"/>
  <c r="ZO5" i="5"/>
  <c r="YY5" i="5"/>
  <c r="YI5" i="5"/>
  <c r="XS5" i="5"/>
  <c r="XC5" i="5"/>
  <c r="WM5" i="5"/>
  <c r="VW5" i="5"/>
  <c r="VG5" i="5"/>
  <c r="UQ5" i="5"/>
  <c r="UA5" i="5"/>
  <c r="TK5" i="5"/>
  <c r="SU5" i="5"/>
  <c r="SE5" i="5"/>
  <c r="RO5" i="5"/>
  <c r="QY5" i="5"/>
  <c r="QI5" i="5"/>
  <c r="PS5" i="5"/>
  <c r="PC5" i="5"/>
  <c r="OM5" i="5"/>
  <c r="NW5" i="5"/>
  <c r="NG5" i="5"/>
  <c r="MQ5" i="5"/>
  <c r="MA5" i="5"/>
  <c r="LK5" i="5"/>
  <c r="KU5" i="5"/>
  <c r="KE5" i="5"/>
  <c r="JO5" i="5"/>
  <c r="IY5" i="5"/>
  <c r="II5" i="5"/>
  <c r="HS5" i="5"/>
  <c r="HC5" i="5"/>
  <c r="GM5" i="5"/>
  <c r="FW5" i="5"/>
  <c r="FG5" i="5"/>
  <c r="EQ5" i="5"/>
  <c r="EA5" i="5"/>
  <c r="DK5" i="5"/>
  <c r="CU5" i="5"/>
  <c r="CE5" i="5"/>
  <c r="BO5" i="5"/>
  <c r="AY5" i="5"/>
  <c r="AI5" i="5"/>
  <c r="S5" i="5"/>
  <c r="C5" i="5"/>
  <c r="ALU4" i="5"/>
  <c r="ALE4" i="5"/>
  <c r="AKO4" i="5"/>
  <c r="AJY4" i="5"/>
  <c r="AJI4" i="5"/>
  <c r="AIS4" i="5"/>
  <c r="AIC4" i="5"/>
  <c r="AHM4" i="5"/>
  <c r="AGW4" i="5"/>
  <c r="AGG4" i="5"/>
  <c r="AFQ4" i="5"/>
  <c r="AFA4" i="5"/>
  <c r="AEK4" i="5"/>
  <c r="ADU4" i="5"/>
  <c r="ADE4" i="5"/>
  <c r="ACO4" i="5"/>
  <c r="ABY4" i="5"/>
  <c r="ABI4" i="5"/>
  <c r="AAS4" i="5"/>
  <c r="AAC4" i="5"/>
  <c r="ZM4" i="5"/>
  <c r="YW4" i="5"/>
  <c r="YG4" i="5"/>
  <c r="XQ4" i="5"/>
  <c r="XA4" i="5"/>
  <c r="WK4" i="5"/>
  <c r="VU4" i="5"/>
  <c r="VE4" i="5"/>
  <c r="UO4" i="5"/>
  <c r="TY4" i="5"/>
  <c r="TI4" i="5"/>
  <c r="SS4" i="5"/>
  <c r="SC4" i="5"/>
  <c r="RM4" i="5"/>
  <c r="QW4" i="5"/>
  <c r="QG4" i="5"/>
  <c r="PQ4" i="5"/>
  <c r="PA4" i="5"/>
  <c r="OK4" i="5"/>
  <c r="NU4" i="5"/>
  <c r="NE4" i="5"/>
  <c r="MO4" i="5"/>
  <c r="LY4" i="5"/>
  <c r="LI4" i="5"/>
  <c r="KS4" i="5"/>
  <c r="KC4" i="5"/>
  <c r="JM4" i="5"/>
  <c r="IW4" i="5"/>
  <c r="IG4" i="5"/>
  <c r="HQ4" i="5"/>
  <c r="HA4" i="5"/>
  <c r="GK4" i="5"/>
  <c r="FU4" i="5"/>
  <c r="FE4" i="5"/>
  <c r="EO4" i="5"/>
  <c r="DY4" i="5"/>
  <c r="DI4" i="5"/>
  <c r="CS4" i="5"/>
  <c r="CC4" i="5"/>
  <c r="BM4" i="5"/>
  <c r="AW4" i="5"/>
  <c r="AG4" i="5"/>
  <c r="Q4" i="5"/>
  <c r="A4" i="5"/>
  <c r="ALS3" i="5"/>
  <c r="ALC3" i="5"/>
  <c r="AKM3" i="5"/>
  <c r="AJW3" i="5"/>
  <c r="AJG3" i="5"/>
  <c r="AIQ3" i="5"/>
  <c r="AIA3" i="5"/>
  <c r="AHK3" i="5"/>
  <c r="AGU3" i="5"/>
  <c r="AGE3" i="5"/>
  <c r="AFO3" i="5"/>
  <c r="AEY3" i="5"/>
  <c r="AEI3" i="5"/>
  <c r="ADS3" i="5"/>
  <c r="ADC3" i="5"/>
  <c r="ACM3" i="5"/>
  <c r="ABW3" i="5"/>
  <c r="ABG3" i="5"/>
  <c r="AAQ3" i="5"/>
  <c r="AAA3" i="5"/>
  <c r="ZK3" i="5"/>
  <c r="YU3" i="5"/>
  <c r="YE3" i="5"/>
  <c r="XO3" i="5"/>
  <c r="WY3" i="5"/>
  <c r="WI3" i="5"/>
  <c r="VS3" i="5"/>
  <c r="VC3" i="5"/>
  <c r="UM3" i="5"/>
  <c r="TW3" i="5"/>
  <c r="TG3" i="5"/>
  <c r="SQ3" i="5"/>
  <c r="SA3" i="5"/>
  <c r="RK3" i="5"/>
  <c r="QU3" i="5"/>
  <c r="QE3" i="5"/>
  <c r="PO3" i="5"/>
  <c r="OY3" i="5"/>
  <c r="OI3" i="5"/>
  <c r="NS3" i="5"/>
  <c r="NC3" i="5"/>
  <c r="MM3" i="5"/>
  <c r="LW3" i="5"/>
  <c r="LG3" i="5"/>
  <c r="KQ3" i="5"/>
  <c r="YN7" i="5"/>
  <c r="UH7" i="5"/>
  <c r="SI7" i="5"/>
  <c r="QL7" i="5"/>
  <c r="OG7" i="5"/>
  <c r="MH7" i="5"/>
  <c r="KJ7" i="5"/>
  <c r="IM7" i="5"/>
  <c r="GP7" i="5"/>
  <c r="EV7" i="5"/>
  <c r="DN7" i="5"/>
  <c r="BW7" i="5"/>
  <c r="AO7" i="5"/>
  <c r="G7" i="5"/>
  <c r="AKY6" i="5"/>
  <c r="AJS6" i="5"/>
  <c r="AIM6" i="5"/>
  <c r="AHG6" i="5"/>
  <c r="AGJ6" i="5"/>
  <c r="AFF6" i="5"/>
  <c r="AEB6" i="5"/>
  <c r="ACX6" i="5"/>
  <c r="ABT6" i="5"/>
  <c r="AAW6" i="5"/>
  <c r="ZS6" i="5"/>
  <c r="YO6" i="5"/>
  <c r="XK6" i="5"/>
  <c r="WN6" i="5"/>
  <c r="VL6" i="5"/>
  <c r="UJ6" i="5"/>
  <c r="TN6" i="5"/>
  <c r="SN6" i="5"/>
  <c r="RS6" i="5"/>
  <c r="QS6" i="5"/>
  <c r="PX6" i="5"/>
  <c r="OZ6" i="5"/>
  <c r="OC6" i="5"/>
  <c r="NI6" i="5"/>
  <c r="MM6" i="5"/>
  <c r="LT6" i="5"/>
  <c r="LA6" i="5"/>
  <c r="KH6" i="5"/>
  <c r="JL6" i="5"/>
  <c r="IS6" i="5"/>
  <c r="HZ6" i="5"/>
  <c r="HG6" i="5"/>
  <c r="GN6" i="5"/>
  <c r="FX6" i="5"/>
  <c r="FH6" i="5"/>
  <c r="ER6" i="5"/>
  <c r="EB6" i="5"/>
  <c r="DL6" i="5"/>
  <c r="CV6" i="5"/>
  <c r="CF6" i="5"/>
  <c r="BP6" i="5"/>
  <c r="AZ6" i="5"/>
  <c r="AJ6" i="5"/>
  <c r="T6" i="5"/>
  <c r="D6" i="5"/>
  <c r="ALV5" i="5"/>
  <c r="ALF5" i="5"/>
  <c r="AKP5" i="5"/>
  <c r="AJZ5" i="5"/>
  <c r="AJJ5" i="5"/>
  <c r="AIT5" i="5"/>
  <c r="AID5" i="5"/>
  <c r="AHN5" i="5"/>
  <c r="AGX5" i="5"/>
  <c r="AGH5" i="5"/>
  <c r="AFR5" i="5"/>
  <c r="AFB5" i="5"/>
  <c r="AEL5" i="5"/>
  <c r="ADV5" i="5"/>
  <c r="ADF5" i="5"/>
  <c r="ACP5" i="5"/>
  <c r="ABZ5" i="5"/>
  <c r="ABJ5" i="5"/>
  <c r="AAT5" i="5"/>
  <c r="AAD5" i="5"/>
  <c r="ZN5" i="5"/>
  <c r="YX5" i="5"/>
  <c r="YH5" i="5"/>
  <c r="XR5" i="5"/>
  <c r="XB5" i="5"/>
  <c r="WL5" i="5"/>
  <c r="VV5" i="5"/>
  <c r="VF5" i="5"/>
  <c r="UP5" i="5"/>
  <c r="TZ5" i="5"/>
  <c r="TJ5" i="5"/>
  <c r="ST5" i="5"/>
  <c r="SD5" i="5"/>
  <c r="RN5" i="5"/>
  <c r="QX5" i="5"/>
  <c r="QH5" i="5"/>
  <c r="PR5" i="5"/>
  <c r="PB5" i="5"/>
  <c r="OL5" i="5"/>
  <c r="NV5" i="5"/>
  <c r="NF5" i="5"/>
  <c r="MP5" i="5"/>
  <c r="LZ5" i="5"/>
  <c r="LJ5" i="5"/>
  <c r="KT5" i="5"/>
  <c r="KD5" i="5"/>
  <c r="JN5" i="5"/>
  <c r="IX5" i="5"/>
  <c r="IH5" i="5"/>
  <c r="HR5" i="5"/>
  <c r="HB5" i="5"/>
  <c r="GL5" i="5"/>
  <c r="FV5" i="5"/>
  <c r="FF5" i="5"/>
  <c r="EP5" i="5"/>
  <c r="DZ5" i="5"/>
  <c r="DJ5" i="5"/>
  <c r="CT5" i="5"/>
  <c r="CD5" i="5"/>
  <c r="BN5" i="5"/>
  <c r="AX5" i="5"/>
  <c r="AH5" i="5"/>
  <c r="R5" i="5"/>
  <c r="B5" i="5"/>
  <c r="ALT4" i="5"/>
  <c r="ALD4" i="5"/>
  <c r="AKN4" i="5"/>
  <c r="AJX4" i="5"/>
  <c r="AJH4" i="5"/>
  <c r="AIR4" i="5"/>
  <c r="AIB4" i="5"/>
  <c r="AHL4" i="5"/>
  <c r="AGV4" i="5"/>
  <c r="AGF4" i="5"/>
  <c r="AFP4" i="5"/>
  <c r="AEZ4" i="5"/>
  <c r="AEJ4" i="5"/>
  <c r="ADT4" i="5"/>
  <c r="ADD4" i="5"/>
  <c r="ACN4" i="5"/>
  <c r="ABX4" i="5"/>
  <c r="ABH4" i="5"/>
  <c r="AAR4" i="5"/>
  <c r="AAB4" i="5"/>
  <c r="ZL4" i="5"/>
  <c r="YV4" i="5"/>
  <c r="YF4" i="5"/>
  <c r="XP4" i="5"/>
  <c r="WZ4" i="5"/>
  <c r="WJ4" i="5"/>
  <c r="VT4" i="5"/>
  <c r="VD4" i="5"/>
  <c r="UN4" i="5"/>
  <c r="TX4" i="5"/>
  <c r="TH4" i="5"/>
  <c r="SR4" i="5"/>
  <c r="SB4" i="5"/>
  <c r="RL4" i="5"/>
  <c r="QV4" i="5"/>
  <c r="QF4" i="5"/>
  <c r="PP4" i="5"/>
  <c r="OZ4" i="5"/>
  <c r="OJ4" i="5"/>
  <c r="NT4" i="5"/>
  <c r="ND4" i="5"/>
  <c r="MN4" i="5"/>
  <c r="LX4" i="5"/>
  <c r="LH4" i="5"/>
  <c r="KR4" i="5"/>
  <c r="KB4" i="5"/>
  <c r="JL4" i="5"/>
  <c r="IV4" i="5"/>
  <c r="IF4" i="5"/>
  <c r="HP4" i="5"/>
  <c r="GZ4" i="5"/>
  <c r="GJ4" i="5"/>
  <c r="FT4" i="5"/>
  <c r="FD4" i="5"/>
  <c r="EN4" i="5"/>
  <c r="DX4" i="5"/>
  <c r="DH4" i="5"/>
  <c r="CR4" i="5"/>
  <c r="CB4" i="5"/>
  <c r="BL4" i="5"/>
  <c r="AV4" i="5"/>
  <c r="AF4" i="5"/>
  <c r="P4" i="5"/>
  <c r="AMH3" i="5"/>
  <c r="ALR3" i="5"/>
  <c r="ALB3" i="5"/>
  <c r="AKL3" i="5"/>
  <c r="AJV3" i="5"/>
  <c r="AJF3" i="5"/>
  <c r="AIP3" i="5"/>
  <c r="AHZ3" i="5"/>
  <c r="AHJ3" i="5"/>
  <c r="AGT3" i="5"/>
  <c r="AGD3" i="5"/>
  <c r="AFN3" i="5"/>
  <c r="AEX3" i="5"/>
  <c r="AEH3" i="5"/>
  <c r="ADR3" i="5"/>
  <c r="ADB3" i="5"/>
  <c r="XZ7" i="5"/>
  <c r="UF7" i="5"/>
  <c r="SH7" i="5"/>
  <c r="QC7" i="5"/>
  <c r="OD7" i="5"/>
  <c r="MF7" i="5"/>
  <c r="KI7" i="5"/>
  <c r="IL7" i="5"/>
  <c r="GG7" i="5"/>
  <c r="EU7" i="5"/>
  <c r="DE7" i="5"/>
  <c r="BV7" i="5"/>
  <c r="AN7" i="5"/>
  <c r="F7" i="5"/>
  <c r="AKX6" i="5"/>
  <c r="AJR6" i="5"/>
  <c r="AIL6" i="5"/>
  <c r="AHF6" i="5"/>
  <c r="AGB6" i="5"/>
  <c r="AFE6" i="5"/>
  <c r="AEA6" i="5"/>
  <c r="ACW6" i="5"/>
  <c r="ABS6" i="5"/>
  <c r="AAV6" i="5"/>
  <c r="ZR6" i="5"/>
  <c r="YN6" i="5"/>
  <c r="XJ6" i="5"/>
  <c r="WJ6" i="5"/>
  <c r="VK6" i="5"/>
  <c r="UI6" i="5"/>
  <c r="TM6" i="5"/>
  <c r="SM6" i="5"/>
  <c r="RR6" i="5"/>
  <c r="QR6" i="5"/>
  <c r="PW6" i="5"/>
  <c r="OW6" i="5"/>
  <c r="OB6" i="5"/>
  <c r="NH6" i="5"/>
  <c r="ML6" i="5"/>
  <c r="LS6" i="5"/>
  <c r="KZ6" i="5"/>
  <c r="KG6" i="5"/>
  <c r="JK6" i="5"/>
  <c r="IR6" i="5"/>
  <c r="HY6" i="5"/>
  <c r="HF6" i="5"/>
  <c r="GM6" i="5"/>
  <c r="FW6" i="5"/>
  <c r="FG6" i="5"/>
  <c r="EQ6" i="5"/>
  <c r="EA6" i="5"/>
  <c r="DK6" i="5"/>
  <c r="CU6" i="5"/>
  <c r="CE6" i="5"/>
  <c r="BO6" i="5"/>
  <c r="AY6" i="5"/>
  <c r="AI6" i="5"/>
  <c r="S6" i="5"/>
  <c r="C6" i="5"/>
  <c r="ALU5" i="5"/>
  <c r="ALE5" i="5"/>
  <c r="AKO5" i="5"/>
  <c r="AJY5" i="5"/>
  <c r="AJI5" i="5"/>
  <c r="AIS5" i="5"/>
  <c r="AIC5" i="5"/>
  <c r="AHM5" i="5"/>
  <c r="AGW5" i="5"/>
  <c r="AGG5" i="5"/>
  <c r="AFQ5" i="5"/>
  <c r="AFA5" i="5"/>
  <c r="AEK5" i="5"/>
  <c r="ADU5" i="5"/>
  <c r="ADE5" i="5"/>
  <c r="ACO5" i="5"/>
  <c r="ABY5" i="5"/>
  <c r="ABI5" i="5"/>
  <c r="AAS5" i="5"/>
  <c r="AAC5" i="5"/>
  <c r="ZM5" i="5"/>
  <c r="YW5" i="5"/>
  <c r="YG5" i="5"/>
  <c r="XQ5" i="5"/>
  <c r="XA5" i="5"/>
  <c r="WK5" i="5"/>
  <c r="VU5" i="5"/>
  <c r="VE5" i="5"/>
  <c r="UO5" i="5"/>
  <c r="TY5" i="5"/>
  <c r="TI5" i="5"/>
  <c r="SS5" i="5"/>
  <c r="SC5" i="5"/>
  <c r="RM5" i="5"/>
  <c r="QW5" i="5"/>
  <c r="QG5" i="5"/>
  <c r="PQ5" i="5"/>
  <c r="PA5" i="5"/>
  <c r="OK5" i="5"/>
  <c r="NU5" i="5"/>
  <c r="NE5" i="5"/>
  <c r="MO5" i="5"/>
  <c r="LY5" i="5"/>
  <c r="LI5" i="5"/>
  <c r="KS5" i="5"/>
  <c r="KC5" i="5"/>
  <c r="JM5" i="5"/>
  <c r="IW5" i="5"/>
  <c r="IG5" i="5"/>
  <c r="HQ5" i="5"/>
  <c r="HA5" i="5"/>
  <c r="GK5" i="5"/>
  <c r="FU5" i="5"/>
  <c r="FE5" i="5"/>
  <c r="EO5" i="5"/>
  <c r="DY5" i="5"/>
  <c r="DI5" i="5"/>
  <c r="CS5" i="5"/>
  <c r="CC5" i="5"/>
  <c r="BM5" i="5"/>
  <c r="AW5" i="5"/>
  <c r="AG5" i="5"/>
  <c r="Q5" i="5"/>
  <c r="A5" i="5"/>
  <c r="ALS4" i="5"/>
  <c r="ALC4" i="5"/>
  <c r="AKM4" i="5"/>
  <c r="AJW4" i="5"/>
  <c r="AJG4" i="5"/>
  <c r="AIQ4" i="5"/>
  <c r="AIA4" i="5"/>
  <c r="AHK4" i="5"/>
  <c r="AGU4" i="5"/>
  <c r="AGE4" i="5"/>
  <c r="AFO4" i="5"/>
  <c r="AEY4" i="5"/>
  <c r="AEI4" i="5"/>
  <c r="ADS4" i="5"/>
  <c r="ADC4" i="5"/>
  <c r="ACM4" i="5"/>
  <c r="ABW4" i="5"/>
  <c r="ABG4" i="5"/>
  <c r="AAQ4" i="5"/>
  <c r="AAA4" i="5"/>
  <c r="ZK4" i="5"/>
  <c r="YU4" i="5"/>
  <c r="YE4" i="5"/>
  <c r="XO4" i="5"/>
  <c r="WY4" i="5"/>
  <c r="WI4" i="5"/>
  <c r="VS4" i="5"/>
  <c r="VC4" i="5"/>
  <c r="UM4" i="5"/>
  <c r="TW4" i="5"/>
  <c r="TG4" i="5"/>
  <c r="SQ4" i="5"/>
  <c r="SA4" i="5"/>
  <c r="RK4" i="5"/>
  <c r="QU4" i="5"/>
  <c r="QE4" i="5"/>
  <c r="PO4" i="5"/>
  <c r="OY4" i="5"/>
  <c r="OI4" i="5"/>
  <c r="NS4" i="5"/>
  <c r="NC4" i="5"/>
  <c r="MM4" i="5"/>
  <c r="LW4" i="5"/>
  <c r="LG4" i="5"/>
  <c r="KQ4" i="5"/>
  <c r="KA4" i="5"/>
  <c r="JK4" i="5"/>
  <c r="IU4" i="5"/>
  <c r="IE4" i="5"/>
  <c r="HO4" i="5"/>
  <c r="GY4" i="5"/>
  <c r="GI4" i="5"/>
  <c r="FS4" i="5"/>
  <c r="FC4" i="5"/>
  <c r="EM4" i="5"/>
  <c r="DW4" i="5"/>
  <c r="DG4" i="5"/>
  <c r="CQ4" i="5"/>
  <c r="CA4" i="5"/>
  <c r="BK4" i="5"/>
  <c r="AU4" i="5"/>
  <c r="AE4" i="5"/>
  <c r="O4" i="5"/>
  <c r="AMG3" i="5"/>
  <c r="XX7" i="5"/>
  <c r="UE7" i="5"/>
  <c r="RY7" i="5"/>
  <c r="PZ7" i="5"/>
  <c r="OB7" i="5"/>
  <c r="ME7" i="5"/>
  <c r="KH7" i="5"/>
  <c r="IC7" i="5"/>
  <c r="GD7" i="5"/>
  <c r="ET7" i="5"/>
  <c r="DC7" i="5"/>
  <c r="BU7" i="5"/>
  <c r="AM7" i="5"/>
  <c r="AME6" i="5"/>
  <c r="AKW6" i="5"/>
  <c r="AJQ6" i="5"/>
  <c r="AIK6" i="5"/>
  <c r="AHE6" i="5"/>
  <c r="AGA6" i="5"/>
  <c r="AFD6" i="5"/>
  <c r="ADZ6" i="5"/>
  <c r="ACV6" i="5"/>
  <c r="ABR6" i="5"/>
  <c r="AAN6" i="5"/>
  <c r="ZQ6" i="5"/>
  <c r="YM6" i="5"/>
  <c r="XI6" i="5"/>
  <c r="WF6" i="5"/>
  <c r="VJ6" i="5"/>
  <c r="UH6" i="5"/>
  <c r="TL6" i="5"/>
  <c r="SL6" i="5"/>
  <c r="RQ6" i="5"/>
  <c r="QQ6" i="5"/>
  <c r="PV6" i="5"/>
  <c r="OV6" i="5"/>
  <c r="OA6" i="5"/>
  <c r="ND6" i="5"/>
  <c r="MK6" i="5"/>
  <c r="LR6" i="5"/>
  <c r="KY6" i="5"/>
  <c r="KF6" i="5"/>
  <c r="JJ6" i="5"/>
  <c r="IQ6" i="5"/>
  <c r="HX6" i="5"/>
  <c r="HE6" i="5"/>
  <c r="GL6" i="5"/>
  <c r="FV6" i="5"/>
  <c r="FF6" i="5"/>
  <c r="EP6" i="5"/>
  <c r="DZ6" i="5"/>
  <c r="DJ6" i="5"/>
  <c r="CT6" i="5"/>
  <c r="CD6" i="5"/>
  <c r="BN6" i="5"/>
  <c r="AX6" i="5"/>
  <c r="AH6" i="5"/>
  <c r="R6" i="5"/>
  <c r="B6" i="5"/>
  <c r="ALT5" i="5"/>
  <c r="ALD5" i="5"/>
  <c r="AKN5" i="5"/>
  <c r="AJX5" i="5"/>
  <c r="AJH5" i="5"/>
  <c r="AIR5" i="5"/>
  <c r="AIB5" i="5"/>
  <c r="AHL5" i="5"/>
  <c r="AGV5" i="5"/>
  <c r="AGF5" i="5"/>
  <c r="AFP5" i="5"/>
  <c r="AEZ5" i="5"/>
  <c r="AEJ5" i="5"/>
  <c r="ADT5" i="5"/>
  <c r="ADD5" i="5"/>
  <c r="ACN5" i="5"/>
  <c r="ABX5" i="5"/>
  <c r="ABH5" i="5"/>
  <c r="AAR5" i="5"/>
  <c r="AAB5" i="5"/>
  <c r="ZL5" i="5"/>
  <c r="YV5" i="5"/>
  <c r="YF5" i="5"/>
  <c r="XP5" i="5"/>
  <c r="WZ5" i="5"/>
  <c r="WJ5" i="5"/>
  <c r="VT5" i="5"/>
  <c r="VD5" i="5"/>
  <c r="UN5" i="5"/>
  <c r="TX5" i="5"/>
  <c r="TH5" i="5"/>
  <c r="SR5" i="5"/>
  <c r="SB5" i="5"/>
  <c r="RL5" i="5"/>
  <c r="QV5" i="5"/>
  <c r="QF5" i="5"/>
  <c r="PP5" i="5"/>
  <c r="OZ5" i="5"/>
  <c r="OJ5" i="5"/>
  <c r="NT5" i="5"/>
  <c r="ND5" i="5"/>
  <c r="MN5" i="5"/>
  <c r="LX5" i="5"/>
  <c r="LH5" i="5"/>
  <c r="KR5" i="5"/>
  <c r="KB5" i="5"/>
  <c r="JL5" i="5"/>
  <c r="IV5" i="5"/>
  <c r="IF5" i="5"/>
  <c r="HP5" i="5"/>
  <c r="GZ5" i="5"/>
  <c r="GJ5" i="5"/>
  <c r="FT5" i="5"/>
  <c r="FD5" i="5"/>
  <c r="EN5" i="5"/>
  <c r="DX5" i="5"/>
  <c r="DH5" i="5"/>
  <c r="CR5" i="5"/>
  <c r="CB5" i="5"/>
  <c r="BL5" i="5"/>
  <c r="AV5" i="5"/>
  <c r="AF5" i="5"/>
  <c r="P5" i="5"/>
  <c r="AMH4" i="5"/>
  <c r="ALR4" i="5"/>
  <c r="ALB4" i="5"/>
  <c r="AKL4" i="5"/>
  <c r="AJV4" i="5"/>
  <c r="AJF4" i="5"/>
  <c r="AIP4" i="5"/>
  <c r="AHZ4" i="5"/>
  <c r="AHJ4" i="5"/>
  <c r="AGT4" i="5"/>
  <c r="AGD4" i="5"/>
  <c r="AFN4" i="5"/>
  <c r="AEX4" i="5"/>
  <c r="AEH4" i="5"/>
  <c r="ADR4" i="5"/>
  <c r="ADB4" i="5"/>
  <c r="ACL4" i="5"/>
  <c r="ABV4" i="5"/>
  <c r="ABF4" i="5"/>
  <c r="AAP4" i="5"/>
  <c r="ZZ4" i="5"/>
  <c r="ZJ4" i="5"/>
  <c r="YT4" i="5"/>
  <c r="YD4" i="5"/>
  <c r="XN4" i="5"/>
  <c r="WX4" i="5"/>
  <c r="WH4" i="5"/>
  <c r="VR4" i="5"/>
  <c r="VB4" i="5"/>
  <c r="UL4" i="5"/>
  <c r="TV4" i="5"/>
  <c r="TF4" i="5"/>
  <c r="SP4" i="5"/>
  <c r="RZ4" i="5"/>
  <c r="RJ4" i="5"/>
  <c r="QT4" i="5"/>
  <c r="QD4" i="5"/>
  <c r="PN4" i="5"/>
  <c r="OX4" i="5"/>
  <c r="OH4" i="5"/>
  <c r="NR4" i="5"/>
  <c r="NB4" i="5"/>
  <c r="ML4" i="5"/>
  <c r="LV4" i="5"/>
  <c r="LF4" i="5"/>
  <c r="KP4" i="5"/>
  <c r="JZ4" i="5"/>
  <c r="JJ4" i="5"/>
  <c r="IT4" i="5"/>
  <c r="ID4" i="5"/>
  <c r="HN4" i="5"/>
  <c r="GX4" i="5"/>
  <c r="GH4" i="5"/>
  <c r="FR4" i="5"/>
  <c r="FB4" i="5"/>
  <c r="EL4" i="5"/>
  <c r="DV4" i="5"/>
  <c r="DF4" i="5"/>
  <c r="CP4" i="5"/>
  <c r="BZ4" i="5"/>
  <c r="BJ4" i="5"/>
  <c r="AT4" i="5"/>
  <c r="AD4" i="5"/>
  <c r="N4" i="5"/>
  <c r="AMF3" i="5"/>
  <c r="ALP3" i="5"/>
  <c r="AKZ3" i="5"/>
  <c r="XJ7" i="5"/>
  <c r="UD7" i="5"/>
  <c r="RV7" i="5"/>
  <c r="PX7" i="5"/>
  <c r="OA7" i="5"/>
  <c r="MD7" i="5"/>
  <c r="JY7" i="5"/>
  <c r="HZ7" i="5"/>
  <c r="GB7" i="5"/>
  <c r="EK7" i="5"/>
  <c r="DB7" i="5"/>
  <c r="BT7" i="5"/>
  <c r="AL7" i="5"/>
  <c r="AMC6" i="5"/>
  <c r="AKV6" i="5"/>
  <c r="AJP6" i="5"/>
  <c r="AIJ6" i="5"/>
  <c r="AHD6" i="5"/>
  <c r="AFZ6" i="5"/>
  <c r="AEV6" i="5"/>
  <c r="ADY6" i="5"/>
  <c r="ACU6" i="5"/>
  <c r="ABQ6" i="5"/>
  <c r="AAM6" i="5"/>
  <c r="ZP6" i="5"/>
  <c r="YL6" i="5"/>
  <c r="XH6" i="5"/>
  <c r="WE6" i="5"/>
  <c r="VI6" i="5"/>
  <c r="UG6" i="5"/>
  <c r="TH6" i="5"/>
  <c r="SK6" i="5"/>
  <c r="RP6" i="5"/>
  <c r="QP6" i="5"/>
  <c r="PU6" i="5"/>
  <c r="OU6" i="5"/>
  <c r="NZ6" i="5"/>
  <c r="NC6" i="5"/>
  <c r="MJ6" i="5"/>
  <c r="LQ6" i="5"/>
  <c r="KX6" i="5"/>
  <c r="KB6" i="5"/>
  <c r="JI6" i="5"/>
  <c r="IP6" i="5"/>
  <c r="HW6" i="5"/>
  <c r="HD6" i="5"/>
  <c r="GK6" i="5"/>
  <c r="FU6" i="5"/>
  <c r="FE6" i="5"/>
  <c r="EO6" i="5"/>
  <c r="DY6" i="5"/>
  <c r="DI6" i="5"/>
  <c r="CS6" i="5"/>
  <c r="CC6" i="5"/>
  <c r="BM6" i="5"/>
  <c r="AW6" i="5"/>
  <c r="AG6" i="5"/>
  <c r="Q6" i="5"/>
  <c r="A6" i="5"/>
  <c r="ALS5" i="5"/>
  <c r="ALC5" i="5"/>
  <c r="AKM5" i="5"/>
  <c r="AJW5" i="5"/>
  <c r="AJG5" i="5"/>
  <c r="AIQ5" i="5"/>
  <c r="AIA5" i="5"/>
  <c r="AHK5" i="5"/>
  <c r="AGU5" i="5"/>
  <c r="AGE5" i="5"/>
  <c r="AFO5" i="5"/>
  <c r="AEY5" i="5"/>
  <c r="AEI5" i="5"/>
  <c r="ADS5" i="5"/>
  <c r="ADC5" i="5"/>
  <c r="ACM5" i="5"/>
  <c r="ABW5" i="5"/>
  <c r="ABG5" i="5"/>
  <c r="AAQ5" i="5"/>
  <c r="AAA5" i="5"/>
  <c r="ZK5" i="5"/>
  <c r="YU5" i="5"/>
  <c r="YE5" i="5"/>
  <c r="XO5" i="5"/>
  <c r="WY5" i="5"/>
  <c r="WI5" i="5"/>
  <c r="VS5" i="5"/>
  <c r="VC5" i="5"/>
  <c r="UM5" i="5"/>
  <c r="TW5" i="5"/>
  <c r="TG5" i="5"/>
  <c r="SQ5" i="5"/>
  <c r="SA5" i="5"/>
  <c r="RK5" i="5"/>
  <c r="QU5" i="5"/>
  <c r="QE5" i="5"/>
  <c r="PO5" i="5"/>
  <c r="OY5" i="5"/>
  <c r="OI5" i="5"/>
  <c r="NS5" i="5"/>
  <c r="NC5" i="5"/>
  <c r="MM5" i="5"/>
  <c r="LW5" i="5"/>
  <c r="LG5" i="5"/>
  <c r="KQ5" i="5"/>
  <c r="KA5" i="5"/>
  <c r="JK5" i="5"/>
  <c r="IU5" i="5"/>
  <c r="IE5" i="5"/>
  <c r="HO5" i="5"/>
  <c r="GY5" i="5"/>
  <c r="GI5" i="5"/>
  <c r="FS5" i="5"/>
  <c r="FC5" i="5"/>
  <c r="EM5" i="5"/>
  <c r="DW5" i="5"/>
  <c r="DG5" i="5"/>
  <c r="CQ5" i="5"/>
  <c r="CA5" i="5"/>
  <c r="BK5" i="5"/>
  <c r="AU5" i="5"/>
  <c r="AE5" i="5"/>
  <c r="O5" i="5"/>
  <c r="AMG4" i="5"/>
  <c r="ALQ4" i="5"/>
  <c r="ALA4" i="5"/>
  <c r="AKK4" i="5"/>
  <c r="AJU4" i="5"/>
  <c r="AJE4" i="5"/>
  <c r="AIO4" i="5"/>
  <c r="AHY4" i="5"/>
  <c r="AHI4" i="5"/>
  <c r="AGS4" i="5"/>
  <c r="AGC4" i="5"/>
  <c r="AFM4" i="5"/>
  <c r="AEW4" i="5"/>
  <c r="AEG4" i="5"/>
  <c r="ADQ4" i="5"/>
  <c r="ADA4" i="5"/>
  <c r="ACK4" i="5"/>
  <c r="ABU4" i="5"/>
  <c r="ABE4" i="5"/>
  <c r="AAO4" i="5"/>
  <c r="ZY4" i="5"/>
  <c r="ZI4" i="5"/>
  <c r="YS4" i="5"/>
  <c r="YC4" i="5"/>
  <c r="XM4" i="5"/>
  <c r="WW4" i="5"/>
  <c r="WG4" i="5"/>
  <c r="VQ4" i="5"/>
  <c r="VA4" i="5"/>
  <c r="UK4" i="5"/>
  <c r="TU4" i="5"/>
  <c r="TE4" i="5"/>
  <c r="SO4" i="5"/>
  <c r="RY4" i="5"/>
  <c r="RI4" i="5"/>
  <c r="QS4" i="5"/>
  <c r="QC4" i="5"/>
  <c r="PM4" i="5"/>
  <c r="OW4" i="5"/>
  <c r="OG4" i="5"/>
  <c r="NQ4" i="5"/>
  <c r="NA4" i="5"/>
  <c r="MK4" i="5"/>
  <c r="LU4" i="5"/>
  <c r="LE4" i="5"/>
  <c r="KO4" i="5"/>
  <c r="JY4" i="5"/>
  <c r="JI4" i="5"/>
  <c r="IS4" i="5"/>
  <c r="IC4" i="5"/>
  <c r="HM4" i="5"/>
  <c r="GW4" i="5"/>
  <c r="GG4" i="5"/>
  <c r="FQ4" i="5"/>
  <c r="FA4" i="5"/>
  <c r="EK4" i="5"/>
  <c r="DU4" i="5"/>
  <c r="DE4" i="5"/>
  <c r="CO4" i="5"/>
  <c r="BY4" i="5"/>
  <c r="BI4" i="5"/>
  <c r="AS4" i="5"/>
  <c r="AC4" i="5"/>
  <c r="M4" i="5"/>
  <c r="XH7" i="5"/>
  <c r="TR7" i="5"/>
  <c r="RT7" i="5"/>
  <c r="PW7" i="5"/>
  <c r="NZ7" i="5"/>
  <c r="LU7" i="5"/>
  <c r="JV7" i="5"/>
  <c r="HX7" i="5"/>
  <c r="GA7" i="5"/>
  <c r="EI7" i="5"/>
  <c r="DA7" i="5"/>
  <c r="BS7" i="5"/>
  <c r="AC7" i="5"/>
  <c r="AMB6" i="5"/>
  <c r="AKU6" i="5"/>
  <c r="AJO6" i="5"/>
  <c r="AII6" i="5"/>
  <c r="AHC6" i="5"/>
  <c r="AFY6" i="5"/>
  <c r="AEU6" i="5"/>
  <c r="ADX6" i="5"/>
  <c r="ACT6" i="5"/>
  <c r="ABP6" i="5"/>
  <c r="AAL6" i="5"/>
  <c r="ZH6" i="5"/>
  <c r="YK6" i="5"/>
  <c r="XG6" i="5"/>
  <c r="WD6" i="5"/>
  <c r="VH6" i="5"/>
  <c r="UF6" i="5"/>
  <c r="TE6" i="5"/>
  <c r="SJ6" i="5"/>
  <c r="RL6" i="5"/>
  <c r="QO6" i="5"/>
  <c r="PT6" i="5"/>
  <c r="OT6" i="5"/>
  <c r="NY6" i="5"/>
  <c r="NB6" i="5"/>
  <c r="MI6" i="5"/>
  <c r="LP6" i="5"/>
  <c r="KW6" i="5"/>
  <c r="KA6" i="5"/>
  <c r="JH6" i="5"/>
  <c r="IO6" i="5"/>
  <c r="HV6" i="5"/>
  <c r="GZ6" i="5"/>
  <c r="GJ6" i="5"/>
  <c r="FT6" i="5"/>
  <c r="FD6" i="5"/>
  <c r="EN6" i="5"/>
  <c r="DX6" i="5"/>
  <c r="DH6" i="5"/>
  <c r="CR6" i="5"/>
  <c r="CB6" i="5"/>
  <c r="BL6" i="5"/>
  <c r="AV6" i="5"/>
  <c r="AF6" i="5"/>
  <c r="P6" i="5"/>
  <c r="AMH5" i="5"/>
  <c r="ALR5" i="5"/>
  <c r="ALB5" i="5"/>
  <c r="AKL5" i="5"/>
  <c r="AJV5" i="5"/>
  <c r="AJF5" i="5"/>
  <c r="AIP5" i="5"/>
  <c r="AHZ5" i="5"/>
  <c r="AHJ5" i="5"/>
  <c r="AGT5" i="5"/>
  <c r="AGD5" i="5"/>
  <c r="AFN5" i="5"/>
  <c r="AEX5" i="5"/>
  <c r="AEH5" i="5"/>
  <c r="ADR5" i="5"/>
  <c r="ADB5" i="5"/>
  <c r="ACL5" i="5"/>
  <c r="ABV5" i="5"/>
  <c r="ABF5" i="5"/>
  <c r="AAP5" i="5"/>
  <c r="ZZ5" i="5"/>
  <c r="ZJ5" i="5"/>
  <c r="YT5" i="5"/>
  <c r="YD5" i="5"/>
  <c r="XN5" i="5"/>
  <c r="WX5" i="5"/>
  <c r="WH5" i="5"/>
  <c r="VR5" i="5"/>
  <c r="VB5" i="5"/>
  <c r="UL5" i="5"/>
  <c r="TV5" i="5"/>
  <c r="TF5" i="5"/>
  <c r="SP5" i="5"/>
  <c r="RZ5" i="5"/>
  <c r="RJ5" i="5"/>
  <c r="QT5" i="5"/>
  <c r="QD5" i="5"/>
  <c r="PN5" i="5"/>
  <c r="OX5" i="5"/>
  <c r="OH5" i="5"/>
  <c r="NR5" i="5"/>
  <c r="NB5" i="5"/>
  <c r="ML5" i="5"/>
  <c r="LV5" i="5"/>
  <c r="LF5" i="5"/>
  <c r="KP5" i="5"/>
  <c r="JZ5" i="5"/>
  <c r="JJ5" i="5"/>
  <c r="IT5" i="5"/>
  <c r="ID5" i="5"/>
  <c r="HN5" i="5"/>
  <c r="GX5" i="5"/>
  <c r="GH5" i="5"/>
  <c r="FR5" i="5"/>
  <c r="FB5" i="5"/>
  <c r="EL5" i="5"/>
  <c r="DV5" i="5"/>
  <c r="DF5" i="5"/>
  <c r="CP5" i="5"/>
  <c r="BZ5" i="5"/>
  <c r="BJ5" i="5"/>
  <c r="AT5" i="5"/>
  <c r="AD5" i="5"/>
  <c r="N5" i="5"/>
  <c r="AMF4" i="5"/>
  <c r="ALP4" i="5"/>
  <c r="AKZ4" i="5"/>
  <c r="AKJ4" i="5"/>
  <c r="AJT4" i="5"/>
  <c r="AJD4" i="5"/>
  <c r="AIN4" i="5"/>
  <c r="AHX4" i="5"/>
  <c r="AHH4" i="5"/>
  <c r="AGR4" i="5"/>
  <c r="AGB4" i="5"/>
  <c r="AFL4" i="5"/>
  <c r="AEV4" i="5"/>
  <c r="AEF4" i="5"/>
  <c r="ADP4" i="5"/>
  <c r="ACZ4" i="5"/>
  <c r="ACJ4" i="5"/>
  <c r="ABT4" i="5"/>
  <c r="ABD4" i="5"/>
  <c r="AAN4" i="5"/>
  <c r="ZX4" i="5"/>
  <c r="ZH4" i="5"/>
  <c r="YR4" i="5"/>
  <c r="YB4" i="5"/>
  <c r="XL4" i="5"/>
  <c r="WV4" i="5"/>
  <c r="WF4" i="5"/>
  <c r="VP4" i="5"/>
  <c r="UZ4" i="5"/>
  <c r="UJ4" i="5"/>
  <c r="TT4" i="5"/>
  <c r="TD4" i="5"/>
  <c r="SN4" i="5"/>
  <c r="RX4" i="5"/>
  <c r="RH4" i="5"/>
  <c r="QR4" i="5"/>
  <c r="QB4" i="5"/>
  <c r="PL4" i="5"/>
  <c r="OV4" i="5"/>
  <c r="OF4" i="5"/>
  <c r="NP4" i="5"/>
  <c r="MZ4" i="5"/>
  <c r="MJ4" i="5"/>
  <c r="LT4" i="5"/>
  <c r="LD4" i="5"/>
  <c r="KN4" i="5"/>
  <c r="WT7" i="5"/>
  <c r="TP7" i="5"/>
  <c r="RS7" i="5"/>
  <c r="PV7" i="5"/>
  <c r="NQ7" i="5"/>
  <c r="LR7" i="5"/>
  <c r="JT7" i="5"/>
  <c r="HW7" i="5"/>
  <c r="FZ7" i="5"/>
  <c r="EH7" i="5"/>
  <c r="CZ7" i="5"/>
  <c r="BR7" i="5"/>
  <c r="AA7" i="5"/>
  <c r="AMA6" i="5"/>
  <c r="AKT6" i="5"/>
  <c r="AJN6" i="5"/>
  <c r="AIH6" i="5"/>
  <c r="AHB6" i="5"/>
  <c r="AFX6" i="5"/>
  <c r="AET6" i="5"/>
  <c r="ADP6" i="5"/>
  <c r="ACS6" i="5"/>
  <c r="ABO6" i="5"/>
  <c r="AAK6" i="5"/>
  <c r="ZG6" i="5"/>
  <c r="YJ6" i="5"/>
  <c r="XF6" i="5"/>
  <c r="WC6" i="5"/>
  <c r="VD6" i="5"/>
  <c r="UE6" i="5"/>
  <c r="TD6" i="5"/>
  <c r="SI6" i="5"/>
  <c r="RI6" i="5"/>
  <c r="QN6" i="5"/>
  <c r="PP6" i="5"/>
  <c r="OS6" i="5"/>
  <c r="NX6" i="5"/>
  <c r="NA6" i="5"/>
  <c r="MH6" i="5"/>
  <c r="LO6" i="5"/>
  <c r="KV6" i="5"/>
  <c r="JZ6" i="5"/>
  <c r="JG6" i="5"/>
  <c r="IN6" i="5"/>
  <c r="HU6" i="5"/>
  <c r="GY6" i="5"/>
  <c r="GI6" i="5"/>
  <c r="FS6" i="5"/>
  <c r="FC6" i="5"/>
  <c r="EM6" i="5"/>
  <c r="DW6" i="5"/>
  <c r="DG6" i="5"/>
  <c r="CQ6" i="5"/>
  <c r="CA6" i="5"/>
  <c r="BK6" i="5"/>
  <c r="AU6" i="5"/>
  <c r="AE6" i="5"/>
  <c r="O6" i="5"/>
  <c r="AMG5" i="5"/>
  <c r="ALQ5" i="5"/>
  <c r="ALA5" i="5"/>
  <c r="AKK5" i="5"/>
  <c r="AJU5" i="5"/>
  <c r="AJE5" i="5"/>
  <c r="AIO5" i="5"/>
  <c r="AHY5" i="5"/>
  <c r="AHI5" i="5"/>
  <c r="AGS5" i="5"/>
  <c r="AGC5" i="5"/>
  <c r="AFM5" i="5"/>
  <c r="AEW5" i="5"/>
  <c r="AEG5" i="5"/>
  <c r="ADQ5" i="5"/>
  <c r="ADA5" i="5"/>
  <c r="ACK5" i="5"/>
  <c r="ABU5" i="5"/>
  <c r="ABE5" i="5"/>
  <c r="AAO5" i="5"/>
  <c r="ZY5" i="5"/>
  <c r="ZI5" i="5"/>
  <c r="YS5" i="5"/>
  <c r="YC5" i="5"/>
  <c r="XM5" i="5"/>
  <c r="WW5" i="5"/>
  <c r="WG5" i="5"/>
  <c r="VQ5" i="5"/>
  <c r="VA5" i="5"/>
  <c r="UK5" i="5"/>
  <c r="TU5" i="5"/>
  <c r="TE5" i="5"/>
  <c r="SO5" i="5"/>
  <c r="RY5" i="5"/>
  <c r="RI5" i="5"/>
  <c r="QS5" i="5"/>
  <c r="QC5" i="5"/>
  <c r="PM5" i="5"/>
  <c r="OW5" i="5"/>
  <c r="OG5" i="5"/>
  <c r="NQ5" i="5"/>
  <c r="NA5" i="5"/>
  <c r="MK5" i="5"/>
  <c r="LU5" i="5"/>
  <c r="LE5" i="5"/>
  <c r="KO5" i="5"/>
  <c r="JY5" i="5"/>
  <c r="JI5" i="5"/>
  <c r="IS5" i="5"/>
  <c r="IC5" i="5"/>
  <c r="HM5" i="5"/>
  <c r="GW5" i="5"/>
  <c r="GG5" i="5"/>
  <c r="FQ5" i="5"/>
  <c r="FA5" i="5"/>
  <c r="EK5" i="5"/>
  <c r="DU5" i="5"/>
  <c r="DE5" i="5"/>
  <c r="CO5" i="5"/>
  <c r="BY5" i="5"/>
  <c r="BI5" i="5"/>
  <c r="AS5" i="5"/>
  <c r="AC5" i="5"/>
  <c r="M5" i="5"/>
  <c r="AME4" i="5"/>
  <c r="ALO4" i="5"/>
  <c r="AKY4" i="5"/>
  <c r="AKI4" i="5"/>
  <c r="AJS4" i="5"/>
  <c r="AJC4" i="5"/>
  <c r="AIM4" i="5"/>
  <c r="AHW4" i="5"/>
  <c r="AHG4" i="5"/>
  <c r="AGQ4" i="5"/>
  <c r="AGA4" i="5"/>
  <c r="AFK4" i="5"/>
  <c r="AEU4" i="5"/>
  <c r="AEE4" i="5"/>
  <c r="ADO4" i="5"/>
  <c r="ACY4" i="5"/>
  <c r="ACI4" i="5"/>
  <c r="ABS4" i="5"/>
  <c r="ABC4" i="5"/>
  <c r="AAM4" i="5"/>
  <c r="ZW4" i="5"/>
  <c r="ZG4" i="5"/>
  <c r="YQ4" i="5"/>
  <c r="YA4" i="5"/>
  <c r="XK4" i="5"/>
  <c r="WU4" i="5"/>
  <c r="WE4" i="5"/>
  <c r="VO4" i="5"/>
  <c r="UY4" i="5"/>
  <c r="UI4" i="5"/>
  <c r="TS4" i="5"/>
  <c r="TC4" i="5"/>
  <c r="SM4" i="5"/>
  <c r="RW4" i="5"/>
  <c r="RG4" i="5"/>
  <c r="QQ4" i="5"/>
  <c r="QA4" i="5"/>
  <c r="PK4" i="5"/>
  <c r="OU4" i="5"/>
  <c r="OE4" i="5"/>
  <c r="NO4" i="5"/>
  <c r="MY4" i="5"/>
  <c r="MI4" i="5"/>
  <c r="LS4" i="5"/>
  <c r="LC4" i="5"/>
  <c r="KM4" i="5"/>
  <c r="JW4" i="5"/>
  <c r="JG4" i="5"/>
  <c r="WR7" i="5"/>
  <c r="TO7" i="5"/>
  <c r="RR7" i="5"/>
  <c r="PM7" i="5"/>
  <c r="NN7" i="5"/>
  <c r="LP7" i="5"/>
  <c r="JS7" i="5"/>
  <c r="HV7" i="5"/>
  <c r="FQ7" i="5"/>
  <c r="EG7" i="5"/>
  <c r="CY7" i="5"/>
  <c r="BI7" i="5"/>
  <c r="Z7" i="5"/>
  <c r="ALZ6" i="5"/>
  <c r="AKS6" i="5"/>
  <c r="AJM6" i="5"/>
  <c r="AIG6" i="5"/>
  <c r="AHA6" i="5"/>
  <c r="AFW6" i="5"/>
  <c r="AES6" i="5"/>
  <c r="ADO6" i="5"/>
  <c r="ACR6" i="5"/>
  <c r="ABN6" i="5"/>
  <c r="AAJ6" i="5"/>
  <c r="ZF6" i="5"/>
  <c r="YB6" i="5"/>
  <c r="XE6" i="5"/>
  <c r="WB6" i="5"/>
  <c r="UZ6" i="5"/>
  <c r="UD6" i="5"/>
  <c r="TC6" i="5"/>
  <c r="SH6" i="5"/>
  <c r="RH6" i="5"/>
  <c r="QM6" i="5"/>
  <c r="PM6" i="5"/>
  <c r="OR6" i="5"/>
  <c r="NT6" i="5"/>
  <c r="MZ6" i="5"/>
  <c r="MG6" i="5"/>
  <c r="LN6" i="5"/>
  <c r="KR6" i="5"/>
  <c r="JY6" i="5"/>
  <c r="JF6" i="5"/>
  <c r="IM6" i="5"/>
  <c r="HT6" i="5"/>
  <c r="GX6" i="5"/>
  <c r="GH6" i="5"/>
  <c r="FR6" i="5"/>
  <c r="FB6" i="5"/>
  <c r="EL6" i="5"/>
  <c r="DV6" i="5"/>
  <c r="DF6" i="5"/>
  <c r="CP6" i="5"/>
  <c r="BZ6" i="5"/>
  <c r="BJ6" i="5"/>
  <c r="AT6" i="5"/>
  <c r="AD6" i="5"/>
  <c r="N6" i="5"/>
  <c r="AMF5" i="5"/>
  <c r="ALP5" i="5"/>
  <c r="AKZ5" i="5"/>
  <c r="AKJ5" i="5"/>
  <c r="AJT5" i="5"/>
  <c r="AJD5" i="5"/>
  <c r="AIN5" i="5"/>
  <c r="AHX5" i="5"/>
  <c r="AHH5" i="5"/>
  <c r="AGR5" i="5"/>
  <c r="AGB5" i="5"/>
  <c r="AFL5" i="5"/>
  <c r="AEV5" i="5"/>
  <c r="AEF5" i="5"/>
  <c r="ADP5" i="5"/>
  <c r="ACZ5" i="5"/>
  <c r="ACJ5" i="5"/>
  <c r="ABT5" i="5"/>
  <c r="ABD5" i="5"/>
  <c r="AAN5" i="5"/>
  <c r="ZX5" i="5"/>
  <c r="ZH5" i="5"/>
  <c r="YR5" i="5"/>
  <c r="YB5" i="5"/>
  <c r="XL5" i="5"/>
  <c r="WV5" i="5"/>
  <c r="WF5" i="5"/>
  <c r="VP5" i="5"/>
  <c r="UZ5" i="5"/>
  <c r="UJ5" i="5"/>
  <c r="TT5" i="5"/>
  <c r="TD5" i="5"/>
  <c r="SN5" i="5"/>
  <c r="RX5" i="5"/>
  <c r="RH5" i="5"/>
  <c r="QR5" i="5"/>
  <c r="QB5" i="5"/>
  <c r="PL5" i="5"/>
  <c r="OV5" i="5"/>
  <c r="OF5" i="5"/>
  <c r="NP5" i="5"/>
  <c r="MZ5" i="5"/>
  <c r="MJ5" i="5"/>
  <c r="LT5" i="5"/>
  <c r="LD5" i="5"/>
  <c r="KN5" i="5"/>
  <c r="JX5" i="5"/>
  <c r="JH5" i="5"/>
  <c r="IR5" i="5"/>
  <c r="IB5" i="5"/>
  <c r="HL5" i="5"/>
  <c r="GV5" i="5"/>
  <c r="GF5" i="5"/>
  <c r="FP5" i="5"/>
  <c r="EZ5" i="5"/>
  <c r="EJ5" i="5"/>
  <c r="DT5" i="5"/>
  <c r="DD5" i="5"/>
  <c r="CN5" i="5"/>
  <c r="BX5" i="5"/>
  <c r="BH5" i="5"/>
  <c r="AR5" i="5"/>
  <c r="AB5" i="5"/>
  <c r="L5" i="5"/>
  <c r="AMD4" i="5"/>
  <c r="ALN4" i="5"/>
  <c r="AKX4" i="5"/>
  <c r="AKH4" i="5"/>
  <c r="AJR4" i="5"/>
  <c r="AJB4" i="5"/>
  <c r="AIL4" i="5"/>
  <c r="AHV4" i="5"/>
  <c r="AHF4" i="5"/>
  <c r="AGP4" i="5"/>
  <c r="AFZ4" i="5"/>
  <c r="AFJ4" i="5"/>
  <c r="AET4" i="5"/>
  <c r="AED4" i="5"/>
  <c r="ADN4" i="5"/>
  <c r="ACX4" i="5"/>
  <c r="ACH4" i="5"/>
  <c r="ABR4" i="5"/>
  <c r="ABB4" i="5"/>
  <c r="AAL4" i="5"/>
  <c r="ZV4" i="5"/>
  <c r="ZF4" i="5"/>
  <c r="YP4" i="5"/>
  <c r="XZ4" i="5"/>
  <c r="XJ4" i="5"/>
  <c r="WT4" i="5"/>
  <c r="WD4" i="5"/>
  <c r="VN4" i="5"/>
  <c r="UX4" i="5"/>
  <c r="UH4" i="5"/>
  <c r="TR4" i="5"/>
  <c r="TB4" i="5"/>
  <c r="SL4" i="5"/>
  <c r="RV4" i="5"/>
  <c r="RF4" i="5"/>
  <c r="QP4" i="5"/>
  <c r="PZ4" i="5"/>
  <c r="PJ4" i="5"/>
  <c r="OT4" i="5"/>
  <c r="OD4" i="5"/>
  <c r="NN4" i="5"/>
  <c r="MX4" i="5"/>
  <c r="MH4" i="5"/>
  <c r="LR4" i="5"/>
  <c r="LB4" i="5"/>
  <c r="KL4" i="5"/>
  <c r="JV4" i="5"/>
  <c r="JF4" i="5"/>
  <c r="IP4" i="5"/>
  <c r="HZ4" i="5"/>
  <c r="HJ4" i="5"/>
  <c r="WD7" i="5"/>
  <c r="TN7" i="5"/>
  <c r="RI7" i="5"/>
  <c r="PJ7" i="5"/>
  <c r="NL7" i="5"/>
  <c r="LO7" i="5"/>
  <c r="JR7" i="5"/>
  <c r="HM7" i="5"/>
  <c r="FO7" i="5"/>
  <c r="EF7" i="5"/>
  <c r="CX7" i="5"/>
  <c r="BG7" i="5"/>
  <c r="Y7" i="5"/>
  <c r="ALY6" i="5"/>
  <c r="AKR6" i="5"/>
  <c r="AJL6" i="5"/>
  <c r="AIF6" i="5"/>
  <c r="AGZ6" i="5"/>
  <c r="AFV6" i="5"/>
  <c r="AER6" i="5"/>
  <c r="ADN6" i="5"/>
  <c r="ACJ6" i="5"/>
  <c r="ABM6" i="5"/>
  <c r="AAI6" i="5"/>
  <c r="ZE6" i="5"/>
  <c r="YA6" i="5"/>
  <c r="XD6" i="5"/>
  <c r="WA6" i="5"/>
  <c r="UY6" i="5"/>
  <c r="UC6" i="5"/>
  <c r="TB6" i="5"/>
  <c r="SG6" i="5"/>
  <c r="RG6" i="5"/>
  <c r="QL6" i="5"/>
  <c r="PL6" i="5"/>
  <c r="OQ6" i="5"/>
  <c r="NR6" i="5"/>
  <c r="MY6" i="5"/>
  <c r="MF6" i="5"/>
  <c r="LM6" i="5"/>
  <c r="KQ6" i="5"/>
  <c r="JX6" i="5"/>
  <c r="JE6" i="5"/>
  <c r="IL6" i="5"/>
  <c r="HP6" i="5"/>
  <c r="GW6" i="5"/>
  <c r="GG6" i="5"/>
  <c r="FQ6" i="5"/>
  <c r="FA6" i="5"/>
  <c r="EK6" i="5"/>
  <c r="DU6" i="5"/>
  <c r="DE6" i="5"/>
  <c r="CO6" i="5"/>
  <c r="BY6" i="5"/>
  <c r="BI6" i="5"/>
  <c r="AS6" i="5"/>
  <c r="AC6" i="5"/>
  <c r="M6" i="5"/>
  <c r="AME5" i="5"/>
  <c r="ALO5" i="5"/>
  <c r="AKY5" i="5"/>
  <c r="AKI5" i="5"/>
  <c r="AJS5" i="5"/>
  <c r="AJC5" i="5"/>
  <c r="AIM5" i="5"/>
  <c r="AHW5" i="5"/>
  <c r="AHG5" i="5"/>
  <c r="AGQ5" i="5"/>
  <c r="AGA5" i="5"/>
  <c r="AFK5" i="5"/>
  <c r="AEU5" i="5"/>
  <c r="AEE5" i="5"/>
  <c r="ADO5" i="5"/>
  <c r="ACY5" i="5"/>
  <c r="ACI5" i="5"/>
  <c r="ABS5" i="5"/>
  <c r="ABC5" i="5"/>
  <c r="AAM5" i="5"/>
  <c r="ZW5" i="5"/>
  <c r="ZG5" i="5"/>
  <c r="YQ5" i="5"/>
  <c r="YA5" i="5"/>
  <c r="XK5" i="5"/>
  <c r="WU5" i="5"/>
  <c r="WE5" i="5"/>
  <c r="VO5" i="5"/>
  <c r="UY5" i="5"/>
  <c r="UI5" i="5"/>
  <c r="TS5" i="5"/>
  <c r="TC5" i="5"/>
  <c r="SM5" i="5"/>
  <c r="RW5" i="5"/>
  <c r="RG5" i="5"/>
  <c r="QQ5" i="5"/>
  <c r="QA5" i="5"/>
  <c r="PK5" i="5"/>
  <c r="OU5" i="5"/>
  <c r="OE5" i="5"/>
  <c r="NO5" i="5"/>
  <c r="MY5" i="5"/>
  <c r="MI5" i="5"/>
  <c r="LS5" i="5"/>
  <c r="LC5" i="5"/>
  <c r="KM5" i="5"/>
  <c r="JW5" i="5"/>
  <c r="JG5" i="5"/>
  <c r="IQ5" i="5"/>
  <c r="IA5" i="5"/>
  <c r="HK5" i="5"/>
  <c r="GU5" i="5"/>
  <c r="GE5" i="5"/>
  <c r="FO5" i="5"/>
  <c r="EY5" i="5"/>
  <c r="EI5" i="5"/>
  <c r="DS5" i="5"/>
  <c r="DC5" i="5"/>
  <c r="CM5" i="5"/>
  <c r="BW5" i="5"/>
  <c r="BG5" i="5"/>
  <c r="AQ5" i="5"/>
  <c r="AA5" i="5"/>
  <c r="K5" i="5"/>
  <c r="AMC4" i="5"/>
  <c r="ALM4" i="5"/>
  <c r="AKW4" i="5"/>
  <c r="AKG4" i="5"/>
  <c r="AJQ4" i="5"/>
  <c r="AJA4" i="5"/>
  <c r="AIK4" i="5"/>
  <c r="AHU4" i="5"/>
  <c r="AHE4" i="5"/>
  <c r="AGO4" i="5"/>
  <c r="AFY4" i="5"/>
  <c r="AFI4" i="5"/>
  <c r="AES4" i="5"/>
  <c r="AEC4" i="5"/>
  <c r="ADM4" i="5"/>
  <c r="ACW4" i="5"/>
  <c r="ACG4" i="5"/>
  <c r="ABQ4" i="5"/>
  <c r="ABA4" i="5"/>
  <c r="AAK4" i="5"/>
  <c r="ZU4" i="5"/>
  <c r="ZE4" i="5"/>
  <c r="YO4" i="5"/>
  <c r="XY4" i="5"/>
  <c r="XI4" i="5"/>
  <c r="WS4" i="5"/>
  <c r="WC4" i="5"/>
  <c r="VM4" i="5"/>
  <c r="UW4" i="5"/>
  <c r="UG4" i="5"/>
  <c r="TQ4" i="5"/>
  <c r="TA4" i="5"/>
  <c r="SK4" i="5"/>
  <c r="RU4" i="5"/>
  <c r="RE4" i="5"/>
  <c r="QO4" i="5"/>
  <c r="IQ4" i="5"/>
  <c r="FP4" i="5"/>
  <c r="DD4" i="5"/>
  <c r="AR4" i="5"/>
  <c r="AMA3" i="5"/>
  <c r="AKH3" i="5"/>
  <c r="AIZ3" i="5"/>
  <c r="AHI3" i="5"/>
  <c r="AGA3" i="5"/>
  <c r="AES3" i="5"/>
  <c r="ADK3" i="5"/>
  <c r="ABV3" i="5"/>
  <c r="AAP3" i="5"/>
  <c r="ZJ3" i="5"/>
  <c r="YD3" i="5"/>
  <c r="WX3" i="5"/>
  <c r="VR3" i="5"/>
  <c r="UL3" i="5"/>
  <c r="TF3" i="5"/>
  <c r="RZ3" i="5"/>
  <c r="QT3" i="5"/>
  <c r="PN3" i="5"/>
  <c r="OH3" i="5"/>
  <c r="NK3" i="5"/>
  <c r="MG3" i="5"/>
  <c r="LC3" i="5"/>
  <c r="JZ3" i="5"/>
  <c r="JD3" i="5"/>
  <c r="IB3" i="5"/>
  <c r="GZ3" i="5"/>
  <c r="GD3" i="5"/>
  <c r="FB3" i="5"/>
  <c r="EF3" i="5"/>
  <c r="DD3" i="5"/>
  <c r="CD3" i="5"/>
  <c r="BJ3" i="5"/>
  <c r="AP3" i="5"/>
  <c r="R3" i="5"/>
  <c r="AMF2" i="5"/>
  <c r="ALM2" i="5"/>
  <c r="AKT2" i="5"/>
  <c r="AJX2" i="5"/>
  <c r="AJF2" i="5"/>
  <c r="AIP2" i="5"/>
  <c r="AHZ2" i="5"/>
  <c r="AHJ2" i="5"/>
  <c r="AGT2" i="5"/>
  <c r="AGD2" i="5"/>
  <c r="AFN2" i="5"/>
  <c r="AEX2" i="5"/>
  <c r="AEH2" i="5"/>
  <c r="ADR2" i="5"/>
  <c r="ADB2" i="5"/>
  <c r="ACL2" i="5"/>
  <c r="ABV2" i="5"/>
  <c r="ABF2" i="5"/>
  <c r="AAP2" i="5"/>
  <c r="ZZ2" i="5"/>
  <c r="ZJ2" i="5"/>
  <c r="YT2" i="5"/>
  <c r="YD2" i="5"/>
  <c r="XN2" i="5"/>
  <c r="WX2" i="5"/>
  <c r="WH2" i="5"/>
  <c r="VR2" i="5"/>
  <c r="VB2" i="5"/>
  <c r="UL2" i="5"/>
  <c r="TV2" i="5"/>
  <c r="TF2" i="5"/>
  <c r="SP2" i="5"/>
  <c r="RZ2" i="5"/>
  <c r="RJ2" i="5"/>
  <c r="QT2" i="5"/>
  <c r="QD2" i="5"/>
  <c r="PN2" i="5"/>
  <c r="OX2" i="5"/>
  <c r="OH2" i="5"/>
  <c r="NR2" i="5"/>
  <c r="NB2" i="5"/>
  <c r="ML2" i="5"/>
  <c r="LV2" i="5"/>
  <c r="LF2" i="5"/>
  <c r="KP2" i="5"/>
  <c r="JZ2" i="5"/>
  <c r="JJ2" i="5"/>
  <c r="IT2" i="5"/>
  <c r="ID2" i="5"/>
  <c r="HN2" i="5"/>
  <c r="GX2" i="5"/>
  <c r="GH2" i="5"/>
  <c r="FR2" i="5"/>
  <c r="FB2" i="5"/>
  <c r="EL2" i="5"/>
  <c r="DV2" i="5"/>
  <c r="DF2" i="5"/>
  <c r="CP2" i="5"/>
  <c r="BZ2" i="5"/>
  <c r="BJ2" i="5"/>
  <c r="AT2" i="5"/>
  <c r="AD2" i="5"/>
  <c r="N2" i="5"/>
  <c r="AMF1" i="5"/>
  <c r="ALP1" i="5"/>
  <c r="AKZ1" i="5"/>
  <c r="AKJ1" i="5"/>
  <c r="AJT1" i="5"/>
  <c r="AJD1" i="5"/>
  <c r="AIN1" i="5"/>
  <c r="AHX1" i="5"/>
  <c r="AHH1" i="5"/>
  <c r="AGR1" i="5"/>
  <c r="AGB1" i="5"/>
  <c r="AFL1" i="5"/>
  <c r="AEV1" i="5"/>
  <c r="AEF1" i="5"/>
  <c r="ADP1" i="5"/>
  <c r="ACZ1" i="5"/>
  <c r="ACJ1" i="5"/>
  <c r="ABT1" i="5"/>
  <c r="ABD1" i="5"/>
  <c r="AAN1" i="5"/>
  <c r="ZX1" i="5"/>
  <c r="ZH1" i="5"/>
  <c r="YR1" i="5"/>
  <c r="YB1" i="5"/>
  <c r="XL1" i="5"/>
  <c r="WV1" i="5"/>
  <c r="WF1" i="5"/>
  <c r="VP1" i="5"/>
  <c r="UZ1" i="5"/>
  <c r="UJ1" i="5"/>
  <c r="TT1" i="5"/>
  <c r="TD1" i="5"/>
  <c r="SN1" i="5"/>
  <c r="RX1" i="5"/>
  <c r="RH1" i="5"/>
  <c r="QR1" i="5"/>
  <c r="QB1" i="5"/>
  <c r="PL1" i="5"/>
  <c r="OV1" i="5"/>
  <c r="OF1" i="5"/>
  <c r="NP1" i="5"/>
  <c r="MZ1" i="5"/>
  <c r="MJ1" i="5"/>
  <c r="LT1" i="5"/>
  <c r="LD1" i="5"/>
  <c r="KN1" i="5"/>
  <c r="JX1" i="5"/>
  <c r="JH1" i="5"/>
  <c r="IR1" i="5"/>
  <c r="IB1" i="5"/>
  <c r="HL1" i="5"/>
  <c r="GV1" i="5"/>
  <c r="GF1" i="5"/>
  <c r="FP1" i="5"/>
  <c r="EZ1" i="5"/>
  <c r="EJ1" i="5"/>
  <c r="DT1" i="5"/>
  <c r="DD1" i="5"/>
  <c r="CN1" i="5"/>
  <c r="BX1" i="5"/>
  <c r="BH1" i="5"/>
  <c r="AR1" i="5"/>
  <c r="AB1" i="5"/>
  <c r="L1" i="5"/>
  <c r="PY4" i="5"/>
  <c r="IO4" i="5"/>
  <c r="FO4" i="5"/>
  <c r="DC4" i="5"/>
  <c r="AQ4" i="5"/>
  <c r="ALQ3" i="5"/>
  <c r="AKG3" i="5"/>
  <c r="AIY3" i="5"/>
  <c r="AHH3" i="5"/>
  <c r="AFZ3" i="5"/>
  <c r="AER3" i="5"/>
  <c r="ADA3" i="5"/>
  <c r="ABU3" i="5"/>
  <c r="AAO3" i="5"/>
  <c r="ZI3" i="5"/>
  <c r="YC3" i="5"/>
  <c r="WW3" i="5"/>
  <c r="VQ3" i="5"/>
  <c r="UK3" i="5"/>
  <c r="TE3" i="5"/>
  <c r="RY3" i="5"/>
  <c r="QS3" i="5"/>
  <c r="PM3" i="5"/>
  <c r="OG3" i="5"/>
  <c r="ND3" i="5"/>
  <c r="MF3" i="5"/>
  <c r="LB3" i="5"/>
  <c r="JY3" i="5"/>
  <c r="JC3" i="5"/>
  <c r="IA3" i="5"/>
  <c r="GY3" i="5"/>
  <c r="GC3" i="5"/>
  <c r="FA3" i="5"/>
  <c r="EE3" i="5"/>
  <c r="DC3" i="5"/>
  <c r="CC3" i="5"/>
  <c r="BI3" i="5"/>
  <c r="AO3" i="5"/>
  <c r="Q3" i="5"/>
  <c r="AME2" i="5"/>
  <c r="ALL2" i="5"/>
  <c r="AKS2" i="5"/>
  <c r="AJW2" i="5"/>
  <c r="AJE2" i="5"/>
  <c r="AIO2" i="5"/>
  <c r="AHY2" i="5"/>
  <c r="AHI2" i="5"/>
  <c r="AGS2" i="5"/>
  <c r="AGC2" i="5"/>
  <c r="AFM2" i="5"/>
  <c r="AEW2" i="5"/>
  <c r="AEG2" i="5"/>
  <c r="ADQ2" i="5"/>
  <c r="ADA2" i="5"/>
  <c r="ACK2" i="5"/>
  <c r="ABU2" i="5"/>
  <c r="ABE2" i="5"/>
  <c r="AAO2" i="5"/>
  <c r="ZY2" i="5"/>
  <c r="ZI2" i="5"/>
  <c r="YS2" i="5"/>
  <c r="YC2" i="5"/>
  <c r="XM2" i="5"/>
  <c r="WW2" i="5"/>
  <c r="WG2" i="5"/>
  <c r="VQ2" i="5"/>
  <c r="VA2" i="5"/>
  <c r="UK2" i="5"/>
  <c r="TU2" i="5"/>
  <c r="TE2" i="5"/>
  <c r="SO2" i="5"/>
  <c r="RY2" i="5"/>
  <c r="RI2" i="5"/>
  <c r="QS2" i="5"/>
  <c r="QC2" i="5"/>
  <c r="PM2" i="5"/>
  <c r="OW2" i="5"/>
  <c r="OG2" i="5"/>
  <c r="NQ2" i="5"/>
  <c r="NA2" i="5"/>
  <c r="MK2" i="5"/>
  <c r="LU2" i="5"/>
  <c r="LE2" i="5"/>
  <c r="KO2" i="5"/>
  <c r="JY2" i="5"/>
  <c r="JI2" i="5"/>
  <c r="IS2" i="5"/>
  <c r="IC2" i="5"/>
  <c r="HM2" i="5"/>
  <c r="GW2" i="5"/>
  <c r="GG2" i="5"/>
  <c r="FQ2" i="5"/>
  <c r="FA2" i="5"/>
  <c r="EK2" i="5"/>
  <c r="DU2" i="5"/>
  <c r="DE2" i="5"/>
  <c r="CO2" i="5"/>
  <c r="BY2" i="5"/>
  <c r="BI2" i="5"/>
  <c r="AS2" i="5"/>
  <c r="AC2" i="5"/>
  <c r="M2" i="5"/>
  <c r="AME1" i="5"/>
  <c r="ALO1" i="5"/>
  <c r="AKY1" i="5"/>
  <c r="AKI1" i="5"/>
  <c r="AJS1" i="5"/>
  <c r="AJC1" i="5"/>
  <c r="AIM1" i="5"/>
  <c r="AHW1" i="5"/>
  <c r="AHG1" i="5"/>
  <c r="AGQ1" i="5"/>
  <c r="AGA1" i="5"/>
  <c r="AFK1" i="5"/>
  <c r="AEU1" i="5"/>
  <c r="AEE1" i="5"/>
  <c r="ADO1" i="5"/>
  <c r="ACY1" i="5"/>
  <c r="ACI1" i="5"/>
  <c r="ABS1" i="5"/>
  <c r="ABC1" i="5"/>
  <c r="AAM1" i="5"/>
  <c r="ZW1" i="5"/>
  <c r="ZG1" i="5"/>
  <c r="YQ1" i="5"/>
  <c r="YA1" i="5"/>
  <c r="XK1" i="5"/>
  <c r="WU1" i="5"/>
  <c r="WE1" i="5"/>
  <c r="VO1" i="5"/>
  <c r="UY1" i="5"/>
  <c r="UI1" i="5"/>
  <c r="TS1" i="5"/>
  <c r="TC1" i="5"/>
  <c r="SM1" i="5"/>
  <c r="RW1" i="5"/>
  <c r="RG1" i="5"/>
  <c r="QQ1" i="5"/>
  <c r="QA1" i="5"/>
  <c r="PK1" i="5"/>
  <c r="OU1" i="5"/>
  <c r="OE1" i="5"/>
  <c r="NO1" i="5"/>
  <c r="MY1" i="5"/>
  <c r="MI1" i="5"/>
  <c r="LS1" i="5"/>
  <c r="LC1" i="5"/>
  <c r="KM1" i="5"/>
  <c r="JW1" i="5"/>
  <c r="JG1" i="5"/>
  <c r="IQ1" i="5"/>
  <c r="IA1" i="5"/>
  <c r="HK1" i="5"/>
  <c r="GU1" i="5"/>
  <c r="GE1" i="5"/>
  <c r="FO1" i="5"/>
  <c r="EY1" i="5"/>
  <c r="EI1" i="5"/>
  <c r="DS1" i="5"/>
  <c r="DC1" i="5"/>
  <c r="CM1" i="5"/>
  <c r="BW1" i="5"/>
  <c r="BG1" i="5"/>
  <c r="AQ1" i="5"/>
  <c r="AA1" i="5"/>
  <c r="K1" i="5"/>
  <c r="PI4" i="5"/>
  <c r="IB4" i="5"/>
  <c r="FN4" i="5"/>
  <c r="DB4" i="5"/>
  <c r="AP4" i="5"/>
  <c r="ALO3" i="5"/>
  <c r="AKF3" i="5"/>
  <c r="AIO3" i="5"/>
  <c r="AHG3" i="5"/>
  <c r="AFY3" i="5"/>
  <c r="AEQ3" i="5"/>
  <c r="ACZ3" i="5"/>
  <c r="ABT3" i="5"/>
  <c r="AAN3" i="5"/>
  <c r="ZH3" i="5"/>
  <c r="YB3" i="5"/>
  <c r="WV3" i="5"/>
  <c r="VP3" i="5"/>
  <c r="UJ3" i="5"/>
  <c r="TD3" i="5"/>
  <c r="RX3" i="5"/>
  <c r="QR3" i="5"/>
  <c r="PL3" i="5"/>
  <c r="OF3" i="5"/>
  <c r="NB3" i="5"/>
  <c r="ME3" i="5"/>
  <c r="LA3" i="5"/>
  <c r="JX3" i="5"/>
  <c r="IV3" i="5"/>
  <c r="HZ3" i="5"/>
  <c r="GX3" i="5"/>
  <c r="GB3" i="5"/>
  <c r="EZ3" i="5"/>
  <c r="DX3" i="5"/>
  <c r="DB3" i="5"/>
  <c r="CB3" i="5"/>
  <c r="BH3" i="5"/>
  <c r="AN3" i="5"/>
  <c r="P3" i="5"/>
  <c r="AMD2" i="5"/>
  <c r="ALK2" i="5"/>
  <c r="AKO2" i="5"/>
  <c r="AJV2" i="5"/>
  <c r="AJD2" i="5"/>
  <c r="AIN2" i="5"/>
  <c r="AHX2" i="5"/>
  <c r="AHH2" i="5"/>
  <c r="AGR2" i="5"/>
  <c r="AGB2" i="5"/>
  <c r="AFL2" i="5"/>
  <c r="AEV2" i="5"/>
  <c r="AEF2" i="5"/>
  <c r="ADP2" i="5"/>
  <c r="ACZ2" i="5"/>
  <c r="ACJ2" i="5"/>
  <c r="ABT2" i="5"/>
  <c r="ABD2" i="5"/>
  <c r="AAN2" i="5"/>
  <c r="ZX2" i="5"/>
  <c r="ZH2" i="5"/>
  <c r="YR2" i="5"/>
  <c r="YB2" i="5"/>
  <c r="XL2" i="5"/>
  <c r="WV2" i="5"/>
  <c r="WF2" i="5"/>
  <c r="VP2" i="5"/>
  <c r="UZ2" i="5"/>
  <c r="UJ2" i="5"/>
  <c r="TT2" i="5"/>
  <c r="TD2" i="5"/>
  <c r="SN2" i="5"/>
  <c r="RX2" i="5"/>
  <c r="RH2" i="5"/>
  <c r="QR2" i="5"/>
  <c r="QB2" i="5"/>
  <c r="PL2" i="5"/>
  <c r="OV2" i="5"/>
  <c r="OF2" i="5"/>
  <c r="NP2" i="5"/>
  <c r="MZ2" i="5"/>
  <c r="MJ2" i="5"/>
  <c r="LT2" i="5"/>
  <c r="LD2" i="5"/>
  <c r="KN2" i="5"/>
  <c r="JX2" i="5"/>
  <c r="JH2" i="5"/>
  <c r="IR2" i="5"/>
  <c r="IB2" i="5"/>
  <c r="HL2" i="5"/>
  <c r="GV2" i="5"/>
  <c r="GF2" i="5"/>
  <c r="FP2" i="5"/>
  <c r="EZ2" i="5"/>
  <c r="EJ2" i="5"/>
  <c r="DT2" i="5"/>
  <c r="DD2" i="5"/>
  <c r="CN2" i="5"/>
  <c r="BX2" i="5"/>
  <c r="BH2" i="5"/>
  <c r="AR2" i="5"/>
  <c r="AB2" i="5"/>
  <c r="L2" i="5"/>
  <c r="AMD1" i="5"/>
  <c r="ALN1" i="5"/>
  <c r="AKX1" i="5"/>
  <c r="AKH1" i="5"/>
  <c r="AJR1" i="5"/>
  <c r="AJB1" i="5"/>
  <c r="AIL1" i="5"/>
  <c r="AHV1" i="5"/>
  <c r="AHF1" i="5"/>
  <c r="AGP1" i="5"/>
  <c r="AFZ1" i="5"/>
  <c r="AFJ1" i="5"/>
  <c r="AET1" i="5"/>
  <c r="AED1" i="5"/>
  <c r="ADN1" i="5"/>
  <c r="ACX1" i="5"/>
  <c r="ACH1" i="5"/>
  <c r="ABR1" i="5"/>
  <c r="ABB1" i="5"/>
  <c r="AAL1" i="5"/>
  <c r="ZV1" i="5"/>
  <c r="ZF1" i="5"/>
  <c r="YP1" i="5"/>
  <c r="XZ1" i="5"/>
  <c r="XJ1" i="5"/>
  <c r="WT1" i="5"/>
  <c r="WD1" i="5"/>
  <c r="VN1" i="5"/>
  <c r="UX1" i="5"/>
  <c r="UH1" i="5"/>
  <c r="TR1" i="5"/>
  <c r="TB1" i="5"/>
  <c r="SL1" i="5"/>
  <c r="RV1" i="5"/>
  <c r="RF1" i="5"/>
  <c r="QP1" i="5"/>
  <c r="PZ1" i="5"/>
  <c r="PJ1" i="5"/>
  <c r="OT1" i="5"/>
  <c r="OD1" i="5"/>
  <c r="NN1" i="5"/>
  <c r="MX1" i="5"/>
  <c r="MH1" i="5"/>
  <c r="LR1" i="5"/>
  <c r="LB1" i="5"/>
  <c r="KL1" i="5"/>
  <c r="JV1" i="5"/>
  <c r="JF1" i="5"/>
  <c r="IP1" i="5"/>
  <c r="HZ1" i="5"/>
  <c r="HJ1" i="5"/>
  <c r="GT1" i="5"/>
  <c r="GD1" i="5"/>
  <c r="FN1" i="5"/>
  <c r="EX1" i="5"/>
  <c r="EH1" i="5"/>
  <c r="DR1" i="5"/>
  <c r="DB1" i="5"/>
  <c r="CL1" i="5"/>
  <c r="BV1" i="5"/>
  <c r="BF1" i="5"/>
  <c r="AP1" i="5"/>
  <c r="Z1" i="5"/>
  <c r="J1" i="5"/>
  <c r="OS4" i="5"/>
  <c r="IA4" i="5"/>
  <c r="FM4" i="5"/>
  <c r="DA4" i="5"/>
  <c r="AO4" i="5"/>
  <c r="ALN3" i="5"/>
  <c r="AKE3" i="5"/>
  <c r="AIN3" i="5"/>
  <c r="AHF3" i="5"/>
  <c r="AFX3" i="5"/>
  <c r="AEG3" i="5"/>
  <c r="ACY3" i="5"/>
  <c r="ABS3" i="5"/>
  <c r="AAM3" i="5"/>
  <c r="ZG3" i="5"/>
  <c r="YA3" i="5"/>
  <c r="WU3" i="5"/>
  <c r="VO3" i="5"/>
  <c r="UI3" i="5"/>
  <c r="TC3" i="5"/>
  <c r="RW3" i="5"/>
  <c r="QQ3" i="5"/>
  <c r="PK3" i="5"/>
  <c r="OE3" i="5"/>
  <c r="NA3" i="5"/>
  <c r="LX3" i="5"/>
  <c r="KZ3" i="5"/>
  <c r="JW3" i="5"/>
  <c r="IU3" i="5"/>
  <c r="HY3" i="5"/>
  <c r="GW3" i="5"/>
  <c r="GA3" i="5"/>
  <c r="EY3" i="5"/>
  <c r="DW3" i="5"/>
  <c r="DA3" i="5"/>
  <c r="CA3" i="5"/>
  <c r="BG3" i="5"/>
  <c r="AM3" i="5"/>
  <c r="O3" i="5"/>
  <c r="AMC2" i="5"/>
  <c r="ALJ2" i="5"/>
  <c r="AKN2" i="5"/>
  <c r="AJU2" i="5"/>
  <c r="AJC2" i="5"/>
  <c r="AIM2" i="5"/>
  <c r="AHW2" i="5"/>
  <c r="AHG2" i="5"/>
  <c r="AGQ2" i="5"/>
  <c r="AGA2" i="5"/>
  <c r="AFK2" i="5"/>
  <c r="AEU2" i="5"/>
  <c r="AEE2" i="5"/>
  <c r="ADO2" i="5"/>
  <c r="ACY2" i="5"/>
  <c r="ACI2" i="5"/>
  <c r="ABS2" i="5"/>
  <c r="ABC2" i="5"/>
  <c r="AAM2" i="5"/>
  <c r="ZW2" i="5"/>
  <c r="ZG2" i="5"/>
  <c r="YQ2" i="5"/>
  <c r="YA2" i="5"/>
  <c r="XK2" i="5"/>
  <c r="WU2" i="5"/>
  <c r="WE2" i="5"/>
  <c r="VO2" i="5"/>
  <c r="UY2" i="5"/>
  <c r="UI2" i="5"/>
  <c r="TS2" i="5"/>
  <c r="TC2" i="5"/>
  <c r="SM2" i="5"/>
  <c r="RW2" i="5"/>
  <c r="RG2" i="5"/>
  <c r="QQ2" i="5"/>
  <c r="QA2" i="5"/>
  <c r="PK2" i="5"/>
  <c r="OU2" i="5"/>
  <c r="OE2" i="5"/>
  <c r="NO2" i="5"/>
  <c r="MY2" i="5"/>
  <c r="MI2" i="5"/>
  <c r="LS2" i="5"/>
  <c r="LC2" i="5"/>
  <c r="KM2" i="5"/>
  <c r="JW2" i="5"/>
  <c r="JG2" i="5"/>
  <c r="IQ2" i="5"/>
  <c r="IA2" i="5"/>
  <c r="HK2" i="5"/>
  <c r="GU2" i="5"/>
  <c r="GE2" i="5"/>
  <c r="FO2" i="5"/>
  <c r="EY2" i="5"/>
  <c r="EI2" i="5"/>
  <c r="DS2" i="5"/>
  <c r="DC2" i="5"/>
  <c r="CM2" i="5"/>
  <c r="BW2" i="5"/>
  <c r="BG2" i="5"/>
  <c r="AQ2" i="5"/>
  <c r="AA2" i="5"/>
  <c r="K2" i="5"/>
  <c r="AMC1" i="5"/>
  <c r="ALM1" i="5"/>
  <c r="AKW1" i="5"/>
  <c r="AKG1" i="5"/>
  <c r="AJQ1" i="5"/>
  <c r="AJA1" i="5"/>
  <c r="AIK1" i="5"/>
  <c r="AHU1" i="5"/>
  <c r="AHE1" i="5"/>
  <c r="AGO1" i="5"/>
  <c r="AFY1" i="5"/>
  <c r="AFI1" i="5"/>
  <c r="AES1" i="5"/>
  <c r="AEC1" i="5"/>
  <c r="ADM1" i="5"/>
  <c r="ACW1" i="5"/>
  <c r="ACG1" i="5"/>
  <c r="ABQ1" i="5"/>
  <c r="ABA1" i="5"/>
  <c r="AAK1" i="5"/>
  <c r="ZU1" i="5"/>
  <c r="ZE1" i="5"/>
  <c r="YO1" i="5"/>
  <c r="XY1" i="5"/>
  <c r="XI1" i="5"/>
  <c r="WS1" i="5"/>
  <c r="WC1" i="5"/>
  <c r="VM1" i="5"/>
  <c r="UW1" i="5"/>
  <c r="UG1" i="5"/>
  <c r="TQ1" i="5"/>
  <c r="TA1" i="5"/>
  <c r="SK1" i="5"/>
  <c r="RU1" i="5"/>
  <c r="RE1" i="5"/>
  <c r="QO1" i="5"/>
  <c r="PY1" i="5"/>
  <c r="PI1" i="5"/>
  <c r="OS1" i="5"/>
  <c r="OC1" i="5"/>
  <c r="NM1" i="5"/>
  <c r="MW1" i="5"/>
  <c r="MG1" i="5"/>
  <c r="LQ1" i="5"/>
  <c r="LA1" i="5"/>
  <c r="KK1" i="5"/>
  <c r="JU1" i="5"/>
  <c r="JE1" i="5"/>
  <c r="IO1" i="5"/>
  <c r="HY1" i="5"/>
  <c r="HI1" i="5"/>
  <c r="GS1" i="5"/>
  <c r="GC1" i="5"/>
  <c r="FM1" i="5"/>
  <c r="EW1" i="5"/>
  <c r="EG1" i="5"/>
  <c r="DQ1" i="5"/>
  <c r="DA1" i="5"/>
  <c r="CK1" i="5"/>
  <c r="BU1" i="5"/>
  <c r="BE1" i="5"/>
  <c r="AO1" i="5"/>
  <c r="Y1" i="5"/>
  <c r="I1" i="5"/>
  <c r="OC4" i="5"/>
  <c r="HY4" i="5"/>
  <c r="EZ4" i="5"/>
  <c r="CN4" i="5"/>
  <c r="AB4" i="5"/>
  <c r="ALM3" i="5"/>
  <c r="AJU3" i="5"/>
  <c r="AIM3" i="5"/>
  <c r="AHE3" i="5"/>
  <c r="AFW3" i="5"/>
  <c r="AEF3" i="5"/>
  <c r="ACX3" i="5"/>
  <c r="ABR3" i="5"/>
  <c r="AAL3" i="5"/>
  <c r="ZF3" i="5"/>
  <c r="XZ3" i="5"/>
  <c r="WT3" i="5"/>
  <c r="VN3" i="5"/>
  <c r="UH3" i="5"/>
  <c r="TB3" i="5"/>
  <c r="RV3" i="5"/>
  <c r="QP3" i="5"/>
  <c r="PJ3" i="5"/>
  <c r="OD3" i="5"/>
  <c r="MZ3" i="5"/>
  <c r="LV3" i="5"/>
  <c r="KY3" i="5"/>
  <c r="JV3" i="5"/>
  <c r="IT3" i="5"/>
  <c r="HX3" i="5"/>
  <c r="GV3" i="5"/>
  <c r="FT3" i="5"/>
  <c r="EX3" i="5"/>
  <c r="DV3" i="5"/>
  <c r="CZ3" i="5"/>
  <c r="BZ3" i="5"/>
  <c r="BF3" i="5"/>
  <c r="AH3" i="5"/>
  <c r="N3" i="5"/>
  <c r="AMB2" i="5"/>
  <c r="ALI2" i="5"/>
  <c r="AKM2" i="5"/>
  <c r="AJT2" i="5"/>
  <c r="AJB2" i="5"/>
  <c r="AIL2" i="5"/>
  <c r="AHV2" i="5"/>
  <c r="AHF2" i="5"/>
  <c r="AGP2" i="5"/>
  <c r="AFZ2" i="5"/>
  <c r="AFJ2" i="5"/>
  <c r="AET2" i="5"/>
  <c r="AED2" i="5"/>
  <c r="ADN2" i="5"/>
  <c r="ACX2" i="5"/>
  <c r="ACH2" i="5"/>
  <c r="ABR2" i="5"/>
  <c r="ABB2" i="5"/>
  <c r="AAL2" i="5"/>
  <c r="ZV2" i="5"/>
  <c r="ZF2" i="5"/>
  <c r="YP2" i="5"/>
  <c r="XZ2" i="5"/>
  <c r="XJ2" i="5"/>
  <c r="WT2" i="5"/>
  <c r="WD2" i="5"/>
  <c r="VN2" i="5"/>
  <c r="UX2" i="5"/>
  <c r="UH2" i="5"/>
  <c r="TR2" i="5"/>
  <c r="TB2" i="5"/>
  <c r="SL2" i="5"/>
  <c r="RV2" i="5"/>
  <c r="RF2" i="5"/>
  <c r="QP2" i="5"/>
  <c r="PZ2" i="5"/>
  <c r="PJ2" i="5"/>
  <c r="OT2" i="5"/>
  <c r="OD2" i="5"/>
  <c r="NN2" i="5"/>
  <c r="MX2" i="5"/>
  <c r="MH2" i="5"/>
  <c r="LR2" i="5"/>
  <c r="LB2" i="5"/>
  <c r="KL2" i="5"/>
  <c r="JV2" i="5"/>
  <c r="JF2" i="5"/>
  <c r="IP2" i="5"/>
  <c r="HZ2" i="5"/>
  <c r="HJ2" i="5"/>
  <c r="GT2" i="5"/>
  <c r="GD2" i="5"/>
  <c r="FN2" i="5"/>
  <c r="EX2" i="5"/>
  <c r="EH2" i="5"/>
  <c r="DR2" i="5"/>
  <c r="DB2" i="5"/>
  <c r="CL2" i="5"/>
  <c r="BV2" i="5"/>
  <c r="BF2" i="5"/>
  <c r="AP2" i="5"/>
  <c r="Z2" i="5"/>
  <c r="J2" i="5"/>
  <c r="AMB1" i="5"/>
  <c r="ALL1" i="5"/>
  <c r="AKV1" i="5"/>
  <c r="AKF1" i="5"/>
  <c r="AJP1" i="5"/>
  <c r="AIZ1" i="5"/>
  <c r="AIJ1" i="5"/>
  <c r="AHT1" i="5"/>
  <c r="AHD1" i="5"/>
  <c r="AGN1" i="5"/>
  <c r="AFX1" i="5"/>
  <c r="AFH1" i="5"/>
  <c r="AER1" i="5"/>
  <c r="AEB1" i="5"/>
  <c r="ADL1" i="5"/>
  <c r="ACV1" i="5"/>
  <c r="ACF1" i="5"/>
  <c r="ABP1" i="5"/>
  <c r="AAZ1" i="5"/>
  <c r="AAJ1" i="5"/>
  <c r="ZT1" i="5"/>
  <c r="ZD1" i="5"/>
  <c r="YN1" i="5"/>
  <c r="XX1" i="5"/>
  <c r="XH1" i="5"/>
  <c r="WR1" i="5"/>
  <c r="WB1" i="5"/>
  <c r="VL1" i="5"/>
  <c r="UV1" i="5"/>
  <c r="UF1" i="5"/>
  <c r="TP1" i="5"/>
  <c r="SZ1" i="5"/>
  <c r="SJ1" i="5"/>
  <c r="RT1" i="5"/>
  <c r="RD1" i="5"/>
  <c r="QN1" i="5"/>
  <c r="PX1" i="5"/>
  <c r="PH1" i="5"/>
  <c r="OR1" i="5"/>
  <c r="OB1" i="5"/>
  <c r="NL1" i="5"/>
  <c r="MV1" i="5"/>
  <c r="MF1" i="5"/>
  <c r="LP1" i="5"/>
  <c r="KZ1" i="5"/>
  <c r="KJ1" i="5"/>
  <c r="JT1" i="5"/>
  <c r="JD1" i="5"/>
  <c r="IN1" i="5"/>
  <c r="HX1" i="5"/>
  <c r="HH1" i="5"/>
  <c r="GR1" i="5"/>
  <c r="GB1" i="5"/>
  <c r="FL1" i="5"/>
  <c r="EV1" i="5"/>
  <c r="EF1" i="5"/>
  <c r="DP1" i="5"/>
  <c r="CZ1" i="5"/>
  <c r="CJ1" i="5"/>
  <c r="BT1" i="5"/>
  <c r="BD1" i="5"/>
  <c r="AN1" i="5"/>
  <c r="X1" i="5"/>
  <c r="H1" i="5"/>
  <c r="NM4" i="5"/>
  <c r="HL4" i="5"/>
  <c r="EY4" i="5"/>
  <c r="CM4" i="5"/>
  <c r="AA4" i="5"/>
  <c r="ALL3" i="5"/>
  <c r="AJT3" i="5"/>
  <c r="AIL3" i="5"/>
  <c r="AHD3" i="5"/>
  <c r="AFM3" i="5"/>
  <c r="AEE3" i="5"/>
  <c r="ACW3" i="5"/>
  <c r="ABQ3" i="5"/>
  <c r="AAK3" i="5"/>
  <c r="ZE3" i="5"/>
  <c r="XY3" i="5"/>
  <c r="WS3" i="5"/>
  <c r="VM3" i="5"/>
  <c r="UG3" i="5"/>
  <c r="TA3" i="5"/>
  <c r="RU3" i="5"/>
  <c r="QO3" i="5"/>
  <c r="PI3" i="5"/>
  <c r="OC3" i="5"/>
  <c r="MY3" i="5"/>
  <c r="LU3" i="5"/>
  <c r="KR3" i="5"/>
  <c r="JU3" i="5"/>
  <c r="IS3" i="5"/>
  <c r="HW3" i="5"/>
  <c r="GU3" i="5"/>
  <c r="FS3" i="5"/>
  <c r="EW3" i="5"/>
  <c r="DU3" i="5"/>
  <c r="CY3" i="5"/>
  <c r="BY3" i="5"/>
  <c r="BE3" i="5"/>
  <c r="AG3" i="5"/>
  <c r="M3" i="5"/>
  <c r="AMA2" i="5"/>
  <c r="ALE2" i="5"/>
  <c r="AKL2" i="5"/>
  <c r="AJS2" i="5"/>
  <c r="AJA2" i="5"/>
  <c r="AIK2" i="5"/>
  <c r="AHU2" i="5"/>
  <c r="AHE2" i="5"/>
  <c r="AGO2" i="5"/>
  <c r="AFY2" i="5"/>
  <c r="AFI2" i="5"/>
  <c r="AES2" i="5"/>
  <c r="AEC2" i="5"/>
  <c r="ADM2" i="5"/>
  <c r="ACW2" i="5"/>
  <c r="ACG2" i="5"/>
  <c r="ABQ2" i="5"/>
  <c r="ABA2" i="5"/>
  <c r="AAK2" i="5"/>
  <c r="ZU2" i="5"/>
  <c r="ZE2" i="5"/>
  <c r="YO2" i="5"/>
  <c r="XY2" i="5"/>
  <c r="XI2" i="5"/>
  <c r="WS2" i="5"/>
  <c r="WC2" i="5"/>
  <c r="VM2" i="5"/>
  <c r="UW2" i="5"/>
  <c r="UG2" i="5"/>
  <c r="TQ2" i="5"/>
  <c r="TA2" i="5"/>
  <c r="SK2" i="5"/>
  <c r="RU2" i="5"/>
  <c r="RE2" i="5"/>
  <c r="QO2" i="5"/>
  <c r="PY2" i="5"/>
  <c r="PI2" i="5"/>
  <c r="OS2" i="5"/>
  <c r="OC2" i="5"/>
  <c r="NM2" i="5"/>
  <c r="MW2" i="5"/>
  <c r="MG2" i="5"/>
  <c r="LQ2" i="5"/>
  <c r="LA2" i="5"/>
  <c r="KK2" i="5"/>
  <c r="JU2" i="5"/>
  <c r="JE2" i="5"/>
  <c r="IO2" i="5"/>
  <c r="HY2" i="5"/>
  <c r="HI2" i="5"/>
  <c r="GS2" i="5"/>
  <c r="GC2" i="5"/>
  <c r="FM2" i="5"/>
  <c r="EW2" i="5"/>
  <c r="EG2" i="5"/>
  <c r="DQ2" i="5"/>
  <c r="DA2" i="5"/>
  <c r="CK2" i="5"/>
  <c r="BU2" i="5"/>
  <c r="BE2" i="5"/>
  <c r="AO2" i="5"/>
  <c r="Y2" i="5"/>
  <c r="I2" i="5"/>
  <c r="AMA1" i="5"/>
  <c r="ALK1" i="5"/>
  <c r="AKU1" i="5"/>
  <c r="AKE1" i="5"/>
  <c r="AJO1" i="5"/>
  <c r="AIY1" i="5"/>
  <c r="AII1" i="5"/>
  <c r="AHS1" i="5"/>
  <c r="AHC1" i="5"/>
  <c r="AGM1" i="5"/>
  <c r="AFW1" i="5"/>
  <c r="AFG1" i="5"/>
  <c r="AEQ1" i="5"/>
  <c r="AEA1" i="5"/>
  <c r="ADK1" i="5"/>
  <c r="ACU1" i="5"/>
  <c r="ACE1" i="5"/>
  <c r="ABO1" i="5"/>
  <c r="AAY1" i="5"/>
  <c r="AAI1" i="5"/>
  <c r="ZS1" i="5"/>
  <c r="ZC1" i="5"/>
  <c r="YM1" i="5"/>
  <c r="XW1" i="5"/>
  <c r="XG1" i="5"/>
  <c r="WQ1" i="5"/>
  <c r="WA1" i="5"/>
  <c r="VK1" i="5"/>
  <c r="UU1" i="5"/>
  <c r="UE1" i="5"/>
  <c r="TO1" i="5"/>
  <c r="SY1" i="5"/>
  <c r="SI1" i="5"/>
  <c r="RS1" i="5"/>
  <c r="RC1" i="5"/>
  <c r="QM1" i="5"/>
  <c r="PW1" i="5"/>
  <c r="PG1" i="5"/>
  <c r="OQ1" i="5"/>
  <c r="OA1" i="5"/>
  <c r="NK1" i="5"/>
  <c r="MU1" i="5"/>
  <c r="ME1" i="5"/>
  <c r="LO1" i="5"/>
  <c r="KY1" i="5"/>
  <c r="KI1" i="5"/>
  <c r="JS1" i="5"/>
  <c r="JC1" i="5"/>
  <c r="IM1" i="5"/>
  <c r="HW1" i="5"/>
  <c r="HG1" i="5"/>
  <c r="GQ1" i="5"/>
  <c r="GA1" i="5"/>
  <c r="FK1" i="5"/>
  <c r="EU1" i="5"/>
  <c r="EE1" i="5"/>
  <c r="DO1" i="5"/>
  <c r="CY1" i="5"/>
  <c r="CI1" i="5"/>
  <c r="BS1" i="5"/>
  <c r="BC1" i="5"/>
  <c r="AM1" i="5"/>
  <c r="W1" i="5"/>
  <c r="G1" i="5"/>
  <c r="MW4" i="5"/>
  <c r="HK4" i="5"/>
  <c r="EX4" i="5"/>
  <c r="CL4" i="5"/>
  <c r="Z4" i="5"/>
  <c r="ALK3" i="5"/>
  <c r="AJS3" i="5"/>
  <c r="AIK3" i="5"/>
  <c r="AHC3" i="5"/>
  <c r="AFL3" i="5"/>
  <c r="AED3" i="5"/>
  <c r="ACV3" i="5"/>
  <c r="ABP3" i="5"/>
  <c r="AAJ3" i="5"/>
  <c r="ZD3" i="5"/>
  <c r="XX3" i="5"/>
  <c r="WR3" i="5"/>
  <c r="VL3" i="5"/>
  <c r="UF3" i="5"/>
  <c r="SZ3" i="5"/>
  <c r="RT3" i="5"/>
  <c r="QN3" i="5"/>
  <c r="PH3" i="5"/>
  <c r="OB3" i="5"/>
  <c r="MX3" i="5"/>
  <c r="LT3" i="5"/>
  <c r="KP3" i="5"/>
  <c r="JT3" i="5"/>
  <c r="IR3" i="5"/>
  <c r="HP3" i="5"/>
  <c r="GT3" i="5"/>
  <c r="FR3" i="5"/>
  <c r="EV3" i="5"/>
  <c r="DT3" i="5"/>
  <c r="CR3" i="5"/>
  <c r="BX3" i="5"/>
  <c r="BD3" i="5"/>
  <c r="AF3" i="5"/>
  <c r="L3" i="5"/>
  <c r="ALZ2" i="5"/>
  <c r="ALD2" i="5"/>
  <c r="AKK2" i="5"/>
  <c r="AJR2" i="5"/>
  <c r="AIZ2" i="5"/>
  <c r="AIJ2" i="5"/>
  <c r="AHT2" i="5"/>
  <c r="AHD2" i="5"/>
  <c r="AGN2" i="5"/>
  <c r="AFX2" i="5"/>
  <c r="AFH2" i="5"/>
  <c r="AER2" i="5"/>
  <c r="AEB2" i="5"/>
  <c r="ADL2" i="5"/>
  <c r="ACV2" i="5"/>
  <c r="ACF2" i="5"/>
  <c r="ABP2" i="5"/>
  <c r="AAZ2" i="5"/>
  <c r="AAJ2" i="5"/>
  <c r="ZT2" i="5"/>
  <c r="ZD2" i="5"/>
  <c r="YN2" i="5"/>
  <c r="XX2" i="5"/>
  <c r="XH2" i="5"/>
  <c r="WR2" i="5"/>
  <c r="WB2" i="5"/>
  <c r="VL2" i="5"/>
  <c r="UV2" i="5"/>
  <c r="UF2" i="5"/>
  <c r="TP2" i="5"/>
  <c r="SZ2" i="5"/>
  <c r="SJ2" i="5"/>
  <c r="RT2" i="5"/>
  <c r="RD2" i="5"/>
  <c r="QN2" i="5"/>
  <c r="PX2" i="5"/>
  <c r="PH2" i="5"/>
  <c r="OR2" i="5"/>
  <c r="OB2" i="5"/>
  <c r="NL2" i="5"/>
  <c r="MV2" i="5"/>
  <c r="MF2" i="5"/>
  <c r="LP2" i="5"/>
  <c r="KZ2" i="5"/>
  <c r="KJ2" i="5"/>
  <c r="JT2" i="5"/>
  <c r="JD2" i="5"/>
  <c r="IN2" i="5"/>
  <c r="HX2" i="5"/>
  <c r="HH2" i="5"/>
  <c r="GR2" i="5"/>
  <c r="GB2" i="5"/>
  <c r="FL2" i="5"/>
  <c r="EV2" i="5"/>
  <c r="EF2" i="5"/>
  <c r="DP2" i="5"/>
  <c r="CZ2" i="5"/>
  <c r="CJ2" i="5"/>
  <c r="BT2" i="5"/>
  <c r="BD2" i="5"/>
  <c r="AN2" i="5"/>
  <c r="X2" i="5"/>
  <c r="H2" i="5"/>
  <c r="ALZ1" i="5"/>
  <c r="ALJ1" i="5"/>
  <c r="AKT1" i="5"/>
  <c r="AKD1" i="5"/>
  <c r="AJN1" i="5"/>
  <c r="AIX1" i="5"/>
  <c r="AIH1" i="5"/>
  <c r="AHR1" i="5"/>
  <c r="AHB1" i="5"/>
  <c r="AGL1" i="5"/>
  <c r="AFV1" i="5"/>
  <c r="AFF1" i="5"/>
  <c r="AEP1" i="5"/>
  <c r="ADZ1" i="5"/>
  <c r="ADJ1" i="5"/>
  <c r="ACT1" i="5"/>
  <c r="ACD1" i="5"/>
  <c r="ABN1" i="5"/>
  <c r="AAX1" i="5"/>
  <c r="AAH1" i="5"/>
  <c r="ZR1" i="5"/>
  <c r="ZB1" i="5"/>
  <c r="YL1" i="5"/>
  <c r="XV1" i="5"/>
  <c r="XF1" i="5"/>
  <c r="WP1" i="5"/>
  <c r="VZ1" i="5"/>
  <c r="VJ1" i="5"/>
  <c r="UT1" i="5"/>
  <c r="UD1" i="5"/>
  <c r="TN1" i="5"/>
  <c r="SX1" i="5"/>
  <c r="SH1" i="5"/>
  <c r="RR1" i="5"/>
  <c r="RB1" i="5"/>
  <c r="QL1" i="5"/>
  <c r="PV1" i="5"/>
  <c r="PF1" i="5"/>
  <c r="OP1" i="5"/>
  <c r="NZ1" i="5"/>
  <c r="NJ1" i="5"/>
  <c r="MT1" i="5"/>
  <c r="MD1" i="5"/>
  <c r="LN1" i="5"/>
  <c r="KX1" i="5"/>
  <c r="KH1" i="5"/>
  <c r="JR1" i="5"/>
  <c r="JB1" i="5"/>
  <c r="IL1" i="5"/>
  <c r="HV1" i="5"/>
  <c r="HF1" i="5"/>
  <c r="GP1" i="5"/>
  <c r="FZ1" i="5"/>
  <c r="FJ1" i="5"/>
  <c r="ET1" i="5"/>
  <c r="ED1" i="5"/>
  <c r="DN1" i="5"/>
  <c r="CX1" i="5"/>
  <c r="CH1" i="5"/>
  <c r="BR1" i="5"/>
  <c r="BB1" i="5"/>
  <c r="AL1" i="5"/>
  <c r="V1" i="5"/>
  <c r="F1" i="5"/>
  <c r="MG4" i="5"/>
  <c r="HI4" i="5"/>
  <c r="EW4" i="5"/>
  <c r="CK4" i="5"/>
  <c r="Y4" i="5"/>
  <c r="ALA3" i="5"/>
  <c r="AJR3" i="5"/>
  <c r="AIJ3" i="5"/>
  <c r="AGS3" i="5"/>
  <c r="AFK3" i="5"/>
  <c r="AEC3" i="5"/>
  <c r="ACU3" i="5"/>
  <c r="ABO3" i="5"/>
  <c r="AAI3" i="5"/>
  <c r="ZC3" i="5"/>
  <c r="XW3" i="5"/>
  <c r="WQ3" i="5"/>
  <c r="VK3" i="5"/>
  <c r="UE3" i="5"/>
  <c r="SY3" i="5"/>
  <c r="RS3" i="5"/>
  <c r="QM3" i="5"/>
  <c r="PG3" i="5"/>
  <c r="OA3" i="5"/>
  <c r="MW3" i="5"/>
  <c r="LS3" i="5"/>
  <c r="KO3" i="5"/>
  <c r="JS3" i="5"/>
  <c r="IQ3" i="5"/>
  <c r="HO3" i="5"/>
  <c r="GS3" i="5"/>
  <c r="FQ3" i="5"/>
  <c r="EU3" i="5"/>
  <c r="DS3" i="5"/>
  <c r="CQ3" i="5"/>
  <c r="BW3" i="5"/>
  <c r="BC3" i="5"/>
  <c r="AE3" i="5"/>
  <c r="K3" i="5"/>
  <c r="ALY2" i="5"/>
  <c r="ALC2" i="5"/>
  <c r="AKJ2" i="5"/>
  <c r="AJQ2" i="5"/>
  <c r="AIY2" i="5"/>
  <c r="AII2" i="5"/>
  <c r="AHS2" i="5"/>
  <c r="AHC2" i="5"/>
  <c r="AGM2" i="5"/>
  <c r="AFW2" i="5"/>
  <c r="AFG2" i="5"/>
  <c r="AEQ2" i="5"/>
  <c r="AEA2" i="5"/>
  <c r="ADK2" i="5"/>
  <c r="ACU2" i="5"/>
  <c r="ACE2" i="5"/>
  <c r="ABO2" i="5"/>
  <c r="AAY2" i="5"/>
  <c r="AAI2" i="5"/>
  <c r="ZS2" i="5"/>
  <c r="ZC2" i="5"/>
  <c r="YM2" i="5"/>
  <c r="XW2" i="5"/>
  <c r="XG2" i="5"/>
  <c r="WQ2" i="5"/>
  <c r="WA2" i="5"/>
  <c r="VK2" i="5"/>
  <c r="UU2" i="5"/>
  <c r="UE2" i="5"/>
  <c r="TO2" i="5"/>
  <c r="SY2" i="5"/>
  <c r="SI2" i="5"/>
  <c r="RS2" i="5"/>
  <c r="RC2" i="5"/>
  <c r="QM2" i="5"/>
  <c r="PW2" i="5"/>
  <c r="PG2" i="5"/>
  <c r="OQ2" i="5"/>
  <c r="OA2" i="5"/>
  <c r="NK2" i="5"/>
  <c r="MU2" i="5"/>
  <c r="ME2" i="5"/>
  <c r="LO2" i="5"/>
  <c r="KY2" i="5"/>
  <c r="KI2" i="5"/>
  <c r="JS2" i="5"/>
  <c r="JC2" i="5"/>
  <c r="IM2" i="5"/>
  <c r="HW2" i="5"/>
  <c r="HG2" i="5"/>
  <c r="GQ2" i="5"/>
  <c r="GA2" i="5"/>
  <c r="FK2" i="5"/>
  <c r="EU2" i="5"/>
  <c r="EE2" i="5"/>
  <c r="DO2" i="5"/>
  <c r="CY2" i="5"/>
  <c r="CI2" i="5"/>
  <c r="BS2" i="5"/>
  <c r="BC2" i="5"/>
  <c r="AM2" i="5"/>
  <c r="W2" i="5"/>
  <c r="G2" i="5"/>
  <c r="ALY1" i="5"/>
  <c r="ALI1" i="5"/>
  <c r="AKS1" i="5"/>
  <c r="AKC1" i="5"/>
  <c r="AJM1" i="5"/>
  <c r="AIW1" i="5"/>
  <c r="AIG1" i="5"/>
  <c r="AHQ1" i="5"/>
  <c r="AHA1" i="5"/>
  <c r="AGK1" i="5"/>
  <c r="AFU1" i="5"/>
  <c r="AFE1" i="5"/>
  <c r="AEO1" i="5"/>
  <c r="ADY1" i="5"/>
  <c r="ADI1" i="5"/>
  <c r="ACS1" i="5"/>
  <c r="ACC1" i="5"/>
  <c r="ABM1" i="5"/>
  <c r="AAW1" i="5"/>
  <c r="AAG1" i="5"/>
  <c r="ZQ1" i="5"/>
  <c r="ZA1" i="5"/>
  <c r="YK1" i="5"/>
  <c r="XU1" i="5"/>
  <c r="XE1" i="5"/>
  <c r="WO1" i="5"/>
  <c r="VY1" i="5"/>
  <c r="VI1" i="5"/>
  <c r="US1" i="5"/>
  <c r="UC1" i="5"/>
  <c r="TM1" i="5"/>
  <c r="SW1" i="5"/>
  <c r="SG1" i="5"/>
  <c r="RQ1" i="5"/>
  <c r="RA1" i="5"/>
  <c r="QK1" i="5"/>
  <c r="PU1" i="5"/>
  <c r="PE1" i="5"/>
  <c r="OO1" i="5"/>
  <c r="NY1" i="5"/>
  <c r="NI1" i="5"/>
  <c r="MS1" i="5"/>
  <c r="MC1" i="5"/>
  <c r="LM1" i="5"/>
  <c r="KW1" i="5"/>
  <c r="KG1" i="5"/>
  <c r="JQ1" i="5"/>
  <c r="JA1" i="5"/>
  <c r="IK1" i="5"/>
  <c r="HU1" i="5"/>
  <c r="HE1" i="5"/>
  <c r="GO1" i="5"/>
  <c r="FY1" i="5"/>
  <c r="FI1" i="5"/>
  <c r="ES1" i="5"/>
  <c r="EC1" i="5"/>
  <c r="DM1" i="5"/>
  <c r="CW1" i="5"/>
  <c r="CG1" i="5"/>
  <c r="BQ1" i="5"/>
  <c r="BA1" i="5"/>
  <c r="AK1" i="5"/>
  <c r="U1" i="5"/>
  <c r="E1" i="5"/>
  <c r="LQ4" i="5"/>
  <c r="GV4" i="5"/>
  <c r="EJ4" i="5"/>
  <c r="BX4" i="5"/>
  <c r="L4" i="5"/>
  <c r="AKY3" i="5"/>
  <c r="AJQ3" i="5"/>
  <c r="AII3" i="5"/>
  <c r="AGR3" i="5"/>
  <c r="AFJ3" i="5"/>
  <c r="AEB3" i="5"/>
  <c r="ACL3" i="5"/>
  <c r="ABF3" i="5"/>
  <c r="ZZ3" i="5"/>
  <c r="YT3" i="5"/>
  <c r="XN3" i="5"/>
  <c r="WH3" i="5"/>
  <c r="VB3" i="5"/>
  <c r="TV3" i="5"/>
  <c r="SP3" i="5"/>
  <c r="RJ3" i="5"/>
  <c r="QD3" i="5"/>
  <c r="OX3" i="5"/>
  <c r="NT3" i="5"/>
  <c r="MV3" i="5"/>
  <c r="LR3" i="5"/>
  <c r="KN3" i="5"/>
  <c r="JL3" i="5"/>
  <c r="IP3" i="5"/>
  <c r="HN3" i="5"/>
  <c r="GR3" i="5"/>
  <c r="FP3" i="5"/>
  <c r="EN3" i="5"/>
  <c r="DR3" i="5"/>
  <c r="CP3" i="5"/>
  <c r="BV3" i="5"/>
  <c r="AX3" i="5"/>
  <c r="AD3" i="5"/>
  <c r="J3" i="5"/>
  <c r="ALU2" i="5"/>
  <c r="ALB2" i="5"/>
  <c r="AKI2" i="5"/>
  <c r="AJP2" i="5"/>
  <c r="AIX2" i="5"/>
  <c r="AIH2" i="5"/>
  <c r="AHR2" i="5"/>
  <c r="AHB2" i="5"/>
  <c r="AGL2" i="5"/>
  <c r="AFV2" i="5"/>
  <c r="AFF2" i="5"/>
  <c r="AEP2" i="5"/>
  <c r="ADZ2" i="5"/>
  <c r="ADJ2" i="5"/>
  <c r="ACT2" i="5"/>
  <c r="ACD2" i="5"/>
  <c r="ABN2" i="5"/>
  <c r="AAX2" i="5"/>
  <c r="AAH2" i="5"/>
  <c r="ZR2" i="5"/>
  <c r="ZB2" i="5"/>
  <c r="YL2" i="5"/>
  <c r="XV2" i="5"/>
  <c r="XF2" i="5"/>
  <c r="WP2" i="5"/>
  <c r="VZ2" i="5"/>
  <c r="VJ2" i="5"/>
  <c r="UT2" i="5"/>
  <c r="UD2" i="5"/>
  <c r="TN2" i="5"/>
  <c r="SX2" i="5"/>
  <c r="SH2" i="5"/>
  <c r="RR2" i="5"/>
  <c r="RB2" i="5"/>
  <c r="QL2" i="5"/>
  <c r="PV2" i="5"/>
  <c r="PF2" i="5"/>
  <c r="OP2" i="5"/>
  <c r="NZ2" i="5"/>
  <c r="NJ2" i="5"/>
  <c r="MT2" i="5"/>
  <c r="MD2" i="5"/>
  <c r="LN2" i="5"/>
  <c r="KX2" i="5"/>
  <c r="KH2" i="5"/>
  <c r="JR2" i="5"/>
  <c r="JB2" i="5"/>
  <c r="IL2" i="5"/>
  <c r="HV2" i="5"/>
  <c r="HF2" i="5"/>
  <c r="GP2" i="5"/>
  <c r="FZ2" i="5"/>
  <c r="FJ2" i="5"/>
  <c r="ET2" i="5"/>
  <c r="ED2" i="5"/>
  <c r="DN2" i="5"/>
  <c r="CX2" i="5"/>
  <c r="CH2" i="5"/>
  <c r="BR2" i="5"/>
  <c r="BB2" i="5"/>
  <c r="AL2" i="5"/>
  <c r="V2" i="5"/>
  <c r="F2" i="5"/>
  <c r="ALX1" i="5"/>
  <c r="ALH1" i="5"/>
  <c r="AKR1" i="5"/>
  <c r="AKB1" i="5"/>
  <c r="AJL1" i="5"/>
  <c r="AIV1" i="5"/>
  <c r="AIF1" i="5"/>
  <c r="AHP1" i="5"/>
  <c r="AGZ1" i="5"/>
  <c r="AGJ1" i="5"/>
  <c r="AFT1" i="5"/>
  <c r="AFD1" i="5"/>
  <c r="AEN1" i="5"/>
  <c r="ADX1" i="5"/>
  <c r="ADH1" i="5"/>
  <c r="ACR1" i="5"/>
  <c r="ACB1" i="5"/>
  <c r="ABL1" i="5"/>
  <c r="AAV1" i="5"/>
  <c r="AAF1" i="5"/>
  <c r="ZP1" i="5"/>
  <c r="YZ1" i="5"/>
  <c r="YJ1" i="5"/>
  <c r="XT1" i="5"/>
  <c r="XD1" i="5"/>
  <c r="WN1" i="5"/>
  <c r="VX1" i="5"/>
  <c r="VH1" i="5"/>
  <c r="UR1" i="5"/>
  <c r="UB1" i="5"/>
  <c r="TL1" i="5"/>
  <c r="SV1" i="5"/>
  <c r="SF1" i="5"/>
  <c r="RP1" i="5"/>
  <c r="QZ1" i="5"/>
  <c r="QJ1" i="5"/>
  <c r="PT1" i="5"/>
  <c r="PD1" i="5"/>
  <c r="ON1" i="5"/>
  <c r="NX1" i="5"/>
  <c r="NH1" i="5"/>
  <c r="MR1" i="5"/>
  <c r="MB1" i="5"/>
  <c r="LL1" i="5"/>
  <c r="KV1" i="5"/>
  <c r="KF1" i="5"/>
  <c r="JP1" i="5"/>
  <c r="IZ1" i="5"/>
  <c r="IJ1" i="5"/>
  <c r="HT1" i="5"/>
  <c r="HD1" i="5"/>
  <c r="GN1" i="5"/>
  <c r="FX1" i="5"/>
  <c r="FH1" i="5"/>
  <c r="ER1" i="5"/>
  <c r="EB1" i="5"/>
  <c r="DL1" i="5"/>
  <c r="CV1" i="5"/>
  <c r="CF1" i="5"/>
  <c r="BP1" i="5"/>
  <c r="AZ1" i="5"/>
  <c r="AJ1" i="5"/>
  <c r="T1" i="5"/>
  <c r="D1" i="5"/>
  <c r="LA4" i="5"/>
  <c r="GU4" i="5"/>
  <c r="EI4" i="5"/>
  <c r="BW4" i="5"/>
  <c r="K4" i="5"/>
  <c r="AKX3" i="5"/>
  <c r="AJP3" i="5"/>
  <c r="AHY3" i="5"/>
  <c r="AGQ3" i="5"/>
  <c r="AFI3" i="5"/>
  <c r="AEA3" i="5"/>
  <c r="ACK3" i="5"/>
  <c r="ABE3" i="5"/>
  <c r="ZY3" i="5"/>
  <c r="YS3" i="5"/>
  <c r="XM3" i="5"/>
  <c r="WG3" i="5"/>
  <c r="VA3" i="5"/>
  <c r="TU3" i="5"/>
  <c r="SO3" i="5"/>
  <c r="RI3" i="5"/>
  <c r="QC3" i="5"/>
  <c r="OW3" i="5"/>
  <c r="NR3" i="5"/>
  <c r="MU3" i="5"/>
  <c r="LQ3" i="5"/>
  <c r="KM3" i="5"/>
  <c r="JK3" i="5"/>
  <c r="IO3" i="5"/>
  <c r="HM3" i="5"/>
  <c r="GQ3" i="5"/>
  <c r="FO3" i="5"/>
  <c r="EM3" i="5"/>
  <c r="DQ3" i="5"/>
  <c r="CO3" i="5"/>
  <c r="BU3" i="5"/>
  <c r="AW3" i="5"/>
  <c r="AC3" i="5"/>
  <c r="I3" i="5"/>
  <c r="ALT2" i="5"/>
  <c r="ALA2" i="5"/>
  <c r="AKH2" i="5"/>
  <c r="AJO2" i="5"/>
  <c r="AIW2" i="5"/>
  <c r="AIG2" i="5"/>
  <c r="AHQ2" i="5"/>
  <c r="AHA2" i="5"/>
  <c r="AGK2" i="5"/>
  <c r="AFU2" i="5"/>
  <c r="AFE2" i="5"/>
  <c r="AEO2" i="5"/>
  <c r="ADY2" i="5"/>
  <c r="ADI2" i="5"/>
  <c r="ACS2" i="5"/>
  <c r="ACC2" i="5"/>
  <c r="ABM2" i="5"/>
  <c r="AAW2" i="5"/>
  <c r="AAG2" i="5"/>
  <c r="ZQ2" i="5"/>
  <c r="ZA2" i="5"/>
  <c r="YK2" i="5"/>
  <c r="XU2" i="5"/>
  <c r="XE2" i="5"/>
  <c r="WO2" i="5"/>
  <c r="VY2" i="5"/>
  <c r="VI2" i="5"/>
  <c r="US2" i="5"/>
  <c r="UC2" i="5"/>
  <c r="TM2" i="5"/>
  <c r="SW2" i="5"/>
  <c r="SG2" i="5"/>
  <c r="RQ2" i="5"/>
  <c r="RA2" i="5"/>
  <c r="QK2" i="5"/>
  <c r="PU2" i="5"/>
  <c r="PE2" i="5"/>
  <c r="OO2" i="5"/>
  <c r="NY2" i="5"/>
  <c r="NI2" i="5"/>
  <c r="MS2" i="5"/>
  <c r="MC2" i="5"/>
  <c r="LM2" i="5"/>
  <c r="KW2" i="5"/>
  <c r="KG2" i="5"/>
  <c r="JQ2" i="5"/>
  <c r="JA2" i="5"/>
  <c r="IK2" i="5"/>
  <c r="HU2" i="5"/>
  <c r="HE2" i="5"/>
  <c r="GO2" i="5"/>
  <c r="FY2" i="5"/>
  <c r="FI2" i="5"/>
  <c r="ES2" i="5"/>
  <c r="EC2" i="5"/>
  <c r="DM2" i="5"/>
  <c r="CW2" i="5"/>
  <c r="CG2" i="5"/>
  <c r="BQ2" i="5"/>
  <c r="BA2" i="5"/>
  <c r="AK2" i="5"/>
  <c r="U2" i="5"/>
  <c r="E2" i="5"/>
  <c r="ALW1" i="5"/>
  <c r="ALG1" i="5"/>
  <c r="AKQ1" i="5"/>
  <c r="AKA1" i="5"/>
  <c r="AJK1" i="5"/>
  <c r="AIU1" i="5"/>
  <c r="AIE1" i="5"/>
  <c r="AHO1" i="5"/>
  <c r="AGY1" i="5"/>
  <c r="AGI1" i="5"/>
  <c r="AFS1" i="5"/>
  <c r="AFC1" i="5"/>
  <c r="AEM1" i="5"/>
  <c r="ADW1" i="5"/>
  <c r="ADG1" i="5"/>
  <c r="ACQ1" i="5"/>
  <c r="ACA1" i="5"/>
  <c r="ABK1" i="5"/>
  <c r="AAU1" i="5"/>
  <c r="AAE1" i="5"/>
  <c r="ZO1" i="5"/>
  <c r="YY1" i="5"/>
  <c r="YI1" i="5"/>
  <c r="XS1" i="5"/>
  <c r="XC1" i="5"/>
  <c r="WM1" i="5"/>
  <c r="VW1" i="5"/>
  <c r="VG1" i="5"/>
  <c r="UQ1" i="5"/>
  <c r="UA1" i="5"/>
  <c r="TK1" i="5"/>
  <c r="SU1" i="5"/>
  <c r="SE1" i="5"/>
  <c r="RO1" i="5"/>
  <c r="QY1" i="5"/>
  <c r="QI1" i="5"/>
  <c r="PS1" i="5"/>
  <c r="PC1" i="5"/>
  <c r="OM1" i="5"/>
  <c r="NW1" i="5"/>
  <c r="NG1" i="5"/>
  <c r="MQ1" i="5"/>
  <c r="MA1" i="5"/>
  <c r="LK1" i="5"/>
  <c r="KU1" i="5"/>
  <c r="KE1" i="5"/>
  <c r="JO1" i="5"/>
  <c r="IY1" i="5"/>
  <c r="II1" i="5"/>
  <c r="HS1" i="5"/>
  <c r="HC1" i="5"/>
  <c r="GM1" i="5"/>
  <c r="FW1" i="5"/>
  <c r="FG1" i="5"/>
  <c r="EQ1" i="5"/>
  <c r="EA1" i="5"/>
  <c r="DK1" i="5"/>
  <c r="CU1" i="5"/>
  <c r="CE1" i="5"/>
  <c r="BO1" i="5"/>
  <c r="AY1" i="5"/>
  <c r="AI1" i="5"/>
  <c r="S1" i="5"/>
  <c r="C1" i="5"/>
  <c r="KK4" i="5"/>
  <c r="GT4" i="5"/>
  <c r="EH4" i="5"/>
  <c r="BV4" i="5"/>
  <c r="J4" i="5"/>
  <c r="AKW3" i="5"/>
  <c r="AJO3" i="5"/>
  <c r="AHX3" i="5"/>
  <c r="AGP3" i="5"/>
  <c r="AFH3" i="5"/>
  <c r="ADQ3" i="5"/>
  <c r="ACJ3" i="5"/>
  <c r="ABD3" i="5"/>
  <c r="ZX3" i="5"/>
  <c r="YR3" i="5"/>
  <c r="XL3" i="5"/>
  <c r="WF3" i="5"/>
  <c r="UZ3" i="5"/>
  <c r="TT3" i="5"/>
  <c r="SN3" i="5"/>
  <c r="RH3" i="5"/>
  <c r="QB3" i="5"/>
  <c r="OV3" i="5"/>
  <c r="NQ3" i="5"/>
  <c r="MN3" i="5"/>
  <c r="LP3" i="5"/>
  <c r="KL3" i="5"/>
  <c r="JJ3" i="5"/>
  <c r="IN3" i="5"/>
  <c r="HL3" i="5"/>
  <c r="GJ3" i="5"/>
  <c r="FN3" i="5"/>
  <c r="EL3" i="5"/>
  <c r="DP3" i="5"/>
  <c r="CN3" i="5"/>
  <c r="BT3" i="5"/>
  <c r="AV3" i="5"/>
  <c r="AB3" i="5"/>
  <c r="H3" i="5"/>
  <c r="ALS2" i="5"/>
  <c r="AKZ2" i="5"/>
  <c r="AKG2" i="5"/>
  <c r="AJN2" i="5"/>
  <c r="AIV2" i="5"/>
  <c r="AIF2" i="5"/>
  <c r="AHP2" i="5"/>
  <c r="AGZ2" i="5"/>
  <c r="AGJ2" i="5"/>
  <c r="AFT2" i="5"/>
  <c r="AFD2" i="5"/>
  <c r="AEN2" i="5"/>
  <c r="ADX2" i="5"/>
  <c r="ADH2" i="5"/>
  <c r="ACR2" i="5"/>
  <c r="ACB2" i="5"/>
  <c r="ABL2" i="5"/>
  <c r="AAV2" i="5"/>
  <c r="AAF2" i="5"/>
  <c r="ZP2" i="5"/>
  <c r="YZ2" i="5"/>
  <c r="YJ2" i="5"/>
  <c r="XT2" i="5"/>
  <c r="XD2" i="5"/>
  <c r="WN2" i="5"/>
  <c r="VX2" i="5"/>
  <c r="VH2" i="5"/>
  <c r="UR2" i="5"/>
  <c r="UB2" i="5"/>
  <c r="TL2" i="5"/>
  <c r="SV2" i="5"/>
  <c r="SF2" i="5"/>
  <c r="RP2" i="5"/>
  <c r="QZ2" i="5"/>
  <c r="QJ2" i="5"/>
  <c r="PT2" i="5"/>
  <c r="PD2" i="5"/>
  <c r="ON2" i="5"/>
  <c r="NX2" i="5"/>
  <c r="NH2" i="5"/>
  <c r="MR2" i="5"/>
  <c r="MB2" i="5"/>
  <c r="LL2" i="5"/>
  <c r="KV2" i="5"/>
  <c r="KF2" i="5"/>
  <c r="JP2" i="5"/>
  <c r="IZ2" i="5"/>
  <c r="IJ2" i="5"/>
  <c r="HT2" i="5"/>
  <c r="HD2" i="5"/>
  <c r="GN2" i="5"/>
  <c r="FX2" i="5"/>
  <c r="FH2" i="5"/>
  <c r="ER2" i="5"/>
  <c r="EB2" i="5"/>
  <c r="DL2" i="5"/>
  <c r="CV2" i="5"/>
  <c r="CF2" i="5"/>
  <c r="BP2" i="5"/>
  <c r="AZ2" i="5"/>
  <c r="AJ2" i="5"/>
  <c r="T2" i="5"/>
  <c r="D2" i="5"/>
  <c r="ALV1" i="5"/>
  <c r="ALF1" i="5"/>
  <c r="AKP1" i="5"/>
  <c r="AJZ1" i="5"/>
  <c r="AJJ1" i="5"/>
  <c r="AIT1" i="5"/>
  <c r="AID1" i="5"/>
  <c r="AHN1" i="5"/>
  <c r="AGX1" i="5"/>
  <c r="AGH1" i="5"/>
  <c r="AFR1" i="5"/>
  <c r="AFB1" i="5"/>
  <c r="AEL1" i="5"/>
  <c r="ADV1" i="5"/>
  <c r="ADF1" i="5"/>
  <c r="ACP1" i="5"/>
  <c r="ABZ1" i="5"/>
  <c r="ABJ1" i="5"/>
  <c r="AAT1" i="5"/>
  <c r="AAD1" i="5"/>
  <c r="ZN1" i="5"/>
  <c r="YX1" i="5"/>
  <c r="YH1" i="5"/>
  <c r="XR1" i="5"/>
  <c r="XB1" i="5"/>
  <c r="WL1" i="5"/>
  <c r="VV1" i="5"/>
  <c r="VF1" i="5"/>
  <c r="UP1" i="5"/>
  <c r="TZ1" i="5"/>
  <c r="TJ1" i="5"/>
  <c r="ST1" i="5"/>
  <c r="SD1" i="5"/>
  <c r="RN1" i="5"/>
  <c r="QX1" i="5"/>
  <c r="QH1" i="5"/>
  <c r="PR1" i="5"/>
  <c r="PB1" i="5"/>
  <c r="OL1" i="5"/>
  <c r="NV1" i="5"/>
  <c r="NF1" i="5"/>
  <c r="MP1" i="5"/>
  <c r="LZ1" i="5"/>
  <c r="LJ1" i="5"/>
  <c r="KT1" i="5"/>
  <c r="KD1" i="5"/>
  <c r="JN1" i="5"/>
  <c r="IX1" i="5"/>
  <c r="IH1" i="5"/>
  <c r="HR1" i="5"/>
  <c r="HB1" i="5"/>
  <c r="GL1" i="5"/>
  <c r="FV1" i="5"/>
  <c r="FF1" i="5"/>
  <c r="EP1" i="5"/>
  <c r="DZ1" i="5"/>
  <c r="DJ1" i="5"/>
  <c r="CT1" i="5"/>
  <c r="CD1" i="5"/>
  <c r="BN1" i="5"/>
  <c r="AX1" i="5"/>
  <c r="AH1" i="5"/>
  <c r="R1" i="5"/>
  <c r="B1" i="5"/>
  <c r="JX4" i="5"/>
  <c r="GS4" i="5"/>
  <c r="EG4" i="5"/>
  <c r="BU4" i="5"/>
  <c r="I4" i="5"/>
  <c r="AKV3" i="5"/>
  <c r="AJE3" i="5"/>
  <c r="AHW3" i="5"/>
  <c r="AGO3" i="5"/>
  <c r="AFG3" i="5"/>
  <c r="ADP3" i="5"/>
  <c r="ACI3" i="5"/>
  <c r="ABC3" i="5"/>
  <c r="ZW3" i="5"/>
  <c r="YQ3" i="5"/>
  <c r="XK3" i="5"/>
  <c r="WE3" i="5"/>
  <c r="UY3" i="5"/>
  <c r="TS3" i="5"/>
  <c r="SM3" i="5"/>
  <c r="RG3" i="5"/>
  <c r="QA3" i="5"/>
  <c r="OU3" i="5"/>
  <c r="NP3" i="5"/>
  <c r="ML3" i="5"/>
  <c r="LO3" i="5"/>
  <c r="KK3" i="5"/>
  <c r="JI3" i="5"/>
  <c r="IM3" i="5"/>
  <c r="HK3" i="5"/>
  <c r="GI3" i="5"/>
  <c r="FM3" i="5"/>
  <c r="EK3" i="5"/>
  <c r="DO3" i="5"/>
  <c r="CM3" i="5"/>
  <c r="BS3" i="5"/>
  <c r="AU3" i="5"/>
  <c r="AA3" i="5"/>
  <c r="G3" i="5"/>
  <c r="ALR2" i="5"/>
  <c r="AKY2" i="5"/>
  <c r="AKF2" i="5"/>
  <c r="AJM2" i="5"/>
  <c r="AIU2" i="5"/>
  <c r="AIE2" i="5"/>
  <c r="AHO2" i="5"/>
  <c r="AGY2" i="5"/>
  <c r="AGI2" i="5"/>
  <c r="AFS2" i="5"/>
  <c r="AFC2" i="5"/>
  <c r="AEM2" i="5"/>
  <c r="ADW2" i="5"/>
  <c r="ADG2" i="5"/>
  <c r="ACQ2" i="5"/>
  <c r="ACA2" i="5"/>
  <c r="ABK2" i="5"/>
  <c r="AAU2" i="5"/>
  <c r="AAE2" i="5"/>
  <c r="ZO2" i="5"/>
  <c r="YY2" i="5"/>
  <c r="YI2" i="5"/>
  <c r="XS2" i="5"/>
  <c r="XC2" i="5"/>
  <c r="WM2" i="5"/>
  <c r="VW2" i="5"/>
  <c r="VG2" i="5"/>
  <c r="UQ2" i="5"/>
  <c r="UA2" i="5"/>
  <c r="TK2" i="5"/>
  <c r="SU2" i="5"/>
  <c r="SE2" i="5"/>
  <c r="RO2" i="5"/>
  <c r="QY2" i="5"/>
  <c r="QI2" i="5"/>
  <c r="PS2" i="5"/>
  <c r="PC2" i="5"/>
  <c r="OM2" i="5"/>
  <c r="NW2" i="5"/>
  <c r="NG2" i="5"/>
  <c r="MQ2" i="5"/>
  <c r="MA2" i="5"/>
  <c r="LK2" i="5"/>
  <c r="KU2" i="5"/>
  <c r="KE2" i="5"/>
  <c r="JO2" i="5"/>
  <c r="IY2" i="5"/>
  <c r="II2" i="5"/>
  <c r="HS2" i="5"/>
  <c r="HC2" i="5"/>
  <c r="GM2" i="5"/>
  <c r="FW2" i="5"/>
  <c r="FG2" i="5"/>
  <c r="EQ2" i="5"/>
  <c r="EA2" i="5"/>
  <c r="DK2" i="5"/>
  <c r="CU2" i="5"/>
  <c r="CE2" i="5"/>
  <c r="BO2" i="5"/>
  <c r="AY2" i="5"/>
  <c r="AI2" i="5"/>
  <c r="S2" i="5"/>
  <c r="C2" i="5"/>
  <c r="ALU1" i="5"/>
  <c r="ALE1" i="5"/>
  <c r="AKO1" i="5"/>
  <c r="AJY1" i="5"/>
  <c r="AJI1" i="5"/>
  <c r="AIS1" i="5"/>
  <c r="AIC1" i="5"/>
  <c r="AHM1" i="5"/>
  <c r="AGW1" i="5"/>
  <c r="AGG1" i="5"/>
  <c r="AFQ1" i="5"/>
  <c r="AFA1" i="5"/>
  <c r="AEK1" i="5"/>
  <c r="ADU1" i="5"/>
  <c r="ADE1" i="5"/>
  <c r="ACO1" i="5"/>
  <c r="ABY1" i="5"/>
  <c r="ABI1" i="5"/>
  <c r="AAS1" i="5"/>
  <c r="AAC1" i="5"/>
  <c r="ZM1" i="5"/>
  <c r="YW1" i="5"/>
  <c r="YG1" i="5"/>
  <c r="XQ1" i="5"/>
  <c r="XA1" i="5"/>
  <c r="WK1" i="5"/>
  <c r="VU1" i="5"/>
  <c r="VE1" i="5"/>
  <c r="UO1" i="5"/>
  <c r="TY1" i="5"/>
  <c r="TI1" i="5"/>
  <c r="SS1" i="5"/>
  <c r="SC1" i="5"/>
  <c r="RM1" i="5"/>
  <c r="QW1" i="5"/>
  <c r="QG1" i="5"/>
  <c r="PQ1" i="5"/>
  <c r="PA1" i="5"/>
  <c r="OK1" i="5"/>
  <c r="NU1" i="5"/>
  <c r="NE1" i="5"/>
  <c r="MO1" i="5"/>
  <c r="LY1" i="5"/>
  <c r="LI1" i="5"/>
  <c r="KS1" i="5"/>
  <c r="KC1" i="5"/>
  <c r="JM1" i="5"/>
  <c r="IW1" i="5"/>
  <c r="IG1" i="5"/>
  <c r="HQ1" i="5"/>
  <c r="HA1" i="5"/>
  <c r="GK1" i="5"/>
  <c r="FU1" i="5"/>
  <c r="FE1" i="5"/>
  <c r="EO1" i="5"/>
  <c r="DY1" i="5"/>
  <c r="DI1" i="5"/>
  <c r="CS1" i="5"/>
  <c r="CC1" i="5"/>
  <c r="BM1" i="5"/>
  <c r="AW1" i="5"/>
  <c r="AG1" i="5"/>
  <c r="Q1" i="5"/>
  <c r="JU4" i="5"/>
  <c r="GF4" i="5"/>
  <c r="DT4" i="5"/>
  <c r="BH4" i="5"/>
  <c r="AME3" i="5"/>
  <c r="AKU3" i="5"/>
  <c r="AJD3" i="5"/>
  <c r="AHV3" i="5"/>
  <c r="AGN3" i="5"/>
  <c r="AEW3" i="5"/>
  <c r="ADO3" i="5"/>
  <c r="ACH3" i="5"/>
  <c r="ABB3" i="5"/>
  <c r="ZV3" i="5"/>
  <c r="YP3" i="5"/>
  <c r="XJ3" i="5"/>
  <c r="WD3" i="5"/>
  <c r="UX3" i="5"/>
  <c r="TR3" i="5"/>
  <c r="SL3" i="5"/>
  <c r="RF3" i="5"/>
  <c r="PZ3" i="5"/>
  <c r="OT3" i="5"/>
  <c r="NO3" i="5"/>
  <c r="MK3" i="5"/>
  <c r="LH3" i="5"/>
  <c r="KJ3" i="5"/>
  <c r="JH3" i="5"/>
  <c r="IF3" i="5"/>
  <c r="HJ3" i="5"/>
  <c r="GH3" i="5"/>
  <c r="FL3" i="5"/>
  <c r="EJ3" i="5"/>
  <c r="DH3" i="5"/>
  <c r="CL3" i="5"/>
  <c r="BN3" i="5"/>
  <c r="AT3" i="5"/>
  <c r="Z3" i="5"/>
  <c r="B3" i="5"/>
  <c r="ALQ2" i="5"/>
  <c r="AKX2" i="5"/>
  <c r="AKE2" i="5"/>
  <c r="AJK2" i="5"/>
  <c r="AIT2" i="5"/>
  <c r="AID2" i="5"/>
  <c r="AHN2" i="5"/>
  <c r="AGX2" i="5"/>
  <c r="AGH2" i="5"/>
  <c r="AFR2" i="5"/>
  <c r="AFB2" i="5"/>
  <c r="AEL2" i="5"/>
  <c r="ADV2" i="5"/>
  <c r="ADF2" i="5"/>
  <c r="ACP2" i="5"/>
  <c r="ABZ2" i="5"/>
  <c r="ABJ2" i="5"/>
  <c r="AAT2" i="5"/>
  <c r="AAD2" i="5"/>
  <c r="ZN2" i="5"/>
  <c r="YX2" i="5"/>
  <c r="YH2" i="5"/>
  <c r="XR2" i="5"/>
  <c r="XB2" i="5"/>
  <c r="WL2" i="5"/>
  <c r="VV2" i="5"/>
  <c r="VF2" i="5"/>
  <c r="UP2" i="5"/>
  <c r="TZ2" i="5"/>
  <c r="TJ2" i="5"/>
  <c r="ST2" i="5"/>
  <c r="SD2" i="5"/>
  <c r="RN2" i="5"/>
  <c r="QX2" i="5"/>
  <c r="QH2" i="5"/>
  <c r="PR2" i="5"/>
  <c r="PB2" i="5"/>
  <c r="OL2" i="5"/>
  <c r="NV2" i="5"/>
  <c r="NF2" i="5"/>
  <c r="MP2" i="5"/>
  <c r="LZ2" i="5"/>
  <c r="LJ2" i="5"/>
  <c r="KT2" i="5"/>
  <c r="KD2" i="5"/>
  <c r="JN2" i="5"/>
  <c r="IX2" i="5"/>
  <c r="IH2" i="5"/>
  <c r="HR2" i="5"/>
  <c r="HB2" i="5"/>
  <c r="GL2" i="5"/>
  <c r="FV2" i="5"/>
  <c r="FF2" i="5"/>
  <c r="EP2" i="5"/>
  <c r="DZ2" i="5"/>
  <c r="DJ2" i="5"/>
  <c r="CT2" i="5"/>
  <c r="CD2" i="5"/>
  <c r="BN2" i="5"/>
  <c r="AX2" i="5"/>
  <c r="AH2" i="5"/>
  <c r="R2" i="5"/>
  <c r="B2" i="5"/>
  <c r="ALT1" i="5"/>
  <c r="ALD1" i="5"/>
  <c r="AKN1" i="5"/>
  <c r="AJX1" i="5"/>
  <c r="AJH1" i="5"/>
  <c r="AIR1" i="5"/>
  <c r="AIB1" i="5"/>
  <c r="AHL1" i="5"/>
  <c r="AGV1" i="5"/>
  <c r="AGF1" i="5"/>
  <c r="AFP1" i="5"/>
  <c r="AEZ1" i="5"/>
  <c r="AEJ1" i="5"/>
  <c r="ADT1" i="5"/>
  <c r="ADD1" i="5"/>
  <c r="ACN1" i="5"/>
  <c r="ABX1" i="5"/>
  <c r="ABH1" i="5"/>
  <c r="AAR1" i="5"/>
  <c r="AAB1" i="5"/>
  <c r="ZL1" i="5"/>
  <c r="YV1" i="5"/>
  <c r="YF1" i="5"/>
  <c r="XP1" i="5"/>
  <c r="WZ1" i="5"/>
  <c r="WJ1" i="5"/>
  <c r="VT1" i="5"/>
  <c r="VD1" i="5"/>
  <c r="UN1" i="5"/>
  <c r="TX1" i="5"/>
  <c r="TH1" i="5"/>
  <c r="SR1" i="5"/>
  <c r="SB1" i="5"/>
  <c r="RL1" i="5"/>
  <c r="QV1" i="5"/>
  <c r="QF1" i="5"/>
  <c r="PP1" i="5"/>
  <c r="OZ1" i="5"/>
  <c r="OJ1" i="5"/>
  <c r="NT1" i="5"/>
  <c r="ND1" i="5"/>
  <c r="MN1" i="5"/>
  <c r="LX1" i="5"/>
  <c r="LH1" i="5"/>
  <c r="KR1" i="5"/>
  <c r="KB1" i="5"/>
  <c r="JL1" i="5"/>
  <c r="IV1" i="5"/>
  <c r="IF1" i="5"/>
  <c r="HP1" i="5"/>
  <c r="GZ1" i="5"/>
  <c r="GJ1" i="5"/>
  <c r="FT1" i="5"/>
  <c r="FD1" i="5"/>
  <c r="EN1" i="5"/>
  <c r="DX1" i="5"/>
  <c r="DH1" i="5"/>
  <c r="CR1" i="5"/>
  <c r="CB1" i="5"/>
  <c r="BL1" i="5"/>
  <c r="AV1" i="5"/>
  <c r="AF1" i="5"/>
  <c r="P1" i="5"/>
  <c r="A1" i="5"/>
  <c r="JH4" i="5"/>
  <c r="GE4" i="5"/>
  <c r="DS4" i="5"/>
  <c r="BG4" i="5"/>
  <c r="AMD3" i="5"/>
  <c r="AKK3" i="5"/>
  <c r="AJC3" i="5"/>
  <c r="AHU3" i="5"/>
  <c r="AGM3" i="5"/>
  <c r="AEV3" i="5"/>
  <c r="ADN3" i="5"/>
  <c r="ACG3" i="5"/>
  <c r="ABA3" i="5"/>
  <c r="ZU3" i="5"/>
  <c r="YO3" i="5"/>
  <c r="XI3" i="5"/>
  <c r="WC3" i="5"/>
  <c r="UW3" i="5"/>
  <c r="TQ3" i="5"/>
  <c r="SK3" i="5"/>
  <c r="RE3" i="5"/>
  <c r="PY3" i="5"/>
  <c r="OS3" i="5"/>
  <c r="NN3" i="5"/>
  <c r="MJ3" i="5"/>
  <c r="LF3" i="5"/>
  <c r="KI3" i="5"/>
  <c r="JG3" i="5"/>
  <c r="IE3" i="5"/>
  <c r="HI3" i="5"/>
  <c r="GG3" i="5"/>
  <c r="FK3" i="5"/>
  <c r="EI3" i="5"/>
  <c r="DG3" i="5"/>
  <c r="CK3" i="5"/>
  <c r="BM3" i="5"/>
  <c r="AS3" i="5"/>
  <c r="Y3" i="5"/>
  <c r="A3" i="5"/>
  <c r="ALP2" i="5"/>
  <c r="AKW2" i="5"/>
  <c r="AKD2" i="5"/>
  <c r="AJI2" i="5"/>
  <c r="AIS2" i="5"/>
  <c r="AIC2" i="5"/>
  <c r="AHM2" i="5"/>
  <c r="AGW2" i="5"/>
  <c r="AGG2" i="5"/>
  <c r="AFQ2" i="5"/>
  <c r="AFA2" i="5"/>
  <c r="AEK2" i="5"/>
  <c r="ADU2" i="5"/>
  <c r="ADE2" i="5"/>
  <c r="ACO2" i="5"/>
  <c r="ABY2" i="5"/>
  <c r="ABI2" i="5"/>
  <c r="AAS2" i="5"/>
  <c r="AAC2" i="5"/>
  <c r="ZM2" i="5"/>
  <c r="YW2" i="5"/>
  <c r="YG2" i="5"/>
  <c r="XQ2" i="5"/>
  <c r="XA2" i="5"/>
  <c r="WK2" i="5"/>
  <c r="VU2" i="5"/>
  <c r="VE2" i="5"/>
  <c r="UO2" i="5"/>
  <c r="TY2" i="5"/>
  <c r="TI2" i="5"/>
  <c r="SS2" i="5"/>
  <c r="SC2" i="5"/>
  <c r="RM2" i="5"/>
  <c r="QW2" i="5"/>
  <c r="QG2" i="5"/>
  <c r="PQ2" i="5"/>
  <c r="PA2" i="5"/>
  <c r="OK2" i="5"/>
  <c r="NU2" i="5"/>
  <c r="NE2" i="5"/>
  <c r="MO2" i="5"/>
  <c r="LY2" i="5"/>
  <c r="LI2" i="5"/>
  <c r="KS2" i="5"/>
  <c r="KC2" i="5"/>
  <c r="JM2" i="5"/>
  <c r="IW2" i="5"/>
  <c r="IG2" i="5"/>
  <c r="HQ2" i="5"/>
  <c r="HA2" i="5"/>
  <c r="GK2" i="5"/>
  <c r="FU2" i="5"/>
  <c r="FE2" i="5"/>
  <c r="EO2" i="5"/>
  <c r="DY2" i="5"/>
  <c r="DI2" i="5"/>
  <c r="CS2" i="5"/>
  <c r="CC2" i="5"/>
  <c r="BM2" i="5"/>
  <c r="AW2" i="5"/>
  <c r="AG2" i="5"/>
  <c r="Q2" i="5"/>
  <c r="A2" i="5"/>
  <c r="ALS1" i="5"/>
  <c r="ALC1" i="5"/>
  <c r="AKM1" i="5"/>
  <c r="AJW1" i="5"/>
  <c r="AJG1" i="5"/>
  <c r="AIQ1" i="5"/>
  <c r="AIA1" i="5"/>
  <c r="AHK1" i="5"/>
  <c r="AGU1" i="5"/>
  <c r="AGE1" i="5"/>
  <c r="AFO1" i="5"/>
  <c r="AEY1" i="5"/>
  <c r="AEI1" i="5"/>
  <c r="ADS1" i="5"/>
  <c r="ADC1" i="5"/>
  <c r="ACM1" i="5"/>
  <c r="ABW1" i="5"/>
  <c r="ABG1" i="5"/>
  <c r="AAQ1" i="5"/>
  <c r="AAA1" i="5"/>
  <c r="ZK1" i="5"/>
  <c r="YU1" i="5"/>
  <c r="YE1" i="5"/>
  <c r="XO1" i="5"/>
  <c r="WY1" i="5"/>
  <c r="WI1" i="5"/>
  <c r="VS1" i="5"/>
  <c r="VC1" i="5"/>
  <c r="UM1" i="5"/>
  <c r="TW1" i="5"/>
  <c r="TG1" i="5"/>
  <c r="SQ1" i="5"/>
  <c r="SA1" i="5"/>
  <c r="RK1" i="5"/>
  <c r="QU1" i="5"/>
  <c r="QE1" i="5"/>
  <c r="PO1" i="5"/>
  <c r="OY1" i="5"/>
  <c r="OI1" i="5"/>
  <c r="NS1" i="5"/>
  <c r="NC1" i="5"/>
  <c r="MM1" i="5"/>
  <c r="LW1" i="5"/>
  <c r="LG1" i="5"/>
  <c r="KQ1" i="5"/>
  <c r="KA1" i="5"/>
  <c r="JK1" i="5"/>
  <c r="IU1" i="5"/>
  <c r="IE1" i="5"/>
  <c r="HO1" i="5"/>
  <c r="GY1" i="5"/>
  <c r="GI1" i="5"/>
  <c r="FS1" i="5"/>
  <c r="FC1" i="5"/>
  <c r="EM1" i="5"/>
  <c r="DW1" i="5"/>
  <c r="DG1" i="5"/>
  <c r="CQ1" i="5"/>
  <c r="CA1" i="5"/>
  <c r="BK1" i="5"/>
  <c r="AU1" i="5"/>
  <c r="AE1" i="5"/>
  <c r="O1" i="5"/>
  <c r="JE4" i="5"/>
  <c r="GD4" i="5"/>
  <c r="DR4" i="5"/>
  <c r="BF4" i="5"/>
  <c r="AMC3" i="5"/>
  <c r="AKJ3" i="5"/>
  <c r="AJB3" i="5"/>
  <c r="AHT3" i="5"/>
  <c r="AGC3" i="5"/>
  <c r="AEU3" i="5"/>
  <c r="ADM3" i="5"/>
  <c r="ACF3" i="5"/>
  <c r="AAZ3" i="5"/>
  <c r="ZT3" i="5"/>
  <c r="YN3" i="5"/>
  <c r="XH3" i="5"/>
  <c r="WB3" i="5"/>
  <c r="UV3" i="5"/>
  <c r="TP3" i="5"/>
  <c r="SJ3" i="5"/>
  <c r="RD3" i="5"/>
  <c r="PX3" i="5"/>
  <c r="OR3" i="5"/>
  <c r="NM3" i="5"/>
  <c r="MI3" i="5"/>
  <c r="LE3" i="5"/>
  <c r="KB3" i="5"/>
  <c r="JF3" i="5"/>
  <c r="ID3" i="5"/>
  <c r="HH3" i="5"/>
  <c r="GF3" i="5"/>
  <c r="FD3" i="5"/>
  <c r="EH3" i="5"/>
  <c r="DF3" i="5"/>
  <c r="CJ3" i="5"/>
  <c r="BL3" i="5"/>
  <c r="AR3" i="5"/>
  <c r="X3" i="5"/>
  <c r="AMH2" i="5"/>
  <c r="ALO2" i="5"/>
  <c r="AKV2" i="5"/>
  <c r="AKC2" i="5"/>
  <c r="AJH2" i="5"/>
  <c r="AIR2" i="5"/>
  <c r="AIB2" i="5"/>
  <c r="AHL2" i="5"/>
  <c r="AGV2" i="5"/>
  <c r="AGF2" i="5"/>
  <c r="AFP2" i="5"/>
  <c r="AEZ2" i="5"/>
  <c r="AEJ2" i="5"/>
  <c r="ADT2" i="5"/>
  <c r="ADD2" i="5"/>
  <c r="ACN2" i="5"/>
  <c r="ABX2" i="5"/>
  <c r="ABH2" i="5"/>
  <c r="AAR2" i="5"/>
  <c r="AAB2" i="5"/>
  <c r="ZL2" i="5"/>
  <c r="YV2" i="5"/>
  <c r="YF2" i="5"/>
  <c r="XP2" i="5"/>
  <c r="WZ2" i="5"/>
  <c r="WJ2" i="5"/>
  <c r="VT2" i="5"/>
  <c r="VD2" i="5"/>
  <c r="UN2" i="5"/>
  <c r="TX2" i="5"/>
  <c r="TH2" i="5"/>
  <c r="SR2" i="5"/>
  <c r="SB2" i="5"/>
  <c r="RL2" i="5"/>
  <c r="QV2" i="5"/>
  <c r="QF2" i="5"/>
  <c r="PP2" i="5"/>
  <c r="OZ2" i="5"/>
  <c r="OJ2" i="5"/>
  <c r="NT2" i="5"/>
  <c r="ND2" i="5"/>
  <c r="MN2" i="5"/>
  <c r="LX2" i="5"/>
  <c r="LH2" i="5"/>
  <c r="KR2" i="5"/>
  <c r="KB2" i="5"/>
  <c r="JL2" i="5"/>
  <c r="IV2" i="5"/>
  <c r="IF2" i="5"/>
  <c r="HP2" i="5"/>
  <c r="GZ2" i="5"/>
  <c r="GJ2" i="5"/>
  <c r="FT2" i="5"/>
  <c r="FD2" i="5"/>
  <c r="EN2" i="5"/>
  <c r="DX2" i="5"/>
  <c r="DH2" i="5"/>
  <c r="CR2" i="5"/>
  <c r="CB2" i="5"/>
  <c r="BL2" i="5"/>
  <c r="AV2" i="5"/>
  <c r="AF2" i="5"/>
  <c r="P2" i="5"/>
  <c r="AMH1" i="5"/>
  <c r="ALR1" i="5"/>
  <c r="ALB1" i="5"/>
  <c r="AKL1" i="5"/>
  <c r="AJV1" i="5"/>
  <c r="AJF1" i="5"/>
  <c r="AIP1" i="5"/>
  <c r="AHZ1" i="5"/>
  <c r="AHJ1" i="5"/>
  <c r="AGT1" i="5"/>
  <c r="AGD1" i="5"/>
  <c r="AFN1" i="5"/>
  <c r="AEX1" i="5"/>
  <c r="AEH1" i="5"/>
  <c r="ADR1" i="5"/>
  <c r="ADB1" i="5"/>
  <c r="ACL1" i="5"/>
  <c r="ABV1" i="5"/>
  <c r="ABF1" i="5"/>
  <c r="AAP1" i="5"/>
  <c r="ZZ1" i="5"/>
  <c r="ZJ1" i="5"/>
  <c r="YT1" i="5"/>
  <c r="YD1" i="5"/>
  <c r="XN1" i="5"/>
  <c r="WX1" i="5"/>
  <c r="WH1" i="5"/>
  <c r="VR1" i="5"/>
  <c r="VB1" i="5"/>
  <c r="UL1" i="5"/>
  <c r="TV1" i="5"/>
  <c r="TF1" i="5"/>
  <c r="SP1" i="5"/>
  <c r="RZ1" i="5"/>
  <c r="RJ1" i="5"/>
  <c r="QT1" i="5"/>
  <c r="QD1" i="5"/>
  <c r="PN1" i="5"/>
  <c r="OX1" i="5"/>
  <c r="OH1" i="5"/>
  <c r="NR1" i="5"/>
  <c r="NB1" i="5"/>
  <c r="ML1" i="5"/>
  <c r="LV1" i="5"/>
  <c r="LF1" i="5"/>
  <c r="KP1" i="5"/>
  <c r="JZ1" i="5"/>
  <c r="JJ1" i="5"/>
  <c r="IT1" i="5"/>
  <c r="ID1" i="5"/>
  <c r="HN1" i="5"/>
  <c r="GX1" i="5"/>
  <c r="GH1" i="5"/>
  <c r="FR1" i="5"/>
  <c r="FB1" i="5"/>
  <c r="EL1" i="5"/>
  <c r="DV1" i="5"/>
  <c r="DF1" i="5"/>
  <c r="CP1" i="5"/>
  <c r="BZ1" i="5"/>
  <c r="BJ1" i="5"/>
  <c r="AT1" i="5"/>
  <c r="AD1" i="5"/>
  <c r="N1" i="5"/>
  <c r="IR4" i="5"/>
  <c r="GC4" i="5"/>
  <c r="DQ4" i="5"/>
  <c r="BE4" i="5"/>
  <c r="AMB3" i="5"/>
  <c r="AKI3" i="5"/>
  <c r="AJA3" i="5"/>
  <c r="AHS3" i="5"/>
  <c r="AGB3" i="5"/>
  <c r="AET3" i="5"/>
  <c r="ADL3" i="5"/>
  <c r="ACE3" i="5"/>
  <c r="AAY3" i="5"/>
  <c r="ZS3" i="5"/>
  <c r="YM3" i="5"/>
  <c r="XG3" i="5"/>
  <c r="WA3" i="5"/>
  <c r="UU3" i="5"/>
  <c r="TO3" i="5"/>
  <c r="SI3" i="5"/>
  <c r="RC3" i="5"/>
  <c r="PW3" i="5"/>
  <c r="OQ3" i="5"/>
  <c r="NL3" i="5"/>
  <c r="MH3" i="5"/>
  <c r="LD3" i="5"/>
  <c r="KA3" i="5"/>
  <c r="JE3" i="5"/>
  <c r="IC3" i="5"/>
  <c r="HG3" i="5"/>
  <c r="GE3" i="5"/>
  <c r="FC3" i="5"/>
  <c r="EG3" i="5"/>
  <c r="DE3" i="5"/>
  <c r="CI3" i="5"/>
  <c r="BK3" i="5"/>
  <c r="AQ3" i="5"/>
  <c r="W3" i="5"/>
  <c r="AMG2" i="5"/>
  <c r="ALN2" i="5"/>
  <c r="AKU2" i="5"/>
  <c r="AJY2" i="5"/>
  <c r="AJG2" i="5"/>
  <c r="AIQ2" i="5"/>
  <c r="AIA2" i="5"/>
  <c r="AHK2" i="5"/>
  <c r="AGU2" i="5"/>
  <c r="AGE2" i="5"/>
  <c r="AFO2" i="5"/>
  <c r="AEY2" i="5"/>
  <c r="AEI2" i="5"/>
  <c r="ADS2" i="5"/>
  <c r="ADC2" i="5"/>
  <c r="ACM2" i="5"/>
  <c r="ABW2" i="5"/>
  <c r="ABG2" i="5"/>
  <c r="AAQ2" i="5"/>
  <c r="AAA2" i="5"/>
  <c r="ZK2" i="5"/>
  <c r="YU2" i="5"/>
  <c r="YE2" i="5"/>
  <c r="XO2" i="5"/>
  <c r="WY2" i="5"/>
  <c r="WI2" i="5"/>
  <c r="VS2" i="5"/>
  <c r="VC2" i="5"/>
  <c r="UM2" i="5"/>
  <c r="TW2" i="5"/>
  <c r="TG2" i="5"/>
  <c r="SQ2" i="5"/>
  <c r="SA2" i="5"/>
  <c r="RK2" i="5"/>
  <c r="QU2" i="5"/>
  <c r="QE2" i="5"/>
  <c r="PO2" i="5"/>
  <c r="OY2" i="5"/>
  <c r="OI2" i="5"/>
  <c r="NS2" i="5"/>
  <c r="NC2" i="5"/>
  <c r="MM2" i="5"/>
  <c r="LW2" i="5"/>
  <c r="LG2" i="5"/>
  <c r="KQ2" i="5"/>
  <c r="KA2" i="5"/>
  <c r="JK2" i="5"/>
  <c r="IU2" i="5"/>
  <c r="IE2" i="5"/>
  <c r="HO2" i="5"/>
  <c r="GY2" i="5"/>
  <c r="GI2" i="5"/>
  <c r="FS2" i="5"/>
  <c r="FC2" i="5"/>
  <c r="EM2" i="5"/>
  <c r="DW2" i="5"/>
  <c r="DG2" i="5"/>
  <c r="CQ2" i="5"/>
  <c r="CA2" i="5"/>
  <c r="BK2" i="5"/>
  <c r="AU2" i="5"/>
  <c r="AE2" i="5"/>
  <c r="O2" i="5"/>
  <c r="AMG1" i="5"/>
  <c r="ALQ1" i="5"/>
  <c r="ALA1" i="5"/>
  <c r="AKK1" i="5"/>
  <c r="AJU1" i="5"/>
  <c r="AJE1" i="5"/>
  <c r="AIO1" i="5"/>
  <c r="AHY1" i="5"/>
  <c r="AHI1" i="5"/>
  <c r="AGS1" i="5"/>
  <c r="AGC1" i="5"/>
  <c r="AFM1" i="5"/>
  <c r="AEW1" i="5"/>
  <c r="AEG1" i="5"/>
  <c r="ADQ1" i="5"/>
  <c r="ADA1" i="5"/>
  <c r="ACK1" i="5"/>
  <c r="ABU1" i="5"/>
  <c r="ABE1" i="5"/>
  <c r="AAO1" i="5"/>
  <c r="ZY1" i="5"/>
  <c r="ZI1" i="5"/>
  <c r="YS1" i="5"/>
  <c r="YC1" i="5"/>
  <c r="XM1" i="5"/>
  <c r="WW1" i="5"/>
  <c r="WG1" i="5"/>
  <c r="VQ1" i="5"/>
  <c r="VA1" i="5"/>
  <c r="UK1" i="5"/>
  <c r="TU1" i="5"/>
  <c r="TE1" i="5"/>
  <c r="SO1" i="5"/>
  <c r="RY1" i="5"/>
  <c r="RI1" i="5"/>
  <c r="QS1" i="5"/>
  <c r="QC1" i="5"/>
  <c r="PM1" i="5"/>
  <c r="OW1" i="5"/>
  <c r="OG1" i="5"/>
  <c r="NQ1" i="5"/>
  <c r="NA1" i="5"/>
  <c r="MK1" i="5"/>
  <c r="LU1" i="5"/>
  <c r="LE1" i="5"/>
  <c r="KO1" i="5"/>
  <c r="JY1" i="5"/>
  <c r="JI1" i="5"/>
  <c r="IS1" i="5"/>
  <c r="IC1" i="5"/>
  <c r="HM1" i="5"/>
  <c r="GW1" i="5"/>
  <c r="GG1" i="5"/>
  <c r="FQ1" i="5"/>
  <c r="FA1" i="5"/>
  <c r="EK1" i="5"/>
  <c r="DU1" i="5"/>
  <c r="DE1" i="5"/>
  <c r="CO1" i="5"/>
  <c r="BY1" i="5"/>
  <c r="BI1" i="5"/>
  <c r="AS1" i="5"/>
  <c r="AC1" i="5"/>
  <c r="M1" i="5"/>
  <c r="Q1" i="2"/>
  <c r="B1" i="2"/>
  <c r="R1" i="2"/>
  <c r="C1" i="2"/>
  <c r="S1" i="2"/>
  <c r="D1" i="2"/>
  <c r="T1" i="2"/>
  <c r="F1" i="2"/>
  <c r="V1" i="2"/>
  <c r="G1" i="2"/>
  <c r="W1" i="2"/>
  <c r="H1" i="2"/>
  <c r="X1" i="2"/>
  <c r="E1" i="2"/>
  <c r="U1" i="2"/>
  <c r="I1" i="2"/>
  <c r="Y1" i="2"/>
  <c r="J1" i="2"/>
  <c r="Z1" i="2"/>
  <c r="K1" i="2"/>
  <c r="AA1" i="2"/>
  <c r="L1" i="2"/>
  <c r="AB1" i="2"/>
  <c r="M1" i="2"/>
  <c r="AC1" i="2"/>
  <c r="N1" i="2"/>
  <c r="AD1" i="2"/>
  <c r="O1" i="2"/>
  <c r="AE1" i="2"/>
  <c r="A1" i="2"/>
  <c r="P1" i="2"/>
  <c r="ZN27" i="5" l="1"/>
  <c r="FI28" i="5"/>
  <c r="AGI25" i="5"/>
  <c r="FY26" i="5"/>
  <c r="SG26" i="5"/>
  <c r="AFU26" i="5"/>
  <c r="GE27" i="5"/>
  <c r="ACF27" i="5"/>
  <c r="ADX25" i="5"/>
  <c r="DN26" i="5"/>
  <c r="QL26" i="5"/>
  <c r="ACT26" i="5"/>
  <c r="DV27" i="5"/>
  <c r="YO27" i="5"/>
  <c r="YK25" i="5"/>
  <c r="ALY25" i="5"/>
  <c r="KY26" i="5"/>
  <c r="XW26" i="5"/>
  <c r="ALK26" i="5"/>
  <c r="PB27" i="5"/>
  <c r="EC28" i="5"/>
  <c r="PF25" i="5"/>
  <c r="ACT25" i="5"/>
  <c r="BT26" i="5"/>
  <c r="OB26" i="5"/>
  <c r="ACF26" i="5"/>
  <c r="BS27" i="5"/>
  <c r="VG27" i="5"/>
  <c r="ME25" i="5"/>
  <c r="ZS25" i="5"/>
  <c r="AMA25" i="5"/>
  <c r="LA26" i="5"/>
  <c r="ZE26" i="5"/>
  <c r="ALM26" i="5"/>
  <c r="PD27" i="5"/>
  <c r="KJ25" i="5"/>
  <c r="YN25" i="5"/>
  <c r="XJ26" i="5"/>
  <c r="AAG27" i="5"/>
  <c r="PK26" i="5"/>
  <c r="KD27" i="5"/>
  <c r="WD25" i="5"/>
  <c r="ABD26" i="5"/>
  <c r="YQ25" i="5"/>
  <c r="AJR24" i="5"/>
  <c r="DV25" i="5"/>
  <c r="AFE22" i="5"/>
  <c r="EE23" i="5"/>
  <c r="QM23" i="5"/>
  <c r="AEQ23" i="5"/>
  <c r="DQ24" i="5"/>
  <c r="RP24" i="5"/>
  <c r="AK25" i="5"/>
  <c r="AHO25" i="5"/>
  <c r="GO26" i="5"/>
  <c r="SW26" i="5"/>
  <c r="AGK26" i="5"/>
  <c r="HC27" i="5"/>
  <c r="ADL27" i="5"/>
  <c r="AFD25" i="5"/>
  <c r="ED26" i="5"/>
  <c r="RB26" i="5"/>
  <c r="ADZ26" i="5"/>
  <c r="ER27" i="5"/>
  <c r="ABA27" i="5"/>
  <c r="ZA25" i="5"/>
  <c r="G26" i="5"/>
  <c r="LO26" i="5"/>
  <c r="YM26" i="5"/>
  <c r="AMA26" i="5"/>
  <c r="QH27" i="5"/>
  <c r="GO28" i="5"/>
  <c r="QL25" i="5"/>
  <c r="ADJ25" i="5"/>
  <c r="CJ26" i="5"/>
  <c r="PH26" i="5"/>
  <c r="ACV26" i="5"/>
  <c r="CL27" i="5"/>
  <c r="WM27" i="5"/>
  <c r="OA25" i="5"/>
  <c r="AAI25" i="5"/>
  <c r="I26" i="5"/>
  <c r="NM26" i="5"/>
  <c r="ZU26" i="5"/>
  <c r="AMC26" i="5"/>
  <c r="QJ27" i="5"/>
  <c r="KZ25" i="5"/>
  <c r="AAZ25" i="5"/>
  <c r="XZ26" i="5"/>
  <c r="ABM27" i="5"/>
  <c r="RW26" i="5"/>
  <c r="LZ27" i="5"/>
  <c r="ABB25" i="5"/>
  <c r="ACJ26" i="5"/>
  <c r="ZW25" i="5"/>
  <c r="EZ25" i="5"/>
  <c r="FR25" i="5"/>
  <c r="L27" i="5"/>
  <c r="SV27" i="5"/>
  <c r="LP25" i="5"/>
  <c r="AHT25" i="5"/>
  <c r="YP26" i="5"/>
  <c r="ADY27" i="5"/>
  <c r="SM26" i="5"/>
  <c r="MV27" i="5"/>
  <c r="ACH25" i="5"/>
  <c r="ACZ26" i="5"/>
  <c r="AAM25" i="5"/>
  <c r="GF25" i="5"/>
  <c r="DG25" i="5"/>
  <c r="ABM25" i="5"/>
  <c r="AM26" i="5"/>
  <c r="NK26" i="5"/>
  <c r="AAI26" i="5"/>
  <c r="AC27" i="5"/>
  <c r="ST27" i="5"/>
  <c r="ET25" i="5"/>
  <c r="SH25" i="5"/>
  <c r="AEP25" i="5"/>
  <c r="EF26" i="5"/>
  <c r="RT26" i="5"/>
  <c r="AEB26" i="5"/>
  <c r="ET27" i="5"/>
  <c r="ABK27" i="5"/>
  <c r="PG25" i="5"/>
  <c r="ABO25" i="5"/>
  <c r="BE26" i="5"/>
  <c r="OS26" i="5"/>
  <c r="ABA26" i="5"/>
  <c r="AH27" i="5"/>
  <c r="VH27" i="5"/>
  <c r="MF25" i="5"/>
  <c r="AJP25" i="5"/>
  <c r="ZV26" i="5"/>
  <c r="ABA25" i="5"/>
  <c r="TC26" i="5"/>
  <c r="VJ27" i="5"/>
  <c r="ACX25" i="5"/>
  <c r="ADP26" i="5"/>
  <c r="AEE25" i="5"/>
  <c r="OV25" i="5"/>
  <c r="AIQ25" i="5"/>
  <c r="DQ27" i="5"/>
  <c r="QK25" i="5"/>
  <c r="VW21" i="5"/>
  <c r="AIE21" i="5"/>
  <c r="HU22" i="5"/>
  <c r="VY22" i="5"/>
  <c r="AIG22" i="5"/>
  <c r="HG23" i="5"/>
  <c r="UU23" i="5"/>
  <c r="AHC23" i="5"/>
  <c r="GC24" i="5"/>
  <c r="XY24" i="5"/>
  <c r="IJ25" i="5"/>
  <c r="AKA25" i="5"/>
  <c r="JA26" i="5"/>
  <c r="WO26" i="5"/>
  <c r="AIW26" i="5"/>
  <c r="KO27" i="5"/>
  <c r="H28" i="5"/>
  <c r="AIF25" i="5"/>
  <c r="HV26" i="5"/>
  <c r="VJ26" i="5"/>
  <c r="AHR26" i="5"/>
  <c r="IY27" i="5"/>
  <c r="AGI27" i="5"/>
  <c r="ACS25" i="5"/>
  <c r="CI26" i="5"/>
  <c r="OQ26" i="5"/>
  <c r="ACE26" i="5"/>
  <c r="BR27" i="5"/>
  <c r="VF27" i="5"/>
  <c r="GP25" i="5"/>
  <c r="TN25" i="5"/>
  <c r="AGL25" i="5"/>
  <c r="FL26" i="5"/>
  <c r="TP26" i="5"/>
  <c r="AFX26" i="5"/>
  <c r="GL27" i="5"/>
  <c r="AFC27" i="5"/>
  <c r="QM25" i="5"/>
  <c r="ADK25" i="5"/>
  <c r="DQ26" i="5"/>
  <c r="PY26" i="5"/>
  <c r="ACG26" i="5"/>
  <c r="BT27" i="5"/>
  <c r="XT27" i="5"/>
  <c r="OR25" i="5"/>
  <c r="AKV25" i="5"/>
  <c r="AHV26" i="5"/>
  <c r="ACG25" i="5"/>
  <c r="YQ26" i="5"/>
  <c r="HF28" i="5"/>
  <c r="AET25" i="5"/>
  <c r="AGB26" i="5"/>
  <c r="HM26" i="5"/>
  <c r="AIN25" i="5"/>
  <c r="AHN26" i="5"/>
  <c r="HW23" i="5"/>
  <c r="VK23" i="5"/>
  <c r="AHS23" i="5"/>
  <c r="GS24" i="5"/>
  <c r="ZC24" i="5"/>
  <c r="JT25" i="5"/>
  <c r="AKQ25" i="5"/>
  <c r="KG26" i="5"/>
  <c r="XE26" i="5"/>
  <c r="AJM26" i="5"/>
  <c r="LN27" i="5"/>
  <c r="DS28" i="5"/>
  <c r="AJL25" i="5"/>
  <c r="IL26" i="5"/>
  <c r="VZ26" i="5"/>
  <c r="AIH26" i="5"/>
  <c r="JT27" i="5"/>
  <c r="AIY27" i="5"/>
  <c r="ADY25" i="5"/>
  <c r="CY26" i="5"/>
  <c r="PG26" i="5"/>
  <c r="ACU26" i="5"/>
  <c r="CK27" i="5"/>
  <c r="WL27" i="5"/>
  <c r="HV25" i="5"/>
  <c r="UD25" i="5"/>
  <c r="AHB25" i="5"/>
  <c r="HX26" i="5"/>
  <c r="UF26" i="5"/>
  <c r="AGN26" i="5"/>
  <c r="HF27" i="5"/>
  <c r="AGK27" i="5"/>
  <c r="RC25" i="5"/>
  <c r="AEA25" i="5"/>
  <c r="EG26" i="5"/>
  <c r="QO26" i="5"/>
  <c r="ACW26" i="5"/>
  <c r="DF27" i="5"/>
  <c r="YZ27" i="5"/>
  <c r="PX25" i="5"/>
  <c r="CL26" i="5"/>
  <c r="AJR26" i="5"/>
  <c r="ACW25" i="5"/>
  <c r="ZG26" i="5"/>
  <c r="J25" i="5"/>
  <c r="AKX25" i="5"/>
  <c r="AKZ26" i="5"/>
  <c r="KO26" i="5"/>
  <c r="ALB26" i="5"/>
  <c r="KQ24" i="5"/>
  <c r="ZW26" i="5"/>
  <c r="Z25" i="5"/>
  <c r="L26" i="5"/>
  <c r="DL27" i="5"/>
  <c r="QC26" i="5"/>
  <c r="MY27" i="5"/>
  <c r="MM24" i="5"/>
  <c r="ET24" i="5"/>
  <c r="PT24" i="5"/>
  <c r="AFQ24" i="5"/>
  <c r="NW25" i="5"/>
  <c r="TY21" i="5"/>
  <c r="ADU21" i="5"/>
  <c r="AY22" i="5"/>
  <c r="LK22" i="5"/>
  <c r="VW22" i="5"/>
  <c r="AGI22" i="5"/>
  <c r="DM23" i="5"/>
  <c r="NY23" i="5"/>
  <c r="YK23" i="5"/>
  <c r="AJM23" i="5"/>
  <c r="HG24" i="5"/>
  <c r="VY24" i="5"/>
  <c r="EA25" i="5"/>
  <c r="ST21" i="5"/>
  <c r="ADV21" i="5"/>
  <c r="BP22" i="5"/>
  <c r="MR22" i="5"/>
  <c r="XT22" i="5"/>
  <c r="AIV22" i="5"/>
  <c r="HF23" i="5"/>
  <c r="SH23" i="5"/>
  <c r="ADJ23" i="5"/>
  <c r="BT24" i="5"/>
  <c r="OG24" i="5"/>
  <c r="AGW24" i="5"/>
  <c r="LK21" i="5"/>
  <c r="YY21" i="5"/>
  <c r="ALG21" i="5"/>
  <c r="LM22" i="5"/>
  <c r="XU22" i="5"/>
  <c r="AKC22" i="5"/>
  <c r="KI23" i="5"/>
  <c r="WQ23" i="5"/>
  <c r="AIY23" i="5"/>
  <c r="JF24" i="5"/>
  <c r="ABK24" i="5"/>
  <c r="OC25" i="5"/>
  <c r="ALW25" i="5"/>
  <c r="MC26" i="5"/>
  <c r="YK26" i="5"/>
  <c r="AKS26" i="5"/>
  <c r="SJ27" i="5"/>
  <c r="YJ25" i="5"/>
  <c r="AKR25" i="5"/>
  <c r="KH26" i="5"/>
  <c r="XF26" i="5"/>
  <c r="AJN26" i="5"/>
  <c r="LO27" i="5"/>
  <c r="EB28" i="5"/>
  <c r="AFE25" i="5"/>
  <c r="EE26" i="5"/>
  <c r="RS26" i="5"/>
  <c r="AEA26" i="5"/>
  <c r="DZ27" i="5"/>
  <c r="YX27" i="5"/>
  <c r="JB25" i="5"/>
  <c r="WP25" i="5"/>
  <c r="AIX25" i="5"/>
  <c r="JD26" i="5"/>
  <c r="VL26" i="5"/>
  <c r="AHT26" i="5"/>
  <c r="KV27" i="5"/>
  <c r="AJJ27" i="5"/>
  <c r="SY25" i="5"/>
  <c r="AFW25" i="5"/>
  <c r="FM26" i="5"/>
  <c r="RU26" i="5"/>
  <c r="AEC26" i="5"/>
  <c r="FO27" i="5"/>
  <c r="ABL27" i="5"/>
  <c r="RD25" i="5"/>
  <c r="EX26" i="5"/>
  <c r="EV27" i="5"/>
  <c r="AKW25" i="5"/>
  <c r="ABC26" i="5"/>
  <c r="BF25" i="5"/>
  <c r="AB26" i="5"/>
  <c r="SY27" i="5"/>
  <c r="QS26" i="5"/>
  <c r="PI27" i="5"/>
  <c r="AIQ24" i="5"/>
  <c r="FJ24" i="5"/>
  <c r="QN24" i="5"/>
  <c r="AGN24" i="5"/>
  <c r="QI25" i="5"/>
  <c r="UO21" i="5"/>
  <c r="AEK21" i="5"/>
  <c r="BO22" i="5"/>
  <c r="MA22" i="5"/>
  <c r="WM22" i="5"/>
  <c r="AGY22" i="5"/>
  <c r="EC23" i="5"/>
  <c r="OO23" i="5"/>
  <c r="ZA23" i="5"/>
  <c r="AKC23" i="5"/>
  <c r="IM24" i="5"/>
  <c r="XW24" i="5"/>
  <c r="FI25" i="5"/>
  <c r="TJ21" i="5"/>
  <c r="AEL21" i="5"/>
  <c r="CF22" i="5"/>
  <c r="NH22" i="5"/>
  <c r="YJ22" i="5"/>
  <c r="AJL22" i="5"/>
  <c r="HV23" i="5"/>
  <c r="SX23" i="5"/>
  <c r="ADZ23" i="5"/>
  <c r="CJ24" i="5"/>
  <c r="PC24" i="5"/>
  <c r="AIX24" i="5"/>
  <c r="MQ21" i="5"/>
  <c r="ZO21" i="5"/>
  <c r="E22" i="5"/>
  <c r="MC22" i="5"/>
  <c r="YK22" i="5"/>
  <c r="AKS22" i="5"/>
  <c r="KY23" i="5"/>
  <c r="XG23" i="5"/>
  <c r="AKE23" i="5"/>
  <c r="KN24" i="5"/>
  <c r="ACO24" i="5"/>
  <c r="QO25" i="5"/>
  <c r="E26" i="5"/>
  <c r="MS26" i="5"/>
  <c r="ZA26" i="5"/>
  <c r="H27" i="5"/>
  <c r="TP27" i="5"/>
  <c r="YZ25" i="5"/>
  <c r="ALH25" i="5"/>
  <c r="LN26" i="5"/>
  <c r="XV26" i="5"/>
  <c r="AKD26" i="5"/>
  <c r="MQ27" i="5"/>
  <c r="GN28" i="5"/>
  <c r="AFU25" i="5"/>
  <c r="EU26" i="5"/>
  <c r="SI26" i="5"/>
  <c r="AEQ26" i="5"/>
  <c r="ES27" i="5"/>
  <c r="ABJ27" i="5"/>
  <c r="KX25" i="5"/>
  <c r="XF25" i="5"/>
  <c r="AKD25" i="5"/>
  <c r="JT26" i="5"/>
  <c r="WB26" i="5"/>
  <c r="AIJ26" i="5"/>
  <c r="LQ27" i="5"/>
  <c r="U28" i="5"/>
  <c r="TO25" i="5"/>
  <c r="AHC25" i="5"/>
  <c r="GC26" i="5"/>
  <c r="SK26" i="5"/>
  <c r="AES26" i="5"/>
  <c r="GM27" i="5"/>
  <c r="ACR27" i="5"/>
  <c r="TP25" i="5"/>
  <c r="GD26" i="5"/>
  <c r="FP27" i="5"/>
  <c r="ALM25" i="5"/>
  <c r="ABS26" i="5"/>
  <c r="CL25" i="5"/>
  <c r="BH26" i="5"/>
  <c r="ACU27" i="5"/>
  <c r="RI26" i="5"/>
  <c r="ABS24" i="5"/>
  <c r="AJW24" i="5"/>
  <c r="AKB23" i="5"/>
  <c r="GP24" i="5"/>
  <c r="SH24" i="5"/>
  <c r="AIV24" i="5"/>
  <c r="VM25" i="5"/>
  <c r="VU21" i="5"/>
  <c r="AFQ21" i="5"/>
  <c r="CU22" i="5"/>
  <c r="NG22" i="5"/>
  <c r="XS22" i="5"/>
  <c r="AIE22" i="5"/>
  <c r="FI23" i="5"/>
  <c r="PU23" i="5"/>
  <c r="AAW23" i="5"/>
  <c r="ALY23" i="5"/>
  <c r="KL24" i="5"/>
  <c r="AAE24" i="5"/>
  <c r="IA25" i="5"/>
  <c r="UP21" i="5"/>
  <c r="AFR21" i="5"/>
  <c r="DL22" i="5"/>
  <c r="ON22" i="5"/>
  <c r="ZP22" i="5"/>
  <c r="ALH22" i="5"/>
  <c r="JB23" i="5"/>
  <c r="UD23" i="5"/>
  <c r="AFF23" i="5"/>
  <c r="DP24" i="5"/>
  <c r="SJ24" i="5"/>
  <c r="D25" i="5"/>
  <c r="OM21" i="5"/>
  <c r="AAU21" i="5"/>
  <c r="BA22" i="5"/>
  <c r="NI22" i="5"/>
  <c r="ZQ22" i="5"/>
  <c r="G23" i="5"/>
  <c r="ME23" i="5"/>
  <c r="ZC23" i="5"/>
  <c r="ALK23" i="5"/>
  <c r="MC24" i="5"/>
  <c r="AEP24" i="5"/>
  <c r="WC25" i="5"/>
  <c r="BQ26" i="5"/>
  <c r="OO26" i="5"/>
  <c r="ABM26" i="5"/>
  <c r="CI27" i="5"/>
  <c r="WB27" i="5"/>
  <c r="AAF25" i="5"/>
  <c r="F26" i="5"/>
  <c r="MT26" i="5"/>
  <c r="ZB26" i="5"/>
  <c r="ALJ26" i="5"/>
  <c r="SK27" i="5"/>
  <c r="US25" i="5"/>
  <c r="AHA25" i="5"/>
  <c r="GQ26" i="5"/>
  <c r="TO26" i="5"/>
  <c r="AFW26" i="5"/>
  <c r="HE27" i="5"/>
  <c r="AHR27" i="5"/>
  <c r="MD25" i="5"/>
  <c r="YL25" i="5"/>
  <c r="ALZ25" i="5"/>
  <c r="KZ26" i="5"/>
  <c r="XH26" i="5"/>
  <c r="AKF26" i="5"/>
  <c r="PC27" i="5"/>
  <c r="ED28" i="5"/>
  <c r="UU25" i="5"/>
  <c r="AII25" i="5"/>
  <c r="HI26" i="5"/>
  <c r="TQ26" i="5"/>
  <c r="AHE26" i="5"/>
  <c r="JW27" i="5"/>
  <c r="AHU27" i="5"/>
  <c r="UV25" i="5"/>
  <c r="HJ26" i="5"/>
  <c r="IH27" i="5"/>
  <c r="K26" i="5"/>
  <c r="ALO26" i="5"/>
  <c r="HJ25" i="5"/>
  <c r="JX26" i="5"/>
  <c r="AGX27" i="5"/>
  <c r="AKK26" i="5"/>
  <c r="TG26" i="5"/>
  <c r="SS25" i="5"/>
  <c r="AAC25" i="5"/>
  <c r="ACB26" i="5"/>
  <c r="MR28" i="5"/>
  <c r="QJ28" i="5"/>
  <c r="NN29" i="5"/>
  <c r="ALL25" i="5"/>
  <c r="AAL26" i="5"/>
  <c r="ACS27" i="5"/>
  <c r="JG26" i="5"/>
  <c r="EW27" i="5"/>
  <c r="IP25" i="5"/>
  <c r="CN26" i="5"/>
  <c r="MW27" i="5"/>
  <c r="JY26" i="5"/>
  <c r="QB25" i="5"/>
  <c r="ABV25" i="5"/>
  <c r="ALG29" i="5"/>
  <c r="AJY21" i="5"/>
  <c r="GM22" i="5"/>
  <c r="QI22" i="5"/>
  <c r="AAE22" i="5"/>
  <c r="AKA22" i="5"/>
  <c r="GO23" i="5"/>
  <c r="QK23" i="5"/>
  <c r="AAG23" i="5"/>
  <c r="AKS23" i="5"/>
  <c r="HW24" i="5"/>
  <c r="UZ24" i="5"/>
  <c r="AI25" i="5"/>
  <c r="QX21" i="5"/>
  <c r="ABJ21" i="5"/>
  <c r="ALV21" i="5"/>
  <c r="IZ22" i="5"/>
  <c r="TL22" i="5"/>
  <c r="ADX22" i="5"/>
  <c r="BB23" i="5"/>
  <c r="LN23" i="5"/>
  <c r="VZ23" i="5"/>
  <c r="AGL23" i="5"/>
  <c r="EF24" i="5"/>
  <c r="QP24" i="5"/>
  <c r="AKB24" i="5"/>
  <c r="MA21" i="5"/>
  <c r="XS21" i="5"/>
  <c r="AKA21" i="5"/>
  <c r="JA22" i="5"/>
  <c r="VI22" i="5"/>
  <c r="AHA22" i="5"/>
  <c r="FK23" i="5"/>
  <c r="RC23" i="5"/>
  <c r="AEA23" i="5"/>
  <c r="CK24" i="5"/>
  <c r="PD24" i="5"/>
  <c r="AHU24" i="5"/>
  <c r="ACQ25" i="5"/>
  <c r="CG26" i="5"/>
  <c r="NY26" i="5"/>
  <c r="ZQ26" i="5"/>
  <c r="ALI26" i="5"/>
  <c r="RD27" i="5"/>
  <c r="GE28" i="5"/>
  <c r="AIV25" i="5"/>
  <c r="HF26" i="5"/>
  <c r="SX26" i="5"/>
  <c r="AFV26" i="5"/>
  <c r="FL27" i="5"/>
  <c r="ZU27" i="5"/>
  <c r="XU25" i="5"/>
  <c r="AKC25" i="5"/>
  <c r="JC26" i="5"/>
  <c r="UU26" i="5"/>
  <c r="AGM26" i="5"/>
  <c r="GG27" i="5"/>
  <c r="ADV27" i="5"/>
  <c r="KH25" i="5"/>
  <c r="VZ25" i="5"/>
  <c r="AHR25" i="5"/>
  <c r="GR26" i="5"/>
  <c r="SZ26" i="5"/>
  <c r="AER26" i="5"/>
  <c r="EA27" i="5"/>
  <c r="XS27" i="5"/>
  <c r="NK25" i="5"/>
  <c r="ZC25" i="5"/>
  <c r="AKU25" i="5"/>
  <c r="JE26" i="5"/>
  <c r="UW26" i="5"/>
  <c r="AHU26" i="5"/>
  <c r="IC27" i="5"/>
  <c r="AFD27" i="5"/>
  <c r="SJ25" i="5"/>
  <c r="DR26" i="5"/>
  <c r="ABR26" i="5"/>
  <c r="ZE25" i="5"/>
  <c r="RG26" i="5"/>
  <c r="HI27" i="5"/>
  <c r="MH25" i="5"/>
  <c r="HL26" i="5"/>
  <c r="UE27" i="5"/>
  <c r="OW26" i="5"/>
  <c r="ZX25" i="5"/>
  <c r="ABG25" i="5"/>
  <c r="NL25" i="5"/>
  <c r="ZT25" i="5"/>
  <c r="HZ26" i="5"/>
  <c r="AKH26" i="5"/>
  <c r="CF28" i="5"/>
  <c r="GE26" i="5"/>
  <c r="ACI26" i="5"/>
  <c r="AFF27" i="5"/>
  <c r="TR25" i="5"/>
  <c r="IR26" i="5"/>
  <c r="KE27" i="5"/>
  <c r="ABC25" i="5"/>
  <c r="IK27" i="5"/>
  <c r="ALW27" i="5"/>
  <c r="SC26" i="5"/>
  <c r="AM29" i="5"/>
  <c r="OB25" i="5"/>
  <c r="AAJ25" i="5"/>
  <c r="OD26" i="5"/>
  <c r="AKX26" i="5"/>
  <c r="HD28" i="5"/>
  <c r="HK26" i="5"/>
  <c r="ACY26" i="5"/>
  <c r="AGO27" i="5"/>
  <c r="UX25" i="5"/>
  <c r="JH26" i="5"/>
  <c r="MA27" i="5"/>
  <c r="ADO25" i="5"/>
  <c r="JF27" i="5"/>
  <c r="RG24" i="5"/>
  <c r="TI26" i="5"/>
  <c r="DO29" i="5"/>
  <c r="ADI23" i="5"/>
  <c r="W24" i="5"/>
  <c r="JU24" i="5"/>
  <c r="XA24" i="5"/>
  <c r="BO25" i="5"/>
  <c r="QH21" i="5"/>
  <c r="AAD21" i="5"/>
  <c r="AJZ21" i="5"/>
  <c r="GN22" i="5"/>
  <c r="QJ22" i="5"/>
  <c r="AAF22" i="5"/>
  <c r="AKB22" i="5"/>
  <c r="GP23" i="5"/>
  <c r="QL23" i="5"/>
  <c r="AAH23" i="5"/>
  <c r="AKT23" i="5"/>
  <c r="HX24" i="5"/>
  <c r="VE24" i="5"/>
  <c r="AJ25" i="5"/>
  <c r="NG21" i="5"/>
  <c r="YI21" i="5"/>
  <c r="AJK21" i="5"/>
  <c r="HE22" i="5"/>
  <c r="SW22" i="5"/>
  <c r="AEO22" i="5"/>
  <c r="CI23" i="5"/>
  <c r="NK23" i="5"/>
  <c r="YM23" i="5"/>
  <c r="AJO23" i="5"/>
  <c r="HI24" i="5"/>
  <c r="WA24" i="5"/>
  <c r="EC25" i="5"/>
  <c r="AGY25" i="5"/>
  <c r="ES26" i="5"/>
  <c r="PU26" i="5"/>
  <c r="AAW26" i="5"/>
  <c r="ALY26" i="5"/>
  <c r="OR27" i="5"/>
  <c r="BG28" i="5"/>
  <c r="AGZ25" i="5"/>
  <c r="ET26" i="5"/>
  <c r="PV26" i="5"/>
  <c r="AAX26" i="5"/>
  <c r="ALZ26" i="5"/>
  <c r="OS27" i="5"/>
  <c r="BP28" i="5"/>
  <c r="ADI25" i="5"/>
  <c r="BC26" i="5"/>
  <c r="ME26" i="5"/>
  <c r="XG26" i="5"/>
  <c r="AII26" i="5"/>
  <c r="IZ27" i="5"/>
  <c r="AFB27" i="5"/>
  <c r="JR25" i="5"/>
  <c r="UT25" i="5"/>
  <c r="AFV25" i="5"/>
  <c r="DP26" i="5"/>
  <c r="OR26" i="5"/>
  <c r="AAJ26" i="5"/>
  <c r="AMB26" i="5"/>
  <c r="NW27" i="5"/>
  <c r="ALF27" i="5"/>
  <c r="RS25" i="5"/>
  <c r="ACU25" i="5"/>
  <c r="AO26" i="5"/>
  <c r="MG26" i="5"/>
  <c r="XY26" i="5"/>
  <c r="AJA26" i="5"/>
  <c r="JB27" i="5"/>
  <c r="ADX27" i="5"/>
  <c r="PH25" i="5"/>
  <c r="ABP25" i="5"/>
  <c r="QP26" i="5"/>
  <c r="DJ27" i="5"/>
  <c r="ZU25" i="5"/>
  <c r="IQ26" i="5"/>
  <c r="AKY26" i="5"/>
  <c r="AMB24" i="5"/>
  <c r="WT25" i="5"/>
  <c r="MJ26" i="5"/>
  <c r="OA27" i="5"/>
  <c r="FA26" i="5"/>
  <c r="XX27" i="5"/>
  <c r="ACY24" i="5"/>
  <c r="FG27" i="5"/>
  <c r="KP24" i="5"/>
  <c r="IY26" i="5"/>
  <c r="YL28" i="5"/>
  <c r="AJT25" i="5"/>
  <c r="BI25" i="5"/>
  <c r="ADR25" i="5"/>
  <c r="RZ24" i="5"/>
  <c r="KU26" i="5"/>
  <c r="ACT28" i="5"/>
  <c r="AIM25" i="5"/>
  <c r="TU26" i="5"/>
  <c r="ABP27" i="5"/>
  <c r="FB26" i="5"/>
  <c r="NA25" i="5"/>
  <c r="MN26" i="5"/>
  <c r="AV25" i="5"/>
  <c r="AIE26" i="5"/>
  <c r="NK28" i="5"/>
  <c r="LD26" i="5"/>
  <c r="AGR26" i="5"/>
  <c r="AIF27" i="5"/>
  <c r="AJS25" i="5"/>
  <c r="UK26" i="5"/>
  <c r="ACV27" i="5"/>
  <c r="GH26" i="5"/>
  <c r="OG25" i="5"/>
  <c r="TX26" i="5"/>
  <c r="CR25" i="5"/>
  <c r="AJK26" i="5"/>
  <c r="ZC28" i="5"/>
  <c r="AKI25" i="5"/>
  <c r="YS26" i="5"/>
  <c r="YP24" i="5"/>
  <c r="OX26" i="5"/>
  <c r="ABU25" i="5"/>
  <c r="DP27" i="5"/>
  <c r="YV25" i="5"/>
  <c r="TX24" i="5"/>
  <c r="EH29" i="5"/>
  <c r="MZ26" i="5"/>
  <c r="AMF26" i="5"/>
  <c r="ET28" i="5"/>
  <c r="AKY25" i="5"/>
  <c r="ZY26" i="5"/>
  <c r="ZV24" i="5"/>
  <c r="QD26" i="5"/>
  <c r="ADA25" i="5"/>
  <c r="FZ27" i="5"/>
  <c r="AAR25" i="5"/>
  <c r="VD24" i="5"/>
  <c r="LI30" i="5"/>
  <c r="AFX25" i="5"/>
  <c r="MH26" i="5"/>
  <c r="AFZ26" i="5"/>
  <c r="SW27" i="5"/>
  <c r="AHE25" i="5"/>
  <c r="NO26" i="5"/>
  <c r="AHG26" i="5"/>
  <c r="XV27" i="5"/>
  <c r="JV25" i="5"/>
  <c r="AFZ25" i="5"/>
  <c r="RH26" i="5"/>
  <c r="R27" i="5"/>
  <c r="OU25" i="5"/>
  <c r="AC26" i="5"/>
  <c r="AAO26" i="5"/>
  <c r="ABB24" i="5"/>
  <c r="ZJ26" i="5"/>
  <c r="CA26" i="5"/>
  <c r="SO24" i="5"/>
  <c r="JN26" i="5"/>
  <c r="TJ25" i="5"/>
  <c r="PJ28" i="5"/>
  <c r="SE21" i="5"/>
  <c r="ACA21" i="5"/>
  <c r="ALW21" i="5"/>
  <c r="IK22" i="5"/>
  <c r="SG22" i="5"/>
  <c r="ACC22" i="5"/>
  <c r="ALY22" i="5"/>
  <c r="IM23" i="5"/>
  <c r="SI23" i="5"/>
  <c r="ACE23" i="5"/>
  <c r="AMA23" i="5"/>
  <c r="IO24" i="5"/>
  <c r="VF24" i="5"/>
  <c r="E25" i="5"/>
  <c r="ADG25" i="5"/>
  <c r="U26" i="5"/>
  <c r="JQ26" i="5"/>
  <c r="TM26" i="5"/>
  <c r="ADI26" i="5"/>
  <c r="AA27" i="5"/>
  <c r="NL27" i="5"/>
  <c r="AHP27" i="5"/>
  <c r="ADH25" i="5"/>
  <c r="V26" i="5"/>
  <c r="JR26" i="5"/>
  <c r="TN26" i="5"/>
  <c r="ADJ26" i="5"/>
  <c r="AB27" i="5"/>
  <c r="NM27" i="5"/>
  <c r="AHQ27" i="5"/>
  <c r="ZQ25" i="5"/>
  <c r="AJM25" i="5"/>
  <c r="GA26" i="5"/>
  <c r="PW26" i="5"/>
  <c r="ZS26" i="5"/>
  <c r="AJO26" i="5"/>
  <c r="HZ27" i="5"/>
  <c r="AAD27" i="5"/>
  <c r="FZ25" i="5"/>
  <c r="PV25" i="5"/>
  <c r="ZR25" i="5"/>
  <c r="AJN25" i="5"/>
  <c r="GB26" i="5"/>
  <c r="PX26" i="5"/>
  <c r="ZT26" i="5"/>
  <c r="AJP26" i="5"/>
  <c r="IA27" i="5"/>
  <c r="AAE27" i="5"/>
  <c r="LO25" i="5"/>
  <c r="VK25" i="5"/>
  <c r="AFG25" i="5"/>
  <c r="BU26" i="5"/>
  <c r="LQ26" i="5"/>
  <c r="VM26" i="5"/>
  <c r="AFI26" i="5"/>
  <c r="CM27" i="5"/>
  <c r="RP27" i="5"/>
  <c r="V28" i="5"/>
  <c r="RT25" i="5"/>
  <c r="AHD25" i="5"/>
  <c r="NN26" i="5"/>
  <c r="AHF26" i="5"/>
  <c r="VI27" i="5"/>
  <c r="AIK25" i="5"/>
  <c r="OU26" i="5"/>
  <c r="AIM26" i="5"/>
  <c r="ZB27" i="5"/>
  <c r="LB25" i="5"/>
  <c r="AGP25" i="5"/>
  <c r="SN26" i="5"/>
  <c r="AK27" i="5"/>
  <c r="QA25" i="5"/>
  <c r="AS26" i="5"/>
  <c r="ABE26" i="5"/>
  <c r="AIL24" i="5"/>
  <c r="AAP26" i="5"/>
  <c r="FC26" i="5"/>
  <c r="TU24" i="5"/>
  <c r="LJ26" i="5"/>
  <c r="AEL25" i="5"/>
  <c r="TR28" i="5"/>
  <c r="AJN23" i="5"/>
  <c r="GB24" i="5"/>
  <c r="RO24" i="5"/>
  <c r="AHT24" i="5"/>
  <c r="SW25" i="5"/>
  <c r="TK21" i="5"/>
  <c r="ADG21" i="5"/>
  <c r="U22" i="5"/>
  <c r="JQ22" i="5"/>
  <c r="TM22" i="5"/>
  <c r="ADI22" i="5"/>
  <c r="W23" i="5"/>
  <c r="JS23" i="5"/>
  <c r="TO23" i="5"/>
  <c r="ADK23" i="5"/>
  <c r="Y24" i="5"/>
  <c r="JW24" i="5"/>
  <c r="XC24" i="5"/>
  <c r="BQ25" i="5"/>
  <c r="AEM25" i="5"/>
  <c r="BA26" i="5"/>
  <c r="KW26" i="5"/>
  <c r="US26" i="5"/>
  <c r="AEO26" i="5"/>
  <c r="BP27" i="5"/>
  <c r="PX27" i="5"/>
  <c r="AKR27" i="5"/>
  <c r="AEN25" i="5"/>
  <c r="BB26" i="5"/>
  <c r="KX26" i="5"/>
  <c r="UT26" i="5"/>
  <c r="AEP26" i="5"/>
  <c r="BQ27" i="5"/>
  <c r="PY27" i="5"/>
  <c r="AKT27" i="5"/>
  <c r="AAW25" i="5"/>
  <c r="AKS25" i="5"/>
  <c r="HG26" i="5"/>
  <c r="RC26" i="5"/>
  <c r="AAY26" i="5"/>
  <c r="AKU26" i="5"/>
  <c r="JU27" i="5"/>
  <c r="ACP27" i="5"/>
  <c r="HF25" i="5"/>
  <c r="RB25" i="5"/>
  <c r="AAX25" i="5"/>
  <c r="AKT25" i="5"/>
  <c r="HH26" i="5"/>
  <c r="RD26" i="5"/>
  <c r="AAZ26" i="5"/>
  <c r="AKV26" i="5"/>
  <c r="JV27" i="5"/>
  <c r="ACQ27" i="5"/>
  <c r="MU25" i="5"/>
  <c r="WQ25" i="5"/>
  <c r="AGM25" i="5"/>
  <c r="DA26" i="5"/>
  <c r="MW26" i="5"/>
  <c r="WS26" i="5"/>
  <c r="AGO26" i="5"/>
  <c r="EB27" i="5"/>
  <c r="UB27" i="5"/>
  <c r="EI28" i="5"/>
  <c r="SZ25" i="5"/>
  <c r="AIJ25" i="5"/>
  <c r="OT26" i="5"/>
  <c r="AIL26" i="5"/>
  <c r="XU27" i="5"/>
  <c r="AJQ25" i="5"/>
  <c r="QA26" i="5"/>
  <c r="AJS26" i="5"/>
  <c r="ACT27" i="5"/>
  <c r="MX25" i="5"/>
  <c r="AMD25" i="5"/>
  <c r="TT26" i="5"/>
  <c r="EE27" i="5"/>
  <c r="RG25" i="5"/>
  <c r="GG26" i="5"/>
  <c r="AJU26" i="5"/>
  <c r="AKX24" i="5"/>
  <c r="A27" i="5"/>
  <c r="A25" i="3" s="1"/>
  <c r="UM26" i="5"/>
  <c r="FC25" i="5"/>
  <c r="CF27" i="5"/>
  <c r="ADX26" i="5"/>
  <c r="AAL24" i="5"/>
  <c r="AKH24" i="5"/>
  <c r="GV25" i="5"/>
  <c r="QR25" i="5"/>
  <c r="AAN25" i="5"/>
  <c r="AKJ25" i="5"/>
  <c r="GX26" i="5"/>
  <c r="QT26" i="5"/>
  <c r="ABF26" i="5"/>
  <c r="T27" i="5"/>
  <c r="QO27" i="5"/>
  <c r="RW24" i="5"/>
  <c r="ADO24" i="5"/>
  <c r="BY25" i="5"/>
  <c r="QC25" i="5"/>
  <c r="ADQ25" i="5"/>
  <c r="FS26" i="5"/>
  <c r="VC26" i="5"/>
  <c r="BG27" i="5"/>
  <c r="IA28" i="5"/>
  <c r="GH25" i="5"/>
  <c r="AEH25" i="5"/>
  <c r="VD26" i="5"/>
  <c r="GT27" i="5"/>
  <c r="UK24" i="5"/>
  <c r="KQ25" i="5"/>
  <c r="AJG25" i="5"/>
  <c r="TY26" i="5"/>
  <c r="GA27" i="5"/>
  <c r="TF24" i="5"/>
  <c r="DH25" i="5"/>
  <c r="ABH25" i="5"/>
  <c r="RN26" i="5"/>
  <c r="DR27" i="5"/>
  <c r="NC24" i="5"/>
  <c r="AKM24" i="5"/>
  <c r="ABI25" i="5"/>
  <c r="LK26" i="5"/>
  <c r="AKA26" i="5"/>
  <c r="AEZ24" i="5"/>
  <c r="AFB25" i="5"/>
  <c r="AEN26" i="5"/>
  <c r="SF28" i="5"/>
  <c r="BQ30" i="5"/>
  <c r="EE29" i="5"/>
  <c r="ADZ28" i="5"/>
  <c r="EW29" i="5"/>
  <c r="AKE27" i="5"/>
  <c r="VN28" i="5"/>
  <c r="HL25" i="5"/>
  <c r="RH25" i="5"/>
  <c r="ABD25" i="5"/>
  <c r="AKZ25" i="5"/>
  <c r="HN26" i="5"/>
  <c r="RJ26" i="5"/>
  <c r="ABV26" i="5"/>
  <c r="AM27" i="5"/>
  <c r="UG27" i="5"/>
  <c r="SM24" i="5"/>
  <c r="AEE24" i="5"/>
  <c r="DE25" i="5"/>
  <c r="RI25" i="5"/>
  <c r="AEG25" i="5"/>
  <c r="HO26" i="5"/>
  <c r="VS26" i="5"/>
  <c r="BZ27" i="5"/>
  <c r="WF24" i="5"/>
  <c r="GX25" i="5"/>
  <c r="AKL25" i="5"/>
  <c r="VT26" i="5"/>
  <c r="HS27" i="5"/>
  <c r="VQ24" i="5"/>
  <c r="MM25" i="5"/>
  <c r="AKM25" i="5"/>
  <c r="UO26" i="5"/>
  <c r="PT27" i="5"/>
  <c r="TV24" i="5"/>
  <c r="DX25" i="5"/>
  <c r="ABX25" i="5"/>
  <c r="ST26" i="5"/>
  <c r="EK27" i="5"/>
  <c r="NS24" i="5"/>
  <c r="DY25" i="5"/>
  <c r="ABY25" i="5"/>
  <c r="MQ26" i="5"/>
  <c r="ALW26" i="5"/>
  <c r="AGF24" i="5"/>
  <c r="AFR25" i="5"/>
  <c r="AFD26" i="5"/>
  <c r="ADH28" i="5"/>
  <c r="DG30" i="5"/>
  <c r="EU29" i="5"/>
  <c r="AEP28" i="5"/>
  <c r="MI29" i="5"/>
  <c r="BE28" i="5"/>
  <c r="AKO29" i="5"/>
  <c r="ZD25" i="5"/>
  <c r="AIZ25" i="5"/>
  <c r="FN26" i="5"/>
  <c r="PJ26" i="5"/>
  <c r="ZF26" i="5"/>
  <c r="AJB26" i="5"/>
  <c r="HH27" i="5"/>
  <c r="ZA27" i="5"/>
  <c r="AAK25" i="5"/>
  <c r="AKG25" i="5"/>
  <c r="GU26" i="5"/>
  <c r="QQ26" i="5"/>
  <c r="AAM26" i="5"/>
  <c r="AKI26" i="5"/>
  <c r="JD27" i="5"/>
  <c r="ABN27" i="5"/>
  <c r="AP25" i="5"/>
  <c r="KL25" i="5"/>
  <c r="UH25" i="5"/>
  <c r="AED25" i="5"/>
  <c r="AR26" i="5"/>
  <c r="KN26" i="5"/>
  <c r="UJ26" i="5"/>
  <c r="AEF26" i="5"/>
  <c r="BD27" i="5"/>
  <c r="PG27" i="5"/>
  <c r="AJO27" i="5"/>
  <c r="RW25" i="5"/>
  <c r="ABS25" i="5"/>
  <c r="ALO25" i="5"/>
  <c r="IC26" i="5"/>
  <c r="RY26" i="5"/>
  <c r="ABU26" i="5"/>
  <c r="ALQ26" i="5"/>
  <c r="LA27" i="5"/>
  <c r="AEB27" i="5"/>
  <c r="ABR24" i="5"/>
  <c r="ALN24" i="5"/>
  <c r="IB25" i="5"/>
  <c r="RX25" i="5"/>
  <c r="ABT25" i="5"/>
  <c r="ALP25" i="5"/>
  <c r="ID26" i="5"/>
  <c r="RZ26" i="5"/>
  <c r="ACL26" i="5"/>
  <c r="BF27" i="5"/>
  <c r="WS27" i="5"/>
  <c r="TC24" i="5"/>
  <c r="AEU24" i="5"/>
  <c r="DU25" i="5"/>
  <c r="RY25" i="5"/>
  <c r="AEW25" i="5"/>
  <c r="IU26" i="5"/>
  <c r="WI26" i="5"/>
  <c r="CV27" i="5"/>
  <c r="XL24" i="5"/>
  <c r="HN25" i="5"/>
  <c r="ALR25" i="5"/>
  <c r="WJ26" i="5"/>
  <c r="IN27" i="5"/>
  <c r="ABU24" i="5"/>
  <c r="NC25" i="5"/>
  <c r="ALC25" i="5"/>
  <c r="VU26" i="5"/>
  <c r="TL27" i="5"/>
  <c r="UL24" i="5"/>
  <c r="EN25" i="5"/>
  <c r="AIB25" i="5"/>
  <c r="TJ26" i="5"/>
  <c r="FH27" i="5"/>
  <c r="OI24" i="5"/>
  <c r="FE25" i="5"/>
  <c r="ACO25" i="5"/>
  <c r="NG26" i="5"/>
  <c r="LL27" i="5"/>
  <c r="AGV24" i="5"/>
  <c r="AGX25" i="5"/>
  <c r="AGJ26" i="5"/>
  <c r="AEN28" i="5"/>
  <c r="EO30" i="5"/>
  <c r="IM29" i="5"/>
  <c r="JT29" i="5"/>
  <c r="SW29" i="5"/>
  <c r="CK28" i="5"/>
  <c r="FA29" i="5"/>
  <c r="BW27" i="5"/>
  <c r="QM27" i="5"/>
  <c r="ALM27" i="5"/>
  <c r="SM25" i="5"/>
  <c r="ACI25" i="5"/>
  <c r="AME25" i="5"/>
  <c r="IS26" i="5"/>
  <c r="SO26" i="5"/>
  <c r="ACK26" i="5"/>
  <c r="AMH26" i="5"/>
  <c r="MB27" i="5"/>
  <c r="AFI27" i="5"/>
  <c r="ACH24" i="5"/>
  <c r="AMD24" i="5"/>
  <c r="IR25" i="5"/>
  <c r="SN25" i="5"/>
  <c r="ACJ25" i="5"/>
  <c r="AMF25" i="5"/>
  <c r="IT26" i="5"/>
  <c r="SP26" i="5"/>
  <c r="ADB26" i="5"/>
  <c r="BY27" i="5"/>
  <c r="XY27" i="5"/>
  <c r="TS24" i="5"/>
  <c r="AFK24" i="5"/>
  <c r="EK25" i="5"/>
  <c r="SO25" i="5"/>
  <c r="AGS25" i="5"/>
  <c r="JK26" i="5"/>
  <c r="WY26" i="5"/>
  <c r="DO27" i="5"/>
  <c r="YB24" i="5"/>
  <c r="NR25" i="5"/>
  <c r="AMH25" i="5"/>
  <c r="WZ26" i="5"/>
  <c r="JN27" i="5"/>
  <c r="ADA24" i="5"/>
  <c r="NS25" i="5"/>
  <c r="ALS25" i="5"/>
  <c r="ABI26" i="5"/>
  <c r="UR27" i="5"/>
  <c r="VB24" i="5"/>
  <c r="FD25" i="5"/>
  <c r="AJX25" i="5"/>
  <c r="TZ26" i="5"/>
  <c r="GB27" i="5"/>
  <c r="UM24" i="5"/>
  <c r="FU25" i="5"/>
  <c r="ADE25" i="5"/>
  <c r="NW26" i="5"/>
  <c r="SH27" i="5"/>
  <c r="AJH24" i="5"/>
  <c r="AID25" i="5"/>
  <c r="FJ27" i="5"/>
  <c r="AFD28" i="5"/>
  <c r="FW30" i="5"/>
  <c r="MG29" i="5"/>
  <c r="QN29" i="5"/>
  <c r="TP29" i="5"/>
  <c r="DA28" i="5"/>
  <c r="NE29" i="5"/>
  <c r="KY27" i="5"/>
  <c r="ADZ27" i="5"/>
  <c r="BV25" i="5"/>
  <c r="LR25" i="5"/>
  <c r="VN25" i="5"/>
  <c r="AFJ25" i="5"/>
  <c r="BX26" i="5"/>
  <c r="LT26" i="5"/>
  <c r="VP26" i="5"/>
  <c r="AFL26" i="5"/>
  <c r="CP27" i="5"/>
  <c r="RS27" i="5"/>
  <c r="AJ28" i="5"/>
  <c r="TC25" i="5"/>
  <c r="ACY25" i="5"/>
  <c r="M26" i="5"/>
  <c r="JI26" i="5"/>
  <c r="TE26" i="5"/>
  <c r="ADA26" i="5"/>
  <c r="S27" i="5"/>
  <c r="MX27" i="5"/>
  <c r="AGY27" i="5"/>
  <c r="ACX24" i="5"/>
  <c r="L25" i="5"/>
  <c r="JH25" i="5"/>
  <c r="TD25" i="5"/>
  <c r="ACZ25" i="5"/>
  <c r="N26" i="5"/>
  <c r="JJ26" i="5"/>
  <c r="TF26" i="5"/>
  <c r="ADR26" i="5"/>
  <c r="EG27" i="5"/>
  <c r="ZE27" i="5"/>
  <c r="UI24" i="5"/>
  <c r="AGA24" i="5"/>
  <c r="GG25" i="5"/>
  <c r="TE25" i="5"/>
  <c r="AHY25" i="5"/>
  <c r="KA26" i="5"/>
  <c r="ZK26" i="5"/>
  <c r="EH27" i="5"/>
  <c r="YR24" i="5"/>
  <c r="PN25" i="5"/>
  <c r="AF26" i="5"/>
  <c r="XP26" i="5"/>
  <c r="VW27" i="5"/>
  <c r="ADQ24" i="5"/>
  <c r="OI25" i="5"/>
  <c r="A26" i="5"/>
  <c r="A24" i="3" s="1"/>
  <c r="ADE26" i="5"/>
  <c r="VX27" i="5"/>
  <c r="VR24" i="5"/>
  <c r="LX25" i="5"/>
  <c r="AKN25" i="5"/>
  <c r="VF26" i="5"/>
  <c r="GV27" i="5"/>
  <c r="WI24" i="5"/>
  <c r="GK25" i="5"/>
  <c r="ADU25" i="5"/>
  <c r="UA26" i="5"/>
  <c r="UT27" i="5"/>
  <c r="ALT24" i="5"/>
  <c r="AJJ25" i="5"/>
  <c r="HW27" i="5"/>
  <c r="AFT28" i="5"/>
  <c r="MR30" i="5"/>
  <c r="ZT29" i="5"/>
  <c r="RJ29" i="5"/>
  <c r="WQ29" i="5"/>
  <c r="EW28" i="5"/>
  <c r="TW29" i="5"/>
  <c r="ADQ26" i="5"/>
  <c r="AL27" i="5"/>
  <c r="OB27" i="5"/>
  <c r="AIG27" i="5"/>
  <c r="ADN24" i="5"/>
  <c r="AB25" i="5"/>
  <c r="JX25" i="5"/>
  <c r="TT25" i="5"/>
  <c r="ADP25" i="5"/>
  <c r="AD26" i="5"/>
  <c r="JZ26" i="5"/>
  <c r="TV26" i="5"/>
  <c r="AEH26" i="5"/>
  <c r="FX27" i="5"/>
  <c r="AAK27" i="5"/>
  <c r="UY24" i="5"/>
  <c r="AGQ24" i="5"/>
  <c r="HM25" i="5"/>
  <c r="TU25" i="5"/>
  <c r="AIO25" i="5"/>
  <c r="KQ26" i="5"/>
  <c r="AAA26" i="5"/>
  <c r="FY27" i="5"/>
  <c r="AEV24" i="5"/>
  <c r="QD25" i="5"/>
  <c r="AV26" i="5"/>
  <c r="YF26" i="5"/>
  <c r="YI27" i="5"/>
  <c r="AEG24" i="5"/>
  <c r="PO25" i="5"/>
  <c r="FE26" i="5"/>
  <c r="ADU26" i="5"/>
  <c r="XD27" i="5"/>
  <c r="WH24" i="5"/>
  <c r="ND25" i="5"/>
  <c r="ALD25" i="5"/>
  <c r="VV26" i="5"/>
  <c r="RA27" i="5"/>
  <c r="WY24" i="5"/>
  <c r="HA25" i="5"/>
  <c r="AEK25" i="5"/>
  <c r="VG26" i="5"/>
  <c r="VZ27" i="5"/>
  <c r="R25" i="5"/>
  <c r="ER26" i="5"/>
  <c r="JR27" i="5"/>
  <c r="AGJ28" i="5"/>
  <c r="TW30" i="5"/>
  <c r="ABL29" i="5"/>
  <c r="SV29" i="5"/>
  <c r="YH29" i="5"/>
  <c r="AIK28" i="5"/>
  <c r="WB29" i="5"/>
  <c r="AEG26" i="5"/>
  <c r="BE27" i="5"/>
  <c r="PH27" i="5"/>
  <c r="AJQ27" i="5"/>
  <c r="AED24" i="5"/>
  <c r="AR25" i="5"/>
  <c r="KN25" i="5"/>
  <c r="UJ25" i="5"/>
  <c r="AEF25" i="5"/>
  <c r="AT26" i="5"/>
  <c r="KP26" i="5"/>
  <c r="UL26" i="5"/>
  <c r="AEX26" i="5"/>
  <c r="GR27" i="5"/>
  <c r="ABQ27" i="5"/>
  <c r="VO24" i="5"/>
  <c r="AHG24" i="5"/>
  <c r="IC25" i="5"/>
  <c r="UK25" i="5"/>
  <c r="AKK25" i="5"/>
  <c r="LG26" i="5"/>
  <c r="AAQ26" i="5"/>
  <c r="LC27" i="5"/>
  <c r="AGB24" i="5"/>
  <c r="QT25" i="5"/>
  <c r="BL26" i="5"/>
  <c r="AEZ26" i="5"/>
  <c r="ZO27" i="5"/>
  <c r="AFM24" i="5"/>
  <c r="QE25" i="5"/>
  <c r="GK26" i="5"/>
  <c r="AEK26" i="5"/>
  <c r="YJ27" i="5"/>
  <c r="ADB24" i="5"/>
  <c r="NT25" i="5"/>
  <c r="ALT25" i="5"/>
  <c r="WL26" i="5"/>
  <c r="US27" i="5"/>
  <c r="XO24" i="5"/>
  <c r="HQ25" i="5"/>
  <c r="ALE25" i="5"/>
  <c r="WM26" i="5"/>
  <c r="XF27" i="5"/>
  <c r="AH25" i="5"/>
  <c r="JP26" i="5"/>
  <c r="NK27" i="5"/>
  <c r="AHP28" i="5"/>
  <c r="SW28" i="5"/>
  <c r="AEK29" i="5"/>
  <c r="TO29" i="5"/>
  <c r="ZB29" i="5"/>
  <c r="AJQ28" i="5"/>
  <c r="AID29" i="5"/>
  <c r="ACF25" i="5"/>
  <c r="AMB25" i="5"/>
  <c r="IP26" i="5"/>
  <c r="SL26" i="5"/>
  <c r="ACH26" i="5"/>
  <c r="AMD26" i="5"/>
  <c r="LS27" i="5"/>
  <c r="AFE27" i="5"/>
  <c r="ADM25" i="5"/>
  <c r="AA26" i="5"/>
  <c r="JW26" i="5"/>
  <c r="TS26" i="5"/>
  <c r="ADO26" i="5"/>
  <c r="AJ27" i="5"/>
  <c r="NZ27" i="5"/>
  <c r="AIE27" i="5"/>
  <c r="DR25" i="5"/>
  <c r="NN25" i="5"/>
  <c r="XJ25" i="5"/>
  <c r="AHF25" i="5"/>
  <c r="DT26" i="5"/>
  <c r="NP26" i="5"/>
  <c r="XL26" i="5"/>
  <c r="AHH26" i="5"/>
  <c r="EX27" i="5"/>
  <c r="VK27" i="5"/>
  <c r="HK28" i="5"/>
  <c r="UY25" i="5"/>
  <c r="AEU25" i="5"/>
  <c r="BI26" i="5"/>
  <c r="LE26" i="5"/>
  <c r="VA26" i="5"/>
  <c r="AEW26" i="5"/>
  <c r="BX27" i="5"/>
  <c r="QN27" i="5"/>
  <c r="ALV27" i="5"/>
  <c r="AET24" i="5"/>
  <c r="BH25" i="5"/>
  <c r="LD25" i="5"/>
  <c r="UZ25" i="5"/>
  <c r="AEV25" i="5"/>
  <c r="BJ26" i="5"/>
  <c r="LF26" i="5"/>
  <c r="VB26" i="5"/>
  <c r="AGT26" i="5"/>
  <c r="HM27" i="5"/>
  <c r="ACW27" i="5"/>
  <c r="WE24" i="5"/>
  <c r="AHW24" i="5"/>
  <c r="IS25" i="5"/>
  <c r="VA25" i="5"/>
  <c r="ALQ25" i="5"/>
  <c r="LW26" i="5"/>
  <c r="ACM26" i="5"/>
  <c r="OL27" i="5"/>
  <c r="AGR24" i="5"/>
  <c r="RJ25" i="5"/>
  <c r="CB26" i="5"/>
  <c r="AGF26" i="5"/>
  <c r="AAU27" i="5"/>
  <c r="AGC24" i="5"/>
  <c r="WI25" i="5"/>
  <c r="HQ26" i="5"/>
  <c r="AFQ26" i="5"/>
  <c r="ZP27" i="5"/>
  <c r="AEH24" i="5"/>
  <c r="OJ25" i="5"/>
  <c r="B26" i="5"/>
  <c r="ACP26" i="5"/>
  <c r="VY27" i="5"/>
  <c r="YE24" i="5"/>
  <c r="IG25" i="5"/>
  <c r="C26" i="5"/>
  <c r="XC26" i="5"/>
  <c r="ZR27" i="5"/>
  <c r="KD25" i="5"/>
  <c r="KV26" i="5"/>
  <c r="PW27" i="5"/>
  <c r="AIV28" i="5"/>
  <c r="US28" i="5"/>
  <c r="AIV29" i="5"/>
  <c r="UK29" i="5"/>
  <c r="PX28" i="5"/>
  <c r="AKG28" i="5"/>
  <c r="EL29" i="5"/>
  <c r="ACV25" i="5"/>
  <c r="J26" i="5"/>
  <c r="JF26" i="5"/>
  <c r="TB26" i="5"/>
  <c r="ACX26" i="5"/>
  <c r="M27" i="5"/>
  <c r="M25" i="3" s="1"/>
  <c r="MU27" i="5"/>
  <c r="AGM27" i="5"/>
  <c r="AEC25" i="5"/>
  <c r="AQ26" i="5"/>
  <c r="KM26" i="5"/>
  <c r="UI26" i="5"/>
  <c r="AEE26" i="5"/>
  <c r="BC27" i="5"/>
  <c r="PF27" i="5"/>
  <c r="AJN27" i="5"/>
  <c r="EH25" i="5"/>
  <c r="OD25" i="5"/>
  <c r="XZ25" i="5"/>
  <c r="AHV25" i="5"/>
  <c r="EJ26" i="5"/>
  <c r="OF26" i="5"/>
  <c r="YB26" i="5"/>
  <c r="AHX26" i="5"/>
  <c r="FV27" i="5"/>
  <c r="WQ27" i="5"/>
  <c r="LS25" i="5"/>
  <c r="VO25" i="5"/>
  <c r="AFK25" i="5"/>
  <c r="BY26" i="5"/>
  <c r="LU26" i="5"/>
  <c r="VQ26" i="5"/>
  <c r="AFM26" i="5"/>
  <c r="CT27" i="5"/>
  <c r="RT27" i="5"/>
  <c r="AK28" i="5"/>
  <c r="AFJ24" i="5"/>
  <c r="BX25" i="5"/>
  <c r="LT25" i="5"/>
  <c r="VP25" i="5"/>
  <c r="AFL25" i="5"/>
  <c r="BZ26" i="5"/>
  <c r="LV26" i="5"/>
  <c r="VR26" i="5"/>
  <c r="AHZ26" i="5"/>
  <c r="IL27" i="5"/>
  <c r="AEC27" i="5"/>
  <c r="WU24" i="5"/>
  <c r="AJS24" i="5"/>
  <c r="JI25" i="5"/>
  <c r="WW25" i="5"/>
  <c r="AMG25" i="5"/>
  <c r="MM26" i="5"/>
  <c r="ADS26" i="5"/>
  <c r="SD27" i="5"/>
  <c r="AHX24" i="5"/>
  <c r="RZ25" i="5"/>
  <c r="IF26" i="5"/>
  <c r="AGV26" i="5"/>
  <c r="ACA27" i="5"/>
  <c r="AGS24" i="5"/>
  <c r="XO25" i="5"/>
  <c r="IG26" i="5"/>
  <c r="AGG26" i="5"/>
  <c r="DC28" i="5"/>
  <c r="AEX24" i="5"/>
  <c r="OZ25" i="5"/>
  <c r="AH26" i="5"/>
  <c r="ADV26" i="5"/>
  <c r="XE27" i="5"/>
  <c r="YU24" i="5"/>
  <c r="PA25" i="5"/>
  <c r="S26" i="5"/>
  <c r="XS26" i="5"/>
  <c r="AAX27" i="5"/>
  <c r="LJ25" i="5"/>
  <c r="LL26" i="5"/>
  <c r="RC27" i="5"/>
  <c r="JB29" i="5"/>
  <c r="VI28" i="5"/>
  <c r="DH30" i="5"/>
  <c r="YG29" i="5"/>
  <c r="WR28" i="5"/>
  <c r="LU29" i="5"/>
  <c r="UQ29" i="5"/>
  <c r="ADL25" i="5"/>
  <c r="Z26" i="5"/>
  <c r="JV26" i="5"/>
  <c r="TR26" i="5"/>
  <c r="ADN26" i="5"/>
  <c r="AI27" i="5"/>
  <c r="NY27" i="5"/>
  <c r="AID27" i="5"/>
  <c r="AES25" i="5"/>
  <c r="BG26" i="5"/>
  <c r="LC26" i="5"/>
  <c r="UY26" i="5"/>
  <c r="AEU26" i="5"/>
  <c r="BV27" i="5"/>
  <c r="QL27" i="5"/>
  <c r="ALJ27" i="5"/>
  <c r="EX25" i="5"/>
  <c r="OT25" i="5"/>
  <c r="YP25" i="5"/>
  <c r="AIL25" i="5"/>
  <c r="EZ26" i="5"/>
  <c r="OV26" i="5"/>
  <c r="YR26" i="5"/>
  <c r="AIN26" i="5"/>
  <c r="GP27" i="5"/>
  <c r="XW27" i="5"/>
  <c r="MI25" i="5"/>
  <c r="WE25" i="5"/>
  <c r="AGA25" i="5"/>
  <c r="CO26" i="5"/>
  <c r="MK26" i="5"/>
  <c r="WG26" i="5"/>
  <c r="AGC26" i="5"/>
  <c r="DM27" i="5"/>
  <c r="SZ27" i="5"/>
  <c r="CM28" i="5"/>
  <c r="AFZ24" i="5"/>
  <c r="CN25" i="5"/>
  <c r="MJ25" i="5"/>
  <c r="WF25" i="5"/>
  <c r="AGB25" i="5"/>
  <c r="CP26" i="5"/>
  <c r="ML26" i="5"/>
  <c r="WH26" i="5"/>
  <c r="AIP26" i="5"/>
  <c r="JG27" i="5"/>
  <c r="AFR27" i="5"/>
  <c r="XK24" i="5"/>
  <c r="AKY24" i="5"/>
  <c r="JY25" i="5"/>
  <c r="XM25" i="5"/>
  <c r="O26" i="5"/>
  <c r="OY26" i="5"/>
  <c r="AEI26" i="5"/>
  <c r="TJ27" i="5"/>
  <c r="AIN24" i="5"/>
  <c r="SP25" i="5"/>
  <c r="KB26" i="5"/>
  <c r="AHL26" i="5"/>
  <c r="ADG27" i="5"/>
  <c r="O25" i="5"/>
  <c r="YE25" i="5"/>
  <c r="IW26" i="5"/>
  <c r="AGW26" i="5"/>
  <c r="IL28" i="5"/>
  <c r="AFN24" i="5"/>
  <c r="QF25" i="5"/>
  <c r="GL26" i="5"/>
  <c r="AEL26" i="5"/>
  <c r="YK27" i="5"/>
  <c r="ZK24" i="5"/>
  <c r="QG25" i="5"/>
  <c r="AI26" i="5"/>
  <c r="YI26" i="5"/>
  <c r="MN24" i="5"/>
  <c r="MP25" i="5"/>
  <c r="MB26" i="5"/>
  <c r="TO27" i="5"/>
  <c r="KX29" i="5"/>
  <c r="WO28" i="5"/>
  <c r="HP30" i="5"/>
  <c r="BC28" i="5"/>
  <c r="YN28" i="5"/>
  <c r="SF29" i="5"/>
  <c r="WC29" i="5"/>
  <c r="AEB25" i="5"/>
  <c r="AP26" i="5"/>
  <c r="KL26" i="5"/>
  <c r="UH26" i="5"/>
  <c r="AED26" i="5"/>
  <c r="BB27" i="5"/>
  <c r="PE27" i="5"/>
  <c r="AJL27" i="5"/>
  <c r="AFI25" i="5"/>
  <c r="BW26" i="5"/>
  <c r="LS26" i="5"/>
  <c r="VO26" i="5"/>
  <c r="AFK26" i="5"/>
  <c r="CO27" i="5"/>
  <c r="RR27" i="5"/>
  <c r="AA28" i="5"/>
  <c r="FN25" i="5"/>
  <c r="PJ25" i="5"/>
  <c r="ZF25" i="5"/>
  <c r="AJB25" i="5"/>
  <c r="FP26" i="5"/>
  <c r="PL26" i="5"/>
  <c r="ZH26" i="5"/>
  <c r="AJD26" i="5"/>
  <c r="HJ27" i="5"/>
  <c r="ZC27" i="5"/>
  <c r="MY25" i="5"/>
  <c r="WU25" i="5"/>
  <c r="AGQ25" i="5"/>
  <c r="DE26" i="5"/>
  <c r="NA26" i="5"/>
  <c r="WW26" i="5"/>
  <c r="AGS26" i="5"/>
  <c r="EF27" i="5"/>
  <c r="UF27" i="5"/>
  <c r="EY28" i="5"/>
  <c r="AGP24" i="5"/>
  <c r="DD25" i="5"/>
  <c r="MZ25" i="5"/>
  <c r="WV25" i="5"/>
  <c r="AGR25" i="5"/>
  <c r="DF26" i="5"/>
  <c r="NB26" i="5"/>
  <c r="WX26" i="5"/>
  <c r="AJF26" i="5"/>
  <c r="KG27" i="5"/>
  <c r="AGZ27" i="5"/>
  <c r="YA24" i="5"/>
  <c r="ALO24" i="5"/>
  <c r="KO25" i="5"/>
  <c r="YC25" i="5"/>
  <c r="AE26" i="5"/>
  <c r="PO26" i="5"/>
  <c r="AEY26" i="5"/>
  <c r="UP27" i="5"/>
  <c r="AJD24" i="5"/>
  <c r="YT25" i="5"/>
  <c r="KR26" i="5"/>
  <c r="AIB26" i="5"/>
  <c r="AEM27" i="5"/>
  <c r="AU25" i="5"/>
  <c r="YU25" i="5"/>
  <c r="JM26" i="5"/>
  <c r="W27" i="5"/>
  <c r="IT24" i="5"/>
  <c r="AGD24" i="5"/>
  <c r="QV25" i="5"/>
  <c r="HR26" i="5"/>
  <c r="AFR26" i="5"/>
  <c r="AAW27" i="5"/>
  <c r="AGE24" i="5"/>
  <c r="QW25" i="5"/>
  <c r="AY26" i="5"/>
  <c r="YY26" i="5"/>
  <c r="OJ24" i="5"/>
  <c r="NF25" i="5"/>
  <c r="MR26" i="5"/>
  <c r="JP28" i="5"/>
  <c r="LO29" i="5"/>
  <c r="XE28" i="5"/>
  <c r="KV30" i="5"/>
  <c r="HG28" i="5"/>
  <c r="AAJ28" i="5"/>
  <c r="XP29" i="5"/>
  <c r="AGY29" i="5"/>
  <c r="AER25" i="5"/>
  <c r="BF26" i="5"/>
  <c r="LB26" i="5"/>
  <c r="UX26" i="5"/>
  <c r="AET26" i="5"/>
  <c r="BU27" i="5"/>
  <c r="QK27" i="5"/>
  <c r="ALH27" i="5"/>
  <c r="AFY25" i="5"/>
  <c r="CM26" i="5"/>
  <c r="MI26" i="5"/>
  <c r="WE26" i="5"/>
  <c r="AGA26" i="5"/>
  <c r="DK27" i="5"/>
  <c r="SX27" i="5"/>
  <c r="CG28" i="5"/>
  <c r="GD25" i="5"/>
  <c r="PZ25" i="5"/>
  <c r="ZV25" i="5"/>
  <c r="AJR25" i="5"/>
  <c r="GF26" i="5"/>
  <c r="QB26" i="5"/>
  <c r="ZX26" i="5"/>
  <c r="AJT26" i="5"/>
  <c r="IJ27" i="5"/>
  <c r="AAI27" i="5"/>
  <c r="NO25" i="5"/>
  <c r="XK25" i="5"/>
  <c r="AHG25" i="5"/>
  <c r="DU26" i="5"/>
  <c r="NQ26" i="5"/>
  <c r="XM26" i="5"/>
  <c r="AHI26" i="5"/>
  <c r="EY27" i="5"/>
  <c r="VL27" i="5"/>
  <c r="HT28" i="5"/>
  <c r="AHF24" i="5"/>
  <c r="DT25" i="5"/>
  <c r="NP25" i="5"/>
  <c r="XL25" i="5"/>
  <c r="AHH25" i="5"/>
  <c r="DV26" i="5"/>
  <c r="NR26" i="5"/>
  <c r="YD26" i="5"/>
  <c r="AJV26" i="5"/>
  <c r="LB27" i="5"/>
  <c r="AIH27" i="5"/>
  <c r="ZW24" i="5"/>
  <c r="AME24" i="5"/>
  <c r="LE25" i="5"/>
  <c r="ZY25" i="5"/>
  <c r="AU26" i="5"/>
  <c r="QE26" i="5"/>
  <c r="AFO26" i="5"/>
  <c r="VV27" i="5"/>
  <c r="AJT24" i="5"/>
  <c r="AAP25" i="5"/>
  <c r="LH26" i="5"/>
  <c r="AIR26" i="5"/>
  <c r="QS24" i="5"/>
  <c r="CA25" i="5"/>
  <c r="AAA25" i="5"/>
  <c r="KC26" i="5"/>
  <c r="BI27" i="5"/>
  <c r="JJ24" i="5"/>
  <c r="AGT24" i="5"/>
  <c r="WZ25" i="5"/>
  <c r="IH26" i="5"/>
  <c r="AGH26" i="5"/>
  <c r="ACC27" i="5"/>
  <c r="AHK24" i="5"/>
  <c r="RM25" i="5"/>
  <c r="BO26" i="5"/>
  <c r="AFC26" i="5"/>
  <c r="PP24" i="5"/>
  <c r="OL25" i="5"/>
  <c r="NH26" i="5"/>
  <c r="KV28" i="5"/>
  <c r="MF29" i="5"/>
  <c r="ZQ28" i="5"/>
  <c r="SX28" i="5"/>
  <c r="KY28" i="5"/>
  <c r="ABP28" i="5"/>
  <c r="HZ28" i="5"/>
  <c r="RW27" i="5"/>
  <c r="AFH25" i="5"/>
  <c r="BV26" i="5"/>
  <c r="LR26" i="5"/>
  <c r="VN26" i="5"/>
  <c r="AFJ26" i="5"/>
  <c r="CN27" i="5"/>
  <c r="RQ27" i="5"/>
  <c r="X28" i="5"/>
  <c r="AGO25" i="5"/>
  <c r="DC26" i="5"/>
  <c r="MY26" i="5"/>
  <c r="WU26" i="5"/>
  <c r="AGQ26" i="5"/>
  <c r="ED27" i="5"/>
  <c r="UD27" i="5"/>
  <c r="ES28" i="5"/>
  <c r="GT25" i="5"/>
  <c r="QP25" i="5"/>
  <c r="AAL25" i="5"/>
  <c r="AKH25" i="5"/>
  <c r="GV26" i="5"/>
  <c r="QR26" i="5"/>
  <c r="AAN26" i="5"/>
  <c r="AKJ26" i="5"/>
  <c r="JE27" i="5"/>
  <c r="ABO27" i="5"/>
  <c r="OE25" i="5"/>
  <c r="YA25" i="5"/>
  <c r="AHW25" i="5"/>
  <c r="EK26" i="5"/>
  <c r="OG26" i="5"/>
  <c r="YC26" i="5"/>
  <c r="AHY26" i="5"/>
  <c r="FW27" i="5"/>
  <c r="WR27" i="5"/>
  <c r="XZ24" i="5"/>
  <c r="AHV24" i="5"/>
  <c r="EJ25" i="5"/>
  <c r="OF25" i="5"/>
  <c r="YB25" i="5"/>
  <c r="AHX25" i="5"/>
  <c r="EL26" i="5"/>
  <c r="OH26" i="5"/>
  <c r="YT26" i="5"/>
  <c r="AKL26" i="5"/>
  <c r="MC27" i="5"/>
  <c r="AJZ27" i="5"/>
  <c r="ABC24" i="5"/>
  <c r="M25" i="5"/>
  <c r="LU25" i="5"/>
  <c r="ABE25" i="5"/>
  <c r="BK26" i="5"/>
  <c r="SA26" i="5"/>
  <c r="AGE26" i="5"/>
  <c r="YH27" i="5"/>
  <c r="CP25" i="5"/>
  <c r="ABF25" i="5"/>
  <c r="LX26" i="5"/>
  <c r="AJH26" i="5"/>
  <c r="RY24" i="5"/>
  <c r="CQ25" i="5"/>
  <c r="AAQ25" i="5"/>
  <c r="QG26" i="5"/>
  <c r="CX27" i="5"/>
  <c r="JZ24" i="5"/>
  <c r="AHJ24" i="5"/>
  <c r="YF25" i="5"/>
  <c r="IX26" i="5"/>
  <c r="AGX26" i="5"/>
  <c r="DL28" i="5"/>
  <c r="AIA24" i="5"/>
  <c r="SC25" i="5"/>
  <c r="CU26" i="5"/>
  <c r="AHO26" i="5"/>
  <c r="SB24" i="5"/>
  <c r="PR25" i="5"/>
  <c r="XD26" i="5"/>
  <c r="LL28" i="5"/>
  <c r="MW29" i="5"/>
  <c r="AAW28" i="5"/>
  <c r="UT28" i="5"/>
  <c r="MU28" i="5"/>
  <c r="AP29" i="5"/>
  <c r="JF28" i="5"/>
  <c r="WG28" i="5"/>
  <c r="WR25" i="5"/>
  <c r="AGN25" i="5"/>
  <c r="DB26" i="5"/>
  <c r="MX26" i="5"/>
  <c r="WT26" i="5"/>
  <c r="AGP26" i="5"/>
  <c r="EC27" i="5"/>
  <c r="UC27" i="5"/>
  <c r="ER28" i="5"/>
  <c r="AHU25" i="5"/>
  <c r="EI26" i="5"/>
  <c r="OE26" i="5"/>
  <c r="YA26" i="5"/>
  <c r="AHW26" i="5"/>
  <c r="FQ27" i="5"/>
  <c r="WP27" i="5"/>
  <c r="ALL24" i="5"/>
  <c r="HZ25" i="5"/>
  <c r="RV25" i="5"/>
  <c r="ABR25" i="5"/>
  <c r="ALN25" i="5"/>
  <c r="IB26" i="5"/>
  <c r="RX26" i="5"/>
  <c r="ABT26" i="5"/>
  <c r="ALP26" i="5"/>
  <c r="KZ27" i="5"/>
  <c r="AEA27" i="5"/>
  <c r="PK25" i="5"/>
  <c r="ZG25" i="5"/>
  <c r="AJC25" i="5"/>
  <c r="FQ26" i="5"/>
  <c r="PM26" i="5"/>
  <c r="ZI26" i="5"/>
  <c r="AJE26" i="5"/>
  <c r="HK27" i="5"/>
  <c r="ZD27" i="5"/>
  <c r="ZF24" i="5"/>
  <c r="AJB24" i="5"/>
  <c r="FP25" i="5"/>
  <c r="PL25" i="5"/>
  <c r="ZH25" i="5"/>
  <c r="AJD25" i="5"/>
  <c r="FR26" i="5"/>
  <c r="PN26" i="5"/>
  <c r="ZZ26" i="5"/>
  <c r="ALR26" i="5"/>
  <c r="OC27" i="5"/>
  <c r="FH28" i="5"/>
  <c r="ACI24" i="5"/>
  <c r="AS25" i="5"/>
  <c r="NQ25" i="5"/>
  <c r="ACK25" i="5"/>
  <c r="EM26" i="5"/>
  <c r="TW26" i="5"/>
  <c r="ALC26" i="5"/>
  <c r="AN28" i="5"/>
  <c r="FB25" i="5"/>
  <c r="ACL25" i="5"/>
  <c r="ND26" i="5"/>
  <c r="FF27" i="5"/>
  <c r="TE24" i="5"/>
  <c r="DW25" i="5"/>
  <c r="AHK25" i="5"/>
  <c r="SS26" i="5"/>
  <c r="EJ27" i="5"/>
  <c r="LF24" i="5"/>
  <c r="CB25" i="5"/>
  <c r="AAB25" i="5"/>
  <c r="KT26" i="5"/>
  <c r="AQ27" i="5"/>
  <c r="LG24" i="5"/>
  <c r="AJG24" i="5"/>
  <c r="TI25" i="5"/>
  <c r="KE26" i="5"/>
  <c r="AIU26" i="5"/>
  <c r="UN24" i="5"/>
  <c r="ABZ25" i="5"/>
  <c r="ADH26" i="5"/>
  <c r="NX28" i="5"/>
  <c r="PS29" i="5"/>
  <c r="CY29" i="5"/>
  <c r="ABN28" i="5"/>
  <c r="PW28" i="5"/>
  <c r="ALS29" i="5"/>
  <c r="SL28" i="5"/>
  <c r="ZD29" i="5"/>
  <c r="XJ28" i="5"/>
  <c r="GM30" i="5"/>
  <c r="AJU28" i="5"/>
  <c r="AIA26" i="5"/>
  <c r="GS27" i="5"/>
  <c r="AAT27" i="5"/>
  <c r="ZH24" i="5"/>
  <c r="AKJ24" i="5"/>
  <c r="ID25" i="5"/>
  <c r="TV25" i="5"/>
  <c r="AEX25" i="5"/>
  <c r="CR26" i="5"/>
  <c r="NT26" i="5"/>
  <c r="YV26" i="5"/>
  <c r="AJX26" i="5"/>
  <c r="KI27" i="5"/>
  <c r="AFT27" i="5"/>
  <c r="WG24" i="5"/>
  <c r="AHY24" i="5"/>
  <c r="FS25" i="5"/>
  <c r="QU25" i="5"/>
  <c r="ABW25" i="5"/>
  <c r="Q26" i="5"/>
  <c r="KS26" i="5"/>
  <c r="WK26" i="5"/>
  <c r="AHM26" i="5"/>
  <c r="GU27" i="5"/>
  <c r="AAV27" i="5"/>
  <c r="LV24" i="5"/>
  <c r="WX24" i="5"/>
  <c r="AHZ24" i="5"/>
  <c r="GJ25" i="5"/>
  <c r="RL25" i="5"/>
  <c r="ADD25" i="5"/>
  <c r="AX26" i="5"/>
  <c r="LZ26" i="5"/>
  <c r="XB26" i="5"/>
  <c r="AID26" i="5"/>
  <c r="IP27" i="5"/>
  <c r="ADI27" i="5"/>
  <c r="OY24" i="5"/>
  <c r="AAA24" i="5"/>
  <c r="ALC24" i="5"/>
  <c r="IW25" i="5"/>
  <c r="TY25" i="5"/>
  <c r="AFA25" i="5"/>
  <c r="DK26" i="5"/>
  <c r="OM26" i="5"/>
  <c r="AAE26" i="5"/>
  <c r="Y27" i="5"/>
  <c r="Y25" i="3" s="1"/>
  <c r="ACD27" i="5"/>
  <c r="VT24" i="5"/>
  <c r="AX25" i="5"/>
  <c r="TZ25" i="5"/>
  <c r="ALV25" i="5"/>
  <c r="ON26" i="5"/>
  <c r="AGZ26" i="5"/>
  <c r="UU27" i="5"/>
  <c r="SV28" i="5"/>
  <c r="ALX28" i="5"/>
  <c r="VB29" i="5"/>
  <c r="IK28" i="5"/>
  <c r="ADI28" i="5"/>
  <c r="MX29" i="5"/>
  <c r="NC30" i="5"/>
  <c r="AFF28" i="5"/>
  <c r="AFO29" i="5"/>
  <c r="AAI28" i="5"/>
  <c r="AFP29" i="5"/>
  <c r="EX29" i="5"/>
  <c r="GC28" i="5"/>
  <c r="AAB29" i="5"/>
  <c r="AKX28" i="5"/>
  <c r="IF30" i="5"/>
  <c r="EM29" i="5"/>
  <c r="VQ25" i="5"/>
  <c r="AFM25" i="5"/>
  <c r="CQ26" i="5"/>
  <c r="NC26" i="5"/>
  <c r="YE26" i="5"/>
  <c r="AIQ26" i="5"/>
  <c r="HR27" i="5"/>
  <c r="ABZ27" i="5"/>
  <c r="ZX24" i="5"/>
  <c r="AKZ24" i="5"/>
  <c r="IT25" i="5"/>
  <c r="UL25" i="5"/>
  <c r="AFN25" i="5"/>
  <c r="DH26" i="5"/>
  <c r="OJ26" i="5"/>
  <c r="ZL26" i="5"/>
  <c r="AKN26" i="5"/>
  <c r="LE27" i="5"/>
  <c r="AIK27" i="5"/>
  <c r="XM24" i="5"/>
  <c r="AIO24" i="5"/>
  <c r="GI25" i="5"/>
  <c r="RK25" i="5"/>
  <c r="ACM25" i="5"/>
  <c r="AG26" i="5"/>
  <c r="LY26" i="5"/>
  <c r="XA26" i="5"/>
  <c r="AIC26" i="5"/>
  <c r="HT27" i="5"/>
  <c r="ACB27" i="5"/>
  <c r="ML24" i="5"/>
  <c r="XN24" i="5"/>
  <c r="AIP24" i="5"/>
  <c r="GZ25" i="5"/>
  <c r="SR25" i="5"/>
  <c r="ADT25" i="5"/>
  <c r="BN26" i="5"/>
  <c r="MP26" i="5"/>
  <c r="XR26" i="5"/>
  <c r="AIT26" i="5"/>
  <c r="JP27" i="5"/>
  <c r="AEO27" i="5"/>
  <c r="PO24" i="5"/>
  <c r="AAQ24" i="5"/>
  <c r="ALS24" i="5"/>
  <c r="JM25" i="5"/>
  <c r="UO25" i="5"/>
  <c r="AGG25" i="5"/>
  <c r="EA26" i="5"/>
  <c r="PS26" i="5"/>
  <c r="AAU26" i="5"/>
  <c r="CZ27" i="5"/>
  <c r="AEP27" i="5"/>
  <c r="WJ24" i="5"/>
  <c r="CD25" i="5"/>
  <c r="UP25" i="5"/>
  <c r="T26" i="5"/>
  <c r="PT26" i="5"/>
  <c r="AHP26" i="5"/>
  <c r="WA27" i="5"/>
  <c r="TL28" i="5"/>
  <c r="V29" i="5"/>
  <c r="WN29" i="5"/>
  <c r="JQ28" i="5"/>
  <c r="AFE28" i="5"/>
  <c r="NO29" i="5"/>
  <c r="RL30" i="5"/>
  <c r="AGL28" i="5"/>
  <c r="AHY29" i="5"/>
  <c r="AAY28" i="5"/>
  <c r="CB30" i="5"/>
  <c r="FN29" i="5"/>
  <c r="GS28" i="5"/>
  <c r="ADS29" i="5"/>
  <c r="BX29" i="5"/>
  <c r="RV27" i="5"/>
  <c r="NX29" i="5"/>
  <c r="CO25" i="5"/>
  <c r="MK25" i="5"/>
  <c r="WG25" i="5"/>
  <c r="AGC25" i="5"/>
  <c r="DG26" i="5"/>
  <c r="OI26" i="5"/>
  <c r="YU26" i="5"/>
  <c r="AJG26" i="5"/>
  <c r="IM27" i="5"/>
  <c r="ADF27" i="5"/>
  <c r="AAN24" i="5"/>
  <c r="ALP24" i="5"/>
  <c r="JZ25" i="5"/>
  <c r="VB25" i="5"/>
  <c r="AGD25" i="5"/>
  <c r="DX26" i="5"/>
  <c r="OZ26" i="5"/>
  <c r="AAB26" i="5"/>
  <c r="ALD26" i="5"/>
  <c r="ME27" i="5"/>
  <c r="ALZ27" i="5"/>
  <c r="YC24" i="5"/>
  <c r="AJE24" i="5"/>
  <c r="GY25" i="5"/>
  <c r="SA25" i="5"/>
  <c r="ADC25" i="5"/>
  <c r="AW26" i="5"/>
  <c r="MO26" i="5"/>
  <c r="XQ26" i="5"/>
  <c r="AIS26" i="5"/>
  <c r="IO27" i="5"/>
  <c r="ADH27" i="5"/>
  <c r="NB24" i="5"/>
  <c r="YD24" i="5"/>
  <c r="AJV24" i="5"/>
  <c r="IF25" i="5"/>
  <c r="TH25" i="5"/>
  <c r="AEJ25" i="5"/>
  <c r="CD26" i="5"/>
  <c r="NF26" i="5"/>
  <c r="YH26" i="5"/>
  <c r="AJZ26" i="5"/>
  <c r="KK27" i="5"/>
  <c r="AFV27" i="5"/>
  <c r="QE24" i="5"/>
  <c r="ABG24" i="5"/>
  <c r="A25" i="5"/>
  <c r="KC25" i="5"/>
  <c r="VE25" i="5"/>
  <c r="AGW25" i="5"/>
  <c r="FG26" i="5"/>
  <c r="QI26" i="5"/>
  <c r="ABK26" i="5"/>
  <c r="EL27" i="5"/>
  <c r="AHN27" i="5"/>
  <c r="WZ24" i="5"/>
  <c r="CT25" i="5"/>
  <c r="VF25" i="5"/>
  <c r="AJ26" i="5"/>
  <c r="SF26" i="5"/>
  <c r="AIV26" i="5"/>
  <c r="XG27" i="5"/>
  <c r="UB28" i="5"/>
  <c r="BB29" i="5"/>
  <c r="XG29" i="5"/>
  <c r="KW28" i="5"/>
  <c r="AFU28" i="5"/>
  <c r="OH29" i="5"/>
  <c r="TY30" i="5"/>
  <c r="AJN28" i="5"/>
  <c r="O30" i="5"/>
  <c r="AEQ28" i="5"/>
  <c r="ER30" i="5"/>
  <c r="IP29" i="5"/>
  <c r="VM28" i="5"/>
  <c r="AFR29" i="5"/>
  <c r="IB29" i="5"/>
  <c r="VN27" i="5"/>
  <c r="VK29" i="5"/>
  <c r="AJW26" i="5"/>
  <c r="JI27" i="5"/>
  <c r="AEL27" i="5"/>
  <c r="ABD24" i="5"/>
  <c r="AMF24" i="5"/>
  <c r="KP25" i="5"/>
  <c r="VR25" i="5"/>
  <c r="AGT25" i="5"/>
  <c r="EN26" i="5"/>
  <c r="PP26" i="5"/>
  <c r="AAR26" i="5"/>
  <c r="ALT26" i="5"/>
  <c r="PS27" i="5"/>
  <c r="AQ28" i="5"/>
  <c r="YS24" i="5"/>
  <c r="AJU24" i="5"/>
  <c r="HO25" i="5"/>
  <c r="SQ25" i="5"/>
  <c r="ADS25" i="5"/>
  <c r="CC26" i="5"/>
  <c r="NE26" i="5"/>
  <c r="YG26" i="5"/>
  <c r="AJI26" i="5"/>
  <c r="JO27" i="5"/>
  <c r="AEN27" i="5"/>
  <c r="NR24" i="5"/>
  <c r="YT24" i="5"/>
  <c r="ALB24" i="5"/>
  <c r="IV25" i="5"/>
  <c r="TX25" i="5"/>
  <c r="AEZ25" i="5"/>
  <c r="CT26" i="5"/>
  <c r="NV26" i="5"/>
  <c r="YX26" i="5"/>
  <c r="AKP26" i="5"/>
  <c r="LK27" i="5"/>
  <c r="AHE27" i="5"/>
  <c r="QU24" i="5"/>
  <c r="ABW24" i="5"/>
  <c r="Q25" i="5"/>
  <c r="KS25" i="5"/>
  <c r="WK25" i="5"/>
  <c r="AIC25" i="5"/>
  <c r="FW26" i="5"/>
  <c r="QY26" i="5"/>
  <c r="ACA26" i="5"/>
  <c r="FI27" i="5"/>
  <c r="BB28" i="5"/>
  <c r="ZL24" i="5"/>
  <c r="DJ25" i="5"/>
  <c r="VV25" i="5"/>
  <c r="AZ26" i="5"/>
  <c r="TL26" i="5"/>
  <c r="AKB26" i="5"/>
  <c r="YM27" i="5"/>
  <c r="UR28" i="5"/>
  <c r="BR29" i="5"/>
  <c r="YY29" i="5"/>
  <c r="LM28" i="5"/>
  <c r="AGK28" i="5"/>
  <c r="PA29" i="5"/>
  <c r="YJ30" i="5"/>
  <c r="AKT28" i="5"/>
  <c r="ND30" i="5"/>
  <c r="AGM28" i="5"/>
  <c r="GI30" i="5"/>
  <c r="PD29" i="5"/>
  <c r="WS28" i="5"/>
  <c r="AGV29" i="5"/>
  <c r="PF29" i="5"/>
  <c r="WD27" i="5"/>
  <c r="AJL29" i="5"/>
  <c r="AKM26" i="5"/>
  <c r="KH27" i="5"/>
  <c r="AFS27" i="5"/>
  <c r="ABT24" i="5"/>
  <c r="AD25" i="5"/>
  <c r="LF25" i="5"/>
  <c r="WH25" i="5"/>
  <c r="AHJ25" i="5"/>
  <c r="FD26" i="5"/>
  <c r="QF26" i="5"/>
  <c r="ABH26" i="5"/>
  <c r="AO27" i="5"/>
  <c r="QY27" i="5"/>
  <c r="CX28" i="5"/>
  <c r="ZI24" i="5"/>
  <c r="AKK24" i="5"/>
  <c r="IE25" i="5"/>
  <c r="TG25" i="5"/>
  <c r="AEI25" i="5"/>
  <c r="CS26" i="5"/>
  <c r="NU26" i="5"/>
  <c r="YW26" i="5"/>
  <c r="AJY26" i="5"/>
  <c r="KJ27" i="5"/>
  <c r="AFU27" i="5"/>
  <c r="OH24" i="5"/>
  <c r="AAP24" i="5"/>
  <c r="ALR24" i="5"/>
  <c r="JL25" i="5"/>
  <c r="UN25" i="5"/>
  <c r="AFP25" i="5"/>
  <c r="DJ26" i="5"/>
  <c r="OL26" i="5"/>
  <c r="AAD26" i="5"/>
  <c r="ALF26" i="5"/>
  <c r="MG27" i="5"/>
  <c r="AIU27" i="5"/>
  <c r="RK24" i="5"/>
  <c r="ACM24" i="5"/>
  <c r="AG25" i="5"/>
  <c r="LI25" i="5"/>
  <c r="XQ25" i="5"/>
  <c r="AIS25" i="5"/>
  <c r="GM26" i="5"/>
  <c r="RO26" i="5"/>
  <c r="ACQ26" i="5"/>
  <c r="GC27" i="5"/>
  <c r="FY28" i="5"/>
  <c r="ABX24" i="5"/>
  <c r="EP25" i="5"/>
  <c r="WL25" i="5"/>
  <c r="BP26" i="5"/>
  <c r="UB26" i="5"/>
  <c r="G27" i="5"/>
  <c r="AAY27" i="5"/>
  <c r="VX28" i="5"/>
  <c r="CX29" i="5"/>
  <c r="ZS29" i="5"/>
  <c r="MC28" i="5"/>
  <c r="AHA28" i="5"/>
  <c r="QM29" i="5"/>
  <c r="MD28" i="5"/>
  <c r="X29" i="5"/>
  <c r="AJM27" i="5"/>
  <c r="AHC28" i="5"/>
  <c r="HX28" i="5"/>
  <c r="QS29" i="5"/>
  <c r="ZU28" i="5"/>
  <c r="DL30" i="5"/>
  <c r="PY29" i="5"/>
  <c r="YB28" i="5"/>
  <c r="FG30" i="5"/>
  <c r="AHA27" i="5"/>
  <c r="ACJ24" i="5"/>
  <c r="AT25" i="5"/>
  <c r="LV25" i="5"/>
  <c r="WX25" i="5"/>
  <c r="AHZ25" i="5"/>
  <c r="FT26" i="5"/>
  <c r="QV26" i="5"/>
  <c r="ACN26" i="5"/>
  <c r="BH27" i="5"/>
  <c r="SE27" i="5"/>
  <c r="FJ28" i="5"/>
  <c r="ZY24" i="5"/>
  <c r="ALA24" i="5"/>
  <c r="IU25" i="5"/>
  <c r="TW25" i="5"/>
  <c r="AFO25" i="5"/>
  <c r="DI26" i="5"/>
  <c r="OK26" i="5"/>
  <c r="ZM26" i="5"/>
  <c r="AKO26" i="5"/>
  <c r="LJ27" i="5"/>
  <c r="AHC27" i="5"/>
  <c r="QD24" i="5"/>
  <c r="ABF24" i="5"/>
  <c r="AMH24" i="5"/>
  <c r="KB25" i="5"/>
  <c r="VD25" i="5"/>
  <c r="AGF25" i="5"/>
  <c r="DZ26" i="5"/>
  <c r="PB26" i="5"/>
  <c r="AAT26" i="5"/>
  <c r="ALV26" i="5"/>
  <c r="NI27" i="5"/>
  <c r="AKG27" i="5"/>
  <c r="SA24" i="5"/>
  <c r="ADC24" i="5"/>
  <c r="AW25" i="5"/>
  <c r="NE25" i="5"/>
  <c r="YG25" i="5"/>
  <c r="AJI25" i="5"/>
  <c r="HC26" i="5"/>
  <c r="SE26" i="5"/>
  <c r="ADG26" i="5"/>
  <c r="GW27" i="5"/>
  <c r="KR24" i="5"/>
  <c r="ADD24" i="5"/>
  <c r="FV25" i="5"/>
  <c r="XB25" i="5"/>
  <c r="CF26" i="5"/>
  <c r="UR26" i="5"/>
  <c r="AS27" i="5"/>
  <c r="ADK27" i="5"/>
  <c r="YJ28" i="5"/>
  <c r="DN29" i="5"/>
  <c r="AAQ29" i="5"/>
  <c r="MS28" i="5"/>
  <c r="AHQ28" i="5"/>
  <c r="SU29" i="5"/>
  <c r="PV28" i="5"/>
  <c r="BT29" i="5"/>
  <c r="AKS27" i="5"/>
  <c r="AKE28" i="5"/>
  <c r="JT28" i="5"/>
  <c r="RL29" i="5"/>
  <c r="AFY28" i="5"/>
  <c r="JN30" i="5"/>
  <c r="QU29" i="5"/>
  <c r="ACZ28" i="5"/>
  <c r="KN27" i="5"/>
  <c r="AFN26" i="5"/>
  <c r="CU27" i="5"/>
  <c r="RU27" i="5"/>
  <c r="AL28" i="5"/>
  <c r="YQ24" i="5"/>
  <c r="AIM24" i="5"/>
  <c r="FA25" i="5"/>
  <c r="OW25" i="5"/>
  <c r="YS25" i="5"/>
  <c r="AJE25" i="5"/>
  <c r="GI26" i="5"/>
  <c r="QU26" i="5"/>
  <c r="ABG26" i="5"/>
  <c r="ALS26" i="5"/>
  <c r="MD27" i="5"/>
  <c r="AII27" i="5"/>
  <c r="ADP24" i="5"/>
  <c r="BJ25" i="5"/>
  <c r="ML25" i="5"/>
  <c r="XN25" i="5"/>
  <c r="AIP25" i="5"/>
  <c r="GJ26" i="5"/>
  <c r="SB26" i="5"/>
  <c r="ADT26" i="5"/>
  <c r="CD27" i="5"/>
  <c r="TK27" i="5"/>
  <c r="IJ28" i="5"/>
  <c r="AAO24" i="5"/>
  <c r="ALQ24" i="5"/>
  <c r="JK25" i="5"/>
  <c r="UM25" i="5"/>
  <c r="AGE25" i="5"/>
  <c r="DY26" i="5"/>
  <c r="PA26" i="5"/>
  <c r="AAC26" i="5"/>
  <c r="ALE26" i="5"/>
  <c r="MF27" i="5"/>
  <c r="AKD27" i="5"/>
  <c r="QT24" i="5"/>
  <c r="ABV24" i="5"/>
  <c r="P25" i="5"/>
  <c r="KR25" i="5"/>
  <c r="VT25" i="5"/>
  <c r="AGV25" i="5"/>
  <c r="EP26" i="5"/>
  <c r="QH26" i="5"/>
  <c r="ABJ26" i="5"/>
  <c r="E27" i="5"/>
  <c r="OO27" i="5"/>
  <c r="D28" i="5"/>
  <c r="SQ24" i="5"/>
  <c r="ADS24" i="5"/>
  <c r="CS25" i="5"/>
  <c r="NU25" i="5"/>
  <c r="YW25" i="5"/>
  <c r="AJY25" i="5"/>
  <c r="HS26" i="5"/>
  <c r="SU26" i="5"/>
  <c r="ADW26" i="5"/>
  <c r="HV27" i="5"/>
  <c r="LH24" i="5"/>
  <c r="ADT24" i="5"/>
  <c r="IH25" i="5"/>
  <c r="YH25" i="5"/>
  <c r="CV26" i="5"/>
  <c r="VH26" i="5"/>
  <c r="BO27" i="5"/>
  <c r="DN28" i="5"/>
  <c r="AAV28" i="5"/>
  <c r="ET29" i="5"/>
  <c r="ADH29" i="5"/>
  <c r="OO28" i="5"/>
  <c r="AKC28" i="5"/>
  <c r="UG29" i="5"/>
  <c r="RB28" i="5"/>
  <c r="GB29" i="5"/>
  <c r="ALI27" i="5"/>
  <c r="I29" i="5"/>
  <c r="KZ28" i="5"/>
  <c r="SE29" i="5"/>
  <c r="AHE28" i="5"/>
  <c r="EX28" i="5"/>
  <c r="ABV29" i="5"/>
  <c r="AMF28" i="5"/>
  <c r="ZH27" i="5"/>
  <c r="AGD26" i="5"/>
  <c r="DN27" i="5"/>
  <c r="TA27" i="5"/>
  <c r="CV28" i="5"/>
  <c r="ZG24" i="5"/>
  <c r="AJC24" i="5"/>
  <c r="FQ25" i="5"/>
  <c r="PM25" i="5"/>
  <c r="ZI25" i="5"/>
  <c r="AJU25" i="5"/>
  <c r="GY26" i="5"/>
  <c r="RK26" i="5"/>
  <c r="ABW26" i="5"/>
  <c r="B27" i="5"/>
  <c r="NF27" i="5"/>
  <c r="AKA27" i="5"/>
  <c r="AEF24" i="5"/>
  <c r="BZ25" i="5"/>
  <c r="NB25" i="5"/>
  <c r="YD25" i="5"/>
  <c r="AJF25" i="5"/>
  <c r="HP26" i="5"/>
  <c r="SR26" i="5"/>
  <c r="AEJ26" i="5"/>
  <c r="CW27" i="5"/>
  <c r="UQ27" i="5"/>
  <c r="QC24" i="5"/>
  <c r="ABE24" i="5"/>
  <c r="AMG24" i="5"/>
  <c r="KA25" i="5"/>
  <c r="VS25" i="5"/>
  <c r="AGU25" i="5"/>
  <c r="EO26" i="5"/>
  <c r="PQ26" i="5"/>
  <c r="AAS26" i="5"/>
  <c r="ALU26" i="5"/>
  <c r="ON27" i="5"/>
  <c r="AZ28" i="5"/>
  <c r="RJ24" i="5"/>
  <c r="ACL24" i="5"/>
  <c r="AF25" i="5"/>
  <c r="LH25" i="5"/>
  <c r="WJ25" i="5"/>
  <c r="AHL25" i="5"/>
  <c r="FF26" i="5"/>
  <c r="QX26" i="5"/>
  <c r="ABZ26" i="5"/>
  <c r="X27" i="5"/>
  <c r="PU27" i="5"/>
  <c r="BA28" i="5"/>
  <c r="TG24" i="5"/>
  <c r="AEY24" i="5"/>
  <c r="DI25" i="5"/>
  <c r="OK25" i="5"/>
  <c r="ZM25" i="5"/>
  <c r="AKO25" i="5"/>
  <c r="II26" i="5"/>
  <c r="TK26" i="5"/>
  <c r="AEM26" i="5"/>
  <c r="JQ27" i="5"/>
  <c r="LX24" i="5"/>
  <c r="AEJ24" i="5"/>
  <c r="JN25" i="5"/>
  <c r="ZN25" i="5"/>
  <c r="DL26" i="5"/>
  <c r="VX26" i="5"/>
  <c r="EP27" i="5"/>
  <c r="FZ28" i="5"/>
  <c r="ACR28" i="5"/>
  <c r="FZ29" i="5"/>
  <c r="AFM29" i="5"/>
  <c r="QK28" i="5"/>
  <c r="ALI28" i="5"/>
  <c r="YZ29" i="5"/>
  <c r="RR28" i="5"/>
  <c r="IN29" i="5"/>
  <c r="G28" i="5"/>
  <c r="DQ29" i="5"/>
  <c r="OR28" i="5"/>
  <c r="SX29" i="5"/>
  <c r="AHU28" i="5"/>
  <c r="GT28" i="5"/>
  <c r="AJI29" i="5"/>
  <c r="CP29" i="5"/>
  <c r="AMF27" i="5"/>
  <c r="XN26" i="5"/>
  <c r="AHJ26" i="5"/>
  <c r="EZ27" i="5"/>
  <c r="VM27" i="5"/>
  <c r="HV28" i="5"/>
  <c r="AAM24" i="5"/>
  <c r="AKI24" i="5"/>
  <c r="GW25" i="5"/>
  <c r="QS25" i="5"/>
  <c r="AAO25" i="5"/>
  <c r="ALA25" i="5"/>
  <c r="IE26" i="5"/>
  <c r="SQ26" i="5"/>
  <c r="ADC26" i="5"/>
  <c r="AN27" i="5"/>
  <c r="PR27" i="5"/>
  <c r="CW28" i="5"/>
  <c r="AFL24" i="5"/>
  <c r="DF25" i="5"/>
  <c r="OH25" i="5"/>
  <c r="ZZ25" i="5"/>
  <c r="ALB25" i="5"/>
  <c r="IV26" i="5"/>
  <c r="UN26" i="5"/>
  <c r="AFP26" i="5"/>
  <c r="EI27" i="5"/>
  <c r="XC27" i="5"/>
  <c r="RI24" i="5"/>
  <c r="ACK24" i="5"/>
  <c r="AE25" i="5"/>
  <c r="LW25" i="5"/>
  <c r="WY25" i="5"/>
  <c r="AIA25" i="5"/>
  <c r="FU26" i="5"/>
  <c r="QW26" i="5"/>
  <c r="ACO26" i="5"/>
  <c r="AP27" i="5"/>
  <c r="SF27" i="5"/>
  <c r="FO28" i="5"/>
  <c r="SP24" i="5"/>
  <c r="ADR24" i="5"/>
  <c r="BL25" i="5"/>
  <c r="MN25" i="5"/>
  <c r="XP25" i="5"/>
  <c r="AIR25" i="5"/>
  <c r="HB26" i="5"/>
  <c r="SD26" i="5"/>
  <c r="ADF26" i="5"/>
  <c r="BJ27" i="5"/>
  <c r="SG27" i="5"/>
  <c r="IZ28" i="5"/>
  <c r="VC24" i="5"/>
  <c r="AGU24" i="5"/>
  <c r="EO25" i="5"/>
  <c r="PQ25" i="5"/>
  <c r="AAS25" i="5"/>
  <c r="ALU25" i="5"/>
  <c r="JO26" i="5"/>
  <c r="UQ26" i="5"/>
  <c r="AGY26" i="5"/>
  <c r="NJ27" i="5"/>
  <c r="ND24" i="5"/>
  <c r="AFP24" i="5"/>
  <c r="KT25" i="5"/>
  <c r="ADF25" i="5"/>
  <c r="IJ26" i="5"/>
  <c r="ZP26" i="5"/>
  <c r="GD27" i="5"/>
  <c r="KF28" i="5"/>
  <c r="ADX28" i="5"/>
  <c r="KH29" i="5"/>
  <c r="AK30" i="5"/>
  <c r="UC28" i="5"/>
  <c r="BS29" i="5"/>
  <c r="AAR29" i="5"/>
  <c r="TN28" i="5"/>
  <c r="MH29" i="5"/>
  <c r="CI28" i="5"/>
  <c r="FM29" i="5"/>
  <c r="SZ28" i="5"/>
  <c r="GJ30" i="5"/>
  <c r="AJA28" i="5"/>
  <c r="IP28" i="5"/>
  <c r="AAA30" i="5"/>
  <c r="MO29" i="5"/>
  <c r="HR30" i="5"/>
  <c r="ACF28" i="5"/>
  <c r="TQ29" i="5"/>
  <c r="HI28" i="5"/>
  <c r="DS29" i="5"/>
  <c r="SB30" i="5"/>
  <c r="XZ28" i="5"/>
  <c r="NO28" i="5"/>
  <c r="L28" i="5"/>
  <c r="XK27" i="5"/>
  <c r="XN28" i="5"/>
  <c r="JL30" i="5"/>
  <c r="ACV28" i="5"/>
  <c r="UM29" i="5"/>
  <c r="MG28" i="5"/>
  <c r="GE29" i="5"/>
  <c r="AGN27" i="5"/>
  <c r="YP28" i="5"/>
  <c r="XK28" i="5"/>
  <c r="AB28" i="5"/>
  <c r="AGQ27" i="5"/>
  <c r="ALR28" i="5"/>
  <c r="CJ29" i="5"/>
  <c r="AJE29" i="5"/>
  <c r="OA28" i="5"/>
  <c r="GC29" i="5"/>
  <c r="LH30" i="5"/>
  <c r="ADL28" i="5"/>
  <c r="ADR29" i="5"/>
  <c r="OS28" i="5"/>
  <c r="HK29" i="5"/>
  <c r="AHT27" i="5"/>
  <c r="AHV28" i="5"/>
  <c r="ABC28" i="5"/>
  <c r="HL28" i="5"/>
  <c r="M28" i="5"/>
  <c r="M26" i="3" s="1"/>
  <c r="ADB29" i="5"/>
  <c r="CZ29" i="5"/>
  <c r="AKK29" i="5"/>
  <c r="OQ28" i="5"/>
  <c r="GS29" i="5"/>
  <c r="NE30" i="5"/>
  <c r="AIJ28" i="5"/>
  <c r="AIA29" i="5"/>
  <c r="RU28" i="5"/>
  <c r="IA29" i="5"/>
  <c r="AIZ27" i="5"/>
  <c r="AJB28" i="5"/>
  <c r="AEE28" i="5"/>
  <c r="OF28" i="5"/>
  <c r="IC28" i="5"/>
  <c r="NX30" i="5"/>
  <c r="HG29" i="5"/>
  <c r="AFN29" i="5"/>
  <c r="UD28" i="5"/>
  <c r="EV29" i="5"/>
  <c r="ALQ29" i="5"/>
  <c r="PG28" i="5"/>
  <c r="HI29" i="5"/>
  <c r="FL28" i="5"/>
  <c r="AMB28" i="5"/>
  <c r="AKM29" i="5"/>
  <c r="TQ28" i="5"/>
  <c r="LC29" i="5"/>
  <c r="AMB27" i="5"/>
  <c r="AJR28" i="5"/>
  <c r="AKY28" i="5"/>
  <c r="PL28" i="5"/>
  <c r="OG28" i="5"/>
  <c r="AJE27" i="5"/>
  <c r="AHI25" i="5"/>
  <c r="DW26" i="5"/>
  <c r="NS26" i="5"/>
  <c r="XO26" i="5"/>
  <c r="AHK26" i="5"/>
  <c r="FA27" i="5"/>
  <c r="XB27" i="5"/>
  <c r="WV24" i="5"/>
  <c r="AHH24" i="5"/>
  <c r="EL25" i="5"/>
  <c r="OX25" i="5"/>
  <c r="ZJ25" i="5"/>
  <c r="AJV25" i="5"/>
  <c r="GZ26" i="5"/>
  <c r="RL26" i="5"/>
  <c r="ABX26" i="5"/>
  <c r="C27" i="5"/>
  <c r="OM27" i="5"/>
  <c r="AKB27" i="5"/>
  <c r="WW24" i="5"/>
  <c r="AHI24" i="5"/>
  <c r="EM25" i="5"/>
  <c r="OY25" i="5"/>
  <c r="ZK25" i="5"/>
  <c r="AJW25" i="5"/>
  <c r="HA26" i="5"/>
  <c r="RM26" i="5"/>
  <c r="ABY26" i="5"/>
  <c r="D27" i="5"/>
  <c r="NH27" i="5"/>
  <c r="AIT27" i="5"/>
  <c r="OX24" i="5"/>
  <c r="ZZ24" i="5"/>
  <c r="AKL24" i="5"/>
  <c r="HP25" i="5"/>
  <c r="SB25" i="5"/>
  <c r="ACN25" i="5"/>
  <c r="R26" i="5"/>
  <c r="KD26" i="5"/>
  <c r="UP26" i="5"/>
  <c r="AFB26" i="5"/>
  <c r="CY27" i="5"/>
  <c r="TM27" i="5"/>
  <c r="FX28" i="5"/>
  <c r="TW24" i="5"/>
  <c r="AEI24" i="5"/>
  <c r="BM25" i="5"/>
  <c r="MO25" i="5"/>
  <c r="XA25" i="5"/>
  <c r="AHM25" i="5"/>
  <c r="EQ26" i="5"/>
  <c r="PC26" i="5"/>
  <c r="ZO26" i="5"/>
  <c r="AKQ26" i="5"/>
  <c r="YL27" i="5"/>
  <c r="TH24" i="5"/>
  <c r="AIB24" i="5"/>
  <c r="LZ25" i="5"/>
  <c r="ADV25" i="5"/>
  <c r="FX26" i="5"/>
  <c r="WN26" i="5"/>
  <c r="CH27" i="5"/>
  <c r="F28" i="5"/>
  <c r="XD28" i="5"/>
  <c r="CH29" i="5"/>
  <c r="YE29" i="5"/>
  <c r="KG28" i="5"/>
  <c r="AEO28" i="5"/>
  <c r="KY29" i="5"/>
  <c r="ALH29" i="5"/>
  <c r="WP28" i="5"/>
  <c r="GR29" i="5"/>
  <c r="AU30" i="5"/>
  <c r="WQ28" i="5"/>
  <c r="RK29" i="5"/>
  <c r="JD28" i="5"/>
  <c r="BF29" i="5"/>
  <c r="DK30" i="5"/>
  <c r="WC28" i="5"/>
  <c r="ML29" i="5"/>
  <c r="GD28" i="5"/>
  <c r="L29" i="5"/>
  <c r="FQ29" i="5"/>
  <c r="ACJ28" i="5"/>
  <c r="AEG28" i="5"/>
  <c r="TW28" i="5"/>
  <c r="FU29" i="5"/>
  <c r="AFA29" i="5"/>
  <c r="AIP27" i="5"/>
  <c r="AEJ28" i="5"/>
  <c r="DG27" i="5"/>
  <c r="LJ28" i="5"/>
  <c r="QX27" i="5"/>
  <c r="ALX27" i="5"/>
  <c r="ACZ24" i="5"/>
  <c r="N25" i="5"/>
  <c r="JJ25" i="5"/>
  <c r="TF25" i="5"/>
  <c r="ADB25" i="5"/>
  <c r="P26" i="5"/>
  <c r="JL26" i="5"/>
  <c r="TH26" i="5"/>
  <c r="ADD26" i="5"/>
  <c r="V27" i="5"/>
  <c r="NG27" i="5"/>
  <c r="AHB27" i="5"/>
  <c r="VA24" i="5"/>
  <c r="AEW24" i="5"/>
  <c r="BK25" i="5"/>
  <c r="LG25" i="5"/>
  <c r="VC25" i="5"/>
  <c r="AEY25" i="5"/>
  <c r="BM26" i="5"/>
  <c r="LI26" i="5"/>
  <c r="VE26" i="5"/>
  <c r="AFA26" i="5"/>
  <c r="CE27" i="5"/>
  <c r="QZ27" i="5"/>
  <c r="AMC27" i="5"/>
  <c r="PN24" i="5"/>
  <c r="ZJ24" i="5"/>
  <c r="AJF24" i="5"/>
  <c r="FT25" i="5"/>
  <c r="PP25" i="5"/>
  <c r="ZL25" i="5"/>
  <c r="AJH25" i="5"/>
  <c r="FV26" i="5"/>
  <c r="PR26" i="5"/>
  <c r="ZN26" i="5"/>
  <c r="AJJ26" i="5"/>
  <c r="HU27" i="5"/>
  <c r="ZQ27" i="5"/>
  <c r="LW24" i="5"/>
  <c r="VS24" i="5"/>
  <c r="AFO24" i="5"/>
  <c r="CC25" i="5"/>
  <c r="LY25" i="5"/>
  <c r="VU25" i="5"/>
  <c r="AFQ25" i="5"/>
  <c r="CE26" i="5"/>
  <c r="MA26" i="5"/>
  <c r="VW26" i="5"/>
  <c r="AFS26" i="5"/>
  <c r="IQ27" i="5"/>
  <c r="JB28" i="5"/>
  <c r="YF24" i="5"/>
  <c r="BN25" i="5"/>
  <c r="SD25" i="5"/>
  <c r="AGH25" i="5"/>
  <c r="KF26" i="5"/>
  <c r="YJ26" i="5"/>
  <c r="DT27" i="5"/>
  <c r="AIW27" i="5"/>
  <c r="VH28" i="5"/>
  <c r="AL29" i="5"/>
  <c r="RE29" i="5"/>
  <c r="HO30" i="5"/>
  <c r="VY28" i="5"/>
  <c r="CI29" i="5"/>
  <c r="XH29" i="5"/>
  <c r="KX28" i="5"/>
  <c r="AFV28" i="5"/>
  <c r="SC29" i="5"/>
  <c r="ALY27" i="5"/>
  <c r="ABO28" i="5"/>
  <c r="UL29" i="5"/>
  <c r="KJ28" i="5"/>
  <c r="DB29" i="5"/>
  <c r="Q30" i="5"/>
  <c r="UW28" i="5"/>
  <c r="JW29" i="5"/>
  <c r="AIJ27" i="5"/>
  <c r="ADN28" i="5"/>
  <c r="OE28" i="5"/>
  <c r="AFJ27" i="5"/>
  <c r="LX30" i="5"/>
  <c r="SN27" i="5"/>
  <c r="JH29" i="5"/>
  <c r="AEP29" i="5"/>
  <c r="KM28" i="5"/>
  <c r="YQ28" i="5"/>
  <c r="AME28" i="5"/>
  <c r="QV29" i="5"/>
  <c r="AZ30" i="5"/>
  <c r="TB27" i="5"/>
  <c r="AHV27" i="5"/>
  <c r="JX28" i="5"/>
  <c r="ZX28" i="5"/>
  <c r="AD29" i="5"/>
  <c r="QD29" i="5"/>
  <c r="AJK29" i="5"/>
  <c r="UI27" i="5"/>
  <c r="AHW27" i="5"/>
  <c r="JY28" i="5"/>
  <c r="XM28" i="5"/>
  <c r="BK29" i="5"/>
  <c r="PI29" i="5"/>
  <c r="ALX29" i="5"/>
  <c r="LT27" i="5"/>
  <c r="AFL27" i="5"/>
  <c r="AAP28" i="5"/>
  <c r="AGD29" i="5"/>
  <c r="O28" i="5"/>
  <c r="KC29" i="5"/>
  <c r="FT28" i="5"/>
  <c r="LW27" i="5"/>
  <c r="AGH28" i="5"/>
  <c r="ND29" i="5"/>
  <c r="AFS29" i="5"/>
  <c r="LS28" i="5"/>
  <c r="ZG28" i="5"/>
  <c r="AS29" i="5"/>
  <c r="RO29" i="5"/>
  <c r="CF30" i="5"/>
  <c r="TR27" i="5"/>
  <c r="AJB27" i="5"/>
  <c r="LD28" i="5"/>
  <c r="AAN28" i="5"/>
  <c r="AT29" i="5"/>
  <c r="QW29" i="5"/>
  <c r="U30" i="5"/>
  <c r="UY27" i="5"/>
  <c r="AIM27" i="5"/>
  <c r="KO28" i="5"/>
  <c r="YC28" i="5"/>
  <c r="CA29" i="5"/>
  <c r="QE29" i="5"/>
  <c r="V30" i="5"/>
  <c r="MJ27" i="5"/>
  <c r="AJD27" i="5"/>
  <c r="ABF28" i="5"/>
  <c r="AHI29" i="5"/>
  <c r="AE28" i="5"/>
  <c r="QZ29" i="5"/>
  <c r="QF28" i="5"/>
  <c r="NS27" i="5"/>
  <c r="DL29" i="5"/>
  <c r="AAV29" i="5"/>
  <c r="AHD27" i="5"/>
  <c r="HJ28" i="5"/>
  <c r="WT28" i="5"/>
  <c r="AKH28" i="5"/>
  <c r="OM29" i="5"/>
  <c r="AGW29" i="5"/>
  <c r="MI28" i="5"/>
  <c r="ZW28" i="5"/>
  <c r="DE29" i="5"/>
  <c r="SH29" i="5"/>
  <c r="DW30" i="5"/>
  <c r="UH27" i="5"/>
  <c r="AJR27" i="5"/>
  <c r="LT28" i="5"/>
  <c r="ABD28" i="5"/>
  <c r="BJ29" i="5"/>
  <c r="RP29" i="5"/>
  <c r="CG30" i="5"/>
  <c r="VO27" i="5"/>
  <c r="AJC27" i="5"/>
  <c r="LE28" i="5"/>
  <c r="ZY28" i="5"/>
  <c r="CQ29" i="5"/>
  <c r="QX29" i="5"/>
  <c r="BB30" i="5"/>
  <c r="MZ27" i="5"/>
  <c r="AKJ27" i="5"/>
  <c r="AHJ28" i="5"/>
  <c r="AIO29" i="5"/>
  <c r="AU28" i="5"/>
  <c r="WI29" i="5"/>
  <c r="TX28" i="5"/>
  <c r="TW27" i="5"/>
  <c r="AG27" i="5"/>
  <c r="AIC29" i="5"/>
  <c r="MY28" i="5"/>
  <c r="AAM28" i="5"/>
  <c r="EK29" i="5"/>
  <c r="TA29" i="5"/>
  <c r="FE30" i="5"/>
  <c r="UX27" i="5"/>
  <c r="ALN27" i="5"/>
  <c r="MJ28" i="5"/>
  <c r="ABT28" i="5"/>
  <c r="BZ29" i="5"/>
  <c r="SI29" i="5"/>
  <c r="GN30" i="5"/>
  <c r="WE27" i="5"/>
  <c r="AJS27" i="5"/>
  <c r="LU28" i="5"/>
  <c r="ADA28" i="5"/>
  <c r="DG29" i="5"/>
  <c r="TF29" i="5"/>
  <c r="CQ30" i="5"/>
  <c r="QR27" i="5"/>
  <c r="AKZ27" i="5"/>
  <c r="AKL28" i="5"/>
  <c r="FH30" i="5"/>
  <c r="JK28" i="5"/>
  <c r="XB29" i="5"/>
  <c r="AAR28" i="5"/>
  <c r="WI27" i="5"/>
  <c r="YW27" i="5"/>
  <c r="KA30" i="5"/>
  <c r="WU27" i="5"/>
  <c r="ALO27" i="5"/>
  <c r="MK28" i="5"/>
  <c r="ADQ28" i="5"/>
  <c r="DW29" i="5"/>
  <c r="UR29" i="5"/>
  <c r="DY30" i="5"/>
  <c r="RX27" i="5"/>
  <c r="ALP27" i="5"/>
  <c r="ALB28" i="5"/>
  <c r="KC30" i="5"/>
  <c r="RK28" i="5"/>
  <c r="XV29" i="5"/>
  <c r="ACN28" i="5"/>
  <c r="YE27" i="5"/>
  <c r="C28" i="5"/>
  <c r="AGU27" i="5"/>
  <c r="AKQ28" i="5"/>
  <c r="OG29" i="5"/>
  <c r="ABK29" i="5"/>
  <c r="IY30" i="5"/>
  <c r="NI28" i="5"/>
  <c r="XU28" i="5"/>
  <c r="AIG28" i="5"/>
  <c r="GA29" i="5"/>
  <c r="RI29" i="5"/>
  <c r="AGK29" i="5"/>
  <c r="JR28" i="5"/>
  <c r="VJ28" i="5"/>
  <c r="AHR28" i="5"/>
  <c r="HH29" i="5"/>
  <c r="VD29" i="5"/>
  <c r="CA30" i="5"/>
  <c r="CY28" i="5"/>
  <c r="RS28" i="5"/>
  <c r="AHS28" i="5"/>
  <c r="HY29" i="5"/>
  <c r="ZZ29" i="5"/>
  <c r="PD30" i="5"/>
  <c r="QN28" i="5"/>
  <c r="AEB28" i="5"/>
  <c r="GD29" i="5"/>
  <c r="VF29" i="5"/>
  <c r="PO30" i="5"/>
  <c r="HY28" i="5"/>
  <c r="XI28" i="5"/>
  <c r="AKW28" i="5"/>
  <c r="OL29" i="5"/>
  <c r="AKN29" i="5"/>
  <c r="AJP27" i="5"/>
  <c r="JV28" i="5"/>
  <c r="ZF28" i="5"/>
  <c r="DD29" i="5"/>
  <c r="RN29" i="5"/>
  <c r="AY30" i="5"/>
  <c r="OU28" i="5"/>
  <c r="AGA28" i="5"/>
  <c r="GG29" i="5"/>
  <c r="XR29" i="5"/>
  <c r="JP30" i="5"/>
  <c r="ZV27" i="5"/>
  <c r="AR28" i="5"/>
  <c r="QB28" i="5"/>
  <c r="ADP28" i="5"/>
  <c r="FR29" i="5"/>
  <c r="WY29" i="5"/>
  <c r="NU30" i="5"/>
  <c r="YA27" i="5"/>
  <c r="AC28" i="5"/>
  <c r="PM28" i="5"/>
  <c r="AEW28" i="5"/>
  <c r="FC29" i="5"/>
  <c r="WG29" i="5"/>
  <c r="KB30" i="5"/>
  <c r="TD27" i="5"/>
  <c r="BZ28" i="5"/>
  <c r="AMH28" i="5"/>
  <c r="QG30" i="5"/>
  <c r="UM28" i="5"/>
  <c r="AJV29" i="5"/>
  <c r="ALD28" i="5"/>
  <c r="AIQ27" i="5"/>
  <c r="AAP29" i="5"/>
  <c r="ALG26" i="5"/>
  <c r="KL27" i="5"/>
  <c r="ADJ27" i="5"/>
  <c r="NT24" i="5"/>
  <c r="XP24" i="5"/>
  <c r="AHL24" i="5"/>
  <c r="DZ25" i="5"/>
  <c r="NV25" i="5"/>
  <c r="XR25" i="5"/>
  <c r="AHN25" i="5"/>
  <c r="EB26" i="5"/>
  <c r="NX26" i="5"/>
  <c r="XT26" i="5"/>
  <c r="AIF26" i="5"/>
  <c r="HB27" i="5"/>
  <c r="ZS27" i="5"/>
  <c r="MB28" i="5"/>
  <c r="WN28" i="5"/>
  <c r="AGZ28" i="5"/>
  <c r="ED29" i="5"/>
  <c r="OZ29" i="5"/>
  <c r="ACL29" i="5"/>
  <c r="KU30" i="5"/>
  <c r="NY28" i="5"/>
  <c r="YK28" i="5"/>
  <c r="AJM28" i="5"/>
  <c r="GQ29" i="5"/>
  <c r="SB29" i="5"/>
  <c r="AHP29" i="5"/>
  <c r="KH28" i="5"/>
  <c r="VZ28" i="5"/>
  <c r="AIH28" i="5"/>
  <c r="HX29" i="5"/>
  <c r="VW29" i="5"/>
  <c r="DI30" i="5"/>
  <c r="DO28" i="5"/>
  <c r="SY28" i="5"/>
  <c r="AII28" i="5"/>
  <c r="IO29" i="5"/>
  <c r="AAT29" i="5"/>
  <c r="YZ30" i="5"/>
  <c r="RD28" i="5"/>
  <c r="AER28" i="5"/>
  <c r="GT29" i="5"/>
  <c r="VY29" i="5"/>
  <c r="SA30" i="5"/>
  <c r="JU28" i="5"/>
  <c r="XY28" i="5"/>
  <c r="ALM28" i="5"/>
  <c r="PX29" i="5"/>
  <c r="R30" i="5"/>
  <c r="AKF27" i="5"/>
  <c r="LR28" i="5"/>
  <c r="ABB28" i="5"/>
  <c r="DT29" i="5"/>
  <c r="SG29" i="5"/>
  <c r="DM30" i="5"/>
  <c r="PK28" i="5"/>
  <c r="AGQ28" i="5"/>
  <c r="GW29" i="5"/>
  <c r="YL29" i="5"/>
  <c r="LW30" i="5"/>
  <c r="ABB27" i="5"/>
  <c r="BH28" i="5"/>
  <c r="QR28" i="5"/>
  <c r="AEF28" i="5"/>
  <c r="HN29" i="5"/>
  <c r="XS29" i="5"/>
  <c r="QE30" i="5"/>
  <c r="YQ27" i="5"/>
  <c r="AS28" i="5"/>
  <c r="QC28" i="5"/>
  <c r="AFM28" i="5"/>
  <c r="FS29" i="5"/>
  <c r="WZ29" i="5"/>
  <c r="SR30" i="5"/>
  <c r="TT27" i="5"/>
  <c r="DV28" i="5"/>
  <c r="DX29" i="5"/>
  <c r="SO27" i="5"/>
  <c r="ZK28" i="5"/>
  <c r="CS30" i="5"/>
  <c r="R29" i="5"/>
  <c r="DY28" i="5"/>
  <c r="ON30" i="5"/>
  <c r="WP29" i="5"/>
  <c r="HQ30" i="5"/>
  <c r="EE28" i="5"/>
  <c r="UU28" i="5"/>
  <c r="AIY28" i="5"/>
  <c r="JE29" i="5"/>
  <c r="ABN29" i="5"/>
  <c r="EF28" i="5"/>
  <c r="RT28" i="5"/>
  <c r="AGN28" i="5"/>
  <c r="HJ29" i="5"/>
  <c r="AAU29" i="5"/>
  <c r="UO30" i="5"/>
  <c r="LA28" i="5"/>
  <c r="YO28" i="5"/>
  <c r="AA29" i="5"/>
  <c r="QT29" i="5"/>
  <c r="AX30" i="5"/>
  <c r="AKV27" i="5"/>
  <c r="MX28" i="5"/>
  <c r="ACH28" i="5"/>
  <c r="EJ29" i="5"/>
  <c r="SZ29" i="5"/>
  <c r="FD30" i="5"/>
  <c r="RG28" i="5"/>
  <c r="AHG28" i="5"/>
  <c r="HM29" i="5"/>
  <c r="ZJ29" i="5"/>
  <c r="NT30" i="5"/>
  <c r="ABR27" i="5"/>
  <c r="BX28" i="5"/>
  <c r="RH28" i="5"/>
  <c r="AEV28" i="5"/>
  <c r="IT29" i="5"/>
  <c r="YM29" i="5"/>
  <c r="SQ30" i="5"/>
  <c r="ZG27" i="5"/>
  <c r="CO28" i="5"/>
  <c r="RY28" i="5"/>
  <c r="AGC28" i="5"/>
  <c r="GI29" i="5"/>
  <c r="XT29" i="5"/>
  <c r="AAV30" i="5"/>
  <c r="UJ27" i="5"/>
  <c r="HN28" i="5"/>
  <c r="FT29" i="5"/>
  <c r="UK27" i="5"/>
  <c r="ABG28" i="5"/>
  <c r="FB27" i="5"/>
  <c r="BN29" i="5"/>
  <c r="RU29" i="5"/>
  <c r="A31" i="5"/>
  <c r="A29" i="3" s="1"/>
  <c r="F27" i="5"/>
  <c r="MH27" i="5"/>
  <c r="AFW27" i="5"/>
  <c r="OZ24" i="5"/>
  <c r="YV24" i="5"/>
  <c r="AIR24" i="5"/>
  <c r="FF25" i="5"/>
  <c r="PB25" i="5"/>
  <c r="YX25" i="5"/>
  <c r="AIT25" i="5"/>
  <c r="FH26" i="5"/>
  <c r="PD26" i="5"/>
  <c r="YZ26" i="5"/>
  <c r="AJL26" i="5"/>
  <c r="IS27" i="5"/>
  <c r="ACE27" i="5"/>
  <c r="NH28" i="5"/>
  <c r="XT28" i="5"/>
  <c r="AIF28" i="5"/>
  <c r="FJ29" i="5"/>
  <c r="QL29" i="5"/>
  <c r="AEJ29" i="5"/>
  <c r="OY30" i="5"/>
  <c r="PU28" i="5"/>
  <c r="AAG28" i="5"/>
  <c r="AKS28" i="5"/>
  <c r="HW29" i="5"/>
  <c r="TN29" i="5"/>
  <c r="AKB29" i="5"/>
  <c r="LN28" i="5"/>
  <c r="XV28" i="5"/>
  <c r="AKD28" i="5"/>
  <c r="JD29" i="5"/>
  <c r="XM29" i="5"/>
  <c r="LG30" i="5"/>
  <c r="GA28" i="5"/>
  <c r="WA28" i="5"/>
  <c r="AJO28" i="5"/>
  <c r="LA29" i="5"/>
  <c r="ACO29" i="5"/>
  <c r="EV28" i="5"/>
  <c r="SJ28" i="5"/>
  <c r="AHT28" i="5"/>
  <c r="HZ29" i="5"/>
  <c r="ACP29" i="5"/>
  <c r="ZK30" i="5"/>
  <c r="LQ28" i="5"/>
  <c r="ZE28" i="5"/>
  <c r="CM29" i="5"/>
  <c r="RM29" i="5"/>
  <c r="CD30" i="5"/>
  <c r="ALL27" i="5"/>
  <c r="NN28" i="5"/>
  <c r="ACX28" i="5"/>
  <c r="EZ29" i="5"/>
  <c r="TV29" i="5"/>
  <c r="GL30" i="5"/>
  <c r="SM28" i="5"/>
  <c r="AHW28" i="5"/>
  <c r="IC29" i="5"/>
  <c r="AAD29" i="5"/>
  <c r="VH30" i="5"/>
  <c r="ACH27" i="5"/>
  <c r="CN28" i="5"/>
  <c r="RX28" i="5"/>
  <c r="AFL28" i="5"/>
  <c r="JJ29" i="5"/>
  <c r="AAY29" i="5"/>
  <c r="VS30" i="5"/>
  <c r="ZW27" i="5"/>
  <c r="DU28" i="5"/>
  <c r="TE28" i="5"/>
  <c r="AGS28" i="5"/>
  <c r="IE29" i="5"/>
  <c r="AAF29" i="5"/>
  <c r="HL27" i="5"/>
  <c r="UZ27" i="5"/>
  <c r="IT28" i="5"/>
  <c r="GZ29" i="5"/>
  <c r="ZI27" i="5"/>
  <c r="ADC28" i="5"/>
  <c r="GX27" i="5"/>
  <c r="IH29" i="5"/>
  <c r="TH30" i="5"/>
  <c r="LI31" i="5"/>
  <c r="FP29" i="5"/>
  <c r="UO29" i="5"/>
  <c r="IE30" i="5"/>
  <c r="UI28" i="5"/>
  <c r="AIM28" i="5"/>
  <c r="IS29" i="5"/>
  <c r="AAX29" i="5"/>
  <c r="PJ27" i="5"/>
  <c r="ACX27" i="5"/>
  <c r="EJ28" i="5"/>
  <c r="SN28" i="5"/>
  <c r="AJD28" i="5"/>
  <c r="JZ29" i="5"/>
  <c r="ACT29" i="5"/>
  <c r="AAQ30" i="5"/>
  <c r="ABS27" i="5"/>
  <c r="EK28" i="5"/>
  <c r="TU28" i="5"/>
  <c r="AHI28" i="5"/>
  <c r="JK29" i="5"/>
  <c r="ABY29" i="5"/>
  <c r="IB27" i="5"/>
  <c r="VP27" i="5"/>
  <c r="LV28" i="5"/>
  <c r="IV29" i="5"/>
  <c r="ABE27" i="5"/>
  <c r="ADS28" i="5"/>
  <c r="NR27" i="5"/>
  <c r="KD29" i="5"/>
  <c r="IF27" i="5"/>
  <c r="YG31" i="5"/>
  <c r="AR27" i="5"/>
  <c r="OP27" i="5"/>
  <c r="AIV27" i="5"/>
  <c r="QF24" i="5"/>
  <c r="AAB24" i="5"/>
  <c r="AJX24" i="5"/>
  <c r="GL25" i="5"/>
  <c r="QH25" i="5"/>
  <c r="AAD25" i="5"/>
  <c r="AJZ25" i="5"/>
  <c r="GN26" i="5"/>
  <c r="QJ26" i="5"/>
  <c r="AAF26" i="5"/>
  <c r="AKR26" i="5"/>
  <c r="KM27" i="5"/>
  <c r="AEQ27" i="5"/>
  <c r="ON28" i="5"/>
  <c r="YZ28" i="5"/>
  <c r="AJL28" i="5"/>
  <c r="GP29" i="5"/>
  <c r="SA29" i="5"/>
  <c r="AHO29" i="5"/>
  <c r="YE30" i="5"/>
  <c r="RA28" i="5"/>
  <c r="ABM28" i="5"/>
  <c r="ALY28" i="5"/>
  <c r="JC29" i="5"/>
  <c r="VC29" i="5"/>
  <c r="F30" i="5"/>
  <c r="MT28" i="5"/>
  <c r="ZR28" i="5"/>
  <c r="ALJ28" i="5"/>
  <c r="KJ29" i="5"/>
  <c r="ZA29" i="5"/>
  <c r="PA30" i="5"/>
  <c r="HW28" i="5"/>
  <c r="XG28" i="5"/>
  <c r="AKU28" i="5"/>
  <c r="NA29" i="5"/>
  <c r="AHZ29" i="5"/>
  <c r="GB28" i="5"/>
  <c r="TP28" i="5"/>
  <c r="AIZ28" i="5"/>
  <c r="KL29" i="5"/>
  <c r="AEN29" i="5"/>
  <c r="AKU27" i="5"/>
  <c r="MW28" i="5"/>
  <c r="AAK28" i="5"/>
  <c r="EI29" i="5"/>
  <c r="SY29" i="5"/>
  <c r="FC30" i="5"/>
  <c r="J28" i="5"/>
  <c r="QP28" i="5"/>
  <c r="AFJ28" i="5"/>
  <c r="GF29" i="5"/>
  <c r="VH29" i="5"/>
  <c r="NS30" i="5"/>
  <c r="VO28" i="5"/>
  <c r="AJC28" i="5"/>
  <c r="KO29" i="5"/>
  <c r="ABW29" i="5"/>
  <c r="PZ27" i="5"/>
  <c r="ADN27" i="5"/>
  <c r="FP28" i="5"/>
  <c r="TD28" i="5"/>
  <c r="AKJ28" i="5"/>
  <c r="KP29" i="5"/>
  <c r="ADV29" i="5"/>
  <c r="NO27" i="5"/>
  <c r="AEE27" i="5"/>
  <c r="FA28" i="5"/>
  <c r="UK28" i="5"/>
  <c r="AHY28" i="5"/>
  <c r="KA29" i="5"/>
  <c r="ADA29" i="5"/>
  <c r="IR27" i="5"/>
  <c r="WF27" i="5"/>
  <c r="NR28" i="5"/>
  <c r="QF29" i="5"/>
  <c r="ADA27" i="5"/>
  <c r="AEI28" i="5"/>
  <c r="PN27" i="5"/>
  <c r="WJ29" i="5"/>
  <c r="SR27" i="5"/>
  <c r="DJ32" i="5"/>
  <c r="BN27" i="5"/>
  <c r="PV27" i="5"/>
  <c r="AKP27" i="5"/>
  <c r="QV24" i="5"/>
  <c r="AAR24" i="5"/>
  <c r="AKN24" i="5"/>
  <c r="HB25" i="5"/>
  <c r="QX25" i="5"/>
  <c r="AAT25" i="5"/>
  <c r="AKP25" i="5"/>
  <c r="HD26" i="5"/>
  <c r="QZ26" i="5"/>
  <c r="AAV26" i="5"/>
  <c r="ALH26" i="5"/>
  <c r="LM27" i="5"/>
  <c r="AFY27" i="5"/>
  <c r="PD28" i="5"/>
  <c r="ZP28" i="5"/>
  <c r="AKB28" i="5"/>
  <c r="HF29" i="5"/>
  <c r="TM29" i="5"/>
  <c r="AIU29" i="5"/>
  <c r="HE28" i="5"/>
  <c r="RQ28" i="5"/>
  <c r="ACC28" i="5"/>
  <c r="G29" i="5"/>
  <c r="JS29" i="5"/>
  <c r="VV29" i="5"/>
  <c r="AL30" i="5"/>
  <c r="NZ28" i="5"/>
  <c r="AAH28" i="5"/>
  <c r="ALZ28" i="5"/>
  <c r="KZ29" i="5"/>
  <c r="ABM29" i="5"/>
  <c r="RM30" i="5"/>
  <c r="IM28" i="5"/>
  <c r="XW28" i="5"/>
  <c r="ALK28" i="5"/>
  <c r="NR29" i="5"/>
  <c r="AJF29" i="5"/>
  <c r="GR28" i="5"/>
  <c r="UF28" i="5"/>
  <c r="AJP28" i="5"/>
  <c r="NB29" i="5"/>
  <c r="AFQ29" i="5"/>
  <c r="ALK27" i="5"/>
  <c r="NM28" i="5"/>
  <c r="ADM28" i="5"/>
  <c r="EY29" i="5"/>
  <c r="VG29" i="5"/>
  <c r="GK30" i="5"/>
  <c r="Z28" i="5"/>
  <c r="RF28" i="5"/>
  <c r="AGP28" i="5"/>
  <c r="GV29" i="5"/>
  <c r="XQ29" i="5"/>
  <c r="SC30" i="5"/>
  <c r="WE28" i="5"/>
  <c r="AJS28" i="5"/>
  <c r="LW29" i="5"/>
  <c r="AEW29" i="5"/>
  <c r="QP27" i="5"/>
  <c r="AED27" i="5"/>
  <c r="GF28" i="5"/>
  <c r="TT28" i="5"/>
  <c r="AKZ28" i="5"/>
  <c r="LG29" i="5"/>
  <c r="AEX29" i="5"/>
  <c r="OE27" i="5"/>
  <c r="AFK27" i="5"/>
  <c r="FQ28" i="5"/>
  <c r="VA28" i="5"/>
  <c r="AIO28" i="5"/>
  <c r="LY29" i="5"/>
  <c r="ADW29" i="5"/>
  <c r="JH27" i="5"/>
  <c r="WV27" i="5"/>
  <c r="PN28" i="5"/>
  <c r="TG29" i="5"/>
  <c r="ADQ27" i="5"/>
  <c r="AJG28" i="5"/>
  <c r="RJ27" i="5"/>
  <c r="AMG26" i="5"/>
  <c r="ADD27" i="5"/>
  <c r="EP31" i="5"/>
  <c r="CG27" i="5"/>
  <c r="RB27" i="5"/>
  <c r="E28" i="5"/>
  <c r="RL24" i="5"/>
  <c r="ABH24" i="5"/>
  <c r="ALD24" i="5"/>
  <c r="HR25" i="5"/>
  <c r="RN25" i="5"/>
  <c r="ABJ25" i="5"/>
  <c r="ALF25" i="5"/>
  <c r="HT26" i="5"/>
  <c r="RP26" i="5"/>
  <c r="ABL26" i="5"/>
  <c r="ALX26" i="5"/>
  <c r="MI27" i="5"/>
  <c r="AHO27" i="5"/>
  <c r="PT28" i="5"/>
  <c r="AAF28" i="5"/>
  <c r="AKR28" i="5"/>
  <c r="IL29" i="5"/>
  <c r="UF29" i="5"/>
  <c r="AKA29" i="5"/>
  <c r="HU28" i="5"/>
  <c r="SG28" i="5"/>
  <c r="ACS28" i="5"/>
  <c r="W29" i="5"/>
  <c r="KI29" i="5"/>
  <c r="WO29" i="5"/>
  <c r="BR30" i="5"/>
  <c r="OP28" i="5"/>
  <c r="AAX28" i="5"/>
  <c r="H29" i="5"/>
  <c r="LQ29" i="5"/>
  <c r="ADJ29" i="5"/>
  <c r="YU30" i="5"/>
  <c r="JC28" i="5"/>
  <c r="YM28" i="5"/>
  <c r="AMA28" i="5"/>
  <c r="PV29" i="5"/>
  <c r="P30" i="5"/>
  <c r="HH28" i="5"/>
  <c r="UV28" i="5"/>
  <c r="AKF28" i="5"/>
  <c r="OK29" i="5"/>
  <c r="AGU29" i="5"/>
  <c r="Y28" i="5"/>
  <c r="Y26" i="3" s="1"/>
  <c r="OC28" i="5"/>
  <c r="AFI28" i="5"/>
  <c r="FO29" i="5"/>
  <c r="WS29" i="5"/>
  <c r="HT30" i="5"/>
  <c r="DR28" i="5"/>
  <c r="RV28" i="5"/>
  <c r="AHF28" i="5"/>
  <c r="HL29" i="5"/>
  <c r="ZI29" i="5"/>
  <c r="VC30" i="5"/>
  <c r="WU28" i="5"/>
  <c r="AKI28" i="5"/>
  <c r="MN29" i="5"/>
  <c r="AGX29" i="5"/>
  <c r="RF27" i="5"/>
  <c r="AET27" i="5"/>
  <c r="GV28" i="5"/>
  <c r="VP28" i="5"/>
  <c r="ALP28" i="5"/>
  <c r="LX29" i="5"/>
  <c r="AFU29" i="5"/>
  <c r="OU27" i="5"/>
  <c r="AGA27" i="5"/>
  <c r="GG28" i="5"/>
  <c r="VQ28" i="5"/>
  <c r="AJE28" i="5"/>
  <c r="NG29" i="5"/>
  <c r="AGZ29" i="5"/>
  <c r="JX27" i="5"/>
  <c r="XL27" i="5"/>
  <c r="RZ28" i="5"/>
  <c r="AAG29" i="5"/>
  <c r="AEG27" i="5"/>
  <c r="AG29" i="5"/>
  <c r="YD27" i="5"/>
  <c r="AU27" i="5"/>
  <c r="AH28" i="5"/>
  <c r="AMH31" i="5"/>
  <c r="AGI26" i="5"/>
  <c r="DS27" i="5"/>
  <c r="TN27" i="5"/>
  <c r="DM28" i="5"/>
  <c r="SR24" i="5"/>
  <c r="ACN24" i="5"/>
  <c r="B25" i="5"/>
  <c r="IX25" i="5"/>
  <c r="ST25" i="5"/>
  <c r="ACP25" i="5"/>
  <c r="D26" i="5"/>
  <c r="IZ26" i="5"/>
  <c r="SV26" i="5"/>
  <c r="ACR26" i="5"/>
  <c r="Z27" i="5"/>
  <c r="OQ27" i="5"/>
  <c r="AKQ27" i="5"/>
  <c r="QZ28" i="5"/>
  <c r="ACB28" i="5"/>
  <c r="F29" i="5"/>
  <c r="JR29" i="5"/>
  <c r="VU29" i="5"/>
  <c r="E30" i="5"/>
  <c r="JA28" i="5"/>
  <c r="TM28" i="5"/>
  <c r="ADY28" i="5"/>
  <c r="BC29" i="5"/>
  <c r="LP29" i="5"/>
  <c r="YF29" i="5"/>
  <c r="FX30" i="5"/>
  <c r="QL28" i="5"/>
  <c r="ACD28" i="5"/>
  <c r="AN29" i="5"/>
  <c r="PB29" i="5"/>
  <c r="AGS29" i="5"/>
  <c r="AKC27" i="5"/>
  <c r="ME28" i="5"/>
  <c r="ZS28" i="5"/>
  <c r="BE29" i="5"/>
  <c r="SD29" i="5"/>
  <c r="DJ30" i="5"/>
  <c r="IN28" i="5"/>
  <c r="XX28" i="5"/>
  <c r="Z29" i="5"/>
  <c r="PW29" i="5"/>
  <c r="AJG29" i="5"/>
  <c r="BU28" i="5"/>
  <c r="QO28" i="5"/>
  <c r="AGO28" i="5"/>
  <c r="GU29" i="5"/>
  <c r="YJ29" i="5"/>
  <c r="LK30" i="5"/>
  <c r="FN28" i="5"/>
  <c r="TB28" i="5"/>
  <c r="AIL28" i="5"/>
  <c r="IR29" i="5"/>
  <c r="ADT29" i="5"/>
  <c r="IQ28" i="5"/>
  <c r="YA28" i="5"/>
  <c r="ALO28" i="5"/>
  <c r="PG29" i="5"/>
  <c r="ALV29" i="5"/>
  <c r="SL27" i="5"/>
  <c r="AFZ27" i="5"/>
  <c r="IB28" i="5"/>
  <c r="ZH28" i="5"/>
  <c r="N29" i="5"/>
  <c r="OO29" i="5"/>
  <c r="AIE29" i="5"/>
  <c r="TS27" i="5"/>
  <c r="AHG27" i="5"/>
  <c r="JI28" i="5"/>
  <c r="WW28" i="5"/>
  <c r="AE29" i="5"/>
  <c r="OP29" i="5"/>
  <c r="AKR29" i="5"/>
  <c r="LD27" i="5"/>
  <c r="ABD27" i="5"/>
  <c r="ZJ28" i="5"/>
  <c r="AEZ29" i="5"/>
  <c r="ALA27" i="5"/>
  <c r="IG29" i="5"/>
  <c r="AMH27" i="5"/>
  <c r="JK27" i="5"/>
  <c r="VV28" i="5"/>
  <c r="XA30" i="5"/>
  <c r="HC31" i="5"/>
  <c r="ADC32" i="5"/>
  <c r="HT31" i="5"/>
  <c r="EU28" i="5"/>
  <c r="QM28" i="5"/>
  <c r="ACE28" i="5"/>
  <c r="CK29" i="5"/>
  <c r="OJ29" i="5"/>
  <c r="ADQ29" i="5"/>
  <c r="RP30" i="5"/>
  <c r="MV28" i="5"/>
  <c r="ZD28" i="5"/>
  <c r="AKV28" i="5"/>
  <c r="JF29" i="5"/>
  <c r="WR29" i="5"/>
  <c r="HS30" i="5"/>
  <c r="DQ28" i="5"/>
  <c r="PI28" i="5"/>
  <c r="ABA28" i="5"/>
  <c r="BG29" i="5"/>
  <c r="NC29" i="5"/>
  <c r="ABU29" i="5"/>
  <c r="NH30" i="5"/>
  <c r="BV28" i="5"/>
  <c r="OD28" i="5"/>
  <c r="ZV28" i="5"/>
  <c r="ALN28" i="5"/>
  <c r="JX29" i="5"/>
  <c r="AAC29" i="5"/>
  <c r="JO30" i="5"/>
  <c r="QA28" i="5"/>
  <c r="ABS28" i="5"/>
  <c r="BY29" i="5"/>
  <c r="NV29" i="5"/>
  <c r="ACS29" i="5"/>
  <c r="PT30" i="5"/>
  <c r="XZ27" i="5"/>
  <c r="AKH27" i="5"/>
  <c r="IR28" i="5"/>
  <c r="UJ28" i="5"/>
  <c r="AGB28" i="5"/>
  <c r="GH29" i="5"/>
  <c r="TE29" i="5"/>
  <c r="AKQ29" i="5"/>
  <c r="PK27" i="5"/>
  <c r="ACY27" i="5"/>
  <c r="BI28" i="5"/>
  <c r="NA28" i="5"/>
  <c r="YS28" i="5"/>
  <c r="ALQ28" i="5"/>
  <c r="KQ29" i="5"/>
  <c r="YN29" i="5"/>
  <c r="GO30" i="5"/>
  <c r="NP27" i="5"/>
  <c r="ABT27" i="5"/>
  <c r="QT28" i="5"/>
  <c r="HP29" i="5"/>
  <c r="SS30" i="5"/>
  <c r="KQ28" i="5"/>
  <c r="KS29" i="5"/>
  <c r="ZZ27" i="5"/>
  <c r="MB29" i="5"/>
  <c r="YW28" i="5"/>
  <c r="MA28" i="5"/>
  <c r="PC30" i="5"/>
  <c r="FK28" i="5"/>
  <c r="RC28" i="5"/>
  <c r="ACU28" i="5"/>
  <c r="DA29" i="5"/>
  <c r="PC29" i="5"/>
  <c r="AEM29" i="5"/>
  <c r="UM30" i="5"/>
  <c r="OB28" i="5"/>
  <c r="ZT28" i="5"/>
  <c r="ALL28" i="5"/>
  <c r="JV29" i="5"/>
  <c r="ZC29" i="5"/>
  <c r="JM30" i="5"/>
  <c r="EG28" i="5"/>
  <c r="PY28" i="5"/>
  <c r="ABQ28" i="5"/>
  <c r="BW29" i="5"/>
  <c r="NT29" i="5"/>
  <c r="ACQ29" i="5"/>
  <c r="PP30" i="5"/>
  <c r="DB28" i="5"/>
  <c r="OT28" i="5"/>
  <c r="AAL28" i="5"/>
  <c r="AMD28" i="5"/>
  <c r="LV29" i="5"/>
  <c r="AAW29" i="5"/>
  <c r="LL30" i="5"/>
  <c r="QQ28" i="5"/>
  <c r="ACI28" i="5"/>
  <c r="CO29" i="5"/>
  <c r="ON29" i="5"/>
  <c r="ADU29" i="5"/>
  <c r="SF30" i="5"/>
  <c r="ZF27" i="5"/>
  <c r="AKX27" i="5"/>
  <c r="JH28" i="5"/>
  <c r="UZ28" i="5"/>
  <c r="AHX28" i="5"/>
  <c r="GX29" i="5"/>
  <c r="TX29" i="5"/>
  <c r="ALW29" i="5"/>
  <c r="QA27" i="5"/>
  <c r="ADO27" i="5"/>
  <c r="BY28" i="5"/>
  <c r="NQ28" i="5"/>
  <c r="ZI28" i="5"/>
  <c r="O29" i="5"/>
  <c r="LH29" i="5"/>
  <c r="ZL29" i="5"/>
  <c r="IH30" i="5"/>
  <c r="PL27" i="5"/>
  <c r="ACJ27" i="5"/>
  <c r="RJ28" i="5"/>
  <c r="IF29" i="5"/>
  <c r="WI30" i="5"/>
  <c r="PO28" i="5"/>
  <c r="LJ29" i="5"/>
  <c r="ABV27" i="5"/>
  <c r="UB29" i="5"/>
  <c r="GM29" i="5"/>
  <c r="YI28" i="5"/>
  <c r="AGU31" i="5"/>
  <c r="AFT26" i="5"/>
  <c r="DA27" i="5"/>
  <c r="SI27" i="5"/>
  <c r="BD28" i="5"/>
  <c r="RP28" i="5"/>
  <c r="ABL28" i="5"/>
  <c r="ALH28" i="5"/>
  <c r="HV29" i="5"/>
  <c r="ST29" i="5"/>
  <c r="AGJ29" i="5"/>
  <c r="RK30" i="5"/>
  <c r="PE28" i="5"/>
  <c r="ZA28" i="5"/>
  <c r="AIW28" i="5"/>
  <c r="FK29" i="5"/>
  <c r="PT29" i="5"/>
  <c r="ADI29" i="5"/>
  <c r="OZ30" i="5"/>
  <c r="SH28" i="5"/>
  <c r="ADJ28" i="5"/>
  <c r="BD29" i="5"/>
  <c r="MY29" i="5"/>
  <c r="AEL29" i="5"/>
  <c r="UB30" i="5"/>
  <c r="GQ28" i="5"/>
  <c r="SI28" i="5"/>
  <c r="AFW28" i="5"/>
  <c r="EG29" i="5"/>
  <c r="QO29" i="5"/>
  <c r="AGT29" i="5"/>
  <c r="CZ28" i="5"/>
  <c r="PH28" i="5"/>
  <c r="AAZ28" i="5"/>
  <c r="J29" i="5"/>
  <c r="LB29" i="5"/>
  <c r="ABO29" i="5"/>
  <c r="NG30" i="5"/>
  <c r="FM28" i="5"/>
  <c r="RE28" i="5"/>
  <c r="AES28" i="5"/>
  <c r="DC29" i="5"/>
  <c r="PE29" i="5"/>
  <c r="AEO29" i="5"/>
  <c r="AFH27" i="5"/>
  <c r="EH28" i="5"/>
  <c r="PZ28" i="5"/>
  <c r="ABR28" i="5"/>
  <c r="AB29" i="5"/>
  <c r="NU29" i="5"/>
  <c r="ACR29" i="5"/>
  <c r="PQ30" i="5"/>
  <c r="RW28" i="5"/>
  <c r="AFK28" i="5"/>
  <c r="DU29" i="5"/>
  <c r="QC29" i="5"/>
  <c r="AFT29" i="5"/>
  <c r="OD27" i="5"/>
  <c r="AAL27" i="5"/>
  <c r="AMD27" i="5"/>
  <c r="KN28" i="5"/>
  <c r="WF28" i="5"/>
  <c r="AJT28" i="5"/>
  <c r="ID29" i="5"/>
  <c r="VJ29" i="5"/>
  <c r="BA30" i="5"/>
  <c r="TC27" i="5"/>
  <c r="AEU27" i="5"/>
  <c r="DE28" i="5"/>
  <c r="OW28" i="5"/>
  <c r="ABU28" i="5"/>
  <c r="AU29" i="5"/>
  <c r="MP29" i="5"/>
  <c r="AAZ29" i="5"/>
  <c r="LY30" i="5"/>
  <c r="RH27" i="5"/>
  <c r="AHH27" i="5"/>
  <c r="SP28" i="5"/>
  <c r="NY29" i="5"/>
  <c r="TU27" i="5"/>
  <c r="TG28" i="5"/>
  <c r="UA29" i="5"/>
  <c r="AKL27" i="5"/>
  <c r="AG30" i="5"/>
  <c r="AGG29" i="5"/>
  <c r="LN29" i="5"/>
  <c r="AGV31" i="5"/>
  <c r="HG31" i="5"/>
  <c r="PV30" i="5"/>
  <c r="AEY32" i="5"/>
  <c r="UH31" i="5"/>
  <c r="EP30" i="5"/>
  <c r="NJ28" i="5"/>
  <c r="XF28" i="5"/>
  <c r="AHB28" i="5"/>
  <c r="DP29" i="5"/>
  <c r="NQ29" i="5"/>
  <c r="ZY29" i="5"/>
  <c r="EQ30" i="5"/>
  <c r="W28" i="5"/>
  <c r="JS28" i="5"/>
  <c r="TO28" i="5"/>
  <c r="ADK28" i="5"/>
  <c r="Y29" i="5"/>
  <c r="Y27" i="3" s="1"/>
  <c r="JU29" i="5"/>
  <c r="VE29" i="5"/>
  <c r="AKL29" i="5"/>
  <c r="BT28" i="5"/>
  <c r="LP28" i="5"/>
  <c r="VL28" i="5"/>
  <c r="AFH28" i="5"/>
  <c r="BV29" i="5"/>
  <c r="LS29" i="5"/>
  <c r="XO29" i="5"/>
  <c r="AW30" i="5"/>
  <c r="AMA27" i="5"/>
  <c r="IO28" i="5"/>
  <c r="SK28" i="5"/>
  <c r="ACG28" i="5"/>
  <c r="AMC28" i="5"/>
  <c r="IQ29" i="5"/>
  <c r="TU29" i="5"/>
  <c r="AIB29" i="5"/>
  <c r="UR30" i="5"/>
  <c r="AP28" i="5"/>
  <c r="KL28" i="5"/>
  <c r="UH28" i="5"/>
  <c r="AED28" i="5"/>
  <c r="AR29" i="5"/>
  <c r="KN29" i="5"/>
  <c r="WA29" i="5"/>
  <c r="ALU29" i="5"/>
  <c r="JG28" i="5"/>
  <c r="TC28" i="5"/>
  <c r="ACY28" i="5"/>
  <c r="M29" i="5"/>
  <c r="M27" i="3" s="1"/>
  <c r="JI29" i="5"/>
  <c r="UP29" i="5"/>
  <c r="AJJ29" i="5"/>
  <c r="AAF30" i="5"/>
  <c r="WT27" i="5"/>
  <c r="AGP27" i="5"/>
  <c r="DD28" i="5"/>
  <c r="MZ28" i="5"/>
  <c r="WV28" i="5"/>
  <c r="AGR28" i="5"/>
  <c r="DF29" i="5"/>
  <c r="NF29" i="5"/>
  <c r="ZK29" i="5"/>
  <c r="DX30" i="5"/>
  <c r="QQ27" i="5"/>
  <c r="AAM27" i="5"/>
  <c r="AKI27" i="5"/>
  <c r="GW28" i="5"/>
  <c r="QS28" i="5"/>
  <c r="AAO28" i="5"/>
  <c r="AKK28" i="5"/>
  <c r="GY29" i="5"/>
  <c r="RQ29" i="5"/>
  <c r="AEY29" i="5"/>
  <c r="NW30" i="5"/>
  <c r="OF27" i="5"/>
  <c r="YB27" i="5"/>
  <c r="FR28" i="5"/>
  <c r="ABV28" i="5"/>
  <c r="RR29" i="5"/>
  <c r="PM27" i="5"/>
  <c r="FS28" i="5"/>
  <c r="ALC28" i="5"/>
  <c r="AF30" i="5"/>
  <c r="HP28" i="5"/>
  <c r="ZO29" i="5"/>
  <c r="FU28" i="5"/>
  <c r="OC29" i="5"/>
  <c r="ABJ32" i="5"/>
  <c r="AIO31" i="5"/>
  <c r="EF29" i="5"/>
  <c r="OI29" i="5"/>
  <c r="AAS29" i="5"/>
  <c r="FY30" i="5"/>
  <c r="AM28" i="5"/>
  <c r="KI28" i="5"/>
  <c r="UE28" i="5"/>
  <c r="AEA28" i="5"/>
  <c r="AO29" i="5"/>
  <c r="KK29" i="5"/>
  <c r="VX29" i="5"/>
  <c r="ALR29" i="5"/>
  <c r="CJ28" i="5"/>
  <c r="MF28" i="5"/>
  <c r="WB28" i="5"/>
  <c r="AFX28" i="5"/>
  <c r="CL29" i="5"/>
  <c r="MK29" i="5"/>
  <c r="YI29" i="5"/>
  <c r="CC30" i="5"/>
  <c r="I28" i="5"/>
  <c r="JE28" i="5"/>
  <c r="TA28" i="5"/>
  <c r="ACW28" i="5"/>
  <c r="K29" i="5"/>
  <c r="JG29" i="5"/>
  <c r="UN29" i="5"/>
  <c r="AJH29" i="5"/>
  <c r="ZP30" i="5"/>
  <c r="BF28" i="5"/>
  <c r="LB28" i="5"/>
  <c r="UX28" i="5"/>
  <c r="AET28" i="5"/>
  <c r="BH29" i="5"/>
  <c r="LE29" i="5"/>
  <c r="WW29" i="5"/>
  <c r="S30" i="5"/>
  <c r="JW28" i="5"/>
  <c r="TS28" i="5"/>
  <c r="ADO28" i="5"/>
  <c r="AC29" i="5"/>
  <c r="JY29" i="5"/>
  <c r="VI29" i="5"/>
  <c r="AKP29" i="5"/>
  <c r="NN27" i="5"/>
  <c r="XJ27" i="5"/>
  <c r="AHF27" i="5"/>
  <c r="DT28" i="5"/>
  <c r="NP28" i="5"/>
  <c r="XL28" i="5"/>
  <c r="AHH28" i="5"/>
  <c r="DV29" i="5"/>
  <c r="NW29" i="5"/>
  <c r="AAE29" i="5"/>
  <c r="FF30" i="5"/>
  <c r="RG27" i="5"/>
  <c r="ABC27" i="5"/>
  <c r="AKY27" i="5"/>
  <c r="HM28" i="5"/>
  <c r="RI28" i="5"/>
  <c r="ABE28" i="5"/>
  <c r="ALA28" i="5"/>
  <c r="HO29" i="5"/>
  <c r="SJ29" i="5"/>
  <c r="AGC29" i="5"/>
  <c r="QF30" i="5"/>
  <c r="OV27" i="5"/>
  <c r="YR27" i="5"/>
  <c r="GX28" i="5"/>
  <c r="ACL28" i="5"/>
  <c r="SK29" i="5"/>
  <c r="RI27" i="5"/>
  <c r="HO28" i="5"/>
  <c r="Q29" i="5"/>
  <c r="BL30" i="5"/>
  <c r="JL28" i="5"/>
  <c r="AJW29" i="5"/>
  <c r="OK28" i="5"/>
  <c r="AEH29" i="5"/>
  <c r="AEJ30" i="5"/>
  <c r="DR30" i="5"/>
  <c r="ACM29" i="5"/>
  <c r="IZ30" i="5"/>
  <c r="PF28" i="5"/>
  <c r="ZB28" i="5"/>
  <c r="AIX28" i="5"/>
  <c r="FL29" i="5"/>
  <c r="PU29" i="5"/>
  <c r="ACN29" i="5"/>
  <c r="JK30" i="5"/>
  <c r="BS28" i="5"/>
  <c r="LO28" i="5"/>
  <c r="VK28" i="5"/>
  <c r="AFG28" i="5"/>
  <c r="BU29" i="5"/>
  <c r="LR29" i="5"/>
  <c r="XN29" i="5"/>
  <c r="AV30" i="5"/>
  <c r="DP28" i="5"/>
  <c r="NL28" i="5"/>
  <c r="XH28" i="5"/>
  <c r="AHD28" i="5"/>
  <c r="DR29" i="5"/>
  <c r="NS29" i="5"/>
  <c r="AAA29" i="5"/>
  <c r="ES30" i="5"/>
  <c r="AO28" i="5"/>
  <c r="KK28" i="5"/>
  <c r="UG28" i="5"/>
  <c r="AEC28" i="5"/>
  <c r="AQ29" i="5"/>
  <c r="KM29" i="5"/>
  <c r="VZ29" i="5"/>
  <c r="ALT29" i="5"/>
  <c r="AFX27" i="5"/>
  <c r="CL28" i="5"/>
  <c r="MH28" i="5"/>
  <c r="WD28" i="5"/>
  <c r="AFZ28" i="5"/>
  <c r="CN29" i="5"/>
  <c r="MM29" i="5"/>
  <c r="YK29" i="5"/>
  <c r="CE30" i="5"/>
  <c r="LC28" i="5"/>
  <c r="UY28" i="5"/>
  <c r="AEU28" i="5"/>
  <c r="BI29" i="5"/>
  <c r="LF29" i="5"/>
  <c r="WX29" i="5"/>
  <c r="T30" i="5"/>
  <c r="OT27" i="5"/>
  <c r="YP27" i="5"/>
  <c r="AIL27" i="5"/>
  <c r="EZ28" i="5"/>
  <c r="OV28" i="5"/>
  <c r="YR28" i="5"/>
  <c r="AIN28" i="5"/>
  <c r="FB29" i="5"/>
  <c r="PH29" i="5"/>
  <c r="ABX29" i="5"/>
  <c r="IG30" i="5"/>
  <c r="SM27" i="5"/>
  <c r="ACI27" i="5"/>
  <c r="AME27" i="5"/>
  <c r="IS28" i="5"/>
  <c r="SO28" i="5"/>
  <c r="ACK28" i="5"/>
  <c r="AMG28" i="5"/>
  <c r="IU29" i="5"/>
  <c r="TY29" i="5"/>
  <c r="AIF29" i="5"/>
  <c r="VX30" i="5"/>
  <c r="QB27" i="5"/>
  <c r="AAN27" i="5"/>
  <c r="ID28" i="5"/>
  <c r="AJF28" i="5"/>
  <c r="TZ29" i="5"/>
  <c r="TE27" i="5"/>
  <c r="KA28" i="5"/>
  <c r="AW29" i="5"/>
  <c r="SV30" i="5"/>
  <c r="SB28" i="5"/>
  <c r="FS30" i="5"/>
  <c r="AJI28" i="5"/>
  <c r="MO27" i="5"/>
  <c r="VI31" i="5"/>
  <c r="ACK27" i="5"/>
  <c r="AMG27" i="5"/>
  <c r="IU28" i="5"/>
  <c r="SQ28" i="5"/>
  <c r="ACM28" i="5"/>
  <c r="A29" i="5"/>
  <c r="A27" i="3" s="1"/>
  <c r="JM29" i="5"/>
  <c r="VM29" i="5"/>
  <c r="AMH29" i="5"/>
  <c r="GH27" i="5"/>
  <c r="QT27" i="5"/>
  <c r="ABF27" i="5"/>
  <c r="ALR27" i="5"/>
  <c r="IV28" i="5"/>
  <c r="TH28" i="5"/>
  <c r="ADT28" i="5"/>
  <c r="AX29" i="5"/>
  <c r="LK29" i="5"/>
  <c r="XW29" i="5"/>
  <c r="EB30" i="5"/>
  <c r="CQ27" i="5"/>
  <c r="NC27" i="5"/>
  <c r="XO27" i="5"/>
  <c r="AIA27" i="5"/>
  <c r="FE28" i="5"/>
  <c r="PQ28" i="5"/>
  <c r="AAC28" i="5"/>
  <c r="AKO28" i="5"/>
  <c r="HS29" i="5"/>
  <c r="TJ29" i="5"/>
  <c r="AIR29" i="5"/>
  <c r="ADH30" i="5"/>
  <c r="JL27" i="5"/>
  <c r="TX27" i="5"/>
  <c r="AEZ27" i="5"/>
  <c r="CD28" i="5"/>
  <c r="MP28" i="5"/>
  <c r="XB28" i="5"/>
  <c r="AHN28" i="5"/>
  <c r="ER29" i="5"/>
  <c r="PQ29" i="5"/>
  <c r="AGH29" i="5"/>
  <c r="BM27" i="5"/>
  <c r="NU27" i="5"/>
  <c r="AAC27" i="5"/>
  <c r="AY28" i="5"/>
  <c r="NG28" i="5"/>
  <c r="ZO28" i="5"/>
  <c r="AK29" i="5"/>
  <c r="NM29" i="5"/>
  <c r="ADG29" i="5"/>
  <c r="ABG30" i="5"/>
  <c r="AG31" i="5"/>
  <c r="MO31" i="5"/>
  <c r="ABH31" i="5"/>
  <c r="FE32" i="5"/>
  <c r="AEI32" i="5"/>
  <c r="AFP30" i="5"/>
  <c r="FV31" i="5"/>
  <c r="WS31" i="5"/>
  <c r="IE32" i="5"/>
  <c r="YW30" i="5"/>
  <c r="KU31" i="5"/>
  <c r="AFS32" i="5"/>
  <c r="PT31" i="5"/>
  <c r="QI30" i="5"/>
  <c r="DN32" i="5"/>
  <c r="AIH31" i="5"/>
  <c r="KY31" i="5"/>
  <c r="RB30" i="5"/>
  <c r="AHO32" i="5"/>
  <c r="CW32" i="5"/>
  <c r="ALU31" i="5"/>
  <c r="AAG31" i="5"/>
  <c r="QG28" i="5"/>
  <c r="AAS28" i="5"/>
  <c r="ALE28" i="5"/>
  <c r="II29" i="5"/>
  <c r="UC29" i="5"/>
  <c r="AJX29" i="5"/>
  <c r="P27" i="5"/>
  <c r="KB27" i="5"/>
  <c r="VD27" i="5"/>
  <c r="AFP27" i="5"/>
  <c r="CT28" i="5"/>
  <c r="NF28" i="5"/>
  <c r="XR28" i="5"/>
  <c r="AID28" i="5"/>
  <c r="FH29" i="5"/>
  <c r="QJ29" i="5"/>
  <c r="AJY29" i="5"/>
  <c r="CC27" i="5"/>
  <c r="OK27" i="5"/>
  <c r="AAS27" i="5"/>
  <c r="BO28" i="5"/>
  <c r="NW28" i="5"/>
  <c r="AAE28" i="5"/>
  <c r="BQ29" i="5"/>
  <c r="OE29" i="5"/>
  <c r="AEI29" i="5"/>
  <c r="ABW30" i="5"/>
  <c r="AW31" i="5"/>
  <c r="NE31" i="5"/>
  <c r="ACT31" i="5"/>
  <c r="FZ32" i="5"/>
  <c r="AFQ32" i="5"/>
  <c r="AGF30" i="5"/>
  <c r="IX31" i="5"/>
  <c r="XO31" i="5"/>
  <c r="KE32" i="5"/>
  <c r="ZM30" i="5"/>
  <c r="WA31" i="5"/>
  <c r="AHB32" i="5"/>
  <c r="QJ31" i="5"/>
  <c r="QY30" i="5"/>
  <c r="HF32" i="5"/>
  <c r="AJE31" i="5"/>
  <c r="ME31" i="5"/>
  <c r="AAH30" i="5"/>
  <c r="ALD32" i="5"/>
  <c r="FM32" i="5"/>
  <c r="H32" i="5"/>
  <c r="AHB31" i="5"/>
  <c r="HN27" i="5"/>
  <c r="RZ27" i="5"/>
  <c r="ACL27" i="5"/>
  <c r="P28" i="5"/>
  <c r="KB28" i="5"/>
  <c r="UN28" i="5"/>
  <c r="AEZ28" i="5"/>
  <c r="CD29" i="5"/>
  <c r="NJ29" i="5"/>
  <c r="AAI29" i="5"/>
  <c r="HA30" i="5"/>
  <c r="DW27" i="5"/>
  <c r="OI27" i="5"/>
  <c r="YU27" i="5"/>
  <c r="AJG27" i="5"/>
  <c r="GK28" i="5"/>
  <c r="QW28" i="5"/>
  <c r="ABI28" i="5"/>
  <c r="ALU28" i="5"/>
  <c r="IY29" i="5"/>
  <c r="UV29" i="5"/>
  <c r="ALD29" i="5"/>
  <c r="AF27" i="5"/>
  <c r="LH27" i="5"/>
  <c r="VT27" i="5"/>
  <c r="AGF27" i="5"/>
  <c r="DJ28" i="5"/>
  <c r="NV28" i="5"/>
  <c r="YH28" i="5"/>
  <c r="AIT28" i="5"/>
  <c r="FX29" i="5"/>
  <c r="RC29" i="5"/>
  <c r="C30" i="5"/>
  <c r="CS27" i="5"/>
  <c r="PA27" i="5"/>
  <c r="ACO27" i="5"/>
  <c r="CE28" i="5"/>
  <c r="OM28" i="5"/>
  <c r="ACQ28" i="5"/>
  <c r="CG29" i="5"/>
  <c r="OY29" i="5"/>
  <c r="AFE29" i="5"/>
  <c r="ACM30" i="5"/>
  <c r="BM31" i="5"/>
  <c r="NU31" i="5"/>
  <c r="ADM31" i="5"/>
  <c r="HB32" i="5"/>
  <c r="BN33" i="5"/>
  <c r="AGV30" i="5"/>
  <c r="KD31" i="5"/>
  <c r="YH31" i="5"/>
  <c r="LK32" i="5"/>
  <c r="AAC30" i="5"/>
  <c r="YI31" i="5"/>
  <c r="SD30" i="5"/>
  <c r="ADS31" i="5"/>
  <c r="AEM30" i="5"/>
  <c r="AIU32" i="5"/>
  <c r="AKT32" i="5"/>
  <c r="ABN31" i="5"/>
  <c r="CZ31" i="5"/>
  <c r="JC30" i="5"/>
  <c r="AKD29" i="5"/>
  <c r="AGM29" i="5"/>
  <c r="AIQ31" i="5"/>
  <c r="ID27" i="5"/>
  <c r="SP27" i="5"/>
  <c r="ADB27" i="5"/>
  <c r="AF28" i="5"/>
  <c r="KR28" i="5"/>
  <c r="VD28" i="5"/>
  <c r="AFP28" i="5"/>
  <c r="DJ29" i="5"/>
  <c r="OA29" i="5"/>
  <c r="ABG29" i="5"/>
  <c r="IU30" i="5"/>
  <c r="EM27" i="5"/>
  <c r="OY27" i="5"/>
  <c r="ZK27" i="5"/>
  <c r="AJW27" i="5"/>
  <c r="HA28" i="5"/>
  <c r="RM28" i="5"/>
  <c r="ABY28" i="5"/>
  <c r="C29" i="5"/>
  <c r="JO29" i="5"/>
  <c r="VR29" i="5"/>
  <c r="B30" i="5"/>
  <c r="BL27" i="5"/>
  <c r="LX27" i="5"/>
  <c r="WJ27" i="5"/>
  <c r="AGV27" i="5"/>
  <c r="DZ28" i="5"/>
  <c r="OL28" i="5"/>
  <c r="YX28" i="5"/>
  <c r="AJJ28" i="5"/>
  <c r="GN29" i="5"/>
  <c r="RY29" i="5"/>
  <c r="AI30" i="5"/>
  <c r="DI27" i="5"/>
  <c r="PQ27" i="5"/>
  <c r="ADU27" i="5"/>
  <c r="CU28" i="5"/>
  <c r="PS28" i="5"/>
  <c r="ADW28" i="5"/>
  <c r="CW29" i="5"/>
  <c r="PR29" i="5"/>
  <c r="AIT29" i="5"/>
  <c r="ADC30" i="5"/>
  <c r="CC31" i="5"/>
  <c r="OK31" i="5"/>
  <c r="AEI31" i="5"/>
  <c r="HX32" i="5"/>
  <c r="TX30" i="5"/>
  <c r="AHL30" i="5"/>
  <c r="KT31" i="5"/>
  <c r="ZA31" i="5"/>
  <c r="MQ32" i="5"/>
  <c r="AAS30" i="5"/>
  <c r="ZB31" i="5"/>
  <c r="TJ30" i="5"/>
  <c r="AFE31" i="5"/>
  <c r="ALW30" i="5"/>
  <c r="R33" i="5"/>
  <c r="IK30" i="5"/>
  <c r="ADC31" i="5"/>
  <c r="GR31" i="5"/>
  <c r="RC30" i="5"/>
  <c r="ALJ29" i="5"/>
  <c r="PI30" i="5"/>
  <c r="IQ30" i="5"/>
  <c r="ACZ27" i="5"/>
  <c r="N28" i="5"/>
  <c r="JJ28" i="5"/>
  <c r="TF28" i="5"/>
  <c r="ADB28" i="5"/>
  <c r="P29" i="5"/>
  <c r="JL29" i="5"/>
  <c r="US29" i="5"/>
  <c r="AJU29" i="5"/>
  <c r="ABL30" i="5"/>
  <c r="VA27" i="5"/>
  <c r="AEW27" i="5"/>
  <c r="BK28" i="5"/>
  <c r="LG28" i="5"/>
  <c r="VC28" i="5"/>
  <c r="AEY28" i="5"/>
  <c r="BM29" i="5"/>
  <c r="MA29" i="5"/>
  <c r="YT29" i="5"/>
  <c r="EA30" i="5"/>
  <c r="IT27" i="5"/>
  <c r="TF27" i="5"/>
  <c r="ADR27" i="5"/>
  <c r="AV28" i="5"/>
  <c r="LH28" i="5"/>
  <c r="VT28" i="5"/>
  <c r="AGV28" i="5"/>
  <c r="DZ29" i="5"/>
  <c r="OS29" i="5"/>
  <c r="ACB29" i="5"/>
  <c r="KF30" i="5"/>
  <c r="FC27" i="5"/>
  <c r="PO27" i="5"/>
  <c r="AAA27" i="5"/>
  <c r="AKM27" i="5"/>
  <c r="HQ28" i="5"/>
  <c r="SC28" i="5"/>
  <c r="ACO28" i="5"/>
  <c r="S29" i="5"/>
  <c r="KE29" i="5"/>
  <c r="WK29" i="5"/>
  <c r="BN30" i="5"/>
  <c r="CB27" i="5"/>
  <c r="MN27" i="5"/>
  <c r="WZ27" i="5"/>
  <c r="AHL27" i="5"/>
  <c r="EP28" i="5"/>
  <c r="PB28" i="5"/>
  <c r="ZN28" i="5"/>
  <c r="AJZ28" i="5"/>
  <c r="HD29" i="5"/>
  <c r="SR29" i="5"/>
  <c r="BO30" i="5"/>
  <c r="DY27" i="5"/>
  <c r="QG27" i="5"/>
  <c r="AEK27" i="5"/>
  <c r="EA28" i="5"/>
  <c r="QI28" i="5"/>
  <c r="AEM28" i="5"/>
  <c r="DM29" i="5"/>
  <c r="QK29" i="5"/>
  <c r="ALF29" i="5"/>
  <c r="ADS30" i="5"/>
  <c r="CS31" i="5"/>
  <c r="QG31" i="5"/>
  <c r="AFB31" i="5"/>
  <c r="IZ32" i="5"/>
  <c r="UN30" i="5"/>
  <c r="AIB30" i="5"/>
  <c r="LJ31" i="5"/>
  <c r="ZT31" i="5"/>
  <c r="NW32" i="5"/>
  <c r="ABI30" i="5"/>
  <c r="ZU31" i="5"/>
  <c r="TZ30" i="5"/>
  <c r="AFX31" i="5"/>
  <c r="BA31" i="5"/>
  <c r="CE33" i="5"/>
  <c r="JQ30" i="5"/>
  <c r="BU32" i="5"/>
  <c r="HH31" i="5"/>
  <c r="VK30" i="5"/>
  <c r="ALZ29" i="5"/>
  <c r="PY30" i="5"/>
  <c r="LC30" i="5"/>
  <c r="ADP27" i="5"/>
  <c r="AD28" i="5"/>
  <c r="JZ28" i="5"/>
  <c r="TV28" i="5"/>
  <c r="ADR28" i="5"/>
  <c r="AF29" i="5"/>
  <c r="KB29" i="5"/>
  <c r="VL29" i="5"/>
  <c r="ALA29" i="5"/>
  <c r="LU27" i="5"/>
  <c r="VQ27" i="5"/>
  <c r="AFM27" i="5"/>
  <c r="CA28" i="5"/>
  <c r="LW28" i="5"/>
  <c r="VS28" i="5"/>
  <c r="AFO28" i="5"/>
  <c r="CC29" i="5"/>
  <c r="MR29" i="5"/>
  <c r="ZN29" i="5"/>
  <c r="FI30" i="5"/>
  <c r="JJ27" i="5"/>
  <c r="TV27" i="5"/>
  <c r="AEH27" i="5"/>
  <c r="BL28" i="5"/>
  <c r="LX28" i="5"/>
  <c r="WZ28" i="5"/>
  <c r="AHL28" i="5"/>
  <c r="EP29" i="5"/>
  <c r="PO29" i="5"/>
  <c r="ADD29" i="5"/>
  <c r="MM30" i="5"/>
  <c r="FS27" i="5"/>
  <c r="QE27" i="5"/>
  <c r="AAQ27" i="5"/>
  <c r="ALC27" i="5"/>
  <c r="IG28" i="5"/>
  <c r="SS28" i="5"/>
  <c r="ADE28" i="5"/>
  <c r="AI29" i="5"/>
  <c r="KU29" i="5"/>
  <c r="XX29" i="5"/>
  <c r="CU30" i="5"/>
  <c r="CR27" i="5"/>
  <c r="ND27" i="5"/>
  <c r="XP27" i="5"/>
  <c r="AIB27" i="5"/>
  <c r="FF28" i="5"/>
  <c r="PR28" i="5"/>
  <c r="AAD28" i="5"/>
  <c r="AKP28" i="5"/>
  <c r="HT29" i="5"/>
  <c r="UW29" i="5"/>
  <c r="CV30" i="5"/>
  <c r="EO27" i="5"/>
  <c r="QW27" i="5"/>
  <c r="AFQ27" i="5"/>
  <c r="EQ28" i="5"/>
  <c r="QY28" i="5"/>
  <c r="AFC28" i="5"/>
  <c r="EC29" i="5"/>
  <c r="RD29" i="5"/>
  <c r="D30" i="5"/>
  <c r="AEI30" i="5"/>
  <c r="DI31" i="5"/>
  <c r="RM31" i="5"/>
  <c r="AFU31" i="5"/>
  <c r="KD32" i="5"/>
  <c r="VD30" i="5"/>
  <c r="AIR30" i="5"/>
  <c r="LZ31" i="5"/>
  <c r="AEJ31" i="5"/>
  <c r="PC32" i="5"/>
  <c r="ABY30" i="5"/>
  <c r="AAQ31" i="5"/>
  <c r="AAT30" i="5"/>
  <c r="AGT31" i="5"/>
  <c r="CG31" i="5"/>
  <c r="F31" i="5"/>
  <c r="KG30" i="5"/>
  <c r="DP32" i="5"/>
  <c r="HX31" i="5"/>
  <c r="WQ30" i="5"/>
  <c r="H30" i="5"/>
  <c r="QO30" i="5"/>
  <c r="LS30" i="5"/>
  <c r="AEF27" i="5"/>
  <c r="AT28" i="5"/>
  <c r="KP28" i="5"/>
  <c r="UL28" i="5"/>
  <c r="AEH28" i="5"/>
  <c r="AV29" i="5"/>
  <c r="KR29" i="5"/>
  <c r="WH29" i="5"/>
  <c r="AMG29" i="5"/>
  <c r="MK27" i="5"/>
  <c r="WG27" i="5"/>
  <c r="AGC27" i="5"/>
  <c r="CQ28" i="5"/>
  <c r="MM28" i="5"/>
  <c r="WI28" i="5"/>
  <c r="AGE28" i="5"/>
  <c r="CS29" i="5"/>
  <c r="NI29" i="5"/>
  <c r="AAH29" i="5"/>
  <c r="GZ30" i="5"/>
  <c r="JZ27" i="5"/>
  <c r="UL27" i="5"/>
  <c r="AEX27" i="5"/>
  <c r="CB28" i="5"/>
  <c r="ND28" i="5"/>
  <c r="XP28" i="5"/>
  <c r="AIB28" i="5"/>
  <c r="FF29" i="5"/>
  <c r="QH29" i="5"/>
  <c r="ADZ29" i="5"/>
  <c r="OJ30" i="5"/>
  <c r="GI27" i="5"/>
  <c r="QU27" i="5"/>
  <c r="ABG27" i="5"/>
  <c r="ALS27" i="5"/>
  <c r="IW28" i="5"/>
  <c r="TI28" i="5"/>
  <c r="ADU28" i="5"/>
  <c r="AY29" i="5"/>
  <c r="MC29" i="5"/>
  <c r="YV29" i="5"/>
  <c r="EC30" i="5"/>
  <c r="DH27" i="5"/>
  <c r="NT27" i="5"/>
  <c r="YF27" i="5"/>
  <c r="AIR27" i="5"/>
  <c r="FV28" i="5"/>
  <c r="QH28" i="5"/>
  <c r="AAT28" i="5"/>
  <c r="ALF28" i="5"/>
  <c r="IJ29" i="5"/>
  <c r="WL29" i="5"/>
  <c r="EM30" i="5"/>
  <c r="FE27" i="5"/>
  <c r="TY27" i="5"/>
  <c r="AGG27" i="5"/>
  <c r="FG28" i="5"/>
  <c r="SU28" i="5"/>
  <c r="AFS28" i="5"/>
  <c r="ES29" i="5"/>
  <c r="RZ29" i="5"/>
  <c r="AJ30" i="5"/>
  <c r="AEY30" i="5"/>
  <c r="DY31" i="5"/>
  <c r="SC31" i="5"/>
  <c r="AGN31" i="5"/>
  <c r="LJ32" i="5"/>
  <c r="VT30" i="5"/>
  <c r="AJH30" i="5"/>
  <c r="NF31" i="5"/>
  <c r="AFV31" i="5"/>
  <c r="QI32" i="5"/>
  <c r="ADE30" i="5"/>
  <c r="ABJ31" i="5"/>
  <c r="ABZ30" i="5"/>
  <c r="AJW31" i="5"/>
  <c r="CW31" i="5"/>
  <c r="AL31" i="5"/>
  <c r="KW30" i="5"/>
  <c r="EP32" i="5"/>
  <c r="IN31" i="5"/>
  <c r="XG30" i="5"/>
  <c r="QN30" i="5"/>
  <c r="SK30" i="5"/>
  <c r="QQ30" i="5"/>
  <c r="AEV27" i="5"/>
  <c r="BJ28" i="5"/>
  <c r="LF28" i="5"/>
  <c r="VB28" i="5"/>
  <c r="AEX28" i="5"/>
  <c r="BL29" i="5"/>
  <c r="LI29" i="5"/>
  <c r="XA29" i="5"/>
  <c r="AE30" i="5"/>
  <c r="NA27" i="5"/>
  <c r="WW27" i="5"/>
  <c r="AGS27" i="5"/>
  <c r="DG28" i="5"/>
  <c r="NC28" i="5"/>
  <c r="WY28" i="5"/>
  <c r="AGU28" i="5"/>
  <c r="DI29" i="5"/>
  <c r="NZ29" i="5"/>
  <c r="ABF29" i="5"/>
  <c r="IJ30" i="5"/>
  <c r="KP27" i="5"/>
  <c r="VB27" i="5"/>
  <c r="AFN27" i="5"/>
  <c r="DH28" i="5"/>
  <c r="NT28" i="5"/>
  <c r="YF28" i="5"/>
  <c r="AIR28" i="5"/>
  <c r="FV29" i="5"/>
  <c r="RA29" i="5"/>
  <c r="AFB29" i="5"/>
  <c r="QU30" i="5"/>
  <c r="GY27" i="5"/>
  <c r="RK27" i="5"/>
  <c r="ABW27" i="5"/>
  <c r="A28" i="5"/>
  <c r="A26" i="3" s="1"/>
  <c r="JM28" i="5"/>
  <c r="TY28" i="5"/>
  <c r="AEK28" i="5"/>
  <c r="CE29" i="5"/>
  <c r="MT29" i="5"/>
  <c r="ZP29" i="5"/>
  <c r="FT30" i="5"/>
  <c r="DX27" i="5"/>
  <c r="OJ27" i="5"/>
  <c r="YV27" i="5"/>
  <c r="AJH27" i="5"/>
  <c r="GL28" i="5"/>
  <c r="QX28" i="5"/>
  <c r="ABJ28" i="5"/>
  <c r="ALV28" i="5"/>
  <c r="IZ29" i="5"/>
  <c r="XE29" i="5"/>
  <c r="FU30" i="5"/>
  <c r="GK27" i="5"/>
  <c r="UO27" i="5"/>
  <c r="AGW27" i="5"/>
  <c r="FW28" i="5"/>
  <c r="UA28" i="5"/>
  <c r="AGI28" i="5"/>
  <c r="FI29" i="5"/>
  <c r="UE29" i="5"/>
  <c r="BP30" i="5"/>
  <c r="AFO30" i="5"/>
  <c r="EO31" i="5"/>
  <c r="SS31" i="5"/>
  <c r="AHJ31" i="5"/>
  <c r="NV32" i="5"/>
  <c r="WJ30" i="5"/>
  <c r="AH31" i="5"/>
  <c r="NV31" i="5"/>
  <c r="AGO31" i="5"/>
  <c r="WM32" i="5"/>
  <c r="AIC30" i="5"/>
  <c r="ACC31" i="5"/>
  <c r="ACP30" i="5"/>
  <c r="ALK31" i="5"/>
  <c r="DM31" i="5"/>
  <c r="BB31" i="5"/>
  <c r="LM30" i="5"/>
  <c r="FK32" i="5"/>
  <c r="RT31" i="5"/>
  <c r="XW30" i="5"/>
  <c r="SJ30" i="5"/>
  <c r="TA30" i="5"/>
  <c r="YP29" i="5"/>
  <c r="VR28" i="5"/>
  <c r="AFN28" i="5"/>
  <c r="CB29" i="5"/>
  <c r="LZ29" i="5"/>
  <c r="XU29" i="5"/>
  <c r="BK30" i="5"/>
  <c r="NQ27" i="5"/>
  <c r="XM27" i="5"/>
  <c r="AHI27" i="5"/>
  <c r="DW28" i="5"/>
  <c r="NS28" i="5"/>
  <c r="XO28" i="5"/>
  <c r="AHK28" i="5"/>
  <c r="DY29" i="5"/>
  <c r="OR29" i="5"/>
  <c r="ACA29" i="5"/>
  <c r="KE30" i="5"/>
  <c r="LF27" i="5"/>
  <c r="VR27" i="5"/>
  <c r="AGT27" i="5"/>
  <c r="DX28" i="5"/>
  <c r="OJ28" i="5"/>
  <c r="YV28" i="5"/>
  <c r="AJH28" i="5"/>
  <c r="GL29" i="5"/>
  <c r="RT29" i="5"/>
  <c r="AGF29" i="5"/>
  <c r="TG30" i="5"/>
  <c r="HO27" i="5"/>
  <c r="SA27" i="5"/>
  <c r="ACM27" i="5"/>
  <c r="Q28" i="5"/>
  <c r="KC28" i="5"/>
  <c r="UO28" i="5"/>
  <c r="AFQ28" i="5"/>
  <c r="CU29" i="5"/>
  <c r="NK29" i="5"/>
  <c r="AAJ29" i="5"/>
  <c r="HB30" i="5"/>
  <c r="EN27" i="5"/>
  <c r="OZ27" i="5"/>
  <c r="ZL27" i="5"/>
  <c r="AJX27" i="5"/>
  <c r="HB28" i="5"/>
  <c r="RN28" i="5"/>
  <c r="ABZ28" i="5"/>
  <c r="D29" i="5"/>
  <c r="JP29" i="5"/>
  <c r="YC29" i="5"/>
  <c r="IW30" i="5"/>
  <c r="HA27" i="5"/>
  <c r="VE27" i="5"/>
  <c r="AHM27" i="5"/>
  <c r="GM28" i="5"/>
  <c r="UQ28" i="5"/>
  <c r="AGY28" i="5"/>
  <c r="FY29" i="5"/>
  <c r="VT29" i="5"/>
  <c r="CW30" i="5"/>
  <c r="AGE30" i="5"/>
  <c r="GK31" i="5"/>
  <c r="TI31" i="5"/>
  <c r="AIC31" i="5"/>
  <c r="RN32" i="5"/>
  <c r="XP30" i="5"/>
  <c r="AX31" i="5"/>
  <c r="OL31" i="5"/>
  <c r="AHK31" i="5"/>
  <c r="YY32" i="5"/>
  <c r="AKO30" i="5"/>
  <c r="ACV31" i="5"/>
  <c r="ADF30" i="5"/>
  <c r="B32" i="5"/>
  <c r="EC31" i="5"/>
  <c r="BR31" i="5"/>
  <c r="UC30" i="5"/>
  <c r="GL32" i="5"/>
  <c r="SZ31" i="5"/>
  <c r="YM30" i="5"/>
  <c r="UV30" i="5"/>
  <c r="TQ30" i="5"/>
  <c r="Q32" i="5"/>
  <c r="AGB27" i="5"/>
  <c r="CP28" i="5"/>
  <c r="ML28" i="5"/>
  <c r="WH28" i="5"/>
  <c r="AGD28" i="5"/>
  <c r="CR29" i="5"/>
  <c r="MQ29" i="5"/>
  <c r="YS29" i="5"/>
  <c r="CR30" i="5"/>
  <c r="OG27" i="5"/>
  <c r="YC27" i="5"/>
  <c r="AHY27" i="5"/>
  <c r="EM28" i="5"/>
  <c r="OI28" i="5"/>
  <c r="YE28" i="5"/>
  <c r="AIA28" i="5"/>
  <c r="EO29" i="5"/>
  <c r="PN29" i="5"/>
  <c r="ADC29" i="5"/>
  <c r="MB30" i="5"/>
  <c r="LV27" i="5"/>
  <c r="WX27" i="5"/>
  <c r="AHJ27" i="5"/>
  <c r="EN28" i="5"/>
  <c r="OZ28" i="5"/>
  <c r="ZL28" i="5"/>
  <c r="AJX28" i="5"/>
  <c r="HB29" i="5"/>
  <c r="SP29" i="5"/>
  <c r="AHK29" i="5"/>
  <c r="WY30" i="5"/>
  <c r="IE27" i="5"/>
  <c r="SQ27" i="5"/>
  <c r="ADC27" i="5"/>
  <c r="AG28" i="5"/>
  <c r="KS28" i="5"/>
  <c r="VU28" i="5"/>
  <c r="AGG28" i="5"/>
  <c r="DK29" i="5"/>
  <c r="OB29" i="5"/>
  <c r="ABH29" i="5"/>
  <c r="IV30" i="5"/>
  <c r="FD27" i="5"/>
  <c r="PP27" i="5"/>
  <c r="AAB27" i="5"/>
  <c r="AKN27" i="5"/>
  <c r="HR28" i="5"/>
  <c r="SD28" i="5"/>
  <c r="ACP28" i="5"/>
  <c r="T29" i="5"/>
  <c r="KF29" i="5"/>
  <c r="ZQ29" i="5"/>
  <c r="KR30" i="5"/>
  <c r="IW27" i="5"/>
  <c r="VU27" i="5"/>
  <c r="AIC27" i="5"/>
  <c r="HC28" i="5"/>
  <c r="VG28" i="5"/>
  <c r="AHO28" i="5"/>
  <c r="GO29" i="5"/>
  <c r="WM29" i="5"/>
  <c r="EN30" i="5"/>
  <c r="AGU30" i="5"/>
  <c r="HQ31" i="5"/>
  <c r="TZ31" i="5"/>
  <c r="AIV31" i="5"/>
  <c r="VF32" i="5"/>
  <c r="YF30" i="5"/>
  <c r="BN31" i="5"/>
  <c r="PB31" i="5"/>
  <c r="AID31" i="5"/>
  <c r="AAE32" i="5"/>
  <c r="ALU30" i="5"/>
  <c r="ALJ31" i="5"/>
  <c r="ADV30" i="5"/>
  <c r="FH32" i="5"/>
  <c r="MC31" i="5"/>
  <c r="CH31" i="5"/>
  <c r="VI30" i="5"/>
  <c r="HH32" i="5"/>
  <c r="TP31" i="5"/>
  <c r="ZC30" i="5"/>
  <c r="VL30" i="5"/>
  <c r="ALB31" i="5"/>
  <c r="QE32" i="5"/>
  <c r="AGR27" i="5"/>
  <c r="DF28" i="5"/>
  <c r="NB28" i="5"/>
  <c r="WX28" i="5"/>
  <c r="AGT28" i="5"/>
  <c r="DH29" i="5"/>
  <c r="NH29" i="5"/>
  <c r="ZM29" i="5"/>
  <c r="DZ30" i="5"/>
  <c r="OW27" i="5"/>
  <c r="YS27" i="5"/>
  <c r="AIO27" i="5"/>
  <c r="FC28" i="5"/>
  <c r="OY28" i="5"/>
  <c r="YU28" i="5"/>
  <c r="AIQ28" i="5"/>
  <c r="FE29" i="5"/>
  <c r="QG29" i="5"/>
  <c r="ADY29" i="5"/>
  <c r="OI30" i="5"/>
  <c r="NB27" i="5"/>
  <c r="XN27" i="5"/>
  <c r="AHZ27" i="5"/>
  <c r="FD28" i="5"/>
  <c r="PP28" i="5"/>
  <c r="AAB28" i="5"/>
  <c r="AKN28" i="5"/>
  <c r="HR29" i="5"/>
  <c r="TI29" i="5"/>
  <c r="AIQ29" i="5"/>
  <c r="ACR30" i="5"/>
  <c r="IU27" i="5"/>
  <c r="TG27" i="5"/>
  <c r="ADS27" i="5"/>
  <c r="AW28" i="5"/>
  <c r="LY28" i="5"/>
  <c r="WK28" i="5"/>
  <c r="AGW28" i="5"/>
  <c r="EA29" i="5"/>
  <c r="OW29" i="5"/>
  <c r="ACC29" i="5"/>
  <c r="KQ30" i="5"/>
  <c r="FT27" i="5"/>
  <c r="QF27" i="5"/>
  <c r="AAR27" i="5"/>
  <c r="ALD27" i="5"/>
  <c r="IH28" i="5"/>
  <c r="ST28" i="5"/>
  <c r="ADF28" i="5"/>
  <c r="AJ29" i="5"/>
  <c r="LM29" i="5"/>
  <c r="AAO29" i="5"/>
  <c r="MO30" i="5"/>
  <c r="KC27" i="5"/>
  <c r="WK27" i="5"/>
  <c r="AIS27" i="5"/>
  <c r="IY28" i="5"/>
  <c r="VW28" i="5"/>
  <c r="AIE28" i="5"/>
  <c r="HE29" i="5"/>
  <c r="XF29" i="5"/>
  <c r="FV30" i="5"/>
  <c r="AHK30" i="5"/>
  <c r="IG31" i="5"/>
  <c r="UQ31" i="5"/>
  <c r="AKN31" i="5"/>
  <c r="WL32" i="5"/>
  <c r="YV30" i="5"/>
  <c r="CD31" i="5"/>
  <c r="PR31" i="5"/>
  <c r="AIW31" i="5"/>
  <c r="ABK32" i="5"/>
  <c r="AY31" i="5"/>
  <c r="JB32" i="5"/>
  <c r="ER31" i="5"/>
  <c r="UC32" i="5"/>
  <c r="AAS31" i="5"/>
  <c r="SX31" i="5"/>
  <c r="AJM30" i="5"/>
  <c r="DN30" i="5"/>
  <c r="AF32" i="5"/>
  <c r="PY31" i="5"/>
  <c r="HZ31" i="5"/>
  <c r="I32" i="5"/>
  <c r="EQ33" i="5"/>
  <c r="AEI27" i="5"/>
  <c r="CC28" i="5"/>
  <c r="MO28" i="5"/>
  <c r="XA28" i="5"/>
  <c r="AHM28" i="5"/>
  <c r="EQ29" i="5"/>
  <c r="PP29" i="5"/>
  <c r="ADE29" i="5"/>
  <c r="MN30" i="5"/>
  <c r="GJ27" i="5"/>
  <c r="QV27" i="5"/>
  <c r="ABH27" i="5"/>
  <c r="ALT27" i="5"/>
  <c r="IX28" i="5"/>
  <c r="TJ28" i="5"/>
  <c r="ADV28" i="5"/>
  <c r="BP29" i="5"/>
  <c r="MD29" i="5"/>
  <c r="ABI29" i="5"/>
  <c r="OM30" i="5"/>
  <c r="KS27" i="5"/>
  <c r="XA27" i="5"/>
  <c r="AJI27" i="5"/>
  <c r="KE28" i="5"/>
  <c r="WM28" i="5"/>
  <c r="AIU28" i="5"/>
  <c r="JA29" i="5"/>
  <c r="YD29" i="5"/>
  <c r="HD30" i="5"/>
  <c r="AIA30" i="5"/>
  <c r="IW31" i="5"/>
  <c r="VY31" i="5"/>
  <c r="ALH31" i="5"/>
  <c r="XR32" i="5"/>
  <c r="ZL30" i="5"/>
  <c r="CT31" i="5"/>
  <c r="ST31" i="5"/>
  <c r="AJU31" i="5"/>
  <c r="AEJ32" i="5"/>
  <c r="CE31" i="5"/>
  <c r="SV32" i="5"/>
  <c r="FX31" i="5"/>
  <c r="Q33" i="5"/>
  <c r="ACE31" i="5"/>
  <c r="ADU31" i="5"/>
  <c r="AKS30" i="5"/>
  <c r="NZ30" i="5"/>
  <c r="GM32" i="5"/>
  <c r="SK31" i="5"/>
  <c r="JF31" i="5"/>
  <c r="AI32" i="5"/>
  <c r="OU29" i="5"/>
  <c r="AHX27" i="5"/>
  <c r="EL28" i="5"/>
  <c r="OH28" i="5"/>
  <c r="YD28" i="5"/>
  <c r="AHZ28" i="5"/>
  <c r="EN29" i="5"/>
  <c r="OQ29" i="5"/>
  <c r="ABE29" i="5"/>
  <c r="GY30" i="5"/>
  <c r="QC27" i="5"/>
  <c r="ZY27" i="5"/>
  <c r="AJU27" i="5"/>
  <c r="GI28" i="5"/>
  <c r="QE28" i="5"/>
  <c r="AAA28" i="5"/>
  <c r="AJW28" i="5"/>
  <c r="GK29" i="5"/>
  <c r="RS29" i="5"/>
  <c r="AHJ29" i="5"/>
  <c r="WN30" i="5"/>
  <c r="OH27" i="5"/>
  <c r="YT27" i="5"/>
  <c r="AJF27" i="5"/>
  <c r="GJ28" i="5"/>
  <c r="QV28" i="5"/>
  <c r="ABH28" i="5"/>
  <c r="ALT28" i="5"/>
  <c r="IX29" i="5"/>
  <c r="UU29" i="5"/>
  <c r="ALC29" i="5"/>
  <c r="O27" i="5"/>
  <c r="KA27" i="5"/>
  <c r="UM27" i="5"/>
  <c r="AFO27" i="5"/>
  <c r="CS28" i="5"/>
  <c r="NE28" i="5"/>
  <c r="XQ28" i="5"/>
  <c r="AIC28" i="5"/>
  <c r="FG29" i="5"/>
  <c r="QI29" i="5"/>
  <c r="AEG29" i="5"/>
  <c r="OK30" i="5"/>
  <c r="GZ27" i="5"/>
  <c r="RL27" i="5"/>
  <c r="ABX27" i="5"/>
  <c r="B28" i="5"/>
  <c r="JN28" i="5"/>
  <c r="TZ28" i="5"/>
  <c r="AFB28" i="5"/>
  <c r="CF29" i="5"/>
  <c r="MU29" i="5"/>
  <c r="ACD29" i="5"/>
  <c r="QW30" i="5"/>
  <c r="LI27" i="5"/>
  <c r="XQ27" i="5"/>
  <c r="AJY27" i="5"/>
  <c r="KU28" i="5"/>
  <c r="XC28" i="5"/>
  <c r="AJK28" i="5"/>
  <c r="KG29" i="5"/>
  <c r="YX29" i="5"/>
  <c r="IX30" i="5"/>
  <c r="AJW30" i="5"/>
  <c r="KC31" i="5"/>
  <c r="WR31" i="5"/>
  <c r="AO32" i="5"/>
  <c r="YX32" i="5"/>
  <c r="ACN30" i="5"/>
  <c r="DJ31" i="5"/>
  <c r="UA31" i="5"/>
  <c r="AKO31" i="5"/>
  <c r="AIR32" i="5"/>
  <c r="CU31" i="5"/>
  <c r="VH32" i="5"/>
  <c r="GN31" i="5"/>
  <c r="CD33" i="5"/>
  <c r="ADA31" i="5"/>
  <c r="AFG31" i="5"/>
  <c r="ALI30" i="5"/>
  <c r="OP30" i="5"/>
  <c r="IK32" i="5"/>
  <c r="TA31" i="5"/>
  <c r="AER31" i="5"/>
  <c r="HR32" i="5"/>
  <c r="UY29" i="5"/>
  <c r="AIN27" i="5"/>
  <c r="FB28" i="5"/>
  <c r="OX28" i="5"/>
  <c r="YT28" i="5"/>
  <c r="AIP28" i="5"/>
  <c r="FD29" i="5"/>
  <c r="PM29" i="5"/>
  <c r="ABZ29" i="5"/>
  <c r="II30" i="5"/>
  <c r="QS27" i="5"/>
  <c r="AAO27" i="5"/>
  <c r="AKK27" i="5"/>
  <c r="GY28" i="5"/>
  <c r="QU28" i="5"/>
  <c r="AAQ28" i="5"/>
  <c r="AKM28" i="5"/>
  <c r="HA29" i="5"/>
  <c r="TH29" i="5"/>
  <c r="AIP29" i="5"/>
  <c r="ACB30" i="5"/>
  <c r="OX27" i="5"/>
  <c r="ZJ27" i="5"/>
  <c r="AJV27" i="5"/>
  <c r="GZ28" i="5"/>
  <c r="RL28" i="5"/>
  <c r="ABX28" i="5"/>
  <c r="B29" i="5"/>
  <c r="JN29" i="5"/>
  <c r="VQ29" i="5"/>
  <c r="A30" i="5"/>
  <c r="A28" i="3" s="1"/>
  <c r="AE27" i="5"/>
  <c r="KQ27" i="5"/>
  <c r="VS27" i="5"/>
  <c r="AGE27" i="5"/>
  <c r="DI28" i="5"/>
  <c r="NU28" i="5"/>
  <c r="YG28" i="5"/>
  <c r="AIS28" i="5"/>
  <c r="FW29" i="5"/>
  <c r="RB29" i="5"/>
  <c r="AFC29" i="5"/>
  <c r="QV30" i="5"/>
  <c r="HP27" i="5"/>
  <c r="SB27" i="5"/>
  <c r="ACN27" i="5"/>
  <c r="R28" i="5"/>
  <c r="KD28" i="5"/>
  <c r="VF28" i="5"/>
  <c r="AFR28" i="5"/>
  <c r="CV29" i="5"/>
  <c r="NL29" i="5"/>
  <c r="ADF29" i="5"/>
  <c r="ADX30" i="5"/>
  <c r="LY27" i="5"/>
  <c r="YG27" i="5"/>
  <c r="AKO27" i="5"/>
  <c r="LK28" i="5"/>
  <c r="XS28" i="5"/>
  <c r="AKA28" i="5"/>
  <c r="KW29" i="5"/>
  <c r="ZR29" i="5"/>
  <c r="KS30" i="5"/>
  <c r="ALS30" i="5"/>
  <c r="KS31" i="5"/>
  <c r="XN31" i="5"/>
  <c r="CJ32" i="5"/>
  <c r="AAD32" i="5"/>
  <c r="ADT30" i="5"/>
  <c r="DZ31" i="5"/>
  <c r="UR31" i="5"/>
  <c r="ALI31" i="5"/>
  <c r="C33" i="5"/>
  <c r="DK31" i="5"/>
  <c r="AAF32" i="5"/>
  <c r="HD31" i="5"/>
  <c r="GM33" i="5"/>
  <c r="ADT31" i="5"/>
  <c r="AGC31" i="5"/>
  <c r="AM31" i="5"/>
  <c r="PF30" i="5"/>
  <c r="ZM32" i="5"/>
  <c r="TQ31" i="5"/>
  <c r="AHS31" i="5"/>
  <c r="JQ32" i="5"/>
  <c r="WU29" i="5"/>
  <c r="ZX27" i="5"/>
  <c r="AJT27" i="5"/>
  <c r="GH28" i="5"/>
  <c r="QD28" i="5"/>
  <c r="ZZ28" i="5"/>
  <c r="AJV28" i="5"/>
  <c r="GJ29" i="5"/>
  <c r="QY29" i="5"/>
  <c r="ADX29" i="5"/>
  <c r="MA30" i="5"/>
  <c r="RY27" i="5"/>
  <c r="ABU27" i="5"/>
  <c r="ALQ27" i="5"/>
  <c r="IE28" i="5"/>
  <c r="SA28" i="5"/>
  <c r="ABW28" i="5"/>
  <c r="ALS28" i="5"/>
  <c r="IW29" i="5"/>
  <c r="UT29" i="5"/>
  <c r="ALB29" i="5"/>
  <c r="FR27" i="5"/>
  <c r="QD27" i="5"/>
  <c r="AAP27" i="5"/>
  <c r="ALB27" i="5"/>
  <c r="IF28" i="5"/>
  <c r="SR28" i="5"/>
  <c r="ADD28" i="5"/>
  <c r="AH29" i="5"/>
  <c r="KT29" i="5"/>
  <c r="XC29" i="5"/>
  <c r="BM30" i="5"/>
  <c r="CA27" i="5"/>
  <c r="MM27" i="5"/>
  <c r="WY27" i="5"/>
  <c r="AHK27" i="5"/>
  <c r="EO28" i="5"/>
  <c r="PA28" i="5"/>
  <c r="ZM28" i="5"/>
  <c r="AJY28" i="5"/>
  <c r="HC29" i="5"/>
  <c r="SQ29" i="5"/>
  <c r="AHL29" i="5"/>
  <c r="XD30" i="5"/>
  <c r="IV27" i="5"/>
  <c r="TH27" i="5"/>
  <c r="ADT27" i="5"/>
  <c r="BN28" i="5"/>
  <c r="LZ28" i="5"/>
  <c r="WL28" i="5"/>
  <c r="AGX28" i="5"/>
  <c r="EB29" i="5"/>
  <c r="OX29" i="5"/>
  <c r="AFD29" i="5"/>
  <c r="AW27" i="5"/>
  <c r="NE27" i="5"/>
  <c r="ZM27" i="5"/>
  <c r="AI28" i="5"/>
  <c r="MQ28" i="5"/>
  <c r="YY28" i="5"/>
  <c r="E29" i="5"/>
  <c r="ME29" i="5"/>
  <c r="ACK29" i="5"/>
  <c r="XT30" i="5"/>
  <c r="Q31" i="5"/>
  <c r="LY31" i="5"/>
  <c r="YZ31" i="5"/>
  <c r="EE32" i="5"/>
  <c r="ACR32" i="5"/>
  <c r="AEZ30" i="5"/>
  <c r="FF31" i="5"/>
  <c r="VZ31" i="5"/>
  <c r="EF32" i="5"/>
  <c r="YG30" i="5"/>
  <c r="II31" i="5"/>
  <c r="AEK32" i="5"/>
  <c r="ON31" i="5"/>
  <c r="PS30" i="5"/>
  <c r="BS32" i="5"/>
  <c r="AHO31" i="5"/>
  <c r="IM31" i="5"/>
  <c r="QL30" i="5"/>
  <c r="AGG32" i="5"/>
  <c r="UY31" i="5"/>
  <c r="ALA31" i="5"/>
  <c r="LB30" i="5"/>
  <c r="BG31" i="5"/>
  <c r="MX30" i="5"/>
  <c r="RW30" i="5"/>
  <c r="YA29" i="5"/>
  <c r="AIS32" i="5"/>
  <c r="AEL30" i="5"/>
  <c r="QZ31" i="5"/>
  <c r="HE32" i="5"/>
  <c r="RO30" i="5"/>
  <c r="NI31" i="5"/>
  <c r="JK32" i="5"/>
  <c r="CX31" i="5"/>
  <c r="II32" i="5"/>
  <c r="VY30" i="5"/>
  <c r="NK31" i="5"/>
  <c r="ND32" i="5"/>
  <c r="ABN30" i="5"/>
  <c r="UG31" i="5"/>
  <c r="AG33" i="5"/>
  <c r="AIY30" i="5"/>
  <c r="GN32" i="5"/>
  <c r="WB30" i="5"/>
  <c r="BC32" i="5"/>
  <c r="EY31" i="5"/>
  <c r="NN30" i="5"/>
  <c r="SM30" i="5"/>
  <c r="LY33" i="5"/>
  <c r="MA31" i="5"/>
  <c r="V32" i="5"/>
  <c r="AKN32" i="5"/>
  <c r="AGX30" i="5"/>
  <c r="RP31" i="5"/>
  <c r="LM32" i="5"/>
  <c r="YI30" i="5"/>
  <c r="NY31" i="5"/>
  <c r="KH32" i="5"/>
  <c r="FZ31" i="5"/>
  <c r="KQ32" i="5"/>
  <c r="XE30" i="5"/>
  <c r="OA31" i="5"/>
  <c r="AAR32" i="5"/>
  <c r="ACD30" i="5"/>
  <c r="VO31" i="5"/>
  <c r="CU33" i="5"/>
  <c r="AKU30" i="5"/>
  <c r="HP32" i="5"/>
  <c r="XH30" i="5"/>
  <c r="AI33" i="5"/>
  <c r="FO31" i="5"/>
  <c r="OD30" i="5"/>
  <c r="ABS30" i="5"/>
  <c r="FV33" i="5"/>
  <c r="MQ31" i="5"/>
  <c r="AV32" i="5"/>
  <c r="OL30" i="5"/>
  <c r="AID30" i="5"/>
  <c r="SF31" i="5"/>
  <c r="NY32" i="5"/>
  <c r="ZO30" i="5"/>
  <c r="OO31" i="5"/>
  <c r="LN32" i="5"/>
  <c r="MD31" i="5"/>
  <c r="NC32" i="5"/>
  <c r="XU30" i="5"/>
  <c r="OQ31" i="5"/>
  <c r="ADG32" i="5"/>
  <c r="ACT30" i="5"/>
  <c r="WI31" i="5"/>
  <c r="CI30" i="5"/>
  <c r="ALK30" i="5"/>
  <c r="IL32" i="5"/>
  <c r="XX30" i="5"/>
  <c r="ACU29" i="5"/>
  <c r="GE31" i="5"/>
  <c r="OT30" i="5"/>
  <c r="VZ32" i="5"/>
  <c r="ST33" i="5"/>
  <c r="U32" i="5"/>
  <c r="ACT32" i="5"/>
  <c r="ADU30" i="5"/>
  <c r="NG31" i="5"/>
  <c r="BQ32" i="5"/>
  <c r="PR30" i="5"/>
  <c r="AIT30" i="5"/>
  <c r="SV31" i="5"/>
  <c r="PE32" i="5"/>
  <c r="AAE30" i="5"/>
  <c r="PE31" i="5"/>
  <c r="MT32" i="5"/>
  <c r="NZ31" i="5"/>
  <c r="OI32" i="5"/>
  <c r="YK30" i="5"/>
  <c r="XT31" i="5"/>
  <c r="ALC32" i="5"/>
  <c r="ADJ30" i="5"/>
  <c r="XU31" i="5"/>
  <c r="DO30" i="5"/>
  <c r="AMA30" i="5"/>
  <c r="JO32" i="5"/>
  <c r="DR31" i="5"/>
  <c r="ADK29" i="5"/>
  <c r="GU31" i="5"/>
  <c r="PJ30" i="5"/>
  <c r="AAX32" i="5"/>
  <c r="VF33" i="5"/>
  <c r="NW31" i="5"/>
  <c r="CQ32" i="5"/>
  <c r="QH30" i="5"/>
  <c r="T31" i="5"/>
  <c r="TL31" i="5"/>
  <c r="QK32" i="5"/>
  <c r="AAU30" i="5"/>
  <c r="PU31" i="5"/>
  <c r="ADE32" i="5"/>
  <c r="QL31" i="5"/>
  <c r="PO32" i="5"/>
  <c r="ZA30" i="5"/>
  <c r="ZI31" i="5"/>
  <c r="HQ33" i="5"/>
  <c r="AFF30" i="5"/>
  <c r="AJG31" i="5"/>
  <c r="EE30" i="5"/>
  <c r="Y31" i="5"/>
  <c r="Y29" i="3" s="1"/>
  <c r="KT32" i="5"/>
  <c r="GD31" i="5"/>
  <c r="AEA29" i="5"/>
  <c r="HK31" i="5"/>
  <c r="OF31" i="5"/>
  <c r="ACN32" i="5"/>
  <c r="BZ35" i="5"/>
  <c r="GA32" i="5"/>
  <c r="AFR32" i="5"/>
  <c r="AJI30" i="5"/>
  <c r="OM31" i="5"/>
  <c r="DL32" i="5"/>
  <c r="QX30" i="5"/>
  <c r="AZ31" i="5"/>
  <c r="UC31" i="5"/>
  <c r="RQ32" i="5"/>
  <c r="ABK30" i="5"/>
  <c r="QK31" i="5"/>
  <c r="AFV32" i="5"/>
  <c r="RR31" i="5"/>
  <c r="QU32" i="5"/>
  <c r="AHQ30" i="5"/>
  <c r="AAB31" i="5"/>
  <c r="CH30" i="5"/>
  <c r="AHR30" i="5"/>
  <c r="ALS31" i="5"/>
  <c r="EU30" i="5"/>
  <c r="DA31" i="5"/>
  <c r="AHR29" i="5"/>
  <c r="GT31" i="5"/>
  <c r="AFG29" i="5"/>
  <c r="IA31" i="5"/>
  <c r="QR31" i="5"/>
  <c r="SL29" i="5"/>
  <c r="FC35" i="5"/>
  <c r="HC32" i="5"/>
  <c r="AGZ32" i="5"/>
  <c r="AJY30" i="5"/>
  <c r="PC31" i="5"/>
  <c r="HD32" i="5"/>
  <c r="RN30" i="5"/>
  <c r="DL31" i="5"/>
  <c r="ACD31" i="5"/>
  <c r="SW32" i="5"/>
  <c r="ACA30" i="5"/>
  <c r="ZD31" i="5"/>
  <c r="AHL32" i="5"/>
  <c r="SH31" i="5"/>
  <c r="VS32" i="5"/>
  <c r="AIW30" i="5"/>
  <c r="AAU31" i="5"/>
  <c r="CX30" i="5"/>
  <c r="AN31" i="5"/>
  <c r="F32" i="5"/>
  <c r="FK30" i="5"/>
  <c r="EW31" i="5"/>
  <c r="AJN29" i="5"/>
  <c r="HJ31" i="5"/>
  <c r="AFW29" i="5"/>
  <c r="AIP31" i="5"/>
  <c r="ZN31" i="5"/>
  <c r="WT29" i="5"/>
  <c r="NG33" i="5"/>
  <c r="HQ29" i="5"/>
  <c r="SO29" i="5"/>
  <c r="AGE29" i="5"/>
  <c r="QJ30" i="5"/>
  <c r="ML27" i="5"/>
  <c r="WH27" i="5"/>
  <c r="AGD27" i="5"/>
  <c r="CR28" i="5"/>
  <c r="MN28" i="5"/>
  <c r="WJ28" i="5"/>
  <c r="AGF28" i="5"/>
  <c r="CT29" i="5"/>
  <c r="MS29" i="5"/>
  <c r="YU29" i="5"/>
  <c r="CT30" i="5"/>
  <c r="BK27" i="5"/>
  <c r="LG27" i="5"/>
  <c r="VC27" i="5"/>
  <c r="AEY27" i="5"/>
  <c r="BM28" i="5"/>
  <c r="LI28" i="5"/>
  <c r="VE28" i="5"/>
  <c r="AFA28" i="5"/>
  <c r="BO29" i="5"/>
  <c r="LL29" i="5"/>
  <c r="XD29" i="5"/>
  <c r="AH30" i="5"/>
  <c r="AV27" i="5"/>
  <c r="KR27" i="5"/>
  <c r="UN27" i="5"/>
  <c r="AEJ27" i="5"/>
  <c r="AX28" i="5"/>
  <c r="KT28" i="5"/>
  <c r="UP28" i="5"/>
  <c r="AEL28" i="5"/>
  <c r="AZ29" i="5"/>
  <c r="KV29" i="5"/>
  <c r="YW29" i="5"/>
  <c r="HC30" i="5"/>
  <c r="FU27" i="5"/>
  <c r="SS27" i="5"/>
  <c r="AFA27" i="5"/>
  <c r="DK28" i="5"/>
  <c r="PC28" i="5"/>
  <c r="AAU28" i="5"/>
  <c r="BA29" i="5"/>
  <c r="MV29" i="5"/>
  <c r="ABJ29" i="5"/>
  <c r="MQ30" i="5"/>
  <c r="ALC30" i="5"/>
  <c r="JM31" i="5"/>
  <c r="VH31" i="5"/>
  <c r="AJP31" i="5"/>
  <c r="TZ32" i="5"/>
  <c r="WZ30" i="5"/>
  <c r="B31" i="5"/>
  <c r="MP31" i="5"/>
  <c r="AAP31" i="5"/>
  <c r="JA32" i="5"/>
  <c r="AKM32" i="5"/>
  <c r="ALE30" i="5"/>
  <c r="XP31" i="5"/>
  <c r="KF32" i="5"/>
  <c r="ST30" i="5"/>
  <c r="FH31" i="5"/>
  <c r="AEL31" i="5"/>
  <c r="AIT32" i="5"/>
  <c r="AKQ30" i="5"/>
  <c r="ABL31" i="5"/>
  <c r="AKQ32" i="5"/>
  <c r="TN31" i="5"/>
  <c r="CS33" i="5"/>
  <c r="AKC30" i="5"/>
  <c r="ACG31" i="5"/>
  <c r="MT30" i="5"/>
  <c r="FL31" i="5"/>
  <c r="EQ32" i="5"/>
  <c r="KI30" i="5"/>
  <c r="RU31" i="5"/>
  <c r="AKT29" i="5"/>
  <c r="IP31" i="5"/>
  <c r="NM30" i="5"/>
  <c r="ALV31" i="5"/>
  <c r="ABV31" i="5"/>
  <c r="ZF29" i="5"/>
  <c r="AFS30" i="5"/>
  <c r="ES31" i="5"/>
  <c r="RA31" i="5"/>
  <c r="AIG31" i="5"/>
  <c r="NZ32" i="5"/>
  <c r="HA33" i="5"/>
  <c r="HF31" i="5"/>
  <c r="UE31" i="5"/>
  <c r="AKS31" i="5"/>
  <c r="YE32" i="5"/>
  <c r="MC30" i="5"/>
  <c r="ZQ30" i="5"/>
  <c r="BS31" i="5"/>
  <c r="PG31" i="5"/>
  <c r="ADV31" i="5"/>
  <c r="PP32" i="5"/>
  <c r="ED30" i="5"/>
  <c r="RR30" i="5"/>
  <c r="AIX30" i="5"/>
  <c r="JD31" i="5"/>
  <c r="YN31" i="5"/>
  <c r="JN32" i="5"/>
  <c r="HS33" i="5"/>
  <c r="KY30" i="5"/>
  <c r="ZS30" i="5"/>
  <c r="FM31" i="5"/>
  <c r="AAW31" i="5"/>
  <c r="XB32" i="5"/>
  <c r="FL30" i="5"/>
  <c r="ACV30" i="5"/>
  <c r="QP31" i="5"/>
  <c r="JP32" i="5"/>
  <c r="Y30" i="5"/>
  <c r="Y28" i="3" s="1"/>
  <c r="AAK30" i="5"/>
  <c r="QA31" i="5"/>
  <c r="ADT32" i="5"/>
  <c r="AFZ30" i="5"/>
  <c r="RA32" i="5"/>
  <c r="GW31" i="5"/>
  <c r="IR30" i="5"/>
  <c r="AE31" i="5"/>
  <c r="B35" i="5"/>
  <c r="AGI30" i="5"/>
  <c r="FI31" i="5"/>
  <c r="RQ31" i="5"/>
  <c r="AIZ31" i="5"/>
  <c r="PF32" i="5"/>
  <c r="AFD30" i="5"/>
  <c r="HV31" i="5"/>
  <c r="UV31" i="5"/>
  <c r="ALQ31" i="5"/>
  <c r="ZK32" i="5"/>
  <c r="NI30" i="5"/>
  <c r="AAG30" i="5"/>
  <c r="CI31" i="5"/>
  <c r="PW31" i="5"/>
  <c r="AEO31" i="5"/>
  <c r="QV32" i="5"/>
  <c r="ET30" i="5"/>
  <c r="SH30" i="5"/>
  <c r="AJN30" i="5"/>
  <c r="JT31" i="5"/>
  <c r="ZJ31" i="5"/>
  <c r="KS32" i="5"/>
  <c r="AHA29" i="5"/>
  <c r="ME30" i="5"/>
  <c r="AAY30" i="5"/>
  <c r="GC31" i="5"/>
  <c r="ADE31" i="5"/>
  <c r="ZN32" i="5"/>
  <c r="GR30" i="5"/>
  <c r="AFX30" i="5"/>
  <c r="RV31" i="5"/>
  <c r="OM32" i="5"/>
  <c r="BU30" i="5"/>
  <c r="ABQ30" i="5"/>
  <c r="RG31" i="5"/>
  <c r="AGJ32" i="5"/>
  <c r="AHF30" i="5"/>
  <c r="AAW32" i="5"/>
  <c r="JI31" i="5"/>
  <c r="QB30" i="5"/>
  <c r="ALZ31" i="5"/>
  <c r="ABI34" i="5"/>
  <c r="PS31" i="5"/>
  <c r="ADR31" i="5"/>
  <c r="LL32" i="5"/>
  <c r="H33" i="5"/>
  <c r="UP30" i="5"/>
  <c r="AJJ30" i="5"/>
  <c r="IJ31" i="5"/>
  <c r="UT31" i="5"/>
  <c r="W32" i="5"/>
  <c r="VI32" i="5"/>
  <c r="SE30" i="5"/>
  <c r="AGY30" i="5"/>
  <c r="FY31" i="5"/>
  <c r="SG31" i="5"/>
  <c r="AJX31" i="5"/>
  <c r="QL32" i="5"/>
  <c r="AFT30" i="5"/>
  <c r="IL31" i="5"/>
  <c r="VM31" i="5"/>
  <c r="D32" i="5"/>
  <c r="AAQ32" i="5"/>
  <c r="NY30" i="5"/>
  <c r="AAW30" i="5"/>
  <c r="DO31" i="5"/>
  <c r="QM31" i="5"/>
  <c r="AFH31" i="5"/>
  <c r="TH32" i="5"/>
  <c r="FJ30" i="5"/>
  <c r="SX30" i="5"/>
  <c r="AKD30" i="5"/>
  <c r="KJ31" i="5"/>
  <c r="ADD31" i="5"/>
  <c r="LY32" i="5"/>
  <c r="AHQ29" i="5"/>
  <c r="MU30" i="5"/>
  <c r="ABO30" i="5"/>
  <c r="HI31" i="5"/>
  <c r="ADX31" i="5"/>
  <c r="AAT32" i="5"/>
  <c r="HH30" i="5"/>
  <c r="AGN30" i="5"/>
  <c r="SL31" i="5"/>
  <c r="PS32" i="5"/>
  <c r="CK30" i="5"/>
  <c r="ADM30" i="5"/>
  <c r="RW31" i="5"/>
  <c r="AIA32" i="5"/>
  <c r="AHV30" i="5"/>
  <c r="ADU32" i="5"/>
  <c r="KO31" i="5"/>
  <c r="ZX30" i="5"/>
  <c r="R32" i="5"/>
  <c r="AGR34" i="5"/>
  <c r="AEK30" i="5"/>
  <c r="EA31" i="5"/>
  <c r="QI31" i="5"/>
  <c r="AGS31" i="5"/>
  <c r="MR32" i="5"/>
  <c r="CC33" i="5"/>
  <c r="XB30" i="5"/>
  <c r="AJZ30" i="5"/>
  <c r="IZ31" i="5"/>
  <c r="XQ31" i="5"/>
  <c r="AW32" i="5"/>
  <c r="WO32" i="5"/>
  <c r="UQ30" i="5"/>
  <c r="AHO30" i="5"/>
  <c r="GO31" i="5"/>
  <c r="UU31" i="5"/>
  <c r="AKR31" i="5"/>
  <c r="RR32" i="5"/>
  <c r="AIV30" i="5"/>
  <c r="JB31" i="5"/>
  <c r="WG31" i="5"/>
  <c r="CT32" i="5"/>
  <c r="ABX32" i="5"/>
  <c r="OO30" i="5"/>
  <c r="ADI30" i="5"/>
  <c r="EE31" i="5"/>
  <c r="RC31" i="5"/>
  <c r="AII31" i="5"/>
  <c r="UN32" i="5"/>
  <c r="FZ30" i="5"/>
  <c r="WP30" i="5"/>
  <c r="AKT30" i="5"/>
  <c r="LP31" i="5"/>
  <c r="AEP31" i="5"/>
  <c r="OK32" i="5"/>
  <c r="ALI29" i="5"/>
  <c r="NK30" i="5"/>
  <c r="ACE30" i="5"/>
  <c r="HY31" i="5"/>
  <c r="AEQ31" i="5"/>
  <c r="ACA32" i="5"/>
  <c r="HX30" i="5"/>
  <c r="AHT30" i="5"/>
  <c r="TB31" i="5"/>
  <c r="QY32" i="5"/>
  <c r="DA30" i="5"/>
  <c r="AEC30" i="5"/>
  <c r="SM31" i="5"/>
  <c r="DY33" i="5"/>
  <c r="AIL30" i="5"/>
  <c r="AFC32" i="5"/>
  <c r="LE31" i="5"/>
  <c r="ABD30" i="5"/>
  <c r="IX32" i="5"/>
  <c r="AL33" i="5"/>
  <c r="MP32" i="5"/>
  <c r="AGY32" i="5"/>
  <c r="AAB30" i="5"/>
  <c r="AJX30" i="5"/>
  <c r="GL31" i="5"/>
  <c r="QH31" i="5"/>
  <c r="ABI31" i="5"/>
  <c r="AU32" i="5"/>
  <c r="RO32" i="5"/>
  <c r="BO33" i="5"/>
  <c r="AFQ30" i="5"/>
  <c r="EQ31" i="5"/>
  <c r="QY31" i="5"/>
  <c r="AIE31" i="5"/>
  <c r="NX32" i="5"/>
  <c r="GK33" i="5"/>
  <c r="YH30" i="5"/>
  <c r="AKP30" i="5"/>
  <c r="JP31" i="5"/>
  <c r="ZC31" i="5"/>
  <c r="BR32" i="5"/>
  <c r="XU32" i="5"/>
  <c r="VW30" i="5"/>
  <c r="AIE30" i="5"/>
  <c r="HE31" i="5"/>
  <c r="WC31" i="5"/>
  <c r="ALL31" i="5"/>
  <c r="SX32" i="5"/>
  <c r="AKB30" i="5"/>
  <c r="JR31" i="5"/>
  <c r="WZ31" i="5"/>
  <c r="EO32" i="5"/>
  <c r="ADF32" i="5"/>
  <c r="PE30" i="5"/>
  <c r="AEO30" i="5"/>
  <c r="EU31" i="5"/>
  <c r="RS31" i="5"/>
  <c r="AKT31" i="5"/>
  <c r="VT32" i="5"/>
  <c r="GP30" i="5"/>
  <c r="XV30" i="5"/>
  <c r="ALJ30" i="5"/>
  <c r="MV31" i="5"/>
  <c r="AFI31" i="5"/>
  <c r="PQ32" i="5"/>
  <c r="G30" i="5"/>
  <c r="OA30" i="5"/>
  <c r="AFG30" i="5"/>
  <c r="IO31" i="5"/>
  <c r="AFM31" i="5"/>
  <c r="ADJ32" i="5"/>
  <c r="IN30" i="5"/>
  <c r="AIJ30" i="5"/>
  <c r="TR31" i="5"/>
  <c r="TK32" i="5"/>
  <c r="DQ30" i="5"/>
  <c r="AES30" i="5"/>
  <c r="TC31" i="5"/>
  <c r="AER29" i="5"/>
  <c r="AJB30" i="5"/>
  <c r="AIB32" i="5"/>
  <c r="MK31" i="5"/>
  <c r="AGR30" i="5"/>
  <c r="AGW32" i="5"/>
  <c r="ET33" i="5"/>
  <c r="AIQ32" i="5"/>
  <c r="AAR30" i="5"/>
  <c r="AKN30" i="5"/>
  <c r="HB31" i="5"/>
  <c r="QX31" i="5"/>
  <c r="ACB31" i="5"/>
  <c r="BP32" i="5"/>
  <c r="SU32" i="5"/>
  <c r="FW33" i="5"/>
  <c r="AGG30" i="5"/>
  <c r="FG31" i="5"/>
  <c r="RO31" i="5"/>
  <c r="AIX31" i="5"/>
  <c r="PD32" i="5"/>
  <c r="KD30" i="5"/>
  <c r="YX30" i="5"/>
  <c r="ALF30" i="5"/>
  <c r="KF31" i="5"/>
  <c r="ZY31" i="5"/>
  <c r="CR32" i="5"/>
  <c r="ZA32" i="5"/>
  <c r="WM30" i="5"/>
  <c r="AIU30" i="5"/>
  <c r="HU31" i="5"/>
  <c r="WY31" i="5"/>
  <c r="C32" i="5"/>
  <c r="UD32" i="5"/>
  <c r="AKR30" i="5"/>
  <c r="KH31" i="5"/>
  <c r="YL31" i="5"/>
  <c r="FJ32" i="5"/>
  <c r="AEN32" i="5"/>
  <c r="PU30" i="5"/>
  <c r="AFE30" i="5"/>
  <c r="FK31" i="5"/>
  <c r="SI31" i="5"/>
  <c r="ALR31" i="5"/>
  <c r="WZ32" i="5"/>
  <c r="HF30" i="5"/>
  <c r="YL30" i="5"/>
  <c r="ALZ30" i="5"/>
  <c r="NL31" i="5"/>
  <c r="AGE31" i="5"/>
  <c r="QW32" i="5"/>
  <c r="W30" i="5"/>
  <c r="OQ30" i="5"/>
  <c r="AHC30" i="5"/>
  <c r="JE31" i="5"/>
  <c r="AGF31" i="5"/>
  <c r="AEZ32" i="5"/>
  <c r="JD30" i="5"/>
  <c r="AIZ30" i="5"/>
  <c r="VA31" i="5"/>
  <c r="UQ32" i="5"/>
  <c r="EG30" i="5"/>
  <c r="AHE30" i="5"/>
  <c r="TS31" i="5"/>
  <c r="AFX29" i="5"/>
  <c r="AJR30" i="5"/>
  <c r="AJN32" i="5"/>
  <c r="QS31" i="5"/>
  <c r="AIN30" i="5"/>
  <c r="ADP29" i="5"/>
  <c r="OO34" i="5"/>
  <c r="TK29" i="5"/>
  <c r="AHM29" i="5"/>
  <c r="TI30" i="5"/>
  <c r="HQ27" i="5"/>
  <c r="RM27" i="5"/>
  <c r="ABI27" i="5"/>
  <c r="ALE27" i="5"/>
  <c r="HS28" i="5"/>
  <c r="RO28" i="5"/>
  <c r="ABK28" i="5"/>
  <c r="ALG28" i="5"/>
  <c r="HU29" i="5"/>
  <c r="SS29" i="5"/>
  <c r="AGI29" i="5"/>
  <c r="QZ30" i="5"/>
  <c r="AIQ30" i="5"/>
  <c r="FE31" i="5"/>
  <c r="PA31" i="5"/>
  <c r="ZS31" i="5"/>
  <c r="AMG31" i="5"/>
  <c r="PB32" i="5"/>
  <c r="AKD32" i="5"/>
  <c r="ABH30" i="5"/>
  <c r="ALD30" i="5"/>
  <c r="HR31" i="5"/>
  <c r="RN31" i="5"/>
  <c r="ACU31" i="5"/>
  <c r="CK32" i="5"/>
  <c r="UA32" i="5"/>
  <c r="VU30" i="5"/>
  <c r="AGW30" i="5"/>
  <c r="FW31" i="5"/>
  <c r="SE31" i="5"/>
  <c r="AJV31" i="5"/>
  <c r="QJ32" i="5"/>
  <c r="KT30" i="5"/>
  <c r="ZN30" i="5"/>
  <c r="ALV30" i="5"/>
  <c r="KV31" i="5"/>
  <c r="AAR31" i="5"/>
  <c r="DM32" i="5"/>
  <c r="AAG32" i="5"/>
  <c r="XC30" i="5"/>
  <c r="AJK30" i="5"/>
  <c r="IK31" i="5"/>
  <c r="XR31" i="5"/>
  <c r="X32" i="5"/>
  <c r="VJ32" i="5"/>
  <c r="ALH30" i="5"/>
  <c r="KX31" i="5"/>
  <c r="ZE31" i="5"/>
  <c r="GK32" i="5"/>
  <c r="AHM32" i="5"/>
  <c r="QK30" i="5"/>
  <c r="AFU30" i="5"/>
  <c r="GA31" i="5"/>
  <c r="SY31" i="5"/>
  <c r="E32" i="5"/>
  <c r="YF32" i="5"/>
  <c r="HV30" i="5"/>
  <c r="ZB30" i="5"/>
  <c r="H31" i="5"/>
  <c r="OB31" i="5"/>
  <c r="AHQ31" i="5"/>
  <c r="SC32" i="5"/>
  <c r="AM30" i="5"/>
  <c r="PG30" i="5"/>
  <c r="AHS30" i="5"/>
  <c r="JU31" i="5"/>
  <c r="AGY31" i="5"/>
  <c r="AGH32" i="5"/>
  <c r="JT30" i="5"/>
  <c r="AJP30" i="5"/>
  <c r="VR31" i="5"/>
  <c r="VW32" i="5"/>
  <c r="EW30" i="5"/>
  <c r="AHU30" i="5"/>
  <c r="UK31" i="5"/>
  <c r="AHD29" i="5"/>
  <c r="AKH30" i="5"/>
  <c r="ALS32" i="5"/>
  <c r="WN31" i="5"/>
  <c r="AJD30" i="5"/>
  <c r="AEF29" i="5"/>
  <c r="PR34" i="5"/>
  <c r="UD29" i="5"/>
  <c r="AIS29" i="5"/>
  <c r="XO30" i="5"/>
  <c r="IG27" i="5"/>
  <c r="SC27" i="5"/>
  <c r="ABY27" i="5"/>
  <c r="ALU27" i="5"/>
  <c r="II28" i="5"/>
  <c r="SE28" i="5"/>
  <c r="ACA28" i="5"/>
  <c r="ALW28" i="5"/>
  <c r="IK29" i="5"/>
  <c r="TL29" i="5"/>
  <c r="AHN29" i="5"/>
  <c r="TL30" i="5"/>
  <c r="AJG30" i="5"/>
  <c r="FU31" i="5"/>
  <c r="PQ31" i="5"/>
  <c r="AAO31" i="5"/>
  <c r="T32" i="5"/>
  <c r="QH32" i="5"/>
  <c r="B33" i="5"/>
  <c r="ABX30" i="5"/>
  <c r="ALT30" i="5"/>
  <c r="IH31" i="5"/>
  <c r="SD31" i="5"/>
  <c r="ADQ31" i="5"/>
  <c r="DK32" i="5"/>
  <c r="VG32" i="5"/>
  <c r="WK30" i="5"/>
  <c r="AHM30" i="5"/>
  <c r="GM31" i="5"/>
  <c r="US31" i="5"/>
  <c r="AKP31" i="5"/>
  <c r="RP32" i="5"/>
  <c r="NF30" i="5"/>
  <c r="AAD30" i="5"/>
  <c r="D31" i="5"/>
  <c r="NH31" i="5"/>
  <c r="ABK31" i="5"/>
  <c r="EM32" i="5"/>
  <c r="AFT32" i="5"/>
  <c r="XS30" i="5"/>
  <c r="AKA30" i="5"/>
  <c r="KW31" i="5"/>
  <c r="YK31" i="5"/>
  <c r="AX32" i="5"/>
  <c r="AAH32" i="5"/>
  <c r="ALX30" i="5"/>
  <c r="LN31" i="5"/>
  <c r="ACF31" i="5"/>
  <c r="HG32" i="5"/>
  <c r="AIX32" i="5"/>
  <c r="SW30" i="5"/>
  <c r="AHA30" i="5"/>
  <c r="GQ31" i="5"/>
  <c r="VN31" i="5"/>
  <c r="AE32" i="5"/>
  <c r="ZL32" i="5"/>
  <c r="LN30" i="5"/>
  <c r="ZR30" i="5"/>
  <c r="X31" i="5"/>
  <c r="QN31" i="5"/>
  <c r="AIJ31" i="5"/>
  <c r="TI32" i="5"/>
  <c r="BS30" i="5"/>
  <c r="PW30" i="5"/>
  <c r="AII30" i="5"/>
  <c r="OS31" i="5"/>
  <c r="AHR31" i="5"/>
  <c r="AHP32" i="5"/>
  <c r="KZ30" i="5"/>
  <c r="AKF30" i="5"/>
  <c r="XW31" i="5"/>
  <c r="XC32" i="5"/>
  <c r="FM30" i="5"/>
  <c r="AIK30" i="5"/>
  <c r="VB31" i="5"/>
  <c r="AHT29" i="5"/>
  <c r="DD31" i="5"/>
  <c r="ACW29" i="5"/>
  <c r="ABW31" i="5"/>
  <c r="AKJ30" i="5"/>
  <c r="CP30" i="5"/>
  <c r="KB35" i="5"/>
  <c r="VS29" i="5"/>
  <c r="ALE29" i="5"/>
  <c r="Q27" i="5"/>
  <c r="JM27" i="5"/>
  <c r="TI27" i="5"/>
  <c r="ADE27" i="5"/>
  <c r="S28" i="5"/>
  <c r="JO28" i="5"/>
  <c r="TK28" i="5"/>
  <c r="ADG28" i="5"/>
  <c r="U29" i="5"/>
  <c r="JQ29" i="5"/>
  <c r="VA29" i="5"/>
  <c r="AJZ29" i="5"/>
  <c r="AEN30" i="5"/>
  <c r="AKM30" i="5"/>
  <c r="HA31" i="5"/>
  <c r="QW31" i="5"/>
  <c r="ACA31" i="5"/>
  <c r="BO32" i="5"/>
  <c r="ST32" i="5"/>
  <c r="FU33" i="5"/>
  <c r="ADD30" i="5"/>
  <c r="R31" i="5"/>
  <c r="JN31" i="5"/>
  <c r="TJ31" i="5"/>
  <c r="AFC31" i="5"/>
  <c r="FF32" i="5"/>
  <c r="XS32" i="5"/>
  <c r="XQ30" i="5"/>
  <c r="AIS30" i="5"/>
  <c r="HS31" i="5"/>
  <c r="WW31" i="5"/>
  <c r="A32" i="5"/>
  <c r="UB32" i="5"/>
  <c r="PB30" i="5"/>
  <c r="ABJ30" i="5"/>
  <c r="AJ31" i="5"/>
  <c r="PD31" i="5"/>
  <c r="ACW31" i="5"/>
  <c r="GI32" i="5"/>
  <c r="AKO32" i="5"/>
  <c r="YY30" i="5"/>
  <c r="ALG30" i="5"/>
  <c r="MS31" i="5"/>
  <c r="ZZ31" i="5"/>
  <c r="CS32" i="5"/>
  <c r="AEM32" i="5"/>
  <c r="V31" i="5"/>
  <c r="MT31" i="5"/>
  <c r="AEN31" i="5"/>
  <c r="JL32" i="5"/>
  <c r="S33" i="5"/>
  <c r="US30" i="5"/>
  <c r="AIG30" i="5"/>
  <c r="HW31" i="5"/>
  <c r="YM31" i="5"/>
  <c r="CU32" i="5"/>
  <c r="ABY32" i="5"/>
  <c r="NJ30" i="5"/>
  <c r="AAX30" i="5"/>
  <c r="CJ31" i="5"/>
  <c r="SJ31" i="5"/>
  <c r="AKU31" i="5"/>
  <c r="ADH32" i="5"/>
  <c r="CY30" i="5"/>
  <c r="UE30" i="5"/>
  <c r="AJO30" i="5"/>
  <c r="RE31" i="5"/>
  <c r="ER32" i="5"/>
  <c r="AIX29" i="5"/>
  <c r="RT30" i="5"/>
  <c r="FN31" i="5"/>
  <c r="AGZ31" i="5"/>
  <c r="ACE29" i="5"/>
  <c r="OS30" i="5"/>
  <c r="DC31" i="5"/>
  <c r="AKD31" i="5"/>
  <c r="GT30" i="5"/>
  <c r="PL31" i="5"/>
  <c r="KM30" i="5"/>
  <c r="YL32" i="5"/>
  <c r="LG32" i="5"/>
  <c r="AJW34" i="5"/>
  <c r="AIK31" i="5"/>
  <c r="LZ32" i="5"/>
  <c r="AJI32" i="5"/>
  <c r="X30" i="5"/>
  <c r="LP30" i="5"/>
  <c r="YN30" i="5"/>
  <c r="AKV30" i="5"/>
  <c r="JV31" i="5"/>
  <c r="YS31" i="5"/>
  <c r="CC32" i="5"/>
  <c r="YI32" i="5"/>
  <c r="AHC29" i="5"/>
  <c r="HI30" i="5"/>
  <c r="UW30" i="5"/>
  <c r="AJA30" i="5"/>
  <c r="IQ31" i="5"/>
  <c r="WL31" i="5"/>
  <c r="KV32" i="5"/>
  <c r="AIJ29" i="5"/>
  <c r="PZ30" i="5"/>
  <c r="EZ31" i="5"/>
  <c r="AJK31" i="5"/>
  <c r="ADM29" i="5"/>
  <c r="ACI30" i="5"/>
  <c r="AEX31" i="5"/>
  <c r="ZV29" i="5"/>
  <c r="AKZ30" i="5"/>
  <c r="BY30" i="5"/>
  <c r="VR30" i="5"/>
  <c r="ADY33" i="5"/>
  <c r="ME33" i="5"/>
  <c r="I31" i="5"/>
  <c r="KK31" i="5"/>
  <c r="VQ31" i="5"/>
  <c r="AJH31" i="5"/>
  <c r="NF32" i="5"/>
  <c r="ALE32" i="5"/>
  <c r="BD30" i="5"/>
  <c r="MV30" i="5"/>
  <c r="ZD30" i="5"/>
  <c r="ALL30" i="5"/>
  <c r="LB31" i="5"/>
  <c r="ZL31" i="5"/>
  <c r="CX32" i="5"/>
  <c r="AAU32" i="5"/>
  <c r="AHS29" i="5"/>
  <c r="HY30" i="5"/>
  <c r="WS30" i="5"/>
  <c r="AJQ30" i="5"/>
  <c r="JG31" i="5"/>
  <c r="YT31" i="5"/>
  <c r="NH32" i="5"/>
  <c r="AIZ29" i="5"/>
  <c r="QP30" i="5"/>
  <c r="FP31" i="5"/>
  <c r="AKE31" i="5"/>
  <c r="AES29" i="5"/>
  <c r="ADO30" i="5"/>
  <c r="AFQ31" i="5"/>
  <c r="ABB29" i="5"/>
  <c r="NB31" i="5"/>
  <c r="CO30" i="5"/>
  <c r="EN31" i="5"/>
  <c r="ABG34" i="5"/>
  <c r="WB33" i="5"/>
  <c r="LA31" i="5"/>
  <c r="WJ31" i="5"/>
  <c r="AKB31" i="5"/>
  <c r="OL32" i="5"/>
  <c r="AH33" i="5"/>
  <c r="CJ30" i="5"/>
  <c r="NL30" i="5"/>
  <c r="ZT30" i="5"/>
  <c r="AMB30" i="5"/>
  <c r="MX31" i="5"/>
  <c r="AAX31" i="5"/>
  <c r="DX32" i="5"/>
  <c r="ACB32" i="5"/>
  <c r="AII29" i="5"/>
  <c r="IO30" i="5"/>
  <c r="XI30" i="5"/>
  <c r="AKG30" i="5"/>
  <c r="JW31" i="5"/>
  <c r="AAF31" i="5"/>
  <c r="ON32" i="5"/>
  <c r="AJP29" i="5"/>
  <c r="UX30" i="5"/>
  <c r="GF31" i="5"/>
  <c r="ALC31" i="5"/>
  <c r="AFI29" i="5"/>
  <c r="AEE30" i="5"/>
  <c r="AGJ31" i="5"/>
  <c r="ACH29" i="5"/>
  <c r="OH31" i="5"/>
  <c r="DU30" i="5"/>
  <c r="JL31" i="5"/>
  <c r="AZ33" i="5"/>
  <c r="AFM33" i="5"/>
  <c r="AAC31" i="5"/>
  <c r="BA32" i="5"/>
  <c r="UO32" i="5"/>
  <c r="AIG29" i="5"/>
  <c r="GA30" i="5"/>
  <c r="RS30" i="5"/>
  <c r="ACU30" i="5"/>
  <c r="AO31" i="5"/>
  <c r="LQ31" i="5"/>
  <c r="XC31" i="5"/>
  <c r="AKV31" i="5"/>
  <c r="PR32" i="5"/>
  <c r="AFF29" i="5"/>
  <c r="CZ30" i="5"/>
  <c r="OB30" i="5"/>
  <c r="AAJ30" i="5"/>
  <c r="J31" i="5"/>
  <c r="NN31" i="5"/>
  <c r="ABQ31" i="5"/>
  <c r="ES32" i="5"/>
  <c r="ADS32" i="5"/>
  <c r="AKE29" i="5"/>
  <c r="JU30" i="5"/>
  <c r="XY30" i="5"/>
  <c r="AKW30" i="5"/>
  <c r="KM31" i="5"/>
  <c r="AAY31" i="5"/>
  <c r="PT32" i="5"/>
  <c r="AKF29" i="5"/>
  <c r="XJ30" i="5"/>
  <c r="LD31" i="5"/>
  <c r="O32" i="5"/>
  <c r="AFY29" i="5"/>
  <c r="AFK30" i="5"/>
  <c r="AHY31" i="5"/>
  <c r="EJ30" i="5"/>
  <c r="PN31" i="5"/>
  <c r="FA30" i="5"/>
  <c r="PP31" i="5"/>
  <c r="KF33" i="5"/>
  <c r="AHL33" i="5"/>
  <c r="ACO30" i="5"/>
  <c r="C31" i="5"/>
  <c r="IY31" i="5"/>
  <c r="SU31" i="5"/>
  <c r="AEK31" i="5"/>
  <c r="EG32" i="5"/>
  <c r="WN32" i="5"/>
  <c r="LJ30" i="5"/>
  <c r="VF30" i="5"/>
  <c r="AFB30" i="5"/>
  <c r="BP31" i="5"/>
  <c r="LL31" i="5"/>
  <c r="VK31" i="5"/>
  <c r="AHM31" i="5"/>
  <c r="IG32" i="5"/>
  <c r="ABN32" i="5"/>
  <c r="SU30" i="5"/>
  <c r="ACQ30" i="5"/>
  <c r="E31" i="5"/>
  <c r="JA31" i="5"/>
  <c r="SW31" i="5"/>
  <c r="AEM31" i="5"/>
  <c r="EN32" i="5"/>
  <c r="WP32" i="5"/>
  <c r="AGJ30" i="5"/>
  <c r="ED31" i="5"/>
  <c r="OP31" i="5"/>
  <c r="AAA31" i="5"/>
  <c r="Y32" i="5"/>
  <c r="SA32" i="5"/>
  <c r="HC33" i="5"/>
  <c r="RA30" i="5"/>
  <c r="ABM30" i="5"/>
  <c r="ALY30" i="5"/>
  <c r="JC31" i="5"/>
  <c r="TO31" i="5"/>
  <c r="AGD31" i="5"/>
  <c r="IJ32" i="5"/>
  <c r="AEP32" i="5"/>
  <c r="IL30" i="5"/>
  <c r="UD30" i="5"/>
  <c r="AFV30" i="5"/>
  <c r="DP31" i="5"/>
  <c r="OR31" i="5"/>
  <c r="AAV31" i="5"/>
  <c r="CA32" i="5"/>
  <c r="VU32" i="5"/>
  <c r="AIW29" i="5"/>
  <c r="HG30" i="5"/>
  <c r="SI30" i="5"/>
  <c r="ADK30" i="5"/>
  <c r="BE31" i="5"/>
  <c r="MG31" i="5"/>
  <c r="XV31" i="5"/>
  <c r="ALT31" i="5"/>
  <c r="TJ32" i="5"/>
  <c r="AFV29" i="5"/>
  <c r="DP30" i="5"/>
  <c r="OR30" i="5"/>
  <c r="AAZ30" i="5"/>
  <c r="Z31" i="5"/>
  <c r="OD31" i="5"/>
  <c r="ACM31" i="5"/>
  <c r="FS32" i="5"/>
  <c r="AFA32" i="5"/>
  <c r="AKU29" i="5"/>
  <c r="KK30" i="5"/>
  <c r="YO30" i="5"/>
  <c r="ALM30" i="5"/>
  <c r="MY31" i="5"/>
  <c r="ACN31" i="5"/>
  <c r="QZ32" i="5"/>
  <c r="BF30" i="5"/>
  <c r="ZF30" i="5"/>
  <c r="MJ31" i="5"/>
  <c r="AJ32" i="5"/>
  <c r="AKG29" i="5"/>
  <c r="AGA30" i="5"/>
  <c r="AIR31" i="5"/>
  <c r="EZ30" i="5"/>
  <c r="QT31" i="5"/>
  <c r="LE30" i="5"/>
  <c r="YF31" i="5"/>
  <c r="MR33" i="5"/>
  <c r="ACE32" i="5"/>
  <c r="S31" i="5"/>
  <c r="JO31" i="5"/>
  <c r="TK31" i="5"/>
  <c r="AFD31" i="5"/>
  <c r="FG32" i="5"/>
  <c r="XT32" i="5"/>
  <c r="LZ30" i="5"/>
  <c r="VV30" i="5"/>
  <c r="AFR30" i="5"/>
  <c r="CF31" i="5"/>
  <c r="MB31" i="5"/>
  <c r="WB31" i="5"/>
  <c r="AIF31" i="5"/>
  <c r="JD32" i="5"/>
  <c r="ADD32" i="5"/>
  <c r="TK30" i="5"/>
  <c r="ADG30" i="5"/>
  <c r="U31" i="5"/>
  <c r="JQ31" i="5"/>
  <c r="TM31" i="5"/>
  <c r="AFF31" i="5"/>
  <c r="FI32" i="5"/>
  <c r="XV32" i="5"/>
  <c r="AHP30" i="5"/>
  <c r="ET31" i="5"/>
  <c r="PF31" i="5"/>
  <c r="AAT31" i="5"/>
  <c r="AY32" i="5"/>
  <c r="TG32" i="5"/>
  <c r="HE30" i="5"/>
  <c r="RQ30" i="5"/>
  <c r="ACC30" i="5"/>
  <c r="G31" i="5"/>
  <c r="JS31" i="5"/>
  <c r="UF31" i="5"/>
  <c r="AGW31" i="5"/>
  <c r="JM32" i="5"/>
  <c r="AGF32" i="5"/>
  <c r="JR30" i="5"/>
  <c r="VJ30" i="5"/>
  <c r="AGL30" i="5"/>
  <c r="EF31" i="5"/>
  <c r="PH31" i="5"/>
  <c r="ABO31" i="5"/>
  <c r="CV32" i="5"/>
  <c r="XA32" i="5"/>
  <c r="AJM29" i="5"/>
  <c r="HW30" i="5"/>
  <c r="SY30" i="5"/>
  <c r="AEA30" i="5"/>
  <c r="BU31" i="5"/>
  <c r="MW31" i="5"/>
  <c r="YO31" i="5"/>
  <c r="AG32" i="5"/>
  <c r="UP32" i="5"/>
  <c r="AGL29" i="5"/>
  <c r="EF30" i="5"/>
  <c r="PH30" i="5"/>
  <c r="ABP30" i="5"/>
  <c r="CL31" i="5"/>
  <c r="PJ31" i="5"/>
  <c r="ADF31" i="5"/>
  <c r="HQ32" i="5"/>
  <c r="AGI32" i="5"/>
  <c r="ALK29" i="5"/>
  <c r="MG30" i="5"/>
  <c r="ZE30" i="5"/>
  <c r="AMC30" i="5"/>
  <c r="NO31" i="5"/>
  <c r="AGH31" i="5"/>
  <c r="SF32" i="5"/>
  <c r="CL30" i="5"/>
  <c r="ZV30" i="5"/>
  <c r="MZ31" i="5"/>
  <c r="NI32" i="5"/>
  <c r="AMC29" i="5"/>
  <c r="AKI30" i="5"/>
  <c r="IV32" i="5"/>
  <c r="GF30" i="5"/>
  <c r="RZ31" i="5"/>
  <c r="XM30" i="5"/>
  <c r="A33" i="5"/>
  <c r="RY34" i="5"/>
  <c r="AC34" i="5"/>
  <c r="AI31" i="5"/>
  <c r="KE31" i="5"/>
  <c r="UB31" i="5"/>
  <c r="AFW31" i="5"/>
  <c r="GB32" i="5"/>
  <c r="YZ32" i="5"/>
  <c r="MP30" i="5"/>
  <c r="WL30" i="5"/>
  <c r="AGH30" i="5"/>
  <c r="CV31" i="5"/>
  <c r="MR31" i="5"/>
  <c r="WX31" i="5"/>
  <c r="AIY31" i="5"/>
  <c r="KG32" i="5"/>
  <c r="AEL32" i="5"/>
  <c r="UA30" i="5"/>
  <c r="ADW30" i="5"/>
  <c r="AK31" i="5"/>
  <c r="KG31" i="5"/>
  <c r="UD31" i="5"/>
  <c r="AFY31" i="5"/>
  <c r="GJ32" i="5"/>
  <c r="ZB32" i="5"/>
  <c r="AIF30" i="5"/>
  <c r="FJ31" i="5"/>
  <c r="PV31" i="5"/>
  <c r="ABM31" i="5"/>
  <c r="BT32" i="5"/>
  <c r="UM32" i="5"/>
  <c r="HU30" i="5"/>
  <c r="SG30" i="5"/>
  <c r="ACS30" i="5"/>
  <c r="W31" i="5"/>
  <c r="KI31" i="5"/>
  <c r="UW31" i="5"/>
  <c r="AHP31" i="5"/>
  <c r="KR32" i="5"/>
  <c r="AJG32" i="5"/>
  <c r="KH30" i="5"/>
  <c r="VZ30" i="5"/>
  <c r="AHB30" i="5"/>
  <c r="EV31" i="5"/>
  <c r="PX31" i="5"/>
  <c r="ACK31" i="5"/>
  <c r="DQ32" i="5"/>
  <c r="YG32" i="5"/>
  <c r="AKS29" i="5"/>
  <c r="IM30" i="5"/>
  <c r="TO30" i="5"/>
  <c r="AEQ30" i="5"/>
  <c r="CK31" i="5"/>
  <c r="NM31" i="5"/>
  <c r="AAD31" i="5"/>
  <c r="CB32" i="5"/>
  <c r="VV32" i="5"/>
  <c r="AHB29" i="5"/>
  <c r="EV30" i="5"/>
  <c r="PX30" i="5"/>
  <c r="ACF30" i="5"/>
  <c r="DB31" i="5"/>
  <c r="PZ31" i="5"/>
  <c r="ADY31" i="5"/>
  <c r="IM32" i="5"/>
  <c r="ALG32" i="5"/>
  <c r="I30" i="5"/>
  <c r="MW30" i="5"/>
  <c r="ZU30" i="5"/>
  <c r="K31" i="5"/>
  <c r="OU31" i="5"/>
  <c r="AHA31" i="5"/>
  <c r="AAV32" i="5"/>
  <c r="DB30" i="5"/>
  <c r="AAL30" i="5"/>
  <c r="NP31" i="5"/>
  <c r="OO32" i="5"/>
  <c r="K30" i="5"/>
  <c r="ALO30" i="5"/>
  <c r="JT32" i="5"/>
  <c r="HL30" i="5"/>
  <c r="ALY31" i="5"/>
  <c r="YC30" i="5"/>
  <c r="FG33" i="5"/>
  <c r="AGF34" i="5"/>
  <c r="AFH32" i="5"/>
  <c r="VE30" i="5"/>
  <c r="AFA30" i="5"/>
  <c r="BO31" i="5"/>
  <c r="LK31" i="5"/>
  <c r="VJ31" i="5"/>
  <c r="AHL31" i="5"/>
  <c r="IF32" i="5"/>
  <c r="ABL32" i="5"/>
  <c r="NV30" i="5"/>
  <c r="XR30" i="5"/>
  <c r="AHN30" i="5"/>
  <c r="EB31" i="5"/>
  <c r="NX31" i="5"/>
  <c r="YJ31" i="5"/>
  <c r="AKQ31" i="5"/>
  <c r="MS32" i="5"/>
  <c r="AHK32" i="5"/>
  <c r="VG30" i="5"/>
  <c r="AFC30" i="5"/>
  <c r="BQ31" i="5"/>
  <c r="LM31" i="5"/>
  <c r="VL31" i="5"/>
  <c r="AHN31" i="5"/>
  <c r="IH32" i="5"/>
  <c r="ABW32" i="5"/>
  <c r="AJL30" i="5"/>
  <c r="GP31" i="5"/>
  <c r="RB31" i="5"/>
  <c r="ADB31" i="5"/>
  <c r="DO32" i="5"/>
  <c r="WY32" i="5"/>
  <c r="JA30" i="5"/>
  <c r="TM30" i="5"/>
  <c r="ADY30" i="5"/>
  <c r="BC31" i="5"/>
  <c r="LO31" i="5"/>
  <c r="WH31" i="5"/>
  <c r="AJZ31" i="5"/>
  <c r="OJ32" i="5"/>
  <c r="X33" i="5"/>
  <c r="MD30" i="5"/>
  <c r="XF30" i="5"/>
  <c r="AIH30" i="5"/>
  <c r="GB31" i="5"/>
  <c r="RD31" i="5"/>
  <c r="ADW31" i="5"/>
  <c r="FL32" i="5"/>
  <c r="ABZ32" i="5"/>
  <c r="ALY29" i="5"/>
  <c r="JS30" i="5"/>
  <c r="UU30" i="5"/>
  <c r="AFW30" i="5"/>
  <c r="EG31" i="5"/>
  <c r="PI31" i="5"/>
  <c r="ACL31" i="5"/>
  <c r="DW32" i="5"/>
  <c r="YH32" i="5"/>
  <c r="AIH29" i="5"/>
  <c r="GB30" i="5"/>
  <c r="RD30" i="5"/>
  <c r="AFH30" i="5"/>
  <c r="EX31" i="5"/>
  <c r="RF31" i="5"/>
  <c r="AFN31" i="5"/>
  <c r="KU32" i="5"/>
  <c r="DK33" i="5"/>
  <c r="AO30" i="5"/>
  <c r="OC30" i="5"/>
  <c r="ABA30" i="5"/>
  <c r="CM31" i="5"/>
  <c r="QQ31" i="5"/>
  <c r="AJJ31" i="5"/>
  <c r="AFB32" i="5"/>
  <c r="GD30" i="5"/>
  <c r="AGP30" i="5"/>
  <c r="OV31" i="5"/>
  <c r="SG32" i="5"/>
  <c r="JG30" i="5"/>
  <c r="IC31" i="5"/>
  <c r="XF32" i="5"/>
  <c r="OV30" i="5"/>
  <c r="BL32" i="5"/>
  <c r="EM31" i="5"/>
  <c r="AGM33" i="5"/>
  <c r="XE33" i="5"/>
  <c r="MH33" i="5"/>
  <c r="QD31" i="5"/>
  <c r="DG32" i="5"/>
  <c r="WE29" i="5"/>
  <c r="EK30" i="5"/>
  <c r="CA31" i="5"/>
  <c r="KB32" i="5"/>
  <c r="IT30" i="5"/>
  <c r="VX31" i="5"/>
  <c r="SC33" i="5"/>
  <c r="TJ33" i="5"/>
  <c r="OM33" i="5"/>
  <c r="KV33" i="5"/>
  <c r="ES33" i="5"/>
  <c r="BR33" i="5"/>
  <c r="HW33" i="5"/>
  <c r="AIC33" i="5"/>
  <c r="AEG33" i="5"/>
  <c r="DG31" i="5"/>
  <c r="ABH32" i="5"/>
  <c r="JZ30" i="5"/>
  <c r="WQ31" i="5"/>
  <c r="TY33" i="5"/>
  <c r="TZ33" i="5"/>
  <c r="QI33" i="5"/>
  <c r="LL33" i="5"/>
  <c r="JA33" i="5"/>
  <c r="CX33" i="5"/>
  <c r="KI33" i="5"/>
  <c r="GG34" i="5"/>
  <c r="AGF33" i="5"/>
  <c r="LU31" i="5"/>
  <c r="AHC31" i="5"/>
  <c r="ZR32" i="5"/>
  <c r="AAL29" i="5"/>
  <c r="MZ30" i="5"/>
  <c r="AJT30" i="5"/>
  <c r="RJ31" i="5"/>
  <c r="NS32" i="5"/>
  <c r="XK29" i="5"/>
  <c r="FQ30" i="5"/>
  <c r="DW31" i="5"/>
  <c r="AFO32" i="5"/>
  <c r="TV30" i="5"/>
  <c r="XM31" i="5"/>
  <c r="AFE33" i="5"/>
  <c r="UP33" i="5"/>
  <c r="ACQ33" i="5"/>
  <c r="MB33" i="5"/>
  <c r="MC33" i="5"/>
  <c r="ED33" i="5"/>
  <c r="KY33" i="5"/>
  <c r="IB34" i="5"/>
  <c r="WC32" i="5"/>
  <c r="ZU32" i="5"/>
  <c r="XH31" i="5"/>
  <c r="SQ32" i="5"/>
  <c r="YQ29" i="5"/>
  <c r="NA30" i="5"/>
  <c r="NC31" i="5"/>
  <c r="AJY32" i="5"/>
  <c r="WH30" i="5"/>
  <c r="YY31" i="5"/>
  <c r="AHV33" i="5"/>
  <c r="VV33" i="5"/>
  <c r="AGP33" i="5"/>
  <c r="XD33" i="5"/>
  <c r="ACC33" i="5"/>
  <c r="JB33" i="5"/>
  <c r="MU33" i="5"/>
  <c r="ADK32" i="5"/>
  <c r="GE33" i="5"/>
  <c r="AA30" i="5"/>
  <c r="TC30" i="5"/>
  <c r="AME30" i="5"/>
  <c r="RY31" i="5"/>
  <c r="BK32" i="5"/>
  <c r="ADV32" i="5"/>
  <c r="AHV29" i="5"/>
  <c r="QR30" i="5"/>
  <c r="ALP30" i="5"/>
  <c r="ZP31" i="5"/>
  <c r="TW32" i="5"/>
  <c r="ZG29" i="5"/>
  <c r="OG30" i="5"/>
  <c r="OI31" i="5"/>
  <c r="FE33" i="5"/>
  <c r="WX30" i="5"/>
  <c r="AAK31" i="5"/>
  <c r="AJF33" i="5"/>
  <c r="XB33" i="5"/>
  <c r="ALP33" i="5"/>
  <c r="YZ33" i="5"/>
  <c r="ADJ33" i="5"/>
  <c r="ZB33" i="5"/>
  <c r="UE33" i="5"/>
  <c r="AO33" i="5"/>
  <c r="IQ33" i="5"/>
  <c r="AQ30" i="5"/>
  <c r="TS30" i="5"/>
  <c r="M31" i="5"/>
  <c r="M29" i="3" s="1"/>
  <c r="SO31" i="5"/>
  <c r="DA32" i="5"/>
  <c r="EO33" i="5"/>
  <c r="AIL29" i="5"/>
  <c r="RH30" i="5"/>
  <c r="AMF30" i="5"/>
  <c r="AAI31" i="5"/>
  <c r="VC32" i="5"/>
  <c r="ADO29" i="5"/>
  <c r="PM30" i="5"/>
  <c r="OY31" i="5"/>
  <c r="TT29" i="5"/>
  <c r="XN30" i="5"/>
  <c r="BN32" i="5"/>
  <c r="BZ34" i="5"/>
  <c r="AKS33" i="5"/>
  <c r="AM34" i="5"/>
  <c r="AAF33" i="5"/>
  <c r="AER33" i="5"/>
  <c r="AAH33" i="5"/>
  <c r="VK33" i="5"/>
  <c r="XY33" i="5"/>
  <c r="CN33" i="5"/>
  <c r="WD30" i="5"/>
  <c r="CN31" i="5"/>
  <c r="VC31" i="5"/>
  <c r="BE32" i="5"/>
  <c r="AW33" i="5"/>
  <c r="BG30" i="5"/>
  <c r="UI30" i="5"/>
  <c r="AC31" i="5"/>
  <c r="TE31" i="5"/>
  <c r="EA32" i="5"/>
  <c r="OD29" i="5"/>
  <c r="AJR29" i="5"/>
  <c r="RX30" i="5"/>
  <c r="DF31" i="5"/>
  <c r="ABX31" i="5"/>
  <c r="WI32" i="5"/>
  <c r="AEU29" i="5"/>
  <c r="TU30" i="5"/>
  <c r="PO31" i="5"/>
  <c r="AAN29" i="5"/>
  <c r="ABV30" i="5"/>
  <c r="LI32" i="5"/>
  <c r="DL34" i="5"/>
  <c r="FB34" i="5"/>
  <c r="HR34" i="5"/>
  <c r="AJI33" i="5"/>
  <c r="AGA33" i="5"/>
  <c r="ABN33" i="5"/>
  <c r="AIB33" i="5"/>
  <c r="ZU33" i="5"/>
  <c r="RH33" i="5"/>
  <c r="WM31" i="5"/>
  <c r="HS32" i="5"/>
  <c r="EA33" i="5"/>
  <c r="BW30" i="5"/>
  <c r="UY30" i="5"/>
  <c r="AS31" i="5"/>
  <c r="TV31" i="5"/>
  <c r="EV32" i="5"/>
  <c r="OT29" i="5"/>
  <c r="AKX29" i="5"/>
  <c r="SN30" i="5"/>
  <c r="FB31" i="5"/>
  <c r="ADJ31" i="5"/>
  <c r="AFF32" i="5"/>
  <c r="AGA29" i="5"/>
  <c r="VA30" i="5"/>
  <c r="TX31" i="5"/>
  <c r="ABD29" i="5"/>
  <c r="ADB30" i="5"/>
  <c r="NU32" i="5"/>
  <c r="EE34" i="5"/>
  <c r="HQ34" i="5"/>
  <c r="TD34" i="5"/>
  <c r="LJ34" i="5"/>
  <c r="AGR33" i="5"/>
  <c r="ACD33" i="5"/>
  <c r="AKH33" i="5"/>
  <c r="AAK33" i="5"/>
  <c r="QE34" i="5"/>
  <c r="SZ30" i="5"/>
  <c r="ADL30" i="5"/>
  <c r="BF31" i="5"/>
  <c r="LR31" i="5"/>
  <c r="WK31" i="5"/>
  <c r="AJI31" i="5"/>
  <c r="MA32" i="5"/>
  <c r="AHR32" i="5"/>
  <c r="AIY29" i="5"/>
  <c r="GC30" i="5"/>
  <c r="RE30" i="5"/>
  <c r="ACG30" i="5"/>
  <c r="AA31" i="5"/>
  <c r="LC31" i="5"/>
  <c r="XE31" i="5"/>
  <c r="BD32" i="5"/>
  <c r="AJK32" i="5"/>
  <c r="EX30" i="5"/>
  <c r="XZ30" i="5"/>
  <c r="DT31" i="5"/>
  <c r="XF31" i="5"/>
  <c r="JR32" i="5"/>
  <c r="AAK29" i="5"/>
  <c r="CM30" i="5"/>
  <c r="VO30" i="5"/>
  <c r="BI31" i="5"/>
  <c r="UM31" i="5"/>
  <c r="FV32" i="5"/>
  <c r="PJ29" i="5"/>
  <c r="ALN29" i="5"/>
  <c r="WV30" i="5"/>
  <c r="GH31" i="5"/>
  <c r="AEC31" i="5"/>
  <c r="AID32" i="5"/>
  <c r="AHW29" i="5"/>
  <c r="VQ30" i="5"/>
  <c r="VW31" i="5"/>
  <c r="ABT29" i="5"/>
  <c r="ADR30" i="5"/>
  <c r="PA32" i="5"/>
  <c r="TZ34" i="5"/>
  <c r="LH34" i="5"/>
  <c r="VQ34" i="5"/>
  <c r="OL34" i="5"/>
  <c r="AHI33" i="5"/>
  <c r="AIA33" i="5"/>
  <c r="KQ34" i="5"/>
  <c r="AKJ33" i="5"/>
  <c r="TU34" i="5"/>
  <c r="TP30" i="5"/>
  <c r="AER30" i="5"/>
  <c r="BV31" i="5"/>
  <c r="MH31" i="5"/>
  <c r="XD31" i="5"/>
  <c r="AKC31" i="5"/>
  <c r="NG32" i="5"/>
  <c r="AJJ32" i="5"/>
  <c r="AJO29" i="5"/>
  <c r="GS30" i="5"/>
  <c r="RU30" i="5"/>
  <c r="ACW30" i="5"/>
  <c r="AQ31" i="5"/>
  <c r="MI31" i="5"/>
  <c r="XX31" i="5"/>
  <c r="CD32" i="5"/>
  <c r="AN33" i="5"/>
  <c r="FN30" i="5"/>
  <c r="YP30" i="5"/>
  <c r="EJ31" i="5"/>
  <c r="XY31" i="5"/>
  <c r="KW32" i="5"/>
  <c r="ABQ29" i="5"/>
  <c r="GU30" i="5"/>
  <c r="WE30" i="5"/>
  <c r="BY31" i="5"/>
  <c r="VD31" i="5"/>
  <c r="GR32" i="5"/>
  <c r="PZ29" i="5"/>
  <c r="AMD29" i="5"/>
  <c r="YB30" i="5"/>
  <c r="GX31" i="5"/>
  <c r="AJM31" i="5"/>
  <c r="AJX32" i="5"/>
  <c r="AJC29" i="5"/>
  <c r="WG30" i="5"/>
  <c r="AIA31" i="5"/>
  <c r="ACJ29" i="5"/>
  <c r="AF31" i="5"/>
  <c r="QG32" i="5"/>
  <c r="ABE34" i="5"/>
  <c r="AGD34" i="5"/>
  <c r="WY34" i="5"/>
  <c r="PP34" i="5"/>
  <c r="AIQ33" i="5"/>
  <c r="AKD33" i="5"/>
  <c r="AIQ34" i="5"/>
  <c r="ALV33" i="5"/>
  <c r="ZH34" i="5"/>
  <c r="YU31" i="5"/>
  <c r="MC32" i="5"/>
  <c r="ACG29" i="5"/>
  <c r="IA30" i="5"/>
  <c r="AAM30" i="5"/>
  <c r="CO31" i="5"/>
  <c r="VU31" i="5"/>
  <c r="HT32" i="5"/>
  <c r="RF29" i="5"/>
  <c r="DD30" i="5"/>
  <c r="YR30" i="5"/>
  <c r="ID31" i="5"/>
  <c r="ALE31" i="5"/>
  <c r="ALU32" i="5"/>
  <c r="BI30" i="5"/>
  <c r="WW30" i="5"/>
  <c r="AKL31" i="5"/>
  <c r="ACZ29" i="5"/>
  <c r="DH31" i="5"/>
  <c r="RM32" i="5"/>
  <c r="AEI34" i="5"/>
  <c r="AMG34" i="5"/>
  <c r="YG34" i="5"/>
  <c r="QT34" i="5"/>
  <c r="XA34" i="5"/>
  <c r="MN34" i="5"/>
  <c r="VL33" i="5"/>
  <c r="G34" i="5"/>
  <c r="AAM32" i="5"/>
  <c r="ACY32" i="5"/>
  <c r="AGZ30" i="5"/>
  <c r="DN31" i="5"/>
  <c r="NJ31" i="5"/>
  <c r="XS31" i="5"/>
  <c r="AJY31" i="5"/>
  <c r="LW32" i="5"/>
  <c r="AGE32" i="5"/>
  <c r="MS30" i="5"/>
  <c r="WO30" i="5"/>
  <c r="AGK30" i="5"/>
  <c r="CY31" i="5"/>
  <c r="MU31" i="5"/>
  <c r="XA31" i="5"/>
  <c r="AJF31" i="5"/>
  <c r="LX32" i="5"/>
  <c r="AHN32" i="5"/>
  <c r="JB30" i="5"/>
  <c r="TN30" i="5"/>
  <c r="ADZ30" i="5"/>
  <c r="BT31" i="5"/>
  <c r="MF31" i="5"/>
  <c r="XB31" i="5"/>
  <c r="AKA31" i="5"/>
  <c r="NE32" i="5"/>
  <c r="AJH32" i="5"/>
  <c r="BC30" i="5"/>
  <c r="LO30" i="5"/>
  <c r="WA30" i="5"/>
  <c r="AGM30" i="5"/>
  <c r="DQ31" i="5"/>
  <c r="OC31" i="5"/>
  <c r="ZK31" i="5"/>
  <c r="G32" i="5"/>
  <c r="QX32" i="5"/>
  <c r="IG33" i="5"/>
  <c r="BT30" i="5"/>
  <c r="MF30" i="5"/>
  <c r="WR30" i="5"/>
  <c r="AHD30" i="5"/>
  <c r="EH31" i="5"/>
  <c r="OT31" i="5"/>
  <c r="AAE31" i="5"/>
  <c r="AH32" i="5"/>
  <c r="SE32" i="5"/>
  <c r="II33" i="5"/>
  <c r="AMA29" i="5"/>
  <c r="JE30" i="5"/>
  <c r="UG30" i="5"/>
  <c r="AFY30" i="5"/>
  <c r="EI31" i="5"/>
  <c r="PK31" i="5"/>
  <c r="ABU31" i="5"/>
  <c r="MB32" i="5"/>
  <c r="AGN29" i="5"/>
  <c r="MH30" i="5"/>
  <c r="AET30" i="5"/>
  <c r="GV31" i="5"/>
  <c r="AAZ31" i="5"/>
  <c r="PU32" i="5"/>
  <c r="AEC29" i="5"/>
  <c r="JW30" i="5"/>
  <c r="ACY30" i="5"/>
  <c r="IS31" i="5"/>
  <c r="ADI31" i="5"/>
  <c r="UT32" i="5"/>
  <c r="XZ29" i="5"/>
  <c r="FP30" i="5"/>
  <c r="ABT30" i="5"/>
  <c r="OX31" i="5"/>
  <c r="AL32" i="5"/>
  <c r="PK29" i="5"/>
  <c r="DE30" i="5"/>
  <c r="ZI30" i="5"/>
  <c r="GZ32" i="5"/>
  <c r="AD30" i="5"/>
  <c r="KR31" i="5"/>
  <c r="LI33" i="5"/>
  <c r="RN33" i="5"/>
  <c r="IV35" i="5"/>
  <c r="IJ33" i="5"/>
  <c r="AKK34" i="5"/>
  <c r="AIO34" i="5"/>
  <c r="QV34" i="5"/>
  <c r="AGU33" i="5"/>
  <c r="KL33" i="5"/>
  <c r="ABA32" i="5"/>
  <c r="XL32" i="5"/>
  <c r="AD33" i="5"/>
  <c r="ID33" i="5"/>
  <c r="ABR29" i="5"/>
  <c r="GV30" i="5"/>
  <c r="ZH30" i="5"/>
  <c r="EL31" i="5"/>
  <c r="SP31" i="5"/>
  <c r="CG32" i="5"/>
  <c r="AY33" i="5"/>
  <c r="AFK29" i="5"/>
  <c r="JY30" i="5"/>
  <c r="YS30" i="5"/>
  <c r="VF31" i="5"/>
  <c r="AIE32" i="5"/>
  <c r="BZ30" i="5"/>
  <c r="AEH30" i="5"/>
  <c r="ZR31" i="5"/>
  <c r="QW33" i="5"/>
  <c r="ACO34" i="5"/>
  <c r="AHF33" i="5"/>
  <c r="PC33" i="5"/>
  <c r="ZX34" i="5"/>
  <c r="AAV33" i="5"/>
  <c r="GO33" i="5"/>
  <c r="AJJ33" i="5"/>
  <c r="KH33" i="5"/>
  <c r="SA34" i="5"/>
  <c r="ALA33" i="5"/>
  <c r="OQ32" i="5"/>
  <c r="MQ34" i="5"/>
  <c r="JW33" i="5"/>
  <c r="QG34" i="5"/>
  <c r="AFZ33" i="5"/>
  <c r="HE33" i="5"/>
  <c r="JO34" i="5"/>
  <c r="LN33" i="5"/>
  <c r="AKM34" i="5"/>
  <c r="HA34" i="5"/>
  <c r="RC32" i="5"/>
  <c r="OX34" i="5"/>
  <c r="LS33" i="5"/>
  <c r="TW34" i="5"/>
  <c r="AGP29" i="5"/>
  <c r="IB30" i="5"/>
  <c r="AAN30" i="5"/>
  <c r="FR31" i="5"/>
  <c r="YW31" i="5"/>
  <c r="EB32" i="5"/>
  <c r="KC33" i="5"/>
  <c r="AGQ29" i="5"/>
  <c r="LU30" i="5"/>
  <c r="AHY30" i="5"/>
  <c r="WP31" i="5"/>
  <c r="ALZ32" i="5"/>
  <c r="GX30" i="5"/>
  <c r="CB31" i="5"/>
  <c r="ABG31" i="5"/>
  <c r="SS33" i="5"/>
  <c r="AGC34" i="5"/>
  <c r="ALO33" i="5"/>
  <c r="AAE33" i="5"/>
  <c r="ADA34" i="5"/>
  <c r="AHH33" i="5"/>
  <c r="HU33" i="5"/>
  <c r="LK34" i="5"/>
  <c r="MT33" i="5"/>
  <c r="CQ35" i="5"/>
  <c r="IV34" i="5"/>
  <c r="RS32" i="5"/>
  <c r="XX32" i="5"/>
  <c r="AGX33" i="5"/>
  <c r="ACL34" i="5"/>
  <c r="AHG29" i="5"/>
  <c r="MK30" i="5"/>
  <c r="AJE30" i="5"/>
  <c r="XI31" i="5"/>
  <c r="BD33" i="5"/>
  <c r="ID30" i="5"/>
  <c r="CR31" i="5"/>
  <c r="S32" i="5"/>
  <c r="TI33" i="5"/>
  <c r="AHZ34" i="5"/>
  <c r="DM34" i="5"/>
  <c r="ACA33" i="5"/>
  <c r="AEK34" i="5"/>
  <c r="AHY33" i="5"/>
  <c r="IK33" i="5"/>
  <c r="MM34" i="5"/>
  <c r="XV33" i="5"/>
  <c r="FT35" i="5"/>
  <c r="JQ34" i="5"/>
  <c r="AAI32" i="5"/>
  <c r="AEB32" i="5"/>
  <c r="DY34" i="5"/>
  <c r="AHG31" i="5"/>
  <c r="AJE32" i="5"/>
  <c r="QP29" i="5"/>
  <c r="AJB29" i="5"/>
  <c r="OF30" i="5"/>
  <c r="ACJ30" i="5"/>
  <c r="HN31" i="5"/>
  <c r="ABE31" i="5"/>
  <c r="OY32" i="5"/>
  <c r="TS29" i="5"/>
  <c r="AIM29" i="5"/>
  <c r="NQ30" i="5"/>
  <c r="BK31" i="5"/>
  <c r="AJN31" i="5"/>
  <c r="OV29" i="5"/>
  <c r="JJ30" i="5"/>
  <c r="DX31" i="5"/>
  <c r="IY32" i="5"/>
  <c r="ADW33" i="5"/>
  <c r="AMF34" i="5"/>
  <c r="FV34" i="5"/>
  <c r="ADH33" i="5"/>
  <c r="CF33" i="5"/>
  <c r="AKX33" i="5"/>
  <c r="JQ33" i="5"/>
  <c r="ZZ34" i="5"/>
  <c r="ZR33" i="5"/>
  <c r="AM33" i="5"/>
  <c r="ADE34" i="5"/>
  <c r="ACU32" i="5"/>
  <c r="HZ33" i="5"/>
  <c r="QB33" i="5"/>
  <c r="AE33" i="5"/>
  <c r="AZ32" i="5"/>
  <c r="SB32" i="5"/>
  <c r="CT33" i="5"/>
  <c r="KX30" i="5"/>
  <c r="UT30" i="5"/>
  <c r="AEP30" i="5"/>
  <c r="BD31" i="5"/>
  <c r="KZ31" i="5"/>
  <c r="UX31" i="5"/>
  <c r="AGX31" i="5"/>
  <c r="HO32" i="5"/>
  <c r="AAS32" i="5"/>
  <c r="AKC29" i="5"/>
  <c r="GQ30" i="5"/>
  <c r="QM30" i="5"/>
  <c r="AAI30" i="5"/>
  <c r="AKE30" i="5"/>
  <c r="GS31" i="5"/>
  <c r="QO31" i="5"/>
  <c r="ABP31" i="5"/>
  <c r="BB32" i="5"/>
  <c r="SD32" i="5"/>
  <c r="DI33" i="5"/>
  <c r="AN30" i="5"/>
  <c r="KJ30" i="5"/>
  <c r="UF30" i="5"/>
  <c r="AEB30" i="5"/>
  <c r="AP31" i="5"/>
  <c r="KL31" i="5"/>
  <c r="UI31" i="5"/>
  <c r="AGG31" i="5"/>
  <c r="GO32" i="5"/>
  <c r="ZO32" i="5"/>
  <c r="AEQ29" i="5"/>
  <c r="BE30" i="5"/>
  <c r="LA30" i="5"/>
  <c r="WC30" i="5"/>
  <c r="AGO30" i="5"/>
  <c r="DS31" i="5"/>
  <c r="OE31" i="5"/>
  <c r="ZM31" i="5"/>
  <c r="GP32" i="5"/>
  <c r="ALJ32" i="5"/>
  <c r="EH30" i="5"/>
  <c r="WT30" i="5"/>
  <c r="BH31" i="5"/>
  <c r="QB31" i="5"/>
  <c r="ALW31" i="5"/>
  <c r="AGL32" i="5"/>
  <c r="ALM29" i="5"/>
  <c r="MI30" i="5"/>
  <c r="AEU30" i="5"/>
  <c r="JY31" i="5"/>
  <c r="AEB31" i="5"/>
  <c r="SH32" i="5"/>
  <c r="RV29" i="5"/>
  <c r="AKH29" i="5"/>
  <c r="PL30" i="5"/>
  <c r="AHX30" i="5"/>
  <c r="IT31" i="5"/>
  <c r="ACQ31" i="5"/>
  <c r="RK32" i="5"/>
  <c r="VO29" i="5"/>
  <c r="AC30" i="5"/>
  <c r="OW30" i="5"/>
  <c r="CQ31" i="5"/>
  <c r="ALF31" i="5"/>
  <c r="ZH29" i="5"/>
  <c r="KP30" i="5"/>
  <c r="FD31" i="5"/>
  <c r="MO32" i="5"/>
  <c r="AFV33" i="5"/>
  <c r="KT33" i="5"/>
  <c r="JL34" i="5"/>
  <c r="AFG33" i="5"/>
  <c r="JP33" i="5"/>
  <c r="NI34" i="5"/>
  <c r="QK33" i="5"/>
  <c r="ADC34" i="5"/>
  <c r="AAX33" i="5"/>
  <c r="JS33" i="5"/>
  <c r="TP33" i="5"/>
  <c r="I33" i="5"/>
  <c r="LR33" i="5"/>
  <c r="MZ34" i="5"/>
  <c r="TL32" i="5"/>
  <c r="IW33" i="5"/>
  <c r="AKV29" i="5"/>
  <c r="HJ30" i="5"/>
  <c r="RF30" i="5"/>
  <c r="ABB30" i="5"/>
  <c r="AKX30" i="5"/>
  <c r="HL31" i="5"/>
  <c r="RH31" i="5"/>
  <c r="ACO31" i="5"/>
  <c r="CE32" i="5"/>
  <c r="TM32" i="5"/>
  <c r="IY33" i="5"/>
  <c r="AGO29" i="5"/>
  <c r="DC30" i="5"/>
  <c r="MY30" i="5"/>
  <c r="WU30" i="5"/>
  <c r="AGQ30" i="5"/>
  <c r="DE31" i="5"/>
  <c r="NA31" i="5"/>
  <c r="XG31" i="5"/>
  <c r="AJL31" i="5"/>
  <c r="KX32" i="5"/>
  <c r="AFD32" i="5"/>
  <c r="TB29" i="5"/>
  <c r="ACX29" i="5"/>
  <c r="L30" i="5"/>
  <c r="JH30" i="5"/>
  <c r="TD30" i="5"/>
  <c r="ACZ30" i="5"/>
  <c r="N31" i="5"/>
  <c r="JJ31" i="5"/>
  <c r="TF31" i="5"/>
  <c r="AEY31" i="5"/>
  <c r="EW32" i="5"/>
  <c r="XO32" i="5"/>
  <c r="QA29" i="5"/>
  <c r="ZW29" i="5"/>
  <c r="AJS29" i="5"/>
  <c r="GG30" i="5"/>
  <c r="QC30" i="5"/>
  <c r="ADQ30" i="5"/>
  <c r="FC31" i="5"/>
  <c r="YE31" i="5"/>
  <c r="LH32" i="5"/>
  <c r="QB29" i="5"/>
  <c r="AFL29" i="5"/>
  <c r="LV30" i="5"/>
  <c r="AFN30" i="5"/>
  <c r="LX31" i="5"/>
  <c r="AGM31" i="5"/>
  <c r="SS32" i="5"/>
  <c r="UO33" i="5"/>
  <c r="FA34" i="5"/>
  <c r="HB33" i="5"/>
  <c r="YH33" i="5"/>
  <c r="MJ34" i="5"/>
  <c r="QY33" i="5"/>
  <c r="BI34" i="5"/>
  <c r="AJZ32" i="5"/>
  <c r="NH33" i="5"/>
  <c r="ALQ33" i="5"/>
  <c r="CB35" i="5"/>
  <c r="RQ33" i="5"/>
  <c r="AKC33" i="5"/>
  <c r="AKL34" i="5"/>
  <c r="NZ33" i="5"/>
  <c r="AKZ33" i="5"/>
  <c r="ABM32" i="5"/>
  <c r="WA33" i="5"/>
  <c r="P35" i="5"/>
  <c r="IW34" i="5"/>
  <c r="BE33" i="5"/>
  <c r="QB34" i="5"/>
  <c r="AHN33" i="5"/>
  <c r="JZ34" i="5"/>
  <c r="AEE32" i="5"/>
  <c r="FC33" i="5"/>
  <c r="ADG31" i="5"/>
  <c r="CY32" i="5"/>
  <c r="UR32" i="5"/>
  <c r="ABP29" i="5"/>
  <c r="ALL29" i="5"/>
  <c r="HZ30" i="5"/>
  <c r="RV30" i="5"/>
  <c r="ABR30" i="5"/>
  <c r="ALN30" i="5"/>
  <c r="IB31" i="5"/>
  <c r="RX31" i="5"/>
  <c r="ADH31" i="5"/>
  <c r="CZ32" i="5"/>
  <c r="US32" i="5"/>
  <c r="XI29" i="5"/>
  <c r="AHE29" i="5"/>
  <c r="DS30" i="5"/>
  <c r="NO30" i="5"/>
  <c r="XK30" i="5"/>
  <c r="AHG30" i="5"/>
  <c r="DU31" i="5"/>
  <c r="NQ31" i="5"/>
  <c r="YC31" i="5"/>
  <c r="AKF31" i="5"/>
  <c r="MD32" i="5"/>
  <c r="AGU32" i="5"/>
  <c r="TR29" i="5"/>
  <c r="ADN29" i="5"/>
  <c r="AB30" i="5"/>
  <c r="JX30" i="5"/>
  <c r="TT30" i="5"/>
  <c r="ADP30" i="5"/>
  <c r="AD31" i="5"/>
  <c r="JZ31" i="5"/>
  <c r="TW31" i="5"/>
  <c r="AFR31" i="5"/>
  <c r="FW32" i="5"/>
  <c r="YU32" i="5"/>
  <c r="QQ29" i="5"/>
  <c r="AAM29" i="5"/>
  <c r="AKI29" i="5"/>
  <c r="GW30" i="5"/>
  <c r="QS30" i="5"/>
  <c r="AEW30" i="5"/>
  <c r="FS31" i="5"/>
  <c r="YX31" i="5"/>
  <c r="MN32" i="5"/>
  <c r="QR29" i="5"/>
  <c r="AJT29" i="5"/>
  <c r="ML30" i="5"/>
  <c r="AGD30" i="5"/>
  <c r="MN31" i="5"/>
  <c r="AIU31" i="5"/>
  <c r="TY32" i="5"/>
  <c r="VE33" i="5"/>
  <c r="GQ34" i="5"/>
  <c r="HR33" i="5"/>
  <c r="ADG33" i="5"/>
  <c r="NF34" i="5"/>
  <c r="RO33" i="5"/>
  <c r="CB34" i="5"/>
  <c r="ALF32" i="5"/>
  <c r="NX33" i="5"/>
  <c r="B34" i="5"/>
  <c r="FR35" i="5"/>
  <c r="SG33" i="5"/>
  <c r="CW34" i="5"/>
  <c r="N35" i="5"/>
  <c r="OP33" i="5"/>
  <c r="ALS33" i="5"/>
  <c r="ACS32" i="5"/>
  <c r="WQ33" i="5"/>
  <c r="CR35" i="5"/>
  <c r="MP34" i="5"/>
  <c r="BU33" i="5"/>
  <c r="QY34" i="5"/>
  <c r="AIE33" i="5"/>
  <c r="LW34" i="5"/>
  <c r="AHW32" i="5"/>
  <c r="FS33" i="5"/>
  <c r="ADZ31" i="5"/>
  <c r="DY32" i="5"/>
  <c r="VX32" i="5"/>
  <c r="ACF29" i="5"/>
  <c r="AMB29" i="5"/>
  <c r="IP30" i="5"/>
  <c r="SL30" i="5"/>
  <c r="ACH30" i="5"/>
  <c r="AMD30" i="5"/>
  <c r="IR31" i="5"/>
  <c r="SN31" i="5"/>
  <c r="AEA31" i="5"/>
  <c r="DZ32" i="5"/>
  <c r="VY32" i="5"/>
  <c r="XY29" i="5"/>
  <c r="AHU29" i="5"/>
  <c r="EI30" i="5"/>
  <c r="OE30" i="5"/>
  <c r="YA30" i="5"/>
  <c r="AHW30" i="5"/>
  <c r="EK31" i="5"/>
  <c r="OG31" i="5"/>
  <c r="YV31" i="5"/>
  <c r="ALD31" i="5"/>
  <c r="NJ32" i="5"/>
  <c r="AIC32" i="5"/>
  <c r="UH29" i="5"/>
  <c r="AED29" i="5"/>
  <c r="AR30" i="5"/>
  <c r="KN30" i="5"/>
  <c r="UJ30" i="5"/>
  <c r="AEF30" i="5"/>
  <c r="AT31" i="5"/>
  <c r="KP31" i="5"/>
  <c r="UN31" i="5"/>
  <c r="AGK31" i="5"/>
  <c r="GY32" i="5"/>
  <c r="AAA32" i="5"/>
  <c r="RG29" i="5"/>
  <c r="ABC29" i="5"/>
  <c r="AKY29" i="5"/>
  <c r="HM30" i="5"/>
  <c r="RI30" i="5"/>
  <c r="AFM30" i="5"/>
  <c r="KA31" i="5"/>
  <c r="ZQ31" i="5"/>
  <c r="NT32" i="5"/>
  <c r="RH29" i="5"/>
  <c r="AKZ29" i="5"/>
  <c r="NB30" i="5"/>
  <c r="AGT30" i="5"/>
  <c r="ND31" i="5"/>
  <c r="AJO31" i="5"/>
  <c r="ADZ32" i="5"/>
  <c r="VU33" i="5"/>
  <c r="IK34" i="5"/>
  <c r="IH33" i="5"/>
  <c r="AEO33" i="5"/>
  <c r="OJ34" i="5"/>
  <c r="SE33" i="5"/>
  <c r="DN34" i="5"/>
  <c r="ALV32" i="5"/>
  <c r="UB33" i="5"/>
  <c r="U34" i="5"/>
  <c r="JL35" i="5"/>
  <c r="SW33" i="5"/>
  <c r="FE34" i="5"/>
  <c r="CP35" i="5"/>
  <c r="PF33" i="5"/>
  <c r="D34" i="5"/>
  <c r="AIW32" i="5"/>
  <c r="XW33" i="5"/>
  <c r="HX33" i="5"/>
  <c r="ABV34" i="5"/>
  <c r="LA33" i="5"/>
  <c r="DG35" i="5"/>
  <c r="UQ34" i="5"/>
  <c r="HZ32" i="5"/>
  <c r="N34" i="5"/>
  <c r="AAN31" i="5"/>
  <c r="AES31" i="5"/>
  <c r="ET32" i="5"/>
  <c r="XD32" i="5"/>
  <c r="ACV29" i="5"/>
  <c r="J30" i="5"/>
  <c r="JF30" i="5"/>
  <c r="TB30" i="5"/>
  <c r="ACX30" i="5"/>
  <c r="L31" i="5"/>
  <c r="JH31" i="5"/>
  <c r="TD31" i="5"/>
  <c r="AEW31" i="5"/>
  <c r="EU32" i="5"/>
  <c r="XE32" i="5"/>
  <c r="YO29" i="5"/>
  <c r="AIK29" i="5"/>
  <c r="EY30" i="5"/>
  <c r="OU30" i="5"/>
  <c r="YQ30" i="5"/>
  <c r="AIM30" i="5"/>
  <c r="FA31" i="5"/>
  <c r="OW31" i="5"/>
  <c r="ZO31" i="5"/>
  <c r="ALX31" i="5"/>
  <c r="OP32" i="5"/>
  <c r="AJW32" i="5"/>
  <c r="UX29" i="5"/>
  <c r="AET29" i="5"/>
  <c r="BH30" i="5"/>
  <c r="LD30" i="5"/>
  <c r="UZ30" i="5"/>
  <c r="AEV30" i="5"/>
  <c r="BJ31" i="5"/>
  <c r="LF31" i="5"/>
  <c r="VE31" i="5"/>
  <c r="AHD31" i="5"/>
  <c r="HU32" i="5"/>
  <c r="ABG32" i="5"/>
  <c r="RW29" i="5"/>
  <c r="ABS29" i="5"/>
  <c r="ALO29" i="5"/>
  <c r="IC30" i="5"/>
  <c r="RY30" i="5"/>
  <c r="AGC30" i="5"/>
  <c r="LG31" i="5"/>
  <c r="AAJ31" i="5"/>
  <c r="OZ32" i="5"/>
  <c r="RX29" i="5"/>
  <c r="ALP29" i="5"/>
  <c r="RJ30" i="5"/>
  <c r="AHJ30" i="5"/>
  <c r="NT31" i="5"/>
  <c r="AKM31" i="5"/>
  <c r="AGX32" i="5"/>
  <c r="WK33" i="5"/>
  <c r="JK34" i="5"/>
  <c r="IX33" i="5"/>
  <c r="AFF33" i="5"/>
  <c r="WX34" i="5"/>
  <c r="SU33" i="5"/>
  <c r="FC34" i="5"/>
  <c r="D33" i="5"/>
  <c r="VH33" i="5"/>
  <c r="AN34" i="5"/>
  <c r="OJ35" i="5"/>
  <c r="TM33" i="5"/>
  <c r="FY34" i="5"/>
  <c r="AKR32" i="5"/>
  <c r="PV33" i="5"/>
  <c r="W34" i="5"/>
  <c r="AKC32" i="5"/>
  <c r="YM33" i="5"/>
  <c r="JD33" i="5"/>
  <c r="AIR34" i="5"/>
  <c r="MW33" i="5"/>
  <c r="LF35" i="5"/>
  <c r="YW34" i="5"/>
  <c r="LR32" i="5"/>
  <c r="ZI34" i="5"/>
  <c r="AEF31" i="5"/>
  <c r="AFO31" i="5"/>
  <c r="FT32" i="5"/>
  <c r="YJ32" i="5"/>
  <c r="ADL29" i="5"/>
  <c r="Z30" i="5"/>
  <c r="JV30" i="5"/>
  <c r="TR30" i="5"/>
  <c r="ADN30" i="5"/>
  <c r="AB31" i="5"/>
  <c r="JX31" i="5"/>
  <c r="TU31" i="5"/>
  <c r="AFP31" i="5"/>
  <c r="FU32" i="5"/>
  <c r="YK32" i="5"/>
  <c r="ZE29" i="5"/>
  <c r="AJA29" i="5"/>
  <c r="FO30" i="5"/>
  <c r="PK30" i="5"/>
  <c r="ZG30" i="5"/>
  <c r="AJC30" i="5"/>
  <c r="FQ31" i="5"/>
  <c r="PM31" i="5"/>
  <c r="AAH31" i="5"/>
  <c r="P32" i="5"/>
  <c r="PV32" i="5"/>
  <c r="ALT32" i="5"/>
  <c r="VN29" i="5"/>
  <c r="AFJ29" i="5"/>
  <c r="BX30" i="5"/>
  <c r="LT30" i="5"/>
  <c r="VP30" i="5"/>
  <c r="AFL30" i="5"/>
  <c r="BZ31" i="5"/>
  <c r="LV31" i="5"/>
  <c r="VV31" i="5"/>
  <c r="AHZ31" i="5"/>
  <c r="IW32" i="5"/>
  <c r="ACO32" i="5"/>
  <c r="SM29" i="5"/>
  <c r="ACI29" i="5"/>
  <c r="AME29" i="5"/>
  <c r="IS30" i="5"/>
  <c r="SO30" i="5"/>
  <c r="AGS30" i="5"/>
  <c r="LW31" i="5"/>
  <c r="AFS31" i="5"/>
  <c r="QF32" i="5"/>
  <c r="SN29" i="5"/>
  <c r="AMF29" i="5"/>
  <c r="SP30" i="5"/>
  <c r="AHZ30" i="5"/>
  <c r="OJ31" i="5"/>
  <c r="ALG31" i="5"/>
  <c r="AIH32" i="5"/>
  <c r="ABY33" i="5"/>
  <c r="KF34" i="5"/>
  <c r="JN33" i="5"/>
  <c r="AFW33" i="5"/>
  <c r="ACZ34" i="5"/>
  <c r="TK33" i="5"/>
  <c r="FW34" i="5"/>
  <c r="T33" i="5"/>
  <c r="VX33" i="5"/>
  <c r="GX34" i="5"/>
  <c r="UN35" i="5"/>
  <c r="US33" i="5"/>
  <c r="GY34" i="5"/>
  <c r="ALX32" i="5"/>
  <c r="QL33" i="5"/>
  <c r="AS34" i="5"/>
  <c r="ALI32" i="5"/>
  <c r="AGC33" i="5"/>
  <c r="JT33" i="5"/>
  <c r="R35" i="5"/>
  <c r="OC33" i="5"/>
  <c r="QD35" i="5"/>
  <c r="AJE34" i="5"/>
  <c r="OT32" i="5"/>
  <c r="ADU34" i="5"/>
  <c r="BZ32" i="5"/>
  <c r="ZP32" i="5"/>
  <c r="AEB29" i="5"/>
  <c r="AP30" i="5"/>
  <c r="KL30" i="5"/>
  <c r="UH30" i="5"/>
  <c r="AED30" i="5"/>
  <c r="AR31" i="5"/>
  <c r="KN31" i="5"/>
  <c r="UL31" i="5"/>
  <c r="AGI31" i="5"/>
  <c r="GQ32" i="5"/>
  <c r="ZQ32" i="5"/>
  <c r="ZU29" i="5"/>
  <c r="AJQ29" i="5"/>
  <c r="GE30" i="5"/>
  <c r="QA30" i="5"/>
  <c r="ZW30" i="5"/>
  <c r="AJS30" i="5"/>
  <c r="GG31" i="5"/>
  <c r="QC31" i="5"/>
  <c r="ABA31" i="5"/>
  <c r="AK32" i="5"/>
  <c r="RB32" i="5"/>
  <c r="AX33" i="5"/>
  <c r="WD29" i="5"/>
  <c r="AFZ29" i="5"/>
  <c r="CN30" i="5"/>
  <c r="MJ30" i="5"/>
  <c r="WF30" i="5"/>
  <c r="AGB30" i="5"/>
  <c r="CP31" i="5"/>
  <c r="ML31" i="5"/>
  <c r="WO31" i="5"/>
  <c r="AIS31" i="5"/>
  <c r="KA32" i="5"/>
  <c r="ADW32" i="5"/>
  <c r="TC29" i="5"/>
  <c r="ACY29" i="5"/>
  <c r="M30" i="5"/>
  <c r="M28" i="3" s="1"/>
  <c r="JI30" i="5"/>
  <c r="TE30" i="5"/>
  <c r="AHI30" i="5"/>
  <c r="MM31" i="5"/>
  <c r="AHE31" i="5"/>
  <c r="RL32" i="5"/>
  <c r="TD29" i="5"/>
  <c r="N30" i="5"/>
  <c r="TF30" i="5"/>
  <c r="AMH30" i="5"/>
  <c r="OZ31" i="5"/>
  <c r="AMA31" i="5"/>
  <c r="AKA32" i="5"/>
  <c r="ADF33" i="5"/>
  <c r="LG34" i="5"/>
  <c r="KD33" i="5"/>
  <c r="AGN33" i="5"/>
  <c r="AEJ34" i="5"/>
  <c r="YY33" i="5"/>
  <c r="GW34" i="5"/>
  <c r="AJ33" i="5"/>
  <c r="WN33" i="5"/>
  <c r="KN34" i="5"/>
  <c r="ALW32" i="5"/>
  <c r="VY33" i="5"/>
  <c r="HT34" i="5"/>
  <c r="F33" i="5"/>
  <c r="UT33" i="5"/>
  <c r="KP34" i="5"/>
  <c r="G33" i="5"/>
  <c r="AHK33" i="5"/>
  <c r="KJ33" i="5"/>
  <c r="DF35" i="5"/>
  <c r="OS33" i="5"/>
  <c r="KJ32" i="5"/>
  <c r="GX35" i="5"/>
  <c r="PJ32" i="5"/>
  <c r="AU35" i="5"/>
  <c r="DF32" i="5"/>
  <c r="LQ30" i="5"/>
  <c r="VM30" i="5"/>
  <c r="AFI30" i="5"/>
  <c r="BW31" i="5"/>
  <c r="LS31" i="5"/>
  <c r="VS31" i="5"/>
  <c r="AHT31" i="5"/>
  <c r="IN32" i="5"/>
  <c r="ACD32" i="5"/>
  <c r="AFH29" i="5"/>
  <c r="BV30" i="5"/>
  <c r="LR30" i="5"/>
  <c r="VN30" i="5"/>
  <c r="AFJ30" i="5"/>
  <c r="BX31" i="5"/>
  <c r="LT31" i="5"/>
  <c r="VT31" i="5"/>
  <c r="AHU31" i="5"/>
  <c r="IU32" i="5"/>
  <c r="ACM32" i="5"/>
  <c r="ABA29" i="5"/>
  <c r="AKW29" i="5"/>
  <c r="HK30" i="5"/>
  <c r="RG30" i="5"/>
  <c r="ABC30" i="5"/>
  <c r="AKY30" i="5"/>
  <c r="HM31" i="5"/>
  <c r="RI31" i="5"/>
  <c r="ACP31" i="5"/>
  <c r="CF32" i="5"/>
  <c r="TN32" i="5"/>
  <c r="JM33" i="5"/>
  <c r="XJ29" i="5"/>
  <c r="AHF29" i="5"/>
  <c r="DT30" i="5"/>
  <c r="NP30" i="5"/>
  <c r="XL30" i="5"/>
  <c r="AHH30" i="5"/>
  <c r="DV31" i="5"/>
  <c r="NR31" i="5"/>
  <c r="YD31" i="5"/>
  <c r="AKK31" i="5"/>
  <c r="MM32" i="5"/>
  <c r="AGV32" i="5"/>
  <c r="UI29" i="5"/>
  <c r="AEE29" i="5"/>
  <c r="AS30" i="5"/>
  <c r="KO30" i="5"/>
  <c r="UK30" i="5"/>
  <c r="AIO30" i="5"/>
  <c r="NS31" i="5"/>
  <c r="AIT31" i="5"/>
  <c r="ADX32" i="5"/>
  <c r="UJ29" i="5"/>
  <c r="AT30" i="5"/>
  <c r="UL30" i="5"/>
  <c r="AV31" i="5"/>
  <c r="TY31" i="5"/>
  <c r="AN32" i="5"/>
  <c r="BM33" i="5"/>
  <c r="AEN33" i="5"/>
  <c r="YE34" i="5"/>
  <c r="LZ33" i="5"/>
  <c r="AJZ33" i="5"/>
  <c r="AJX34" i="5"/>
  <c r="ABK33" i="5"/>
  <c r="OK34" i="5"/>
  <c r="BP33" i="5"/>
  <c r="XT33" i="5"/>
  <c r="ML34" i="5"/>
  <c r="FY33" i="5"/>
  <c r="XU33" i="5"/>
  <c r="KO34" i="5"/>
  <c r="BB33" i="5"/>
  <c r="YL33" i="5"/>
  <c r="NQ34" i="5"/>
  <c r="BC33" i="5"/>
  <c r="AIS33" i="5"/>
  <c r="UV33" i="5"/>
  <c r="QM32" i="5"/>
  <c r="ZE33" i="5"/>
  <c r="ACF32" i="5"/>
  <c r="YO32" i="5"/>
  <c r="NP33" i="5"/>
  <c r="ZX32" i="5"/>
  <c r="OZ35" i="5"/>
  <c r="W33" i="5"/>
  <c r="LO33" i="5"/>
  <c r="XG33" i="5"/>
  <c r="AJL33" i="5"/>
  <c r="MO34" i="5"/>
  <c r="GH35" i="5"/>
  <c r="KZ33" i="5"/>
  <c r="WR33" i="5"/>
  <c r="AJM33" i="5"/>
  <c r="NS34" i="5"/>
  <c r="GI35" i="5"/>
  <c r="SI32" i="5"/>
  <c r="AEA32" i="5"/>
  <c r="DA33" i="5"/>
  <c r="PI33" i="5"/>
  <c r="ABA33" i="5"/>
  <c r="AV34" i="5"/>
  <c r="SD34" i="5"/>
  <c r="LP32" i="5"/>
  <c r="AFX32" i="5"/>
  <c r="NN33" i="5"/>
  <c r="AJR33" i="5"/>
  <c r="QF35" i="5"/>
  <c r="ACW32" i="5"/>
  <c r="NO33" i="5"/>
  <c r="RH34" i="5"/>
  <c r="SL32" i="5"/>
  <c r="TT33" i="5"/>
  <c r="AAP34" i="5"/>
  <c r="M33" i="5"/>
  <c r="XJ31" i="5"/>
  <c r="JJ33" i="5"/>
  <c r="AJC31" i="5"/>
  <c r="TW33" i="5"/>
  <c r="EL32" i="5"/>
  <c r="OV34" i="5"/>
  <c r="KP35" i="5"/>
  <c r="LP33" i="5"/>
  <c r="XX33" i="5"/>
  <c r="ALB33" i="5"/>
  <c r="OW34" i="5"/>
  <c r="KR35" i="5"/>
  <c r="SY32" i="5"/>
  <c r="AEQ32" i="5"/>
  <c r="EG33" i="5"/>
  <c r="PY33" i="5"/>
  <c r="ABQ33" i="5"/>
  <c r="BO34" i="5"/>
  <c r="TJ34" i="5"/>
  <c r="MF32" i="5"/>
  <c r="AHD32" i="5"/>
  <c r="OD33" i="5"/>
  <c r="ALW33" i="5"/>
  <c r="HI32" i="5"/>
  <c r="AEC32" i="5"/>
  <c r="SM33" i="5"/>
  <c r="SN34" i="5"/>
  <c r="TB32" i="5"/>
  <c r="UJ33" i="5"/>
  <c r="ALD34" i="5"/>
  <c r="AC33" i="5"/>
  <c r="YP31" i="5"/>
  <c r="KP33" i="5"/>
  <c r="AJS31" i="5"/>
  <c r="XO33" i="5"/>
  <c r="AJX33" i="5"/>
  <c r="PS34" i="5"/>
  <c r="PN35" i="5"/>
  <c r="MV33" i="5"/>
  <c r="YN33" i="5"/>
  <c r="F34" i="5"/>
  <c r="PU34" i="5"/>
  <c r="PP35" i="5"/>
  <c r="TO32" i="5"/>
  <c r="AFG32" i="5"/>
  <c r="EW33" i="5"/>
  <c r="QO33" i="5"/>
  <c r="ACG33" i="5"/>
  <c r="CH34" i="5"/>
  <c r="WF34" i="5"/>
  <c r="NL32" i="5"/>
  <c r="AHT32" i="5"/>
  <c r="PJ33" i="5"/>
  <c r="EQ34" i="5"/>
  <c r="HY32" i="5"/>
  <c r="AFY32" i="5"/>
  <c r="UI33" i="5"/>
  <c r="UZ34" i="5"/>
  <c r="UH32" i="5"/>
  <c r="YB33" i="5"/>
  <c r="ALM31" i="5"/>
  <c r="BI33" i="5"/>
  <c r="ZV31" i="5"/>
  <c r="LF33" i="5"/>
  <c r="AKY31" i="5"/>
  <c r="AAA33" i="5"/>
  <c r="ZL34" i="5"/>
  <c r="BL34" i="5"/>
  <c r="TG34" i="5"/>
  <c r="ADI32" i="5"/>
  <c r="BS33" i="5"/>
  <c r="NK33" i="5"/>
  <c r="ZC33" i="5"/>
  <c r="E34" i="5"/>
  <c r="QW34" i="5"/>
  <c r="BT33" i="5"/>
  <c r="NL33" i="5"/>
  <c r="ZD33" i="5"/>
  <c r="AB34" i="5"/>
  <c r="QX34" i="5"/>
  <c r="WZ35" i="5"/>
  <c r="UE32" i="5"/>
  <c r="AGM32" i="5"/>
  <c r="FM33" i="5"/>
  <c r="RE33" i="5"/>
  <c r="ACX33" i="5"/>
  <c r="DD34" i="5"/>
  <c r="YV34" i="5"/>
  <c r="OB32" i="5"/>
  <c r="AIZ32" i="5"/>
  <c r="RV33" i="5"/>
  <c r="GI34" i="5"/>
  <c r="JE32" i="5"/>
  <c r="AGO32" i="5"/>
  <c r="UY33" i="5"/>
  <c r="WH34" i="5"/>
  <c r="AAL32" i="5"/>
  <c r="YR33" i="5"/>
  <c r="CM32" i="5"/>
  <c r="BY33" i="5"/>
  <c r="AAL31" i="5"/>
  <c r="OH33" i="5"/>
  <c r="AS32" i="5"/>
  <c r="AEL33" i="5"/>
  <c r="ACN34" i="5"/>
  <c r="CE34" i="5"/>
  <c r="VT34" i="5"/>
  <c r="ADY32" i="5"/>
  <c r="CI33" i="5"/>
  <c r="OA33" i="5"/>
  <c r="ZS33" i="5"/>
  <c r="AT34" i="5"/>
  <c r="TH34" i="5"/>
  <c r="CJ33" i="5"/>
  <c r="OB33" i="5"/>
  <c r="AAJ33" i="5"/>
  <c r="AU34" i="5"/>
  <c r="SC34" i="5"/>
  <c r="JC32" i="5"/>
  <c r="UU32" i="5"/>
  <c r="AHS32" i="5"/>
  <c r="GC33" i="5"/>
  <c r="RU33" i="5"/>
  <c r="ADO33" i="5"/>
  <c r="DW34" i="5"/>
  <c r="AAD34" i="5"/>
  <c r="PH32" i="5"/>
  <c r="ALL32" i="5"/>
  <c r="SL33" i="5"/>
  <c r="HD34" i="5"/>
  <c r="LA32" i="5"/>
  <c r="AHE32" i="5"/>
  <c r="WE33" i="5"/>
  <c r="YX34" i="5"/>
  <c r="AED32" i="5"/>
  <c r="AAN33" i="5"/>
  <c r="DC32" i="5"/>
  <c r="EK33" i="5"/>
  <c r="ACH31" i="5"/>
  <c r="QT33" i="5"/>
  <c r="GG32" i="5"/>
  <c r="AFC33" i="5"/>
  <c r="AJF35" i="5"/>
  <c r="ZY30" i="5"/>
  <c r="AJU30" i="5"/>
  <c r="GI31" i="5"/>
  <c r="QE31" i="5"/>
  <c r="ABF31" i="5"/>
  <c r="AM32" i="5"/>
  <c r="SR32" i="5"/>
  <c r="KS33" i="5"/>
  <c r="VP29" i="5"/>
  <c r="AGB29" i="5"/>
  <c r="DF30" i="5"/>
  <c r="NR30" i="5"/>
  <c r="YD30" i="5"/>
  <c r="AIP30" i="5"/>
  <c r="FT31" i="5"/>
  <c r="QF31" i="5"/>
  <c r="ABZ31" i="5"/>
  <c r="CI32" i="5"/>
  <c r="VE32" i="5"/>
  <c r="MO33" i="5"/>
  <c r="XA33" i="5"/>
  <c r="AJY33" i="5"/>
  <c r="MC34" i="5"/>
  <c r="FB35" i="5"/>
  <c r="MP33" i="5"/>
  <c r="ZN33" i="5"/>
  <c r="AMH33" i="5"/>
  <c r="PN34" i="5"/>
  <c r="NT35" i="5"/>
  <c r="UA33" i="5"/>
  <c r="AHG33" i="5"/>
  <c r="IR34" i="5"/>
  <c r="AGE34" i="5"/>
  <c r="CV33" i="5"/>
  <c r="PD33" i="5"/>
  <c r="ABL33" i="5"/>
  <c r="BJ34" i="5"/>
  <c r="TE34" i="5"/>
  <c r="U33" i="5"/>
  <c r="MS33" i="5"/>
  <c r="YK33" i="5"/>
  <c r="AKY33" i="5"/>
  <c r="NP34" i="5"/>
  <c r="JZ35" i="5"/>
  <c r="FJ33" i="5"/>
  <c r="RB33" i="5"/>
  <c r="ACT33" i="5"/>
  <c r="CX34" i="5"/>
  <c r="YS34" i="5"/>
  <c r="AEO32" i="5"/>
  <c r="CY33" i="5"/>
  <c r="OQ33" i="5"/>
  <c r="AAI33" i="5"/>
  <c r="CF34" i="5"/>
  <c r="UN34" i="5"/>
  <c r="CZ33" i="5"/>
  <c r="OR33" i="5"/>
  <c r="ABP33" i="5"/>
  <c r="BN34" i="5"/>
  <c r="TI34" i="5"/>
  <c r="JS32" i="5"/>
  <c r="VK32" i="5"/>
  <c r="AII32" i="5"/>
  <c r="GS33" i="5"/>
  <c r="SK33" i="5"/>
  <c r="AEF33" i="5"/>
  <c r="FI34" i="5"/>
  <c r="ABW34" i="5"/>
  <c r="RT32" i="5"/>
  <c r="AMB32" i="5"/>
  <c r="WD33" i="5"/>
  <c r="IY34" i="5"/>
  <c r="LQ32" i="5"/>
  <c r="AJA32" i="5"/>
  <c r="YQ33" i="5"/>
  <c r="AHI34" i="5"/>
  <c r="AFZ32" i="5"/>
  <c r="ABD33" i="5"/>
  <c r="EY32" i="5"/>
  <c r="QS33" i="5"/>
  <c r="AET31" i="5"/>
  <c r="VB33" i="5"/>
  <c r="GW32" i="5"/>
  <c r="AIJ33" i="5"/>
  <c r="SF36" i="5"/>
  <c r="AAO30" i="5"/>
  <c r="AKK30" i="5"/>
  <c r="GY31" i="5"/>
  <c r="QU31" i="5"/>
  <c r="ABY31" i="5"/>
  <c r="BM32" i="5"/>
  <c r="TX32" i="5"/>
  <c r="LT29" i="5"/>
  <c r="WF29" i="5"/>
  <c r="AGR29" i="5"/>
  <c r="DV30" i="5"/>
  <c r="OH30" i="5"/>
  <c r="YT30" i="5"/>
  <c r="AJF30" i="5"/>
  <c r="GJ31" i="5"/>
  <c r="QV31" i="5"/>
  <c r="ACS31" i="5"/>
  <c r="DI32" i="5"/>
  <c r="WK32" i="5"/>
  <c r="NE33" i="5"/>
  <c r="XQ33" i="5"/>
  <c r="AKR33" i="5"/>
  <c r="OI34" i="5"/>
  <c r="IT35" i="5"/>
  <c r="NF33" i="5"/>
  <c r="AAD33" i="5"/>
  <c r="S34" i="5"/>
  <c r="QR34" i="5"/>
  <c r="TH35" i="5"/>
  <c r="VG33" i="5"/>
  <c r="AHX33" i="5"/>
  <c r="JM34" i="5"/>
  <c r="AIB34" i="5"/>
  <c r="DL33" i="5"/>
  <c r="QJ33" i="5"/>
  <c r="ACB33" i="5"/>
  <c r="CC34" i="5"/>
  <c r="VR34" i="5"/>
  <c r="BA33" i="5"/>
  <c r="NI33" i="5"/>
  <c r="ZA33" i="5"/>
  <c r="ALR33" i="5"/>
  <c r="OM34" i="5"/>
  <c r="VD35" i="5"/>
  <c r="FZ33" i="5"/>
  <c r="RR33" i="5"/>
  <c r="ADK33" i="5"/>
  <c r="DT34" i="5"/>
  <c r="AAA34" i="5"/>
  <c r="AFE32" i="5"/>
  <c r="DO33" i="5"/>
  <c r="PG33" i="5"/>
  <c r="ACU33" i="5"/>
  <c r="CY34" i="5"/>
  <c r="VU34" i="5"/>
  <c r="DP33" i="5"/>
  <c r="PH33" i="5"/>
  <c r="ACF33" i="5"/>
  <c r="CG34" i="5"/>
  <c r="UO34" i="5"/>
  <c r="KI32" i="5"/>
  <c r="WQ32" i="5"/>
  <c r="AIY32" i="5"/>
  <c r="HI33" i="5"/>
  <c r="TA33" i="5"/>
  <c r="AEW33" i="5"/>
  <c r="HC34" i="5"/>
  <c r="AFA34" i="5"/>
  <c r="SJ32" i="5"/>
  <c r="AP33" i="5"/>
  <c r="XZ33" i="5"/>
  <c r="LV34" i="5"/>
  <c r="MG32" i="5"/>
  <c r="K33" i="5"/>
  <c r="ZG33" i="5"/>
  <c r="AJF34" i="5"/>
  <c r="AGP32" i="5"/>
  <c r="ACJ33" i="5"/>
  <c r="FO32" i="5"/>
  <c r="ZI33" i="5"/>
  <c r="JH32" i="5"/>
  <c r="VR33" i="5"/>
  <c r="IS32" i="5"/>
  <c r="AKP33" i="5"/>
  <c r="XC36" i="5"/>
  <c r="ABE30" i="5"/>
  <c r="ALA30" i="5"/>
  <c r="HO31" i="5"/>
  <c r="RK31" i="5"/>
  <c r="ACR31" i="5"/>
  <c r="CH32" i="5"/>
  <c r="WJ32" i="5"/>
  <c r="MJ29" i="5"/>
  <c r="WV29" i="5"/>
  <c r="AHH29" i="5"/>
  <c r="EL30" i="5"/>
  <c r="OX30" i="5"/>
  <c r="ZJ30" i="5"/>
  <c r="AJV30" i="5"/>
  <c r="GZ31" i="5"/>
  <c r="RL31" i="5"/>
  <c r="ADL31" i="5"/>
  <c r="ED32" i="5"/>
  <c r="XQ32" i="5"/>
  <c r="NU33" i="5"/>
  <c r="YW33" i="5"/>
  <c r="AMG33" i="5"/>
  <c r="PM34" i="5"/>
  <c r="NR35" i="5"/>
  <c r="OL33" i="5"/>
  <c r="AAT33" i="5"/>
  <c r="AL34" i="5"/>
  <c r="RO34" i="5"/>
  <c r="JO33" i="5"/>
  <c r="WM33" i="5"/>
  <c r="AIO33" i="5"/>
  <c r="KI34" i="5"/>
  <c r="AKJ34" i="5"/>
  <c r="EB33" i="5"/>
  <c r="QZ33" i="5"/>
  <c r="ACR33" i="5"/>
  <c r="DO34" i="5"/>
  <c r="WZ34" i="5"/>
  <c r="CG33" i="5"/>
  <c r="NY33" i="5"/>
  <c r="ZQ33" i="5"/>
  <c r="C34" i="5"/>
  <c r="PQ34" i="5"/>
  <c r="AIF32" i="5"/>
  <c r="GP33" i="5"/>
  <c r="SH33" i="5"/>
  <c r="AEB33" i="5"/>
  <c r="FF34" i="5"/>
  <c r="ABT34" i="5"/>
  <c r="AFU32" i="5"/>
  <c r="EE33" i="5"/>
  <c r="QM33" i="5"/>
  <c r="ADL33" i="5"/>
  <c r="DU34" i="5"/>
  <c r="XL34" i="5"/>
  <c r="EF33" i="5"/>
  <c r="QN33" i="5"/>
  <c r="ACV33" i="5"/>
  <c r="CZ34" i="5"/>
  <c r="VV34" i="5"/>
  <c r="KY32" i="5"/>
  <c r="XW32" i="5"/>
  <c r="AJO32" i="5"/>
  <c r="HY33" i="5"/>
  <c r="TQ33" i="5"/>
  <c r="AFN33" i="5"/>
  <c r="IX34" i="5"/>
  <c r="AGV34" i="5"/>
  <c r="UF32" i="5"/>
  <c r="BV33" i="5"/>
  <c r="ZF33" i="5"/>
  <c r="MR34" i="5"/>
  <c r="OC32" i="5"/>
  <c r="BG33" i="5"/>
  <c r="ACZ33" i="5"/>
  <c r="LV35" i="5"/>
  <c r="AIL32" i="5"/>
  <c r="AFQ33" i="5"/>
  <c r="GU32" i="5"/>
  <c r="ZY33" i="5"/>
  <c r="LD32" i="5"/>
  <c r="BA34" i="5"/>
  <c r="YC32" i="5"/>
  <c r="AI34" i="5"/>
  <c r="NS35" i="5"/>
  <c r="ABU30" i="5"/>
  <c r="ALQ30" i="5"/>
  <c r="IE31" i="5"/>
  <c r="SA31" i="5"/>
  <c r="ADK31" i="5"/>
  <c r="EC32" i="5"/>
  <c r="XP32" i="5"/>
  <c r="MZ29" i="5"/>
  <c r="XL29" i="5"/>
  <c r="AHX29" i="5"/>
  <c r="FB30" i="5"/>
  <c r="PN30" i="5"/>
  <c r="ZZ30" i="5"/>
  <c r="AKL30" i="5"/>
  <c r="HP31" i="5"/>
  <c r="SB31" i="5"/>
  <c r="AEH31" i="5"/>
  <c r="FD32" i="5"/>
  <c r="YW32" i="5"/>
  <c r="OK33" i="5"/>
  <c r="AAC33" i="5"/>
  <c r="R34" i="5"/>
  <c r="QK34" i="5"/>
  <c r="SR35" i="5"/>
  <c r="PR33" i="5"/>
  <c r="ABJ33" i="5"/>
  <c r="BH34" i="5"/>
  <c r="SU34" i="5"/>
  <c r="KE33" i="5"/>
  <c r="XC33" i="5"/>
  <c r="AJH33" i="5"/>
  <c r="LI34" i="5"/>
  <c r="AMH34" i="5"/>
  <c r="FH33" i="5"/>
  <c r="RP33" i="5"/>
  <c r="ADZ33" i="5"/>
  <c r="EK34" i="5"/>
  <c r="YH34" i="5"/>
  <c r="CW33" i="5"/>
  <c r="OO33" i="5"/>
  <c r="AAG33" i="5"/>
  <c r="V34" i="5"/>
  <c r="RZ34" i="5"/>
  <c r="AIV32" i="5"/>
  <c r="HF33" i="5"/>
  <c r="SX33" i="5"/>
  <c r="AET33" i="5"/>
  <c r="GZ34" i="5"/>
  <c r="ADD34" i="5"/>
  <c r="AGK32" i="5"/>
  <c r="FK33" i="5"/>
  <c r="RS33" i="5"/>
  <c r="AED33" i="5"/>
  <c r="EN34" i="5"/>
  <c r="YT34" i="5"/>
  <c r="EV33" i="5"/>
  <c r="RT33" i="5"/>
  <c r="ADN33" i="5"/>
  <c r="DV34" i="5"/>
  <c r="XM34" i="5"/>
  <c r="LO32" i="5"/>
  <c r="YM32" i="5"/>
  <c r="AKE32" i="5"/>
  <c r="IO33" i="5"/>
  <c r="UG33" i="5"/>
  <c r="AID33" i="5"/>
  <c r="JX34" i="5"/>
  <c r="AJD34" i="5"/>
  <c r="VL32" i="5"/>
  <c r="CL33" i="5"/>
  <c r="ABB33" i="5"/>
  <c r="NU34" i="5"/>
  <c r="PI32" i="5"/>
  <c r="DC33" i="5"/>
  <c r="ADQ33" i="5"/>
  <c r="AP32" i="5"/>
  <c r="AKX32" i="5"/>
  <c r="AF34" i="5"/>
  <c r="JG32" i="5"/>
  <c r="ABE33" i="5"/>
  <c r="OV32" i="5"/>
  <c r="EB34" i="5"/>
  <c r="AEW32" i="5"/>
  <c r="AHX34" i="5"/>
  <c r="OY35" i="5"/>
  <c r="ACK30" i="5"/>
  <c r="AMG30" i="5"/>
  <c r="IU31" i="5"/>
  <c r="SQ31" i="5"/>
  <c r="AEG31" i="5"/>
  <c r="FC32" i="5"/>
  <c r="YV32" i="5"/>
  <c r="NP29" i="5"/>
  <c r="YB29" i="5"/>
  <c r="AIN29" i="5"/>
  <c r="FR30" i="5"/>
  <c r="QD30" i="5"/>
  <c r="AAP30" i="5"/>
  <c r="ALB30" i="5"/>
  <c r="IF31" i="5"/>
  <c r="SR31" i="5"/>
  <c r="AFA31" i="5"/>
  <c r="FY32" i="5"/>
  <c r="AAC32" i="5"/>
  <c r="PQ33" i="5"/>
  <c r="AAS33" i="5"/>
  <c r="AK34" i="5"/>
  <c r="RN34" i="5"/>
  <c r="DJ33" i="5"/>
  <c r="QH33" i="5"/>
  <c r="ABZ33" i="5"/>
  <c r="CA34" i="5"/>
  <c r="UA34" i="5"/>
  <c r="LK33" i="5"/>
  <c r="XS33" i="5"/>
  <c r="AKA33" i="5"/>
  <c r="MK34" i="5"/>
  <c r="CA35" i="5"/>
  <c r="GN33" i="5"/>
  <c r="SV33" i="5"/>
  <c r="AEQ33" i="5"/>
  <c r="FD34" i="5"/>
  <c r="ABH34" i="5"/>
  <c r="DM33" i="5"/>
  <c r="PE33" i="5"/>
  <c r="AAW33" i="5"/>
  <c r="AR34" i="5"/>
  <c r="UL34" i="5"/>
  <c r="AJL32" i="5"/>
  <c r="HV33" i="5"/>
  <c r="TN33" i="5"/>
  <c r="AFK33" i="5"/>
  <c r="HU34" i="5"/>
  <c r="AEX34" i="5"/>
  <c r="AHQ32" i="5"/>
  <c r="GA33" i="5"/>
  <c r="SY33" i="5"/>
  <c r="AEU33" i="5"/>
  <c r="FG34" i="5"/>
  <c r="AAB34" i="5"/>
  <c r="FL33" i="5"/>
  <c r="SJ33" i="5"/>
  <c r="AEE33" i="5"/>
  <c r="EO34" i="5"/>
  <c r="YU34" i="5"/>
  <c r="MU32" i="5"/>
  <c r="ZC32" i="5"/>
  <c r="AKU32" i="5"/>
  <c r="JE33" i="5"/>
  <c r="VM33" i="5"/>
  <c r="AIU33" i="5"/>
  <c r="KS34" i="5"/>
  <c r="ALA34" i="5"/>
  <c r="WB32" i="5"/>
  <c r="EH33" i="5"/>
  <c r="ABR33" i="5"/>
  <c r="RA34" i="5"/>
  <c r="PY32" i="5"/>
  <c r="DS33" i="5"/>
  <c r="AEY33" i="5"/>
  <c r="EH32" i="5"/>
  <c r="ALN32" i="5"/>
  <c r="FP34" i="5"/>
  <c r="JW32" i="5"/>
  <c r="ADB33" i="5"/>
  <c r="RH32" i="5"/>
  <c r="NB34" i="5"/>
  <c r="AGS32" i="5"/>
  <c r="EM35" i="5"/>
  <c r="KS35" i="5"/>
  <c r="ADA30" i="5"/>
  <c r="O31" i="5"/>
  <c r="JK31" i="5"/>
  <c r="TG31" i="5"/>
  <c r="AEZ31" i="5"/>
  <c r="FX32" i="5"/>
  <c r="AAB32" i="5"/>
  <c r="OF29" i="5"/>
  <c r="YR29" i="5"/>
  <c r="AJD29" i="5"/>
  <c r="GH30" i="5"/>
  <c r="QT30" i="5"/>
  <c r="ABF30" i="5"/>
  <c r="ALR30" i="5"/>
  <c r="IV31" i="5"/>
  <c r="TH31" i="5"/>
  <c r="AFT31" i="5"/>
  <c r="HA32" i="5"/>
  <c r="ACQ32" i="5"/>
  <c r="QG33" i="5"/>
  <c r="ABI33" i="5"/>
  <c r="BD34" i="5"/>
  <c r="ST34" i="5"/>
  <c r="EP33" i="5"/>
  <c r="QX33" i="5"/>
  <c r="ACP33" i="5"/>
  <c r="CT34" i="5"/>
  <c r="VP34" i="5"/>
  <c r="MQ33" i="5"/>
  <c r="YI33" i="5"/>
  <c r="AKT33" i="5"/>
  <c r="NG34" i="5"/>
  <c r="FD35" i="5"/>
  <c r="HT33" i="5"/>
  <c r="TL33" i="5"/>
  <c r="AFH33" i="5"/>
  <c r="FX34" i="5"/>
  <c r="AEV34" i="5"/>
  <c r="EC33" i="5"/>
  <c r="PU33" i="5"/>
  <c r="ABM33" i="5"/>
  <c r="BK34" i="5"/>
  <c r="VS34" i="5"/>
  <c r="AKB32" i="5"/>
  <c r="IL33" i="5"/>
  <c r="UD33" i="5"/>
  <c r="AGS33" i="5"/>
  <c r="IU34" i="5"/>
  <c r="AIP34" i="5"/>
  <c r="AIG32" i="5"/>
  <c r="GQ33" i="5"/>
  <c r="TO33" i="5"/>
  <c r="AFL33" i="5"/>
  <c r="GF34" i="5"/>
  <c r="ABU34" i="5"/>
  <c r="GR33" i="5"/>
  <c r="SZ33" i="5"/>
  <c r="AEV33" i="5"/>
  <c r="FH34" i="5"/>
  <c r="AAC34" i="5"/>
  <c r="OA32" i="5"/>
  <c r="ZS32" i="5"/>
  <c r="ALK32" i="5"/>
  <c r="KK33" i="5"/>
  <c r="WS33" i="5"/>
  <c r="AJN33" i="5"/>
  <c r="LU34" i="5"/>
  <c r="AD35" i="5"/>
  <c r="XH32" i="5"/>
  <c r="HJ33" i="5"/>
  <c r="ACH33" i="5"/>
  <c r="TK34" i="5"/>
  <c r="TQ32" i="5"/>
  <c r="EI33" i="5"/>
  <c r="AFP33" i="5"/>
  <c r="HJ32" i="5"/>
  <c r="BX33" i="5"/>
  <c r="GK34" i="5"/>
  <c r="OU32" i="5"/>
  <c r="AIH33" i="5"/>
  <c r="VP32" i="5"/>
  <c r="OF34" i="5"/>
  <c r="AHY32" i="5"/>
  <c r="WF31" i="5"/>
  <c r="SI36" i="5"/>
  <c r="AEG30" i="5"/>
  <c r="AU31" i="5"/>
  <c r="KQ31" i="5"/>
  <c r="UO31" i="5"/>
  <c r="AGL31" i="5"/>
  <c r="HV32" i="5"/>
  <c r="ACP32" i="5"/>
  <c r="PL29" i="5"/>
  <c r="ZX29" i="5"/>
  <c r="AKJ29" i="5"/>
  <c r="HN30" i="5"/>
  <c r="RZ30" i="5"/>
  <c r="ACL30" i="5"/>
  <c r="P31" i="5"/>
  <c r="KB31" i="5"/>
  <c r="UP31" i="5"/>
  <c r="AIB31" i="5"/>
  <c r="KC32" i="5"/>
  <c r="AFP32" i="5"/>
  <c r="RM33" i="5"/>
  <c r="ACO33" i="5"/>
  <c r="CS34" i="5"/>
  <c r="VF34" i="5"/>
  <c r="GL33" i="5"/>
  <c r="SD33" i="5"/>
  <c r="ADX33" i="5"/>
  <c r="EF34" i="5"/>
  <c r="ZN34" i="5"/>
  <c r="NW33" i="5"/>
  <c r="ZO33" i="5"/>
  <c r="A34" i="5"/>
  <c r="QS34" i="5"/>
  <c r="AKP32" i="5"/>
  <c r="IZ33" i="5"/>
  <c r="UR33" i="5"/>
  <c r="AGQ33" i="5"/>
  <c r="IS34" i="5"/>
  <c r="AIN34" i="5"/>
  <c r="FI33" i="5"/>
  <c r="RA33" i="5"/>
  <c r="ACS33" i="5"/>
  <c r="EL34" i="5"/>
  <c r="YR34" i="5"/>
  <c r="ALH32" i="5"/>
  <c r="JR33" i="5"/>
  <c r="VJ33" i="5"/>
  <c r="AJK33" i="5"/>
  <c r="LL34" i="5"/>
  <c r="O35" i="5"/>
  <c r="AJM32" i="5"/>
  <c r="JC33" i="5"/>
  <c r="UU33" i="5"/>
  <c r="AGT33" i="5"/>
  <c r="HW34" i="5"/>
  <c r="AEY34" i="5"/>
  <c r="IN33" i="5"/>
  <c r="UF33" i="5"/>
  <c r="AGD33" i="5"/>
  <c r="HB34" i="5"/>
  <c r="AEZ34" i="5"/>
  <c r="PG32" i="5"/>
  <c r="ABO32" i="5"/>
  <c r="Y33" i="5"/>
  <c r="LQ33" i="5"/>
  <c r="YO33" i="5"/>
  <c r="ALC33" i="5"/>
  <c r="NT34" i="5"/>
  <c r="GJ35" i="5"/>
  <c r="AAZ32" i="5"/>
  <c r="IP33" i="5"/>
  <c r="AFO33" i="5"/>
  <c r="XO34" i="5"/>
  <c r="WS32" i="5"/>
  <c r="IA33" i="5"/>
  <c r="AJS33" i="5"/>
  <c r="JF32" i="5"/>
  <c r="EJ33" i="5"/>
  <c r="PA34" i="5"/>
  <c r="ACI32" i="5"/>
  <c r="AG34" i="5"/>
  <c r="ZH32" i="5"/>
  <c r="RK34" i="5"/>
  <c r="AKK32" i="5"/>
  <c r="ADP31" i="5"/>
  <c r="HB35" i="5"/>
  <c r="AIT35" i="5"/>
  <c r="AHM36" i="5"/>
  <c r="MQ35" i="5"/>
  <c r="LR36" i="5"/>
  <c r="KV35" i="5"/>
  <c r="ACF36" i="5"/>
  <c r="DH32" i="5"/>
  <c r="VD32" i="5"/>
  <c r="LD29" i="5"/>
  <c r="UZ29" i="5"/>
  <c r="AEV29" i="5"/>
  <c r="BJ30" i="5"/>
  <c r="LF30" i="5"/>
  <c r="VB30" i="5"/>
  <c r="AEX30" i="5"/>
  <c r="BL31" i="5"/>
  <c r="LH31" i="5"/>
  <c r="VG31" i="5"/>
  <c r="AHI31" i="5"/>
  <c r="HW32" i="5"/>
  <c r="ABI32" i="5"/>
  <c r="PA33" i="5"/>
  <c r="ZM33" i="5"/>
  <c r="ALN33" i="5"/>
  <c r="NE34" i="5"/>
  <c r="BL35" i="5"/>
  <c r="LJ33" i="5"/>
  <c r="WL33" i="5"/>
  <c r="AIN33" i="5"/>
  <c r="KG34" i="5"/>
  <c r="AIA34" i="5"/>
  <c r="PS33" i="5"/>
  <c r="AAU33" i="5"/>
  <c r="T34" i="5"/>
  <c r="PO34" i="5"/>
  <c r="OH35" i="5"/>
  <c r="HD33" i="5"/>
  <c r="SF33" i="5"/>
  <c r="ADI33" i="5"/>
  <c r="CV34" i="5"/>
  <c r="UK34" i="5"/>
  <c r="E33" i="5"/>
  <c r="KW33" i="5"/>
  <c r="WO33" i="5"/>
  <c r="AHZ33" i="5"/>
  <c r="IT34" i="5"/>
  <c r="AEW34" i="5"/>
  <c r="V33" i="5"/>
  <c r="KX33" i="5"/>
  <c r="WP33" i="5"/>
  <c r="AIR33" i="5"/>
  <c r="JP34" i="5"/>
  <c r="AGS34" i="5"/>
  <c r="AHA32" i="5"/>
  <c r="EU33" i="5"/>
  <c r="PW33" i="5"/>
  <c r="ABO33" i="5"/>
  <c r="BM34" i="5"/>
  <c r="SB34" i="5"/>
  <c r="WJ35" i="5"/>
  <c r="MF33" i="5"/>
  <c r="XH33" i="5"/>
  <c r="AIT33" i="5"/>
  <c r="KR34" i="5"/>
  <c r="AKZ34" i="5"/>
  <c r="PW32" i="5"/>
  <c r="AAY32" i="5"/>
  <c r="AMA32" i="5"/>
  <c r="JU33" i="5"/>
  <c r="UW33" i="5"/>
  <c r="AGV33" i="5"/>
  <c r="IC34" i="5"/>
  <c r="ADQ34" i="5"/>
  <c r="RD32" i="5"/>
  <c r="AKV32" i="5"/>
  <c r="RF33" i="5"/>
  <c r="CI34" i="5"/>
  <c r="YF35" i="5"/>
  <c r="ACG32" i="5"/>
  <c r="KM33" i="5"/>
  <c r="GJ34" i="5"/>
  <c r="JV32" i="5"/>
  <c r="DT33" i="5"/>
  <c r="KV34" i="5"/>
  <c r="OE32" i="5"/>
  <c r="ABU33" i="5"/>
  <c r="NP32" i="5"/>
  <c r="AMD33" i="5"/>
  <c r="IC32" i="5"/>
  <c r="AHS33" i="5"/>
  <c r="AEX35" i="5"/>
  <c r="BS34" i="5"/>
  <c r="AKH31" i="5"/>
  <c r="ABD32" i="5"/>
  <c r="YT33" i="5"/>
  <c r="HP35" i="5"/>
  <c r="JY32" i="5"/>
  <c r="HO33" i="5"/>
  <c r="HN34" i="5"/>
  <c r="UL32" i="5"/>
  <c r="AHK35" i="5"/>
  <c r="MS35" i="5"/>
  <c r="QA32" i="5"/>
  <c r="GW33" i="5"/>
  <c r="CO34" i="5"/>
  <c r="AKX31" i="5"/>
  <c r="AEF32" i="5"/>
  <c r="ZJ33" i="5"/>
  <c r="MN35" i="5"/>
  <c r="OW32" i="5"/>
  <c r="IE33" i="5"/>
  <c r="II34" i="5"/>
  <c r="WH32" i="5"/>
  <c r="AIQ35" i="5"/>
  <c r="FY37" i="5"/>
  <c r="GF33" i="5"/>
  <c r="AGH33" i="5"/>
  <c r="AT35" i="5"/>
  <c r="QQ32" i="5"/>
  <c r="LU33" i="5"/>
  <c r="ET34" i="5"/>
  <c r="AMD31" i="5"/>
  <c r="AJD32" i="5"/>
  <c r="AAP33" i="5"/>
  <c r="WU31" i="5"/>
  <c r="SO32" i="5"/>
  <c r="JK33" i="5"/>
  <c r="KD34" i="5"/>
  <c r="AF33" i="5"/>
  <c r="UD36" i="5"/>
  <c r="PC36" i="5"/>
  <c r="OE33" i="5"/>
  <c r="AKL33" i="5"/>
  <c r="QT35" i="5"/>
  <c r="VN32" i="5"/>
  <c r="IR33" i="5"/>
  <c r="AJT33" i="5"/>
  <c r="GZ35" i="5"/>
  <c r="RW32" i="5"/>
  <c r="MK33" i="5"/>
  <c r="KW34" i="5"/>
  <c r="L32" i="5"/>
  <c r="AJT32" i="5"/>
  <c r="ADC33" i="5"/>
  <c r="XK31" i="5"/>
  <c r="TE32" i="5"/>
  <c r="NS33" i="5"/>
  <c r="MA34" i="5"/>
  <c r="BL33" i="5"/>
  <c r="WB36" i="5"/>
  <c r="AEQ35" i="5"/>
  <c r="UH33" i="5"/>
  <c r="H34" i="5"/>
  <c r="ABX34" i="5"/>
  <c r="RU32" i="5"/>
  <c r="AKW32" i="5"/>
  <c r="OU33" i="5"/>
  <c r="BQ34" i="5"/>
  <c r="AMB31" i="5"/>
  <c r="WT32" i="5"/>
  <c r="JH33" i="5"/>
  <c r="AKM33" i="5"/>
  <c r="QV35" i="5"/>
  <c r="UI32" i="5"/>
  <c r="OW33" i="5"/>
  <c r="RJ34" i="5"/>
  <c r="BH32" i="5"/>
  <c r="ALP32" i="5"/>
  <c r="AJC33" i="5"/>
  <c r="YQ31" i="5"/>
  <c r="UK32" i="5"/>
  <c r="SA33" i="5"/>
  <c r="WL34" i="5"/>
  <c r="TX33" i="5"/>
  <c r="AIB35" i="5"/>
  <c r="JD35" i="5"/>
  <c r="AHD33" i="5"/>
  <c r="FU34" i="5"/>
  <c r="WW34" i="5"/>
  <c r="DZ33" i="5"/>
  <c r="NV33" i="5"/>
  <c r="XR33" i="5"/>
  <c r="AHW33" i="5"/>
  <c r="GV34" i="5"/>
  <c r="YF34" i="5"/>
  <c r="KU33" i="5"/>
  <c r="UQ33" i="5"/>
  <c r="AEP33" i="5"/>
  <c r="CU34" i="5"/>
  <c r="RX34" i="5"/>
  <c r="JJ35" i="5"/>
  <c r="ER33" i="5"/>
  <c r="ON33" i="5"/>
  <c r="YJ33" i="5"/>
  <c r="AIP33" i="5"/>
  <c r="HS34" i="5"/>
  <c r="ZY34" i="5"/>
  <c r="AK33" i="5"/>
  <c r="KG33" i="5"/>
  <c r="UC33" i="5"/>
  <c r="AEA33" i="5"/>
  <c r="CD34" i="5"/>
  <c r="QU34" i="5"/>
  <c r="FS35" i="5"/>
  <c r="CH33" i="5"/>
  <c r="MD33" i="5"/>
  <c r="VZ33" i="5"/>
  <c r="AGB33" i="5"/>
  <c r="EM34" i="5"/>
  <c r="UM34" i="5"/>
  <c r="VT35" i="5"/>
  <c r="AKS32" i="5"/>
  <c r="HG33" i="5"/>
  <c r="RC33" i="5"/>
  <c r="AAY33" i="5"/>
  <c r="ALT33" i="5"/>
  <c r="LM34" i="5"/>
  <c r="AGT34" i="5"/>
  <c r="GB33" i="5"/>
  <c r="PX33" i="5"/>
  <c r="ZT33" i="5"/>
  <c r="AKI33" i="5"/>
  <c r="JS34" i="5"/>
  <c r="ADP34" i="5"/>
  <c r="ME32" i="5"/>
  <c r="WA32" i="5"/>
  <c r="AFW32" i="5"/>
  <c r="CK33" i="5"/>
  <c r="MG33" i="5"/>
  <c r="WC33" i="5"/>
  <c r="AGE33" i="5"/>
  <c r="EP34" i="5"/>
  <c r="UP34" i="5"/>
  <c r="XP35" i="5"/>
  <c r="ZD32" i="5"/>
  <c r="DR33" i="5"/>
  <c r="VN33" i="5"/>
  <c r="AD34" i="5"/>
  <c r="AHH34" i="5"/>
  <c r="SK32" i="5"/>
  <c r="ALM32" i="5"/>
  <c r="RG33" i="5"/>
  <c r="CJ34" i="5"/>
  <c r="J32" i="5"/>
  <c r="ZV32" i="5"/>
  <c r="MZ33" i="5"/>
  <c r="M34" i="5"/>
  <c r="AJA31" i="5"/>
  <c r="UY32" i="5"/>
  <c r="PM33" i="5"/>
  <c r="SP34" i="5"/>
  <c r="EZ32" i="5"/>
  <c r="AMF32" i="5"/>
  <c r="AKO33" i="5"/>
  <c r="ABC31" i="5"/>
  <c r="VA32" i="5"/>
  <c r="SQ33" i="5"/>
  <c r="AFQ34" i="5"/>
  <c r="VD33" i="5"/>
  <c r="AFT36" i="5"/>
  <c r="AKE34" i="5"/>
  <c r="YG33" i="5"/>
  <c r="AIM33" i="5"/>
  <c r="HP34" i="5"/>
  <c r="ZM34" i="5"/>
  <c r="FF33" i="5"/>
  <c r="PB33" i="5"/>
  <c r="YX33" i="5"/>
  <c r="AJG33" i="5"/>
  <c r="IM34" i="5"/>
  <c r="ABF34" i="5"/>
  <c r="MA33" i="5"/>
  <c r="VW33" i="5"/>
  <c r="AFX33" i="5"/>
  <c r="EJ34" i="5"/>
  <c r="UJ34" i="5"/>
  <c r="TX35" i="5"/>
  <c r="FX33" i="5"/>
  <c r="PT33" i="5"/>
  <c r="ZP33" i="5"/>
  <c r="AKB33" i="5"/>
  <c r="JN34" i="5"/>
  <c r="ADB34" i="5"/>
  <c r="BQ33" i="5"/>
  <c r="LM33" i="5"/>
  <c r="VI33" i="5"/>
  <c r="AFJ33" i="5"/>
  <c r="DP34" i="5"/>
  <c r="TF34" i="5"/>
  <c r="OX35" i="5"/>
  <c r="DN33" i="5"/>
  <c r="NJ33" i="5"/>
  <c r="XF33" i="5"/>
  <c r="AHJ33" i="5"/>
  <c r="GA34" i="5"/>
  <c r="XB34" i="5"/>
  <c r="ACC32" i="5"/>
  <c r="ALY32" i="5"/>
  <c r="IM33" i="5"/>
  <c r="SI33" i="5"/>
  <c r="ACE33" i="5"/>
  <c r="X34" i="5"/>
  <c r="NR34" i="5"/>
  <c r="AKN34" i="5"/>
  <c r="HH33" i="5"/>
  <c r="RD33" i="5"/>
  <c r="AAZ33" i="5"/>
  <c r="ALU33" i="5"/>
  <c r="LT34" i="5"/>
  <c r="AGU34" i="5"/>
  <c r="NK32" i="5"/>
  <c r="XG32" i="5"/>
  <c r="AHC32" i="5"/>
  <c r="DQ33" i="5"/>
  <c r="NM33" i="5"/>
  <c r="XI33" i="5"/>
  <c r="AHM33" i="5"/>
  <c r="GH34" i="5"/>
  <c r="XN34" i="5"/>
  <c r="KZ32" i="5"/>
  <c r="ABP32" i="5"/>
  <c r="FN33" i="5"/>
  <c r="XJ33" i="5"/>
  <c r="DX34" i="5"/>
  <c r="ALB34" i="5"/>
  <c r="VM32" i="5"/>
  <c r="AA33" i="5"/>
  <c r="TC33" i="5"/>
  <c r="ER34" i="5"/>
  <c r="DR32" i="5"/>
  <c r="ADN32" i="5"/>
  <c r="OV33" i="5"/>
  <c r="BR34" i="5"/>
  <c r="AMC31" i="5"/>
  <c r="ABC32" i="5"/>
  <c r="UK33" i="5"/>
  <c r="AAQ34" i="5"/>
  <c r="JX32" i="5"/>
  <c r="EL33" i="5"/>
  <c r="O34" i="5"/>
  <c r="AHW31" i="5"/>
  <c r="ABE32" i="5"/>
  <c r="UM33" i="5"/>
  <c r="BJ35" i="5"/>
  <c r="BY34" i="5"/>
  <c r="AHM35" i="5"/>
  <c r="AX36" i="5"/>
  <c r="AIS36" i="5"/>
  <c r="MO35" i="5"/>
  <c r="AIS35" i="5"/>
  <c r="UF36" i="5"/>
  <c r="NV35" i="5"/>
  <c r="AJZ35" i="5"/>
  <c r="AKC36" i="5"/>
  <c r="RO35" i="5"/>
  <c r="AAY36" i="5"/>
  <c r="SV35" i="5"/>
  <c r="AKE36" i="5"/>
  <c r="YK35" i="5"/>
  <c r="YZ34" i="5"/>
  <c r="ABJ36" i="5"/>
  <c r="GP36" i="5"/>
  <c r="ABP35" i="5"/>
  <c r="ALK34" i="5"/>
  <c r="WX32" i="5"/>
  <c r="DH33" i="5"/>
  <c r="VT33" i="5"/>
  <c r="CR34" i="5"/>
  <c r="BK35" i="5"/>
  <c r="AJV35" i="5"/>
  <c r="AAT36" i="5"/>
  <c r="PO35" i="5"/>
  <c r="AJG35" i="5"/>
  <c r="AEM36" i="5"/>
  <c r="DJ36" i="5"/>
  <c r="AKA36" i="5"/>
  <c r="NE35" i="5"/>
  <c r="AJI35" i="5"/>
  <c r="XF36" i="5"/>
  <c r="OL35" i="5"/>
  <c r="AKP35" i="5"/>
  <c r="PU37" i="5"/>
  <c r="SU35" i="5"/>
  <c r="AEQ36" i="5"/>
  <c r="TL35" i="5"/>
  <c r="ALV36" i="5"/>
  <c r="AAG35" i="5"/>
  <c r="ADX34" i="5"/>
  <c r="ACP36" i="5"/>
  <c r="LC36" i="5"/>
  <c r="AFH35" i="5"/>
  <c r="BG36" i="5"/>
  <c r="OR32" i="5"/>
  <c r="YN32" i="5"/>
  <c r="AIJ32" i="5"/>
  <c r="EX33" i="5"/>
  <c r="OT33" i="5"/>
  <c r="YP33" i="5"/>
  <c r="AIV33" i="5"/>
  <c r="ID34" i="5"/>
  <c r="AAN34" i="5"/>
  <c r="IO32" i="5"/>
  <c r="TA32" i="5"/>
  <c r="ADM32" i="5"/>
  <c r="AQ33" i="5"/>
  <c r="LC33" i="5"/>
  <c r="VO33" i="5"/>
  <c r="AGG33" i="5"/>
  <c r="FK34" i="5"/>
  <c r="XP34" i="5"/>
  <c r="Z32" i="5"/>
  <c r="KL32" i="5"/>
  <c r="WD32" i="5"/>
  <c r="AHF32" i="5"/>
  <c r="FP33" i="5"/>
  <c r="QR33" i="5"/>
  <c r="ABT33" i="5"/>
  <c r="AY34" i="5"/>
  <c r="RI34" i="5"/>
  <c r="ZL35" i="5"/>
  <c r="GE32" i="5"/>
  <c r="RG32" i="5"/>
  <c r="ADO32" i="5"/>
  <c r="CO33" i="5"/>
  <c r="QC33" i="5"/>
  <c r="ACK33" i="5"/>
  <c r="EA34" i="5"/>
  <c r="ACK34" i="5"/>
  <c r="ABB31" i="5"/>
  <c r="AR32" i="5"/>
  <c r="OF32" i="5"/>
  <c r="AAN32" i="5"/>
  <c r="N33" i="5"/>
  <c r="NR33" i="5"/>
  <c r="ZZ33" i="5"/>
  <c r="AH34" i="5"/>
  <c r="SQ34" i="5"/>
  <c r="YA31" i="5"/>
  <c r="AKI31" i="5"/>
  <c r="JI32" i="5"/>
  <c r="WW32" i="5"/>
  <c r="AJU32" i="5"/>
  <c r="IU33" i="5"/>
  <c r="VC33" i="5"/>
  <c r="AJW33" i="5"/>
  <c r="NC34" i="5"/>
  <c r="ID35" i="5"/>
  <c r="AEV31" i="5"/>
  <c r="FB32" i="5"/>
  <c r="XN32" i="5"/>
  <c r="DX33" i="5"/>
  <c r="WJ33" i="5"/>
  <c r="DK34" i="5"/>
  <c r="EN35" i="5"/>
  <c r="AMH35" i="5"/>
  <c r="ABZ36" i="5"/>
  <c r="QE35" i="5"/>
  <c r="BM36" i="5"/>
  <c r="AFS36" i="5"/>
  <c r="EA36" i="5"/>
  <c r="AZ37" i="5"/>
  <c r="PA35" i="5"/>
  <c r="AJY35" i="5"/>
  <c r="ALJ36" i="5"/>
  <c r="PB35" i="5"/>
  <c r="AZ36" i="5"/>
  <c r="TP37" i="5"/>
  <c r="YY35" i="5"/>
  <c r="AFW36" i="5"/>
  <c r="UB35" i="5"/>
  <c r="CU37" i="5"/>
  <c r="ACC35" i="5"/>
  <c r="AIV34" i="5"/>
  <c r="AGI36" i="5"/>
  <c r="NK36" i="5"/>
  <c r="AHD35" i="5"/>
  <c r="EJ36" i="5"/>
  <c r="OG34" i="5"/>
  <c r="NB35" i="5"/>
  <c r="AGB31" i="5"/>
  <c r="FR32" i="5"/>
  <c r="YD32" i="5"/>
  <c r="EN33" i="5"/>
  <c r="WZ33" i="5"/>
  <c r="ED34" i="5"/>
  <c r="SB35" i="5"/>
  <c r="AF36" i="5"/>
  <c r="ADF36" i="5"/>
  <c r="QU35" i="5"/>
  <c r="CC36" i="5"/>
  <c r="AJZ36" i="5"/>
  <c r="ET36" i="5"/>
  <c r="CH37" i="5"/>
  <c r="PQ35" i="5"/>
  <c r="AKO35" i="5"/>
  <c r="S37" i="5"/>
  <c r="PR35" i="5"/>
  <c r="FO36" i="5"/>
  <c r="AGG34" i="5"/>
  <c r="ADW35" i="5"/>
  <c r="AHN36" i="5"/>
  <c r="UR35" i="5"/>
  <c r="ED37" i="5"/>
  <c r="AFU35" i="5"/>
  <c r="AJL34" i="5"/>
  <c r="BO37" i="5"/>
  <c r="OE36" i="5"/>
  <c r="DR36" i="5"/>
  <c r="HK36" i="5"/>
  <c r="PX32" i="5"/>
  <c r="ZT32" i="5"/>
  <c r="AJP32" i="5"/>
  <c r="GD33" i="5"/>
  <c r="PZ33" i="5"/>
  <c r="ZV33" i="5"/>
  <c r="AKK33" i="5"/>
  <c r="JY34" i="5"/>
  <c r="ADR34" i="5"/>
  <c r="JU32" i="5"/>
  <c r="UG32" i="5"/>
  <c r="AES32" i="5"/>
  <c r="BW33" i="5"/>
  <c r="MI33" i="5"/>
  <c r="WU33" i="5"/>
  <c r="AHO33" i="5"/>
  <c r="HE34" i="5"/>
  <c r="AAO34" i="5"/>
  <c r="BF32" i="5"/>
  <c r="MH32" i="5"/>
  <c r="XZ32" i="5"/>
  <c r="AJB32" i="5"/>
  <c r="GV33" i="5"/>
  <c r="RX33" i="5"/>
  <c r="ADA33" i="5"/>
  <c r="CN34" i="5"/>
  <c r="VA34" i="5"/>
  <c r="AJQ31" i="5"/>
  <c r="HK32" i="5"/>
  <c r="SM32" i="5"/>
  <c r="AEU32" i="5"/>
  <c r="FA33" i="5"/>
  <c r="RI33" i="5"/>
  <c r="AEJ33" i="5"/>
  <c r="HL34" i="5"/>
  <c r="AHK34" i="5"/>
  <c r="ACX31" i="5"/>
  <c r="BX32" i="5"/>
  <c r="PL32" i="5"/>
  <c r="ABT32" i="5"/>
  <c r="BJ33" i="5"/>
  <c r="OX33" i="5"/>
  <c r="ABF33" i="5"/>
  <c r="BT34" i="5"/>
  <c r="YB34" i="5"/>
  <c r="ZG31" i="5"/>
  <c r="ALO31" i="5"/>
  <c r="KO32" i="5"/>
  <c r="YS32" i="5"/>
  <c r="ALA32" i="5"/>
  <c r="KQ33" i="5"/>
  <c r="YE33" i="5"/>
  <c r="ALI33" i="5"/>
  <c r="PE34" i="5"/>
  <c r="TT31" i="5"/>
  <c r="AGR31" i="5"/>
  <c r="JJ32" i="5"/>
  <c r="YT32" i="5"/>
  <c r="FD33" i="5"/>
  <c r="XP33" i="5"/>
  <c r="EZ34" i="5"/>
  <c r="ABX35" i="5"/>
  <c r="AV36" i="5"/>
  <c r="ALG36" i="5"/>
  <c r="UM35" i="5"/>
  <c r="CS36" i="5"/>
  <c r="H37" i="5"/>
  <c r="GF36" i="5"/>
  <c r="DP37" i="5"/>
  <c r="TI35" i="5"/>
  <c r="CU36" i="5"/>
  <c r="BA37" i="5"/>
  <c r="QH35" i="5"/>
  <c r="GK36" i="5"/>
  <c r="AGW34" i="5"/>
  <c r="AFS35" i="5"/>
  <c r="BC37" i="5"/>
  <c r="VH35" i="5"/>
  <c r="VG34" i="5"/>
  <c r="ALY35" i="5"/>
  <c r="ALH34" i="5"/>
  <c r="FZ37" i="5"/>
  <c r="ALY36" i="5"/>
  <c r="FX36" i="5"/>
  <c r="IG36" i="5"/>
  <c r="QN32" i="5"/>
  <c r="AAJ32" i="5"/>
  <c r="AKF32" i="5"/>
  <c r="GT33" i="5"/>
  <c r="QP33" i="5"/>
  <c r="AAL33" i="5"/>
  <c r="ALD33" i="5"/>
  <c r="KT34" i="5"/>
  <c r="AFL34" i="5"/>
  <c r="KK32" i="5"/>
  <c r="UW32" i="5"/>
  <c r="AFI32" i="5"/>
  <c r="CM33" i="5"/>
  <c r="MY33" i="5"/>
  <c r="XK33" i="5"/>
  <c r="AIF33" i="5"/>
  <c r="IE34" i="5"/>
  <c r="ABY34" i="5"/>
  <c r="BV32" i="5"/>
  <c r="NN32" i="5"/>
  <c r="YP32" i="5"/>
  <c r="AJR32" i="5"/>
  <c r="HL33" i="5"/>
  <c r="SN33" i="5"/>
  <c r="ADR33" i="5"/>
  <c r="DZ34" i="5"/>
  <c r="WI34" i="5"/>
  <c r="AKG31" i="5"/>
  <c r="IA32" i="5"/>
  <c r="TC32" i="5"/>
  <c r="AFK32" i="5"/>
  <c r="FQ33" i="5"/>
  <c r="RY33" i="5"/>
  <c r="AFA33" i="5"/>
  <c r="JC34" i="5"/>
  <c r="AJH34" i="5"/>
  <c r="ADN31" i="5"/>
  <c r="DT32" i="5"/>
  <c r="QB32" i="5"/>
  <c r="ACJ32" i="5"/>
  <c r="BZ33" i="5"/>
  <c r="PN33" i="5"/>
  <c r="ABV33" i="5"/>
  <c r="CP34" i="5"/>
  <c r="ZJ34" i="5"/>
  <c r="ZW31" i="5"/>
  <c r="AME31" i="5"/>
  <c r="NA32" i="5"/>
  <c r="ZI32" i="5"/>
  <c r="AMG32" i="5"/>
  <c r="LG33" i="5"/>
  <c r="YU33" i="5"/>
  <c r="AME33" i="5"/>
  <c r="QH34" i="5"/>
  <c r="UZ31" i="5"/>
  <c r="AHH31" i="5"/>
  <c r="JZ32" i="5"/>
  <c r="ADR32" i="5"/>
  <c r="FT33" i="5"/>
  <c r="YF33" i="5"/>
  <c r="FT34" i="5"/>
  <c r="UL35" i="5"/>
  <c r="BL36" i="5"/>
  <c r="G37" i="5"/>
  <c r="VC35" i="5"/>
  <c r="DI36" i="5"/>
  <c r="AY37" i="5"/>
  <c r="HB36" i="5"/>
  <c r="FJ37" i="5"/>
  <c r="TY35" i="5"/>
  <c r="EB36" i="5"/>
  <c r="CI37" i="5"/>
  <c r="QX35" i="5"/>
  <c r="HD36" i="5"/>
  <c r="AJI34" i="5"/>
  <c r="AGI35" i="5"/>
  <c r="ADF34" i="5"/>
  <c r="VX35" i="5"/>
  <c r="AAE34" i="5"/>
  <c r="G36" i="5"/>
  <c r="ALX34" i="5"/>
  <c r="UC34" i="5"/>
  <c r="Y37" i="5"/>
  <c r="HJ36" i="5"/>
  <c r="IZ36" i="5"/>
  <c r="YA33" i="5"/>
  <c r="AIW33" i="5"/>
  <c r="IZ34" i="5"/>
  <c r="ADS34" i="5"/>
  <c r="DB32" i="5"/>
  <c r="OD32" i="5"/>
  <c r="ZF32" i="5"/>
  <c r="AKH32" i="5"/>
  <c r="IB33" i="5"/>
  <c r="TD33" i="5"/>
  <c r="AEI33" i="5"/>
  <c r="ES34" i="5"/>
  <c r="XQ34" i="5"/>
  <c r="AKW31" i="5"/>
  <c r="IQ32" i="5"/>
  <c r="TS32" i="5"/>
  <c r="AGA32" i="5"/>
  <c r="GG33" i="5"/>
  <c r="TE33" i="5"/>
  <c r="AGI33" i="5"/>
  <c r="KB34" i="5"/>
  <c r="ALP34" i="5"/>
  <c r="AED31" i="5"/>
  <c r="EJ32" i="5"/>
  <c r="QR32" i="5"/>
  <c r="ADP32" i="5"/>
  <c r="DV33" i="5"/>
  <c r="QD33" i="5"/>
  <c r="ACL33" i="5"/>
  <c r="DI34" i="5"/>
  <c r="AAR34" i="5"/>
  <c r="AAM31" i="5"/>
  <c r="M32" i="5"/>
  <c r="NQ32" i="5"/>
  <c r="AAO32" i="5"/>
  <c r="O33" i="5"/>
  <c r="NC33" i="5"/>
  <c r="ZK33" i="5"/>
  <c r="P34" i="5"/>
  <c r="RL34" i="5"/>
  <c r="VP31" i="5"/>
  <c r="AHX31" i="5"/>
  <c r="KP32" i="5"/>
  <c r="AEH32" i="5"/>
  <c r="JL33" i="5"/>
  <c r="YV33" i="5"/>
  <c r="GO34" i="5"/>
  <c r="YT35" i="5"/>
  <c r="FK36" i="5"/>
  <c r="AO37" i="5"/>
  <c r="WI35" i="5"/>
  <c r="FL36" i="5"/>
  <c r="CG37" i="5"/>
  <c r="MH36" i="5"/>
  <c r="ALS34" i="5"/>
  <c r="UO35" i="5"/>
  <c r="HC36" i="5"/>
  <c r="EA37" i="5"/>
  <c r="RN35" i="5"/>
  <c r="HW36" i="5"/>
  <c r="EQ35" i="5"/>
  <c r="AIU35" i="5"/>
  <c r="ADV34" i="5"/>
  <c r="WN35" i="5"/>
  <c r="ALW34" i="5"/>
  <c r="EY36" i="5"/>
  <c r="BB35" i="5"/>
  <c r="US34" i="5"/>
  <c r="BP37" i="5"/>
  <c r="LZ36" i="5"/>
  <c r="ZA36" i="5"/>
  <c r="AIN31" i="5"/>
  <c r="LF32" i="5"/>
  <c r="AEX32" i="5"/>
  <c r="KB33" i="5"/>
  <c r="ZL33" i="5"/>
  <c r="JJ34" i="5"/>
  <c r="ZJ35" i="5"/>
  <c r="HS36" i="5"/>
  <c r="CF37" i="5"/>
  <c r="WY35" i="5"/>
  <c r="HA36" i="5"/>
  <c r="ADD35" i="5"/>
  <c r="NA36" i="5"/>
  <c r="A35" i="5"/>
  <c r="XA35" i="5"/>
  <c r="HV36" i="5"/>
  <c r="FK37" i="5"/>
  <c r="WL35" i="5"/>
  <c r="IP36" i="5"/>
  <c r="FG35" i="5"/>
  <c r="AJK35" i="5"/>
  <c r="AEL34" i="5"/>
  <c r="AIF35" i="5"/>
  <c r="AK35" i="5"/>
  <c r="RR36" i="5"/>
  <c r="PV35" i="5"/>
  <c r="ZQ34" i="5"/>
  <c r="RR34" i="5"/>
  <c r="OA34" i="5"/>
  <c r="BR37" i="5"/>
  <c r="AIM32" i="5"/>
  <c r="IS33" i="5"/>
  <c r="VA33" i="5"/>
  <c r="AJB33" i="5"/>
  <c r="LY34" i="5"/>
  <c r="DX35" i="5"/>
  <c r="AFJ31" i="5"/>
  <c r="FP32" i="5"/>
  <c r="SN32" i="5"/>
  <c r="AEV32" i="5"/>
  <c r="FB33" i="5"/>
  <c r="RJ33" i="5"/>
  <c r="ADT33" i="5"/>
  <c r="GM34" i="5"/>
  <c r="AEF34" i="5"/>
  <c r="ABS31" i="5"/>
  <c r="DE32" i="5"/>
  <c r="PM32" i="5"/>
  <c r="ABU32" i="5"/>
  <c r="AU33" i="5"/>
  <c r="OI33" i="5"/>
  <c r="AAQ33" i="5"/>
  <c r="BB34" i="5"/>
  <c r="YC34" i="5"/>
  <c r="WV31" i="5"/>
  <c r="AJD31" i="5"/>
  <c r="LV32" i="5"/>
  <c r="AFN32" i="5"/>
  <c r="KR33" i="5"/>
  <c r="ADE33" i="5"/>
  <c r="QI34" i="5"/>
  <c r="ZZ35" i="5"/>
  <c r="IL36" i="5"/>
  <c r="DN37" i="5"/>
  <c r="YU35" i="5"/>
  <c r="HT36" i="5"/>
  <c r="ADT35" i="5"/>
  <c r="NX36" i="5"/>
  <c r="AW35" i="5"/>
  <c r="YG35" i="5"/>
  <c r="IO36" i="5"/>
  <c r="HT37" i="5"/>
  <c r="YH35" i="5"/>
  <c r="NZ36" i="5"/>
  <c r="FW35" i="5"/>
  <c r="AKA35" i="5"/>
  <c r="AFB34" i="5"/>
  <c r="AKR35" i="5"/>
  <c r="BA35" i="5"/>
  <c r="UP36" i="5"/>
  <c r="RR35" i="5"/>
  <c r="BC35" i="5"/>
  <c r="ADZ34" i="5"/>
  <c r="PG34" i="5"/>
  <c r="NN35" i="5"/>
  <c r="SZ32" i="5"/>
  <c r="ACV32" i="5"/>
  <c r="J33" i="5"/>
  <c r="JF33" i="5"/>
  <c r="TB33" i="5"/>
  <c r="ACY33" i="5"/>
  <c r="AW34" i="5"/>
  <c r="OY34" i="5"/>
  <c r="AE35" i="5"/>
  <c r="MW32" i="5"/>
  <c r="XI32" i="5"/>
  <c r="AHU32" i="5"/>
  <c r="EY33" i="5"/>
  <c r="PK33" i="5"/>
  <c r="ZW33" i="5"/>
  <c r="ALX33" i="5"/>
  <c r="MS34" i="5"/>
  <c r="ALC34" i="5"/>
  <c r="EX32" i="5"/>
  <c r="PZ32" i="5"/>
  <c r="ABB32" i="5"/>
  <c r="AMD32" i="5"/>
  <c r="JX33" i="5"/>
  <c r="VP33" i="5"/>
  <c r="AGY33" i="5"/>
  <c r="HG34" i="5"/>
  <c r="ACJ34" i="5"/>
  <c r="K32" i="5"/>
  <c r="KM32" i="5"/>
  <c r="VO32" i="5"/>
  <c r="AKI32" i="5"/>
  <c r="JI33" i="5"/>
  <c r="VQ33" i="5"/>
  <c r="AJU33" i="5"/>
  <c r="NA34" i="5"/>
  <c r="HN35" i="5"/>
  <c r="AHF31" i="5"/>
  <c r="GF32" i="5"/>
  <c r="TD32" i="5"/>
  <c r="AFL32" i="5"/>
  <c r="FR33" i="5"/>
  <c r="RZ33" i="5"/>
  <c r="AEK33" i="5"/>
  <c r="HM34" i="5"/>
  <c r="AFP34" i="5"/>
  <c r="ADO31" i="5"/>
  <c r="DU32" i="5"/>
  <c r="QC32" i="5"/>
  <c r="ACK32" i="5"/>
  <c r="BK33" i="5"/>
  <c r="OY33" i="5"/>
  <c r="ABG33" i="5"/>
  <c r="CQ34" i="5"/>
  <c r="ZK34" i="5"/>
  <c r="XL31" i="5"/>
  <c r="AJT31" i="5"/>
  <c r="NR32" i="5"/>
  <c r="AGD32" i="5"/>
  <c r="LH33" i="5"/>
  <c r="ADV33" i="5"/>
  <c r="SS34" i="5"/>
  <c r="AAP35" i="5"/>
  <c r="JE36" i="5"/>
  <c r="FH37" i="5"/>
  <c r="AAQ35" i="5"/>
  <c r="MZ36" i="5"/>
  <c r="AEJ35" i="5"/>
  <c r="OR36" i="5"/>
  <c r="CC35" i="5"/>
  <c r="YW35" i="5"/>
  <c r="NY36" i="5"/>
  <c r="BN35" i="5"/>
  <c r="YX35" i="5"/>
  <c r="VI36" i="5"/>
  <c r="GM35" i="5"/>
  <c r="AKQ35" i="5"/>
  <c r="AFR34" i="5"/>
  <c r="EX36" i="5"/>
  <c r="BQ35" i="5"/>
  <c r="VL36" i="5"/>
  <c r="TN35" i="5"/>
  <c r="CI35" i="5"/>
  <c r="AHB34" i="5"/>
  <c r="RS34" i="5"/>
  <c r="ABB35" i="5"/>
  <c r="TP32" i="5"/>
  <c r="ADL32" i="5"/>
  <c r="Z33" i="5"/>
  <c r="JV33" i="5"/>
  <c r="TR33" i="5"/>
  <c r="ADP33" i="5"/>
  <c r="BP34" i="5"/>
  <c r="QC34" i="5"/>
  <c r="DH35" i="5"/>
  <c r="NM32" i="5"/>
  <c r="XY32" i="5"/>
  <c r="AIK32" i="5"/>
  <c r="FO33" i="5"/>
  <c r="QA33" i="5"/>
  <c r="ABC33" i="5"/>
  <c r="L34" i="5"/>
  <c r="NV34" i="5"/>
  <c r="AF35" i="5"/>
  <c r="FN32" i="5"/>
  <c r="QP32" i="5"/>
  <c r="ABR32" i="5"/>
  <c r="L33" i="5"/>
  <c r="KN33" i="5"/>
  <c r="WF33" i="5"/>
  <c r="AHP33" i="5"/>
  <c r="IF34" i="5"/>
  <c r="ADT34" i="5"/>
  <c r="AA32" i="5"/>
  <c r="LC32" i="5"/>
  <c r="YA32" i="5"/>
  <c r="AKY32" i="5"/>
  <c r="JY33" i="5"/>
  <c r="WG33" i="5"/>
  <c r="AKN33" i="5"/>
  <c r="NY34" i="5"/>
  <c r="ML35" i="5"/>
  <c r="AHV31" i="5"/>
  <c r="HL32" i="5"/>
  <c r="TT32" i="5"/>
  <c r="AHH32" i="5"/>
  <c r="GH33" i="5"/>
  <c r="SP33" i="5"/>
  <c r="AFB33" i="5"/>
  <c r="IH34" i="5"/>
  <c r="ALQ34" i="5"/>
  <c r="AEE31" i="5"/>
  <c r="EK32" i="5"/>
  <c r="QS32" i="5"/>
  <c r="ADA32" i="5"/>
  <c r="DG33" i="5"/>
  <c r="PO33" i="5"/>
  <c r="ABW33" i="5"/>
  <c r="DJ34" i="5"/>
  <c r="AAS34" i="5"/>
  <c r="YB31" i="5"/>
  <c r="AKJ31" i="5"/>
  <c r="OH32" i="5"/>
  <c r="AGT32" i="5"/>
  <c r="LX33" i="5"/>
  <c r="AHC33" i="5"/>
  <c r="TY34" i="5"/>
  <c r="ABF35" i="5"/>
  <c r="JX36" i="5"/>
  <c r="JQ37" i="5"/>
  <c r="AEY35" i="5"/>
  <c r="NW36" i="5"/>
  <c r="AFP35" i="5"/>
  <c r="PR36" i="5"/>
  <c r="DY35" i="5"/>
  <c r="AAC35" i="5"/>
  <c r="OS36" i="5"/>
  <c r="CD35" i="5"/>
  <c r="ZN35" i="5"/>
  <c r="WK36" i="5"/>
  <c r="HC35" i="5"/>
  <c r="E36" i="5"/>
  <c r="AGH34" i="5"/>
  <c r="HY36" i="5"/>
  <c r="DM35" i="5"/>
  <c r="WN36" i="5"/>
  <c r="ABN35" i="5"/>
  <c r="OA35" i="5"/>
  <c r="AIX34" i="5"/>
  <c r="TO34" i="5"/>
  <c r="ADN35" i="5"/>
  <c r="ABS33" i="5"/>
  <c r="AE34" i="5"/>
  <c r="OZ34" i="5"/>
  <c r="DV35" i="5"/>
  <c r="GD32" i="5"/>
  <c r="RF32" i="5"/>
  <c r="ACH32" i="5"/>
  <c r="AB33" i="5"/>
  <c r="LT33" i="5"/>
  <c r="WV33" i="5"/>
  <c r="AIG33" i="5"/>
  <c r="JA34" i="5"/>
  <c r="AFN34" i="5"/>
  <c r="AQ32" i="5"/>
  <c r="MI32" i="5"/>
  <c r="ZG32" i="5"/>
  <c r="ALO32" i="5"/>
  <c r="KO33" i="5"/>
  <c r="YC33" i="5"/>
  <c r="ALG33" i="5"/>
  <c r="PB34" i="5"/>
  <c r="RJ35" i="5"/>
  <c r="AIL31" i="5"/>
  <c r="IB32" i="5"/>
  <c r="UJ32" i="5"/>
  <c r="AHX32" i="5"/>
  <c r="GX33" i="5"/>
  <c r="TF33" i="5"/>
  <c r="AFS33" i="5"/>
  <c r="KC34" i="5"/>
  <c r="AV35" i="5"/>
  <c r="AEU31" i="5"/>
  <c r="FA32" i="5"/>
  <c r="RI32" i="5"/>
  <c r="ADQ32" i="5"/>
  <c r="DW33" i="5"/>
  <c r="QE33" i="5"/>
  <c r="ADD33" i="5"/>
  <c r="FS34" i="5"/>
  <c r="ACM34" i="5"/>
  <c r="YR31" i="5"/>
  <c r="AKZ31" i="5"/>
  <c r="OX32" i="5"/>
  <c r="AHJ32" i="5"/>
  <c r="NT33" i="5"/>
  <c r="AHT33" i="5"/>
  <c r="VE34" i="5"/>
  <c r="ABV35" i="5"/>
  <c r="KT36" i="5"/>
  <c r="MC37" i="5"/>
  <c r="AFO35" i="5"/>
  <c r="OQ36" i="5"/>
  <c r="AGF35" i="5"/>
  <c r="QM36" i="5"/>
  <c r="FE35" i="5"/>
  <c r="ADU35" i="5"/>
  <c r="PS36" i="5"/>
  <c r="CT35" i="5"/>
  <c r="ABZ35" i="5"/>
  <c r="AAX36" i="5"/>
  <c r="HS35" i="5"/>
  <c r="JM36" i="5"/>
  <c r="AIT34" i="5"/>
  <c r="IR36" i="5"/>
  <c r="KW35" i="5"/>
  <c r="YW36" i="5"/>
  <c r="ACD35" i="5"/>
  <c r="QM35" i="5"/>
  <c r="AJN34" i="5"/>
  <c r="WA34" i="5"/>
  <c r="AED35" i="5"/>
  <c r="UV32" i="5"/>
  <c r="AER32" i="5"/>
  <c r="BF33" i="5"/>
  <c r="LB33" i="5"/>
  <c r="UX33" i="5"/>
  <c r="AEX33" i="5"/>
  <c r="DE34" i="5"/>
  <c r="SE34" i="5"/>
  <c r="LH35" i="5"/>
  <c r="OS32" i="5"/>
  <c r="ZE32" i="5"/>
  <c r="AJQ32" i="5"/>
  <c r="HK33" i="5"/>
  <c r="RW33" i="5"/>
  <c r="ACI33" i="5"/>
  <c r="AX34" i="5"/>
  <c r="QD34" i="5"/>
  <c r="GY35" i="5"/>
  <c r="GT32" i="5"/>
  <c r="RV32" i="5"/>
  <c r="ACX32" i="5"/>
  <c r="AR33" i="5"/>
  <c r="MJ33" i="5"/>
  <c r="XL33" i="5"/>
  <c r="AIX33" i="5"/>
  <c r="KA34" i="5"/>
  <c r="AHJ34" i="5"/>
  <c r="BW32" i="5"/>
  <c r="MY32" i="5"/>
  <c r="ZW32" i="5"/>
  <c r="AME32" i="5"/>
  <c r="LE33" i="5"/>
  <c r="YS33" i="5"/>
  <c r="ALZ33" i="5"/>
  <c r="QF34" i="5"/>
  <c r="AAB35" i="5"/>
  <c r="AJR31" i="5"/>
  <c r="IR32" i="5"/>
  <c r="UZ32" i="5"/>
  <c r="AIN32" i="5"/>
  <c r="HN33" i="5"/>
  <c r="TV33" i="5"/>
  <c r="AII33" i="5"/>
  <c r="LZ34" i="5"/>
  <c r="EL35" i="5"/>
  <c r="AGQ31" i="5"/>
  <c r="FQ32" i="5"/>
  <c r="RY32" i="5"/>
  <c r="AEG32" i="5"/>
  <c r="EM33" i="5"/>
  <c r="QU33" i="5"/>
  <c r="ADU33" i="5"/>
  <c r="GN34" i="5"/>
  <c r="AEG34" i="5"/>
  <c r="ZH31" i="5"/>
  <c r="ALP31" i="5"/>
  <c r="PN32" i="5"/>
  <c r="AIP32" i="5"/>
  <c r="OJ33" i="5"/>
  <c r="AIL33" i="5"/>
  <c r="WV34" i="5"/>
  <c r="ACL35" i="5"/>
  <c r="LM36" i="5"/>
  <c r="LW35" i="5"/>
  <c r="AGE35" i="5"/>
  <c r="PQ36" i="5"/>
  <c r="AGV35" i="5"/>
  <c r="RM36" i="5"/>
  <c r="IW35" i="5"/>
  <c r="AGG35" i="5"/>
  <c r="QN36" i="5"/>
  <c r="DJ35" i="5"/>
  <c r="AHN35" i="5"/>
  <c r="AEP36" i="5"/>
  <c r="II35" i="5"/>
  <c r="KF36" i="5"/>
  <c r="CV35" i="5"/>
  <c r="JN36" i="5"/>
  <c r="LM35" i="5"/>
  <c r="AAC36" i="5"/>
  <c r="ACT35" i="5"/>
  <c r="UU35" i="5"/>
  <c r="AN35" i="5"/>
  <c r="XW34" i="5"/>
  <c r="BX36" i="5"/>
  <c r="ZX31" i="5"/>
  <c r="AT32" i="5"/>
  <c r="TV32" i="5"/>
  <c r="P33" i="5"/>
  <c r="TH33" i="5"/>
  <c r="AJE33" i="5"/>
  <c r="YD34" i="5"/>
  <c r="AEH35" i="5"/>
  <c r="MF36" i="5"/>
  <c r="NC35" i="5"/>
  <c r="AGU35" i="5"/>
  <c r="SG36" i="5"/>
  <c r="AHL35" i="5"/>
  <c r="ADH36" i="5"/>
  <c r="JM35" i="5"/>
  <c r="AGW35" i="5"/>
  <c r="RN36" i="5"/>
  <c r="DZ35" i="5"/>
  <c r="AID35" i="5"/>
  <c r="AFV36" i="5"/>
  <c r="IY35" i="5"/>
  <c r="KY36" i="5"/>
  <c r="JP35" i="5"/>
  <c r="LS36" i="5"/>
  <c r="MC35" i="5"/>
  <c r="EE37" i="5"/>
  <c r="AHB35" i="5"/>
  <c r="AEA35" i="5"/>
  <c r="IN35" i="5"/>
  <c r="AIY34" i="5"/>
  <c r="ALK33" i="5"/>
  <c r="MV32" i="5"/>
  <c r="WR32" i="5"/>
  <c r="AGN32" i="5"/>
  <c r="DB33" i="5"/>
  <c r="MX33" i="5"/>
  <c r="WT33" i="5"/>
  <c r="AGW33" i="5"/>
  <c r="FJ34" i="5"/>
  <c r="WG34" i="5"/>
  <c r="GC32" i="5"/>
  <c r="RE32" i="5"/>
  <c r="ABQ32" i="5"/>
  <c r="AMC32" i="5"/>
  <c r="JG33" i="5"/>
  <c r="TS33" i="5"/>
  <c r="AEH33" i="5"/>
  <c r="DF34" i="5"/>
  <c r="TT34" i="5"/>
  <c r="YV35" i="5"/>
  <c r="IP32" i="5"/>
  <c r="TR32" i="5"/>
  <c r="AFJ32" i="5"/>
  <c r="DD33" i="5"/>
  <c r="OF33" i="5"/>
  <c r="ZH33" i="5"/>
  <c r="ALY33" i="5"/>
  <c r="NW34" i="5"/>
  <c r="DW35" i="5"/>
  <c r="EI32" i="5"/>
  <c r="PK32" i="5"/>
  <c r="ABS32" i="5"/>
  <c r="AS33" i="5"/>
  <c r="OG33" i="5"/>
  <c r="AAO33" i="5"/>
  <c r="AZ34" i="5"/>
  <c r="TV34" i="5"/>
  <c r="ZF31" i="5"/>
  <c r="ALN31" i="5"/>
  <c r="KN32" i="5"/>
  <c r="YB32" i="5"/>
  <c r="AKZ32" i="5"/>
  <c r="JZ33" i="5"/>
  <c r="XN33" i="5"/>
  <c r="ALH33" i="5"/>
  <c r="PC34" i="5"/>
  <c r="RL35" i="5"/>
  <c r="AIM31" i="5"/>
  <c r="HM32" i="5"/>
  <c r="TU32" i="5"/>
  <c r="AHI32" i="5"/>
  <c r="GY33" i="5"/>
  <c r="TG33" i="5"/>
  <c r="AHB33" i="5"/>
  <c r="JI34" i="5"/>
  <c r="AJU34" i="5"/>
  <c r="ABT31" i="5"/>
  <c r="CP32" i="5"/>
  <c r="VR32" i="5"/>
  <c r="AV33" i="5"/>
  <c r="UN33" i="5"/>
  <c r="BC34" i="5"/>
  <c r="ABD34" i="5"/>
  <c r="AIP35" i="5"/>
  <c r="VE36" i="5"/>
  <c r="OI35" i="5"/>
  <c r="AIA35" i="5"/>
  <c r="VF36" i="5"/>
  <c r="AJH35" i="5"/>
  <c r="AHB36" i="5"/>
  <c r="LY35" i="5"/>
  <c r="AIC35" i="5"/>
  <c r="TJ36" i="5"/>
  <c r="NF35" i="5"/>
  <c r="AJJ35" i="5"/>
  <c r="AIU36" i="5"/>
  <c r="QY35" i="5"/>
  <c r="PU36" i="5"/>
  <c r="PD35" i="5"/>
  <c r="AIW36" i="5"/>
  <c r="TM35" i="5"/>
  <c r="IJ37" i="5"/>
  <c r="AAD36" i="5"/>
  <c r="FA36" i="5"/>
  <c r="JT35" i="5"/>
  <c r="AKU34" i="5"/>
  <c r="SP35" i="5"/>
  <c r="ALB35" i="5"/>
  <c r="TA36" i="5"/>
  <c r="PC37" i="5"/>
  <c r="ZK35" i="5"/>
  <c r="DZ36" i="5"/>
  <c r="AHA36" i="5"/>
  <c r="AJX35" i="5"/>
  <c r="TI36" i="5"/>
  <c r="CS35" i="5"/>
  <c r="VU35" i="5"/>
  <c r="AY36" i="5"/>
  <c r="VH36" i="5"/>
  <c r="FV35" i="5"/>
  <c r="AAD35" i="5"/>
  <c r="LQ36" i="5"/>
  <c r="AIC34" i="5"/>
  <c r="TK35" i="5"/>
  <c r="OA36" i="5"/>
  <c r="AKP34" i="5"/>
  <c r="ALH35" i="5"/>
  <c r="AAU34" i="5"/>
  <c r="AEO35" i="5"/>
  <c r="XD34" i="5"/>
  <c r="AEP35" i="5"/>
  <c r="FK35" i="5"/>
  <c r="CX37" i="5"/>
  <c r="EI36" i="5"/>
  <c r="SK35" i="5"/>
  <c r="AMA33" i="5"/>
  <c r="TV35" i="5"/>
  <c r="ALR35" i="5"/>
  <c r="UC36" i="5"/>
  <c r="SJ37" i="5"/>
  <c r="AAA35" i="5"/>
  <c r="ES36" i="5"/>
  <c r="AII36" i="5"/>
  <c r="AH36" i="5"/>
  <c r="WC36" i="5"/>
  <c r="DI35" i="5"/>
  <c r="WK35" i="5"/>
  <c r="CE36" i="5"/>
  <c r="WD36" i="5"/>
  <c r="GL35" i="5"/>
  <c r="AAT35" i="5"/>
  <c r="NF36" i="5"/>
  <c r="AIS34" i="5"/>
  <c r="YI35" i="5"/>
  <c r="OV36" i="5"/>
  <c r="ALF34" i="5"/>
  <c r="ALX35" i="5"/>
  <c r="ABK34" i="5"/>
  <c r="AFE35" i="5"/>
  <c r="YJ34" i="5"/>
  <c r="AGL35" i="5"/>
  <c r="NK35" i="5"/>
  <c r="EQ37" i="5"/>
  <c r="FE36" i="5"/>
  <c r="AAK35" i="5"/>
  <c r="I34" i="5"/>
  <c r="GS32" i="5"/>
  <c r="QO32" i="5"/>
  <c r="AAK32" i="5"/>
  <c r="AKG32" i="5"/>
  <c r="GU33" i="5"/>
  <c r="QQ33" i="5"/>
  <c r="AAM33" i="5"/>
  <c r="ALE33" i="5"/>
  <c r="KU34" i="5"/>
  <c r="AFM34" i="5"/>
  <c r="CL32" i="5"/>
  <c r="MX32" i="5"/>
  <c r="XJ32" i="5"/>
  <c r="AHV32" i="5"/>
  <c r="EZ33" i="5"/>
  <c r="PL33" i="5"/>
  <c r="ZX33" i="5"/>
  <c r="ALF33" i="5"/>
  <c r="LX34" i="5"/>
  <c r="AJG34" i="5"/>
  <c r="BG32" i="5"/>
  <c r="LS32" i="5"/>
  <c r="WE32" i="5"/>
  <c r="AJC32" i="5"/>
  <c r="IC33" i="5"/>
  <c r="TU33" i="5"/>
  <c r="AFR33" i="5"/>
  <c r="IG34" i="5"/>
  <c r="AFO34" i="5"/>
  <c r="ABR31" i="5"/>
  <c r="AB32" i="5"/>
  <c r="LT32" i="5"/>
  <c r="YR32" i="5"/>
  <c r="AKJ32" i="5"/>
  <c r="IT33" i="5"/>
  <c r="UL33" i="5"/>
  <c r="AHR33" i="5"/>
  <c r="JH34" i="5"/>
  <c r="AHL34" i="5"/>
  <c r="ACY31" i="5"/>
  <c r="BI32" i="5"/>
  <c r="OG32" i="5"/>
  <c r="ZY32" i="5"/>
  <c r="ALQ32" i="5"/>
  <c r="KA33" i="5"/>
  <c r="WY33" i="5"/>
  <c r="AJD33" i="5"/>
  <c r="LE34" i="5"/>
  <c r="ALR34" i="5"/>
  <c r="ABD31" i="5"/>
  <c r="BJ32" i="5"/>
  <c r="TF32" i="5"/>
  <c r="AHZ32" i="5"/>
  <c r="MN33" i="5"/>
  <c r="AGL33" i="5"/>
  <c r="RM34" i="5"/>
  <c r="VB35" i="5"/>
  <c r="P36" i="5"/>
  <c r="WA36" i="5"/>
  <c r="MM35" i="5"/>
  <c r="AEI35" i="5"/>
  <c r="GE36" i="5"/>
  <c r="ALH36" i="5"/>
  <c r="BN36" i="5"/>
  <c r="AEN36" i="5"/>
  <c r="EO35" i="5"/>
  <c r="XQ35" i="5"/>
  <c r="DK36" i="5"/>
  <c r="AIT36" i="5"/>
  <c r="MP35" i="5"/>
  <c r="AGX35" i="5"/>
  <c r="OT36" i="5"/>
  <c r="AJY34" i="5"/>
  <c r="ZO35" i="5"/>
  <c r="ZS36" i="5"/>
  <c r="DL35" i="5"/>
  <c r="FQ36" i="5"/>
  <c r="U35" i="5"/>
  <c r="AGK35" i="5"/>
  <c r="ADH34" i="5"/>
  <c r="AIH35" i="5"/>
  <c r="OQ35" i="5"/>
  <c r="VJ34" i="5"/>
  <c r="GQ36" i="5"/>
  <c r="DS36" i="5"/>
  <c r="WS34" i="5"/>
  <c r="AKG34" i="5"/>
  <c r="CF35" i="5"/>
  <c r="XD35" i="5"/>
  <c r="PA36" i="5"/>
  <c r="ACA34" i="5"/>
  <c r="NI35" i="5"/>
  <c r="W36" i="5"/>
  <c r="KV37" i="5"/>
  <c r="BR35" i="5"/>
  <c r="AIX35" i="5"/>
  <c r="AAG34" i="5"/>
  <c r="AFG35" i="5"/>
  <c r="QY37" i="5"/>
  <c r="KJ35" i="5"/>
  <c r="ABL36" i="5"/>
  <c r="AMA34" i="5"/>
  <c r="HH34" i="5"/>
  <c r="DR34" i="5"/>
  <c r="AFT35" i="5"/>
  <c r="PV36" i="5"/>
  <c r="ACQ34" i="5"/>
  <c r="NY35" i="5"/>
  <c r="CI36" i="5"/>
  <c r="NH37" i="5"/>
  <c r="DN35" i="5"/>
  <c r="GO36" i="5"/>
  <c r="ADI34" i="5"/>
  <c r="AFW35" i="5"/>
  <c r="OP34" i="5"/>
  <c r="MV35" i="5"/>
  <c r="ACR36" i="5"/>
  <c r="I35" i="5"/>
  <c r="KZ34" i="5"/>
  <c r="GD34" i="5"/>
  <c r="AGJ35" i="5"/>
  <c r="YN36" i="5"/>
  <c r="ADG34" i="5"/>
  <c r="OO35" i="5"/>
  <c r="CY36" i="5"/>
  <c r="QK37" i="5"/>
  <c r="ED35" i="5"/>
  <c r="HH36" i="5"/>
  <c r="G35" i="5"/>
  <c r="AGM35" i="5"/>
  <c r="PF34" i="5"/>
  <c r="NL35" i="5"/>
  <c r="ADX36" i="5"/>
  <c r="DQ35" i="5"/>
  <c r="LP34" i="5"/>
  <c r="GT34" i="5"/>
  <c r="ALG35" i="5"/>
  <c r="AIV36" i="5"/>
  <c r="IJ35" i="5"/>
  <c r="AGZ35" i="5"/>
  <c r="ZT36" i="5"/>
  <c r="ADW34" i="5"/>
  <c r="QK35" i="5"/>
  <c r="DO36" i="5"/>
  <c r="NH34" i="5"/>
  <c r="OP35" i="5"/>
  <c r="IA36" i="5"/>
  <c r="W35" i="5"/>
  <c r="AHC35" i="5"/>
  <c r="PV34" i="5"/>
  <c r="QN35" i="5"/>
  <c r="AFD36" i="5"/>
  <c r="RE35" i="5"/>
  <c r="WB34" i="5"/>
  <c r="HJ34" i="5"/>
  <c r="ALW35" i="5"/>
  <c r="AKD36" i="5"/>
  <c r="IZ35" i="5"/>
  <c r="AHP35" i="5"/>
  <c r="AAZ36" i="5"/>
  <c r="ALG34" i="5"/>
  <c r="RA35" i="5"/>
  <c r="EF36" i="5"/>
  <c r="NX34" i="5"/>
  <c r="PF35" i="5"/>
  <c r="IW36" i="5"/>
  <c r="AM35" i="5"/>
  <c r="AMA35" i="5"/>
  <c r="QL34" i="5"/>
  <c r="XH35" i="5"/>
  <c r="AGK36" i="5"/>
  <c r="RU35" i="5"/>
  <c r="MH35" i="5"/>
  <c r="ABB34" i="5"/>
  <c r="LB32" i="5"/>
  <c r="UX32" i="5"/>
  <c r="AET32" i="5"/>
  <c r="BH33" i="5"/>
  <c r="LD33" i="5"/>
  <c r="UZ33" i="5"/>
  <c r="AEZ33" i="5"/>
  <c r="DG34" i="5"/>
  <c r="SO34" i="5"/>
  <c r="LX35" i="5"/>
  <c r="DS32" i="5"/>
  <c r="NO32" i="5"/>
  <c r="YQ32" i="5"/>
  <c r="AJS32" i="5"/>
  <c r="HM33" i="5"/>
  <c r="SO33" i="5"/>
  <c r="ADS33" i="5"/>
  <c r="DH34" i="5"/>
  <c r="VB34" i="5"/>
  <c r="XZ31" i="5"/>
  <c r="AJB31" i="5"/>
  <c r="GV32" i="5"/>
  <c r="RX32" i="5"/>
  <c r="ACZ32" i="5"/>
  <c r="AT33" i="5"/>
  <c r="LV33" i="5"/>
  <c r="YD33" i="5"/>
  <c r="AJV33" i="5"/>
  <c r="LD34" i="5"/>
  <c r="AJT34" i="5"/>
  <c r="ACI31" i="5"/>
  <c r="AC32" i="5"/>
  <c r="LE32" i="5"/>
  <c r="XM32" i="5"/>
  <c r="AIO32" i="5"/>
  <c r="GI33" i="5"/>
  <c r="RK33" i="5"/>
  <c r="ACM33" i="5"/>
  <c r="BX34" i="5"/>
  <c r="SR34" i="5"/>
  <c r="UJ31" i="5"/>
  <c r="AFL31" i="5"/>
  <c r="DV32" i="5"/>
  <c r="VB32" i="5"/>
  <c r="AJF32" i="5"/>
  <c r="ND33" i="5"/>
  <c r="AEM33" i="5"/>
  <c r="PL34" i="5"/>
  <c r="TF35" i="5"/>
  <c r="AKL35" i="5"/>
  <c r="MY36" i="5"/>
  <c r="HE37" i="5"/>
  <c r="VS35" i="5"/>
  <c r="AJW35" i="5"/>
  <c r="TB36" i="5"/>
  <c r="AEZ35" i="5"/>
  <c r="HU36" i="5"/>
  <c r="I37" i="5"/>
  <c r="KC35" i="5"/>
  <c r="ZM35" i="5"/>
  <c r="EU36" i="5"/>
  <c r="AKB36" i="5"/>
  <c r="LZ35" i="5"/>
  <c r="ABJ35" i="5"/>
  <c r="MJ36" i="5"/>
  <c r="AHM34" i="5"/>
  <c r="SE35" i="5"/>
  <c r="HE36" i="5"/>
  <c r="ACP34" i="5"/>
  <c r="KF35" i="5"/>
  <c r="AIV35" i="5"/>
  <c r="ADL36" i="5"/>
  <c r="E35" i="5"/>
  <c r="XU35" i="5"/>
  <c r="HG36" i="5"/>
  <c r="XT34" i="5"/>
  <c r="QL35" i="5"/>
  <c r="YX36" i="5"/>
  <c r="BS35" i="5"/>
  <c r="FW36" i="5"/>
  <c r="SH34" i="5"/>
  <c r="ACF35" i="5"/>
  <c r="OQ34" i="5"/>
  <c r="TQ35" i="5"/>
  <c r="OD35" i="5"/>
  <c r="ABR34" i="5"/>
  <c r="AKJ35" i="5"/>
  <c r="AIV37" i="5"/>
  <c r="AJL37" i="5"/>
  <c r="AKB37" i="5"/>
  <c r="AKS37" i="5"/>
  <c r="WU32" i="5"/>
  <c r="AGQ32" i="5"/>
  <c r="DE33" i="5"/>
  <c r="NA33" i="5"/>
  <c r="WW33" i="5"/>
  <c r="AGZ33" i="5"/>
  <c r="FQ34" i="5"/>
  <c r="WJ34" i="5"/>
  <c r="WD31" i="5"/>
  <c r="AFZ31" i="5"/>
  <c r="CN32" i="5"/>
  <c r="MJ32" i="5"/>
  <c r="WF32" i="5"/>
  <c r="AGB32" i="5"/>
  <c r="CP33" i="5"/>
  <c r="ML33" i="5"/>
  <c r="WH33" i="5"/>
  <c r="AGJ33" i="5"/>
  <c r="EU34" i="5"/>
  <c r="VC34" i="5"/>
  <c r="AAR35" i="5"/>
  <c r="AFK31" i="5"/>
  <c r="BY32" i="5"/>
  <c r="LU32" i="5"/>
  <c r="VQ32" i="5"/>
  <c r="AFM32" i="5"/>
  <c r="CA33" i="5"/>
  <c r="LW33" i="5"/>
  <c r="VS33" i="5"/>
  <c r="AFT33" i="5"/>
  <c r="EC34" i="5"/>
  <c r="TX34" i="5"/>
  <c r="RZ35" i="5"/>
  <c r="ACJ31" i="5"/>
  <c r="N32" i="5"/>
  <c r="ML32" i="5"/>
  <c r="ZJ32" i="5"/>
  <c r="CB33" i="5"/>
  <c r="OZ33" i="5"/>
  <c r="AFD33" i="5"/>
  <c r="HO34" i="5"/>
  <c r="IF35" i="5"/>
  <c r="ADB35" i="5"/>
  <c r="GD36" i="5"/>
  <c r="YH36" i="5"/>
  <c r="KQ35" i="5"/>
  <c r="XO35" i="5"/>
  <c r="AKM35" i="5"/>
  <c r="QL36" i="5"/>
  <c r="DO37" i="5"/>
  <c r="CD36" i="5"/>
  <c r="UE36" i="5"/>
  <c r="Q35" i="5"/>
  <c r="NU35" i="5"/>
  <c r="AEK35" i="5"/>
  <c r="FN36" i="5"/>
  <c r="AFU36" i="5"/>
  <c r="EP35" i="5"/>
  <c r="XB35" i="5"/>
  <c r="ALF35" i="5"/>
  <c r="ACD36" i="5"/>
  <c r="AKO34" i="5"/>
  <c r="UA35" i="5"/>
  <c r="HX36" i="5"/>
  <c r="ALU36" i="5"/>
  <c r="EB35" i="5"/>
  <c r="XT35" i="5"/>
  <c r="KG36" i="5"/>
  <c r="VW34" i="5"/>
  <c r="CG35" i="5"/>
  <c r="AAW35" i="5"/>
  <c r="PW36" i="5"/>
  <c r="VX34" i="5"/>
  <c r="KH35" i="5"/>
  <c r="EZ36" i="5"/>
  <c r="YK34" i="5"/>
  <c r="SI35" i="5"/>
  <c r="RT36" i="5"/>
  <c r="AEP34" i="5"/>
  <c r="ACV35" i="5"/>
  <c r="AHS36" i="5"/>
  <c r="PI35" i="5"/>
  <c r="JT34" i="5"/>
  <c r="AHU34" i="5"/>
  <c r="XK32" i="5"/>
  <c r="AHG32" i="5"/>
  <c r="DU33" i="5"/>
  <c r="NQ33" i="5"/>
  <c r="XM33" i="5"/>
  <c r="AHQ33" i="5"/>
  <c r="GL34" i="5"/>
  <c r="XR34" i="5"/>
  <c r="WT31" i="5"/>
  <c r="AGP31" i="5"/>
  <c r="DD32" i="5"/>
  <c r="MZ32" i="5"/>
  <c r="WV32" i="5"/>
  <c r="AGR32" i="5"/>
  <c r="DF33" i="5"/>
  <c r="NB33" i="5"/>
  <c r="WX33" i="5"/>
  <c r="AHA33" i="5"/>
  <c r="FR34" i="5"/>
  <c r="WK34" i="5"/>
  <c r="WE31" i="5"/>
  <c r="AGA31" i="5"/>
  <c r="CO32" i="5"/>
  <c r="MK32" i="5"/>
  <c r="WG32" i="5"/>
  <c r="AGC32" i="5"/>
  <c r="CQ33" i="5"/>
  <c r="MM33" i="5"/>
  <c r="WI33" i="5"/>
  <c r="AGK33" i="5"/>
  <c r="EV34" i="5"/>
  <c r="VD34" i="5"/>
  <c r="ABH35" i="5"/>
  <c r="ACZ31" i="5"/>
  <c r="AD32" i="5"/>
  <c r="NB32" i="5"/>
  <c r="ADB32" i="5"/>
  <c r="CR33" i="5"/>
  <c r="PP33" i="5"/>
  <c r="AFU33" i="5"/>
  <c r="IJ34" i="5"/>
  <c r="ND35" i="5"/>
  <c r="ADR35" i="5"/>
  <c r="GW36" i="5"/>
  <c r="ZN36" i="5"/>
  <c r="LG35" i="5"/>
  <c r="YE35" i="5"/>
  <c r="AW36" i="5"/>
  <c r="RH36" i="5"/>
  <c r="HH37" i="5"/>
  <c r="CT36" i="5"/>
  <c r="VG36" i="5"/>
  <c r="AG35" i="5"/>
  <c r="OK35" i="5"/>
  <c r="AFQ35" i="5"/>
  <c r="GG36" i="5"/>
  <c r="AHC36" i="5"/>
  <c r="FF35" i="5"/>
  <c r="XR35" i="5"/>
  <c r="AJ36" i="5"/>
  <c r="ADJ36" i="5"/>
  <c r="EA35" i="5"/>
  <c r="XS35" i="5"/>
  <c r="IQ36" i="5"/>
  <c r="U37" i="5"/>
  <c r="HT35" i="5"/>
  <c r="AFD35" i="5"/>
  <c r="KZ36" i="5"/>
  <c r="YI34" i="5"/>
  <c r="CW35" i="5"/>
  <c r="ABM35" i="5"/>
  <c r="QW36" i="5"/>
  <c r="WN34" i="5"/>
  <c r="NZ35" i="5"/>
  <c r="FV36" i="5"/>
  <c r="ZA34" i="5"/>
  <c r="SY35" i="5"/>
  <c r="AKQ36" i="5"/>
  <c r="AFF34" i="5"/>
  <c r="AER35" i="5"/>
  <c r="NW37" i="5"/>
  <c r="QO35" i="5"/>
  <c r="KJ34" i="5"/>
  <c r="AIK34" i="5"/>
  <c r="B8" i="4"/>
  <c r="B9" i="4" s="1"/>
  <c r="ABF38" i="5"/>
  <c r="LR39" i="5"/>
  <c r="XQ36" i="5"/>
  <c r="UQ37" i="5"/>
  <c r="ZP34" i="5"/>
  <c r="CX35" i="5"/>
  <c r="RB35" i="5"/>
  <c r="AHR35" i="5"/>
  <c r="JP36" i="5"/>
  <c r="CW37" i="5"/>
  <c r="ACC34" i="5"/>
  <c r="CY35" i="5"/>
  <c r="TO35" i="5"/>
  <c r="AJO35" i="5"/>
  <c r="PD36" i="5"/>
  <c r="KZ37" i="5"/>
  <c r="SX34" i="5"/>
  <c r="AKD34" i="5"/>
  <c r="OB35" i="5"/>
  <c r="AFX35" i="5"/>
  <c r="KK36" i="5"/>
  <c r="AJJ36" i="5"/>
  <c r="WQ34" i="5"/>
  <c r="BE35" i="5"/>
  <c r="YO35" i="5"/>
  <c r="KL36" i="5"/>
  <c r="QN34" i="5"/>
  <c r="AET35" i="5"/>
  <c r="AJA34" i="5"/>
  <c r="QB35" i="5"/>
  <c r="OU39" i="5"/>
  <c r="KI36" i="5"/>
  <c r="EF37" i="5"/>
  <c r="ACS34" i="5"/>
  <c r="DO35" i="5"/>
  <c r="UE35" i="5"/>
  <c r="AKE35" i="5"/>
  <c r="QY36" i="5"/>
  <c r="NL37" i="5"/>
  <c r="TN34" i="5"/>
  <c r="X35" i="5"/>
  <c r="OR35" i="5"/>
  <c r="AGN35" i="5"/>
  <c r="LD36" i="5"/>
  <c r="AKR36" i="5"/>
  <c r="XG34" i="5"/>
  <c r="DA35" i="5"/>
  <c r="ZE35" i="5"/>
  <c r="LE36" i="5"/>
  <c r="UV34" i="5"/>
  <c r="AFJ35" i="5"/>
  <c r="AJQ34" i="5"/>
  <c r="QR35" i="5"/>
  <c r="SK39" i="5"/>
  <c r="AGN37" i="5"/>
  <c r="HZ36" i="5"/>
  <c r="ABI36" i="5"/>
  <c r="ON34" i="5"/>
  <c r="AEN34" i="5"/>
  <c r="ET35" i="5"/>
  <c r="UD35" i="5"/>
  <c r="AJN35" i="5"/>
  <c r="RS36" i="5"/>
  <c r="IK37" i="5"/>
  <c r="ADY34" i="5"/>
  <c r="GA35" i="5"/>
  <c r="XG35" i="5"/>
  <c r="AO36" i="5"/>
  <c r="ST36" i="5"/>
  <c r="VL37" i="5"/>
  <c r="VZ34" i="5"/>
  <c r="BD35" i="5"/>
  <c r="SZ35" i="5"/>
  <c r="AHT35" i="5"/>
  <c r="MS36" i="5"/>
  <c r="RA37" i="5"/>
  <c r="YM34" i="5"/>
  <c r="EG35" i="5"/>
  <c r="ACG35" i="5"/>
  <c r="AAG36" i="5"/>
  <c r="WR34" i="5"/>
  <c r="CN36" i="5"/>
  <c r="AKW34" i="5"/>
  <c r="AKZ35" i="5"/>
  <c r="AHD37" i="5"/>
  <c r="HR35" i="5"/>
  <c r="SD35" i="5"/>
  <c r="ACP35" i="5"/>
  <c r="BP36" i="5"/>
  <c r="PT36" i="5"/>
  <c r="ALK36" i="5"/>
  <c r="ALE34" i="5"/>
  <c r="NG35" i="5"/>
  <c r="AAE35" i="5"/>
  <c r="U36" i="5"/>
  <c r="QP36" i="5"/>
  <c r="HX37" i="5"/>
  <c r="ALV34" i="5"/>
  <c r="LL35" i="5"/>
  <c r="YJ35" i="5"/>
  <c r="F36" i="5"/>
  <c r="QR36" i="5"/>
  <c r="FX37" i="5"/>
  <c r="AEM34" i="5"/>
  <c r="EC35" i="5"/>
  <c r="UC35" i="5"/>
  <c r="AHA35" i="5"/>
  <c r="IS36" i="5"/>
  <c r="ACO36" i="5"/>
  <c r="SF34" i="5"/>
  <c r="AFD34" i="5"/>
  <c r="FJ35" i="5"/>
  <c r="UT35" i="5"/>
  <c r="AKD35" i="5"/>
  <c r="SS36" i="5"/>
  <c r="KW37" i="5"/>
  <c r="AEO34" i="5"/>
  <c r="GQ35" i="5"/>
  <c r="XW35" i="5"/>
  <c r="BE36" i="5"/>
  <c r="TP36" i="5"/>
  <c r="FZ34" i="5"/>
  <c r="ZR34" i="5"/>
  <c r="BT35" i="5"/>
  <c r="TP35" i="5"/>
  <c r="AIJ35" i="5"/>
  <c r="NL36" i="5"/>
  <c r="WB37" i="5"/>
  <c r="ZC34" i="5"/>
  <c r="FM35" i="5"/>
  <c r="ACW35" i="5"/>
  <c r="ABM36" i="5"/>
  <c r="Z35" i="5"/>
  <c r="DT36" i="5"/>
  <c r="ADO35" i="5"/>
  <c r="ALP35" i="5"/>
  <c r="OT37" i="5"/>
  <c r="GH32" i="5"/>
  <c r="QD32" i="5"/>
  <c r="ZZ32" i="5"/>
  <c r="AJV32" i="5"/>
  <c r="GJ33" i="5"/>
  <c r="QF33" i="5"/>
  <c r="AAB33" i="5"/>
  <c r="AKQ33" i="5"/>
  <c r="KE34" i="5"/>
  <c r="AEH34" i="5"/>
  <c r="VR35" i="5"/>
  <c r="AFN35" i="5"/>
  <c r="CB36" i="5"/>
  <c r="NV36" i="5"/>
  <c r="AEL36" i="5"/>
  <c r="HO35" i="5"/>
  <c r="RK35" i="5"/>
  <c r="ABG35" i="5"/>
  <c r="ALC35" i="5"/>
  <c r="IM36" i="5"/>
  <c r="YI36" i="5"/>
  <c r="JT37" i="5"/>
  <c r="AKN35" i="5"/>
  <c r="IN36" i="5"/>
  <c r="XE36" i="5"/>
  <c r="HS37" i="5"/>
  <c r="FU35" i="5"/>
  <c r="QG35" i="5"/>
  <c r="AAS35" i="5"/>
  <c r="ALE35" i="5"/>
  <c r="JH36" i="5"/>
  <c r="YK36" i="5"/>
  <c r="KF37" i="5"/>
  <c r="IH35" i="5"/>
  <c r="ST35" i="5"/>
  <c r="ADV35" i="5"/>
  <c r="CF36" i="5"/>
  <c r="QO36" i="5"/>
  <c r="T37" i="5"/>
  <c r="ALU34" i="5"/>
  <c r="NW35" i="5"/>
  <c r="AAU35" i="5"/>
  <c r="AK36" i="5"/>
  <c r="RP36" i="5"/>
  <c r="KJ37" i="5"/>
  <c r="D35" i="5"/>
  <c r="MB35" i="5"/>
  <c r="YZ35" i="5"/>
  <c r="BR36" i="5"/>
  <c r="RQ36" i="5"/>
  <c r="II37" i="5"/>
  <c r="AFC34" i="5"/>
  <c r="ES35" i="5"/>
  <c r="US35" i="5"/>
  <c r="AHQ35" i="5"/>
  <c r="JO36" i="5"/>
  <c r="ADU36" i="5"/>
  <c r="SV34" i="5"/>
  <c r="AFT34" i="5"/>
  <c r="FZ35" i="5"/>
  <c r="WP35" i="5"/>
  <c r="H36" i="5"/>
  <c r="TO36" i="5"/>
  <c r="NI37" i="5"/>
  <c r="AFE34" i="5"/>
  <c r="IM35" i="5"/>
  <c r="YM35" i="5"/>
  <c r="BU36" i="5"/>
  <c r="UR36" i="5"/>
  <c r="GP34" i="5"/>
  <c r="AAH34" i="5"/>
  <c r="CJ35" i="5"/>
  <c r="UF35" i="5"/>
  <c r="AIZ35" i="5"/>
  <c r="SU36" i="5"/>
  <c r="KY34" i="5"/>
  <c r="AAI34" i="5"/>
  <c r="JE35" i="5"/>
  <c r="ADM35" i="5"/>
  <c r="ACS36" i="5"/>
  <c r="AP35" i="5"/>
  <c r="EK36" i="5"/>
  <c r="AEE35" i="5"/>
  <c r="AC35" i="5"/>
  <c r="GE37" i="5"/>
  <c r="GX32" i="5"/>
  <c r="QT32" i="5"/>
  <c r="AAP32" i="5"/>
  <c r="AKL32" i="5"/>
  <c r="GZ33" i="5"/>
  <c r="QV33" i="5"/>
  <c r="AAR33" i="5"/>
  <c r="ALJ33" i="5"/>
  <c r="LF34" i="5"/>
  <c r="AGB34" i="5"/>
  <c r="WH35" i="5"/>
  <c r="AGD35" i="5"/>
  <c r="CR36" i="5"/>
  <c r="OP36" i="5"/>
  <c r="AFR36" i="5"/>
  <c r="IE35" i="5"/>
  <c r="SA35" i="5"/>
  <c r="ABW35" i="5"/>
  <c r="ALS35" i="5"/>
  <c r="JY36" i="5"/>
  <c r="ZO36" i="5"/>
  <c r="MF37" i="5"/>
  <c r="ALD35" i="5"/>
  <c r="JG36" i="5"/>
  <c r="YJ36" i="5"/>
  <c r="KE37" i="5"/>
  <c r="GK35" i="5"/>
  <c r="QW35" i="5"/>
  <c r="ABI35" i="5"/>
  <c r="ALU35" i="5"/>
  <c r="KD36" i="5"/>
  <c r="ZQ36" i="5"/>
  <c r="MR37" i="5"/>
  <c r="IX35" i="5"/>
  <c r="TZ35" i="5"/>
  <c r="AEL35" i="5"/>
  <c r="CV36" i="5"/>
  <c r="RO36" i="5"/>
  <c r="BB37" i="5"/>
  <c r="AY35" i="5"/>
  <c r="OM35" i="5"/>
  <c r="ABK35" i="5"/>
  <c r="CG36" i="5"/>
  <c r="SK36" i="5"/>
  <c r="MV37" i="5"/>
  <c r="T35" i="5"/>
  <c r="MR35" i="5"/>
  <c r="AAV35" i="5"/>
  <c r="CH36" i="5"/>
  <c r="SL36" i="5"/>
  <c r="KU37" i="5"/>
  <c r="AFS34" i="5"/>
  <c r="IK35" i="5"/>
  <c r="VI35" i="5"/>
  <c r="AIG35" i="5"/>
  <c r="KH36" i="5"/>
  <c r="AFA36" i="5"/>
  <c r="TL34" i="5"/>
  <c r="AGJ34" i="5"/>
  <c r="GP35" i="5"/>
  <c r="XF35" i="5"/>
  <c r="X36" i="5"/>
  <c r="UQ36" i="5"/>
  <c r="QN37" i="5"/>
  <c r="AFU34" i="5"/>
  <c r="KY35" i="5"/>
  <c r="ZC35" i="5"/>
  <c r="CK36" i="5"/>
  <c r="VN36" i="5"/>
  <c r="HV34" i="5"/>
  <c r="ABN34" i="5"/>
  <c r="CZ35" i="5"/>
  <c r="UV35" i="5"/>
  <c r="AJP35" i="5"/>
  <c r="TQ36" i="5"/>
  <c r="LO34" i="5"/>
  <c r="AAY34" i="5"/>
  <c r="LQ35" i="5"/>
  <c r="AEC35" i="5"/>
  <c r="ADY36" i="5"/>
  <c r="BF35" i="5"/>
  <c r="ADZ36" i="5"/>
  <c r="AGQ35" i="5"/>
  <c r="AS35" i="5"/>
  <c r="HK37" i="5"/>
  <c r="HN32" i="5"/>
  <c r="RJ32" i="5"/>
  <c r="ABF32" i="5"/>
  <c r="ALB32" i="5"/>
  <c r="HP33" i="5"/>
  <c r="RL33" i="5"/>
  <c r="ABH33" i="5"/>
  <c r="AMF33" i="5"/>
  <c r="MB34" i="5"/>
  <c r="AHY34" i="5"/>
  <c r="WX35" i="5"/>
  <c r="AGT35" i="5"/>
  <c r="DH36" i="5"/>
  <c r="PL36" i="5"/>
  <c r="AGZ36" i="5"/>
  <c r="IU35" i="5"/>
  <c r="SQ35" i="5"/>
  <c r="ACM35" i="5"/>
  <c r="A36" i="5"/>
  <c r="KU36" i="5"/>
  <c r="AAU36" i="5"/>
  <c r="PE37" i="5"/>
  <c r="ALT35" i="5"/>
  <c r="KC36" i="5"/>
  <c r="ZP36" i="5"/>
  <c r="MQ37" i="5"/>
  <c r="HA35" i="5"/>
  <c r="RM35" i="5"/>
  <c r="ABY35" i="5"/>
  <c r="C36" i="5"/>
  <c r="KW36" i="5"/>
  <c r="AAW36" i="5"/>
  <c r="PS37" i="5"/>
  <c r="KD35" i="5"/>
  <c r="UP35" i="5"/>
  <c r="AFB35" i="5"/>
  <c r="DL36" i="5"/>
  <c r="SJ36" i="5"/>
  <c r="CJ37" i="5"/>
  <c r="CE35" i="5"/>
  <c r="PC35" i="5"/>
  <c r="ACA35" i="5"/>
  <c r="CW36" i="5"/>
  <c r="WL36" i="5"/>
  <c r="AAT34" i="5"/>
  <c r="AJ35" i="5"/>
  <c r="NH35" i="5"/>
  <c r="ABL35" i="5"/>
  <c r="CX36" i="5"/>
  <c r="VK36" i="5"/>
  <c r="NG37" i="5"/>
  <c r="AGI34" i="5"/>
  <c r="JA35" i="5"/>
  <c r="VY35" i="5"/>
  <c r="AKC35" i="5"/>
  <c r="LA36" i="5"/>
  <c r="AKO36" i="5"/>
  <c r="UB34" i="5"/>
  <c r="AGZ34" i="5"/>
  <c r="IL35" i="5"/>
  <c r="XV35" i="5"/>
  <c r="AN36" i="5"/>
  <c r="VM36" i="5"/>
  <c r="SG34" i="5"/>
  <c r="AHQ34" i="5"/>
  <c r="LO35" i="5"/>
  <c r="ZS35" i="5"/>
  <c r="DA36" i="5"/>
  <c r="YY36" i="5"/>
  <c r="LN34" i="5"/>
  <c r="ACD34" i="5"/>
  <c r="DP35" i="5"/>
  <c r="VL35" i="5"/>
  <c r="AMB35" i="5"/>
  <c r="US36" i="5"/>
  <c r="ME34" i="5"/>
  <c r="ABO34" i="5"/>
  <c r="MG35" i="5"/>
  <c r="AHE35" i="5"/>
  <c r="AFE36" i="5"/>
  <c r="BV35" i="5"/>
  <c r="AFF36" i="5"/>
  <c r="AHG35" i="5"/>
  <c r="BI35" i="5"/>
  <c r="RW37" i="5"/>
  <c r="ID32" i="5"/>
  <c r="RZ32" i="5"/>
  <c r="ABV32" i="5"/>
  <c r="ALR32" i="5"/>
  <c r="IF33" i="5"/>
  <c r="SB33" i="5"/>
  <c r="ABX33" i="5"/>
  <c r="Q34" i="5"/>
  <c r="ND34" i="5"/>
  <c r="AJV34" i="5"/>
  <c r="XN35" i="5"/>
  <c r="AHJ35" i="5"/>
  <c r="DY36" i="5"/>
  <c r="QK36" i="5"/>
  <c r="AIH36" i="5"/>
  <c r="JK35" i="5"/>
  <c r="TG35" i="5"/>
  <c r="ADC35" i="5"/>
  <c r="Q36" i="5"/>
  <c r="LN36" i="5"/>
  <c r="ACA36" i="5"/>
  <c r="SU37" i="5"/>
  <c r="B36" i="5"/>
  <c r="KV36" i="5"/>
  <c r="AAV36" i="5"/>
  <c r="PH37" i="5"/>
  <c r="HQ35" i="5"/>
  <c r="SC35" i="5"/>
  <c r="ACO35" i="5"/>
  <c r="S36" i="5"/>
  <c r="LP36" i="5"/>
  <c r="ACC36" i="5"/>
  <c r="AH35" i="5"/>
  <c r="KT35" i="5"/>
  <c r="VF35" i="5"/>
  <c r="AFR35" i="5"/>
  <c r="EC36" i="5"/>
  <c r="TK36" i="5"/>
  <c r="EB37" i="5"/>
  <c r="CU35" i="5"/>
  <c r="PS35" i="5"/>
  <c r="ACQ35" i="5"/>
  <c r="DM36" i="5"/>
  <c r="XH36" i="5"/>
  <c r="ABJ34" i="5"/>
  <c r="AZ35" i="5"/>
  <c r="NX35" i="5"/>
  <c r="ADX35" i="5"/>
  <c r="DN36" i="5"/>
  <c r="WM36" i="5"/>
  <c r="QI37" i="5"/>
  <c r="AGY34" i="5"/>
  <c r="JQ35" i="5"/>
  <c r="WO35" i="5"/>
  <c r="AKS35" i="5"/>
  <c r="LT36" i="5"/>
  <c r="BE37" i="5"/>
  <c r="UR34" i="5"/>
  <c r="AHP34" i="5"/>
  <c r="JB35" i="5"/>
  <c r="AAH35" i="5"/>
  <c r="DP36" i="5"/>
  <c r="WO36" i="5"/>
  <c r="SW34" i="5"/>
  <c r="AIG34" i="5"/>
  <c r="ME35" i="5"/>
  <c r="ACU35" i="5"/>
  <c r="DQ36" i="5"/>
  <c r="AAE36" i="5"/>
  <c r="MD34" i="5"/>
  <c r="ACT34" i="5"/>
  <c r="GR35" i="5"/>
  <c r="WB35" i="5"/>
  <c r="BF36" i="5"/>
  <c r="WQ36" i="5"/>
  <c r="MU34" i="5"/>
  <c r="AEQ34" i="5"/>
  <c r="MW35" i="5"/>
  <c r="AHU35" i="5"/>
  <c r="AGL36" i="5"/>
  <c r="CL35" i="5"/>
  <c r="AGM36" i="5"/>
  <c r="AHW35" i="5"/>
  <c r="UK35" i="5"/>
  <c r="AAO38" i="5"/>
  <c r="AMF31" i="5"/>
  <c r="IT32" i="5"/>
  <c r="SP32" i="5"/>
  <c r="ACL32" i="5"/>
  <c r="AMH32" i="5"/>
  <c r="IV33" i="5"/>
  <c r="SR33" i="5"/>
  <c r="ACN33" i="5"/>
  <c r="AJ34" i="5"/>
  <c r="OH34" i="5"/>
  <c r="ALT34" i="5"/>
  <c r="YD35" i="5"/>
  <c r="AHZ35" i="5"/>
  <c r="ER36" i="5"/>
  <c r="RF36" i="5"/>
  <c r="AJY36" i="5"/>
  <c r="KA35" i="5"/>
  <c r="TW35" i="5"/>
  <c r="ADS35" i="5"/>
  <c r="AG36" i="5"/>
  <c r="MG36" i="5"/>
  <c r="ADG36" i="5"/>
  <c r="ACN35" i="5"/>
  <c r="R36" i="5"/>
  <c r="LO36" i="5"/>
  <c r="ACB36" i="5"/>
  <c r="SZ37" i="5"/>
  <c r="IG35" i="5"/>
  <c r="SS35" i="5"/>
  <c r="ADE35" i="5"/>
  <c r="AI36" i="5"/>
  <c r="MI36" i="5"/>
  <c r="AEO36" i="5"/>
  <c r="AX35" i="5"/>
  <c r="LJ35" i="5"/>
  <c r="VV35" i="5"/>
  <c r="AGH35" i="5"/>
  <c r="EV36" i="5"/>
  <c r="UG36" i="5"/>
  <c r="MS37" i="5"/>
  <c r="DK35" i="5"/>
  <c r="QI35" i="5"/>
  <c r="ADG35" i="5"/>
  <c r="ED36" i="5"/>
  <c r="YM36" i="5"/>
  <c r="ABZ34" i="5"/>
  <c r="BP35" i="5"/>
  <c r="ON35" i="5"/>
  <c r="AEN35" i="5"/>
  <c r="EE36" i="5"/>
  <c r="XI36" i="5"/>
  <c r="UF37" i="5"/>
  <c r="AKQ34" i="5"/>
  <c r="KG35" i="5"/>
  <c r="XE35" i="5"/>
  <c r="ALI35" i="5"/>
  <c r="MP36" i="5"/>
  <c r="CV37" i="5"/>
  <c r="VH34" i="5"/>
  <c r="AIF34" i="5"/>
  <c r="JR35" i="5"/>
  <c r="AAX35" i="5"/>
  <c r="EG36" i="5"/>
  <c r="XR36" i="5"/>
  <c r="TM34" i="5"/>
  <c r="ALY34" i="5"/>
  <c r="MU35" i="5"/>
  <c r="ADK35" i="5"/>
  <c r="EH36" i="5"/>
  <c r="ABK36" i="5"/>
  <c r="NZ34" i="5"/>
  <c r="ADJ34" i="5"/>
  <c r="HX35" i="5"/>
  <c r="WR35" i="5"/>
  <c r="DB36" i="5"/>
  <c r="AAF36" i="5"/>
  <c r="NK34" i="5"/>
  <c r="AFW34" i="5"/>
  <c r="NM35" i="5"/>
  <c r="K36" i="5"/>
  <c r="AJK36" i="5"/>
  <c r="DB35" i="5"/>
  <c r="AKU33" i="5"/>
  <c r="AIM35" i="5"/>
  <c r="VA35" i="5"/>
  <c r="AMF35" i="5"/>
  <c r="VQ35" i="5"/>
  <c r="AMF37" i="5"/>
  <c r="AHT37" i="5"/>
  <c r="TC39" i="5"/>
  <c r="SC36" i="5"/>
  <c r="ACH34" i="5"/>
  <c r="N36" i="5"/>
  <c r="WG35" i="5"/>
  <c r="Q38" i="5"/>
  <c r="MZ38" i="5"/>
  <c r="XJ36" i="5"/>
  <c r="AGO35" i="5"/>
  <c r="JS36" i="5"/>
  <c r="AIC36" i="5"/>
  <c r="VL34" i="5"/>
  <c r="MX35" i="5"/>
  <c r="DD36" i="5"/>
  <c r="Y34" i="5"/>
  <c r="ALM34" i="5"/>
  <c r="SX36" i="5"/>
  <c r="ACX34" i="5"/>
  <c r="AD36" i="5"/>
  <c r="YG36" i="5"/>
  <c r="KY38" i="5"/>
  <c r="OB38" i="5"/>
  <c r="XZ36" i="5"/>
  <c r="AO34" i="5"/>
  <c r="JG35" i="5"/>
  <c r="TZ36" i="5"/>
  <c r="ADN34" i="5"/>
  <c r="AT36" i="5"/>
  <c r="VG37" i="5"/>
  <c r="LU38" i="5"/>
  <c r="OX38" i="5"/>
  <c r="ZG36" i="5"/>
  <c r="DA34" i="5"/>
  <c r="JW35" i="5"/>
  <c r="UV36" i="5"/>
  <c r="AED34" i="5"/>
  <c r="AFH36" i="5"/>
  <c r="ABK37" i="5"/>
  <c r="AII38" i="5"/>
  <c r="PZ38" i="5"/>
  <c r="ALP38" i="5"/>
  <c r="AFG34" i="5"/>
  <c r="EW35" i="5"/>
  <c r="TA35" i="5"/>
  <c r="AIK35" i="5"/>
  <c r="MA36" i="5"/>
  <c r="IZ37" i="5"/>
  <c r="XH34" i="5"/>
  <c r="OT35" i="5"/>
  <c r="FG36" i="5"/>
  <c r="OC34" i="5"/>
  <c r="KM35" i="5"/>
  <c r="VX36" i="5"/>
  <c r="AET34" i="5"/>
  <c r="AGX36" i="5"/>
  <c r="ACA37" i="5"/>
  <c r="OT39" i="5"/>
  <c r="AEF38" i="5"/>
  <c r="Z39" i="5"/>
  <c r="AJA35" i="5"/>
  <c r="MT36" i="5"/>
  <c r="LL37" i="5"/>
  <c r="ZT34" i="5"/>
  <c r="PJ35" i="5"/>
  <c r="IH36" i="5"/>
  <c r="OS34" i="5"/>
  <c r="MY35" i="5"/>
  <c r="WT36" i="5"/>
  <c r="LD35" i="5"/>
  <c r="AIF36" i="5"/>
  <c r="ACQ37" i="5"/>
  <c r="HV37" i="5"/>
  <c r="AFW38" i="5"/>
  <c r="FR37" i="5"/>
  <c r="AGM34" i="5"/>
  <c r="GS35" i="5"/>
  <c r="WC35" i="5"/>
  <c r="AKG35" i="5"/>
  <c r="NM36" i="5"/>
  <c r="NY37" i="5"/>
  <c r="AAJ34" i="5"/>
  <c r="PZ35" i="5"/>
  <c r="SW36" i="5"/>
  <c r="PI34" i="5"/>
  <c r="NO35" i="5"/>
  <c r="XW36" i="5"/>
  <c r="LT35" i="5"/>
  <c r="AJN36" i="5"/>
  <c r="AFC37" i="5"/>
  <c r="AMG37" i="5"/>
  <c r="AHE38" i="5"/>
  <c r="GH37" i="5"/>
  <c r="ALV35" i="5"/>
  <c r="JI36" i="5"/>
  <c r="XG36" i="5"/>
  <c r="FL37" i="5"/>
  <c r="C35" i="5"/>
  <c r="JO35" i="5"/>
  <c r="VW35" i="5"/>
  <c r="AGY35" i="5"/>
  <c r="EW36" i="5"/>
  <c r="TL36" i="5"/>
  <c r="CK37" i="5"/>
  <c r="AGX34" i="5"/>
  <c r="ER35" i="5"/>
  <c r="QZ35" i="5"/>
  <c r="ACB35" i="5"/>
  <c r="V36" i="5"/>
  <c r="MO36" i="5"/>
  <c r="AER36" i="5"/>
  <c r="WM34" i="5"/>
  <c r="AHO34" i="5"/>
  <c r="GO35" i="5"/>
  <c r="RQ35" i="5"/>
  <c r="ACS35" i="5"/>
  <c r="AM36" i="5"/>
  <c r="NI36" i="5"/>
  <c r="AGH36" i="5"/>
  <c r="PD34" i="5"/>
  <c r="ABL34" i="5"/>
  <c r="F35" i="5"/>
  <c r="KX35" i="5"/>
  <c r="YL35" i="5"/>
  <c r="AKT35" i="5"/>
  <c r="LB36" i="5"/>
  <c r="AHQ36" i="5"/>
  <c r="WO34" i="5"/>
  <c r="AIW34" i="5"/>
  <c r="JC35" i="5"/>
  <c r="VK35" i="5"/>
  <c r="AHS35" i="5"/>
  <c r="HI36" i="5"/>
  <c r="ACQ36" i="5"/>
  <c r="JR34" i="5"/>
  <c r="WP34" i="5"/>
  <c r="ALJ34" i="5"/>
  <c r="KZ35" i="5"/>
  <c r="XX35" i="5"/>
  <c r="J36" i="5"/>
  <c r="OF36" i="5"/>
  <c r="BQ37" i="5"/>
  <c r="UE34" i="5"/>
  <c r="AHC34" i="5"/>
  <c r="HI35" i="5"/>
  <c r="WS35" i="5"/>
  <c r="AKW35" i="5"/>
  <c r="OK36" i="5"/>
  <c r="FL34" i="5"/>
  <c r="AAZ34" i="5"/>
  <c r="QP35" i="5"/>
  <c r="TY36" i="5"/>
  <c r="PY34" i="5"/>
  <c r="RG35" i="5"/>
  <c r="BV34" i="5"/>
  <c r="MJ35" i="5"/>
  <c r="ACW33" i="5"/>
  <c r="ALK37" i="5"/>
  <c r="R38" i="5"/>
  <c r="AIM38" i="5"/>
  <c r="SP37" i="5"/>
  <c r="D36" i="5"/>
  <c r="KE36" i="5"/>
  <c r="YL36" i="5"/>
  <c r="HU37" i="5"/>
  <c r="S35" i="5"/>
  <c r="KE35" i="5"/>
  <c r="WM35" i="5"/>
  <c r="AHO35" i="5"/>
  <c r="FP36" i="5"/>
  <c r="UH36" i="5"/>
  <c r="EC37" i="5"/>
  <c r="AHN34" i="5"/>
  <c r="FH35" i="5"/>
  <c r="RP35" i="5"/>
  <c r="ACR35" i="5"/>
  <c r="AL36" i="5"/>
  <c r="NH36" i="5"/>
  <c r="AGG36" i="5"/>
  <c r="XC34" i="5"/>
  <c r="AIE34" i="5"/>
  <c r="HE35" i="5"/>
  <c r="SG35" i="5"/>
  <c r="ADI35" i="5"/>
  <c r="BC36" i="5"/>
  <c r="OC36" i="5"/>
  <c r="AHP36" i="5"/>
  <c r="PT34" i="5"/>
  <c r="ACB34" i="5"/>
  <c r="V35" i="5"/>
  <c r="MT35" i="5"/>
  <c r="ZB35" i="5"/>
  <c r="ALJ35" i="5"/>
  <c r="LU36" i="5"/>
  <c r="AIY36" i="5"/>
  <c r="XE34" i="5"/>
  <c r="AJM34" i="5"/>
  <c r="JS35" i="5"/>
  <c r="WA35" i="5"/>
  <c r="AII35" i="5"/>
  <c r="JQ36" i="5"/>
  <c r="ADW36" i="5"/>
  <c r="KH34" i="5"/>
  <c r="YL34" i="5"/>
  <c r="ALZ34" i="5"/>
  <c r="LP35" i="5"/>
  <c r="YN35" i="5"/>
  <c r="Z36" i="5"/>
  <c r="PE36" i="5"/>
  <c r="ER37" i="5"/>
  <c r="UU34" i="5"/>
  <c r="AHS34" i="5"/>
  <c r="HY35" i="5"/>
  <c r="XI35" i="5"/>
  <c r="ALM35" i="5"/>
  <c r="PF36" i="5"/>
  <c r="GB34" i="5"/>
  <c r="AIJ34" i="5"/>
  <c r="ZV35" i="5"/>
  <c r="UU36" i="5"/>
  <c r="TQ34" i="5"/>
  <c r="RW35" i="5"/>
  <c r="CL34" i="5"/>
  <c r="MZ35" i="5"/>
  <c r="BG34" i="5"/>
  <c r="ACB37" i="5"/>
  <c r="AFK38" i="5"/>
  <c r="AJU38" i="5"/>
  <c r="TF37" i="5"/>
  <c r="JF36" i="5"/>
  <c r="XD36" i="5"/>
  <c r="FI37" i="5"/>
  <c r="AIR35" i="5"/>
  <c r="FM36" i="5"/>
  <c r="SH36" i="5"/>
  <c r="ALI36" i="5"/>
  <c r="BM35" i="5"/>
  <c r="LI35" i="5"/>
  <c r="VE35" i="5"/>
  <c r="AFA35" i="5"/>
  <c r="BO36" i="5"/>
  <c r="NE36" i="5"/>
  <c r="ADI36" i="5"/>
  <c r="TK37" i="5"/>
  <c r="JN35" i="5"/>
  <c r="TJ35" i="5"/>
  <c r="ADF35" i="5"/>
  <c r="T36" i="5"/>
  <c r="KX36" i="5"/>
  <c r="ZR36" i="5"/>
  <c r="KG37" i="5"/>
  <c r="AI35" i="5"/>
  <c r="MA35" i="5"/>
  <c r="XC35" i="5"/>
  <c r="AIE35" i="5"/>
  <c r="GL36" i="5"/>
  <c r="VJ36" i="5"/>
  <c r="FW37" i="5"/>
  <c r="AID34" i="5"/>
  <c r="HD35" i="5"/>
  <c r="SF35" i="5"/>
  <c r="ADH35" i="5"/>
  <c r="BB36" i="5"/>
  <c r="OB36" i="5"/>
  <c r="AHO36" i="5"/>
  <c r="XS34" i="5"/>
  <c r="AKA34" i="5"/>
  <c r="HU35" i="5"/>
  <c r="SW35" i="5"/>
  <c r="ADY35" i="5"/>
  <c r="BS36" i="5"/>
  <c r="PB36" i="5"/>
  <c r="AIX36" i="5"/>
  <c r="RP34" i="5"/>
  <c r="ACR34" i="5"/>
  <c r="AL35" i="5"/>
  <c r="NJ35" i="5"/>
  <c r="ZR35" i="5"/>
  <c r="ALZ35" i="5"/>
  <c r="MQ36" i="5"/>
  <c r="X37" i="5"/>
  <c r="XU34" i="5"/>
  <c r="AKC34" i="5"/>
  <c r="KI35" i="5"/>
  <c r="WQ35" i="5"/>
  <c r="AIY35" i="5"/>
  <c r="KJ36" i="5"/>
  <c r="AJI36" i="5"/>
  <c r="KX34" i="5"/>
  <c r="ZB34" i="5"/>
  <c r="H35" i="5"/>
  <c r="MF35" i="5"/>
  <c r="ZD35" i="5"/>
  <c r="AP36" i="5"/>
  <c r="RU36" i="5"/>
  <c r="GM37" i="5"/>
  <c r="VK34" i="5"/>
  <c r="AII34" i="5"/>
  <c r="IO35" i="5"/>
  <c r="XY35" i="5"/>
  <c r="AMC35" i="5"/>
  <c r="XU36" i="5"/>
  <c r="GR34" i="5"/>
  <c r="AIZ34" i="5"/>
  <c r="AAL35" i="5"/>
  <c r="ACT36" i="5"/>
  <c r="UG34" i="5"/>
  <c r="ACY35" i="5"/>
  <c r="DB34" i="5"/>
  <c r="NP35" i="5"/>
  <c r="BW34" i="5"/>
  <c r="AIF37" i="5"/>
  <c r="AGS38" i="5"/>
  <c r="OD37" i="5"/>
  <c r="AFZ35" i="5"/>
  <c r="LI36" i="5"/>
  <c r="AID36" i="5"/>
  <c r="DQ34" i="5"/>
  <c r="XI34" i="5"/>
  <c r="AMC34" i="5"/>
  <c r="SM35" i="5"/>
  <c r="AJS35" i="5"/>
  <c r="AAI36" i="5"/>
  <c r="IP34" i="5"/>
  <c r="AFZ34" i="5"/>
  <c r="RX35" i="5"/>
  <c r="JV36" i="5"/>
  <c r="CM34" i="5"/>
  <c r="ACK35" i="5"/>
  <c r="AMD37" i="5"/>
  <c r="ACL38" i="5"/>
  <c r="IL37" i="5"/>
  <c r="GA37" i="5"/>
  <c r="PI37" i="5"/>
  <c r="YP37" i="5"/>
  <c r="ZF36" i="5"/>
  <c r="TV37" i="5"/>
  <c r="OB34" i="5"/>
  <c r="ADL34" i="5"/>
  <c r="DR35" i="5"/>
  <c r="RF35" i="5"/>
  <c r="AGP35" i="5"/>
  <c r="MB36" i="5"/>
  <c r="AJL36" i="5"/>
  <c r="EG34" i="5"/>
  <c r="XY34" i="5"/>
  <c r="K35" i="5"/>
  <c r="TC35" i="5"/>
  <c r="DE36" i="5"/>
  <c r="BT37" i="5"/>
  <c r="NN34" i="5"/>
  <c r="L35" i="5"/>
  <c r="WV35" i="5"/>
  <c r="KO36" i="5"/>
  <c r="KM34" i="5"/>
  <c r="ADA35" i="5"/>
  <c r="PO38" i="5"/>
  <c r="AEA38" i="5"/>
  <c r="JB37" i="5"/>
  <c r="GQ37" i="5"/>
  <c r="PY37" i="5"/>
  <c r="ZF37" i="5"/>
  <c r="AAL36" i="5"/>
  <c r="XO37" i="5"/>
  <c r="OR34" i="5"/>
  <c r="AEB34" i="5"/>
  <c r="EH35" i="5"/>
  <c r="TR35" i="5"/>
  <c r="AJB35" i="5"/>
  <c r="MU36" i="5"/>
  <c r="AKT36" i="5"/>
  <c r="HY34" i="5"/>
  <c r="YO34" i="5"/>
  <c r="AA35" i="5"/>
  <c r="TS35" i="5"/>
  <c r="DU36" i="5"/>
  <c r="DK37" i="5"/>
  <c r="PZ34" i="5"/>
  <c r="AB35" i="5"/>
  <c r="XL35" i="5"/>
  <c r="LK36" i="5"/>
  <c r="LC34" i="5"/>
  <c r="ADQ35" i="5"/>
  <c r="AFH38" i="5"/>
  <c r="AFI38" i="5"/>
  <c r="PF37" i="5"/>
  <c r="AGM37" i="5"/>
  <c r="QO37" i="5"/>
  <c r="ZV37" i="5"/>
  <c r="AKX36" i="5"/>
  <c r="FB38" i="5"/>
  <c r="PH34" i="5"/>
  <c r="AER34" i="5"/>
  <c r="EX35" i="5"/>
  <c r="UH35" i="5"/>
  <c r="AJR35" i="5"/>
  <c r="NN36" i="5"/>
  <c r="C37" i="5"/>
  <c r="IO34" i="5"/>
  <c r="ZE34" i="5"/>
  <c r="FO35" i="5"/>
  <c r="UI35" i="5"/>
  <c r="EO36" i="5"/>
  <c r="EU37" i="5"/>
  <c r="QP34" i="5"/>
  <c r="AR35" i="5"/>
  <c r="ZX35" i="5"/>
  <c r="MD36" i="5"/>
  <c r="LS34" i="5"/>
  <c r="KS36" i="5"/>
  <c r="AGP38" i="5"/>
  <c r="IC39" i="5"/>
  <c r="PV37" i="5"/>
  <c r="AHC37" i="5"/>
  <c r="RE37" i="5"/>
  <c r="AAL37" i="5"/>
  <c r="KJ38" i="5"/>
  <c r="SL38" i="5"/>
  <c r="PX34" i="5"/>
  <c r="AFH34" i="5"/>
  <c r="FN35" i="5"/>
  <c r="UX35" i="5"/>
  <c r="AKH35" i="5"/>
  <c r="OL36" i="5"/>
  <c r="AK37" i="5"/>
  <c r="JE34" i="5"/>
  <c r="ZU34" i="5"/>
  <c r="GE35" i="5"/>
  <c r="WU35" i="5"/>
  <c r="FH36" i="5"/>
  <c r="GR37" i="5"/>
  <c r="RF34" i="5"/>
  <c r="BH35" i="5"/>
  <c r="AAN35" i="5"/>
  <c r="MW36" i="5"/>
  <c r="MI34" i="5"/>
  <c r="LL36" i="5"/>
  <c r="AHX38" i="5"/>
  <c r="LC39" i="5"/>
  <c r="AIX37" i="5"/>
  <c r="AHS37" i="5"/>
  <c r="RU37" i="5"/>
  <c r="AED37" i="5"/>
  <c r="LF38" i="5"/>
  <c r="TQ38" i="5"/>
  <c r="AFX34" i="5"/>
  <c r="GD35" i="5"/>
  <c r="XJ35" i="5"/>
  <c r="AKX35" i="5"/>
  <c r="PG36" i="5"/>
  <c r="BS37" i="5"/>
  <c r="JU34" i="5"/>
  <c r="AAK34" i="5"/>
  <c r="GU35" i="5"/>
  <c r="XK35" i="5"/>
  <c r="GA36" i="5"/>
  <c r="JD37" i="5"/>
  <c r="RV34" i="5"/>
  <c r="BX35" i="5"/>
  <c r="ABD35" i="5"/>
  <c r="NP36" i="5"/>
  <c r="AFK34" i="5"/>
  <c r="ME36" i="5"/>
  <c r="AJO38" i="5"/>
  <c r="OS39" i="5"/>
  <c r="AJN37" i="5"/>
  <c r="AII37" i="5"/>
  <c r="ABA37" i="5"/>
  <c r="AEC36" i="5"/>
  <c r="AIY38" i="5"/>
  <c r="KP36" i="5"/>
  <c r="RD34" i="5"/>
  <c r="AGN34" i="5"/>
  <c r="GT35" i="5"/>
  <c r="XZ35" i="5"/>
  <c r="AB36" i="5"/>
  <c r="QG36" i="5"/>
  <c r="DA37" i="5"/>
  <c r="KK34" i="5"/>
  <c r="ABA34" i="5"/>
  <c r="HK35" i="5"/>
  <c r="YA35" i="5"/>
  <c r="GT36" i="5"/>
  <c r="LP37" i="5"/>
  <c r="SL34" i="5"/>
  <c r="CN35" i="5"/>
  <c r="ABT35" i="5"/>
  <c r="ON36" i="5"/>
  <c r="AGA34" i="5"/>
  <c r="MX36" i="5"/>
  <c r="AKW38" i="5"/>
  <c r="AKC37" i="5"/>
  <c r="AKD37" i="5"/>
  <c r="GH38" i="5"/>
  <c r="ABQ37" i="5"/>
  <c r="AES36" i="5"/>
  <c r="AKG38" i="5"/>
  <c r="TV36" i="5"/>
  <c r="KU35" i="5"/>
  <c r="UQ35" i="5"/>
  <c r="AEM35" i="5"/>
  <c r="BA36" i="5"/>
  <c r="MK36" i="5"/>
  <c r="ACE36" i="5"/>
  <c r="PX37" i="5"/>
  <c r="AJJ34" i="5"/>
  <c r="FX35" i="5"/>
  <c r="PT35" i="5"/>
  <c r="ZP35" i="5"/>
  <c r="AJL35" i="5"/>
  <c r="GM36" i="5"/>
  <c r="TM36" i="5"/>
  <c r="V37" i="5"/>
  <c r="YY34" i="5"/>
  <c r="AIU34" i="5"/>
  <c r="FI35" i="5"/>
  <c r="PE35" i="5"/>
  <c r="ZA35" i="5"/>
  <c r="AIW35" i="5"/>
  <c r="FU36" i="5"/>
  <c r="SN36" i="5"/>
  <c r="ALW36" i="5"/>
  <c r="QJ34" i="5"/>
  <c r="AAF34" i="5"/>
  <c r="AKB34" i="5"/>
  <c r="HF35" i="5"/>
  <c r="SH35" i="5"/>
  <c r="ADJ35" i="5"/>
  <c r="BD36" i="5"/>
  <c r="PX36" i="5"/>
  <c r="AKP36" i="5"/>
  <c r="VI34" i="5"/>
  <c r="AGK34" i="5"/>
  <c r="EE35" i="5"/>
  <c r="PG35" i="5"/>
  <c r="AAI35" i="5"/>
  <c r="I36" i="5"/>
  <c r="LY36" i="5"/>
  <c r="AFC36" i="5"/>
  <c r="IL34" i="5"/>
  <c r="UD34" i="5"/>
  <c r="AFV34" i="5"/>
  <c r="EF35" i="5"/>
  <c r="RT35" i="5"/>
  <c r="ADL35" i="5"/>
  <c r="BV36" i="5"/>
  <c r="PZ36" i="5"/>
  <c r="ALZ36" i="5"/>
  <c r="QM34" i="5"/>
  <c r="ACE34" i="5"/>
  <c r="BU35" i="5"/>
  <c r="OC35" i="5"/>
  <c r="ABA35" i="5"/>
  <c r="AA36" i="5"/>
  <c r="VV36" i="5"/>
  <c r="RD37" i="5"/>
  <c r="TP34" i="5"/>
  <c r="AHD34" i="5"/>
  <c r="HJ35" i="5"/>
  <c r="YP35" i="5"/>
  <c r="AR36" i="5"/>
  <c r="RB36" i="5"/>
  <c r="AJO33" i="5"/>
  <c r="MW34" i="5"/>
  <c r="ABQ34" i="5"/>
  <c r="IA35" i="5"/>
  <c r="YQ35" i="5"/>
  <c r="HM36" i="5"/>
  <c r="OM37" i="5"/>
  <c r="TB34" i="5"/>
  <c r="DD35" i="5"/>
  <c r="ACJ35" i="5"/>
  <c r="ABP36" i="5"/>
  <c r="AME34" i="5"/>
  <c r="NU36" i="5"/>
  <c r="AME38" i="5"/>
  <c r="AKT37" i="5"/>
  <c r="AKU37" i="5"/>
  <c r="HB38" i="5"/>
  <c r="ABS38" i="5"/>
  <c r="AFI36" i="5"/>
  <c r="ALO38" i="5"/>
  <c r="UL36" i="5"/>
  <c r="BO35" i="5"/>
  <c r="LK35" i="5"/>
  <c r="VG35" i="5"/>
  <c r="AFC35" i="5"/>
  <c r="BQ36" i="5"/>
  <c r="NG36" i="5"/>
  <c r="ADK36" i="5"/>
  <c r="UA37" i="5"/>
  <c r="AJZ34" i="5"/>
  <c r="GN35" i="5"/>
  <c r="QJ35" i="5"/>
  <c r="AAF35" i="5"/>
  <c r="AKB35" i="5"/>
  <c r="HF36" i="5"/>
  <c r="UO36" i="5"/>
  <c r="BD37" i="5"/>
  <c r="ZO34" i="5"/>
  <c r="AJK34" i="5"/>
  <c r="FY35" i="5"/>
  <c r="PU35" i="5"/>
  <c r="ZQ35" i="5"/>
  <c r="AJM35" i="5"/>
  <c r="GN36" i="5"/>
  <c r="TN36" i="5"/>
  <c r="W37" i="5"/>
  <c r="QZ34" i="5"/>
  <c r="AAV34" i="5"/>
  <c r="AKR34" i="5"/>
  <c r="HV35" i="5"/>
  <c r="SX35" i="5"/>
  <c r="ADZ35" i="5"/>
  <c r="CZ36" i="5"/>
  <c r="QX36" i="5"/>
  <c r="ALX36" i="5"/>
  <c r="VY34" i="5"/>
  <c r="AHA34" i="5"/>
  <c r="EU35" i="5"/>
  <c r="PW35" i="5"/>
  <c r="ACE35" i="5"/>
  <c r="Y36" i="5"/>
  <c r="MR36" i="5"/>
  <c r="AGJ36" i="5"/>
  <c r="JB34" i="5"/>
  <c r="UT34" i="5"/>
  <c r="AGL34" i="5"/>
  <c r="GB35" i="5"/>
  <c r="SJ35" i="5"/>
  <c r="AEB35" i="5"/>
  <c r="CL36" i="5"/>
  <c r="QZ36" i="5"/>
  <c r="AI37" i="5"/>
  <c r="RC34" i="5"/>
  <c r="AEA34" i="5"/>
  <c r="CK35" i="5"/>
  <c r="OS35" i="5"/>
  <c r="ABQ35" i="5"/>
  <c r="AQ36" i="5"/>
  <c r="WR36" i="5"/>
  <c r="WR37" i="5"/>
  <c r="UF34" i="5"/>
  <c r="AHT34" i="5"/>
  <c r="LR35" i="5"/>
  <c r="ZF35" i="5"/>
  <c r="BH36" i="5"/>
  <c r="RX36" i="5"/>
  <c r="AKE33" i="5"/>
  <c r="NM34" i="5"/>
  <c r="AHE34" i="5"/>
  <c r="IQ35" i="5"/>
  <c r="ZG35" i="5"/>
  <c r="JB36" i="5"/>
  <c r="AKF33" i="5"/>
  <c r="UH34" i="5"/>
  <c r="GF35" i="5"/>
  <c r="ADP35" i="5"/>
  <c r="AEB36" i="5"/>
  <c r="M35" i="5"/>
  <c r="OO36" i="5"/>
  <c r="ABL37" i="5"/>
  <c r="ALM37" i="5"/>
  <c r="ALN37" i="5"/>
  <c r="PY38" i="5"/>
  <c r="ACY38" i="5"/>
  <c r="FO37" i="5"/>
  <c r="YQ36" i="5"/>
  <c r="AJC35" i="5"/>
  <c r="II36" i="5"/>
  <c r="ZC36" i="5"/>
  <c r="AJP33" i="5"/>
  <c r="HZ34" i="5"/>
  <c r="TR34" i="5"/>
  <c r="AFJ34" i="5"/>
  <c r="DT35" i="5"/>
  <c r="RH35" i="5"/>
  <c r="ACZ35" i="5"/>
  <c r="BJ36" i="5"/>
  <c r="PI36" i="5"/>
  <c r="ADM33" i="5"/>
  <c r="SM34" i="5"/>
  <c r="BY35" i="5"/>
  <c r="AEG35" i="5"/>
  <c r="ADE36" i="5"/>
  <c r="O38" i="5"/>
  <c r="ON37" i="5"/>
  <c r="ALL37" i="5"/>
  <c r="RV39" i="5"/>
  <c r="MW38" i="5"/>
  <c r="QL37" i="5"/>
  <c r="HZ38" i="5"/>
  <c r="HG37" i="5"/>
  <c r="QU38" i="5"/>
  <c r="QV38" i="5"/>
  <c r="ACG37" i="5"/>
  <c r="AIJ36" i="5"/>
  <c r="EW38" i="5"/>
  <c r="WE37" i="5"/>
  <c r="ALN36" i="5"/>
  <c r="NA37" i="5"/>
  <c r="ALC37" i="5"/>
  <c r="SR37" i="5"/>
  <c r="BZ36" i="5"/>
  <c r="QI36" i="5"/>
  <c r="AEC33" i="5"/>
  <c r="TC34" i="5"/>
  <c r="CO35" i="5"/>
  <c r="AEW35" i="5"/>
  <c r="AEK36" i="5"/>
  <c r="AH38" i="5"/>
  <c r="PD37" i="5"/>
  <c r="AME37" i="5"/>
  <c r="ZQ37" i="5"/>
  <c r="NS38" i="5"/>
  <c r="RB37" i="5"/>
  <c r="IV38" i="5"/>
  <c r="HW37" i="5"/>
  <c r="AJS38" i="5"/>
  <c r="RX38" i="5"/>
  <c r="ACW37" i="5"/>
  <c r="AIZ36" i="5"/>
  <c r="FQ38" i="5"/>
  <c r="WU37" i="5"/>
  <c r="AMD36" i="5"/>
  <c r="QS37" i="5"/>
  <c r="ALY37" i="5"/>
  <c r="ABC38" i="5"/>
  <c r="AKI35" i="5"/>
  <c r="JU36" i="5"/>
  <c r="ABO36" i="5"/>
  <c r="AKV33" i="5"/>
  <c r="JF34" i="5"/>
  <c r="UX34" i="5"/>
  <c r="AGP34" i="5"/>
  <c r="GV35" i="5"/>
  <c r="SN35" i="5"/>
  <c r="AEF35" i="5"/>
  <c r="CP36" i="5"/>
  <c r="UA36" i="5"/>
  <c r="AES33" i="5"/>
  <c r="TS34" i="5"/>
  <c r="IS35" i="5"/>
  <c r="AFM35" i="5"/>
  <c r="AFQ36" i="5"/>
  <c r="BF38" i="5"/>
  <c r="PT37" i="5"/>
  <c r="GY38" i="5"/>
  <c r="AAG37" i="5"/>
  <c r="OU38" i="5"/>
  <c r="RR37" i="5"/>
  <c r="JX38" i="5"/>
  <c r="TO37" i="5"/>
  <c r="ALA38" i="5"/>
  <c r="TB38" i="5"/>
  <c r="ADM37" i="5"/>
  <c r="AJP36" i="5"/>
  <c r="GK38" i="5"/>
  <c r="XK37" i="5"/>
  <c r="CN37" i="5"/>
  <c r="RI37" i="5"/>
  <c r="J38" i="5"/>
  <c r="KB36" i="5"/>
  <c r="AKY35" i="5"/>
  <c r="KN36" i="5"/>
  <c r="AGW36" i="5"/>
  <c r="ALL33" i="5"/>
  <c r="JV34" i="5"/>
  <c r="VN34" i="5"/>
  <c r="AHF34" i="5"/>
  <c r="HL35" i="5"/>
  <c r="TD35" i="5"/>
  <c r="AEV35" i="5"/>
  <c r="DF36" i="5"/>
  <c r="UW36" i="5"/>
  <c r="AFI33" i="5"/>
  <c r="UI34" i="5"/>
  <c r="JI35" i="5"/>
  <c r="AE36" i="5"/>
  <c r="HD37" i="5"/>
  <c r="BZ38" i="5"/>
  <c r="QJ37" i="5"/>
  <c r="HX38" i="5"/>
  <c r="AAW37" i="5"/>
  <c r="AAI38" i="5"/>
  <c r="SH37" i="5"/>
  <c r="KZ38" i="5"/>
  <c r="UE37" i="5"/>
  <c r="J39" i="5"/>
  <c r="K39" i="5"/>
  <c r="AEC37" i="5"/>
  <c r="BV37" i="5"/>
  <c r="ID38" i="5"/>
  <c r="YQ37" i="5"/>
  <c r="DT37" i="5"/>
  <c r="ADQ37" i="5"/>
  <c r="TP38" i="5"/>
  <c r="KR36" i="5"/>
  <c r="LM37" i="5"/>
  <c r="EW34" i="5"/>
  <c r="QO34" i="5"/>
  <c r="ACG34" i="5"/>
  <c r="AQ35" i="5"/>
  <c r="OE35" i="5"/>
  <c r="ZW35" i="5"/>
  <c r="ALO35" i="5"/>
  <c r="LJ36" i="5"/>
  <c r="AIE36" i="5"/>
  <c r="AMB33" i="5"/>
  <c r="KL34" i="5"/>
  <c r="WD34" i="5"/>
  <c r="AJR34" i="5"/>
  <c r="IB35" i="5"/>
  <c r="TT35" i="5"/>
  <c r="AFL35" i="5"/>
  <c r="DV36" i="5"/>
  <c r="VY36" i="5"/>
  <c r="AFY33" i="5"/>
  <c r="UY34" i="5"/>
  <c r="JY35" i="5"/>
  <c r="AU36" i="5"/>
  <c r="JP37" i="5"/>
  <c r="CT38" i="5"/>
  <c r="QZ37" i="5"/>
  <c r="LT38" i="5"/>
  <c r="ABM37" i="5"/>
  <c r="ABO38" i="5"/>
  <c r="SX37" i="5"/>
  <c r="LV38" i="5"/>
  <c r="UU37" i="5"/>
  <c r="AT39" i="5"/>
  <c r="BE39" i="5"/>
  <c r="AES37" i="5"/>
  <c r="LB37" i="5"/>
  <c r="AAN38" i="5"/>
  <c r="AJC37" i="5"/>
  <c r="RX37" i="5"/>
  <c r="AEG37" i="5"/>
  <c r="UV38" i="5"/>
  <c r="GW38" i="5"/>
  <c r="OB37" i="5"/>
  <c r="FM34" i="5"/>
  <c r="RE34" i="5"/>
  <c r="ACW34" i="5"/>
  <c r="DC35" i="5"/>
  <c r="OU35" i="5"/>
  <c r="AAM35" i="5"/>
  <c r="AME35" i="5"/>
  <c r="MC36" i="5"/>
  <c r="AJM36" i="5"/>
  <c r="J34" i="5"/>
  <c r="LB34" i="5"/>
  <c r="WT34" i="5"/>
  <c r="AKH34" i="5"/>
  <c r="IR35" i="5"/>
  <c r="UJ35" i="5"/>
  <c r="AGB35" i="5"/>
  <c r="GU36" i="5"/>
  <c r="XA36" i="5"/>
  <c r="AMC33" i="5"/>
  <c r="VO34" i="5"/>
  <c r="KO35" i="5"/>
  <c r="BK36" i="5"/>
  <c r="MB37" i="5"/>
  <c r="LS38" i="5"/>
  <c r="RP37" i="5"/>
  <c r="MV38" i="5"/>
  <c r="ACC37" i="5"/>
  <c r="ACU38" i="5"/>
  <c r="ZB37" i="5"/>
  <c r="AAJ38" i="5"/>
  <c r="VK37" i="5"/>
  <c r="CO39" i="5"/>
  <c r="DA39" i="5"/>
  <c r="BL38" i="5"/>
  <c r="LR37" i="5"/>
  <c r="ABT38" i="5"/>
  <c r="AJS37" i="5"/>
  <c r="ACJ37" i="5"/>
  <c r="AEW37" i="5"/>
  <c r="XH38" i="5"/>
  <c r="HQ38" i="5"/>
  <c r="JU35" i="5"/>
  <c r="UG35" i="5"/>
  <c r="AES35" i="5"/>
  <c r="BW36" i="5"/>
  <c r="QB36" i="5"/>
  <c r="CZ37" i="5"/>
  <c r="MF34" i="5"/>
  <c r="XX34" i="5"/>
  <c r="AJP34" i="5"/>
  <c r="JV35" i="5"/>
  <c r="VN35" i="5"/>
  <c r="AHF35" i="5"/>
  <c r="FZ36" i="5"/>
  <c r="VW36" i="5"/>
  <c r="RO37" i="5"/>
  <c r="GC34" i="5"/>
  <c r="RU34" i="5"/>
  <c r="ADM34" i="5"/>
  <c r="DS35" i="5"/>
  <c r="PK35" i="5"/>
  <c r="ABC35" i="5"/>
  <c r="M36" i="5"/>
  <c r="PH36" i="5"/>
  <c r="AKU36" i="5"/>
  <c r="Z34" i="5"/>
  <c r="LR34" i="5"/>
  <c r="XJ34" i="5"/>
  <c r="AKX34" i="5"/>
  <c r="JH35" i="5"/>
  <c r="UZ35" i="5"/>
  <c r="AGR35" i="5"/>
  <c r="HQ36" i="5"/>
  <c r="XX36" i="5"/>
  <c r="K34" i="5"/>
  <c r="WE34" i="5"/>
  <c r="SO35" i="5"/>
  <c r="CA36" i="5"/>
  <c r="OR37" i="5"/>
  <c r="MU38" i="5"/>
  <c r="SF37" i="5"/>
  <c r="XN38" i="5"/>
  <c r="ACS37" i="5"/>
  <c r="AEB38" i="5"/>
  <c r="ZR37" i="5"/>
  <c r="ABP38" i="5"/>
  <c r="AEQ37" i="5"/>
  <c r="EW39" i="5"/>
  <c r="EX39" i="5"/>
  <c r="JE38" i="5"/>
  <c r="MH37" i="5"/>
  <c r="ACZ38" i="5"/>
  <c r="AKI37" i="5"/>
  <c r="ACZ37" i="5"/>
  <c r="GR38" i="5"/>
  <c r="CQ37" i="5"/>
  <c r="IR38" i="5"/>
  <c r="LN35" i="5"/>
  <c r="VJ35" i="5"/>
  <c r="AFF35" i="5"/>
  <c r="BT36" i="5"/>
  <c r="NJ36" i="5"/>
  <c r="ADV36" i="5"/>
  <c r="UV37" i="5"/>
  <c r="AAW34" i="5"/>
  <c r="AKS34" i="5"/>
  <c r="HG35" i="5"/>
  <c r="RC35" i="5"/>
  <c r="AAY35" i="5"/>
  <c r="AKU35" i="5"/>
  <c r="IB36" i="5"/>
  <c r="WP36" i="5"/>
  <c r="GB37" i="5"/>
  <c r="MT34" i="5"/>
  <c r="XF34" i="5"/>
  <c r="AHR34" i="5"/>
  <c r="EV35" i="5"/>
  <c r="PH35" i="5"/>
  <c r="ZT35" i="5"/>
  <c r="AKF35" i="5"/>
  <c r="IY36" i="5"/>
  <c r="XT36" i="5"/>
  <c r="IY37" i="5"/>
  <c r="SI34" i="5"/>
  <c r="ACU34" i="5"/>
  <c r="Y35" i="5"/>
  <c r="KK35" i="5"/>
  <c r="UW35" i="5"/>
  <c r="AFI35" i="5"/>
  <c r="CM36" i="5"/>
  <c r="RA36" i="5"/>
  <c r="ES37" i="5"/>
  <c r="MV34" i="5"/>
  <c r="YN34" i="5"/>
  <c r="AKF34" i="5"/>
  <c r="KL35" i="5"/>
  <c r="WD35" i="5"/>
  <c r="AHV35" i="5"/>
  <c r="GS36" i="5"/>
  <c r="AAH36" i="5"/>
  <c r="XH37" i="5"/>
  <c r="GS34" i="5"/>
  <c r="SK34" i="5"/>
  <c r="AEC34" i="5"/>
  <c r="EI35" i="5"/>
  <c r="QA35" i="5"/>
  <c r="ABS35" i="5"/>
  <c r="AC36" i="5"/>
  <c r="QH36" i="5"/>
  <c r="D37" i="5"/>
  <c r="AP34" i="5"/>
  <c r="MH34" i="5"/>
  <c r="ZV34" i="5"/>
  <c r="ALN34" i="5"/>
  <c r="JX35" i="5"/>
  <c r="VP35" i="5"/>
  <c r="AHH35" i="5"/>
  <c r="IJ36" i="5"/>
  <c r="ZD36" i="5"/>
  <c r="AA34" i="5"/>
  <c r="ACI34" i="5"/>
  <c r="TE35" i="5"/>
  <c r="CQ36" i="5"/>
  <c r="SE37" i="5"/>
  <c r="NQ38" i="5"/>
  <c r="AAF37" i="5"/>
  <c r="YT38" i="5"/>
  <c r="ADI37" i="5"/>
  <c r="AFJ38" i="5"/>
  <c r="AAH37" i="5"/>
  <c r="ACV38" i="5"/>
  <c r="AFG37" i="5"/>
  <c r="GT39" i="5"/>
  <c r="GU39" i="5"/>
  <c r="KA38" i="5"/>
  <c r="MX37" i="5"/>
  <c r="AEG38" i="5"/>
  <c r="AKZ37" i="5"/>
  <c r="ADP37" i="5"/>
  <c r="HL38" i="5"/>
  <c r="WI37" i="5"/>
  <c r="AJC39" i="5"/>
  <c r="CH35" i="5"/>
  <c r="MD35" i="5"/>
  <c r="VZ35" i="5"/>
  <c r="AFV35" i="5"/>
  <c r="CJ36" i="5"/>
  <c r="OD36" i="5"/>
  <c r="AFB36" i="5"/>
  <c r="RQ34" i="5"/>
  <c r="ABM34" i="5"/>
  <c r="ALI34" i="5"/>
  <c r="HW35" i="5"/>
  <c r="RS35" i="5"/>
  <c r="ABO35" i="5"/>
  <c r="ALK35" i="5"/>
  <c r="IX36" i="5"/>
  <c r="XS36" i="5"/>
  <c r="IN37" i="5"/>
  <c r="NJ34" i="5"/>
  <c r="XV34" i="5"/>
  <c r="AIH34" i="5"/>
  <c r="FL35" i="5"/>
  <c r="PX35" i="5"/>
  <c r="AAJ35" i="5"/>
  <c r="ALL35" i="5"/>
  <c r="JR36" i="5"/>
  <c r="YZ36" i="5"/>
  <c r="LK37" i="5"/>
  <c r="SY34" i="5"/>
  <c r="ADK34" i="5"/>
  <c r="AO35" i="5"/>
  <c r="LA35" i="5"/>
  <c r="VM35" i="5"/>
  <c r="AFY35" i="5"/>
  <c r="DC36" i="5"/>
  <c r="UT36" i="5"/>
  <c r="GN37" i="5"/>
  <c r="NL34" i="5"/>
  <c r="ZD34" i="5"/>
  <c r="AKV34" i="5"/>
  <c r="LB35" i="5"/>
  <c r="WT35" i="5"/>
  <c r="AIL35" i="5"/>
  <c r="HL36" i="5"/>
  <c r="ABN36" i="5"/>
  <c r="AIY33" i="5"/>
  <c r="HI34" i="5"/>
  <c r="TA34" i="5"/>
  <c r="AGO34" i="5"/>
  <c r="EY35" i="5"/>
  <c r="QQ35" i="5"/>
  <c r="ACI35" i="5"/>
  <c r="AS36" i="5"/>
  <c r="RC36" i="5"/>
  <c r="AL37" i="5"/>
  <c r="BF34" i="5"/>
  <c r="MX34" i="5"/>
  <c r="AAL34" i="5"/>
  <c r="AMD34" i="5"/>
  <c r="KN35" i="5"/>
  <c r="WF35" i="5"/>
  <c r="AJT35" i="5"/>
  <c r="JC36" i="5"/>
  <c r="AAJ36" i="5"/>
  <c r="AQ34" i="5"/>
  <c r="ACY34" i="5"/>
  <c r="TU35" i="5"/>
  <c r="JW36" i="5"/>
  <c r="ZD37" i="5"/>
  <c r="OS38" i="5"/>
  <c r="AAV37" i="5"/>
  <c r="ZZ38" i="5"/>
  <c r="AJM37" i="5"/>
  <c r="AGR38" i="5"/>
  <c r="ACT37" i="5"/>
  <c r="AEC38" i="5"/>
  <c r="AFW37" i="5"/>
  <c r="AFX37" i="5"/>
  <c r="IR39" i="5"/>
  <c r="LC38" i="5"/>
  <c r="NN37" i="5"/>
  <c r="DC39" i="5"/>
  <c r="YC38" i="5"/>
  <c r="JH38" i="5"/>
  <c r="NK38" i="5"/>
  <c r="WY37" i="5"/>
  <c r="AJV39" i="5"/>
  <c r="AKR39" i="5"/>
  <c r="AGD39" i="5"/>
  <c r="EL39" i="5"/>
  <c r="DQ39" i="5"/>
  <c r="TU36" i="5"/>
  <c r="TH37" i="5"/>
  <c r="OX39" i="5"/>
  <c r="AFY36" i="5"/>
  <c r="Z38" i="5"/>
  <c r="OF37" i="5"/>
  <c r="ZW36" i="5"/>
  <c r="ABD36" i="5"/>
  <c r="UK36" i="5"/>
  <c r="TX37" i="5"/>
  <c r="AKL38" i="5"/>
  <c r="FF36" i="5"/>
  <c r="RV36" i="5"/>
  <c r="AKS36" i="5"/>
  <c r="HX34" i="5"/>
  <c r="RT34" i="5"/>
  <c r="ABP34" i="5"/>
  <c r="ALL34" i="5"/>
  <c r="HZ35" i="5"/>
  <c r="RV35" i="5"/>
  <c r="ABR35" i="5"/>
  <c r="ALN35" i="5"/>
  <c r="JA36" i="5"/>
  <c r="WS36" i="5"/>
  <c r="ET37" i="5"/>
  <c r="BE34" i="5"/>
  <c r="LA34" i="5"/>
  <c r="UW34" i="5"/>
  <c r="AES34" i="5"/>
  <c r="BG35" i="5"/>
  <c r="LC35" i="5"/>
  <c r="UY35" i="5"/>
  <c r="AEU35" i="5"/>
  <c r="BI36" i="5"/>
  <c r="MV36" i="5"/>
  <c r="ACU36" i="5"/>
  <c r="RQ37" i="5"/>
  <c r="EH34" i="5"/>
  <c r="OD34" i="5"/>
  <c r="XZ34" i="5"/>
  <c r="AHV34" i="5"/>
  <c r="EJ35" i="5"/>
  <c r="OF35" i="5"/>
  <c r="YB35" i="5"/>
  <c r="AHX35" i="5"/>
  <c r="EP36" i="5"/>
  <c r="RD36" i="5"/>
  <c r="ALE36" i="5"/>
  <c r="IQ34" i="5"/>
  <c r="ADO34" i="5"/>
  <c r="LE35" i="5"/>
  <c r="AGC35" i="5"/>
  <c r="ZM36" i="5"/>
  <c r="ADG37" i="5"/>
  <c r="QQ38" i="5"/>
  <c r="YJ37" i="5"/>
  <c r="IT38" i="5"/>
  <c r="SG37" i="5"/>
  <c r="AN38" i="5"/>
  <c r="RW39" i="5"/>
  <c r="AAX37" i="5"/>
  <c r="MX38" i="5"/>
  <c r="OQ37" i="5"/>
  <c r="IA38" i="5"/>
  <c r="AIJ37" i="5"/>
  <c r="EW37" i="5"/>
  <c r="CJ38" i="5"/>
  <c r="Z37" i="5"/>
  <c r="AET37" i="5"/>
  <c r="AHE36" i="5"/>
  <c r="PG38" i="5"/>
  <c r="PL37" i="5"/>
  <c r="AME36" i="5"/>
  <c r="ABT36" i="5"/>
  <c r="VA36" i="5"/>
  <c r="TW36" i="5"/>
  <c r="ALB38" i="5"/>
  <c r="FY36" i="5"/>
  <c r="SV36" i="5"/>
  <c r="AMA36" i="5"/>
  <c r="IN34" i="5"/>
  <c r="SJ34" i="5"/>
  <c r="ACF34" i="5"/>
  <c r="AMB34" i="5"/>
  <c r="IP35" i="5"/>
  <c r="SL35" i="5"/>
  <c r="ACH35" i="5"/>
  <c r="AMD35" i="5"/>
  <c r="JT36" i="5"/>
  <c r="XV36" i="5"/>
  <c r="GO37" i="5"/>
  <c r="BU34" i="5"/>
  <c r="LQ34" i="5"/>
  <c r="VM34" i="5"/>
  <c r="AFI34" i="5"/>
  <c r="BW35" i="5"/>
  <c r="LS35" i="5"/>
  <c r="VO35" i="5"/>
  <c r="AFK35" i="5"/>
  <c r="BY36" i="5"/>
  <c r="NO36" i="5"/>
  <c r="AEA36" i="5"/>
  <c r="XX37" i="5"/>
  <c r="EX34" i="5"/>
  <c r="OT34" i="5"/>
  <c r="YP34" i="5"/>
  <c r="AIL34" i="5"/>
  <c r="EZ35" i="5"/>
  <c r="OV35" i="5"/>
  <c r="YR35" i="5"/>
  <c r="AIN35" i="5"/>
  <c r="FI36" i="5"/>
  <c r="SD36" i="5"/>
  <c r="E37" i="5"/>
  <c r="JG34" i="5"/>
  <c r="AEE34" i="5"/>
  <c r="LU35" i="5"/>
  <c r="AMG35" i="5"/>
  <c r="AAS36" i="5"/>
  <c r="ADW37" i="5"/>
  <c r="RS38" i="5"/>
  <c r="YZ37" i="5"/>
  <c r="JV38" i="5"/>
  <c r="SW37" i="5"/>
  <c r="IU38" i="5"/>
  <c r="GP37" i="5"/>
  <c r="ABN37" i="5"/>
  <c r="NT38" i="5"/>
  <c r="PG37" i="5"/>
  <c r="JC38" i="5"/>
  <c r="A38" i="5"/>
  <c r="LA37" i="5"/>
  <c r="HH38" i="5"/>
  <c r="AP37" i="5"/>
  <c r="AFZ37" i="5"/>
  <c r="EI37" i="5"/>
  <c r="QC38" i="5"/>
  <c r="QB37" i="5"/>
  <c r="M37" i="5"/>
  <c r="ACJ36" i="5"/>
  <c r="BK37" i="5"/>
  <c r="UM36" i="5"/>
  <c r="ALR38" i="5"/>
  <c r="PY36" i="5"/>
  <c r="AHR36" i="5"/>
  <c r="HF34" i="5"/>
  <c r="RB34" i="5"/>
  <c r="AAX34" i="5"/>
  <c r="AKT34" i="5"/>
  <c r="HH35" i="5"/>
  <c r="RD35" i="5"/>
  <c r="AAZ35" i="5"/>
  <c r="AKV35" i="5"/>
  <c r="IC36" i="5"/>
  <c r="VU36" i="5"/>
  <c r="CY37" i="5"/>
  <c r="PW34" i="5"/>
  <c r="ZS34" i="5"/>
  <c r="AJO34" i="5"/>
  <c r="GC35" i="5"/>
  <c r="PY35" i="5"/>
  <c r="ZU35" i="5"/>
  <c r="AJQ35" i="5"/>
  <c r="GR36" i="5"/>
  <c r="TR36" i="5"/>
  <c r="AJ37" i="5"/>
  <c r="JD34" i="5"/>
  <c r="SZ34" i="5"/>
  <c r="ACV34" i="5"/>
  <c r="J35" i="5"/>
  <c r="JF35" i="5"/>
  <c r="TB35" i="5"/>
  <c r="ACX35" i="5"/>
  <c r="L36" i="5"/>
  <c r="KM36" i="5"/>
  <c r="ZB36" i="5"/>
  <c r="JA37" i="5"/>
  <c r="CK34" i="5"/>
  <c r="MG34" i="5"/>
  <c r="WC34" i="5"/>
  <c r="AFY34" i="5"/>
  <c r="CM35" i="5"/>
  <c r="MI35" i="5"/>
  <c r="WE35" i="5"/>
  <c r="AGA35" i="5"/>
  <c r="CO36" i="5"/>
  <c r="OM36" i="5"/>
  <c r="AFG36" i="5"/>
  <c r="AIZ33" i="5"/>
  <c r="FN34" i="5"/>
  <c r="PJ34" i="5"/>
  <c r="ZF34" i="5"/>
  <c r="AJB34" i="5"/>
  <c r="FP35" i="5"/>
  <c r="PL35" i="5"/>
  <c r="ZH35" i="5"/>
  <c r="AJD35" i="5"/>
  <c r="GB36" i="5"/>
  <c r="SY36" i="5"/>
  <c r="YN37" i="5"/>
  <c r="JW34" i="5"/>
  <c r="AEU34" i="5"/>
  <c r="MK35" i="5"/>
  <c r="O36" i="5"/>
  <c r="ABY36" i="5"/>
  <c r="AEM37" i="5"/>
  <c r="ADQ38" i="5"/>
  <c r="ZP37" i="5"/>
  <c r="KR38" i="5"/>
  <c r="TM37" i="5"/>
  <c r="JW38" i="5"/>
  <c r="HF37" i="5"/>
  <c r="ACD37" i="5"/>
  <c r="ZD38" i="5"/>
  <c r="PW37" i="5"/>
  <c r="OW38" i="5"/>
  <c r="W38" i="5"/>
  <c r="OS37" i="5"/>
  <c r="IC38" i="5"/>
  <c r="BF37" i="5"/>
  <c r="DY38" i="5"/>
  <c r="EY37" i="5"/>
  <c r="WW38" i="5"/>
  <c r="QR37" i="5"/>
  <c r="AC37" i="5"/>
  <c r="FB37" i="5"/>
  <c r="CA37" i="5"/>
  <c r="WI36" i="5"/>
  <c r="AEF37" i="5"/>
  <c r="MH38" i="5"/>
  <c r="Y39" i="5"/>
  <c r="AAM36" i="5"/>
  <c r="AS37" i="5"/>
  <c r="RY37" i="5"/>
  <c r="AFM37" i="5"/>
  <c r="OG38" i="5"/>
  <c r="FN39" i="5"/>
  <c r="AGB36" i="5"/>
  <c r="GX37" i="5"/>
  <c r="VB37" i="5"/>
  <c r="AC38" i="5"/>
  <c r="AHS38" i="5"/>
  <c r="VQ36" i="5"/>
  <c r="DG37" i="5"/>
  <c r="YE37" i="5"/>
  <c r="UW38" i="5"/>
  <c r="VB36" i="5"/>
  <c r="AEZ37" i="5"/>
  <c r="WY36" i="5"/>
  <c r="OZ36" i="5"/>
  <c r="YL39" i="5"/>
  <c r="ALK39" i="5"/>
  <c r="PN39" i="5"/>
  <c r="YE38" i="5"/>
  <c r="HI38" i="5"/>
  <c r="AFX38" i="5"/>
  <c r="AGO36" i="5"/>
  <c r="GU37" i="5"/>
  <c r="YA37" i="5"/>
  <c r="ALS37" i="5"/>
  <c r="ZI38" i="5"/>
  <c r="ZV36" i="5"/>
  <c r="DD37" i="5"/>
  <c r="RH37" i="5"/>
  <c r="AHX37" i="5"/>
  <c r="ND38" i="5"/>
  <c r="BI39" i="5"/>
  <c r="ABC36" i="5"/>
  <c r="BI37" i="5"/>
  <c r="SO37" i="5"/>
  <c r="AGS37" i="5"/>
  <c r="PI38" i="5"/>
  <c r="HK39" i="5"/>
  <c r="AGR36" i="5"/>
  <c r="HN37" i="5"/>
  <c r="ZJ37" i="5"/>
  <c r="AW38" i="5"/>
  <c r="AJA38" i="5"/>
  <c r="WW36" i="5"/>
  <c r="DW37" i="5"/>
  <c r="YU37" i="5"/>
  <c r="WC38" i="5"/>
  <c r="WH36" i="5"/>
  <c r="AFP37" i="5"/>
  <c r="ABG36" i="5"/>
  <c r="PP36" i="5"/>
  <c r="AHL39" i="5"/>
  <c r="AMD39" i="5"/>
  <c r="QD39" i="5"/>
  <c r="AAQ38" i="5"/>
  <c r="AJD37" i="5"/>
  <c r="OF38" i="5"/>
  <c r="TR39" i="5"/>
  <c r="ABS36" i="5"/>
  <c r="BY37" i="5"/>
  <c r="TE37" i="5"/>
  <c r="AHI37" i="5"/>
  <c r="QE38" i="5"/>
  <c r="JV39" i="5"/>
  <c r="AHH36" i="5"/>
  <c r="ID37" i="5"/>
  <c r="ZZ37" i="5"/>
  <c r="CO38" i="5"/>
  <c r="ALQ38" i="5"/>
  <c r="ACK36" i="5"/>
  <c r="EM37" i="5"/>
  <c r="ZK37" i="5"/>
  <c r="XI38" i="5"/>
  <c r="AAP36" i="5"/>
  <c r="AGF37" i="5"/>
  <c r="FE37" i="5"/>
  <c r="QF36" i="5"/>
  <c r="AIH39" i="5"/>
  <c r="WG39" i="5"/>
  <c r="QT39" i="5"/>
  <c r="DY39" i="5"/>
  <c r="JF38" i="5"/>
  <c r="EZ39" i="5"/>
  <c r="AHU36" i="5"/>
  <c r="LS37" i="5"/>
  <c r="ZG37" i="5"/>
  <c r="AT38" i="5"/>
  <c r="ABU38" i="5"/>
  <c r="ABB36" i="5"/>
  <c r="EJ37" i="5"/>
  <c r="SN37" i="5"/>
  <c r="AJT37" i="5"/>
  <c r="PH38" i="5"/>
  <c r="OU36" i="5"/>
  <c r="ACI36" i="5"/>
  <c r="GG37" i="5"/>
  <c r="TU37" i="5"/>
  <c r="AHY37" i="5"/>
  <c r="RG38" i="5"/>
  <c r="MY39" i="5"/>
  <c r="AIN36" i="5"/>
  <c r="IT37" i="5"/>
  <c r="AAP37" i="5"/>
  <c r="DI38" i="5"/>
  <c r="AA39" i="5"/>
  <c r="ADA36" i="5"/>
  <c r="GI37" i="5"/>
  <c r="ABW37" i="5"/>
  <c r="ZU38" i="5"/>
  <c r="ABF36" i="5"/>
  <c r="AKN37" i="5"/>
  <c r="NE37" i="5"/>
  <c r="UN36" i="5"/>
  <c r="AJA39" i="5"/>
  <c r="ACI39" i="5"/>
  <c r="RJ39" i="5"/>
  <c r="EO39" i="5"/>
  <c r="AM37" i="5"/>
  <c r="AGO33" i="5"/>
  <c r="DC34" i="5"/>
  <c r="MY34" i="5"/>
  <c r="WU34" i="5"/>
  <c r="AGQ34" i="5"/>
  <c r="DE35" i="5"/>
  <c r="NA35" i="5"/>
  <c r="WW35" i="5"/>
  <c r="AGS35" i="5"/>
  <c r="DG36" i="5"/>
  <c r="PJ36" i="5"/>
  <c r="AGY36" i="5"/>
  <c r="VW37" i="5"/>
  <c r="AFS37" i="5"/>
  <c r="DR38" i="5"/>
  <c r="SP38" i="5"/>
  <c r="AP39" i="5"/>
  <c r="SV37" i="5"/>
  <c r="ACR37" i="5"/>
  <c r="P38" i="5"/>
  <c r="NR38" i="5"/>
  <c r="AGQ38" i="5"/>
  <c r="UC37" i="5"/>
  <c r="ADY37" i="5"/>
  <c r="BH38" i="5"/>
  <c r="PW38" i="5"/>
  <c r="AJQ38" i="5"/>
  <c r="JR37" i="5"/>
  <c r="TN37" i="5"/>
  <c r="ADJ37" i="5"/>
  <c r="AO38" i="5"/>
  <c r="OV38" i="5"/>
  <c r="AIJ38" i="5"/>
  <c r="IM37" i="5"/>
  <c r="WA37" i="5"/>
  <c r="AIY37" i="5"/>
  <c r="RW38" i="5"/>
  <c r="IQ39" i="5"/>
  <c r="AQ38" i="5"/>
  <c r="UH38" i="5"/>
  <c r="FM37" i="5"/>
  <c r="SK37" i="5"/>
  <c r="AIK37" i="5"/>
  <c r="ME38" i="5"/>
  <c r="ALL38" i="5"/>
  <c r="CL37" i="5"/>
  <c r="PJ37" i="5"/>
  <c r="AGP37" i="5"/>
  <c r="KB38" i="5"/>
  <c r="GW39" i="5"/>
  <c r="AIK36" i="5"/>
  <c r="MI37" i="5"/>
  <c r="ZW37" i="5"/>
  <c r="FR38" i="5"/>
  <c r="ADA38" i="5"/>
  <c r="ABR36" i="5"/>
  <c r="FP37" i="5"/>
  <c r="TD37" i="5"/>
  <c r="AKJ37" i="5"/>
  <c r="QD38" i="5"/>
  <c r="PK36" i="5"/>
  <c r="ACY36" i="5"/>
  <c r="GW37" i="5"/>
  <c r="UK37" i="5"/>
  <c r="ALU37" i="5"/>
  <c r="SJ38" i="5"/>
  <c r="QO39" i="5"/>
  <c r="AJD36" i="5"/>
  <c r="JJ37" i="5"/>
  <c r="ABF37" i="5"/>
  <c r="EG38" i="5"/>
  <c r="BU39" i="5"/>
  <c r="ADQ36" i="5"/>
  <c r="LG37" i="5"/>
  <c r="ADC37" i="5"/>
  <c r="AHT38" i="5"/>
  <c r="ALR36" i="5"/>
  <c r="ALE37" i="5"/>
  <c r="PQ37" i="5"/>
  <c r="DZ37" i="5"/>
  <c r="AJT39" i="5"/>
  <c r="ADB39" i="5"/>
  <c r="AJA40" i="5"/>
  <c r="IW39" i="5"/>
  <c r="BU37" i="5"/>
  <c r="AHE33" i="5"/>
  <c r="DS34" i="5"/>
  <c r="NO34" i="5"/>
  <c r="XK34" i="5"/>
  <c r="AHG34" i="5"/>
  <c r="DU35" i="5"/>
  <c r="NQ35" i="5"/>
  <c r="XM35" i="5"/>
  <c r="AHI35" i="5"/>
  <c r="DW36" i="5"/>
  <c r="QJ36" i="5"/>
  <c r="AIG36" i="5"/>
  <c r="WM37" i="5"/>
  <c r="AGI37" i="5"/>
  <c r="EL38" i="5"/>
  <c r="TU38" i="5"/>
  <c r="CK39" i="5"/>
  <c r="TL37" i="5"/>
  <c r="ADH37" i="5"/>
  <c r="AM38" i="5"/>
  <c r="OT38" i="5"/>
  <c r="AHY38" i="5"/>
  <c r="US37" i="5"/>
  <c r="AEO37" i="5"/>
  <c r="CB38" i="5"/>
  <c r="QS38" i="5"/>
  <c r="AKY38" i="5"/>
  <c r="KH37" i="5"/>
  <c r="UD37" i="5"/>
  <c r="ADZ37" i="5"/>
  <c r="BI38" i="5"/>
  <c r="PX38" i="5"/>
  <c r="AJR38" i="5"/>
  <c r="JS37" i="5"/>
  <c r="WQ37" i="5"/>
  <c r="AJO37" i="5"/>
  <c r="TA38" i="5"/>
  <c r="LS39" i="5"/>
  <c r="BK38" i="5"/>
  <c r="VN38" i="5"/>
  <c r="GC37" i="5"/>
  <c r="TA37" i="5"/>
  <c r="AJA37" i="5"/>
  <c r="NA38" i="5"/>
  <c r="JE39" i="5"/>
  <c r="DB37" i="5"/>
  <c r="PZ37" i="5"/>
  <c r="AHF37" i="5"/>
  <c r="LD38" i="5"/>
  <c r="JF39" i="5"/>
  <c r="AJA36" i="5"/>
  <c r="MY37" i="5"/>
  <c r="AAM37" i="5"/>
  <c r="GL38" i="5"/>
  <c r="AEQ38" i="5"/>
  <c r="AFJ36" i="5"/>
  <c r="GF37" i="5"/>
  <c r="TT37" i="5"/>
  <c r="ALA37" i="5"/>
  <c r="RF38" i="5"/>
  <c r="QA36" i="5"/>
  <c r="ADO36" i="5"/>
  <c r="HM37" i="5"/>
  <c r="VA37" i="5"/>
  <c r="I38" i="5"/>
  <c r="UU38" i="5"/>
  <c r="VP36" i="5"/>
  <c r="AJT36" i="5"/>
  <c r="JZ37" i="5"/>
  <c r="ABV37" i="5"/>
  <c r="FA38" i="5"/>
  <c r="DR39" i="5"/>
  <c r="AEG36" i="5"/>
  <c r="LW37" i="5"/>
  <c r="AEI37" i="5"/>
  <c r="AJB38" i="5"/>
  <c r="AMH36" i="5"/>
  <c r="AMA37" i="5"/>
  <c r="QG37" i="5"/>
  <c r="EP37" i="5"/>
  <c r="AKM39" i="5"/>
  <c r="ADX39" i="5"/>
  <c r="CQ39" i="5"/>
  <c r="JM39" i="5"/>
  <c r="DL37" i="5"/>
  <c r="AHU33" i="5"/>
  <c r="EI34" i="5"/>
  <c r="OE34" i="5"/>
  <c r="YA34" i="5"/>
  <c r="AHW34" i="5"/>
  <c r="EK35" i="5"/>
  <c r="OG35" i="5"/>
  <c r="YC35" i="5"/>
  <c r="AHY35" i="5"/>
  <c r="EQ36" i="5"/>
  <c r="RE36" i="5"/>
  <c r="AJO36" i="5"/>
  <c r="XC37" i="5"/>
  <c r="AGY37" i="5"/>
  <c r="FF38" i="5"/>
  <c r="VA38" i="5"/>
  <c r="EH39" i="5"/>
  <c r="UB37" i="5"/>
  <c r="ADX37" i="5"/>
  <c r="BG38" i="5"/>
  <c r="PP38" i="5"/>
  <c r="AJP38" i="5"/>
  <c r="VI37" i="5"/>
  <c r="AFE37" i="5"/>
  <c r="CZ38" i="5"/>
  <c r="RU38" i="5"/>
  <c r="AMG38" i="5"/>
  <c r="KX37" i="5"/>
  <c r="UT37" i="5"/>
  <c r="AEP37" i="5"/>
  <c r="CC38" i="5"/>
  <c r="QT38" i="5"/>
  <c r="AKZ38" i="5"/>
  <c r="KI37" i="5"/>
  <c r="XG37" i="5"/>
  <c r="AP38" i="5"/>
  <c r="UG38" i="5"/>
  <c r="PI39" i="5"/>
  <c r="CI38" i="5"/>
  <c r="WT38" i="5"/>
  <c r="GS37" i="5"/>
  <c r="TQ37" i="5"/>
  <c r="AJQ37" i="5"/>
  <c r="OC38" i="5"/>
  <c r="MH39" i="5"/>
  <c r="DR37" i="5"/>
  <c r="TR37" i="5"/>
  <c r="AHV37" i="5"/>
  <c r="MF38" i="5"/>
  <c r="MI39" i="5"/>
  <c r="AJQ36" i="5"/>
  <c r="NO37" i="5"/>
  <c r="ABC37" i="5"/>
  <c r="HJ38" i="5"/>
  <c r="AHG38" i="5"/>
  <c r="AFZ36" i="5"/>
  <c r="GV37" i="5"/>
  <c r="XL37" i="5"/>
  <c r="ALT37" i="5"/>
  <c r="SI38" i="5"/>
  <c r="QQ36" i="5"/>
  <c r="AEE36" i="5"/>
  <c r="IC37" i="5"/>
  <c r="VQ37" i="5"/>
  <c r="AB38" i="5"/>
  <c r="WA38" i="5"/>
  <c r="WF36" i="5"/>
  <c r="AKJ36" i="5"/>
  <c r="NR37" i="5"/>
  <c r="ACL37" i="5"/>
  <c r="FU38" i="5"/>
  <c r="FO39" i="5"/>
  <c r="AEW36" i="5"/>
  <c r="MM37" i="5"/>
  <c r="AIQ37" i="5"/>
  <c r="NN39" i="5"/>
  <c r="AF37" i="5"/>
  <c r="PL38" i="5"/>
  <c r="QW37" i="5"/>
  <c r="KD37" i="5"/>
  <c r="EL41" i="5"/>
  <c r="AL40" i="5"/>
  <c r="EM39" i="5"/>
  <c r="F40" i="5"/>
  <c r="EV37" i="5"/>
  <c r="AIK33" i="5"/>
  <c r="EY34" i="5"/>
  <c r="OU34" i="5"/>
  <c r="YQ34" i="5"/>
  <c r="AIM34" i="5"/>
  <c r="FA35" i="5"/>
  <c r="OW35" i="5"/>
  <c r="YS35" i="5"/>
  <c r="AIO35" i="5"/>
  <c r="FJ36" i="5"/>
  <c r="SE36" i="5"/>
  <c r="ALF36" i="5"/>
  <c r="XS37" i="5"/>
  <c r="AHO37" i="5"/>
  <c r="GD38" i="5"/>
  <c r="WG38" i="5"/>
  <c r="GE39" i="5"/>
  <c r="UR37" i="5"/>
  <c r="AEN37" i="5"/>
  <c r="CA38" i="5"/>
  <c r="QR38" i="5"/>
  <c r="AKX38" i="5"/>
  <c r="VY37" i="5"/>
  <c r="AFU37" i="5"/>
  <c r="DT38" i="5"/>
  <c r="SY38" i="5"/>
  <c r="AR39" i="5"/>
  <c r="LN37" i="5"/>
  <c r="VJ37" i="5"/>
  <c r="AFF37" i="5"/>
  <c r="DA38" i="5"/>
  <c r="RV38" i="5"/>
  <c r="I39" i="5"/>
  <c r="KY37" i="5"/>
  <c r="XW37" i="5"/>
  <c r="BJ38" i="5"/>
  <c r="VM38" i="5"/>
  <c r="ACF37" i="5"/>
  <c r="DC38" i="5"/>
  <c r="XZ38" i="5"/>
  <c r="HI37" i="5"/>
  <c r="UG37" i="5"/>
  <c r="AKG37" i="5"/>
  <c r="OY38" i="5"/>
  <c r="PK39" i="5"/>
  <c r="EH37" i="5"/>
  <c r="UH37" i="5"/>
  <c r="AIL37" i="5"/>
  <c r="TD38" i="5"/>
  <c r="PY39" i="5"/>
  <c r="AKG36" i="5"/>
  <c r="OE37" i="5"/>
  <c r="ABS37" i="5"/>
  <c r="IE38" i="5"/>
  <c r="AIO38" i="5"/>
  <c r="AGP36" i="5"/>
  <c r="HL37" i="5"/>
  <c r="YB37" i="5"/>
  <c r="H38" i="5"/>
  <c r="AAP38" i="5"/>
  <c r="RG36" i="5"/>
  <c r="AEU36" i="5"/>
  <c r="IS37" i="5"/>
  <c r="WW37" i="5"/>
  <c r="AV38" i="5"/>
  <c r="XG38" i="5"/>
  <c r="WV36" i="5"/>
  <c r="AKZ36" i="5"/>
  <c r="OX37" i="5"/>
  <c r="ADB37" i="5"/>
  <c r="MJ38" i="5"/>
  <c r="HL39" i="5"/>
  <c r="AFM36" i="5"/>
  <c r="NC37" i="5"/>
  <c r="AJG37" i="5"/>
  <c r="GH36" i="5"/>
  <c r="AV37" i="5"/>
  <c r="QN38" i="5"/>
  <c r="WK37" i="5"/>
  <c r="KT37" i="5"/>
  <c r="ZY39" i="5"/>
  <c r="BE40" i="5"/>
  <c r="FC39" i="5"/>
  <c r="HU41" i="5"/>
  <c r="HC37" i="5"/>
  <c r="AJA33" i="5"/>
  <c r="FO34" i="5"/>
  <c r="PK34" i="5"/>
  <c r="ZG34" i="5"/>
  <c r="AJC34" i="5"/>
  <c r="FQ35" i="5"/>
  <c r="PM35" i="5"/>
  <c r="ZI35" i="5"/>
  <c r="AJE35" i="5"/>
  <c r="GC36" i="5"/>
  <c r="SZ36" i="5"/>
  <c r="F37" i="5"/>
  <c r="YI37" i="5"/>
  <c r="AIE37" i="5"/>
  <c r="GX38" i="5"/>
  <c r="XM38" i="5"/>
  <c r="IB39" i="5"/>
  <c r="VH37" i="5"/>
  <c r="AFD37" i="5"/>
  <c r="CY38" i="5"/>
  <c r="RT38" i="5"/>
  <c r="AMF38" i="5"/>
  <c r="WO37" i="5"/>
  <c r="AGK37" i="5"/>
  <c r="EN38" i="5"/>
  <c r="UE38" i="5"/>
  <c r="CM39" i="5"/>
  <c r="MD37" i="5"/>
  <c r="VZ37" i="5"/>
  <c r="AFV37" i="5"/>
  <c r="DU38" i="5"/>
  <c r="SZ38" i="5"/>
  <c r="AS39" i="5"/>
  <c r="LO37" i="5"/>
  <c r="YM37" i="5"/>
  <c r="CD38" i="5"/>
  <c r="WS38" i="5"/>
  <c r="ACV37" i="5"/>
  <c r="DW38" i="5"/>
  <c r="AFM38" i="5"/>
  <c r="HY37" i="5"/>
  <c r="UW37" i="5"/>
  <c r="AKX37" i="5"/>
  <c r="QA38" i="5"/>
  <c r="TA39" i="5"/>
  <c r="EX37" i="5"/>
  <c r="UX37" i="5"/>
  <c r="AJB37" i="5"/>
  <c r="UJ38" i="5"/>
  <c r="TB39" i="5"/>
  <c r="BG37" i="5"/>
  <c r="OU37" i="5"/>
  <c r="ACY37" i="5"/>
  <c r="JG38" i="5"/>
  <c r="AKF38" i="5"/>
  <c r="AHF36" i="5"/>
  <c r="IB37" i="5"/>
  <c r="ZH37" i="5"/>
  <c r="AA38" i="5"/>
  <c r="ABV38" i="5"/>
  <c r="RW36" i="5"/>
  <c r="AJC36" i="5"/>
  <c r="JI37" i="5"/>
  <c r="XM37" i="5"/>
  <c r="BT38" i="5"/>
  <c r="YM38" i="5"/>
  <c r="XL36" i="5"/>
  <c r="ALP36" i="5"/>
  <c r="PN37" i="5"/>
  <c r="ADR37" i="5"/>
  <c r="NL38" i="5"/>
  <c r="NM39" i="5"/>
  <c r="AGC36" i="5"/>
  <c r="NS37" i="5"/>
  <c r="AD38" i="5"/>
  <c r="GX36" i="5"/>
  <c r="BL37" i="5"/>
  <c r="RJ38" i="5"/>
  <c r="M38" i="5"/>
  <c r="LJ37" i="5"/>
  <c r="AAR39" i="5"/>
  <c r="RI39" i="5"/>
  <c r="FS39" i="5"/>
  <c r="MH41" i="5"/>
  <c r="JO37" i="5"/>
  <c r="AJQ33" i="5"/>
  <c r="GE34" i="5"/>
  <c r="QA34" i="5"/>
  <c r="ZW34" i="5"/>
  <c r="AJS34" i="5"/>
  <c r="GG35" i="5"/>
  <c r="QC35" i="5"/>
  <c r="ZY35" i="5"/>
  <c r="AJU35" i="5"/>
  <c r="GV36" i="5"/>
  <c r="UB36" i="5"/>
  <c r="AN37" i="5"/>
  <c r="YY37" i="5"/>
  <c r="AIU37" i="5"/>
  <c r="HW38" i="5"/>
  <c r="YS38" i="5"/>
  <c r="LB39" i="5"/>
  <c r="VX37" i="5"/>
  <c r="AFT37" i="5"/>
  <c r="DS38" i="5"/>
  <c r="SQ38" i="5"/>
  <c r="AQ39" i="5"/>
  <c r="XE37" i="5"/>
  <c r="AHA37" i="5"/>
  <c r="FL38" i="5"/>
  <c r="VK38" i="5"/>
  <c r="EJ39" i="5"/>
  <c r="MT37" i="5"/>
  <c r="WP37" i="5"/>
  <c r="AGL37" i="5"/>
  <c r="EO38" i="5"/>
  <c r="UF38" i="5"/>
  <c r="CN39" i="5"/>
  <c r="ME37" i="5"/>
  <c r="ZC37" i="5"/>
  <c r="DB38" i="5"/>
  <c r="XY38" i="5"/>
  <c r="ADL37" i="5"/>
  <c r="EU38" i="5"/>
  <c r="AHD38" i="5"/>
  <c r="IO37" i="5"/>
  <c r="YO37" i="5"/>
  <c r="ALQ37" i="5"/>
  <c r="RC38" i="5"/>
  <c r="AFX36" i="5"/>
  <c r="FN37" i="5"/>
  <c r="WD37" i="5"/>
  <c r="AJR37" i="5"/>
  <c r="VP38" i="5"/>
  <c r="XY36" i="5"/>
  <c r="BW37" i="5"/>
  <c r="PK37" i="5"/>
  <c r="AGQ37" i="5"/>
  <c r="KI38" i="5"/>
  <c r="ALN38" i="5"/>
  <c r="AHV36" i="5"/>
  <c r="IR37" i="5"/>
  <c r="ZX37" i="5"/>
  <c r="AU38" i="5"/>
  <c r="ADB38" i="5"/>
  <c r="SM36" i="5"/>
  <c r="AJS36" i="5"/>
  <c r="JY37" i="5"/>
  <c r="ABE37" i="5"/>
  <c r="CN38" i="5"/>
  <c r="ZS38" i="5"/>
  <c r="YR36" i="5"/>
  <c r="AMF36" i="5"/>
  <c r="QD37" i="5"/>
  <c r="AEX37" i="5"/>
  <c r="OH38" i="5"/>
  <c r="RI36" i="5"/>
  <c r="AGS36" i="5"/>
  <c r="OI37" i="5"/>
  <c r="AX38" i="5"/>
  <c r="HN36" i="5"/>
  <c r="CB37" i="5"/>
  <c r="SM38" i="5"/>
  <c r="AF38" i="5"/>
  <c r="LZ37" i="5"/>
  <c r="ABN39" i="5"/>
  <c r="UK39" i="5"/>
  <c r="JK39" i="5"/>
  <c r="NE38" i="5"/>
  <c r="MA37" i="5"/>
  <c r="AKG33" i="5"/>
  <c r="GU34" i="5"/>
  <c r="QQ34" i="5"/>
  <c r="AAM34" i="5"/>
  <c r="AKI34" i="5"/>
  <c r="GW35" i="5"/>
  <c r="QS35" i="5"/>
  <c r="AAO35" i="5"/>
  <c r="AKK35" i="5"/>
  <c r="HR36" i="5"/>
  <c r="UX36" i="5"/>
  <c r="CE37" i="5"/>
  <c r="ZO37" i="5"/>
  <c r="AJK37" i="5"/>
  <c r="IS38" i="5"/>
  <c r="ZY38" i="5"/>
  <c r="OE39" i="5"/>
  <c r="WN37" i="5"/>
  <c r="AGJ37" i="5"/>
  <c r="EM38" i="5"/>
  <c r="TV38" i="5"/>
  <c r="CL39" i="5"/>
  <c r="XU37" i="5"/>
  <c r="AHQ37" i="5"/>
  <c r="GF38" i="5"/>
  <c r="WQ38" i="5"/>
  <c r="GG39" i="5"/>
  <c r="NJ37" i="5"/>
  <c r="XF37" i="5"/>
  <c r="AHB37" i="5"/>
  <c r="FM38" i="5"/>
  <c r="VL38" i="5"/>
  <c r="EK39" i="5"/>
  <c r="MU37" i="5"/>
  <c r="ZS37" i="5"/>
  <c r="DV38" i="5"/>
  <c r="ZE38" i="5"/>
  <c r="AEB37" i="5"/>
  <c r="FO38" i="5"/>
  <c r="AIL38" i="5"/>
  <c r="JE37" i="5"/>
  <c r="ZE37" i="5"/>
  <c r="B38" i="5"/>
  <c r="YA38" i="5"/>
  <c r="AGN36" i="5"/>
  <c r="GD37" i="5"/>
  <c r="WT37" i="5"/>
  <c r="AKH37" i="5"/>
  <c r="WV38" i="5"/>
  <c r="YO36" i="5"/>
  <c r="CM37" i="5"/>
  <c r="QA37" i="5"/>
  <c r="AHG37" i="5"/>
  <c r="LE38" i="5"/>
  <c r="JG39" i="5"/>
  <c r="AJB36" i="5"/>
  <c r="JH37" i="5"/>
  <c r="AAN37" i="5"/>
  <c r="BS38" i="5"/>
  <c r="AER38" i="5"/>
  <c r="TC36" i="5"/>
  <c r="AKI36" i="5"/>
  <c r="KO37" i="5"/>
  <c r="ABU37" i="5"/>
  <c r="DH38" i="5"/>
  <c r="AHI38" i="5"/>
  <c r="ZH36" i="5"/>
  <c r="N37" i="5"/>
  <c r="QT37" i="5"/>
  <c r="AFN37" i="5"/>
  <c r="PJ38" i="5"/>
  <c r="RY36" i="5"/>
  <c r="AHY36" i="5"/>
  <c r="OY37" i="5"/>
  <c r="BV38" i="5"/>
  <c r="IT36" i="5"/>
  <c r="MN37" i="5"/>
  <c r="TR38" i="5"/>
  <c r="HP38" i="5"/>
  <c r="AJJ37" i="5"/>
  <c r="ACG39" i="5"/>
  <c r="ABQ39" i="5"/>
  <c r="ACE40" i="5"/>
  <c r="EQ39" i="5"/>
  <c r="OO37" i="5"/>
  <c r="AKW33" i="5"/>
  <c r="HK34" i="5"/>
  <c r="RG34" i="5"/>
  <c r="ABC34" i="5"/>
  <c r="AKY34" i="5"/>
  <c r="HM35" i="5"/>
  <c r="RI35" i="5"/>
  <c r="ABE35" i="5"/>
  <c r="ALA35" i="5"/>
  <c r="IK36" i="5"/>
  <c r="VZ36" i="5"/>
  <c r="DM37" i="5"/>
  <c r="AAE37" i="5"/>
  <c r="AKA37" i="5"/>
  <c r="JU38" i="5"/>
  <c r="ABE38" i="5"/>
  <c r="RU39" i="5"/>
  <c r="XD37" i="5"/>
  <c r="AGZ37" i="5"/>
  <c r="FK38" i="5"/>
  <c r="VB38" i="5"/>
  <c r="EI39" i="5"/>
  <c r="YK37" i="5"/>
  <c r="AIG37" i="5"/>
  <c r="GZ38" i="5"/>
  <c r="XW38" i="5"/>
  <c r="IO39" i="5"/>
  <c r="NZ37" i="5"/>
  <c r="XV37" i="5"/>
  <c r="AHR37" i="5"/>
  <c r="GG38" i="5"/>
  <c r="WR38" i="5"/>
  <c r="GS39" i="5"/>
  <c r="NK37" i="5"/>
  <c r="ADK37" i="5"/>
  <c r="EP38" i="5"/>
  <c r="AAK38" i="5"/>
  <c r="AER37" i="5"/>
  <c r="GI38" i="5"/>
  <c r="AJT38" i="5"/>
  <c r="JU37" i="5"/>
  <c r="ZU37" i="5"/>
  <c r="X38" i="5"/>
  <c r="ZG38" i="5"/>
  <c r="AHD36" i="5"/>
  <c r="JV37" i="5"/>
  <c r="XJ37" i="5"/>
  <c r="AKY37" i="5"/>
  <c r="YB38" i="5"/>
  <c r="ZE36" i="5"/>
  <c r="DC37" i="5"/>
  <c r="QQ37" i="5"/>
  <c r="AHW37" i="5"/>
  <c r="MG38" i="5"/>
  <c r="MW39" i="5"/>
  <c r="AJR36" i="5"/>
  <c r="MZ37" i="5"/>
  <c r="ABD37" i="5"/>
  <c r="CM38" i="5"/>
  <c r="AFZ38" i="5"/>
  <c r="TS36" i="5"/>
  <c r="AKY36" i="5"/>
  <c r="LE37" i="5"/>
  <c r="ACK37" i="5"/>
  <c r="EZ38" i="5"/>
  <c r="AIZ38" i="5"/>
  <c r="ZX36" i="5"/>
  <c r="DF37" i="5"/>
  <c r="RJ37" i="5"/>
  <c r="AGD37" i="5"/>
  <c r="RH38" i="5"/>
  <c r="SO36" i="5"/>
  <c r="AE37" i="5"/>
  <c r="PO37" i="5"/>
  <c r="CP38" i="5"/>
  <c r="JJ36" i="5"/>
  <c r="RL37" i="5"/>
  <c r="ACH38" i="5"/>
  <c r="MM38" i="5"/>
  <c r="AG38" i="5"/>
  <c r="ACZ39" i="5"/>
  <c r="ACJ39" i="5"/>
  <c r="FD41" i="5"/>
  <c r="FG39" i="5"/>
  <c r="ACV36" i="5"/>
  <c r="RT37" i="5"/>
  <c r="ALM33" i="5"/>
  <c r="IA34" i="5"/>
  <c r="RW34" i="5"/>
  <c r="ABS34" i="5"/>
  <c r="ALO34" i="5"/>
  <c r="IC35" i="5"/>
  <c r="RY35" i="5"/>
  <c r="ABU35" i="5"/>
  <c r="ALQ35" i="5"/>
  <c r="JD36" i="5"/>
  <c r="XB36" i="5"/>
  <c r="FG37" i="5"/>
  <c r="AAU37" i="5"/>
  <c r="AKQ37" i="5"/>
  <c r="KQ38" i="5"/>
  <c r="ACK38" i="5"/>
  <c r="NX37" i="5"/>
  <c r="XT37" i="5"/>
  <c r="AHP37" i="5"/>
  <c r="GE38" i="5"/>
  <c r="WH38" i="5"/>
  <c r="GF39" i="5"/>
  <c r="ZA37" i="5"/>
  <c r="AIW37" i="5"/>
  <c r="HY38" i="5"/>
  <c r="ZC38" i="5"/>
  <c r="LQ39" i="5"/>
  <c r="OP37" i="5"/>
  <c r="YL37" i="5"/>
  <c r="AIH37" i="5"/>
  <c r="HA38" i="5"/>
  <c r="XX38" i="5"/>
  <c r="IP39" i="5"/>
  <c r="OA37" i="5"/>
  <c r="AEA37" i="5"/>
  <c r="FN38" i="5"/>
  <c r="AIK38" i="5"/>
  <c r="AFH37" i="5"/>
  <c r="HG38" i="5"/>
  <c r="ALK38" i="5"/>
  <c r="KK37" i="5"/>
  <c r="AAK37" i="5"/>
  <c r="AR38" i="5"/>
  <c r="AAM38" i="5"/>
  <c r="AHT36" i="5"/>
  <c r="KL37" i="5"/>
  <c r="XZ37" i="5"/>
  <c r="CK38" i="5"/>
  <c r="ZH38" i="5"/>
  <c r="ZU36" i="5"/>
  <c r="DS37" i="5"/>
  <c r="RG37" i="5"/>
  <c r="AIM37" i="5"/>
  <c r="OE38" i="5"/>
  <c r="PZ39" i="5"/>
  <c r="AKH36" i="5"/>
  <c r="NP37" i="5"/>
  <c r="ABT37" i="5"/>
  <c r="IF38" i="5"/>
  <c r="AHH38" i="5"/>
  <c r="UI36" i="5"/>
  <c r="ALO36" i="5"/>
  <c r="LU37" i="5"/>
  <c r="ADA37" i="5"/>
  <c r="FT38" i="5"/>
  <c r="AKH38" i="5"/>
  <c r="AAN36" i="5"/>
  <c r="DV37" i="5"/>
  <c r="RZ37" i="5"/>
  <c r="AKL37" i="5"/>
  <c r="SK38" i="5"/>
  <c r="TE36" i="5"/>
  <c r="AU37" i="5"/>
  <c r="SA37" i="5"/>
  <c r="EH38" i="5"/>
  <c r="JZ36" i="5"/>
  <c r="SB37" i="5"/>
  <c r="TG36" i="5"/>
  <c r="QO38" i="5"/>
  <c r="GC38" i="5"/>
  <c r="ACH39" i="5"/>
  <c r="AER39" i="5"/>
  <c r="AGT38" i="5"/>
  <c r="ABV36" i="5"/>
  <c r="CR37" i="5"/>
  <c r="UN37" i="5"/>
  <c r="L38" i="5"/>
  <c r="AJC38" i="5"/>
  <c r="ABW36" i="5"/>
  <c r="XA37" i="5"/>
  <c r="ACI38" i="5"/>
  <c r="AAR36" i="5"/>
  <c r="MP37" i="5"/>
  <c r="JT38" i="5"/>
  <c r="ALI39" i="5"/>
  <c r="AGA39" i="5"/>
  <c r="JT40" i="5"/>
  <c r="BY40" i="5"/>
  <c r="AJE39" i="5"/>
  <c r="RZ39" i="5"/>
  <c r="KA39" i="5"/>
  <c r="AMH38" i="5"/>
  <c r="KC39" i="5"/>
  <c r="FW39" i="5"/>
  <c r="ACL36" i="5"/>
  <c r="GZ37" i="5"/>
  <c r="VD37" i="5"/>
  <c r="AE38" i="5"/>
  <c r="BW39" i="5"/>
  <c r="ACM36" i="5"/>
  <c r="XQ37" i="5"/>
  <c r="ADO38" i="5"/>
  <c r="ACN36" i="5"/>
  <c r="PR37" i="5"/>
  <c r="KP38" i="5"/>
  <c r="AMB39" i="5"/>
  <c r="AGT39" i="5"/>
  <c r="KP40" i="5"/>
  <c r="CT40" i="5"/>
  <c r="AJX39" i="5"/>
  <c r="SP39" i="5"/>
  <c r="KQ39" i="5"/>
  <c r="P39" i="5"/>
  <c r="NU39" i="5"/>
  <c r="UA39" i="5"/>
  <c r="WB38" i="5"/>
  <c r="JW39" i="5"/>
  <c r="WG36" i="5"/>
  <c r="AHI36" i="5"/>
  <c r="FC37" i="5"/>
  <c r="RK37" i="5"/>
  <c r="ADS37" i="5"/>
  <c r="FV38" i="5"/>
  <c r="AKJ38" i="5"/>
  <c r="LF36" i="5"/>
  <c r="ADB36" i="5"/>
  <c r="HP37" i="5"/>
  <c r="VT37" i="5"/>
  <c r="BC38" i="5"/>
  <c r="FC36" i="5"/>
  <c r="AGU36" i="5"/>
  <c r="YG37" i="5"/>
  <c r="AEW38" i="5"/>
  <c r="ADD36" i="5"/>
  <c r="XB37" i="5"/>
  <c r="ZX38" i="5"/>
  <c r="KN40" i="5"/>
  <c r="GC40" i="5"/>
  <c r="WG40" i="5"/>
  <c r="KQ40" i="5"/>
  <c r="LT40" i="5"/>
  <c r="AKB39" i="5"/>
  <c r="WJ39" i="5"/>
  <c r="MN39" i="5"/>
  <c r="AKE39" i="5"/>
  <c r="X41" i="5"/>
  <c r="GT38" i="5"/>
  <c r="AMA38" i="5"/>
  <c r="LV36" i="5"/>
  <c r="ADR36" i="5"/>
  <c r="IF37" i="5"/>
  <c r="WJ37" i="5"/>
  <c r="BW38" i="5"/>
  <c r="FS36" i="5"/>
  <c r="Q37" i="5"/>
  <c r="YW37" i="5"/>
  <c r="AGN38" i="5"/>
  <c r="ADT36" i="5"/>
  <c r="XR37" i="5"/>
  <c r="AHW38" i="5"/>
  <c r="OU40" i="5"/>
  <c r="LQ40" i="5"/>
  <c r="KH41" i="5"/>
  <c r="AAK40" i="5"/>
  <c r="QM40" i="5"/>
  <c r="R40" i="5"/>
  <c r="ZK39" i="5"/>
  <c r="AEB39" i="5"/>
  <c r="AKX40" i="5"/>
  <c r="AJP39" i="5"/>
  <c r="YN38" i="5"/>
  <c r="QP39" i="5"/>
  <c r="XM36" i="5"/>
  <c r="AJE36" i="5"/>
  <c r="HO37" i="5"/>
  <c r="SQ37" i="5"/>
  <c r="AEY37" i="5"/>
  <c r="HN38" i="5"/>
  <c r="AB39" i="5"/>
  <c r="ML36" i="5"/>
  <c r="AEH36" i="5"/>
  <c r="IV37" i="5"/>
  <c r="AAR37" i="5"/>
  <c r="CQ38" i="5"/>
  <c r="GI36" i="5"/>
  <c r="AG37" i="5"/>
  <c r="ABY37" i="5"/>
  <c r="AHV38" i="5"/>
  <c r="AEJ36" i="5"/>
  <c r="YH37" i="5"/>
  <c r="AJE38" i="5"/>
  <c r="QA40" i="5"/>
  <c r="YR40" i="5"/>
  <c r="QA41" i="5"/>
  <c r="ABS40" i="5"/>
  <c r="RS40" i="5"/>
  <c r="CA40" i="5"/>
  <c r="AKC39" i="5"/>
  <c r="AEU39" i="5"/>
  <c r="J41" i="5"/>
  <c r="AKI39" i="5"/>
  <c r="QM37" i="5"/>
  <c r="AAI37" i="5"/>
  <c r="AKE37" i="5"/>
  <c r="JY38" i="5"/>
  <c r="ABQ38" i="5"/>
  <c r="SL39" i="5"/>
  <c r="AIZ37" i="5"/>
  <c r="IB38" i="5"/>
  <c r="ZF38" i="5"/>
  <c r="MG39" i="5"/>
  <c r="LQ37" i="5"/>
  <c r="VM37" i="5"/>
  <c r="AFI37" i="5"/>
  <c r="DD38" i="5"/>
  <c r="RY38" i="5"/>
  <c r="L39" i="5"/>
  <c r="AKF36" i="5"/>
  <c r="GT37" i="5"/>
  <c r="QP37" i="5"/>
  <c r="ABB37" i="5"/>
  <c r="ALR37" i="5"/>
  <c r="NB38" i="5"/>
  <c r="AHF38" i="5"/>
  <c r="AAK36" i="5"/>
  <c r="AKW36" i="5"/>
  <c r="IA37" i="5"/>
  <c r="TC37" i="5"/>
  <c r="ADO37" i="5"/>
  <c r="BN38" i="5"/>
  <c r="RE38" i="5"/>
  <c r="N39" i="5"/>
  <c r="ACH36" i="5"/>
  <c r="L37" i="5"/>
  <c r="JX37" i="5"/>
  <c r="UJ37" i="5"/>
  <c r="AEV37" i="5"/>
  <c r="DG38" i="5"/>
  <c r="TF38" i="5"/>
  <c r="DE39" i="5"/>
  <c r="UY36" i="5"/>
  <c r="AFK36" i="5"/>
  <c r="DE37" i="5"/>
  <c r="NQ37" i="5"/>
  <c r="YC37" i="5"/>
  <c r="AIO37" i="5"/>
  <c r="IM38" i="5"/>
  <c r="AAY38" i="5"/>
  <c r="TS39" i="5"/>
  <c r="ACZ36" i="5"/>
  <c r="AD37" i="5"/>
  <c r="KP37" i="5"/>
  <c r="VR37" i="5"/>
  <c r="AGT37" i="5"/>
  <c r="GS38" i="5"/>
  <c r="ZT38" i="5"/>
  <c r="UH39" i="5"/>
  <c r="YS36" i="5"/>
  <c r="AJU36" i="5"/>
  <c r="IE37" i="5"/>
  <c r="TG37" i="5"/>
  <c r="AFO37" i="5"/>
  <c r="IO38" i="5"/>
  <c r="BV39" i="5"/>
  <c r="QT36" i="5"/>
  <c r="AEX36" i="5"/>
  <c r="JL37" i="5"/>
  <c r="ABH37" i="5"/>
  <c r="EI38" i="5"/>
  <c r="GY36" i="5"/>
  <c r="AW37" i="5"/>
  <c r="AJI37" i="5"/>
  <c r="AJD38" i="5"/>
  <c r="AEZ36" i="5"/>
  <c r="YX37" i="5"/>
  <c r="AKV38" i="5"/>
  <c r="RG40" i="5"/>
  <c r="AAI40" i="5"/>
  <c r="WQ41" i="5"/>
  <c r="AER40" i="5"/>
  <c r="SY40" i="5"/>
  <c r="CY40" i="5"/>
  <c r="AKV39" i="5"/>
  <c r="AFN39" i="5"/>
  <c r="BG41" i="5"/>
  <c r="ALF37" i="5"/>
  <c r="RC37" i="5"/>
  <c r="AAY37" i="5"/>
  <c r="AKV37" i="5"/>
  <c r="LA38" i="5"/>
  <c r="ACW38" i="5"/>
  <c r="ZT37" i="5"/>
  <c r="AJP37" i="5"/>
  <c r="JD38" i="5"/>
  <c r="AAL38" i="5"/>
  <c r="PJ39" i="5"/>
  <c r="MG37" i="5"/>
  <c r="WC37" i="5"/>
  <c r="AFY37" i="5"/>
  <c r="DX38" i="5"/>
  <c r="TC38" i="5"/>
  <c r="BF39" i="5"/>
  <c r="AKV36" i="5"/>
  <c r="HJ37" i="5"/>
  <c r="RF37" i="5"/>
  <c r="ABR37" i="5"/>
  <c r="C38" i="5"/>
  <c r="OD38" i="5"/>
  <c r="AIN38" i="5"/>
  <c r="ABA36" i="5"/>
  <c r="ALM36" i="5"/>
  <c r="JG37" i="5"/>
  <c r="TS37" i="5"/>
  <c r="AEE37" i="5"/>
  <c r="CL38" i="5"/>
  <c r="SA38" i="5"/>
  <c r="BH39" i="5"/>
  <c r="ACX36" i="5"/>
  <c r="AB37" i="5"/>
  <c r="KN37" i="5"/>
  <c r="UZ37" i="5"/>
  <c r="AFL37" i="5"/>
  <c r="EE38" i="5"/>
  <c r="UL38" i="5"/>
  <c r="FM39" i="5"/>
  <c r="VO36" i="5"/>
  <c r="AGQ36" i="5"/>
  <c r="DU37" i="5"/>
  <c r="OG37" i="5"/>
  <c r="YS37" i="5"/>
  <c r="AJE37" i="5"/>
  <c r="JI38" i="5"/>
  <c r="ACE38" i="5"/>
  <c r="TD36" i="5"/>
  <c r="ADP36" i="5"/>
  <c r="AT37" i="5"/>
  <c r="LF37" i="5"/>
  <c r="WH37" i="5"/>
  <c r="AHJ37" i="5"/>
  <c r="HM38" i="5"/>
  <c r="AAZ38" i="5"/>
  <c r="OG36" i="5"/>
  <c r="ZI36" i="5"/>
  <c r="ALA36" i="5"/>
  <c r="IU37" i="5"/>
  <c r="TW37" i="5"/>
  <c r="AGE37" i="5"/>
  <c r="OI38" i="5"/>
  <c r="DS39" i="5"/>
  <c r="RJ36" i="5"/>
  <c r="AFN36" i="5"/>
  <c r="KB37" i="5"/>
  <c r="ABX37" i="5"/>
  <c r="KN38" i="5"/>
  <c r="HO36" i="5"/>
  <c r="CS37" i="5"/>
  <c r="AJY37" i="5"/>
  <c r="EN36" i="5"/>
  <c r="AFP36" i="5"/>
  <c r="ZN37" i="5"/>
  <c r="AMD38" i="5"/>
  <c r="ACX40" i="5"/>
  <c r="ABQ40" i="5"/>
  <c r="JH39" i="5"/>
  <c r="AQ41" i="5"/>
  <c r="UE40" i="5"/>
  <c r="OB40" i="5"/>
  <c r="ALO39" i="5"/>
  <c r="AGJ39" i="5"/>
  <c r="AFP38" i="5"/>
  <c r="BS40" i="5"/>
  <c r="RS37" i="5"/>
  <c r="ABO37" i="5"/>
  <c r="ALO37" i="5"/>
  <c r="LW38" i="5"/>
  <c r="AED38" i="5"/>
  <c r="AAJ37" i="5"/>
  <c r="AKF37" i="5"/>
  <c r="JZ38" i="5"/>
  <c r="ABR38" i="5"/>
  <c r="SM39" i="5"/>
  <c r="MW37" i="5"/>
  <c r="WS37" i="5"/>
  <c r="AGO37" i="5"/>
  <c r="EV38" i="5"/>
  <c r="UI38" i="5"/>
  <c r="DB39" i="5"/>
  <c r="ALL36" i="5"/>
  <c r="HZ37" i="5"/>
  <c r="RV37" i="5"/>
  <c r="ACH37" i="5"/>
  <c r="Y38" i="5"/>
  <c r="OZ38" i="5"/>
  <c r="AKE38" i="5"/>
  <c r="ABQ36" i="5"/>
  <c r="K37" i="5"/>
  <c r="JW37" i="5"/>
  <c r="UI37" i="5"/>
  <c r="AEU37" i="5"/>
  <c r="DF38" i="5"/>
  <c r="TE38" i="5"/>
  <c r="DD39" i="5"/>
  <c r="ADN36" i="5"/>
  <c r="AR37" i="5"/>
  <c r="LD37" i="5"/>
  <c r="VP37" i="5"/>
  <c r="AGB37" i="5"/>
  <c r="EY38" i="5"/>
  <c r="VR38" i="5"/>
  <c r="HJ39" i="5"/>
  <c r="WU36" i="5"/>
  <c r="AHG36" i="5"/>
  <c r="EK37" i="5"/>
  <c r="OW37" i="5"/>
  <c r="ZI37" i="5"/>
  <c r="AJU37" i="5"/>
  <c r="KK38" i="5"/>
  <c r="ADK38" i="5"/>
  <c r="TT36" i="5"/>
  <c r="AEF36" i="5"/>
  <c r="BJ37" i="5"/>
  <c r="LV37" i="5"/>
  <c r="WX37" i="5"/>
  <c r="AHZ37" i="5"/>
  <c r="IN38" i="5"/>
  <c r="ADL38" i="5"/>
  <c r="OW36" i="5"/>
  <c r="ZY36" i="5"/>
  <c r="ALQ36" i="5"/>
  <c r="JK37" i="5"/>
  <c r="UM37" i="5"/>
  <c r="AGU37" i="5"/>
  <c r="PK38" i="5"/>
  <c r="FP39" i="5"/>
  <c r="RZ36" i="5"/>
  <c r="AGD36" i="5"/>
  <c r="KR37" i="5"/>
  <c r="ACN37" i="5"/>
  <c r="LP38" i="5"/>
  <c r="IE36" i="5"/>
  <c r="DI37" i="5"/>
  <c r="AKO37" i="5"/>
  <c r="GZ36" i="5"/>
  <c r="AGF36" i="5"/>
  <c r="AAD37" i="5"/>
  <c r="AO39" i="5"/>
  <c r="AEF40" i="5"/>
  <c r="ACY40" i="5"/>
  <c r="JX39" i="5"/>
  <c r="CO41" i="5"/>
  <c r="WQ40" i="5"/>
  <c r="PH40" i="5"/>
  <c r="AMH39" i="5"/>
  <c r="AHC39" i="5"/>
  <c r="R39" i="5"/>
  <c r="CM40" i="5"/>
  <c r="SI37" i="5"/>
  <c r="ACE37" i="5"/>
  <c r="AMH37" i="5"/>
  <c r="MY38" i="5"/>
  <c r="AFL38" i="5"/>
  <c r="AAZ37" i="5"/>
  <c r="AKW37" i="5"/>
  <c r="LB38" i="5"/>
  <c r="ACX38" i="5"/>
  <c r="DQ37" i="5"/>
  <c r="NM37" i="5"/>
  <c r="XI37" i="5"/>
  <c r="AHE37" i="5"/>
  <c r="FP38" i="5"/>
  <c r="VO38" i="5"/>
  <c r="EY39" i="5"/>
  <c r="AMB36" i="5"/>
  <c r="IP37" i="5"/>
  <c r="SL37" i="5"/>
  <c r="ACX37" i="5"/>
  <c r="AS38" i="5"/>
  <c r="QB38" i="5"/>
  <c r="ALM38" i="5"/>
  <c r="ACW36" i="5"/>
  <c r="AA37" i="5"/>
  <c r="KM37" i="5"/>
  <c r="UY37" i="5"/>
  <c r="AFK37" i="5"/>
  <c r="DZ38" i="5"/>
  <c r="UK38" i="5"/>
  <c r="FA39" i="5"/>
  <c r="AED36" i="5"/>
  <c r="BH37" i="5"/>
  <c r="LT37" i="5"/>
  <c r="WF37" i="5"/>
  <c r="AGR37" i="5"/>
  <c r="FS38" i="5"/>
  <c r="WX38" i="5"/>
  <c r="MX39" i="5"/>
  <c r="XK36" i="5"/>
  <c r="AHW36" i="5"/>
  <c r="FA37" i="5"/>
  <c r="PM37" i="5"/>
  <c r="ZY37" i="5"/>
  <c r="AKK37" i="5"/>
  <c r="LG38" i="5"/>
  <c r="AES38" i="5"/>
  <c r="UJ36" i="5"/>
  <c r="AEV36" i="5"/>
  <c r="BZ37" i="5"/>
  <c r="ML37" i="5"/>
  <c r="XN37" i="5"/>
  <c r="AIP37" i="5"/>
  <c r="KL38" i="5"/>
  <c r="AET38" i="5"/>
  <c r="PM36" i="5"/>
  <c r="ABE36" i="5"/>
  <c r="AMG36" i="5"/>
  <c r="KA37" i="5"/>
  <c r="VC37" i="5"/>
  <c r="AHK37" i="5"/>
  <c r="QM38" i="5"/>
  <c r="HM39" i="5"/>
  <c r="SP36" i="5"/>
  <c r="AKL36" i="5"/>
  <c r="LH37" i="5"/>
  <c r="ADD37" i="5"/>
  <c r="NN38" i="5"/>
  <c r="IU36" i="5"/>
  <c r="DY37" i="5"/>
  <c r="ALI37" i="5"/>
  <c r="IV36" i="5"/>
  <c r="AX37" i="5"/>
  <c r="AAT37" i="5"/>
  <c r="RG39" i="5"/>
  <c r="AFW40" i="5"/>
  <c r="AHF40" i="5"/>
  <c r="KN39" i="5"/>
  <c r="FA41" i="5"/>
  <c r="AR41" i="5"/>
  <c r="QN40" i="5"/>
  <c r="DT40" i="5"/>
  <c r="ID40" i="5"/>
  <c r="AH39" i="5"/>
  <c r="DG40" i="5"/>
  <c r="JC37" i="5"/>
  <c r="SY37" i="5"/>
  <c r="ACU37" i="5"/>
  <c r="S38" i="5"/>
  <c r="OA38" i="5"/>
  <c r="AHC38" i="5"/>
  <c r="ABP37" i="5"/>
  <c r="ALP37" i="5"/>
  <c r="LX38" i="5"/>
  <c r="AEE38" i="5"/>
  <c r="EG37" i="5"/>
  <c r="OC37" i="5"/>
  <c r="XY37" i="5"/>
  <c r="AHU37" i="5"/>
  <c r="GJ38" i="5"/>
  <c r="WU38" i="5"/>
  <c r="GV39" i="5"/>
  <c r="J37" i="5"/>
  <c r="JF37" i="5"/>
  <c r="TB37" i="5"/>
  <c r="ADN37" i="5"/>
  <c r="BM38" i="5"/>
  <c r="RD38" i="5"/>
  <c r="BG39" i="5"/>
  <c r="ADM36" i="5"/>
  <c r="AQ37" i="5"/>
  <c r="LC37" i="5"/>
  <c r="VO37" i="5"/>
  <c r="AGA37" i="5"/>
  <c r="EX38" i="5"/>
  <c r="VQ38" i="5"/>
  <c r="HI39" i="5"/>
  <c r="AET36" i="5"/>
  <c r="BX37" i="5"/>
  <c r="MJ37" i="5"/>
  <c r="WV37" i="5"/>
  <c r="AHH37" i="5"/>
  <c r="GQ38" i="5"/>
  <c r="ZJ38" i="5"/>
  <c r="QA39" i="5"/>
  <c r="YA36" i="5"/>
  <c r="AIM36" i="5"/>
  <c r="FQ37" i="5"/>
  <c r="QC37" i="5"/>
  <c r="AAO37" i="5"/>
  <c r="ALB37" i="5"/>
  <c r="MI38" i="5"/>
  <c r="AGA38" i="5"/>
  <c r="UZ36" i="5"/>
  <c r="AFL36" i="5"/>
  <c r="CP37" i="5"/>
  <c r="NB37" i="5"/>
  <c r="YD37" i="5"/>
  <c r="AJV37" i="5"/>
  <c r="LH38" i="5"/>
  <c r="AGB38" i="5"/>
  <c r="QC36" i="5"/>
  <c r="ABU36" i="5"/>
  <c r="O37" i="5"/>
  <c r="KQ37" i="5"/>
  <c r="VS37" i="5"/>
  <c r="AIA37" i="5"/>
  <c r="RI38" i="5"/>
  <c r="KK39" i="5"/>
  <c r="TF36" i="5"/>
  <c r="ALB36" i="5"/>
  <c r="LX37" i="5"/>
  <c r="ADT37" i="5"/>
  <c r="OJ38" i="5"/>
  <c r="QU36" i="5"/>
  <c r="EO37" i="5"/>
  <c r="AMB37" i="5"/>
  <c r="JL36" i="5"/>
  <c r="DJ37" i="5"/>
  <c r="AGH37" i="5"/>
  <c r="WF39" i="5"/>
  <c r="AHE40" i="5"/>
  <c r="AKG40" i="5"/>
  <c r="LD39" i="5"/>
  <c r="HB41" i="5"/>
  <c r="DB41" i="5"/>
  <c r="RT40" i="5"/>
  <c r="EO40" i="5"/>
  <c r="JD40" i="5"/>
  <c r="AX39" i="5"/>
  <c r="EE40" i="5"/>
  <c r="NP38" i="5"/>
  <c r="UW39" i="5"/>
  <c r="M40" i="5"/>
  <c r="AIM40" i="5"/>
  <c r="AMC39" i="5"/>
  <c r="EM41" i="5"/>
  <c r="LR40" i="5"/>
  <c r="LT39" i="5"/>
  <c r="DQ40" i="5"/>
  <c r="NA39" i="5"/>
  <c r="AKT39" i="5"/>
  <c r="FB41" i="5"/>
  <c r="WI39" i="5"/>
  <c r="SZ40" i="5"/>
  <c r="OY39" i="5"/>
  <c r="FM40" i="5"/>
  <c r="AF39" i="5"/>
  <c r="UH40" i="5"/>
  <c r="ACN39" i="5"/>
  <c r="BN39" i="5"/>
  <c r="IX38" i="5"/>
  <c r="AD40" i="5"/>
  <c r="ADN38" i="5"/>
  <c r="JK36" i="5"/>
  <c r="ADC36" i="5"/>
  <c r="FU37" i="5"/>
  <c r="ZM37" i="5"/>
  <c r="IQ38" i="5"/>
  <c r="AKU38" i="5"/>
  <c r="QV36" i="5"/>
  <c r="AGV36" i="5"/>
  <c r="NF37" i="5"/>
  <c r="AGX37" i="5"/>
  <c r="OR38" i="5"/>
  <c r="VM39" i="5"/>
  <c r="AF40" i="5"/>
  <c r="AKF40" i="5"/>
  <c r="AG40" i="5"/>
  <c r="GN41" i="5"/>
  <c r="MU40" i="5"/>
  <c r="MJ39" i="5"/>
  <c r="EK40" i="5"/>
  <c r="NQ39" i="5"/>
  <c r="ALM39" i="5"/>
  <c r="KY41" i="5"/>
  <c r="XE39" i="5"/>
  <c r="AAM40" i="5"/>
  <c r="PO39" i="5"/>
  <c r="HH40" i="5"/>
  <c r="BL39" i="5"/>
  <c r="VN40" i="5"/>
  <c r="ADJ39" i="5"/>
  <c r="EP39" i="5"/>
  <c r="JN38" i="5"/>
  <c r="HF38" i="5"/>
  <c r="AEV38" i="5"/>
  <c r="KA36" i="5"/>
  <c r="ADS36" i="5"/>
  <c r="KC37" i="5"/>
  <c r="AAC37" i="5"/>
  <c r="JS38" i="5"/>
  <c r="BX39" i="5"/>
  <c r="SR36" i="5"/>
  <c r="B37" i="5"/>
  <c r="NV37" i="5"/>
  <c r="AHN37" i="5"/>
  <c r="PN38" i="5"/>
  <c r="WD39" i="5"/>
  <c r="HW40" i="5"/>
  <c r="ALZ40" i="5"/>
  <c r="DO40" i="5"/>
  <c r="JR41" i="5"/>
  <c r="NR40" i="5"/>
  <c r="UJ39" i="5"/>
  <c r="FJ40" i="5"/>
  <c r="OG39" i="5"/>
  <c r="AMF39" i="5"/>
  <c r="CP39" i="5"/>
  <c r="ADZ39" i="5"/>
  <c r="AET40" i="5"/>
  <c r="UM39" i="5"/>
  <c r="XY40" i="5"/>
  <c r="KR39" i="5"/>
  <c r="WT40" i="5"/>
  <c r="AEC39" i="5"/>
  <c r="ABV39" i="5"/>
  <c r="KD38" i="5"/>
  <c r="JB38" i="5"/>
  <c r="AGM38" i="5"/>
  <c r="KQ36" i="5"/>
  <c r="AEI36" i="5"/>
  <c r="KS37" i="5"/>
  <c r="AAS37" i="5"/>
  <c r="KO38" i="5"/>
  <c r="DU39" i="5"/>
  <c r="TH36" i="5"/>
  <c r="R37" i="5"/>
  <c r="OL37" i="5"/>
  <c r="AID37" i="5"/>
  <c r="QP38" i="5"/>
  <c r="WW39" i="5"/>
  <c r="IR40" i="5"/>
  <c r="AN41" i="5"/>
  <c r="EI40" i="5"/>
  <c r="PH41" i="5"/>
  <c r="QC40" i="5"/>
  <c r="UZ39" i="5"/>
  <c r="GE40" i="5"/>
  <c r="OW39" i="5"/>
  <c r="Q40" i="5"/>
  <c r="DF39" i="5"/>
  <c r="AIM39" i="5"/>
  <c r="AGB40" i="5"/>
  <c r="VC39" i="5"/>
  <c r="ZF40" i="5"/>
  <c r="LH39" i="5"/>
  <c r="XZ40" i="5"/>
  <c r="AEV39" i="5"/>
  <c r="ADK39" i="5"/>
  <c r="RN38" i="5"/>
  <c r="JR38" i="5"/>
  <c r="DO38" i="5"/>
  <c r="AHU38" i="5"/>
  <c r="QE36" i="5"/>
  <c r="AGE36" i="5"/>
  <c r="MO37" i="5"/>
  <c r="ABI37" i="5"/>
  <c r="LQ38" i="5"/>
  <c r="DX36" i="5"/>
  <c r="TX36" i="5"/>
  <c r="AH37" i="5"/>
  <c r="PB37" i="5"/>
  <c r="AIT37" i="5"/>
  <c r="YR38" i="5"/>
  <c r="XP39" i="5"/>
  <c r="JR40" i="5"/>
  <c r="CL41" i="5"/>
  <c r="FC40" i="5"/>
  <c r="AAV39" i="5"/>
  <c r="VA40" i="5"/>
  <c r="VP39" i="5"/>
  <c r="IU40" i="5"/>
  <c r="QS39" i="5"/>
  <c r="KX40" i="5"/>
  <c r="DV39" i="5"/>
  <c r="AJF39" i="5"/>
  <c r="AHS40" i="5"/>
  <c r="VS39" i="5"/>
  <c r="AAN40" i="5"/>
  <c r="LX39" i="5"/>
  <c r="XO38" i="5"/>
  <c r="AFO39" i="5"/>
  <c r="AED39" i="5"/>
  <c r="BN40" i="5"/>
  <c r="PY42" i="5"/>
  <c r="SP42" i="5"/>
  <c r="AKK38" i="5"/>
  <c r="RK36" i="5"/>
  <c r="AHK36" i="5"/>
  <c r="NU37" i="5"/>
  <c r="AHM37" i="5"/>
  <c r="NO38" i="5"/>
  <c r="FD36" i="5"/>
  <c r="VD36" i="5"/>
  <c r="BN37" i="5"/>
  <c r="VF37" i="5"/>
  <c r="AJZ37" i="5"/>
  <c r="ABD38" i="5"/>
  <c r="ZE39" i="5"/>
  <c r="LP40" i="5"/>
  <c r="XT39" i="5"/>
  <c r="IS40" i="5"/>
  <c r="AGU39" i="5"/>
  <c r="XM40" i="5"/>
  <c r="WZ39" i="5"/>
  <c r="WP40" i="5"/>
  <c r="RY39" i="5"/>
  <c r="MW40" i="5"/>
  <c r="FB39" i="5"/>
  <c r="AKU39" i="5"/>
  <c r="AU39" i="5"/>
  <c r="XF39" i="5"/>
  <c r="ADM40" i="5"/>
  <c r="ND39" i="5"/>
  <c r="YU38" i="5"/>
  <c r="AGN40" i="5"/>
  <c r="DW40" i="5"/>
  <c r="BU41" i="5"/>
  <c r="UF42" i="5"/>
  <c r="AMB38" i="5"/>
  <c r="SA36" i="5"/>
  <c r="AIA36" i="5"/>
  <c r="OK37" i="5"/>
  <c r="AIC37" i="5"/>
  <c r="OQ38" i="5"/>
  <c r="FT36" i="5"/>
  <c r="VT36" i="5"/>
  <c r="CD37" i="5"/>
  <c r="VV37" i="5"/>
  <c r="AKP37" i="5"/>
  <c r="ACJ38" i="5"/>
  <c r="ZX39" i="5"/>
  <c r="ML40" i="5"/>
  <c r="YM39" i="5"/>
  <c r="JS40" i="5"/>
  <c r="AHQ39" i="5"/>
  <c r="ZB40" i="5"/>
  <c r="YO39" i="5"/>
  <c r="XV40" i="5"/>
  <c r="SO39" i="5"/>
  <c r="OA40" i="5"/>
  <c r="FR39" i="5"/>
  <c r="ALN39" i="5"/>
  <c r="BK39" i="5"/>
  <c r="XY39" i="5"/>
  <c r="AEU40" i="5"/>
  <c r="QV39" i="5"/>
  <c r="ZK38" i="5"/>
  <c r="AHV40" i="5"/>
  <c r="EU40" i="5"/>
  <c r="DU41" i="5"/>
  <c r="YM41" i="5"/>
  <c r="VN37" i="5"/>
  <c r="AFJ37" i="5"/>
  <c r="DE38" i="5"/>
  <c r="RZ38" i="5"/>
  <c r="M39" i="5"/>
  <c r="ACG36" i="5"/>
  <c r="AMC36" i="5"/>
  <c r="IQ37" i="5"/>
  <c r="SM37" i="5"/>
  <c r="ACI37" i="5"/>
  <c r="G38" i="5"/>
  <c r="NC38" i="5"/>
  <c r="AFY38" i="5"/>
  <c r="YP36" i="5"/>
  <c r="AIL36" i="5"/>
  <c r="EZ37" i="5"/>
  <c r="OV37" i="5"/>
  <c r="YR37" i="5"/>
  <c r="AIN37" i="5"/>
  <c r="HK38" i="5"/>
  <c r="YD38" i="5"/>
  <c r="JU39" i="5"/>
  <c r="WE36" i="5"/>
  <c r="AGA36" i="5"/>
  <c r="CO37" i="5"/>
  <c r="MK37" i="5"/>
  <c r="WG37" i="5"/>
  <c r="AGC37" i="5"/>
  <c r="EF38" i="5"/>
  <c r="TO38" i="5"/>
  <c r="BJ39" i="5"/>
  <c r="YB36" i="5"/>
  <c r="AHX36" i="5"/>
  <c r="EL37" i="5"/>
  <c r="OH37" i="5"/>
  <c r="YT37" i="5"/>
  <c r="AJF37" i="5"/>
  <c r="JJ38" i="5"/>
  <c r="ACF38" i="5"/>
  <c r="NQ36" i="5"/>
  <c r="YC36" i="5"/>
  <c r="AIO36" i="5"/>
  <c r="FS37" i="5"/>
  <c r="QE37" i="5"/>
  <c r="ACM37" i="5"/>
  <c r="DJ38" i="5"/>
  <c r="YO38" i="5"/>
  <c r="ID36" i="5"/>
  <c r="VR36" i="5"/>
  <c r="P37" i="5"/>
  <c r="QV37" i="5"/>
  <c r="AEJ37" i="5"/>
  <c r="ML38" i="5"/>
  <c r="AC39" i="5"/>
  <c r="SQ36" i="5"/>
  <c r="A37" i="5"/>
  <c r="PA37" i="5"/>
  <c r="AIS37" i="5"/>
  <c r="PM38" i="5"/>
  <c r="GJ36" i="5"/>
  <c r="AAB36" i="5"/>
  <c r="CT37" i="5"/>
  <c r="WL37" i="5"/>
  <c r="N38" i="5"/>
  <c r="AGO38" i="5"/>
  <c r="AGS39" i="5"/>
  <c r="NP40" i="5"/>
  <c r="ZF39" i="5"/>
  <c r="KO40" i="5"/>
  <c r="AIJ39" i="5"/>
  <c r="GZ41" i="5"/>
  <c r="ABP39" i="5"/>
  <c r="ZC40" i="5"/>
  <c r="TE39" i="5"/>
  <c r="PG40" i="5"/>
  <c r="OH39" i="5"/>
  <c r="AMG39" i="5"/>
  <c r="CA39" i="5"/>
  <c r="YR39" i="5"/>
  <c r="AGL40" i="5"/>
  <c r="ADI39" i="5"/>
  <c r="AAA38" i="5"/>
  <c r="AJN40" i="5"/>
  <c r="FS41" i="5"/>
  <c r="AIW39" i="5"/>
  <c r="NU38" i="5"/>
  <c r="UQ39" i="5"/>
  <c r="SD38" i="5"/>
  <c r="FV41" i="5"/>
  <c r="ALV37" i="5"/>
  <c r="EY40" i="5"/>
  <c r="KH38" i="5"/>
  <c r="ZG41" i="5"/>
  <c r="UO38" i="5"/>
  <c r="VG39" i="5"/>
  <c r="ALV38" i="5"/>
  <c r="CU38" i="5"/>
  <c r="D38" i="5"/>
  <c r="EC38" i="5"/>
  <c r="KX38" i="5"/>
  <c r="ABT41" i="5"/>
  <c r="RL39" i="5"/>
  <c r="AJH39" i="5"/>
  <c r="ZG40" i="5"/>
  <c r="ABG38" i="5"/>
  <c r="OK39" i="5"/>
  <c r="CH40" i="5"/>
  <c r="FR41" i="5"/>
  <c r="FF39" i="5"/>
  <c r="FP40" i="5"/>
  <c r="VE38" i="5"/>
  <c r="ZR39" i="5"/>
  <c r="D39" i="5"/>
  <c r="DK38" i="5"/>
  <c r="T38" i="5"/>
  <c r="ES38" i="5"/>
  <c r="LN38" i="5"/>
  <c r="IL43" i="5"/>
  <c r="GH40" i="5"/>
  <c r="AHT40" i="5"/>
  <c r="AV39" i="5"/>
  <c r="SB39" i="5"/>
  <c r="AP40" i="5"/>
  <c r="AAX40" i="5"/>
  <c r="ABW38" i="5"/>
  <c r="PA39" i="5"/>
  <c r="DB40" i="5"/>
  <c r="HT41" i="5"/>
  <c r="FV39" i="5"/>
  <c r="GP40" i="5"/>
  <c r="YW38" i="5"/>
  <c r="AAK39" i="5"/>
  <c r="T39" i="5"/>
  <c r="XC38" i="5"/>
  <c r="AJ38" i="5"/>
  <c r="FI38" i="5"/>
  <c r="XJ40" i="5"/>
  <c r="VR42" i="5"/>
  <c r="TX39" i="5"/>
  <c r="BI40" i="5"/>
  <c r="ACF40" i="5"/>
  <c r="AJG38" i="5"/>
  <c r="PQ39" i="5"/>
  <c r="DV40" i="5"/>
  <c r="WZ38" i="5"/>
  <c r="HB39" i="5"/>
  <c r="LC40" i="5"/>
  <c r="ZM38" i="5"/>
  <c r="ABD39" i="5"/>
  <c r="FH39" i="5"/>
  <c r="XS38" i="5"/>
  <c r="AZ38" i="5"/>
  <c r="PE38" i="5"/>
  <c r="AKD41" i="5"/>
  <c r="AKB42" i="5"/>
  <c r="IC40" i="5"/>
  <c r="HR41" i="5"/>
  <c r="CB39" i="5"/>
  <c r="UN39" i="5"/>
  <c r="CD40" i="5"/>
  <c r="AKW40" i="5"/>
  <c r="AJW38" i="5"/>
  <c r="QG39" i="5"/>
  <c r="ET40" i="5"/>
  <c r="XP38" i="5"/>
  <c r="HR39" i="5"/>
  <c r="ME40" i="5"/>
  <c r="AAC38" i="5"/>
  <c r="IL40" i="5"/>
  <c r="FX39" i="5"/>
  <c r="YI38" i="5"/>
  <c r="ADH38" i="5"/>
  <c r="PU38" i="5"/>
  <c r="AKZ41" i="5"/>
  <c r="JY41" i="5"/>
  <c r="AAA37" i="5"/>
  <c r="AJW37" i="5"/>
  <c r="JK38" i="5"/>
  <c r="ABA38" i="5"/>
  <c r="QQ39" i="5"/>
  <c r="NB36" i="5"/>
  <c r="WX36" i="5"/>
  <c r="AGT36" i="5"/>
  <c r="DH37" i="5"/>
  <c r="ND37" i="5"/>
  <c r="WZ37" i="5"/>
  <c r="AGV37" i="5"/>
  <c r="FC38" i="5"/>
  <c r="UX38" i="5"/>
  <c r="DT39" i="5"/>
  <c r="MM36" i="5"/>
  <c r="XO36" i="5"/>
  <c r="AIQ36" i="5"/>
  <c r="GK37" i="5"/>
  <c r="RM37" i="5"/>
  <c r="ACO37" i="5"/>
  <c r="BD38" i="5"/>
  <c r="TS38" i="5"/>
  <c r="GC39" i="5"/>
  <c r="LH36" i="5"/>
  <c r="WJ36" i="5"/>
  <c r="AHL36" i="5"/>
  <c r="FF37" i="5"/>
  <c r="QH37" i="5"/>
  <c r="ACP37" i="5"/>
  <c r="BE38" i="5"/>
  <c r="RL38" i="5"/>
  <c r="BY39" i="5"/>
  <c r="AAQ39" i="5"/>
  <c r="BB40" i="5"/>
  <c r="SM40" i="5"/>
  <c r="PG41" i="5"/>
  <c r="AHP39" i="5"/>
  <c r="MT40" i="5"/>
  <c r="VT41" i="5"/>
  <c r="O40" i="5"/>
  <c r="AAJ40" i="5"/>
  <c r="MZ39" i="5"/>
  <c r="AGC39" i="5"/>
  <c r="PF40" i="5"/>
  <c r="KI41" i="5"/>
  <c r="XD39" i="5"/>
  <c r="AM40" i="5"/>
  <c r="ABT40" i="5"/>
  <c r="GH39" i="5"/>
  <c r="ZJ39" i="5"/>
  <c r="IB40" i="5"/>
  <c r="AKU40" i="5"/>
  <c r="LG39" i="5"/>
  <c r="AAG39" i="5"/>
  <c r="JC40" i="5"/>
  <c r="LP41" i="5"/>
  <c r="GZ39" i="5"/>
  <c r="VD39" i="5"/>
  <c r="DA40" i="5"/>
  <c r="I41" i="5"/>
  <c r="AKM38" i="5"/>
  <c r="QW39" i="5"/>
  <c r="JZ40" i="5"/>
  <c r="YF38" i="5"/>
  <c r="RN39" i="5"/>
  <c r="OF40" i="5"/>
  <c r="AAS38" i="5"/>
  <c r="JG40" i="5"/>
  <c r="GN39" i="5"/>
  <c r="YY38" i="5"/>
  <c r="ADX38" i="5"/>
  <c r="WO38" i="5"/>
  <c r="P42" i="5"/>
  <c r="RG41" i="5"/>
  <c r="UL37" i="5"/>
  <c r="AEH37" i="5"/>
  <c r="BU38" i="5"/>
  <c r="QF38" i="5"/>
  <c r="AKI38" i="5"/>
  <c r="QS36" i="5"/>
  <c r="AAO36" i="5"/>
  <c r="AKK36" i="5"/>
  <c r="GY37" i="5"/>
  <c r="QU37" i="5"/>
  <c r="AAQ37" i="5"/>
  <c r="AKM37" i="5"/>
  <c r="KM38" i="5"/>
  <c r="ACG38" i="5"/>
  <c r="UI39" i="5"/>
  <c r="NR36" i="5"/>
  <c r="XN36" i="5"/>
  <c r="AHJ36" i="5"/>
  <c r="DX37" i="5"/>
  <c r="NT37" i="5"/>
  <c r="XP37" i="5"/>
  <c r="AHL37" i="5"/>
  <c r="GA38" i="5"/>
  <c r="WD38" i="5"/>
  <c r="FQ39" i="5"/>
  <c r="NC36" i="5"/>
  <c r="YE36" i="5"/>
  <c r="AJG36" i="5"/>
  <c r="HA37" i="5"/>
  <c r="SC37" i="5"/>
  <c r="ADE37" i="5"/>
  <c r="BX38" i="5"/>
  <c r="UY38" i="5"/>
  <c r="HZ39" i="5"/>
  <c r="LX36" i="5"/>
  <c r="WZ36" i="5"/>
  <c r="AIB36" i="5"/>
  <c r="FV37" i="5"/>
  <c r="QX37" i="5"/>
  <c r="ADF37" i="5"/>
  <c r="BY38" i="5"/>
  <c r="SO38" i="5"/>
  <c r="EG39" i="5"/>
  <c r="ABM39" i="5"/>
  <c r="BV40" i="5"/>
  <c r="TS40" i="5"/>
  <c r="VS41" i="5"/>
  <c r="AII39" i="5"/>
  <c r="OV40" i="5"/>
  <c r="WY39" i="5"/>
  <c r="BD40" i="5"/>
  <c r="ABR40" i="5"/>
  <c r="OF39" i="5"/>
  <c r="AGV39" i="5"/>
  <c r="QL40" i="5"/>
  <c r="QB41" i="5"/>
  <c r="XW39" i="5"/>
  <c r="BF40" i="5"/>
  <c r="ADK40" i="5"/>
  <c r="GX39" i="5"/>
  <c r="AAF39" i="5"/>
  <c r="JB40" i="5"/>
  <c r="AME40" i="5"/>
  <c r="LW39" i="5"/>
  <c r="AET39" i="5"/>
  <c r="JX40" i="5"/>
  <c r="RS41" i="5"/>
  <c r="HP39" i="5"/>
  <c r="VT39" i="5"/>
  <c r="DU40" i="5"/>
  <c r="BF41" i="5"/>
  <c r="ALC38" i="5"/>
  <c r="RM39" i="5"/>
  <c r="LB40" i="5"/>
  <c r="YV38" i="5"/>
  <c r="SD39" i="5"/>
  <c r="PL40" i="5"/>
  <c r="ADU38" i="5"/>
  <c r="KH40" i="5"/>
  <c r="ABE39" i="5"/>
  <c r="ZO38" i="5"/>
  <c r="AL39" i="5"/>
  <c r="OA39" i="5"/>
  <c r="BT42" i="5"/>
  <c r="WY41" i="5"/>
  <c r="ABG37" i="5"/>
  <c r="ALD37" i="5"/>
  <c r="LO38" i="5"/>
  <c r="ADM38" i="5"/>
  <c r="EL36" i="5"/>
  <c r="OH36" i="5"/>
  <c r="YD36" i="5"/>
  <c r="AHZ36" i="5"/>
  <c r="EN37" i="5"/>
  <c r="OJ37" i="5"/>
  <c r="YF37" i="5"/>
  <c r="AIB37" i="5"/>
  <c r="GU38" i="5"/>
  <c r="XJ38" i="5"/>
  <c r="NO39" i="5"/>
  <c r="NS36" i="5"/>
  <c r="YU36" i="5"/>
  <c r="AJW36" i="5"/>
  <c r="HQ37" i="5"/>
  <c r="SS37" i="5"/>
  <c r="ADU37" i="5"/>
  <c r="EJ38" i="5"/>
  <c r="WE38" i="5"/>
  <c r="KM39" i="5"/>
  <c r="MN36" i="5"/>
  <c r="XP36" i="5"/>
  <c r="AIR36" i="5"/>
  <c r="GL37" i="5"/>
  <c r="ST37" i="5"/>
  <c r="ADV37" i="5"/>
  <c r="CS38" i="5"/>
  <c r="TT38" i="5"/>
  <c r="GD39" i="5"/>
  <c r="ACF39" i="5"/>
  <c r="CP40" i="5"/>
  <c r="XK40" i="5"/>
  <c r="UX39" i="5"/>
  <c r="AJB39" i="5"/>
  <c r="TT40" i="5"/>
  <c r="XU39" i="5"/>
  <c r="EJ40" i="5"/>
  <c r="ACZ40" i="5"/>
  <c r="RX39" i="5"/>
  <c r="AHR39" i="5"/>
  <c r="RR40" i="5"/>
  <c r="XK41" i="5"/>
  <c r="YP39" i="5"/>
  <c r="BZ40" i="5"/>
  <c r="AES40" i="5"/>
  <c r="IT39" i="5"/>
  <c r="AAY39" i="5"/>
  <c r="JW40" i="5"/>
  <c r="BD41" i="5"/>
  <c r="MM39" i="5"/>
  <c r="AFM39" i="5"/>
  <c r="KZ40" i="5"/>
  <c r="AEH38" i="5"/>
  <c r="IF39" i="5"/>
  <c r="WN39" i="5"/>
  <c r="EP40" i="5"/>
  <c r="DE41" i="5"/>
  <c r="ALS38" i="5"/>
  <c r="ZP39" i="5"/>
  <c r="MD40" i="5"/>
  <c r="ZL38" i="5"/>
  <c r="ST39" i="5"/>
  <c r="AKY40" i="5"/>
  <c r="CE39" i="5"/>
  <c r="LD40" i="5"/>
  <c r="ABX39" i="5"/>
  <c r="AGI38" i="5"/>
  <c r="BB39" i="5"/>
  <c r="OQ39" i="5"/>
  <c r="CP42" i="5"/>
  <c r="QU40" i="5"/>
  <c r="ALZ37" i="5"/>
  <c r="MK38" i="5"/>
  <c r="AEU38" i="5"/>
  <c r="FB36" i="5"/>
  <c r="OX36" i="5"/>
  <c r="YT36" i="5"/>
  <c r="AIP36" i="5"/>
  <c r="FD37" i="5"/>
  <c r="OZ37" i="5"/>
  <c r="YV37" i="5"/>
  <c r="AIR37" i="5"/>
  <c r="HO38" i="5"/>
  <c r="YP38" i="5"/>
  <c r="RE39" i="5"/>
  <c r="OI36" i="5"/>
  <c r="ZK36" i="5"/>
  <c r="AKM36" i="5"/>
  <c r="IG37" i="5"/>
  <c r="TI37" i="5"/>
  <c r="AEK37" i="5"/>
  <c r="FD38" i="5"/>
  <c r="XK38" i="5"/>
  <c r="OC39" i="5"/>
  <c r="ND36" i="5"/>
  <c r="YF36" i="5"/>
  <c r="AJH36" i="5"/>
  <c r="HB37" i="5"/>
  <c r="TJ37" i="5"/>
  <c r="AEL37" i="5"/>
  <c r="DQ38" i="5"/>
  <c r="UZ38" i="5"/>
  <c r="IA39" i="5"/>
  <c r="ACY39" i="5"/>
  <c r="DN40" i="5"/>
  <c r="YQ40" i="5"/>
  <c r="VN39" i="5"/>
  <c r="AJU39" i="5"/>
  <c r="UZ40" i="5"/>
  <c r="YN39" i="5"/>
  <c r="FE40" i="5"/>
  <c r="AEQ40" i="5"/>
  <c r="SN39" i="5"/>
  <c r="AIK39" i="5"/>
  <c r="SX40" i="5"/>
  <c r="IS39" i="5"/>
  <c r="ZI39" i="5"/>
  <c r="CX40" i="5"/>
  <c r="AGA40" i="5"/>
  <c r="ML39" i="5"/>
  <c r="ABR39" i="5"/>
  <c r="KY40" i="5"/>
  <c r="DC41" i="5"/>
  <c r="NC39" i="5"/>
  <c r="AGF39" i="5"/>
  <c r="LV40" i="5"/>
  <c r="AEX38" i="5"/>
  <c r="IV39" i="5"/>
  <c r="XG39" i="5"/>
  <c r="FN40" i="5"/>
  <c r="FF41" i="5"/>
  <c r="A39" i="5"/>
  <c r="AAI39" i="5"/>
  <c r="OE40" i="5"/>
  <c r="ADD38" i="5"/>
  <c r="TJ39" i="5"/>
  <c r="K41" i="5"/>
  <c r="CU39" i="5"/>
  <c r="MF40" i="5"/>
  <c r="ACT39" i="5"/>
  <c r="PE39" i="5"/>
  <c r="HV39" i="5"/>
  <c r="PG39" i="5"/>
  <c r="YP43" i="5"/>
  <c r="RK40" i="5"/>
  <c r="K38" i="5"/>
  <c r="NM38" i="5"/>
  <c r="AGC38" i="5"/>
  <c r="FR36" i="5"/>
  <c r="PN36" i="5"/>
  <c r="ZJ36" i="5"/>
  <c r="AJF36" i="5"/>
  <c r="FT37" i="5"/>
  <c r="PP37" i="5"/>
  <c r="ZL37" i="5"/>
  <c r="AJH37" i="5"/>
  <c r="IP38" i="5"/>
  <c r="ZV38" i="5"/>
  <c r="UY39" i="5"/>
  <c r="OY36" i="5"/>
  <c r="AAA36" i="5"/>
  <c r="ALC36" i="5"/>
  <c r="IW37" i="5"/>
  <c r="TY37" i="5"/>
  <c r="AGG37" i="5"/>
  <c r="GB38" i="5"/>
  <c r="YQ38" i="5"/>
  <c r="RF39" i="5"/>
  <c r="NT36" i="5"/>
  <c r="YV36" i="5"/>
  <c r="AJX36" i="5"/>
  <c r="IX37" i="5"/>
  <c r="TZ37" i="5"/>
  <c r="AFB37" i="5"/>
  <c r="EK38" i="5"/>
  <c r="WF38" i="5"/>
  <c r="LA39" i="5"/>
  <c r="ADR39" i="5"/>
  <c r="GB40" i="5"/>
  <c r="AAH40" i="5"/>
  <c r="WE39" i="5"/>
  <c r="AKN39" i="5"/>
  <c r="WF40" i="5"/>
  <c r="ZG39" i="5"/>
  <c r="GD40" i="5"/>
  <c r="AIX40" i="5"/>
  <c r="TD39" i="5"/>
  <c r="AJD39" i="5"/>
  <c r="UD40" i="5"/>
  <c r="JI39" i="5"/>
  <c r="AAB39" i="5"/>
  <c r="DR40" i="5"/>
  <c r="AKT40" i="5"/>
  <c r="NB39" i="5"/>
  <c r="ACK39" i="5"/>
  <c r="LU40" i="5"/>
  <c r="O39" i="5"/>
  <c r="NS39" i="5"/>
  <c r="AHB39" i="5"/>
  <c r="VM40" i="5"/>
  <c r="AFN38" i="5"/>
  <c r="JL39" i="5"/>
  <c r="ABT39" i="5"/>
  <c r="GI40" i="5"/>
  <c r="TG38" i="5"/>
  <c r="Q39" i="5"/>
  <c r="ABB39" i="5"/>
  <c r="PK40" i="5"/>
  <c r="ADT38" i="5"/>
  <c r="TZ39" i="5"/>
  <c r="BH41" i="5"/>
  <c r="DK39" i="5"/>
  <c r="NJ40" i="5"/>
  <c r="ADM39" i="5"/>
  <c r="ZT39" i="5"/>
  <c r="IL39" i="5"/>
  <c r="PW39" i="5"/>
  <c r="AFU43" i="5"/>
  <c r="SQ40" i="5"/>
  <c r="QD36" i="5"/>
  <c r="ZZ36" i="5"/>
  <c r="AJV36" i="5"/>
  <c r="GJ37" i="5"/>
  <c r="QF37" i="5"/>
  <c r="AAB37" i="5"/>
  <c r="AJX37" i="5"/>
  <c r="JL38" i="5"/>
  <c r="ABB38" i="5"/>
  <c r="EM36" i="5"/>
  <c r="PO36" i="5"/>
  <c r="AAQ36" i="5"/>
  <c r="ALS36" i="5"/>
  <c r="JM37" i="5"/>
  <c r="UO37" i="5"/>
  <c r="AGW37" i="5"/>
  <c r="GV38" i="5"/>
  <c r="ZW38" i="5"/>
  <c r="VO39" i="5"/>
  <c r="OJ36" i="5"/>
  <c r="ZL36" i="5"/>
  <c r="AKN36" i="5"/>
  <c r="JN37" i="5"/>
  <c r="UP37" i="5"/>
  <c r="AFR37" i="5"/>
  <c r="FE38" i="5"/>
  <c r="XL38" i="5"/>
  <c r="OD39" i="5"/>
  <c r="AEN39" i="5"/>
  <c r="GW40" i="5"/>
  <c r="ABP40" i="5"/>
  <c r="WX39" i="5"/>
  <c r="ALJ39" i="5"/>
  <c r="XL40" i="5"/>
  <c r="ZZ39" i="5"/>
  <c r="GY40" i="5"/>
  <c r="AMB40" i="5"/>
  <c r="TT39" i="5"/>
  <c r="AKS39" i="5"/>
  <c r="VJ40" i="5"/>
  <c r="KO39" i="5"/>
  <c r="AAX39" i="5"/>
  <c r="FK40" i="5"/>
  <c r="AMD40" i="5"/>
  <c r="NR39" i="5"/>
  <c r="ADD39" i="5"/>
  <c r="MX40" i="5"/>
  <c r="AE39" i="5"/>
  <c r="OI39" i="5"/>
  <c r="AHU39" i="5"/>
  <c r="WS40" i="5"/>
  <c r="AGD38" i="5"/>
  <c r="KB39" i="5"/>
  <c r="ACM39" i="5"/>
  <c r="HI40" i="5"/>
  <c r="TW38" i="5"/>
  <c r="AG39" i="5"/>
  <c r="ABU39" i="5"/>
  <c r="AFF40" i="5"/>
  <c r="AEZ38" i="5"/>
  <c r="UP39" i="5"/>
  <c r="DS41" i="5"/>
  <c r="EA39" i="5"/>
  <c r="IH38" i="5"/>
  <c r="AEF39" i="5"/>
  <c r="AAM39" i="5"/>
  <c r="AGP39" i="5"/>
  <c r="QM39" i="5"/>
  <c r="NL42" i="5"/>
  <c r="ABW39" i="5"/>
  <c r="VQ40" i="5"/>
  <c r="ST38" i="5"/>
  <c r="HD39" i="5"/>
  <c r="CK40" i="5"/>
  <c r="EA38" i="5"/>
  <c r="CW39" i="5"/>
  <c r="ALB39" i="5"/>
  <c r="HT38" i="5"/>
  <c r="JB39" i="5"/>
  <c r="FU40" i="5"/>
  <c r="XE38" i="5"/>
  <c r="AW40" i="5"/>
  <c r="XF38" i="5"/>
  <c r="ABA42" i="5"/>
  <c r="ACS43" i="5"/>
  <c r="UK41" i="5"/>
  <c r="VM41" i="5"/>
  <c r="NA40" i="5"/>
  <c r="DF41" i="5"/>
  <c r="AEJ38" i="5"/>
  <c r="GL39" i="5"/>
  <c r="ACR39" i="5"/>
  <c r="NB40" i="5"/>
  <c r="MO38" i="5"/>
  <c r="AEK38" i="5"/>
  <c r="GM39" i="5"/>
  <c r="AFT39" i="5"/>
  <c r="WW40" i="5"/>
  <c r="TJ38" i="5"/>
  <c r="HT39" i="5"/>
  <c r="DE40" i="5"/>
  <c r="EQ38" i="5"/>
  <c r="DM39" i="5"/>
  <c r="ALX39" i="5"/>
  <c r="RP38" i="5"/>
  <c r="JR39" i="5"/>
  <c r="RD40" i="5"/>
  <c r="XU38" i="5"/>
  <c r="CN40" i="5"/>
  <c r="BT39" i="5"/>
  <c r="ACU42" i="5"/>
  <c r="AFV43" i="5"/>
  <c r="VI41" i="5"/>
  <c r="ACZ41" i="5"/>
  <c r="AFA38" i="5"/>
  <c r="MQ39" i="5"/>
  <c r="AGM39" i="5"/>
  <c r="YC40" i="5"/>
  <c r="YX38" i="5"/>
  <c r="IJ39" i="5"/>
  <c r="DZ40" i="5"/>
  <c r="FG38" i="5"/>
  <c r="EC39" i="5"/>
  <c r="I40" i="5"/>
  <c r="SF38" i="5"/>
  <c r="KH39" i="5"/>
  <c r="Z41" i="5"/>
  <c r="YK38" i="5"/>
  <c r="DI40" i="5"/>
  <c r="DP39" i="5"/>
  <c r="AEE42" i="5"/>
  <c r="QS44" i="5"/>
  <c r="WW41" i="5"/>
  <c r="AFV41" i="5"/>
  <c r="AFQ38" i="5"/>
  <c r="NG39" i="5"/>
  <c r="AHF39" i="5"/>
  <c r="AGP40" i="5"/>
  <c r="ZN38" i="5"/>
  <c r="IZ39" i="5"/>
  <c r="MG40" i="5"/>
  <c r="FW38" i="5"/>
  <c r="ES39" i="5"/>
  <c r="IN40" i="5"/>
  <c r="SV38" i="5"/>
  <c r="KX39" i="5"/>
  <c r="BW41" i="5"/>
  <c r="ZA38" i="5"/>
  <c r="EF40" i="5"/>
  <c r="PH39" i="5"/>
  <c r="IQ42" i="5"/>
  <c r="AI45" i="5"/>
  <c r="ADQ41" i="5"/>
  <c r="JF42" i="5"/>
  <c r="ACM38" i="5"/>
  <c r="FE39" i="5"/>
  <c r="SC39" i="5"/>
  <c r="AKX39" i="5"/>
  <c r="QQ40" i="5"/>
  <c r="TH38" i="5"/>
  <c r="AGF38" i="5"/>
  <c r="IH39" i="5"/>
  <c r="AEW39" i="5"/>
  <c r="QR40" i="5"/>
  <c r="OK38" i="5"/>
  <c r="AGG38" i="5"/>
  <c r="NW39" i="5"/>
  <c r="AHY39" i="5"/>
  <c r="AHX40" i="5"/>
  <c r="AAD38" i="5"/>
  <c r="RP39" i="5"/>
  <c r="NK40" i="5"/>
  <c r="GM38" i="5"/>
  <c r="FI39" i="5"/>
  <c r="JI40" i="5"/>
  <c r="TL38" i="5"/>
  <c r="RR39" i="5"/>
  <c r="DW41" i="5"/>
  <c r="ZQ38" i="5"/>
  <c r="EZ40" i="5"/>
  <c r="QN39" i="5"/>
  <c r="JS42" i="5"/>
  <c r="JC41" i="5"/>
  <c r="AKJ41" i="5"/>
  <c r="AEC43" i="5"/>
  <c r="ADC38" i="5"/>
  <c r="FU39" i="5"/>
  <c r="SS39" i="5"/>
  <c r="ALQ39" i="5"/>
  <c r="RW40" i="5"/>
  <c r="TX38" i="5"/>
  <c r="AGV38" i="5"/>
  <c r="OL39" i="5"/>
  <c r="AFP39" i="5"/>
  <c r="RX40" i="5"/>
  <c r="PA38" i="5"/>
  <c r="AGW38" i="5"/>
  <c r="OM39" i="5"/>
  <c r="AIR39" i="5"/>
  <c r="II41" i="5"/>
  <c r="AAT38" i="5"/>
  <c r="SF39" i="5"/>
  <c r="OP40" i="5"/>
  <c r="PC38" i="5"/>
  <c r="FY39" i="5"/>
  <c r="KJ40" i="5"/>
  <c r="UB38" i="5"/>
  <c r="SH39" i="5"/>
  <c r="GI41" i="5"/>
  <c r="AGK38" i="5"/>
  <c r="SK40" i="5"/>
  <c r="RD39" i="5"/>
  <c r="NK42" i="5"/>
  <c r="VO42" i="5"/>
  <c r="ADA40" i="5"/>
  <c r="LL41" i="5"/>
  <c r="PJ40" i="5"/>
  <c r="HS41" i="5"/>
  <c r="ADS38" i="5"/>
  <c r="GK39" i="5"/>
  <c r="TI39" i="5"/>
  <c r="B40" i="5"/>
  <c r="TC40" i="5"/>
  <c r="UN38" i="5"/>
  <c r="AHL38" i="5"/>
  <c r="PB39" i="5"/>
  <c r="AGL39" i="5"/>
  <c r="AFG40" i="5"/>
  <c r="PQ38" i="5"/>
  <c r="AHM38" i="5"/>
  <c r="PC39" i="5"/>
  <c r="AJN39" i="5"/>
  <c r="MX41" i="5"/>
  <c r="ABJ38" i="5"/>
  <c r="SV39" i="5"/>
  <c r="PV40" i="5"/>
  <c r="PS38" i="5"/>
  <c r="MS39" i="5"/>
  <c r="AEB40" i="5"/>
  <c r="UR38" i="5"/>
  <c r="SX39" i="5"/>
  <c r="IZ41" i="5"/>
  <c r="EE39" i="5"/>
  <c r="TQ40" i="5"/>
  <c r="SZ39" i="5"/>
  <c r="OQ42" i="5"/>
  <c r="AGB42" i="5"/>
  <c r="ADQ40" i="5"/>
  <c r="ACG41" i="5"/>
  <c r="QP40" i="5"/>
  <c r="LQ41" i="5"/>
  <c r="AHK38" i="5"/>
  <c r="HA39" i="5"/>
  <c r="TY39" i="5"/>
  <c r="X40" i="5"/>
  <c r="UI40" i="5"/>
  <c r="VD38" i="5"/>
  <c r="AIB38" i="5"/>
  <c r="PR39" i="5"/>
  <c r="AHE39" i="5"/>
  <c r="AGO40" i="5"/>
  <c r="QG38" i="5"/>
  <c r="AI39" i="5"/>
  <c r="PS39" i="5"/>
  <c r="AKG39" i="5"/>
  <c r="TG41" i="5"/>
  <c r="ABZ38" i="5"/>
  <c r="TL39" i="5"/>
  <c r="RB40" i="5"/>
  <c r="QI38" i="5"/>
  <c r="NI39" i="5"/>
  <c r="AFJ40" i="5"/>
  <c r="ABL38" i="5"/>
  <c r="AEH39" i="5"/>
  <c r="NQ41" i="5"/>
  <c r="EU39" i="5"/>
  <c r="UW40" i="5"/>
  <c r="TP39" i="5"/>
  <c r="RF42" i="5"/>
  <c r="AHV42" i="5"/>
  <c r="NX43" i="5"/>
  <c r="AN42" i="5"/>
  <c r="HY39" i="5"/>
  <c r="LG36" i="5"/>
  <c r="VC36" i="5"/>
  <c r="AEY36" i="5"/>
  <c r="BM37" i="5"/>
  <c r="LI37" i="5"/>
  <c r="VE37" i="5"/>
  <c r="AFA37" i="5"/>
  <c r="CR38" i="5"/>
  <c r="RK38" i="5"/>
  <c r="AMC38" i="5"/>
  <c r="HP36" i="5"/>
  <c r="RL36" i="5"/>
  <c r="ABH36" i="5"/>
  <c r="ALD36" i="5"/>
  <c r="HR37" i="5"/>
  <c r="RN37" i="5"/>
  <c r="ABJ37" i="5"/>
  <c r="ALJ37" i="5"/>
  <c r="LR38" i="5"/>
  <c r="ADP38" i="5"/>
  <c r="TQ39" i="5"/>
  <c r="AFG39" i="5"/>
  <c r="EH40" i="5"/>
  <c r="UY40" i="5"/>
  <c r="GM41" i="5"/>
  <c r="AEO39" i="5"/>
  <c r="GX40" i="5"/>
  <c r="AEP40" i="5"/>
  <c r="AFI39" i="5"/>
  <c r="HY40" i="5"/>
  <c r="AFY40" i="5"/>
  <c r="QR39" i="5"/>
  <c r="AEQ39" i="5"/>
  <c r="HA40" i="5"/>
  <c r="AKI40" i="5"/>
  <c r="PM39" i="5"/>
  <c r="ADC39" i="5"/>
  <c r="IW40" i="5"/>
  <c r="AHR40" i="5"/>
  <c r="HN39" i="5"/>
  <c r="XX39" i="5"/>
  <c r="AN40" i="5"/>
  <c r="ACD40" i="5"/>
  <c r="DG39" i="5"/>
  <c r="TG39" i="5"/>
  <c r="AIN39" i="5"/>
  <c r="MY40" i="5"/>
  <c r="ZW41" i="5"/>
  <c r="CR39" i="5"/>
  <c r="SR39" i="5"/>
  <c r="AHV39" i="5"/>
  <c r="RV40" i="5"/>
  <c r="RT41" i="5"/>
  <c r="AIA38" i="5"/>
  <c r="HQ39" i="5"/>
  <c r="YA39" i="5"/>
  <c r="AQ40" i="5"/>
  <c r="VO40" i="5"/>
  <c r="VT38" i="5"/>
  <c r="AIR38" i="5"/>
  <c r="QH39" i="5"/>
  <c r="AKY39" i="5"/>
  <c r="AHW40" i="5"/>
  <c r="QW38" i="5"/>
  <c r="AY39" i="5"/>
  <c r="QI39" i="5"/>
  <c r="GQ40" i="5"/>
  <c r="ADK41" i="5"/>
  <c r="ACP38" i="5"/>
  <c r="ZS39" i="5"/>
  <c r="SH40" i="5"/>
  <c r="QY38" i="5"/>
  <c r="NY39" i="5"/>
  <c r="AGR40" i="5"/>
  <c r="ACB38" i="5"/>
  <c r="AFD39" i="5"/>
  <c r="CW38" i="5"/>
  <c r="FK39" i="5"/>
  <c r="AKR37" i="5"/>
  <c r="AGR39" i="5"/>
  <c r="MV43" i="5"/>
  <c r="VC41" i="5"/>
  <c r="HZ41" i="5"/>
  <c r="EV43" i="5"/>
  <c r="KL39" i="5"/>
  <c r="LW36" i="5"/>
  <c r="VS36" i="5"/>
  <c r="AFO36" i="5"/>
  <c r="CC37" i="5"/>
  <c r="LY37" i="5"/>
  <c r="VU37" i="5"/>
  <c r="AFQ37" i="5"/>
  <c r="DP38" i="5"/>
  <c r="SN38" i="5"/>
  <c r="AD39" i="5"/>
  <c r="IF36" i="5"/>
  <c r="SB36" i="5"/>
  <c r="ABX36" i="5"/>
  <c r="ALT36" i="5"/>
  <c r="IH37" i="5"/>
  <c r="SD37" i="5"/>
  <c r="ABZ37" i="5"/>
  <c r="AMC37" i="5"/>
  <c r="MN38" i="5"/>
  <c r="AFG38" i="5"/>
  <c r="UG39" i="5"/>
  <c r="AFZ39" i="5"/>
  <c r="FB40" i="5"/>
  <c r="WE40" i="5"/>
  <c r="JQ41" i="5"/>
  <c r="AFH39" i="5"/>
  <c r="HX40" i="5"/>
  <c r="AFX40" i="5"/>
  <c r="AGB39" i="5"/>
  <c r="IT40" i="5"/>
  <c r="AHG40" i="5"/>
  <c r="RH39" i="5"/>
  <c r="AFJ39" i="5"/>
  <c r="HZ40" i="5"/>
  <c r="AMC40" i="5"/>
  <c r="QC39" i="5"/>
  <c r="ADY39" i="5"/>
  <c r="JV40" i="5"/>
  <c r="AIZ40" i="5"/>
  <c r="ID39" i="5"/>
  <c r="YQ39" i="5"/>
  <c r="BG40" i="5"/>
  <c r="ADL40" i="5"/>
  <c r="DW39" i="5"/>
  <c r="TW39" i="5"/>
  <c r="AJG39" i="5"/>
  <c r="UG40" i="5"/>
  <c r="ADR38" i="5"/>
  <c r="DH39" i="5"/>
  <c r="TH39" i="5"/>
  <c r="AIO39" i="5"/>
  <c r="TB40" i="5"/>
  <c r="AAQ41" i="5"/>
  <c r="AIQ38" i="5"/>
  <c r="IG39" i="5"/>
  <c r="YT39" i="5"/>
  <c r="BJ40" i="5"/>
  <c r="ADO40" i="5"/>
  <c r="WJ38" i="5"/>
  <c r="AJH38" i="5"/>
  <c r="QX39" i="5"/>
  <c r="ALR39" i="5"/>
  <c r="AJO40" i="5"/>
  <c r="TY38" i="5"/>
  <c r="BO39" i="5"/>
  <c r="QY39" i="5"/>
  <c r="HL40" i="5"/>
  <c r="HR38" i="5"/>
  <c r="ALF38" i="5"/>
  <c r="AAL39" i="5"/>
  <c r="TN40" i="5"/>
  <c r="WM38" i="5"/>
  <c r="OO39" i="5"/>
  <c r="AII40" i="5"/>
  <c r="ACR38" i="5"/>
  <c r="AFW39" i="5"/>
  <c r="DM38" i="5"/>
  <c r="GA39" i="5"/>
  <c r="F38" i="5"/>
  <c r="AHK39" i="5"/>
  <c r="VH43" i="5"/>
  <c r="WU41" i="5"/>
  <c r="IQ41" i="5"/>
  <c r="AHA38" i="5"/>
  <c r="RC39" i="5"/>
  <c r="WC40" i="5"/>
  <c r="XV38" i="5"/>
  <c r="AJS39" i="5"/>
  <c r="AFY42" i="5"/>
  <c r="ALN43" i="5"/>
  <c r="ZZ41" i="5"/>
  <c r="KZ43" i="5"/>
  <c r="AEW40" i="5"/>
  <c r="AAA40" i="5"/>
  <c r="AGW39" i="5"/>
  <c r="AHQ38" i="5"/>
  <c r="ZV39" i="5"/>
  <c r="XI40" i="5"/>
  <c r="ZB38" i="5"/>
  <c r="AKL39" i="5"/>
  <c r="ALV42" i="5"/>
  <c r="XM41" i="5"/>
  <c r="AAX41" i="5"/>
  <c r="PW43" i="5"/>
  <c r="AIO40" i="5"/>
  <c r="AFO40" i="5"/>
  <c r="MS43" i="5"/>
  <c r="N40" i="5"/>
  <c r="NQ40" i="5"/>
  <c r="AIN40" i="5"/>
  <c r="ABO39" i="5"/>
  <c r="AH40" i="5"/>
  <c r="OW40" i="5"/>
  <c r="AKH40" i="5"/>
  <c r="NP39" i="5"/>
  <c r="XV39" i="5"/>
  <c r="AJW39" i="5"/>
  <c r="JU40" i="5"/>
  <c r="ADJ40" i="5"/>
  <c r="JY39" i="5"/>
  <c r="TU39" i="5"/>
  <c r="AFK39" i="5"/>
  <c r="EL40" i="5"/>
  <c r="VK40" i="5"/>
  <c r="HC41" i="5"/>
  <c r="JJ39" i="5"/>
  <c r="TF39" i="5"/>
  <c r="AES39" i="5"/>
  <c r="DS40" i="5"/>
  <c r="UF40" i="5"/>
  <c r="FC41" i="5"/>
  <c r="GI39" i="5"/>
  <c r="QE39" i="5"/>
  <c r="AAZ39" i="5"/>
  <c r="V40" i="5"/>
  <c r="OC40" i="5"/>
  <c r="AJB40" i="5"/>
  <c r="AHJ38" i="5"/>
  <c r="DX39" i="5"/>
  <c r="NT39" i="5"/>
  <c r="XZ39" i="5"/>
  <c r="AKD39" i="5"/>
  <c r="JY40" i="5"/>
  <c r="ADN40" i="5"/>
  <c r="UM38" i="5"/>
  <c r="AEI38" i="5"/>
  <c r="AW39" i="5"/>
  <c r="KS39" i="5"/>
  <c r="UO39" i="5"/>
  <c r="AGK39" i="5"/>
  <c r="FO40" i="5"/>
  <c r="WU40" i="5"/>
  <c r="MG41" i="5"/>
  <c r="AAB38" i="5"/>
  <c r="AJX38" i="5"/>
  <c r="IX39" i="5"/>
  <c r="VF39" i="5"/>
  <c r="Y40" i="5"/>
  <c r="TD40" i="5"/>
  <c r="SN41" i="5"/>
  <c r="VU38" i="5"/>
  <c r="AIC38" i="5"/>
  <c r="HC39" i="5"/>
  <c r="VX39" i="5"/>
  <c r="AKZ39" i="5"/>
  <c r="ZS40" i="5"/>
  <c r="KT38" i="5"/>
  <c r="ADF38" i="5"/>
  <c r="JP39" i="5"/>
  <c r="AEY39" i="5"/>
  <c r="UT40" i="5"/>
  <c r="HC38" i="5"/>
  <c r="AGY38" i="5"/>
  <c r="PU39" i="5"/>
  <c r="LF40" i="5"/>
  <c r="IJ38" i="5"/>
  <c r="AEN38" i="5"/>
  <c r="TN39" i="5"/>
  <c r="SJ40" i="5"/>
  <c r="FY38" i="5"/>
  <c r="AIG38" i="5"/>
  <c r="AAO39" i="5"/>
  <c r="ZW40" i="5"/>
  <c r="AAH38" i="5"/>
  <c r="AMA39" i="5"/>
  <c r="YF41" i="5"/>
  <c r="ZE41" i="5"/>
  <c r="ACS41" i="5"/>
  <c r="VJ44" i="5"/>
  <c r="AU41" i="5"/>
  <c r="QO42" i="5"/>
  <c r="XS39" i="5"/>
  <c r="JZ39" i="5"/>
  <c r="TV39" i="5"/>
  <c r="AFL39" i="5"/>
  <c r="EM40" i="5"/>
  <c r="VL40" i="5"/>
  <c r="HD41" i="5"/>
  <c r="GY39" i="5"/>
  <c r="QU39" i="5"/>
  <c r="ABS39" i="5"/>
  <c r="AO40" i="5"/>
  <c r="PI40" i="5"/>
  <c r="AKV40" i="5"/>
  <c r="AHZ38" i="5"/>
  <c r="EN39" i="5"/>
  <c r="OJ39" i="5"/>
  <c r="YS39" i="5"/>
  <c r="AKW39" i="5"/>
  <c r="LA40" i="5"/>
  <c r="AEV40" i="5"/>
  <c r="VC38" i="5"/>
  <c r="AEY38" i="5"/>
  <c r="BM39" i="5"/>
  <c r="LI39" i="5"/>
  <c r="VE39" i="5"/>
  <c r="AHD39" i="5"/>
  <c r="GK40" i="5"/>
  <c r="YA40" i="5"/>
  <c r="SM41" i="5"/>
  <c r="AAR38" i="5"/>
  <c r="AKN38" i="5"/>
  <c r="JN39" i="5"/>
  <c r="YU39" i="5"/>
  <c r="AR40" i="5"/>
  <c r="UJ40" i="5"/>
  <c r="KC38" i="5"/>
  <c r="WK38" i="5"/>
  <c r="AIS38" i="5"/>
  <c r="KE39" i="5"/>
  <c r="WQ39" i="5"/>
  <c r="ALS39" i="5"/>
  <c r="ABA40" i="5"/>
  <c r="PB38" i="5"/>
  <c r="AIT38" i="5"/>
  <c r="PD39" i="5"/>
  <c r="ALT39" i="5"/>
  <c r="AGQ40" i="5"/>
  <c r="MQ38" i="5"/>
  <c r="AHO38" i="5"/>
  <c r="WS39" i="5"/>
  <c r="MH40" i="5"/>
  <c r="IZ38" i="5"/>
  <c r="ALH38" i="5"/>
  <c r="UD39" i="5"/>
  <c r="TP40" i="5"/>
  <c r="MS38" i="5"/>
  <c r="AIW38" i="5"/>
  <c r="ABH39" i="5"/>
  <c r="GJ41" i="5"/>
  <c r="AAX38" i="5"/>
  <c r="PZ40" i="5"/>
  <c r="ZX41" i="5"/>
  <c r="ZY41" i="5"/>
  <c r="ADN41" i="5"/>
  <c r="CP41" i="5"/>
  <c r="QM42" i="5"/>
  <c r="RW42" i="5"/>
  <c r="RQ40" i="5"/>
  <c r="BC40" i="5"/>
  <c r="QB40" i="5"/>
  <c r="AMA40" i="5"/>
  <c r="ADA39" i="5"/>
  <c r="BX40" i="5"/>
  <c r="RI40" i="5"/>
  <c r="AP41" i="5"/>
  <c r="OV39" i="5"/>
  <c r="ZH39" i="5"/>
  <c r="ALL39" i="5"/>
  <c r="LS40" i="5"/>
  <c r="AFZ40" i="5"/>
  <c r="LE39" i="5"/>
  <c r="VA39" i="5"/>
  <c r="AGZ39" i="5"/>
  <c r="GF40" i="5"/>
  <c r="XW40" i="5"/>
  <c r="QU41" i="5"/>
  <c r="KP39" i="5"/>
  <c r="UL39" i="5"/>
  <c r="AGE39" i="5"/>
  <c r="FL40" i="5"/>
  <c r="WR40" i="5"/>
  <c r="KZ41" i="5"/>
  <c r="HO39" i="5"/>
  <c r="RK39" i="5"/>
  <c r="ACL39" i="5"/>
  <c r="BH40" i="5"/>
  <c r="QO40" i="5"/>
  <c r="H41" i="5"/>
  <c r="AIP38" i="5"/>
  <c r="FD39" i="5"/>
  <c r="OZ39" i="5"/>
  <c r="ZL39" i="5"/>
  <c r="ALP39" i="5"/>
  <c r="LW40" i="5"/>
  <c r="AGM40" i="5"/>
  <c r="VS38" i="5"/>
  <c r="AFO38" i="5"/>
  <c r="CC39" i="5"/>
  <c r="LY39" i="5"/>
  <c r="VV39" i="5"/>
  <c r="AHW39" i="5"/>
  <c r="HJ40" i="5"/>
  <c r="ZH40" i="5"/>
  <c r="ABP41" i="5"/>
  <c r="ABH38" i="5"/>
  <c r="ALD38" i="5"/>
  <c r="KD39" i="5"/>
  <c r="ZQ39" i="5"/>
  <c r="BK40" i="5"/>
  <c r="VP40" i="5"/>
  <c r="KS38" i="5"/>
  <c r="XA38" i="5"/>
  <c r="AJI38" i="5"/>
  <c r="KU39" i="5"/>
  <c r="XJ39" i="5"/>
  <c r="G40" i="5"/>
  <c r="ACI40" i="5"/>
  <c r="PR38" i="5"/>
  <c r="AJJ38" i="5"/>
  <c r="PT39" i="5"/>
  <c r="H40" i="5"/>
  <c r="AIH40" i="5"/>
  <c r="NG38" i="5"/>
  <c r="AIE38" i="5"/>
  <c r="XL39" i="5"/>
  <c r="NL40" i="5"/>
  <c r="JP38" i="5"/>
  <c r="ALX38" i="5"/>
  <c r="UT39" i="5"/>
  <c r="UV40" i="5"/>
  <c r="NI38" i="5"/>
  <c r="AJM38" i="5"/>
  <c r="ACD39" i="5"/>
  <c r="JA41" i="5"/>
  <c r="X39" i="5"/>
  <c r="TR40" i="5"/>
  <c r="AAR41" i="5"/>
  <c r="ACM41" i="5"/>
  <c r="AGK41" i="5"/>
  <c r="HY42" i="5"/>
  <c r="RU42" i="5"/>
  <c r="UV42" i="5"/>
  <c r="HP41" i="5"/>
  <c r="BW40" i="5"/>
  <c r="RH40" i="5"/>
  <c r="AO41" i="5"/>
  <c r="ADT39" i="5"/>
  <c r="CS40" i="5"/>
  <c r="SO40" i="5"/>
  <c r="CN41" i="5"/>
  <c r="PL39" i="5"/>
  <c r="AAA39" i="5"/>
  <c r="AME39" i="5"/>
  <c r="MV40" i="5"/>
  <c r="AHH40" i="5"/>
  <c r="LU39" i="5"/>
  <c r="VQ39" i="5"/>
  <c r="AHS39" i="5"/>
  <c r="HF40" i="5"/>
  <c r="ZD40" i="5"/>
  <c r="YE41" i="5"/>
  <c r="LF39" i="5"/>
  <c r="VB39" i="5"/>
  <c r="AHA39" i="5"/>
  <c r="GG40" i="5"/>
  <c r="XX40" i="5"/>
  <c r="QV41" i="5"/>
  <c r="IE39" i="5"/>
  <c r="SA39" i="5"/>
  <c r="ADH39" i="5"/>
  <c r="CC40" i="5"/>
  <c r="RU40" i="5"/>
  <c r="BE41" i="5"/>
  <c r="AJF38" i="5"/>
  <c r="FT39" i="5"/>
  <c r="PP39" i="5"/>
  <c r="AAH39" i="5"/>
  <c r="A40" i="5"/>
  <c r="MZ40" i="5"/>
  <c r="AHU40" i="5"/>
  <c r="WI38" i="5"/>
  <c r="AGE38" i="5"/>
  <c r="CS39" i="5"/>
  <c r="MO39" i="5"/>
  <c r="WO39" i="5"/>
  <c r="AIP39" i="5"/>
  <c r="IE40" i="5"/>
  <c r="AAY40" i="5"/>
  <c r="SB38" i="5"/>
  <c r="ABX38" i="5"/>
  <c r="ALT38" i="5"/>
  <c r="KT39" i="5"/>
  <c r="AAJ39" i="5"/>
  <c r="CI40" i="5"/>
  <c r="WV40" i="5"/>
  <c r="LI38" i="5"/>
  <c r="XQ38" i="5"/>
  <c r="AJY38" i="5"/>
  <c r="LK39" i="5"/>
  <c r="YC39" i="5"/>
  <c r="EV40" i="5"/>
  <c r="ADZ40" i="5"/>
  <c r="QH38" i="5"/>
  <c r="AJZ38" i="5"/>
  <c r="QJ39" i="5"/>
  <c r="AA40" i="5"/>
  <c r="AJQ40" i="5"/>
  <c r="NW38" i="5"/>
  <c r="AIU38" i="5"/>
  <c r="YE39" i="5"/>
  <c r="ABC40" i="5"/>
  <c r="KF38" i="5"/>
  <c r="F39" i="5"/>
  <c r="ACV39" i="5"/>
  <c r="WB40" i="5"/>
  <c r="NY38" i="5"/>
  <c r="CY39" i="5"/>
  <c r="ADP39" i="5"/>
  <c r="OI41" i="5"/>
  <c r="AN39" i="5"/>
  <c r="UX40" i="5"/>
  <c r="ADL41" i="5"/>
  <c r="ADM41" i="5"/>
  <c r="OS42" i="5"/>
  <c r="LC42" i="5"/>
  <c r="UL42" i="5"/>
  <c r="AKU42" i="5"/>
  <c r="IH41" i="5"/>
  <c r="ADS39" i="5"/>
  <c r="CQ40" i="5"/>
  <c r="SN40" i="5"/>
  <c r="CM41" i="5"/>
  <c r="AEP39" i="5"/>
  <c r="DP40" i="5"/>
  <c r="TU40" i="5"/>
  <c r="EN41" i="5"/>
  <c r="QB39" i="5"/>
  <c r="AAW39" i="5"/>
  <c r="P40" i="5"/>
  <c r="NZ40" i="5"/>
  <c r="AIY40" i="5"/>
  <c r="MK39" i="5"/>
  <c r="WH39" i="5"/>
  <c r="AIL39" i="5"/>
  <c r="IA40" i="5"/>
  <c r="AAL40" i="5"/>
  <c r="BZ39" i="5"/>
  <c r="LV39" i="5"/>
  <c r="VR39" i="5"/>
  <c r="AHT39" i="5"/>
  <c r="HG40" i="5"/>
  <c r="ZE40" i="5"/>
  <c r="ZC41" i="5"/>
  <c r="IU39" i="5"/>
  <c r="SQ39" i="5"/>
  <c r="AEA39" i="5"/>
  <c r="CZ40" i="5"/>
  <c r="TA40" i="5"/>
  <c r="DD41" i="5"/>
  <c r="AJV38" i="5"/>
  <c r="GJ39" i="5"/>
  <c r="QF39" i="5"/>
  <c r="ABA39" i="5"/>
  <c r="W40" i="5"/>
  <c r="OD40" i="5"/>
  <c r="AJC40" i="5"/>
  <c r="WY38" i="5"/>
  <c r="AGU38" i="5"/>
  <c r="DI39" i="5"/>
  <c r="NE39" i="5"/>
  <c r="XH39" i="5"/>
  <c r="AJL39" i="5"/>
  <c r="JE40" i="5"/>
  <c r="ACG40" i="5"/>
  <c r="SR38" i="5"/>
  <c r="ACN38" i="5"/>
  <c r="B39" i="5"/>
  <c r="LJ39" i="5"/>
  <c r="ABC39" i="5"/>
  <c r="DC40" i="5"/>
  <c r="YB40" i="5"/>
  <c r="LY38" i="5"/>
  <c r="YG38" i="5"/>
  <c r="AKO38" i="5"/>
  <c r="MA39" i="5"/>
  <c r="YV39" i="5"/>
  <c r="FQ40" i="5"/>
  <c r="AFH40" i="5"/>
  <c r="QX38" i="5"/>
  <c r="AKP38" i="5"/>
  <c r="QZ39" i="5"/>
  <c r="AT40" i="5"/>
  <c r="ALK40" i="5"/>
  <c r="OM38" i="5"/>
  <c r="AJK38" i="5"/>
  <c r="ZA39" i="5"/>
  <c r="ACT40" i="5"/>
  <c r="KV38" i="5"/>
  <c r="V39" i="5"/>
  <c r="ADO39" i="5"/>
  <c r="XH40" i="5"/>
  <c r="OO38" i="5"/>
  <c r="DO39" i="5"/>
  <c r="AEI39" i="5"/>
  <c r="AHD41" i="5"/>
  <c r="BD39" i="5"/>
  <c r="WD40" i="5"/>
  <c r="AEG41" i="5"/>
  <c r="MF42" i="5"/>
  <c r="PZ42" i="5"/>
  <c r="NO42" i="5"/>
  <c r="AKD42" i="5"/>
  <c r="AHT43" i="5"/>
  <c r="ACT38" i="5"/>
  <c r="EF39" i="5"/>
  <c r="UF39" i="5"/>
  <c r="AE40" i="5"/>
  <c r="YP40" i="5"/>
  <c r="FP42" i="5"/>
  <c r="BB43" i="5"/>
  <c r="AFG41" i="5"/>
  <c r="UE42" i="5"/>
  <c r="K45" i="5"/>
  <c r="AFH41" i="5"/>
  <c r="YM42" i="5"/>
  <c r="KK41" i="5"/>
  <c r="AHG41" i="5"/>
  <c r="ALY42" i="5"/>
  <c r="AKH41" i="5"/>
  <c r="DG41" i="5"/>
  <c r="H43" i="5"/>
  <c r="ALL41" i="5"/>
  <c r="BK41" i="5"/>
  <c r="QP43" i="5"/>
  <c r="ABC41" i="5"/>
  <c r="AGE40" i="5"/>
  <c r="AX44" i="5"/>
  <c r="AJK43" i="5"/>
  <c r="AHM39" i="5"/>
  <c r="HM43" i="5"/>
  <c r="AAE38" i="5"/>
  <c r="AKA38" i="5"/>
  <c r="GO39" i="5"/>
  <c r="QK39" i="5"/>
  <c r="ABF39" i="5"/>
  <c r="AB40" i="5"/>
  <c r="OQ40" i="5"/>
  <c r="AJR40" i="5"/>
  <c r="BP38" i="5"/>
  <c r="LL38" i="5"/>
  <c r="VH38" i="5"/>
  <c r="AFD38" i="5"/>
  <c r="BR39" i="5"/>
  <c r="LN39" i="5"/>
  <c r="VJ39" i="5"/>
  <c r="AHI39" i="5"/>
  <c r="GT40" i="5"/>
  <c r="YN40" i="5"/>
  <c r="UF41" i="5"/>
  <c r="GO38" i="5"/>
  <c r="QK38" i="5"/>
  <c r="AAG38" i="5"/>
  <c r="AKC38" i="5"/>
  <c r="GQ39" i="5"/>
  <c r="SI39" i="5"/>
  <c r="AFE39" i="5"/>
  <c r="FZ40" i="5"/>
  <c r="ABN40" i="5"/>
  <c r="V38" i="5"/>
  <c r="NJ38" i="5"/>
  <c r="ADJ38" i="5"/>
  <c r="FL39" i="5"/>
  <c r="UV39" i="5"/>
  <c r="AX40" i="5"/>
  <c r="ACW40" i="5"/>
  <c r="GR42" i="5"/>
  <c r="FO43" i="5"/>
  <c r="AGC41" i="5"/>
  <c r="VM42" i="5"/>
  <c r="JS41" i="5"/>
  <c r="AGD41" i="5"/>
  <c r="ZU42" i="5"/>
  <c r="LB41" i="5"/>
  <c r="AJE41" i="5"/>
  <c r="IK43" i="5"/>
  <c r="ALJ41" i="5"/>
  <c r="EP41" i="5"/>
  <c r="DU43" i="5"/>
  <c r="AB42" i="5"/>
  <c r="CR41" i="5"/>
  <c r="WN43" i="5"/>
  <c r="ACX41" i="5"/>
  <c r="AJW40" i="5"/>
  <c r="ABJ44" i="5"/>
  <c r="JD44" i="5"/>
  <c r="QI40" i="5"/>
  <c r="NS44" i="5"/>
  <c r="AAU38" i="5"/>
  <c r="AKQ38" i="5"/>
  <c r="HE39" i="5"/>
  <c r="RA39" i="5"/>
  <c r="ACB39" i="5"/>
  <c r="AU40" i="5"/>
  <c r="PW40" i="5"/>
  <c r="ALL40" i="5"/>
  <c r="CF38" i="5"/>
  <c r="MB38" i="5"/>
  <c r="VX38" i="5"/>
  <c r="AFT38" i="5"/>
  <c r="CH39" i="5"/>
  <c r="MD39" i="5"/>
  <c r="WA39" i="5"/>
  <c r="AIB39" i="5"/>
  <c r="HO40" i="5"/>
  <c r="ZV40" i="5"/>
  <c r="AGB41" i="5"/>
  <c r="HE38" i="5"/>
  <c r="RA38" i="5"/>
  <c r="AAW38" i="5"/>
  <c r="AKS38" i="5"/>
  <c r="HG39" i="5"/>
  <c r="SY39" i="5"/>
  <c r="AFX39" i="5"/>
  <c r="HQ40" i="5"/>
  <c r="ACV40" i="5"/>
  <c r="AL38" i="5"/>
  <c r="NZ38" i="5"/>
  <c r="ADZ38" i="5"/>
  <c r="GR39" i="5"/>
  <c r="VL39" i="5"/>
  <c r="DJ40" i="5"/>
  <c r="AEE40" i="5"/>
  <c r="HN42" i="5"/>
  <c r="KG43" i="5"/>
  <c r="AHE41" i="5"/>
  <c r="ZT42" i="5"/>
  <c r="LA41" i="5"/>
  <c r="AJD41" i="5"/>
  <c r="ACW42" i="5"/>
  <c r="NA41" i="5"/>
  <c r="ALI41" i="5"/>
  <c r="KY43" i="5"/>
  <c r="Z42" i="5"/>
  <c r="JV41" i="5"/>
  <c r="SY43" i="5"/>
  <c r="HZ42" i="5"/>
  <c r="JG41" i="5"/>
  <c r="PN40" i="5"/>
  <c r="AIN41" i="5"/>
  <c r="BM41" i="5"/>
  <c r="HP40" i="5"/>
  <c r="ZM40" i="5"/>
  <c r="ALW40" i="5"/>
  <c r="AKF42" i="5"/>
  <c r="TZ38" i="5"/>
  <c r="ADV38" i="5"/>
  <c r="AJ39" i="5"/>
  <c r="KF39" i="5"/>
  <c r="UB39" i="5"/>
  <c r="AFU39" i="5"/>
  <c r="EW40" i="5"/>
  <c r="VZ40" i="5"/>
  <c r="IJ41" i="5"/>
  <c r="HS38" i="5"/>
  <c r="RO38" i="5"/>
  <c r="ABK38" i="5"/>
  <c r="ALG38" i="5"/>
  <c r="HU39" i="5"/>
  <c r="RQ39" i="5"/>
  <c r="ACU39" i="5"/>
  <c r="BR40" i="5"/>
  <c r="RC40" i="5"/>
  <c r="Y41" i="5"/>
  <c r="CV38" i="5"/>
  <c r="MR38" i="5"/>
  <c r="WN38" i="5"/>
  <c r="AGJ38" i="5"/>
  <c r="CX39" i="5"/>
  <c r="MT39" i="5"/>
  <c r="WT39" i="5"/>
  <c r="AIX39" i="5"/>
  <c r="IO40" i="5"/>
  <c r="ABD40" i="5"/>
  <c r="ALG37" i="5"/>
  <c r="HU38" i="5"/>
  <c r="RQ38" i="5"/>
  <c r="ABM38" i="5"/>
  <c r="ALI38" i="5"/>
  <c r="IM39" i="5"/>
  <c r="TO39" i="5"/>
  <c r="AGQ39" i="5"/>
  <c r="IP40" i="5"/>
  <c r="AED40" i="5"/>
  <c r="BB38" i="5"/>
  <c r="PF38" i="5"/>
  <c r="AEP38" i="5"/>
  <c r="HH39" i="5"/>
  <c r="XO39" i="5"/>
  <c r="EG40" i="5"/>
  <c r="AHD40" i="5"/>
  <c r="IP42" i="5"/>
  <c r="MU43" i="5"/>
  <c r="AKE41" i="5"/>
  <c r="ABB42" i="5"/>
  <c r="MI41" i="5"/>
  <c r="AKF41" i="5"/>
  <c r="AEQ42" i="5"/>
  <c r="NS41" i="5"/>
  <c r="AME41" i="5"/>
  <c r="SW43" i="5"/>
  <c r="BX42" i="5"/>
  <c r="OR41" i="5"/>
  <c r="AJD40" i="5"/>
  <c r="QD42" i="5"/>
  <c r="NZ41" i="5"/>
  <c r="TV40" i="5"/>
  <c r="GD42" i="5"/>
  <c r="IR41" i="5"/>
  <c r="ND40" i="5"/>
  <c r="EV41" i="5"/>
  <c r="E41" i="5"/>
  <c r="ABW42" i="5"/>
  <c r="UP38" i="5"/>
  <c r="AEL38" i="5"/>
  <c r="AZ39" i="5"/>
  <c r="KV39" i="5"/>
  <c r="UR39" i="5"/>
  <c r="AGN39" i="5"/>
  <c r="FR40" i="5"/>
  <c r="XF40" i="5"/>
  <c r="MY41" i="5"/>
  <c r="II38" i="5"/>
  <c r="SE38" i="5"/>
  <c r="ACA38" i="5"/>
  <c r="ALW38" i="5"/>
  <c r="IK39" i="5"/>
  <c r="SG39" i="5"/>
  <c r="ADN39" i="5"/>
  <c r="CL40" i="5"/>
  <c r="SI40" i="5"/>
  <c r="BV41" i="5"/>
  <c r="DL38" i="5"/>
  <c r="NH38" i="5"/>
  <c r="XD38" i="5"/>
  <c r="AGZ38" i="5"/>
  <c r="DN39" i="5"/>
  <c r="NJ39" i="5"/>
  <c r="XM39" i="5"/>
  <c r="AJQ39" i="5"/>
  <c r="JJ40" i="5"/>
  <c r="ACU40" i="5"/>
  <c r="ALW37" i="5"/>
  <c r="IK38" i="5"/>
  <c r="SG38" i="5"/>
  <c r="ACC38" i="5"/>
  <c r="ALY38" i="5"/>
  <c r="JC39" i="5"/>
  <c r="UE39" i="5"/>
  <c r="AIF39" i="5"/>
  <c r="JK40" i="5"/>
  <c r="AFL40" i="5"/>
  <c r="BR38" i="5"/>
  <c r="QL38" i="5"/>
  <c r="AFF38" i="5"/>
  <c r="JD39" i="5"/>
  <c r="YK39" i="5"/>
  <c r="FA40" i="5"/>
  <c r="AKE40" i="5"/>
  <c r="JL42" i="5"/>
  <c r="VG43" i="5"/>
  <c r="ALA41" i="5"/>
  <c r="ACV42" i="5"/>
  <c r="MZ41" i="5"/>
  <c r="AMD41" i="5"/>
  <c r="AJY42" i="5"/>
  <c r="PJ41" i="5"/>
  <c r="BW42" i="5"/>
  <c r="RM44" i="5"/>
  <c r="CZ42" i="5"/>
  <c r="PL41" i="5"/>
  <c r="AJT40" i="5"/>
  <c r="RT42" i="5"/>
  <c r="OT41" i="5"/>
  <c r="WX40" i="5"/>
  <c r="GZ42" i="5"/>
  <c r="JI41" i="5"/>
  <c r="NT40" i="5"/>
  <c r="GD41" i="5"/>
  <c r="AHA41" i="5"/>
  <c r="AEZ42" i="5"/>
  <c r="Z40" i="5"/>
  <c r="OG40" i="5"/>
  <c r="AJP40" i="5"/>
  <c r="LJ38" i="5"/>
  <c r="VF38" i="5"/>
  <c r="AFB38" i="5"/>
  <c r="BP39" i="5"/>
  <c r="LL39" i="5"/>
  <c r="VH39" i="5"/>
  <c r="AHG39" i="5"/>
  <c r="GR40" i="5"/>
  <c r="YL40" i="5"/>
  <c r="TH41" i="5"/>
  <c r="IY38" i="5"/>
  <c r="SU38" i="5"/>
  <c r="ACQ38" i="5"/>
  <c r="E39" i="5"/>
  <c r="JA39" i="5"/>
  <c r="SW39" i="5"/>
  <c r="AEG39" i="5"/>
  <c r="DF40" i="5"/>
  <c r="TO40" i="5"/>
  <c r="DV41" i="5"/>
  <c r="EB38" i="5"/>
  <c r="NX38" i="5"/>
  <c r="XT38" i="5"/>
  <c r="AHP38" i="5"/>
  <c r="ED39" i="5"/>
  <c r="NZ39" i="5"/>
  <c r="YF39" i="5"/>
  <c r="AKJ39" i="5"/>
  <c r="KK40" i="5"/>
  <c r="AEC40" i="5"/>
  <c r="E38" i="5"/>
  <c r="JA38" i="5"/>
  <c r="SW38" i="5"/>
  <c r="ACS38" i="5"/>
  <c r="G39" i="5"/>
  <c r="JS39" i="5"/>
  <c r="UU39" i="5"/>
  <c r="AIY39" i="5"/>
  <c r="KL40" i="5"/>
  <c r="AHC40" i="5"/>
  <c r="CX38" i="5"/>
  <c r="RB38" i="5"/>
  <c r="AHB38" i="5"/>
  <c r="JT39" i="5"/>
  <c r="ZW39" i="5"/>
  <c r="GA40" i="5"/>
  <c r="ALO40" i="5"/>
  <c r="NB42" i="5"/>
  <c r="YO43" i="5"/>
  <c r="W42" i="5"/>
  <c r="AEF42" i="5"/>
  <c r="PI41" i="5"/>
  <c r="AT42" i="5"/>
  <c r="ALX42" i="5"/>
  <c r="QD41" i="5"/>
  <c r="CY42" i="5"/>
  <c r="AJ45" i="5"/>
  <c r="FT42" i="5"/>
  <c r="RD41" i="5"/>
  <c r="AKZ40" i="5"/>
  <c r="XI42" i="5"/>
  <c r="QL41" i="5"/>
  <c r="YD40" i="5"/>
  <c r="JZ42" i="5"/>
  <c r="LZ41" i="5"/>
  <c r="RL40" i="5"/>
  <c r="AFW41" i="5"/>
  <c r="AJ43" i="5"/>
  <c r="DK43" i="5"/>
  <c r="AS40" i="5"/>
  <c r="PM40" i="5"/>
  <c r="ALJ40" i="5"/>
  <c r="LZ38" i="5"/>
  <c r="VV38" i="5"/>
  <c r="AFR38" i="5"/>
  <c r="CF39" i="5"/>
  <c r="MB39" i="5"/>
  <c r="VY39" i="5"/>
  <c r="AHZ39" i="5"/>
  <c r="HM40" i="5"/>
  <c r="ZT40" i="5"/>
  <c r="AEF41" i="5"/>
  <c r="JO38" i="5"/>
  <c r="TK38" i="5"/>
  <c r="ADG38" i="5"/>
  <c r="U39" i="5"/>
  <c r="JQ39" i="5"/>
  <c r="TM39" i="5"/>
  <c r="AEZ39" i="5"/>
  <c r="ED40" i="5"/>
  <c r="UU40" i="5"/>
  <c r="FW41" i="5"/>
  <c r="ER38" i="5"/>
  <c r="ON38" i="5"/>
  <c r="YJ38" i="5"/>
  <c r="AIF38" i="5"/>
  <c r="ET39" i="5"/>
  <c r="OP39" i="5"/>
  <c r="ZB39" i="5"/>
  <c r="ALC39" i="5"/>
  <c r="LG40" i="5"/>
  <c r="AFK40" i="5"/>
  <c r="U38" i="5"/>
  <c r="JQ38" i="5"/>
  <c r="TM38" i="5"/>
  <c r="ADI38" i="5"/>
  <c r="W39" i="5"/>
  <c r="KI39" i="5"/>
  <c r="WB39" i="5"/>
  <c r="AJR39" i="5"/>
  <c r="LN40" i="5"/>
  <c r="AIK40" i="5"/>
  <c r="DN38" i="5"/>
  <c r="SX38" i="5"/>
  <c r="AHR38" i="5"/>
  <c r="KJ39" i="5"/>
  <c r="ABL39" i="5"/>
  <c r="GV40" i="5"/>
  <c r="EK41" i="5"/>
  <c r="OH42" i="5"/>
  <c r="ABO43" i="5"/>
  <c r="BU42" i="5"/>
  <c r="AFZ42" i="5"/>
  <c r="QC41" i="5"/>
  <c r="BV42" i="5"/>
  <c r="DR43" i="5"/>
  <c r="SP41" i="5"/>
  <c r="EW42" i="5"/>
  <c r="JD41" i="5"/>
  <c r="QA42" i="5"/>
  <c r="XP41" i="5"/>
  <c r="BJ41" i="5"/>
  <c r="AGO42" i="5"/>
  <c r="YP41" i="5"/>
  <c r="ABV40" i="5"/>
  <c r="XK42" i="5"/>
  <c r="TT41" i="5"/>
  <c r="WJ40" i="5"/>
  <c r="ADP42" i="5"/>
  <c r="CX43" i="5"/>
  <c r="ADL43" i="5"/>
  <c r="CD39" i="5"/>
  <c r="LZ39" i="5"/>
  <c r="VW39" i="5"/>
  <c r="AHX39" i="5"/>
  <c r="HK40" i="5"/>
  <c r="ZR40" i="5"/>
  <c r="ACK41" i="5"/>
  <c r="RM38" i="5"/>
  <c r="ABI38" i="5"/>
  <c r="ALE38" i="5"/>
  <c r="HS39" i="5"/>
  <c r="RO39" i="5"/>
  <c r="ACS39" i="5"/>
  <c r="BM40" i="5"/>
  <c r="QS40" i="5"/>
  <c r="L41" i="5"/>
  <c r="MP38" i="5"/>
  <c r="WL38" i="5"/>
  <c r="AGH38" i="5"/>
  <c r="CV39" i="5"/>
  <c r="MR39" i="5"/>
  <c r="WR39" i="5"/>
  <c r="AIV39" i="5"/>
  <c r="IM40" i="5"/>
  <c r="ABB40" i="5"/>
  <c r="AI38" i="5"/>
  <c r="KE38" i="5"/>
  <c r="UA38" i="5"/>
  <c r="ADW38" i="5"/>
  <c r="AK39" i="5"/>
  <c r="KG39" i="5"/>
  <c r="UC39" i="5"/>
  <c r="AFV39" i="5"/>
  <c r="EX40" i="5"/>
  <c r="WA40" i="5"/>
  <c r="IK41" i="5"/>
  <c r="FH38" i="5"/>
  <c r="PD38" i="5"/>
  <c r="YZ38" i="5"/>
  <c r="AIV38" i="5"/>
  <c r="FJ39" i="5"/>
  <c r="PF39" i="5"/>
  <c r="ZU39" i="5"/>
  <c r="ALY39" i="5"/>
  <c r="MI40" i="5"/>
  <c r="AHB40" i="5"/>
  <c r="AK38" i="5"/>
  <c r="KG38" i="5"/>
  <c r="UC38" i="5"/>
  <c r="ADY38" i="5"/>
  <c r="AM39" i="5"/>
  <c r="KY39" i="5"/>
  <c r="WU39" i="5"/>
  <c r="AKK39" i="5"/>
  <c r="MJ40" i="5"/>
  <c r="AKD40" i="5"/>
  <c r="ED38" i="5"/>
  <c r="TN38" i="5"/>
  <c r="AIX38" i="5"/>
  <c r="KZ39" i="5"/>
  <c r="ACE39" i="5"/>
  <c r="JM40" i="5"/>
  <c r="GL41" i="5"/>
  <c r="RE42" i="5"/>
  <c r="AFT43" i="5"/>
  <c r="CQ42" i="5"/>
  <c r="ALW42" i="5"/>
  <c r="RU41" i="5"/>
  <c r="EV42" i="5"/>
  <c r="IJ43" i="5"/>
  <c r="TN41" i="5"/>
  <c r="FS42" i="5"/>
  <c r="KL41" i="5"/>
  <c r="RJ42" i="5"/>
  <c r="ADP41" i="5"/>
  <c r="HG41" i="5"/>
  <c r="JC43" i="5"/>
  <c r="AER41" i="5"/>
  <c r="AIP40" i="5"/>
  <c r="AKT42" i="5"/>
  <c r="AET41" i="5"/>
  <c r="ADD40" i="5"/>
  <c r="AFJ42" i="5"/>
  <c r="ER40" i="5"/>
  <c r="AFD43" i="5"/>
  <c r="CT39" i="5"/>
  <c r="MP39" i="5"/>
  <c r="WP39" i="5"/>
  <c r="AIQ39" i="5"/>
  <c r="IG40" i="5"/>
  <c r="AAZ40" i="5"/>
  <c r="IG38" i="5"/>
  <c r="SC38" i="5"/>
  <c r="ABY38" i="5"/>
  <c r="ALU38" i="5"/>
  <c r="II39" i="5"/>
  <c r="SE39" i="5"/>
  <c r="ADL39" i="5"/>
  <c r="CJ40" i="5"/>
  <c r="RY40" i="5"/>
  <c r="BT41" i="5"/>
  <c r="NF38" i="5"/>
  <c r="XB38" i="5"/>
  <c r="AGX38" i="5"/>
  <c r="DL39" i="5"/>
  <c r="NH39" i="5"/>
  <c r="XK39" i="5"/>
  <c r="AJO39" i="5"/>
  <c r="JH40" i="5"/>
  <c r="ACJ40" i="5"/>
  <c r="AY38" i="5"/>
  <c r="KU38" i="5"/>
  <c r="UQ38" i="5"/>
  <c r="AEM38" i="5"/>
  <c r="BA39" i="5"/>
  <c r="KW39" i="5"/>
  <c r="US39" i="5"/>
  <c r="AGO39" i="5"/>
  <c r="FS40" i="5"/>
  <c r="XG40" i="5"/>
  <c r="NP41" i="5"/>
  <c r="FX38" i="5"/>
  <c r="PT38" i="5"/>
  <c r="ZP38" i="5"/>
  <c r="AJL38" i="5"/>
  <c r="FZ39" i="5"/>
  <c r="PV39" i="5"/>
  <c r="AAN39" i="5"/>
  <c r="J40" i="5"/>
  <c r="NM40" i="5"/>
  <c r="AIJ40" i="5"/>
  <c r="BA38" i="5"/>
  <c r="KW38" i="5"/>
  <c r="US38" i="5"/>
  <c r="AEO38" i="5"/>
  <c r="BC39" i="5"/>
  <c r="ME39" i="5"/>
  <c r="XN39" i="5"/>
  <c r="ALD39" i="5"/>
  <c r="NN40" i="5"/>
  <c r="ALN40" i="5"/>
  <c r="ET38" i="5"/>
  <c r="UD38" i="5"/>
  <c r="AKD38" i="5"/>
  <c r="LP39" i="5"/>
  <c r="AEJ39" i="5"/>
  <c r="KM40" i="5"/>
  <c r="JB41" i="5"/>
  <c r="TV42" i="5"/>
  <c r="ALM43" i="5"/>
  <c r="FQ42" i="5"/>
  <c r="BC43" i="5"/>
  <c r="SO41" i="5"/>
  <c r="FR42" i="5"/>
  <c r="KX43" i="5"/>
  <c r="VB41" i="5"/>
  <c r="IS42" i="5"/>
  <c r="LC41" i="5"/>
  <c r="UH42" i="5"/>
  <c r="AEP41" i="5"/>
  <c r="HX41" i="5"/>
  <c r="QO43" i="5"/>
  <c r="AJO41" i="5"/>
  <c r="AJF40" i="5"/>
  <c r="K43" i="5"/>
  <c r="AFU41" i="5"/>
  <c r="ADT40" i="5"/>
  <c r="MP40" i="5"/>
  <c r="AIF40" i="5"/>
  <c r="IW41" i="5"/>
  <c r="DJ39" i="5"/>
  <c r="NF39" i="5"/>
  <c r="XI39" i="5"/>
  <c r="AJM39" i="5"/>
  <c r="JF40" i="5"/>
  <c r="ACH40" i="5"/>
  <c r="IW38" i="5"/>
  <c r="SS38" i="5"/>
  <c r="ACO38" i="5"/>
  <c r="C39" i="5"/>
  <c r="IY39" i="5"/>
  <c r="SU39" i="5"/>
  <c r="AEE39" i="5"/>
  <c r="DD40" i="5"/>
  <c r="TE40" i="5"/>
  <c r="DT41" i="5"/>
  <c r="NV38" i="5"/>
  <c r="XR38" i="5"/>
  <c r="AHN38" i="5"/>
  <c r="EB39" i="5"/>
  <c r="NX39" i="5"/>
  <c r="YD39" i="5"/>
  <c r="AKH39" i="5"/>
  <c r="KI40" i="5"/>
  <c r="AEA40" i="5"/>
  <c r="BO38" i="5"/>
  <c r="LK38" i="5"/>
  <c r="VG38" i="5"/>
  <c r="AFC38" i="5"/>
  <c r="BQ39" i="5"/>
  <c r="LM39" i="5"/>
  <c r="VI39" i="5"/>
  <c r="AHH39" i="5"/>
  <c r="GS40" i="5"/>
  <c r="YM40" i="5"/>
  <c r="UE41" i="5"/>
  <c r="GN38" i="5"/>
  <c r="QJ38" i="5"/>
  <c r="AAF38" i="5"/>
  <c r="AKB38" i="5"/>
  <c r="GP39" i="5"/>
  <c r="QL39" i="5"/>
  <c r="ABG39" i="5"/>
  <c r="AC40" i="5"/>
  <c r="OR40" i="5"/>
  <c r="AJS40" i="5"/>
  <c r="BQ38" i="5"/>
  <c r="LM38" i="5"/>
  <c r="VI38" i="5"/>
  <c r="AFE38" i="5"/>
  <c r="BS39" i="5"/>
  <c r="MU39" i="5"/>
  <c r="YJ39" i="5"/>
  <c r="ALZ39" i="5"/>
  <c r="OS40" i="5"/>
  <c r="BX41" i="5"/>
  <c r="FJ38" i="5"/>
  <c r="UT38" i="5"/>
  <c r="AKT38" i="5"/>
  <c r="NL39" i="5"/>
  <c r="AFF39" i="5"/>
  <c r="MK40" i="5"/>
  <c r="OJ41" i="5"/>
  <c r="VL42" i="5"/>
  <c r="J45" i="5"/>
  <c r="GS42" i="5"/>
  <c r="FP43" i="5"/>
  <c r="VA41" i="5"/>
  <c r="HP42" i="5"/>
  <c r="SV43" i="5"/>
  <c r="WT41" i="5"/>
  <c r="JU42" i="5"/>
  <c r="NB41" i="5"/>
  <c r="XG42" i="5"/>
  <c r="AIK41" i="5"/>
  <c r="JF41" i="5"/>
  <c r="WM43" i="5"/>
  <c r="ALM41" i="5"/>
  <c r="AKL40" i="5"/>
  <c r="NY43" i="5"/>
  <c r="AHS41" i="5"/>
  <c r="AGF40" i="5"/>
  <c r="XR40" i="5"/>
  <c r="F41" i="5"/>
  <c r="AZ42" i="5"/>
  <c r="DZ39" i="5"/>
  <c r="NV39" i="5"/>
  <c r="YB39" i="5"/>
  <c r="AKF39" i="5"/>
  <c r="KA40" i="5"/>
  <c r="ADP40" i="5"/>
  <c r="JM38" i="5"/>
  <c r="TI38" i="5"/>
  <c r="ADE38" i="5"/>
  <c r="S39" i="5"/>
  <c r="JO39" i="5"/>
  <c r="TK39" i="5"/>
  <c r="AEX39" i="5"/>
  <c r="DY40" i="5"/>
  <c r="UK40" i="5"/>
  <c r="FT41" i="5"/>
  <c r="OL38" i="5"/>
  <c r="YH38" i="5"/>
  <c r="AID38" i="5"/>
  <c r="ER39" i="5"/>
  <c r="ON39" i="5"/>
  <c r="YZ39" i="5"/>
  <c r="ALA39" i="5"/>
  <c r="LE40" i="5"/>
  <c r="AFI40" i="5"/>
  <c r="CE38" i="5"/>
  <c r="MA38" i="5"/>
  <c r="VW38" i="5"/>
  <c r="AFS38" i="5"/>
  <c r="CG39" i="5"/>
  <c r="MC39" i="5"/>
  <c r="VZ39" i="5"/>
  <c r="AIA39" i="5"/>
  <c r="HN40" i="5"/>
  <c r="ZU40" i="5"/>
  <c r="AFF41" i="5"/>
  <c r="HD38" i="5"/>
  <c r="QZ38" i="5"/>
  <c r="AAV38" i="5"/>
  <c r="AKR38" i="5"/>
  <c r="HF39" i="5"/>
  <c r="RB39" i="5"/>
  <c r="ACC39" i="5"/>
  <c r="AV40" i="5"/>
  <c r="PX40" i="5"/>
  <c r="ALM40" i="5"/>
  <c r="CG38" i="5"/>
  <c r="MC38" i="5"/>
  <c r="VY38" i="5"/>
  <c r="AFU38" i="5"/>
  <c r="CI39" i="5"/>
  <c r="NK39" i="5"/>
  <c r="ZC39" i="5"/>
  <c r="K40" i="5"/>
  <c r="PY40" i="5"/>
  <c r="EJ41" i="5"/>
  <c r="GP38" i="5"/>
  <c r="VJ38" i="5"/>
  <c r="H39" i="5"/>
  <c r="OB39" i="5"/>
  <c r="AFY39" i="5"/>
  <c r="OT40" i="5"/>
  <c r="UZ41" i="5"/>
  <c r="ZS42" i="5"/>
  <c r="WR41" i="5"/>
  <c r="HO42" i="5"/>
  <c r="KH43" i="5"/>
  <c r="VY41" i="5"/>
  <c r="IR42" i="5"/>
  <c r="VI43" i="5"/>
  <c r="XN41" i="5"/>
  <c r="MG42" i="5"/>
  <c r="SQ41" i="5"/>
  <c r="ACY42" i="5"/>
  <c r="BC42" i="5"/>
  <c r="OS41" i="5"/>
  <c r="WF44" i="5"/>
  <c r="EE42" i="5"/>
  <c r="DK41" i="5"/>
  <c r="AK44" i="5"/>
  <c r="CI42" i="5"/>
  <c r="EU41" i="5"/>
  <c r="AEL40" i="5"/>
  <c r="AJV41" i="5"/>
  <c r="WX42" i="5"/>
  <c r="VJ43" i="5"/>
  <c r="NT41" i="5"/>
  <c r="ACT41" i="5"/>
  <c r="GV42" i="5"/>
  <c r="AES42" i="5"/>
  <c r="GW45" i="5"/>
  <c r="KM41" i="5"/>
  <c r="YN41" i="5"/>
  <c r="BY42" i="5"/>
  <c r="XH42" i="5"/>
  <c r="WD43" i="5"/>
  <c r="BZ41" i="5"/>
  <c r="PM41" i="5"/>
  <c r="AEQ41" i="5"/>
  <c r="IV42" i="5"/>
  <c r="AIJ42" i="5"/>
  <c r="HZ45" i="5"/>
  <c r="AJE40" i="5"/>
  <c r="JX41" i="5"/>
  <c r="ZJ41" i="5"/>
  <c r="FA42" i="5"/>
  <c r="J43" i="5"/>
  <c r="QD40" i="5"/>
  <c r="ACL40" i="5"/>
  <c r="EB41" i="5"/>
  <c r="SA41" i="5"/>
  <c r="AJP41" i="5"/>
  <c r="YT42" i="5"/>
  <c r="JA44" i="5"/>
  <c r="AAQ40" i="5"/>
  <c r="CD41" i="5"/>
  <c r="UN41" i="5"/>
  <c r="HG42" i="5"/>
  <c r="ES43" i="5"/>
  <c r="IF40" i="5"/>
  <c r="WZ40" i="5"/>
  <c r="GC41" i="5"/>
  <c r="ACE42" i="5"/>
  <c r="ABI40" i="5"/>
  <c r="AGS41" i="5"/>
  <c r="NF40" i="5"/>
  <c r="MT41" i="5"/>
  <c r="MB43" i="5"/>
  <c r="QY40" i="5"/>
  <c r="AIY41" i="5"/>
  <c r="GN40" i="5"/>
  <c r="ALZ41" i="5"/>
  <c r="XU40" i="5"/>
  <c r="JL45" i="5"/>
  <c r="ADC42" i="5"/>
  <c r="AFC43" i="5"/>
  <c r="AFD42" i="5"/>
  <c r="ABP43" i="5"/>
  <c r="RA41" i="5"/>
  <c r="AEH41" i="5"/>
  <c r="GT42" i="5"/>
  <c r="ABC42" i="5"/>
  <c r="YY43" i="5"/>
  <c r="OP41" i="5"/>
  <c r="ABS41" i="5"/>
  <c r="DU42" i="5"/>
  <c r="YN42" i="5"/>
  <c r="YZ43" i="5"/>
  <c r="OQ41" i="5"/>
  <c r="ADO41" i="5"/>
  <c r="HX42" i="5"/>
  <c r="AKA42" i="5"/>
  <c r="M41" i="5"/>
  <c r="LD41" i="5"/>
  <c r="ZH41" i="5"/>
  <c r="DA42" i="5"/>
  <c r="YP42" i="5"/>
  <c r="ZB43" i="5"/>
  <c r="DZ41" i="5"/>
  <c r="QK41" i="5"/>
  <c r="AFL41" i="5"/>
  <c r="JX42" i="5"/>
  <c r="AKC42" i="5"/>
  <c r="YS40" i="5"/>
  <c r="AJU40" i="5"/>
  <c r="KO41" i="5"/>
  <c r="AAH41" i="5"/>
  <c r="GC42" i="5"/>
  <c r="BX43" i="5"/>
  <c r="QT40" i="5"/>
  <c r="ADB40" i="5"/>
  <c r="ES41" i="5"/>
  <c r="SY41" i="5"/>
  <c r="AKL41" i="5"/>
  <c r="AAJ42" i="5"/>
  <c r="AAO44" i="5"/>
  <c r="ABG40" i="5"/>
  <c r="CU41" i="5"/>
  <c r="VL41" i="5"/>
  <c r="IC42" i="5"/>
  <c r="GR43" i="5"/>
  <c r="IV40" i="5"/>
  <c r="XP40" i="5"/>
  <c r="GT41" i="5"/>
  <c r="ADO42" i="5"/>
  <c r="ABY40" i="5"/>
  <c r="AHU41" i="5"/>
  <c r="NV40" i="5"/>
  <c r="YA41" i="5"/>
  <c r="OS43" i="5"/>
  <c r="RO40" i="5"/>
  <c r="AJU41" i="5"/>
  <c r="PT40" i="5"/>
  <c r="MZ42" i="5"/>
  <c r="ZA40" i="5"/>
  <c r="RI42" i="5"/>
  <c r="RC43" i="5"/>
  <c r="BN42" i="5"/>
  <c r="HE43" i="5"/>
  <c r="ZV42" i="5"/>
  <c r="ACT43" i="5"/>
  <c r="PK41" i="5"/>
  <c r="AEO41" i="5"/>
  <c r="IT42" i="5"/>
  <c r="G43" i="5"/>
  <c r="AC41" i="5"/>
  <c r="LU41" i="5"/>
  <c r="AAB41" i="5"/>
  <c r="DW42" i="5"/>
  <c r="ZX42" i="5"/>
  <c r="ACV43" i="5"/>
  <c r="EQ41" i="5"/>
  <c r="RE41" i="5"/>
  <c r="AGN41" i="5"/>
  <c r="LD42" i="5"/>
  <c r="I43" i="5"/>
  <c r="ZI40" i="5"/>
  <c r="AKK40" i="5"/>
  <c r="LF41" i="5"/>
  <c r="ABB41" i="5"/>
  <c r="GY42" i="5"/>
  <c r="EB43" i="5"/>
  <c r="RJ40" i="5"/>
  <c r="ADR40" i="5"/>
  <c r="FJ41" i="5"/>
  <c r="TS41" i="5"/>
  <c r="ALN41" i="5"/>
  <c r="ABS42" i="5"/>
  <c r="PP45" i="5"/>
  <c r="ABW40" i="5"/>
  <c r="GB41" i="5"/>
  <c r="XX41" i="5"/>
  <c r="JE42" i="5"/>
  <c r="JF43" i="5"/>
  <c r="JL40" i="5"/>
  <c r="AAR40" i="5"/>
  <c r="IS41" i="5"/>
  <c r="AFI42" i="5"/>
  <c r="ACO40" i="5"/>
  <c r="AIW41" i="5"/>
  <c r="TJ40" i="5"/>
  <c r="YU41" i="5"/>
  <c r="ACQ45" i="5"/>
  <c r="ZO40" i="5"/>
  <c r="M42" i="5"/>
  <c r="QJ40" i="5"/>
  <c r="RC42" i="5"/>
  <c r="AAG40" i="5"/>
  <c r="RY42" i="5"/>
  <c r="XY43" i="5"/>
  <c r="DJ42" i="5"/>
  <c r="AEM41" i="5"/>
  <c r="ABD42" i="5"/>
  <c r="AFW43" i="5"/>
  <c r="QE41" i="5"/>
  <c r="AFJ41" i="5"/>
  <c r="MH42" i="5"/>
  <c r="BF43" i="5"/>
  <c r="AS41" i="5"/>
  <c r="ML41" i="5"/>
  <c r="AAZ41" i="5"/>
  <c r="EY42" i="5"/>
  <c r="ABP42" i="5"/>
  <c r="FT44" i="5"/>
  <c r="FH41" i="5"/>
  <c r="RY41" i="5"/>
  <c r="AHJ41" i="5"/>
  <c r="MJ42" i="5"/>
  <c r="BW43" i="5"/>
  <c r="ZY40" i="5"/>
  <c r="AMG40" i="5"/>
  <c r="LW41" i="5"/>
  <c r="ABW41" i="5"/>
  <c r="MK42" i="5"/>
  <c r="GP43" i="5"/>
  <c r="RZ40" i="5"/>
  <c r="AGT40" i="5"/>
  <c r="GA41" i="5"/>
  <c r="UM41" i="5"/>
  <c r="DD42" i="5"/>
  <c r="ADM42" i="5"/>
  <c r="MM40" i="5"/>
  <c r="ACM40" i="5"/>
  <c r="GS41" i="5"/>
  <c r="YR41" i="5"/>
  <c r="KI42" i="5"/>
  <c r="LT43" i="5"/>
  <c r="KB40" i="5"/>
  <c r="ABH40" i="5"/>
  <c r="JJ41" i="5"/>
  <c r="AHC42" i="5"/>
  <c r="AIC40" i="5"/>
  <c r="HI42" i="5"/>
  <c r="UP40" i="5"/>
  <c r="ZS41" i="5"/>
  <c r="ZM39" i="5"/>
  <c r="ABK40" i="5"/>
  <c r="MY42" i="5"/>
  <c r="RP40" i="5"/>
  <c r="CY43" i="5"/>
  <c r="AIG40" i="5"/>
  <c r="ADQ42" i="5"/>
  <c r="QV42" i="5"/>
  <c r="ADF42" i="5"/>
  <c r="AFC41" i="5"/>
  <c r="HW39" i="5"/>
  <c r="RS39" i="5"/>
  <c r="ACW39" i="5"/>
  <c r="BT40" i="5"/>
  <c r="RE40" i="5"/>
  <c r="AA41" i="5"/>
  <c r="CH38" i="5"/>
  <c r="MD38" i="5"/>
  <c r="VZ38" i="5"/>
  <c r="AFV38" i="5"/>
  <c r="CJ39" i="5"/>
  <c r="MF39" i="5"/>
  <c r="WC39" i="5"/>
  <c r="AIG39" i="5"/>
  <c r="HV40" i="5"/>
  <c r="ZX40" i="5"/>
  <c r="AHZ41" i="5"/>
  <c r="KP42" i="5"/>
  <c r="AHS42" i="5"/>
  <c r="DC44" i="5"/>
  <c r="AIG41" i="5"/>
  <c r="KY42" i="5"/>
  <c r="AHT42" i="5"/>
  <c r="DE44" i="5"/>
  <c r="TM41" i="5"/>
  <c r="AHF41" i="5"/>
  <c r="JT42" i="5"/>
  <c r="AGA42" i="5"/>
  <c r="ALP43" i="5"/>
  <c r="RB41" i="5"/>
  <c r="AEI41" i="5"/>
  <c r="GU42" i="5"/>
  <c r="ACX42" i="5"/>
  <c r="ALQ43" i="5"/>
  <c r="RC41" i="5"/>
  <c r="AGL41" i="5"/>
  <c r="NN42" i="5"/>
  <c r="DT43" i="5"/>
  <c r="BI41" i="5"/>
  <c r="NC41" i="5"/>
  <c r="ABU41" i="5"/>
  <c r="GA42" i="5"/>
  <c r="ACZ42" i="5"/>
  <c r="VL44" i="5"/>
  <c r="FY41" i="5"/>
  <c r="SW41" i="5"/>
  <c r="AIL41" i="5"/>
  <c r="NP42" i="5"/>
  <c r="EA43" i="5"/>
  <c r="AAO40" i="5"/>
  <c r="O41" i="5"/>
  <c r="MN41" i="5"/>
  <c r="ACW41" i="5"/>
  <c r="NQ42" i="5"/>
  <c r="JD43" i="5"/>
  <c r="SP40" i="5"/>
  <c r="AHJ40" i="5"/>
  <c r="GR41" i="5"/>
  <c r="VK41" i="5"/>
  <c r="EF42" i="5"/>
  <c r="AGQ42" i="5"/>
  <c r="PO40" i="5"/>
  <c r="AEI40" i="5"/>
  <c r="HJ41" i="5"/>
  <c r="ZL41" i="5"/>
  <c r="LO42" i="5"/>
  <c r="AAF43" i="5"/>
  <c r="LX40" i="5"/>
  <c r="ABX40" i="5"/>
  <c r="PU41" i="5"/>
  <c r="AIN42" i="5"/>
  <c r="ALU40" i="5"/>
  <c r="IE42" i="5"/>
  <c r="VF40" i="5"/>
  <c r="AAM41" i="5"/>
  <c r="AAC39" i="5"/>
  <c r="AKQ40" i="5"/>
  <c r="TR42" i="5"/>
  <c r="XT40" i="5"/>
  <c r="FM43" i="5"/>
  <c r="AKS40" i="5"/>
  <c r="M43" i="5"/>
  <c r="RL42" i="5"/>
  <c r="ADV42" i="5"/>
  <c r="KG42" i="5"/>
  <c r="MT38" i="5"/>
  <c r="WP38" i="5"/>
  <c r="AGL38" i="5"/>
  <c r="CZ39" i="5"/>
  <c r="MV39" i="5"/>
  <c r="WV39" i="5"/>
  <c r="AIZ39" i="5"/>
  <c r="IQ40" i="5"/>
  <c r="ABO40" i="5"/>
  <c r="AJB41" i="5"/>
  <c r="LV42" i="5"/>
  <c r="AJF42" i="5"/>
  <c r="QQ44" i="5"/>
  <c r="AJC41" i="5"/>
  <c r="ME42" i="5"/>
  <c r="AJI42" i="5"/>
  <c r="QR44" i="5"/>
  <c r="UG41" i="5"/>
  <c r="AIH41" i="5"/>
  <c r="KZ42" i="5"/>
  <c r="AHU42" i="5"/>
  <c r="FP44" i="5"/>
  <c r="RV41" i="5"/>
  <c r="AFI41" i="5"/>
  <c r="HW42" i="5"/>
  <c r="AER42" i="5"/>
  <c r="FQ44" i="5"/>
  <c r="RW41" i="5"/>
  <c r="AJF41" i="5"/>
  <c r="OT42" i="5"/>
  <c r="GM43" i="5"/>
  <c r="BY41" i="5"/>
  <c r="NW41" i="5"/>
  <c r="ACU41" i="5"/>
  <c r="GW42" i="5"/>
  <c r="AHX42" i="5"/>
  <c r="HV45" i="5"/>
  <c r="GP41" i="5"/>
  <c r="TQ41" i="5"/>
  <c r="AJN41" i="5"/>
  <c r="OV42" i="5"/>
  <c r="GO43" i="5"/>
  <c r="ACK40" i="5"/>
  <c r="AE41" i="5"/>
  <c r="NF41" i="5"/>
  <c r="ADR41" i="5"/>
  <c r="OW42" i="5"/>
  <c r="LC43" i="5"/>
  <c r="TF40" i="5"/>
  <c r="AHZ40" i="5"/>
  <c r="HI41" i="5"/>
  <c r="WE41" i="5"/>
  <c r="FB42" i="5"/>
  <c r="AIL42" i="5"/>
  <c r="QE40" i="5"/>
  <c r="AEY40" i="5"/>
  <c r="IA41" i="5"/>
  <c r="AAJ41" i="5"/>
  <c r="MU42" i="5"/>
  <c r="AEB43" i="5"/>
  <c r="MN40" i="5"/>
  <c r="ACN40" i="5"/>
  <c r="RI41" i="5"/>
  <c r="AKV42" i="5"/>
  <c r="C41" i="5"/>
  <c r="KK42" i="5"/>
  <c r="XB40" i="5"/>
  <c r="ABG41" i="5"/>
  <c r="AFQ39" i="5"/>
  <c r="ALG40" i="5"/>
  <c r="AJC42" i="5"/>
  <c r="ABL40" i="5"/>
  <c r="HL43" i="5"/>
  <c r="GY41" i="5"/>
  <c r="FX43" i="5"/>
  <c r="SB42" i="5"/>
  <c r="AFB42" i="5"/>
  <c r="AKB41" i="5"/>
  <c r="SU43" i="5"/>
  <c r="WO44" i="5"/>
  <c r="OP38" i="5"/>
  <c r="YL38" i="5"/>
  <c r="AIH38" i="5"/>
  <c r="EV39" i="5"/>
  <c r="OR39" i="5"/>
  <c r="ZD39" i="5"/>
  <c r="ALH39" i="5"/>
  <c r="LO40" i="5"/>
  <c r="AFV40" i="5"/>
  <c r="AMB41" i="5"/>
  <c r="PW42" i="5"/>
  <c r="DA43" i="5"/>
  <c r="XL41" i="5"/>
  <c r="AMC41" i="5"/>
  <c r="PX42" i="5"/>
  <c r="DB43" i="5"/>
  <c r="KJ41" i="5"/>
  <c r="WS41" i="5"/>
  <c r="ALB41" i="5"/>
  <c r="OR42" i="5"/>
  <c r="BD43" i="5"/>
  <c r="IL41" i="5"/>
  <c r="UH41" i="5"/>
  <c r="AII41" i="5"/>
  <c r="LA42" i="5"/>
  <c r="AJZ42" i="5"/>
  <c r="HE41" i="5"/>
  <c r="WA41" i="5"/>
  <c r="AMF41" i="5"/>
  <c r="SZ42" i="5"/>
  <c r="NO43" i="5"/>
  <c r="DX41" i="5"/>
  <c r="QF41" i="5"/>
  <c r="AFK41" i="5"/>
  <c r="MI42" i="5"/>
  <c r="BG43" i="5"/>
  <c r="AKJ40" i="5"/>
  <c r="IO41" i="5"/>
  <c r="WC41" i="5"/>
  <c r="AMH41" i="5"/>
  <c r="TB42" i="5"/>
  <c r="SZ43" i="5"/>
  <c r="AEG40" i="5"/>
  <c r="CA41" i="5"/>
  <c r="PN41" i="5"/>
  <c r="AKK41" i="5"/>
  <c r="TC42" i="5"/>
  <c r="TA43" i="5"/>
  <c r="XN40" i="5"/>
  <c r="AJV40" i="5"/>
  <c r="JH41" i="5"/>
  <c r="ACC41" i="5"/>
  <c r="IB42" i="5"/>
  <c r="BY43" i="5"/>
  <c r="SA40" i="5"/>
  <c r="AJG40" i="5"/>
  <c r="LH41" i="5"/>
  <c r="AGQ41" i="5"/>
  <c r="TF42" i="5"/>
  <c r="JB44" i="5"/>
  <c r="QV40" i="5"/>
  <c r="AFP40" i="5"/>
  <c r="AEU41" i="5"/>
  <c r="AY44" i="5"/>
  <c r="GU41" i="5"/>
  <c r="AHD42" i="5"/>
  <c r="AHN40" i="5"/>
  <c r="BJ42" i="5"/>
  <c r="AIS39" i="5"/>
  <c r="U41" i="5"/>
  <c r="EW43" i="5"/>
  <c r="V41" i="5"/>
  <c r="ZO39" i="5"/>
  <c r="JP41" i="5"/>
  <c r="AMA42" i="5"/>
  <c r="AII43" i="5"/>
  <c r="ABY41" i="5"/>
  <c r="XL44" i="5"/>
  <c r="HL41" i="5"/>
  <c r="AIO42" i="5"/>
  <c r="T41" i="5"/>
  <c r="DH42" i="5"/>
  <c r="AKO39" i="5"/>
  <c r="GF41" i="5"/>
  <c r="AGR44" i="5"/>
  <c r="FP41" i="5"/>
  <c r="AIU39" i="5"/>
  <c r="UD41" i="5"/>
  <c r="S43" i="5"/>
  <c r="HL44" i="5"/>
  <c r="ACO41" i="5"/>
  <c r="KA46" i="5"/>
  <c r="LO39" i="5"/>
  <c r="VK39" i="5"/>
  <c r="AHJ39" i="5"/>
  <c r="GU40" i="5"/>
  <c r="YO40" i="5"/>
  <c r="UY41" i="5"/>
  <c r="FZ38" i="5"/>
  <c r="PV38" i="5"/>
  <c r="ZR38" i="5"/>
  <c r="AJN38" i="5"/>
  <c r="GB39" i="5"/>
  <c r="PX39" i="5"/>
  <c r="AAP39" i="5"/>
  <c r="L40" i="5"/>
  <c r="NO40" i="5"/>
  <c r="AIL40" i="5"/>
  <c r="AR42" i="5"/>
  <c r="SM42" i="5"/>
  <c r="IC43" i="5"/>
  <c r="ZD41" i="5"/>
  <c r="AS42" i="5"/>
  <c r="SN42" i="5"/>
  <c r="II43" i="5"/>
  <c r="LR41" i="5"/>
  <c r="YK41" i="5"/>
  <c r="X42" i="5"/>
  <c r="RG42" i="5"/>
  <c r="FQ43" i="5"/>
  <c r="JT41" i="5"/>
  <c r="VZ41" i="5"/>
  <c r="AKG41" i="5"/>
  <c r="NM42" i="5"/>
  <c r="BE43" i="5"/>
  <c r="JU41" i="5"/>
  <c r="XO41" i="5"/>
  <c r="AV42" i="5"/>
  <c r="VP42" i="5"/>
  <c r="SX43" i="5"/>
  <c r="FG41" i="5"/>
  <c r="RX41" i="5"/>
  <c r="AJM41" i="5"/>
  <c r="OU42" i="5"/>
  <c r="GN43" i="5"/>
  <c r="ALP40" i="5"/>
  <c r="JW41" i="5"/>
  <c r="XU41" i="5"/>
  <c r="BD42" i="5"/>
  <c r="YQ42" i="5"/>
  <c r="ZU43" i="5"/>
  <c r="AFM40" i="5"/>
  <c r="DJ41" i="5"/>
  <c r="RF41" i="5"/>
  <c r="G42" i="5"/>
  <c r="WB42" i="5"/>
  <c r="ZV43" i="5"/>
  <c r="YT40" i="5"/>
  <c r="ALB40" i="5"/>
  <c r="KP41" i="5"/>
  <c r="ADS41" i="5"/>
  <c r="LF42" i="5"/>
  <c r="QQ43" i="5"/>
  <c r="UM40" i="5"/>
  <c r="AKM40" i="5"/>
  <c r="MQ41" i="5"/>
  <c r="AIO41" i="5"/>
  <c r="ABT42" i="5"/>
  <c r="CB40" i="5"/>
  <c r="SB40" i="5"/>
  <c r="AGV40" i="5"/>
  <c r="AGR41" i="5"/>
  <c r="QW40" i="5"/>
  <c r="JK41" i="5"/>
  <c r="AKW42" i="5"/>
  <c r="AZ41" i="5"/>
  <c r="TQ42" i="5"/>
  <c r="CU40" i="5"/>
  <c r="IV41" i="5"/>
  <c r="XR39" i="5"/>
  <c r="IF41" i="5"/>
  <c r="AJK39" i="5"/>
  <c r="YD41" i="5"/>
  <c r="KJ43" i="5"/>
  <c r="ALS41" i="5"/>
  <c r="KE42" i="5"/>
  <c r="AHE44" i="5"/>
  <c r="WC43" i="5"/>
  <c r="FX41" i="5"/>
  <c r="UJ41" i="5"/>
  <c r="AKI41" i="5"/>
  <c r="QB42" i="5"/>
  <c r="IM43" i="5"/>
  <c r="AMF40" i="5"/>
  <c r="KN41" i="5"/>
  <c r="YO41" i="5"/>
  <c r="DX42" i="5"/>
  <c r="ZZ42" i="5"/>
  <c r="ACW43" i="5"/>
  <c r="AGC40" i="5"/>
  <c r="EA41" i="5"/>
  <c r="VJ41" i="5"/>
  <c r="AC42" i="5"/>
  <c r="XJ42" i="5"/>
  <c r="WG44" i="5"/>
  <c r="ZJ40" i="5"/>
  <c r="ALR40" i="5"/>
  <c r="OA41" i="5"/>
  <c r="AES41" i="5"/>
  <c r="ML42" i="5"/>
  <c r="TS43" i="5"/>
  <c r="VC40" i="5"/>
  <c r="ALC40" i="5"/>
  <c r="NI41" i="5"/>
  <c r="AJQ41" i="5"/>
  <c r="ADN42" i="5"/>
  <c r="CR40" i="5"/>
  <c r="SR40" i="5"/>
  <c r="AHL40" i="5"/>
  <c r="AHT41" i="5"/>
  <c r="RM40" i="5"/>
  <c r="PV41" i="5"/>
  <c r="UC43" i="5"/>
  <c r="BP41" i="5"/>
  <c r="UY42" i="5"/>
  <c r="FG40" i="5"/>
  <c r="KV41" i="5"/>
  <c r="AGX39" i="5"/>
  <c r="KW41" i="5"/>
  <c r="AKA39" i="5"/>
  <c r="CO42" i="5"/>
  <c r="KE44" i="5"/>
  <c r="HA42" i="5"/>
  <c r="ADW42" i="5"/>
  <c r="DM44" i="5"/>
  <c r="YO42" i="5"/>
  <c r="ZA43" i="5"/>
  <c r="GO41" i="5"/>
  <c r="VD41" i="5"/>
  <c r="ALK41" i="5"/>
  <c r="RS42" i="5"/>
  <c r="LA43" i="5"/>
  <c r="N41" i="5"/>
  <c r="LE41" i="5"/>
  <c r="ZI41" i="5"/>
  <c r="EZ42" i="5"/>
  <c r="ABQ42" i="5"/>
  <c r="AHP43" i="5"/>
  <c r="AGS40" i="5"/>
  <c r="ER41" i="5"/>
  <c r="WD41" i="5"/>
  <c r="BE42" i="5"/>
  <c r="YR42" i="5"/>
  <c r="II45" i="5"/>
  <c r="ZZ40" i="5"/>
  <c r="AMH40" i="5"/>
  <c r="OU41" i="5"/>
  <c r="AFN41" i="5"/>
  <c r="NR42" i="5"/>
  <c r="WO43" i="5"/>
  <c r="VS40" i="5"/>
  <c r="ALS40" i="5"/>
  <c r="RH41" i="5"/>
  <c r="I42" i="5"/>
  <c r="AFH42" i="5"/>
  <c r="DH40" i="5"/>
  <c r="TH40" i="5"/>
  <c r="ALD40" i="5"/>
  <c r="FD42" i="5"/>
  <c r="SC40" i="5"/>
  <c r="SH41" i="5"/>
  <c r="AJL43" i="5"/>
  <c r="CG41" i="5"/>
  <c r="WH42" i="5"/>
  <c r="NG40" i="5"/>
  <c r="WJ41" i="5"/>
  <c r="AHN39" i="5"/>
  <c r="UW41" i="5"/>
  <c r="EC40" i="5"/>
  <c r="DQ42" i="5"/>
  <c r="XJ44" i="5"/>
  <c r="AAC42" i="5"/>
  <c r="XE43" i="5"/>
  <c r="AAO43" i="5"/>
  <c r="ALH37" i="5"/>
  <c r="HV38" i="5"/>
  <c r="RR38" i="5"/>
  <c r="ABN38" i="5"/>
  <c r="ALJ38" i="5"/>
  <c r="HX39" i="5"/>
  <c r="RT39" i="5"/>
  <c r="ACX39" i="5"/>
  <c r="BU40" i="5"/>
  <c r="RF40" i="5"/>
  <c r="AB41" i="5"/>
  <c r="DR42" i="5"/>
  <c r="WT42" i="5"/>
  <c r="PS43" i="5"/>
  <c r="ABQ41" i="5"/>
  <c r="DS42" i="5"/>
  <c r="WU42" i="5"/>
  <c r="PT43" i="5"/>
  <c r="NR41" i="5"/>
  <c r="AAW41" i="5"/>
  <c r="CR42" i="5"/>
  <c r="VN42" i="5"/>
  <c r="MW43" i="5"/>
  <c r="LS41" i="5"/>
  <c r="YL41" i="5"/>
  <c r="Y42" i="5"/>
  <c r="SY42" i="5"/>
  <c r="MX43" i="5"/>
  <c r="LT41" i="5"/>
  <c r="AAA41" i="5"/>
  <c r="DV42" i="5"/>
  <c r="ZW42" i="5"/>
  <c r="ACU43" i="5"/>
  <c r="IN41" i="5"/>
  <c r="WB41" i="5"/>
  <c r="AMG41" i="5"/>
  <c r="TA42" i="5"/>
  <c r="NP43" i="5"/>
  <c r="AD41" i="5"/>
  <c r="LV41" i="5"/>
  <c r="ABV41" i="5"/>
  <c r="GB42" i="5"/>
  <c r="ADK42" i="5"/>
  <c r="AH44" i="5"/>
  <c r="AHI40" i="5"/>
  <c r="FI41" i="5"/>
  <c r="WX41" i="5"/>
  <c r="CA42" i="5"/>
  <c r="AAI42" i="5"/>
  <c r="OH40" i="5"/>
  <c r="AAP40" i="5"/>
  <c r="P41" i="5"/>
  <c r="PO41" i="5"/>
  <c r="AGP41" i="5"/>
  <c r="OX42" i="5"/>
  <c r="AAE43" i="5"/>
  <c r="WI40" i="5"/>
  <c r="A41" i="5"/>
  <c r="SB41" i="5"/>
  <c r="AE42" i="5"/>
  <c r="AGR42" i="5"/>
  <c r="DX40" i="5"/>
  <c r="TX40" i="5"/>
  <c r="ALT40" i="5"/>
  <c r="HH42" i="5"/>
  <c r="SS40" i="5"/>
  <c r="ADA41" i="5"/>
  <c r="AZ44" i="5"/>
  <c r="CX41" i="5"/>
  <c r="XX42" i="5"/>
  <c r="PC40" i="5"/>
  <c r="XH41" i="5"/>
  <c r="AID39" i="5"/>
  <c r="AFZ41" i="5"/>
  <c r="GO40" i="5"/>
  <c r="EM42" i="5"/>
  <c r="AAQ42" i="5"/>
  <c r="AKI42" i="5"/>
  <c r="ABZ41" i="5"/>
  <c r="ZJ43" i="5"/>
  <c r="ALX37" i="5"/>
  <c r="IL38" i="5"/>
  <c r="SH38" i="5"/>
  <c r="ACD38" i="5"/>
  <c r="ALZ38" i="5"/>
  <c r="IN39" i="5"/>
  <c r="SJ39" i="5"/>
  <c r="ADQ39" i="5"/>
  <c r="CO40" i="5"/>
  <c r="SL40" i="5"/>
  <c r="CK41" i="5"/>
  <c r="EN42" i="5"/>
  <c r="YB42" i="5"/>
  <c r="RV43" i="5"/>
  <c r="ACL41" i="5"/>
  <c r="EU42" i="5"/>
  <c r="YD42" i="5"/>
  <c r="RW43" i="5"/>
  <c r="OO41" i="5"/>
  <c r="ABR41" i="5"/>
  <c r="DT42" i="5"/>
  <c r="WV42" i="5"/>
  <c r="PU43" i="5"/>
  <c r="MJ41" i="5"/>
  <c r="ZF41" i="5"/>
  <c r="AU42" i="5"/>
  <c r="UG42" i="5"/>
  <c r="PV43" i="5"/>
  <c r="MK41" i="5"/>
  <c r="AAY41" i="5"/>
  <c r="EX42" i="5"/>
  <c r="ABO42" i="5"/>
  <c r="AHD43" i="5"/>
  <c r="JE41" i="5"/>
  <c r="WV41" i="5"/>
  <c r="AA42" i="5"/>
  <c r="UI42" i="5"/>
  <c r="PX43" i="5"/>
  <c r="AT41" i="5"/>
  <c r="MM41" i="5"/>
  <c r="ACV41" i="5"/>
  <c r="GX42" i="5"/>
  <c r="AEU42" i="5"/>
  <c r="GK44" i="5"/>
  <c r="AHY40" i="5"/>
  <c r="FZ41" i="5"/>
  <c r="XV41" i="5"/>
  <c r="DC42" i="5"/>
  <c r="ABR42" i="5"/>
  <c r="OX40" i="5"/>
  <c r="ABF40" i="5"/>
  <c r="AF41" i="5"/>
  <c r="QM41" i="5"/>
  <c r="AHR41" i="5"/>
  <c r="WC42" i="5"/>
  <c r="AEA43" i="5"/>
  <c r="ZK40" i="5"/>
  <c r="AW41" i="5"/>
  <c r="SZ41" i="5"/>
  <c r="BG42" i="5"/>
  <c r="AIM42" i="5"/>
  <c r="GZ40" i="5"/>
  <c r="VT40" i="5"/>
  <c r="B41" i="5"/>
  <c r="ID42" i="5"/>
  <c r="YG40" i="5"/>
  <c r="AEV41" i="5"/>
  <c r="ABL44" i="5"/>
  <c r="KD41" i="5"/>
  <c r="AI43" i="5"/>
  <c r="PS40" i="5"/>
  <c r="YB41" i="5"/>
  <c r="AJJ39" i="5"/>
  <c r="AIZ41" i="5"/>
  <c r="OO40" i="5"/>
  <c r="AED42" i="5"/>
  <c r="ABG42" i="5"/>
  <c r="ACD43" i="5"/>
  <c r="T42" i="5"/>
  <c r="AAP43" i="5"/>
  <c r="AIT39" i="5"/>
  <c r="SF40" i="5"/>
  <c r="GX41" i="5"/>
  <c r="AKX41" i="5"/>
  <c r="KE43" i="5"/>
  <c r="CW40" i="5"/>
  <c r="ZQ40" i="5"/>
  <c r="IY41" i="5"/>
  <c r="FO42" i="5"/>
  <c r="ALZ42" i="5"/>
  <c r="AN43" i="5"/>
  <c r="ACM42" i="5"/>
  <c r="ADT42" i="5"/>
  <c r="HQ42" i="5"/>
  <c r="OU44" i="5"/>
  <c r="AFR42" i="5"/>
  <c r="LK42" i="5"/>
  <c r="BP42" i="5"/>
  <c r="KW42" i="5"/>
  <c r="CN45" i="5"/>
  <c r="ABF43" i="5"/>
  <c r="IG42" i="5"/>
  <c r="TL44" i="5"/>
  <c r="KN43" i="5"/>
  <c r="MA42" i="5"/>
  <c r="CF42" i="5"/>
  <c r="LM42" i="5"/>
  <c r="SV44" i="5"/>
  <c r="RH44" i="5"/>
  <c r="HK43" i="5"/>
  <c r="AJZ39" i="5"/>
  <c r="YZ40" i="5"/>
  <c r="IX41" i="5"/>
  <c r="N42" i="5"/>
  <c r="AGS44" i="5"/>
  <c r="ES40" i="5"/>
  <c r="AAW40" i="5"/>
  <c r="KX41" i="5"/>
  <c r="AL43" i="5"/>
  <c r="AM43" i="5"/>
  <c r="LE43" i="5"/>
  <c r="EE43" i="5"/>
  <c r="AFP42" i="5"/>
  <c r="IW42" i="5"/>
  <c r="ML45" i="5"/>
  <c r="ZP43" i="5"/>
  <c r="SE42" i="5"/>
  <c r="CV42" i="5"/>
  <c r="ACR41" i="5"/>
  <c r="TX44" i="5"/>
  <c r="ACB44" i="5"/>
  <c r="JD42" i="5"/>
  <c r="AFG42" i="5"/>
  <c r="AHS43" i="5"/>
  <c r="TG40" i="5"/>
  <c r="ADC40" i="5"/>
  <c r="Q41" i="5"/>
  <c r="JZ41" i="5"/>
  <c r="WF41" i="5"/>
  <c r="AKS41" i="5"/>
  <c r="OA42" i="5"/>
  <c r="L43" i="5"/>
  <c r="PQ45" i="5"/>
  <c r="KR40" i="5"/>
  <c r="UN40" i="5"/>
  <c r="AEJ40" i="5"/>
  <c r="HK41" i="5"/>
  <c r="AIP41" i="5"/>
  <c r="UB43" i="5"/>
  <c r="AAC40" i="5"/>
  <c r="IC41" i="5"/>
  <c r="AJS41" i="5"/>
  <c r="AAH43" i="5"/>
  <c r="VV40" i="5"/>
  <c r="DO41" i="5"/>
  <c r="AKV41" i="5"/>
  <c r="HJ43" i="5"/>
  <c r="AJI39" i="5"/>
  <c r="SE40" i="5"/>
  <c r="HN41" i="5"/>
  <c r="AKW41" i="5"/>
  <c r="JY43" i="5"/>
  <c r="CV40" i="5"/>
  <c r="ZP40" i="5"/>
  <c r="JO41" i="5"/>
  <c r="AP42" i="5"/>
  <c r="WM39" i="5"/>
  <c r="FI40" i="5"/>
  <c r="ABM40" i="5"/>
  <c r="RR41" i="5"/>
  <c r="CZ43" i="5"/>
  <c r="BH43" i="5"/>
  <c r="ME43" i="5"/>
  <c r="PE43" i="5"/>
  <c r="AGF42" i="5"/>
  <c r="JM42" i="5"/>
  <c r="B42" i="5"/>
  <c r="AAW43" i="5"/>
  <c r="SU42" i="5"/>
  <c r="DL42" i="5"/>
  <c r="ADX41" i="5"/>
  <c r="UT44" i="5"/>
  <c r="LG43" i="5"/>
  <c r="TW40" i="5"/>
  <c r="ADS40" i="5"/>
  <c r="AG41" i="5"/>
  <c r="KQ41" i="5"/>
  <c r="WZ41" i="5"/>
  <c r="ALO41" i="5"/>
  <c r="PG42" i="5"/>
  <c r="CE43" i="5"/>
  <c r="BL40" i="5"/>
  <c r="LH40" i="5"/>
  <c r="VD40" i="5"/>
  <c r="AEZ40" i="5"/>
  <c r="IB41" i="5"/>
  <c r="AJR41" i="5"/>
  <c r="AAG43" i="5"/>
  <c r="AAS40" i="5"/>
  <c r="IT41" i="5"/>
  <c r="FK42" i="5"/>
  <c r="AEM43" i="5"/>
  <c r="WL40" i="5"/>
  <c r="EF41" i="5"/>
  <c r="L42" i="5"/>
  <c r="JX43" i="5"/>
  <c r="AJY39" i="5"/>
  <c r="XS40" i="5"/>
  <c r="IE41" i="5"/>
  <c r="ALY41" i="5"/>
  <c r="MC43" i="5"/>
  <c r="EB40" i="5"/>
  <c r="AAF40" i="5"/>
  <c r="KF41" i="5"/>
  <c r="KN42" i="5"/>
  <c r="XC39" i="5"/>
  <c r="FY40" i="5"/>
  <c r="ACC40" i="5"/>
  <c r="TF41" i="5"/>
  <c r="FN43" i="5"/>
  <c r="CH43" i="5"/>
  <c r="AKD43" i="5"/>
  <c r="QA43" i="5"/>
  <c r="AGV42" i="5"/>
  <c r="NE42" i="5"/>
  <c r="AH42" i="5"/>
  <c r="ADM43" i="5"/>
  <c r="ADG42" i="5"/>
  <c r="YJ42" i="5"/>
  <c r="AEN41" i="5"/>
  <c r="VQ44" i="5"/>
  <c r="LW43" i="5"/>
  <c r="DF45" i="5"/>
  <c r="AAE40" i="5"/>
  <c r="JN41" i="5"/>
  <c r="AO42" i="5"/>
  <c r="WL39" i="5"/>
  <c r="FH40" i="5"/>
  <c r="ACB40" i="5"/>
  <c r="RQ41" i="5"/>
  <c r="OF42" i="5"/>
  <c r="YI39" i="5"/>
  <c r="HE40" i="5"/>
  <c r="AJM40" i="5"/>
  <c r="UX41" i="5"/>
  <c r="AFS43" i="5"/>
  <c r="ZC43" i="5"/>
  <c r="NZ44" i="5"/>
  <c r="SG43" i="5"/>
  <c r="EF43" i="5"/>
  <c r="ABI42" i="5"/>
  <c r="CD42" i="5"/>
  <c r="BU44" i="5"/>
  <c r="TO43" i="5"/>
  <c r="FJ43" i="5"/>
  <c r="QL42" i="5"/>
  <c r="AIB44" i="5"/>
  <c r="GG45" i="5"/>
  <c r="RJ41" i="5"/>
  <c r="JG42" i="5"/>
  <c r="JG44" i="5"/>
  <c r="ADF40" i="5"/>
  <c r="MC41" i="5"/>
  <c r="CL42" i="5"/>
  <c r="RR43" i="5"/>
  <c r="EA40" i="5"/>
  <c r="AAU40" i="5"/>
  <c r="KE41" i="5"/>
  <c r="KM42" i="5"/>
  <c r="XB39" i="5"/>
  <c r="FX40" i="5"/>
  <c r="ACR40" i="5"/>
  <c r="UC41" i="5"/>
  <c r="PL42" i="5"/>
  <c r="YY39" i="5"/>
  <c r="NI40" i="5"/>
  <c r="AKC40" i="5"/>
  <c r="WP41" i="5"/>
  <c r="AKA43" i="5"/>
  <c r="ABQ43" i="5"/>
  <c r="SP44" i="5"/>
  <c r="TK43" i="5"/>
  <c r="XZ43" i="5"/>
  <c r="AJN42" i="5"/>
  <c r="CT42" i="5"/>
  <c r="HO44" i="5"/>
  <c r="VY43" i="5"/>
  <c r="GE43" i="5"/>
  <c r="RB42" i="5"/>
  <c r="RH43" i="5"/>
  <c r="HS45" i="5"/>
  <c r="JH45" i="5"/>
  <c r="GQ41" i="5"/>
  <c r="RZ41" i="5"/>
  <c r="AFM41" i="5"/>
  <c r="IA42" i="5"/>
  <c r="ADL42" i="5"/>
  <c r="ADG43" i="5"/>
  <c r="UL40" i="5"/>
  <c r="AEH40" i="5"/>
  <c r="AV41" i="5"/>
  <c r="LG41" i="5"/>
  <c r="XW41" i="5"/>
  <c r="H42" i="5"/>
  <c r="QN42" i="5"/>
  <c r="ER43" i="5"/>
  <c r="NC40" i="5"/>
  <c r="WY40" i="5"/>
  <c r="AGU40" i="5"/>
  <c r="DL41" i="5"/>
  <c r="OB41" i="5"/>
  <c r="ABD41" i="5"/>
  <c r="DE42" i="5"/>
  <c r="WD42" i="5"/>
  <c r="NZ43" i="5"/>
  <c r="EN40" i="5"/>
  <c r="OJ40" i="5"/>
  <c r="YF40" i="5"/>
  <c r="AIB40" i="5"/>
  <c r="SG41" i="5"/>
  <c r="KJ42" i="5"/>
  <c r="ABK44" i="5"/>
  <c r="AJI40" i="5"/>
  <c r="TB41" i="5"/>
  <c r="LQ42" i="5"/>
  <c r="JN40" i="5"/>
  <c r="AFB40" i="5"/>
  <c r="NL41" i="5"/>
  <c r="EJ42" i="5"/>
  <c r="WK39" i="5"/>
  <c r="FW40" i="5"/>
  <c r="ACA40" i="5"/>
  <c r="SJ41" i="5"/>
  <c r="OE42" i="5"/>
  <c r="YH39" i="5"/>
  <c r="HT40" i="5"/>
  <c r="AJL40" i="5"/>
  <c r="VQ41" i="5"/>
  <c r="SK42" i="5"/>
  <c r="AFS39" i="5"/>
  <c r="PE40" i="5"/>
  <c r="ALI40" i="5"/>
  <c r="ZB41" i="5"/>
  <c r="JA46" i="5"/>
  <c r="SJ44" i="5"/>
  <c r="ADL44" i="5"/>
  <c r="DI45" i="5"/>
  <c r="AKG43" i="5"/>
  <c r="ALI42" i="5"/>
  <c r="LJ42" i="5"/>
  <c r="PQ41" i="5"/>
  <c r="YK43" i="5"/>
  <c r="HZ43" i="5"/>
  <c r="UI46" i="5"/>
  <c r="EI44" i="5"/>
  <c r="AJG42" i="5"/>
  <c r="HH41" i="5"/>
  <c r="SX41" i="5"/>
  <c r="AGO41" i="5"/>
  <c r="JC42" i="5"/>
  <c r="AEV42" i="5"/>
  <c r="AHQ43" i="5"/>
  <c r="VB40" i="5"/>
  <c r="AEX40" i="5"/>
  <c r="BL41" i="5"/>
  <c r="LX41" i="5"/>
  <c r="YQ41" i="5"/>
  <c r="AD42" i="5"/>
  <c r="RV42" i="5"/>
  <c r="GQ43" i="5"/>
  <c r="NS40" i="5"/>
  <c r="XO40" i="5"/>
  <c r="AHK40" i="5"/>
  <c r="EC41" i="5"/>
  <c r="OV41" i="5"/>
  <c r="ACD41" i="5"/>
  <c r="EG42" i="5"/>
  <c r="XL42" i="5"/>
  <c r="QR43" i="5"/>
  <c r="FD40" i="5"/>
  <c r="OZ40" i="5"/>
  <c r="YV40" i="5"/>
  <c r="AJH40" i="5"/>
  <c r="TA41" i="5"/>
  <c r="LP42" i="5"/>
  <c r="OK40" i="5"/>
  <c r="AJY40" i="5"/>
  <c r="TV41" i="5"/>
  <c r="MW42" i="5"/>
  <c r="KT40" i="5"/>
  <c r="AFR40" i="5"/>
  <c r="OE41" i="5"/>
  <c r="OD42" i="5"/>
  <c r="XA39" i="5"/>
  <c r="GM40" i="5"/>
  <c r="ACQ40" i="5"/>
  <c r="TX41" i="5"/>
  <c r="PK42" i="5"/>
  <c r="YX39" i="5"/>
  <c r="NH40" i="5"/>
  <c r="AKB40" i="5"/>
  <c r="WO41" i="5"/>
  <c r="TS42" i="5"/>
  <c r="AGY39" i="5"/>
  <c r="PU40" i="5"/>
  <c r="ALY40" i="5"/>
  <c r="AHC41" i="5"/>
  <c r="PM42" i="5"/>
  <c r="XI44" i="5"/>
  <c r="LG42" i="5"/>
  <c r="TR45" i="5"/>
  <c r="N44" i="5"/>
  <c r="AMD42" i="5"/>
  <c r="YH42" i="5"/>
  <c r="QG41" i="5"/>
  <c r="AAX43" i="5"/>
  <c r="IZ43" i="5"/>
  <c r="AET46" i="5"/>
  <c r="RY43" i="5"/>
  <c r="BN44" i="5"/>
  <c r="DS43" i="5"/>
  <c r="HV41" i="5"/>
  <c r="TO41" i="5"/>
  <c r="AHH41" i="5"/>
  <c r="JV42" i="5"/>
  <c r="AGM42" i="5"/>
  <c r="AMD43" i="5"/>
  <c r="HF41" i="5"/>
  <c r="SR41" i="5"/>
  <c r="AGM41" i="5"/>
  <c r="IU42" i="5"/>
  <c r="AET42" i="5"/>
  <c r="AHO43" i="5"/>
  <c r="CQ41" i="5"/>
  <c r="ND41" i="5"/>
  <c r="AAG41" i="5"/>
  <c r="BZ42" i="5"/>
  <c r="UJ42" i="5"/>
  <c r="LB43" i="5"/>
  <c r="ABE40" i="5"/>
  <c r="ALA40" i="5"/>
  <c r="HY41" i="5"/>
  <c r="TR41" i="5"/>
  <c r="AHQ41" i="5"/>
  <c r="JY42" i="5"/>
  <c r="AGP42" i="5"/>
  <c r="AJ44" i="5"/>
  <c r="VR40" i="5"/>
  <c r="AFN40" i="5"/>
  <c r="CB41" i="5"/>
  <c r="MP41" i="5"/>
  <c r="ZK41" i="5"/>
  <c r="BF42" i="5"/>
  <c r="TD42" i="5"/>
  <c r="JE43" i="5"/>
  <c r="OI40" i="5"/>
  <c r="YE40" i="5"/>
  <c r="AIA40" i="5"/>
  <c r="ET41" i="5"/>
  <c r="PP41" i="5"/>
  <c r="ACY41" i="5"/>
  <c r="FC42" i="5"/>
  <c r="ZC42" i="5"/>
  <c r="UA43" i="5"/>
  <c r="FT40" i="5"/>
  <c r="PP40" i="5"/>
  <c r="ZL40" i="5"/>
  <c r="AJX40" i="5"/>
  <c r="TU41" i="5"/>
  <c r="MV42" i="5"/>
  <c r="PQ40" i="5"/>
  <c r="AKO40" i="5"/>
  <c r="UT41" i="5"/>
  <c r="ZE42" i="5"/>
  <c r="LJ40" i="5"/>
  <c r="AGH40" i="5"/>
  <c r="OY41" i="5"/>
  <c r="QR42" i="5"/>
  <c r="XQ39" i="5"/>
  <c r="HC40" i="5"/>
  <c r="AIU40" i="5"/>
  <c r="UV41" i="5"/>
  <c r="QT42" i="5"/>
  <c r="ZN39" i="5"/>
  <c r="ON40" i="5"/>
  <c r="ALH40" i="5"/>
  <c r="XI41" i="5"/>
  <c r="AJD42" i="5"/>
  <c r="AHO39" i="5"/>
  <c r="QK40" i="5"/>
  <c r="G41" i="5"/>
  <c r="AMA41" i="5"/>
  <c r="QC42" i="5"/>
  <c r="ACP44" i="5"/>
  <c r="YU42" i="5"/>
  <c r="YI46" i="5"/>
  <c r="BQ44" i="5"/>
  <c r="V43" i="5"/>
  <c r="ABZ42" i="5"/>
  <c r="AAS41" i="5"/>
  <c r="EQ44" i="5"/>
  <c r="TK41" i="5"/>
  <c r="AJX46" i="5"/>
  <c r="SO43" i="5"/>
  <c r="CF44" i="5"/>
  <c r="RH42" i="5"/>
  <c r="FW43" i="5"/>
  <c r="IM41" i="5"/>
  <c r="UI41" i="5"/>
  <c r="AIJ41" i="5"/>
  <c r="LB42" i="5"/>
  <c r="AHW42" i="5"/>
  <c r="FR44" i="5"/>
  <c r="HW41" i="5"/>
  <c r="TP41" i="5"/>
  <c r="AHI41" i="5"/>
  <c r="JW42" i="5"/>
  <c r="AGN42" i="5"/>
  <c r="AME43" i="5"/>
  <c r="DH41" i="5"/>
  <c r="NY41" i="5"/>
  <c r="ABA41" i="5"/>
  <c r="DB42" i="5"/>
  <c r="WA42" i="5"/>
  <c r="NW43" i="5"/>
  <c r="ABU40" i="5"/>
  <c r="ALQ40" i="5"/>
  <c r="IP41" i="5"/>
  <c r="UL41" i="5"/>
  <c r="AIM41" i="5"/>
  <c r="LE42" i="5"/>
  <c r="AIK42" i="5"/>
  <c r="GL44" i="5"/>
  <c r="WH40" i="5"/>
  <c r="AGD40" i="5"/>
  <c r="CT41" i="5"/>
  <c r="NG41" i="5"/>
  <c r="AAI41" i="5"/>
  <c r="CB42" i="5"/>
  <c r="UU42" i="5"/>
  <c r="LS43" i="5"/>
  <c r="OY40" i="5"/>
  <c r="YU40" i="5"/>
  <c r="AIQ40" i="5"/>
  <c r="FK41" i="5"/>
  <c r="QN41" i="5"/>
  <c r="ADY41" i="5"/>
  <c r="GE42" i="5"/>
  <c r="AAK42" i="5"/>
  <c r="WP43" i="5"/>
  <c r="GJ40" i="5"/>
  <c r="QF40" i="5"/>
  <c r="AAB40" i="5"/>
  <c r="AKN40" i="5"/>
  <c r="US41" i="5"/>
  <c r="ZD42" i="5"/>
  <c r="QG40" i="5"/>
  <c r="ALE40" i="5"/>
  <c r="VN41" i="5"/>
  <c r="ACF42" i="5"/>
  <c r="LZ40" i="5"/>
  <c r="AGX40" i="5"/>
  <c r="WI41" i="5"/>
  <c r="SI42" i="5"/>
  <c r="YW39" i="5"/>
  <c r="HS40" i="5"/>
  <c r="AKA40" i="5"/>
  <c r="VP41" i="5"/>
  <c r="SJ42" i="5"/>
  <c r="AFR39" i="5"/>
  <c r="PD40" i="5"/>
  <c r="ALX40" i="5"/>
  <c r="YC41" i="5"/>
  <c r="AK43" i="5"/>
  <c r="AIE39" i="5"/>
  <c r="RA40" i="5"/>
  <c r="FQ41" i="5"/>
  <c r="O42" i="5"/>
  <c r="QS42" i="5"/>
  <c r="AIR44" i="5"/>
  <c r="AAA42" i="5"/>
  <c r="QF42" i="5"/>
  <c r="DW44" i="5"/>
  <c r="UQ43" i="5"/>
  <c r="ACP42" i="5"/>
  <c r="ABI41" i="5"/>
  <c r="IF44" i="5"/>
  <c r="UQ41" i="5"/>
  <c r="CF47" i="5"/>
  <c r="TU43" i="5"/>
  <c r="R41" i="5"/>
  <c r="KA41" i="5"/>
  <c r="WG41" i="5"/>
  <c r="AKT41" i="5"/>
  <c r="OB42" i="5"/>
  <c r="AB43" i="5"/>
  <c r="QC45" i="5"/>
  <c r="TI40" i="5"/>
  <c r="ADE40" i="5"/>
  <c r="S41" i="5"/>
  <c r="KB41" i="5"/>
  <c r="WH41" i="5"/>
  <c r="AKU41" i="5"/>
  <c r="OC42" i="5"/>
  <c r="AC43" i="5"/>
  <c r="RH45" i="5"/>
  <c r="OL40" i="5"/>
  <c r="YH40" i="5"/>
  <c r="AID40" i="5"/>
  <c r="EW41" i="5"/>
  <c r="PW41" i="5"/>
  <c r="ADB41" i="5"/>
  <c r="FL42" i="5"/>
  <c r="ZF42" i="5"/>
  <c r="UD43" i="5"/>
  <c r="AAS39" i="5"/>
  <c r="ALE39" i="5"/>
  <c r="II40" i="5"/>
  <c r="SU40" i="5"/>
  <c r="ADG40" i="5"/>
  <c r="AK41" i="5"/>
  <c r="LM41" i="5"/>
  <c r="YV41" i="5"/>
  <c r="BK42" i="5"/>
  <c r="UZ42" i="5"/>
  <c r="OT43" i="5"/>
  <c r="AAD39" i="5"/>
  <c r="ALF39" i="5"/>
  <c r="IJ40" i="5"/>
  <c r="SV40" i="5"/>
  <c r="ADH40" i="5"/>
  <c r="AL41" i="5"/>
  <c r="LN41" i="5"/>
  <c r="ZA41" i="5"/>
  <c r="BL42" i="5"/>
  <c r="VB42" i="5"/>
  <c r="OU43" i="5"/>
  <c r="AAE39" i="5"/>
  <c r="AKQ39" i="5"/>
  <c r="HU40" i="5"/>
  <c r="SG40" i="5"/>
  <c r="ACS40" i="5"/>
  <c r="AM41" i="5"/>
  <c r="LO41" i="5"/>
  <c r="ZV41" i="5"/>
  <c r="GQ42" i="5"/>
  <c r="P46" i="5"/>
  <c r="YS42" i="5"/>
  <c r="GS43" i="5"/>
  <c r="BX45" i="5"/>
  <c r="MZ43" i="5"/>
  <c r="NS42" i="5"/>
  <c r="ADS42" i="5"/>
  <c r="ZE43" i="5"/>
  <c r="SR42" i="5"/>
  <c r="FA43" i="5"/>
  <c r="AGU41" i="5"/>
  <c r="NU42" i="5"/>
  <c r="AQ43" i="5"/>
  <c r="VI45" i="5"/>
  <c r="LZ42" i="5"/>
  <c r="AGH42" i="5"/>
  <c r="LA44" i="5"/>
  <c r="ADE41" i="5"/>
  <c r="AEM42" i="5"/>
  <c r="RN41" i="5"/>
  <c r="IZ42" i="5"/>
  <c r="JU43" i="5"/>
  <c r="MC42" i="5"/>
  <c r="ADZ43" i="5"/>
  <c r="LB44" i="5"/>
  <c r="WF45" i="5"/>
  <c r="ABE43" i="5"/>
  <c r="SQ43" i="5"/>
  <c r="TJ44" i="5"/>
  <c r="AH41" i="5"/>
  <c r="KR41" i="5"/>
  <c r="XE41" i="5"/>
  <c r="ALP41" i="5"/>
  <c r="PH42" i="5"/>
  <c r="CF43" i="5"/>
  <c r="KC40" i="5"/>
  <c r="TY40" i="5"/>
  <c r="ADU40" i="5"/>
  <c r="AI41" i="5"/>
  <c r="KT41" i="5"/>
  <c r="XF41" i="5"/>
  <c r="ALQ41" i="5"/>
  <c r="PI42" i="5"/>
  <c r="CG43" i="5"/>
  <c r="FF40" i="5"/>
  <c r="PB40" i="5"/>
  <c r="YX40" i="5"/>
  <c r="AIT40" i="5"/>
  <c r="FN41" i="5"/>
  <c r="QQ41" i="5"/>
  <c r="AEB41" i="5"/>
  <c r="GH42" i="5"/>
  <c r="AAN42" i="5"/>
  <c r="XS43" i="5"/>
  <c r="ABI39" i="5"/>
  <c r="ALU39" i="5"/>
  <c r="IY40" i="5"/>
  <c r="TK40" i="5"/>
  <c r="ADW40" i="5"/>
  <c r="BA41" i="5"/>
  <c r="MD41" i="5"/>
  <c r="ZT41" i="5"/>
  <c r="CM42" i="5"/>
  <c r="WQ42" i="5"/>
  <c r="RS43" i="5"/>
  <c r="ABJ39" i="5"/>
  <c r="ALV39" i="5"/>
  <c r="IZ40" i="5"/>
  <c r="TL40" i="5"/>
  <c r="ADX40" i="5"/>
  <c r="BB41" i="5"/>
  <c r="ME41" i="5"/>
  <c r="ZU41" i="5"/>
  <c r="CN42" i="5"/>
  <c r="WR42" i="5"/>
  <c r="RT43" i="5"/>
  <c r="AAU39" i="5"/>
  <c r="ALG39" i="5"/>
  <c r="IK40" i="5"/>
  <c r="SW40" i="5"/>
  <c r="ADY40" i="5"/>
  <c r="BC41" i="5"/>
  <c r="MF41" i="5"/>
  <c r="AAP41" i="5"/>
  <c r="HM42" i="5"/>
  <c r="JX44" i="5"/>
  <c r="ZI42" i="5"/>
  <c r="HS43" i="5"/>
  <c r="JX45" i="5"/>
  <c r="OB43" i="5"/>
  <c r="OI42" i="5"/>
  <c r="ALG42" i="5"/>
  <c r="AAK43" i="5"/>
  <c r="TH42" i="5"/>
  <c r="GA43" i="5"/>
  <c r="AHK41" i="5"/>
  <c r="OK42" i="5"/>
  <c r="BQ43" i="5"/>
  <c r="AIJ46" i="5"/>
  <c r="MP42" i="5"/>
  <c r="CM43" i="5"/>
  <c r="OW44" i="5"/>
  <c r="ADU41" i="5"/>
  <c r="AFC42" i="5"/>
  <c r="SD41" i="5"/>
  <c r="JP42" i="5"/>
  <c r="KU43" i="5"/>
  <c r="VY42" i="5"/>
  <c r="AFH43" i="5"/>
  <c r="AEV46" i="5"/>
  <c r="AHG43" i="5"/>
  <c r="AQ44" i="5"/>
  <c r="TG43" i="5"/>
  <c r="M46" i="5"/>
  <c r="AX41" i="5"/>
  <c r="LJ41" i="5"/>
  <c r="XY41" i="5"/>
  <c r="J42" i="5"/>
  <c r="QP42" i="5"/>
  <c r="ET43" i="5"/>
  <c r="KS40" i="5"/>
  <c r="UO40" i="5"/>
  <c r="AEK40" i="5"/>
  <c r="AY41" i="5"/>
  <c r="LK41" i="5"/>
  <c r="XZ41" i="5"/>
  <c r="K42" i="5"/>
  <c r="QQ42" i="5"/>
  <c r="EU43" i="5"/>
  <c r="FV40" i="5"/>
  <c r="PR40" i="5"/>
  <c r="ZN40" i="5"/>
  <c r="AJJ40" i="5"/>
  <c r="GE41" i="5"/>
  <c r="RK41" i="5"/>
  <c r="AEW41" i="5"/>
  <c r="HJ42" i="5"/>
  <c r="ACG42" i="5"/>
  <c r="ABK43" i="5"/>
  <c r="ABY39" i="5"/>
  <c r="C40" i="5"/>
  <c r="JO40" i="5"/>
  <c r="UA40" i="5"/>
  <c r="AEM40" i="5"/>
  <c r="BQ41" i="5"/>
  <c r="MU41" i="5"/>
  <c r="AAN41" i="5"/>
  <c r="DO42" i="5"/>
  <c r="XY42" i="5"/>
  <c r="XT43" i="5"/>
  <c r="ABZ39" i="5"/>
  <c r="D40" i="5"/>
  <c r="JP40" i="5"/>
  <c r="UB40" i="5"/>
  <c r="AEN40" i="5"/>
  <c r="BR41" i="5"/>
  <c r="MV41" i="5"/>
  <c r="AAO41" i="5"/>
  <c r="DP42" i="5"/>
  <c r="XZ42" i="5"/>
  <c r="UW43" i="5"/>
  <c r="ABK39" i="5"/>
  <c r="ALW39" i="5"/>
  <c r="JA40" i="5"/>
  <c r="UC40" i="5"/>
  <c r="AEO40" i="5"/>
  <c r="BS41" i="5"/>
  <c r="MW41" i="5"/>
  <c r="ABO41" i="5"/>
  <c r="IO42" i="5"/>
  <c r="NQ44" i="5"/>
  <c r="ZY42" i="5"/>
  <c r="PC43" i="5"/>
  <c r="TM45" i="5"/>
  <c r="PD43" i="5"/>
  <c r="OY42" i="5"/>
  <c r="AMB42" i="5"/>
  <c r="ACB43" i="5"/>
  <c r="TX42" i="5"/>
  <c r="GV43" i="5"/>
  <c r="AIA41" i="5"/>
  <c r="TI42" i="5"/>
  <c r="CL43" i="5"/>
  <c r="ABH41" i="5"/>
  <c r="NF42" i="5"/>
  <c r="EH43" i="5"/>
  <c r="TM44" i="5"/>
  <c r="AEK41" i="5"/>
  <c r="AFS42" i="5"/>
  <c r="ST41" i="5"/>
  <c r="UR42" i="5"/>
  <c r="UT43" i="5"/>
  <c r="WO42" i="5"/>
  <c r="ZO45" i="5"/>
  <c r="JI47" i="5"/>
  <c r="AHW43" i="5"/>
  <c r="BJ44" i="5"/>
  <c r="AFO43" i="5"/>
  <c r="ED46" i="5"/>
  <c r="BN41" i="5"/>
  <c r="MA41" i="5"/>
  <c r="YS41" i="5"/>
  <c r="AF42" i="5"/>
  <c r="RX42" i="5"/>
  <c r="HH43" i="5"/>
  <c r="LI40" i="5"/>
  <c r="VE40" i="5"/>
  <c r="AFA40" i="5"/>
  <c r="BO41" i="5"/>
  <c r="MB41" i="5"/>
  <c r="YT41" i="5"/>
  <c r="AM42" i="5"/>
  <c r="RZ42" i="5"/>
  <c r="HI43" i="5"/>
  <c r="GL40" i="5"/>
  <c r="QH40" i="5"/>
  <c r="AAD40" i="5"/>
  <c r="AJZ40" i="5"/>
  <c r="GV41" i="5"/>
  <c r="SI41" i="5"/>
  <c r="AFX41" i="5"/>
  <c r="IF42" i="5"/>
  <c r="AEA42" i="5"/>
  <c r="AEN43" i="5"/>
  <c r="ACO39" i="5"/>
  <c r="S40" i="5"/>
  <c r="KE40" i="5"/>
  <c r="UQ40" i="5"/>
  <c r="AFC40" i="5"/>
  <c r="CH41" i="5"/>
  <c r="NM41" i="5"/>
  <c r="ABM41" i="5"/>
  <c r="EK42" i="5"/>
  <c r="AAP42" i="5"/>
  <c r="ABL43" i="5"/>
  <c r="ACP39" i="5"/>
  <c r="T40" i="5"/>
  <c r="KF40" i="5"/>
  <c r="UR40" i="5"/>
  <c r="AFD40" i="5"/>
  <c r="CI41" i="5"/>
  <c r="NN41" i="5"/>
  <c r="ABN41" i="5"/>
  <c r="EL42" i="5"/>
  <c r="ZH42" i="5"/>
  <c r="XU43" i="5"/>
  <c r="ACA39" i="5"/>
  <c r="E40" i="5"/>
  <c r="KG40" i="5"/>
  <c r="US40" i="5"/>
  <c r="AFE40" i="5"/>
  <c r="CJ41" i="5"/>
  <c r="NO41" i="5"/>
  <c r="ACJ41" i="5"/>
  <c r="JK42" i="5"/>
  <c r="RN44" i="5"/>
  <c r="AAO42" i="5"/>
  <c r="PY43" i="5"/>
  <c r="NX46" i="5"/>
  <c r="PZ43" i="5"/>
  <c r="PO42" i="5"/>
  <c r="T43" i="5"/>
  <c r="DV44" i="5"/>
  <c r="UN42" i="5"/>
  <c r="HV43" i="5"/>
  <c r="AIQ41" i="5"/>
  <c r="TY42" i="5"/>
  <c r="DL43" i="5"/>
  <c r="ABX41" i="5"/>
  <c r="NV42" i="5"/>
  <c r="FH43" i="5"/>
  <c r="FU41" i="5"/>
  <c r="AKO41" i="5"/>
  <c r="AGI42" i="5"/>
  <c r="TJ41" i="5"/>
  <c r="VH42" i="5"/>
  <c r="VZ43" i="5"/>
  <c r="XE42" i="5"/>
  <c r="ZF48" i="5"/>
  <c r="BW44" i="5"/>
  <c r="OV45" i="5"/>
  <c r="ALX44" i="5"/>
  <c r="AGE43" i="5"/>
  <c r="TM46" i="5"/>
  <c r="CE41" i="5"/>
  <c r="MR41" i="5"/>
  <c r="ZQ41" i="5"/>
  <c r="BH42" i="5"/>
  <c r="TO42" i="5"/>
  <c r="JG43" i="5"/>
  <c r="LY40" i="5"/>
  <c r="VU40" i="5"/>
  <c r="AFQ40" i="5"/>
  <c r="CF41" i="5"/>
  <c r="MS41" i="5"/>
  <c r="ZR41" i="5"/>
  <c r="BI42" i="5"/>
  <c r="TP42" i="5"/>
  <c r="JH43" i="5"/>
  <c r="HB40" i="5"/>
  <c r="QX40" i="5"/>
  <c r="AAT40" i="5"/>
  <c r="AKP40" i="5"/>
  <c r="HM41" i="5"/>
  <c r="TC41" i="5"/>
  <c r="AGT41" i="5"/>
  <c r="JH42" i="5"/>
  <c r="AFK42" i="5"/>
  <c r="AJM43" i="5"/>
  <c r="ADE39" i="5"/>
  <c r="AI40" i="5"/>
  <c r="KU40" i="5"/>
  <c r="VG40" i="5"/>
  <c r="AFS40" i="5"/>
  <c r="CY41" i="5"/>
  <c r="OF41" i="5"/>
  <c r="ACH41" i="5"/>
  <c r="GI42" i="5"/>
  <c r="ACH42" i="5"/>
  <c r="AEO43" i="5"/>
  <c r="ADF39" i="5"/>
  <c r="AJ40" i="5"/>
  <c r="KV40" i="5"/>
  <c r="VH40" i="5"/>
  <c r="AFT40" i="5"/>
  <c r="CZ41" i="5"/>
  <c r="OG41" i="5"/>
  <c r="ACI41" i="5"/>
  <c r="FN42" i="5"/>
  <c r="AAY42" i="5"/>
  <c r="ABM43" i="5"/>
  <c r="ACQ39" i="5"/>
  <c r="AK40" i="5"/>
  <c r="KW40" i="5"/>
  <c r="VI40" i="5"/>
  <c r="AFU40" i="5"/>
  <c r="DA41" i="5"/>
  <c r="OH41" i="5"/>
  <c r="ADJ41" i="5"/>
  <c r="OG42" i="5"/>
  <c r="WH44" i="5"/>
  <c r="ABE42" i="5"/>
  <c r="RA43" i="5"/>
  <c r="AHJ42" i="5"/>
  <c r="UG43" i="5"/>
  <c r="QE42" i="5"/>
  <c r="AO43" i="5"/>
  <c r="HH44" i="5"/>
  <c r="VD42" i="5"/>
  <c r="LL43" i="5"/>
  <c r="AJG41" i="5"/>
  <c r="XQ42" i="5"/>
  <c r="PG43" i="5"/>
  <c r="ACN41" i="5"/>
  <c r="OL42" i="5"/>
  <c r="GC43" i="5"/>
  <c r="GK41" i="5"/>
  <c r="ALE41" i="5"/>
  <c r="AGY42" i="5"/>
  <c r="UP41" i="5"/>
  <c r="VX42" i="5"/>
  <c r="QY41" i="5"/>
  <c r="HF43" i="5"/>
  <c r="AAG45" i="5"/>
  <c r="CO44" i="5"/>
  <c r="LD47" i="5"/>
  <c r="AC45" i="5"/>
  <c r="AGU43" i="5"/>
  <c r="UN46" i="5"/>
  <c r="CV41" i="5"/>
  <c r="NJ41" i="5"/>
  <c r="AAK41" i="5"/>
  <c r="CJ42" i="5"/>
  <c r="UW42" i="5"/>
  <c r="LU43" i="5"/>
  <c r="MO40" i="5"/>
  <c r="WK40" i="5"/>
  <c r="AGG40" i="5"/>
  <c r="CW41" i="5"/>
  <c r="NK41" i="5"/>
  <c r="AAL41" i="5"/>
  <c r="CK42" i="5"/>
  <c r="UX42" i="5"/>
  <c r="MA43" i="5"/>
  <c r="HR40" i="5"/>
  <c r="RN40" i="5"/>
  <c r="ABJ40" i="5"/>
  <c r="ALF40" i="5"/>
  <c r="ID41" i="5"/>
  <c r="TW41" i="5"/>
  <c r="AHV41" i="5"/>
  <c r="KL42" i="5"/>
  <c r="AHE42" i="5"/>
  <c r="CM44" i="5"/>
  <c r="ADU39" i="5"/>
  <c r="AY40" i="5"/>
  <c r="LK40" i="5"/>
  <c r="VW40" i="5"/>
  <c r="AGI40" i="5"/>
  <c r="DP41" i="5"/>
  <c r="OZ41" i="5"/>
  <c r="AEC41" i="5"/>
  <c r="HK42" i="5"/>
  <c r="AEB42" i="5"/>
  <c r="AJO43" i="5"/>
  <c r="ADV39" i="5"/>
  <c r="AZ40" i="5"/>
  <c r="LL40" i="5"/>
  <c r="VX40" i="5"/>
  <c r="AGJ40" i="5"/>
  <c r="DQ41" i="5"/>
  <c r="PE41" i="5"/>
  <c r="ADI41" i="5"/>
  <c r="GJ42" i="5"/>
  <c r="ACI42" i="5"/>
  <c r="AFI43" i="5"/>
  <c r="ADW39" i="5"/>
  <c r="BA40" i="5"/>
  <c r="LM40" i="5"/>
  <c r="VY40" i="5"/>
  <c r="AGK40" i="5"/>
  <c r="DR41" i="5"/>
  <c r="PF41" i="5"/>
  <c r="AEE41" i="5"/>
  <c r="ZJ42" i="5"/>
  <c r="ACN44" i="5"/>
  <c r="ABU42" i="5"/>
  <c r="VK43" i="5"/>
  <c r="AHZ42" i="5"/>
  <c r="VL43" i="5"/>
  <c r="QU42" i="5"/>
  <c r="BO43" i="5"/>
  <c r="YE44" i="5"/>
  <c r="ABX42" i="5"/>
  <c r="MG43" i="5"/>
  <c r="AJW41" i="5"/>
  <c r="YG42" i="5"/>
  <c r="QI43" i="5"/>
  <c r="ADD41" i="5"/>
  <c r="RN42" i="5"/>
  <c r="HC43" i="5"/>
  <c r="HA41" i="5"/>
  <c r="II42" i="5"/>
  <c r="BS43" i="5"/>
  <c r="VF41" i="5"/>
  <c r="WN42" i="5"/>
  <c r="RO41" i="5"/>
  <c r="IA43" i="5"/>
  <c r="ACR45" i="5"/>
  <c r="DG44" i="5"/>
  <c r="VF47" i="5"/>
  <c r="XN43" i="5"/>
  <c r="SU45" i="5"/>
  <c r="VX46" i="5"/>
  <c r="DM41" i="5"/>
  <c r="OC41" i="5"/>
  <c r="ABE41" i="5"/>
  <c r="DF42" i="5"/>
  <c r="WE42" i="5"/>
  <c r="OQ43" i="5"/>
  <c r="NE40" i="5"/>
  <c r="XA40" i="5"/>
  <c r="AGW40" i="5"/>
  <c r="DN41" i="5"/>
  <c r="OD41" i="5"/>
  <c r="ABF41" i="5"/>
  <c r="DG42" i="5"/>
  <c r="WF42" i="5"/>
  <c r="OR43" i="5"/>
  <c r="IH40" i="5"/>
  <c r="SD40" i="5"/>
  <c r="ABZ40" i="5"/>
  <c r="ALV40" i="5"/>
  <c r="IU41" i="5"/>
  <c r="UU41" i="5"/>
  <c r="AIX41" i="5"/>
  <c r="LR42" i="5"/>
  <c r="AJB42" i="5"/>
  <c r="MT44" i="5"/>
  <c r="AEK39" i="5"/>
  <c r="BO40" i="5"/>
  <c r="MA40" i="5"/>
  <c r="WM40" i="5"/>
  <c r="AGY40" i="5"/>
  <c r="EG41" i="5"/>
  <c r="QR41" i="5"/>
  <c r="AEX41" i="5"/>
  <c r="IM42" i="5"/>
  <c r="AFL42" i="5"/>
  <c r="CN44" i="5"/>
  <c r="AEL39" i="5"/>
  <c r="BP40" i="5"/>
  <c r="MB40" i="5"/>
  <c r="WN40" i="5"/>
  <c r="AGZ40" i="5"/>
  <c r="EH41" i="5"/>
  <c r="PY41" i="5"/>
  <c r="AED41" i="5"/>
  <c r="HL42" i="5"/>
  <c r="AEC42" i="5"/>
  <c r="DA44" i="5"/>
  <c r="AEM39" i="5"/>
  <c r="BQ40" i="5"/>
  <c r="MC40" i="5"/>
  <c r="WO40" i="5"/>
  <c r="AHA40" i="5"/>
  <c r="EI41" i="5"/>
  <c r="PZ41" i="5"/>
  <c r="AFE41" i="5"/>
  <c r="AAZ42" i="5"/>
  <c r="AHV44" i="5"/>
  <c r="ACK42" i="5"/>
  <c r="WQ43" i="5"/>
  <c r="AIS42" i="5"/>
  <c r="AGI43" i="5"/>
  <c r="RK42" i="5"/>
  <c r="CJ43" i="5"/>
  <c r="ADM44" i="5"/>
  <c r="ACN42" i="5"/>
  <c r="OD43" i="5"/>
  <c r="AKM41" i="5"/>
  <c r="YW42" i="5"/>
  <c r="RE43" i="5"/>
  <c r="ALD41" i="5"/>
  <c r="SD42" i="5"/>
  <c r="HX43" i="5"/>
  <c r="HQ41" i="5"/>
  <c r="IY42" i="5"/>
  <c r="CN43" i="5"/>
  <c r="VV41" i="5"/>
  <c r="XD42" i="5"/>
  <c r="SE41" i="5"/>
  <c r="ABL41" i="5"/>
  <c r="AHR43" i="5"/>
  <c r="EF44" i="5"/>
  <c r="GW48" i="5"/>
  <c r="YD43" i="5"/>
  <c r="UP45" i="5"/>
  <c r="XB46" i="5"/>
  <c r="ED41" i="5"/>
  <c r="OW41" i="5"/>
  <c r="ACE41" i="5"/>
  <c r="EH42" i="5"/>
  <c r="XN42" i="5"/>
  <c r="QY43" i="5"/>
  <c r="NU40" i="5"/>
  <c r="XQ40" i="5"/>
  <c r="AHM40" i="5"/>
  <c r="EE41" i="5"/>
  <c r="OX41" i="5"/>
  <c r="ACF41" i="5"/>
  <c r="EI42" i="5"/>
  <c r="XW42" i="5"/>
  <c r="QZ43" i="5"/>
  <c r="IX40" i="5"/>
  <c r="ST40" i="5"/>
  <c r="ACP40" i="5"/>
  <c r="D41" i="5"/>
  <c r="JL41" i="5"/>
  <c r="VO41" i="5"/>
  <c r="AJT41" i="5"/>
  <c r="MX42" i="5"/>
  <c r="AKX42" i="5"/>
  <c r="AGQ44" i="5"/>
  <c r="AFA39" i="5"/>
  <c r="CE40" i="5"/>
  <c r="MQ40" i="5"/>
  <c r="XC40" i="5"/>
  <c r="AHO40" i="5"/>
  <c r="FO41" i="5"/>
  <c r="RL41" i="5"/>
  <c r="AFY41" i="5"/>
  <c r="JI42" i="5"/>
  <c r="AHF42" i="5"/>
  <c r="MV44" i="5"/>
  <c r="AFB39" i="5"/>
  <c r="CF40" i="5"/>
  <c r="MR40" i="5"/>
  <c r="XD40" i="5"/>
  <c r="AHP40" i="5"/>
  <c r="EY41" i="5"/>
  <c r="QS41" i="5"/>
  <c r="AEY41" i="5"/>
  <c r="IN42" i="5"/>
  <c r="AHG42" i="5"/>
  <c r="MW44" i="5"/>
  <c r="AFC39" i="5"/>
  <c r="CG40" i="5"/>
  <c r="MS40" i="5"/>
  <c r="XE40" i="5"/>
  <c r="AHQ40" i="5"/>
  <c r="EZ41" i="5"/>
  <c r="QT41" i="5"/>
  <c r="AGA41" i="5"/>
  <c r="ACJ42" i="5"/>
  <c r="BW45" i="5"/>
  <c r="ADA42" i="5"/>
  <c r="XW43" i="5"/>
  <c r="AJK42" i="5"/>
  <c r="AIF43" i="5"/>
  <c r="SA42" i="5"/>
  <c r="DE43" i="5"/>
  <c r="AJA44" i="5"/>
  <c r="ADD42" i="5"/>
  <c r="WT43" i="5"/>
  <c r="ALC41" i="5"/>
  <c r="ZM42" i="5"/>
  <c r="SI43" i="5"/>
  <c r="ALT41" i="5"/>
  <c r="ST42" i="5"/>
  <c r="IS43" i="5"/>
  <c r="IG41" i="5"/>
  <c r="JO42" i="5"/>
  <c r="SK43" i="5"/>
  <c r="ABJ41" i="5"/>
  <c r="XT42" i="5"/>
  <c r="SU41" i="5"/>
  <c r="ACB41" i="5"/>
  <c r="AIH43" i="5"/>
  <c r="FA44" i="5"/>
  <c r="RS49" i="5"/>
  <c r="YT43" i="5"/>
  <c r="BQ45" i="5"/>
  <c r="II46" i="5"/>
  <c r="RC46" i="5"/>
  <c r="AIR40" i="5"/>
  <c r="FL41" i="5"/>
  <c r="QO41" i="5"/>
  <c r="ADZ41" i="5"/>
  <c r="GF42" i="5"/>
  <c r="AAL42" i="5"/>
  <c r="XI43" i="5"/>
  <c r="PA40" i="5"/>
  <c r="YW40" i="5"/>
  <c r="AIS40" i="5"/>
  <c r="FM41" i="5"/>
  <c r="QP41" i="5"/>
  <c r="AEA41" i="5"/>
  <c r="GG42" i="5"/>
  <c r="AAM42" i="5"/>
  <c r="XJ43" i="5"/>
  <c r="KD40" i="5"/>
  <c r="TZ40" i="5"/>
  <c r="ADV40" i="5"/>
  <c r="AJ41" i="5"/>
  <c r="KU41" i="5"/>
  <c r="XG41" i="5"/>
  <c r="ALR41" i="5"/>
  <c r="PJ42" i="5"/>
  <c r="CW43" i="5"/>
  <c r="VU39" i="5"/>
  <c r="AGG39" i="5"/>
  <c r="DK40" i="5"/>
  <c r="NW40" i="5"/>
  <c r="YY40" i="5"/>
  <c r="AJK40" i="5"/>
  <c r="GW41" i="5"/>
  <c r="TD41" i="5"/>
  <c r="AHW41" i="5"/>
  <c r="LS42" i="5"/>
  <c r="AKY42" i="5"/>
  <c r="AFU45" i="5"/>
  <c r="AGH39" i="5"/>
  <c r="DL40" i="5"/>
  <c r="NX40" i="5"/>
  <c r="YJ40" i="5"/>
  <c r="AIV40" i="5"/>
  <c r="GG41" i="5"/>
  <c r="SK41" i="5"/>
  <c r="AHX41" i="5"/>
  <c r="LT42" i="5"/>
  <c r="ALO42" i="5"/>
  <c r="AJK45" i="5"/>
  <c r="AGI39" i="5"/>
  <c r="DM40" i="5"/>
  <c r="NY40" i="5"/>
  <c r="YK40" i="5"/>
  <c r="AIW40" i="5"/>
  <c r="GH41" i="5"/>
  <c r="SL41" i="5"/>
  <c r="AKY41" i="5"/>
  <c r="AFX42" i="5"/>
  <c r="RW45" i="5"/>
  <c r="ALE42" i="5"/>
  <c r="AAI43" i="5"/>
  <c r="ALF42" i="5"/>
  <c r="AMH43" i="5"/>
  <c r="ZK42" i="5"/>
  <c r="HU43" i="5"/>
  <c r="KX45" i="5"/>
  <c r="AEJ42" i="5"/>
  <c r="AES43" i="5"/>
  <c r="GK42" i="5"/>
  <c r="AAS42" i="5"/>
  <c r="VW43" i="5"/>
  <c r="R42" i="5"/>
  <c r="YX42" i="5"/>
  <c r="LN43" i="5"/>
  <c r="JM41" i="5"/>
  <c r="KU42" i="5"/>
  <c r="US43" i="5"/>
  <c r="D42" i="5"/>
  <c r="AEN42" i="5"/>
  <c r="UA41" i="5"/>
  <c r="ADH41" i="5"/>
  <c r="ZL46" i="5"/>
  <c r="DZ45" i="5"/>
  <c r="RX43" i="5"/>
  <c r="ZZ43" i="5"/>
  <c r="ER45" i="5"/>
  <c r="PN42" i="5"/>
  <c r="KF43" i="5"/>
  <c r="AU45" i="5"/>
  <c r="SO42" i="5"/>
  <c r="AGC42" i="5"/>
  <c r="IN43" i="5"/>
  <c r="ADH43" i="5"/>
  <c r="ABF42" i="5"/>
  <c r="BI43" i="5"/>
  <c r="WR43" i="5"/>
  <c r="AIS44" i="5"/>
  <c r="SQ42" i="5"/>
  <c r="AEI42" i="5"/>
  <c r="IP43" i="5"/>
  <c r="ADJ43" i="5"/>
  <c r="KB42" i="5"/>
  <c r="VT42" i="5"/>
  <c r="AJM42" i="5"/>
  <c r="PF43" i="5"/>
  <c r="KW44" i="5"/>
  <c r="A42" i="5"/>
  <c r="PA42" i="5"/>
  <c r="ABY42" i="5"/>
  <c r="FG43" i="5"/>
  <c r="AGM43" i="5"/>
  <c r="ADT41" i="5"/>
  <c r="DZ42" i="5"/>
  <c r="TJ42" i="5"/>
  <c r="AGX42" i="5"/>
  <c r="QJ43" i="5"/>
  <c r="ZI44" i="5"/>
  <c r="QW41" i="5"/>
  <c r="ALU41" i="5"/>
  <c r="TK42" i="5"/>
  <c r="DN43" i="5"/>
  <c r="LS44" i="5"/>
  <c r="ACP41" i="5"/>
  <c r="KV42" i="5"/>
  <c r="AFT42" i="5"/>
  <c r="XF43" i="5"/>
  <c r="AFS41" i="5"/>
  <c r="JA43" i="5"/>
  <c r="AAX42" i="5"/>
  <c r="AIX43" i="5"/>
  <c r="MC44" i="5"/>
  <c r="FO45" i="5"/>
  <c r="AIM43" i="5"/>
  <c r="OF44" i="5"/>
  <c r="BN45" i="5"/>
  <c r="ADF44" i="5"/>
  <c r="XC45" i="5"/>
  <c r="AG45" i="5"/>
  <c r="SG46" i="5"/>
  <c r="RD42" i="5"/>
  <c r="MT43" i="5"/>
  <c r="JK45" i="5"/>
  <c r="TE42" i="5"/>
  <c r="AGS42" i="5"/>
  <c r="JI43" i="5"/>
  <c r="AEP43" i="5"/>
  <c r="ABV42" i="5"/>
  <c r="EY43" i="5"/>
  <c r="XX43" i="5"/>
  <c r="CG45" i="5"/>
  <c r="TG42" i="5"/>
  <c r="AEY42" i="5"/>
  <c r="JP43" i="5"/>
  <c r="AER43" i="5"/>
  <c r="KR42" i="5"/>
  <c r="WJ42" i="5"/>
  <c r="AKH42" i="5"/>
  <c r="QB43" i="5"/>
  <c r="OT44" i="5"/>
  <c r="CS42" i="5"/>
  <c r="PQ42" i="5"/>
  <c r="ACO42" i="5"/>
  <c r="JR43" i="5"/>
  <c r="AIJ43" i="5"/>
  <c r="AEZ41" i="5"/>
  <c r="HB42" i="5"/>
  <c r="TZ42" i="5"/>
  <c r="AHN42" i="5"/>
  <c r="RF43" i="5"/>
  <c r="AEP44" i="5"/>
  <c r="RM41" i="5"/>
  <c r="C42" i="5"/>
  <c r="UA42" i="5"/>
  <c r="EI43" i="5"/>
  <c r="PO44" i="5"/>
  <c r="ADF41" i="5"/>
  <c r="LL42" i="5"/>
  <c r="AGJ42" i="5"/>
  <c r="YL43" i="5"/>
  <c r="AKQ41" i="5"/>
  <c r="JV43" i="5"/>
  <c r="ABN42" i="5"/>
  <c r="AJN43" i="5"/>
  <c r="MZ44" i="5"/>
  <c r="YF45" i="5"/>
  <c r="AJC43" i="5"/>
  <c r="PB44" i="5"/>
  <c r="DC45" i="5"/>
  <c r="QX45" i="5"/>
  <c r="ZK45" i="5"/>
  <c r="BR45" i="5"/>
  <c r="IV45" i="5"/>
  <c r="SL42" i="5"/>
  <c r="OV43" i="5"/>
  <c r="RI45" i="5"/>
  <c r="TU42" i="5"/>
  <c r="AHI42" i="5"/>
  <c r="KI43" i="5"/>
  <c r="AFX43" i="5"/>
  <c r="ACL42" i="5"/>
  <c r="FY43" i="5"/>
  <c r="ZD43" i="5"/>
  <c r="KW45" i="5"/>
  <c r="TW42" i="5"/>
  <c r="AHK42" i="5"/>
  <c r="KK43" i="5"/>
  <c r="AGJ43" i="5"/>
  <c r="LH42" i="5"/>
  <c r="WZ42" i="5"/>
  <c r="ALH42" i="5"/>
  <c r="RD43" i="5"/>
  <c r="TK44" i="5"/>
  <c r="DI42" i="5"/>
  <c r="QG42" i="5"/>
  <c r="ADE42" i="5"/>
  <c r="KM43" i="5"/>
  <c r="AKT43" i="5"/>
  <c r="AFP41" i="5"/>
  <c r="HR42" i="5"/>
  <c r="VF42" i="5"/>
  <c r="AIE42" i="5"/>
  <c r="TN43" i="5"/>
  <c r="AJX44" i="5"/>
  <c r="SC41" i="5"/>
  <c r="S42" i="5"/>
  <c r="UQ42" i="5"/>
  <c r="FI43" i="5"/>
  <c r="UH44" i="5"/>
  <c r="AEL41" i="5"/>
  <c r="MB42" i="5"/>
  <c r="AGZ42" i="5"/>
  <c r="ZR43" i="5"/>
  <c r="ALG41" i="5"/>
  <c r="KV43" i="5"/>
  <c r="ACD42" i="5"/>
  <c r="DX44" i="5"/>
  <c r="OB44" i="5"/>
  <c r="AAO45" i="5"/>
  <c r="AJS43" i="5"/>
  <c r="AJH44" i="5"/>
  <c r="EO45" i="5"/>
  <c r="ST45" i="5"/>
  <c r="AIE45" i="5"/>
  <c r="DG45" i="5"/>
  <c r="CB45" i="5"/>
  <c r="TT42" i="5"/>
  <c r="RU43" i="5"/>
  <c r="EE46" i="5"/>
  <c r="WG42" i="5"/>
  <c r="AHY42" i="5"/>
  <c r="LD43" i="5"/>
  <c r="AIE43" i="5"/>
  <c r="ADB42" i="5"/>
  <c r="GT43" i="5"/>
  <c r="AAJ43" i="5"/>
  <c r="TN45" i="5"/>
  <c r="UM42" i="5"/>
  <c r="AIB42" i="5"/>
  <c r="LK43" i="5"/>
  <c r="AIG43" i="5"/>
  <c r="LX42" i="5"/>
  <c r="ZL42" i="5"/>
  <c r="U43" i="5"/>
  <c r="SH43" i="5"/>
  <c r="YF44" i="5"/>
  <c r="DY42" i="5"/>
  <c r="QW42" i="5"/>
  <c r="ADU42" i="5"/>
  <c r="LM43" i="5"/>
  <c r="O44" i="5"/>
  <c r="AGF41" i="5"/>
  <c r="IH42" i="5"/>
  <c r="VV42" i="5"/>
  <c r="AIW42" i="5"/>
  <c r="UR43" i="5"/>
  <c r="EX45" i="5"/>
  <c r="SS41" i="5"/>
  <c r="AI42" i="5"/>
  <c r="VG42" i="5"/>
  <c r="GD43" i="5"/>
  <c r="ZJ44" i="5"/>
  <c r="AFB41" i="5"/>
  <c r="MR42" i="5"/>
  <c r="AHP42" i="5"/>
  <c r="AAY43" i="5"/>
  <c r="ALW41" i="5"/>
  <c r="TQ43" i="5"/>
  <c r="ACT42" i="5"/>
  <c r="EX44" i="5"/>
  <c r="OX44" i="5"/>
  <c r="ABB43" i="5"/>
  <c r="AKJ43" i="5"/>
  <c r="AKN44" i="5"/>
  <c r="JB45" i="5"/>
  <c r="UO45" i="5"/>
  <c r="AKL42" i="5"/>
  <c r="ES45" i="5"/>
  <c r="CU45" i="5"/>
  <c r="VK42" i="5"/>
  <c r="UX43" i="5"/>
  <c r="KB44" i="5"/>
  <c r="WW42" i="5"/>
  <c r="AIP42" i="5"/>
  <c r="MD43" i="5"/>
  <c r="AKB43" i="5"/>
  <c r="AFN42" i="5"/>
  <c r="HT43" i="5"/>
  <c r="ACA43" i="5"/>
  <c r="SZ46" i="5"/>
  <c r="VC42" i="5"/>
  <c r="AIT42" i="5"/>
  <c r="MF43" i="5"/>
  <c r="AKF43" i="5"/>
  <c r="MN42" i="5"/>
  <c r="AAB42" i="5"/>
  <c r="AP43" i="5"/>
  <c r="TL43" i="5"/>
  <c r="ADT44" i="5"/>
  <c r="EO42" i="5"/>
  <c r="RM42" i="5"/>
  <c r="AEK42" i="5"/>
  <c r="MH43" i="5"/>
  <c r="BR44" i="5"/>
  <c r="AGV41" i="5"/>
  <c r="IX42" i="5"/>
  <c r="WL42" i="5"/>
  <c r="AJO42" i="5"/>
  <c r="VX43" i="5"/>
  <c r="VJ45" i="5"/>
  <c r="TI41" i="5"/>
  <c r="AY42" i="5"/>
  <c r="VW42" i="5"/>
  <c r="HD43" i="5"/>
  <c r="ALD44" i="5"/>
  <c r="AFR41" i="5"/>
  <c r="NH42" i="5"/>
  <c r="AIG42" i="5"/>
  <c r="ACG43" i="5"/>
  <c r="E42" i="5"/>
  <c r="UU43" i="5"/>
  <c r="ADJ42" i="5"/>
  <c r="VM44" i="5"/>
  <c r="PZ44" i="5"/>
  <c r="ABR43" i="5"/>
  <c r="D44" i="5"/>
  <c r="ALW44" i="5"/>
  <c r="ABS45" i="5"/>
  <c r="WL45" i="5"/>
  <c r="CB43" i="5"/>
  <c r="JI45" i="5"/>
  <c r="KN45" i="5"/>
  <c r="AQ42" i="5"/>
  <c r="WS42" i="5"/>
  <c r="XV43" i="5"/>
  <c r="NR44" i="5"/>
  <c r="XM42" i="5"/>
  <c r="AJJ42" i="5"/>
  <c r="MY43" i="5"/>
  <c r="AMF43" i="5"/>
  <c r="AGD42" i="5"/>
  <c r="IO43" i="5"/>
  <c r="ADI43" i="5"/>
  <c r="KA42" i="5"/>
  <c r="XO42" i="5"/>
  <c r="AJL42" i="5"/>
  <c r="NG43" i="5"/>
  <c r="A44" i="5"/>
  <c r="ND42" i="5"/>
  <c r="AAR42" i="5"/>
  <c r="BP43" i="5"/>
  <c r="UI43" i="5"/>
  <c r="AFO41" i="5"/>
  <c r="FE42" i="5"/>
  <c r="SC42" i="5"/>
  <c r="AID42" i="5"/>
  <c r="NI43" i="5"/>
  <c r="DZ44" i="5"/>
  <c r="AJX41" i="5"/>
  <c r="JN42" i="5"/>
  <c r="XB42" i="5"/>
  <c r="AR43" i="5"/>
  <c r="XD43" i="5"/>
  <c r="BE47" i="5"/>
  <c r="TY41" i="5"/>
  <c r="BO42" i="5"/>
  <c r="WM42" i="5"/>
  <c r="HY43" i="5"/>
  <c r="EY45" i="5"/>
  <c r="AGH41" i="5"/>
  <c r="NX42" i="5"/>
  <c r="AIY42" i="5"/>
  <c r="ADX43" i="5"/>
  <c r="U42" i="5"/>
  <c r="LU44" i="5"/>
  <c r="ADZ42" i="5"/>
  <c r="WN44" i="5"/>
  <c r="ST44" i="5"/>
  <c r="ACH43" i="5"/>
  <c r="GX44" i="5"/>
  <c r="AB45" i="5"/>
  <c r="AEV45" i="5"/>
  <c r="AEW45" i="5"/>
  <c r="VT43" i="5"/>
  <c r="L46" i="5"/>
  <c r="AKD45" i="5"/>
  <c r="YG39" i="5"/>
  <c r="AIC39" i="5"/>
  <c r="EQ40" i="5"/>
  <c r="OM40" i="5"/>
  <c r="YI40" i="5"/>
  <c r="AIE40" i="5"/>
  <c r="EX41" i="5"/>
  <c r="PX41" i="5"/>
  <c r="ADC41" i="5"/>
  <c r="FM42" i="5"/>
  <c r="ZG42" i="5"/>
  <c r="UE43" i="5"/>
  <c r="AAT39" i="5"/>
  <c r="AKP39" i="5"/>
  <c r="HD40" i="5"/>
  <c r="QZ40" i="5"/>
  <c r="AAV40" i="5"/>
  <c r="AKR40" i="5"/>
  <c r="HO41" i="5"/>
  <c r="TE41" i="5"/>
  <c r="AHB41" i="5"/>
  <c r="JJ42" i="5"/>
  <c r="AFW42" i="5"/>
  <c r="AJP43" i="5"/>
  <c r="ADG39" i="5"/>
  <c r="U40" i="5"/>
  <c r="JQ40" i="5"/>
  <c r="TM40" i="5"/>
  <c r="ADI40" i="5"/>
  <c r="W41" i="5"/>
  <c r="KG41" i="5"/>
  <c r="XJ41" i="5"/>
  <c r="BS42" i="5"/>
  <c r="YA42" i="5"/>
  <c r="ABN43" i="5"/>
  <c r="AHW44" i="5"/>
  <c r="YC42" i="5"/>
  <c r="AKE42" i="5"/>
  <c r="OA43" i="5"/>
  <c r="BB44" i="5"/>
  <c r="AGT42" i="5"/>
  <c r="JO43" i="5"/>
  <c r="AEQ43" i="5"/>
  <c r="KQ42" i="5"/>
  <c r="YE42" i="5"/>
  <c r="AKG42" i="5"/>
  <c r="OC43" i="5"/>
  <c r="BP44" i="5"/>
  <c r="PP42" i="5"/>
  <c r="ABH42" i="5"/>
  <c r="CK43" i="5"/>
  <c r="VN43" i="5"/>
  <c r="AGE41" i="5"/>
  <c r="FU42" i="5"/>
  <c r="SS42" i="5"/>
  <c r="AIV42" i="5"/>
  <c r="OE43" i="5"/>
  <c r="KX44" i="5"/>
  <c r="AKN41" i="5"/>
  <c r="KD42" i="5"/>
  <c r="XR42" i="5"/>
  <c r="BR43" i="5"/>
  <c r="YJ43" i="5"/>
  <c r="FE41" i="5"/>
  <c r="AAC41" i="5"/>
  <c r="HS42" i="5"/>
  <c r="ACQ42" i="5"/>
  <c r="RG43" i="5"/>
  <c r="QX41" i="5"/>
  <c r="ALV41" i="5"/>
  <c r="TL42" i="5"/>
  <c r="EJ43" i="5"/>
  <c r="FH45" i="5"/>
  <c r="JQ42" i="5"/>
  <c r="AAV41" i="5"/>
  <c r="RQ43" i="5"/>
  <c r="PA46" i="5"/>
  <c r="ADQ45" i="5"/>
  <c r="RZ44" i="5"/>
  <c r="IR45" i="5"/>
  <c r="RI43" i="5"/>
  <c r="LV43" i="5"/>
  <c r="KA43" i="5"/>
  <c r="AF45" i="5"/>
  <c r="MS44" i="5"/>
  <c r="KC41" i="5"/>
  <c r="UO41" i="5"/>
  <c r="AFA41" i="5"/>
  <c r="CE42" i="5"/>
  <c r="MQ42" i="5"/>
  <c r="XC42" i="5"/>
  <c r="AHO42" i="5"/>
  <c r="JT43" i="5"/>
  <c r="ACF43" i="5"/>
  <c r="MY45" i="5"/>
  <c r="WL41" i="5"/>
  <c r="AGX41" i="5"/>
  <c r="EB42" i="5"/>
  <c r="ON42" i="5"/>
  <c r="YZ42" i="5"/>
  <c r="AJQ42" i="5"/>
  <c r="LP43" i="5"/>
  <c r="EV44" i="5"/>
  <c r="VG41" i="5"/>
  <c r="AK42" i="5"/>
  <c r="XU42" i="5"/>
  <c r="PQ44" i="5"/>
  <c r="AKR41" i="5"/>
  <c r="AEP42" i="5"/>
  <c r="AFV45" i="5"/>
  <c r="XK44" i="5"/>
  <c r="FJ45" i="5"/>
  <c r="ABV44" i="5"/>
  <c r="FV44" i="5"/>
  <c r="ACX43" i="5"/>
  <c r="ABH45" i="5"/>
  <c r="HS44" i="5"/>
  <c r="SN43" i="5"/>
  <c r="EC45" i="5"/>
  <c r="CB44" i="5"/>
  <c r="ALP42" i="5"/>
  <c r="AIP43" i="5"/>
  <c r="AIC45" i="5"/>
  <c r="AHK43" i="5"/>
  <c r="WJ43" i="5"/>
  <c r="AJW42" i="5"/>
  <c r="EC46" i="5"/>
  <c r="ALN46" i="5"/>
  <c r="ALG45" i="5"/>
  <c r="JS43" i="5"/>
  <c r="ACE43" i="5"/>
  <c r="MM45" i="5"/>
  <c r="KS41" i="5"/>
  <c r="VE41" i="5"/>
  <c r="AFQ41" i="5"/>
  <c r="CU42" i="5"/>
  <c r="NG42" i="5"/>
  <c r="XS42" i="5"/>
  <c r="AIX42" i="5"/>
  <c r="KO43" i="5"/>
  <c r="ADW43" i="5"/>
  <c r="XJ45" i="5"/>
  <c r="XB41" i="5"/>
  <c r="AHN41" i="5"/>
  <c r="ER42" i="5"/>
  <c r="PD42" i="5"/>
  <c r="ZP42" i="5"/>
  <c r="AKQ42" i="5"/>
  <c r="MK43" i="5"/>
  <c r="IG44" i="5"/>
  <c r="VW41" i="5"/>
  <c r="BA42" i="5"/>
  <c r="YK42" i="5"/>
  <c r="UO44" i="5"/>
  <c r="HF42" i="5"/>
  <c r="AKS42" i="5"/>
  <c r="AJM45" i="5"/>
  <c r="YO44" i="5"/>
  <c r="GY45" i="5"/>
  <c r="ACS44" i="5"/>
  <c r="GV44" i="5"/>
  <c r="AET43" i="5"/>
  <c r="ADX45" i="5"/>
  <c r="ZX44" i="5"/>
  <c r="ZX43" i="5"/>
  <c r="FR45" i="5"/>
  <c r="CT44" i="5"/>
  <c r="AMF42" i="5"/>
  <c r="AJF43" i="5"/>
  <c r="ALX45" i="5"/>
  <c r="AIA43" i="5"/>
  <c r="YF43" i="5"/>
  <c r="SS43" i="5"/>
  <c r="EP43" i="5"/>
  <c r="V47" i="5"/>
  <c r="G46" i="5"/>
  <c r="LI41" i="5"/>
  <c r="VU41" i="5"/>
  <c r="AGG41" i="5"/>
  <c r="DK42" i="5"/>
  <c r="NW42" i="5"/>
  <c r="YY42" i="5"/>
  <c r="AJP42" i="5"/>
  <c r="LO43" i="5"/>
  <c r="AFE43" i="5"/>
  <c r="HN47" i="5"/>
  <c r="XR41" i="5"/>
  <c r="AID41" i="5"/>
  <c r="FH42" i="5"/>
  <c r="PT42" i="5"/>
  <c r="AAF42" i="5"/>
  <c r="ALL42" i="5"/>
  <c r="NL43" i="5"/>
  <c r="LT44" i="5"/>
  <c r="AAU41" i="5"/>
  <c r="BQ42" i="5"/>
  <c r="ZA42" i="5"/>
  <c r="AAM44" i="5"/>
  <c r="HV42" i="5"/>
  <c r="ALN42" i="5"/>
  <c r="AM46" i="5"/>
  <c r="ABM44" i="5"/>
  <c r="IK45" i="5"/>
  <c r="NB45" i="5"/>
  <c r="QW44" i="5"/>
  <c r="AFJ43" i="5"/>
  <c r="AHG45" i="5"/>
  <c r="AAU44" i="5"/>
  <c r="AAN43" i="5"/>
  <c r="HD45" i="5"/>
  <c r="DN44" i="5"/>
  <c r="BJ43" i="5"/>
  <c r="KM44" i="5"/>
  <c r="MY47" i="5"/>
  <c r="AIQ43" i="5"/>
  <c r="YV43" i="5"/>
  <c r="TI43" i="5"/>
  <c r="FF43" i="5"/>
  <c r="ADZ45" i="5"/>
  <c r="AG46" i="5"/>
  <c r="LY41" i="5"/>
  <c r="WK41" i="5"/>
  <c r="AGW41" i="5"/>
  <c r="EA42" i="5"/>
  <c r="PC42" i="5"/>
  <c r="ZO42" i="5"/>
  <c r="AKP42" i="5"/>
  <c r="MJ43" i="5"/>
  <c r="AGY43" i="5"/>
  <c r="NV41" i="5"/>
  <c r="YH41" i="5"/>
  <c r="AIT41" i="5"/>
  <c r="FX42" i="5"/>
  <c r="QJ42" i="5"/>
  <c r="AAV42" i="5"/>
  <c r="D43" i="5"/>
  <c r="ON43" i="5"/>
  <c r="PP44" i="5"/>
  <c r="ABK41" i="5"/>
  <c r="CG42" i="5"/>
  <c r="ZQ42" i="5"/>
  <c r="AFT44" i="5"/>
  <c r="IL42" i="5"/>
  <c r="MR43" i="5"/>
  <c r="PO47" i="5"/>
  <c r="ACQ44" i="5"/>
  <c r="JZ45" i="5"/>
  <c r="OO45" i="5"/>
  <c r="RY44" i="5"/>
  <c r="AFZ43" i="5"/>
  <c r="ALJ45" i="5"/>
  <c r="AFD44" i="5"/>
  <c r="E44" i="5"/>
  <c r="YI45" i="5"/>
  <c r="EJ44" i="5"/>
  <c r="BZ43" i="5"/>
  <c r="LM44" i="5"/>
  <c r="XZ47" i="5"/>
  <c r="AJG43" i="5"/>
  <c r="ZL43" i="5"/>
  <c r="TY43" i="5"/>
  <c r="ALK43" i="5"/>
  <c r="ABW45" i="5"/>
  <c r="BI46" i="5"/>
  <c r="ZF43" i="5"/>
  <c r="AJV44" i="5"/>
  <c r="Q42" i="5"/>
  <c r="KC42" i="5"/>
  <c r="UO42" i="5"/>
  <c r="AFQ42" i="5"/>
  <c r="GB43" i="5"/>
  <c r="XC43" i="5"/>
  <c r="YN44" i="5"/>
  <c r="AHL41" i="5"/>
  <c r="EP42" i="5"/>
  <c r="PB42" i="5"/>
  <c r="ZN42" i="5"/>
  <c r="AKO42" i="5"/>
  <c r="MI43" i="5"/>
  <c r="AGN43" i="5"/>
  <c r="CC41" i="5"/>
  <c r="MO41" i="5"/>
  <c r="XA41" i="5"/>
  <c r="AHM41" i="5"/>
  <c r="FG42" i="5"/>
  <c r="PS42" i="5"/>
  <c r="AAE42" i="5"/>
  <c r="ALK42" i="5"/>
  <c r="NK43" i="5"/>
  <c r="AIV43" i="5"/>
  <c r="OL41" i="5"/>
  <c r="YX41" i="5"/>
  <c r="AJJ41" i="5"/>
  <c r="GN42" i="5"/>
  <c r="QZ42" i="5"/>
  <c r="ABL42" i="5"/>
  <c r="Y43" i="5"/>
  <c r="PJ43" i="5"/>
  <c r="UI44" i="5"/>
  <c r="ACA41" i="5"/>
  <c r="HE42" i="5"/>
  <c r="AFE42" i="5"/>
  <c r="ALF44" i="5"/>
  <c r="JB42" i="5"/>
  <c r="NN43" i="5"/>
  <c r="AGO47" i="5"/>
  <c r="ADU44" i="5"/>
  <c r="LL45" i="5"/>
  <c r="TU45" i="5"/>
  <c r="AKK44" i="5"/>
  <c r="ALS43" i="5"/>
  <c r="BV46" i="5"/>
  <c r="AGB44" i="5"/>
  <c r="X44" i="5"/>
  <c r="ABJ45" i="5"/>
  <c r="FE44" i="5"/>
  <c r="CP43" i="5"/>
  <c r="MJ44" i="5"/>
  <c r="HO43" i="5"/>
  <c r="IW44" i="5"/>
  <c r="AAB43" i="5"/>
  <c r="UO43" i="5"/>
  <c r="AMC43" i="5"/>
  <c r="BC46" i="5"/>
  <c r="YK44" i="5"/>
  <c r="AHY41" i="5"/>
  <c r="KO42" i="5"/>
  <c r="AHH42" i="5"/>
  <c r="DB44" i="5"/>
  <c r="RO44" i="5"/>
  <c r="UK42" i="5"/>
  <c r="AEG42" i="5"/>
  <c r="DC43" i="5"/>
  <c r="SE43" i="5"/>
  <c r="DF44" i="5"/>
  <c r="ADR42" i="5"/>
  <c r="CI43" i="5"/>
  <c r="RB43" i="5"/>
  <c r="BD44" i="5"/>
  <c r="LW42" i="5"/>
  <c r="VS42" i="5"/>
  <c r="AFO42" i="5"/>
  <c r="EZ43" i="5"/>
  <c r="UH43" i="5"/>
  <c r="KV44" i="5"/>
  <c r="NT42" i="5"/>
  <c r="XP42" i="5"/>
  <c r="AHL42" i="5"/>
  <c r="IQ43" i="5"/>
  <c r="AAU43" i="5"/>
  <c r="DJ45" i="5"/>
  <c r="AG42" i="5"/>
  <c r="KS42" i="5"/>
  <c r="VU42" i="5"/>
  <c r="AGG42" i="5"/>
  <c r="GW43" i="5"/>
  <c r="YI43" i="5"/>
  <c r="AEO44" i="5"/>
  <c r="AIB41" i="5"/>
  <c r="FF42" i="5"/>
  <c r="PR42" i="5"/>
  <c r="AAD42" i="5"/>
  <c r="ALJ42" i="5"/>
  <c r="NJ43" i="5"/>
  <c r="AIU43" i="5"/>
  <c r="CS41" i="5"/>
  <c r="NE41" i="5"/>
  <c r="XQ41" i="5"/>
  <c r="AIS41" i="5"/>
  <c r="FW42" i="5"/>
  <c r="QI42" i="5"/>
  <c r="AAU42" i="5"/>
  <c r="C43" i="5"/>
  <c r="OM43" i="5"/>
  <c r="AKV43" i="5"/>
  <c r="PB41" i="5"/>
  <c r="ZN41" i="5"/>
  <c r="AJZ41" i="5"/>
  <c r="HD42" i="5"/>
  <c r="RP42" i="5"/>
  <c r="ACB42" i="5"/>
  <c r="AY43" i="5"/>
  <c r="QL43" i="5"/>
  <c r="ZK44" i="5"/>
  <c r="ACQ41" i="5"/>
  <c r="HU42" i="5"/>
  <c r="AFU42" i="5"/>
  <c r="GJ45" i="5"/>
  <c r="JR42" i="5"/>
  <c r="OP43" i="5"/>
  <c r="AFE48" i="5"/>
  <c r="AV45" i="5"/>
  <c r="NA45" i="5"/>
  <c r="WD45" i="5"/>
  <c r="ALM44" i="5"/>
  <c r="C44" i="5"/>
  <c r="GO46" i="5"/>
  <c r="AHF44" i="5"/>
  <c r="AP44" i="5"/>
  <c r="PM43" i="5"/>
  <c r="QE44" i="5"/>
  <c r="DF43" i="5"/>
  <c r="NL44" i="5"/>
  <c r="IE43" i="5"/>
  <c r="QG44" i="5"/>
  <c r="AAR43" i="5"/>
  <c r="VE43" i="5"/>
  <c r="M44" i="5"/>
  <c r="EP46" i="5"/>
  <c r="GV45" i="5"/>
  <c r="AJA41" i="5"/>
  <c r="LU42" i="5"/>
  <c r="AJE42" i="5"/>
  <c r="MY44" i="5"/>
  <c r="XH44" i="5"/>
  <c r="VA42" i="5"/>
  <c r="AEW42" i="5"/>
  <c r="EC43" i="5"/>
  <c r="TB43" i="5"/>
  <c r="GM44" i="5"/>
  <c r="AEH42" i="5"/>
  <c r="DD43" i="5"/>
  <c r="SF43" i="5"/>
  <c r="DU44" i="5"/>
  <c r="MM42" i="5"/>
  <c r="WI42" i="5"/>
  <c r="AGE42" i="5"/>
  <c r="FZ43" i="5"/>
  <c r="VM43" i="5"/>
  <c r="OS44" i="5"/>
  <c r="OJ42" i="5"/>
  <c r="YF42" i="5"/>
  <c r="AIC42" i="5"/>
  <c r="JQ43" i="5"/>
  <c r="ACC43" i="5"/>
  <c r="LJ45" i="5"/>
  <c r="AW42" i="5"/>
  <c r="LY42" i="5"/>
  <c r="WK42" i="5"/>
  <c r="AGW42" i="5"/>
  <c r="HW43" i="5"/>
  <c r="ZO43" i="5"/>
  <c r="AJW44" i="5"/>
  <c r="AIR41" i="5"/>
  <c r="FV42" i="5"/>
  <c r="QH42" i="5"/>
  <c r="AAT42" i="5"/>
  <c r="AME42" i="5"/>
  <c r="OF43" i="5"/>
  <c r="AKU43" i="5"/>
  <c r="DI41" i="5"/>
  <c r="NU41" i="5"/>
  <c r="YW41" i="5"/>
  <c r="AJI41" i="5"/>
  <c r="GM42" i="5"/>
  <c r="QY42" i="5"/>
  <c r="ABK42" i="5"/>
  <c r="X43" i="5"/>
  <c r="PI43" i="5"/>
  <c r="R44" i="5"/>
  <c r="PR41" i="5"/>
  <c r="AAD41" i="5"/>
  <c r="AKP41" i="5"/>
  <c r="HT42" i="5"/>
  <c r="SF42" i="5"/>
  <c r="ACR42" i="5"/>
  <c r="BT43" i="5"/>
  <c r="SL43" i="5"/>
  <c r="AFS44" i="5"/>
  <c r="ADG41" i="5"/>
  <c r="IK42" i="5"/>
  <c r="FK43" i="5"/>
  <c r="QJ41" i="5"/>
  <c r="KH42" i="5"/>
  <c r="PL43" i="5"/>
  <c r="AGL43" i="5"/>
  <c r="CH45" i="5"/>
  <c r="ON45" i="5"/>
  <c r="YE45" i="5"/>
  <c r="O45" i="5"/>
  <c r="QB44" i="5"/>
  <c r="UY43" i="5"/>
  <c r="AIJ44" i="5"/>
  <c r="BH44" i="5"/>
  <c r="QC43" i="5"/>
  <c r="RA44" i="5"/>
  <c r="DV43" i="5"/>
  <c r="PJ44" i="5"/>
  <c r="IU43" i="5"/>
  <c r="PK45" i="5"/>
  <c r="AKO43" i="5"/>
  <c r="VU43" i="5"/>
  <c r="EO44" i="5"/>
  <c r="FX46" i="5"/>
  <c r="HO45" i="5"/>
  <c r="VR41" i="5"/>
  <c r="AKC41" i="5"/>
  <c r="NA42" i="5"/>
  <c r="ALU42" i="5"/>
  <c r="AHU44" i="5"/>
  <c r="ACO44" i="5"/>
  <c r="VQ42" i="5"/>
  <c r="AFM42" i="5"/>
  <c r="EX43" i="5"/>
  <c r="UF43" i="5"/>
  <c r="KC44" i="5"/>
  <c r="AEX42" i="5"/>
  <c r="ED43" i="5"/>
  <c r="TC43" i="5"/>
  <c r="GP44" i="5"/>
  <c r="NC42" i="5"/>
  <c r="WY42" i="5"/>
  <c r="AGU42" i="5"/>
  <c r="GU43" i="5"/>
  <c r="WS43" i="5"/>
  <c r="SQ44" i="5"/>
  <c r="OZ42" i="5"/>
  <c r="YV42" i="5"/>
  <c r="AIU42" i="5"/>
  <c r="KL43" i="5"/>
  <c r="ADK43" i="5"/>
  <c r="VH45" i="5"/>
  <c r="CC42" i="5"/>
  <c r="MO42" i="5"/>
  <c r="XA42" i="5"/>
  <c r="AHM42" i="5"/>
  <c r="IR43" i="5"/>
  <c r="AAV43" i="5"/>
  <c r="DV45" i="5"/>
  <c r="AJH41" i="5"/>
  <c r="GL42" i="5"/>
  <c r="QX42" i="5"/>
  <c r="ABJ42" i="5"/>
  <c r="W43" i="5"/>
  <c r="PH43" i="5"/>
  <c r="P44" i="5"/>
  <c r="DY41" i="5"/>
  <c r="PA41" i="5"/>
  <c r="ZM41" i="5"/>
  <c r="AJY41" i="5"/>
  <c r="HC42" i="5"/>
  <c r="RO42" i="5"/>
  <c r="ACA42" i="5"/>
  <c r="AS43" i="5"/>
  <c r="QK43" i="5"/>
  <c r="BV44" i="5"/>
  <c r="QH41" i="5"/>
  <c r="AAT41" i="5"/>
  <c r="ALF41" i="5"/>
  <c r="IJ42" i="5"/>
  <c r="SV42" i="5"/>
  <c r="ADH42" i="5"/>
  <c r="DO43" i="5"/>
  <c r="TP43" i="5"/>
  <c r="ALE44" i="5"/>
  <c r="ADW41" i="5"/>
  <c r="JA42" i="5"/>
  <c r="GF43" i="5"/>
  <c r="QZ41" i="5"/>
  <c r="KX42" i="5"/>
  <c r="QN43" i="5"/>
  <c r="AHB43" i="5"/>
  <c r="JY46" i="5"/>
  <c r="FH46" i="5"/>
  <c r="AAN45" i="5"/>
  <c r="AY45" i="5"/>
  <c r="QX44" i="5"/>
  <c r="VO43" i="5"/>
  <c r="AJG44" i="5"/>
  <c r="CA44" i="5"/>
  <c r="QS43" i="5"/>
  <c r="AKO44" i="5"/>
  <c r="JJ43" i="5"/>
  <c r="QF44" i="5"/>
  <c r="JK43" i="5"/>
  <c r="RA45" i="5"/>
  <c r="EM44" i="5"/>
  <c r="XQ43" i="5"/>
  <c r="FO44" i="5"/>
  <c r="HA46" i="5"/>
  <c r="NX45" i="5"/>
  <c r="WM41" i="5"/>
  <c r="AGI41" i="5"/>
  <c r="CW42" i="5"/>
  <c r="MS42" i="5"/>
  <c r="AGK42" i="5"/>
  <c r="WA43" i="5"/>
  <c r="RP41" i="5"/>
  <c r="ALH41" i="5"/>
  <c r="RR42" i="5"/>
  <c r="F43" i="5"/>
  <c r="AHC43" i="5"/>
  <c r="ZG48" i="5"/>
  <c r="FS44" i="5"/>
  <c r="DW45" i="5"/>
  <c r="YP44" i="5"/>
  <c r="PB46" i="5"/>
  <c r="ADW44" i="5"/>
  <c r="RK47" i="5"/>
  <c r="SU44" i="5"/>
  <c r="ADR45" i="5"/>
  <c r="U44" i="5"/>
  <c r="AJF44" i="5"/>
  <c r="WE43" i="5"/>
  <c r="IP44" i="5"/>
  <c r="QJ45" i="5"/>
  <c r="ABD43" i="5"/>
  <c r="QD44" i="5"/>
  <c r="AEU45" i="5"/>
  <c r="ABU43" i="5"/>
  <c r="SC44" i="5"/>
  <c r="AIB45" i="5"/>
  <c r="ML43" i="5"/>
  <c r="AJV43" i="5"/>
  <c r="AFH44" i="5"/>
  <c r="LI48" i="5"/>
  <c r="TW43" i="5"/>
  <c r="RI44" i="5"/>
  <c r="CR43" i="5"/>
  <c r="FM44" i="5"/>
  <c r="AKM42" i="5"/>
  <c r="CX44" i="5"/>
  <c r="FV43" i="5"/>
  <c r="ABB47" i="5"/>
  <c r="CC46" i="5"/>
  <c r="YV45" i="5"/>
  <c r="JA45" i="5"/>
  <c r="AFF43" i="5"/>
  <c r="XK45" i="5"/>
  <c r="XC41" i="5"/>
  <c r="AGY41" i="5"/>
  <c r="DM42" i="5"/>
  <c r="NI42" i="5"/>
  <c r="AHA42" i="5"/>
  <c r="XG43" i="5"/>
  <c r="SF41" i="5"/>
  <c r="ALX41" i="5"/>
  <c r="SH42" i="5"/>
  <c r="AA43" i="5"/>
  <c r="AIZ43" i="5"/>
  <c r="AAH45" i="5"/>
  <c r="GN44" i="5"/>
  <c r="IJ45" i="5"/>
  <c r="ZM44" i="5"/>
  <c r="UJ46" i="5"/>
  <c r="AEU44" i="5"/>
  <c r="V48" i="5"/>
  <c r="TR44" i="5"/>
  <c r="AHB45" i="5"/>
  <c r="BX44" i="5"/>
  <c r="AKL44" i="5"/>
  <c r="WU43" i="5"/>
  <c r="JN44" i="5"/>
  <c r="SC45" i="5"/>
  <c r="ABT43" i="5"/>
  <c r="SB44" i="5"/>
  <c r="BX46" i="5"/>
  <c r="ACK43" i="5"/>
  <c r="SZ44" i="5"/>
  <c r="ALV45" i="5"/>
  <c r="NB43" i="5"/>
  <c r="AKM43" i="5"/>
  <c r="AGK44" i="5"/>
  <c r="AKK42" i="5"/>
  <c r="VC43" i="5"/>
  <c r="SE44" i="5"/>
  <c r="DH43" i="5"/>
  <c r="GH44" i="5"/>
  <c r="ALC42" i="5"/>
  <c r="FN44" i="5"/>
  <c r="HR43" i="5"/>
  <c r="UM48" i="5"/>
  <c r="DK46" i="5"/>
  <c r="ZW45" i="5"/>
  <c r="PS47" i="5"/>
  <c r="AGZ43" i="5"/>
  <c r="PM47" i="5"/>
  <c r="XS41" i="5"/>
  <c r="AHO41" i="5"/>
  <c r="EC42" i="5"/>
  <c r="NY42" i="5"/>
  <c r="AHQ42" i="5"/>
  <c r="YM43" i="5"/>
  <c r="SV41" i="5"/>
  <c r="F42" i="5"/>
  <c r="SX42" i="5"/>
  <c r="BA43" i="5"/>
  <c r="ALL43" i="5"/>
  <c r="ACS45" i="5"/>
  <c r="HN44" i="5"/>
  <c r="JY45" i="5"/>
  <c r="AAQ44" i="5"/>
  <c r="ZM46" i="5"/>
  <c r="AFY44" i="5"/>
  <c r="A49" i="5"/>
  <c r="US44" i="5"/>
  <c r="AKP45" i="5"/>
  <c r="CP44" i="5"/>
  <c r="ALU44" i="5"/>
  <c r="XK43" i="5"/>
  <c r="KJ44" i="5"/>
  <c r="UL45" i="5"/>
  <c r="ACJ43" i="5"/>
  <c r="SX44" i="5"/>
  <c r="GQ46" i="5"/>
  <c r="ADQ43" i="5"/>
  <c r="UA44" i="5"/>
  <c r="CU46" i="5"/>
  <c r="NR43" i="5"/>
  <c r="ALE43" i="5"/>
  <c r="AHI44" i="5"/>
  <c r="ALA42" i="5"/>
  <c r="VS43" i="5"/>
  <c r="TG44" i="5"/>
  <c r="DX43" i="5"/>
  <c r="HC44" i="5"/>
  <c r="ALS42" i="5"/>
  <c r="GI44" i="5"/>
  <c r="IH43" i="5"/>
  <c r="AAK48" i="5"/>
  <c r="EN46" i="5"/>
  <c r="ABP46" i="5"/>
  <c r="QO47" i="5"/>
  <c r="AIW43" i="5"/>
  <c r="OM41" i="5"/>
  <c r="YI41" i="5"/>
  <c r="AIE41" i="5"/>
  <c r="ES42" i="5"/>
  <c r="OO42" i="5"/>
  <c r="AIH42" i="5"/>
  <c r="ZS43" i="5"/>
  <c r="TL41" i="5"/>
  <c r="V42" i="5"/>
  <c r="TN42" i="5"/>
  <c r="BV43" i="5"/>
  <c r="AG44" i="5"/>
  <c r="AGF45" i="5"/>
  <c r="II44" i="5"/>
  <c r="LK45" i="5"/>
  <c r="ABU44" i="5"/>
  <c r="AEU46" i="5"/>
  <c r="AJD44" i="5"/>
  <c r="AFY43" i="5"/>
  <c r="VP44" i="5"/>
  <c r="BU46" i="5"/>
  <c r="DI44" i="5"/>
  <c r="P45" i="5"/>
  <c r="YA43" i="5"/>
  <c r="NC44" i="5"/>
  <c r="WG45" i="5"/>
  <c r="ACZ43" i="5"/>
  <c r="TZ44" i="5"/>
  <c r="LK46" i="5"/>
  <c r="AEG43" i="5"/>
  <c r="UX44" i="5"/>
  <c r="WV46" i="5"/>
  <c r="OH43" i="5"/>
  <c r="ALW43" i="5"/>
  <c r="AIM44" i="5"/>
  <c r="ALQ42" i="5"/>
  <c r="WI43" i="5"/>
  <c r="UC44" i="5"/>
  <c r="FT43" i="5"/>
  <c r="IC44" i="5"/>
  <c r="A43" i="5"/>
  <c r="HD44" i="5"/>
  <c r="IX43" i="5"/>
  <c r="AGZ48" i="5"/>
  <c r="ABB46" i="5"/>
  <c r="ACT46" i="5"/>
  <c r="RL47" i="5"/>
  <c r="AKX43" i="5"/>
  <c r="PC41" i="5"/>
  <c r="YY41" i="5"/>
  <c r="AIU41" i="5"/>
  <c r="FI42" i="5"/>
  <c r="PE42" i="5"/>
  <c r="AIZ42" i="5"/>
  <c r="AAZ43" i="5"/>
  <c r="UB41" i="5"/>
  <c r="AL42" i="5"/>
  <c r="UD42" i="5"/>
  <c r="CV43" i="5"/>
  <c r="CK44" i="5"/>
  <c r="AKG45" i="5"/>
  <c r="JE44" i="5"/>
  <c r="MZ45" i="5"/>
  <c r="ACR44" i="5"/>
  <c r="AJY46" i="5"/>
  <c r="AKJ44" i="5"/>
  <c r="AGO43" i="5"/>
  <c r="WR44" i="5"/>
  <c r="GN46" i="5"/>
  <c r="EG44" i="5"/>
  <c r="AZ45" i="5"/>
  <c r="YQ43" i="5"/>
  <c r="PA44" i="5"/>
  <c r="YH45" i="5"/>
  <c r="ADP43" i="5"/>
  <c r="UW44" i="5"/>
  <c r="QM46" i="5"/>
  <c r="AEW43" i="5"/>
  <c r="VY44" i="5"/>
  <c r="ABU46" i="5"/>
  <c r="OX43" i="5"/>
  <c r="H44" i="5"/>
  <c r="AJJ44" i="5"/>
  <c r="AMG42" i="5"/>
  <c r="WY43" i="5"/>
  <c r="UZ44" i="5"/>
  <c r="GJ43" i="5"/>
  <c r="IX44" i="5"/>
  <c r="Q43" i="5"/>
  <c r="ID44" i="5"/>
  <c r="RN43" i="5"/>
  <c r="AHF45" i="5"/>
  <c r="CW47" i="5"/>
  <c r="AED46" i="5"/>
  <c r="SM47" i="5"/>
  <c r="S44" i="5"/>
  <c r="PS41" i="5"/>
  <c r="ZO41" i="5"/>
  <c r="AJK41" i="5"/>
  <c r="FY42" i="5"/>
  <c r="PU42" i="5"/>
  <c r="AJR42" i="5"/>
  <c r="ACQ43" i="5"/>
  <c r="UR41" i="5"/>
  <c r="BB42" i="5"/>
  <c r="UT42" i="5"/>
  <c r="DQ43" i="5"/>
  <c r="EY44" i="5"/>
  <c r="AN46" i="5"/>
  <c r="MA44" i="5"/>
  <c r="OM45" i="5"/>
  <c r="ADV44" i="5"/>
  <c r="CG47" i="5"/>
  <c r="ALL44" i="5"/>
  <c r="AHE43" i="5"/>
  <c r="XN44" i="5"/>
  <c r="VL46" i="5"/>
  <c r="FB44" i="5"/>
  <c r="CO45" i="5"/>
  <c r="ZG43" i="5"/>
  <c r="QC44" i="5"/>
  <c r="ABI45" i="5"/>
  <c r="AEF43" i="5"/>
  <c r="XX44" i="5"/>
  <c r="VV46" i="5"/>
  <c r="AFM43" i="5"/>
  <c r="WV44" i="5"/>
  <c r="AHG46" i="5"/>
  <c r="PN43" i="5"/>
  <c r="Z44" i="5"/>
  <c r="AD45" i="5"/>
  <c r="O43" i="5"/>
  <c r="XO43" i="5"/>
  <c r="WB44" i="5"/>
  <c r="GZ43" i="5"/>
  <c r="JT44" i="5"/>
  <c r="AG43" i="5"/>
  <c r="RK44" i="5"/>
  <c r="SD43" i="5"/>
  <c r="AID45" i="5"/>
  <c r="MN45" i="5"/>
  <c r="JQ45" i="5"/>
  <c r="HE48" i="5"/>
  <c r="AMC42" i="5"/>
  <c r="NH43" i="5"/>
  <c r="AGK43" i="5"/>
  <c r="ADK46" i="5"/>
  <c r="BM42" i="5"/>
  <c r="LI42" i="5"/>
  <c r="VE42" i="5"/>
  <c r="AFA42" i="5"/>
  <c r="EG43" i="5"/>
  <c r="TM43" i="5"/>
  <c r="HM44" i="5"/>
  <c r="AEJ41" i="5"/>
  <c r="AX42" i="5"/>
  <c r="KT42" i="5"/>
  <c r="UP42" i="5"/>
  <c r="AEL42" i="5"/>
  <c r="DM43" i="5"/>
  <c r="SJ43" i="5"/>
  <c r="ED44" i="5"/>
  <c r="EO41" i="5"/>
  <c r="OK41" i="5"/>
  <c r="YG41" i="5"/>
  <c r="AIC41" i="5"/>
  <c r="EQ42" i="5"/>
  <c r="OM42" i="5"/>
  <c r="YI42" i="5"/>
  <c r="AIF42" i="5"/>
  <c r="IY43" i="5"/>
  <c r="ZQ43" i="5"/>
  <c r="AER44" i="5"/>
  <c r="TZ41" i="5"/>
  <c r="ADV41" i="5"/>
  <c r="AJ42" i="5"/>
  <c r="KF42" i="5"/>
  <c r="UB42" i="5"/>
  <c r="ADX42" i="5"/>
  <c r="CO43" i="5"/>
  <c r="RO43" i="5"/>
  <c r="CH44" i="5"/>
  <c r="QI41" i="5"/>
  <c r="AAE41" i="5"/>
  <c r="AKA41" i="5"/>
  <c r="GO42" i="5"/>
  <c r="VI42" i="5"/>
  <c r="EK43" i="5"/>
  <c r="IH44" i="5"/>
  <c r="AAF41" i="5"/>
  <c r="GP42" i="5"/>
  <c r="AAH42" i="5"/>
  <c r="LR43" i="5"/>
  <c r="OL45" i="5"/>
  <c r="AJP47" i="5"/>
  <c r="UP44" i="5"/>
  <c r="AKL45" i="5"/>
  <c r="DX45" i="5"/>
  <c r="KF44" i="5"/>
  <c r="LM45" i="5"/>
  <c r="BE44" i="5"/>
  <c r="AJE44" i="5"/>
  <c r="AAL43" i="5"/>
  <c r="NB44" i="5"/>
  <c r="UK45" i="5"/>
  <c r="AGQ43" i="5"/>
  <c r="YT44" i="5"/>
  <c r="DW47" i="5"/>
  <c r="ALU43" i="5"/>
  <c r="AIK44" i="5"/>
  <c r="NQ43" i="5"/>
  <c r="F44" i="5"/>
  <c r="AJI44" i="5"/>
  <c r="AKZ42" i="5"/>
  <c r="WX43" i="5"/>
  <c r="JQ44" i="5"/>
  <c r="PJ45" i="5"/>
  <c r="FS43" i="5"/>
  <c r="AEY43" i="5"/>
  <c r="DE45" i="5"/>
  <c r="QV43" i="5"/>
  <c r="AJS44" i="5"/>
  <c r="SC43" i="5"/>
  <c r="AME44" i="5"/>
  <c r="AJJ43" i="5"/>
  <c r="RY46" i="5"/>
  <c r="YT45" i="5"/>
  <c r="JR45" i="5"/>
  <c r="QK42" i="5"/>
  <c r="AAG42" i="5"/>
  <c r="AKR42" i="5"/>
  <c r="LQ43" i="5"/>
  <c r="ADY43" i="5"/>
  <c r="NZ45" i="5"/>
  <c r="VH41" i="5"/>
  <c r="AFD41" i="5"/>
  <c r="BR42" i="5"/>
  <c r="LN42" i="5"/>
  <c r="VJ42" i="5"/>
  <c r="AFF42" i="5"/>
  <c r="EQ43" i="5"/>
  <c r="TR43" i="5"/>
  <c r="IJ44" i="5"/>
  <c r="EI46" i="5"/>
  <c r="FF46" i="5"/>
  <c r="AKE43" i="5"/>
  <c r="MX44" i="5"/>
  <c r="AES44" i="5"/>
  <c r="QD45" i="5"/>
  <c r="JG47" i="5"/>
  <c r="AET44" i="5"/>
  <c r="QE45" i="5"/>
  <c r="JH47" i="5"/>
  <c r="TQ44" i="5"/>
  <c r="N45" i="5"/>
  <c r="AHA45" i="5"/>
  <c r="AHU43" i="5"/>
  <c r="HQ44" i="5"/>
  <c r="YR44" i="5"/>
  <c r="HA45" i="5"/>
  <c r="AAU46" i="5"/>
  <c r="AGP43" i="5"/>
  <c r="FW44" i="5"/>
  <c r="WS44" i="5"/>
  <c r="EA45" i="5"/>
  <c r="LI46" i="5"/>
  <c r="ZW43" i="5"/>
  <c r="V44" i="5"/>
  <c r="QY44" i="5"/>
  <c r="AKM44" i="5"/>
  <c r="ADY45" i="5"/>
  <c r="TD43" i="5"/>
  <c r="AEV43" i="5"/>
  <c r="FD44" i="5"/>
  <c r="YU44" i="5"/>
  <c r="IS45" i="5"/>
  <c r="AAX46" i="5"/>
  <c r="UK43" i="5"/>
  <c r="AGC43" i="5"/>
  <c r="GE44" i="5"/>
  <c r="XY44" i="5"/>
  <c r="MC45" i="5"/>
  <c r="M47" i="5"/>
  <c r="EL43" i="5"/>
  <c r="QD43" i="5"/>
  <c r="ABV43" i="5"/>
  <c r="BK44" i="5"/>
  <c r="SD44" i="5"/>
  <c r="BO45" i="5"/>
  <c r="CV46" i="5"/>
  <c r="AE43" i="5"/>
  <c r="MM43" i="5"/>
  <c r="YE43" i="5"/>
  <c r="AJW43" i="5"/>
  <c r="WX44" i="5"/>
  <c r="AHI46" i="5"/>
  <c r="LX43" i="5"/>
  <c r="AFP43" i="5"/>
  <c r="RJ44" i="5"/>
  <c r="ACN45" i="5"/>
  <c r="GK43" i="5"/>
  <c r="ACO43" i="5"/>
  <c r="UF44" i="5"/>
  <c r="IP46" i="5"/>
  <c r="ST43" i="5"/>
  <c r="UG44" i="5"/>
  <c r="AJL45" i="5"/>
  <c r="AFA45" i="5"/>
  <c r="NG45" i="5"/>
  <c r="JO45" i="5"/>
  <c r="KM45" i="5"/>
  <c r="ZB44" i="5"/>
  <c r="IM48" i="5"/>
  <c r="RA42" i="5"/>
  <c r="AAW42" i="5"/>
  <c r="ALM42" i="5"/>
  <c r="MQ43" i="5"/>
  <c r="AFG43" i="5"/>
  <c r="XL45" i="5"/>
  <c r="VX41" i="5"/>
  <c r="AFT41" i="5"/>
  <c r="CH42" i="5"/>
  <c r="MD42" i="5"/>
  <c r="VZ42" i="5"/>
  <c r="AFV42" i="5"/>
  <c r="FL43" i="5"/>
  <c r="UV43" i="5"/>
  <c r="MB44" i="5"/>
  <c r="JB46" i="5"/>
  <c r="JX46" i="5"/>
  <c r="AMG43" i="5"/>
  <c r="NT44" i="5"/>
  <c r="AFV44" i="5"/>
  <c r="RX45" i="5"/>
  <c r="RH47" i="5"/>
  <c r="AFX44" i="5"/>
  <c r="RY45" i="5"/>
  <c r="AMH48" i="5"/>
  <c r="UR44" i="5"/>
  <c r="AX45" i="5"/>
  <c r="AKN45" i="5"/>
  <c r="AIK43" i="5"/>
  <c r="IL44" i="5"/>
  <c r="ZV44" i="5"/>
  <c r="LN45" i="5"/>
  <c r="AFT46" i="5"/>
  <c r="AHF43" i="5"/>
  <c r="GW44" i="5"/>
  <c r="XO44" i="5"/>
  <c r="FP45" i="5"/>
  <c r="QK46" i="5"/>
  <c r="ABS43" i="5"/>
  <c r="BG44" i="5"/>
  <c r="SA44" i="5"/>
  <c r="ALV44" i="5"/>
  <c r="AHZ45" i="5"/>
  <c r="TT43" i="5"/>
  <c r="AGB43" i="5"/>
  <c r="HT44" i="5"/>
  <c r="ZY44" i="5"/>
  <c r="KE45" i="5"/>
  <c r="AFZ46" i="5"/>
  <c r="VA43" i="5"/>
  <c r="AGS43" i="5"/>
  <c r="GZ44" i="5"/>
  <c r="ABD44" i="5"/>
  <c r="NR45" i="5"/>
  <c r="FI47" i="5"/>
  <c r="FB43" i="5"/>
  <c r="QT43" i="5"/>
  <c r="ACL43" i="5"/>
  <c r="CC44" i="5"/>
  <c r="UY44" i="5"/>
  <c r="DD45" i="5"/>
  <c r="HR46" i="5"/>
  <c r="BK43" i="5"/>
  <c r="NC43" i="5"/>
  <c r="YU43" i="5"/>
  <c r="AKN43" i="5"/>
  <c r="AHJ44" i="5"/>
  <c r="O47" i="5"/>
  <c r="MN43" i="5"/>
  <c r="AGF43" i="5"/>
  <c r="SF44" i="5"/>
  <c r="AEZ45" i="5"/>
  <c r="HA43" i="5"/>
  <c r="AEK43" i="5"/>
  <c r="VG44" i="5"/>
  <c r="NV46" i="5"/>
  <c r="XB43" i="5"/>
  <c r="VH44" i="5"/>
  <c r="AKO45" i="5"/>
  <c r="EM46" i="5"/>
  <c r="AAW45" i="5"/>
  <c r="KH45" i="5"/>
  <c r="LF45" i="5"/>
  <c r="JV45" i="5"/>
  <c r="JL48" i="5"/>
  <c r="RQ42" i="5"/>
  <c r="ABM42" i="5"/>
  <c r="E43" i="5"/>
  <c r="NM43" i="5"/>
  <c r="AHA43" i="5"/>
  <c r="AGN47" i="5"/>
  <c r="WN41" i="5"/>
  <c r="AGJ41" i="5"/>
  <c r="CX42" i="5"/>
  <c r="MT42" i="5"/>
  <c r="WP42" i="5"/>
  <c r="AGL42" i="5"/>
  <c r="GG43" i="5"/>
  <c r="WB43" i="5"/>
  <c r="PS44" i="5"/>
  <c r="NY46" i="5"/>
  <c r="OZ46" i="5"/>
  <c r="Q44" i="5"/>
  <c r="OV44" i="5"/>
  <c r="AGT44" i="5"/>
  <c r="TS45" i="5"/>
  <c r="AJQ47" i="5"/>
  <c r="AHA44" i="5"/>
  <c r="TT45" i="5"/>
  <c r="EZ44" i="5"/>
  <c r="VO44" i="5"/>
  <c r="CM45" i="5"/>
  <c r="AX46" i="5"/>
  <c r="AJA43" i="5"/>
  <c r="JL44" i="5"/>
  <c r="AAS44" i="5"/>
  <c r="NC45" i="5"/>
  <c r="ALI46" i="5"/>
  <c r="AHV43" i="5"/>
  <c r="HR44" i="5"/>
  <c r="YS44" i="5"/>
  <c r="HB45" i="5"/>
  <c r="VM46" i="5"/>
  <c r="ACI43" i="5"/>
  <c r="BY44" i="5"/>
  <c r="SW44" i="5"/>
  <c r="Q45" i="5"/>
  <c r="ALK45" i="5"/>
  <c r="UJ43" i="5"/>
  <c r="AGR43" i="5"/>
  <c r="IT44" i="5"/>
  <c r="AAV44" i="5"/>
  <c r="LT45" i="5"/>
  <c r="DY47" i="5"/>
  <c r="VQ43" i="5"/>
  <c r="AHI43" i="5"/>
  <c r="HU44" i="5"/>
  <c r="ACA44" i="5"/>
  <c r="PF45" i="5"/>
  <c r="MW47" i="5"/>
  <c r="FR43" i="5"/>
  <c r="RJ43" i="5"/>
  <c r="ADB43" i="5"/>
  <c r="CU44" i="5"/>
  <c r="VZ44" i="5"/>
  <c r="EP45" i="5"/>
  <c r="MM46" i="5"/>
  <c r="CA43" i="5"/>
  <c r="NS43" i="5"/>
  <c r="ZK43" i="5"/>
  <c r="CD44" i="5"/>
  <c r="AIN44" i="5"/>
  <c r="FL47" i="5"/>
  <c r="ND43" i="5"/>
  <c r="AGV43" i="5"/>
  <c r="TH44" i="5"/>
  <c r="AIY45" i="5"/>
  <c r="HQ43" i="5"/>
  <c r="AFA43" i="5"/>
  <c r="WD44" i="5"/>
  <c r="SX46" i="5"/>
  <c r="XR43" i="5"/>
  <c r="WE44" i="5"/>
  <c r="ALW45" i="5"/>
  <c r="FU46" i="5"/>
  <c r="ABX45" i="5"/>
  <c r="AMD46" i="5"/>
  <c r="ALF45" i="5"/>
  <c r="AIW45" i="5"/>
  <c r="KT48" i="5"/>
  <c r="SG42" i="5"/>
  <c r="ACC42" i="5"/>
  <c r="Z43" i="5"/>
  <c r="OO43" i="5"/>
  <c r="AIY43" i="5"/>
  <c r="NH41" i="5"/>
  <c r="XD41" i="5"/>
  <c r="AGZ41" i="5"/>
  <c r="DN42" i="5"/>
  <c r="NJ42" i="5"/>
  <c r="XF42" i="5"/>
  <c r="AHB42" i="5"/>
  <c r="HG43" i="5"/>
  <c r="XH43" i="5"/>
  <c r="VI44" i="5"/>
  <c r="TA46" i="5"/>
  <c r="AEJ46" i="5"/>
  <c r="AI44" i="5"/>
  <c r="PR44" i="5"/>
  <c r="AHX44" i="5"/>
  <c r="VN45" i="5"/>
  <c r="AGJ48" i="5"/>
  <c r="AHY44" i="5"/>
  <c r="AAM45" i="5"/>
  <c r="FU44" i="5"/>
  <c r="WP44" i="5"/>
  <c r="DY45" i="5"/>
  <c r="FI46" i="5"/>
  <c r="AJQ43" i="5"/>
  <c r="KG44" i="5"/>
  <c r="ADX44" i="5"/>
  <c r="OP45" i="5"/>
  <c r="DT47" i="5"/>
  <c r="AIL43" i="5"/>
  <c r="IN44" i="5"/>
  <c r="ZW44" i="5"/>
  <c r="IQ45" i="5"/>
  <c r="ALJ46" i="5"/>
  <c r="ACY43" i="5"/>
  <c r="CR44" i="5"/>
  <c r="TY44" i="5"/>
  <c r="BA45" i="5"/>
  <c r="BW46" i="5"/>
  <c r="UZ43" i="5"/>
  <c r="AIN43" i="5"/>
  <c r="JO44" i="5"/>
  <c r="ABZ44" i="5"/>
  <c r="NF45" i="5"/>
  <c r="LF47" i="5"/>
  <c r="WG43" i="5"/>
  <c r="AHY43" i="5"/>
  <c r="KL44" i="5"/>
  <c r="AEC44" i="5"/>
  <c r="QW45" i="5"/>
  <c r="XW47" i="5"/>
  <c r="GH43" i="5"/>
  <c r="RZ43" i="5"/>
  <c r="AEH43" i="5"/>
  <c r="FF44" i="5"/>
  <c r="WW44" i="5"/>
  <c r="GE45" i="5"/>
  <c r="RU46" i="5"/>
  <c r="CQ43" i="5"/>
  <c r="OI43" i="5"/>
  <c r="AAA43" i="5"/>
  <c r="EL44" i="5"/>
  <c r="AJR44" i="5"/>
  <c r="MZ47" i="5"/>
  <c r="NT43" i="5"/>
  <c r="AHL43" i="5"/>
  <c r="UD44" i="5"/>
  <c r="K46" i="5"/>
  <c r="JM43" i="5"/>
  <c r="AFQ43" i="5"/>
  <c r="XE44" i="5"/>
  <c r="ADK47" i="5"/>
  <c r="YH43" i="5"/>
  <c r="XF45" i="5"/>
  <c r="O46" i="5"/>
  <c r="ACK46" i="5"/>
  <c r="ACY45" i="5"/>
  <c r="AI47" i="5"/>
  <c r="AME45" i="5"/>
  <c r="AKE45" i="5"/>
  <c r="AFN48" i="5"/>
  <c r="SW42" i="5"/>
  <c r="ACS42" i="5"/>
  <c r="AZ43" i="5"/>
  <c r="PK43" i="5"/>
  <c r="AKY43" i="5"/>
  <c r="NX41" i="5"/>
  <c r="XT41" i="5"/>
  <c r="AHP41" i="5"/>
  <c r="ED42" i="5"/>
  <c r="NZ42" i="5"/>
  <c r="XV42" i="5"/>
  <c r="AHR42" i="5"/>
  <c r="IB43" i="5"/>
  <c r="YN43" i="5"/>
  <c r="AAN44" i="5"/>
  <c r="YJ46" i="5"/>
  <c r="AJW46" i="5"/>
  <c r="BA44" i="5"/>
  <c r="QT44" i="5"/>
  <c r="AJB44" i="5"/>
  <c r="YC45" i="5"/>
  <c r="QU44" i="5"/>
  <c r="AJC44" i="5"/>
  <c r="ADP45" i="5"/>
  <c r="GU44" i="5"/>
  <c r="XM44" i="5"/>
  <c r="FN45" i="5"/>
  <c r="KB46" i="5"/>
  <c r="AKH43" i="5"/>
  <c r="LC44" i="5"/>
  <c r="AFB44" i="5"/>
  <c r="QH45" i="5"/>
  <c r="LB47" i="5"/>
  <c r="AJB43" i="5"/>
  <c r="JM44" i="5"/>
  <c r="AAT44" i="5"/>
  <c r="KC45" i="5"/>
  <c r="DU47" i="5"/>
  <c r="AEE43" i="5"/>
  <c r="DL44" i="5"/>
  <c r="UV44" i="5"/>
  <c r="CP45" i="5"/>
  <c r="GP46" i="5"/>
  <c r="WF43" i="5"/>
  <c r="AJD43" i="5"/>
  <c r="KK44" i="5"/>
  <c r="ADD44" i="5"/>
  <c r="OW45" i="5"/>
  <c r="VT47" i="5"/>
  <c r="WW43" i="5"/>
  <c r="AIO43" i="5"/>
  <c r="LL44" i="5"/>
  <c r="AFF44" i="5"/>
  <c r="SS45" i="5"/>
  <c r="LH48" i="5"/>
  <c r="GX43" i="5"/>
  <c r="SP43" i="5"/>
  <c r="AEX43" i="5"/>
  <c r="GF44" i="5"/>
  <c r="XZ44" i="5"/>
  <c r="HQ45" i="5"/>
  <c r="ABZ46" i="5"/>
  <c r="DG43" i="5"/>
  <c r="OY43" i="5"/>
  <c r="AAQ43" i="5"/>
  <c r="FH44" i="5"/>
  <c r="AKQ44" i="5"/>
  <c r="AAZ47" i="5"/>
  <c r="OJ43" i="5"/>
  <c r="AIB43" i="5"/>
  <c r="WC44" i="5"/>
  <c r="DA46" i="5"/>
  <c r="KC43" i="5"/>
  <c r="AHM43" i="5"/>
  <c r="YC44" i="5"/>
  <c r="UK48" i="5"/>
  <c r="YX43" i="5"/>
  <c r="ZN45" i="5"/>
  <c r="MP46" i="5"/>
  <c r="ADO46" i="5"/>
  <c r="AEE45" i="5"/>
  <c r="BO47" i="5"/>
  <c r="AF46" i="5"/>
  <c r="ALH45" i="5"/>
  <c r="AQ49" i="5"/>
  <c r="TM42" i="5"/>
  <c r="ADI42" i="5"/>
  <c r="BU43" i="5"/>
  <c r="QM43" i="5"/>
  <c r="AF44" i="5"/>
  <c r="ON41" i="5"/>
  <c r="YJ41" i="5"/>
  <c r="AIF41" i="5"/>
  <c r="ET42" i="5"/>
  <c r="OP42" i="5"/>
  <c r="YL42" i="5"/>
  <c r="AII42" i="5"/>
  <c r="JB43" i="5"/>
  <c r="ZT43" i="5"/>
  <c r="AFU44" i="5"/>
  <c r="AIU46" i="5"/>
  <c r="CE47" i="5"/>
  <c r="BT44" i="5"/>
  <c r="RP44" i="5"/>
  <c r="AJY44" i="5"/>
  <c r="AAL45" i="5"/>
  <c r="RQ44" i="5"/>
  <c r="M45" i="5"/>
  <c r="AGZ45" i="5"/>
  <c r="HP44" i="5"/>
  <c r="YQ44" i="5"/>
  <c r="GZ45" i="5"/>
  <c r="PI46" i="5"/>
  <c r="AKZ43" i="5"/>
  <c r="OC44" i="5"/>
  <c r="AFZ44" i="5"/>
  <c r="SA45" i="5"/>
  <c r="TG47" i="5"/>
  <c r="AJR43" i="5"/>
  <c r="KH44" i="5"/>
  <c r="ABX44" i="5"/>
  <c r="OT45" i="5"/>
  <c r="LC47" i="5"/>
  <c r="AEU43" i="5"/>
  <c r="EH44" i="5"/>
  <c r="VW44" i="5"/>
  <c r="EB45" i="5"/>
  <c r="LJ46" i="5"/>
  <c r="YB43" i="5"/>
  <c r="AJT43" i="5"/>
  <c r="LK44" i="5"/>
  <c r="AEB44" i="5"/>
  <c r="SR45" i="5"/>
  <c r="HV48" i="5"/>
  <c r="XM43" i="5"/>
  <c r="AKL43" i="5"/>
  <c r="MI44" i="5"/>
  <c r="AGJ44" i="5"/>
  <c r="UN45" i="5"/>
  <c r="ACN49" i="5"/>
  <c r="HN43" i="5"/>
  <c r="TF43" i="5"/>
  <c r="AGT43" i="5"/>
  <c r="HA44" i="5"/>
  <c r="YW44" i="5"/>
  <c r="JF45" i="5"/>
  <c r="AHH46" i="5"/>
  <c r="DW43" i="5"/>
  <c r="PO43" i="5"/>
  <c r="ACM43" i="5"/>
  <c r="GG44" i="5"/>
  <c r="AMC44" i="5"/>
  <c r="PX48" i="5"/>
  <c r="OZ43" i="5"/>
  <c r="AIR43" i="5"/>
  <c r="WY44" i="5"/>
  <c r="RW46" i="5"/>
  <c r="KS43" i="5"/>
  <c r="AIC43" i="5"/>
  <c r="ZG44" i="5"/>
  <c r="ACF50" i="5"/>
  <c r="ZN43" i="5"/>
  <c r="ACP45" i="5"/>
  <c r="NZ46" i="5"/>
  <c r="AEZ46" i="5"/>
  <c r="AJP45" i="5"/>
  <c r="DC47" i="5"/>
  <c r="BH46" i="5"/>
  <c r="H46" i="5"/>
  <c r="YJ45" i="5"/>
  <c r="UC42" i="5"/>
  <c r="ADY42" i="5"/>
  <c r="CU43" i="5"/>
  <c r="RP43" i="5"/>
  <c r="CJ44" i="5"/>
  <c r="PD41" i="5"/>
  <c r="YZ41" i="5"/>
  <c r="AIV41" i="5"/>
  <c r="FJ42" i="5"/>
  <c r="PF42" i="5"/>
  <c r="ZB42" i="5"/>
  <c r="AJA42" i="5"/>
  <c r="JW43" i="5"/>
  <c r="ABA43" i="5"/>
  <c r="F45" i="5"/>
  <c r="BF47" i="5"/>
  <c r="JF47" i="5"/>
  <c r="CL44" i="5"/>
  <c r="SR44" i="5"/>
  <c r="ALG44" i="5"/>
  <c r="ADO45" i="5"/>
  <c r="SS44" i="5"/>
  <c r="AW45" i="5"/>
  <c r="AKM45" i="5"/>
  <c r="IK44" i="5"/>
  <c r="ZN44" i="5"/>
  <c r="IL45" i="5"/>
  <c r="UK46" i="5"/>
  <c r="ALR43" i="5"/>
  <c r="OY44" i="5"/>
  <c r="AHD44" i="5"/>
  <c r="TV45" i="5"/>
  <c r="DH48" i="5"/>
  <c r="AKI43" i="5"/>
  <c r="LD44" i="5"/>
  <c r="ACV44" i="5"/>
  <c r="QI45" i="5"/>
  <c r="TJ47" i="5"/>
  <c r="AFK43" i="5"/>
  <c r="FC44" i="5"/>
  <c r="WT44" i="5"/>
  <c r="FQ45" i="5"/>
  <c r="QL46" i="5"/>
  <c r="YR43" i="5"/>
  <c r="AKK43" i="5"/>
  <c r="MH44" i="5"/>
  <c r="AFE44" i="5"/>
  <c r="UM45" i="5"/>
  <c r="RU49" i="5"/>
  <c r="YC43" i="5"/>
  <c r="ALD43" i="5"/>
  <c r="OG44" i="5"/>
  <c r="AHH44" i="5"/>
  <c r="WK45" i="5"/>
  <c r="AJT42" i="5"/>
  <c r="ID43" i="5"/>
  <c r="UL43" i="5"/>
  <c r="AHJ43" i="5"/>
  <c r="HV44" i="5"/>
  <c r="AAA44" i="5"/>
  <c r="KR45" i="5"/>
  <c r="N47" i="5"/>
  <c r="EM43" i="5"/>
  <c r="QE43" i="5"/>
  <c r="ADC43" i="5"/>
  <c r="HB44" i="5"/>
  <c r="AE45" i="5"/>
  <c r="BR50" i="5"/>
  <c r="PP43" i="5"/>
  <c r="AJH43" i="5"/>
  <c r="YB44" i="5"/>
  <c r="WZ46" i="5"/>
  <c r="LI43" i="5"/>
  <c r="AIS43" i="5"/>
  <c r="AAD44" i="5"/>
  <c r="AIR42" i="5"/>
  <c r="AAD43" i="5"/>
  <c r="AFT45" i="5"/>
  <c r="AHJ47" i="5"/>
  <c r="HV47" i="5"/>
  <c r="AKX45" i="5"/>
  <c r="ER47" i="5"/>
  <c r="GU47" i="5"/>
  <c r="AK46" i="5"/>
  <c r="ZY45" i="5"/>
  <c r="US42" i="5"/>
  <c r="AEO42" i="5"/>
  <c r="DP43" i="5"/>
  <c r="SM43" i="5"/>
  <c r="EW44" i="5"/>
  <c r="PT41" i="5"/>
  <c r="ZP41" i="5"/>
  <c r="AJL41" i="5"/>
  <c r="FZ42" i="5"/>
  <c r="PV42" i="5"/>
  <c r="ZR42" i="5"/>
  <c r="AJS42" i="5"/>
  <c r="KW43" i="5"/>
  <c r="ACR43" i="5"/>
  <c r="GK45" i="5"/>
  <c r="HS47" i="5"/>
  <c r="RG47" i="5"/>
  <c r="DD44" i="5"/>
  <c r="TN44" i="5"/>
  <c r="L45" i="5"/>
  <c r="AGY45" i="5"/>
  <c r="VN44" i="5"/>
  <c r="CL45" i="5"/>
  <c r="AV46" i="5"/>
  <c r="JK44" i="5"/>
  <c r="AAR44" i="5"/>
  <c r="KA45" i="5"/>
  <c r="ZN46" i="5"/>
  <c r="AL44" i="5"/>
  <c r="QA44" i="5"/>
  <c r="AIA44" i="5"/>
  <c r="WE45" i="5"/>
  <c r="HW49" i="5"/>
  <c r="ALA43" i="5"/>
  <c r="MF44" i="5"/>
  <c r="AGA44" i="5"/>
  <c r="SB45" i="5"/>
  <c r="HY49" i="5"/>
  <c r="AGA43" i="5"/>
  <c r="FY44" i="5"/>
  <c r="XV44" i="5"/>
  <c r="HC45" i="5"/>
  <c r="ALK46" i="5"/>
  <c r="ZH43" i="5"/>
  <c r="ALC43" i="5"/>
  <c r="NI44" i="5"/>
  <c r="AGC44" i="5"/>
  <c r="WJ45" i="5"/>
  <c r="NA43" i="5"/>
  <c r="ZY43" i="5"/>
  <c r="ALV43" i="5"/>
  <c r="PI44" i="5"/>
  <c r="AIL44" i="5"/>
  <c r="ZA45" i="5"/>
  <c r="AKJ42" i="5"/>
  <c r="IT43" i="5"/>
  <c r="WH43" i="5"/>
  <c r="AHZ43" i="5"/>
  <c r="IV44" i="5"/>
  <c r="ABE44" i="5"/>
  <c r="NS45" i="5"/>
  <c r="FJ47" i="5"/>
  <c r="FC43" i="5"/>
  <c r="SA43" i="5"/>
  <c r="ADS43" i="5"/>
  <c r="HY44" i="5"/>
  <c r="BP45" i="5"/>
  <c r="AJV42" i="5"/>
  <c r="QF43" i="5"/>
  <c r="AJX43" i="5"/>
  <c r="AIO44" i="5"/>
  <c r="AIQ42" i="5"/>
  <c r="RM43" i="5"/>
  <c r="AV44" i="5"/>
  <c r="ALB44" i="5"/>
  <c r="DZ43" i="5"/>
  <c r="AIT43" i="5"/>
  <c r="AJJ45" i="5"/>
  <c r="AKR47" i="5"/>
  <c r="AAQ45" i="5"/>
  <c r="AK45" i="5"/>
  <c r="BI45" i="5"/>
  <c r="IY45" i="5"/>
  <c r="FZ45" i="5"/>
  <c r="JN47" i="5"/>
  <c r="EM47" i="5"/>
  <c r="LX47" i="5"/>
  <c r="CY47" i="5"/>
  <c r="OG50" i="5"/>
  <c r="KC48" i="5"/>
  <c r="AMG51" i="5"/>
  <c r="CR46" i="5"/>
  <c r="BS46" i="5"/>
  <c r="UG47" i="5"/>
  <c r="AJC45" i="5"/>
  <c r="ALM46" i="5"/>
  <c r="BH47" i="5"/>
  <c r="LV47" i="5"/>
  <c r="GC47" i="5"/>
  <c r="ACB47" i="5"/>
  <c r="EP47" i="5"/>
  <c r="UK51" i="5"/>
  <c r="OI48" i="5"/>
  <c r="DJ44" i="5"/>
  <c r="BD52" i="5"/>
  <c r="AJQ46" i="5"/>
  <c r="MK51" i="5"/>
  <c r="OL46" i="5"/>
  <c r="XF44" i="5"/>
  <c r="AGK48" i="5"/>
  <c r="R47" i="5"/>
  <c r="CU47" i="5"/>
  <c r="NR47" i="5"/>
  <c r="HX47" i="5"/>
  <c r="AFF47" i="5"/>
  <c r="ZO44" i="5"/>
  <c r="AKR43" i="5"/>
  <c r="SW48" i="5"/>
  <c r="EA44" i="5"/>
  <c r="DK44" i="5"/>
  <c r="ALG46" i="5"/>
  <c r="HH52" i="5"/>
  <c r="PF46" i="5"/>
  <c r="YD44" i="5"/>
  <c r="Q49" i="5"/>
  <c r="BG47" i="5"/>
  <c r="IB48" i="5"/>
  <c r="PT47" i="5"/>
  <c r="LW47" i="5"/>
  <c r="AHP47" i="5"/>
  <c r="AAF44" i="5"/>
  <c r="ALJ43" i="5"/>
  <c r="XQ48" i="5"/>
  <c r="ER44" i="5"/>
  <c r="EB44" i="5"/>
  <c r="LZ44" i="5"/>
  <c r="AJX47" i="5"/>
  <c r="CP47" i="5"/>
  <c r="ZH44" i="5"/>
  <c r="IB49" i="5"/>
  <c r="VZ47" i="5"/>
  <c r="M51" i="5"/>
  <c r="SD47" i="5"/>
  <c r="NS47" i="5"/>
  <c r="AKV47" i="5"/>
  <c r="AAW44" i="5"/>
  <c r="UJ44" i="5"/>
  <c r="ACX48" i="5"/>
  <c r="FI44" i="5"/>
  <c r="ES44" i="5"/>
  <c r="MQ44" i="5"/>
  <c r="AMF47" i="5"/>
  <c r="DK47" i="5"/>
  <c r="AAE44" i="5"/>
  <c r="RV49" i="5"/>
  <c r="YU47" i="5"/>
  <c r="AAP45" i="5"/>
  <c r="XM45" i="5"/>
  <c r="WD48" i="5"/>
  <c r="ALN44" i="5"/>
  <c r="GN45" i="5"/>
  <c r="A45" i="5"/>
  <c r="AKK48" i="5"/>
  <c r="FZ44" i="5"/>
  <c r="FJ44" i="5"/>
  <c r="NH44" i="5"/>
  <c r="AFJ48" i="5"/>
  <c r="AIE47" i="5"/>
  <c r="UH46" i="5"/>
  <c r="AKW43" i="5"/>
  <c r="KD44" i="5"/>
  <c r="ZL44" i="5"/>
  <c r="FI45" i="5"/>
  <c r="AO46" i="5"/>
  <c r="TP44" i="5"/>
  <c r="AJZ44" i="5"/>
  <c r="VQ45" i="5"/>
  <c r="RJ47" i="5"/>
  <c r="QV44" i="5"/>
  <c r="AHB44" i="5"/>
  <c r="QF45" i="5"/>
  <c r="AJZ46" i="5"/>
  <c r="B44" i="5"/>
  <c r="MD44" i="5"/>
  <c r="ABW44" i="5"/>
  <c r="IP45" i="5"/>
  <c r="LA46" i="5"/>
  <c r="ADN43" i="5"/>
  <c r="AN44" i="5"/>
  <c r="OD44" i="5"/>
  <c r="ADY44" i="5"/>
  <c r="LR45" i="5"/>
  <c r="AAV46" i="5"/>
  <c r="AAM43" i="5"/>
  <c r="ALB43" i="5"/>
  <c r="LJ44" i="5"/>
  <c r="ABY44" i="5"/>
  <c r="KD45" i="5"/>
  <c r="AAW46" i="5"/>
  <c r="WV43" i="5"/>
  <c r="AHH43" i="5"/>
  <c r="GD44" i="5"/>
  <c r="VX44" i="5"/>
  <c r="BB45" i="5"/>
  <c r="AIA45" i="5"/>
  <c r="OG43" i="5"/>
  <c r="YS43" i="5"/>
  <c r="AJE43" i="5"/>
  <c r="IU44" i="5"/>
  <c r="YV44" i="5"/>
  <c r="GD45" i="5"/>
  <c r="HQ46" i="5"/>
  <c r="N43" i="5"/>
  <c r="KP43" i="5"/>
  <c r="VB43" i="5"/>
  <c r="AFN43" i="5"/>
  <c r="DP44" i="5"/>
  <c r="TA44" i="5"/>
  <c r="AKP44" i="5"/>
  <c r="ZB45" i="5"/>
  <c r="ACQ49" i="5"/>
  <c r="GI43" i="5"/>
  <c r="QU43" i="5"/>
  <c r="ABG43" i="5"/>
  <c r="CV44" i="5"/>
  <c r="YA44" i="5"/>
  <c r="ABU45" i="5"/>
  <c r="EN43" i="5"/>
  <c r="WZ43" i="5"/>
  <c r="CW44" i="5"/>
  <c r="ZF44" i="5"/>
  <c r="HT46" i="5"/>
  <c r="IG43" i="5"/>
  <c r="ADE43" i="5"/>
  <c r="IY44" i="5"/>
  <c r="GH45" i="5"/>
  <c r="GL43" i="5"/>
  <c r="AJZ43" i="5"/>
  <c r="GI45" i="5"/>
  <c r="AFE49" i="5"/>
  <c r="ABF47" i="5"/>
  <c r="ABV45" i="5"/>
  <c r="YR45" i="5"/>
  <c r="ACT48" i="5"/>
  <c r="AMG44" i="5"/>
  <c r="HJ45" i="5"/>
  <c r="T45" i="5"/>
  <c r="IE45" i="5"/>
  <c r="XS44" i="5"/>
  <c r="XC44" i="5"/>
  <c r="BM45" i="5"/>
  <c r="AHV47" i="5"/>
  <c r="AJF47" i="5"/>
  <c r="ADL46" i="5"/>
  <c r="ZK46" i="5"/>
  <c r="ALO43" i="5"/>
  <c r="KZ44" i="5"/>
  <c r="AAP44" i="5"/>
  <c r="GX45" i="5"/>
  <c r="FG46" i="5"/>
  <c r="UQ44" i="5"/>
  <c r="ALH44" i="5"/>
  <c r="YD45" i="5"/>
  <c r="U48" i="5"/>
  <c r="RR44" i="5"/>
  <c r="AHZ44" i="5"/>
  <c r="RZ45" i="5"/>
  <c r="CL47" i="5"/>
  <c r="T44" i="5"/>
  <c r="NA44" i="5"/>
  <c r="ACT44" i="5"/>
  <c r="KB45" i="5"/>
  <c r="QJ46" i="5"/>
  <c r="AED43" i="5"/>
  <c r="BF44" i="5"/>
  <c r="OZ44" i="5"/>
  <c r="AFC44" i="5"/>
  <c r="ND45" i="5"/>
  <c r="AFX46" i="5"/>
  <c r="ABC43" i="5"/>
  <c r="ALT43" i="5"/>
  <c r="MG44" i="5"/>
  <c r="ADC44" i="5"/>
  <c r="NE45" i="5"/>
  <c r="AFY46" i="5"/>
  <c r="XL43" i="5"/>
  <c r="AHX43" i="5"/>
  <c r="GY44" i="5"/>
  <c r="WU44" i="5"/>
  <c r="CQ45" i="5"/>
  <c r="ALU45" i="5"/>
  <c r="OW43" i="5"/>
  <c r="ZI43" i="5"/>
  <c r="AJU43" i="5"/>
  <c r="JP44" i="5"/>
  <c r="ZZ44" i="5"/>
  <c r="HP45" i="5"/>
  <c r="MK46" i="5"/>
  <c r="AT43" i="5"/>
  <c r="LF43" i="5"/>
  <c r="VR43" i="5"/>
  <c r="AGD43" i="5"/>
  <c r="EK44" i="5"/>
  <c r="UB44" i="5"/>
  <c r="AMB44" i="5"/>
  <c r="ABT45" i="5"/>
  <c r="AJU42" i="5"/>
  <c r="GY43" i="5"/>
  <c r="RK43" i="5"/>
  <c r="ABW43" i="5"/>
  <c r="DQ44" i="5"/>
  <c r="AGL44" i="5"/>
  <c r="AEX45" i="5"/>
  <c r="FD43" i="5"/>
  <c r="XP43" i="5"/>
  <c r="DR44" i="5"/>
  <c r="AAC44" i="5"/>
  <c r="MO46" i="5"/>
  <c r="IW43" i="5"/>
  <c r="ADU43" i="5"/>
  <c r="QI44" i="5"/>
  <c r="HT45" i="5"/>
  <c r="HB43" i="5"/>
  <c r="AKQ43" i="5"/>
  <c r="VG45" i="5"/>
  <c r="GP50" i="5"/>
  <c r="AEH47" i="5"/>
  <c r="ACT45" i="5"/>
  <c r="ZP45" i="5"/>
  <c r="LU45" i="5"/>
  <c r="R45" i="5"/>
  <c r="IC45" i="5"/>
  <c r="AP45" i="5"/>
  <c r="IX45" i="5"/>
  <c r="YJ44" i="5"/>
  <c r="XT44" i="5"/>
  <c r="FG45" i="5"/>
  <c r="AKA47" i="5"/>
  <c r="JR44" i="5"/>
  <c r="ZE44" i="5"/>
  <c r="EQ45" i="5"/>
  <c r="J46" i="5"/>
  <c r="ALB42" i="5"/>
  <c r="HP43" i="5"/>
  <c r="RL43" i="5"/>
  <c r="ABH43" i="5"/>
  <c r="ALG43" i="5"/>
  <c r="KS44" i="5"/>
  <c r="ABG44" i="5"/>
  <c r="KT45" i="5"/>
  <c r="ACH46" i="5"/>
  <c r="AW43" i="5"/>
  <c r="LY43" i="5"/>
  <c r="YG43" i="5"/>
  <c r="AJI43" i="5"/>
  <c r="JU44" i="5"/>
  <c r="ABH44" i="5"/>
  <c r="KU45" i="5"/>
  <c r="AJH42" i="5"/>
  <c r="NF43" i="5"/>
  <c r="AAT43" i="5"/>
  <c r="GJ44" i="5"/>
  <c r="AJU44" i="5"/>
  <c r="PL47" i="5"/>
  <c r="AT48" i="5"/>
  <c r="PM46" i="5"/>
  <c r="UP49" i="5"/>
  <c r="EK47" i="5"/>
  <c r="GT46" i="5"/>
  <c r="MS48" i="5"/>
  <c r="FV46" i="5"/>
  <c r="AIS48" i="5"/>
  <c r="SF46" i="5"/>
  <c r="BG45" i="5"/>
  <c r="GF47" i="5"/>
  <c r="AJV45" i="5"/>
  <c r="AMA43" i="5"/>
  <c r="ABC45" i="5"/>
  <c r="YI44" i="5"/>
  <c r="CQ46" i="5"/>
  <c r="ZA44" i="5"/>
  <c r="AKV46" i="5"/>
  <c r="ZT44" i="5"/>
  <c r="A47" i="5"/>
  <c r="RM46" i="5"/>
  <c r="HB48" i="5"/>
  <c r="ADS49" i="5"/>
  <c r="XE49" i="5"/>
  <c r="ALF43" i="5"/>
  <c r="KO44" i="5"/>
  <c r="AAB44" i="5"/>
  <c r="GF45" i="5"/>
  <c r="CW46" i="5"/>
  <c r="ALR42" i="5"/>
  <c r="IF43" i="5"/>
  <c r="SB43" i="5"/>
  <c r="ABX43" i="5"/>
  <c r="ALZ43" i="5"/>
  <c r="LP44" i="5"/>
  <c r="ACD44" i="5"/>
  <c r="MI45" i="5"/>
  <c r="AHK46" i="5"/>
  <c r="BM43" i="5"/>
  <c r="NU43" i="5"/>
  <c r="YW43" i="5"/>
  <c r="AJY43" i="5"/>
  <c r="KT44" i="5"/>
  <c r="ACL44" i="5"/>
  <c r="NV45" i="5"/>
  <c r="AJX42" i="5"/>
  <c r="NV43" i="5"/>
  <c r="ABJ43" i="5"/>
  <c r="HE44" i="5"/>
  <c r="ALC44" i="5"/>
  <c r="AEC47" i="5"/>
  <c r="EL48" i="5"/>
  <c r="QN46" i="5"/>
  <c r="AGB49" i="5"/>
  <c r="GA47" i="5"/>
  <c r="IB46" i="5"/>
  <c r="RP48" i="5"/>
  <c r="GU46" i="5"/>
  <c r="CF49" i="5"/>
  <c r="TP46" i="5"/>
  <c r="BZ45" i="5"/>
  <c r="IL47" i="5"/>
  <c r="ALD45" i="5"/>
  <c r="J44" i="5"/>
  <c r="ACA45" i="5"/>
  <c r="YZ44" i="5"/>
  <c r="DS46" i="5"/>
  <c r="ZR44" i="5"/>
  <c r="AMG46" i="5"/>
  <c r="AAK44" i="5"/>
  <c r="AP47" i="5"/>
  <c r="UG46" i="5"/>
  <c r="IH48" i="5"/>
  <c r="AHS49" i="5"/>
  <c r="YK49" i="5"/>
  <c r="ALX43" i="5"/>
  <c r="LN44" i="5"/>
  <c r="ABF44" i="5"/>
  <c r="HR45" i="5"/>
  <c r="HS46" i="5"/>
  <c r="AMH42" i="5"/>
  <c r="IV43" i="5"/>
  <c r="SR43" i="5"/>
  <c r="ACN43" i="5"/>
  <c r="K44" i="5"/>
  <c r="ML44" i="5"/>
  <c r="ADH44" i="5"/>
  <c r="NU45" i="5"/>
  <c r="Q47" i="5"/>
  <c r="CC43" i="5"/>
  <c r="OK43" i="5"/>
  <c r="ZM43" i="5"/>
  <c r="AKP43" i="5"/>
  <c r="LQ44" i="5"/>
  <c r="ADI44" i="5"/>
  <c r="XE45" i="5"/>
  <c r="AKN42" i="5"/>
  <c r="OL43" i="5"/>
  <c r="ABZ43" i="5"/>
  <c r="IE44" i="5"/>
  <c r="AMF44" i="5"/>
  <c r="UL48" i="5"/>
  <c r="HX48" i="5"/>
  <c r="RX46" i="5"/>
  <c r="GV50" i="5"/>
  <c r="AEI47" i="5"/>
  <c r="JE46" i="5"/>
  <c r="WC48" i="5"/>
  <c r="UP46" i="5"/>
  <c r="LQ49" i="5"/>
  <c r="UT46" i="5"/>
  <c r="TY45" i="5"/>
  <c r="KC47" i="5"/>
  <c r="AMC45" i="5"/>
  <c r="RB44" i="5"/>
  <c r="ADG45" i="5"/>
  <c r="ZQ44" i="5"/>
  <c r="AMF46" i="5"/>
  <c r="AAJ44" i="5"/>
  <c r="AO47" i="5"/>
  <c r="FY45" i="5"/>
  <c r="CC47" i="5"/>
  <c r="WU46" i="5"/>
  <c r="IJ48" i="5"/>
  <c r="DI50" i="5"/>
  <c r="AGC52" i="5"/>
  <c r="I44" i="5"/>
  <c r="MK44" i="5"/>
  <c r="ACC44" i="5"/>
  <c r="JG45" i="5"/>
  <c r="MN46" i="5"/>
  <c r="P43" i="5"/>
  <c r="JL43" i="5"/>
  <c r="TH43" i="5"/>
  <c r="ADD43" i="5"/>
  <c r="AC44" i="5"/>
  <c r="NN44" i="5"/>
  <c r="AEL44" i="5"/>
  <c r="PL45" i="5"/>
  <c r="FM47" i="5"/>
  <c r="DY43" i="5"/>
  <c r="PA43" i="5"/>
  <c r="AAC43" i="5"/>
  <c r="ALH43" i="5"/>
  <c r="MR44" i="5"/>
  <c r="AEM44" i="5"/>
  <c r="ZM45" i="5"/>
  <c r="ALD42" i="5"/>
  <c r="PB43" i="5"/>
  <c r="ACP43" i="5"/>
  <c r="IZ44" i="5"/>
  <c r="AH45" i="5"/>
  <c r="AEI50" i="5"/>
  <c r="LP48" i="5"/>
  <c r="TB46" i="5"/>
  <c r="L51" i="5"/>
  <c r="AHK47" i="5"/>
  <c r="KH46" i="5"/>
  <c r="ABC48" i="5"/>
  <c r="WC46" i="5"/>
  <c r="UV49" i="5"/>
  <c r="WD46" i="5"/>
  <c r="UY45" i="5"/>
  <c r="NZ47" i="5"/>
  <c r="AC46" i="5"/>
  <c r="RT44" i="5"/>
  <c r="AEH45" i="5"/>
  <c r="AAH44" i="5"/>
  <c r="AN47" i="5"/>
  <c r="ABA44" i="5"/>
  <c r="CA47" i="5"/>
  <c r="GU45" i="5"/>
  <c r="DO47" i="5"/>
  <c r="XV46" i="5"/>
  <c r="JK48" i="5"/>
  <c r="AHP50" i="5"/>
  <c r="LG53" i="5"/>
  <c r="AB44" i="5"/>
  <c r="NM44" i="5"/>
  <c r="ADG44" i="5"/>
  <c r="KS45" i="5"/>
  <c r="RV46" i="5"/>
  <c r="AF43" i="5"/>
  <c r="KB43" i="5"/>
  <c r="TX43" i="5"/>
  <c r="ADT43" i="5"/>
  <c r="AU44" i="5"/>
  <c r="OJ44" i="5"/>
  <c r="AFJ44" i="5"/>
  <c r="RB45" i="5"/>
  <c r="NO47" i="5"/>
  <c r="EO43" i="5"/>
  <c r="PQ43" i="5"/>
  <c r="AAS43" i="5"/>
  <c r="AMB43" i="5"/>
  <c r="NO44" i="5"/>
  <c r="AFK44" i="5"/>
  <c r="ACO45" i="5"/>
  <c r="ALT42" i="5"/>
  <c r="PR43" i="5"/>
  <c r="AGX43" i="5"/>
  <c r="JV44" i="5"/>
  <c r="BV45" i="5"/>
  <c r="TL47" i="5"/>
  <c r="QA48" i="5"/>
  <c r="AHL46" i="5"/>
  <c r="CA46" i="5"/>
  <c r="AKS47" i="5"/>
  <c r="YM46" i="5"/>
  <c r="AIR48" i="5"/>
  <c r="XM46" i="5"/>
  <c r="JM45" i="5"/>
  <c r="XO46" i="5"/>
  <c r="VT45" i="5"/>
  <c r="XP44" i="5"/>
  <c r="BF46" i="5"/>
  <c r="SK44" i="5"/>
  <c r="XR46" i="5"/>
  <c r="AAZ44" i="5"/>
  <c r="BZ47" i="5"/>
  <c r="GT45" i="5"/>
  <c r="DN47" i="5"/>
  <c r="HN45" i="5"/>
  <c r="GT44" i="5"/>
  <c r="ZI46" i="5"/>
  <c r="LT48" i="5"/>
  <c r="ALN48" i="5"/>
  <c r="SX49" i="5"/>
  <c r="AT44" i="5"/>
  <c r="OI44" i="5"/>
  <c r="AEK44" i="5"/>
  <c r="MH45" i="5"/>
  <c r="WY46" i="5"/>
  <c r="AV43" i="5"/>
  <c r="KR43" i="5"/>
  <c r="UN43" i="5"/>
  <c r="AEJ43" i="5"/>
  <c r="BM44" i="5"/>
  <c r="PL44" i="5"/>
  <c r="AGN44" i="5"/>
  <c r="SV45" i="5"/>
  <c r="GO50" i="5"/>
  <c r="FE43" i="5"/>
  <c r="QG43" i="5"/>
  <c r="ABI43" i="5"/>
  <c r="L44" i="5"/>
  <c r="OK44" i="5"/>
  <c r="AGO44" i="5"/>
  <c r="AFS45" i="5"/>
  <c r="B43" i="5"/>
  <c r="QH43" i="5"/>
  <c r="AHN43" i="5"/>
  <c r="KU44" i="5"/>
  <c r="DH45" i="5"/>
  <c r="VW47" i="5"/>
  <c r="VX48" i="5"/>
  <c r="AIV46" i="5"/>
  <c r="DI46" i="5"/>
  <c r="AX48" i="5"/>
  <c r="AAA46" i="5"/>
  <c r="CE49" i="5"/>
  <c r="YN46" i="5"/>
  <c r="KF45" i="5"/>
  <c r="YR46" i="5"/>
  <c r="WO45" i="5"/>
  <c r="YG44" i="5"/>
  <c r="CN46" i="5"/>
  <c r="TB44" i="5"/>
  <c r="ZB46" i="5"/>
  <c r="ABQ44" i="5"/>
  <c r="DF47" i="5"/>
  <c r="HM45" i="5"/>
  <c r="FF47" i="5"/>
  <c r="IG45" i="5"/>
  <c r="HK44" i="5"/>
  <c r="AIG46" i="5"/>
  <c r="PA48" i="5"/>
  <c r="MW49" i="5"/>
  <c r="WB49" i="5"/>
  <c r="YG45" i="5"/>
  <c r="DO48" i="5"/>
  <c r="ADO43" i="5"/>
  <c r="AO44" i="5"/>
  <c r="OE44" i="5"/>
  <c r="ADZ44" i="5"/>
  <c r="LS45" i="5"/>
  <c r="VN46" i="5"/>
  <c r="VP43" i="5"/>
  <c r="AFL43" i="5"/>
  <c r="CS44" i="5"/>
  <c r="QZ44" i="5"/>
  <c r="AHG44" i="5"/>
  <c r="QK45" i="5"/>
  <c r="ALL46" i="5"/>
  <c r="TE43" i="5"/>
  <c r="ADA43" i="5"/>
  <c r="Y44" i="5"/>
  <c r="NJ44" i="5"/>
  <c r="ADE44" i="5"/>
  <c r="KQ45" i="5"/>
  <c r="RN46" i="5"/>
  <c r="AD43" i="5"/>
  <c r="JZ43" i="5"/>
  <c r="TV43" i="5"/>
  <c r="ADR43" i="5"/>
  <c r="AS44" i="5"/>
  <c r="OH44" i="5"/>
  <c r="AED44" i="5"/>
  <c r="MD45" i="5"/>
  <c r="WW46" i="5"/>
  <c r="AU43" i="5"/>
  <c r="KQ43" i="5"/>
  <c r="UM43" i="5"/>
  <c r="AEI43" i="5"/>
  <c r="BL44" i="5"/>
  <c r="PK44" i="5"/>
  <c r="AFI44" i="5"/>
  <c r="NT45" i="5"/>
  <c r="ACA46" i="5"/>
  <c r="BL43" i="5"/>
  <c r="LH43" i="5"/>
  <c r="VD43" i="5"/>
  <c r="AEZ43" i="5"/>
  <c r="CE44" i="5"/>
  <c r="QH44" i="5"/>
  <c r="AHK44" i="5"/>
  <c r="UQ45" i="5"/>
  <c r="AIA42" i="5"/>
  <c r="FU43" i="5"/>
  <c r="QW43" i="5"/>
  <c r="ABY43" i="5"/>
  <c r="AD44" i="5"/>
  <c r="PM44" i="5"/>
  <c r="AHR44" i="5"/>
  <c r="AJI45" i="5"/>
  <c r="DJ43" i="5"/>
  <c r="QX43" i="5"/>
  <c r="AID43" i="5"/>
  <c r="LR44" i="5"/>
  <c r="ET45" i="5"/>
  <c r="YB47" i="5"/>
  <c r="AAZ48" i="5"/>
  <c r="AKB46" i="5"/>
  <c r="QO46" i="5"/>
  <c r="EN48" i="5"/>
  <c r="ABA46" i="5"/>
  <c r="WM45" i="5"/>
  <c r="AAB46" i="5"/>
  <c r="LB45" i="5"/>
  <c r="KA47" i="5"/>
  <c r="XO45" i="5"/>
  <c r="YX44" i="5"/>
  <c r="AKR46" i="5"/>
  <c r="TS44" i="5"/>
  <c r="AAF46" i="5"/>
  <c r="HL45" i="5"/>
  <c r="EU47" i="5"/>
  <c r="IF45" i="5"/>
  <c r="VV50" i="5"/>
  <c r="IZ45" i="5"/>
  <c r="IS44" i="5"/>
  <c r="JK47" i="5"/>
  <c r="ADO48" i="5"/>
  <c r="ACP53" i="5"/>
  <c r="AW46" i="5"/>
  <c r="UM46" i="5"/>
  <c r="CT47" i="5"/>
  <c r="AW48" i="5"/>
  <c r="EK46" i="5"/>
  <c r="YL46" i="5"/>
  <c r="HU47" i="5"/>
  <c r="MO48" i="5"/>
  <c r="AGG45" i="5"/>
  <c r="LQ46" i="5"/>
  <c r="AGJ46" i="5"/>
  <c r="UD47" i="5"/>
  <c r="KX49" i="5"/>
  <c r="ACX45" i="5"/>
  <c r="IC46" i="5"/>
  <c r="ACM46" i="5"/>
  <c r="PU47" i="5"/>
  <c r="AJA49" i="5"/>
  <c r="OD45" i="5"/>
  <c r="AMA45" i="5"/>
  <c r="AAC46" i="5"/>
  <c r="BZ48" i="5"/>
  <c r="HF45" i="5"/>
  <c r="ZR45" i="5"/>
  <c r="TQ46" i="5"/>
  <c r="AFG47" i="5"/>
  <c r="ABN44" i="5"/>
  <c r="LD45" i="5"/>
  <c r="DN46" i="5"/>
  <c r="GK47" i="5"/>
  <c r="AA44" i="5"/>
  <c r="VA44" i="5"/>
  <c r="DN45" i="5"/>
  <c r="AFN45" i="5"/>
  <c r="AFO46" i="5"/>
  <c r="EY49" i="5"/>
  <c r="ACH44" i="5"/>
  <c r="LY45" i="5"/>
  <c r="FA46" i="5"/>
  <c r="IO47" i="5"/>
  <c r="GR44" i="5"/>
  <c r="ABR44" i="5"/>
  <c r="LG45" i="5"/>
  <c r="DT46" i="5"/>
  <c r="GV47" i="5"/>
  <c r="GB44" i="5"/>
  <c r="ABB44" i="5"/>
  <c r="KO45" i="5"/>
  <c r="CS46" i="5"/>
  <c r="FG47" i="5"/>
  <c r="NY44" i="5"/>
  <c r="JW45" i="5"/>
  <c r="AJR46" i="5"/>
  <c r="WE47" i="5"/>
  <c r="JJ48" i="5"/>
  <c r="AHG48" i="5"/>
  <c r="NL48" i="5"/>
  <c r="NN46" i="5"/>
  <c r="JL46" i="5"/>
  <c r="KA49" i="5"/>
  <c r="SP52" i="5"/>
  <c r="BY46" i="5"/>
  <c r="VW46" i="5"/>
  <c r="EA47" i="5"/>
  <c r="EM48" i="5"/>
  <c r="FT46" i="5"/>
  <c r="ZV46" i="5"/>
  <c r="JM47" i="5"/>
  <c r="RN48" i="5"/>
  <c r="AHH45" i="5"/>
  <c r="NA46" i="5"/>
  <c r="AHN46" i="5"/>
  <c r="WF47" i="5"/>
  <c r="US49" i="5"/>
  <c r="AED45" i="5"/>
  <c r="JF46" i="5"/>
  <c r="ADZ46" i="5"/>
  <c r="SE47" i="5"/>
  <c r="MJ50" i="5"/>
  <c r="OX45" i="5"/>
  <c r="AA46" i="5"/>
  <c r="ABC46" i="5"/>
  <c r="FL48" i="5"/>
  <c r="IB45" i="5"/>
  <c r="AAX45" i="5"/>
  <c r="VA46" i="5"/>
  <c r="AIH47" i="5"/>
  <c r="AHL44" i="5"/>
  <c r="SG45" i="5"/>
  <c r="OP46" i="5"/>
  <c r="ZU47" i="5"/>
  <c r="FX44" i="5"/>
  <c r="AAX44" i="5"/>
  <c r="KL45" i="5"/>
  <c r="CO46" i="5"/>
  <c r="ES47" i="5"/>
  <c r="NE44" i="5"/>
  <c r="AIE44" i="5"/>
  <c r="TI45" i="5"/>
  <c r="PV46" i="5"/>
  <c r="ADA47" i="5"/>
  <c r="MO44" i="5"/>
  <c r="AHO44" i="5"/>
  <c r="SM45" i="5"/>
  <c r="OV46" i="5"/>
  <c r="AAE47" i="5"/>
  <c r="LY44" i="5"/>
  <c r="AGY44" i="5"/>
  <c r="RP45" i="5"/>
  <c r="NJ46" i="5"/>
  <c r="XU47" i="5"/>
  <c r="XU44" i="5"/>
  <c r="VZ45" i="5"/>
  <c r="AGM47" i="5"/>
  <c r="KL48" i="5"/>
  <c r="DA49" i="5"/>
  <c r="MU51" i="5"/>
  <c r="YY50" i="5"/>
  <c r="AU47" i="5"/>
  <c r="YL47" i="5"/>
  <c r="O48" i="5"/>
  <c r="WH48" i="5"/>
  <c r="ABI44" i="5"/>
  <c r="HU45" i="5"/>
  <c r="IZ46" i="5"/>
  <c r="AED47" i="5"/>
  <c r="AEJ50" i="5"/>
  <c r="R49" i="5"/>
  <c r="DH46" i="5"/>
  <c r="XA46" i="5"/>
  <c r="FZ47" i="5"/>
  <c r="HY48" i="5"/>
  <c r="GS46" i="5"/>
  <c r="AAZ46" i="5"/>
  <c r="LU47" i="5"/>
  <c r="VZ48" i="5"/>
  <c r="AIO45" i="5"/>
  <c r="OE46" i="5"/>
  <c r="AIX46" i="5"/>
  <c r="YX47" i="5"/>
  <c r="AGG49" i="5"/>
  <c r="AFB45" i="5"/>
  <c r="KN46" i="5"/>
  <c r="AFA46" i="5"/>
  <c r="UE47" i="5"/>
  <c r="IR51" i="5"/>
  <c r="TC45" i="5"/>
  <c r="BD46" i="5"/>
  <c r="AKP46" i="5"/>
  <c r="JF48" i="5"/>
  <c r="IU45" i="5"/>
  <c r="ABY45" i="5"/>
  <c r="WE46" i="5"/>
  <c r="ALT47" i="5"/>
  <c r="AIC44" i="5"/>
  <c r="TE45" i="5"/>
  <c r="PT46" i="5"/>
  <c r="ACK47" i="5"/>
  <c r="GO44" i="5"/>
  <c r="ABP44" i="5"/>
  <c r="LE45" i="5"/>
  <c r="DR46" i="5"/>
  <c r="GT47" i="5"/>
  <c r="NV44" i="5"/>
  <c r="AIV44" i="5"/>
  <c r="UD45" i="5"/>
  <c r="RF46" i="5"/>
  <c r="AFR47" i="5"/>
  <c r="NF44" i="5"/>
  <c r="AIF44" i="5"/>
  <c r="TJ45" i="5"/>
  <c r="QG46" i="5"/>
  <c r="ADG47" i="5"/>
  <c r="MP44" i="5"/>
  <c r="AHP44" i="5"/>
  <c r="SP45" i="5"/>
  <c r="OW46" i="5"/>
  <c r="AAG47" i="5"/>
  <c r="YL44" i="5"/>
  <c r="WX45" i="5"/>
  <c r="T48" i="5"/>
  <c r="LR48" i="5"/>
  <c r="IX49" i="5"/>
  <c r="Y47" i="5"/>
  <c r="CS51" i="5"/>
  <c r="CM47" i="5"/>
  <c r="AAL47" i="5"/>
  <c r="TT49" i="5"/>
  <c r="AE49" i="5"/>
  <c r="ACM44" i="5"/>
  <c r="JJ45" i="5"/>
  <c r="NW46" i="5"/>
  <c r="AGQ47" i="5"/>
  <c r="TM47" i="5"/>
  <c r="IT49" i="5"/>
  <c r="EJ46" i="5"/>
  <c r="YK46" i="5"/>
  <c r="HT47" i="5"/>
  <c r="LQ48" i="5"/>
  <c r="HV46" i="5"/>
  <c r="ACJ46" i="5"/>
  <c r="NQ47" i="5"/>
  <c r="ABB48" i="5"/>
  <c r="AJN45" i="5"/>
  <c r="PP46" i="5"/>
  <c r="AKN46" i="5"/>
  <c r="ABZ47" i="5"/>
  <c r="MI50" i="5"/>
  <c r="AGH45" i="5"/>
  <c r="LR46" i="5"/>
  <c r="AGK46" i="5"/>
  <c r="WS47" i="5"/>
  <c r="BF45" i="5"/>
  <c r="TX45" i="5"/>
  <c r="CD46" i="5"/>
  <c r="AMB46" i="5"/>
  <c r="MU48" i="5"/>
  <c r="JN45" i="5"/>
  <c r="ADE45" i="5"/>
  <c r="XP46" i="5"/>
  <c r="CA48" i="5"/>
  <c r="AIT44" i="5"/>
  <c r="UB45" i="5"/>
  <c r="RD46" i="5"/>
  <c r="AFH47" i="5"/>
  <c r="HF44" i="5"/>
  <c r="ACG44" i="5"/>
  <c r="LX45" i="5"/>
  <c r="EZ46" i="5"/>
  <c r="IN47" i="5"/>
  <c r="OM44" i="5"/>
  <c r="AJM44" i="5"/>
  <c r="VB45" i="5"/>
  <c r="SQ46" i="5"/>
  <c r="AIN47" i="5"/>
  <c r="NW44" i="5"/>
  <c r="AIW44" i="5"/>
  <c r="UH45" i="5"/>
  <c r="RG46" i="5"/>
  <c r="AGD47" i="5"/>
  <c r="NG44" i="5"/>
  <c r="AIG44" i="5"/>
  <c r="TK45" i="5"/>
  <c r="QH46" i="5"/>
  <c r="ADH47" i="5"/>
  <c r="ZU44" i="5"/>
  <c r="YB45" i="5"/>
  <c r="GV48" i="5"/>
  <c r="NF48" i="5"/>
  <c r="OX49" i="5"/>
  <c r="AS47" i="5"/>
  <c r="ADL51" i="5"/>
  <c r="FS47" i="5"/>
  <c r="AM48" i="5"/>
  <c r="WY49" i="5"/>
  <c r="AZ49" i="5"/>
  <c r="MJ45" i="5"/>
  <c r="XW46" i="5"/>
  <c r="R43" i="5"/>
  <c r="JN43" i="5"/>
  <c r="TJ43" i="5"/>
  <c r="ADF43" i="5"/>
  <c r="AE44" i="5"/>
  <c r="NP44" i="5"/>
  <c r="ADJ44" i="5"/>
  <c r="KV45" i="5"/>
  <c r="SY46" i="5"/>
  <c r="AJR47" i="5"/>
  <c r="VX47" i="5"/>
  <c r="UO49" i="5"/>
  <c r="FJ46" i="5"/>
  <c r="ZO46" i="5"/>
  <c r="JJ47" i="5"/>
  <c r="RB48" i="5"/>
  <c r="JD46" i="5"/>
  <c r="ADN46" i="5"/>
  <c r="PR47" i="5"/>
  <c r="AHB48" i="5"/>
  <c r="AKQ45" i="5"/>
  <c r="QP46" i="5"/>
  <c r="ALP46" i="5"/>
  <c r="AEL47" i="5"/>
  <c r="IQ51" i="5"/>
  <c r="AHI45" i="5"/>
  <c r="NC46" i="5"/>
  <c r="AHO46" i="5"/>
  <c r="YZ47" i="5"/>
  <c r="BY45" i="5"/>
  <c r="UX45" i="5"/>
  <c r="DL46" i="5"/>
  <c r="Z47" i="5"/>
  <c r="RR48" i="5"/>
  <c r="KG45" i="5"/>
  <c r="ALC45" i="5"/>
  <c r="YS46" i="5"/>
  <c r="FM48" i="5"/>
  <c r="AJK44" i="5"/>
  <c r="UZ45" i="5"/>
  <c r="SH46" i="5"/>
  <c r="AII47" i="5"/>
  <c r="HX44" i="5"/>
  <c r="ACX44" i="5"/>
  <c r="MQ45" i="5"/>
  <c r="FZ46" i="5"/>
  <c r="KE47" i="5"/>
  <c r="PD44" i="5"/>
  <c r="AKF44" i="5"/>
  <c r="VW45" i="5"/>
  <c r="TT46" i="5"/>
  <c r="AMC47" i="5"/>
  <c r="ON44" i="5"/>
  <c r="AJN44" i="5"/>
  <c r="VC45" i="5"/>
  <c r="SU46" i="5"/>
  <c r="AIP47" i="5"/>
  <c r="NX44" i="5"/>
  <c r="AIX44" i="5"/>
  <c r="UI45" i="5"/>
  <c r="RH46" i="5"/>
  <c r="AGE47" i="5"/>
  <c r="AAL44" i="5"/>
  <c r="YZ45" i="5"/>
  <c r="PW48" i="5"/>
  <c r="ON48" i="5"/>
  <c r="DC50" i="5"/>
  <c r="BN47" i="5"/>
  <c r="KN47" i="5"/>
  <c r="NG47" i="5"/>
  <c r="WW48" i="5"/>
  <c r="ABR45" i="5"/>
  <c r="NI49" i="5"/>
  <c r="ADI46" i="5"/>
  <c r="AH43" i="5"/>
  <c r="KD43" i="5"/>
  <c r="TZ43" i="5"/>
  <c r="ADV43" i="5"/>
  <c r="AW44" i="5"/>
  <c r="OR44" i="5"/>
  <c r="AEN44" i="5"/>
  <c r="MK45" i="5"/>
  <c r="YH46" i="5"/>
  <c r="W48" i="5"/>
  <c r="YT47" i="5"/>
  <c r="AFF49" i="5"/>
  <c r="GR46" i="5"/>
  <c r="AAY46" i="5"/>
  <c r="LG47" i="5"/>
  <c r="VY48" i="5"/>
  <c r="KG46" i="5"/>
  <c r="AEY46" i="5"/>
  <c r="RS47" i="5"/>
  <c r="BN49" i="5"/>
  <c r="ALY45" i="5"/>
  <c r="SD46" i="5"/>
  <c r="W47" i="5"/>
  <c r="AHL47" i="5"/>
  <c r="SD45" i="5"/>
  <c r="AIP45" i="5"/>
  <c r="OF46" i="5"/>
  <c r="AIY46" i="5"/>
  <c r="ACA47" i="5"/>
  <c r="CR45" i="5"/>
  <c r="VS45" i="5"/>
  <c r="EO46" i="5"/>
  <c r="BK47" i="5"/>
  <c r="XN48" i="5"/>
  <c r="LC45" i="5"/>
  <c r="AMB45" i="5"/>
  <c r="AAD46" i="5"/>
  <c r="JG48" i="5"/>
  <c r="AKB44" i="5"/>
  <c r="VU45" i="5"/>
  <c r="TR46" i="5"/>
  <c r="ALV47" i="5"/>
  <c r="IO44" i="5"/>
  <c r="ADO44" i="5"/>
  <c r="NJ45" i="5"/>
  <c r="HH46" i="5"/>
  <c r="MD47" i="5"/>
  <c r="PU44" i="5"/>
  <c r="AKX44" i="5"/>
  <c r="WU45" i="5"/>
  <c r="VE46" i="5"/>
  <c r="CG48" i="5"/>
  <c r="PE44" i="5"/>
  <c r="AKG44" i="5"/>
  <c r="VX45" i="5"/>
  <c r="TU46" i="5"/>
  <c r="AMD47" i="5"/>
  <c r="OO44" i="5"/>
  <c r="AJP44" i="5"/>
  <c r="VD45" i="5"/>
  <c r="SV46" i="5"/>
  <c r="Q48" i="5"/>
  <c r="ABC44" i="5"/>
  <c r="AAF45" i="5"/>
  <c r="ABR49" i="5"/>
  <c r="RS48" i="5"/>
  <c r="II50" i="5"/>
  <c r="CH47" i="5"/>
  <c r="LI47" i="5"/>
  <c r="OE47" i="5"/>
  <c r="YL48" i="5"/>
  <c r="ACK45" i="5"/>
  <c r="AFU49" i="5"/>
  <c r="PM45" i="5"/>
  <c r="AIH46" i="5"/>
  <c r="AX43" i="5"/>
  <c r="KT43" i="5"/>
  <c r="UP43" i="5"/>
  <c r="AEL43" i="5"/>
  <c r="BO44" i="5"/>
  <c r="PN44" i="5"/>
  <c r="AFL44" i="5"/>
  <c r="NW45" i="5"/>
  <c r="ADJ46" i="5"/>
  <c r="EK48" i="5"/>
  <c r="ABC47" i="5"/>
  <c r="GS50" i="5"/>
  <c r="HU46" i="5"/>
  <c r="ACI46" i="5"/>
  <c r="NP47" i="5"/>
  <c r="ABA48" i="5"/>
  <c r="LP46" i="5"/>
  <c r="AGI46" i="5"/>
  <c r="UC47" i="5"/>
  <c r="KW49" i="5"/>
  <c r="T46" i="5"/>
  <c r="TN46" i="5"/>
  <c r="BI47" i="5"/>
  <c r="AKT47" i="5"/>
  <c r="TB45" i="5"/>
  <c r="AJO45" i="5"/>
  <c r="PQ46" i="5"/>
  <c r="AKO46" i="5"/>
  <c r="AFE47" i="5"/>
  <c r="GL45" i="5"/>
  <c r="WN45" i="5"/>
  <c r="FW46" i="5"/>
  <c r="CX47" i="5"/>
  <c r="MK50" i="5"/>
  <c r="LV45" i="5"/>
  <c r="AB46" i="5"/>
  <c r="ACR46" i="5"/>
  <c r="NE48" i="5"/>
  <c r="AKV44" i="5"/>
  <c r="WP45" i="5"/>
  <c r="VC46" i="5"/>
  <c r="CD48" i="5"/>
  <c r="JF44" i="5"/>
  <c r="AEF44" i="5"/>
  <c r="OG45" i="5"/>
  <c r="IK46" i="5"/>
  <c r="OM47" i="5"/>
  <c r="QL44" i="5"/>
  <c r="ALQ44" i="5"/>
  <c r="XV45" i="5"/>
  <c r="WI46" i="5"/>
  <c r="GS48" i="5"/>
  <c r="PV44" i="5"/>
  <c r="AKY44" i="5"/>
  <c r="WV45" i="5"/>
  <c r="VF46" i="5"/>
  <c r="DC48" i="5"/>
  <c r="PF44" i="5"/>
  <c r="AKH44" i="5"/>
  <c r="VY45" i="5"/>
  <c r="TW46" i="5"/>
  <c r="DD48" i="5"/>
  <c r="ABT44" i="5"/>
  <c r="ACM45" i="5"/>
  <c r="BO50" i="5"/>
  <c r="UZ48" i="5"/>
  <c r="OJ50" i="5"/>
  <c r="DZ47" i="5"/>
  <c r="NF47" i="5"/>
  <c r="PX47" i="5"/>
  <c r="XR45" i="5"/>
  <c r="PH46" i="5"/>
  <c r="Q46" i="5"/>
  <c r="RF45" i="5"/>
  <c r="AR47" i="5"/>
  <c r="BN43" i="5"/>
  <c r="LJ43" i="5"/>
  <c r="VF43" i="5"/>
  <c r="AFB43" i="5"/>
  <c r="CG44" i="5"/>
  <c r="QJ44" i="5"/>
  <c r="AGP44" i="5"/>
  <c r="PO45" i="5"/>
  <c r="AII46" i="5"/>
  <c r="HW48" i="5"/>
  <c r="AEG47" i="5"/>
  <c r="K51" i="5"/>
  <c r="JC46" i="5"/>
  <c r="ADM46" i="5"/>
  <c r="PP47" i="5"/>
  <c r="AHA48" i="5"/>
  <c r="MZ46" i="5"/>
  <c r="AHM46" i="5"/>
  <c r="WA47" i="5"/>
  <c r="UR49" i="5"/>
  <c r="BB46" i="5"/>
  <c r="UO46" i="5"/>
  <c r="CV47" i="5"/>
  <c r="BD48" i="5"/>
  <c r="TW45" i="5"/>
  <c r="AKW45" i="5"/>
  <c r="RA46" i="5"/>
  <c r="AMA46" i="5"/>
  <c r="AHN47" i="5"/>
  <c r="HE45" i="5"/>
  <c r="XN45" i="5"/>
  <c r="GZ46" i="5"/>
  <c r="EO47" i="5"/>
  <c r="IS51" i="5"/>
  <c r="MO45" i="5"/>
  <c r="BE46" i="5"/>
  <c r="AMC46" i="5"/>
  <c r="SR48" i="5"/>
  <c r="ALO44" i="5"/>
  <c r="XP45" i="5"/>
  <c r="WF46" i="5"/>
  <c r="FS48" i="5"/>
  <c r="JW44" i="5"/>
  <c r="AEW44" i="5"/>
  <c r="PA45" i="5"/>
  <c r="JK46" i="5"/>
  <c r="QM47" i="5"/>
  <c r="RD44" i="5"/>
  <c r="B45" i="5"/>
  <c r="YW45" i="5"/>
  <c r="XS46" i="5"/>
  <c r="KD48" i="5"/>
  <c r="QN44" i="5"/>
  <c r="ALR44" i="5"/>
  <c r="XZ45" i="5"/>
  <c r="WS46" i="5"/>
  <c r="GT48" i="5"/>
  <c r="PX44" i="5"/>
  <c r="AKZ44" i="5"/>
  <c r="WW45" i="5"/>
  <c r="VG46" i="5"/>
  <c r="GU48" i="5"/>
  <c r="ACK44" i="5"/>
  <c r="AHY45" i="5"/>
  <c r="WC50" i="5"/>
  <c r="XT48" i="5"/>
  <c r="WW50" i="5"/>
  <c r="FN47" i="5"/>
  <c r="QT47" i="5"/>
  <c r="TP47" i="5"/>
  <c r="YK45" i="5"/>
  <c r="QF46" i="5"/>
  <c r="AH46" i="5"/>
  <c r="AKR44" i="5"/>
  <c r="XD45" i="5"/>
  <c r="ABA47" i="5"/>
  <c r="CS43" i="5"/>
  <c r="MO43" i="5"/>
  <c r="WK43" i="5"/>
  <c r="AGG43" i="5"/>
  <c r="DS44" i="5"/>
  <c r="SG44" i="5"/>
  <c r="AIP44" i="5"/>
  <c r="SW45" i="5"/>
  <c r="HD47" i="5"/>
  <c r="CD43" i="5"/>
  <c r="LZ43" i="5"/>
  <c r="VV43" i="5"/>
  <c r="AFR43" i="5"/>
  <c r="CZ44" i="5"/>
  <c r="RL44" i="5"/>
  <c r="AHT44" i="5"/>
  <c r="RG45" i="5"/>
  <c r="AT47" i="5"/>
  <c r="LO48" i="5"/>
  <c r="AHI47" i="5"/>
  <c r="AEY45" i="5"/>
  <c r="KC46" i="5"/>
  <c r="AEW46" i="5"/>
  <c r="RN47" i="5"/>
  <c r="S49" i="5"/>
  <c r="OA46" i="5"/>
  <c r="AIW46" i="5"/>
  <c r="YV47" i="5"/>
  <c r="AGD49" i="5"/>
  <c r="CB46" i="5"/>
  <c r="WB46" i="5"/>
  <c r="EL47" i="5"/>
  <c r="EO48" i="5"/>
  <c r="UR45" i="5"/>
  <c r="ALZ45" i="5"/>
  <c r="SE46" i="5"/>
  <c r="X47" i="5"/>
  <c r="AKU47" i="5"/>
  <c r="IA45" i="5"/>
  <c r="YS45" i="5"/>
  <c r="PR46" i="5"/>
  <c r="GD47" i="5"/>
  <c r="AKA44" i="5"/>
  <c r="NH45" i="5"/>
  <c r="CM46" i="5"/>
  <c r="AH47" i="5"/>
  <c r="ACV48" i="5"/>
  <c r="AMH44" i="5"/>
  <c r="YU45" i="5"/>
  <c r="XQ46" i="5"/>
  <c r="JH48" i="5"/>
  <c r="KN44" i="5"/>
  <c r="AFN44" i="5"/>
  <c r="PU45" i="5"/>
  <c r="KS46" i="5"/>
  <c r="SN47" i="5"/>
  <c r="RU44" i="5"/>
  <c r="U45" i="5"/>
  <c r="ZX45" i="5"/>
  <c r="ZC46" i="5"/>
  <c r="OJ48" i="5"/>
  <c r="RE44" i="5"/>
  <c r="C45" i="5"/>
  <c r="YX45" i="5"/>
  <c r="XT46" i="5"/>
  <c r="KG48" i="5"/>
  <c r="QO44" i="5"/>
  <c r="ALS44" i="5"/>
  <c r="YA45" i="5"/>
  <c r="WT46" i="5"/>
  <c r="KH48" i="5"/>
  <c r="ADS44" i="5"/>
  <c r="AIX45" i="5"/>
  <c r="AGA52" i="5"/>
  <c r="ALF48" i="5"/>
  <c r="CP51" i="5"/>
  <c r="NA47" i="5"/>
  <c r="ZK47" i="5"/>
  <c r="ACQ47" i="5"/>
  <c r="JP46" i="5"/>
  <c r="DM47" i="5"/>
  <c r="P50" i="5"/>
  <c r="VF44" i="5"/>
  <c r="AMD44" i="5"/>
  <c r="ZL45" i="5"/>
  <c r="PY48" i="5"/>
  <c r="DI43" i="5"/>
  <c r="NE43" i="5"/>
  <c r="XA43" i="5"/>
  <c r="AGW43" i="5"/>
  <c r="EN44" i="5"/>
  <c r="TI44" i="5"/>
  <c r="AJT44" i="5"/>
  <c r="VF45" i="5"/>
  <c r="OX47" i="5"/>
  <c r="CT43" i="5"/>
  <c r="MP43" i="5"/>
  <c r="WL43" i="5"/>
  <c r="AGH43" i="5"/>
  <c r="DT44" i="5"/>
  <c r="SH44" i="5"/>
  <c r="AIQ44" i="5"/>
  <c r="SX45" i="5"/>
  <c r="HE47" i="5"/>
  <c r="PZ48" i="5"/>
  <c r="AJT47" i="5"/>
  <c r="AFZ45" i="5"/>
  <c r="LO46" i="5"/>
  <c r="AGA46" i="5"/>
  <c r="UB47" i="5"/>
  <c r="KV49" i="5"/>
  <c r="PO46" i="5"/>
  <c r="AKI46" i="5"/>
  <c r="ABX47" i="5"/>
  <c r="IG50" i="5"/>
  <c r="DJ46" i="5"/>
  <c r="XC46" i="5"/>
  <c r="GB47" i="5"/>
  <c r="IX48" i="5"/>
  <c r="VR45" i="5"/>
  <c r="U46" i="5"/>
  <c r="TO46" i="5"/>
  <c r="BJ47" i="5"/>
  <c r="BE48" i="5"/>
  <c r="IT45" i="5"/>
  <c r="ZQ45" i="5"/>
  <c r="RB46" i="5"/>
  <c r="HY47" i="5"/>
  <c r="AKT44" i="5"/>
  <c r="OE45" i="5"/>
  <c r="DM46" i="5"/>
  <c r="BM47" i="5"/>
  <c r="UJ51" i="5"/>
  <c r="FU45" i="5"/>
  <c r="AIS45" i="5"/>
  <c r="AJE46" i="5"/>
  <c r="AKL49" i="5"/>
  <c r="QK44" i="5"/>
  <c r="ALP44" i="5"/>
  <c r="XQ45" i="5"/>
  <c r="WG46" i="5"/>
  <c r="FT48" i="5"/>
  <c r="XR44" i="5"/>
  <c r="GP45" i="5"/>
  <c r="AKC45" i="5"/>
  <c r="AKT46" i="5"/>
  <c r="TU50" i="5"/>
  <c r="XB44" i="5"/>
  <c r="FX45" i="5"/>
  <c r="AIV45" i="5"/>
  <c r="AJP46" i="5"/>
  <c r="BM50" i="5"/>
  <c r="WL44" i="5"/>
  <c r="FF45" i="5"/>
  <c r="AHX45" i="5"/>
  <c r="AIF46" i="5"/>
  <c r="GC44" i="5"/>
  <c r="AA45" i="5"/>
  <c r="QI46" i="5"/>
  <c r="HW47" i="5"/>
  <c r="CM51" i="5"/>
  <c r="HD48" i="5"/>
  <c r="AFT47" i="5"/>
  <c r="ABV48" i="5"/>
  <c r="AHX48" i="5"/>
  <c r="ABM45" i="5"/>
  <c r="JY51" i="5"/>
  <c r="ABN46" i="5"/>
  <c r="LY47" i="5"/>
  <c r="XO48" i="5"/>
  <c r="ACF44" i="5"/>
  <c r="S45" i="5"/>
  <c r="LW45" i="5"/>
  <c r="ZV45" i="5"/>
  <c r="EV46" i="5"/>
  <c r="YU46" i="5"/>
  <c r="IM47" i="5"/>
  <c r="OH48" i="5"/>
  <c r="AR44" i="5"/>
  <c r="LE44" i="5"/>
  <c r="VR44" i="5"/>
  <c r="AGE44" i="5"/>
  <c r="EJ45" i="5"/>
  <c r="QR45" i="5"/>
  <c r="AGL45" i="5"/>
  <c r="MF46" i="5"/>
  <c r="AGR46" i="5"/>
  <c r="UX47" i="5"/>
  <c r="OQ49" i="5"/>
  <c r="SL44" i="5"/>
  <c r="ACY44" i="5"/>
  <c r="AQ45" i="5"/>
  <c r="MR45" i="5"/>
  <c r="ABD45" i="5"/>
  <c r="GA46" i="5"/>
  <c r="AAG46" i="5"/>
  <c r="KK47" i="5"/>
  <c r="TE48" i="5"/>
  <c r="HI44" i="5"/>
  <c r="RV44" i="5"/>
  <c r="ACI44" i="5"/>
  <c r="V45" i="5"/>
  <c r="LZ45" i="5"/>
  <c r="AAD45" i="5"/>
  <c r="FC46" i="5"/>
  <c r="ZD46" i="5"/>
  <c r="IP47" i="5"/>
  <c r="OK48" i="5"/>
  <c r="GS44" i="5"/>
  <c r="RF44" i="5"/>
  <c r="ABS44" i="5"/>
  <c r="D45" i="5"/>
  <c r="LH45" i="5"/>
  <c r="YY45" i="5"/>
  <c r="DU46" i="5"/>
  <c r="XU46" i="5"/>
  <c r="GW47" i="5"/>
  <c r="OL48" i="5"/>
  <c r="PH44" i="5"/>
  <c r="AGZ44" i="5"/>
  <c r="KP45" i="5"/>
  <c r="AKF45" i="5"/>
  <c r="ALH46" i="5"/>
  <c r="ES53" i="5"/>
  <c r="YA47" i="5"/>
  <c r="W49" i="5"/>
  <c r="KO48" i="5"/>
  <c r="YX51" i="5"/>
  <c r="AJN48" i="5"/>
  <c r="OA47" i="5"/>
  <c r="QQ48" i="5"/>
  <c r="AAJ47" i="5"/>
  <c r="OI46" i="5"/>
  <c r="ADQ47" i="5"/>
  <c r="KI46" i="5"/>
  <c r="KJ46" i="5"/>
  <c r="NS49" i="5"/>
  <c r="EG47" i="5"/>
  <c r="AGT52" i="5"/>
  <c r="AX50" i="5"/>
  <c r="ACW44" i="5"/>
  <c r="AL45" i="5"/>
  <c r="MP45" i="5"/>
  <c r="ABB45" i="5"/>
  <c r="FY46" i="5"/>
  <c r="AAE46" i="5"/>
  <c r="KD47" i="5"/>
  <c r="SV48" i="5"/>
  <c r="BI44" i="5"/>
  <c r="LV44" i="5"/>
  <c r="WI44" i="5"/>
  <c r="AGV44" i="5"/>
  <c r="FC45" i="5"/>
  <c r="RM45" i="5"/>
  <c r="AHR45" i="5"/>
  <c r="NG46" i="5"/>
  <c r="AIC46" i="5"/>
  <c r="WZ47" i="5"/>
  <c r="YG49" i="5"/>
  <c r="TC44" i="5"/>
  <c r="ADP44" i="5"/>
  <c r="BJ45" i="5"/>
  <c r="NN45" i="5"/>
  <c r="ACB45" i="5"/>
  <c r="HI46" i="5"/>
  <c r="ABQ46" i="5"/>
  <c r="MQ47" i="5"/>
  <c r="XR48" i="5"/>
  <c r="HZ44" i="5"/>
  <c r="SM44" i="5"/>
  <c r="ACZ44" i="5"/>
  <c r="AR45" i="5"/>
  <c r="MS45" i="5"/>
  <c r="ABE45" i="5"/>
  <c r="GB46" i="5"/>
  <c r="AAH46" i="5"/>
  <c r="KL47" i="5"/>
  <c r="TF48" i="5"/>
  <c r="HJ44" i="5"/>
  <c r="RW44" i="5"/>
  <c r="ACJ44" i="5"/>
  <c r="Z45" i="5"/>
  <c r="MA45" i="5"/>
  <c r="AAE45" i="5"/>
  <c r="FD46" i="5"/>
  <c r="ZE46" i="5"/>
  <c r="IR47" i="5"/>
  <c r="YV48" i="5"/>
  <c r="PY44" i="5"/>
  <c r="AHQ44" i="5"/>
  <c r="LI45" i="5"/>
  <c r="ALI45" i="5"/>
  <c r="F47" i="5"/>
  <c r="Q51" i="5"/>
  <c r="AFK47" i="5"/>
  <c r="CJ49" i="5"/>
  <c r="NH48" i="5"/>
  <c r="ABG47" i="5"/>
  <c r="AO49" i="5"/>
  <c r="OY47" i="5"/>
  <c r="AFM48" i="5"/>
  <c r="ACP47" i="5"/>
  <c r="PW46" i="5"/>
  <c r="AFW47" i="5"/>
  <c r="LX46" i="5"/>
  <c r="AJK46" i="5"/>
  <c r="ACJ45" i="5"/>
  <c r="AJK47" i="5"/>
  <c r="XK49" i="5"/>
  <c r="HK48" i="5"/>
  <c r="IH46" i="5"/>
  <c r="ACQ46" i="5"/>
  <c r="NY47" i="5"/>
  <c r="ACU48" i="5"/>
  <c r="CS45" i="5"/>
  <c r="OY45" i="5"/>
  <c r="AEF45" i="5"/>
  <c r="JH46" i="5"/>
  <c r="AEB46" i="5"/>
  <c r="QK47" i="5"/>
  <c r="AIV48" i="5"/>
  <c r="ADN44" i="5"/>
  <c r="BH45" i="5"/>
  <c r="NI45" i="5"/>
  <c r="ABZ45" i="5"/>
  <c r="HB46" i="5"/>
  <c r="ABO46" i="5"/>
  <c r="MB47" i="5"/>
  <c r="XP48" i="5"/>
  <c r="BZ44" i="5"/>
  <c r="MM44" i="5"/>
  <c r="WZ44" i="5"/>
  <c r="AHM44" i="5"/>
  <c r="FV45" i="5"/>
  <c r="SH45" i="5"/>
  <c r="AIT45" i="5"/>
  <c r="OQ46" i="5"/>
  <c r="AJH46" i="5"/>
  <c r="AAB47" i="5"/>
  <c r="AKM49" i="5"/>
  <c r="TT44" i="5"/>
  <c r="AEG44" i="5"/>
  <c r="CC45" i="5"/>
  <c r="OH45" i="5"/>
  <c r="ADH45" i="5"/>
  <c r="IL46" i="5"/>
  <c r="ACU46" i="5"/>
  <c r="ON47" i="5"/>
  <c r="AEL48" i="5"/>
  <c r="IQ44" i="5"/>
  <c r="TD44" i="5"/>
  <c r="ADQ44" i="5"/>
  <c r="BK45" i="5"/>
  <c r="NO45" i="5"/>
  <c r="ACC45" i="5"/>
  <c r="HJ46" i="5"/>
  <c r="ABR46" i="5"/>
  <c r="MR47" i="5"/>
  <c r="YU48" i="5"/>
  <c r="IA44" i="5"/>
  <c r="SN44" i="5"/>
  <c r="ADA44" i="5"/>
  <c r="AS45" i="5"/>
  <c r="MT45" i="5"/>
  <c r="ABF45" i="5"/>
  <c r="GC46" i="5"/>
  <c r="AAI46" i="5"/>
  <c r="KV47" i="5"/>
  <c r="ABM49" i="5"/>
  <c r="QP44" i="5"/>
  <c r="AIH44" i="5"/>
  <c r="MB45" i="5"/>
  <c r="AL46" i="5"/>
  <c r="CD47" i="5"/>
  <c r="YQ51" i="5"/>
  <c r="AGP47" i="5"/>
  <c r="FV49" i="5"/>
  <c r="QE48" i="5"/>
  <c r="ACL47" i="5"/>
  <c r="FX49" i="5"/>
  <c r="PV47" i="5"/>
  <c r="AHH48" i="5"/>
  <c r="AGT47" i="5"/>
  <c r="TC46" i="5"/>
  <c r="AKE47" i="5"/>
  <c r="VP46" i="5"/>
  <c r="AKE46" i="5"/>
  <c r="ADC45" i="5"/>
  <c r="AKQ47" i="5"/>
  <c r="ZM49" i="5"/>
  <c r="IE48" i="5"/>
  <c r="JG46" i="5"/>
  <c r="AEA46" i="5"/>
  <c r="QJ47" i="5"/>
  <c r="AIT48" i="5"/>
  <c r="DL45" i="5"/>
  <c r="PS45" i="5"/>
  <c r="AFD45" i="5"/>
  <c r="KQ46" i="5"/>
  <c r="AFC46" i="5"/>
  <c r="SG47" i="5"/>
  <c r="CI49" i="5"/>
  <c r="AEE44" i="5"/>
  <c r="CA45" i="5"/>
  <c r="OF45" i="5"/>
  <c r="ADF45" i="5"/>
  <c r="IJ46" i="5"/>
  <c r="ACS46" i="5"/>
  <c r="OL47" i="5"/>
  <c r="ACW48" i="5"/>
  <c r="CQ44" i="5"/>
  <c r="ND44" i="5"/>
  <c r="XQ44" i="5"/>
  <c r="AID44" i="5"/>
  <c r="GO45" i="5"/>
  <c r="TF45" i="5"/>
  <c r="AJW45" i="5"/>
  <c r="PU46" i="5"/>
  <c r="AKS46" i="5"/>
  <c r="ACZ47" i="5"/>
  <c r="TT50" i="5"/>
  <c r="UK44" i="5"/>
  <c r="AEX44" i="5"/>
  <c r="CV45" i="5"/>
  <c r="PB45" i="5"/>
  <c r="AEI45" i="5"/>
  <c r="JT46" i="5"/>
  <c r="AEE46" i="5"/>
  <c r="QN47" i="5"/>
  <c r="AKN48" i="5"/>
  <c r="JH44" i="5"/>
  <c r="TU44" i="5"/>
  <c r="AEH44" i="5"/>
  <c r="CD45" i="5"/>
  <c r="OI45" i="5"/>
  <c r="ADI45" i="5"/>
  <c r="IM46" i="5"/>
  <c r="ADC46" i="5"/>
  <c r="OR47" i="5"/>
  <c r="AEN48" i="5"/>
  <c r="IR44" i="5"/>
  <c r="TE44" i="5"/>
  <c r="ADR44" i="5"/>
  <c r="BL45" i="5"/>
  <c r="NP45" i="5"/>
  <c r="ACL45" i="5"/>
  <c r="HK46" i="5"/>
  <c r="ABS46" i="5"/>
  <c r="MU47" i="5"/>
  <c r="BN50" i="5"/>
  <c r="RG44" i="5"/>
  <c r="AIZ44" i="5"/>
  <c r="NQ45" i="5"/>
  <c r="CT46" i="5"/>
  <c r="FH47" i="5"/>
  <c r="HG52" i="5"/>
  <c r="AHO47" i="5"/>
  <c r="LS49" i="5"/>
  <c r="TH48" i="5"/>
  <c r="ADL47" i="5"/>
  <c r="ALN49" i="5"/>
  <c r="RT47" i="5"/>
  <c r="ALJ48" i="5"/>
  <c r="DU48" i="5"/>
  <c r="AAJ46" i="5"/>
  <c r="HI48" i="5"/>
  <c r="AJJ46" i="5"/>
  <c r="XL47" i="5"/>
  <c r="QE46" i="5"/>
  <c r="NU49" i="5"/>
  <c r="AKC47" i="5"/>
  <c r="ZD47" i="5"/>
  <c r="FK48" i="5"/>
  <c r="DK45" i="5"/>
  <c r="PR45" i="5"/>
  <c r="AFC45" i="5"/>
  <c r="KO46" i="5"/>
  <c r="AFB46" i="5"/>
  <c r="SF47" i="5"/>
  <c r="CH49" i="5"/>
  <c r="EH45" i="5"/>
  <c r="QP45" i="5"/>
  <c r="AGJ45" i="5"/>
  <c r="LT46" i="5"/>
  <c r="AGP46" i="5"/>
  <c r="UH47" i="5"/>
  <c r="NW49" i="5"/>
  <c r="AEV44" i="5"/>
  <c r="CT45" i="5"/>
  <c r="OZ45" i="5"/>
  <c r="AEG45" i="5"/>
  <c r="JI46" i="5"/>
  <c r="AEC46" i="5"/>
  <c r="QL47" i="5"/>
  <c r="AIW48" i="5"/>
  <c r="DH44" i="5"/>
  <c r="NU44" i="5"/>
  <c r="YH44" i="5"/>
  <c r="AIU44" i="5"/>
  <c r="HK45" i="5"/>
  <c r="UC45" i="5"/>
  <c r="ALE45" i="5"/>
  <c r="RE46" i="5"/>
  <c r="AME46" i="5"/>
  <c r="AFJ47" i="5"/>
  <c r="VK51" i="5"/>
  <c r="VB44" i="5"/>
  <c r="AFO44" i="5"/>
  <c r="DR45" i="5"/>
  <c r="PV45" i="5"/>
  <c r="AFO45" i="5"/>
  <c r="KT46" i="5"/>
  <c r="AFP46" i="5"/>
  <c r="SO47" i="5"/>
  <c r="EZ49" i="5"/>
  <c r="JY44" i="5"/>
  <c r="UL44" i="5"/>
  <c r="AEY44" i="5"/>
  <c r="CW45" i="5"/>
  <c r="PC45" i="5"/>
  <c r="AEJ45" i="5"/>
  <c r="JU46" i="5"/>
  <c r="AEF46" i="5"/>
  <c r="QP47" i="5"/>
  <c r="AKO48" i="5"/>
  <c r="JI44" i="5"/>
  <c r="TV44" i="5"/>
  <c r="AEI44" i="5"/>
  <c r="CE45" i="5"/>
  <c r="OJ45" i="5"/>
  <c r="ADJ45" i="5"/>
  <c r="IN46" i="5"/>
  <c r="ADD46" i="5"/>
  <c r="OT47" i="5"/>
  <c r="WB50" i="5"/>
  <c r="RX44" i="5"/>
  <c r="AKI44" i="5"/>
  <c r="RQ45" i="5"/>
  <c r="EB46" i="5"/>
  <c r="IS47" i="5"/>
  <c r="GO53" i="5"/>
  <c r="AIQ47" i="5"/>
  <c r="RW49" i="5"/>
  <c r="AFI48" i="5"/>
  <c r="AEN47" i="5"/>
  <c r="DD50" i="5"/>
  <c r="TN47" i="5"/>
  <c r="DE49" i="5"/>
  <c r="EZ48" i="5"/>
  <c r="ABD46" i="5"/>
  <c r="IO48" i="5"/>
  <c r="AKD46" i="5"/>
  <c r="YM47" i="5"/>
  <c r="QY46" i="5"/>
  <c r="QV49" i="5"/>
  <c r="AKW47" i="5"/>
  <c r="ZY47" i="5"/>
  <c r="JE48" i="5"/>
  <c r="ED45" i="5"/>
  <c r="QL45" i="5"/>
  <c r="AGI45" i="5"/>
  <c r="LS46" i="5"/>
  <c r="AGO46" i="5"/>
  <c r="UF47" i="5"/>
  <c r="LR49" i="5"/>
  <c r="FA45" i="5"/>
  <c r="RK45" i="5"/>
  <c r="AHK45" i="5"/>
  <c r="NE46" i="5"/>
  <c r="AIA46" i="5"/>
  <c r="WX47" i="5"/>
  <c r="XZ49" i="5"/>
  <c r="AFM44" i="5"/>
  <c r="DM45" i="5"/>
  <c r="PT45" i="5"/>
  <c r="AFM45" i="5"/>
  <c r="KR46" i="5"/>
  <c r="AFG46" i="5"/>
  <c r="SL47" i="5"/>
  <c r="EX49" i="5"/>
  <c r="DY44" i="5"/>
  <c r="OL44" i="5"/>
  <c r="YY44" i="5"/>
  <c r="AJL44" i="5"/>
  <c r="ID45" i="5"/>
  <c r="VA45" i="5"/>
  <c r="AMD45" i="5"/>
  <c r="SO46" i="5"/>
  <c r="AM47" i="5"/>
  <c r="AIM47" i="5"/>
  <c r="LF44" i="5"/>
  <c r="VS44" i="5"/>
  <c r="AGF44" i="5"/>
  <c r="EK45" i="5"/>
  <c r="QS45" i="5"/>
  <c r="AGP45" i="5"/>
  <c r="MG46" i="5"/>
  <c r="AGS46" i="5"/>
  <c r="UY47" i="5"/>
  <c r="OR49" i="5"/>
  <c r="KP44" i="5"/>
  <c r="VC44" i="5"/>
  <c r="AFP44" i="5"/>
  <c r="DS45" i="5"/>
  <c r="PZ45" i="5"/>
  <c r="AFP45" i="5"/>
  <c r="KX46" i="5"/>
  <c r="AFQ46" i="5"/>
  <c r="SZ47" i="5"/>
  <c r="FC49" i="5"/>
  <c r="JZ44" i="5"/>
  <c r="UM44" i="5"/>
  <c r="AEZ44" i="5"/>
  <c r="CX45" i="5"/>
  <c r="PD45" i="5"/>
  <c r="AEK45" i="5"/>
  <c r="JV46" i="5"/>
  <c r="AEG46" i="5"/>
  <c r="QQ47" i="5"/>
  <c r="GX52" i="5"/>
  <c r="TF44" i="5"/>
  <c r="ALA44" i="5"/>
  <c r="SQ45" i="5"/>
  <c r="FE46" i="5"/>
  <c r="XV47" i="5"/>
  <c r="DV47" i="5"/>
  <c r="AKY47" i="5"/>
  <c r="ZE49" i="5"/>
  <c r="AHD48" i="5"/>
  <c r="AGR47" i="5"/>
  <c r="IJ50" i="5"/>
  <c r="ACN47" i="5"/>
  <c r="IZ49" i="5"/>
  <c r="HH48" i="5"/>
  <c r="ACV46" i="5"/>
  <c r="KX48" i="5"/>
  <c r="ALV46" i="5"/>
  <c r="YM48" i="5"/>
  <c r="EF47" i="5"/>
  <c r="PX49" i="5"/>
  <c r="RE49" i="5"/>
  <c r="FP52" i="5"/>
  <c r="MT48" i="5"/>
  <c r="EZ45" i="5"/>
  <c r="RJ45" i="5"/>
  <c r="AHJ45" i="5"/>
  <c r="ND46" i="5"/>
  <c r="AHP46" i="5"/>
  <c r="WT47" i="5"/>
  <c r="XW49" i="5"/>
  <c r="FT45" i="5"/>
  <c r="SF45" i="5"/>
  <c r="AIR45" i="5"/>
  <c r="OO46" i="5"/>
  <c r="AJA46" i="5"/>
  <c r="ZT47" i="5"/>
  <c r="AKJ49" i="5"/>
  <c r="AGD44" i="5"/>
  <c r="EI45" i="5"/>
  <c r="QQ45" i="5"/>
  <c r="AGK45" i="5"/>
  <c r="LU46" i="5"/>
  <c r="AGQ46" i="5"/>
  <c r="UI47" i="5"/>
  <c r="NX49" i="5"/>
  <c r="EP44" i="5"/>
  <c r="PC44" i="5"/>
  <c r="ZP44" i="5"/>
  <c r="AKD44" i="5"/>
  <c r="IW45" i="5"/>
  <c r="VV45" i="5"/>
  <c r="AE46" i="5"/>
  <c r="TS46" i="5"/>
  <c r="BY47" i="5"/>
  <c r="AMB47" i="5"/>
  <c r="LW44" i="5"/>
  <c r="WJ44" i="5"/>
  <c r="AGW44" i="5"/>
  <c r="FD45" i="5"/>
  <c r="RN45" i="5"/>
  <c r="AHV45" i="5"/>
  <c r="NH46" i="5"/>
  <c r="AID46" i="5"/>
  <c r="XC47" i="5"/>
  <c r="ZD49" i="5"/>
  <c r="LG44" i="5"/>
  <c r="VT44" i="5"/>
  <c r="AGG44" i="5"/>
  <c r="EL45" i="5"/>
  <c r="QT45" i="5"/>
  <c r="AGQ45" i="5"/>
  <c r="MH46" i="5"/>
  <c r="AGU46" i="5"/>
  <c r="UZ47" i="5"/>
  <c r="OS49" i="5"/>
  <c r="KQ44" i="5"/>
  <c r="VD44" i="5"/>
  <c r="AFQ44" i="5"/>
  <c r="DT45" i="5"/>
  <c r="QA45" i="5"/>
  <c r="AFQ45" i="5"/>
  <c r="KY46" i="5"/>
  <c r="AFR46" i="5"/>
  <c r="TE47" i="5"/>
  <c r="ET44" i="5"/>
  <c r="WM44" i="5"/>
  <c r="ALT44" i="5"/>
  <c r="TL45" i="5"/>
  <c r="NU46" i="5"/>
  <c r="AAY47" i="5"/>
  <c r="EQ47" i="5"/>
  <c r="X48" i="5"/>
  <c r="WD50" i="5"/>
  <c r="AIY48" i="5"/>
  <c r="AIW47" i="5"/>
  <c r="OZ50" i="5"/>
  <c r="ADO47" i="5"/>
  <c r="DE50" i="5"/>
  <c r="LV48" i="5"/>
  <c r="AGB46" i="5"/>
  <c r="QS48" i="5"/>
  <c r="IC47" i="5"/>
  <c r="AAG48" i="5"/>
  <c r="FX47" i="5"/>
  <c r="QZ49" i="5"/>
  <c r="SC49" i="5"/>
  <c r="AKZ50" i="5"/>
  <c r="JZ47" i="5"/>
  <c r="RQ48" i="5"/>
  <c r="FS45" i="5"/>
  <c r="SE45" i="5"/>
  <c r="AIQ45" i="5"/>
  <c r="OG46" i="5"/>
  <c r="AIZ46" i="5"/>
  <c r="ZE47" i="5"/>
  <c r="AKI49" i="5"/>
  <c r="GM45" i="5"/>
  <c r="TD45" i="5"/>
  <c r="AJU45" i="5"/>
  <c r="PS46" i="5"/>
  <c r="AKQ46" i="5"/>
  <c r="ACF47" i="5"/>
  <c r="OF50" i="5"/>
  <c r="AGU44" i="5"/>
  <c r="FB45" i="5"/>
  <c r="RL45" i="5"/>
  <c r="AHL45" i="5"/>
  <c r="NF46" i="5"/>
  <c r="AIB46" i="5"/>
  <c r="WY47" i="5"/>
  <c r="YD49" i="5"/>
  <c r="FG44" i="5"/>
  <c r="PT44" i="5"/>
  <c r="AAG44" i="5"/>
  <c r="AKW44" i="5"/>
  <c r="JP45" i="5"/>
  <c r="WT45" i="5"/>
  <c r="BG46" i="5"/>
  <c r="VD46" i="5"/>
  <c r="DD47" i="5"/>
  <c r="CF48" i="5"/>
  <c r="MN44" i="5"/>
  <c r="XA44" i="5"/>
  <c r="AHN44" i="5"/>
  <c r="FW45" i="5"/>
  <c r="SL45" i="5"/>
  <c r="AIU45" i="5"/>
  <c r="OR46" i="5"/>
  <c r="AJO46" i="5"/>
  <c r="AAD47" i="5"/>
  <c r="BI50" i="5"/>
  <c r="LX44" i="5"/>
  <c r="WK44" i="5"/>
  <c r="AGX44" i="5"/>
  <c r="FE45" i="5"/>
  <c r="RO45" i="5"/>
  <c r="AHW45" i="5"/>
  <c r="NI46" i="5"/>
  <c r="AIE46" i="5"/>
  <c r="XT47" i="5"/>
  <c r="ABL49" i="5"/>
  <c r="LH44" i="5"/>
  <c r="VU44" i="5"/>
  <c r="AGH44" i="5"/>
  <c r="EM45" i="5"/>
  <c r="QU45" i="5"/>
  <c r="AGR45" i="5"/>
  <c r="MI46" i="5"/>
  <c r="AGV46" i="5"/>
  <c r="VA47" i="5"/>
  <c r="FL44" i="5"/>
  <c r="XD44" i="5"/>
  <c r="E45" i="5"/>
  <c r="UJ45" i="5"/>
  <c r="OY46" i="5"/>
  <c r="ADI47" i="5"/>
  <c r="GE47" i="5"/>
  <c r="CH48" i="5"/>
  <c r="AFH50" i="5"/>
  <c r="ALH48" i="5"/>
  <c r="GA48" i="5"/>
  <c r="AHL50" i="5"/>
  <c r="AEP47" i="5"/>
  <c r="IM50" i="5"/>
  <c r="ZR48" i="5"/>
  <c r="AA47" i="5"/>
  <c r="AFO48" i="5"/>
  <c r="XJ47" i="5"/>
  <c r="AAT45" i="5"/>
  <c r="ALO47" i="5"/>
  <c r="FY51" i="5"/>
  <c r="VM48" i="5"/>
  <c r="AJO48" i="5"/>
  <c r="QR50" i="5"/>
  <c r="MF47" i="5"/>
  <c r="ABM47" i="5"/>
  <c r="GC48" i="5"/>
  <c r="ADQ48" i="5"/>
  <c r="ALY49" i="5"/>
  <c r="PC46" i="5"/>
  <c r="ACB46" i="5"/>
  <c r="BP47" i="5"/>
  <c r="PB47" i="5"/>
  <c r="AEU47" i="5"/>
  <c r="JR48" i="5"/>
  <c r="AJQ48" i="5"/>
  <c r="ZF45" i="5"/>
  <c r="LC46" i="5"/>
  <c r="AKX46" i="5"/>
  <c r="ZN47" i="5"/>
  <c r="AAC48" i="5"/>
  <c r="ZG45" i="5"/>
  <c r="LD46" i="5"/>
  <c r="AKY46" i="5"/>
  <c r="ZO47" i="5"/>
  <c r="ADT48" i="5"/>
  <c r="ACI45" i="5"/>
  <c r="PZ46" i="5"/>
  <c r="EE47" i="5"/>
  <c r="AKL47" i="5"/>
  <c r="QQ49" i="5"/>
  <c r="ADV45" i="5"/>
  <c r="RS46" i="5"/>
  <c r="GR47" i="5"/>
  <c r="AP48" i="5"/>
  <c r="ABH49" i="5"/>
  <c r="ADD45" i="5"/>
  <c r="QZ46" i="5"/>
  <c r="FE47" i="5"/>
  <c r="ALP47" i="5"/>
  <c r="XV49" i="5"/>
  <c r="RX49" i="5"/>
  <c r="MZ51" i="5"/>
  <c r="ZK49" i="5"/>
  <c r="ACR53" i="5"/>
  <c r="ZL49" i="5"/>
  <c r="LZ53" i="5"/>
  <c r="AAU49" i="5"/>
  <c r="ALQ47" i="5"/>
  <c r="AFK49" i="5"/>
  <c r="AKC48" i="5"/>
  <c r="BZ49" i="5"/>
  <c r="AHD49" i="5"/>
  <c r="AY46" i="5"/>
  <c r="NN50" i="5"/>
  <c r="AEG48" i="5"/>
  <c r="AAV47" i="5"/>
  <c r="FK51" i="5"/>
  <c r="ABZ48" i="5"/>
  <c r="ZZ45" i="5"/>
  <c r="LY46" i="5"/>
  <c r="ALW46" i="5"/>
  <c r="AAO47" i="5"/>
  <c r="AGC48" i="5"/>
  <c r="ADB45" i="5"/>
  <c r="QX46" i="5"/>
  <c r="FB47" i="5"/>
  <c r="ALN47" i="5"/>
  <c r="TP49" i="5"/>
  <c r="AEO45" i="5"/>
  <c r="TH46" i="5"/>
  <c r="HL47" i="5"/>
  <c r="BX48" i="5"/>
  <c r="AEZ49" i="5"/>
  <c r="ADW45" i="5"/>
  <c r="RT46" i="5"/>
  <c r="FY47" i="5"/>
  <c r="P48" i="5"/>
  <c r="ABI49" i="5"/>
  <c r="SV49" i="5"/>
  <c r="RA51" i="5"/>
  <c r="AAQ49" i="5"/>
  <c r="OZ55" i="5"/>
  <c r="AAR49" i="5"/>
  <c r="ACS53" i="5"/>
  <c r="AEJ49" i="5"/>
  <c r="E48" i="5"/>
  <c r="AGY49" i="5"/>
  <c r="AKX48" i="5"/>
  <c r="CU49" i="5"/>
  <c r="AIQ49" i="5"/>
  <c r="GV46" i="5"/>
  <c r="ABC50" i="5"/>
  <c r="AFB48" i="5"/>
  <c r="ABP47" i="5"/>
  <c r="ADS50" i="5"/>
  <c r="AIV47" i="5"/>
  <c r="EC44" i="5"/>
  <c r="OP44" i="5"/>
  <c r="ZD44" i="5"/>
  <c r="AJQ44" i="5"/>
  <c r="IH45" i="5"/>
  <c r="VE45" i="5"/>
  <c r="I46" i="5"/>
  <c r="SW46" i="5"/>
  <c r="AQ47" i="5"/>
  <c r="AJL47" i="5"/>
  <c r="ER53" i="5"/>
  <c r="FK47" i="5"/>
  <c r="TK47" i="5"/>
  <c r="AJW47" i="5"/>
  <c r="QB48" i="5"/>
  <c r="IW49" i="5"/>
  <c r="YV51" i="5"/>
  <c r="LS48" i="5"/>
  <c r="X49" i="5"/>
  <c r="AHK50" i="5"/>
  <c r="AFS47" i="5"/>
  <c r="KS48" i="5"/>
  <c r="ALI48" i="5"/>
  <c r="YX50" i="5"/>
  <c r="DE47" i="5"/>
  <c r="QS47" i="5"/>
  <c r="AGS47" i="5"/>
  <c r="LU48" i="5"/>
  <c r="AP49" i="5"/>
  <c r="AHM50" i="5"/>
  <c r="OC47" i="5"/>
  <c r="ADP47" i="5"/>
  <c r="IN48" i="5"/>
  <c r="AHU48" i="5"/>
  <c r="JW50" i="5"/>
  <c r="QQ46" i="5"/>
  <c r="ADP46" i="5"/>
  <c r="DG47" i="5"/>
  <c r="QZ47" i="5"/>
  <c r="AGU47" i="5"/>
  <c r="LY48" i="5"/>
  <c r="AR49" i="5"/>
  <c r="AAR45" i="5"/>
  <c r="MR46" i="5"/>
  <c r="H47" i="5"/>
  <c r="ABR47" i="5"/>
  <c r="ADS48" i="5"/>
  <c r="AAS45" i="5"/>
  <c r="MS46" i="5"/>
  <c r="I47" i="5"/>
  <c r="ABS47" i="5"/>
  <c r="AHZ48" i="5"/>
  <c r="ADU45" i="5"/>
  <c r="RR46" i="5"/>
  <c r="FW47" i="5"/>
  <c r="N48" i="5"/>
  <c r="WX49" i="5"/>
  <c r="AFK45" i="5"/>
  <c r="UE46" i="5"/>
  <c r="IJ47" i="5"/>
  <c r="DA48" i="5"/>
  <c r="AIY49" i="5"/>
  <c r="AEP45" i="5"/>
  <c r="SN46" i="5"/>
  <c r="GS47" i="5"/>
  <c r="BY48" i="5"/>
  <c r="AFD49" i="5"/>
  <c r="TX49" i="5"/>
  <c r="VL51" i="5"/>
  <c r="ABT49" i="5"/>
  <c r="ZQ48" i="5"/>
  <c r="ABX49" i="5"/>
  <c r="PA55" i="5"/>
  <c r="AFJ49" i="5"/>
  <c r="Y48" i="5"/>
  <c r="AIC49" i="5"/>
  <c r="ALS48" i="5"/>
  <c r="LL49" i="5"/>
  <c r="AJT49" i="5"/>
  <c r="HM46" i="5"/>
  <c r="ADM50" i="5"/>
  <c r="WR49" i="5"/>
  <c r="ACJ47" i="5"/>
  <c r="AEY50" i="5"/>
  <c r="OZ47" i="5"/>
  <c r="AEQ47" i="5"/>
  <c r="JM48" i="5"/>
  <c r="AJP48" i="5"/>
  <c r="QS50" i="5"/>
  <c r="RO46" i="5"/>
  <c r="AEK46" i="5"/>
  <c r="EB47" i="5"/>
  <c r="RV47" i="5"/>
  <c r="AIA47" i="5"/>
  <c r="NP48" i="5"/>
  <c r="DG49" i="5"/>
  <c r="ABK45" i="5"/>
  <c r="NO46" i="5"/>
  <c r="AB47" i="5"/>
  <c r="ACR47" i="5"/>
  <c r="AGB48" i="5"/>
  <c r="ABL45" i="5"/>
  <c r="NP46" i="5"/>
  <c r="AC47" i="5"/>
  <c r="ACS47" i="5"/>
  <c r="AJS48" i="5"/>
  <c r="AEN45" i="5"/>
  <c r="SL46" i="5"/>
  <c r="GQ47" i="5"/>
  <c r="AO48" i="5"/>
  <c r="AAL49" i="5"/>
  <c r="AGW45" i="5"/>
  <c r="UY46" i="5"/>
  <c r="JD47" i="5"/>
  <c r="EC48" i="5"/>
  <c r="Y50" i="5"/>
  <c r="AFL45" i="5"/>
  <c r="TL46" i="5"/>
  <c r="HM47" i="5"/>
  <c r="DB48" i="5"/>
  <c r="AIZ49" i="5"/>
  <c r="VZ49" i="5"/>
  <c r="ZK51" i="5"/>
  <c r="ACV49" i="5"/>
  <c r="ACE48" i="5"/>
  <c r="ACY49" i="5"/>
  <c r="AAM48" i="5"/>
  <c r="AGX49" i="5"/>
  <c r="AU48" i="5"/>
  <c r="AJQ49" i="5"/>
  <c r="I49" i="5"/>
  <c r="MI49" i="5"/>
  <c r="ALG49" i="5"/>
  <c r="TI46" i="5"/>
  <c r="AGO50" i="5"/>
  <c r="Q50" i="5"/>
  <c r="BW48" i="5"/>
  <c r="AFZ50" i="5"/>
  <c r="BT46" i="5"/>
  <c r="VK46" i="5"/>
  <c r="DP47" i="5"/>
  <c r="DG48" i="5"/>
  <c r="AEK50" i="5"/>
  <c r="HC47" i="5"/>
  <c r="VD47" i="5"/>
  <c r="AME47" i="5"/>
  <c r="TG48" i="5"/>
  <c r="OV49" i="5"/>
  <c r="GP53" i="5"/>
  <c r="OZ48" i="5"/>
  <c r="FW49" i="5"/>
  <c r="MT51" i="5"/>
  <c r="AHQ47" i="5"/>
  <c r="NI48" i="5"/>
  <c r="DD49" i="5"/>
  <c r="CQ51" i="5"/>
  <c r="ET47" i="5"/>
  <c r="SP47" i="5"/>
  <c r="AIX47" i="5"/>
  <c r="PB48" i="5"/>
  <c r="FZ49" i="5"/>
  <c r="MY51" i="5"/>
  <c r="PW47" i="5"/>
  <c r="AFV47" i="5"/>
  <c r="KV48" i="5"/>
  <c r="ALM48" i="5"/>
  <c r="YZ50" i="5"/>
  <c r="SI46" i="5"/>
  <c r="AFH46" i="5"/>
  <c r="EV47" i="5"/>
  <c r="ST47" i="5"/>
  <c r="AIZ47" i="5"/>
  <c r="PE48" i="5"/>
  <c r="GT49" i="5"/>
  <c r="ACD45" i="5"/>
  <c r="OJ46" i="5"/>
  <c r="AW47" i="5"/>
  <c r="ADR47" i="5"/>
  <c r="AHY48" i="5"/>
  <c r="ACH45" i="5"/>
  <c r="OK46" i="5"/>
  <c r="AX47" i="5"/>
  <c r="ADT47" i="5"/>
  <c r="AMB48" i="5"/>
  <c r="AFJ45" i="5"/>
  <c r="TG46" i="5"/>
  <c r="HK47" i="5"/>
  <c r="BT48" i="5"/>
  <c r="AER49" i="5"/>
  <c r="AHP45" i="5"/>
  <c r="VT46" i="5"/>
  <c r="JX47" i="5"/>
  <c r="FI48" i="5"/>
  <c r="FD50" i="5"/>
  <c r="AGE45" i="5"/>
  <c r="UF46" i="5"/>
  <c r="JE47" i="5"/>
  <c r="EJ48" i="5"/>
  <c r="Z50" i="5"/>
  <c r="XB49" i="5"/>
  <c r="AFU51" i="5"/>
  <c r="AGM49" i="5"/>
  <c r="ACZ48" i="5"/>
  <c r="AEI49" i="5"/>
  <c r="ABJ48" i="5"/>
  <c r="AIB49" i="5"/>
  <c r="BP48" i="5"/>
  <c r="ALD49" i="5"/>
  <c r="AD49" i="5"/>
  <c r="AFR49" i="5"/>
  <c r="N50" i="5"/>
  <c r="UQ46" i="5"/>
  <c r="AJN50" i="5"/>
  <c r="BE50" i="5"/>
  <c r="ACR48" i="5"/>
  <c r="AGY50" i="5"/>
  <c r="TN49" i="5"/>
  <c r="AJE45" i="5"/>
  <c r="VQ46" i="5"/>
  <c r="ID47" i="5"/>
  <c r="AN48" i="5"/>
  <c r="AAK49" i="5"/>
  <c r="X46" i="5"/>
  <c r="ABK46" i="5"/>
  <c r="QE47" i="5"/>
  <c r="OA48" i="5"/>
  <c r="ALK51" i="5"/>
  <c r="BN46" i="5"/>
  <c r="ACZ46" i="5"/>
  <c r="SA47" i="5"/>
  <c r="SN48" i="5"/>
  <c r="NY45" i="5"/>
  <c r="AU46" i="5"/>
  <c r="ACG46" i="5"/>
  <c r="RE47" i="5"/>
  <c r="PV48" i="5"/>
  <c r="ABW52" i="5"/>
  <c r="AJK49" i="5"/>
  <c r="CN49" i="5"/>
  <c r="KS50" i="5"/>
  <c r="F49" i="5"/>
  <c r="KT50" i="5"/>
  <c r="AB49" i="5"/>
  <c r="PD50" i="5"/>
  <c r="MX48" i="5"/>
  <c r="MB53" i="5"/>
  <c r="AJR49" i="5"/>
  <c r="VU52" i="5"/>
  <c r="AKC44" i="5"/>
  <c r="QB47" i="5"/>
  <c r="AAJ45" i="5"/>
  <c r="AAI44" i="5"/>
  <c r="LV50" i="5"/>
  <c r="GF50" i="5"/>
  <c r="HB47" i="5"/>
  <c r="KI48" i="5"/>
  <c r="JS51" i="5"/>
  <c r="IQ47" i="5"/>
  <c r="XB47" i="5"/>
  <c r="BF48" i="5"/>
  <c r="WE48" i="5"/>
  <c r="VP49" i="5"/>
  <c r="AKZ47" i="5"/>
  <c r="RT48" i="5"/>
  <c r="LV49" i="5"/>
  <c r="IC52" i="5"/>
  <c r="AJZ47" i="5"/>
  <c r="QF48" i="5"/>
  <c r="IY49" i="5"/>
  <c r="ZJ51" i="5"/>
  <c r="GL47" i="5"/>
  <c r="UJ47" i="5"/>
  <c r="ALI47" i="5"/>
  <c r="RV48" i="5"/>
  <c r="MQ49" i="5"/>
  <c r="OQ52" i="5"/>
  <c r="RU47" i="5"/>
  <c r="AHW47" i="5"/>
  <c r="NO48" i="5"/>
  <c r="DF49" i="5"/>
  <c r="CT51" i="5"/>
  <c r="TX46" i="5"/>
  <c r="AGW46" i="5"/>
  <c r="GN47" i="5"/>
  <c r="UM47" i="5"/>
  <c r="ALK47" i="5"/>
  <c r="SJ48" i="5"/>
  <c r="PT49" i="5"/>
  <c r="AJX45" i="5"/>
  <c r="WK46" i="5"/>
  <c r="JA47" i="5"/>
  <c r="BN48" i="5"/>
  <c r="WU49" i="5"/>
  <c r="AJY45" i="5"/>
  <c r="WL46" i="5"/>
  <c r="JB47" i="5"/>
  <c r="BS48" i="5"/>
  <c r="ADV49" i="5"/>
  <c r="AR46" i="5"/>
  <c r="ACE46" i="5"/>
  <c r="RC47" i="5"/>
  <c r="PH48" i="5"/>
  <c r="ABE52" i="5"/>
  <c r="CK46" i="5"/>
  <c r="ADU46" i="5"/>
  <c r="TX47" i="5"/>
  <c r="UG48" i="5"/>
  <c r="OU45" i="5"/>
  <c r="BO46" i="5"/>
  <c r="ADA46" i="5"/>
  <c r="SB47" i="5"/>
  <c r="RA48" i="5"/>
  <c r="EW55" i="5"/>
  <c r="AKO49" i="5"/>
  <c r="DK49" i="5"/>
  <c r="MR50" i="5"/>
  <c r="AA49" i="5"/>
  <c r="MS50" i="5"/>
  <c r="AW49" i="5"/>
  <c r="XB50" i="5"/>
  <c r="NS48" i="5"/>
  <c r="AE54" i="5"/>
  <c r="ALE49" i="5"/>
  <c r="L53" i="5"/>
  <c r="AKS44" i="5"/>
  <c r="QU47" i="5"/>
  <c r="CY46" i="5"/>
  <c r="AAY44" i="5"/>
  <c r="MT50" i="5"/>
  <c r="HB50" i="5"/>
  <c r="UB53" i="5"/>
  <c r="ALH47" i="5"/>
  <c r="RU48" i="5"/>
  <c r="LX49" i="5"/>
  <c r="OO52" i="5"/>
  <c r="HF47" i="5"/>
  <c r="VL47" i="5"/>
  <c r="AMH47" i="5"/>
  <c r="TO48" i="5"/>
  <c r="PR49" i="5"/>
  <c r="ZQ53" i="5"/>
  <c r="SR47" i="5"/>
  <c r="AIY47" i="5"/>
  <c r="PD48" i="5"/>
  <c r="GA49" i="5"/>
  <c r="PS51" i="5"/>
  <c r="UU46" i="5"/>
  <c r="AHQ46" i="5"/>
  <c r="HH47" i="5"/>
  <c r="VN47" i="5"/>
  <c r="D48" i="5"/>
  <c r="TQ48" i="5"/>
  <c r="SU49" i="5"/>
  <c r="AKR45" i="5"/>
  <c r="XE46" i="5"/>
  <c r="JU47" i="5"/>
  <c r="CW48" i="5"/>
  <c r="AAF49" i="5"/>
  <c r="AKS45" i="5"/>
  <c r="XF46" i="5"/>
  <c r="JV47" i="5"/>
  <c r="CX48" i="5"/>
  <c r="V50" i="5"/>
  <c r="BM46" i="5"/>
  <c r="ACY46" i="5"/>
  <c r="RY47" i="5"/>
  <c r="QX48" i="5"/>
  <c r="ZT54" i="5"/>
  <c r="DE46" i="5"/>
  <c r="AER46" i="5"/>
  <c r="UV47" i="5"/>
  <c r="VU48" i="5"/>
  <c r="PN45" i="5"/>
  <c r="CL46" i="5"/>
  <c r="ADY46" i="5"/>
  <c r="SY47" i="5"/>
  <c r="SO48" i="5"/>
  <c r="AT49" i="5"/>
  <c r="AMA49" i="5"/>
  <c r="EH49" i="5"/>
  <c r="PB50" i="5"/>
  <c r="AV49" i="5"/>
  <c r="PC50" i="5"/>
  <c r="BS49" i="5"/>
  <c r="AAD50" i="5"/>
  <c r="VL48" i="5"/>
  <c r="ST55" i="5"/>
  <c r="AQ50" i="5"/>
  <c r="OI53" i="5"/>
  <c r="DO45" i="5"/>
  <c r="RO47" i="5"/>
  <c r="DP46" i="5"/>
  <c r="ABO44" i="5"/>
  <c r="LV52" i="5"/>
  <c r="RJ50" i="5"/>
  <c r="UI48" i="5"/>
  <c r="IB44" i="5"/>
  <c r="SO44" i="5"/>
  <c r="ADB44" i="5"/>
  <c r="AT45" i="5"/>
  <c r="MX45" i="5"/>
  <c r="ABG45" i="5"/>
  <c r="GD46" i="5"/>
  <c r="AAT46" i="5"/>
  <c r="KX47" i="5"/>
  <c r="UJ48" i="5"/>
  <c r="HD52" i="5"/>
  <c r="KJ47" i="5"/>
  <c r="ZA47" i="5"/>
  <c r="DP48" i="5"/>
  <c r="ZJ48" i="5"/>
  <c r="ACR49" i="5"/>
  <c r="AC48" i="5"/>
  <c r="VA48" i="5"/>
  <c r="SQ49" i="5"/>
  <c r="VG47" i="5"/>
  <c r="AMG47" i="5"/>
  <c r="TN48" i="5"/>
  <c r="PQ49" i="5"/>
  <c r="UC53" i="5"/>
  <c r="HZ47" i="5"/>
  <c r="WH47" i="5"/>
  <c r="AH48" i="5"/>
  <c r="VC48" i="5"/>
  <c r="SS49" i="5"/>
  <c r="FO47" i="5"/>
  <c r="TO47" i="5"/>
  <c r="AKB47" i="5"/>
  <c r="QR48" i="5"/>
  <c r="JS49" i="5"/>
  <c r="ADM51" i="5"/>
  <c r="VO46" i="5"/>
  <c r="AIN46" i="5"/>
  <c r="IB47" i="5"/>
  <c r="WJ47" i="5"/>
  <c r="AL48" i="5"/>
  <c r="VE48" i="5"/>
  <c r="WT49" i="5"/>
  <c r="ALL45" i="5"/>
  <c r="YB46" i="5"/>
  <c r="KP47" i="5"/>
  <c r="DW48" i="5"/>
  <c r="ADU49" i="5"/>
  <c r="ALM45" i="5"/>
  <c r="YC46" i="5"/>
  <c r="KQ47" i="5"/>
  <c r="DX48" i="5"/>
  <c r="EW50" i="5"/>
  <c r="CJ46" i="5"/>
  <c r="ADT46" i="5"/>
  <c r="SW47" i="5"/>
  <c r="SM48" i="5"/>
  <c r="QY45" i="5"/>
  <c r="DZ46" i="5"/>
  <c r="AGG46" i="5"/>
  <c r="VR47" i="5"/>
  <c r="WZ48" i="5"/>
  <c r="QG45" i="5"/>
  <c r="DG46" i="5"/>
  <c r="AES46" i="5"/>
  <c r="UA47" i="5"/>
  <c r="UH48" i="5"/>
  <c r="BO49" i="5"/>
  <c r="DL50" i="5"/>
  <c r="FF49" i="5"/>
  <c r="WZ50" i="5"/>
  <c r="BR49" i="5"/>
  <c r="RQ50" i="5"/>
  <c r="EL49" i="5"/>
  <c r="ADC50" i="5"/>
  <c r="WG48" i="5"/>
  <c r="XK47" i="5"/>
  <c r="RT50" i="5"/>
  <c r="BF54" i="5"/>
  <c r="EE45" i="5"/>
  <c r="WU47" i="5"/>
  <c r="ABG46" i="5"/>
  <c r="ACE44" i="5"/>
  <c r="OR52" i="5"/>
  <c r="SJ50" i="5"/>
  <c r="HL46" i="5"/>
  <c r="ABT46" i="5"/>
  <c r="MV47" i="5"/>
  <c r="ZE48" i="5"/>
  <c r="GN53" i="5"/>
  <c r="LE47" i="5"/>
  <c r="AAF47" i="5"/>
  <c r="EP48" i="5"/>
  <c r="ABD48" i="5"/>
  <c r="AGH49" i="5"/>
  <c r="BG48" i="5"/>
  <c r="WF48" i="5"/>
  <c r="VT49" i="5"/>
  <c r="WG47" i="5"/>
  <c r="AD48" i="5"/>
  <c r="VB48" i="5"/>
  <c r="SR49" i="5"/>
  <c r="AJG46" i="5"/>
  <c r="IT47" i="5"/>
  <c r="XE47" i="5"/>
  <c r="BI48" i="5"/>
  <c r="WT48" i="5"/>
  <c r="VX49" i="5"/>
  <c r="GM47" i="5"/>
  <c r="UL47" i="5"/>
  <c r="ALJ47" i="5"/>
  <c r="RY48" i="5"/>
  <c r="MT49" i="5"/>
  <c r="RI52" i="5"/>
  <c r="WJ46" i="5"/>
  <c r="AJI46" i="5"/>
  <c r="IW47" i="5"/>
  <c r="XI47" i="5"/>
  <c r="BM48" i="5"/>
  <c r="WV48" i="5"/>
  <c r="AAE49" i="5"/>
  <c r="AMG45" i="5"/>
  <c r="YW46" i="5"/>
  <c r="LL47" i="5"/>
  <c r="FE48" i="5"/>
  <c r="AHW49" i="5"/>
  <c r="C46" i="5"/>
  <c r="YX46" i="5"/>
  <c r="LN47" i="5"/>
  <c r="GF48" i="5"/>
  <c r="KC50" i="5"/>
  <c r="DD46" i="5"/>
  <c r="AEQ46" i="5"/>
  <c r="TT47" i="5"/>
  <c r="UD48" i="5"/>
  <c r="RR45" i="5"/>
  <c r="ET46" i="5"/>
  <c r="AHA46" i="5"/>
  <c r="WQ47" i="5"/>
  <c r="YO48" i="5"/>
  <c r="QZ45" i="5"/>
  <c r="EA46" i="5"/>
  <c r="AFM46" i="5"/>
  <c r="UW47" i="5"/>
  <c r="XA48" i="5"/>
  <c r="CM49" i="5"/>
  <c r="FE50" i="5"/>
  <c r="GC49" i="5"/>
  <c r="ZV50" i="5"/>
  <c r="EI49" i="5"/>
  <c r="TY50" i="5"/>
  <c r="FH49" i="5"/>
  <c r="ALO50" i="5"/>
  <c r="XB48" i="5"/>
  <c r="YD47" i="5"/>
  <c r="UW50" i="5"/>
  <c r="EB56" i="5"/>
  <c r="OQ45" i="5"/>
  <c r="XN47" i="5"/>
  <c r="ABX46" i="5"/>
  <c r="ACU44" i="5"/>
  <c r="SQ52" i="5"/>
  <c r="H48" i="5"/>
  <c r="AEQ48" i="5"/>
  <c r="JJ44" i="5"/>
  <c r="TW44" i="5"/>
  <c r="AEJ44" i="5"/>
  <c r="CF45" i="5"/>
  <c r="OK45" i="5"/>
  <c r="ADN45" i="5"/>
  <c r="IO46" i="5"/>
  <c r="ADH46" i="5"/>
  <c r="OW47" i="5"/>
  <c r="AET48" i="5"/>
  <c r="AEL50" i="5"/>
  <c r="LZ47" i="5"/>
  <c r="ABD47" i="5"/>
  <c r="FY48" i="5"/>
  <c r="ACY48" i="5"/>
  <c r="AKN49" i="5"/>
  <c r="CJ48" i="5"/>
  <c r="XU48" i="5"/>
  <c r="ZF49" i="5"/>
  <c r="XD47" i="5"/>
  <c r="BH48" i="5"/>
  <c r="WQ48" i="5"/>
  <c r="VU49" i="5"/>
  <c r="AKA46" i="5"/>
  <c r="JR47" i="5"/>
  <c r="YE47" i="5"/>
  <c r="CN48" i="5"/>
  <c r="XY48" i="5"/>
  <c r="ZH49" i="5"/>
  <c r="HG47" i="5"/>
  <c r="VM47" i="5"/>
  <c r="B48" i="5"/>
  <c r="TP48" i="5"/>
  <c r="PS49" i="5"/>
  <c r="ZR53" i="5"/>
  <c r="XD46" i="5"/>
  <c r="AKC46" i="5"/>
  <c r="JT47" i="5"/>
  <c r="YK47" i="5"/>
  <c r="CS48" i="5"/>
  <c r="YK48" i="5"/>
  <c r="ADT49" i="5"/>
  <c r="V46" i="5"/>
  <c r="ZQ46" i="5"/>
  <c r="MH47" i="5"/>
  <c r="GE48" i="5"/>
  <c r="S50" i="5"/>
  <c r="W46" i="5"/>
  <c r="ZR46" i="5"/>
  <c r="ML47" i="5"/>
  <c r="HN48" i="5"/>
  <c r="QW50" i="5"/>
  <c r="DY46" i="5"/>
  <c r="AFK46" i="5"/>
  <c r="UU47" i="5"/>
  <c r="VI48" i="5"/>
  <c r="SN45" i="5"/>
  <c r="GL46" i="5"/>
  <c r="AHX46" i="5"/>
  <c r="XR47" i="5"/>
  <c r="AAI48" i="5"/>
  <c r="RV45" i="5"/>
  <c r="EU46" i="5"/>
  <c r="AGH46" i="5"/>
  <c r="VS47" i="5"/>
  <c r="YT48" i="5"/>
  <c r="DH49" i="5"/>
  <c r="GW50" i="5"/>
  <c r="HD49" i="5"/>
  <c r="ACH50" i="5"/>
  <c r="FG49" i="5"/>
  <c r="XA50" i="5"/>
  <c r="HI49" i="5"/>
  <c r="AQ51" i="5"/>
  <c r="ZS48" i="5"/>
  <c r="AGC47" i="5"/>
  <c r="KT52" i="5"/>
  <c r="MD48" i="5"/>
  <c r="PG45" i="5"/>
  <c r="YH47" i="5"/>
  <c r="ACO46" i="5"/>
  <c r="GS45" i="5"/>
  <c r="HK54" i="5"/>
  <c r="HR48" i="5"/>
  <c r="AKP48" i="5"/>
  <c r="KA44" i="5"/>
  <c r="UN44" i="5"/>
  <c r="AFA44" i="5"/>
  <c r="DB45" i="5"/>
  <c r="PE45" i="5"/>
  <c r="AET45" i="5"/>
  <c r="JW46" i="5"/>
  <c r="AEI46" i="5"/>
  <c r="RF47" i="5"/>
  <c r="AKT48" i="5"/>
  <c r="AH51" i="5"/>
  <c r="MX47" i="5"/>
  <c r="ACG47" i="5"/>
  <c r="GY48" i="5"/>
  <c r="AFH48" i="5"/>
  <c r="DB50" i="5"/>
  <c r="DR48" i="5"/>
  <c r="ZM48" i="5"/>
  <c r="ACS49" i="5"/>
  <c r="YC47" i="5"/>
  <c r="CM48" i="5"/>
  <c r="XV48" i="5"/>
  <c r="ZG49" i="5"/>
  <c r="AKU46" i="5"/>
  <c r="KM47" i="5"/>
  <c r="ZJ47" i="5"/>
  <c r="DT48" i="5"/>
  <c r="ZP48" i="5"/>
  <c r="ADR49" i="5"/>
  <c r="IA47" i="5"/>
  <c r="WI47" i="5"/>
  <c r="AK48" i="5"/>
  <c r="VD48" i="5"/>
  <c r="ST49" i="5"/>
  <c r="LB46" i="5"/>
  <c r="YA46" i="5"/>
  <c r="AKW46" i="5"/>
  <c r="KO47" i="5"/>
  <c r="ZL47" i="5"/>
  <c r="DV48" i="5"/>
  <c r="AAB48" i="5"/>
  <c r="AHT49" i="5"/>
  <c r="AP46" i="5"/>
  <c r="AAK46" i="5"/>
  <c r="NH47" i="5"/>
  <c r="HM48" i="5"/>
  <c r="EV50" i="5"/>
  <c r="AQ46" i="5"/>
  <c r="AAL46" i="5"/>
  <c r="NI47" i="5"/>
  <c r="IQ48" i="5"/>
  <c r="ABJ50" i="5"/>
  <c r="ES46" i="5"/>
  <c r="AGF46" i="5"/>
  <c r="VQ47" i="5"/>
  <c r="WY48" i="5"/>
  <c r="TG45" i="5"/>
  <c r="HF46" i="5"/>
  <c r="AIS46" i="5"/>
  <c r="YR47" i="5"/>
  <c r="ACD48" i="5"/>
  <c r="SO45" i="5"/>
  <c r="FS46" i="5"/>
  <c r="AHB46" i="5"/>
  <c r="XS47" i="5"/>
  <c r="AAJ48" i="5"/>
  <c r="EG49" i="5"/>
  <c r="IN50" i="5"/>
  <c r="IE49" i="5"/>
  <c r="AFJ50" i="5"/>
  <c r="GD49" i="5"/>
  <c r="AAC50" i="5"/>
  <c r="IG49" i="5"/>
  <c r="DU51" i="5"/>
  <c r="AAN48" i="5"/>
  <c r="AGX47" i="5"/>
  <c r="VQ52" i="5"/>
  <c r="NA48" i="5"/>
  <c r="PW45" i="5"/>
  <c r="ALB47" i="5"/>
  <c r="ADF46" i="5"/>
  <c r="PI45" i="5"/>
  <c r="AHN54" i="5"/>
  <c r="MH50" i="5"/>
  <c r="FD49" i="5"/>
  <c r="KR44" i="5"/>
  <c r="VE44" i="5"/>
  <c r="AFR44" i="5"/>
  <c r="DU45" i="5"/>
  <c r="QB45" i="5"/>
  <c r="AFR45" i="5"/>
  <c r="KZ46" i="5"/>
  <c r="AFS46" i="5"/>
  <c r="TF47" i="5"/>
  <c r="HS49" i="5"/>
  <c r="MJ51" i="5"/>
  <c r="NT47" i="5"/>
  <c r="ADJ47" i="5"/>
  <c r="IC48" i="5"/>
  <c r="AHC48" i="5"/>
  <c r="IH50" i="5"/>
  <c r="ER48" i="5"/>
  <c r="ABE48" i="5"/>
  <c r="AGK49" i="5"/>
  <c r="ZG47" i="5"/>
  <c r="DS48" i="5"/>
  <c r="ZN48" i="5"/>
  <c r="ACT49" i="5"/>
  <c r="ALO46" i="5"/>
  <c r="LH47" i="5"/>
  <c r="AAI47" i="5"/>
  <c r="EV48" i="5"/>
  <c r="ABU48" i="5"/>
  <c r="AHR49" i="5"/>
  <c r="IU47" i="5"/>
  <c r="XH47" i="5"/>
  <c r="BL48" i="5"/>
  <c r="WU48" i="5"/>
  <c r="VY49" i="5"/>
  <c r="LW46" i="5"/>
  <c r="YV46" i="5"/>
  <c r="ALQ46" i="5"/>
  <c r="LK47" i="5"/>
  <c r="AAK47" i="5"/>
  <c r="FD48" i="5"/>
  <c r="ABW48" i="5"/>
  <c r="ALZ49" i="5"/>
  <c r="BK46" i="5"/>
  <c r="ABI46" i="5"/>
  <c r="OF47" i="5"/>
  <c r="IP48" i="5"/>
  <c r="KB50" i="5"/>
  <c r="BL46" i="5"/>
  <c r="ABJ46" i="5"/>
  <c r="OG47" i="5"/>
  <c r="JY48" i="5"/>
  <c r="AJX50" i="5"/>
  <c r="FM46" i="5"/>
  <c r="AGZ46" i="5"/>
  <c r="WO47" i="5"/>
  <c r="YN48" i="5"/>
  <c r="US45" i="5"/>
  <c r="HZ46" i="5"/>
  <c r="AJM46" i="5"/>
  <c r="ZQ47" i="5"/>
  <c r="AEJ48" i="5"/>
  <c r="TH45" i="5"/>
  <c r="GM46" i="5"/>
  <c r="AHY46" i="5"/>
  <c r="YS47" i="5"/>
  <c r="ACS48" i="5"/>
  <c r="FE49" i="5"/>
  <c r="KI50" i="5"/>
  <c r="JB49" i="5"/>
  <c r="AII50" i="5"/>
  <c r="JC49" i="5"/>
  <c r="ACK50" i="5"/>
  <c r="LG49" i="5"/>
  <c r="HG51" i="5"/>
  <c r="AKB48" i="5"/>
  <c r="AHU47" i="5"/>
  <c r="I53" i="5"/>
  <c r="VO48" i="5"/>
  <c r="QM45" i="5"/>
  <c r="ALW47" i="5"/>
  <c r="AHU46" i="5"/>
  <c r="ALB45" i="5"/>
  <c r="GU50" i="5"/>
  <c r="ND50" i="5"/>
  <c r="QY49" i="5"/>
  <c r="LI44" i="5"/>
  <c r="VV44" i="5"/>
  <c r="AGI44" i="5"/>
  <c r="EN45" i="5"/>
  <c r="QV45" i="5"/>
  <c r="AGS45" i="5"/>
  <c r="MJ46" i="5"/>
  <c r="AHF46" i="5"/>
  <c r="VB47" i="5"/>
  <c r="RR49" i="5"/>
  <c r="YS51" i="5"/>
  <c r="OU47" i="5"/>
  <c r="AEJ47" i="5"/>
  <c r="JI48" i="5"/>
  <c r="AIX48" i="5"/>
  <c r="OH50" i="5"/>
  <c r="FZ48" i="5"/>
  <c r="ADN48" i="5"/>
  <c r="ALM49" i="5"/>
  <c r="AAH47" i="5"/>
  <c r="ES48" i="5"/>
  <c r="ABF48" i="5"/>
  <c r="AHH49" i="5"/>
  <c r="E47" i="5"/>
  <c r="ME47" i="5"/>
  <c r="ABJ47" i="5"/>
  <c r="GB48" i="5"/>
  <c r="ADP48" i="5"/>
  <c r="ALR49" i="5"/>
  <c r="JS47" i="5"/>
  <c r="YF47" i="5"/>
  <c r="CR48" i="5"/>
  <c r="YJ48" i="5"/>
  <c r="AAD49" i="5"/>
  <c r="MQ46" i="5"/>
  <c r="ZP46" i="5"/>
  <c r="G47" i="5"/>
  <c r="MG47" i="5"/>
  <c r="ABQ47" i="5"/>
  <c r="GD48" i="5"/>
  <c r="ADR48" i="5"/>
  <c r="RJ52" i="5"/>
  <c r="IQ46" i="5"/>
  <c r="AIO46" i="5"/>
  <c r="WL47" i="5"/>
  <c r="VF48" i="5"/>
  <c r="WY45" i="5"/>
  <c r="IR46" i="5"/>
  <c r="AIQ46" i="5"/>
  <c r="WM47" i="5"/>
  <c r="WX48" i="5"/>
  <c r="ZH45" i="5"/>
  <c r="NQ46" i="5"/>
  <c r="BV47" i="5"/>
  <c r="AHB47" i="5"/>
  <c r="GX49" i="5"/>
  <c r="ABN45" i="5"/>
  <c r="PG46" i="5"/>
  <c r="DL47" i="5"/>
  <c r="AKP47" i="5"/>
  <c r="QR49" i="5"/>
  <c r="AAV45" i="5"/>
  <c r="ON46" i="5"/>
  <c r="CS47" i="5"/>
  <c r="AIG47" i="5"/>
  <c r="KU49" i="5"/>
  <c r="NY49" i="5"/>
  <c r="CW51" i="5"/>
  <c r="WA49" i="5"/>
  <c r="SM52" i="5"/>
  <c r="SA49" i="5"/>
  <c r="KN52" i="5"/>
  <c r="WC49" i="5"/>
  <c r="AJH47" i="5"/>
  <c r="OE49" i="5"/>
  <c r="UO48" i="5"/>
  <c r="J49" i="5"/>
  <c r="MJ49" i="5"/>
  <c r="AMH45" i="5"/>
  <c r="EQ49" i="5"/>
  <c r="GQ48" i="5"/>
  <c r="YJ47" i="5"/>
  <c r="CN52" i="5"/>
  <c r="EU50" i="5"/>
  <c r="ACZ45" i="5"/>
  <c r="CE46" i="5"/>
  <c r="PD46" i="5"/>
  <c r="ACC46" i="5"/>
  <c r="BQ47" i="5"/>
  <c r="PC47" i="5"/>
  <c r="AEV47" i="5"/>
  <c r="JS48" i="5"/>
  <c r="AJR48" i="5"/>
  <c r="QV50" i="5"/>
  <c r="ADA45" i="5"/>
  <c r="CF46" i="5"/>
  <c r="PE46" i="5"/>
  <c r="ACD46" i="5"/>
  <c r="BU47" i="5"/>
  <c r="PD47" i="5"/>
  <c r="AEY47" i="5"/>
  <c r="KZ48" i="5"/>
  <c r="BJ49" i="5"/>
  <c r="FV51" i="5"/>
  <c r="AGC45" i="5"/>
  <c r="GK46" i="5"/>
  <c r="UD46" i="5"/>
  <c r="AHW46" i="5"/>
  <c r="IE47" i="5"/>
  <c r="XM47" i="5"/>
  <c r="CY48" i="5"/>
  <c r="AAH48" i="5"/>
  <c r="W50" i="5"/>
  <c r="VO45" i="5"/>
  <c r="AIL45" i="5"/>
  <c r="IU46" i="5"/>
  <c r="WN46" i="5"/>
  <c r="AKG46" i="5"/>
  <c r="KT47" i="5"/>
  <c r="AAW47" i="5"/>
  <c r="GN48" i="5"/>
  <c r="AGG48" i="5"/>
  <c r="LR50" i="5"/>
  <c r="UA45" i="5"/>
  <c r="AGX45" i="5"/>
  <c r="HG46" i="5"/>
  <c r="UZ46" i="5"/>
  <c r="AJN46" i="5"/>
  <c r="JY47" i="5"/>
  <c r="ZR47" i="5"/>
  <c r="FJ48" i="5"/>
  <c r="AEK48" i="5"/>
  <c r="GL50" i="5"/>
  <c r="GB49" i="5"/>
  <c r="YJ49" i="5"/>
  <c r="MQ50" i="5"/>
  <c r="BE52" i="5"/>
  <c r="KC49" i="5"/>
  <c r="AHZ49" i="5"/>
  <c r="DN51" i="5"/>
  <c r="ADU48" i="5"/>
  <c r="KD49" i="5"/>
  <c r="AFI49" i="5"/>
  <c r="AFK50" i="5"/>
  <c r="AEV48" i="5"/>
  <c r="MF49" i="5"/>
  <c r="AJP49" i="5"/>
  <c r="KE51" i="5"/>
  <c r="CK48" i="5"/>
  <c r="ALR48" i="5"/>
  <c r="AMH49" i="5"/>
  <c r="AKX47" i="5"/>
  <c r="AY49" i="5"/>
  <c r="NP53" i="5"/>
  <c r="AHA49" i="5"/>
  <c r="WL48" i="5"/>
  <c r="AW50" i="5"/>
  <c r="RC45" i="5"/>
  <c r="VH46" i="5"/>
  <c r="XK48" i="5"/>
  <c r="CJ45" i="5"/>
  <c r="AIL46" i="5"/>
  <c r="CZ50" i="5"/>
  <c r="ALS45" i="5"/>
  <c r="ADM48" i="5"/>
  <c r="MU50" i="5"/>
  <c r="FS52" i="5"/>
  <c r="PE51" i="5"/>
  <c r="JZ50" i="5"/>
  <c r="ADS45" i="5"/>
  <c r="DB46" i="5"/>
  <c r="PX46" i="5"/>
  <c r="ACW46" i="5"/>
  <c r="CN47" i="5"/>
  <c r="PY47" i="5"/>
  <c r="AFX47" i="5"/>
  <c r="KY48" i="5"/>
  <c r="ALO48" i="5"/>
  <c r="ZB50" i="5"/>
  <c r="ADT45" i="5"/>
  <c r="DC46" i="5"/>
  <c r="PY46" i="5"/>
  <c r="ACX46" i="5"/>
  <c r="CO47" i="5"/>
  <c r="PZ47" i="5"/>
  <c r="AFY47" i="5"/>
  <c r="MK48" i="5"/>
  <c r="DZ49" i="5"/>
  <c r="QX51" i="5"/>
  <c r="AGV45" i="5"/>
  <c r="HE46" i="5"/>
  <c r="UX46" i="5"/>
  <c r="AIR46" i="5"/>
  <c r="JC47" i="5"/>
  <c r="YN47" i="5"/>
  <c r="EB48" i="5"/>
  <c r="AEI48" i="5"/>
  <c r="EX50" i="5"/>
  <c r="WH45" i="5"/>
  <c r="AJG45" i="5"/>
  <c r="JR46" i="5"/>
  <c r="XK46" i="5"/>
  <c r="ALE46" i="5"/>
  <c r="LP47" i="5"/>
  <c r="ABU47" i="5"/>
  <c r="HQ48" i="5"/>
  <c r="AIB48" i="5"/>
  <c r="SZ50" i="5"/>
  <c r="UT45" i="5"/>
  <c r="AHQ45" i="5"/>
  <c r="IA46" i="5"/>
  <c r="WO46" i="5"/>
  <c r="AKH46" i="5"/>
  <c r="KU47" i="5"/>
  <c r="AAX47" i="5"/>
  <c r="GO48" i="5"/>
  <c r="AGH48" i="5"/>
  <c r="LU50" i="5"/>
  <c r="HA49" i="5"/>
  <c r="ZJ49" i="5"/>
  <c r="PA50" i="5"/>
  <c r="ID52" i="5"/>
  <c r="LA49" i="5"/>
  <c r="AJN49" i="5"/>
  <c r="GC51" i="5"/>
  <c r="AEU48" i="5"/>
  <c r="LB49" i="5"/>
  <c r="AGU49" i="5"/>
  <c r="AIO50" i="5"/>
  <c r="AFQ48" i="5"/>
  <c r="ND49" i="5"/>
  <c r="AO50" i="5"/>
  <c r="NY51" i="5"/>
  <c r="DY48" i="5"/>
  <c r="H49" i="5"/>
  <c r="AP50" i="5"/>
  <c r="HG48" i="5"/>
  <c r="BY49" i="5"/>
  <c r="CG56" i="5"/>
  <c r="AIM49" i="5"/>
  <c r="AKZ48" i="5"/>
  <c r="UY50" i="5"/>
  <c r="SI45" i="5"/>
  <c r="VY46" i="5"/>
  <c r="YF48" i="5"/>
  <c r="CZ45" i="5"/>
  <c r="AJC46" i="5"/>
  <c r="EQ50" i="5"/>
  <c r="HP46" i="5"/>
  <c r="ABG49" i="5"/>
  <c r="EA51" i="5"/>
  <c r="JJ52" i="5"/>
  <c r="AL53" i="5"/>
  <c r="QT50" i="5"/>
  <c r="AEL45" i="5"/>
  <c r="DW46" i="5"/>
  <c r="QV46" i="5"/>
  <c r="ADQ46" i="5"/>
  <c r="DI47" i="5"/>
  <c r="RA47" i="5"/>
  <c r="AGV47" i="5"/>
  <c r="MJ48" i="5"/>
  <c r="AS49" i="5"/>
  <c r="AJW50" i="5"/>
  <c r="AEM45" i="5"/>
  <c r="DX46" i="5"/>
  <c r="QW46" i="5"/>
  <c r="ADS46" i="5"/>
  <c r="DJ47" i="5"/>
  <c r="RB47" i="5"/>
  <c r="AGY47" i="5"/>
  <c r="NR48" i="5"/>
  <c r="GV49" i="5"/>
  <c r="AFS51" i="5"/>
  <c r="AHO45" i="5"/>
  <c r="HY46" i="5"/>
  <c r="VS46" i="5"/>
  <c r="AJL46" i="5"/>
  <c r="JW47" i="5"/>
  <c r="ZP47" i="5"/>
  <c r="GJ48" i="5"/>
  <c r="AGF48" i="5"/>
  <c r="KF50" i="5"/>
  <c r="XA45" i="5"/>
  <c r="AKA45" i="5"/>
  <c r="KL46" i="5"/>
  <c r="YF46" i="5"/>
  <c r="ALY46" i="5"/>
  <c r="MN47" i="5"/>
  <c r="ACW47" i="5"/>
  <c r="IS48" i="5"/>
  <c r="AKI48" i="5"/>
  <c r="ACD50" i="5"/>
  <c r="VP45" i="5"/>
  <c r="AIM45" i="5"/>
  <c r="JS46" i="5"/>
  <c r="XL46" i="5"/>
  <c r="ALF46" i="5"/>
  <c r="LT47" i="5"/>
  <c r="ABW47" i="5"/>
  <c r="HU48" i="5"/>
  <c r="AIC48" i="5"/>
  <c r="TQ50" i="5"/>
  <c r="ID49" i="5"/>
  <c r="AAM49" i="5"/>
  <c r="QX50" i="5"/>
  <c r="RM52" i="5"/>
  <c r="MD49" i="5"/>
  <c r="AK50" i="5"/>
  <c r="JZ51" i="5"/>
  <c r="AFP48" i="5"/>
  <c r="ME49" i="5"/>
  <c r="AIA49" i="5"/>
  <c r="AKV50" i="5"/>
  <c r="AIF48" i="5"/>
  <c r="OD49" i="5"/>
  <c r="CG50" i="5"/>
  <c r="SK51" i="5"/>
  <c r="ET48" i="5"/>
  <c r="AC49" i="5"/>
  <c r="UV50" i="5"/>
  <c r="IA48" i="5"/>
  <c r="LK49" i="5"/>
  <c r="MC48" i="5"/>
  <c r="AJS49" i="5"/>
  <c r="ALX48" i="5"/>
  <c r="YA50" i="5"/>
  <c r="SY45" i="5"/>
  <c r="WP46" i="5"/>
  <c r="ZB48" i="5"/>
  <c r="WR45" i="5"/>
  <c r="IH47" i="5"/>
  <c r="GJ50" i="5"/>
  <c r="IG46" i="5"/>
  <c r="LQ50" i="5"/>
  <c r="GM51" i="5"/>
  <c r="WO53" i="5"/>
  <c r="CT52" i="5"/>
  <c r="ZA50" i="5"/>
  <c r="AFE45" i="5"/>
  <c r="EQ46" i="5"/>
  <c r="RP46" i="5"/>
  <c r="AEL46" i="5"/>
  <c r="EC47" i="5"/>
  <c r="RW47" i="5"/>
  <c r="AIB47" i="5"/>
  <c r="NQ48" i="5"/>
  <c r="DX49" i="5"/>
  <c r="EX51" i="5"/>
  <c r="AFF45" i="5"/>
  <c r="ER46" i="5"/>
  <c r="RQ46" i="5"/>
  <c r="AEP46" i="5"/>
  <c r="ED47" i="5"/>
  <c r="RX47" i="5"/>
  <c r="AID47" i="5"/>
  <c r="PG48" i="5"/>
  <c r="JZ49" i="5"/>
  <c r="ABD52" i="5"/>
  <c r="AIH45" i="5"/>
  <c r="IS46" i="5"/>
  <c r="WM46" i="5"/>
  <c r="AKF46" i="5"/>
  <c r="KR47" i="5"/>
  <c r="ABT47" i="5"/>
  <c r="HP48" i="5"/>
  <c r="AIA48" i="5"/>
  <c r="SY50" i="5"/>
  <c r="XT45" i="5"/>
  <c r="AKU45" i="5"/>
  <c r="LG46" i="5"/>
  <c r="YZ46" i="5"/>
  <c r="K47" i="5"/>
  <c r="NM47" i="5"/>
  <c r="AEA47" i="5"/>
  <c r="KA48" i="5"/>
  <c r="AMF48" i="5"/>
  <c r="AKR50" i="5"/>
  <c r="WI45" i="5"/>
  <c r="AKB45" i="5"/>
  <c r="KM46" i="5"/>
  <c r="YG46" i="5"/>
  <c r="ALZ46" i="5"/>
  <c r="MP47" i="5"/>
  <c r="ACX47" i="5"/>
  <c r="IV48" i="5"/>
  <c r="AKJ48" i="5"/>
  <c r="ACE50" i="5"/>
  <c r="JA49" i="5"/>
  <c r="ABS49" i="5"/>
  <c r="TW50" i="5"/>
  <c r="AGB52" i="5"/>
  <c r="OZ49" i="5"/>
  <c r="CE50" i="5"/>
  <c r="NW51" i="5"/>
  <c r="AID48" i="5"/>
  <c r="NC49" i="5"/>
  <c r="AJO49" i="5"/>
  <c r="DT51" i="5"/>
  <c r="AJA48" i="5"/>
  <c r="PC49" i="5"/>
  <c r="DX50" i="5"/>
  <c r="VT51" i="5"/>
  <c r="IT48" i="5"/>
  <c r="AX49" i="5"/>
  <c r="XC50" i="5"/>
  <c r="IU48" i="5"/>
  <c r="MH49" i="5"/>
  <c r="MZ48" i="5"/>
  <c r="ALF49" i="5"/>
  <c r="K49" i="5"/>
  <c r="VY52" i="5"/>
  <c r="YM45" i="5"/>
  <c r="XG46" i="5"/>
  <c r="ZW48" i="5"/>
  <c r="XH45" i="5"/>
  <c r="IY47" i="5"/>
  <c r="ID50" i="5"/>
  <c r="IX46" i="5"/>
  <c r="SX50" i="5"/>
  <c r="HU51" i="5"/>
  <c r="MY50" i="5"/>
  <c r="DY52" i="5"/>
  <c r="AHQ50" i="5"/>
  <c r="AGA45" i="5"/>
  <c r="FK46" i="5"/>
  <c r="SJ46" i="5"/>
  <c r="AFI46" i="5"/>
  <c r="EW47" i="5"/>
  <c r="SU47" i="5"/>
  <c r="AJA47" i="5"/>
  <c r="PF48" i="5"/>
  <c r="GU49" i="5"/>
  <c r="QS51" i="5"/>
  <c r="AGB45" i="5"/>
  <c r="FL46" i="5"/>
  <c r="SK46" i="5"/>
  <c r="AFJ46" i="5"/>
  <c r="EX47" i="5"/>
  <c r="SV47" i="5"/>
  <c r="AJE47" i="5"/>
  <c r="QW48" i="5"/>
  <c r="MY49" i="5"/>
  <c r="ZS54" i="5"/>
  <c r="AJF45" i="5"/>
  <c r="JQ46" i="5"/>
  <c r="XJ46" i="5"/>
  <c r="AKZ46" i="5"/>
  <c r="MM47" i="5"/>
  <c r="ACT47" i="5"/>
  <c r="IR48" i="5"/>
  <c r="AJT48" i="5"/>
  <c r="ABK50" i="5"/>
  <c r="YP45" i="5"/>
  <c r="ALO45" i="5"/>
  <c r="MA46" i="5"/>
  <c r="ZT46" i="5"/>
  <c r="AE47" i="5"/>
  <c r="OI47" i="5"/>
  <c r="AFB47" i="5"/>
  <c r="LB48" i="5"/>
  <c r="BL49" i="5"/>
  <c r="FX51" i="5"/>
  <c r="XU45" i="5"/>
  <c r="AKV45" i="5"/>
  <c r="LH46" i="5"/>
  <c r="ZA46" i="5"/>
  <c r="L47" i="5"/>
  <c r="NN47" i="5"/>
  <c r="AEB47" i="5"/>
  <c r="KB48" i="5"/>
  <c r="AMG48" i="5"/>
  <c r="AKS50" i="5"/>
  <c r="KB49" i="5"/>
  <c r="ACU49" i="5"/>
  <c r="WY50" i="5"/>
  <c r="GU53" i="5"/>
  <c r="RZ49" i="5"/>
  <c r="DU50" i="5"/>
  <c r="RB51" i="5"/>
  <c r="AIZ48" i="5"/>
  <c r="OA49" i="5"/>
  <c r="AKQ49" i="5"/>
  <c r="NX51" i="5"/>
  <c r="AJZ48" i="5"/>
  <c r="QD49" i="5"/>
  <c r="FP50" i="5"/>
  <c r="AHY51" i="5"/>
  <c r="JP48" i="5"/>
  <c r="BV49" i="5"/>
  <c r="AAG50" i="5"/>
  <c r="JQ48" i="5"/>
  <c r="AEL49" i="5"/>
  <c r="UP48" i="5"/>
  <c r="E50" i="5"/>
  <c r="AF49" i="5"/>
  <c r="M53" i="5"/>
  <c r="ZC45" i="5"/>
  <c r="XX46" i="5"/>
  <c r="AAT48" i="5"/>
  <c r="XX45" i="5"/>
  <c r="AHY47" i="5"/>
  <c r="WQ54" i="5"/>
  <c r="JO46" i="5"/>
  <c r="VU50" i="5"/>
  <c r="JE51" i="5"/>
  <c r="AEZ50" i="5"/>
  <c r="EY52" i="5"/>
  <c r="EW51" i="5"/>
  <c r="AGT45" i="5"/>
  <c r="GI46" i="5"/>
  <c r="TD46" i="5"/>
  <c r="AGC46" i="5"/>
  <c r="FU47" i="5"/>
  <c r="TQ47" i="5"/>
  <c r="AKF47" i="5"/>
  <c r="QV48" i="5"/>
  <c r="JU49" i="5"/>
  <c r="AFR51" i="5"/>
  <c r="AGU45" i="5"/>
  <c r="GJ46" i="5"/>
  <c r="TE46" i="5"/>
  <c r="AGE46" i="5"/>
  <c r="FV47" i="5"/>
  <c r="TR47" i="5"/>
  <c r="AKK47" i="5"/>
  <c r="SL48" i="5"/>
  <c r="QO49" i="5"/>
  <c r="WZ45" i="5"/>
  <c r="AJZ45" i="5"/>
  <c r="KK46" i="5"/>
  <c r="YE46" i="5"/>
  <c r="J47" i="5"/>
  <c r="NJ47" i="5"/>
  <c r="ADW47" i="5"/>
  <c r="JZ48" i="5"/>
  <c r="AMC48" i="5"/>
  <c r="AKQ50" i="5"/>
  <c r="ZI45" i="5"/>
  <c r="E46" i="5"/>
  <c r="MX46" i="5"/>
  <c r="AAR46" i="5"/>
  <c r="AZ47" i="5"/>
  <c r="PF47" i="5"/>
  <c r="AGA47" i="5"/>
  <c r="MM48" i="5"/>
  <c r="EE49" i="5"/>
  <c r="ALL51" i="5"/>
  <c r="YQ45" i="5"/>
  <c r="ALT45" i="5"/>
  <c r="MB46" i="5"/>
  <c r="ZU46" i="5"/>
  <c r="AG47" i="5"/>
  <c r="OJ47" i="5"/>
  <c r="AFC47" i="5"/>
  <c r="LC48" i="5"/>
  <c r="BM49" i="5"/>
  <c r="IP51" i="5"/>
  <c r="KY49" i="5"/>
  <c r="ADW49" i="5"/>
  <c r="ZK50" i="5"/>
  <c r="ACQ53" i="5"/>
  <c r="SW49" i="5"/>
  <c r="FN50" i="5"/>
  <c r="VM51" i="5"/>
  <c r="AJW48" i="5"/>
  <c r="PB49" i="5"/>
  <c r="AME49" i="5"/>
  <c r="AAN51" i="5"/>
  <c r="AKV48" i="5"/>
  <c r="RD49" i="5"/>
  <c r="HK50" i="5"/>
  <c r="BH52" i="5"/>
  <c r="KJ48" i="5"/>
  <c r="CS49" i="5"/>
  <c r="ALP50" i="5"/>
  <c r="KK48" i="5"/>
  <c r="AFL49" i="5"/>
  <c r="VN48" i="5"/>
  <c r="AR50" i="5"/>
  <c r="BF49" i="5"/>
  <c r="TD53" i="5"/>
  <c r="AJQ45" i="5"/>
  <c r="AHT46" i="5"/>
  <c r="ABP48" i="5"/>
  <c r="YN45" i="5"/>
  <c r="EG48" i="5"/>
  <c r="PM56" i="5"/>
  <c r="KF46" i="5"/>
  <c r="YE50" i="5"/>
  <c r="KL51" i="5"/>
  <c r="DR50" i="5"/>
  <c r="XC51" i="5"/>
  <c r="PV51" i="5"/>
  <c r="AHM45" i="5"/>
  <c r="HC46" i="5"/>
  <c r="TY46" i="5"/>
  <c r="AGX46" i="5"/>
  <c r="GO47" i="5"/>
  <c r="US47" i="5"/>
  <c r="ALL47" i="5"/>
  <c r="SK48" i="5"/>
  <c r="MX49" i="5"/>
  <c r="RK52" i="5"/>
  <c r="AHN45" i="5"/>
  <c r="HD46" i="5"/>
  <c r="UC46" i="5"/>
  <c r="AGY46" i="5"/>
  <c r="GP47" i="5"/>
  <c r="UT47" i="5"/>
  <c r="ALM47" i="5"/>
  <c r="TZ48" i="5"/>
  <c r="TO49" i="5"/>
  <c r="XS45" i="5"/>
  <c r="AKT45" i="5"/>
  <c r="LE46" i="5"/>
  <c r="ZS46" i="5"/>
  <c r="AD47" i="5"/>
  <c r="OH47" i="5"/>
  <c r="AEZ47" i="5"/>
  <c r="LA48" i="5"/>
  <c r="BK49" i="5"/>
  <c r="FW51" i="5"/>
  <c r="AAB45" i="5"/>
  <c r="Y46" i="5"/>
  <c r="NS46" i="5"/>
  <c r="ABL46" i="5"/>
  <c r="BW47" i="5"/>
  <c r="QH47" i="5"/>
  <c r="AHG47" i="5"/>
  <c r="OB48" i="5"/>
  <c r="KT49" i="5"/>
  <c r="ABV52" i="5"/>
  <c r="ZJ45" i="5"/>
  <c r="F46" i="5"/>
  <c r="MY46" i="5"/>
  <c r="AAS46" i="5"/>
  <c r="BD47" i="5"/>
  <c r="PG47" i="5"/>
  <c r="AGB47" i="5"/>
  <c r="MN48" i="5"/>
  <c r="EF49" i="5"/>
  <c r="UI51" i="5"/>
  <c r="MC49" i="5"/>
  <c r="AFG49" i="5"/>
  <c r="ACG50" i="5"/>
  <c r="AU49" i="5"/>
  <c r="TY49" i="5"/>
  <c r="HE50" i="5"/>
  <c r="AAM51" i="5"/>
  <c r="AKU48" i="5"/>
  <c r="QB49" i="5"/>
  <c r="AL50" i="5"/>
  <c r="AGA51" i="5"/>
  <c r="ALQ48" i="5"/>
  <c r="UC49" i="5"/>
  <c r="JB50" i="5"/>
  <c r="AHY52" i="5"/>
  <c r="LD48" i="5"/>
  <c r="LJ49" i="5"/>
  <c r="VP52" i="5"/>
  <c r="LG48" i="5"/>
  <c r="AGZ49" i="5"/>
  <c r="AKD48" i="5"/>
  <c r="UX50" i="5"/>
  <c r="CA49" i="5"/>
  <c r="GK54" i="5"/>
  <c r="AKH45" i="5"/>
  <c r="AJB46" i="5"/>
  <c r="ACM48" i="5"/>
  <c r="ZD45" i="5"/>
  <c r="FB48" i="5"/>
  <c r="ZC44" i="5"/>
  <c r="ACP46" i="5"/>
  <c r="ABI50" i="5"/>
  <c r="AJW51" i="5"/>
  <c r="EN50" i="5"/>
  <c r="YA51" i="5"/>
  <c r="JT49" i="5"/>
  <c r="AFP51" i="5"/>
  <c r="AIF45" i="5"/>
  <c r="HW46" i="5"/>
  <c r="UV46" i="5"/>
  <c r="AHR46" i="5"/>
  <c r="HI47" i="5"/>
  <c r="VO47" i="5"/>
  <c r="G48" i="5"/>
  <c r="TR48" i="5"/>
  <c r="PW49" i="5"/>
  <c r="ZR54" i="5"/>
  <c r="AIG45" i="5"/>
  <c r="HX46" i="5"/>
  <c r="UW46" i="5"/>
  <c r="AHS46" i="5"/>
  <c r="HJ47" i="5"/>
  <c r="VP47" i="5"/>
  <c r="J48" i="5"/>
  <c r="VH48" i="5"/>
  <c r="WV49" i="5"/>
  <c r="YL45" i="5"/>
  <c r="ALN45" i="5"/>
  <c r="MW46" i="5"/>
  <c r="AAM46" i="5"/>
  <c r="AY47" i="5"/>
  <c r="PE47" i="5"/>
  <c r="AFZ47" i="5"/>
  <c r="ML48" i="5"/>
  <c r="EA49" i="5"/>
  <c r="QY51" i="5"/>
  <c r="AAU45" i="5"/>
  <c r="AS46" i="5"/>
  <c r="OM46" i="5"/>
  <c r="ACF46" i="5"/>
  <c r="CQ47" i="5"/>
  <c r="RD47" i="5"/>
  <c r="AIF47" i="5"/>
  <c r="QZ48" i="5"/>
  <c r="NT49" i="5"/>
  <c r="ZU54" i="5"/>
  <c r="AAC45" i="5"/>
  <c r="Z46" i="5"/>
  <c r="NT46" i="5"/>
  <c r="ABM46" i="5"/>
  <c r="BX47" i="5"/>
  <c r="QI47" i="5"/>
  <c r="AHH47" i="5"/>
  <c r="OG48" i="5"/>
  <c r="HR49" i="5"/>
  <c r="AMF51" i="5"/>
  <c r="MZ49" i="5"/>
  <c r="AGL49" i="5"/>
  <c r="AHR50" i="5"/>
  <c r="BP49" i="5"/>
  <c r="UX49" i="5"/>
  <c r="IZ50" i="5"/>
  <c r="KM52" i="5"/>
  <c r="ALP48" i="5"/>
  <c r="RB49" i="5"/>
  <c r="CF50" i="5"/>
  <c r="BG52" i="5"/>
  <c r="G49" i="5"/>
  <c r="UZ49" i="5"/>
  <c r="NE50" i="5"/>
  <c r="QK55" i="5"/>
  <c r="LZ48" i="5"/>
  <c r="NF49" i="5"/>
  <c r="AHZ52" i="5"/>
  <c r="MB48" i="5"/>
  <c r="AIF49" i="5"/>
  <c r="AKY48" i="5"/>
  <c r="XW50" i="5"/>
  <c r="CV49" i="5"/>
  <c r="ED56" i="5"/>
  <c r="AKY45" i="5"/>
  <c r="PH47" i="5"/>
  <c r="DU49" i="5"/>
  <c r="ZT45" i="5"/>
  <c r="FV48" i="5"/>
  <c r="ZS44" i="5"/>
  <c r="ADG46" i="5"/>
  <c r="IO51" i="5"/>
  <c r="D52" i="5"/>
  <c r="FK50" i="5"/>
  <c r="NG49" i="5"/>
  <c r="XV50" i="5"/>
  <c r="WI48" i="5"/>
  <c r="OI49" i="5"/>
  <c r="AAI50" i="5"/>
  <c r="XH48" i="5"/>
  <c r="OL49" i="5"/>
  <c r="AAZ50" i="5"/>
  <c r="EU45" i="5"/>
  <c r="ZS45" i="5"/>
  <c r="IE46" i="5"/>
  <c r="AJ47" i="5"/>
  <c r="K48" i="5"/>
  <c r="LN49" i="5"/>
  <c r="DP45" i="5"/>
  <c r="EG46" i="5"/>
  <c r="JP47" i="5"/>
  <c r="AFZ48" i="5"/>
  <c r="AKC43" i="5"/>
  <c r="PY45" i="5"/>
  <c r="ADX46" i="5"/>
  <c r="AEH48" i="5"/>
  <c r="NO50" i="5"/>
  <c r="HN51" i="5"/>
  <c r="GO51" i="5"/>
  <c r="AGA50" i="5"/>
  <c r="LC49" i="5"/>
  <c r="ZA51" i="5"/>
  <c r="YB48" i="5"/>
  <c r="PG49" i="5"/>
  <c r="ADI50" i="5"/>
  <c r="AIO47" i="5"/>
  <c r="XF48" i="5"/>
  <c r="OH49" i="5"/>
  <c r="AAH50" i="5"/>
  <c r="XG48" i="5"/>
  <c r="PI49" i="5"/>
  <c r="ADK50" i="5"/>
  <c r="YE48" i="5"/>
  <c r="PJ49" i="5"/>
  <c r="ADL50" i="5"/>
  <c r="FK45" i="5"/>
  <c r="AAI45" i="5"/>
  <c r="JM46" i="5"/>
  <c r="BA47" i="5"/>
  <c r="AE48" i="5"/>
  <c r="ML49" i="5"/>
  <c r="EF45" i="5"/>
  <c r="EX46" i="5"/>
  <c r="KH47" i="5"/>
  <c r="AGU48" i="5"/>
  <c r="AKS43" i="5"/>
  <c r="QO45" i="5"/>
  <c r="AEO46" i="5"/>
  <c r="AFD48" i="5"/>
  <c r="OK50" i="5"/>
  <c r="OP51" i="5"/>
  <c r="ADY51" i="5"/>
  <c r="AGZ50" i="5"/>
  <c r="ALW49" i="5"/>
  <c r="AZ52" i="5"/>
  <c r="AP51" i="5"/>
  <c r="AEA48" i="5"/>
  <c r="GF49" i="5"/>
  <c r="YM49" i="5"/>
  <c r="KU50" i="5"/>
  <c r="AAP51" i="5"/>
  <c r="DE48" i="5"/>
  <c r="YW48" i="5"/>
  <c r="QG49" i="5"/>
  <c r="AFM50" i="5"/>
  <c r="AJJ47" i="5"/>
  <c r="YC48" i="5"/>
  <c r="PH49" i="5"/>
  <c r="ADJ50" i="5"/>
  <c r="YZ48" i="5"/>
  <c r="QI49" i="5"/>
  <c r="AGH50" i="5"/>
  <c r="ZA48" i="5"/>
  <c r="QJ49" i="5"/>
  <c r="AGI50" i="5"/>
  <c r="GA45" i="5"/>
  <c r="AAY45" i="5"/>
  <c r="KD46" i="5"/>
  <c r="BR47" i="5"/>
  <c r="AZ48" i="5"/>
  <c r="NM49" i="5"/>
  <c r="EV45" i="5"/>
  <c r="IF46" i="5"/>
  <c r="KZ47" i="5"/>
  <c r="AHS48" i="5"/>
  <c r="ALI43" i="5"/>
  <c r="RE45" i="5"/>
  <c r="AFF46" i="5"/>
  <c r="AGA48" i="5"/>
  <c r="AEP50" i="5"/>
  <c r="ZO51" i="5"/>
  <c r="IX53" i="5"/>
  <c r="GQ51" i="5"/>
  <c r="J50" i="5"/>
  <c r="BZ52" i="5"/>
  <c r="AIR50" i="5"/>
  <c r="AKD47" i="5"/>
  <c r="YX48" i="5"/>
  <c r="QH49" i="5"/>
  <c r="AGG50" i="5"/>
  <c r="ZU48" i="5"/>
  <c r="RG49" i="5"/>
  <c r="AIT50" i="5"/>
  <c r="ZV48" i="5"/>
  <c r="RH49" i="5"/>
  <c r="AJM50" i="5"/>
  <c r="GQ45" i="5"/>
  <c r="ACE45" i="5"/>
  <c r="KU46" i="5"/>
  <c r="CI47" i="5"/>
  <c r="BU48" i="5"/>
  <c r="ON49" i="5"/>
  <c r="FL45" i="5"/>
  <c r="MU46" i="5"/>
  <c r="QC47" i="5"/>
  <c r="AIP48" i="5"/>
  <c r="ALY43" i="5"/>
  <c r="RU45" i="5"/>
  <c r="BC47" i="5"/>
  <c r="AGV48" i="5"/>
  <c r="AFO50" i="5"/>
  <c r="ABP51" i="5"/>
  <c r="ON53" i="5"/>
  <c r="IC51" i="5"/>
  <c r="AH50" i="5"/>
  <c r="NN54" i="5"/>
  <c r="ZT48" i="5"/>
  <c r="RF49" i="5"/>
  <c r="ALQ50" i="5"/>
  <c r="AAR48" i="5"/>
  <c r="SF49" i="5"/>
  <c r="ALV50" i="5"/>
  <c r="AAS48" i="5"/>
  <c r="SI49" i="5"/>
  <c r="ALW50" i="5"/>
  <c r="HG45" i="5"/>
  <c r="ACU45" i="5"/>
  <c r="LL46" i="5"/>
  <c r="CZ47" i="5"/>
  <c r="CO48" i="5"/>
  <c r="PK49" i="5"/>
  <c r="GB45" i="5"/>
  <c r="NL46" i="5"/>
  <c r="QV47" i="5"/>
  <c r="AJL48" i="5"/>
  <c r="GQ44" i="5"/>
  <c r="SK45" i="5"/>
  <c r="BT47" i="5"/>
  <c r="AHT48" i="5"/>
  <c r="AGU50" i="5"/>
  <c r="AGU51" i="5"/>
  <c r="WH53" i="5"/>
  <c r="JJ51" i="5"/>
  <c r="BC50" i="5"/>
  <c r="AAE50" i="5"/>
  <c r="QA49" i="5"/>
  <c r="AKP49" i="5"/>
  <c r="AKU50" i="5"/>
  <c r="AAL48" i="5"/>
  <c r="CO49" i="5"/>
  <c r="UB49" i="5"/>
  <c r="DV50" i="5"/>
  <c r="RJ51" i="5"/>
  <c r="AGM48" i="5"/>
  <c r="JG49" i="5"/>
  <c r="ABY49" i="5"/>
  <c r="RR50" i="5"/>
  <c r="KO52" i="5"/>
  <c r="FN48" i="5"/>
  <c r="ABL48" i="5"/>
  <c r="TD49" i="5"/>
  <c r="AT51" i="5"/>
  <c r="ALS47" i="5"/>
  <c r="AAO48" i="5"/>
  <c r="SD49" i="5"/>
  <c r="BK51" i="5"/>
  <c r="ABN48" i="5"/>
  <c r="TI49" i="5"/>
  <c r="BM51" i="5"/>
  <c r="ABO48" i="5"/>
  <c r="TJ49" i="5"/>
  <c r="BN51" i="5"/>
  <c r="IM45" i="5"/>
  <c r="ADK45" i="5"/>
  <c r="MC46" i="5"/>
  <c r="DQ47" i="5"/>
  <c r="DI48" i="5"/>
  <c r="QK49" i="5"/>
  <c r="GR45" i="5"/>
  <c r="OC46" i="5"/>
  <c r="VJ47" i="5"/>
  <c r="AKG48" i="5"/>
  <c r="HG44" i="5"/>
  <c r="TA45" i="5"/>
  <c r="CK47" i="5"/>
  <c r="CD49" i="5"/>
  <c r="CX51" i="5"/>
  <c r="AJB51" i="5"/>
  <c r="AGK53" i="5"/>
  <c r="DQ50" i="5"/>
  <c r="LL50" i="5"/>
  <c r="ST48" i="5"/>
  <c r="FF48" i="5"/>
  <c r="ACB48" i="5"/>
  <c r="AIW49" i="5"/>
  <c r="AAA45" i="5"/>
  <c r="D46" i="5"/>
  <c r="LZ46" i="5"/>
  <c r="YY46" i="5"/>
  <c r="ALX46" i="5"/>
  <c r="LO47" i="5"/>
  <c r="AAP47" i="5"/>
  <c r="FH48" i="5"/>
  <c r="ACC48" i="5"/>
  <c r="AIX49" i="5"/>
  <c r="TZ45" i="5"/>
  <c r="AGD45" i="5"/>
  <c r="FQ46" i="5"/>
  <c r="SM46" i="5"/>
  <c r="AFL46" i="5"/>
  <c r="FC47" i="5"/>
  <c r="SX47" i="5"/>
  <c r="AJG47" i="5"/>
  <c r="PI48" i="5"/>
  <c r="GY49" i="5"/>
  <c r="TX51" i="5"/>
  <c r="XB45" i="5"/>
  <c r="AJH45" i="5"/>
  <c r="IY46" i="5"/>
  <c r="VU46" i="5"/>
  <c r="AIT46" i="5"/>
  <c r="IK47" i="5"/>
  <c r="WR47" i="5"/>
  <c r="AQ48" i="5"/>
  <c r="VV48" i="5"/>
  <c r="TV49" i="5"/>
  <c r="Y49" i="5"/>
  <c r="OY49" i="5"/>
  <c r="AHX49" i="5"/>
  <c r="AFI50" i="5"/>
  <c r="Z49" i="5"/>
  <c r="RA49" i="5"/>
  <c r="AMD49" i="5"/>
  <c r="AO51" i="5"/>
  <c r="ABI48" i="5"/>
  <c r="DL49" i="5"/>
  <c r="UY49" i="5"/>
  <c r="JA50" i="5"/>
  <c r="VS51" i="5"/>
  <c r="AHJ48" i="5"/>
  <c r="KE49" i="5"/>
  <c r="ACZ49" i="5"/>
  <c r="UU50" i="5"/>
  <c r="VM52" i="5"/>
  <c r="HZ48" i="5"/>
  <c r="AJB48" i="5"/>
  <c r="AEK49" i="5"/>
  <c r="KS52" i="5"/>
  <c r="GL48" i="5"/>
  <c r="AJG48" i="5"/>
  <c r="ADE49" i="5"/>
  <c r="DP52" i="5"/>
  <c r="AJH48" i="5"/>
  <c r="ADF49" i="5"/>
  <c r="LC52" i="5"/>
  <c r="AKE48" i="5"/>
  <c r="AEN49" i="5"/>
  <c r="NO52" i="5"/>
  <c r="OA45" i="5"/>
  <c r="AIZ45" i="5"/>
  <c r="SR46" i="5"/>
  <c r="OO47" i="5"/>
  <c r="WN48" i="5"/>
  <c r="ALH49" i="5"/>
  <c r="WB45" i="5"/>
  <c r="AAO46" i="5"/>
  <c r="AHE47" i="5"/>
  <c r="VL49" i="5"/>
  <c r="YM44" i="5"/>
  <c r="AKK45" i="5"/>
  <c r="WD47" i="5"/>
  <c r="AAC49" i="5"/>
  <c r="IE52" i="5"/>
  <c r="WG50" i="5"/>
  <c r="OQ50" i="5"/>
  <c r="QC52" i="5"/>
  <c r="AI50" i="5"/>
  <c r="OO48" i="5"/>
  <c r="ACG48" i="5"/>
  <c r="DO49" i="5"/>
  <c r="UD49" i="5"/>
  <c r="CH50" i="5"/>
  <c r="DV51" i="5"/>
  <c r="YY47" i="5"/>
  <c r="F48" i="5"/>
  <c r="MY48" i="5"/>
  <c r="ABM48" i="5"/>
  <c r="CT49" i="5"/>
  <c r="UE49" i="5"/>
  <c r="CI50" i="5"/>
  <c r="DW51" i="5"/>
  <c r="NU48" i="5"/>
  <c r="ACI48" i="5"/>
  <c r="DQ49" i="5"/>
  <c r="UF49" i="5"/>
  <c r="CJ50" i="5"/>
  <c r="DY51" i="5"/>
  <c r="NV48" i="5"/>
  <c r="ACL48" i="5"/>
  <c r="DR49" i="5"/>
  <c r="UG49" i="5"/>
  <c r="CM50" i="5"/>
  <c r="ES51" i="5"/>
  <c r="ALY44" i="5"/>
  <c r="JC45" i="5"/>
  <c r="TO45" i="5"/>
  <c r="AEA45" i="5"/>
  <c r="BP46" i="5"/>
  <c r="MT46" i="5"/>
  <c r="YO46" i="5"/>
  <c r="EH47" i="5"/>
  <c r="ZB47" i="5"/>
  <c r="IZ48" i="5"/>
  <c r="ADK48" i="5"/>
  <c r="UH49" i="5"/>
  <c r="ALX50" i="5"/>
  <c r="HH45" i="5"/>
  <c r="AHD45" i="5"/>
  <c r="OT46" i="5"/>
  <c r="AJT46" i="5"/>
  <c r="WC47" i="5"/>
  <c r="JA48" i="5"/>
  <c r="HP49" i="5"/>
  <c r="JU50" i="5"/>
  <c r="HW44" i="5"/>
  <c r="ALK44" i="5"/>
  <c r="TQ45" i="5"/>
  <c r="KW46" i="5"/>
  <c r="DB47" i="5"/>
  <c r="CQ48" i="5"/>
  <c r="CZ49" i="5"/>
  <c r="LK51" i="5"/>
  <c r="DZ51" i="5"/>
  <c r="NP50" i="5"/>
  <c r="NQ50" i="5"/>
  <c r="IH52" i="5"/>
  <c r="XX49" i="5"/>
  <c r="AGL53" i="5"/>
  <c r="EL50" i="5"/>
  <c r="TL50" i="5"/>
  <c r="GT51" i="5"/>
  <c r="GG52" i="5"/>
  <c r="TL48" i="5"/>
  <c r="PJ48" i="5"/>
  <c r="ADB48" i="5"/>
  <c r="EM49" i="5"/>
  <c r="VE49" i="5"/>
  <c r="DY50" i="5"/>
  <c r="HH51" i="5"/>
  <c r="ZS47" i="5"/>
  <c r="AB48" i="5"/>
  <c r="NT48" i="5"/>
  <c r="ACH48" i="5"/>
  <c r="EN49" i="5"/>
  <c r="VF49" i="5"/>
  <c r="DZ50" i="5"/>
  <c r="HI51" i="5"/>
  <c r="OQ48" i="5"/>
  <c r="ADI48" i="5"/>
  <c r="EO49" i="5"/>
  <c r="VG49" i="5"/>
  <c r="EC50" i="5"/>
  <c r="HJ51" i="5"/>
  <c r="OR48" i="5"/>
  <c r="ADJ48" i="5"/>
  <c r="EP49" i="5"/>
  <c r="VH49" i="5"/>
  <c r="EF50" i="5"/>
  <c r="LG51" i="5"/>
  <c r="G45" i="5"/>
  <c r="JS45" i="5"/>
  <c r="UE45" i="5"/>
  <c r="AEQ45" i="5"/>
  <c r="CG46" i="5"/>
  <c r="NK46" i="5"/>
  <c r="ADE46" i="5"/>
  <c r="EY47" i="5"/>
  <c r="ZV47" i="5"/>
  <c r="JT48" i="5"/>
  <c r="AEF48" i="5"/>
  <c r="ACD49" i="5"/>
  <c r="XK51" i="5"/>
  <c r="LP45" i="5"/>
  <c r="AHT45" i="5"/>
  <c r="PK46" i="5"/>
  <c r="AKK46" i="5"/>
  <c r="WV47" i="5"/>
  <c r="OT48" i="5"/>
  <c r="IP49" i="5"/>
  <c r="LP50" i="5"/>
  <c r="IM44" i="5"/>
  <c r="AMA44" i="5"/>
  <c r="UG45" i="5"/>
  <c r="LN46" i="5"/>
  <c r="DS47" i="5"/>
  <c r="DL48" i="5"/>
  <c r="KS49" i="5"/>
  <c r="PR51" i="5"/>
  <c r="FB51" i="5"/>
  <c r="SD50" i="5"/>
  <c r="OM50" i="5"/>
  <c r="MD52" i="5"/>
  <c r="YT49" i="5"/>
  <c r="NV54" i="5"/>
  <c r="FH50" i="5"/>
  <c r="NI52" i="5"/>
  <c r="IJ51" i="5"/>
  <c r="AAF52" i="5"/>
  <c r="ABY48" i="5"/>
  <c r="QG48" i="5"/>
  <c r="AEB48" i="5"/>
  <c r="FJ49" i="5"/>
  <c r="WD49" i="5"/>
  <c r="FQ50" i="5"/>
  <c r="KI51" i="5"/>
  <c r="AAM47" i="5"/>
  <c r="AV48" i="5"/>
  <c r="OP48" i="5"/>
  <c r="AEC48" i="5"/>
  <c r="FK49" i="5"/>
  <c r="WH49" i="5"/>
  <c r="FR50" i="5"/>
  <c r="LE51" i="5"/>
  <c r="PN48" i="5"/>
  <c r="AED48" i="5"/>
  <c r="FM49" i="5"/>
  <c r="WK49" i="5"/>
  <c r="FV50" i="5"/>
  <c r="LF51" i="5"/>
  <c r="PO48" i="5"/>
  <c r="AEE48" i="5"/>
  <c r="FN49" i="5"/>
  <c r="WN49" i="5"/>
  <c r="HR50" i="5"/>
  <c r="PF51" i="5"/>
  <c r="W45" i="5"/>
  <c r="KI45" i="5"/>
  <c r="UU45" i="5"/>
  <c r="AFG45" i="5"/>
  <c r="CX46" i="5"/>
  <c r="OB46" i="5"/>
  <c r="ADV46" i="5"/>
  <c r="FP47" i="5"/>
  <c r="AAQ47" i="5"/>
  <c r="KP48" i="5"/>
  <c r="AKF48" i="5"/>
  <c r="ADL49" i="5"/>
  <c r="ACR51" i="5"/>
  <c r="MF45" i="5"/>
  <c r="AIJ45" i="5"/>
  <c r="QB46" i="5"/>
  <c r="ALC46" i="5"/>
  <c r="ACI47" i="5"/>
  <c r="PT48" i="5"/>
  <c r="JQ49" i="5"/>
  <c r="OD50" i="5"/>
  <c r="JC44" i="5"/>
  <c r="I45" i="5"/>
  <c r="ACW45" i="5"/>
  <c r="QC46" i="5"/>
  <c r="II47" i="5"/>
  <c r="KR48" i="5"/>
  <c r="TM49" i="5"/>
  <c r="TU51" i="5"/>
  <c r="GL51" i="5"/>
  <c r="TB50" i="5"/>
  <c r="PJ50" i="5"/>
  <c r="XL50" i="5"/>
  <c r="ZS49" i="5"/>
  <c r="AIS54" i="5"/>
  <c r="GE50" i="5"/>
  <c r="QE52" i="5"/>
  <c r="JN51" i="5"/>
  <c r="M52" i="5"/>
  <c r="ACP48" i="5"/>
  <c r="RC48" i="5"/>
  <c r="AEW48" i="5"/>
  <c r="GH49" i="5"/>
  <c r="XL49" i="5"/>
  <c r="HL50" i="5"/>
  <c r="NZ51" i="5"/>
  <c r="ABH47" i="5"/>
  <c r="BQ48" i="5"/>
  <c r="QH48" i="5"/>
  <c r="AEX48" i="5"/>
  <c r="GM49" i="5"/>
  <c r="XN49" i="5"/>
  <c r="HM50" i="5"/>
  <c r="OA51" i="5"/>
  <c r="QJ48" i="5"/>
  <c r="AEY48" i="5"/>
  <c r="GN49" i="5"/>
  <c r="XO49" i="5"/>
  <c r="HN50" i="5"/>
  <c r="OH51" i="5"/>
  <c r="QM48" i="5"/>
  <c r="AEZ48" i="5"/>
  <c r="GO49" i="5"/>
  <c r="YQ49" i="5"/>
  <c r="JJ50" i="5"/>
  <c r="SO51" i="5"/>
  <c r="AM45" i="5"/>
  <c r="KY45" i="5"/>
  <c r="VK45" i="5"/>
  <c r="AFW45" i="5"/>
  <c r="DO46" i="5"/>
  <c r="OS46" i="5"/>
  <c r="AEM46" i="5"/>
  <c r="GG47" i="5"/>
  <c r="ABN47" i="5"/>
  <c r="LJ48" i="5"/>
  <c r="L49" i="5"/>
  <c r="AEO49" i="5"/>
  <c r="AIZ51" i="5"/>
  <c r="MV45" i="5"/>
  <c r="AJA45" i="5"/>
  <c r="QS46" i="5"/>
  <c r="ALT46" i="5"/>
  <c r="ADC47" i="5"/>
  <c r="QO48" i="5"/>
  <c r="KR49" i="5"/>
  <c r="AGP50" i="5"/>
  <c r="JS44" i="5"/>
  <c r="Y45" i="5"/>
  <c r="ADM45" i="5"/>
  <c r="QU46" i="5"/>
  <c r="IZ47" i="5"/>
  <c r="LM48" i="5"/>
  <c r="UN49" i="5"/>
  <c r="FW50" i="5"/>
  <c r="HM51" i="5"/>
  <c r="UD50" i="5"/>
  <c r="QF50" i="5"/>
  <c r="YM50" i="5"/>
  <c r="AAN49" i="5"/>
  <c r="AEX55" i="5"/>
  <c r="QL50" i="5"/>
  <c r="UF52" i="5"/>
  <c r="AHS47" i="5"/>
  <c r="PH52" i="5"/>
  <c r="HE53" i="5"/>
  <c r="RZ48" i="5"/>
  <c r="AFR48" i="5"/>
  <c r="HJ49" i="5"/>
  <c r="YN49" i="5"/>
  <c r="JC50" i="5"/>
  <c r="SL51" i="5"/>
  <c r="ACE47" i="5"/>
  <c r="DF48" i="5"/>
  <c r="RF48" i="5"/>
  <c r="AFT48" i="5"/>
  <c r="HK49" i="5"/>
  <c r="YO49" i="5"/>
  <c r="JD50" i="5"/>
  <c r="SM51" i="5"/>
  <c r="RG48" i="5"/>
  <c r="AFU48" i="5"/>
  <c r="HL49" i="5"/>
  <c r="YP49" i="5"/>
  <c r="JE50" i="5"/>
  <c r="SN51" i="5"/>
  <c r="RH48" i="5"/>
  <c r="AFV48" i="5"/>
  <c r="IK49" i="5"/>
  <c r="ZZ49" i="5"/>
  <c r="LN50" i="5"/>
  <c r="XG51" i="5"/>
  <c r="BC45" i="5"/>
  <c r="LO45" i="5"/>
  <c r="WA45" i="5"/>
  <c r="AGM45" i="5"/>
  <c r="EF46" i="5"/>
  <c r="PJ46" i="5"/>
  <c r="AFD46" i="5"/>
  <c r="KY47" i="5"/>
  <c r="ACH47" i="5"/>
  <c r="MG48" i="5"/>
  <c r="AG49" i="5"/>
  <c r="AFY49" i="5"/>
  <c r="ER52" i="5"/>
  <c r="PX45" i="5"/>
  <c r="AJR45" i="5"/>
  <c r="RK46" i="5"/>
  <c r="FQ47" i="5"/>
  <c r="ADY47" i="5"/>
  <c r="RJ48" i="5"/>
  <c r="LO49" i="5"/>
  <c r="PQ51" i="5"/>
  <c r="KI44" i="5"/>
  <c r="AO45" i="5"/>
  <c r="AEC45" i="5"/>
  <c r="WA46" i="5"/>
  <c r="JQ47" i="5"/>
  <c r="MI48" i="5"/>
  <c r="VM49" i="5"/>
  <c r="IK50" i="5"/>
  <c r="JC51" i="5"/>
  <c r="VE50" i="5"/>
  <c r="RC50" i="5"/>
  <c r="ZO50" i="5"/>
  <c r="FF50" i="5"/>
  <c r="ACS56" i="5"/>
  <c r="RI50" i="5"/>
  <c r="ZB52" i="5"/>
  <c r="AIL47" i="5"/>
  <c r="QP52" i="5"/>
  <c r="IH53" i="5"/>
  <c r="SX48" i="5"/>
  <c r="AGP48" i="5"/>
  <c r="IH49" i="5"/>
  <c r="ZR49" i="5"/>
  <c r="KV50" i="5"/>
  <c r="VW51" i="5"/>
  <c r="ADS47" i="5"/>
  <c r="DZ48" i="5"/>
  <c r="SA48" i="5"/>
  <c r="AGQ48" i="5"/>
  <c r="II49" i="5"/>
  <c r="ZU49" i="5"/>
  <c r="KW50" i="5"/>
  <c r="WV51" i="5"/>
  <c r="SD48" i="5"/>
  <c r="AGR48" i="5"/>
  <c r="IJ49" i="5"/>
  <c r="ZV49" i="5"/>
  <c r="KX50" i="5"/>
  <c r="XF51" i="5"/>
  <c r="SF48" i="5"/>
  <c r="AHN48" i="5"/>
  <c r="JM49" i="5"/>
  <c r="ABA49" i="5"/>
  <c r="NM50" i="5"/>
  <c r="ACQ51" i="5"/>
  <c r="BS45" i="5"/>
  <c r="ME45" i="5"/>
  <c r="WQ45" i="5"/>
  <c r="AHC45" i="5"/>
  <c r="EW46" i="5"/>
  <c r="QA46" i="5"/>
  <c r="AFU46" i="5"/>
  <c r="LQ47" i="5"/>
  <c r="ADB47" i="5"/>
  <c r="OS48" i="5"/>
  <c r="BG49" i="5"/>
  <c r="AHE49" i="5"/>
  <c r="NP52" i="5"/>
  <c r="QN45" i="5"/>
  <c r="AKI45" i="5"/>
  <c r="SB46" i="5"/>
  <c r="GH47" i="5"/>
  <c r="AES47" i="5"/>
  <c r="WO48" i="5"/>
  <c r="SN49" i="5"/>
  <c r="TS51" i="5"/>
  <c r="OQ44" i="5"/>
  <c r="EW45" i="5"/>
  <c r="AIK45" i="5"/>
  <c r="AAQ46" i="5"/>
  <c r="KI47" i="5"/>
  <c r="ND48" i="5"/>
  <c r="WS49" i="5"/>
  <c r="JF50" i="5"/>
  <c r="AMH51" i="5"/>
  <c r="WF50" i="5"/>
  <c r="SE50" i="5"/>
  <c r="AAM50" i="5"/>
  <c r="MC50" i="5"/>
  <c r="DY49" i="5"/>
  <c r="SI50" i="5"/>
  <c r="YP47" i="5"/>
  <c r="AJD47" i="5"/>
  <c r="DZ54" i="5"/>
  <c r="AII52" i="5"/>
  <c r="AJ50" i="5"/>
  <c r="AKT50" i="5"/>
  <c r="IJ55" i="5"/>
  <c r="NB49" i="5"/>
  <c r="ADZ49" i="5"/>
  <c r="RP50" i="5"/>
  <c r="AFW51" i="5"/>
  <c r="AGL48" i="5"/>
  <c r="HH49" i="5"/>
  <c r="XF49" i="5"/>
  <c r="FO50" i="5"/>
  <c r="GK51" i="5"/>
  <c r="ACF48" i="5"/>
  <c r="CR49" i="5"/>
  <c r="SB49" i="5"/>
  <c r="AKR49" i="5"/>
  <c r="AFL50" i="5"/>
  <c r="MA53" i="5"/>
  <c r="GK48" i="5"/>
  <c r="TS48" i="5"/>
  <c r="AHK48" i="5"/>
  <c r="JH49" i="5"/>
  <c r="AAV49" i="5"/>
  <c r="NJ50" i="5"/>
  <c r="AHZ51" i="5"/>
  <c r="AEO47" i="5"/>
  <c r="EU48" i="5"/>
  <c r="SY48" i="5"/>
  <c r="AHL48" i="5"/>
  <c r="JJ49" i="5"/>
  <c r="AAW49" i="5"/>
  <c r="NK50" i="5"/>
  <c r="ABB51" i="5"/>
  <c r="SZ48" i="5"/>
  <c r="AHM48" i="5"/>
  <c r="JK49" i="5"/>
  <c r="AAZ49" i="5"/>
  <c r="NL50" i="5"/>
  <c r="ABJ51" i="5"/>
  <c r="TV48" i="5"/>
  <c r="AIL48" i="5"/>
  <c r="KL49" i="5"/>
  <c r="ACC49" i="5"/>
  <c r="PY50" i="5"/>
  <c r="AIV51" i="5"/>
  <c r="CI45" i="5"/>
  <c r="MU45" i="5"/>
  <c r="XG45" i="5"/>
  <c r="AHS45" i="5"/>
  <c r="FN46" i="5"/>
  <c r="QR46" i="5"/>
  <c r="AGL46" i="5"/>
  <c r="MI47" i="5"/>
  <c r="ADX47" i="5"/>
  <c r="PP48" i="5"/>
  <c r="CB49" i="5"/>
  <c r="AIR49" i="5"/>
  <c r="VZ52" i="5"/>
  <c r="RD45" i="5"/>
  <c r="ALA45" i="5"/>
  <c r="SS46" i="5"/>
  <c r="GY47" i="5"/>
  <c r="AFM47" i="5"/>
  <c r="ACN48" i="5"/>
  <c r="TL49" i="5"/>
  <c r="XL51" i="5"/>
  <c r="PG44" i="5"/>
  <c r="FM45" i="5"/>
  <c r="AJB45" i="5"/>
  <c r="ABH46" i="5"/>
  <c r="UR47" i="5"/>
  <c r="NZ48" i="5"/>
  <c r="XU49" i="5"/>
  <c r="KD50" i="5"/>
  <c r="CC52" i="5"/>
  <c r="XE50" i="5"/>
  <c r="TC50" i="5"/>
  <c r="ABQ50" i="5"/>
  <c r="MX50" i="5"/>
  <c r="BU50" i="5"/>
  <c r="ALK50" i="5"/>
  <c r="ALF47" i="5"/>
  <c r="ALX49" i="5"/>
  <c r="QS52" i="5"/>
  <c r="AJI52" i="5"/>
  <c r="UW49" i="5"/>
  <c r="BS50" i="5"/>
  <c r="AN51" i="5"/>
  <c r="B49" i="5"/>
  <c r="NZ49" i="5"/>
  <c r="AFH49" i="5"/>
  <c r="TX50" i="5"/>
  <c r="BF52" i="5"/>
  <c r="AHI48" i="5"/>
  <c r="IF49" i="5"/>
  <c r="YL49" i="5"/>
  <c r="HJ50" i="5"/>
  <c r="KD51" i="5"/>
  <c r="ADA48" i="5"/>
  <c r="DN49" i="5"/>
  <c r="TC49" i="5"/>
  <c r="AMF49" i="5"/>
  <c r="AIQ50" i="5"/>
  <c r="AD54" i="5"/>
  <c r="HF48" i="5"/>
  <c r="UN48" i="5"/>
  <c r="AIG48" i="5"/>
  <c r="KG49" i="5"/>
  <c r="ABZ49" i="5"/>
  <c r="RS50" i="5"/>
  <c r="BL52" i="5"/>
  <c r="AFI47" i="5"/>
  <c r="FR48" i="5"/>
  <c r="TT48" i="5"/>
  <c r="AIH48" i="5"/>
  <c r="KH49" i="5"/>
  <c r="ACA49" i="5"/>
  <c r="PU50" i="5"/>
  <c r="AIT51" i="5"/>
  <c r="TU48" i="5"/>
  <c r="AII48" i="5"/>
  <c r="KK49" i="5"/>
  <c r="ACB49" i="5"/>
  <c r="PX50" i="5"/>
  <c r="DS52" i="5"/>
  <c r="UR48" i="5"/>
  <c r="AJI48" i="5"/>
  <c r="LM49" i="5"/>
  <c r="ADK49" i="5"/>
  <c r="SM50" i="5"/>
  <c r="EM52" i="5"/>
  <c r="CY45" i="5"/>
  <c r="NK45" i="5"/>
  <c r="XW45" i="5"/>
  <c r="AII45" i="5"/>
  <c r="GE46" i="5"/>
  <c r="RI46" i="5"/>
  <c r="AHC46" i="5"/>
  <c r="NB47" i="5"/>
  <c r="AKG47" i="5"/>
  <c r="QN48" i="5"/>
  <c r="CX49" i="5"/>
  <c r="AJV49" i="5"/>
  <c r="Q53" i="5"/>
  <c r="VL45" i="5"/>
  <c r="CH46" i="5"/>
  <c r="XH46" i="5"/>
  <c r="HQ47" i="5"/>
  <c r="AGJ47" i="5"/>
  <c r="ADL48" i="5"/>
  <c r="UM49" i="5"/>
  <c r="TF53" i="5"/>
  <c r="UE44" i="5"/>
  <c r="GC45" i="5"/>
  <c r="AJS45" i="5"/>
  <c r="ABY46" i="5"/>
  <c r="VK47" i="5"/>
  <c r="OW48" i="5"/>
  <c r="ZA49" i="5"/>
  <c r="KY50" i="5"/>
  <c r="EU52" i="5"/>
  <c r="CY51" i="5"/>
  <c r="VF50" i="5"/>
  <c r="ACS50" i="5"/>
  <c r="NT50" i="5"/>
  <c r="CP50" i="5"/>
  <c r="MC51" i="5"/>
  <c r="ALX47" i="5"/>
  <c r="M50" i="5"/>
  <c r="FS53" i="5"/>
  <c r="PW44" i="5"/>
  <c r="ADK44" i="5"/>
  <c r="HI45" i="5"/>
  <c r="YO45" i="5"/>
  <c r="B46" i="5"/>
  <c r="RL46" i="5"/>
  <c r="AFW46" i="5"/>
  <c r="LA47" i="5"/>
  <c r="AHZ47" i="5"/>
  <c r="PU48" i="5"/>
  <c r="DW49" i="5"/>
  <c r="AEQ49" i="5"/>
  <c r="ALI51" i="5"/>
  <c r="XD50" i="5"/>
  <c r="KJ51" i="5"/>
  <c r="SZ55" i="5"/>
  <c r="YK50" i="5"/>
  <c r="LZ52" i="5"/>
  <c r="AHX50" i="5"/>
  <c r="PV52" i="5"/>
  <c r="RR51" i="5"/>
  <c r="ABJ49" i="5"/>
  <c r="AIA50" i="5"/>
  <c r="ZT49" i="5"/>
  <c r="KO51" i="5"/>
  <c r="NJ51" i="5"/>
  <c r="UM50" i="5"/>
  <c r="IK48" i="5"/>
  <c r="LV46" i="5"/>
  <c r="TR51" i="5"/>
  <c r="SD52" i="5"/>
  <c r="VK54" i="5"/>
  <c r="AKG52" i="5"/>
  <c r="XT49" i="5"/>
  <c r="AJO50" i="5"/>
  <c r="G44" i="5"/>
  <c r="QM44" i="5"/>
  <c r="AEA44" i="5"/>
  <c r="HY45" i="5"/>
  <c r="ZE45" i="5"/>
  <c r="S46" i="5"/>
  <c r="SC46" i="5"/>
  <c r="AGN46" i="5"/>
  <c r="LS47" i="5"/>
  <c r="AIU47" i="5"/>
  <c r="QP48" i="5"/>
  <c r="EU49" i="5"/>
  <c r="AGA49" i="5"/>
  <c r="ET52" i="5"/>
  <c r="YF50" i="5"/>
  <c r="LL51" i="5"/>
  <c r="PR56" i="5"/>
  <c r="ZM50" i="5"/>
  <c r="PB52" i="5"/>
  <c r="AIY50" i="5"/>
  <c r="WG53" i="5"/>
  <c r="TG51" i="5"/>
  <c r="ACE49" i="5"/>
  <c r="FL51" i="5"/>
  <c r="AAP49" i="5"/>
  <c r="MB51" i="5"/>
  <c r="OX51" i="5"/>
  <c r="VP50" i="5"/>
  <c r="JC48" i="5"/>
  <c r="AGT46" i="5"/>
  <c r="JQ52" i="5"/>
  <c r="HB51" i="5"/>
  <c r="NK47" i="5"/>
  <c r="FA52" i="5"/>
  <c r="RP47" i="5"/>
  <c r="AIT47" i="5"/>
  <c r="SH48" i="5"/>
  <c r="CY49" i="5"/>
  <c r="YX49" i="5"/>
  <c r="I51" i="5"/>
  <c r="W44" i="5"/>
  <c r="RC44" i="5"/>
  <c r="AII44" i="5"/>
  <c r="IO45" i="5"/>
  <c r="ZU45" i="5"/>
  <c r="AJ46" i="5"/>
  <c r="ST46" i="5"/>
  <c r="ALD46" i="5"/>
  <c r="MK47" i="5"/>
  <c r="ALD47" i="5"/>
  <c r="RM48" i="5"/>
  <c r="FU49" i="5"/>
  <c r="DA50" i="5"/>
  <c r="ON52" i="5"/>
  <c r="ZL50" i="5"/>
  <c r="NA51" i="5"/>
  <c r="C50" i="5"/>
  <c r="AKX50" i="5"/>
  <c r="SZ52" i="5"/>
  <c r="AKA50" i="5"/>
  <c r="AGJ53" i="5"/>
  <c r="UP51" i="5"/>
  <c r="AY50" i="5"/>
  <c r="GP51" i="5"/>
  <c r="ABK49" i="5"/>
  <c r="AGZ51" i="5"/>
  <c r="QM51" i="5"/>
  <c r="PB51" i="5"/>
  <c r="JU48" i="5"/>
  <c r="AV47" i="5"/>
  <c r="NK52" i="5"/>
  <c r="TZ51" i="5"/>
  <c r="NM48" i="5"/>
  <c r="AJ56" i="5"/>
  <c r="PZ50" i="5"/>
  <c r="TE53" i="5"/>
  <c r="NL45" i="5"/>
  <c r="AAZ45" i="5"/>
  <c r="FO46" i="5"/>
  <c r="XY46" i="5"/>
  <c r="C47" i="5"/>
  <c r="SJ47" i="5"/>
  <c r="AJN47" i="5"/>
  <c r="TC48" i="5"/>
  <c r="DV49" i="5"/>
  <c r="AAB49" i="5"/>
  <c r="BU51" i="5"/>
  <c r="AM44" i="5"/>
  <c r="RS44" i="5"/>
  <c r="AIY44" i="5"/>
  <c r="JE45" i="5"/>
  <c r="AAK45" i="5"/>
  <c r="BA46" i="5"/>
  <c r="TK46" i="5"/>
  <c r="ALU46" i="5"/>
  <c r="ND47" i="5"/>
  <c r="AMA47" i="5"/>
  <c r="SI48" i="5"/>
  <c r="GS49" i="5"/>
  <c r="ET50" i="5"/>
  <c r="ZV52" i="5"/>
  <c r="AAJ50" i="5"/>
  <c r="OI51" i="5"/>
  <c r="X50" i="5"/>
  <c r="ALZ50" i="5"/>
  <c r="XD52" i="5"/>
  <c r="AMA50" i="5"/>
  <c r="HM54" i="5"/>
  <c r="WJ51" i="5"/>
  <c r="BT50" i="5"/>
  <c r="HW51" i="5"/>
  <c r="ACH49" i="5"/>
  <c r="AKB51" i="5"/>
  <c r="RU51" i="5"/>
  <c r="QP51" i="5"/>
  <c r="KM48" i="5"/>
  <c r="BL47" i="5"/>
  <c r="ZD52" i="5"/>
  <c r="VA51" i="5"/>
  <c r="OT50" i="5"/>
  <c r="GG56" i="5"/>
  <c r="RJ49" i="5"/>
  <c r="SN50" i="5"/>
  <c r="HG54" i="5"/>
  <c r="OB45" i="5"/>
  <c r="AFH45" i="5"/>
  <c r="GF46" i="5"/>
  <c r="YP46" i="5"/>
  <c r="T47" i="5"/>
  <c r="TC47" i="5"/>
  <c r="BV48" i="5"/>
  <c r="TX48" i="5"/>
  <c r="ET49" i="5"/>
  <c r="ABF49" i="5"/>
  <c r="EU51" i="5"/>
  <c r="EU44" i="5"/>
  <c r="SI44" i="5"/>
  <c r="AJO44" i="5"/>
  <c r="JU45" i="5"/>
  <c r="ABA45" i="5"/>
  <c r="FP46" i="5"/>
  <c r="UB46" i="5"/>
  <c r="D47" i="5"/>
  <c r="NX47" i="5"/>
  <c r="M48" i="5"/>
  <c r="AAA48" i="5"/>
  <c r="HQ49" i="5"/>
  <c r="GK50" i="5"/>
  <c r="S53" i="5"/>
  <c r="ABL50" i="5"/>
  <c r="ADN51" i="5"/>
  <c r="EE50" i="5"/>
  <c r="X51" i="5"/>
  <c r="ABZ52" i="5"/>
  <c r="Y51" i="5"/>
  <c r="UF50" i="5"/>
  <c r="XV51" i="5"/>
  <c r="CO50" i="5"/>
  <c r="JI51" i="5"/>
  <c r="G50" i="5"/>
  <c r="AEZ55" i="5"/>
  <c r="FV52" i="5"/>
  <c r="RW51" i="5"/>
  <c r="TI48" i="5"/>
  <c r="CB47" i="5"/>
  <c r="ACC52" i="5"/>
  <c r="VY51" i="5"/>
  <c r="PM50" i="5"/>
  <c r="MU56" i="5"/>
  <c r="NB48" i="5"/>
  <c r="ALA48" i="5"/>
  <c r="SM49" i="5"/>
  <c r="UZ50" i="5"/>
  <c r="EE56" i="5"/>
  <c r="OR45" i="5"/>
  <c r="AFX45" i="5"/>
  <c r="GW46" i="5"/>
  <c r="ZG46" i="5"/>
  <c r="AK47" i="5"/>
  <c r="TV47" i="5"/>
  <c r="CP48" i="5"/>
  <c r="UV48" i="5"/>
  <c r="FT49" i="5"/>
  <c r="ACI49" i="5"/>
  <c r="IL51" i="5"/>
  <c r="FK44" i="5"/>
  <c r="SY44" i="5"/>
  <c r="AKE44" i="5"/>
  <c r="KK45" i="5"/>
  <c r="ABQ45" i="5"/>
  <c r="GG46" i="5"/>
  <c r="US46" i="5"/>
  <c r="U47" i="5"/>
  <c r="OQ47" i="5"/>
  <c r="AG48" i="5"/>
  <c r="AAW48" i="5"/>
  <c r="IR49" i="5"/>
  <c r="IF50" i="5"/>
  <c r="TG53" i="5"/>
  <c r="ACM50" i="5"/>
  <c r="AGT51" i="5"/>
  <c r="FB50" i="5"/>
  <c r="AW51" i="5"/>
  <c r="AIR52" i="5"/>
  <c r="FF51" i="5"/>
  <c r="VG50" i="5"/>
  <c r="ZQ51" i="5"/>
  <c r="DM50" i="5"/>
  <c r="KN51" i="5"/>
  <c r="AD50" i="5"/>
  <c r="AET56" i="5"/>
  <c r="JL52" i="5"/>
  <c r="TP51" i="5"/>
  <c r="ZK48" i="5"/>
  <c r="CR47" i="5"/>
  <c r="AES52" i="5"/>
  <c r="WW51" i="5"/>
  <c r="QG50" i="5"/>
  <c r="AMB49" i="5"/>
  <c r="AKW48" i="5"/>
  <c r="MG49" i="5"/>
  <c r="ADB49" i="5"/>
  <c r="PG50" i="5"/>
  <c r="AAY51" i="5"/>
  <c r="ACY47" i="5"/>
  <c r="CL48" i="5"/>
  <c r="PK48" i="5"/>
  <c r="ADE48" i="5"/>
  <c r="DP49" i="5"/>
  <c r="TH49" i="5"/>
  <c r="D50" i="5"/>
  <c r="AIS50" i="5"/>
  <c r="AN54" i="5"/>
  <c r="YD48" i="5"/>
  <c r="ALV48" i="5"/>
  <c r="NH49" i="5"/>
  <c r="AEM49" i="5"/>
  <c r="RY50" i="5"/>
  <c r="AIU51" i="5"/>
  <c r="TA48" i="5"/>
  <c r="AGS48" i="5"/>
  <c r="HN49" i="5"/>
  <c r="XP49" i="5"/>
  <c r="FY50" i="5"/>
  <c r="HK51" i="5"/>
  <c r="ALI44" i="5"/>
  <c r="HW45" i="5"/>
  <c r="RS45" i="5"/>
  <c r="ABO45" i="5"/>
  <c r="ALQ45" i="5"/>
  <c r="IV46" i="5"/>
  <c r="TZ46" i="5"/>
  <c r="AIK46" i="5"/>
  <c r="NV47" i="5"/>
  <c r="AJM47" i="5"/>
  <c r="NX48" i="5"/>
  <c r="ALY48" i="5"/>
  <c r="TK49" i="5"/>
  <c r="YB50" i="5"/>
  <c r="BT45" i="5"/>
  <c r="PH45" i="5"/>
  <c r="AGN45" i="5"/>
  <c r="HO46" i="5"/>
  <c r="ZX46" i="5"/>
  <c r="EZ47" i="5"/>
  <c r="UP47" i="5"/>
  <c r="DJ48" i="5"/>
  <c r="VS48" i="5"/>
  <c r="GR49" i="5"/>
  <c r="ALI49" i="5"/>
  <c r="LJ51" i="5"/>
  <c r="GA44" i="5"/>
  <c r="TO44" i="5"/>
  <c r="AKU44" i="5"/>
  <c r="OS45" i="5"/>
  <c r="ACG45" i="5"/>
  <c r="GY46" i="5"/>
  <c r="VJ46" i="5"/>
  <c r="AL47" i="5"/>
  <c r="TW47" i="5"/>
  <c r="BC48" i="5"/>
  <c r="ABT48" i="5"/>
  <c r="JR49" i="5"/>
  <c r="JV50" i="5"/>
  <c r="EY50" i="5"/>
  <c r="ADN50" i="5"/>
  <c r="AJA51" i="5"/>
  <c r="FX50" i="5"/>
  <c r="BX51" i="5"/>
  <c r="MV50" i="5"/>
  <c r="GN51" i="5"/>
  <c r="WI50" i="5"/>
  <c r="ABR51" i="5"/>
  <c r="EJ50" i="5"/>
  <c r="CP52" i="5"/>
  <c r="AZ50" i="5"/>
  <c r="CR50" i="5"/>
  <c r="ND52" i="5"/>
  <c r="JM52" i="5"/>
  <c r="KI49" i="5"/>
  <c r="AHA47" i="5"/>
  <c r="AGV52" i="5"/>
  <c r="AKQ53" i="5"/>
  <c r="QZ50" i="5"/>
  <c r="ZF46" i="5"/>
  <c r="AJS46" i="5"/>
  <c r="GX47" i="5"/>
  <c r="SH47" i="5"/>
  <c r="AER47" i="5"/>
  <c r="ED48" i="5"/>
  <c r="RI48" i="5"/>
  <c r="AFA48" i="5"/>
  <c r="FQ49" i="5"/>
  <c r="VI49" i="5"/>
  <c r="CN50" i="5"/>
  <c r="BQ51" i="5"/>
  <c r="ALJ44" i="5"/>
  <c r="HX45" i="5"/>
  <c r="RT45" i="5"/>
  <c r="ABP45" i="5"/>
  <c r="ALR45" i="5"/>
  <c r="IW46" i="5"/>
  <c r="TJ46" i="5"/>
  <c r="ADW46" i="5"/>
  <c r="BB47" i="5"/>
  <c r="LR47" i="5"/>
  <c r="XO47" i="5"/>
  <c r="AKH47" i="5"/>
  <c r="JW48" i="5"/>
  <c r="XL48" i="5"/>
  <c r="ALB48" i="5"/>
  <c r="MM49" i="5"/>
  <c r="ADM49" i="5"/>
  <c r="QA50" i="5"/>
  <c r="ACS51" i="5"/>
  <c r="BC44" i="5"/>
  <c r="KY44" i="5"/>
  <c r="UU44" i="5"/>
  <c r="AEQ44" i="5"/>
  <c r="BE45" i="5"/>
  <c r="LA45" i="5"/>
  <c r="UW45" i="5"/>
  <c r="AES45" i="5"/>
  <c r="BR46" i="5"/>
  <c r="ME46" i="5"/>
  <c r="WR46" i="5"/>
  <c r="AHE46" i="5"/>
  <c r="EJ47" i="5"/>
  <c r="PK47" i="5"/>
  <c r="ADF47" i="5"/>
  <c r="EI48" i="5"/>
  <c r="TD48" i="5"/>
  <c r="AIQ48" i="5"/>
  <c r="NR49" i="5"/>
  <c r="AHG49" i="5"/>
  <c r="AEG50" i="5"/>
  <c r="WR54" i="5"/>
  <c r="PH50" i="5"/>
  <c r="AHS50" i="5"/>
  <c r="PW51" i="5"/>
  <c r="AID52" i="5"/>
  <c r="HQ50" i="5"/>
  <c r="AAK50" i="5"/>
  <c r="PX51" i="5"/>
  <c r="BO53" i="5"/>
  <c r="ABN50" i="5"/>
  <c r="LY51" i="5"/>
  <c r="AHP54" i="5"/>
  <c r="AMF50" i="5"/>
  <c r="AGX51" i="5"/>
  <c r="ADC49" i="5"/>
  <c r="PL50" i="5"/>
  <c r="MA51" i="5"/>
  <c r="LT49" i="5"/>
  <c r="NU50" i="5"/>
  <c r="Z52" i="5"/>
  <c r="TH50" i="5"/>
  <c r="UE52" i="5"/>
  <c r="AIF50" i="5"/>
  <c r="ZH47" i="5"/>
  <c r="AAD48" i="5"/>
  <c r="ACM51" i="5"/>
  <c r="AJV47" i="5"/>
  <c r="PD52" i="5"/>
  <c r="AQ52" i="5"/>
  <c r="LC54" i="5"/>
  <c r="OB47" i="5"/>
  <c r="OC49" i="5"/>
  <c r="XV52" i="5"/>
  <c r="ZW46" i="5"/>
  <c r="AKJ46" i="5"/>
  <c r="HO47" i="5"/>
  <c r="TB47" i="5"/>
  <c r="AFL47" i="5"/>
  <c r="FA48" i="5"/>
  <c r="SG48" i="5"/>
  <c r="AFY48" i="5"/>
  <c r="GQ49" i="5"/>
  <c r="WQ49" i="5"/>
  <c r="EI50" i="5"/>
  <c r="ET51" i="5"/>
  <c r="ALZ44" i="5"/>
  <c r="IN45" i="5"/>
  <c r="SJ45" i="5"/>
  <c r="ACF45" i="5"/>
  <c r="A46" i="5"/>
  <c r="JN46" i="5"/>
  <c r="UA46" i="5"/>
  <c r="AEN46" i="5"/>
  <c r="BS47" i="5"/>
  <c r="MJ47" i="5"/>
  <c r="YI47" i="5"/>
  <c r="ALC47" i="5"/>
  <c r="KQ48" i="5"/>
  <c r="YG48" i="5"/>
  <c r="ALZ48" i="5"/>
  <c r="NN49" i="5"/>
  <c r="AEP49" i="5"/>
  <c r="SO50" i="5"/>
  <c r="ALH51" i="5"/>
  <c r="BS44" i="5"/>
  <c r="LO44" i="5"/>
  <c r="VK44" i="5"/>
  <c r="AFG44" i="5"/>
  <c r="BU45" i="5"/>
  <c r="LQ45" i="5"/>
  <c r="VM45" i="5"/>
  <c r="AFI45" i="5"/>
  <c r="CI46" i="5"/>
  <c r="MV46" i="5"/>
  <c r="XI46" i="5"/>
  <c r="AHV46" i="5"/>
  <c r="FA47" i="5"/>
  <c r="QD47" i="5"/>
  <c r="ADZ47" i="5"/>
  <c r="FC48" i="5"/>
  <c r="TY48" i="5"/>
  <c r="AJM48" i="5"/>
  <c r="OP49" i="5"/>
  <c r="AIT49" i="5"/>
  <c r="AGS50" i="5"/>
  <c r="PQ56" i="5"/>
  <c r="QC50" i="5"/>
  <c r="AIU50" i="5"/>
  <c r="RO51" i="5"/>
  <c r="BN53" i="5"/>
  <c r="IL50" i="5"/>
  <c r="ABM50" i="5"/>
  <c r="RP51" i="5"/>
  <c r="GW53" i="5"/>
  <c r="ACR50" i="5"/>
  <c r="NC51" i="5"/>
  <c r="AAW55" i="5"/>
  <c r="Z51" i="5"/>
  <c r="TD52" i="5"/>
  <c r="ADX49" i="5"/>
  <c r="QJ50" i="5"/>
  <c r="NF51" i="5"/>
  <c r="MP49" i="5"/>
  <c r="OR50" i="5"/>
  <c r="CQ52" i="5"/>
  <c r="UK50" i="5"/>
  <c r="AJI56" i="5"/>
  <c r="AJH50" i="5"/>
  <c r="ZZ47" i="5"/>
  <c r="AAX48" i="5"/>
  <c r="AEV51" i="5"/>
  <c r="AFL48" i="5"/>
  <c r="CM53" i="5"/>
  <c r="BV52" i="5"/>
  <c r="VF54" i="5"/>
  <c r="OS47" i="5"/>
  <c r="AFW52" i="5"/>
  <c r="YV52" i="5"/>
  <c r="AAN46" i="5"/>
  <c r="ALA46" i="5"/>
  <c r="IG47" i="5"/>
  <c r="TU47" i="5"/>
  <c r="AGF47" i="5"/>
  <c r="FU48" i="5"/>
  <c r="TB48" i="5"/>
  <c r="AGT48" i="5"/>
  <c r="HO49" i="5"/>
  <c r="XS49" i="5"/>
  <c r="GB50" i="5"/>
  <c r="HL51" i="5"/>
  <c r="H45" i="5"/>
  <c r="JD45" i="5"/>
  <c r="SZ45" i="5"/>
  <c r="ACV45" i="5"/>
  <c r="R46" i="5"/>
  <c r="KE46" i="5"/>
  <c r="UR46" i="5"/>
  <c r="AFE46" i="5"/>
  <c r="CJ47" i="5"/>
  <c r="NC47" i="5"/>
  <c r="ZC47" i="5"/>
  <c r="ALZ47" i="5"/>
  <c r="LL48" i="5"/>
  <c r="ZC48" i="5"/>
  <c r="M49" i="5"/>
  <c r="OO49" i="5"/>
  <c r="AFZ49" i="5"/>
  <c r="VT50" i="5"/>
  <c r="ES52" i="5"/>
  <c r="CI44" i="5"/>
  <c r="ME44" i="5"/>
  <c r="WA44" i="5"/>
  <c r="AFW44" i="5"/>
  <c r="CK45" i="5"/>
  <c r="MG45" i="5"/>
  <c r="WC45" i="5"/>
  <c r="AFY45" i="5"/>
  <c r="CZ46" i="5"/>
  <c r="NM46" i="5"/>
  <c r="XZ46" i="5"/>
  <c r="AIM46" i="5"/>
  <c r="FR47" i="5"/>
  <c r="QX47" i="5"/>
  <c r="AET47" i="5"/>
  <c r="FX48" i="5"/>
  <c r="UW48" i="5"/>
  <c r="AMA48" i="5"/>
  <c r="PP49" i="5"/>
  <c r="AKH49" i="5"/>
  <c r="AJR50" i="5"/>
  <c r="BP50" i="5"/>
  <c r="QY50" i="5"/>
  <c r="AJY50" i="5"/>
  <c r="VX51" i="5"/>
  <c r="GV53" i="5"/>
  <c r="JI50" i="5"/>
  <c r="ACQ50" i="5"/>
  <c r="SX51" i="5"/>
  <c r="OL53" i="5"/>
  <c r="ADP50" i="5"/>
  <c r="OQ51" i="5"/>
  <c r="TZ56" i="5"/>
  <c r="AY51" i="5"/>
  <c r="XF52" i="5"/>
  <c r="AES49" i="5"/>
  <c r="RG50" i="5"/>
  <c r="AEP51" i="5"/>
  <c r="NL49" i="5"/>
  <c r="PP50" i="5"/>
  <c r="FU52" i="5"/>
  <c r="AHA50" i="5"/>
  <c r="AEC49" i="5"/>
  <c r="AKH50" i="5"/>
  <c r="AAR47" i="5"/>
  <c r="ABQ48" i="5"/>
  <c r="CP46" i="5"/>
  <c r="AHR48" i="5"/>
  <c r="ET53" i="5"/>
  <c r="TH52" i="5"/>
  <c r="AEF54" i="5"/>
  <c r="BR48" i="5"/>
  <c r="AHX52" i="5"/>
  <c r="QV54" i="5"/>
  <c r="ABE46" i="5"/>
  <c r="ALS46" i="5"/>
  <c r="IX47" i="5"/>
  <c r="UN47" i="5"/>
  <c r="AHD47" i="5"/>
  <c r="GP48" i="5"/>
  <c r="TW48" i="5"/>
  <c r="AHP48" i="5"/>
  <c r="IN49" i="5"/>
  <c r="YR49" i="5"/>
  <c r="HS50" i="5"/>
  <c r="LI51" i="5"/>
  <c r="X45" i="5"/>
  <c r="JT45" i="5"/>
  <c r="TP45" i="5"/>
  <c r="ADL45" i="5"/>
  <c r="AI46" i="5"/>
  <c r="KV46" i="5"/>
  <c r="VI46" i="5"/>
  <c r="AFV46" i="5"/>
  <c r="DA47" i="5"/>
  <c r="NW47" i="5"/>
  <c r="ZX47" i="5"/>
  <c r="L48" i="5"/>
  <c r="MH48" i="5"/>
  <c r="ZX48" i="5"/>
  <c r="AJ49" i="5"/>
  <c r="PO49" i="5"/>
  <c r="AHF49" i="5"/>
  <c r="YC50" i="5"/>
  <c r="OL52" i="5"/>
  <c r="CY44" i="5"/>
  <c r="MU44" i="5"/>
  <c r="WQ44" i="5"/>
  <c r="AGM44" i="5"/>
  <c r="DA45" i="5"/>
  <c r="MW45" i="5"/>
  <c r="WS45" i="5"/>
  <c r="AGO45" i="5"/>
  <c r="DQ46" i="5"/>
  <c r="OD46" i="5"/>
  <c r="YQ46" i="5"/>
  <c r="AJD46" i="5"/>
  <c r="GI47" i="5"/>
  <c r="RR47" i="5"/>
  <c r="AFN47" i="5"/>
  <c r="GR48" i="5"/>
  <c r="VT48" i="5"/>
  <c r="N49" i="5"/>
  <c r="QN49" i="5"/>
  <c r="ALJ49" i="5"/>
  <c r="J51" i="5"/>
  <c r="CK50" i="5"/>
  <c r="RZ50" i="5"/>
  <c r="AKW50" i="5"/>
  <c r="XN51" i="5"/>
  <c r="OJ53" i="5"/>
  <c r="KE50" i="5"/>
  <c r="ADO50" i="5"/>
  <c r="UM51" i="5"/>
  <c r="ADV53" i="5"/>
  <c r="AER50" i="5"/>
  <c r="PY51" i="5"/>
  <c r="LD50" i="5"/>
  <c r="CC51" i="5"/>
  <c r="ADU52" i="5"/>
  <c r="ALS49" i="5"/>
  <c r="SG50" i="5"/>
  <c r="AGY51" i="5"/>
  <c r="OF49" i="5"/>
  <c r="QK50" i="5"/>
  <c r="AII53" i="5"/>
  <c r="AIE50" i="5"/>
  <c r="AFA49" i="5"/>
  <c r="ALL50" i="5"/>
  <c r="ABK47" i="5"/>
  <c r="CP49" i="5"/>
  <c r="DF46" i="5"/>
  <c r="AIK48" i="5"/>
  <c r="GY53" i="5"/>
  <c r="UX52" i="5"/>
  <c r="MV52" i="5"/>
  <c r="JN48" i="5"/>
  <c r="SX53" i="5"/>
  <c r="SR54" i="5"/>
  <c r="ABW46" i="5"/>
  <c r="B47" i="5"/>
  <c r="JO47" i="5"/>
  <c r="VI47" i="5"/>
  <c r="AHX47" i="5"/>
  <c r="HJ48" i="5"/>
  <c r="UU48" i="5"/>
  <c r="AIO48" i="5"/>
  <c r="JN49" i="5"/>
  <c r="AAA49" i="5"/>
  <c r="JL50" i="5"/>
  <c r="PO51" i="5"/>
  <c r="AN45" i="5"/>
  <c r="KJ45" i="5"/>
  <c r="UF45" i="5"/>
  <c r="AEB45" i="5"/>
  <c r="AZ46" i="5"/>
  <c r="LM46" i="5"/>
  <c r="VZ46" i="5"/>
  <c r="AGM46" i="5"/>
  <c r="DR47" i="5"/>
  <c r="OP47" i="5"/>
  <c r="AAU47" i="5"/>
  <c r="AF48" i="5"/>
  <c r="NC48" i="5"/>
  <c r="AAV48" i="5"/>
  <c r="BH49" i="5"/>
  <c r="QM49" i="5"/>
  <c r="AIS49" i="5"/>
  <c r="ABD50" i="5"/>
  <c r="ZU52" i="5"/>
  <c r="DO44" i="5"/>
  <c r="NK44" i="5"/>
  <c r="XG44" i="5"/>
  <c r="AHC44" i="5"/>
  <c r="DQ45" i="5"/>
  <c r="NM45" i="5"/>
  <c r="XI45" i="5"/>
  <c r="AHE45" i="5"/>
  <c r="EH46" i="5"/>
  <c r="OU46" i="5"/>
  <c r="ZH46" i="5"/>
  <c r="AJU46" i="5"/>
  <c r="HA47" i="5"/>
  <c r="SK47" i="5"/>
  <c r="AGK47" i="5"/>
  <c r="HL48" i="5"/>
  <c r="YH48" i="5"/>
  <c r="AN49" i="5"/>
  <c r="RM49" i="5"/>
  <c r="R50" i="5"/>
  <c r="BV51" i="5"/>
  <c r="DF50" i="5"/>
  <c r="TA50" i="5"/>
  <c r="AU51" i="5"/>
  <c r="ZN51" i="5"/>
  <c r="VJ53" i="5"/>
  <c r="LB50" i="5"/>
  <c r="AIX50" i="5"/>
  <c r="WE51" i="5"/>
  <c r="HL54" i="5"/>
  <c r="AFX50" i="5"/>
  <c r="ADX51" i="5"/>
  <c r="MB50" i="5"/>
  <c r="DD51" i="5"/>
  <c r="AIT52" i="5"/>
  <c r="F50" i="5"/>
  <c r="ABR50" i="5"/>
  <c r="AKA51" i="5"/>
  <c r="PA49" i="5"/>
  <c r="ACU50" i="5"/>
  <c r="NW54" i="5"/>
  <c r="AJG50" i="5"/>
  <c r="AFV49" i="5"/>
  <c r="F51" i="5"/>
  <c r="AJU47" i="5"/>
  <c r="DI49" i="5"/>
  <c r="KP46" i="5"/>
  <c r="AJF48" i="5"/>
  <c r="JX53" i="5"/>
  <c r="AKQ51" i="5"/>
  <c r="OH52" i="5"/>
  <c r="KF48" i="5"/>
  <c r="BS53" i="5"/>
  <c r="UA54" i="5"/>
  <c r="SA46" i="5"/>
  <c r="ACN46" i="5"/>
  <c r="S47" i="5"/>
  <c r="KF47" i="5"/>
  <c r="WB47" i="5"/>
  <c r="AIR47" i="5"/>
  <c r="ID48" i="5"/>
  <c r="VP48" i="5"/>
  <c r="AJJ48" i="5"/>
  <c r="KM49" i="5"/>
  <c r="ABD49" i="5"/>
  <c r="LO50" i="5"/>
  <c r="SP51" i="5"/>
  <c r="BD45" i="5"/>
  <c r="KZ45" i="5"/>
  <c r="UV45" i="5"/>
  <c r="AER45" i="5"/>
  <c r="BQ46" i="5"/>
  <c r="MD46" i="5"/>
  <c r="WQ46" i="5"/>
  <c r="AHD46" i="5"/>
  <c r="EI47" i="5"/>
  <c r="PI47" i="5"/>
  <c r="ABO47" i="5"/>
  <c r="BB48" i="5"/>
  <c r="NY48" i="5"/>
  <c r="ABS48" i="5"/>
  <c r="CC49" i="5"/>
  <c r="RL49" i="5"/>
  <c r="AJW49" i="5"/>
  <c r="AEF50" i="5"/>
  <c r="R53" i="5"/>
  <c r="EE44" i="5"/>
  <c r="OA44" i="5"/>
  <c r="XW44" i="5"/>
  <c r="AHS44" i="5"/>
  <c r="EG45" i="5"/>
  <c r="OC45" i="5"/>
  <c r="XY45" i="5"/>
  <c r="AHU45" i="5"/>
  <c r="EY46" i="5"/>
  <c r="PL46" i="5"/>
  <c r="ZY46" i="5"/>
  <c r="AKM46" i="5"/>
  <c r="HR47" i="5"/>
  <c r="TD47" i="5"/>
  <c r="AHF47" i="5"/>
  <c r="IG48" i="5"/>
  <c r="ZD48" i="5"/>
  <c r="BI49" i="5"/>
  <c r="SP49" i="5"/>
  <c r="BH50" i="5"/>
  <c r="EV51" i="5"/>
  <c r="ED50" i="5"/>
  <c r="UC50" i="5"/>
  <c r="BW51" i="5"/>
  <c r="ABN51" i="5"/>
  <c r="ACT53" i="5"/>
  <c r="LZ50" i="5"/>
  <c r="AJZ50" i="5"/>
  <c r="XO51" i="5"/>
  <c r="MA50" i="5"/>
  <c r="AGW50" i="5"/>
  <c r="AGV51" i="5"/>
  <c r="MW50" i="5"/>
  <c r="EC51" i="5"/>
  <c r="BR53" i="5"/>
  <c r="AA50" i="5"/>
  <c r="ACT50" i="5"/>
  <c r="Y52" i="5"/>
  <c r="YW49" i="5"/>
  <c r="ADY50" i="5"/>
  <c r="AIV54" i="5"/>
  <c r="AKE50" i="5"/>
  <c r="AGQ49" i="5"/>
  <c r="NS51" i="5"/>
  <c r="AKM47" i="5"/>
  <c r="EB49" i="5"/>
  <c r="LF46" i="5"/>
  <c r="GL49" i="5"/>
  <c r="ZX52" i="5"/>
  <c r="ALQ51" i="5"/>
  <c r="PJ52" i="5"/>
  <c r="MV48" i="5"/>
  <c r="CS53" i="5"/>
  <c r="PV49" i="5"/>
  <c r="ADD49" i="5"/>
  <c r="DP50" i="5"/>
  <c r="RH50" i="5"/>
  <c r="AID50" i="5"/>
  <c r="NG51" i="5"/>
  <c r="JK52" i="5"/>
  <c r="AGP49" i="5"/>
  <c r="HA50" i="5"/>
  <c r="VM50" i="5"/>
  <c r="E51" i="5"/>
  <c r="TL51" i="5"/>
  <c r="ZA52" i="5"/>
  <c r="AHO49" i="5"/>
  <c r="HW50" i="5"/>
  <c r="WO50" i="5"/>
  <c r="AD51" i="5"/>
  <c r="VG51" i="5"/>
  <c r="AED52" i="5"/>
  <c r="ACC47" i="5"/>
  <c r="Z48" i="5"/>
  <c r="LE48" i="5"/>
  <c r="ACJ48" i="5"/>
  <c r="LY49" i="5"/>
  <c r="MG50" i="5"/>
  <c r="AHV51" i="5"/>
  <c r="ML46" i="5"/>
  <c r="DH47" i="5"/>
  <c r="EX48" i="5"/>
  <c r="HF49" i="5"/>
  <c r="OC50" i="5"/>
  <c r="AFZ52" i="5"/>
  <c r="MJ53" i="5"/>
  <c r="AIT53" i="5"/>
  <c r="ACD52" i="5"/>
  <c r="WH52" i="5"/>
  <c r="TI52" i="5"/>
  <c r="XX51" i="5"/>
  <c r="MP51" i="5"/>
  <c r="HV53" i="5"/>
  <c r="DE52" i="5"/>
  <c r="PJ47" i="5"/>
  <c r="OD48" i="5"/>
  <c r="QJ51" i="5"/>
  <c r="VD49" i="5"/>
  <c r="ALR53" i="5"/>
  <c r="HF53" i="5"/>
  <c r="K50" i="5"/>
  <c r="AEW54" i="5"/>
  <c r="QP49" i="5"/>
  <c r="ADY49" i="5"/>
  <c r="EK50" i="5"/>
  <c r="SH50" i="5"/>
  <c r="AJE50" i="5"/>
  <c r="OT51" i="5"/>
  <c r="MH52" i="5"/>
  <c r="AHL49" i="5"/>
  <c r="HV50" i="5"/>
  <c r="WN50" i="5"/>
  <c r="AC51" i="5"/>
  <c r="UZ51" i="5"/>
  <c r="ADZ52" i="5"/>
  <c r="AIJ49" i="5"/>
  <c r="IW50" i="5"/>
  <c r="XS50" i="5"/>
  <c r="BH51" i="5"/>
  <c r="WR51" i="5"/>
  <c r="AKV52" i="5"/>
  <c r="ACU47" i="5"/>
  <c r="AR48" i="5"/>
  <c r="LW48" i="5"/>
  <c r="ADC48" i="5"/>
  <c r="MU49" i="5"/>
  <c r="NB50" i="5"/>
  <c r="AKX51" i="5"/>
  <c r="NB46" i="5"/>
  <c r="KS47" i="5"/>
  <c r="FQ48" i="5"/>
  <c r="IA49" i="5"/>
  <c r="OX50" i="5"/>
  <c r="AKX52" i="5"/>
  <c r="UK55" i="5"/>
  <c r="BI54" i="5"/>
  <c r="AET52" i="5"/>
  <c r="YC52" i="5"/>
  <c r="UY52" i="5"/>
  <c r="R52" i="5"/>
  <c r="NL51" i="5"/>
  <c r="KW53" i="5"/>
  <c r="EH52" i="5"/>
  <c r="QA47" i="5"/>
  <c r="AJD48" i="5"/>
  <c r="RF51" i="5"/>
  <c r="VW49" i="5"/>
  <c r="BM54" i="5"/>
  <c r="KI53" i="5"/>
  <c r="JL53" i="5"/>
  <c r="FC55" i="5"/>
  <c r="AJA50" i="5"/>
  <c r="OS51" i="5"/>
  <c r="MG52" i="5"/>
  <c r="ER49" i="5"/>
  <c r="RK49" i="5"/>
  <c r="AEY49" i="5"/>
  <c r="FG50" i="5"/>
  <c r="TG50" i="5"/>
  <c r="AKD50" i="5"/>
  <c r="QL51" i="5"/>
  <c r="QB52" i="5"/>
  <c r="AII49" i="5"/>
  <c r="IS50" i="5"/>
  <c r="XR50" i="5"/>
  <c r="BE51" i="5"/>
  <c r="WP51" i="5"/>
  <c r="AKU52" i="5"/>
  <c r="AJF49" i="5"/>
  <c r="JR50" i="5"/>
  <c r="YU50" i="5"/>
  <c r="CG51" i="5"/>
  <c r="YJ51" i="5"/>
  <c r="DW53" i="5"/>
  <c r="ADM47" i="5"/>
  <c r="BJ48" i="5"/>
  <c r="MP48" i="5"/>
  <c r="ADV48" i="5"/>
  <c r="NO49" i="5"/>
  <c r="NZ50" i="5"/>
  <c r="AG52" i="5"/>
  <c r="UL46" i="5"/>
  <c r="LJ47" i="5"/>
  <c r="GI48" i="5"/>
  <c r="IV49" i="5"/>
  <c r="PT50" i="5"/>
  <c r="ACV51" i="5"/>
  <c r="AFE55" i="5"/>
  <c r="ZZ54" i="5"/>
  <c r="AGW52" i="5"/>
  <c r="AEX52" i="5"/>
  <c r="NF53" i="5"/>
  <c r="AS52" i="5"/>
  <c r="OL51" i="5"/>
  <c r="NH53" i="5"/>
  <c r="FM52" i="5"/>
  <c r="ZF47" i="5"/>
  <c r="AJU48" i="5"/>
  <c r="SH51" i="5"/>
  <c r="WP49" i="5"/>
  <c r="EX54" i="5"/>
  <c r="ZA56" i="5"/>
  <c r="KT53" i="5"/>
  <c r="HH55" i="5"/>
  <c r="TE50" i="5"/>
  <c r="AKC50" i="5"/>
  <c r="QB51" i="5"/>
  <c r="QA52" i="5"/>
  <c r="FL49" i="5"/>
  <c r="SE49" i="5"/>
  <c r="AFT49" i="5"/>
  <c r="GD50" i="5"/>
  <c r="UJ50" i="5"/>
  <c r="ALJ50" i="5"/>
  <c r="RT51" i="5"/>
  <c r="UD52" i="5"/>
  <c r="AJD49" i="5"/>
  <c r="JQ50" i="5"/>
  <c r="YS50" i="5"/>
  <c r="CF51" i="5"/>
  <c r="YI51" i="5"/>
  <c r="DV53" i="5"/>
  <c r="AKE49" i="5"/>
  <c r="KM50" i="5"/>
  <c r="ZS50" i="5"/>
  <c r="DI51" i="5"/>
  <c r="AAJ51" i="5"/>
  <c r="JW53" i="5"/>
  <c r="AEE47" i="5"/>
  <c r="CB48" i="5"/>
  <c r="NJ48" i="5"/>
  <c r="AER48" i="5"/>
  <c r="OJ49" i="5"/>
  <c r="OW50" i="5"/>
  <c r="QX53" i="5"/>
  <c r="VB46" i="5"/>
  <c r="MA47" i="5"/>
  <c r="HA48" i="5"/>
  <c r="JP49" i="5"/>
  <c r="AEE50" i="5"/>
  <c r="ADZ51" i="5"/>
  <c r="HZ56" i="5"/>
  <c r="ALR54" i="5"/>
  <c r="AJA52" i="5"/>
  <c r="UJ53" i="5"/>
  <c r="PM53" i="5"/>
  <c r="BX52" i="5"/>
  <c r="PH51" i="5"/>
  <c r="PV53" i="5"/>
  <c r="YW52" i="5"/>
  <c r="ZW47" i="5"/>
  <c r="AKL48" i="5"/>
  <c r="TE51" i="5"/>
  <c r="XI49" i="5"/>
  <c r="GA53" i="5"/>
  <c r="LS53" i="5"/>
  <c r="LV53" i="5"/>
  <c r="IY55" i="5"/>
  <c r="FE51" i="5"/>
  <c r="ADO51" i="5"/>
  <c r="VL53" i="5"/>
  <c r="UE50" i="5"/>
  <c r="AKY50" i="5"/>
  <c r="RQ51" i="5"/>
  <c r="TA52" i="5"/>
  <c r="NR50" i="5"/>
  <c r="ADQ50" i="5"/>
  <c r="HV51" i="5"/>
  <c r="AJX51" i="5"/>
  <c r="HN54" i="5"/>
  <c r="AFS49" i="5"/>
  <c r="GC50" i="5"/>
  <c r="UG50" i="5"/>
  <c r="ALE50" i="5"/>
  <c r="RS51" i="5"/>
  <c r="UB52" i="5"/>
  <c r="GE49" i="5"/>
  <c r="TA49" i="5"/>
  <c r="AGO49" i="5"/>
  <c r="GZ50" i="5"/>
  <c r="VL50" i="5"/>
  <c r="A51" i="5"/>
  <c r="TK51" i="5"/>
  <c r="XO52" i="5"/>
  <c r="AJZ49" i="5"/>
  <c r="KL50" i="5"/>
  <c r="ZR50" i="5"/>
  <c r="DG51" i="5"/>
  <c r="ZV51" i="5"/>
  <c r="JC53" i="5"/>
  <c r="AKZ49" i="5"/>
  <c r="LK50" i="5"/>
  <c r="AAW50" i="5"/>
  <c r="EP51" i="5"/>
  <c r="ACL51" i="5"/>
  <c r="QW53" i="5"/>
  <c r="AEW47" i="5"/>
  <c r="CT48" i="5"/>
  <c r="OC48" i="5"/>
  <c r="AFK48" i="5"/>
  <c r="PE49" i="5"/>
  <c r="AAX50" i="5"/>
  <c r="ZG53" i="5"/>
  <c r="VR46" i="5"/>
  <c r="MS47" i="5"/>
  <c r="HT48" i="5"/>
  <c r="UU49" i="5"/>
  <c r="AFG50" i="5"/>
  <c r="AEX51" i="5"/>
  <c r="UL56" i="5"/>
  <c r="IU55" i="5"/>
  <c r="AIU53" i="5"/>
  <c r="XT53" i="5"/>
  <c r="RZ53" i="5"/>
  <c r="CX52" i="5"/>
  <c r="QH51" i="5"/>
  <c r="ALG55" i="5"/>
  <c r="ABA52" i="5"/>
  <c r="AAN47" i="5"/>
  <c r="ALC48" i="5"/>
  <c r="UD51" i="5"/>
  <c r="AHO50" i="5"/>
  <c r="HA53" i="5"/>
  <c r="MT53" i="5"/>
  <c r="MP55" i="5"/>
  <c r="ES56" i="5"/>
  <c r="SY51" i="5"/>
  <c r="XE52" i="5"/>
  <c r="OP50" i="5"/>
  <c r="AEW50" i="5"/>
  <c r="JF51" i="5"/>
  <c r="E52" i="5"/>
  <c r="AHQ54" i="5"/>
  <c r="AGN49" i="5"/>
  <c r="GX50" i="5"/>
  <c r="VK50" i="5"/>
  <c r="AMG50" i="5"/>
  <c r="TH51" i="5"/>
  <c r="XN52" i="5"/>
  <c r="GZ49" i="5"/>
  <c r="TW49" i="5"/>
  <c r="AHK49" i="5"/>
  <c r="HU50" i="5"/>
  <c r="WM50" i="5"/>
  <c r="AB51" i="5"/>
  <c r="UV51" i="5"/>
  <c r="ADX52" i="5"/>
  <c r="AKY49" i="5"/>
  <c r="LJ50" i="5"/>
  <c r="AAT50" i="5"/>
  <c r="EO51" i="5"/>
  <c r="ACB51" i="5"/>
  <c r="QV53" i="5"/>
  <c r="ALV49" i="5"/>
  <c r="MF50" i="5"/>
  <c r="ABU50" i="5"/>
  <c r="FO51" i="5"/>
  <c r="AEU51" i="5"/>
  <c r="ZE53" i="5"/>
  <c r="AFO47" i="5"/>
  <c r="DM48" i="5"/>
  <c r="OX48" i="5"/>
  <c r="ALK48" i="5"/>
  <c r="XG49" i="5"/>
  <c r="ABZ50" i="5"/>
  <c r="ALQ53" i="5"/>
  <c r="WH46" i="5"/>
  <c r="NL47" i="5"/>
  <c r="RE48" i="5"/>
  <c r="VO49" i="5"/>
  <c r="AGF50" i="5"/>
  <c r="AGB51" i="5"/>
  <c r="AU57" i="5"/>
  <c r="VV51" i="5"/>
  <c r="DO54" i="5"/>
  <c r="AJM53" i="5"/>
  <c r="UK53" i="5"/>
  <c r="GK52" i="5"/>
  <c r="AEF51" i="5"/>
  <c r="KC56" i="5"/>
  <c r="ADA52" i="5"/>
  <c r="ABE47" i="5"/>
  <c r="ALT48" i="5"/>
  <c r="RB52" i="5"/>
  <c r="AIN50" i="5"/>
  <c r="ID53" i="5"/>
  <c r="NZ53" i="5"/>
  <c r="SR55" i="5"/>
  <c r="PN53" i="5"/>
  <c r="UN51" i="5"/>
  <c r="ADT52" i="5"/>
  <c r="PK50" i="5"/>
  <c r="AFY50" i="5"/>
  <c r="KM51" i="5"/>
  <c r="CO52" i="5"/>
  <c r="AET55" i="5"/>
  <c r="AHJ49" i="5"/>
  <c r="HT50" i="5"/>
  <c r="WJ50" i="5"/>
  <c r="AA51" i="5"/>
  <c r="UQ51" i="5"/>
  <c r="ADV52" i="5"/>
  <c r="HV49" i="5"/>
  <c r="UQ49" i="5"/>
  <c r="AIH49" i="5"/>
  <c r="IR50" i="5"/>
  <c r="XQ50" i="5"/>
  <c r="BD51" i="5"/>
  <c r="WO51" i="5"/>
  <c r="AKT52" i="5"/>
  <c r="ALU49" i="5"/>
  <c r="ME50" i="5"/>
  <c r="ABT50" i="5"/>
  <c r="FN51" i="5"/>
  <c r="AET51" i="5"/>
  <c r="ZC53" i="5"/>
  <c r="I50" i="5"/>
  <c r="NA50" i="5"/>
  <c r="ACY50" i="5"/>
  <c r="GS51" i="5"/>
  <c r="AHT51" i="5"/>
  <c r="AIO53" i="5"/>
  <c r="AGH47" i="5"/>
  <c r="EE48" i="5"/>
  <c r="PQ48" i="5"/>
  <c r="AMD48" i="5"/>
  <c r="YE49" i="5"/>
  <c r="ACZ50" i="5"/>
  <c r="QW54" i="5"/>
  <c r="WX46" i="5"/>
  <c r="VV47" i="5"/>
  <c r="RX48" i="5"/>
  <c r="WM49" i="5"/>
  <c r="AHI50" i="5"/>
  <c r="AHA51" i="5"/>
  <c r="BT52" i="5"/>
  <c r="WT51" i="5"/>
  <c r="KB54" i="5"/>
  <c r="DS54" i="5"/>
  <c r="XU53" i="5"/>
  <c r="WN52" i="5"/>
  <c r="AFJ51" i="5"/>
  <c r="ABZ56" i="5"/>
  <c r="AFE52" i="5"/>
  <c r="ABV47" i="5"/>
  <c r="UI49" i="5"/>
  <c r="SI52" i="5"/>
  <c r="AJK50" i="5"/>
  <c r="JE53" i="5"/>
  <c r="PD53" i="5"/>
  <c r="SK49" i="5"/>
  <c r="QI53" i="5"/>
  <c r="AV50" i="5"/>
  <c r="OL50" i="5"/>
  <c r="AEQ50" i="5"/>
  <c r="JD51" i="5"/>
  <c r="A52" i="5"/>
  <c r="AHO54" i="5"/>
  <c r="XF50" i="5"/>
  <c r="AX51" i="5"/>
  <c r="WF51" i="5"/>
  <c r="AIS52" i="5"/>
  <c r="QI50" i="5"/>
  <c r="AGX50" i="5"/>
  <c r="LZ51" i="5"/>
  <c r="FR52" i="5"/>
  <c r="UK56" i="5"/>
  <c r="AIG49" i="5"/>
  <c r="IO50" i="5"/>
  <c r="XM50" i="5"/>
  <c r="AZ51" i="5"/>
  <c r="WL51" i="5"/>
  <c r="AKC52" i="5"/>
  <c r="IQ49" i="5"/>
  <c r="VK49" i="5"/>
  <c r="AJC49" i="5"/>
  <c r="JP50" i="5"/>
  <c r="YR50" i="5"/>
  <c r="CE51" i="5"/>
  <c r="YH51" i="5"/>
  <c r="CK53" i="5"/>
  <c r="H50" i="5"/>
  <c r="MZ50" i="5"/>
  <c r="ACV50" i="5"/>
  <c r="GR51" i="5"/>
  <c r="AHS51" i="5"/>
  <c r="AIN53" i="5"/>
  <c r="AG50" i="5"/>
  <c r="NY50" i="5"/>
  <c r="AEC50" i="5"/>
  <c r="IE51" i="5"/>
  <c r="AKG51" i="5"/>
  <c r="OT54" i="5"/>
  <c r="AGZ47" i="5"/>
  <c r="EW48" i="5"/>
  <c r="QK48" i="5"/>
  <c r="O49" i="5"/>
  <c r="ZB49" i="5"/>
  <c r="AED50" i="5"/>
  <c r="EE55" i="5"/>
  <c r="AEH46" i="5"/>
  <c r="WN47" i="5"/>
  <c r="SQ48" i="5"/>
  <c r="XJ49" i="5"/>
  <c r="AIH50" i="5"/>
  <c r="JR52" i="5"/>
  <c r="CS52" i="5"/>
  <c r="XU51" i="5"/>
  <c r="SD54" i="5"/>
  <c r="KF54" i="5"/>
  <c r="LJ57" i="5"/>
  <c r="YE52" i="5"/>
  <c r="AGI51" i="5"/>
  <c r="LQ57" i="5"/>
  <c r="AHS52" i="5"/>
  <c r="ALA47" i="5"/>
  <c r="ABV49" i="5"/>
  <c r="TY52" i="5"/>
  <c r="AKG50" i="5"/>
  <c r="B54" i="5"/>
  <c r="SN53" i="5"/>
  <c r="TB49" i="5"/>
  <c r="RH53" i="5"/>
  <c r="BQ50" i="5"/>
  <c r="PI50" i="5"/>
  <c r="AFT50" i="5"/>
  <c r="KK51" i="5"/>
  <c r="CD52" i="5"/>
  <c r="UJ55" i="5"/>
  <c r="YL50" i="5"/>
  <c r="BY51" i="5"/>
  <c r="XP51" i="5"/>
  <c r="BP53" i="5"/>
  <c r="RF50" i="5"/>
  <c r="AHY50" i="5"/>
  <c r="NE51" i="5"/>
  <c r="IJ52" i="5"/>
  <c r="VJ49" i="5"/>
  <c r="AJB49" i="5"/>
  <c r="JM50" i="5"/>
  <c r="YN50" i="5"/>
  <c r="CD51" i="5"/>
  <c r="XW51" i="5"/>
  <c r="CJ53" i="5"/>
  <c r="JL49" i="5"/>
  <c r="WF49" i="5"/>
  <c r="AJY49" i="5"/>
  <c r="KK50" i="5"/>
  <c r="ZQ50" i="5"/>
  <c r="DF51" i="5"/>
  <c r="ZU51" i="5"/>
  <c r="JB53" i="5"/>
  <c r="AF50" i="5"/>
  <c r="NV50" i="5"/>
  <c r="ADZ50" i="5"/>
  <c r="ID51" i="5"/>
  <c r="AKF51" i="5"/>
  <c r="NX54" i="5"/>
  <c r="BB50" i="5"/>
  <c r="OV50" i="5"/>
  <c r="AFB50" i="5"/>
  <c r="JM51" i="5"/>
  <c r="AF52" i="5"/>
  <c r="ED55" i="5"/>
  <c r="AHR47" i="5"/>
  <c r="FO48" i="5"/>
  <c r="RD48" i="5"/>
  <c r="AH49" i="5"/>
  <c r="ZW49" i="5"/>
  <c r="AFC50" i="5"/>
  <c r="AT46" i="5"/>
  <c r="AEX46" i="5"/>
  <c r="XF47" i="5"/>
  <c r="TM48" i="5"/>
  <c r="YF49" i="5"/>
  <c r="LD51" i="5"/>
  <c r="LD52" i="5"/>
  <c r="DX52" i="5"/>
  <c r="YU51" i="5"/>
  <c r="ABD54" i="5"/>
  <c r="AHG51" i="5"/>
  <c r="ED51" i="5"/>
  <c r="AFB52" i="5"/>
  <c r="AHO51" i="5"/>
  <c r="HZ51" i="5"/>
  <c r="AFQ53" i="5"/>
  <c r="ALR47" i="5"/>
  <c r="ACO49" i="5"/>
  <c r="BJ53" i="5"/>
  <c r="ALG50" i="5"/>
  <c r="EA53" i="5"/>
  <c r="TQ53" i="5"/>
  <c r="TS49" i="5"/>
  <c r="YJ53" i="5"/>
  <c r="WW47" i="5"/>
  <c r="AJO47" i="5"/>
  <c r="JB48" i="5"/>
  <c r="WP48" i="5"/>
  <c r="AKH48" i="5"/>
  <c r="LP49" i="5"/>
  <c r="ACJ49" i="5"/>
  <c r="OE50" i="5"/>
  <c r="XM51" i="5"/>
  <c r="GT50" i="5"/>
  <c r="VA50" i="5"/>
  <c r="ALY50" i="5"/>
  <c r="SQ51" i="5"/>
  <c r="XB52" i="5"/>
  <c r="CL50" i="5"/>
  <c r="QD50" i="5"/>
  <c r="AGV50" i="5"/>
  <c r="LW51" i="5"/>
  <c r="EV52" i="5"/>
  <c r="PS56" i="5"/>
  <c r="ZN50" i="5"/>
  <c r="DC51" i="5"/>
  <c r="ZP51" i="5"/>
  <c r="IR53" i="5"/>
  <c r="SF50" i="5"/>
  <c r="AIZ50" i="5"/>
  <c r="OR51" i="5"/>
  <c r="ME52" i="5"/>
  <c r="WE49" i="5"/>
  <c r="AJX49" i="5"/>
  <c r="KJ50" i="5"/>
  <c r="ZP50" i="5"/>
  <c r="DE51" i="5"/>
  <c r="ZS51" i="5"/>
  <c r="JA53" i="5"/>
  <c r="KF49" i="5"/>
  <c r="XD49" i="5"/>
  <c r="AKX49" i="5"/>
  <c r="LI50" i="5"/>
  <c r="AAS50" i="5"/>
  <c r="EF51" i="5"/>
  <c r="ACA51" i="5"/>
  <c r="QU53" i="5"/>
  <c r="BA50" i="5"/>
  <c r="OS50" i="5"/>
  <c r="AFA50" i="5"/>
  <c r="JK51" i="5"/>
  <c r="AE52" i="5"/>
  <c r="EC55" i="5"/>
  <c r="BW50" i="5"/>
  <c r="PR50" i="5"/>
  <c r="AGC50" i="5"/>
  <c r="LB51" i="5"/>
  <c r="DM52" i="5"/>
  <c r="AFD55" i="5"/>
  <c r="AIJ47" i="5"/>
  <c r="GH48" i="5"/>
  <c r="RW48" i="5"/>
  <c r="BB49" i="5"/>
  <c r="AAS49" i="5"/>
  <c r="EQ51" i="5"/>
  <c r="BJ46" i="5"/>
  <c r="AFN46" i="5"/>
  <c r="XY47" i="5"/>
  <c r="VR48" i="5"/>
  <c r="AKG49" i="5"/>
  <c r="MI51" i="5"/>
  <c r="MI52" i="5"/>
  <c r="EX52" i="5"/>
  <c r="ZT51" i="5"/>
  <c r="AKP51" i="5"/>
  <c r="AIK51" i="5"/>
  <c r="FC51" i="5"/>
  <c r="AHA52" i="5"/>
  <c r="AIN51" i="5"/>
  <c r="TD51" i="5"/>
  <c r="ALJ53" i="5"/>
  <c r="A48" i="5"/>
  <c r="ADH49" i="5"/>
  <c r="DM53" i="5"/>
  <c r="ABC52" i="5"/>
  <c r="FA53" i="5"/>
  <c r="UZ53" i="5"/>
  <c r="AT50" i="5"/>
  <c r="JV55" i="5"/>
  <c r="XP47" i="5"/>
  <c r="AKI47" i="5"/>
  <c r="JX48" i="5"/>
  <c r="XM48" i="5"/>
  <c r="ALE48" i="5"/>
  <c r="MO49" i="5"/>
  <c r="ADP49" i="5"/>
  <c r="QB50" i="5"/>
  <c r="ADC51" i="5"/>
  <c r="HP50" i="5"/>
  <c r="WE50" i="5"/>
  <c r="R51" i="5"/>
  <c r="UL51" i="5"/>
  <c r="ABX52" i="5"/>
  <c r="DH50" i="5"/>
  <c r="RB50" i="5"/>
  <c r="AHW50" i="5"/>
  <c r="NB51" i="5"/>
  <c r="IF52" i="5"/>
  <c r="LC50" i="5"/>
  <c r="AAL50" i="5"/>
  <c r="EB51" i="5"/>
  <c r="ABQ51" i="5"/>
  <c r="OM53" i="5"/>
  <c r="TD50" i="5"/>
  <c r="AKB50" i="5"/>
  <c r="QA51" i="5"/>
  <c r="PZ52" i="5"/>
  <c r="XC49" i="5"/>
  <c r="AKS49" i="5"/>
  <c r="LE50" i="5"/>
  <c r="AAR50" i="5"/>
  <c r="EE51" i="5"/>
  <c r="ABS51" i="5"/>
  <c r="QS53" i="5"/>
  <c r="KZ49" i="5"/>
  <c r="XY49" i="5"/>
  <c r="ALT49" i="5"/>
  <c r="MD50" i="5"/>
  <c r="ABS50" i="5"/>
  <c r="FM51" i="5"/>
  <c r="AEQ51" i="5"/>
  <c r="WP53" i="5"/>
  <c r="BV50" i="5"/>
  <c r="PQ50" i="5"/>
  <c r="AGB50" i="5"/>
  <c r="LA51" i="5"/>
  <c r="DL52" i="5"/>
  <c r="AFC55" i="5"/>
  <c r="CW50" i="5"/>
  <c r="QO50" i="5"/>
  <c r="AHB50" i="5"/>
  <c r="MD51" i="5"/>
  <c r="FX52" i="5"/>
  <c r="AJJ56" i="5"/>
  <c r="AJC47" i="5"/>
  <c r="GZ48" i="5"/>
  <c r="SP48" i="5"/>
  <c r="BW49" i="5"/>
  <c r="ALB49" i="5"/>
  <c r="FS51" i="5"/>
  <c r="BZ46" i="5"/>
  <c r="AGD46" i="5"/>
  <c r="YQ47" i="5"/>
  <c r="AES48" i="5"/>
  <c r="ALC49" i="5"/>
  <c r="NV51" i="5"/>
  <c r="NQ52" i="5"/>
  <c r="GF52" i="5"/>
  <c r="BU52" i="5"/>
  <c r="ALP51" i="5"/>
  <c r="AJM51" i="5"/>
  <c r="FZ51" i="5"/>
  <c r="AJT52" i="5"/>
  <c r="LM52" i="5"/>
  <c r="UC51" i="5"/>
  <c r="EB54" i="5"/>
  <c r="R48" i="5"/>
  <c r="AEA49" i="5"/>
  <c r="SC48" i="5"/>
  <c r="ADC52" i="5"/>
  <c r="GB53" i="5"/>
  <c r="ED52" i="5"/>
  <c r="BL50" i="5"/>
  <c r="ABN49" i="5"/>
  <c r="BX50" i="5"/>
  <c r="PS50" i="5"/>
  <c r="AGE50" i="5"/>
  <c r="LC51" i="5"/>
  <c r="DN52" i="5"/>
  <c r="CB56" i="5"/>
  <c r="DV46" i="5"/>
  <c r="NR46" i="5"/>
  <c r="XN46" i="5"/>
  <c r="AHJ46" i="5"/>
  <c r="DX47" i="5"/>
  <c r="OD47" i="5"/>
  <c r="ZI47" i="5"/>
  <c r="AKN47" i="5"/>
  <c r="IL48" i="5"/>
  <c r="WK48" i="5"/>
  <c r="AJY48" i="5"/>
  <c r="KJ49" i="5"/>
  <c r="ZC49" i="5"/>
  <c r="BD50" i="5"/>
  <c r="QQ50" i="5"/>
  <c r="AJL50" i="5"/>
  <c r="VJ51" i="5"/>
  <c r="EK53" i="5"/>
  <c r="AIA51" i="5"/>
  <c r="QF52" i="5"/>
  <c r="OO53" i="5"/>
  <c r="AAV51" i="5"/>
  <c r="HJ52" i="5"/>
  <c r="CO53" i="5"/>
  <c r="UM55" i="5"/>
  <c r="AAX51" i="5"/>
  <c r="HK52" i="5"/>
  <c r="ALQ52" i="5"/>
  <c r="ALS54" i="5"/>
  <c r="CV52" i="5"/>
  <c r="AGX52" i="5"/>
  <c r="SE54" i="5"/>
  <c r="N52" i="5"/>
  <c r="WJ52" i="5"/>
  <c r="AAV53" i="5"/>
  <c r="HX51" i="5"/>
  <c r="YY51" i="5"/>
  <c r="HN52" i="5"/>
  <c r="ALT52" i="5"/>
  <c r="AMG54" i="5"/>
  <c r="RD51" i="5"/>
  <c r="AJO51" i="5"/>
  <c r="SG52" i="5"/>
  <c r="SC53" i="5"/>
  <c r="IW51" i="5"/>
  <c r="AAG51" i="5"/>
  <c r="GP52" i="5"/>
  <c r="AJY52" i="5"/>
  <c r="AEH54" i="5"/>
  <c r="QR47" i="5"/>
  <c r="ACM47" i="5"/>
  <c r="CI48" i="5"/>
  <c r="OU48" i="5"/>
  <c r="FA49" i="5"/>
  <c r="AET49" i="5"/>
  <c r="ABA50" i="5"/>
  <c r="VD51" i="5"/>
  <c r="FU53" i="5"/>
  <c r="ADH48" i="5"/>
  <c r="AKB49" i="5"/>
  <c r="AME50" i="5"/>
  <c r="VH53" i="5"/>
  <c r="HP54" i="5"/>
  <c r="BN54" i="5"/>
  <c r="VV53" i="5"/>
  <c r="LQ53" i="5"/>
  <c r="VX53" i="5"/>
  <c r="FY52" i="5"/>
  <c r="ABO50" i="5"/>
  <c r="YO55" i="5"/>
  <c r="CC50" i="5"/>
  <c r="VM54" i="5"/>
  <c r="XO56" i="5"/>
  <c r="LL55" i="5"/>
  <c r="ACL49" i="5"/>
  <c r="CX50" i="5"/>
  <c r="QP50" i="5"/>
  <c r="AHF50" i="5"/>
  <c r="MH51" i="5"/>
  <c r="GS52" i="5"/>
  <c r="I57" i="5"/>
  <c r="EL46" i="5"/>
  <c r="OH46" i="5"/>
  <c r="YD46" i="5"/>
  <c r="AHZ46" i="5"/>
  <c r="EN47" i="5"/>
  <c r="OV47" i="5"/>
  <c r="AAA47" i="5"/>
  <c r="ALG47" i="5"/>
  <c r="JV48" i="5"/>
  <c r="XE48" i="5"/>
  <c r="AKS48" i="5"/>
  <c r="LD49" i="5"/>
  <c r="ZX49" i="5"/>
  <c r="CD50" i="5"/>
  <c r="RO50" i="5"/>
  <c r="H51" i="5"/>
  <c r="WU51" i="5"/>
  <c r="LD53" i="5"/>
  <c r="AJD51" i="5"/>
  <c r="RQ52" i="5"/>
  <c r="RR53" i="5"/>
  <c r="ABU51" i="5"/>
  <c r="LE52" i="5"/>
  <c r="EU53" i="5"/>
  <c r="AHA55" i="5"/>
  <c r="ABZ51" i="5"/>
  <c r="IR52" i="5"/>
  <c r="AN53" i="5"/>
  <c r="IV55" i="5"/>
  <c r="GI52" i="5"/>
  <c r="AJB52" i="5"/>
  <c r="ADA54" i="5"/>
  <c r="AR52" i="5"/>
  <c r="YD52" i="5"/>
  <c r="AEP53" i="5"/>
  <c r="IT51" i="5"/>
  <c r="ACC51" i="5"/>
  <c r="IU52" i="5"/>
  <c r="AQ53" i="5"/>
  <c r="KE55" i="5"/>
  <c r="RZ51" i="5"/>
  <c r="AKT51" i="5"/>
  <c r="TO52" i="5"/>
  <c r="ABA53" i="5"/>
  <c r="JV51" i="5"/>
  <c r="ABE51" i="5"/>
  <c r="HU52" i="5"/>
  <c r="ALX52" i="5"/>
  <c r="AH55" i="5"/>
  <c r="RI47" i="5"/>
  <c r="AEM47" i="5"/>
  <c r="CZ48" i="5"/>
  <c r="PL48" i="5"/>
  <c r="FR49" i="5"/>
  <c r="AFP49" i="5"/>
  <c r="ACA50" i="5"/>
  <c r="WC51" i="5"/>
  <c r="NM53" i="5"/>
  <c r="ADY48" i="5"/>
  <c r="AKW49" i="5"/>
  <c r="IB51" i="5"/>
  <c r="YH53" i="5"/>
  <c r="LF54" i="5"/>
  <c r="EY54" i="5"/>
  <c r="AIZ54" i="5"/>
  <c r="MS53" i="5"/>
  <c r="XD53" i="5"/>
  <c r="GZ52" i="5"/>
  <c r="ACI50" i="5"/>
  <c r="ADG55" i="5"/>
  <c r="CT50" i="5"/>
  <c r="XI54" i="5"/>
  <c r="AAM56" i="5"/>
  <c r="ALS50" i="5"/>
  <c r="PY49" i="5"/>
  <c r="ADG49" i="5"/>
  <c r="DS50" i="5"/>
  <c r="RN50" i="5"/>
  <c r="AIG50" i="5"/>
  <c r="NU51" i="5"/>
  <c r="JN52" i="5"/>
  <c r="AIN45" i="5"/>
  <c r="FB46" i="5"/>
  <c r="OX46" i="5"/>
  <c r="YT46" i="5"/>
  <c r="AIP46" i="5"/>
  <c r="FD47" i="5"/>
  <c r="PN47" i="5"/>
  <c r="AAT47" i="5"/>
  <c r="ALY47" i="5"/>
  <c r="KN48" i="5"/>
  <c r="XX48" i="5"/>
  <c r="ALL48" i="5"/>
  <c r="MB49" i="5"/>
  <c r="AAT49" i="5"/>
  <c r="CY50" i="5"/>
  <c r="SL50" i="5"/>
  <c r="AG51" i="5"/>
  <c r="YO51" i="5"/>
  <c r="QY53" i="5"/>
  <c r="AKH51" i="5"/>
  <c r="TE52" i="5"/>
  <c r="UF53" i="5"/>
  <c r="ADA51" i="5"/>
  <c r="MJ52" i="5"/>
  <c r="HQ53" i="5"/>
  <c r="II56" i="5"/>
  <c r="ADB51" i="5"/>
  <c r="JU52" i="5"/>
  <c r="CP53" i="5"/>
  <c r="US55" i="5"/>
  <c r="HL52" i="5"/>
  <c r="ALR52" i="5"/>
  <c r="AMB54" i="5"/>
  <c r="BW52" i="5"/>
  <c r="AAH52" i="5"/>
  <c r="AKP53" i="5"/>
  <c r="JT51" i="5"/>
  <c r="ADG51" i="5"/>
  <c r="KH52" i="5"/>
  <c r="DJ53" i="5"/>
  <c r="YR55" i="5"/>
  <c r="TC51" i="5"/>
  <c r="ALT51" i="5"/>
  <c r="VA52" i="5"/>
  <c r="AFP53" i="5"/>
  <c r="KS51" i="5"/>
  <c r="ACI51" i="5"/>
  <c r="JB52" i="5"/>
  <c r="BI53" i="5"/>
  <c r="OF55" i="5"/>
  <c r="RZ47" i="5"/>
  <c r="AFD47" i="5"/>
  <c r="DQ48" i="5"/>
  <c r="QC48" i="5"/>
  <c r="GJ49" i="5"/>
  <c r="AGI49" i="5"/>
  <c r="ACW50" i="5"/>
  <c r="AGO51" i="5"/>
  <c r="PX53" i="5"/>
  <c r="AEP48" i="5"/>
  <c r="ALP49" i="5"/>
  <c r="YD51" i="5"/>
  <c r="ACD53" i="5"/>
  <c r="OX54" i="5"/>
  <c r="GC55" i="5"/>
  <c r="AK55" i="5"/>
  <c r="NU53" i="5"/>
  <c r="YS53" i="5"/>
  <c r="HZ52" i="5"/>
  <c r="ADD50" i="5"/>
  <c r="ADU47" i="5"/>
  <c r="ES50" i="5"/>
  <c r="YO54" i="5"/>
  <c r="ACY56" i="5"/>
  <c r="AEJ51" i="5"/>
  <c r="QT49" i="5"/>
  <c r="AED49" i="5"/>
  <c r="EO50" i="5"/>
  <c r="SK50" i="5"/>
  <c r="AJI50" i="5"/>
  <c r="PC51" i="5"/>
  <c r="NJ52" i="5"/>
  <c r="AJD45" i="5"/>
  <c r="FR46" i="5"/>
  <c r="PN46" i="5"/>
  <c r="ZJ46" i="5"/>
  <c r="AJF46" i="5"/>
  <c r="FT47" i="5"/>
  <c r="QF47" i="5"/>
  <c r="ABL47" i="5"/>
  <c r="I48" i="5"/>
  <c r="LF48" i="5"/>
  <c r="YS48" i="5"/>
  <c r="AME48" i="5"/>
  <c r="MV49" i="5"/>
  <c r="ABQ49" i="5"/>
  <c r="DT50" i="5"/>
  <c r="VS50" i="5"/>
  <c r="BJ51" i="5"/>
  <c r="AAL51" i="5"/>
  <c r="ZM53" i="5"/>
  <c r="ALM51" i="5"/>
  <c r="UI52" i="5"/>
  <c r="WR53" i="5"/>
  <c r="AGC51" i="5"/>
  <c r="NS52" i="5"/>
  <c r="JY53" i="5"/>
  <c r="UQ56" i="5"/>
  <c r="AEB51" i="5"/>
  <c r="LF52" i="5"/>
  <c r="EV53" i="5"/>
  <c r="WF56" i="5"/>
  <c r="IS52" i="5"/>
  <c r="AO53" i="5"/>
  <c r="KA55" i="5"/>
  <c r="CW52" i="5"/>
  <c r="ACV52" i="5"/>
  <c r="DX54" i="5"/>
  <c r="ML51" i="5"/>
  <c r="AEE51" i="5"/>
  <c r="LL52" i="5"/>
  <c r="FR53" i="5"/>
  <c r="ALF55" i="5"/>
  <c r="UB51" i="5"/>
  <c r="U52" i="5"/>
  <c r="AAZ52" i="5"/>
  <c r="ALI53" i="5"/>
  <c r="LR51" i="5"/>
  <c r="ADI51" i="5"/>
  <c r="KJ52" i="5"/>
  <c r="DL53" i="5"/>
  <c r="ZH55" i="5"/>
  <c r="TZ47" i="5"/>
  <c r="AFU47" i="5"/>
  <c r="EH48" i="5"/>
  <c r="QT48" i="5"/>
  <c r="HB49" i="5"/>
  <c r="AM50" i="5"/>
  <c r="ADT50" i="5"/>
  <c r="AJU51" i="5"/>
  <c r="AEJ54" i="5"/>
  <c r="AFG48" i="5"/>
  <c r="FU50" i="5"/>
  <c r="ZI51" i="5"/>
  <c r="AGE53" i="5"/>
  <c r="SG54" i="5"/>
  <c r="WR55" i="5"/>
  <c r="GD55" i="5"/>
  <c r="IM54" i="5"/>
  <c r="ABJ54" i="5"/>
  <c r="YT52" i="5"/>
  <c r="OY51" i="5"/>
  <c r="JO48" i="5"/>
  <c r="FJ50" i="5"/>
  <c r="AAB54" i="5"/>
  <c r="AHC56" i="5"/>
  <c r="AFD51" i="5"/>
  <c r="UE48" i="5"/>
  <c r="AGD48" i="5"/>
  <c r="EV49" i="5"/>
  <c r="RN49" i="5"/>
  <c r="AFB49" i="5"/>
  <c r="FL50" i="5"/>
  <c r="TM50" i="5"/>
  <c r="AKI50" i="5"/>
  <c r="QQ51" i="5"/>
  <c r="RD52" i="5"/>
  <c r="AJT45" i="5"/>
  <c r="GH46" i="5"/>
  <c r="QD46" i="5"/>
  <c r="ZZ46" i="5"/>
  <c r="AJV46" i="5"/>
  <c r="GJ47" i="5"/>
  <c r="QY47" i="5"/>
  <c r="ACD47" i="5"/>
  <c r="AA48" i="5"/>
  <c r="LX48" i="5"/>
  <c r="ZL48" i="5"/>
  <c r="P49" i="5"/>
  <c r="NP49" i="5"/>
  <c r="ACM49" i="5"/>
  <c r="EP50" i="5"/>
  <c r="WV50" i="5"/>
  <c r="CL51" i="5"/>
  <c r="ACP51" i="5"/>
  <c r="AC54" i="5"/>
  <c r="F52" i="5"/>
  <c r="WE52" i="5"/>
  <c r="ZS53" i="5"/>
  <c r="AHB51" i="5"/>
  <c r="PE52" i="5"/>
  <c r="MK53" i="5"/>
  <c r="AV57" i="5"/>
  <c r="AEZ51" i="5"/>
  <c r="MN52" i="5"/>
  <c r="HR53" i="5"/>
  <c r="BM57" i="5"/>
  <c r="KD52" i="5"/>
  <c r="CQ53" i="5"/>
  <c r="UT55" i="5"/>
  <c r="EB52" i="5"/>
  <c r="AFA52" i="5"/>
  <c r="LB54" i="5"/>
  <c r="NK51" i="5"/>
  <c r="AFI51" i="5"/>
  <c r="MS52" i="5"/>
  <c r="HU53" i="5"/>
  <c r="IM56" i="5"/>
  <c r="VB51" i="5"/>
  <c r="AX52" i="5"/>
  <c r="ACZ52" i="5"/>
  <c r="EA54" i="5"/>
  <c r="MQ51" i="5"/>
  <c r="AEG51" i="5"/>
  <c r="LN52" i="5"/>
  <c r="FT53" i="5"/>
  <c r="ALH55" i="5"/>
  <c r="UQ47" i="5"/>
  <c r="AGL47" i="5"/>
  <c r="EY48" i="5"/>
  <c r="XI48" i="5"/>
  <c r="HT49" i="5"/>
  <c r="BF50" i="5"/>
  <c r="AES50" i="5"/>
  <c r="AKV51" i="5"/>
  <c r="CT55" i="5"/>
  <c r="AFX48" i="5"/>
  <c r="GN50" i="5"/>
  <c r="AAI51" i="5"/>
  <c r="ZH52" i="5"/>
  <c r="AAX55" i="5"/>
  <c r="AAZ55" i="5"/>
  <c r="KM55" i="5"/>
  <c r="MK54" i="5"/>
  <c r="AFV54" i="5"/>
  <c r="ZR52" i="5"/>
  <c r="PT51" i="5"/>
  <c r="KE48" i="5"/>
  <c r="TW51" i="5"/>
  <c r="TT57" i="5"/>
  <c r="LJ55" i="5"/>
  <c r="GH53" i="5"/>
  <c r="UX48" i="5"/>
  <c r="AGW48" i="5"/>
  <c r="FO49" i="5"/>
  <c r="SJ49" i="5"/>
  <c r="AFW49" i="5"/>
  <c r="GG50" i="5"/>
  <c r="UN50" i="5"/>
  <c r="ALM50" i="5"/>
  <c r="RX51" i="5"/>
  <c r="UG52" i="5"/>
  <c r="AKJ45" i="5"/>
  <c r="GX46" i="5"/>
  <c r="QT46" i="5"/>
  <c r="AAP46" i="5"/>
  <c r="AKL46" i="5"/>
  <c r="GZ47" i="5"/>
  <c r="RQ47" i="5"/>
  <c r="ACV47" i="5"/>
  <c r="AS48" i="5"/>
  <c r="MR48" i="5"/>
  <c r="AAF48" i="5"/>
  <c r="AI49" i="5"/>
  <c r="OK49" i="5"/>
  <c r="ADJ49" i="5"/>
  <c r="HD50" i="5"/>
  <c r="XU50" i="5"/>
  <c r="DM51" i="5"/>
  <c r="AEW51" i="5"/>
  <c r="QX54" i="5"/>
  <c r="AJ52" i="5"/>
  <c r="XW52" i="5"/>
  <c r="BG54" i="5"/>
  <c r="AIB51" i="5"/>
  <c r="QJ52" i="5"/>
  <c r="OP53" i="5"/>
  <c r="OG51" i="5"/>
  <c r="AGD51" i="5"/>
  <c r="NT52" i="5"/>
  <c r="PI53" i="5"/>
  <c r="AEC51" i="5"/>
  <c r="LG52" i="5"/>
  <c r="FO53" i="5"/>
  <c r="AJR55" i="5"/>
  <c r="FF52" i="5"/>
  <c r="AGZ52" i="5"/>
  <c r="AMF54" i="5"/>
  <c r="OK51" i="5"/>
  <c r="AGH51" i="5"/>
  <c r="OG52" i="5"/>
  <c r="KC53" i="5"/>
  <c r="ABY56" i="5"/>
  <c r="WA51" i="5"/>
  <c r="EG52" i="5"/>
  <c r="AFD52" i="5"/>
  <c r="LE54" i="5"/>
  <c r="NP51" i="5"/>
  <c r="AFK51" i="5"/>
  <c r="NA52" i="5"/>
  <c r="IA53" i="5"/>
  <c r="RG57" i="5"/>
  <c r="VH47" i="5"/>
  <c r="AHC47" i="5"/>
  <c r="FP48" i="5"/>
  <c r="XZ48" i="5"/>
  <c r="IL49" i="5"/>
  <c r="BY50" i="5"/>
  <c r="CN51" i="5"/>
  <c r="AMD51" i="5"/>
  <c r="OG55" i="5"/>
  <c r="D49" i="5"/>
  <c r="HG50" i="5"/>
  <c r="ABH51" i="5"/>
  <c r="AAI52" i="5"/>
  <c r="AHB55" i="5"/>
  <c r="AHD55" i="5"/>
  <c r="QP55" i="5"/>
  <c r="ACL55" i="5"/>
  <c r="AEN52" i="5"/>
  <c r="AAO52" i="5"/>
  <c r="QN51" i="5"/>
  <c r="MA48" i="5"/>
  <c r="UT51" i="5"/>
  <c r="AAS57" i="5"/>
  <c r="NN55" i="5"/>
  <c r="HC53" i="5"/>
  <c r="VQ48" i="5"/>
  <c r="AHQ48" i="5"/>
  <c r="GI49" i="5"/>
  <c r="TF49" i="5"/>
  <c r="AGR49" i="5"/>
  <c r="HC50" i="5"/>
  <c r="VQ50" i="5"/>
  <c r="G51" i="5"/>
  <c r="TQ51" i="5"/>
  <c r="ZC52" i="5"/>
  <c r="AKZ45" i="5"/>
  <c r="HN46" i="5"/>
  <c r="RJ46" i="5"/>
  <c r="ABF46" i="5"/>
  <c r="ALB46" i="5"/>
  <c r="HP47" i="5"/>
  <c r="SI47" i="5"/>
  <c r="ADN47" i="5"/>
  <c r="BK48" i="5"/>
  <c r="NK48" i="5"/>
  <c r="AAY48" i="5"/>
  <c r="BE49" i="5"/>
  <c r="PF49" i="5"/>
  <c r="AEH49" i="5"/>
  <c r="IC50" i="5"/>
  <c r="YW50" i="5"/>
  <c r="ER51" i="5"/>
  <c r="AHX51" i="5"/>
  <c r="EF55" i="5"/>
  <c r="BR52" i="5"/>
  <c r="ZW52" i="5"/>
  <c r="JY54" i="5"/>
  <c r="AJJ51" i="5"/>
  <c r="RT52" i="5"/>
  <c r="RS53" i="5"/>
  <c r="PD51" i="5"/>
  <c r="AHC51" i="5"/>
  <c r="PF52" i="5"/>
  <c r="RT53" i="5"/>
  <c r="AFC51" i="5"/>
  <c r="MO52" i="5"/>
  <c r="HS53" i="5"/>
  <c r="IK56" i="5"/>
  <c r="GJ52" i="5"/>
  <c r="AJS52" i="5"/>
  <c r="KB55" i="5"/>
  <c r="PG51" i="5"/>
  <c r="AHH51" i="5"/>
  <c r="PI52" i="5"/>
  <c r="NG53" i="5"/>
  <c r="LK57" i="5"/>
  <c r="WX51" i="5"/>
  <c r="FL52" i="5"/>
  <c r="AHR52" i="5"/>
  <c r="VG54" i="5"/>
  <c r="OM51" i="5"/>
  <c r="AGJ51" i="5"/>
  <c r="OI52" i="5"/>
  <c r="KY53" i="5"/>
  <c r="KG47" i="5"/>
  <c r="VY47" i="5"/>
  <c r="AHT47" i="5"/>
  <c r="GG48" i="5"/>
  <c r="YQ48" i="5"/>
  <c r="JD49" i="5"/>
  <c r="CU50" i="5"/>
  <c r="DK51" i="5"/>
  <c r="W52" i="5"/>
  <c r="AAU55" i="5"/>
  <c r="V49" i="5"/>
  <c r="IB50" i="5"/>
  <c r="ACK51" i="5"/>
  <c r="AKD52" i="5"/>
  <c r="AFH52" i="5"/>
  <c r="M56" i="5"/>
  <c r="WS55" i="5"/>
  <c r="AHF55" i="5"/>
  <c r="AFL52" i="5"/>
  <c r="AHN52" i="5"/>
  <c r="RH51" i="5"/>
  <c r="MQ48" i="5"/>
  <c r="VR51" i="5"/>
  <c r="GU56" i="5"/>
  <c r="PH55" i="5"/>
  <c r="TW53" i="5"/>
  <c r="WJ48" i="5"/>
  <c r="AIJ48" i="5"/>
  <c r="HE49" i="5"/>
  <c r="TZ49" i="5"/>
  <c r="AHP49" i="5"/>
  <c r="HX50" i="5"/>
  <c r="WS50" i="5"/>
  <c r="AE51" i="5"/>
  <c r="VH51" i="5"/>
  <c r="AFY52" i="5"/>
  <c r="ALP45" i="5"/>
  <c r="ID46" i="5"/>
  <c r="RZ46" i="5"/>
  <c r="ABV46" i="5"/>
  <c r="ALR46" i="5"/>
  <c r="IF47" i="5"/>
  <c r="TA47" i="5"/>
  <c r="AEF47" i="5"/>
  <c r="CC48" i="5"/>
  <c r="OF48" i="5"/>
  <c r="ABR48" i="5"/>
  <c r="BX49" i="5"/>
  <c r="PZ49" i="5"/>
  <c r="AGT49" i="5"/>
  <c r="IY50" i="5"/>
  <c r="ZU50" i="5"/>
  <c r="FU51" i="5"/>
  <c r="ALG51" i="5"/>
  <c r="CC56" i="5"/>
  <c r="CR52" i="5"/>
  <c r="AGU52" i="5"/>
  <c r="RX54" i="5"/>
  <c r="AKM51" i="5"/>
  <c r="TF52" i="5"/>
  <c r="UG53" i="5"/>
  <c r="PZ51" i="5"/>
  <c r="AIG51" i="5"/>
  <c r="TG52" i="5"/>
  <c r="UI53" i="5"/>
  <c r="AGE51" i="5"/>
  <c r="NY52" i="5"/>
  <c r="KA53" i="5"/>
  <c r="WG56" i="5"/>
  <c r="HM52" i="5"/>
  <c r="CR53" i="5"/>
  <c r="YQ55" i="5"/>
  <c r="QG51" i="5"/>
  <c r="AIM51" i="5"/>
  <c r="QR52" i="5"/>
  <c r="PT53" i="5"/>
  <c r="HC51" i="5"/>
  <c r="AAF51" i="5"/>
  <c r="GO52" i="5"/>
  <c r="AJU52" i="5"/>
  <c r="AEG54" i="5"/>
  <c r="PI51" i="5"/>
  <c r="AHP51" i="5"/>
  <c r="PK52" i="5"/>
  <c r="SV53" i="5"/>
  <c r="KW47" i="5"/>
  <c r="WP47" i="5"/>
  <c r="AIK47" i="5"/>
  <c r="GX48" i="5"/>
  <c r="ZH48" i="5"/>
  <c r="QE49" i="5"/>
  <c r="EZ50" i="5"/>
  <c r="EG51" i="5"/>
  <c r="LP52" i="5"/>
  <c r="ALI55" i="5"/>
  <c r="LI49" i="5"/>
  <c r="IV50" i="5"/>
  <c r="ADK51" i="5"/>
  <c r="ALA52" i="5"/>
  <c r="AGE52" i="5"/>
  <c r="EM56" i="5"/>
  <c r="KP52" i="5"/>
  <c r="AG56" i="5"/>
  <c r="ALM52" i="5"/>
  <c r="VA53" i="5"/>
  <c r="SF51" i="5"/>
  <c r="NG48" i="5"/>
  <c r="WN51" i="5"/>
  <c r="IT56" i="5"/>
  <c r="RQ55" i="5"/>
  <c r="UT53" i="5"/>
  <c r="XD48" i="5"/>
  <c r="AJC48" i="5"/>
  <c r="HZ49" i="5"/>
  <c r="UT49" i="5"/>
  <c r="AIK49" i="5"/>
  <c r="IX50" i="5"/>
  <c r="XT50" i="5"/>
  <c r="BI51" i="5"/>
  <c r="WS51" i="5"/>
  <c r="AKW52" i="5"/>
  <c r="AMF45" i="5"/>
  <c r="IT46" i="5"/>
  <c r="SP46" i="5"/>
  <c r="ACL46" i="5"/>
  <c r="AMH46" i="5"/>
  <c r="IV47" i="5"/>
  <c r="TS47" i="5"/>
  <c r="AEX47" i="5"/>
  <c r="CV48" i="5"/>
  <c r="OY48" i="5"/>
  <c r="ACK48" i="5"/>
  <c r="CQ49" i="5"/>
  <c r="QU49" i="5"/>
  <c r="AHQ49" i="5"/>
  <c r="JT50" i="5"/>
  <c r="AAY50" i="5"/>
  <c r="GW51" i="5"/>
  <c r="AH52" i="5"/>
  <c r="J57" i="5"/>
  <c r="DT52" i="5"/>
  <c r="AIY52" i="5"/>
  <c r="ZV54" i="5"/>
  <c r="ALN51" i="5"/>
  <c r="UR52" i="5"/>
  <c r="WW53" i="5"/>
  <c r="QZ51" i="5"/>
  <c r="AJK51" i="5"/>
  <c r="US52" i="5"/>
  <c r="WX53" i="5"/>
  <c r="AHF51" i="5"/>
  <c r="PG52" i="5"/>
  <c r="MM53" i="5"/>
  <c r="LI57" i="5"/>
  <c r="IT52" i="5"/>
  <c r="FQ53" i="5"/>
  <c r="ALE55" i="5"/>
  <c r="RC51" i="5"/>
  <c r="AJN51" i="5"/>
  <c r="SF52" i="5"/>
  <c r="SA53" i="5"/>
  <c r="HY51" i="5"/>
  <c r="ABD51" i="5"/>
  <c r="HT52" i="5"/>
  <c r="ALV52" i="5"/>
  <c r="AMH54" i="5"/>
  <c r="QI51" i="5"/>
  <c r="AIP51" i="5"/>
  <c r="QX52" i="5"/>
  <c r="VF53" i="5"/>
  <c r="LM47" i="5"/>
  <c r="XG47" i="5"/>
  <c r="AJB47" i="5"/>
  <c r="HO48" i="5"/>
  <c r="ZY48" i="5"/>
  <c r="QW49" i="5"/>
  <c r="ML50" i="5"/>
  <c r="FI51" i="5"/>
  <c r="NB52" i="5"/>
  <c r="NF56" i="5"/>
  <c r="MA49" i="5"/>
  <c r="JO50" i="5"/>
  <c r="BC52" i="5"/>
  <c r="AME52" i="5"/>
  <c r="AHE52" i="5"/>
  <c r="ADK52" i="5"/>
  <c r="LT52" i="5"/>
  <c r="FS56" i="5"/>
  <c r="PE53" i="5"/>
  <c r="WY55" i="5"/>
  <c r="TA51" i="5"/>
  <c r="NW48" i="5"/>
  <c r="XJ51" i="5"/>
  <c r="LG56" i="5"/>
  <c r="AHZ54" i="5"/>
  <c r="AJF53" i="5"/>
  <c r="XW48" i="5"/>
  <c r="AJX48" i="5"/>
  <c r="IU49" i="5"/>
  <c r="VN49" i="5"/>
  <c r="AJG49" i="5"/>
  <c r="JS50" i="5"/>
  <c r="YV50" i="5"/>
  <c r="CH51" i="5"/>
  <c r="YN51" i="5"/>
  <c r="EJ53" i="5"/>
  <c r="N46" i="5"/>
  <c r="JJ46" i="5"/>
  <c r="TF46" i="5"/>
  <c r="ADB46" i="5"/>
  <c r="P47" i="5"/>
  <c r="JL47" i="5"/>
  <c r="UK47" i="5"/>
  <c r="AFP47" i="5"/>
  <c r="DN48" i="5"/>
  <c r="PR48" i="5"/>
  <c r="ADD48" i="5"/>
  <c r="DJ49" i="5"/>
  <c r="TG49" i="5"/>
  <c r="AIL49" i="5"/>
  <c r="KR50" i="5"/>
  <c r="ACC50" i="5"/>
  <c r="IK51" i="5"/>
  <c r="DO52" i="5"/>
  <c r="YR51" i="5"/>
  <c r="HI52" i="5"/>
  <c r="AKY52" i="5"/>
  <c r="AIW54" i="5"/>
  <c r="G52" i="5"/>
  <c r="WF52" i="5"/>
  <c r="AAQ53" i="5"/>
  <c r="RV51" i="5"/>
  <c r="K52" i="5"/>
  <c r="WG52" i="5"/>
  <c r="AAT53" i="5"/>
  <c r="AIH51" i="5"/>
  <c r="QO52" i="5"/>
  <c r="PK53" i="5"/>
  <c r="ADD51" i="5"/>
  <c r="MP52" i="5"/>
  <c r="HT53" i="5"/>
  <c r="IL56" i="5"/>
  <c r="RY51" i="5"/>
  <c r="AKS51" i="5"/>
  <c r="TJ52" i="5"/>
  <c r="VD53" i="5"/>
  <c r="KQ51" i="5"/>
  <c r="ACH51" i="5"/>
  <c r="IV52" i="5"/>
  <c r="AR53" i="5"/>
  <c r="OE55" i="5"/>
  <c r="RE51" i="5"/>
  <c r="AJS51" i="5"/>
  <c r="VB52" i="5"/>
  <c r="XX53" i="5"/>
  <c r="MC47" i="5"/>
  <c r="XX47" i="5"/>
  <c r="AJS47" i="5"/>
  <c r="IF48" i="5"/>
  <c r="AAP48" i="5"/>
  <c r="SY49" i="5"/>
  <c r="NH50" i="5"/>
  <c r="GE51" i="5"/>
  <c r="OJ52" i="5"/>
  <c r="ACQ56" i="5"/>
  <c r="MS49" i="5"/>
  <c r="XK50" i="5"/>
  <c r="CB52" i="5"/>
  <c r="T53" i="5"/>
  <c r="AIG52" i="5"/>
  <c r="BW53" i="5"/>
  <c r="MR52" i="5"/>
  <c r="LD56" i="5"/>
  <c r="QF53" i="5"/>
  <c r="ADF55" i="5"/>
  <c r="HN53" i="5"/>
  <c r="AGY48" i="5"/>
  <c r="VT52" i="5"/>
  <c r="ABZ54" i="5"/>
  <c r="NV53" i="5"/>
  <c r="AKI53" i="5"/>
  <c r="YP48" i="5"/>
  <c r="AKR48" i="5"/>
  <c r="JO49" i="5"/>
  <c r="WL49" i="5"/>
  <c r="AKF49" i="5"/>
  <c r="KN50" i="5"/>
  <c r="ZT50" i="5"/>
  <c r="DJ51" i="5"/>
  <c r="AAK51" i="5"/>
  <c r="LC53" i="5"/>
  <c r="AD46" i="5"/>
  <c r="JZ46" i="5"/>
  <c r="TV46" i="5"/>
  <c r="ADR46" i="5"/>
  <c r="AF47" i="5"/>
  <c r="KB47" i="5"/>
  <c r="VC47" i="5"/>
  <c r="AGI47" i="5"/>
  <c r="EF48" i="5"/>
  <c r="QL48" i="5"/>
  <c r="ADZ48" i="5"/>
  <c r="ED49" i="5"/>
  <c r="UA49" i="5"/>
  <c r="AJJ49" i="5"/>
  <c r="LM50" i="5"/>
  <c r="ADA50" i="5"/>
  <c r="JR51" i="5"/>
  <c r="GT52" i="5"/>
  <c r="ZR51" i="5"/>
  <c r="IN52" i="5"/>
  <c r="AG53" i="5"/>
  <c r="IK55" i="5"/>
  <c r="AL52" i="5"/>
  <c r="XX52" i="5"/>
  <c r="AEB53" i="5"/>
  <c r="ST51" i="5"/>
  <c r="AP52" i="5"/>
  <c r="YB52" i="5"/>
  <c r="AEF53" i="5"/>
  <c r="AJL51" i="5"/>
  <c r="RY52" i="5"/>
  <c r="RU53" i="5"/>
  <c r="AED51" i="5"/>
  <c r="OC52" i="5"/>
  <c r="KB53" i="5"/>
  <c r="XE56" i="5"/>
  <c r="SZ51" i="5"/>
  <c r="ALR51" i="5"/>
  <c r="UZ52" i="5"/>
  <c r="XV53" i="5"/>
  <c r="LQ51" i="5"/>
  <c r="ADH51" i="5"/>
  <c r="KI52" i="5"/>
  <c r="DK53" i="5"/>
  <c r="ZG55" i="5"/>
  <c r="SA51" i="5"/>
  <c r="AKU51" i="5"/>
  <c r="WY52" i="5"/>
  <c r="ABE53" i="5"/>
  <c r="MT47" i="5"/>
  <c r="YO47" i="5"/>
  <c r="AKJ47" i="5"/>
  <c r="IW48" i="5"/>
  <c r="ABG48" i="5"/>
  <c r="TQ49" i="5"/>
  <c r="OA50" i="5"/>
  <c r="HE51" i="5"/>
  <c r="PL52" i="5"/>
  <c r="RL48" i="5"/>
  <c r="NK49" i="5"/>
  <c r="AGR50" i="5"/>
  <c r="DJ52" i="5"/>
  <c r="AS53" i="5"/>
  <c r="AJG52" i="5"/>
  <c r="DA53" i="5"/>
  <c r="AHK52" i="5"/>
  <c r="RL56" i="5"/>
  <c r="RN53" i="5"/>
  <c r="AIZ55" i="5"/>
  <c r="IM53" i="5"/>
  <c r="AHO48" i="5"/>
  <c r="WU52" i="5"/>
  <c r="ADI54" i="5"/>
  <c r="OQ53" i="5"/>
  <c r="AM49" i="5"/>
  <c r="YB49" i="5"/>
  <c r="KH50" i="5"/>
  <c r="JB51" i="5"/>
  <c r="EL52" i="5"/>
  <c r="ALP53" i="5"/>
  <c r="NQ53" i="5"/>
  <c r="ALJ55" i="5"/>
  <c r="KG53" i="5"/>
  <c r="LB56" i="5"/>
  <c r="XA53" i="5"/>
  <c r="NR52" i="5"/>
  <c r="PB53" i="5"/>
  <c r="AGH52" i="5"/>
  <c r="AKH54" i="5"/>
  <c r="TY54" i="5"/>
  <c r="AIO52" i="5"/>
  <c r="BJ50" i="5"/>
  <c r="IA52" i="5"/>
  <c r="AJA55" i="5"/>
  <c r="AIE48" i="5"/>
  <c r="ABP50" i="5"/>
  <c r="ZT52" i="5"/>
  <c r="ACW53" i="5"/>
  <c r="AIY53" i="5"/>
  <c r="TK55" i="5"/>
  <c r="NP55" i="5"/>
  <c r="YT51" i="5"/>
  <c r="BD49" i="5"/>
  <c r="YV49" i="5"/>
  <c r="RV50" i="5"/>
  <c r="JX51" i="5"/>
  <c r="FO52" i="5"/>
  <c r="GJ54" i="5"/>
  <c r="OW53" i="5"/>
  <c r="EF56" i="5"/>
  <c r="MO53" i="5"/>
  <c r="XL52" i="5"/>
  <c r="YO53" i="5"/>
  <c r="OP52" i="5"/>
  <c r="QD53" i="5"/>
  <c r="AHL52" i="5"/>
  <c r="AN55" i="5"/>
  <c r="YK54" i="5"/>
  <c r="AJM52" i="5"/>
  <c r="CB50" i="5"/>
  <c r="IZ52" i="5"/>
  <c r="BQ56" i="5"/>
  <c r="AIU48" i="5"/>
  <c r="ACJ50" i="5"/>
  <c r="AAR52" i="5"/>
  <c r="ADY53" i="5"/>
  <c r="AJX53" i="5"/>
  <c r="VS55" i="5"/>
  <c r="PP55" i="5"/>
  <c r="JY52" i="5"/>
  <c r="BU49" i="5"/>
  <c r="ZO49" i="5"/>
  <c r="SW50" i="5"/>
  <c r="KU51" i="5"/>
  <c r="GR52" i="5"/>
  <c r="RL57" i="5"/>
  <c r="PY53" i="5"/>
  <c r="KD56" i="5"/>
  <c r="NR53" i="5"/>
  <c r="YJ52" i="5"/>
  <c r="ZZ53" i="5"/>
  <c r="RP52" i="5"/>
  <c r="AHL53" i="5"/>
  <c r="AIJ52" i="5"/>
  <c r="GK55" i="5"/>
  <c r="ACJ54" i="5"/>
  <c r="OB53" i="5"/>
  <c r="CS50" i="5"/>
  <c r="JW52" i="5"/>
  <c r="AAS47" i="5"/>
  <c r="AJK48" i="5"/>
  <c r="ADH50" i="5"/>
  <c r="AA54" i="5"/>
  <c r="ALU53" i="5"/>
  <c r="AKY53" i="5"/>
  <c r="PZ54" i="5"/>
  <c r="RT55" i="5"/>
  <c r="KQ52" i="5"/>
  <c r="CL49" i="5"/>
  <c r="AHC49" i="5"/>
  <c r="TS50" i="5"/>
  <c r="LV51" i="5"/>
  <c r="HY52" i="5"/>
  <c r="VL52" i="5"/>
  <c r="QZ53" i="5"/>
  <c r="PT56" i="5"/>
  <c r="ZX53" i="5"/>
  <c r="ZM52" i="5"/>
  <c r="ABO53" i="5"/>
  <c r="SO52" i="5"/>
  <c r="AJQ53" i="5"/>
  <c r="AJJ52" i="5"/>
  <c r="MK55" i="5"/>
  <c r="AFW54" i="5"/>
  <c r="PF53" i="5"/>
  <c r="DJ50" i="5"/>
  <c r="LA52" i="5"/>
  <c r="ABI47" i="5"/>
  <c r="AKA48" i="5"/>
  <c r="AEB50" i="5"/>
  <c r="CT54" i="5"/>
  <c r="M54" i="5"/>
  <c r="ALY53" i="5"/>
  <c r="ACC54" i="5"/>
  <c r="UA55" i="5"/>
  <c r="RJ55" i="5"/>
  <c r="UC48" i="5"/>
  <c r="DC49" i="5"/>
  <c r="AHV49" i="5"/>
  <c r="UP50" i="5"/>
  <c r="MS51" i="5"/>
  <c r="VJ52" i="5"/>
  <c r="WI52" i="5"/>
  <c r="SH53" i="5"/>
  <c r="XF56" i="5"/>
  <c r="ABL53" i="5"/>
  <c r="AAK52" i="5"/>
  <c r="ADD53" i="5"/>
  <c r="ACJ52" i="5"/>
  <c r="E54" i="5"/>
  <c r="AKH52" i="5"/>
  <c r="ABO52" i="5"/>
  <c r="AKI54" i="5"/>
  <c r="QG53" i="5"/>
  <c r="ZC50" i="5"/>
  <c r="NV52" i="5"/>
  <c r="ABY47" i="5"/>
  <c r="QL49" i="5"/>
  <c r="AEV50" i="5"/>
  <c r="GE54" i="5"/>
  <c r="AL56" i="5"/>
  <c r="R54" i="5"/>
  <c r="ADL54" i="5"/>
  <c r="ABE50" i="5"/>
  <c r="AAE56" i="5"/>
  <c r="UF48" i="5"/>
  <c r="AGE48" i="5"/>
  <c r="EW49" i="5"/>
  <c r="RQ49" i="5"/>
  <c r="AFC49" i="5"/>
  <c r="FM50" i="5"/>
  <c r="TP50" i="5"/>
  <c r="AKP50" i="5"/>
  <c r="QR51" i="5"/>
  <c r="RE52" i="5"/>
  <c r="AAU51" i="5"/>
  <c r="EW52" i="5"/>
  <c r="ACB52" i="5"/>
  <c r="ADX53" i="5"/>
  <c r="AEA51" i="5"/>
  <c r="IQ52" i="5"/>
  <c r="AIZ52" i="5"/>
  <c r="JZ54" i="5"/>
  <c r="TT51" i="5"/>
  <c r="AKN51" i="5"/>
  <c r="QK52" i="5"/>
  <c r="JZ53" i="5"/>
  <c r="AJP55" i="5"/>
  <c r="DZ52" i="5"/>
  <c r="AAG52" i="5"/>
  <c r="AAU53" i="5"/>
  <c r="AFH51" i="5"/>
  <c r="KF52" i="5"/>
  <c r="ALS52" i="5"/>
  <c r="SF54" i="5"/>
  <c r="KP51" i="5"/>
  <c r="AAA51" i="5"/>
  <c r="EC52" i="5"/>
  <c r="AAS52" i="5"/>
  <c r="AAW53" i="5"/>
  <c r="IU51" i="5"/>
  <c r="XZ51" i="5"/>
  <c r="BY52" i="5"/>
  <c r="WQ52" i="5"/>
  <c r="VE53" i="5"/>
  <c r="GD51" i="5"/>
  <c r="VC51" i="5"/>
  <c r="ALV51" i="5"/>
  <c r="SH52" i="5"/>
  <c r="NI53" i="5"/>
  <c r="NE56" i="5"/>
  <c r="SQ47" i="5"/>
  <c r="ADD47" i="5"/>
  <c r="AJ48" i="5"/>
  <c r="KW48" i="5"/>
  <c r="AHV48" i="5"/>
  <c r="RO49" i="5"/>
  <c r="DN50" i="5"/>
  <c r="AFR50" i="5"/>
  <c r="AHQ51" i="5"/>
  <c r="IO53" i="5"/>
  <c r="UT48" i="5"/>
  <c r="JX49" i="5"/>
  <c r="AIP49" i="5"/>
  <c r="VO50" i="5"/>
  <c r="NR51" i="5"/>
  <c r="XA52" i="5"/>
  <c r="XI52" i="5"/>
  <c r="TI53" i="5"/>
  <c r="ADJ52" i="5"/>
  <c r="ACV53" i="5"/>
  <c r="ABI52" i="5"/>
  <c r="AEU53" i="5"/>
  <c r="ADL52" i="5"/>
  <c r="CH54" i="5"/>
  <c r="ALL52" i="5"/>
  <c r="ACO52" i="5"/>
  <c r="AIQ55" i="5"/>
  <c r="RO53" i="5"/>
  <c r="AAA50" i="5"/>
  <c r="OZ52" i="5"/>
  <c r="ACO47" i="5"/>
  <c r="RC49" i="5"/>
  <c r="AFQ50" i="5"/>
  <c r="JQ54" i="5"/>
  <c r="CT56" i="5"/>
  <c r="AS54" i="5"/>
  <c r="AFE54" i="5"/>
  <c r="AHC50" i="5"/>
  <c r="ABN56" i="5"/>
  <c r="JD48" i="5"/>
  <c r="UY48" i="5"/>
  <c r="AGX48" i="5"/>
  <c r="FP49" i="5"/>
  <c r="SL49" i="5"/>
  <c r="AFX49" i="5"/>
  <c r="GH50" i="5"/>
  <c r="UT50" i="5"/>
  <c r="ALN50" i="5"/>
  <c r="SJ51" i="5"/>
  <c r="UH52" i="5"/>
  <c r="ABT51" i="5"/>
  <c r="GE52" i="5"/>
  <c r="AEE52" i="5"/>
  <c r="AIP53" i="5"/>
  <c r="AEY51" i="5"/>
  <c r="JT52" i="5"/>
  <c r="AKZ52" i="5"/>
  <c r="SC54" i="5"/>
  <c r="UU51" i="5"/>
  <c r="ALO51" i="5"/>
  <c r="RX52" i="5"/>
  <c r="ML53" i="5"/>
  <c r="IJ56" i="5"/>
  <c r="FE52" i="5"/>
  <c r="ACU52" i="5"/>
  <c r="AEO53" i="5"/>
  <c r="AGF51" i="5"/>
  <c r="LH52" i="5"/>
  <c r="AP53" i="5"/>
  <c r="ADB54" i="5"/>
  <c r="LM51" i="5"/>
  <c r="ABC51" i="5"/>
  <c r="FK52" i="5"/>
  <c r="ACY52" i="5"/>
  <c r="AEQ53" i="5"/>
  <c r="JU51" i="5"/>
  <c r="YZ51" i="5"/>
  <c r="CZ52" i="5"/>
  <c r="YF52" i="5"/>
  <c r="XW53" i="5"/>
  <c r="HD51" i="5"/>
  <c r="WB51" i="5"/>
  <c r="V52" i="5"/>
  <c r="TS52" i="5"/>
  <c r="PW53" i="5"/>
  <c r="ACI56" i="5"/>
  <c r="TH47" i="5"/>
  <c r="ADV47" i="5"/>
  <c r="BA48" i="5"/>
  <c r="LN48" i="5"/>
  <c r="AIM48" i="5"/>
  <c r="SG49" i="5"/>
  <c r="EG50" i="5"/>
  <c r="BO51" i="5"/>
  <c r="AIQ51" i="5"/>
  <c r="KZ53" i="5"/>
  <c r="VK48" i="5"/>
  <c r="KQ49" i="5"/>
  <c r="AJI49" i="5"/>
  <c r="WL50" i="5"/>
  <c r="XE51" i="5"/>
  <c r="YZ52" i="5"/>
  <c r="YG52" i="5"/>
  <c r="UL53" i="5"/>
  <c r="AEI52" i="5"/>
  <c r="AJO53" i="5"/>
  <c r="ACI52" i="5"/>
  <c r="AFT54" i="5"/>
  <c r="AEK52" i="5"/>
  <c r="FA54" i="5"/>
  <c r="A53" i="5"/>
  <c r="ADN52" i="5"/>
  <c r="DG52" i="5"/>
  <c r="SO53" i="5"/>
  <c r="AAU50" i="5"/>
  <c r="GL53" i="5"/>
  <c r="ADE47" i="5"/>
  <c r="RT49" i="5"/>
  <c r="TB51" i="5"/>
  <c r="MR54" i="5"/>
  <c r="EP56" i="5"/>
  <c r="DC56" i="5"/>
  <c r="AGQ54" i="5"/>
  <c r="ALA50" i="5"/>
  <c r="QR55" i="5"/>
  <c r="B53" i="5"/>
  <c r="VY53" i="5"/>
  <c r="AI56" i="5"/>
  <c r="IW52" i="5"/>
  <c r="AKN52" i="5"/>
  <c r="AFM53" i="5"/>
  <c r="AJE56" i="5"/>
  <c r="EA50" i="5"/>
  <c r="AEA50" i="5"/>
  <c r="TV51" i="5"/>
  <c r="PX52" i="5"/>
  <c r="MY53" i="5"/>
  <c r="GN56" i="5"/>
  <c r="AFQ47" i="5"/>
  <c r="OM48" i="5"/>
  <c r="AKQ48" i="5"/>
  <c r="UJ49" i="5"/>
  <c r="GA50" i="5"/>
  <c r="AGK50" i="5"/>
  <c r="ABX51" i="5"/>
  <c r="ABU52" i="5"/>
  <c r="VE54" i="5"/>
  <c r="ABQ54" i="5"/>
  <c r="AP54" i="5"/>
  <c r="NX56" i="5"/>
  <c r="LD55" i="5"/>
  <c r="BV54" i="5"/>
  <c r="ALF56" i="5"/>
  <c r="AMH55" i="5"/>
  <c r="AJS54" i="5"/>
  <c r="ZI53" i="5"/>
  <c r="VV55" i="5"/>
  <c r="ALW51" i="5"/>
  <c r="OR54" i="5"/>
  <c r="VE52" i="5"/>
  <c r="RK48" i="5"/>
  <c r="ABX48" i="5"/>
  <c r="C49" i="5"/>
  <c r="JV49" i="5"/>
  <c r="VC49" i="5"/>
  <c r="AHB49" i="5"/>
  <c r="FT50" i="5"/>
  <c r="RU50" i="5"/>
  <c r="AGQ50" i="5"/>
  <c r="IA51" i="5"/>
  <c r="XD51" i="5"/>
  <c r="BA52" i="5"/>
  <c r="VC52" i="5"/>
  <c r="SW53" i="5"/>
  <c r="RK57" i="5"/>
  <c r="WB48" i="5"/>
  <c r="AGO48" i="5"/>
  <c r="DT49" i="5"/>
  <c r="OU49" i="5"/>
  <c r="AAJ49" i="5"/>
  <c r="B50" i="5"/>
  <c r="LA50" i="5"/>
  <c r="YH50" i="5"/>
  <c r="W51" i="5"/>
  <c r="OO51" i="5"/>
  <c r="AEO51" i="5"/>
  <c r="JD52" i="5"/>
  <c r="AKB52" i="5"/>
  <c r="NT54" i="5"/>
  <c r="ABF52" i="5"/>
  <c r="DY53" i="5"/>
  <c r="VT53" i="5"/>
  <c r="WS54" i="5"/>
  <c r="AEU56" i="5"/>
  <c r="AKE52" i="5"/>
  <c r="OZ53" i="5"/>
  <c r="IK54" i="5"/>
  <c r="RJ56" i="5"/>
  <c r="AEJ52" i="5"/>
  <c r="JG53" i="5"/>
  <c r="AGV53" i="5"/>
  <c r="O56" i="5"/>
  <c r="TN52" i="5"/>
  <c r="ALK52" i="5"/>
  <c r="RG53" i="5"/>
  <c r="PJ54" i="5"/>
  <c r="AGA56" i="5"/>
  <c r="Z53" i="5"/>
  <c r="AAB53" i="5"/>
  <c r="WW55" i="5"/>
  <c r="AA53" i="5"/>
  <c r="XG53" i="5"/>
  <c r="FU56" i="5"/>
  <c r="JV52" i="5"/>
  <c r="ALN52" i="5"/>
  <c r="AHQ53" i="5"/>
  <c r="ZP49" i="5"/>
  <c r="JX50" i="5"/>
  <c r="N51" i="5"/>
  <c r="ADT51" i="5"/>
  <c r="YU52" i="5"/>
  <c r="AAN53" i="5"/>
  <c r="PA47" i="5"/>
  <c r="ALE47" i="5"/>
  <c r="UA48" i="5"/>
  <c r="EC49" i="5"/>
  <c r="ABP49" i="5"/>
  <c r="LY50" i="5"/>
  <c r="CA51" i="5"/>
  <c r="AKE51" i="5"/>
  <c r="CI53" i="5"/>
  <c r="ND56" i="5"/>
  <c r="PB55" i="5"/>
  <c r="VN54" i="5"/>
  <c r="ACY53" i="5"/>
  <c r="EQ56" i="5"/>
  <c r="XL54" i="5"/>
  <c r="DE54" i="5"/>
  <c r="BU57" i="5"/>
  <c r="ABZ55" i="5"/>
  <c r="CD54" i="5"/>
  <c r="RA56" i="5"/>
  <c r="AEH53" i="5"/>
  <c r="OB52" i="5"/>
  <c r="AKD54" i="5"/>
  <c r="SB48" i="5"/>
  <c r="ACO48" i="5"/>
  <c r="T49" i="5"/>
  <c r="KP49" i="5"/>
  <c r="VV49" i="5"/>
  <c r="AHU49" i="5"/>
  <c r="GM50" i="5"/>
  <c r="SV50" i="5"/>
  <c r="AHN50" i="5"/>
  <c r="JA51" i="5"/>
  <c r="YC51" i="5"/>
  <c r="CA52" i="5"/>
  <c r="WZ52" i="5"/>
  <c r="VG53" i="5"/>
  <c r="MF48" i="5"/>
  <c r="WS48" i="5"/>
  <c r="AHF48" i="5"/>
  <c r="EK49" i="5"/>
  <c r="PN49" i="5"/>
  <c r="ABC49" i="5"/>
  <c r="U50" i="5"/>
  <c r="LT50" i="5"/>
  <c r="ZI50" i="5"/>
  <c r="AS51" i="5"/>
  <c r="PK51" i="5"/>
  <c r="AFM51" i="5"/>
  <c r="KL52" i="5"/>
  <c r="H53" i="5"/>
  <c r="WP54" i="5"/>
  <c r="ACG52" i="5"/>
  <c r="EW53" i="5"/>
  <c r="WY53" i="5"/>
  <c r="ABE54" i="5"/>
  <c r="BN57" i="5"/>
  <c r="ALB52" i="5"/>
  <c r="QA53" i="5"/>
  <c r="LH54" i="5"/>
  <c r="XG56" i="5"/>
  <c r="AFI52" i="5"/>
  <c r="KH53" i="5"/>
  <c r="AJP53" i="5"/>
  <c r="EN56" i="5"/>
  <c r="UP52" i="5"/>
  <c r="AMH52" i="5"/>
  <c r="SK53" i="5"/>
  <c r="TV54" i="5"/>
  <c r="FD57" i="5"/>
  <c r="AY53" i="5"/>
  <c r="ABU53" i="5"/>
  <c r="ACQ55" i="5"/>
  <c r="AZ53" i="5"/>
  <c r="YT53" i="5"/>
  <c r="MT56" i="5"/>
  <c r="KZ52" i="5"/>
  <c r="C53" i="5"/>
  <c r="AKM53" i="5"/>
  <c r="AAG49" i="5"/>
  <c r="LX50" i="5"/>
  <c r="AI51" i="5"/>
  <c r="AER51" i="5"/>
  <c r="ZS52" i="5"/>
  <c r="ABY53" i="5"/>
  <c r="PQ47" i="5"/>
  <c r="ALU47" i="5"/>
  <c r="VW48" i="5"/>
  <c r="ES49" i="5"/>
  <c r="ACG49" i="5"/>
  <c r="MP50" i="5"/>
  <c r="CV51" i="5"/>
  <c r="ALA51" i="5"/>
  <c r="DI53" i="5"/>
  <c r="TY56" i="5"/>
  <c r="QT55" i="5"/>
  <c r="XJ54" i="5"/>
  <c r="ADZ53" i="5"/>
  <c r="GW56" i="5"/>
  <c r="AJM54" i="5"/>
  <c r="EG54" i="5"/>
  <c r="IV57" i="5"/>
  <c r="ADV55" i="5"/>
  <c r="DI54" i="5"/>
  <c r="TC56" i="5"/>
  <c r="AFI53" i="5"/>
  <c r="UN52" i="5"/>
  <c r="ALA54" i="5"/>
  <c r="SS48" i="5"/>
  <c r="ADF48" i="5"/>
  <c r="AL49" i="5"/>
  <c r="LH49" i="5"/>
  <c r="WO49" i="5"/>
  <c r="AIN49" i="5"/>
  <c r="HF50" i="5"/>
  <c r="TR50" i="5"/>
  <c r="AIJ50" i="5"/>
  <c r="JW51" i="5"/>
  <c r="ZH51" i="5"/>
  <c r="DF52" i="5"/>
  <c r="YX52" i="5"/>
  <c r="YA53" i="5"/>
  <c r="MW48" i="5"/>
  <c r="XJ48" i="5"/>
  <c r="AHW48" i="5"/>
  <c r="FB49" i="5"/>
  <c r="QF49" i="5"/>
  <c r="ABW49" i="5"/>
  <c r="AN50" i="5"/>
  <c r="MN50" i="5"/>
  <c r="AAF50" i="5"/>
  <c r="BP51" i="5"/>
  <c r="QK51" i="5"/>
  <c r="AGP51" i="5"/>
  <c r="LU52" i="5"/>
  <c r="BK53" i="5"/>
  <c r="AEK54" i="5"/>
  <c r="ADD52" i="5"/>
  <c r="FW53" i="5"/>
  <c r="YI53" i="5"/>
  <c r="AEL54" i="5"/>
  <c r="RM57" i="5"/>
  <c r="AMF52" i="5"/>
  <c r="RA53" i="5"/>
  <c r="PH54" i="5"/>
  <c r="AEZ56" i="5"/>
  <c r="AGF52" i="5"/>
  <c r="LO53" i="5"/>
  <c r="EZ54" i="5"/>
  <c r="LC56" i="5"/>
  <c r="VO52" i="5"/>
  <c r="Y53" i="5"/>
  <c r="TO53" i="5"/>
  <c r="XV54" i="5"/>
  <c r="YI57" i="5"/>
  <c r="EC53" i="5"/>
  <c r="ADM53" i="5"/>
  <c r="AHI55" i="5"/>
  <c r="CC53" i="5"/>
  <c r="AAD53" i="5"/>
  <c r="SG56" i="5"/>
  <c r="RU52" i="5"/>
  <c r="AD53" i="5"/>
  <c r="H54" i="5"/>
  <c r="AAX49" i="5"/>
  <c r="MO50" i="5"/>
  <c r="BF51" i="5"/>
  <c r="AFN51" i="5"/>
  <c r="AAP52" i="5"/>
  <c r="ADQ53" i="5"/>
  <c r="QG47" i="5"/>
  <c r="C48" i="5"/>
  <c r="WM48" i="5"/>
  <c r="FI49" i="5"/>
  <c r="ACX49" i="5"/>
  <c r="NG50" i="5"/>
  <c r="DP51" i="5"/>
  <c r="AMC51" i="5"/>
  <c r="EI53" i="5"/>
  <c r="ZO56" i="5"/>
  <c r="TG55" i="5"/>
  <c r="YP54" i="5"/>
  <c r="ALV53" i="5"/>
  <c r="JK56" i="5"/>
  <c r="ALE54" i="5"/>
  <c r="FO54" i="5"/>
  <c r="PG57" i="5"/>
  <c r="AGD55" i="5"/>
  <c r="EI54" i="5"/>
  <c r="VW56" i="5"/>
  <c r="AW54" i="5"/>
  <c r="ALD55" i="5"/>
  <c r="JG56" i="5"/>
  <c r="TJ48" i="5"/>
  <c r="ADX48" i="5"/>
  <c r="BC49" i="5"/>
  <c r="LZ49" i="5"/>
  <c r="XH49" i="5"/>
  <c r="AJH49" i="5"/>
  <c r="IA50" i="5"/>
  <c r="UO50" i="5"/>
  <c r="AJJ50" i="5"/>
  <c r="KT51" i="5"/>
  <c r="AAH51" i="5"/>
  <c r="EK52" i="5"/>
  <c r="ABB52" i="5"/>
  <c r="ACC53" i="5"/>
  <c r="NN48" i="5"/>
  <c r="YA48" i="5"/>
  <c r="AIN48" i="5"/>
  <c r="FS49" i="5"/>
  <c r="QX49" i="5"/>
  <c r="ACP49" i="5"/>
  <c r="BG50" i="5"/>
  <c r="NI50" i="5"/>
  <c r="ABB50" i="5"/>
  <c r="CO51" i="5"/>
  <c r="RG51" i="5"/>
  <c r="AHR51" i="5"/>
  <c r="NC52" i="5"/>
  <c r="DN53" i="5"/>
  <c r="CU55" i="5"/>
  <c r="AEF52" i="5"/>
  <c r="GZ53" i="5"/>
  <c r="ZT53" i="5"/>
  <c r="AIX54" i="5"/>
  <c r="XK52" i="5"/>
  <c r="W53" i="5"/>
  <c r="SI53" i="5"/>
  <c r="TH54" i="5"/>
  <c r="EZ57" i="5"/>
  <c r="AHJ52" i="5"/>
  <c r="MP53" i="5"/>
  <c r="IL54" i="5"/>
  <c r="RK56" i="5"/>
  <c r="WL52" i="5"/>
  <c r="AX53" i="5"/>
  <c r="UO53" i="5"/>
  <c r="ABI54" i="5"/>
  <c r="YO52" i="5"/>
  <c r="FC53" i="5"/>
  <c r="AFB53" i="5"/>
  <c r="AGC56" i="5"/>
  <c r="DE53" i="5"/>
  <c r="ABV53" i="5"/>
  <c r="ZC56" i="5"/>
  <c r="SR52" i="5"/>
  <c r="BB53" i="5"/>
  <c r="CR54" i="5"/>
  <c r="ABO49" i="5"/>
  <c r="NF50" i="5"/>
  <c r="BZ51" i="5"/>
  <c r="AGK51" i="5"/>
  <c r="ADR52" i="5"/>
  <c r="AFN53" i="5"/>
  <c r="QW47" i="5"/>
  <c r="S48" i="5"/>
  <c r="XC48" i="5"/>
  <c r="FY49" i="5"/>
  <c r="ADO49" i="5"/>
  <c r="PF50" i="5"/>
  <c r="EM51" i="5"/>
  <c r="DI52" i="5"/>
  <c r="FM53" i="5"/>
  <c r="AJH56" i="5"/>
  <c r="AHN55" i="5"/>
  <c r="AAC54" i="5"/>
  <c r="Q54" i="5"/>
  <c r="LH56" i="5"/>
  <c r="H55" i="5"/>
  <c r="GV54" i="5"/>
  <c r="VF57" i="5"/>
  <c r="AIL55" i="5"/>
  <c r="FT54" i="5"/>
  <c r="PU57" i="5"/>
  <c r="IH54" i="5"/>
  <c r="AFY57" i="5"/>
  <c r="KL56" i="5"/>
  <c r="UB48" i="5"/>
  <c r="AEO48" i="5"/>
  <c r="BT49" i="5"/>
  <c r="MR49" i="5"/>
  <c r="YA49" i="5"/>
  <c r="AKA49" i="5"/>
  <c r="IT50" i="5"/>
  <c r="VN50" i="5"/>
  <c r="AKF50" i="5"/>
  <c r="LU51" i="5"/>
  <c r="ABG51" i="5"/>
  <c r="FN52" i="5"/>
  <c r="ADB52" i="5"/>
  <c r="AFR53" i="5"/>
  <c r="OE48" i="5"/>
  <c r="YR48" i="5"/>
  <c r="AJE48" i="5"/>
  <c r="GK49" i="5"/>
  <c r="RP49" i="5"/>
  <c r="ADI49" i="5"/>
  <c r="BZ50" i="5"/>
  <c r="OB50" i="5"/>
  <c r="ACB50" i="5"/>
  <c r="DL51" i="5"/>
  <c r="SI51" i="5"/>
  <c r="AIR51" i="5"/>
  <c r="OK52" i="5"/>
  <c r="FV53" i="5"/>
  <c r="OH55" i="5"/>
  <c r="AFF52" i="5"/>
  <c r="IB53" i="5"/>
  <c r="ABF53" i="5"/>
  <c r="AI55" i="5"/>
  <c r="YH52" i="5"/>
  <c r="AV53" i="5"/>
  <c r="TM53" i="5"/>
  <c r="WT54" i="5"/>
  <c r="TQ57" i="5"/>
  <c r="AIH52" i="5"/>
  <c r="QB53" i="5"/>
  <c r="LI54" i="5"/>
  <c r="XJ56" i="5"/>
  <c r="XM52" i="5"/>
  <c r="BX53" i="5"/>
  <c r="VW53" i="5"/>
  <c r="AFU54" i="5"/>
  <c r="ABL52" i="5"/>
  <c r="GE53" i="5"/>
  <c r="AHM53" i="5"/>
  <c r="FG57" i="5"/>
  <c r="ED53" i="5"/>
  <c r="CO54" i="5"/>
  <c r="AJC56" i="5"/>
  <c r="TV52" i="5"/>
  <c r="CD53" i="5"/>
  <c r="GC54" i="5"/>
  <c r="ACF49" i="5"/>
  <c r="NW50" i="5"/>
  <c r="CU51" i="5"/>
  <c r="AHI51" i="5"/>
  <c r="AEQ52" i="5"/>
  <c r="AHR53" i="5"/>
  <c r="RM47" i="5"/>
  <c r="AI48" i="5"/>
  <c r="XS48" i="5"/>
  <c r="GP49" i="5"/>
  <c r="AEF49" i="5"/>
  <c r="PW50" i="5"/>
  <c r="FH51" i="5"/>
  <c r="EF52" i="5"/>
  <c r="LW53" i="5"/>
  <c r="LH57" i="5"/>
  <c r="AJS55" i="5"/>
  <c r="ABY54" i="5"/>
  <c r="AQ54" i="5"/>
  <c r="NZ56" i="5"/>
  <c r="BI55" i="5"/>
  <c r="ID54" i="5"/>
  <c r="AET57" i="5"/>
  <c r="LL56" i="5"/>
  <c r="GX54" i="5"/>
  <c r="VY57" i="5"/>
  <c r="JI54" i="5"/>
  <c r="AHO57" i="5"/>
  <c r="AHZ53" i="5"/>
  <c r="US48" i="5"/>
  <c r="AFF48" i="5"/>
  <c r="CK49" i="5"/>
  <c r="NJ49" i="5"/>
  <c r="YU49" i="5"/>
  <c r="AKV49" i="5"/>
  <c r="JN50" i="5"/>
  <c r="WK50" i="5"/>
  <c r="ALF50" i="5"/>
  <c r="MR51" i="5"/>
  <c r="ACJ51" i="5"/>
  <c r="GQ52" i="5"/>
  <c r="AFV52" i="5"/>
  <c r="ALO53" i="5"/>
  <c r="OV48" i="5"/>
  <c r="ZI48" i="5"/>
  <c r="AJV48" i="5"/>
  <c r="HC49" i="5"/>
  <c r="SH49" i="5"/>
  <c r="AEB49" i="5"/>
  <c r="CV50" i="5"/>
  <c r="OU50" i="5"/>
  <c r="ACX50" i="5"/>
  <c r="EK51" i="5"/>
  <c r="TF51" i="5"/>
  <c r="AJV51" i="5"/>
  <c r="PU52" i="5"/>
  <c r="IQ53" i="5"/>
  <c r="AAV55" i="5"/>
  <c r="AGD52" i="5"/>
  <c r="JD53" i="5"/>
  <c r="ACU53" i="5"/>
  <c r="EX55" i="5"/>
  <c r="ZL52" i="5"/>
  <c r="BT53" i="5"/>
  <c r="UM53" i="5"/>
  <c r="ABF54" i="5"/>
  <c r="RN52" i="5"/>
  <c r="AJH52" i="5"/>
  <c r="RB53" i="5"/>
  <c r="PI54" i="5"/>
  <c r="AFC56" i="5"/>
  <c r="YN52" i="5"/>
  <c r="DC53" i="5"/>
  <c r="XB53" i="5"/>
  <c r="AKG54" i="5"/>
  <c r="ACN52" i="5"/>
  <c r="HG53" i="5"/>
  <c r="AJS53" i="5"/>
  <c r="YM57" i="5"/>
  <c r="FD53" i="5"/>
  <c r="GB54" i="5"/>
  <c r="FI57" i="5"/>
  <c r="UU52" i="5"/>
  <c r="DG53" i="5"/>
  <c r="IZ54" i="5"/>
  <c r="AEE49" i="5"/>
  <c r="ON50" i="5"/>
  <c r="DO51" i="5"/>
  <c r="AII51" i="5"/>
  <c r="AFN52" i="5"/>
  <c r="AKN53" i="5"/>
  <c r="SC47" i="5"/>
  <c r="CE48" i="5"/>
  <c r="YI48" i="5"/>
  <c r="HG49" i="5"/>
  <c r="AEX49" i="5"/>
  <c r="QN50" i="5"/>
  <c r="GB51" i="5"/>
  <c r="FD52" i="5"/>
  <c r="NE53" i="5"/>
  <c r="AJT53" i="5"/>
  <c r="ALL55" i="5"/>
  <c r="ADE54" i="5"/>
  <c r="BU54" i="5"/>
  <c r="QD56" i="5"/>
  <c r="DF55" i="5"/>
  <c r="SY54" i="5"/>
  <c r="AHB53" i="5"/>
  <c r="OI56" i="5"/>
  <c r="IG54" i="5"/>
  <c r="GG49" i="5"/>
  <c r="WJ54" i="5"/>
  <c r="AJF55" i="5"/>
  <c r="AIR53" i="5"/>
  <c r="VJ48" i="5"/>
  <c r="AFW48" i="5"/>
  <c r="DB49" i="5"/>
  <c r="OB49" i="5"/>
  <c r="ZN49" i="5"/>
  <c r="ALO49" i="5"/>
  <c r="KG50" i="5"/>
  <c r="XJ50" i="5"/>
  <c r="AMD50" i="5"/>
  <c r="NQ51" i="5"/>
  <c r="ADJ51" i="5"/>
  <c r="HV52" i="5"/>
  <c r="AHV52" i="5"/>
  <c r="EW54" i="5"/>
  <c r="PM48" i="5"/>
  <c r="ZZ48" i="5"/>
  <c r="AKM48" i="5"/>
  <c r="HU49" i="5"/>
  <c r="SZ49" i="5"/>
  <c r="AEU49" i="5"/>
  <c r="DO50" i="5"/>
  <c r="PN50" i="5"/>
  <c r="ADU50" i="5"/>
  <c r="FJ51" i="5"/>
  <c r="UH51" i="5"/>
  <c r="AKW51" i="5"/>
  <c r="RC52" i="5"/>
  <c r="LA53" i="5"/>
  <c r="CA56" i="5"/>
  <c r="AHD52" i="5"/>
  <c r="KD53" i="5"/>
  <c r="AER53" i="5"/>
  <c r="KF55" i="5"/>
  <c r="AAJ52" i="5"/>
  <c r="CW53" i="5"/>
  <c r="VU53" i="5"/>
  <c r="AFS54" i="5"/>
  <c r="SN52" i="5"/>
  <c r="AMG52" i="5"/>
  <c r="SJ53" i="5"/>
  <c r="TI54" i="5"/>
  <c r="FC57" i="5"/>
  <c r="ZN52" i="5"/>
  <c r="EB53" i="5"/>
  <c r="YR53" i="5"/>
  <c r="MH55" i="5"/>
  <c r="ADM52" i="5"/>
  <c r="IJ53" i="5"/>
  <c r="F54" i="5"/>
  <c r="YP52" i="5"/>
  <c r="GJ53" i="5"/>
  <c r="IP54" i="5"/>
  <c r="ZU57" i="5"/>
  <c r="VR52" i="5"/>
  <c r="KS53" i="5"/>
  <c r="MP54" i="5"/>
  <c r="AEV49" i="5"/>
  <c r="PE50" i="5"/>
  <c r="EL51" i="5"/>
  <c r="AJF51" i="5"/>
  <c r="AGR52" i="5"/>
  <c r="Z54" i="5"/>
  <c r="SS47" i="5"/>
  <c r="CU48" i="5"/>
  <c r="YY48" i="5"/>
  <c r="HX49" i="5"/>
  <c r="AFO49" i="5"/>
  <c r="RE50" i="5"/>
  <c r="GV51" i="5"/>
  <c r="GD52" i="5"/>
  <c r="OH53" i="5"/>
  <c r="AKR53" i="5"/>
  <c r="AK56" i="5"/>
  <c r="AEQ54" i="5"/>
  <c r="CZ54" i="5"/>
  <c r="BS57" i="5"/>
  <c r="FF55" i="5"/>
  <c r="UJ54" i="5"/>
  <c r="AID53" i="5"/>
  <c r="QZ56" i="5"/>
  <c r="JH54" i="5"/>
  <c r="GW49" i="5"/>
  <c r="AFG54" i="5"/>
  <c r="AKL55" i="5"/>
  <c r="ADH52" i="5"/>
  <c r="WA48" i="5"/>
  <c r="AGN48" i="5"/>
  <c r="DS49" i="5"/>
  <c r="OT49" i="5"/>
  <c r="AAI49" i="5"/>
  <c r="A50" i="5"/>
  <c r="KZ50" i="5"/>
  <c r="YG50" i="5"/>
  <c r="V51" i="5"/>
  <c r="ON51" i="5"/>
  <c r="AEH51" i="5"/>
  <c r="JC52" i="5"/>
  <c r="AJZ52" i="5"/>
  <c r="NR54" i="5"/>
  <c r="QD48" i="5"/>
  <c r="AAQ48" i="5"/>
  <c r="ALD48" i="5"/>
  <c r="IM49" i="5"/>
  <c r="TR49" i="5"/>
  <c r="AFQ49" i="5"/>
  <c r="EH50" i="5"/>
  <c r="QH50" i="5"/>
  <c r="AET50" i="5"/>
  <c r="GF51" i="5"/>
  <c r="VF51" i="5"/>
  <c r="AME51" i="5"/>
  <c r="SL52" i="5"/>
  <c r="NO53" i="5"/>
  <c r="PH56" i="5"/>
  <c r="AIF52" i="5"/>
  <c r="LL53" i="5"/>
  <c r="AGR53" i="5"/>
  <c r="QL55" i="5"/>
  <c r="ABG52" i="5"/>
  <c r="DZ53" i="5"/>
  <c r="WZ53" i="5"/>
  <c r="AIY54" i="5"/>
  <c r="TM52" i="5"/>
  <c r="X53" i="5"/>
  <c r="TN53" i="5"/>
  <c r="WU54" i="5"/>
  <c r="TS57" i="5"/>
  <c r="AAL52" i="5"/>
  <c r="FB53" i="5"/>
  <c r="AAA53" i="5"/>
  <c r="QQ55" i="5"/>
  <c r="AEL52" i="5"/>
  <c r="JI53" i="5"/>
  <c r="CN54" i="5"/>
  <c r="ZQ52" i="5"/>
  <c r="HH53" i="5"/>
  <c r="MO54" i="5"/>
  <c r="AJE51" i="5"/>
  <c r="WR52" i="5"/>
  <c r="LU53" i="5"/>
  <c r="YL54" i="5"/>
  <c r="AFN49" i="5"/>
  <c r="PV50" i="5"/>
  <c r="FG51" i="5"/>
  <c r="AMA51" i="5"/>
  <c r="AHP52" i="5"/>
  <c r="CS54" i="5"/>
  <c r="TI47" i="5"/>
  <c r="DK48" i="5"/>
  <c r="ZO48" i="5"/>
  <c r="IO49" i="5"/>
  <c r="AHN49" i="5"/>
  <c r="RX50" i="5"/>
  <c r="HT51" i="5"/>
  <c r="HB52" i="5"/>
  <c r="PH53" i="5"/>
  <c r="ALS53" i="5"/>
  <c r="CS56" i="5"/>
  <c r="FA55" i="5"/>
  <c r="EE54" i="5"/>
  <c r="HO57" i="5"/>
  <c r="HI55" i="5"/>
  <c r="WA54" i="5"/>
  <c r="AJA53" i="5"/>
  <c r="SX56" i="5"/>
  <c r="KR54" i="5"/>
  <c r="MK49" i="5"/>
  <c r="UA50" i="5"/>
  <c r="JE57" i="5"/>
  <c r="YX53" i="5"/>
  <c r="ME48" i="5"/>
  <c r="WR48" i="5"/>
  <c r="AHE48" i="5"/>
  <c r="EJ49" i="5"/>
  <c r="PL49" i="5"/>
  <c r="ABB49" i="5"/>
  <c r="T50" i="5"/>
  <c r="LS50" i="5"/>
  <c r="ZE50" i="5"/>
  <c r="AR51" i="5"/>
  <c r="PJ51" i="5"/>
  <c r="AFL51" i="5"/>
  <c r="KK52" i="5"/>
  <c r="ALY52" i="5"/>
  <c r="VL54" i="5"/>
  <c r="QU48" i="5"/>
  <c r="ABH48" i="5"/>
  <c r="ALU48" i="5"/>
  <c r="JE49" i="5"/>
  <c r="UL49" i="5"/>
  <c r="AGJ49" i="5"/>
  <c r="FA50" i="5"/>
  <c r="RA50" i="5"/>
  <c r="AFS50" i="5"/>
  <c r="HF51" i="5"/>
  <c r="WD51" i="5"/>
  <c r="X52" i="5"/>
  <c r="TZ52" i="5"/>
  <c r="QR53" i="5"/>
  <c r="ACR56" i="5"/>
  <c r="AJC52" i="5"/>
  <c r="MN53" i="5"/>
  <c r="AJN53" i="5"/>
  <c r="UV55" i="5"/>
  <c r="ACH52" i="5"/>
  <c r="EZ53" i="5"/>
  <c r="YN53" i="5"/>
  <c r="AJ55" i="5"/>
  <c r="WK52" i="5"/>
  <c r="AW53" i="5"/>
  <c r="UN53" i="5"/>
  <c r="ABH54" i="5"/>
  <c r="JS52" i="5"/>
  <c r="ABJ52" i="5"/>
  <c r="GC53" i="5"/>
  <c r="AEV53" i="5"/>
  <c r="WT55" i="5"/>
  <c r="AFK52" i="5"/>
  <c r="KQ53" i="5"/>
  <c r="XW54" i="5"/>
  <c r="AAN52" i="5"/>
  <c r="IK53" i="5"/>
  <c r="QL54" i="5"/>
  <c r="CF52" i="5"/>
  <c r="XT52" i="5"/>
  <c r="MW53" i="5"/>
  <c r="SG55" i="5"/>
  <c r="ALK49" i="5"/>
  <c r="YI50" i="5"/>
  <c r="OB51" i="5"/>
  <c r="HA52" i="5"/>
  <c r="DH53" i="5"/>
  <c r="HZ55" i="5"/>
  <c r="AAC47" i="5"/>
  <c r="IY48" i="5"/>
  <c r="AGI48" i="5"/>
  <c r="PU49" i="5"/>
  <c r="AC50" i="5"/>
  <c r="ZD50" i="5"/>
  <c r="SG51" i="5"/>
  <c r="UW52" i="5"/>
  <c r="AKO53" i="5"/>
  <c r="QY54" i="5"/>
  <c r="MS57" i="5"/>
  <c r="ALM55" i="5"/>
  <c r="AAD54" i="5"/>
  <c r="AIB53" i="5"/>
  <c r="AP56" i="5"/>
  <c r="JB55" i="5"/>
  <c r="OO54" i="5"/>
  <c r="MZ53" i="5"/>
  <c r="AIB54" i="5"/>
  <c r="AAN50" i="5"/>
  <c r="AHH52" i="5"/>
  <c r="YB51" i="5"/>
  <c r="TS53" i="5"/>
  <c r="QP54" i="5"/>
  <c r="FJ57" i="5"/>
  <c r="AGE49" i="5"/>
  <c r="ER50" i="5"/>
  <c r="QM50" i="5"/>
  <c r="AEU50" i="5"/>
  <c r="GA51" i="5"/>
  <c r="US51" i="5"/>
  <c r="P52" i="5"/>
  <c r="QV52" i="5"/>
  <c r="AIP52" i="5"/>
  <c r="OG53" i="5"/>
  <c r="GD54" i="5"/>
  <c r="MV56" i="5"/>
  <c r="TY47" i="5"/>
  <c r="AGG47" i="5"/>
  <c r="EA48" i="5"/>
  <c r="PC48" i="5"/>
  <c r="AAE48" i="5"/>
  <c r="ALG48" i="5"/>
  <c r="JF49" i="5"/>
  <c r="VB49" i="5"/>
  <c r="AIE49" i="5"/>
  <c r="GR50" i="5"/>
  <c r="SU50" i="5"/>
  <c r="AHH50" i="5"/>
  <c r="IN51" i="5"/>
  <c r="ACU51" i="5"/>
  <c r="IB52" i="5"/>
  <c r="ACT52" i="5"/>
  <c r="QQ53" i="5"/>
  <c r="YN54" i="5"/>
  <c r="I54" i="5"/>
  <c r="ADD54" i="5"/>
  <c r="EO56" i="5"/>
  <c r="BQ54" i="5"/>
  <c r="GT55" i="5"/>
  <c r="QC56" i="5"/>
  <c r="FJ54" i="5"/>
  <c r="NA55" i="5"/>
  <c r="NL57" i="5"/>
  <c r="LS54" i="5"/>
  <c r="JA55" i="5"/>
  <c r="BT57" i="5"/>
  <c r="XM54" i="5"/>
  <c r="AW56" i="5"/>
  <c r="AJZ53" i="5"/>
  <c r="ALG54" i="5"/>
  <c r="VV56" i="5"/>
  <c r="AAI53" i="5"/>
  <c r="WC54" i="5"/>
  <c r="YC55" i="5"/>
  <c r="QC49" i="5"/>
  <c r="DB52" i="5"/>
  <c r="ADW50" i="5"/>
  <c r="QH54" i="5"/>
  <c r="NN57" i="5"/>
  <c r="VX52" i="5"/>
  <c r="AIS53" i="5"/>
  <c r="ZV57" i="5"/>
  <c r="AGV49" i="5"/>
  <c r="FI50" i="5"/>
  <c r="RD50" i="5"/>
  <c r="AFP50" i="5"/>
  <c r="GU51" i="5"/>
  <c r="XI51" i="5"/>
  <c r="AN52" i="5"/>
  <c r="RV52" i="5"/>
  <c r="AJN52" i="5"/>
  <c r="PG53" i="5"/>
  <c r="JP54" i="5"/>
  <c r="TX56" i="5"/>
  <c r="VU47" i="5"/>
  <c r="AGW47" i="5"/>
  <c r="EQ48" i="5"/>
  <c r="PS48" i="5"/>
  <c r="AAU48" i="5"/>
  <c r="ALW48" i="5"/>
  <c r="JW49" i="5"/>
  <c r="XA49" i="5"/>
  <c r="AIV49" i="5"/>
  <c r="HI50" i="5"/>
  <c r="TO50" i="5"/>
  <c r="AIC50" i="5"/>
  <c r="JH51" i="5"/>
  <c r="ADV51" i="5"/>
  <c r="JA52" i="5"/>
  <c r="AIQ52" i="5"/>
  <c r="RQ53" i="5"/>
  <c r="ACZ54" i="5"/>
  <c r="AO54" i="5"/>
  <c r="BE55" i="5"/>
  <c r="GR56" i="5"/>
  <c r="CY54" i="5"/>
  <c r="IX55" i="5"/>
  <c r="BP57" i="5"/>
  <c r="GN54" i="5"/>
  <c r="PD55" i="5"/>
  <c r="TX57" i="5"/>
  <c r="NB54" i="5"/>
  <c r="LI55" i="5"/>
  <c r="HP57" i="5"/>
  <c r="YW54" i="5"/>
  <c r="DD56" i="5"/>
  <c r="FR54" i="5"/>
  <c r="J55" i="5"/>
  <c r="XW56" i="5"/>
  <c r="ABH53" i="5"/>
  <c r="XR54" i="5"/>
  <c r="ZZ55" i="5"/>
  <c r="QS49" i="5"/>
  <c r="DU52" i="5"/>
  <c r="AEN50" i="5"/>
  <c r="XZ50" i="5"/>
  <c r="AEC55" i="5"/>
  <c r="CF53" i="5"/>
  <c r="ACO55" i="5"/>
  <c r="CL55" i="5"/>
  <c r="AKC51" i="5"/>
  <c r="LW52" i="5"/>
  <c r="ABP52" i="5"/>
  <c r="EE53" i="5"/>
  <c r="WA53" i="5"/>
  <c r="ACK54" i="5"/>
  <c r="VR49" i="5"/>
  <c r="AHM49" i="5"/>
  <c r="FZ50" i="5"/>
  <c r="RW50" i="5"/>
  <c r="AGJ50" i="5"/>
  <c r="HS51" i="5"/>
  <c r="YE51" i="5"/>
  <c r="BJ52" i="5"/>
  <c r="SS52" i="5"/>
  <c r="AKR52" i="5"/>
  <c r="QH53" i="5"/>
  <c r="MQ54" i="5"/>
  <c r="ZG56" i="5"/>
  <c r="WK47" i="5"/>
  <c r="AHM47" i="5"/>
  <c r="FG48" i="5"/>
  <c r="QI48" i="5"/>
  <c r="ABK48" i="5"/>
  <c r="E49" i="5"/>
  <c r="KN49" i="5"/>
  <c r="XR49" i="5"/>
  <c r="AJM49" i="5"/>
  <c r="HZ50" i="5"/>
  <c r="UI50" i="5"/>
  <c r="AIW50" i="5"/>
  <c r="KC51" i="5"/>
  <c r="AES51" i="5"/>
  <c r="JX52" i="5"/>
  <c r="AJO52" i="5"/>
  <c r="SU53" i="5"/>
  <c r="SS55" i="5"/>
  <c r="BP54" i="5"/>
  <c r="CV55" i="5"/>
  <c r="IN56" i="5"/>
  <c r="ED54" i="5"/>
  <c r="LB55" i="5"/>
  <c r="HL57" i="5"/>
  <c r="HU54" i="5"/>
  <c r="RM55" i="5"/>
  <c r="ADG57" i="5"/>
  <c r="OM54" i="5"/>
  <c r="ABW55" i="5"/>
  <c r="NM57" i="5"/>
  <c r="AAO54" i="5"/>
  <c r="FL56" i="5"/>
  <c r="GW54" i="5"/>
  <c r="BN55" i="5"/>
  <c r="AAP56" i="5"/>
  <c r="ACE53" i="5"/>
  <c r="ZD54" i="5"/>
  <c r="DF56" i="5"/>
  <c r="WG49" i="5"/>
  <c r="KV52" i="5"/>
  <c r="BB51" i="5"/>
  <c r="ALD50" i="5"/>
  <c r="AFH55" i="5"/>
  <c r="CZ53" i="5"/>
  <c r="ADR55" i="5"/>
  <c r="QE53" i="5"/>
  <c r="FB54" i="5"/>
  <c r="AH56" i="5"/>
  <c r="AGP52" i="5"/>
  <c r="JJ53" i="5"/>
  <c r="ADO53" i="5"/>
  <c r="GL55" i="5"/>
  <c r="AKY51" i="5"/>
  <c r="MX52" i="5"/>
  <c r="ACR52" i="5"/>
  <c r="FG53" i="5"/>
  <c r="XQ53" i="5"/>
  <c r="AFX54" i="5"/>
  <c r="WI49" i="5"/>
  <c r="AID49" i="5"/>
  <c r="GQ50" i="5"/>
  <c r="SQ50" i="5"/>
  <c r="AHG50" i="5"/>
  <c r="KA51" i="5"/>
  <c r="ZB51" i="5"/>
  <c r="CL52" i="5"/>
  <c r="TW52" i="5"/>
  <c r="ALO52" i="5"/>
  <c r="RP53" i="5"/>
  <c r="QQ54" i="5"/>
  <c r="ZW57" i="5"/>
  <c r="XA47" i="5"/>
  <c r="AIC47" i="5"/>
  <c r="FW48" i="5"/>
  <c r="QY48" i="5"/>
  <c r="ACA48" i="5"/>
  <c r="U49" i="5"/>
  <c r="MN49" i="5"/>
  <c r="YI49" i="5"/>
  <c r="AKD49" i="5"/>
  <c r="IQ50" i="5"/>
  <c r="VD50" i="5"/>
  <c r="AJQ50" i="5"/>
  <c r="OC51" i="5"/>
  <c r="AFO51" i="5"/>
  <c r="LB52" i="5"/>
  <c r="AKS52" i="5"/>
  <c r="TY53" i="5"/>
  <c r="YP55" i="5"/>
  <c r="CX54" i="5"/>
  <c r="EZ55" i="5"/>
  <c r="LF56" i="5"/>
  <c r="FI54" i="5"/>
  <c r="MZ55" i="5"/>
  <c r="MT57" i="5"/>
  <c r="SW54" i="5"/>
  <c r="TI55" i="5"/>
  <c r="WF53" i="5"/>
  <c r="PP54" i="5"/>
  <c r="ADT55" i="5"/>
  <c r="UA57" i="5"/>
  <c r="ACB54" i="5"/>
  <c r="HE56" i="5"/>
  <c r="IF54" i="5"/>
  <c r="RR55" i="5"/>
  <c r="AEE56" i="5"/>
  <c r="ADG53" i="5"/>
  <c r="AAR54" i="5"/>
  <c r="FO56" i="5"/>
  <c r="ZY49" i="5"/>
  <c r="PQ52" i="5"/>
  <c r="BS51" i="5"/>
  <c r="BT51" i="5"/>
  <c r="AHY56" i="5"/>
  <c r="AEE53" i="5"/>
  <c r="AHT57" i="5"/>
  <c r="RM53" i="5"/>
  <c r="IO54" i="5"/>
  <c r="FT56" i="5"/>
  <c r="AHM52" i="5"/>
  <c r="KR53" i="5"/>
  <c r="AFG53" i="5"/>
  <c r="ML55" i="5"/>
  <c r="ALZ51" i="5"/>
  <c r="NU52" i="5"/>
  <c r="ADQ52" i="5"/>
  <c r="GK53" i="5"/>
  <c r="YU53" i="5"/>
  <c r="AKJ54" i="5"/>
  <c r="WZ49" i="5"/>
  <c r="AIU49" i="5"/>
  <c r="HH50" i="5"/>
  <c r="TN50" i="5"/>
  <c r="AIB50" i="5"/>
  <c r="KV51" i="5"/>
  <c r="AAB51" i="5"/>
  <c r="DH52" i="5"/>
  <c r="UV52" i="5"/>
  <c r="F53" i="5"/>
  <c r="ST53" i="5"/>
  <c r="VD54" i="5"/>
  <c r="MO47" i="5"/>
  <c r="XQ47" i="5"/>
  <c r="AIS47" i="5"/>
  <c r="GM48" i="5"/>
  <c r="RO48" i="5"/>
  <c r="ACQ48" i="5"/>
  <c r="AK49" i="5"/>
  <c r="NE49" i="5"/>
  <c r="YZ49" i="5"/>
  <c r="AKU49" i="5"/>
  <c r="JH50" i="5"/>
  <c r="VX50" i="5"/>
  <c r="AKO50" i="5"/>
  <c r="PA51" i="5"/>
  <c r="AGN51" i="5"/>
  <c r="LY52" i="5"/>
  <c r="ALP52" i="5"/>
  <c r="VC53" i="5"/>
  <c r="ADI55" i="5"/>
  <c r="EC54" i="5"/>
  <c r="GS55" i="5"/>
  <c r="AGD56" i="5"/>
  <c r="GM54" i="5"/>
  <c r="PC55" i="5"/>
  <c r="TW57" i="5"/>
  <c r="UC54" i="5"/>
  <c r="VQ55" i="5"/>
  <c r="XC53" i="5"/>
  <c r="RD54" i="5"/>
  <c r="AGA55" i="5"/>
  <c r="ALZ53" i="5"/>
  <c r="ADK54" i="5"/>
  <c r="JM56" i="5"/>
  <c r="JG54" i="5"/>
  <c r="TL55" i="5"/>
  <c r="AHE56" i="5"/>
  <c r="AEG53" i="5"/>
  <c r="ACD54" i="5"/>
  <c r="HG56" i="5"/>
  <c r="MM50" i="5"/>
  <c r="QL52" i="5"/>
  <c r="LO51" i="5"/>
  <c r="OW51" i="5"/>
  <c r="ALV54" i="5"/>
  <c r="AHP53" i="5"/>
  <c r="AJH57" i="5"/>
  <c r="SM53" i="5"/>
  <c r="MN54" i="5"/>
  <c r="LE56" i="5"/>
  <c r="AIK52" i="5"/>
  <c r="LT53" i="5"/>
  <c r="AHN53" i="5"/>
  <c r="SF55" i="5"/>
  <c r="O52" i="5"/>
  <c r="OS52" i="5"/>
  <c r="AEO52" i="5"/>
  <c r="HI53" i="5"/>
  <c r="AAE53" i="5"/>
  <c r="CN55" i="5"/>
  <c r="XQ49" i="5"/>
  <c r="AJL49" i="5"/>
  <c r="HY50" i="5"/>
  <c r="UH50" i="5"/>
  <c r="AKN50" i="5"/>
  <c r="LS51" i="5"/>
  <c r="AAZ51" i="5"/>
  <c r="EE52" i="5"/>
  <c r="VS52" i="5"/>
  <c r="AE53" i="5"/>
  <c r="TT53" i="5"/>
  <c r="AGY54" i="5"/>
  <c r="NE47" i="5"/>
  <c r="YG47" i="5"/>
  <c r="AJI47" i="5"/>
  <c r="HC48" i="5"/>
  <c r="SE48" i="5"/>
  <c r="ADG48" i="5"/>
  <c r="CG49" i="5"/>
  <c r="NV49" i="5"/>
  <c r="ZQ49" i="5"/>
  <c r="ALL49" i="5"/>
  <c r="JY50" i="5"/>
  <c r="WU50" i="5"/>
  <c r="ALI50" i="5"/>
  <c r="PU51" i="5"/>
  <c r="AHN51" i="5"/>
  <c r="MZ52" i="5"/>
  <c r="G53" i="5"/>
  <c r="WE53" i="5"/>
  <c r="AJB55" i="5"/>
  <c r="FD54" i="5"/>
  <c r="IW55" i="5"/>
  <c r="AJK56" i="5"/>
  <c r="HT54" i="5"/>
  <c r="QU55" i="5"/>
  <c r="AAT57" i="5"/>
  <c r="VO54" i="5"/>
  <c r="AMF55" i="5"/>
  <c r="YG53" i="5"/>
  <c r="SX54" i="5"/>
  <c r="AHR55" i="5"/>
  <c r="S54" i="5"/>
  <c r="AFD54" i="5"/>
  <c r="LK56" i="5"/>
  <c r="KL54" i="5"/>
  <c r="VU55" i="5"/>
  <c r="KJ53" i="5"/>
  <c r="AFH53" i="5"/>
  <c r="ADO54" i="5"/>
  <c r="JV56" i="5"/>
  <c r="QE50" i="5"/>
  <c r="XP52" i="5"/>
  <c r="MF51" i="5"/>
  <c r="PN51" i="5"/>
  <c r="T55" i="5"/>
  <c r="OP57" i="5"/>
  <c r="DM57" i="5"/>
  <c r="AES53" i="5"/>
  <c r="KG55" i="5"/>
  <c r="UO52" i="5"/>
  <c r="AKF52" i="5"/>
  <c r="NT53" i="5"/>
  <c r="D54" i="5"/>
  <c r="ABB55" i="5"/>
  <c r="PN52" i="5"/>
  <c r="AFJ52" i="5"/>
  <c r="II53" i="5"/>
  <c r="ABT53" i="5"/>
  <c r="AM55" i="5"/>
  <c r="ZP52" i="5"/>
  <c r="CB53" i="5"/>
  <c r="TP53" i="5"/>
  <c r="PK54" i="5"/>
  <c r="RR56" i="5"/>
  <c r="AJL52" i="5"/>
  <c r="MV53" i="5"/>
  <c r="AKK53" i="5"/>
  <c r="WX55" i="5"/>
  <c r="AM52" i="5"/>
  <c r="PW52" i="5"/>
  <c r="AFM52" i="5"/>
  <c r="IL53" i="5"/>
  <c r="ABW53" i="5"/>
  <c r="GM55" i="5"/>
  <c r="YH49" i="5"/>
  <c r="AKC49" i="5"/>
  <c r="IP50" i="5"/>
  <c r="VC50" i="5"/>
  <c r="ALH50" i="5"/>
  <c r="MM51" i="5"/>
  <c r="ABV51" i="5"/>
  <c r="FC52" i="5"/>
  <c r="WT52" i="5"/>
  <c r="BG53" i="5"/>
  <c r="VB53" i="5"/>
  <c r="AKK54" i="5"/>
  <c r="NU47" i="5"/>
  <c r="YW47" i="5"/>
  <c r="AJY47" i="5"/>
  <c r="HS48" i="5"/>
  <c r="SU48" i="5"/>
  <c r="ADW48" i="5"/>
  <c r="CW49" i="5"/>
  <c r="OM49" i="5"/>
  <c r="AAH49" i="5"/>
  <c r="AMC49" i="5"/>
  <c r="KP50" i="5"/>
  <c r="XP50" i="5"/>
  <c r="AMC50" i="5"/>
  <c r="QO51" i="5"/>
  <c r="AIJ51" i="5"/>
  <c r="SY52" i="5"/>
  <c r="AF53" i="5"/>
  <c r="XS53" i="5"/>
  <c r="BZ56" i="5"/>
  <c r="GL54" i="5"/>
  <c r="LA55" i="5"/>
  <c r="BO57" i="5"/>
  <c r="SV54" i="5"/>
  <c r="TH55" i="5"/>
  <c r="ABC53" i="5"/>
  <c r="XK54" i="5"/>
  <c r="AN56" i="5"/>
  <c r="ZD53" i="5"/>
  <c r="UD54" i="5"/>
  <c r="AKB55" i="5"/>
  <c r="AT54" i="5"/>
  <c r="FG55" i="5"/>
  <c r="OH56" i="5"/>
  <c r="LV54" i="5"/>
  <c r="XY55" i="5"/>
  <c r="LH53" i="5"/>
  <c r="AGF53" i="5"/>
  <c r="AFF54" i="5"/>
  <c r="MF56" i="5"/>
  <c r="QU50" i="5"/>
  <c r="QL53" i="5"/>
  <c r="WH51" i="5"/>
  <c r="AJR51" i="5"/>
  <c r="AFJ55" i="5"/>
  <c r="AFU53" i="5"/>
  <c r="EU57" i="5"/>
  <c r="LN53" i="5"/>
  <c r="AGS53" i="5"/>
  <c r="QO55" i="5"/>
  <c r="VN52" i="5"/>
  <c r="ALC52" i="5"/>
  <c r="PA53" i="5"/>
  <c r="BO54" i="5"/>
  <c r="AHE55" i="5"/>
  <c r="QQ52" i="5"/>
  <c r="AGG52" i="5"/>
  <c r="JH53" i="5"/>
  <c r="ADE53" i="5"/>
  <c r="GI55" i="5"/>
  <c r="AAM52" i="5"/>
  <c r="DD53" i="5"/>
  <c r="UV53" i="5"/>
  <c r="TX54" i="5"/>
  <c r="ZB56" i="5"/>
  <c r="AKI52" i="5"/>
  <c r="OA53" i="5"/>
  <c r="G54" i="5"/>
  <c r="ADB55" i="5"/>
  <c r="BI52" i="5"/>
  <c r="QT52" i="5"/>
  <c r="AGQ52" i="5"/>
  <c r="JK53" i="5"/>
  <c r="ADP53" i="5"/>
  <c r="MN55" i="5"/>
  <c r="YY49" i="5"/>
  <c r="AKT49" i="5"/>
  <c r="JG50" i="5"/>
  <c r="XO50" i="5"/>
  <c r="AMB50" i="5"/>
  <c r="NH51" i="5"/>
  <c r="ACT51" i="5"/>
  <c r="FZ52" i="5"/>
  <c r="XU52" i="5"/>
  <c r="CG53" i="5"/>
  <c r="YY53" i="5"/>
  <c r="CO55" i="5"/>
  <c r="OK47" i="5"/>
  <c r="ZM47" i="5"/>
  <c r="AKO47" i="5"/>
  <c r="II48" i="5"/>
  <c r="TK48" i="5"/>
  <c r="AFS48" i="5"/>
  <c r="DM49" i="5"/>
  <c r="PD49" i="5"/>
  <c r="AAY49" i="5"/>
  <c r="L50" i="5"/>
  <c r="LH50" i="5"/>
  <c r="YJ50" i="5"/>
  <c r="BG51" i="5"/>
  <c r="RI51" i="5"/>
  <c r="AJH51" i="5"/>
  <c r="TX52" i="5"/>
  <c r="BH53" i="5"/>
  <c r="AHS53" i="5"/>
  <c r="GO56" i="5"/>
  <c r="PL54" i="5"/>
  <c r="MV55" i="5"/>
  <c r="HK57" i="5"/>
  <c r="UB54" i="5"/>
  <c r="VO55" i="5"/>
  <c r="ACA53" i="5"/>
  <c r="YQ54" i="5"/>
  <c r="DB56" i="5"/>
  <c r="AGZ53" i="5"/>
  <c r="VR54" i="5"/>
  <c r="AMG55" i="5"/>
  <c r="BW54" i="5"/>
  <c r="HJ55" i="5"/>
  <c r="QY56" i="5"/>
  <c r="NI54" i="5"/>
  <c r="ZY55" i="5"/>
  <c r="MC53" i="5"/>
  <c r="AV54" i="5"/>
  <c r="AGR54" i="5"/>
  <c r="OJ56" i="5"/>
  <c r="WP50" i="5"/>
  <c r="YK53" i="5"/>
  <c r="WZ51" i="5"/>
  <c r="AKL51" i="5"/>
  <c r="AKO55" i="5"/>
  <c r="AIQ53" i="5"/>
  <c r="NW56" i="5"/>
  <c r="AEW53" i="5"/>
  <c r="JB54" i="5"/>
  <c r="AGJ54" i="5"/>
  <c r="XC55" i="5"/>
  <c r="ST56" i="5"/>
  <c r="AEX53" i="5"/>
  <c r="JC54" i="5"/>
  <c r="AGN54" i="5"/>
  <c r="XK55" i="5"/>
  <c r="SU56" i="5"/>
  <c r="AAC53" i="5"/>
  <c r="DA54" i="5"/>
  <c r="YV54" i="5"/>
  <c r="ND55" i="5"/>
  <c r="HA56" i="5"/>
  <c r="ADH57" i="5"/>
  <c r="JF54" i="5"/>
  <c r="AGP54" i="5"/>
  <c r="XX55" i="5"/>
  <c r="SW56" i="5"/>
  <c r="ALD53" i="5"/>
  <c r="RN54" i="5"/>
  <c r="DQ55" i="5"/>
  <c r="AKD55" i="5"/>
  <c r="ALK56" i="5"/>
  <c r="SD53" i="5"/>
  <c r="AHC53" i="5"/>
  <c r="MA54" i="5"/>
  <c r="AJT54" i="5"/>
  <c r="ACC55" i="5"/>
  <c r="YL56" i="5"/>
  <c r="AAO49" i="5"/>
  <c r="EH51" i="5"/>
  <c r="ACK52" i="5"/>
  <c r="AGS54" i="5"/>
  <c r="AIE51" i="5"/>
  <c r="AD55" i="5"/>
  <c r="AMD52" i="5"/>
  <c r="WL56" i="5"/>
  <c r="AJD52" i="5"/>
  <c r="AFC54" i="5"/>
  <c r="MS55" i="5"/>
  <c r="ACL54" i="5"/>
  <c r="HQ54" i="5"/>
  <c r="AEP54" i="5"/>
  <c r="VJ55" i="5"/>
  <c r="QB56" i="5"/>
  <c r="AGA53" i="5"/>
  <c r="KH54" i="5"/>
  <c r="AHV54" i="5"/>
  <c r="ZM55" i="5"/>
  <c r="US56" i="5"/>
  <c r="AGB53" i="5"/>
  <c r="KI54" i="5"/>
  <c r="AHW54" i="5"/>
  <c r="ZN55" i="5"/>
  <c r="VH56" i="5"/>
  <c r="ABD53" i="5"/>
  <c r="EF54" i="5"/>
  <c r="AAJ54" i="5"/>
  <c r="PF55" i="5"/>
  <c r="JL56" i="5"/>
  <c r="AGD53" i="5"/>
  <c r="KK54" i="5"/>
  <c r="AHY54" i="5"/>
  <c r="ZX55" i="5"/>
  <c r="VU56" i="5"/>
  <c r="AMA53" i="5"/>
  <c r="TB54" i="5"/>
  <c r="FH55" i="5"/>
  <c r="A56" i="5"/>
  <c r="CT57" i="5"/>
  <c r="SY53" i="5"/>
  <c r="AIE53" i="5"/>
  <c r="NJ54" i="5"/>
  <c r="ALH54" i="5"/>
  <c r="AEK55" i="5"/>
  <c r="ABF56" i="5"/>
  <c r="AGC49" i="5"/>
  <c r="IG51" i="5"/>
  <c r="ADE52" i="5"/>
  <c r="JW55" i="5"/>
  <c r="AIX51" i="5"/>
  <c r="BX55" i="5"/>
  <c r="P53" i="5"/>
  <c r="L57" i="5"/>
  <c r="AJW52" i="5"/>
  <c r="AGB54" i="5"/>
  <c r="NY55" i="5"/>
  <c r="AGZ54" i="5"/>
  <c r="NX52" i="5"/>
  <c r="ADS52" i="5"/>
  <c r="GM53" i="5"/>
  <c r="ZB53" i="5"/>
  <c r="AHC54" i="5"/>
  <c r="ZX57" i="5"/>
  <c r="JA54" i="5"/>
  <c r="AGF54" i="5"/>
  <c r="XA55" i="5"/>
  <c r="SI56" i="5"/>
  <c r="AGX53" i="5"/>
  <c r="LQ54" i="5"/>
  <c r="AJI54" i="5"/>
  <c r="ABD55" i="5"/>
  <c r="XM56" i="5"/>
  <c r="AGY53" i="5"/>
  <c r="LR54" i="5"/>
  <c r="AJJ54" i="5"/>
  <c r="ABV55" i="5"/>
  <c r="XN56" i="5"/>
  <c r="ACB53" i="5"/>
  <c r="FN54" i="5"/>
  <c r="ACA54" i="5"/>
  <c r="RN55" i="5"/>
  <c r="LJ56" i="5"/>
  <c r="AHA53" i="5"/>
  <c r="LT54" i="5"/>
  <c r="AJR54" i="5"/>
  <c r="ABY55" i="5"/>
  <c r="XS56" i="5"/>
  <c r="U54" i="5"/>
  <c r="UO54" i="5"/>
  <c r="HL55" i="5"/>
  <c r="BA56" i="5"/>
  <c r="IW57" i="5"/>
  <c r="TU53" i="5"/>
  <c r="AJC53" i="5"/>
  <c r="OP54" i="5"/>
  <c r="AB55" i="5"/>
  <c r="AGE55" i="5"/>
  <c r="AEM56" i="5"/>
  <c r="AJU49" i="5"/>
  <c r="IX51" i="5"/>
  <c r="AKJ52" i="5"/>
  <c r="VW55" i="5"/>
  <c r="GV52" i="5"/>
  <c r="AGH55" i="5"/>
  <c r="YM53" i="5"/>
  <c r="ADU54" i="5"/>
  <c r="RC53" i="5"/>
  <c r="EA56" i="5"/>
  <c r="RA57" i="5"/>
  <c r="QK56" i="5"/>
  <c r="KZ51" i="5"/>
  <c r="YF51" i="5"/>
  <c r="Q52" i="5"/>
  <c r="PA52" i="5"/>
  <c r="AER52" i="5"/>
  <c r="HP53" i="5"/>
  <c r="AAO53" i="5"/>
  <c r="AKL54" i="5"/>
  <c r="AFS53" i="5"/>
  <c r="KG54" i="5"/>
  <c r="AHR54" i="5"/>
  <c r="ZL55" i="5"/>
  <c r="UR56" i="5"/>
  <c r="AHW53" i="5"/>
  <c r="MT54" i="5"/>
  <c r="AKY54" i="5"/>
  <c r="ADL55" i="5"/>
  <c r="AAI56" i="5"/>
  <c r="AHX53" i="5"/>
  <c r="MU54" i="5"/>
  <c r="AKZ54" i="5"/>
  <c r="ADS55" i="5"/>
  <c r="AAJ56" i="5"/>
  <c r="ACZ53" i="5"/>
  <c r="GU54" i="5"/>
  <c r="ADJ54" i="5"/>
  <c r="TJ55" i="5"/>
  <c r="OA56" i="5"/>
  <c r="AIC53" i="5"/>
  <c r="NH54" i="5"/>
  <c r="ALF54" i="5"/>
  <c r="ADU55" i="5"/>
  <c r="AAO56" i="5"/>
  <c r="AU54" i="5"/>
  <c r="WB54" i="5"/>
  <c r="JD55" i="5"/>
  <c r="DE56" i="5"/>
  <c r="PH57" i="5"/>
  <c r="UP53" i="5"/>
  <c r="AKD53" i="5"/>
  <c r="QA54" i="5"/>
  <c r="BO55" i="5"/>
  <c r="AIM55" i="5"/>
  <c r="AHF56" i="5"/>
  <c r="AKK49" i="5"/>
  <c r="OU51" i="5"/>
  <c r="BY53" i="5"/>
  <c r="YD55" i="5"/>
  <c r="HQ52" i="5"/>
  <c r="AIO55" i="5"/>
  <c r="ZL53" i="5"/>
  <c r="AEZ54" i="5"/>
  <c r="ZU53" i="5"/>
  <c r="KW56" i="5"/>
  <c r="SV57" i="5"/>
  <c r="RM56" i="5"/>
  <c r="LT51" i="5"/>
  <c r="ZC51" i="5"/>
  <c r="AO52" i="5"/>
  <c r="PY52" i="5"/>
  <c r="AFU52" i="5"/>
  <c r="IN53" i="5"/>
  <c r="ABZ53" i="5"/>
  <c r="CP55" i="5"/>
  <c r="AGW53" i="5"/>
  <c r="LP54" i="5"/>
  <c r="AJA54" i="5"/>
  <c r="ABC55" i="5"/>
  <c r="XL56" i="5"/>
  <c r="AIW53" i="5"/>
  <c r="OF54" i="5"/>
  <c r="F55" i="5"/>
  <c r="AFY55" i="5"/>
  <c r="ACW56" i="5"/>
  <c r="AIX53" i="5"/>
  <c r="OK54" i="5"/>
  <c r="G55" i="5"/>
  <c r="AFZ55" i="5"/>
  <c r="ACX56" i="5"/>
  <c r="AEA53" i="5"/>
  <c r="HV54" i="5"/>
  <c r="AEX54" i="5"/>
  <c r="VR55" i="5"/>
  <c r="QE56" i="5"/>
  <c r="AIZ53" i="5"/>
  <c r="ON54" i="5"/>
  <c r="I55" i="5"/>
  <c r="AGB55" i="5"/>
  <c r="AEA56" i="5"/>
  <c r="CC54" i="5"/>
  <c r="XN54" i="5"/>
  <c r="LK55" i="5"/>
  <c r="FN56" i="5"/>
  <c r="VX57" i="5"/>
  <c r="VM53" i="5"/>
  <c r="ALE53" i="5"/>
  <c r="RT54" i="5"/>
  <c r="DV55" i="5"/>
  <c r="AKJ55" i="5"/>
  <c r="ALM56" i="5"/>
  <c r="CQ50" i="5"/>
  <c r="SU51" i="5"/>
  <c r="CT53" i="5"/>
  <c r="RB56" i="5"/>
  <c r="TQ52" i="5"/>
  <c r="AEO56" i="5"/>
  <c r="TF54" i="5"/>
  <c r="ABQ55" i="5"/>
  <c r="JW54" i="5"/>
  <c r="YR57" i="5"/>
  <c r="OZ51" i="5"/>
  <c r="MB57" i="5"/>
  <c r="SH56" i="5"/>
  <c r="ACW49" i="5"/>
  <c r="AB50" i="5"/>
  <c r="KO50" i="5"/>
  <c r="VW50" i="5"/>
  <c r="AIV50" i="5"/>
  <c r="IM51" i="5"/>
  <c r="VN51" i="5"/>
  <c r="AKD51" i="5"/>
  <c r="LX52" i="5"/>
  <c r="ABT52" i="5"/>
  <c r="EF53" i="5"/>
  <c r="WB53" i="5"/>
  <c r="YM54" i="5"/>
  <c r="AJF56" i="5"/>
  <c r="UO47" i="5"/>
  <c r="AEK47" i="5"/>
  <c r="AY48" i="5"/>
  <c r="KU48" i="5"/>
  <c r="UQ48" i="5"/>
  <c r="AEM48" i="5"/>
  <c r="BA49" i="5"/>
  <c r="LF49" i="5"/>
  <c r="VS49" i="5"/>
  <c r="AGF49" i="5"/>
  <c r="DK50" i="5"/>
  <c r="NX50" i="5"/>
  <c r="AAB50" i="5"/>
  <c r="O51" i="5"/>
  <c r="MO51" i="5"/>
  <c r="AAD51" i="5"/>
  <c r="BK52" i="5"/>
  <c r="QW52" i="5"/>
  <c r="AGS52" i="5"/>
  <c r="JU53" i="5"/>
  <c r="ADR53" i="5"/>
  <c r="IB55" i="5"/>
  <c r="AHT53" i="5"/>
  <c r="MS54" i="5"/>
  <c r="AKX54" i="5"/>
  <c r="ADJ55" i="5"/>
  <c r="AAH56" i="5"/>
  <c r="AJV53" i="5"/>
  <c r="PM54" i="5"/>
  <c r="BF55" i="5"/>
  <c r="AHP55" i="5"/>
  <c r="AGE56" i="5"/>
  <c r="AJW53" i="5"/>
  <c r="PN54" i="5"/>
  <c r="BH55" i="5"/>
  <c r="AHQ55" i="5"/>
  <c r="AGG56" i="5"/>
  <c r="AFA53" i="5"/>
  <c r="JD54" i="5"/>
  <c r="AGO54" i="5"/>
  <c r="XL55" i="5"/>
  <c r="SV56" i="5"/>
  <c r="AJY53" i="5"/>
  <c r="PY54" i="5"/>
  <c r="BJ55" i="5"/>
  <c r="AIK55" i="5"/>
  <c r="AHD56" i="5"/>
  <c r="DF54" i="5"/>
  <c r="YZ54" i="5"/>
  <c r="NO55" i="5"/>
  <c r="HF56" i="5"/>
  <c r="AEU57" i="5"/>
  <c r="WI53" i="5"/>
  <c r="AMB53" i="5"/>
  <c r="TC54" i="5"/>
  <c r="FI55" i="5"/>
  <c r="B56" i="5"/>
  <c r="DR57" i="5"/>
  <c r="GI50" i="5"/>
  <c r="TM51" i="5"/>
  <c r="KN53" i="5"/>
  <c r="TD56" i="5"/>
  <c r="UK52" i="5"/>
  <c r="AIO56" i="5"/>
  <c r="UW54" i="5"/>
  <c r="ACW55" i="5"/>
  <c r="OC54" i="5"/>
  <c r="SQ57" i="5"/>
  <c r="PP51" i="5"/>
  <c r="NJ57" i="5"/>
  <c r="TZ54" i="5"/>
  <c r="ZF56" i="5"/>
  <c r="ADN49" i="5"/>
  <c r="AS50" i="5"/>
  <c r="LF50" i="5"/>
  <c r="WT50" i="5"/>
  <c r="AJP50" i="5"/>
  <c r="JG51" i="5"/>
  <c r="WM51" i="5"/>
  <c r="AKZ51" i="5"/>
  <c r="MY52" i="5"/>
  <c r="ACS52" i="5"/>
  <c r="FI53" i="5"/>
  <c r="XR53" i="5"/>
  <c r="ACY54" i="5"/>
  <c r="LG57" i="5"/>
  <c r="VE47" i="5"/>
  <c r="AFA47" i="5"/>
  <c r="BO48" i="5"/>
  <c r="LK48" i="5"/>
  <c r="VG48" i="5"/>
  <c r="AFC48" i="5"/>
  <c r="BQ49" i="5"/>
  <c r="LW49" i="5"/>
  <c r="WJ49" i="5"/>
  <c r="AGW49" i="5"/>
  <c r="EB50" i="5"/>
  <c r="OO50" i="5"/>
  <c r="AAV50" i="5"/>
  <c r="AM51" i="5"/>
  <c r="NI51" i="5"/>
  <c r="ABA51" i="5"/>
  <c r="CM52" i="5"/>
  <c r="RW52" i="5"/>
  <c r="AHQ52" i="5"/>
  <c r="KU53" i="5"/>
  <c r="AFO53" i="5"/>
  <c r="MQ55" i="5"/>
  <c r="AIV53" i="5"/>
  <c r="OE54" i="5"/>
  <c r="E55" i="5"/>
  <c r="AFX55" i="5"/>
  <c r="ACV56" i="5"/>
  <c r="AKV53" i="5"/>
  <c r="QZ54" i="5"/>
  <c r="CW55" i="5"/>
  <c r="AJT55" i="5"/>
  <c r="AJL56" i="5"/>
  <c r="AKW53" i="5"/>
  <c r="RC54" i="5"/>
  <c r="CX55" i="5"/>
  <c r="AKA55" i="5"/>
  <c r="ALE56" i="5"/>
  <c r="AGC53" i="5"/>
  <c r="KJ54" i="5"/>
  <c r="AHX54" i="5"/>
  <c r="ZO55" i="5"/>
  <c r="VI56" i="5"/>
  <c r="AKZ53" i="5"/>
  <c r="RM54" i="5"/>
  <c r="DM55" i="5"/>
  <c r="AKC55" i="5"/>
  <c r="ALJ56" i="5"/>
  <c r="EH54" i="5"/>
  <c r="AAP54" i="5"/>
  <c r="PL55" i="5"/>
  <c r="JT56" i="5"/>
  <c r="JO53" i="5"/>
  <c r="XI53" i="5"/>
  <c r="V54" i="5"/>
  <c r="UP54" i="5"/>
  <c r="HM55" i="5"/>
  <c r="BJ56" i="5"/>
  <c r="IX57" i="5"/>
  <c r="GY50" i="5"/>
  <c r="ZW51" i="5"/>
  <c r="PO53" i="5"/>
  <c r="TJ50" i="5"/>
  <c r="AGM52" i="5"/>
  <c r="XI50" i="5"/>
  <c r="AIP55" i="5"/>
  <c r="AFW56" i="5"/>
  <c r="QB55" i="5"/>
  <c r="MH57" i="5"/>
  <c r="QD52" i="5"/>
  <c r="HM49" i="5"/>
  <c r="RI49" i="5"/>
  <c r="ABE49" i="5"/>
  <c r="ALA49" i="5"/>
  <c r="HO50" i="5"/>
  <c r="RK50" i="5"/>
  <c r="ABW50" i="5"/>
  <c r="B51" i="5"/>
  <c r="JO51" i="5"/>
  <c r="UE51" i="5"/>
  <c r="AFX51" i="5"/>
  <c r="EN52" i="5"/>
  <c r="RF52" i="5"/>
  <c r="AEA52" i="5"/>
  <c r="DO53" i="5"/>
  <c r="RI53" i="5"/>
  <c r="AGG53" i="5"/>
  <c r="KS54" i="5"/>
  <c r="AIE54" i="5"/>
  <c r="AAA55" i="5"/>
  <c r="VX56" i="5"/>
  <c r="UR50" i="5"/>
  <c r="AFE50" i="5"/>
  <c r="CJ51" i="5"/>
  <c r="MW51" i="5"/>
  <c r="XS51" i="5"/>
  <c r="AJQ51" i="5"/>
  <c r="IL52" i="5"/>
  <c r="VH52" i="5"/>
  <c r="AIB52" i="5"/>
  <c r="HX53" i="5"/>
  <c r="VP53" i="5"/>
  <c r="ALG53" i="5"/>
  <c r="RV54" i="5"/>
  <c r="EA55" i="5"/>
  <c r="AKR55" i="5"/>
  <c r="E57" i="5"/>
  <c r="YQ50" i="5"/>
  <c r="CK51" i="5"/>
  <c r="QE51" i="5"/>
  <c r="ALF51" i="5"/>
  <c r="VI52" i="5"/>
  <c r="AJ53" i="5"/>
  <c r="AAM53" i="5"/>
  <c r="WL54" i="5"/>
  <c r="L56" i="5"/>
  <c r="IC55" i="5"/>
  <c r="ALO55" i="5"/>
  <c r="RQ57" i="5"/>
  <c r="AGK55" i="5"/>
  <c r="CW57" i="5"/>
  <c r="AFY54" i="5"/>
  <c r="AED55" i="5"/>
  <c r="T57" i="5"/>
  <c r="BA55" i="5"/>
  <c r="HQ56" i="5"/>
  <c r="ZL51" i="5"/>
  <c r="LI52" i="5"/>
  <c r="J53" i="5"/>
  <c r="AAR53" i="5"/>
  <c r="PF54" i="5"/>
  <c r="SP55" i="5"/>
  <c r="ADX56" i="5"/>
  <c r="YS52" i="5"/>
  <c r="LF53" i="5"/>
  <c r="AIK53" i="5"/>
  <c r="AHJ54" i="5"/>
  <c r="ME56" i="5"/>
  <c r="ABD57" i="5"/>
  <c r="QI57" i="5"/>
  <c r="AJI53" i="5"/>
  <c r="ALY54" i="5"/>
  <c r="WV56" i="5"/>
  <c r="BD54" i="5"/>
  <c r="OX55" i="5"/>
  <c r="VD57" i="5"/>
  <c r="QF51" i="5"/>
  <c r="ADY52" i="5"/>
  <c r="AJK53" i="5"/>
  <c r="AEP55" i="5"/>
  <c r="AKX57" i="5"/>
  <c r="FY57" i="5"/>
  <c r="KH55" i="5"/>
  <c r="AGL56" i="5"/>
  <c r="ON57" i="5"/>
  <c r="IC49" i="5"/>
  <c r="RY49" i="5"/>
  <c r="ABU49" i="5"/>
  <c r="ALQ49" i="5"/>
  <c r="IE50" i="5"/>
  <c r="SA50" i="5"/>
  <c r="ACN50" i="5"/>
  <c r="S51" i="5"/>
  <c r="KF51" i="5"/>
  <c r="UW51" i="5"/>
  <c r="AGQ51" i="5"/>
  <c r="FH52" i="5"/>
  <c r="RZ52" i="5"/>
  <c r="AEU52" i="5"/>
  <c r="EN53" i="5"/>
  <c r="SE53" i="5"/>
  <c r="AHE53" i="5"/>
  <c r="MB54" i="5"/>
  <c r="AJU54" i="5"/>
  <c r="ACD55" i="5"/>
  <c r="YR56" i="5"/>
  <c r="VI50" i="5"/>
  <c r="AFV50" i="5"/>
  <c r="DA51" i="5"/>
  <c r="NN51" i="5"/>
  <c r="YL51" i="5"/>
  <c r="AKJ51" i="5"/>
  <c r="JF52" i="5"/>
  <c r="WC52" i="5"/>
  <c r="AIW52" i="5"/>
  <c r="IT53" i="5"/>
  <c r="WM53" i="5"/>
  <c r="AMH53" i="5"/>
  <c r="TE54" i="5"/>
  <c r="GA55" i="5"/>
  <c r="K56" i="5"/>
  <c r="EH57" i="5"/>
  <c r="ZH50" i="5"/>
  <c r="DB51" i="5"/>
  <c r="QW51" i="5"/>
  <c r="ALY51" i="5"/>
  <c r="WD52" i="5"/>
  <c r="HD53" i="5"/>
  <c r="ABK53" i="5"/>
  <c r="XU54" i="5"/>
  <c r="BP56" i="5"/>
  <c r="JE55" i="5"/>
  <c r="P56" i="5"/>
  <c r="WC57" i="5"/>
  <c r="AHX55" i="5"/>
  <c r="GN57" i="5"/>
  <c r="CB55" i="5"/>
  <c r="AFI55" i="5"/>
  <c r="DC57" i="5"/>
  <c r="CC55" i="5"/>
  <c r="JC56" i="5"/>
  <c r="AAE51" i="5"/>
  <c r="MB52" i="5"/>
  <c r="AB53" i="5"/>
  <c r="ABM53" i="5"/>
  <c r="YI54" i="5"/>
  <c r="TY55" i="5"/>
  <c r="AFY56" i="5"/>
  <c r="ZK52" i="5"/>
  <c r="LY53" i="5"/>
  <c r="AJH53" i="5"/>
  <c r="AIO54" i="5"/>
  <c r="NV56" i="5"/>
  <c r="ADM57" i="5"/>
  <c r="ALU56" i="5"/>
  <c r="AKA53" i="5"/>
  <c r="Q55" i="5"/>
  <c r="YE56" i="5"/>
  <c r="KO54" i="5"/>
  <c r="PX55" i="5"/>
  <c r="XG57" i="5"/>
  <c r="QV51" i="5"/>
  <c r="AEP52" i="5"/>
  <c r="RQ54" i="5"/>
  <c r="GF56" i="5"/>
  <c r="AJV56" i="5"/>
  <c r="HB57" i="5"/>
  <c r="LE55" i="5"/>
  <c r="AHO56" i="5"/>
  <c r="PP57" i="5"/>
  <c r="IS49" i="5"/>
  <c r="SO49" i="5"/>
  <c r="ACK49" i="5"/>
  <c r="AMG49" i="5"/>
  <c r="IU50" i="5"/>
  <c r="SR50" i="5"/>
  <c r="ADE50" i="5"/>
  <c r="AJ51" i="5"/>
  <c r="KW51" i="5"/>
  <c r="VO51" i="5"/>
  <c r="AHJ51" i="5"/>
  <c r="GA52" i="5"/>
  <c r="SV52" i="5"/>
  <c r="AFO52" i="5"/>
  <c r="FJ53" i="5"/>
  <c r="SZ53" i="5"/>
  <c r="AIF53" i="5"/>
  <c r="NK54" i="5"/>
  <c r="ALI54" i="5"/>
  <c r="AEL55" i="5"/>
  <c r="ABG56" i="5"/>
  <c r="VZ50" i="5"/>
  <c r="AGM50" i="5"/>
  <c r="DR51" i="5"/>
  <c r="OE51" i="5"/>
  <c r="ZE51" i="5"/>
  <c r="ALD51" i="5"/>
  <c r="KB52" i="5"/>
  <c r="WW52" i="5"/>
  <c r="AJQ52" i="5"/>
  <c r="JQ53" i="5"/>
  <c r="XO53" i="5"/>
  <c r="X54" i="5"/>
  <c r="UV54" i="5"/>
  <c r="HS55" i="5"/>
  <c r="BO56" i="5"/>
  <c r="JC57" i="5"/>
  <c r="ZY50" i="5"/>
  <c r="DS51" i="5"/>
  <c r="RN51" i="5"/>
  <c r="J52" i="5"/>
  <c r="WX52" i="5"/>
  <c r="HY53" i="5"/>
  <c r="ACN53" i="5"/>
  <c r="ZQ54" i="5"/>
  <c r="DJ56" i="5"/>
  <c r="KN55" i="5"/>
  <c r="KE56" i="5"/>
  <c r="AAU57" i="5"/>
  <c r="AJG55" i="5"/>
  <c r="JW57" i="5"/>
  <c r="DI55" i="5"/>
  <c r="AGR55" i="5"/>
  <c r="GS57" i="5"/>
  <c r="DJ55" i="5"/>
  <c r="KU56" i="5"/>
  <c r="AHW51" i="5"/>
  <c r="MT52" i="5"/>
  <c r="AT53" i="5"/>
  <c r="ACL53" i="5"/>
  <c r="ZH54" i="5"/>
  <c r="VF55" i="5"/>
  <c r="AIA56" i="5"/>
  <c r="AAC52" i="5"/>
  <c r="MR53" i="5"/>
  <c r="DM54" i="5"/>
  <c r="AJQ54" i="5"/>
  <c r="PF56" i="5"/>
  <c r="AGB57" i="5"/>
  <c r="AN57" i="5"/>
  <c r="AKS53" i="5"/>
  <c r="AO55" i="5"/>
  <c r="ZK56" i="5"/>
  <c r="LK54" i="5"/>
  <c r="AIU55" i="5"/>
  <c r="ZS57" i="5"/>
  <c r="RL51" i="5"/>
  <c r="AFG52" i="5"/>
  <c r="SO54" i="5"/>
  <c r="HD56" i="5"/>
  <c r="AKV56" i="5"/>
  <c r="OL57" i="5"/>
  <c r="MA55" i="5"/>
  <c r="ACY57" i="5"/>
  <c r="AAU52" i="5"/>
  <c r="JI49" i="5"/>
  <c r="TE49" i="5"/>
  <c r="ADA49" i="5"/>
  <c r="O50" i="5"/>
  <c r="JK50" i="5"/>
  <c r="TI50" i="5"/>
  <c r="ADV50" i="5"/>
  <c r="BA51" i="5"/>
  <c r="LN51" i="5"/>
  <c r="WG51" i="5"/>
  <c r="AID51" i="5"/>
  <c r="GU52" i="5"/>
  <c r="TP52" i="5"/>
  <c r="AGL52" i="5"/>
  <c r="GF53" i="5"/>
  <c r="TV53" i="5"/>
  <c r="AJE53" i="5"/>
  <c r="OQ54" i="5"/>
  <c r="AC55" i="5"/>
  <c r="AGF55" i="5"/>
  <c r="AEN56" i="5"/>
  <c r="WQ50" i="5"/>
  <c r="AHD50" i="5"/>
  <c r="EI51" i="5"/>
  <c r="OV51" i="5"/>
  <c r="ZY51" i="5"/>
  <c r="ALX51" i="5"/>
  <c r="KW52" i="5"/>
  <c r="XQ52" i="5"/>
  <c r="AKK52" i="5"/>
  <c r="KO53" i="5"/>
  <c r="YL53" i="5"/>
  <c r="AX54" i="5"/>
  <c r="WK54" i="5"/>
  <c r="JX55" i="5"/>
  <c r="DI56" i="5"/>
  <c r="PZ57" i="5"/>
  <c r="AAQ50" i="5"/>
  <c r="EJ51" i="5"/>
  <c r="SW51" i="5"/>
  <c r="AC52" i="5"/>
  <c r="XR52" i="5"/>
  <c r="IV53" i="5"/>
  <c r="AKJ53" i="5"/>
  <c r="ABC54" i="5"/>
  <c r="FR56" i="5"/>
  <c r="LW55" i="5"/>
  <c r="LY56" i="5"/>
  <c r="AHP57" i="5"/>
  <c r="AKM55" i="5"/>
  <c r="NS57" i="5"/>
  <c r="EJ55" i="5"/>
  <c r="DT56" i="5"/>
  <c r="JX57" i="5"/>
  <c r="EN55" i="5"/>
  <c r="MC56" i="5"/>
  <c r="AIO51" i="5"/>
  <c r="NL52" i="5"/>
  <c r="BL53" i="5"/>
  <c r="ADH53" i="5"/>
  <c r="AAM54" i="5"/>
  <c r="AJJ55" i="5"/>
  <c r="AKT56" i="5"/>
  <c r="AAV52" i="5"/>
  <c r="NK53" i="5"/>
  <c r="ES54" i="5"/>
  <c r="AKQ54" i="5"/>
  <c r="QX56" i="5"/>
  <c r="AIX57" i="5"/>
  <c r="BX57" i="5"/>
  <c r="HB54" i="5"/>
  <c r="FP55" i="5"/>
  <c r="AAQ56" i="5"/>
  <c r="MI54" i="5"/>
  <c r="AJV55" i="5"/>
  <c r="ACC57" i="5"/>
  <c r="SB51" i="5"/>
  <c r="AFX52" i="5"/>
  <c r="TO54" i="5"/>
  <c r="AIL56" i="5"/>
  <c r="OF57" i="5"/>
  <c r="PL57" i="5"/>
  <c r="MW55" i="5"/>
  <c r="CK54" i="5"/>
  <c r="ABK52" i="5"/>
  <c r="JY49" i="5"/>
  <c r="TU49" i="5"/>
  <c r="ADQ49" i="5"/>
  <c r="AE50" i="5"/>
  <c r="KA50" i="5"/>
  <c r="TZ50" i="5"/>
  <c r="AEM50" i="5"/>
  <c r="BR51" i="5"/>
  <c r="ME51" i="5"/>
  <c r="WY51" i="5"/>
  <c r="AIW51" i="5"/>
  <c r="HO52" i="5"/>
  <c r="UJ52" i="5"/>
  <c r="AHG52" i="5"/>
  <c r="HB53" i="5"/>
  <c r="UQ53" i="5"/>
  <c r="AKG53" i="5"/>
  <c r="QB54" i="5"/>
  <c r="BV55" i="5"/>
  <c r="AIN55" i="5"/>
  <c r="AHK56" i="5"/>
  <c r="XH50" i="5"/>
  <c r="AHU50" i="5"/>
  <c r="EZ51" i="5"/>
  <c r="PM51" i="5"/>
  <c r="AAR51" i="5"/>
  <c r="I52" i="5"/>
  <c r="LR52" i="5"/>
  <c r="YL52" i="5"/>
  <c r="ALF52" i="5"/>
  <c r="LJ53" i="5"/>
  <c r="ZK53" i="5"/>
  <c r="CF54" i="5"/>
  <c r="XT54" i="5"/>
  <c r="LN55" i="5"/>
  <c r="FQ56" i="5"/>
  <c r="YG57" i="5"/>
  <c r="AEO50" i="5"/>
  <c r="FA51" i="5"/>
  <c r="XB51" i="5"/>
  <c r="AW52" i="5"/>
  <c r="YM52" i="5"/>
  <c r="JT53" i="5"/>
  <c r="ALH53" i="5"/>
  <c r="ACI54" i="5"/>
  <c r="HX56" i="5"/>
  <c r="NG55" i="5"/>
  <c r="NG56" i="5"/>
  <c r="ID55" i="5"/>
  <c r="ALV55" i="5"/>
  <c r="RR57" i="5"/>
  <c r="FU55" i="5"/>
  <c r="FA56" i="5"/>
  <c r="NT57" i="5"/>
  <c r="FX55" i="5"/>
  <c r="NN56" i="5"/>
  <c r="AJG51" i="5"/>
  <c r="VD52" i="5"/>
  <c r="CE53" i="5"/>
  <c r="AEC53" i="5"/>
  <c r="ABM54" i="5"/>
  <c r="AKP55" i="5"/>
  <c r="LC57" i="5"/>
  <c r="ABN52" i="5"/>
  <c r="OF53" i="5"/>
  <c r="FQ54" i="5"/>
  <c r="MG55" i="5"/>
  <c r="XD56" i="5"/>
  <c r="ALN56" i="5"/>
  <c r="ED57" i="5"/>
  <c r="HX54" i="5"/>
  <c r="GP55" i="5"/>
  <c r="ACF56" i="5"/>
  <c r="NF54" i="5"/>
  <c r="AKY55" i="5"/>
  <c r="ABV50" i="5"/>
  <c r="ZX51" i="5"/>
  <c r="AGO52" i="5"/>
  <c r="UN54" i="5"/>
  <c r="GM57" i="5"/>
  <c r="PJ57" i="5"/>
  <c r="QV57" i="5"/>
  <c r="NR55" i="5"/>
  <c r="DC54" i="5"/>
  <c r="AHL55" i="5"/>
  <c r="KO49" i="5"/>
  <c r="UK49" i="5"/>
  <c r="AEG49" i="5"/>
  <c r="AU50" i="5"/>
  <c r="KQ50" i="5"/>
  <c r="UQ50" i="5"/>
  <c r="AFD50" i="5"/>
  <c r="CI51" i="5"/>
  <c r="MV51" i="5"/>
  <c r="XR51" i="5"/>
  <c r="AJP51" i="5"/>
  <c r="IK52" i="5"/>
  <c r="VF52" i="5"/>
  <c r="AIA52" i="5"/>
  <c r="HW53" i="5"/>
  <c r="VO53" i="5"/>
  <c r="ALF53" i="5"/>
  <c r="RU54" i="5"/>
  <c r="DZ55" i="5"/>
  <c r="AKK55" i="5"/>
  <c r="D57" i="5"/>
  <c r="XY50" i="5"/>
  <c r="AIL50" i="5"/>
  <c r="FQ51" i="5"/>
  <c r="QD51" i="5"/>
  <c r="ABL51" i="5"/>
  <c r="AB52" i="5"/>
  <c r="ML52" i="5"/>
  <c r="ZF52" i="5"/>
  <c r="AMC52" i="5"/>
  <c r="MF53" i="5"/>
  <c r="AAK53" i="5"/>
  <c r="DK54" i="5"/>
  <c r="ZJ54" i="5"/>
  <c r="OC55" i="5"/>
  <c r="HW56" i="5"/>
  <c r="AFU57" i="5"/>
  <c r="AFF50" i="5"/>
  <c r="FR51" i="5"/>
  <c r="XT51" i="5"/>
  <c r="BQ52" i="5"/>
  <c r="ZG52" i="5"/>
  <c r="KP53" i="5"/>
  <c r="A54" i="5"/>
  <c r="BY55" i="5"/>
  <c r="KB56" i="5"/>
  <c r="OI55" i="5"/>
  <c r="OV56" i="5"/>
  <c r="JF55" i="5"/>
  <c r="T56" i="5"/>
  <c r="WE57" i="5"/>
  <c r="GX55" i="5"/>
  <c r="GJ56" i="5"/>
  <c r="MV54" i="5"/>
  <c r="GY55" i="5"/>
  <c r="TR56" i="5"/>
  <c r="AJZ51" i="5"/>
  <c r="VV52" i="5"/>
  <c r="CX53" i="5"/>
  <c r="AEY53" i="5"/>
  <c r="AGA54" i="5"/>
  <c r="AMC55" i="5"/>
  <c r="HX52" i="5"/>
  <c r="ACF52" i="5"/>
  <c r="OY53" i="5"/>
  <c r="JX54" i="5"/>
  <c r="NM55" i="5"/>
  <c r="YK56" i="5"/>
  <c r="AC57" i="5"/>
  <c r="GE57" i="5"/>
  <c r="OU54" i="5"/>
  <c r="XH55" i="5"/>
  <c r="ADQ56" i="5"/>
  <c r="OA54" i="5"/>
  <c r="ALZ55" i="5"/>
  <c r="ACL50" i="5"/>
  <c r="AAO51" i="5"/>
  <c r="AHF52" i="5"/>
  <c r="VJ54" i="5"/>
  <c r="IO57" i="5"/>
  <c r="AJW56" i="5"/>
  <c r="AHW57" i="5"/>
  <c r="OM55" i="5"/>
  <c r="DU54" i="5"/>
  <c r="AIJ55" i="5"/>
  <c r="LE49" i="5"/>
  <c r="VA49" i="5"/>
  <c r="AEW49" i="5"/>
  <c r="BK50" i="5"/>
  <c r="LG50" i="5"/>
  <c r="VH50" i="5"/>
  <c r="AFU50" i="5"/>
  <c r="CZ51" i="5"/>
  <c r="NM51" i="5"/>
  <c r="YK51" i="5"/>
  <c r="AKI51" i="5"/>
  <c r="JE52" i="5"/>
  <c r="WA52" i="5"/>
  <c r="AIV52" i="5"/>
  <c r="IS53" i="5"/>
  <c r="WL53" i="5"/>
  <c r="AMG53" i="5"/>
  <c r="TD54" i="5"/>
  <c r="FJ55" i="5"/>
  <c r="J56" i="5"/>
  <c r="DZ57" i="5"/>
  <c r="YP50" i="5"/>
  <c r="AJC50" i="5"/>
  <c r="GH51" i="5"/>
  <c r="QU51" i="5"/>
  <c r="ACE51" i="5"/>
  <c r="AU52" i="5"/>
  <c r="NF52" i="5"/>
  <c r="AAA52" i="5"/>
  <c r="O53" i="5"/>
  <c r="NC53" i="5"/>
  <c r="ABJ53" i="5"/>
  <c r="EU54" i="5"/>
  <c r="AAY54" i="5"/>
  <c r="QF55" i="5"/>
  <c r="JZ56" i="5"/>
  <c r="RM50" i="5"/>
  <c r="AFW50" i="5"/>
  <c r="GI51" i="5"/>
  <c r="YM51" i="5"/>
  <c r="HR52" i="5"/>
  <c r="AAD52" i="5"/>
  <c r="LK53" i="5"/>
  <c r="Y54" i="5"/>
  <c r="EB55" i="5"/>
  <c r="MO56" i="5"/>
  <c r="PR55" i="5"/>
  <c r="QF56" i="5"/>
  <c r="KO55" i="5"/>
  <c r="KI56" i="5"/>
  <c r="ACE57" i="5"/>
  <c r="IE55" i="5"/>
  <c r="HP56" i="5"/>
  <c r="RI54" i="5"/>
  <c r="IF55" i="5"/>
  <c r="VB56" i="5"/>
  <c r="AKR51" i="5"/>
  <c r="WO52" i="5"/>
  <c r="LE53" i="5"/>
  <c r="AFT53" i="5"/>
  <c r="AHF54" i="5"/>
  <c r="AA56" i="5"/>
  <c r="IP52" i="5"/>
  <c r="ACX52" i="5"/>
  <c r="PR53" i="5"/>
  <c r="KZ54" i="5"/>
  <c r="OV55" i="5"/>
  <c r="TP57" i="5"/>
  <c r="BV57" i="5"/>
  <c r="HW57" i="5"/>
  <c r="PQ54" i="5"/>
  <c r="YF55" i="5"/>
  <c r="AFE56" i="5"/>
  <c r="OV54" i="5"/>
  <c r="R56" i="5"/>
  <c r="ADB50" i="5"/>
  <c r="AK52" i="5"/>
  <c r="CN53" i="5"/>
  <c r="WF54" i="5"/>
  <c r="KJ57" i="5"/>
  <c r="AKW56" i="5"/>
  <c r="AJQ57" i="5"/>
  <c r="TR55" i="5"/>
  <c r="EN54" i="5"/>
  <c r="AJE55" i="5"/>
  <c r="LU49" i="5"/>
  <c r="VQ49" i="5"/>
  <c r="AFM49" i="5"/>
  <c r="CA50" i="5"/>
  <c r="LW50" i="5"/>
  <c r="VY50" i="5"/>
  <c r="AGL50" i="5"/>
  <c r="DQ51" i="5"/>
  <c r="OD51" i="5"/>
  <c r="ZD51" i="5"/>
  <c r="ALC51" i="5"/>
  <c r="KA52" i="5"/>
  <c r="WV52" i="5"/>
  <c r="AJP52" i="5"/>
  <c r="JP53" i="5"/>
  <c r="XK53" i="5"/>
  <c r="W54" i="5"/>
  <c r="UQ54" i="5"/>
  <c r="HQ55" i="5"/>
  <c r="BN56" i="5"/>
  <c r="JB57" i="5"/>
  <c r="ZG50" i="5"/>
  <c r="AJT50" i="5"/>
  <c r="GY51" i="5"/>
  <c r="RM51" i="5"/>
  <c r="ACX51" i="5"/>
  <c r="BP52" i="5"/>
  <c r="OA52" i="5"/>
  <c r="AAX52" i="5"/>
  <c r="AI53" i="5"/>
  <c r="NX53" i="5"/>
  <c r="ACG53" i="5"/>
  <c r="FV54" i="5"/>
  <c r="ACH54" i="5"/>
  <c r="RW55" i="5"/>
  <c r="ML56" i="5"/>
  <c r="SC50" i="5"/>
  <c r="AGN50" i="5"/>
  <c r="HA51" i="5"/>
  <c r="ZF51" i="5"/>
  <c r="IM52" i="5"/>
  <c r="AAY52" i="5"/>
  <c r="MG53" i="5"/>
  <c r="AY54" i="5"/>
  <c r="GB55" i="5"/>
  <c r="AJB56" i="5"/>
  <c r="RA55" i="5"/>
  <c r="RS56" i="5"/>
  <c r="LY55" i="5"/>
  <c r="MA56" i="5"/>
  <c r="AHQ57" i="5"/>
  <c r="JG55" i="5"/>
  <c r="IZ56" i="5"/>
  <c r="SK54" i="5"/>
  <c r="WN55" i="5"/>
  <c r="WN56" i="5"/>
  <c r="ALJ51" i="5"/>
  <c r="XG52" i="5"/>
  <c r="LX53" i="5"/>
  <c r="AGT53" i="5"/>
  <c r="AIK54" i="5"/>
  <c r="BH56" i="5"/>
  <c r="JH52" i="5"/>
  <c r="AKP52" i="5"/>
  <c r="QK53" i="5"/>
  <c r="LZ54" i="5"/>
  <c r="QE55" i="5"/>
  <c r="XU57" i="5"/>
  <c r="EB57" i="5"/>
  <c r="KG57" i="5"/>
  <c r="QR54" i="5"/>
  <c r="ZI55" i="5"/>
  <c r="ZN57" i="5"/>
  <c r="PW54" i="5"/>
  <c r="AT56" i="5"/>
  <c r="ADR50" i="5"/>
  <c r="BB52" i="5"/>
  <c r="DF53" i="5"/>
  <c r="XE54" i="5"/>
  <c r="MR57" i="5"/>
  <c r="ALY56" i="5"/>
  <c r="NO54" i="5"/>
  <c r="ABK55" i="5"/>
  <c r="FF54" i="5"/>
  <c r="AJZ55" i="5"/>
  <c r="DG56" i="5"/>
  <c r="PY57" i="5"/>
  <c r="ZX50" i="5"/>
  <c r="AKK50" i="5"/>
  <c r="HQ51" i="5"/>
  <c r="SD51" i="5"/>
  <c r="ADR51" i="5"/>
  <c r="CI52" i="5"/>
  <c r="OU52" i="5"/>
  <c r="ABR52" i="5"/>
  <c r="BE53" i="5"/>
  <c r="OS53" i="5"/>
  <c r="ADK53" i="5"/>
  <c r="HA54" i="5"/>
  <c r="AEB54" i="5"/>
  <c r="UH55" i="5"/>
  <c r="OT56" i="5"/>
  <c r="ST50" i="5"/>
  <c r="AHE50" i="5"/>
  <c r="HR51" i="5"/>
  <c r="ZZ51" i="5"/>
  <c r="JI52" i="5"/>
  <c r="AHI52" i="5"/>
  <c r="ND53" i="5"/>
  <c r="CG54" i="5"/>
  <c r="HT55" i="5"/>
  <c r="F57" i="5"/>
  <c r="SK55" i="5"/>
  <c r="TE56" i="5"/>
  <c r="NH55" i="5"/>
  <c r="NK56" i="5"/>
  <c r="WV54" i="5"/>
  <c r="KT55" i="5"/>
  <c r="KJ56" i="5"/>
  <c r="TS54" i="5"/>
  <c r="XT55" i="5"/>
  <c r="YI56" i="5"/>
  <c r="AMB51" i="5"/>
  <c r="XY52" i="5"/>
  <c r="MQ53" i="5"/>
  <c r="DL54" i="5"/>
  <c r="AJP54" i="5"/>
  <c r="CM56" i="5"/>
  <c r="JZ52" i="5"/>
  <c r="ALI52" i="5"/>
  <c r="RD53" i="5"/>
  <c r="NA54" i="5"/>
  <c r="RL55" i="5"/>
  <c r="ADF57" i="5"/>
  <c r="AGU56" i="5"/>
  <c r="UW57" i="5"/>
  <c r="RO54" i="5"/>
  <c r="AAG55" i="5"/>
  <c r="WU53" i="5"/>
  <c r="QS54" i="5"/>
  <c r="BW56" i="5"/>
  <c r="AGT50" i="5"/>
  <c r="BS52" i="5"/>
  <c r="US53" i="5"/>
  <c r="AKF54" i="5"/>
  <c r="OT57" i="5"/>
  <c r="FV57" i="5"/>
  <c r="OG54" i="5"/>
  <c r="ACG55" i="5"/>
  <c r="FY54" i="5"/>
  <c r="AKV55" i="5"/>
  <c r="NA49" i="5"/>
  <c r="WW49" i="5"/>
  <c r="AGS49" i="5"/>
  <c r="DG50" i="5"/>
  <c r="NC50" i="5"/>
  <c r="XG50" i="5"/>
  <c r="AHT50" i="5"/>
  <c r="EY51" i="5"/>
  <c r="PL51" i="5"/>
  <c r="AAQ51" i="5"/>
  <c r="H52" i="5"/>
  <c r="LQ52" i="5"/>
  <c r="YK52" i="5"/>
  <c r="ALE52" i="5"/>
  <c r="LI53" i="5"/>
  <c r="ZJ53" i="5"/>
  <c r="CE54" i="5"/>
  <c r="XS54" i="5"/>
  <c r="LM55" i="5"/>
  <c r="FP56" i="5"/>
  <c r="VZ57" i="5"/>
  <c r="AAO50" i="5"/>
  <c r="ALC50" i="5"/>
  <c r="IH51" i="5"/>
  <c r="SV51" i="5"/>
  <c r="AEL51" i="5"/>
  <c r="DC52" i="5"/>
  <c r="PR52" i="5"/>
  <c r="ACL52" i="5"/>
  <c r="BZ53" i="5"/>
  <c r="PP53" i="5"/>
  <c r="AEI53" i="5"/>
  <c r="II54" i="5"/>
  <c r="AFH54" i="5"/>
  <c r="VX55" i="5"/>
  <c r="RC56" i="5"/>
  <c r="UB50" i="5"/>
  <c r="AHV50" i="5"/>
  <c r="II51" i="5"/>
  <c r="AAT51" i="5"/>
  <c r="KC52" i="5"/>
  <c r="AIC52" i="5"/>
  <c r="NY53" i="5"/>
  <c r="DN54" i="5"/>
  <c r="JZ55" i="5"/>
  <c r="EY57" i="5"/>
  <c r="ACR55" i="5"/>
  <c r="UY56" i="5"/>
  <c r="OJ55" i="5"/>
  <c r="OW56" i="5"/>
  <c r="XX54" i="5"/>
  <c r="LZ55" i="5"/>
  <c r="MB56" i="5"/>
  <c r="US54" i="5"/>
  <c r="YY55" i="5"/>
  <c r="DD57" i="5"/>
  <c r="L52" i="5"/>
  <c r="YQ52" i="5"/>
  <c r="NJ53" i="5"/>
  <c r="EJ54" i="5"/>
  <c r="AKP54" i="5"/>
  <c r="DV56" i="5"/>
  <c r="KR52" i="5"/>
  <c r="AMA52" i="5"/>
  <c r="ZW53" i="5"/>
  <c r="OD54" i="5"/>
  <c r="SQ55" i="5"/>
  <c r="AIU57" i="5"/>
  <c r="AIF56" i="5"/>
  <c r="AEK57" i="5"/>
  <c r="SM54" i="5"/>
  <c r="ABJ55" i="5"/>
  <c r="XM53" i="5"/>
  <c r="ALB54" i="5"/>
  <c r="HC56" i="5"/>
  <c r="ALR50" i="5"/>
  <c r="EZ52" i="5"/>
  <c r="VK53" i="5"/>
  <c r="ALC54" i="5"/>
  <c r="RF57" i="5"/>
  <c r="HA57" i="5"/>
  <c r="OZ54" i="5"/>
  <c r="LM56" i="5"/>
  <c r="ZM54" i="5"/>
  <c r="KQ56" i="5"/>
  <c r="NQ49" i="5"/>
  <c r="XM49" i="5"/>
  <c r="AHI49" i="5"/>
  <c r="DW50" i="5"/>
  <c r="NS50" i="5"/>
  <c r="XX50" i="5"/>
  <c r="AIK50" i="5"/>
  <c r="FP51" i="5"/>
  <c r="QC51" i="5"/>
  <c r="ABK51" i="5"/>
  <c r="AA52" i="5"/>
  <c r="MK52" i="5"/>
  <c r="ZE52" i="5"/>
  <c r="AMB52" i="5"/>
  <c r="ME53" i="5"/>
  <c r="AAJ53" i="5"/>
  <c r="DJ54" i="5"/>
  <c r="ZE54" i="5"/>
  <c r="OB55" i="5"/>
  <c r="HH56" i="5"/>
  <c r="AFA57" i="5"/>
  <c r="ABG50" i="5"/>
  <c r="ALT50" i="5"/>
  <c r="IY51" i="5"/>
  <c r="TN51" i="5"/>
  <c r="AFF51" i="5"/>
  <c r="DV52" i="5"/>
  <c r="QM52" i="5"/>
  <c r="ADF52" i="5"/>
  <c r="CU53" i="5"/>
  <c r="QN53" i="5"/>
  <c r="AFK53" i="5"/>
  <c r="JN54" i="5"/>
  <c r="AGW54" i="5"/>
  <c r="YE55" i="5"/>
  <c r="TU56" i="5"/>
  <c r="US50" i="5"/>
  <c r="AIM50" i="5"/>
  <c r="MG51" i="5"/>
  <c r="ABM51" i="5"/>
  <c r="KY52" i="5"/>
  <c r="AIX52" i="5"/>
  <c r="UU53" i="5"/>
  <c r="EV54" i="5"/>
  <c r="LV55" i="5"/>
  <c r="JD57" i="5"/>
  <c r="ADW55" i="5"/>
  <c r="WK56" i="5"/>
  <c r="PS55" i="5"/>
  <c r="QG56" i="5"/>
  <c r="ZF54" i="5"/>
  <c r="WM55" i="5"/>
  <c r="NL56" i="5"/>
  <c r="VX54" i="5"/>
  <c r="AAE55" i="5"/>
  <c r="GT57" i="5"/>
  <c r="AD52" i="5"/>
  <c r="ABM52" i="5"/>
  <c r="OE53" i="5"/>
  <c r="FP54" i="5"/>
  <c r="HD55" i="5"/>
  <c r="FH56" i="5"/>
  <c r="NM52" i="5"/>
  <c r="K53" i="5"/>
  <c r="AAS53" i="5"/>
  <c r="PG54" i="5"/>
  <c r="TZ55" i="5"/>
  <c r="QF57" i="5"/>
  <c r="EC57" i="5"/>
  <c r="ADA53" i="5"/>
  <c r="TJ54" i="5"/>
  <c r="ACM55" i="5"/>
  <c r="YE53" i="5"/>
  <c r="ALZ54" i="5"/>
  <c r="IC56" i="5"/>
  <c r="AMH50" i="5"/>
  <c r="FQ52" i="5"/>
  <c r="WC53" i="5"/>
  <c r="YL55" i="5"/>
  <c r="ABI57" i="5"/>
  <c r="IH57" i="5"/>
  <c r="PR54" i="5"/>
  <c r="MP56" i="5"/>
  <c r="AAH54" i="5"/>
  <c r="AKM57" i="5"/>
  <c r="OG49" i="5"/>
  <c r="YC49" i="5"/>
  <c r="AHY49" i="5"/>
  <c r="EM50" i="5"/>
  <c r="OI50" i="5"/>
  <c r="YO50" i="5"/>
  <c r="AJB50" i="5"/>
  <c r="GG51" i="5"/>
  <c r="QT51" i="5"/>
  <c r="ACD51" i="5"/>
  <c r="AT52" i="5"/>
  <c r="NE52" i="5"/>
  <c r="ZY52" i="5"/>
  <c r="N53" i="5"/>
  <c r="NB53" i="5"/>
  <c r="ABI53" i="5"/>
  <c r="ET54" i="5"/>
  <c r="AAS54" i="5"/>
  <c r="PQ55" i="5"/>
  <c r="JY56" i="5"/>
  <c r="RL50" i="5"/>
  <c r="ABX50" i="5"/>
  <c r="C51" i="5"/>
  <c r="JP51" i="5"/>
  <c r="UF51" i="5"/>
  <c r="AFY51" i="5"/>
  <c r="EO52" i="5"/>
  <c r="RG52" i="5"/>
  <c r="AEB52" i="5"/>
  <c r="DQ53" i="5"/>
  <c r="RJ53" i="5"/>
  <c r="AGH53" i="5"/>
  <c r="KT54" i="5"/>
  <c r="AIP54" i="5"/>
  <c r="AAS55" i="5"/>
  <c r="VZ56" i="5"/>
  <c r="VJ50" i="5"/>
  <c r="AJD50" i="5"/>
  <c r="MX51" i="5"/>
  <c r="ACF51" i="5"/>
  <c r="LS52" i="5"/>
  <c r="AJR52" i="5"/>
  <c r="VS53" i="5"/>
  <c r="GA54" i="5"/>
  <c r="OD55" i="5"/>
  <c r="QA57" i="5"/>
  <c r="AFF55" i="5"/>
  <c r="K57" i="5"/>
  <c r="RB55" i="5"/>
  <c r="SB56" i="5"/>
  <c r="AAK54" i="5"/>
  <c r="XQ55" i="5"/>
  <c r="OX56" i="5"/>
  <c r="WW54" i="5"/>
  <c r="ABS55" i="5"/>
  <c r="XR57" i="5"/>
  <c r="HW52" i="5"/>
  <c r="ACE52" i="5"/>
  <c r="OX53" i="5"/>
  <c r="GS54" i="5"/>
  <c r="MF55" i="5"/>
  <c r="GL56" i="5"/>
  <c r="OF52" i="5"/>
  <c r="AC53" i="5"/>
  <c r="ABN53" i="5"/>
  <c r="ABP54" i="5"/>
  <c r="VG55" i="5"/>
  <c r="SL57" i="5"/>
  <c r="GD57" i="5"/>
  <c r="ADS53" i="5"/>
  <c r="UK54" i="5"/>
  <c r="ADM55" i="5"/>
  <c r="YW53" i="5"/>
  <c r="R55" i="5"/>
  <c r="AFF56" i="5"/>
  <c r="P51" i="5"/>
  <c r="GH52" i="5"/>
  <c r="WV53" i="5"/>
  <c r="ZK55" i="5"/>
  <c r="ACM57" i="5"/>
  <c r="JM57" i="5"/>
  <c r="QM54" i="5"/>
  <c r="NO56" i="5"/>
  <c r="CQ56" i="5"/>
  <c r="UP55" i="5"/>
  <c r="OW49" i="5"/>
  <c r="YS49" i="5"/>
  <c r="AIO49" i="5"/>
  <c r="FC50" i="5"/>
  <c r="OY50" i="5"/>
  <c r="ZF50" i="5"/>
  <c r="AJS50" i="5"/>
  <c r="GX51" i="5"/>
  <c r="RK51" i="5"/>
  <c r="ACW51" i="5"/>
  <c r="BM52" i="5"/>
  <c r="NZ52" i="5"/>
  <c r="AAW52" i="5"/>
  <c r="AH53" i="5"/>
  <c r="NW53" i="5"/>
  <c r="ACF53" i="5"/>
  <c r="FU54" i="5"/>
  <c r="ACG54" i="5"/>
  <c r="RU55" i="5"/>
  <c r="MH56" i="5"/>
  <c r="SB50" i="5"/>
  <c r="ACO50" i="5"/>
  <c r="T51" i="5"/>
  <c r="KG51" i="5"/>
  <c r="UX51" i="5"/>
  <c r="AGR51" i="5"/>
  <c r="FI52" i="5"/>
  <c r="SA52" i="5"/>
  <c r="AEV52" i="5"/>
  <c r="EO53" i="5"/>
  <c r="SF53" i="5"/>
  <c r="AHJ53" i="5"/>
  <c r="MC54" i="5"/>
  <c r="AJV54" i="5"/>
  <c r="ACF55" i="5"/>
  <c r="YY56" i="5"/>
  <c r="WA50" i="5"/>
  <c r="AJU50" i="5"/>
  <c r="NO51" i="5"/>
  <c r="ACZ51" i="5"/>
  <c r="MM52" i="5"/>
  <c r="AKL52" i="5"/>
  <c r="WN53" i="5"/>
  <c r="QI54" i="5"/>
  <c r="QG55" i="5"/>
  <c r="YH57" i="5"/>
  <c r="AGJ55" i="5"/>
  <c r="CU57" i="5"/>
  <c r="SL55" i="5"/>
  <c r="TG56" i="5"/>
  <c r="ABK54" i="5"/>
  <c r="YX55" i="5"/>
  <c r="ABL56" i="5"/>
  <c r="YF54" i="5"/>
  <c r="ACX55" i="5"/>
  <c r="ACG57" i="5"/>
  <c r="IO52" i="5"/>
  <c r="ACW52" i="5"/>
  <c r="PQ53" i="5"/>
  <c r="HR54" i="5"/>
  <c r="NL55" i="5"/>
  <c r="WU56" i="5"/>
  <c r="OX52" i="5"/>
  <c r="AU53" i="5"/>
  <c r="ACM53" i="5"/>
  <c r="ACX54" i="5"/>
  <c r="WP55" i="5"/>
  <c r="US57" i="5"/>
  <c r="HV57" i="5"/>
  <c r="AEK53" i="5"/>
  <c r="AIF54" i="5"/>
  <c r="Q56" i="5"/>
  <c r="ZO53" i="5"/>
  <c r="AT55" i="5"/>
  <c r="AGX56" i="5"/>
  <c r="AF51" i="5"/>
  <c r="GY52" i="5"/>
  <c r="XN53" i="5"/>
  <c r="AAK55" i="5"/>
  <c r="YZ57" i="5"/>
  <c r="AAJ57" i="5"/>
  <c r="UX54" i="5"/>
  <c r="OO56" i="5"/>
  <c r="DM56" i="5"/>
  <c r="ALU55" i="5"/>
  <c r="AEV57" i="5"/>
  <c r="PM49" i="5"/>
  <c r="ZI49" i="5"/>
  <c r="AJE49" i="5"/>
  <c r="FS50" i="5"/>
  <c r="PO50" i="5"/>
  <c r="ZW50" i="5"/>
  <c r="AKJ50" i="5"/>
  <c r="HO51" i="5"/>
  <c r="SC51" i="5"/>
  <c r="ADP51" i="5"/>
  <c r="CH52" i="5"/>
  <c r="OT52" i="5"/>
  <c r="ABQ52" i="5"/>
  <c r="BC53" i="5"/>
  <c r="OR53" i="5"/>
  <c r="ADJ53" i="5"/>
  <c r="GZ54" i="5"/>
  <c r="ADT54" i="5"/>
  <c r="UG55" i="5"/>
  <c r="ON56" i="5"/>
  <c r="SS50" i="5"/>
  <c r="ADF50" i="5"/>
  <c r="AK51" i="5"/>
  <c r="KX51" i="5"/>
  <c r="VP51" i="5"/>
  <c r="AHK51" i="5"/>
  <c r="GB52" i="5"/>
  <c r="SW52" i="5"/>
  <c r="AFP52" i="5"/>
  <c r="FK53" i="5"/>
  <c r="TA53" i="5"/>
  <c r="AIG53" i="5"/>
  <c r="NL54" i="5"/>
  <c r="ALJ54" i="5"/>
  <c r="AEM55" i="5"/>
  <c r="ABH56" i="5"/>
  <c r="WR50" i="5"/>
  <c r="AKM50" i="5"/>
  <c r="OF51" i="5"/>
  <c r="AIY51" i="5"/>
  <c r="NH52" i="5"/>
  <c r="ALJ52" i="5"/>
  <c r="XP53" i="5"/>
  <c r="RW54" i="5"/>
  <c r="SE55" i="5"/>
  <c r="AFV57" i="5"/>
  <c r="AHW55" i="5"/>
  <c r="FK57" i="5"/>
  <c r="ACS55" i="5"/>
  <c r="UZ56" i="5"/>
  <c r="ACP54" i="5"/>
  <c r="AAD55" i="5"/>
  <c r="ADM56" i="5"/>
  <c r="ZG54" i="5"/>
  <c r="AEE55" i="5"/>
  <c r="AIQ57" i="5"/>
  <c r="JG52" i="5"/>
  <c r="AIL52" i="5"/>
  <c r="QJ53" i="5"/>
  <c r="IQ54" i="5"/>
  <c r="OU55" i="5"/>
  <c r="YJ56" i="5"/>
  <c r="PP52" i="5"/>
  <c r="BM53" i="5"/>
  <c r="ADI53" i="5"/>
  <c r="ADX54" i="5"/>
  <c r="CN56" i="5"/>
  <c r="WJ57" i="5"/>
  <c r="KF57" i="5"/>
  <c r="AFC53" i="5"/>
  <c r="AJB54" i="5"/>
  <c r="AQ56" i="5"/>
  <c r="AAG53" i="5"/>
  <c r="BS55" i="5"/>
  <c r="AIK56" i="5"/>
  <c r="OJ51" i="5"/>
  <c r="PM52" i="5"/>
  <c r="YF53" i="5"/>
  <c r="ABP55" i="5"/>
  <c r="AAF57" i="5"/>
  <c r="ABL57" i="5"/>
  <c r="VT54" i="5"/>
  <c r="PN56" i="5"/>
  <c r="KZ57" i="5"/>
  <c r="SE51" i="5"/>
  <c r="ADS51" i="5"/>
  <c r="CK52" i="5"/>
  <c r="OY52" i="5"/>
  <c r="ABS52" i="5"/>
  <c r="BF53" i="5"/>
  <c r="OV53" i="5"/>
  <c r="ADL53" i="5"/>
  <c r="HE54" i="5"/>
  <c r="AEC54" i="5"/>
  <c r="UI55" i="5"/>
  <c r="OU56" i="5"/>
  <c r="L55" i="5"/>
  <c r="TN55" i="5"/>
  <c r="BB56" i="5"/>
  <c r="YB56" i="5"/>
  <c r="M55" i="5"/>
  <c r="TP55" i="5"/>
  <c r="BC56" i="5"/>
  <c r="YD56" i="5"/>
  <c r="PD54" i="5"/>
  <c r="AHD54" i="5"/>
  <c r="NI55" i="5"/>
  <c r="AHY55" i="5"/>
  <c r="QH56" i="5"/>
  <c r="SG57" i="5"/>
  <c r="AAL54" i="5"/>
  <c r="JI55" i="5"/>
  <c r="ALX55" i="5"/>
  <c r="AAA56" i="5"/>
  <c r="AAW51" i="5"/>
  <c r="AV52" i="5"/>
  <c r="QG52" i="5"/>
  <c r="ADO52" i="5"/>
  <c r="DS53" i="5"/>
  <c r="RW53" i="5"/>
  <c r="AHO53" i="5"/>
  <c r="QF54" i="5"/>
  <c r="ALW54" i="5"/>
  <c r="WO55" i="5"/>
  <c r="HR56" i="5"/>
  <c r="OU57" i="5"/>
  <c r="QH52" i="5"/>
  <c r="ADP52" i="5"/>
  <c r="DT53" i="5"/>
  <c r="UE53" i="5"/>
  <c r="AKF53" i="5"/>
  <c r="QG54" i="5"/>
  <c r="ALX54" i="5"/>
  <c r="ADA55" i="5"/>
  <c r="AAG56" i="5"/>
  <c r="ABC57" i="5"/>
  <c r="NZ57" i="5"/>
  <c r="SS57" i="5"/>
  <c r="AGZ57" i="5"/>
  <c r="BC54" i="5"/>
  <c r="VH54" i="5"/>
  <c r="HN55" i="5"/>
  <c r="BR56" i="5"/>
  <c r="AGW56" i="5"/>
  <c r="AJJ53" i="5"/>
  <c r="VI54" i="5"/>
  <c r="QY55" i="5"/>
  <c r="QS56" i="5"/>
  <c r="AER57" i="5"/>
  <c r="DH51" i="5"/>
  <c r="ABF51" i="5"/>
  <c r="QU52" i="5"/>
  <c r="DX53" i="5"/>
  <c r="AKC53" i="5"/>
  <c r="AMA54" i="5"/>
  <c r="IH56" i="5"/>
  <c r="ADW57" i="5"/>
  <c r="QO57" i="5"/>
  <c r="ACR57" i="5"/>
  <c r="ALF57" i="5"/>
  <c r="AHS54" i="5"/>
  <c r="AHJ55" i="5"/>
  <c r="CH57" i="5"/>
  <c r="ABA54" i="5"/>
  <c r="AIU52" i="5"/>
  <c r="PA56" i="5"/>
  <c r="AEM51" i="5"/>
  <c r="DD52" i="5"/>
  <c r="PT52" i="5"/>
  <c r="ACM52" i="5"/>
  <c r="CA53" i="5"/>
  <c r="PS53" i="5"/>
  <c r="AEJ53" i="5"/>
  <c r="IJ54" i="5"/>
  <c r="AFR54" i="5"/>
  <c r="VY55" i="5"/>
  <c r="RD56" i="5"/>
  <c r="AV55" i="5"/>
  <c r="UW55" i="5"/>
  <c r="CH56" i="5"/>
  <c r="ZP56" i="5"/>
  <c r="AW55" i="5"/>
  <c r="UY55" i="5"/>
  <c r="CI56" i="5"/>
  <c r="ZQ56" i="5"/>
  <c r="QC54" i="5"/>
  <c r="AII54" i="5"/>
  <c r="OK55" i="5"/>
  <c r="AJH55" i="5"/>
  <c r="SC56" i="5"/>
  <c r="WF57" i="5"/>
  <c r="ABL54" i="5"/>
  <c r="KU55" i="5"/>
  <c r="W56" i="5"/>
  <c r="ABM56" i="5"/>
  <c r="ABO51" i="5"/>
  <c r="BN52" i="5"/>
  <c r="QZ52" i="5"/>
  <c r="AEG52" i="5"/>
  <c r="EL53" i="5"/>
  <c r="SQ53" i="5"/>
  <c r="ALA53" i="5"/>
  <c r="RJ54" i="5"/>
  <c r="Y55" i="5"/>
  <c r="XU55" i="5"/>
  <c r="JD56" i="5"/>
  <c r="TO57" i="5"/>
  <c r="RA52" i="5"/>
  <c r="AEH52" i="5"/>
  <c r="EM53" i="5"/>
  <c r="UY53" i="5"/>
  <c r="ALB53" i="5"/>
  <c r="RL54" i="5"/>
  <c r="Z55" i="5"/>
  <c r="AID55" i="5"/>
  <c r="ABO56" i="5"/>
  <c r="ADL57" i="5"/>
  <c r="QH57" i="5"/>
  <c r="UV57" i="5"/>
  <c r="AKF57" i="5"/>
  <c r="BX54" i="5"/>
  <c r="WD54" i="5"/>
  <c r="IL55" i="5"/>
  <c r="CV56" i="5"/>
  <c r="CQ57" i="5"/>
  <c r="AKB53" i="5"/>
  <c r="WE54" i="5"/>
  <c r="RY55" i="5"/>
  <c r="RV56" i="5"/>
  <c r="AHB57" i="5"/>
  <c r="DX51" i="5"/>
  <c r="ABW51" i="5"/>
  <c r="RL52" i="5"/>
  <c r="EP53" i="5"/>
  <c r="AKU53" i="5"/>
  <c r="S55" i="5"/>
  <c r="JI56" i="5"/>
  <c r="AFD57" i="5"/>
  <c r="RT57" i="5"/>
  <c r="AEB57" i="5"/>
  <c r="AI54" i="5"/>
  <c r="AIL54" i="5"/>
  <c r="AIG55" i="5"/>
  <c r="DN57" i="5"/>
  <c r="ABT54" i="5"/>
  <c r="AJK52" i="5"/>
  <c r="KQ54" i="5"/>
  <c r="ABH50" i="5"/>
  <c r="ALU50" i="5"/>
  <c r="IZ51" i="5"/>
  <c r="TO51" i="5"/>
  <c r="AFG51" i="5"/>
  <c r="DW52" i="5"/>
  <c r="QN52" i="5"/>
  <c r="ADI52" i="5"/>
  <c r="CV53" i="5"/>
  <c r="QO53" i="5"/>
  <c r="AFL53" i="5"/>
  <c r="JO54" i="5"/>
  <c r="AGX54" i="5"/>
  <c r="YN55" i="5"/>
  <c r="TV56" i="5"/>
  <c r="BZ55" i="5"/>
  <c r="VZ55" i="5"/>
  <c r="DO56" i="5"/>
  <c r="ABJ56" i="5"/>
  <c r="CA55" i="5"/>
  <c r="WL55" i="5"/>
  <c r="DP56" i="5"/>
  <c r="ABK56" i="5"/>
  <c r="RE54" i="5"/>
  <c r="AJN54" i="5"/>
  <c r="PT55" i="5"/>
  <c r="AKN55" i="5"/>
  <c r="TM56" i="5"/>
  <c r="ACF57" i="5"/>
  <c r="ACQ54" i="5"/>
  <c r="PZ55" i="5"/>
  <c r="BG56" i="5"/>
  <c r="ADN56" i="5"/>
  <c r="ACG51" i="5"/>
  <c r="CG52" i="5"/>
  <c r="RR52" i="5"/>
  <c r="AEY52" i="5"/>
  <c r="FE53" i="5"/>
  <c r="TK53" i="5"/>
  <c r="ALW53" i="5"/>
  <c r="SL54" i="5"/>
  <c r="BB55" i="5"/>
  <c r="ZE55" i="5"/>
  <c r="PB56" i="5"/>
  <c r="XS57" i="5"/>
  <c r="RS52" i="5"/>
  <c r="AEZ52" i="5"/>
  <c r="FF53" i="5"/>
  <c r="VR53" i="5"/>
  <c r="ALX53" i="5"/>
  <c r="SP54" i="5"/>
  <c r="BD55" i="5"/>
  <c r="AJK55" i="5"/>
  <c r="AR57" i="5"/>
  <c r="AGA57" i="5"/>
  <c r="SR57" i="5"/>
  <c r="ADO56" i="5"/>
  <c r="WS53" i="5"/>
  <c r="CU54" i="5"/>
  <c r="XC54" i="5"/>
  <c r="NQ55" i="5"/>
  <c r="DW56" i="5"/>
  <c r="EE57" i="5"/>
  <c r="AKT53" i="5"/>
  <c r="ACS54" i="5"/>
  <c r="TE55" i="5"/>
  <c r="SZ56" i="5"/>
  <c r="AKH57" i="5"/>
  <c r="EN51" i="5"/>
  <c r="ACN51" i="5"/>
  <c r="SC52" i="5"/>
  <c r="IC53" i="5"/>
  <c r="ALM53" i="5"/>
  <c r="AU55" i="5"/>
  <c r="KN56" i="5"/>
  <c r="AGL57" i="5"/>
  <c r="SY57" i="5"/>
  <c r="AFI57" i="5"/>
  <c r="AZ54" i="5"/>
  <c r="AJE54" i="5"/>
  <c r="AJC55" i="5"/>
  <c r="EV57" i="5"/>
  <c r="ACN54" i="5"/>
  <c r="AKA52" i="5"/>
  <c r="YU54" i="5"/>
  <c r="ABY50" i="5"/>
  <c r="D51" i="5"/>
  <c r="JQ51" i="5"/>
  <c r="UG51" i="5"/>
  <c r="AFZ51" i="5"/>
  <c r="EP52" i="5"/>
  <c r="RH52" i="5"/>
  <c r="AEC52" i="5"/>
  <c r="DU53" i="5"/>
  <c r="RL53" i="5"/>
  <c r="AGI53" i="5"/>
  <c r="LA54" i="5"/>
  <c r="AIR54" i="5"/>
  <c r="AAT55" i="5"/>
  <c r="WE56" i="5"/>
  <c r="DG55" i="5"/>
  <c r="XM55" i="5"/>
  <c r="EU56" i="5"/>
  <c r="ADK56" i="5"/>
  <c r="DH55" i="5"/>
  <c r="XP55" i="5"/>
  <c r="EV56" i="5"/>
  <c r="ADL56" i="5"/>
  <c r="SH54" i="5"/>
  <c r="AKN54" i="5"/>
  <c r="RH55" i="5"/>
  <c r="ALW55" i="5"/>
  <c r="VA56" i="5"/>
  <c r="AIN57" i="5"/>
  <c r="ADV54" i="5"/>
  <c r="RI55" i="5"/>
  <c r="CL56" i="5"/>
  <c r="AFX56" i="5"/>
  <c r="ACY51" i="5"/>
  <c r="FB52" i="5"/>
  <c r="SJ52" i="5"/>
  <c r="AFQ52" i="5"/>
  <c r="FX53" i="5"/>
  <c r="UD53" i="5"/>
  <c r="J54" i="5"/>
  <c r="TT54" i="5"/>
  <c r="CD55" i="5"/>
  <c r="AAF55" i="5"/>
  <c r="QW56" i="5"/>
  <c r="ACH57" i="5"/>
  <c r="SK52" i="5"/>
  <c r="AFR52" i="5"/>
  <c r="IG53" i="5"/>
  <c r="WK53" i="5"/>
  <c r="K54" i="5"/>
  <c r="TU54" i="5"/>
  <c r="CJ55" i="5"/>
  <c r="AKQ55" i="5"/>
  <c r="DH57" i="5"/>
  <c r="AIW57" i="5"/>
  <c r="UU57" i="5"/>
  <c r="AFD56" i="5"/>
  <c r="XL53" i="5"/>
  <c r="DP54" i="5"/>
  <c r="YB54" i="5"/>
  <c r="OW55" i="5"/>
  <c r="EX56" i="5"/>
  <c r="GF57" i="5"/>
  <c r="ALL53" i="5"/>
  <c r="ADQ54" i="5"/>
  <c r="UC55" i="5"/>
  <c r="UE56" i="5"/>
  <c r="ZJ50" i="5"/>
  <c r="FD51" i="5"/>
  <c r="ADF51" i="5"/>
  <c r="ST52" i="5"/>
  <c r="IU53" i="5"/>
  <c r="CW54" i="5"/>
  <c r="BU55" i="5"/>
  <c r="LX56" i="5"/>
  <c r="AHS57" i="5"/>
  <c r="UF57" i="5"/>
  <c r="AGU57" i="5"/>
  <c r="BR54" i="5"/>
  <c r="AJY54" i="5"/>
  <c r="AJX55" i="5"/>
  <c r="FZ57" i="5"/>
  <c r="ADG54" i="5"/>
  <c r="SB53" i="5"/>
  <c r="ALU54" i="5"/>
  <c r="ACP50" i="5"/>
  <c r="U51" i="5"/>
  <c r="KH51" i="5"/>
  <c r="UY51" i="5"/>
  <c r="AGS51" i="5"/>
  <c r="FJ52" i="5"/>
  <c r="SB52" i="5"/>
  <c r="AEW52" i="5"/>
  <c r="EQ53" i="5"/>
  <c r="SG53" i="5"/>
  <c r="AHK53" i="5"/>
  <c r="MD54" i="5"/>
  <c r="AJX54" i="5"/>
  <c r="ACK55" i="5"/>
  <c r="YZ56" i="5"/>
  <c r="EG55" i="5"/>
  <c r="YS55" i="5"/>
  <c r="GH56" i="5"/>
  <c r="AFN56" i="5"/>
  <c r="EH55" i="5"/>
  <c r="YT55" i="5"/>
  <c r="GI56" i="5"/>
  <c r="AFO56" i="5"/>
  <c r="TP54" i="5"/>
  <c r="ALT54" i="5"/>
  <c r="SN55" i="5"/>
  <c r="V56" i="5"/>
  <c r="WM56" i="5"/>
  <c r="JU54" i="5"/>
  <c r="AFA54" i="5"/>
  <c r="SO55" i="5"/>
  <c r="DU56" i="5"/>
  <c r="AHZ56" i="5"/>
  <c r="ADQ51" i="5"/>
  <c r="FT52" i="5"/>
  <c r="TB52" i="5"/>
  <c r="AGJ52" i="5"/>
  <c r="GQ53" i="5"/>
  <c r="XE53" i="5"/>
  <c r="AL54" i="5"/>
  <c r="UT54" i="5"/>
  <c r="DK55" i="5"/>
  <c r="ABT55" i="5"/>
  <c r="SE56" i="5"/>
  <c r="AIR57" i="5"/>
  <c r="TC52" i="5"/>
  <c r="AGK52" i="5"/>
  <c r="IZ53" i="5"/>
  <c r="XF53" i="5"/>
  <c r="AM54" i="5"/>
  <c r="UU54" i="5"/>
  <c r="IH55" i="5"/>
  <c r="AMD55" i="5"/>
  <c r="GY57" i="5"/>
  <c r="EA57" i="5"/>
  <c r="XC57" i="5"/>
  <c r="AGV56" i="5"/>
  <c r="YD53" i="5"/>
  <c r="EK54" i="5"/>
  <c r="ZA54" i="5"/>
  <c r="PU55" i="5"/>
  <c r="FV56" i="5"/>
  <c r="SU57" i="5"/>
  <c r="AME53" i="5"/>
  <c r="AEN54" i="5"/>
  <c r="VD55" i="5"/>
  <c r="AAR56" i="5"/>
  <c r="ZZ50" i="5"/>
  <c r="FT51" i="5"/>
  <c r="ADW51" i="5"/>
  <c r="TL52" i="5"/>
  <c r="JM53" i="5"/>
  <c r="DR54" i="5"/>
  <c r="HP55" i="5"/>
  <c r="MZ56" i="5"/>
  <c r="AJB57" i="5"/>
  <c r="VM57" i="5"/>
  <c r="AHV57" i="5"/>
  <c r="CJ54" i="5"/>
  <c r="AKR54" i="5"/>
  <c r="AKS55" i="5"/>
  <c r="HC57" i="5"/>
  <c r="ADZ54" i="5"/>
  <c r="SS53" i="5"/>
  <c r="QA55" i="5"/>
  <c r="ADG50" i="5"/>
  <c r="AL51" i="5"/>
  <c r="KY51" i="5"/>
  <c r="VQ51" i="5"/>
  <c r="AHL51" i="5"/>
  <c r="GC52" i="5"/>
  <c r="SX52" i="5"/>
  <c r="AFT52" i="5"/>
  <c r="FL53" i="5"/>
  <c r="TC53" i="5"/>
  <c r="AIH53" i="5"/>
  <c r="NM54" i="5"/>
  <c r="ALN54" i="5"/>
  <c r="AER55" i="5"/>
  <c r="ABI56" i="5"/>
  <c r="FN55" i="5"/>
  <c r="AAB55" i="5"/>
  <c r="HM56" i="5"/>
  <c r="AHL56" i="5"/>
  <c r="FT55" i="5"/>
  <c r="AAC55" i="5"/>
  <c r="HO56" i="5"/>
  <c r="AHW56" i="5"/>
  <c r="UR54" i="5"/>
  <c r="P55" i="5"/>
  <c r="TQ55" i="5"/>
  <c r="BD56" i="5"/>
  <c r="YH56" i="5"/>
  <c r="KX54" i="5"/>
  <c r="AJO54" i="5"/>
  <c r="TX55" i="5"/>
  <c r="FB56" i="5"/>
  <c r="AKP56" i="5"/>
  <c r="AEI51" i="5"/>
  <c r="GL52" i="5"/>
  <c r="TT52" i="5"/>
  <c r="AHB52" i="5"/>
  <c r="HL53" i="5"/>
  <c r="YB53" i="5"/>
  <c r="BJ54" i="5"/>
  <c r="VY54" i="5"/>
  <c r="EU55" i="5"/>
  <c r="AGY55" i="5"/>
  <c r="TS56" i="5"/>
  <c r="GN52" i="5"/>
  <c r="TU52" i="5"/>
  <c r="AHC52" i="5"/>
  <c r="JS53" i="5"/>
  <c r="YC53" i="5"/>
  <c r="BL54" i="5"/>
  <c r="VZ54" i="5"/>
  <c r="JU55" i="5"/>
  <c r="AF56" i="5"/>
  <c r="LD57" i="5"/>
  <c r="FS57" i="5"/>
  <c r="AGG57" i="5"/>
  <c r="AIG56" i="5"/>
  <c r="YV53" i="5"/>
  <c r="FK54" i="5"/>
  <c r="ADP54" i="5"/>
  <c r="QX55" i="5"/>
  <c r="HB56" i="5"/>
  <c r="VC57" i="5"/>
  <c r="O54" i="5"/>
  <c r="AFJ54" i="5"/>
  <c r="WE55" i="5"/>
  <c r="ACG56" i="5"/>
  <c r="AAP50" i="5"/>
  <c r="ND51" i="5"/>
  <c r="AEN51" i="5"/>
  <c r="UC52" i="5"/>
  <c r="KF53" i="5"/>
  <c r="ER54" i="5"/>
  <c r="IN55" i="5"/>
  <c r="UJ56" i="5"/>
  <c r="AKW57" i="5"/>
  <c r="WO57" i="5"/>
  <c r="AJJ57" i="5"/>
  <c r="DB54" i="5"/>
  <c r="ALO54" i="5"/>
  <c r="ALP55" i="5"/>
  <c r="IJ57" i="5"/>
  <c r="B55" i="5"/>
  <c r="AAP53" i="5"/>
  <c r="AES55" i="5"/>
  <c r="TK50" i="5"/>
  <c r="ADX50" i="5"/>
  <c r="BC51" i="5"/>
  <c r="LP51" i="5"/>
  <c r="WI51" i="5"/>
  <c r="AIF51" i="5"/>
  <c r="GW52" i="5"/>
  <c r="TR52" i="5"/>
  <c r="AGN52" i="5"/>
  <c r="GI53" i="5"/>
  <c r="TX53" i="5"/>
  <c r="AJL53" i="5"/>
  <c r="OS54" i="5"/>
  <c r="AE55" i="5"/>
  <c r="AGI55" i="5"/>
  <c r="AEP56" i="5"/>
  <c r="GV55" i="5"/>
  <c r="ABE55" i="5"/>
  <c r="IU56" i="5"/>
  <c r="AJM56" i="5"/>
  <c r="GW55" i="5"/>
  <c r="ABG55" i="5"/>
  <c r="IY56" i="5"/>
  <c r="AKK56" i="5"/>
  <c r="VW54" i="5"/>
  <c r="AZ55" i="5"/>
  <c r="UZ55" i="5"/>
  <c r="CJ56" i="5"/>
  <c r="ZZ56" i="5"/>
  <c r="LX54" i="5"/>
  <c r="AKO54" i="5"/>
  <c r="VA55" i="5"/>
  <c r="GK56" i="5"/>
  <c r="U57" i="5"/>
  <c r="AHE51" i="5"/>
  <c r="HE52" i="5"/>
  <c r="UL52" i="5"/>
  <c r="AHT52" i="5"/>
  <c r="IE53" i="5"/>
  <c r="YZ53" i="5"/>
  <c r="CI54" i="5"/>
  <c r="XA54" i="5"/>
  <c r="FY55" i="5"/>
  <c r="AIC55" i="5"/>
  <c r="VC56" i="5"/>
  <c r="HF52" i="5"/>
  <c r="UM52" i="5"/>
  <c r="AJX52" i="5"/>
  <c r="KM53" i="5"/>
  <c r="ZA53" i="5"/>
  <c r="CM54" i="5"/>
  <c r="XB54" i="5"/>
  <c r="KZ55" i="5"/>
  <c r="BI56" i="5"/>
  <c r="PF57" i="5"/>
  <c r="HT57" i="5"/>
  <c r="AJY57" i="5"/>
  <c r="AKD56" i="5"/>
  <c r="ZN53" i="5"/>
  <c r="GF54" i="5"/>
  <c r="AHG54" i="5"/>
  <c r="WD55" i="5"/>
  <c r="IA56" i="5"/>
  <c r="XF57" i="5"/>
  <c r="AG54" i="5"/>
  <c r="AKE54" i="5"/>
  <c r="AHU55" i="5"/>
  <c r="ADV56" i="5"/>
  <c r="ABF50" i="5"/>
  <c r="NT51" i="5"/>
  <c r="T52" i="5"/>
  <c r="ACP52" i="5"/>
  <c r="TZ53" i="5"/>
  <c r="QT54" i="5"/>
  <c r="SD55" i="5"/>
  <c r="AHB56" i="5"/>
  <c r="XV57" i="5"/>
  <c r="AIP56" i="5"/>
  <c r="CG57" i="5"/>
  <c r="MW54" i="5"/>
  <c r="JM55" i="5"/>
  <c r="KO56" i="5"/>
  <c r="ABN57" i="5"/>
  <c r="BT56" i="5"/>
  <c r="ABB54" i="5"/>
  <c r="AHU51" i="5"/>
  <c r="HP52" i="5"/>
  <c r="UT52" i="5"/>
  <c r="AKM52" i="5"/>
  <c r="KX53" i="5"/>
  <c r="ZP53" i="5"/>
  <c r="FM54" i="5"/>
  <c r="YD54" i="5"/>
  <c r="JT55" i="5"/>
  <c r="AFV55" i="5"/>
  <c r="VT56" i="5"/>
  <c r="TN57" i="5"/>
  <c r="OE57" i="5"/>
  <c r="ALX56" i="5"/>
  <c r="XW57" i="5"/>
  <c r="KM57" i="5"/>
  <c r="ALE57" i="5"/>
  <c r="RX57" i="5"/>
  <c r="DT54" i="5"/>
  <c r="WM54" i="5"/>
  <c r="A55" i="5"/>
  <c r="UN55" i="5"/>
  <c r="D56" i="5"/>
  <c r="XP56" i="5"/>
  <c r="JO57" i="5"/>
  <c r="GQ54" i="5"/>
  <c r="W55" i="5"/>
  <c r="AEI57" i="5"/>
  <c r="ABG53" i="5"/>
  <c r="ALP57" i="5"/>
  <c r="GD56" i="5"/>
  <c r="SP50" i="5"/>
  <c r="AHJ50" i="5"/>
  <c r="GJ51" i="5"/>
  <c r="SR51" i="5"/>
  <c r="AIL51" i="5"/>
  <c r="IG52" i="5"/>
  <c r="VK52" i="5"/>
  <c r="ALD52" i="5"/>
  <c r="LP53" i="5"/>
  <c r="AAH53" i="5"/>
  <c r="GH54" i="5"/>
  <c r="ZC54" i="5"/>
  <c r="KS55" i="5"/>
  <c r="AGV55" i="5"/>
  <c r="WX56" i="5"/>
  <c r="VE57" i="5"/>
  <c r="PI57" i="5"/>
  <c r="V57" i="5"/>
  <c r="AFH57" i="5"/>
  <c r="LW57" i="5"/>
  <c r="ACA56" i="5"/>
  <c r="TA57" i="5"/>
  <c r="EL54" i="5"/>
  <c r="XF54" i="5"/>
  <c r="V55" i="5"/>
  <c r="VL55" i="5"/>
  <c r="AB56" i="5"/>
  <c r="YS56" i="5"/>
  <c r="KT57" i="5"/>
  <c r="NP54" i="5"/>
  <c r="AR55" i="5"/>
  <c r="AJI51" i="5"/>
  <c r="ABX53" i="5"/>
  <c r="AJM57" i="5"/>
  <c r="SX57" i="5"/>
  <c r="AAY53" i="5"/>
  <c r="BZ54" i="5"/>
  <c r="XD54" i="5"/>
  <c r="CR55" i="5"/>
  <c r="XI55" i="5"/>
  <c r="JH56" i="5"/>
  <c r="AKF56" i="5"/>
  <c r="TF50" i="5"/>
  <c r="AHZ50" i="5"/>
  <c r="GZ51" i="5"/>
  <c r="TJ51" i="5"/>
  <c r="AJC51" i="5"/>
  <c r="IX52" i="5"/>
  <c r="WB52" i="5"/>
  <c r="ALU52" i="5"/>
  <c r="MI53" i="5"/>
  <c r="AEM53" i="5"/>
  <c r="HD54" i="5"/>
  <c r="ZY54" i="5"/>
  <c r="LT55" i="5"/>
  <c r="AHV55" i="5"/>
  <c r="YG56" i="5"/>
  <c r="XH57" i="5"/>
  <c r="QM57" i="5"/>
  <c r="AW57" i="5"/>
  <c r="AGR57" i="5"/>
  <c r="NC57" i="5"/>
  <c r="AIS56" i="5"/>
  <c r="UJ57" i="5"/>
  <c r="FE54" i="5"/>
  <c r="XY54" i="5"/>
  <c r="AP55" i="5"/>
  <c r="WG55" i="5"/>
  <c r="AX56" i="5"/>
  <c r="ZR56" i="5"/>
  <c r="NE57" i="5"/>
  <c r="OH54" i="5"/>
  <c r="BL55" i="5"/>
  <c r="AJY51" i="5"/>
  <c r="ACO53" i="5"/>
  <c r="VP54" i="5"/>
  <c r="AJT57" i="5"/>
  <c r="LV56" i="5"/>
  <c r="HX57" i="5"/>
  <c r="ABQ53" i="5"/>
  <c r="CV54" i="5"/>
  <c r="YC54" i="5"/>
  <c r="DO55" i="5"/>
  <c r="YI55" i="5"/>
  <c r="KM56" i="5"/>
  <c r="ALW56" i="5"/>
  <c r="TV50" i="5"/>
  <c r="AIP50" i="5"/>
  <c r="HP51" i="5"/>
  <c r="UA51" i="5"/>
  <c r="AJT51" i="5"/>
  <c r="JP52" i="5"/>
  <c r="WS52" i="5"/>
  <c r="D53" i="5"/>
  <c r="NA53" i="5"/>
  <c r="AFF53" i="5"/>
  <c r="IC54" i="5"/>
  <c r="AFQ54" i="5"/>
  <c r="MT55" i="5"/>
  <c r="AIV55" i="5"/>
  <c r="ZN56" i="5"/>
  <c r="ZT57" i="5"/>
  <c r="RS57" i="5"/>
  <c r="CA57" i="5"/>
  <c r="AHU57" i="5"/>
  <c r="OK57" i="5"/>
  <c r="AJX56" i="5"/>
  <c r="VO57" i="5"/>
  <c r="JJ54" i="5"/>
  <c r="YR54" i="5"/>
  <c r="BK55" i="5"/>
  <c r="XD55" i="5"/>
  <c r="BS56" i="5"/>
  <c r="AAZ56" i="5"/>
  <c r="VP57" i="5"/>
  <c r="PA54" i="5"/>
  <c r="CF55" i="5"/>
  <c r="AKO51" i="5"/>
  <c r="MY54" i="5"/>
  <c r="WG54" i="5"/>
  <c r="AGI56" i="5"/>
  <c r="JP55" i="5"/>
  <c r="AEN55" i="5"/>
  <c r="RT56" i="5"/>
  <c r="KH57" i="5"/>
  <c r="ACJ53" i="5"/>
  <c r="HC54" i="5"/>
  <c r="ZB54" i="5"/>
  <c r="EP55" i="5"/>
  <c r="ADP55" i="5"/>
  <c r="LW56" i="5"/>
  <c r="AP57" i="5"/>
  <c r="WX50" i="5"/>
  <c r="AJF50" i="5"/>
  <c r="IF51" i="5"/>
  <c r="XH51" i="5"/>
  <c r="AKK51" i="5"/>
  <c r="KG52" i="5"/>
  <c r="ZZ52" i="5"/>
  <c r="V53" i="5"/>
  <c r="NS53" i="5"/>
  <c r="AFX53" i="5"/>
  <c r="IY54" i="5"/>
  <c r="AGM54" i="5"/>
  <c r="NZ55" i="5"/>
  <c r="BY56" i="5"/>
  <c r="AAU56" i="5"/>
  <c r="ACD57" i="5"/>
  <c r="SW57" i="5"/>
  <c r="DI57" i="5"/>
  <c r="AJI57" i="5"/>
  <c r="PK57" i="5"/>
  <c r="ALA56" i="5"/>
  <c r="WV57" i="5"/>
  <c r="KC54" i="5"/>
  <c r="ZL54" i="5"/>
  <c r="GF55" i="5"/>
  <c r="XZ55" i="5"/>
  <c r="CO56" i="5"/>
  <c r="ACB56" i="5"/>
  <c r="WY57" i="5"/>
  <c r="PU54" i="5"/>
  <c r="JN55" i="5"/>
  <c r="ALE51" i="5"/>
  <c r="YA54" i="5"/>
  <c r="XP54" i="5"/>
  <c r="HG57" i="5"/>
  <c r="NY54" i="5"/>
  <c r="AFZ54" i="5"/>
  <c r="MD55" i="5"/>
  <c r="AGW55" i="5"/>
  <c r="OY56" i="5"/>
  <c r="LB57" i="5"/>
  <c r="AFB51" i="5"/>
  <c r="CY52" i="5"/>
  <c r="OD52" i="5"/>
  <c r="ZJ52" i="5"/>
  <c r="AKO52" i="5"/>
  <c r="IY53" i="5"/>
  <c r="UW53" i="5"/>
  <c r="AIJ53" i="5"/>
  <c r="KY54" i="5"/>
  <c r="ACU54" i="5"/>
  <c r="IG55" i="5"/>
  <c r="ACY55" i="5"/>
  <c r="KV56" i="5"/>
  <c r="AB57" i="5"/>
  <c r="LJ52" i="5"/>
  <c r="WP52" i="5"/>
  <c r="AHU52" i="5"/>
  <c r="FY53" i="5"/>
  <c r="RY53" i="5"/>
  <c r="AEZ53" i="5"/>
  <c r="GT54" i="5"/>
  <c r="YJ54" i="5"/>
  <c r="DL55" i="5"/>
  <c r="AEJ55" i="5"/>
  <c r="SF56" i="5"/>
  <c r="WI57" i="5"/>
  <c r="UT57" i="5"/>
  <c r="YV57" i="5"/>
  <c r="XD57" i="5"/>
  <c r="XE57" i="5"/>
  <c r="AGN53" i="5"/>
  <c r="IW54" i="5"/>
  <c r="AEM54" i="5"/>
  <c r="KQ55" i="5"/>
  <c r="AFN55" i="5"/>
  <c r="SY56" i="5"/>
  <c r="MP57" i="5"/>
  <c r="ADB53" i="5"/>
  <c r="HY54" i="5"/>
  <c r="ZX54" i="5"/>
  <c r="FQ55" i="5"/>
  <c r="AEO55" i="5"/>
  <c r="MY56" i="5"/>
  <c r="CR57" i="5"/>
  <c r="XN50" i="5"/>
  <c r="AJV50" i="5"/>
  <c r="IV51" i="5"/>
  <c r="XY51" i="5"/>
  <c r="ALB51" i="5"/>
  <c r="KX52" i="5"/>
  <c r="AAQ52" i="5"/>
  <c r="AM53" i="5"/>
  <c r="OK53" i="5"/>
  <c r="AGQ53" i="5"/>
  <c r="JT54" i="5"/>
  <c r="AHI54" i="5"/>
  <c r="OY55" i="5"/>
  <c r="CZ56" i="5"/>
  <c r="ACH56" i="5"/>
  <c r="AJA57" i="5"/>
  <c r="UB57" i="5"/>
  <c r="EP57" i="5"/>
  <c r="ALD57" i="5"/>
  <c r="QP57" i="5"/>
  <c r="ALZ56" i="5"/>
  <c r="XY57" i="5"/>
  <c r="KU54" i="5"/>
  <c r="AAE54" i="5"/>
  <c r="GZ55" i="5"/>
  <c r="YU55" i="5"/>
  <c r="HS56" i="5"/>
  <c r="ADD56" i="5"/>
  <c r="XZ57" i="5"/>
  <c r="QN54" i="5"/>
  <c r="ADD55" i="5"/>
  <c r="FG52" i="5"/>
  <c r="YT54" i="5"/>
  <c r="ND54" i="5"/>
  <c r="ZO57" i="5"/>
  <c r="PE54" i="5"/>
  <c r="AHE54" i="5"/>
  <c r="NJ55" i="5"/>
  <c r="AIB55" i="5"/>
  <c r="QI56" i="5"/>
  <c r="NU57" i="5"/>
  <c r="AFT51" i="5"/>
  <c r="DQ52" i="5"/>
  <c r="OW52" i="5"/>
  <c r="AAB52" i="5"/>
  <c r="ALH52" i="5"/>
  <c r="JR53" i="5"/>
  <c r="VQ53" i="5"/>
  <c r="AJG53" i="5"/>
  <c r="LY54" i="5"/>
  <c r="ADW54" i="5"/>
  <c r="JL55" i="5"/>
  <c r="AEF55" i="5"/>
  <c r="MD56" i="5"/>
  <c r="DG57" i="5"/>
  <c r="MC52" i="5"/>
  <c r="XH52" i="5"/>
  <c r="AIM52" i="5"/>
  <c r="GS53" i="5"/>
  <c r="SR53" i="5"/>
  <c r="AFY53" i="5"/>
  <c r="HS54" i="5"/>
  <c r="ZI54" i="5"/>
  <c r="EV55" i="5"/>
  <c r="AFM55" i="5"/>
  <c r="TT56" i="5"/>
  <c r="YQ57" i="5"/>
  <c r="WM57" i="5"/>
  <c r="ABG57" i="5"/>
  <c r="YY57" i="5"/>
  <c r="ZM57" i="5"/>
  <c r="AHG53" i="5"/>
  <c r="JR54" i="5"/>
  <c r="AFI54" i="5"/>
  <c r="LR55" i="5"/>
  <c r="AGS55" i="5"/>
  <c r="UD56" i="5"/>
  <c r="OR57" i="5"/>
  <c r="ADT53" i="5"/>
  <c r="IX54" i="5"/>
  <c r="AAU54" i="5"/>
  <c r="GQ55" i="5"/>
  <c r="AFO55" i="5"/>
  <c r="OD56" i="5"/>
  <c r="EF57" i="5"/>
  <c r="YD50" i="5"/>
  <c r="AKL50" i="5"/>
  <c r="JL51" i="5"/>
  <c r="YP51" i="5"/>
  <c r="ALS51" i="5"/>
  <c r="LO52" i="5"/>
  <c r="ABH52" i="5"/>
  <c r="BD53" i="5"/>
  <c r="PC53" i="5"/>
  <c r="AHI53" i="5"/>
  <c r="KP54" i="5"/>
  <c r="AIH54" i="5"/>
  <c r="PY55" i="5"/>
  <c r="DY56" i="5"/>
  <c r="ADW56" i="5"/>
  <c r="AKT57" i="5"/>
  <c r="VG57" i="5"/>
  <c r="LT57" i="5"/>
  <c r="AGH56" i="5"/>
  <c r="RW57" i="5"/>
  <c r="X57" i="5"/>
  <c r="ZC57" i="5"/>
  <c r="LM54" i="5"/>
  <c r="AAZ54" i="5"/>
  <c r="HU55" i="5"/>
  <c r="ZP55" i="5"/>
  <c r="IP56" i="5"/>
  <c r="AEH56" i="5"/>
  <c r="ZD57" i="5"/>
  <c r="RG54" i="5"/>
  <c r="AC56" i="5"/>
  <c r="FW52" i="5"/>
  <c r="ZN54" i="5"/>
  <c r="ACW54" i="5"/>
  <c r="KI55" i="5"/>
  <c r="AKL56" i="5"/>
  <c r="QD54" i="5"/>
  <c r="AIJ54" i="5"/>
  <c r="OL55" i="5"/>
  <c r="AJI55" i="5"/>
  <c r="SD56" i="5"/>
  <c r="SH57" i="5"/>
  <c r="AGL51" i="5"/>
  <c r="EJ52" i="5"/>
  <c r="PO52" i="5"/>
  <c r="AAT52" i="5"/>
  <c r="ALZ52" i="5"/>
  <c r="KK53" i="5"/>
  <c r="WJ53" i="5"/>
  <c r="AKE53" i="5"/>
  <c r="MZ54" i="5"/>
  <c r="AFB54" i="5"/>
  <c r="KX55" i="5"/>
  <c r="AFL55" i="5"/>
  <c r="NR56" i="5"/>
  <c r="GU57" i="5"/>
  <c r="MU52" i="5"/>
  <c r="XZ52" i="5"/>
  <c r="AJF52" i="5"/>
  <c r="HM53" i="5"/>
  <c r="TL53" i="5"/>
  <c r="AGU53" i="5"/>
  <c r="IV54" i="5"/>
  <c r="AAN54" i="5"/>
  <c r="FZ55" i="5"/>
  <c r="AGZ55" i="5"/>
  <c r="VF56" i="5"/>
  <c r="AAV57" i="5"/>
  <c r="YU57" i="5"/>
  <c r="ADN57" i="5"/>
  <c r="ABH57" i="5"/>
  <c r="ACA57" i="5"/>
  <c r="AHY53" i="5"/>
  <c r="KN54" i="5"/>
  <c r="AGK54" i="5"/>
  <c r="MR55" i="5"/>
  <c r="AHT55" i="5"/>
  <c r="VJ56" i="5"/>
  <c r="QZ57" i="5"/>
  <c r="AEL53" i="5"/>
  <c r="JS54" i="5"/>
  <c r="ABV54" i="5"/>
  <c r="HO55" i="5"/>
  <c r="AGT55" i="5"/>
  <c r="PK56" i="5"/>
  <c r="GI57" i="5"/>
  <c r="YT50" i="5"/>
  <c r="ALB50" i="5"/>
  <c r="KB51" i="5"/>
  <c r="ZG51" i="5"/>
  <c r="B52" i="5"/>
  <c r="MF52" i="5"/>
  <c r="ABY52" i="5"/>
  <c r="BU53" i="5"/>
  <c r="TH53" i="5"/>
  <c r="AIA53" i="5"/>
  <c r="LL54" i="5"/>
  <c r="AJD54" i="5"/>
  <c r="QZ55" i="5"/>
  <c r="EZ56" i="5"/>
  <c r="AFG56" i="5"/>
  <c r="AAA57" i="5"/>
  <c r="WN57" i="5"/>
  <c r="MZ57" i="5"/>
  <c r="AHM56" i="5"/>
  <c r="ZB57" i="5"/>
  <c r="BA57" i="5"/>
  <c r="AAK57" i="5"/>
  <c r="ME54" i="5"/>
  <c r="ABS54" i="5"/>
  <c r="IO55" i="5"/>
  <c r="AAM55" i="5"/>
  <c r="JQ56" i="5"/>
  <c r="AFI56" i="5"/>
  <c r="AAL57" i="5"/>
  <c r="RZ54" i="5"/>
  <c r="AY56" i="5"/>
  <c r="AAE52" i="5"/>
  <c r="AAI54" i="5"/>
  <c r="FE55" i="5"/>
  <c r="MB55" i="5"/>
  <c r="OQ56" i="5"/>
  <c r="AFQ57" i="5"/>
  <c r="GM52" i="5"/>
  <c r="AKQ52" i="5"/>
  <c r="ADF53" i="5"/>
  <c r="C55" i="5"/>
  <c r="LU56" i="5"/>
  <c r="AIC54" i="5"/>
  <c r="ALS56" i="5"/>
  <c r="WJ56" i="5"/>
  <c r="XG55" i="5"/>
  <c r="AEF57" i="5"/>
  <c r="HI54" i="5"/>
  <c r="ST54" i="5"/>
  <c r="AES54" i="5"/>
  <c r="MX55" i="5"/>
  <c r="PO56" i="5"/>
  <c r="AGX57" i="5"/>
  <c r="HC52" i="5"/>
  <c r="ALG52" i="5"/>
  <c r="ALT53" i="5"/>
  <c r="X55" i="5"/>
  <c r="MS56" i="5"/>
  <c r="IP55" i="5"/>
  <c r="WL57" i="5"/>
  <c r="CE57" i="5"/>
  <c r="I56" i="5"/>
  <c r="MA57" i="5"/>
  <c r="AFP57" i="5"/>
  <c r="IA54" i="5"/>
  <c r="TM54" i="5"/>
  <c r="AFN54" i="5"/>
  <c r="NS55" i="5"/>
  <c r="QL56" i="5"/>
  <c r="AIC57" i="5"/>
  <c r="HS52" i="5"/>
  <c r="FP53" i="5"/>
  <c r="C54" i="5"/>
  <c r="AS55" i="5"/>
  <c r="NQ56" i="5"/>
  <c r="ZU55" i="5"/>
  <c r="NA56" i="5"/>
  <c r="VW57" i="5"/>
  <c r="RU56" i="5"/>
  <c r="AGW57" i="5"/>
  <c r="IS54" i="5"/>
  <c r="UF54" i="5"/>
  <c r="AGH54" i="5"/>
  <c r="OS55" i="5"/>
  <c r="RN56" i="5"/>
  <c r="AJW57" i="5"/>
  <c r="PC52" i="5"/>
  <c r="GG53" i="5"/>
  <c r="T54" i="5"/>
  <c r="BM55" i="5"/>
  <c r="OR56" i="5"/>
  <c r="EK56" i="5"/>
  <c r="AEB56" i="5"/>
  <c r="AMB57" i="5"/>
  <c r="AKH56" i="5"/>
  <c r="AIT56" i="5"/>
  <c r="OM57" i="5"/>
  <c r="AHX57" i="5"/>
  <c r="JL54" i="5"/>
  <c r="VA54" i="5"/>
  <c r="AHA54" i="5"/>
  <c r="PN55" i="5"/>
  <c r="SN56" i="5"/>
  <c r="YW51" i="5"/>
  <c r="PS52" i="5"/>
  <c r="GX53" i="5"/>
  <c r="AK54" i="5"/>
  <c r="CG55" i="5"/>
  <c r="AEL56" i="5"/>
  <c r="XZ56" i="5"/>
  <c r="KQ57" i="5"/>
  <c r="BW55" i="5"/>
  <c r="PT57" i="5"/>
  <c r="PU53" i="5"/>
  <c r="AAZ53" i="5"/>
  <c r="AMF53" i="5"/>
  <c r="MJ54" i="5"/>
  <c r="AAV54" i="5"/>
  <c r="CS55" i="5"/>
  <c r="TF55" i="5"/>
  <c r="AJW55" i="5"/>
  <c r="OG56" i="5"/>
  <c r="AKI56" i="5"/>
  <c r="AES57" i="5"/>
  <c r="IA57" i="5"/>
  <c r="ABJ57" i="5"/>
  <c r="FU57" i="5"/>
  <c r="ZA57" i="5"/>
  <c r="W57" i="5"/>
  <c r="SZ57" i="5"/>
  <c r="ADA56" i="5"/>
  <c r="II57" i="5"/>
  <c r="ABM57" i="5"/>
  <c r="FW54" i="5"/>
  <c r="RF54" i="5"/>
  <c r="ADF54" i="5"/>
  <c r="CE55" i="5"/>
  <c r="PM55" i="5"/>
  <c r="ADC55" i="5"/>
  <c r="DK56" i="5"/>
  <c r="SJ56" i="5"/>
  <c r="AJY56" i="5"/>
  <c r="PO57" i="5"/>
  <c r="AJR57" i="5"/>
  <c r="KD54" i="5"/>
  <c r="VU54" i="5"/>
  <c r="AHT54" i="5"/>
  <c r="XE55" i="5"/>
  <c r="AFJ56" i="5"/>
  <c r="ZM51" i="5"/>
  <c r="QI52" i="5"/>
  <c r="HO53" i="5"/>
  <c r="BB54" i="5"/>
  <c r="OT55" i="5"/>
  <c r="AFK56" i="5"/>
  <c r="FL57" i="5"/>
  <c r="ACS57" i="5"/>
  <c r="SM55" i="5"/>
  <c r="AJL57" i="5"/>
  <c r="XV55" i="5"/>
  <c r="FI56" i="5"/>
  <c r="ADY56" i="5"/>
  <c r="ADK57" i="5"/>
  <c r="KA57" i="5"/>
  <c r="FT57" i="5"/>
  <c r="AKC56" i="5"/>
  <c r="ADT57" i="5"/>
  <c r="MO57" i="5"/>
  <c r="AAF53" i="5"/>
  <c r="ALK53" i="5"/>
  <c r="LJ54" i="5"/>
  <c r="ZW54" i="5"/>
  <c r="BR55" i="5"/>
  <c r="RX55" i="5"/>
  <c r="AIR55" i="5"/>
  <c r="MX56" i="5"/>
  <c r="AIJ56" i="5"/>
  <c r="ACB57" i="5"/>
  <c r="AFD53" i="5"/>
  <c r="DQ54" i="5"/>
  <c r="RP54" i="5"/>
  <c r="AGL54" i="5"/>
  <c r="IM55" i="5"/>
  <c r="ZJ55" i="5"/>
  <c r="CW56" i="5"/>
  <c r="VK56" i="5"/>
  <c r="IN57" i="5"/>
  <c r="UL50" i="5"/>
  <c r="AEH50" i="5"/>
  <c r="AV51" i="5"/>
  <c r="KR51" i="5"/>
  <c r="UR51" i="5"/>
  <c r="AFE51" i="5"/>
  <c r="CJ52" i="5"/>
  <c r="MW52" i="5"/>
  <c r="XJ52" i="5"/>
  <c r="AHW52" i="5"/>
  <c r="FH53" i="5"/>
  <c r="QM53" i="5"/>
  <c r="ABS53" i="5"/>
  <c r="P54" i="5"/>
  <c r="NG54" i="5"/>
  <c r="ABX54" i="5"/>
  <c r="DP55" i="5"/>
  <c r="UD55" i="5"/>
  <c r="ALC55" i="5"/>
  <c r="PL56" i="5"/>
  <c r="C57" i="5"/>
  <c r="AHC57" i="5"/>
  <c r="JG57" i="5"/>
  <c r="ACN57" i="5"/>
  <c r="GZ57" i="5"/>
  <c r="AAI57" i="5"/>
  <c r="AX57" i="5"/>
  <c r="UG57" i="5"/>
  <c r="AEG56" i="5"/>
  <c r="JN57" i="5"/>
  <c r="ACX57" i="5"/>
  <c r="GP54" i="5"/>
  <c r="RY54" i="5"/>
  <c r="ADY54" i="5"/>
  <c r="CY55" i="5"/>
  <c r="QH55" i="5"/>
  <c r="ADX55" i="5"/>
  <c r="EH56" i="5"/>
  <c r="TN56" i="5"/>
  <c r="ALB56" i="5"/>
  <c r="QW57" i="5"/>
  <c r="ALG57" i="5"/>
  <c r="KV54" i="5"/>
  <c r="WN54" i="5"/>
  <c r="AIM54" i="5"/>
  <c r="ZQ55" i="5"/>
  <c r="AGP56" i="5"/>
  <c r="AAC51" i="5"/>
  <c r="QY52" i="5"/>
  <c r="IF53" i="5"/>
  <c r="KE54" i="5"/>
  <c r="PO55" i="5"/>
  <c r="AHV56" i="5"/>
  <c r="ABO57" i="5"/>
  <c r="QN56" i="5"/>
  <c r="AGG55" i="5"/>
  <c r="TU57" i="5"/>
  <c r="ZF55" i="5"/>
  <c r="GM56" i="5"/>
  <c r="AFZ56" i="5"/>
  <c r="AFZ57" i="5"/>
  <c r="MD57" i="5"/>
  <c r="HU57" i="5"/>
  <c r="ALT56" i="5"/>
  <c r="AGH57" i="5"/>
  <c r="OQ57" i="5"/>
  <c r="AAX53" i="5"/>
  <c r="AMC53" i="5"/>
  <c r="MH54" i="5"/>
  <c r="AAT54" i="5"/>
  <c r="CQ55" i="5"/>
  <c r="TA55" i="5"/>
  <c r="AJU55" i="5"/>
  <c r="OB56" i="5"/>
  <c r="AKE56" i="5"/>
  <c r="AEL57" i="5"/>
  <c r="AFW53" i="5"/>
  <c r="EQ54" i="5"/>
  <c r="SN54" i="5"/>
  <c r="AHH54" i="5"/>
  <c r="JQ55" i="5"/>
  <c r="AAH55" i="5"/>
  <c r="DX56" i="5"/>
  <c r="WW56" i="5"/>
  <c r="KI57" i="5"/>
  <c r="VB50" i="5"/>
  <c r="AEX50" i="5"/>
  <c r="BL51" i="5"/>
  <c r="LH51" i="5"/>
  <c r="VI51" i="5"/>
  <c r="AFV51" i="5"/>
  <c r="DA52" i="5"/>
  <c r="NN52" i="5"/>
  <c r="YA52" i="5"/>
  <c r="AIN52" i="5"/>
  <c r="FZ53" i="5"/>
  <c r="RE53" i="5"/>
  <c r="ACK53" i="5"/>
  <c r="AH54" i="5"/>
  <c r="OB54" i="5"/>
  <c r="ACT54" i="5"/>
  <c r="ET55" i="5"/>
  <c r="VE55" i="5"/>
  <c r="AMB55" i="5"/>
  <c r="QT56" i="5"/>
  <c r="AQ57" i="5"/>
  <c r="AKI57" i="5"/>
  <c r="KK57" i="5"/>
  <c r="ADX57" i="5"/>
  <c r="IG57" i="5"/>
  <c r="ABK57" i="5"/>
  <c r="CF57" i="5"/>
  <c r="VN57" i="5"/>
  <c r="AFH56" i="5"/>
  <c r="KN57" i="5"/>
  <c r="AEE57" i="5"/>
  <c r="HH54" i="5"/>
  <c r="SS54" i="5"/>
  <c r="AER54" i="5"/>
  <c r="DW55" i="5"/>
  <c r="RD55" i="5"/>
  <c r="AEU55" i="5"/>
  <c r="FC56" i="5"/>
  <c r="UM56" i="5"/>
  <c r="AMD56" i="5"/>
  <c r="SA57" i="5"/>
  <c r="AJ54" i="5"/>
  <c r="LN54" i="5"/>
  <c r="XG54" i="5"/>
  <c r="AJF54" i="5"/>
  <c r="AAQ55" i="5"/>
  <c r="AHU56" i="5"/>
  <c r="AAS51" i="5"/>
  <c r="RO52" i="5"/>
  <c r="QC53" i="5"/>
  <c r="KW54" i="5"/>
  <c r="SX55" i="5"/>
  <c r="NK57" i="5"/>
  <c r="LR53" i="5"/>
  <c r="AGN56" i="5"/>
  <c r="IB56" i="5"/>
  <c r="ALQ57" i="5"/>
  <c r="AAL55" i="5"/>
  <c r="HV56" i="5"/>
  <c r="AIE56" i="5"/>
  <c r="AIV57" i="5"/>
  <c r="NW57" i="5"/>
  <c r="KE57" i="5"/>
  <c r="AI57" i="5"/>
  <c r="AJZ57" i="5"/>
  <c r="QJ57" i="5"/>
  <c r="ABP53" i="5"/>
  <c r="N54" i="5"/>
  <c r="NE54" i="5"/>
  <c r="ABR54" i="5"/>
  <c r="DN55" i="5"/>
  <c r="UB55" i="5"/>
  <c r="AKX55" i="5"/>
  <c r="PJ56" i="5"/>
  <c r="ALV56" i="5"/>
  <c r="AHA57" i="5"/>
  <c r="AGO53" i="5"/>
  <c r="FL54" i="5"/>
  <c r="TK54" i="5"/>
  <c r="AIG54" i="5"/>
  <c r="KR55" i="5"/>
  <c r="ABN55" i="5"/>
  <c r="EY56" i="5"/>
  <c r="YF56" i="5"/>
  <c r="MQ57" i="5"/>
  <c r="VR50" i="5"/>
  <c r="AFN50" i="5"/>
  <c r="CB51" i="5"/>
  <c r="LX51" i="5"/>
  <c r="VZ51" i="5"/>
  <c r="AGM51" i="5"/>
  <c r="DR52" i="5"/>
  <c r="OE52" i="5"/>
  <c r="YR52" i="5"/>
  <c r="AJE52" i="5"/>
  <c r="GR53" i="5"/>
  <c r="RX53" i="5"/>
  <c r="ADC53" i="5"/>
  <c r="BE54" i="5"/>
  <c r="OW54" i="5"/>
  <c r="ADR54" i="5"/>
  <c r="FR55" i="5"/>
  <c r="WF55" i="5"/>
  <c r="S56" i="5"/>
  <c r="RW56" i="5"/>
  <c r="CS57" i="5"/>
  <c r="AKJ57" i="5"/>
  <c r="LS57" i="5"/>
  <c r="AFG57" i="5"/>
  <c r="JH57" i="5"/>
  <c r="ACQ57" i="5"/>
  <c r="DJ57" i="5"/>
  <c r="WU57" i="5"/>
  <c r="AGK56" i="5"/>
  <c r="LZ57" i="5"/>
  <c r="AFJ57" i="5"/>
  <c r="HZ54" i="5"/>
  <c r="TL54" i="5"/>
  <c r="AFK54" i="5"/>
  <c r="EQ55" i="5"/>
  <c r="RZ55" i="5"/>
  <c r="AFQ55" i="5"/>
  <c r="FZ56" i="5"/>
  <c r="VN56" i="5"/>
  <c r="Y57" i="5"/>
  <c r="TB57" i="5"/>
  <c r="BA54" i="5"/>
  <c r="MF54" i="5"/>
  <c r="XZ54" i="5"/>
  <c r="AJZ54" i="5"/>
  <c r="ABL55" i="5"/>
  <c r="AIU56" i="5"/>
  <c r="ABI51" i="5"/>
  <c r="YY52" i="5"/>
  <c r="QT53" i="5"/>
  <c r="LO54" i="5"/>
  <c r="TT55" i="5"/>
  <c r="OO57" i="5"/>
  <c r="YP53" i="5"/>
  <c r="OZ57" i="5"/>
  <c r="VY56" i="5"/>
  <c r="LF57" i="5"/>
  <c r="HE55" i="5"/>
  <c r="ABU55" i="5"/>
  <c r="JF56" i="5"/>
  <c r="AKU56" i="5"/>
  <c r="NV57" i="5"/>
  <c r="QG57" i="5"/>
  <c r="MG57" i="5"/>
  <c r="BW57" i="5"/>
  <c r="ACE56" i="5"/>
  <c r="ST57" i="5"/>
  <c r="ACI53" i="5"/>
  <c r="AF54" i="5"/>
  <c r="NZ54" i="5"/>
  <c r="ACR54" i="5"/>
  <c r="EO55" i="5"/>
  <c r="VB55" i="5"/>
  <c r="ALY55" i="5"/>
  <c r="QJ56" i="5"/>
  <c r="AO57" i="5"/>
  <c r="AKG57" i="5"/>
  <c r="AHH53" i="5"/>
  <c r="GG54" i="5"/>
  <c r="UL54" i="5"/>
  <c r="AJC54" i="5"/>
  <c r="LS55" i="5"/>
  <c r="ACN55" i="5"/>
  <c r="FY56" i="5"/>
  <c r="ZL56" i="5"/>
  <c r="OS57" i="5"/>
  <c r="WH50" i="5"/>
  <c r="AGD50" i="5"/>
  <c r="CR51" i="5"/>
  <c r="MN51" i="5"/>
  <c r="WQ51" i="5"/>
  <c r="AHD51" i="5"/>
  <c r="EI52" i="5"/>
  <c r="OV52" i="5"/>
  <c r="ZI52" i="5"/>
  <c r="AJV52" i="5"/>
  <c r="HK53" i="5"/>
  <c r="SP53" i="5"/>
  <c r="ADU53" i="5"/>
  <c r="CB54" i="5"/>
  <c r="PX54" i="5"/>
  <c r="AEO54" i="5"/>
  <c r="GR55" i="5"/>
  <c r="XJ55" i="5"/>
  <c r="AU56" i="5"/>
  <c r="TB56" i="5"/>
  <c r="EG57" i="5"/>
  <c r="AHR57" i="5"/>
  <c r="MU57" i="5"/>
  <c r="AGQ57" i="5"/>
  <c r="KL57" i="5"/>
  <c r="AEA57" i="5"/>
  <c r="EQ57" i="5"/>
  <c r="XX57" i="5"/>
  <c r="AHN56" i="5"/>
  <c r="ND57" i="5"/>
  <c r="AGV57" i="5"/>
  <c r="IR54" i="5"/>
  <c r="UE54" i="5"/>
  <c r="AGG54" i="5"/>
  <c r="FK55" i="5"/>
  <c r="SV55" i="5"/>
  <c r="AGL55" i="5"/>
  <c r="GX56" i="5"/>
  <c r="WO56" i="5"/>
  <c r="BB57" i="5"/>
  <c r="UM57" i="5"/>
  <c r="BS54" i="5"/>
  <c r="MX54" i="5"/>
  <c r="YS54" i="5"/>
  <c r="AKU54" i="5"/>
  <c r="ACH55" i="5"/>
  <c r="AKA56" i="5"/>
  <c r="AIS51" i="5"/>
  <c r="ZO52" i="5"/>
  <c r="RK53" i="5"/>
  <c r="MG54" i="5"/>
  <c r="UR55" i="5"/>
  <c r="UP57" i="5"/>
  <c r="L54" i="5"/>
  <c r="AHF57" i="5"/>
  <c r="ALL56" i="5"/>
  <c r="AIT54" i="5"/>
  <c r="JJ55" i="5"/>
  <c r="ACT55" i="5"/>
  <c r="FD56" i="5"/>
  <c r="YW56" i="5"/>
  <c r="GQ57" i="5"/>
  <c r="ACV57" i="5"/>
  <c r="MH53" i="5"/>
  <c r="ZF53" i="5"/>
  <c r="AB54" i="5"/>
  <c r="NU54" i="5"/>
  <c r="AEV54" i="5"/>
  <c r="FW55" i="5"/>
  <c r="VI55" i="5"/>
  <c r="F56" i="5"/>
  <c r="SM56" i="5"/>
  <c r="BL57" i="5"/>
  <c r="XJ57" i="5"/>
  <c r="NS56" i="5"/>
  <c r="AEW56" i="5"/>
  <c r="LL57" i="5"/>
  <c r="AFK57" i="5"/>
  <c r="RH56" i="5"/>
  <c r="AHI56" i="5"/>
  <c r="PW57" i="5"/>
  <c r="AIH57" i="5"/>
  <c r="MM54" i="5"/>
  <c r="ZK54" i="5"/>
  <c r="BC55" i="5"/>
  <c r="QS55" i="5"/>
  <c r="AFK55" i="5"/>
  <c r="IF56" i="5"/>
  <c r="XC56" i="5"/>
  <c r="CZ57" i="5"/>
  <c r="WR57" i="5"/>
  <c r="ACO57" i="5"/>
  <c r="DS55" i="5"/>
  <c r="TD55" i="5"/>
  <c r="AGX55" i="5"/>
  <c r="IS56" i="5"/>
  <c r="WQ56" i="5"/>
  <c r="CV57" i="5"/>
  <c r="TR57" i="5"/>
  <c r="AKP57" i="5"/>
  <c r="AGZ56" i="5"/>
  <c r="HY57" i="5"/>
  <c r="AAG57" i="5"/>
  <c r="KY55" i="5"/>
  <c r="XW55" i="5"/>
  <c r="Y56" i="5"/>
  <c r="SK56" i="5"/>
  <c r="AKY56" i="5"/>
  <c r="QL57" i="5"/>
  <c r="DU57" i="5"/>
  <c r="UK57" i="5"/>
  <c r="AAN56" i="5"/>
  <c r="LV57" i="5"/>
  <c r="AGQ56" i="5"/>
  <c r="PQ57" i="5"/>
  <c r="AIJ57" i="5"/>
  <c r="WX54" i="5"/>
  <c r="AJK54" i="5"/>
  <c r="KC55" i="5"/>
  <c r="ADN55" i="5"/>
  <c r="FW56" i="5"/>
  <c r="ZS56" i="5"/>
  <c r="HQ57" i="5"/>
  <c r="AJO57" i="5"/>
  <c r="MX53" i="5"/>
  <c r="ZV53" i="5"/>
  <c r="AR54" i="5"/>
  <c r="OL54" i="5"/>
  <c r="AFM54" i="5"/>
  <c r="GO55" i="5"/>
  <c r="WC55" i="5"/>
  <c r="Z56" i="5"/>
  <c r="TL56" i="5"/>
  <c r="CL57" i="5"/>
  <c r="YP57" i="5"/>
  <c r="OK56" i="5"/>
  <c r="AIB56" i="5"/>
  <c r="MI57" i="5"/>
  <c r="AGI57" i="5"/>
  <c r="RZ56" i="5"/>
  <c r="AIC56" i="5"/>
  <c r="QR57" i="5"/>
  <c r="AJD57" i="5"/>
  <c r="NC54" i="5"/>
  <c r="AAA54" i="5"/>
  <c r="DB55" i="5"/>
  <c r="RK55" i="5"/>
  <c r="AGC55" i="5"/>
  <c r="IX56" i="5"/>
  <c r="AAD56" i="5"/>
  <c r="FO57" i="5"/>
  <c r="XQ57" i="5"/>
  <c r="ADI57" i="5"/>
  <c r="EI55" i="5"/>
  <c r="TU55" i="5"/>
  <c r="AIW55" i="5"/>
  <c r="JJ56" i="5"/>
  <c r="XK56" i="5"/>
  <c r="DP57" i="5"/>
  <c r="UN57" i="5"/>
  <c r="UF56" i="5"/>
  <c r="AHQ56" i="5"/>
  <c r="KU57" i="5"/>
  <c r="AAY57" i="5"/>
  <c r="LO55" i="5"/>
  <c r="ZS55" i="5"/>
  <c r="AO56" i="5"/>
  <c r="TA56" i="5"/>
  <c r="ALQ56" i="5"/>
  <c r="TH57" i="5"/>
  <c r="EK57" i="5"/>
  <c r="WW57" i="5"/>
  <c r="ABD56" i="5"/>
  <c r="ML57" i="5"/>
  <c r="AKB54" i="5"/>
  <c r="KV55" i="5"/>
  <c r="AEG55" i="5"/>
  <c r="GP56" i="5"/>
  <c r="AAS56" i="5"/>
  <c r="IP57" i="5"/>
  <c r="AKR57" i="5"/>
  <c r="NN53" i="5"/>
  <c r="AAL53" i="5"/>
  <c r="BH54" i="5"/>
  <c r="RB54" i="5"/>
  <c r="AGD54" i="5"/>
  <c r="HG55" i="5"/>
  <c r="WV55" i="5"/>
  <c r="AS56" i="5"/>
  <c r="UI56" i="5"/>
  <c r="DL57" i="5"/>
  <c r="ZR57" i="5"/>
  <c r="PC56" i="5"/>
  <c r="AIV56" i="5"/>
  <c r="NF57" i="5"/>
  <c r="AHE57" i="5"/>
  <c r="SR56" i="5"/>
  <c r="O57" i="5"/>
  <c r="RO57" i="5"/>
  <c r="AKB57" i="5"/>
  <c r="NS54" i="5"/>
  <c r="AAQ54" i="5"/>
  <c r="DT55" i="5"/>
  <c r="SC55" i="5"/>
  <c r="AGU55" i="5"/>
  <c r="JP56" i="5"/>
  <c r="AAX56" i="5"/>
  <c r="GL57" i="5"/>
  <c r="YL57" i="5"/>
  <c r="AEC57" i="5"/>
  <c r="GU55" i="5"/>
  <c r="UL55" i="5"/>
  <c r="AJN55" i="5"/>
  <c r="KA56" i="5"/>
  <c r="YC56" i="5"/>
  <c r="EJ57" i="5"/>
  <c r="VH57" i="5"/>
  <c r="UV56" i="5"/>
  <c r="AIH56" i="5"/>
  <c r="MW57" i="5"/>
  <c r="ABQ57" i="5"/>
  <c r="ME55" i="5"/>
  <c r="AAI55" i="5"/>
  <c r="DQ56" i="5"/>
  <c r="TQ56" i="5"/>
  <c r="AMH56" i="5"/>
  <c r="TZ57" i="5"/>
  <c r="FA57" i="5"/>
  <c r="XM57" i="5"/>
  <c r="AGR56" i="5"/>
  <c r="NB57" i="5"/>
  <c r="AJA56" i="5"/>
  <c r="VT57" i="5"/>
  <c r="AKN57" i="5"/>
  <c r="YG54" i="5"/>
  <c r="AKS54" i="5"/>
  <c r="PJ55" i="5"/>
  <c r="AFA55" i="5"/>
  <c r="HJ56" i="5"/>
  <c r="ABW56" i="5"/>
  <c r="JR57" i="5"/>
  <c r="ALU57" i="5"/>
  <c r="OD53" i="5"/>
  <c r="ABB53" i="5"/>
  <c r="BY54" i="5"/>
  <c r="RS54" i="5"/>
  <c r="AGV54" i="5"/>
  <c r="HY55" i="5"/>
  <c r="XO55" i="5"/>
  <c r="DS56" i="5"/>
  <c r="VE56" i="5"/>
  <c r="EO57" i="5"/>
  <c r="AAR57" i="5"/>
  <c r="PU56" i="5"/>
  <c r="AJR56" i="5"/>
  <c r="OA57" i="5"/>
  <c r="AIG57" i="5"/>
  <c r="TJ56" i="5"/>
  <c r="AK57" i="5"/>
  <c r="SJ57" i="5"/>
  <c r="AKZ57" i="5"/>
  <c r="OI54" i="5"/>
  <c r="ADC54" i="5"/>
  <c r="EK55" i="5"/>
  <c r="SU55" i="5"/>
  <c r="AHM55" i="5"/>
  <c r="KH56" i="5"/>
  <c r="ABV56" i="5"/>
  <c r="HI57" i="5"/>
  <c r="ZG57" i="5"/>
  <c r="AEY57" i="5"/>
  <c r="HK55" i="5"/>
  <c r="VC55" i="5"/>
  <c r="AKF55" i="5"/>
  <c r="KR56" i="5"/>
  <c r="ACN56" i="5"/>
  <c r="FH57" i="5"/>
  <c r="WD57" i="5"/>
  <c r="VL56" i="5"/>
  <c r="AIY56" i="5"/>
  <c r="NO57" i="5"/>
  <c r="ACI57" i="5"/>
  <c r="MU55" i="5"/>
  <c r="AAY55" i="5"/>
  <c r="GC56" i="5"/>
  <c r="UG56" i="5"/>
  <c r="Q57" i="5"/>
  <c r="UR57" i="5"/>
  <c r="FQ57" i="5"/>
  <c r="YC57" i="5"/>
  <c r="AHH56" i="5"/>
  <c r="NR57" i="5"/>
  <c r="DD55" i="5"/>
  <c r="QI55" i="5"/>
  <c r="ADY55" i="5"/>
  <c r="EI56" i="5"/>
  <c r="TO56" i="5"/>
  <c r="ALC56" i="5"/>
  <c r="QX57" i="5"/>
  <c r="ALH57" i="5"/>
  <c r="ABY51" i="5"/>
  <c r="ALU51" i="5"/>
  <c r="II52" i="5"/>
  <c r="SE52" i="5"/>
  <c r="ACA52" i="5"/>
  <c r="ALW52" i="5"/>
  <c r="IW53" i="5"/>
  <c r="TJ53" i="5"/>
  <c r="ADW53" i="5"/>
  <c r="BT54" i="5"/>
  <c r="NQ54" i="5"/>
  <c r="ABU54" i="5"/>
  <c r="FM55" i="5"/>
  <c r="VN55" i="5"/>
  <c r="ALR55" i="5"/>
  <c r="PP56" i="5"/>
  <c r="AKB56" i="5"/>
  <c r="XB57" i="5"/>
  <c r="ALS57" i="5"/>
  <c r="YX54" i="5"/>
  <c r="ALK54" i="5"/>
  <c r="QC55" i="5"/>
  <c r="AFT55" i="5"/>
  <c r="JW56" i="5"/>
  <c r="ACT56" i="5"/>
  <c r="NX57" i="5"/>
  <c r="BV53" i="5"/>
  <c r="OT53" i="5"/>
  <c r="ACX53" i="5"/>
  <c r="CP54" i="5"/>
  <c r="SJ54" i="5"/>
  <c r="AHM54" i="5"/>
  <c r="IR55" i="5"/>
  <c r="ZW55" i="5"/>
  <c r="EL56" i="5"/>
  <c r="WD56" i="5"/>
  <c r="FP57" i="5"/>
  <c r="ABP57" i="5"/>
  <c r="UA56" i="5"/>
  <c r="AKM56" i="5"/>
  <c r="OY57" i="5"/>
  <c r="AJC57" i="5"/>
  <c r="UB56" i="5"/>
  <c r="BG57" i="5"/>
  <c r="TI57" i="5"/>
  <c r="ALX57" i="5"/>
  <c r="OY54" i="5"/>
  <c r="ADS54" i="5"/>
  <c r="FB55" i="5"/>
  <c r="TM55" i="5"/>
  <c r="AIE55" i="5"/>
  <c r="NC56" i="5"/>
  <c r="ACP56" i="5"/>
  <c r="IF57" i="5"/>
  <c r="AAE57" i="5"/>
  <c r="AFS57" i="5"/>
  <c r="IA55" i="5"/>
  <c r="VT55" i="5"/>
  <c r="AKW55" i="5"/>
  <c r="LI56" i="5"/>
  <c r="ADG56" i="5"/>
  <c r="GB57" i="5"/>
  <c r="WZ57" i="5"/>
  <c r="WB56" i="5"/>
  <c r="ALO56" i="5"/>
  <c r="OI57" i="5"/>
  <c r="ADC57" i="5"/>
  <c r="NK55" i="5"/>
  <c r="ABO55" i="5"/>
  <c r="GS56" i="5"/>
  <c r="UW56" i="5"/>
  <c r="AH57" i="5"/>
  <c r="YF57" i="5"/>
  <c r="GG57" i="5"/>
  <c r="YS57" i="5"/>
  <c r="AHX56" i="5"/>
  <c r="OH57" i="5"/>
  <c r="DX55" i="5"/>
  <c r="RF55" i="5"/>
  <c r="AEV55" i="5"/>
  <c r="FF56" i="5"/>
  <c r="UN56" i="5"/>
  <c r="A57" i="5"/>
  <c r="SB57" i="5"/>
  <c r="SS51" i="5"/>
  <c r="ACO51" i="5"/>
  <c r="C52" i="5"/>
  <c r="IY52" i="5"/>
  <c r="SU52" i="5"/>
  <c r="ACQ52" i="5"/>
  <c r="E53" i="5"/>
  <c r="JN53" i="5"/>
  <c r="UA53" i="5"/>
  <c r="AEN53" i="5"/>
  <c r="CL54" i="5"/>
  <c r="OJ54" i="5"/>
  <c r="ACO54" i="5"/>
  <c r="GH55" i="5"/>
  <c r="WJ55" i="5"/>
  <c r="H56" i="5"/>
  <c r="QR56" i="5"/>
  <c r="BD57" i="5"/>
  <c r="YB57" i="5"/>
  <c r="AIK57" i="5"/>
  <c r="ZO54" i="5"/>
  <c r="AMD54" i="5"/>
  <c r="QV55" i="5"/>
  <c r="AGN55" i="5"/>
  <c r="KS56" i="5"/>
  <c r="ADR56" i="5"/>
  <c r="RB57" i="5"/>
  <c r="CL53" i="5"/>
  <c r="PJ53" i="5"/>
  <c r="ADN53" i="5"/>
  <c r="FG54" i="5"/>
  <c r="UI54" i="5"/>
  <c r="AID54" i="5"/>
  <c r="JK55" i="5"/>
  <c r="AAP55" i="5"/>
  <c r="FE56" i="5"/>
  <c r="YX56" i="5"/>
  <c r="GR57" i="5"/>
  <c r="ACW57" i="5"/>
  <c r="UT56" i="5"/>
  <c r="ALG56" i="5"/>
  <c r="RN57" i="5"/>
  <c r="AKA57" i="5"/>
  <c r="XB56" i="5"/>
  <c r="CD57" i="5"/>
  <c r="UD57" i="5"/>
  <c r="CQ54" i="5"/>
  <c r="PO54" i="5"/>
  <c r="AEI54" i="5"/>
  <c r="FS55" i="5"/>
  <c r="UF55" i="5"/>
  <c r="AKI55" i="5"/>
  <c r="NU56" i="5"/>
  <c r="ADJ56" i="5"/>
  <c r="JA57" i="5"/>
  <c r="ABB57" i="5"/>
  <c r="AKO57" i="5"/>
  <c r="IQ55" i="5"/>
  <c r="WK55" i="5"/>
  <c r="ALN55" i="5"/>
  <c r="LZ56" i="5"/>
  <c r="ADZ56" i="5"/>
  <c r="GV57" i="5"/>
  <c r="XT57" i="5"/>
  <c r="WR56" i="5"/>
  <c r="AMG56" i="5"/>
  <c r="PA57" i="5"/>
  <c r="ADU57" i="5"/>
  <c r="OA55" i="5"/>
  <c r="AEA55" i="5"/>
  <c r="HI56" i="5"/>
  <c r="WS56" i="5"/>
  <c r="AZ57" i="5"/>
  <c r="YX57" i="5"/>
  <c r="GW57" i="5"/>
  <c r="ZI57" i="5"/>
  <c r="AIN56" i="5"/>
  <c r="OX57" i="5"/>
  <c r="ER55" i="5"/>
  <c r="SA55" i="5"/>
  <c r="AFR55" i="5"/>
  <c r="GA56" i="5"/>
  <c r="VR56" i="5"/>
  <c r="Z57" i="5"/>
  <c r="TL57" i="5"/>
  <c r="TI51" i="5"/>
  <c r="ADE51" i="5"/>
  <c r="S52" i="5"/>
  <c r="JO52" i="5"/>
  <c r="TK52" i="5"/>
  <c r="ADG52" i="5"/>
  <c r="U53" i="5"/>
  <c r="KE53" i="5"/>
  <c r="UR53" i="5"/>
  <c r="AFE53" i="5"/>
  <c r="DD54" i="5"/>
  <c r="PB54" i="5"/>
  <c r="ADH54" i="5"/>
  <c r="HC55" i="5"/>
  <c r="XF55" i="5"/>
  <c r="AD56" i="5"/>
  <c r="RO56" i="5"/>
  <c r="CN57" i="5"/>
  <c r="ZL57" i="5"/>
  <c r="AJN57" i="5"/>
  <c r="AAF54" i="5"/>
  <c r="CH55" i="5"/>
  <c r="RO55" i="5"/>
  <c r="AHG55" i="5"/>
  <c r="LN56" i="5"/>
  <c r="AEQ56" i="5"/>
  <c r="SE57" i="5"/>
  <c r="DB53" i="5"/>
  <c r="PZ53" i="5"/>
  <c r="AED53" i="5"/>
  <c r="FX54" i="5"/>
  <c r="UZ54" i="5"/>
  <c r="AIU54" i="5"/>
  <c r="KD55" i="5"/>
  <c r="ADO55" i="5"/>
  <c r="FX56" i="5"/>
  <c r="ZV56" i="5"/>
  <c r="HS57" i="5"/>
  <c r="ADZ57" i="5"/>
  <c r="VO56" i="5"/>
  <c r="AMA56" i="5"/>
  <c r="SI57" i="5"/>
  <c r="AKY57" i="5"/>
  <c r="ZI56" i="5"/>
  <c r="CY57" i="5"/>
  <c r="UY57" i="5"/>
  <c r="DG54" i="5"/>
  <c r="SA54" i="5"/>
  <c r="AGE54" i="5"/>
  <c r="GJ55" i="5"/>
  <c r="UX55" i="5"/>
  <c r="ALA55" i="5"/>
  <c r="OM56" i="5"/>
  <c r="AFU56" i="5"/>
  <c r="JV57" i="5"/>
  <c r="ABY57" i="5"/>
  <c r="ALI57" i="5"/>
  <c r="JH55" i="5"/>
  <c r="YJ55" i="5"/>
  <c r="AME55" i="5"/>
  <c r="OP56" i="5"/>
  <c r="AES56" i="5"/>
  <c r="HR57" i="5"/>
  <c r="AAD57" i="5"/>
  <c r="XH56" i="5"/>
  <c r="P57" i="5"/>
  <c r="PS57" i="5"/>
  <c r="AEM57" i="5"/>
  <c r="PW55" i="5"/>
  <c r="AEQ55" i="5"/>
  <c r="HY56" i="5"/>
  <c r="XI56" i="5"/>
  <c r="BR57" i="5"/>
  <c r="AAZ57" i="5"/>
  <c r="HM57" i="5"/>
  <c r="ZY57" i="5"/>
  <c r="AKJ56" i="5"/>
  <c r="WH57" i="5"/>
  <c r="FL55" i="5"/>
  <c r="SW55" i="5"/>
  <c r="AGP55" i="5"/>
  <c r="GY56" i="5"/>
  <c r="WP56" i="5"/>
  <c r="BC57" i="5"/>
  <c r="UO57" i="5"/>
  <c r="TY51" i="5"/>
  <c r="ADU51" i="5"/>
  <c r="AI52" i="5"/>
  <c r="KE52" i="5"/>
  <c r="UA52" i="5"/>
  <c r="ADW52" i="5"/>
  <c r="AK53" i="5"/>
  <c r="KV53" i="5"/>
  <c r="VI53" i="5"/>
  <c r="AFV53" i="5"/>
  <c r="DV54" i="5"/>
  <c r="PV54" i="5"/>
  <c r="AGI54" i="5"/>
  <c r="HW55" i="5"/>
  <c r="YB55" i="5"/>
  <c r="AZ56" i="5"/>
  <c r="SP56" i="5"/>
  <c r="DQ57" i="5"/>
  <c r="AAN57" i="5"/>
  <c r="AKQ57" i="5"/>
  <c r="AAW54" i="5"/>
  <c r="CZ55" i="5"/>
  <c r="SH55" i="5"/>
  <c r="AHZ55" i="5"/>
  <c r="MM56" i="5"/>
  <c r="AIQ56" i="5"/>
  <c r="TC57" i="5"/>
  <c r="DR53" i="5"/>
  <c r="QP53" i="5"/>
  <c r="AET53" i="5"/>
  <c r="GO54" i="5"/>
  <c r="VQ54" i="5"/>
  <c r="AJL54" i="5"/>
  <c r="KW55" i="5"/>
  <c r="AEI55" i="5"/>
  <c r="GQ56" i="5"/>
  <c r="AAT56" i="5"/>
  <c r="IU57" i="5"/>
  <c r="AKS57" i="5"/>
  <c r="WH56" i="5"/>
  <c r="M57" i="5"/>
  <c r="TD57" i="5"/>
  <c r="ALW57" i="5"/>
  <c r="AAC56" i="5"/>
  <c r="DX57" i="5"/>
  <c r="VV57" i="5"/>
  <c r="DW54" i="5"/>
  <c r="SQ54" i="5"/>
  <c r="AGU54" i="5"/>
  <c r="HA55" i="5"/>
  <c r="VP55" i="5"/>
  <c r="AM56" i="5"/>
  <c r="PE56" i="5"/>
  <c r="AGO56" i="5"/>
  <c r="KS57" i="5"/>
  <c r="ACU57" i="5"/>
  <c r="AMC57" i="5"/>
  <c r="JY55" i="5"/>
  <c r="ZA55" i="5"/>
  <c r="N56" i="5"/>
  <c r="QP56" i="5"/>
  <c r="AFM56" i="5"/>
  <c r="IL57" i="5"/>
  <c r="AAX57" i="5"/>
  <c r="ZT56" i="5"/>
  <c r="BQ57" i="5"/>
  <c r="QK57" i="5"/>
  <c r="AFE57" i="5"/>
  <c r="QM55" i="5"/>
  <c r="AFG55" i="5"/>
  <c r="IO56" i="5"/>
  <c r="ZU56" i="5"/>
  <c r="CJ57" i="5"/>
  <c r="ABR57" i="5"/>
  <c r="IC57" i="5"/>
  <c r="AGS57" i="5"/>
  <c r="AKZ56" i="5"/>
  <c r="WX57" i="5"/>
  <c r="GG55" i="5"/>
  <c r="TS55" i="5"/>
  <c r="AHK55" i="5"/>
  <c r="HT56" i="5"/>
  <c r="XQ56" i="5"/>
  <c r="CM57" i="5"/>
  <c r="VS57" i="5"/>
  <c r="UO51" i="5"/>
  <c r="AEK51" i="5"/>
  <c r="AY52" i="5"/>
  <c r="KU52" i="5"/>
  <c r="UQ52" i="5"/>
  <c r="AEM52" i="5"/>
  <c r="BA53" i="5"/>
  <c r="LM53" i="5"/>
  <c r="VZ53" i="5"/>
  <c r="AGM53" i="5"/>
  <c r="EO54" i="5"/>
  <c r="QO54" i="5"/>
  <c r="AHB54" i="5"/>
  <c r="IT55" i="5"/>
  <c r="YW55" i="5"/>
  <c r="BV56" i="5"/>
  <c r="WT56" i="5"/>
  <c r="EX57" i="5"/>
  <c r="ABZ57" i="5"/>
  <c r="ALT57" i="5"/>
  <c r="ABN54" i="5"/>
  <c r="DR55" i="5"/>
  <c r="TB55" i="5"/>
  <c r="AIS55" i="5"/>
  <c r="NI56" i="5"/>
  <c r="AJN56" i="5"/>
  <c r="UH57" i="5"/>
  <c r="EH53" i="5"/>
  <c r="RF53" i="5"/>
  <c r="AHF53" i="5"/>
  <c r="HF54" i="5"/>
  <c r="WH54" i="5"/>
  <c r="AKC54" i="5"/>
  <c r="LQ55" i="5"/>
  <c r="AFB55" i="5"/>
  <c r="HL56" i="5"/>
  <c r="ABX56" i="5"/>
  <c r="JS57" i="5"/>
  <c r="ALV57" i="5"/>
  <c r="XA56" i="5"/>
  <c r="AJ57" i="5"/>
  <c r="UC57" i="5"/>
  <c r="KG56" i="5"/>
  <c r="AAW56" i="5"/>
  <c r="ES57" i="5"/>
  <c r="WQ57" i="5"/>
  <c r="EM54" i="5"/>
  <c r="TG54" i="5"/>
  <c r="AHK54" i="5"/>
  <c r="HR55" i="5"/>
  <c r="WH55" i="5"/>
  <c r="BF56" i="5"/>
  <c r="PW56" i="5"/>
  <c r="AHJ56" i="5"/>
  <c r="LP57" i="5"/>
  <c r="AII57" i="5"/>
  <c r="AKW54" i="5"/>
  <c r="KP55" i="5"/>
  <c r="ZR55" i="5"/>
  <c r="AE56" i="5"/>
  <c r="RG56" i="5"/>
  <c r="AGF56" i="5"/>
  <c r="JF57" i="5"/>
  <c r="ABT57" i="5"/>
  <c r="AAK56" i="5"/>
  <c r="CI57" i="5"/>
  <c r="RC57" i="5"/>
  <c r="AFW57" i="5"/>
  <c r="SY55" i="5"/>
  <c r="AGM55" i="5"/>
  <c r="JE56" i="5"/>
  <c r="AAL56" i="5"/>
  <c r="JL57" i="5"/>
  <c r="AEN57" i="5"/>
  <c r="JY57" i="5"/>
  <c r="AHI57" i="5"/>
  <c r="AD57" i="5"/>
  <c r="XN57" i="5"/>
  <c r="HB55" i="5"/>
  <c r="UQ55" i="5"/>
  <c r="AIH55" i="5"/>
  <c r="IQ56" i="5"/>
  <c r="YT56" i="5"/>
  <c r="DO57" i="5"/>
  <c r="XA57" i="5"/>
  <c r="VE51" i="5"/>
  <c r="AFA51" i="5"/>
  <c r="BO52" i="5"/>
  <c r="LK52" i="5"/>
  <c r="VG52" i="5"/>
  <c r="AFC52" i="5"/>
  <c r="BQ53" i="5"/>
  <c r="MD53" i="5"/>
  <c r="WQ53" i="5"/>
  <c r="AHD53" i="5"/>
  <c r="FH54" i="5"/>
  <c r="RH54" i="5"/>
  <c r="AHU54" i="5"/>
  <c r="JO55" i="5"/>
  <c r="ZT55" i="5"/>
  <c r="CR56" i="5"/>
  <c r="XR56" i="5"/>
  <c r="GC57" i="5"/>
  <c r="ADE57" i="5"/>
  <c r="PS54" i="5"/>
  <c r="AED54" i="5"/>
  <c r="EL55" i="5"/>
  <c r="TV55" i="5"/>
  <c r="AKZ55" i="5"/>
  <c r="OE56" i="5"/>
  <c r="AKQ56" i="5"/>
  <c r="VK57" i="5"/>
  <c r="EX53" i="5"/>
  <c r="TB53" i="5"/>
  <c r="AHV53" i="5"/>
  <c r="HW54" i="5"/>
  <c r="WZ54" i="5"/>
  <c r="AKT54" i="5"/>
  <c r="QD55" i="5"/>
  <c r="AFU55" i="5"/>
  <c r="IG56" i="5"/>
  <c r="ACU56" i="5"/>
  <c r="KY57" i="5"/>
  <c r="IV56" i="5"/>
  <c r="XT56" i="5"/>
  <c r="BE57" i="5"/>
  <c r="UX57" i="5"/>
  <c r="KY56" i="5"/>
  <c r="ABQ56" i="5"/>
  <c r="FN57" i="5"/>
  <c r="XP57" i="5"/>
  <c r="GY54" i="5"/>
  <c r="TW54" i="5"/>
  <c r="AIA54" i="5"/>
  <c r="II55" i="5"/>
  <c r="WZ55" i="5"/>
  <c r="BX56" i="5"/>
  <c r="QQ56" i="5"/>
  <c r="AID56" i="5"/>
  <c r="MM57" i="5"/>
  <c r="AJG57" i="5"/>
  <c r="ALM54" i="5"/>
  <c r="LG55" i="5"/>
  <c r="AAJ55" i="5"/>
  <c r="CU56" i="5"/>
  <c r="RX56" i="5"/>
  <c r="AGY56" i="5"/>
  <c r="KB57" i="5"/>
  <c r="ACP57" i="5"/>
  <c r="ABB56" i="5"/>
  <c r="DA57" i="5"/>
  <c r="RU57" i="5"/>
  <c r="AGO57" i="5"/>
  <c r="TO55" i="5"/>
  <c r="AHC55" i="5"/>
  <c r="JU56" i="5"/>
  <c r="ABC56" i="5"/>
  <c r="KD57" i="5"/>
  <c r="AFF57" i="5"/>
  <c r="KO57" i="5"/>
  <c r="AHY57" i="5"/>
  <c r="AT57" i="5"/>
  <c r="YD57" i="5"/>
  <c r="HV55" i="5"/>
  <c r="VM55" i="5"/>
  <c r="AJD55" i="5"/>
  <c r="JR56" i="5"/>
  <c r="ZW56" i="5"/>
  <c r="EW57" i="5"/>
  <c r="YA57" i="5"/>
  <c r="VU51" i="5"/>
  <c r="AFQ51" i="5"/>
  <c r="CE52" i="5"/>
  <c r="MA52" i="5"/>
  <c r="VW52" i="5"/>
  <c r="AFS52" i="5"/>
  <c r="CH53" i="5"/>
  <c r="MU53" i="5"/>
  <c r="XH53" i="5"/>
  <c r="AHU53" i="5"/>
  <c r="FZ54" i="5"/>
  <c r="UG54" i="5"/>
  <c r="AIN54" i="5"/>
  <c r="KL55" i="5"/>
  <c r="AAR55" i="5"/>
  <c r="DN56" i="5"/>
  <c r="YV56" i="5"/>
  <c r="HJ57" i="5"/>
  <c r="AEJ57" i="5"/>
  <c r="QJ54" i="5"/>
  <c r="AEU54" i="5"/>
  <c r="FD55" i="5"/>
  <c r="UO55" i="5"/>
  <c r="ALT55" i="5"/>
  <c r="RP56" i="5"/>
  <c r="AE57" i="5"/>
  <c r="WK57" i="5"/>
  <c r="FN53" i="5"/>
  <c r="TR53" i="5"/>
  <c r="AIL53" i="5"/>
  <c r="JV54" i="5"/>
  <c r="XQ54" i="5"/>
  <c r="ALL54" i="5"/>
  <c r="QW55" i="5"/>
  <c r="AGO55" i="5"/>
  <c r="KT56" i="5"/>
  <c r="ADU56" i="5"/>
  <c r="PE57" i="5"/>
  <c r="JN56" i="5"/>
  <c r="YM56" i="5"/>
  <c r="DW57" i="5"/>
  <c r="VU57" i="5"/>
  <c r="LR56" i="5"/>
  <c r="ACO56" i="5"/>
  <c r="GK57" i="5"/>
  <c r="AAC57" i="5"/>
  <c r="HO54" i="5"/>
  <c r="UM54" i="5"/>
  <c r="AIQ54" i="5"/>
  <c r="IZ55" i="5"/>
  <c r="ABF55" i="5"/>
  <c r="CP56" i="5"/>
  <c r="RI56" i="5"/>
  <c r="AIX56" i="5"/>
  <c r="NI57" i="5"/>
  <c r="AKE57" i="5"/>
  <c r="AMC54" i="5"/>
  <c r="LX55" i="5"/>
  <c r="ABA55" i="5"/>
  <c r="DL56" i="5"/>
  <c r="SO56" i="5"/>
  <c r="AHT56" i="5"/>
  <c r="KX57" i="5"/>
  <c r="AFT57" i="5"/>
  <c r="ABS56" i="5"/>
  <c r="DS57" i="5"/>
  <c r="SM57" i="5"/>
  <c r="AHG57" i="5"/>
  <c r="UE55" i="5"/>
  <c r="AJO55" i="5"/>
  <c r="KK56" i="5"/>
  <c r="ABU56" i="5"/>
  <c r="KV57" i="5"/>
  <c r="AFX57" i="5"/>
  <c r="NA57" i="5"/>
  <c r="AIO57" i="5"/>
  <c r="BJ57" i="5"/>
  <c r="YT57" i="5"/>
  <c r="IS55" i="5"/>
  <c r="WI55" i="5"/>
  <c r="AJY55" i="5"/>
  <c r="KP56" i="5"/>
  <c r="ABA56" i="5"/>
  <c r="GA57" i="5"/>
  <c r="ZK57" i="5"/>
  <c r="WK51" i="5"/>
  <c r="AGG51" i="5"/>
  <c r="CU52" i="5"/>
  <c r="MQ52" i="5"/>
  <c r="WM52" i="5"/>
  <c r="AGI52" i="5"/>
  <c r="CY53" i="5"/>
  <c r="NL53" i="5"/>
  <c r="XY53" i="5"/>
  <c r="AIM53" i="5"/>
  <c r="GR54" i="5"/>
  <c r="VB54" i="5"/>
  <c r="AJH54" i="5"/>
  <c r="LH55" i="5"/>
  <c r="ABM55" i="5"/>
  <c r="GZ56" i="5"/>
  <c r="ZY56" i="5"/>
  <c r="IM57" i="5"/>
  <c r="AFR57" i="5"/>
  <c r="RA54" i="5"/>
  <c r="AFL54" i="5"/>
  <c r="FV55" i="5"/>
  <c r="VH55" i="5"/>
  <c r="E56" i="5"/>
  <c r="SL56" i="5"/>
  <c r="BK57" i="5"/>
  <c r="XI57" i="5"/>
  <c r="GD53" i="5"/>
  <c r="WD53" i="5"/>
  <c r="AJB53" i="5"/>
  <c r="KM54" i="5"/>
  <c r="YH54" i="5"/>
  <c r="AME54" i="5"/>
  <c r="RP55" i="5"/>
  <c r="AHH55" i="5"/>
  <c r="LO56" i="5"/>
  <c r="AER56" i="5"/>
  <c r="SF57" i="5"/>
  <c r="KF56" i="5"/>
  <c r="ZH56" i="5"/>
  <c r="ER57" i="5"/>
  <c r="ZE57" i="5"/>
  <c r="NT56" i="5"/>
  <c r="ADI56" i="5"/>
  <c r="HF57" i="5"/>
  <c r="ABA57" i="5"/>
  <c r="IE54" i="5"/>
  <c r="WI54" i="5"/>
  <c r="AJG54" i="5"/>
  <c r="JR55" i="5"/>
  <c r="ABX55" i="5"/>
  <c r="DH56" i="5"/>
  <c r="TK56" i="5"/>
  <c r="AJU56" i="5"/>
  <c r="QU57" i="5"/>
  <c r="ALC57" i="5"/>
  <c r="K55" i="5"/>
  <c r="NW55" i="5"/>
  <c r="ABR55" i="5"/>
  <c r="EC56" i="5"/>
  <c r="TF56" i="5"/>
  <c r="AIM56" i="5"/>
  <c r="NH57" i="5"/>
  <c r="AGN57" i="5"/>
  <c r="ACK56" i="5"/>
  <c r="EM57" i="5"/>
  <c r="TG57" i="5"/>
  <c r="ALM57" i="5"/>
  <c r="UU55" i="5"/>
  <c r="AKE55" i="5"/>
  <c r="LA56" i="5"/>
  <c r="ACL56" i="5"/>
  <c r="LN57" i="5"/>
  <c r="AGP57" i="5"/>
  <c r="NQ57" i="5"/>
  <c r="AJE57" i="5"/>
  <c r="BZ57" i="5"/>
  <c r="AAP57" i="5"/>
  <c r="AKT55" i="5"/>
  <c r="LT56" i="5"/>
  <c r="ACC56" i="5"/>
  <c r="HD57" i="5"/>
  <c r="AAM57" i="5"/>
  <c r="XA51" i="5"/>
  <c r="AGW51" i="5"/>
  <c r="DK52" i="5"/>
  <c r="NG52" i="5"/>
  <c r="XC52" i="5"/>
  <c r="AGY52" i="5"/>
  <c r="DP53" i="5"/>
  <c r="OC53" i="5"/>
  <c r="YQ53" i="5"/>
  <c r="AJD53" i="5"/>
  <c r="HJ54" i="5"/>
  <c r="VV54" i="5"/>
  <c r="AKA54" i="5"/>
  <c r="MC55" i="5"/>
  <c r="ACJ55" i="5"/>
  <c r="HU56" i="5"/>
  <c r="ABE56" i="5"/>
  <c r="JQ57" i="5"/>
  <c r="AGY57" i="5"/>
  <c r="TQ54" i="5"/>
  <c r="AGC54" i="5"/>
  <c r="GN55" i="5"/>
  <c r="WB55" i="5"/>
  <c r="X56" i="5"/>
  <c r="TH56" i="5"/>
  <c r="CK57" i="5"/>
  <c r="YO57" i="5"/>
  <c r="GT53" i="5"/>
  <c r="WT53" i="5"/>
  <c r="AJR53" i="5"/>
  <c r="LD54" i="5"/>
  <c r="YY54" i="5"/>
  <c r="DA55" i="5"/>
  <c r="SJ55" i="5"/>
  <c r="AIA55" i="5"/>
  <c r="MN56" i="5"/>
  <c r="AFV56" i="5"/>
  <c r="TK57" i="5"/>
  <c r="KX56" i="5"/>
  <c r="AAB56" i="5"/>
  <c r="FM57" i="5"/>
  <c r="AAB57" i="5"/>
  <c r="OL56" i="5"/>
  <c r="AEC56" i="5"/>
  <c r="IE57" i="5"/>
  <c r="AEP57" i="5"/>
  <c r="IU54" i="5"/>
  <c r="WY54" i="5"/>
  <c r="AJW54" i="5"/>
  <c r="KK55" i="5"/>
  <c r="ACP55" i="5"/>
  <c r="DZ56" i="5"/>
  <c r="UC56" i="5"/>
  <c r="AKO56" i="5"/>
  <c r="TJ57" i="5"/>
  <c r="ALY57" i="5"/>
  <c r="AA55" i="5"/>
  <c r="ON55" i="5"/>
  <c r="AEH55" i="5"/>
  <c r="GB56" i="5"/>
  <c r="TW56" i="5"/>
  <c r="AJG56" i="5"/>
  <c r="OB57" i="5"/>
  <c r="AHL57" i="5"/>
  <c r="AEJ56" i="5"/>
  <c r="FE57" i="5"/>
  <c r="TY57" i="5"/>
  <c r="AME57" i="5"/>
  <c r="VK55" i="5"/>
  <c r="AKU55" i="5"/>
  <c r="LQ56" i="5"/>
  <c r="AFB56" i="5"/>
  <c r="MF57" i="5"/>
  <c r="AHH57" i="5"/>
  <c r="QS57" i="5"/>
  <c r="AJU57" i="5"/>
  <c r="HN57" i="5"/>
  <c r="ABF57" i="5"/>
  <c r="KJ55" i="5"/>
  <c r="YA55" i="5"/>
  <c r="ALQ55" i="5"/>
  <c r="MR56" i="5"/>
  <c r="ADE56" i="5"/>
  <c r="IK57" i="5"/>
  <c r="ABS57" i="5"/>
  <c r="XQ51" i="5"/>
  <c r="AHM51" i="5"/>
  <c r="EA52" i="5"/>
  <c r="NW52" i="5"/>
  <c r="XS52" i="5"/>
  <c r="AHO52" i="5"/>
  <c r="EG53" i="5"/>
  <c r="OU53" i="5"/>
  <c r="ZH53" i="5"/>
  <c r="AJU53" i="5"/>
  <c r="IT54" i="5"/>
  <c r="WO54" i="5"/>
  <c r="AKV54" i="5"/>
  <c r="MY55" i="5"/>
  <c r="ADE55" i="5"/>
  <c r="IR56" i="5"/>
  <c r="ACD56" i="5"/>
  <c r="LA57" i="5"/>
  <c r="AID57" i="5"/>
  <c r="UH54" i="5"/>
  <c r="AGT54" i="5"/>
  <c r="HF55" i="5"/>
  <c r="WU55" i="5"/>
  <c r="CX56" i="5"/>
  <c r="UH56" i="5"/>
  <c r="DK57" i="5"/>
  <c r="ZQ57" i="5"/>
  <c r="HJ53" i="5"/>
  <c r="XJ53" i="5"/>
  <c r="AKH53" i="5"/>
  <c r="LU54" i="5"/>
  <c r="ZP54" i="5"/>
  <c r="DU55" i="5"/>
  <c r="TC55" i="5"/>
  <c r="AIT55" i="5"/>
  <c r="NJ56" i="5"/>
  <c r="AJO56" i="5"/>
  <c r="UI57" i="5"/>
  <c r="LP56" i="5"/>
  <c r="AAV56" i="5"/>
  <c r="GJ57" i="5"/>
  <c r="AAW57" i="5"/>
  <c r="PD56" i="5"/>
  <c r="AEX56" i="5"/>
  <c r="IZ57" i="5"/>
  <c r="AFL57" i="5"/>
  <c r="JK54" i="5"/>
  <c r="XO54" i="5"/>
  <c r="AKM54" i="5"/>
  <c r="OP55" i="5"/>
  <c r="ADH55" i="5"/>
  <c r="ER56" i="5"/>
  <c r="UX56" i="5"/>
  <c r="ALI56" i="5"/>
  <c r="UE57" i="5"/>
  <c r="ALZ57" i="5"/>
  <c r="AQ55" i="5"/>
  <c r="PE55" i="5"/>
  <c r="AEY55" i="5"/>
  <c r="GT56" i="5"/>
  <c r="UO56" i="5"/>
  <c r="AJZ56" i="5"/>
  <c r="RH57" i="5"/>
  <c r="AIF57" i="5"/>
  <c r="AFA56" i="5"/>
  <c r="FW57" i="5"/>
  <c r="UQ57" i="5"/>
  <c r="JC55" i="5"/>
  <c r="WA55" i="5"/>
  <c r="ALK55" i="5"/>
  <c r="MW56" i="5"/>
  <c r="AHA56" i="5"/>
  <c r="MX57" i="5"/>
  <c r="AIB57" i="5"/>
  <c r="RI57" i="5"/>
  <c r="AKK57" i="5"/>
  <c r="JZ57" i="5"/>
  <c r="ADR57" i="5"/>
  <c r="ALP54" i="5"/>
  <c r="LF55" i="5"/>
  <c r="YV55" i="5"/>
  <c r="G56" i="5"/>
  <c r="NP56" i="5"/>
  <c r="AEI56" i="5"/>
  <c r="JP57" i="5"/>
  <c r="ACZ57" i="5"/>
  <c r="YG51" i="5"/>
  <c r="AIC51" i="5"/>
  <c r="EQ52" i="5"/>
  <c r="OM52" i="5"/>
  <c r="YI52" i="5"/>
  <c r="AIE52" i="5"/>
  <c r="EY53" i="5"/>
  <c r="PL53" i="5"/>
  <c r="ZY53" i="5"/>
  <c r="ALC53" i="5"/>
  <c r="JM54" i="5"/>
  <c r="XH54" i="5"/>
  <c r="ALQ54" i="5"/>
  <c r="NT55" i="5"/>
  <c r="AGQ55" i="5"/>
  <c r="JS56" i="5"/>
  <c r="ADF56" i="5"/>
  <c r="MC57" i="5"/>
  <c r="AJX57" i="5"/>
  <c r="UY54" i="5"/>
  <c r="AHL54" i="5"/>
  <c r="HX55" i="5"/>
  <c r="YZ55" i="5"/>
  <c r="DR56" i="5"/>
  <c r="VD56" i="5"/>
  <c r="EI57" i="5"/>
  <c r="AAQ57" i="5"/>
  <c r="LB53" i="5"/>
  <c r="XZ53" i="5"/>
  <c r="AKX53" i="5"/>
  <c r="ML54" i="5"/>
  <c r="AAG54" i="5"/>
  <c r="EM55" i="5"/>
  <c r="TW55" i="5"/>
  <c r="AJM55" i="5"/>
  <c r="OF56" i="5"/>
  <c r="AKR56" i="5"/>
  <c r="VL57" i="5"/>
  <c r="MI56" i="5"/>
  <c r="ABP56" i="5"/>
  <c r="JT57" i="5"/>
  <c r="ABW57" i="5"/>
  <c r="PV56" i="5"/>
  <c r="AFT56" i="5"/>
  <c r="JU57" i="5"/>
  <c r="AGJ57" i="5"/>
  <c r="KA54" i="5"/>
  <c r="YE54" i="5"/>
  <c r="ALD54" i="5"/>
  <c r="PI55" i="5"/>
  <c r="ADZ55" i="5"/>
  <c r="FJ56" i="5"/>
  <c r="VQ56" i="5"/>
  <c r="BH57" i="5"/>
  <c r="UZ57" i="5"/>
  <c r="AMA57" i="5"/>
  <c r="BG55" i="5"/>
  <c r="PV55" i="5"/>
  <c r="AFP55" i="5"/>
  <c r="HK56" i="5"/>
  <c r="VG56" i="5"/>
  <c r="AKS56" i="5"/>
  <c r="SD57" i="5"/>
  <c r="AIZ57" i="5"/>
  <c r="AFR56" i="5"/>
  <c r="GO57" i="5"/>
  <c r="YW57" i="5"/>
  <c r="JS55" i="5"/>
  <c r="WQ55" i="5"/>
  <c r="AMA55" i="5"/>
  <c r="NM56" i="5"/>
  <c r="AHR56" i="5"/>
  <c r="NP57" i="5"/>
  <c r="AIT57" i="5"/>
  <c r="RY57" i="5"/>
  <c r="ALA57" i="5"/>
  <c r="KP57" i="5"/>
  <c r="AEH57" i="5"/>
  <c r="AEX57" i="5"/>
  <c r="CP57" i="5"/>
  <c r="QT57" i="5"/>
  <c r="AFN57" i="5"/>
  <c r="AAO57" i="5"/>
  <c r="ADP56" i="5"/>
  <c r="DF57" i="5"/>
  <c r="RJ57" i="5"/>
  <c r="AGD57" i="5"/>
  <c r="EN57" i="5"/>
  <c r="VJ57" i="5"/>
  <c r="AKD57" i="5"/>
  <c r="OG57" i="5"/>
  <c r="ABE57" i="5"/>
  <c r="AEF56" i="5"/>
  <c r="DV57" i="5"/>
  <c r="TV57" i="5"/>
  <c r="AGT57" i="5"/>
  <c r="SB54" i="5"/>
  <c r="AEA54" i="5"/>
  <c r="DE55" i="5"/>
  <c r="QJ55" i="5"/>
  <c r="AEB55" i="5"/>
  <c r="EJ56" i="5"/>
  <c r="TP56" i="5"/>
  <c r="ALD56" i="5"/>
  <c r="QY57" i="5"/>
  <c r="ALK57" i="5"/>
  <c r="RR54" i="5"/>
  <c r="ACE54" i="5"/>
  <c r="N55" i="5"/>
  <c r="NB55" i="5"/>
  <c r="AAO55" i="5"/>
  <c r="AR56" i="5"/>
  <c r="OZ56" i="5"/>
  <c r="AFP56" i="5"/>
  <c r="KW57" i="5"/>
  <c r="ADY57" i="5"/>
  <c r="JF53" i="5"/>
  <c r="UH53" i="5"/>
  <c r="AFJ53" i="5"/>
  <c r="DH54" i="5"/>
  <c r="PC54" i="5"/>
  <c r="AAX54" i="5"/>
  <c r="O55" i="5"/>
  <c r="NV55" i="5"/>
  <c r="ABI55" i="5"/>
  <c r="BL56" i="5"/>
  <c r="QA56" i="5"/>
  <c r="AGT56" i="5"/>
  <c r="LY57" i="5"/>
  <c r="AFC57" i="5"/>
  <c r="RY56" i="5"/>
  <c r="AFQ56" i="5"/>
  <c r="HE57" i="5"/>
  <c r="WP57" i="5"/>
  <c r="IE56" i="5"/>
  <c r="UU56" i="5"/>
  <c r="AIW56" i="5"/>
  <c r="MJ57" i="5"/>
  <c r="ABX57" i="5"/>
  <c r="FC54" i="5"/>
  <c r="QE54" i="5"/>
  <c r="ABG54" i="5"/>
  <c r="D55" i="5"/>
  <c r="LC55" i="5"/>
  <c r="ZD55" i="5"/>
  <c r="ALS55" i="5"/>
  <c r="KZ56" i="5"/>
  <c r="XV56" i="5"/>
  <c r="AMC56" i="5"/>
  <c r="OD57" i="5"/>
  <c r="ADS57" i="5"/>
  <c r="AIE57" i="5"/>
  <c r="EY55" i="5"/>
  <c r="QN55" i="5"/>
  <c r="ACI55" i="5"/>
  <c r="AV56" i="5"/>
  <c r="MQ56" i="5"/>
  <c r="YU56" i="5"/>
  <c r="AL57" i="5"/>
  <c r="OV57" i="5"/>
  <c r="ADJ57" i="5"/>
  <c r="XX56" i="5"/>
  <c r="AJP56" i="5"/>
  <c r="IQ57" i="5"/>
  <c r="VI57" i="5"/>
  <c r="AJK57" i="5"/>
  <c r="RC55" i="5"/>
  <c r="ACE55" i="5"/>
  <c r="BE56" i="5"/>
  <c r="PY56" i="5"/>
  <c r="ADC56" i="5"/>
  <c r="FF57" i="5"/>
  <c r="WB57" i="5"/>
  <c r="AMF57" i="5"/>
  <c r="OW57" i="5"/>
  <c r="ABU57" i="5"/>
  <c r="AEV56" i="5"/>
  <c r="EL57" i="5"/>
  <c r="UL57" i="5"/>
  <c r="AHJ57" i="5"/>
  <c r="SU54" i="5"/>
  <c r="AET54" i="5"/>
  <c r="DY55" i="5"/>
  <c r="RG55" i="5"/>
  <c r="AEW55" i="5"/>
  <c r="FG56" i="5"/>
  <c r="UP56" i="5"/>
  <c r="B57" i="5"/>
  <c r="SC57" i="5"/>
  <c r="ALL57" i="5"/>
  <c r="SI54" i="5"/>
  <c r="ACV54" i="5"/>
  <c r="AF55" i="5"/>
  <c r="NU55" i="5"/>
  <c r="ABH55" i="5"/>
  <c r="BK56" i="5"/>
  <c r="PZ56" i="5"/>
  <c r="AGS56" i="5"/>
  <c r="LX57" i="5"/>
  <c r="AFB57" i="5"/>
  <c r="JV53" i="5"/>
  <c r="UX53" i="5"/>
  <c r="AFZ53" i="5"/>
  <c r="DY54" i="5"/>
  <c r="PT54" i="5"/>
  <c r="ABO54" i="5"/>
  <c r="AG55" i="5"/>
  <c r="OR55" i="5"/>
  <c r="ACB55" i="5"/>
  <c r="CF56" i="5"/>
  <c r="QV56" i="5"/>
  <c r="AHS56" i="5"/>
  <c r="MY57" i="5"/>
  <c r="AGF57" i="5"/>
  <c r="SQ56" i="5"/>
  <c r="AGM56" i="5"/>
  <c r="IB57" i="5"/>
  <c r="XO57" i="5"/>
  <c r="IW56" i="5"/>
  <c r="VP56" i="5"/>
  <c r="AJS56" i="5"/>
  <c r="NG57" i="5"/>
  <c r="ACT57" i="5"/>
  <c r="FS54" i="5"/>
  <c r="QU54" i="5"/>
  <c r="ABW54" i="5"/>
  <c r="U55" i="5"/>
  <c r="LU55" i="5"/>
  <c r="ZV55" i="5"/>
  <c r="C56" i="5"/>
  <c r="LS56" i="5"/>
  <c r="YQ56" i="5"/>
  <c r="R57" i="5"/>
  <c r="PC57" i="5"/>
  <c r="AEQ57" i="5"/>
  <c r="AIY57" i="5"/>
  <c r="FO55" i="5"/>
  <c r="RE55" i="5"/>
  <c r="ACZ55" i="5"/>
  <c r="BM56" i="5"/>
  <c r="NH56" i="5"/>
  <c r="ZM56" i="5"/>
  <c r="BF57" i="5"/>
  <c r="PR57" i="5"/>
  <c r="AED57" i="5"/>
  <c r="YN56" i="5"/>
  <c r="AKG56" i="5"/>
  <c r="JK57" i="5"/>
  <c r="WA57" i="5"/>
  <c r="AKC57" i="5"/>
  <c r="RS55" i="5"/>
  <c r="ACU55" i="5"/>
  <c r="BU56" i="5"/>
  <c r="QO56" i="5"/>
  <c r="ADT56" i="5"/>
  <c r="HZ57" i="5"/>
  <c r="WT57" i="5"/>
  <c r="AS57" i="5"/>
  <c r="PM57" i="5"/>
  <c r="ADQ57" i="5"/>
  <c r="AFL56" i="5"/>
  <c r="FB57" i="5"/>
  <c r="VB57" i="5"/>
  <c r="AHZ57" i="5"/>
  <c r="AKL53" i="5"/>
  <c r="IB54" i="5"/>
  <c r="TN54" i="5"/>
  <c r="AFP54" i="5"/>
  <c r="ES55" i="5"/>
  <c r="SB55" i="5"/>
  <c r="AFS55" i="5"/>
  <c r="GE56" i="5"/>
  <c r="VS56" i="5"/>
  <c r="AA57" i="5"/>
  <c r="TM57" i="5"/>
  <c r="ALO57" i="5"/>
  <c r="SZ54" i="5"/>
  <c r="ADM54" i="5"/>
  <c r="BP55" i="5"/>
  <c r="OO55" i="5"/>
  <c r="ACA55" i="5"/>
  <c r="CE56" i="5"/>
  <c r="QU56" i="5"/>
  <c r="AHP56" i="5"/>
  <c r="MV57" i="5"/>
  <c r="AIL57" i="5"/>
  <c r="KL53" i="5"/>
  <c r="VN53" i="5"/>
  <c r="AGP53" i="5"/>
  <c r="EP54" i="5"/>
  <c r="QK54" i="5"/>
  <c r="ACF54" i="5"/>
  <c r="CI55" i="5"/>
  <c r="PK55" i="5"/>
  <c r="ACV55" i="5"/>
  <c r="CY56" i="5"/>
  <c r="RQ56" i="5"/>
  <c r="AIR56" i="5"/>
  <c r="NY57" i="5"/>
  <c r="AJP57" i="5"/>
  <c r="TI56" i="5"/>
  <c r="AHG56" i="5"/>
  <c r="IY57" i="5"/>
  <c r="YJ57" i="5"/>
  <c r="JO56" i="5"/>
  <c r="WI56" i="5"/>
  <c r="AMB56" i="5"/>
  <c r="OC57" i="5"/>
  <c r="ADP57" i="5"/>
  <c r="GI54" i="5"/>
  <c r="RK54" i="5"/>
  <c r="ACM54" i="5"/>
  <c r="AL55" i="5"/>
  <c r="NX55" i="5"/>
  <c r="AAN55" i="5"/>
  <c r="U56" i="5"/>
  <c r="MK56" i="5"/>
  <c r="ZJ56" i="5"/>
  <c r="AM57" i="5"/>
  <c r="PX57" i="5"/>
  <c r="AHM57" i="5"/>
  <c r="AJS57" i="5"/>
  <c r="GE55" i="5"/>
  <c r="RV55" i="5"/>
  <c r="ADQ55" i="5"/>
  <c r="CD56" i="5"/>
  <c r="NY56" i="5"/>
  <c r="ABR56" i="5"/>
  <c r="CB57" i="5"/>
  <c r="QN57" i="5"/>
  <c r="AEZ57" i="5"/>
  <c r="ZD56" i="5"/>
  <c r="AKX56" i="5"/>
  <c r="KC57" i="5"/>
  <c r="YE57" i="5"/>
  <c r="AKU57" i="5"/>
  <c r="SI55" i="5"/>
  <c r="ADK55" i="5"/>
  <c r="DA56" i="5"/>
  <c r="RE56" i="5"/>
  <c r="AEK56" i="5"/>
  <c r="IR57" i="5"/>
  <c r="XL57" i="5"/>
  <c r="DE57" i="5"/>
  <c r="QC57" i="5"/>
  <c r="AEG57" i="5"/>
  <c r="AGB56" i="5"/>
  <c r="GX57" i="5"/>
  <c r="VR57" i="5"/>
  <c r="AIP57" i="5"/>
  <c r="VM56" i="5"/>
  <c r="AFS56" i="5"/>
  <c r="DB57" i="5"/>
  <c r="OJ57" i="5"/>
  <c r="ZP57" i="5"/>
  <c r="AKV57" i="5"/>
  <c r="IS57" i="5"/>
  <c r="SO57" i="5"/>
  <c r="ACK57" i="5"/>
  <c r="AMG57" i="5"/>
  <c r="AJD56" i="5"/>
  <c r="FR57" i="5"/>
  <c r="PN57" i="5"/>
  <c r="ZJ57" i="5"/>
  <c r="AJF57" i="5"/>
  <c r="AFW55" i="5"/>
  <c r="CK56" i="5"/>
  <c r="MG56" i="5"/>
  <c r="WC56" i="5"/>
  <c r="AGJ56" i="5"/>
  <c r="DT57" i="5"/>
  <c r="PB57" i="5"/>
  <c r="AAH57" i="5"/>
  <c r="ALN57" i="5"/>
  <c r="JI57" i="5"/>
  <c r="TE57" i="5"/>
  <c r="ADA57" i="5"/>
  <c r="ZX56" i="5"/>
  <c r="AJT56" i="5"/>
  <c r="GH57" i="5"/>
  <c r="QD57" i="5"/>
  <c r="ZZ57" i="5"/>
  <c r="AJV57" i="5"/>
  <c r="AKL57" i="5"/>
  <c r="ALB57" i="5"/>
  <c r="AHS55" i="5"/>
  <c r="EG56" i="5"/>
  <c r="OC56" i="5"/>
  <c r="XY56" i="5"/>
  <c r="AII56" i="5"/>
  <c r="FX57" i="5"/>
  <c r="RD57" i="5"/>
  <c r="ACJ57" i="5"/>
  <c r="BI57" i="5"/>
  <c r="LE57" i="5"/>
  <c r="VA57" i="5"/>
  <c r="AEW57" i="5"/>
  <c r="ABT56" i="5"/>
  <c r="ALP56" i="5"/>
  <c r="ID57" i="5"/>
  <c r="RZ57" i="5"/>
  <c r="ABV57" i="5"/>
  <c r="ALR57" i="5"/>
  <c r="LP55" i="5"/>
  <c r="XN55" i="5"/>
  <c r="AJL55" i="5"/>
  <c r="ID56" i="5"/>
  <c r="WA56" i="5"/>
  <c r="ALR56" i="5"/>
  <c r="PD57" i="5"/>
  <c r="AGE57" i="5"/>
  <c r="HZ53" i="5"/>
  <c r="RV53" i="5"/>
  <c r="ABR53" i="5"/>
  <c r="ALN53" i="5"/>
  <c r="IN54" i="5"/>
  <c r="TA54" i="5"/>
  <c r="ADN54" i="5"/>
  <c r="AY55" i="5"/>
  <c r="MJ55" i="5"/>
  <c r="YH55" i="5"/>
  <c r="AKH55" i="5"/>
  <c r="JB56" i="5"/>
  <c r="WZ56" i="5"/>
  <c r="H57" i="5"/>
  <c r="QE57" i="5"/>
  <c r="AHN57" i="5"/>
  <c r="QM56" i="5"/>
  <c r="ACM56" i="5"/>
  <c r="CC57" i="5"/>
  <c r="PV57" i="5"/>
  <c r="ADO57" i="5"/>
  <c r="MJ56" i="5"/>
  <c r="XU56" i="5"/>
  <c r="AKN56" i="5"/>
  <c r="KR57" i="5"/>
  <c r="YK57" i="5"/>
  <c r="BK54" i="5"/>
  <c r="LG54" i="5"/>
  <c r="VC54" i="5"/>
  <c r="AEY54" i="5"/>
  <c r="BT55" i="5"/>
  <c r="MM55" i="5"/>
  <c r="XR55" i="5"/>
  <c r="AIX55" i="5"/>
  <c r="GV56" i="5"/>
  <c r="SA56" i="5"/>
  <c r="AED56" i="5"/>
  <c r="DY57" i="5"/>
  <c r="RP57" i="5"/>
  <c r="AFO57" i="5"/>
  <c r="AGM57" i="5"/>
  <c r="CM55" i="5"/>
  <c r="MO55" i="5"/>
  <c r="XB55" i="5"/>
  <c r="AHO55" i="5"/>
  <c r="ET56" i="5"/>
  <c r="PG56" i="5"/>
  <c r="AAF56" i="5"/>
  <c r="AME56" i="5"/>
  <c r="LR57" i="5"/>
  <c r="YN57" i="5"/>
  <c r="ALJ57" i="5"/>
  <c r="ADB56" i="5"/>
  <c r="AG57" i="5"/>
  <c r="LM57" i="5"/>
  <c r="WS57" i="5"/>
  <c r="AIA57" i="5"/>
  <c r="OQ55" i="5"/>
  <c r="YM55" i="5"/>
  <c r="AII55" i="5"/>
  <c r="EW56" i="5"/>
  <c r="OS56" i="5"/>
  <c r="YO56" i="5"/>
  <c r="AIZ56" i="5"/>
  <c r="GP57" i="5"/>
  <c r="RV57" i="5"/>
  <c r="ADD57" i="5"/>
  <c r="BY57" i="5"/>
  <c r="LU57" i="5"/>
  <c r="VQ57" i="5"/>
  <c r="AFM57" i="5"/>
  <c r="ACJ56" i="5"/>
  <c r="AMF56" i="5"/>
  <c r="IT57" i="5"/>
  <c r="SP57" i="5"/>
  <c r="ACL57" i="5"/>
  <c r="AMH57" i="5"/>
  <c r="AX55" i="5"/>
  <c r="MI55" i="5"/>
  <c r="YG55" i="5"/>
  <c r="AKG55" i="5"/>
  <c r="JA56" i="5"/>
  <c r="WY56" i="5"/>
  <c r="G57" i="5"/>
  <c r="QB57" i="5"/>
  <c r="AHD57" i="5"/>
  <c r="IP53" i="5"/>
  <c r="SL53" i="5"/>
  <c r="ACH53" i="5"/>
  <c r="AMD53" i="5"/>
  <c r="JE54" i="5"/>
  <c r="TR54" i="5"/>
  <c r="AEE54" i="5"/>
  <c r="BQ55" i="5"/>
  <c r="NC55" i="5"/>
  <c r="ZB55" i="5"/>
  <c r="ALB55" i="5"/>
  <c r="JX56" i="5"/>
  <c r="YA56" i="5"/>
  <c r="AF57" i="5"/>
  <c r="RE57" i="5"/>
  <c r="AIM57" i="5"/>
  <c r="RF56" i="5"/>
  <c r="ADH56" i="5"/>
  <c r="CX57" i="5"/>
  <c r="QQ57" i="5"/>
  <c r="AEO57" i="5"/>
  <c r="NB56" i="5"/>
  <c r="YP56" i="5"/>
  <c r="ALH56" i="5"/>
  <c r="LO57" i="5"/>
  <c r="ZF57" i="5"/>
  <c r="CA54" i="5"/>
  <c r="LW54" i="5"/>
  <c r="VS54" i="5"/>
  <c r="AFO54" i="5"/>
  <c r="CK55" i="5"/>
  <c r="NE55" i="5"/>
  <c r="YK55" i="5"/>
  <c r="AJQ55" i="5"/>
  <c r="HN56" i="5"/>
  <c r="SS56" i="5"/>
  <c r="AEY56" i="5"/>
  <c r="ET57" i="5"/>
  <c r="SK57" i="5"/>
  <c r="AGK57" i="5"/>
  <c r="AHK57" i="5"/>
  <c r="DC55" i="5"/>
  <c r="NF55" i="5"/>
  <c r="XS55" i="5"/>
  <c r="AIF55" i="5"/>
  <c r="FK56" i="5"/>
  <c r="PX56" i="5"/>
  <c r="AAY56" i="5"/>
  <c r="S57" i="5"/>
  <c r="MN57" i="5"/>
  <c r="ZH57" i="5"/>
  <c r="AMD57" i="5"/>
  <c r="ADS56" i="5"/>
  <c r="AY57" i="5"/>
  <c r="ME57" i="5"/>
  <c r="XK57" i="5"/>
  <c r="AIS57" i="5"/>
  <c r="PG55" i="5"/>
  <c r="ZC55" i="5"/>
  <c r="AIY55" i="5"/>
  <c r="FM56" i="5"/>
  <c r="PI56" i="5"/>
  <c r="ZE56" i="5"/>
  <c r="AJQ56" i="5"/>
  <c r="HH57" i="5"/>
  <c r="SN57" i="5"/>
  <c r="ADV57" i="5"/>
  <c r="CO57" i="5"/>
  <c r="MK57" i="5"/>
  <c r="WG57" i="5"/>
  <c r="AGC57" i="5"/>
  <c r="ACZ56" i="5"/>
  <c r="N57" i="5"/>
  <c r="JJ57" i="5"/>
  <c r="TF57" i="5"/>
  <c r="J3" i="3"/>
  <c r="A3" i="3"/>
  <c r="H3" i="3"/>
  <c r="G3" i="3"/>
  <c r="B3" i="3"/>
  <c r="H10" i="3"/>
  <c r="G10" i="3"/>
  <c r="B10" i="3"/>
  <c r="A10" i="3"/>
  <c r="J10" i="3"/>
  <c r="J8" i="3"/>
  <c r="H8" i="3"/>
  <c r="B8" i="3"/>
  <c r="G8" i="3"/>
  <c r="A8" i="3"/>
  <c r="J15" i="3"/>
  <c r="A15" i="3"/>
  <c r="H15" i="3"/>
  <c r="G15" i="3"/>
  <c r="B15" i="3"/>
  <c r="J16" i="3"/>
  <c r="H16" i="3"/>
  <c r="G16" i="3"/>
  <c r="B16" i="3"/>
  <c r="A16" i="3"/>
  <c r="H2" i="3"/>
  <c r="G2" i="3"/>
  <c r="B2" i="3"/>
  <c r="A2" i="3"/>
  <c r="J2" i="3"/>
  <c r="J7" i="3"/>
  <c r="H7" i="3"/>
  <c r="G7" i="3"/>
  <c r="A7" i="3"/>
  <c r="B7" i="3"/>
  <c r="A19" i="3"/>
  <c r="H14" i="3"/>
  <c r="G14" i="3"/>
  <c r="B14" i="3"/>
  <c r="A14" i="3"/>
  <c r="J14" i="3"/>
  <c r="A23" i="3"/>
  <c r="A22" i="3"/>
  <c r="A21" i="3"/>
  <c r="J12" i="3"/>
  <c r="H12" i="3"/>
  <c r="G12" i="3"/>
  <c r="B12" i="3"/>
  <c r="A12" i="3"/>
  <c r="J4" i="3"/>
  <c r="H4" i="3"/>
  <c r="G4" i="3"/>
  <c r="B4" i="3"/>
  <c r="A4" i="3"/>
  <c r="B5" i="3"/>
  <c r="A5" i="3"/>
  <c r="J5" i="3"/>
  <c r="H5" i="3"/>
  <c r="G5" i="3"/>
  <c r="B13" i="3"/>
  <c r="A13" i="3"/>
  <c r="J13" i="3"/>
  <c r="H13" i="3"/>
  <c r="G13" i="3"/>
  <c r="H6" i="3"/>
  <c r="G6" i="3"/>
  <c r="B6" i="3"/>
  <c r="A6" i="3"/>
  <c r="J6" i="3"/>
  <c r="B17" i="3"/>
  <c r="A17" i="3"/>
  <c r="J17" i="3"/>
  <c r="H17" i="3"/>
  <c r="G17" i="3"/>
  <c r="H18" i="3"/>
  <c r="G18" i="3"/>
  <c r="B18" i="3"/>
  <c r="A18" i="3"/>
  <c r="J18" i="3"/>
  <c r="A20" i="3"/>
  <c r="B9" i="3"/>
  <c r="A9" i="3"/>
  <c r="J9" i="3"/>
  <c r="H9" i="3"/>
  <c r="G9" i="3"/>
  <c r="J11" i="3"/>
  <c r="H11" i="3"/>
  <c r="A11" i="3"/>
  <c r="G11" i="3"/>
  <c r="B11" i="3"/>
  <c r="B21" i="3" l="1"/>
  <c r="G21" i="3"/>
  <c r="H21" i="3"/>
  <c r="J19" i="3"/>
  <c r="J21" i="3"/>
  <c r="G20" i="3"/>
  <c r="J20" i="3"/>
  <c r="B20" i="3"/>
  <c r="H20" i="3"/>
  <c r="B19" i="3"/>
  <c r="I19" i="3" s="1"/>
  <c r="G19" i="3"/>
  <c r="H19" i="3"/>
  <c r="H22" i="3"/>
  <c r="J24" i="3"/>
  <c r="B24" i="3"/>
  <c r="L24" i="3" s="1"/>
  <c r="J23" i="3"/>
  <c r="G22" i="3"/>
  <c r="B22" i="3"/>
  <c r="J22" i="3"/>
  <c r="G24" i="3"/>
  <c r="H24" i="3"/>
  <c r="B23" i="3"/>
  <c r="I23" i="3" s="1"/>
  <c r="G23" i="3"/>
  <c r="H23" i="3"/>
  <c r="Z25" i="3"/>
  <c r="T26" i="3"/>
  <c r="V25" i="3"/>
  <c r="G26" i="3"/>
  <c r="H26" i="3"/>
  <c r="G25" i="3"/>
  <c r="H25" i="3"/>
  <c r="J25" i="3"/>
  <c r="N25" i="3"/>
  <c r="U25" i="3" s="1"/>
  <c r="S25" i="3"/>
  <c r="S26" i="3"/>
  <c r="J26" i="3"/>
  <c r="AE25" i="3"/>
  <c r="V26" i="3"/>
  <c r="B25" i="3"/>
  <c r="L25" i="3" s="1"/>
  <c r="AF26" i="3"/>
  <c r="T25" i="3"/>
  <c r="Z26" i="3"/>
  <c r="AF25" i="3"/>
  <c r="N26" i="3"/>
  <c r="U26" i="3" s="1"/>
  <c r="AE26" i="3"/>
  <c r="B26" i="3"/>
  <c r="L26" i="3" s="1"/>
  <c r="N28" i="3"/>
  <c r="U28" i="3" s="1"/>
  <c r="T27" i="3"/>
  <c r="B27" i="3"/>
  <c r="I27" i="3" s="1"/>
  <c r="S27" i="3"/>
  <c r="S29" i="3"/>
  <c r="Z28" i="3"/>
  <c r="V27" i="3"/>
  <c r="J28" i="3"/>
  <c r="T29" i="3"/>
  <c r="B29" i="3"/>
  <c r="I29" i="3" s="1"/>
  <c r="V28" i="3"/>
  <c r="AF27" i="3"/>
  <c r="G28" i="3"/>
  <c r="H28" i="3"/>
  <c r="AE27" i="3"/>
  <c r="T28" i="3"/>
  <c r="AE28" i="3"/>
  <c r="AF28" i="3"/>
  <c r="G27" i="3"/>
  <c r="H27" i="3"/>
  <c r="B28" i="3"/>
  <c r="J27" i="3"/>
  <c r="S28" i="3"/>
  <c r="Z27" i="3"/>
  <c r="N27" i="3"/>
  <c r="U27" i="3" s="1"/>
  <c r="Z29" i="3"/>
  <c r="AF29" i="3"/>
  <c r="G29" i="3"/>
  <c r="V29" i="3"/>
  <c r="N29" i="3"/>
  <c r="U29" i="3" s="1"/>
  <c r="AE29" i="3"/>
  <c r="H29" i="3"/>
  <c r="J29" i="3"/>
  <c r="L19" i="3"/>
  <c r="C27" i="3"/>
  <c r="Q27" i="3"/>
  <c r="O27" i="3"/>
  <c r="AC27" i="3"/>
  <c r="AA27" i="3"/>
  <c r="E27" i="3"/>
  <c r="L7" i="3"/>
  <c r="I7" i="3"/>
  <c r="C13" i="3"/>
  <c r="D13" i="3" s="1"/>
  <c r="E13" i="3"/>
  <c r="F13" i="3" s="1"/>
  <c r="E7" i="3"/>
  <c r="F7" i="3" s="1"/>
  <c r="C7" i="3"/>
  <c r="D7" i="3" s="1"/>
  <c r="C29" i="3"/>
  <c r="Q29" i="3"/>
  <c r="O29" i="3"/>
  <c r="AC29" i="3"/>
  <c r="AA29" i="3"/>
  <c r="E29" i="3"/>
  <c r="I13" i="3"/>
  <c r="L13" i="3"/>
  <c r="E15" i="3"/>
  <c r="F15" i="3" s="1"/>
  <c r="C15" i="3"/>
  <c r="D15" i="3" s="1"/>
  <c r="E10" i="3"/>
  <c r="F10" i="3" s="1"/>
  <c r="C10" i="3"/>
  <c r="D10" i="3" s="1"/>
  <c r="E11" i="3"/>
  <c r="F11" i="3" s="1"/>
  <c r="C11" i="3"/>
  <c r="D11" i="3" s="1"/>
  <c r="E23" i="3"/>
  <c r="C23" i="3"/>
  <c r="D23" i="3" s="1"/>
  <c r="L10" i="3"/>
  <c r="I10" i="3"/>
  <c r="E24" i="3"/>
  <c r="F24" i="3" s="1"/>
  <c r="C24" i="3"/>
  <c r="D24" i="3" s="1"/>
  <c r="C28" i="3"/>
  <c r="Q28" i="3"/>
  <c r="O28" i="3"/>
  <c r="AC28" i="3"/>
  <c r="AA28" i="3"/>
  <c r="E28" i="3"/>
  <c r="F28" i="3" s="1"/>
  <c r="E8" i="3"/>
  <c r="F8" i="3" s="1"/>
  <c r="C8" i="3"/>
  <c r="D8" i="3" s="1"/>
  <c r="E19" i="3"/>
  <c r="F19" i="3" s="1"/>
  <c r="C19" i="3"/>
  <c r="D19" i="3" s="1"/>
  <c r="C21" i="3"/>
  <c r="D21" i="3" s="1"/>
  <c r="E21" i="3"/>
  <c r="F21" i="3" s="1"/>
  <c r="L11" i="3"/>
  <c r="I11" i="3"/>
  <c r="E12" i="3"/>
  <c r="F12" i="3" s="1"/>
  <c r="C12" i="3"/>
  <c r="D12" i="3" s="1"/>
  <c r="L15" i="3"/>
  <c r="I15" i="3"/>
  <c r="I21" i="3"/>
  <c r="L21" i="3"/>
  <c r="E2" i="3"/>
  <c r="F2" i="3" s="1"/>
  <c r="C2" i="3"/>
  <c r="D2" i="3" s="1"/>
  <c r="L8" i="3"/>
  <c r="I8" i="3"/>
  <c r="L3" i="3"/>
  <c r="I3" i="3"/>
  <c r="L6" i="3"/>
  <c r="I6" i="3"/>
  <c r="C9" i="3"/>
  <c r="D9" i="3" s="1"/>
  <c r="E9" i="3"/>
  <c r="F9" i="3" s="1"/>
  <c r="C17" i="3"/>
  <c r="D17" i="3" s="1"/>
  <c r="E17" i="3"/>
  <c r="F17" i="3" s="1"/>
  <c r="I5" i="3"/>
  <c r="L5" i="3"/>
  <c r="E14" i="3"/>
  <c r="F14" i="3" s="1"/>
  <c r="C14" i="3"/>
  <c r="D14" i="3" s="1"/>
  <c r="L2" i="3"/>
  <c r="I2" i="3"/>
  <c r="L28" i="3"/>
  <c r="L20" i="3"/>
  <c r="I20" i="3"/>
  <c r="I17" i="3"/>
  <c r="L17" i="3"/>
  <c r="E4" i="3"/>
  <c r="F4" i="3" s="1"/>
  <c r="C4" i="3"/>
  <c r="D4" i="3" s="1"/>
  <c r="E22" i="3"/>
  <c r="F22" i="3" s="1"/>
  <c r="C22" i="3"/>
  <c r="D22" i="3" s="1"/>
  <c r="L14" i="3"/>
  <c r="I14" i="3"/>
  <c r="L12" i="3"/>
  <c r="I12" i="3"/>
  <c r="C26" i="3"/>
  <c r="Q26" i="3"/>
  <c r="O26" i="3"/>
  <c r="AC26" i="3"/>
  <c r="AA26" i="3"/>
  <c r="E26" i="3"/>
  <c r="L18" i="3"/>
  <c r="I18" i="3"/>
  <c r="L4" i="3"/>
  <c r="I4" i="3"/>
  <c r="L22" i="3"/>
  <c r="I22" i="3"/>
  <c r="E3" i="3"/>
  <c r="F3" i="3" s="1"/>
  <c r="C3" i="3"/>
  <c r="D3" i="3" s="1"/>
  <c r="L16" i="3"/>
  <c r="I16" i="3"/>
  <c r="I24" i="3"/>
  <c r="C25" i="3"/>
  <c r="Q25" i="3"/>
  <c r="O25" i="3"/>
  <c r="AC25" i="3"/>
  <c r="AA25" i="3"/>
  <c r="E25" i="3"/>
  <c r="F25" i="3" s="1"/>
  <c r="E20" i="3"/>
  <c r="F20" i="3" s="1"/>
  <c r="C20" i="3"/>
  <c r="D20" i="3" s="1"/>
  <c r="I9" i="3"/>
  <c r="L9" i="3"/>
  <c r="C5" i="3"/>
  <c r="D5" i="3" s="1"/>
  <c r="E5" i="3"/>
  <c r="F5" i="3" s="1"/>
  <c r="E18" i="3"/>
  <c r="F18" i="3" s="1"/>
  <c r="C18" i="3"/>
  <c r="D18" i="3" s="1"/>
  <c r="E6" i="3"/>
  <c r="F6" i="3" s="1"/>
  <c r="C6" i="3"/>
  <c r="D6" i="3" s="1"/>
  <c r="E16" i="3"/>
  <c r="F16" i="3" s="1"/>
  <c r="C16" i="3"/>
  <c r="D16" i="3" s="1"/>
  <c r="I26" i="3" l="1"/>
  <c r="F23" i="3"/>
  <c r="L23" i="3"/>
  <c r="P25" i="3"/>
  <c r="X26" i="3"/>
  <c r="F29" i="3"/>
  <c r="R25" i="3"/>
  <c r="AD29" i="3"/>
  <c r="I25" i="3"/>
  <c r="X25" i="3"/>
  <c r="P29" i="3"/>
  <c r="AB29" i="3"/>
  <c r="AB25" i="3"/>
  <c r="AD25" i="3"/>
  <c r="D29" i="3"/>
  <c r="D25" i="3"/>
  <c r="L29" i="3"/>
  <c r="X27" i="3"/>
  <c r="F27" i="3"/>
  <c r="AD26" i="3"/>
  <c r="X28" i="3"/>
  <c r="F26" i="3"/>
  <c r="AB26" i="3"/>
  <c r="P26" i="3"/>
  <c r="R26" i="3"/>
  <c r="R27" i="3"/>
  <c r="AD28" i="3"/>
  <c r="D26" i="3"/>
  <c r="D27" i="3"/>
  <c r="AB28" i="3"/>
  <c r="P28" i="3"/>
  <c r="R28" i="3"/>
  <c r="D28" i="3"/>
  <c r="L27" i="3"/>
  <c r="I28" i="3"/>
  <c r="AB27" i="3"/>
  <c r="AD27" i="3"/>
  <c r="P27" i="3"/>
  <c r="R29" i="3"/>
  <c r="X29" i="3"/>
  <c r="K17" i="3" l="1"/>
  <c r="W27" i="3"/>
  <c r="K23" i="3"/>
  <c r="K22" i="3"/>
  <c r="K16" i="3"/>
  <c r="K21" i="3"/>
  <c r="K25" i="3"/>
  <c r="K3" i="3"/>
  <c r="K28" i="3"/>
  <c r="K13" i="3"/>
  <c r="K10" i="3"/>
  <c r="K14" i="3"/>
  <c r="K18" i="3"/>
  <c r="K11" i="3"/>
  <c r="K5" i="3"/>
  <c r="K6" i="3"/>
  <c r="K24" i="3"/>
  <c r="K4" i="3"/>
  <c r="K29" i="3"/>
  <c r="K7" i="3"/>
  <c r="K15" i="3"/>
  <c r="W29" i="3"/>
  <c r="K19" i="3"/>
  <c r="K26" i="3"/>
  <c r="W28" i="3"/>
  <c r="K20" i="3"/>
  <c r="K9" i="3"/>
  <c r="K12" i="3"/>
  <c r="W25" i="3"/>
  <c r="K2" i="3"/>
  <c r="K27" i="3"/>
  <c r="W26" i="3"/>
  <c r="K8" i="3"/>
</calcChain>
</file>

<file path=xl/sharedStrings.xml><?xml version="1.0" encoding="utf-8"?>
<sst xmlns="http://schemas.openxmlformats.org/spreadsheetml/2006/main" count="1383" uniqueCount="103">
  <si>
    <t>Date</t>
  </si>
  <si>
    <t>Where</t>
  </si>
  <si>
    <t>Half</t>
  </si>
  <si>
    <t>aa</t>
  </si>
  <si>
    <t>Candace</t>
  </si>
  <si>
    <t>Charlene</t>
  </si>
  <si>
    <t>David</t>
  </si>
  <si>
    <t>Debby</t>
  </si>
  <si>
    <t>Jeff M</t>
  </si>
  <si>
    <t>Jeff P</t>
  </si>
  <si>
    <t>Karen</t>
  </si>
  <si>
    <t>Nancy</t>
  </si>
  <si>
    <t>Sally</t>
  </si>
  <si>
    <t>Sandy</t>
  </si>
  <si>
    <t>Sara</t>
  </si>
  <si>
    <t>Min</t>
  </si>
  <si>
    <t>Max</t>
  </si>
  <si>
    <t>Winner</t>
  </si>
  <si>
    <t>Loser</t>
  </si>
  <si>
    <t>Players</t>
  </si>
  <si>
    <t>Preston</t>
  </si>
  <si>
    <t>Yes</t>
  </si>
  <si>
    <t>Superior</t>
  </si>
  <si>
    <t>Indian Wells</t>
  </si>
  <si>
    <t>Sally's</t>
  </si>
  <si>
    <t>Steckel Camp, Santa Paula, CA</t>
  </si>
  <si>
    <t>Cedros</t>
  </si>
  <si>
    <t>Lake Tahoe Campground</t>
  </si>
  <si>
    <t>Aspen Camp, Lee VIning, CA</t>
  </si>
  <si>
    <t>Rincon Parkway</t>
  </si>
  <si>
    <t>Preston - Passover</t>
  </si>
  <si>
    <t xml:space="preserve">Preston </t>
  </si>
  <si>
    <t xml:space="preserve">Superior </t>
  </si>
  <si>
    <t xml:space="preserve">Hobson Beach Park, Ventura </t>
  </si>
  <si>
    <t>Thornehill Broome</t>
  </si>
  <si>
    <t>Emma Wood St Bch</t>
  </si>
  <si>
    <t>Bridgeport</t>
  </si>
  <si>
    <t xml:space="preserve">Tahoe City Campground </t>
  </si>
  <si>
    <t>Mariposa Fairgrounds</t>
  </si>
  <si>
    <t>Azalea, Sequoia</t>
  </si>
  <si>
    <t>Tuscon, AZ</t>
  </si>
  <si>
    <t>Fort Stockton, TX</t>
  </si>
  <si>
    <t>Sonora, TX</t>
  </si>
  <si>
    <t>Cracker Barrel, San Antonio, TX ￼</t>
  </si>
  <si>
    <t>Mustang Hollow, TX</t>
  </si>
  <si>
    <t>San Antonio, TX</t>
  </si>
  <si>
    <t>Shriner Park, Junction, TX</t>
  </si>
  <si>
    <t>Van Horn, TX</t>
  </si>
  <si>
    <t>KOA, Lordsburg, TX</t>
  </si>
  <si>
    <t xml:space="preserve">Palm Desert </t>
  </si>
  <si>
    <t>Tonopah, AZ</t>
  </si>
  <si>
    <t>Robert's Trucks, San Angelo</t>
  </si>
  <si>
    <t>San Angelo, TX</t>
  </si>
  <si>
    <t>El Paso</t>
  </si>
  <si>
    <t>￼270</t>
  </si>
  <si>
    <t>Los Baños</t>
  </si>
  <si>
    <t xml:space="preserve"> Lue Heron, Tillamook </t>
  </si>
  <si>
    <t>Morro Bay</t>
  </si>
  <si>
    <t>Anza Borrego State Park ￼￼</t>
  </si>
  <si>
    <t>Carpenteria</t>
  </si>
  <si>
    <t>Huntington Beach</t>
  </si>
  <si>
    <t>Newport Dunes</t>
  </si>
  <si>
    <t>Games</t>
  </si>
  <si>
    <t>Wins</t>
  </si>
  <si>
    <t>Win %</t>
  </si>
  <si>
    <t>Losses</t>
  </si>
  <si>
    <t>Loss %</t>
  </si>
  <si>
    <t>Lowest</t>
  </si>
  <si>
    <t>Highest</t>
  </si>
  <si>
    <t>Avg</t>
  </si>
  <si>
    <t>All Time</t>
  </si>
  <si>
    <t>Rank</t>
  </si>
  <si>
    <t>Score</t>
  </si>
  <si>
    <t>Name</t>
  </si>
  <si>
    <t>Value</t>
  </si>
  <si>
    <t>Constants</t>
  </si>
  <si>
    <t>Minimum Number of Games for stats</t>
  </si>
  <si>
    <t>Minimum Number of Games for avg</t>
  </si>
  <si>
    <t>Rank Factor</t>
  </si>
  <si>
    <t>Global Stats</t>
  </si>
  <si>
    <t>Total Game Count</t>
  </si>
  <si>
    <t>Full Game Count</t>
  </si>
  <si>
    <t>Half Game Count</t>
  </si>
  <si>
    <t>Overall average score</t>
  </si>
  <si>
    <t>All time maximum score</t>
  </si>
  <si>
    <t>All time minimum score</t>
  </si>
  <si>
    <t>Scores over 1000</t>
  </si>
  <si>
    <t>README</t>
  </si>
  <si>
    <t>1. In 'Raw Games' sheet, be sure to keep Min, Max, Winner, Loser data filled downward at least as far as the game data rows.</t>
  </si>
  <si>
    <t>2. In 'Raw Games' sheet, when winners and losers stop getting highlighted, you need to Edit &gt; Paste Special &gt; Conditional Formatting those rows and below after copying to clipboard the last highlighted row.</t>
  </si>
  <si>
    <t>3. Adding a new person is a two stop process: 1) insert a column in the alphabetical location for the new person, and b) Navigate to "Stats" page and fill downward to reveal last person.</t>
  </si>
  <si>
    <t>4. Inserting a new person whose name starts with A and is before the current first person is difficult because all the Conditions and Formulae will point to the column after. You will have to edit all of them.</t>
  </si>
  <si>
    <t>5. To add new Game results, add them after the last row in the "Raw Games" sheet (curently at over 250 rows)</t>
  </si>
  <si>
    <t>6. Once there are over 1001 rows in 'Raw Games' we will have to a) add Columns to the 'Pivot' sheet and b) Modify the TRANSPOSE function in Pivot!A:1 to include the additional columns.</t>
  </si>
  <si>
    <t>Aurora</t>
  </si>
  <si>
    <t>Lucas</t>
  </si>
  <si>
    <t>Lily</t>
  </si>
  <si>
    <t>Owen</t>
  </si>
  <si>
    <t>Cooper</t>
  </si>
  <si>
    <t>Lucy</t>
  </si>
  <si>
    <t>Luna</t>
  </si>
  <si>
    <t>Layla</t>
  </si>
  <si>
    <t>Aurora's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</si>
</sst>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&quot;, &quot;mmm&quot; &quot;d&quot;, &quot;yy"/>
    <numFmt numFmtId="165" formatCode="m/d"/>
    <numFmt numFmtId="166" formatCode="0.0%"/>
    <numFmt numFmtId="167" formatCode="#,###"/>
    <numFmt numFmtId="168" formatCode="#,##0.000"/>
    <numFmt numFmtId="169" formatCode="#,##0.0"/>
  </numFmts>
  <fonts count="6">
    <font>
      <sz val="10"/>
      <color rgb="FF000000"/>
      <name val="Arial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rgb="FF000000"/>
      <name val="&quot;Google Sans Mono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166" fontId="4" fillId="0" borderId="0" xfId="0" applyNumberFormat="1" applyFont="1"/>
    <xf numFmtId="167" fontId="4" fillId="0" borderId="0" xfId="0" applyNumberFormat="1" applyFont="1"/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166" fontId="3" fillId="0" borderId="0" xfId="0" applyNumberFormat="1" applyFont="1"/>
    <xf numFmtId="167" fontId="3" fillId="0" borderId="0" xfId="0" applyNumberFormat="1" applyFont="1"/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24">
    <dxf>
      <fill>
        <patternFill patternType="solid">
          <fgColor rgb="FF00FF00"/>
          <bgColor rgb="FF00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ont>
        <color rgb="FFCCCCCC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918"/>
  <sheetViews>
    <sheetView tabSelected="1" workbookViewId="0">
      <pane xSplit="1" ySplit="1" topLeftCell="B403" activePane="bottomRight" state="frozen"/>
      <selection pane="topRight" activeCell="B1" sqref="B1"/>
      <selection pane="bottomLeft" activeCell="A2" sqref="A2"/>
      <selection pane="bottomRight" activeCell="B436" sqref="B436"/>
    </sheetView>
  </sheetViews>
  <sheetFormatPr baseColWidth="10" defaultColWidth="12.6640625" defaultRowHeight="15.75" customHeight="1"/>
  <cols>
    <col min="1" max="1" width="13.1640625" customWidth="1"/>
    <col min="2" max="2" width="12.6640625" customWidth="1"/>
    <col min="3" max="3" width="4.1640625" customWidth="1"/>
    <col min="4" max="4" width="2.1640625" customWidth="1"/>
    <col min="5" max="5" width="6.6640625" customWidth="1"/>
    <col min="6" max="6" width="4.6640625" customWidth="1"/>
    <col min="7" max="7" width="5.1640625" customWidth="1"/>
    <col min="8" max="8" width="4.83203125" customWidth="1"/>
    <col min="9" max="9" width="4.6640625" customWidth="1"/>
    <col min="10" max="10" width="5" customWidth="1"/>
    <col min="11" max="11" width="4.6640625" customWidth="1"/>
    <col min="12" max="12" width="5" customWidth="1"/>
    <col min="13" max="13" width="5.1640625" customWidth="1"/>
    <col min="14" max="14" width="3.6640625" customWidth="1"/>
    <col min="15" max="15" width="4.1640625" customWidth="1"/>
    <col min="16" max="17" width="7.6640625" customWidth="1"/>
    <col min="18" max="18" width="5.6640625" customWidth="1"/>
    <col min="19" max="35" width="8.6640625" customWidth="1"/>
  </cols>
  <sheetData>
    <row r="1" spans="1:35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100</v>
      </c>
      <c r="L1" s="2" t="s">
        <v>101</v>
      </c>
      <c r="M1" s="2"/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5.75" customHeight="1">
      <c r="A2" s="3">
        <v>43134</v>
      </c>
      <c r="B2" s="4" t="s">
        <v>20</v>
      </c>
      <c r="C2" s="5"/>
      <c r="D2" s="5"/>
      <c r="E2" s="5">
        <v>690</v>
      </c>
      <c r="F2" s="5">
        <v>765</v>
      </c>
      <c r="G2" s="5">
        <v>520</v>
      </c>
      <c r="H2" s="5"/>
      <c r="I2" s="5"/>
      <c r="J2" s="5">
        <v>695</v>
      </c>
      <c r="K2" s="5"/>
      <c r="L2" s="5">
        <v>700</v>
      </c>
      <c r="M2" s="5"/>
      <c r="N2" s="6">
        <f t="shared" ref="N2:N65" si="0">MIN($D2:$M2)</f>
        <v>520</v>
      </c>
      <c r="O2" s="6">
        <f t="shared" ref="O2:O65" si="1">MAX($D2:$M2)</f>
        <v>765</v>
      </c>
      <c r="P2" s="5" t="s">
        <v>7</v>
      </c>
      <c r="Q2" s="5" t="s">
        <v>6</v>
      </c>
      <c r="R2" s="5">
        <f t="shared" ref="R2:R65" si="2">COUNT(D2:M2)</f>
        <v>5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5.75" customHeight="1">
      <c r="A3" s="3">
        <v>43135</v>
      </c>
      <c r="B3" s="4" t="s">
        <v>20</v>
      </c>
      <c r="C3" s="5"/>
      <c r="D3" s="5"/>
      <c r="E3" s="5">
        <v>385</v>
      </c>
      <c r="F3" s="5">
        <v>510</v>
      </c>
      <c r="G3" s="5"/>
      <c r="H3" s="5">
        <v>300</v>
      </c>
      <c r="I3" s="5"/>
      <c r="J3" s="5">
        <v>365</v>
      </c>
      <c r="K3" s="5"/>
      <c r="L3" s="5"/>
      <c r="M3" s="5"/>
      <c r="N3" s="6">
        <f t="shared" si="0"/>
        <v>300</v>
      </c>
      <c r="O3" s="6">
        <f t="shared" si="1"/>
        <v>510</v>
      </c>
      <c r="P3" s="5" t="s">
        <v>8</v>
      </c>
      <c r="Q3" s="5" t="s">
        <v>6</v>
      </c>
      <c r="R3" s="5">
        <f t="shared" si="2"/>
        <v>4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15.75" customHeight="1">
      <c r="A4" s="3">
        <v>43136</v>
      </c>
      <c r="B4" s="4" t="s">
        <v>20</v>
      </c>
      <c r="C4" s="5"/>
      <c r="D4" s="5"/>
      <c r="E4" s="5">
        <v>495</v>
      </c>
      <c r="F4" s="5">
        <v>195</v>
      </c>
      <c r="G4" s="5">
        <v>795</v>
      </c>
      <c r="H4" s="5"/>
      <c r="I4" s="5"/>
      <c r="J4" s="5">
        <v>450</v>
      </c>
      <c r="K4" s="5"/>
      <c r="L4" s="5"/>
      <c r="M4" s="5"/>
      <c r="N4" s="6">
        <f t="shared" si="0"/>
        <v>195</v>
      </c>
      <c r="O4" s="6">
        <f t="shared" si="1"/>
        <v>795</v>
      </c>
      <c r="P4" s="5" t="s">
        <v>6</v>
      </c>
      <c r="Q4" s="5" t="s">
        <v>7</v>
      </c>
      <c r="R4" s="5">
        <f t="shared" si="2"/>
        <v>4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5.75" customHeight="1">
      <c r="A5" s="3">
        <v>43137</v>
      </c>
      <c r="B5" s="4" t="s">
        <v>20</v>
      </c>
      <c r="C5" s="5"/>
      <c r="D5" s="5"/>
      <c r="E5" s="5"/>
      <c r="F5" s="5">
        <v>65</v>
      </c>
      <c r="G5" s="5">
        <v>485</v>
      </c>
      <c r="H5" s="5"/>
      <c r="I5" s="5">
        <v>895</v>
      </c>
      <c r="J5" s="5">
        <v>540</v>
      </c>
      <c r="K5" s="5"/>
      <c r="L5" s="5"/>
      <c r="M5" s="5"/>
      <c r="N5" s="6">
        <f t="shared" si="0"/>
        <v>65</v>
      </c>
      <c r="O5" s="6">
        <f t="shared" si="1"/>
        <v>895</v>
      </c>
      <c r="P5" s="5" t="s">
        <v>6</v>
      </c>
      <c r="Q5" s="5" t="s">
        <v>11</v>
      </c>
      <c r="R5" s="5">
        <f t="shared" si="2"/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15.75" customHeight="1">
      <c r="A6" s="3">
        <v>43138</v>
      </c>
      <c r="B6" s="4" t="s">
        <v>20</v>
      </c>
      <c r="C6" s="5"/>
      <c r="D6" s="5"/>
      <c r="E6" s="5">
        <v>280</v>
      </c>
      <c r="F6" s="5">
        <v>535</v>
      </c>
      <c r="G6" s="5">
        <v>525</v>
      </c>
      <c r="H6" s="5"/>
      <c r="I6" s="5"/>
      <c r="J6" s="5">
        <v>900</v>
      </c>
      <c r="K6" s="5"/>
      <c r="L6" s="5"/>
      <c r="M6" s="5"/>
      <c r="N6" s="6">
        <f t="shared" si="0"/>
        <v>280</v>
      </c>
      <c r="O6" s="6">
        <f t="shared" si="1"/>
        <v>900</v>
      </c>
      <c r="P6" s="5" t="s">
        <v>5</v>
      </c>
      <c r="Q6" s="5" t="s">
        <v>11</v>
      </c>
      <c r="R6" s="5">
        <f t="shared" si="2"/>
        <v>4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.75" customHeight="1">
      <c r="A7" s="3">
        <f>A6+2</f>
        <v>43140</v>
      </c>
      <c r="B7" s="4" t="s">
        <v>20</v>
      </c>
      <c r="C7" s="5"/>
      <c r="D7" s="5"/>
      <c r="E7" s="5">
        <v>460</v>
      </c>
      <c r="F7" s="5">
        <v>225</v>
      </c>
      <c r="G7" s="5">
        <v>395</v>
      </c>
      <c r="H7" s="5"/>
      <c r="I7" s="5"/>
      <c r="J7" s="5">
        <v>675</v>
      </c>
      <c r="K7" s="5"/>
      <c r="L7" s="5"/>
      <c r="M7" s="5"/>
      <c r="N7" s="6">
        <f t="shared" si="0"/>
        <v>225</v>
      </c>
      <c r="O7" s="6">
        <f t="shared" si="1"/>
        <v>675</v>
      </c>
      <c r="P7" s="5" t="s">
        <v>6</v>
      </c>
      <c r="Q7" s="5" t="s">
        <v>11</v>
      </c>
      <c r="R7" s="5">
        <f t="shared" si="2"/>
        <v>4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5.75" customHeight="1">
      <c r="A8" s="3">
        <f t="shared" ref="A8:A19" si="3">A7+2</f>
        <v>43142</v>
      </c>
      <c r="B8" s="4" t="s">
        <v>20</v>
      </c>
      <c r="C8" s="5"/>
      <c r="D8" s="5"/>
      <c r="E8" s="5">
        <v>190</v>
      </c>
      <c r="F8" s="5">
        <v>450</v>
      </c>
      <c r="G8" s="5"/>
      <c r="H8" s="5">
        <v>305</v>
      </c>
      <c r="I8" s="5"/>
      <c r="J8" s="5">
        <v>550</v>
      </c>
      <c r="K8" s="5"/>
      <c r="L8" s="5"/>
      <c r="M8" s="5"/>
      <c r="N8" s="6">
        <f t="shared" si="0"/>
        <v>190</v>
      </c>
      <c r="O8" s="6">
        <f t="shared" si="1"/>
        <v>550</v>
      </c>
      <c r="P8" s="5" t="s">
        <v>5</v>
      </c>
      <c r="Q8" s="5" t="s">
        <v>11</v>
      </c>
      <c r="R8" s="5">
        <f t="shared" si="2"/>
        <v>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5.75" customHeight="1">
      <c r="A9" s="3">
        <f t="shared" si="3"/>
        <v>43144</v>
      </c>
      <c r="B9" s="4" t="s">
        <v>20</v>
      </c>
      <c r="C9" s="5"/>
      <c r="D9" s="5"/>
      <c r="E9" s="5">
        <v>400</v>
      </c>
      <c r="F9" s="5"/>
      <c r="G9" s="5">
        <v>235</v>
      </c>
      <c r="H9" s="5"/>
      <c r="I9" s="5"/>
      <c r="J9" s="5">
        <v>260</v>
      </c>
      <c r="K9" s="5">
        <v>240</v>
      </c>
      <c r="L9" s="5"/>
      <c r="M9" s="5"/>
      <c r="N9" s="6">
        <f t="shared" si="0"/>
        <v>235</v>
      </c>
      <c r="O9" s="6">
        <f t="shared" si="1"/>
        <v>400</v>
      </c>
      <c r="P9" s="5" t="s">
        <v>7</v>
      </c>
      <c r="Q9" s="5" t="s">
        <v>5</v>
      </c>
      <c r="R9" s="5">
        <f t="shared" si="2"/>
        <v>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5.75" customHeight="1">
      <c r="A10" s="3">
        <f t="shared" si="3"/>
        <v>43146</v>
      </c>
      <c r="B10" s="4" t="s">
        <v>20</v>
      </c>
      <c r="C10" s="5"/>
      <c r="D10" s="5"/>
      <c r="E10" s="5">
        <v>165</v>
      </c>
      <c r="F10" s="5">
        <v>400</v>
      </c>
      <c r="G10" s="5">
        <v>250</v>
      </c>
      <c r="H10" s="5"/>
      <c r="I10" s="5"/>
      <c r="J10" s="5">
        <v>190</v>
      </c>
      <c r="K10" s="5"/>
      <c r="L10" s="5"/>
      <c r="M10" s="5"/>
      <c r="N10" s="6">
        <f t="shared" si="0"/>
        <v>165</v>
      </c>
      <c r="O10" s="6">
        <f t="shared" si="1"/>
        <v>400</v>
      </c>
      <c r="P10" s="5" t="s">
        <v>5</v>
      </c>
      <c r="Q10" s="5" t="s">
        <v>6</v>
      </c>
      <c r="R10" s="5">
        <f t="shared" si="2"/>
        <v>4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5.75" customHeight="1">
      <c r="A11" s="3">
        <f t="shared" si="3"/>
        <v>43148</v>
      </c>
      <c r="B11" s="4" t="s">
        <v>20</v>
      </c>
      <c r="C11" s="5"/>
      <c r="D11" s="5"/>
      <c r="E11" s="5">
        <v>445</v>
      </c>
      <c r="F11" s="5"/>
      <c r="G11" s="5">
        <v>370</v>
      </c>
      <c r="H11" s="5">
        <v>465</v>
      </c>
      <c r="I11" s="5"/>
      <c r="J11" s="5">
        <v>430</v>
      </c>
      <c r="K11" s="5"/>
      <c r="L11" s="5"/>
      <c r="M11" s="5"/>
      <c r="N11" s="6">
        <f t="shared" si="0"/>
        <v>370</v>
      </c>
      <c r="O11" s="6">
        <f t="shared" si="1"/>
        <v>465</v>
      </c>
      <c r="P11" s="5" t="s">
        <v>7</v>
      </c>
      <c r="Q11" s="5" t="s">
        <v>8</v>
      </c>
      <c r="R11" s="5">
        <f t="shared" si="2"/>
        <v>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15.75" customHeight="1">
      <c r="A12" s="3">
        <f t="shared" si="3"/>
        <v>43150</v>
      </c>
      <c r="B12" s="4" t="s">
        <v>20</v>
      </c>
      <c r="C12" s="5"/>
      <c r="D12" s="5"/>
      <c r="E12" s="5">
        <v>525</v>
      </c>
      <c r="F12" s="5">
        <v>330</v>
      </c>
      <c r="G12" s="5">
        <v>540</v>
      </c>
      <c r="H12" s="5"/>
      <c r="I12" s="5"/>
      <c r="J12" s="5">
        <v>675</v>
      </c>
      <c r="K12" s="5"/>
      <c r="L12" s="5"/>
      <c r="M12" s="5"/>
      <c r="N12" s="6">
        <f t="shared" si="0"/>
        <v>330</v>
      </c>
      <c r="O12" s="6">
        <f t="shared" si="1"/>
        <v>675</v>
      </c>
      <c r="P12" s="5" t="s">
        <v>6</v>
      </c>
      <c r="Q12" s="5" t="s">
        <v>11</v>
      </c>
      <c r="R12" s="5">
        <f t="shared" si="2"/>
        <v>4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5.75" customHeight="1">
      <c r="A13" s="3">
        <f t="shared" si="3"/>
        <v>43152</v>
      </c>
      <c r="B13" s="4" t="s">
        <v>20</v>
      </c>
      <c r="C13" s="5"/>
      <c r="D13" s="5"/>
      <c r="E13" s="5">
        <v>405</v>
      </c>
      <c r="F13" s="5">
        <v>385</v>
      </c>
      <c r="G13" s="5">
        <v>630</v>
      </c>
      <c r="H13" s="5"/>
      <c r="I13" s="5"/>
      <c r="J13" s="5">
        <v>410</v>
      </c>
      <c r="K13" s="5">
        <v>380</v>
      </c>
      <c r="L13" s="5"/>
      <c r="M13" s="5"/>
      <c r="N13" s="6">
        <f t="shared" si="0"/>
        <v>380</v>
      </c>
      <c r="O13" s="6">
        <f t="shared" si="1"/>
        <v>630</v>
      </c>
      <c r="P13" s="5" t="s">
        <v>12</v>
      </c>
      <c r="Q13" s="5" t="s">
        <v>7</v>
      </c>
      <c r="R13" s="5">
        <f t="shared" si="2"/>
        <v>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5.75" customHeight="1">
      <c r="A14" s="3">
        <f t="shared" si="3"/>
        <v>43154</v>
      </c>
      <c r="B14" s="4" t="s">
        <v>20</v>
      </c>
      <c r="C14" s="5"/>
      <c r="D14" s="5"/>
      <c r="E14" s="5">
        <v>250</v>
      </c>
      <c r="F14" s="5">
        <v>690</v>
      </c>
      <c r="G14" s="5"/>
      <c r="H14" s="5"/>
      <c r="I14" s="5"/>
      <c r="J14" s="5">
        <v>515</v>
      </c>
      <c r="K14" s="5">
        <v>800</v>
      </c>
      <c r="L14" s="5"/>
      <c r="M14" s="5"/>
      <c r="N14" s="6">
        <f t="shared" si="0"/>
        <v>250</v>
      </c>
      <c r="O14" s="6">
        <f t="shared" si="1"/>
        <v>800</v>
      </c>
      <c r="P14" s="5" t="s">
        <v>5</v>
      </c>
      <c r="Q14" s="5" t="s">
        <v>12</v>
      </c>
      <c r="R14" s="5">
        <f t="shared" si="2"/>
        <v>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5.75" customHeight="1">
      <c r="A15" s="3">
        <f t="shared" si="3"/>
        <v>43156</v>
      </c>
      <c r="B15" s="4" t="s">
        <v>20</v>
      </c>
      <c r="C15" s="5" t="s">
        <v>21</v>
      </c>
      <c r="D15" s="5"/>
      <c r="E15" s="5">
        <v>95</v>
      </c>
      <c r="F15" s="5">
        <v>240</v>
      </c>
      <c r="G15" s="5"/>
      <c r="H15" s="5">
        <v>95</v>
      </c>
      <c r="I15" s="5"/>
      <c r="J15" s="5">
        <v>265</v>
      </c>
      <c r="K15" s="5"/>
      <c r="L15" s="5"/>
      <c r="M15" s="5"/>
      <c r="N15" s="6">
        <f t="shared" si="0"/>
        <v>95</v>
      </c>
      <c r="O15" s="6">
        <f t="shared" si="1"/>
        <v>265</v>
      </c>
      <c r="P15" s="5" t="s">
        <v>5</v>
      </c>
      <c r="Q15" s="5" t="s">
        <v>11</v>
      </c>
      <c r="R15" s="5">
        <f t="shared" si="2"/>
        <v>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5.75" customHeight="1">
      <c r="A16" s="3">
        <f t="shared" si="3"/>
        <v>43158</v>
      </c>
      <c r="B16" s="4" t="s">
        <v>20</v>
      </c>
      <c r="C16" s="5"/>
      <c r="D16" s="5"/>
      <c r="E16" s="5">
        <v>455</v>
      </c>
      <c r="F16" s="5">
        <v>630</v>
      </c>
      <c r="G16" s="5">
        <v>395</v>
      </c>
      <c r="H16" s="5"/>
      <c r="I16" s="5"/>
      <c r="J16" s="5">
        <v>380</v>
      </c>
      <c r="K16" s="5">
        <v>650</v>
      </c>
      <c r="L16" s="5"/>
      <c r="M16" s="5"/>
      <c r="N16" s="6">
        <f t="shared" si="0"/>
        <v>380</v>
      </c>
      <c r="O16" s="6">
        <f t="shared" si="1"/>
        <v>650</v>
      </c>
      <c r="P16" s="5" t="s">
        <v>11</v>
      </c>
      <c r="Q16" s="5" t="s">
        <v>12</v>
      </c>
      <c r="R16" s="5">
        <f t="shared" si="2"/>
        <v>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5.75" customHeight="1">
      <c r="A17" s="3">
        <f t="shared" si="3"/>
        <v>43160</v>
      </c>
      <c r="B17" s="4" t="s">
        <v>20</v>
      </c>
      <c r="C17" s="5" t="s">
        <v>21</v>
      </c>
      <c r="D17" s="5"/>
      <c r="E17" s="5"/>
      <c r="F17" s="5">
        <v>465</v>
      </c>
      <c r="G17" s="5">
        <v>405</v>
      </c>
      <c r="H17" s="5"/>
      <c r="I17" s="5"/>
      <c r="J17" s="5">
        <v>75</v>
      </c>
      <c r="K17" s="5"/>
      <c r="L17" s="5">
        <v>420</v>
      </c>
      <c r="M17" s="5"/>
      <c r="N17" s="6">
        <f t="shared" si="0"/>
        <v>75</v>
      </c>
      <c r="O17" s="6">
        <f t="shared" si="1"/>
        <v>465</v>
      </c>
      <c r="P17" s="5" t="s">
        <v>11</v>
      </c>
      <c r="Q17" s="5" t="s">
        <v>6</v>
      </c>
      <c r="R17" s="5">
        <f t="shared" si="2"/>
        <v>4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5.75" customHeight="1">
      <c r="A18" s="3">
        <f t="shared" si="3"/>
        <v>43162</v>
      </c>
      <c r="B18" s="4" t="s">
        <v>20</v>
      </c>
      <c r="C18" s="5"/>
      <c r="D18" s="5"/>
      <c r="E18" s="5">
        <v>260</v>
      </c>
      <c r="F18" s="5">
        <v>285</v>
      </c>
      <c r="G18" s="5">
        <v>570</v>
      </c>
      <c r="H18" s="5"/>
      <c r="I18" s="5"/>
      <c r="J18" s="5">
        <v>695</v>
      </c>
      <c r="K18" s="5"/>
      <c r="L18" s="5">
        <v>780</v>
      </c>
      <c r="M18" s="5"/>
      <c r="N18" s="6">
        <f t="shared" si="0"/>
        <v>260</v>
      </c>
      <c r="O18" s="6">
        <f t="shared" si="1"/>
        <v>780</v>
      </c>
      <c r="P18" s="5" t="s">
        <v>5</v>
      </c>
      <c r="Q18" s="5" t="s">
        <v>13</v>
      </c>
      <c r="R18" s="5">
        <f t="shared" si="2"/>
        <v>5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5.75" customHeight="1">
      <c r="A19" s="3">
        <f t="shared" si="3"/>
        <v>43164</v>
      </c>
      <c r="B19" s="4" t="s">
        <v>22</v>
      </c>
      <c r="C19" s="5"/>
      <c r="D19" s="5"/>
      <c r="E19" s="5">
        <v>575</v>
      </c>
      <c r="F19" s="5">
        <v>510</v>
      </c>
      <c r="G19" s="5"/>
      <c r="H19" s="5">
        <v>565</v>
      </c>
      <c r="I19" s="5"/>
      <c r="J19" s="5"/>
      <c r="K19" s="5">
        <v>400</v>
      </c>
      <c r="L19" s="5"/>
      <c r="M19" s="5"/>
      <c r="N19" s="6">
        <f t="shared" si="0"/>
        <v>400</v>
      </c>
      <c r="O19" s="6">
        <f t="shared" si="1"/>
        <v>575</v>
      </c>
      <c r="P19" s="5" t="s">
        <v>12</v>
      </c>
      <c r="Q19" s="5" t="s">
        <v>5</v>
      </c>
      <c r="R19" s="5">
        <f t="shared" si="2"/>
        <v>4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5.75" customHeight="1">
      <c r="A20" s="3">
        <v>43289</v>
      </c>
      <c r="B20" s="4" t="s">
        <v>22</v>
      </c>
      <c r="C20" s="5"/>
      <c r="D20" s="5"/>
      <c r="E20" s="5">
        <v>95</v>
      </c>
      <c r="F20" s="5">
        <v>705</v>
      </c>
      <c r="G20" s="5"/>
      <c r="H20" s="5">
        <v>775</v>
      </c>
      <c r="I20" s="5"/>
      <c r="J20" s="5">
        <v>400</v>
      </c>
      <c r="K20" s="5"/>
      <c r="L20" s="5"/>
      <c r="M20" s="5"/>
      <c r="N20" s="6">
        <f t="shared" si="0"/>
        <v>95</v>
      </c>
      <c r="O20" s="6">
        <f t="shared" si="1"/>
        <v>775</v>
      </c>
      <c r="P20" s="5" t="s">
        <v>5</v>
      </c>
      <c r="Q20" s="5" t="s">
        <v>8</v>
      </c>
      <c r="R20" s="5">
        <f t="shared" si="2"/>
        <v>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5.75" customHeight="1">
      <c r="A21" s="3">
        <f>A20+2</f>
        <v>43291</v>
      </c>
      <c r="B21" s="4" t="s">
        <v>20</v>
      </c>
      <c r="C21" s="5" t="s">
        <v>21</v>
      </c>
      <c r="D21" s="5"/>
      <c r="E21" s="5">
        <v>155</v>
      </c>
      <c r="F21" s="5">
        <v>100</v>
      </c>
      <c r="G21" s="5">
        <v>495</v>
      </c>
      <c r="H21" s="5">
        <v>240</v>
      </c>
      <c r="I21" s="5"/>
      <c r="J21" s="5">
        <v>235</v>
      </c>
      <c r="K21" s="5"/>
      <c r="L21" s="5"/>
      <c r="M21" s="5"/>
      <c r="N21" s="6">
        <f t="shared" si="0"/>
        <v>100</v>
      </c>
      <c r="O21" s="6">
        <f t="shared" si="1"/>
        <v>495</v>
      </c>
      <c r="P21" s="5" t="s">
        <v>6</v>
      </c>
      <c r="Q21" s="5" t="s">
        <v>7</v>
      </c>
      <c r="R21" s="5">
        <f t="shared" si="2"/>
        <v>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5.75" customHeight="1">
      <c r="A22" s="3">
        <f t="shared" ref="A22:A39" si="4">A21+2</f>
        <v>43293</v>
      </c>
      <c r="B22" s="4" t="s">
        <v>20</v>
      </c>
      <c r="C22" s="5" t="s">
        <v>21</v>
      </c>
      <c r="D22" s="5"/>
      <c r="E22" s="5">
        <v>235</v>
      </c>
      <c r="F22" s="5">
        <v>135</v>
      </c>
      <c r="G22" s="5">
        <v>375</v>
      </c>
      <c r="H22" s="5"/>
      <c r="I22" s="5"/>
      <c r="J22" s="5">
        <v>145</v>
      </c>
      <c r="K22" s="5">
        <v>120</v>
      </c>
      <c r="L22" s="5"/>
      <c r="M22" s="5"/>
      <c r="N22" s="6">
        <f t="shared" si="0"/>
        <v>120</v>
      </c>
      <c r="O22" s="6">
        <f t="shared" si="1"/>
        <v>375</v>
      </c>
      <c r="P22" s="5" t="s">
        <v>12</v>
      </c>
      <c r="Q22" s="5" t="s">
        <v>7</v>
      </c>
      <c r="R22" s="5">
        <f t="shared" si="2"/>
        <v>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5.75" customHeight="1">
      <c r="A23" s="3">
        <f t="shared" si="4"/>
        <v>43295</v>
      </c>
      <c r="B23" s="4" t="s">
        <v>20</v>
      </c>
      <c r="C23" s="5"/>
      <c r="D23" s="5"/>
      <c r="E23" s="5"/>
      <c r="F23" s="5"/>
      <c r="G23" s="5">
        <v>155</v>
      </c>
      <c r="H23" s="5">
        <v>655</v>
      </c>
      <c r="I23" s="5"/>
      <c r="J23" s="5">
        <v>245</v>
      </c>
      <c r="K23" s="5"/>
      <c r="L23" s="5"/>
      <c r="M23" s="5"/>
      <c r="N23" s="6">
        <f t="shared" si="0"/>
        <v>155</v>
      </c>
      <c r="O23" s="6">
        <f t="shared" si="1"/>
        <v>655</v>
      </c>
      <c r="P23" s="5" t="s">
        <v>7</v>
      </c>
      <c r="Q23" s="5" t="s">
        <v>8</v>
      </c>
      <c r="R23" s="5">
        <f t="shared" si="2"/>
        <v>3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5.75" customHeight="1">
      <c r="A24" s="3">
        <f t="shared" si="4"/>
        <v>43297</v>
      </c>
      <c r="B24" s="4" t="s">
        <v>20</v>
      </c>
      <c r="C24" s="5" t="s">
        <v>21</v>
      </c>
      <c r="D24" s="5"/>
      <c r="E24" s="5"/>
      <c r="F24" s="5">
        <v>160</v>
      </c>
      <c r="G24" s="5">
        <v>335</v>
      </c>
      <c r="H24" s="5"/>
      <c r="I24" s="5">
        <v>320</v>
      </c>
      <c r="J24" s="5">
        <v>145</v>
      </c>
      <c r="K24" s="5"/>
      <c r="L24" s="5"/>
      <c r="M24" s="5"/>
      <c r="N24" s="6">
        <f t="shared" si="0"/>
        <v>145</v>
      </c>
      <c r="O24" s="6">
        <f t="shared" si="1"/>
        <v>335</v>
      </c>
      <c r="P24" s="5" t="s">
        <v>11</v>
      </c>
      <c r="Q24" s="5" t="s">
        <v>7</v>
      </c>
      <c r="R24" s="5">
        <f t="shared" si="2"/>
        <v>4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5.75" customHeight="1">
      <c r="A25" s="3">
        <f t="shared" si="4"/>
        <v>43299</v>
      </c>
      <c r="B25" s="4" t="s">
        <v>20</v>
      </c>
      <c r="C25" s="5"/>
      <c r="D25" s="5"/>
      <c r="E25" s="5">
        <v>125</v>
      </c>
      <c r="F25" s="5">
        <v>655</v>
      </c>
      <c r="G25" s="5">
        <v>720</v>
      </c>
      <c r="H25" s="5"/>
      <c r="I25" s="5"/>
      <c r="J25" s="5">
        <v>390</v>
      </c>
      <c r="K25" s="5"/>
      <c r="L25" s="5"/>
      <c r="M25" s="5"/>
      <c r="N25" s="6">
        <f t="shared" si="0"/>
        <v>125</v>
      </c>
      <c r="O25" s="6">
        <f t="shared" si="1"/>
        <v>720</v>
      </c>
      <c r="P25" s="5" t="s">
        <v>5</v>
      </c>
      <c r="Q25" s="5" t="s">
        <v>7</v>
      </c>
      <c r="R25" s="5">
        <f t="shared" si="2"/>
        <v>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5.75" customHeight="1">
      <c r="A26" s="3">
        <f t="shared" si="4"/>
        <v>43301</v>
      </c>
      <c r="B26" s="4" t="s">
        <v>22</v>
      </c>
      <c r="C26" s="5"/>
      <c r="D26" s="5"/>
      <c r="E26" s="5">
        <v>175</v>
      </c>
      <c r="F26" s="5">
        <v>625</v>
      </c>
      <c r="G26" s="5">
        <v>285</v>
      </c>
      <c r="H26" s="5"/>
      <c r="I26" s="5"/>
      <c r="J26" s="5">
        <v>185</v>
      </c>
      <c r="K26" s="5"/>
      <c r="L26" s="5"/>
      <c r="M26" s="5"/>
      <c r="N26" s="6">
        <f t="shared" si="0"/>
        <v>175</v>
      </c>
      <c r="O26" s="6">
        <f t="shared" si="1"/>
        <v>625</v>
      </c>
      <c r="P26" s="5" t="s">
        <v>5</v>
      </c>
      <c r="Q26" s="5" t="s">
        <v>6</v>
      </c>
      <c r="R26" s="5">
        <f t="shared" si="2"/>
        <v>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5.75" customHeight="1">
      <c r="A27" s="3">
        <f t="shared" si="4"/>
        <v>43303</v>
      </c>
      <c r="B27" s="4" t="s">
        <v>20</v>
      </c>
      <c r="C27" s="5"/>
      <c r="D27" s="5"/>
      <c r="E27" s="5">
        <v>595</v>
      </c>
      <c r="F27" s="5">
        <v>455</v>
      </c>
      <c r="G27" s="5">
        <v>585</v>
      </c>
      <c r="H27" s="5"/>
      <c r="I27" s="5"/>
      <c r="J27" s="5">
        <v>520</v>
      </c>
      <c r="K27" s="5"/>
      <c r="L27" s="5"/>
      <c r="M27" s="5"/>
      <c r="N27" s="6">
        <f t="shared" si="0"/>
        <v>455</v>
      </c>
      <c r="O27" s="6">
        <f t="shared" si="1"/>
        <v>595</v>
      </c>
      <c r="P27" s="5" t="s">
        <v>6</v>
      </c>
      <c r="Q27" s="5" t="s">
        <v>5</v>
      </c>
      <c r="R27" s="5">
        <f t="shared" si="2"/>
        <v>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5.75" customHeight="1">
      <c r="A28" s="3">
        <f t="shared" si="4"/>
        <v>43305</v>
      </c>
      <c r="B28" s="4" t="s">
        <v>22</v>
      </c>
      <c r="C28" s="5"/>
      <c r="D28" s="5"/>
      <c r="E28" s="5">
        <v>535</v>
      </c>
      <c r="F28" s="5">
        <v>590</v>
      </c>
      <c r="G28" s="5">
        <v>635</v>
      </c>
      <c r="H28" s="5">
        <v>905</v>
      </c>
      <c r="I28" s="5"/>
      <c r="J28" s="5">
        <v>480</v>
      </c>
      <c r="K28" s="5"/>
      <c r="L28" s="5"/>
      <c r="M28" s="5"/>
      <c r="N28" s="6">
        <f t="shared" si="0"/>
        <v>480</v>
      </c>
      <c r="O28" s="6">
        <f t="shared" si="1"/>
        <v>905</v>
      </c>
      <c r="P28" s="5" t="s">
        <v>11</v>
      </c>
      <c r="Q28" s="5" t="s">
        <v>8</v>
      </c>
      <c r="R28" s="5">
        <f t="shared" si="2"/>
        <v>5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.75" customHeight="1">
      <c r="A29" s="3">
        <f t="shared" si="4"/>
        <v>43307</v>
      </c>
      <c r="B29" s="4" t="s">
        <v>22</v>
      </c>
      <c r="C29" s="5"/>
      <c r="D29" s="5"/>
      <c r="E29" s="5">
        <v>840</v>
      </c>
      <c r="F29" s="5">
        <v>725</v>
      </c>
      <c r="G29" s="5">
        <v>950</v>
      </c>
      <c r="H29" s="5"/>
      <c r="I29" s="5"/>
      <c r="J29" s="5">
        <v>150</v>
      </c>
      <c r="K29" s="5"/>
      <c r="L29" s="5">
        <v>565</v>
      </c>
      <c r="M29" s="5"/>
      <c r="N29" s="6">
        <f t="shared" si="0"/>
        <v>150</v>
      </c>
      <c r="O29" s="6">
        <f t="shared" si="1"/>
        <v>950</v>
      </c>
      <c r="P29" s="5" t="s">
        <v>11</v>
      </c>
      <c r="Q29" s="5" t="s">
        <v>7</v>
      </c>
      <c r="R29" s="5">
        <f t="shared" si="2"/>
        <v>5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.75" customHeight="1">
      <c r="A30" s="3">
        <f t="shared" si="4"/>
        <v>43309</v>
      </c>
      <c r="B30" s="4" t="s">
        <v>20</v>
      </c>
      <c r="C30" s="5"/>
      <c r="D30" s="5"/>
      <c r="E30" s="5">
        <v>635</v>
      </c>
      <c r="F30" s="5">
        <v>665</v>
      </c>
      <c r="G30" s="5">
        <v>500</v>
      </c>
      <c r="H30" s="5"/>
      <c r="I30" s="5"/>
      <c r="J30" s="5">
        <v>520</v>
      </c>
      <c r="K30" s="5"/>
      <c r="L30" s="5"/>
      <c r="M30" s="5"/>
      <c r="N30" s="6">
        <f t="shared" si="0"/>
        <v>500</v>
      </c>
      <c r="O30" s="6">
        <f t="shared" si="1"/>
        <v>665</v>
      </c>
      <c r="P30" s="5" t="s">
        <v>7</v>
      </c>
      <c r="Q30" s="5" t="s">
        <v>6</v>
      </c>
      <c r="R30" s="5">
        <f t="shared" si="2"/>
        <v>4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.75" customHeight="1">
      <c r="A31" s="3">
        <f t="shared" si="4"/>
        <v>43311</v>
      </c>
      <c r="B31" s="4" t="s">
        <v>20</v>
      </c>
      <c r="C31" s="5" t="s">
        <v>21</v>
      </c>
      <c r="D31" s="5"/>
      <c r="E31" s="5">
        <v>235</v>
      </c>
      <c r="F31" s="5">
        <v>265</v>
      </c>
      <c r="G31" s="5">
        <v>270</v>
      </c>
      <c r="H31" s="5">
        <v>110</v>
      </c>
      <c r="I31" s="5"/>
      <c r="J31" s="5">
        <v>360</v>
      </c>
      <c r="K31" s="5"/>
      <c r="L31" s="5"/>
      <c r="M31" s="5"/>
      <c r="N31" s="6">
        <f t="shared" si="0"/>
        <v>110</v>
      </c>
      <c r="O31" s="6">
        <f t="shared" si="1"/>
        <v>360</v>
      </c>
      <c r="P31" s="5" t="s">
        <v>8</v>
      </c>
      <c r="Q31" s="5" t="s">
        <v>11</v>
      </c>
      <c r="R31" s="5">
        <f t="shared" si="2"/>
        <v>5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.75" customHeight="1">
      <c r="A32" s="3">
        <f t="shared" si="4"/>
        <v>43313</v>
      </c>
      <c r="B32" s="4" t="s">
        <v>20</v>
      </c>
      <c r="C32" s="5"/>
      <c r="D32" s="5"/>
      <c r="E32" s="5"/>
      <c r="F32" s="5">
        <v>665</v>
      </c>
      <c r="G32" s="5"/>
      <c r="H32" s="5"/>
      <c r="I32" s="5">
        <v>705</v>
      </c>
      <c r="J32" s="5">
        <v>285</v>
      </c>
      <c r="K32" s="5">
        <v>605</v>
      </c>
      <c r="L32" s="5"/>
      <c r="M32" s="5"/>
      <c r="N32" s="6">
        <f t="shared" si="0"/>
        <v>285</v>
      </c>
      <c r="O32" s="6">
        <f t="shared" si="1"/>
        <v>705</v>
      </c>
      <c r="P32" s="5" t="s">
        <v>11</v>
      </c>
      <c r="Q32" s="5" t="s">
        <v>10</v>
      </c>
      <c r="R32" s="5">
        <f t="shared" si="2"/>
        <v>4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.75" customHeight="1">
      <c r="A33" s="3">
        <f t="shared" si="4"/>
        <v>43315</v>
      </c>
      <c r="B33" s="4" t="s">
        <v>22</v>
      </c>
      <c r="C33" s="5"/>
      <c r="D33" s="5"/>
      <c r="E33" s="5">
        <v>125</v>
      </c>
      <c r="F33" s="5">
        <v>240</v>
      </c>
      <c r="G33" s="5"/>
      <c r="H33" s="5"/>
      <c r="I33" s="5"/>
      <c r="J33" s="5">
        <v>520</v>
      </c>
      <c r="K33" s="5"/>
      <c r="L33" s="5">
        <v>495</v>
      </c>
      <c r="M33" s="5"/>
      <c r="N33" s="6">
        <f t="shared" si="0"/>
        <v>125</v>
      </c>
      <c r="O33" s="6">
        <f t="shared" si="1"/>
        <v>520</v>
      </c>
      <c r="P33" s="5" t="s">
        <v>5</v>
      </c>
      <c r="Q33" s="5" t="s">
        <v>11</v>
      </c>
      <c r="R33" s="5">
        <f t="shared" si="2"/>
        <v>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.75" customHeight="1">
      <c r="A34" s="3">
        <f t="shared" si="4"/>
        <v>43317</v>
      </c>
      <c r="B34" s="4" t="s">
        <v>22</v>
      </c>
      <c r="C34" s="5"/>
      <c r="D34" s="5"/>
      <c r="E34" s="5">
        <v>485</v>
      </c>
      <c r="F34" s="5">
        <v>180</v>
      </c>
      <c r="G34" s="5">
        <v>330</v>
      </c>
      <c r="H34" s="5"/>
      <c r="I34" s="5"/>
      <c r="J34" s="5">
        <v>460</v>
      </c>
      <c r="K34" s="5"/>
      <c r="L34" s="5"/>
      <c r="M34" s="5"/>
      <c r="N34" s="6">
        <f t="shared" si="0"/>
        <v>180</v>
      </c>
      <c r="O34" s="6">
        <f t="shared" si="1"/>
        <v>485</v>
      </c>
      <c r="P34" s="5" t="s">
        <v>6</v>
      </c>
      <c r="Q34" s="5" t="s">
        <v>5</v>
      </c>
      <c r="R34" s="5">
        <f t="shared" si="2"/>
        <v>4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.75" customHeight="1">
      <c r="A35" s="3">
        <f t="shared" si="4"/>
        <v>43319</v>
      </c>
      <c r="B35" s="4" t="s">
        <v>22</v>
      </c>
      <c r="C35" s="5"/>
      <c r="D35" s="5"/>
      <c r="E35" s="5">
        <v>330</v>
      </c>
      <c r="F35" s="5">
        <v>480</v>
      </c>
      <c r="G35" s="5">
        <v>270</v>
      </c>
      <c r="H35" s="5"/>
      <c r="I35" s="5"/>
      <c r="J35" s="5">
        <v>470</v>
      </c>
      <c r="K35" s="5"/>
      <c r="L35" s="5"/>
      <c r="M35" s="5"/>
      <c r="N35" s="6">
        <f t="shared" si="0"/>
        <v>270</v>
      </c>
      <c r="O35" s="6">
        <f t="shared" si="1"/>
        <v>480</v>
      </c>
      <c r="P35" s="5" t="s">
        <v>7</v>
      </c>
      <c r="Q35" s="5" t="s">
        <v>6</v>
      </c>
      <c r="R35" s="5">
        <f t="shared" si="2"/>
        <v>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.75" customHeight="1">
      <c r="A36" s="3">
        <f t="shared" si="4"/>
        <v>43321</v>
      </c>
      <c r="B36" s="4" t="s">
        <v>20</v>
      </c>
      <c r="C36" s="5"/>
      <c r="D36" s="5"/>
      <c r="E36" s="5">
        <v>100</v>
      </c>
      <c r="F36" s="5">
        <v>485</v>
      </c>
      <c r="G36" s="5"/>
      <c r="H36" s="5"/>
      <c r="I36" s="5"/>
      <c r="J36" s="5">
        <v>550</v>
      </c>
      <c r="K36" s="5"/>
      <c r="L36" s="5">
        <v>800</v>
      </c>
      <c r="M36" s="5"/>
      <c r="N36" s="6">
        <f t="shared" si="0"/>
        <v>100</v>
      </c>
      <c r="O36" s="6">
        <f t="shared" si="1"/>
        <v>800</v>
      </c>
      <c r="P36" s="5" t="s">
        <v>5</v>
      </c>
      <c r="Q36" s="5" t="s">
        <v>13</v>
      </c>
      <c r="R36" s="5">
        <f t="shared" si="2"/>
        <v>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.75" customHeight="1">
      <c r="A37" s="3">
        <f t="shared" si="4"/>
        <v>43323</v>
      </c>
      <c r="B37" s="4" t="s">
        <v>20</v>
      </c>
      <c r="C37" s="5"/>
      <c r="D37" s="5"/>
      <c r="E37" s="5"/>
      <c r="F37" s="5">
        <v>325</v>
      </c>
      <c r="G37" s="5">
        <v>330</v>
      </c>
      <c r="H37" s="5"/>
      <c r="I37" s="5"/>
      <c r="J37" s="5">
        <v>460</v>
      </c>
      <c r="K37" s="5">
        <v>250</v>
      </c>
      <c r="L37" s="5"/>
      <c r="M37" s="5"/>
      <c r="N37" s="6">
        <f t="shared" si="0"/>
        <v>250</v>
      </c>
      <c r="O37" s="6">
        <f t="shared" si="1"/>
        <v>460</v>
      </c>
      <c r="P37" s="5" t="s">
        <v>12</v>
      </c>
      <c r="Q37" s="5" t="s">
        <v>11</v>
      </c>
      <c r="R37" s="5">
        <f t="shared" si="2"/>
        <v>4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.75" customHeight="1">
      <c r="A38" s="3">
        <f t="shared" si="4"/>
        <v>43325</v>
      </c>
      <c r="B38" s="4" t="s">
        <v>20</v>
      </c>
      <c r="C38" s="5" t="s">
        <v>21</v>
      </c>
      <c r="D38" s="5"/>
      <c r="E38" s="5">
        <v>165</v>
      </c>
      <c r="F38" s="5">
        <v>105</v>
      </c>
      <c r="G38" s="5">
        <v>455</v>
      </c>
      <c r="H38" s="5"/>
      <c r="I38" s="5"/>
      <c r="J38" s="5">
        <v>250</v>
      </c>
      <c r="K38" s="5"/>
      <c r="L38" s="5"/>
      <c r="M38" s="5"/>
      <c r="N38" s="6">
        <f t="shared" si="0"/>
        <v>105</v>
      </c>
      <c r="O38" s="6">
        <f t="shared" si="1"/>
        <v>455</v>
      </c>
      <c r="P38" s="5" t="s">
        <v>6</v>
      </c>
      <c r="Q38" s="5" t="s">
        <v>7</v>
      </c>
      <c r="R38" s="5">
        <f t="shared" si="2"/>
        <v>4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.75" customHeight="1">
      <c r="A39" s="3">
        <f t="shared" si="4"/>
        <v>43327</v>
      </c>
      <c r="B39" s="4" t="s">
        <v>20</v>
      </c>
      <c r="C39" s="5"/>
      <c r="D39" s="5"/>
      <c r="E39" s="5"/>
      <c r="F39" s="5">
        <v>390</v>
      </c>
      <c r="G39" s="5">
        <v>315</v>
      </c>
      <c r="H39" s="5"/>
      <c r="I39" s="5"/>
      <c r="J39" s="5">
        <v>325</v>
      </c>
      <c r="K39" s="5"/>
      <c r="L39" s="5">
        <v>710</v>
      </c>
      <c r="M39" s="5"/>
      <c r="N39" s="6">
        <f t="shared" si="0"/>
        <v>315</v>
      </c>
      <c r="O39" s="6">
        <f t="shared" si="1"/>
        <v>710</v>
      </c>
      <c r="P39" s="5" t="s">
        <v>7</v>
      </c>
      <c r="Q39" s="5" t="s">
        <v>13</v>
      </c>
      <c r="R39" s="5">
        <f t="shared" si="2"/>
        <v>4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.75" customHeight="1">
      <c r="A40" s="3">
        <v>43415</v>
      </c>
      <c r="B40" s="4" t="s">
        <v>22</v>
      </c>
      <c r="C40" s="5"/>
      <c r="D40" s="5"/>
      <c r="E40" s="5">
        <v>560</v>
      </c>
      <c r="F40" s="5">
        <v>305</v>
      </c>
      <c r="G40" s="5"/>
      <c r="H40" s="5"/>
      <c r="I40" s="5"/>
      <c r="J40" s="5">
        <v>195</v>
      </c>
      <c r="K40" s="5"/>
      <c r="L40" s="5">
        <v>315</v>
      </c>
      <c r="M40" s="5"/>
      <c r="N40" s="6">
        <f t="shared" si="0"/>
        <v>195</v>
      </c>
      <c r="O40" s="6">
        <f t="shared" si="1"/>
        <v>560</v>
      </c>
      <c r="P40" s="5" t="s">
        <v>11</v>
      </c>
      <c r="Q40" s="5" t="s">
        <v>5</v>
      </c>
      <c r="R40" s="5">
        <f t="shared" si="2"/>
        <v>4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.75" customHeight="1">
      <c r="A41" s="3">
        <f>A40+2</f>
        <v>43417</v>
      </c>
      <c r="B41" s="4" t="s">
        <v>22</v>
      </c>
      <c r="C41" s="5"/>
      <c r="D41" s="5"/>
      <c r="E41" s="5">
        <v>465</v>
      </c>
      <c r="F41" s="5">
        <v>575</v>
      </c>
      <c r="G41" s="5"/>
      <c r="H41" s="5">
        <v>725</v>
      </c>
      <c r="I41" s="5"/>
      <c r="J41" s="5">
        <v>405</v>
      </c>
      <c r="K41" s="5"/>
      <c r="L41" s="5"/>
      <c r="M41" s="5"/>
      <c r="N41" s="6">
        <f t="shared" si="0"/>
        <v>405</v>
      </c>
      <c r="O41" s="6">
        <f t="shared" si="1"/>
        <v>725</v>
      </c>
      <c r="P41" s="5" t="s">
        <v>11</v>
      </c>
      <c r="Q41" s="5" t="s">
        <v>8</v>
      </c>
      <c r="R41" s="5">
        <f t="shared" si="2"/>
        <v>4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.75" customHeight="1">
      <c r="A42" s="3">
        <f t="shared" ref="A42:A50" si="5">A41+2</f>
        <v>43419</v>
      </c>
      <c r="B42" s="4" t="s">
        <v>20</v>
      </c>
      <c r="C42" s="5"/>
      <c r="D42" s="5"/>
      <c r="E42" s="5"/>
      <c r="F42" s="5">
        <v>110</v>
      </c>
      <c r="G42" s="5"/>
      <c r="H42" s="5"/>
      <c r="I42" s="5"/>
      <c r="J42" s="5">
        <v>310</v>
      </c>
      <c r="K42" s="5">
        <v>110</v>
      </c>
      <c r="L42" s="5"/>
      <c r="M42" s="5"/>
      <c r="N42" s="6">
        <f t="shared" si="0"/>
        <v>110</v>
      </c>
      <c r="O42" s="6">
        <f t="shared" si="1"/>
        <v>310</v>
      </c>
      <c r="P42" s="5" t="s">
        <v>6</v>
      </c>
      <c r="Q42" s="5" t="s">
        <v>11</v>
      </c>
      <c r="R42" s="5">
        <f t="shared" si="2"/>
        <v>3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.75" customHeight="1">
      <c r="A43" s="3">
        <f t="shared" si="5"/>
        <v>43421</v>
      </c>
      <c r="B43" s="4" t="s">
        <v>22</v>
      </c>
      <c r="C43" s="5"/>
      <c r="D43" s="5"/>
      <c r="E43" s="5">
        <v>770</v>
      </c>
      <c r="F43" s="5">
        <v>420</v>
      </c>
      <c r="G43" s="5"/>
      <c r="H43" s="5">
        <v>450</v>
      </c>
      <c r="I43" s="5"/>
      <c r="J43" s="5">
        <v>630</v>
      </c>
      <c r="K43" s="5">
        <v>1165</v>
      </c>
      <c r="L43" s="5"/>
      <c r="M43" s="5"/>
      <c r="N43" s="6">
        <f t="shared" si="0"/>
        <v>420</v>
      </c>
      <c r="O43" s="6">
        <f t="shared" si="1"/>
        <v>1165</v>
      </c>
      <c r="P43" s="5" t="s">
        <v>6</v>
      </c>
      <c r="Q43" s="5" t="s">
        <v>12</v>
      </c>
      <c r="R43" s="5">
        <f t="shared" si="2"/>
        <v>5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.75" customHeight="1">
      <c r="A44" s="3">
        <f t="shared" si="5"/>
        <v>43423</v>
      </c>
      <c r="B44" s="4" t="s">
        <v>20</v>
      </c>
      <c r="C44" s="5" t="s">
        <v>21</v>
      </c>
      <c r="D44" s="5"/>
      <c r="E44" s="5"/>
      <c r="F44" s="5">
        <v>245</v>
      </c>
      <c r="G44" s="5"/>
      <c r="H44" s="5"/>
      <c r="I44" s="5"/>
      <c r="J44" s="5">
        <v>165</v>
      </c>
      <c r="K44" s="5">
        <v>310</v>
      </c>
      <c r="L44" s="5"/>
      <c r="M44" s="5"/>
      <c r="N44" s="6">
        <f t="shared" si="0"/>
        <v>165</v>
      </c>
      <c r="O44" s="6">
        <f t="shared" si="1"/>
        <v>310</v>
      </c>
      <c r="P44" s="5" t="s">
        <v>11</v>
      </c>
      <c r="Q44" s="5" t="s">
        <v>12</v>
      </c>
      <c r="R44" s="5">
        <f t="shared" si="2"/>
        <v>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.75" customHeight="1">
      <c r="A45" s="3">
        <f t="shared" si="5"/>
        <v>43425</v>
      </c>
      <c r="B45" s="4" t="s">
        <v>22</v>
      </c>
      <c r="C45" s="5"/>
      <c r="D45" s="5"/>
      <c r="E45" s="5">
        <v>225</v>
      </c>
      <c r="F45" s="5"/>
      <c r="G45" s="5"/>
      <c r="H45" s="5">
        <v>125</v>
      </c>
      <c r="I45" s="5"/>
      <c r="J45" s="5"/>
      <c r="K45" s="5"/>
      <c r="L45" s="5">
        <v>255</v>
      </c>
      <c r="M45" s="5"/>
      <c r="N45" s="6">
        <f t="shared" si="0"/>
        <v>125</v>
      </c>
      <c r="O45" s="6">
        <f t="shared" si="1"/>
        <v>255</v>
      </c>
      <c r="P45" s="5" t="s">
        <v>8</v>
      </c>
      <c r="Q45" s="5" t="s">
        <v>13</v>
      </c>
      <c r="R45" s="5">
        <f t="shared" si="2"/>
        <v>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.75" customHeight="1">
      <c r="A46" s="3">
        <f t="shared" si="5"/>
        <v>43427</v>
      </c>
      <c r="B46" s="4" t="s">
        <v>20</v>
      </c>
      <c r="C46" s="5"/>
      <c r="D46" s="5"/>
      <c r="E46" s="5">
        <v>235</v>
      </c>
      <c r="F46" s="5">
        <v>595</v>
      </c>
      <c r="G46" s="5"/>
      <c r="H46" s="5"/>
      <c r="I46" s="5"/>
      <c r="J46" s="5">
        <v>325</v>
      </c>
      <c r="K46" s="5"/>
      <c r="L46" s="5">
        <v>415</v>
      </c>
      <c r="M46" s="5"/>
      <c r="N46" s="6">
        <f t="shared" si="0"/>
        <v>235</v>
      </c>
      <c r="O46" s="6">
        <f t="shared" si="1"/>
        <v>595</v>
      </c>
      <c r="P46" s="5" t="s">
        <v>5</v>
      </c>
      <c r="Q46" s="5" t="s">
        <v>6</v>
      </c>
      <c r="R46" s="5">
        <f t="shared" si="2"/>
        <v>4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.75" customHeight="1">
      <c r="A47" s="3">
        <f t="shared" si="5"/>
        <v>43429</v>
      </c>
      <c r="B47" s="4" t="s">
        <v>22</v>
      </c>
      <c r="C47" s="5"/>
      <c r="D47" s="5"/>
      <c r="E47" s="5">
        <v>385</v>
      </c>
      <c r="F47" s="5">
        <v>585</v>
      </c>
      <c r="G47" s="5">
        <v>600</v>
      </c>
      <c r="H47" s="5"/>
      <c r="I47" s="5"/>
      <c r="J47" s="5">
        <v>500</v>
      </c>
      <c r="K47" s="5"/>
      <c r="L47" s="5"/>
      <c r="M47" s="5"/>
      <c r="N47" s="6">
        <f t="shared" si="0"/>
        <v>385</v>
      </c>
      <c r="O47" s="6">
        <f t="shared" si="1"/>
        <v>600</v>
      </c>
      <c r="P47" s="5" t="s">
        <v>5</v>
      </c>
      <c r="Q47" s="5" t="s">
        <v>7</v>
      </c>
      <c r="R47" s="5">
        <f t="shared" si="2"/>
        <v>4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.75" customHeight="1">
      <c r="A48" s="3">
        <f t="shared" si="5"/>
        <v>43431</v>
      </c>
      <c r="B48" s="4" t="s">
        <v>20</v>
      </c>
      <c r="C48" s="5"/>
      <c r="D48" s="5"/>
      <c r="E48" s="5">
        <v>465</v>
      </c>
      <c r="F48" s="5">
        <v>1080</v>
      </c>
      <c r="G48" s="5"/>
      <c r="H48" s="5"/>
      <c r="I48" s="5"/>
      <c r="J48" s="5">
        <v>600</v>
      </c>
      <c r="K48" s="5"/>
      <c r="L48" s="5">
        <v>480</v>
      </c>
      <c r="M48" s="5"/>
      <c r="N48" s="6">
        <f t="shared" si="0"/>
        <v>465</v>
      </c>
      <c r="O48" s="6">
        <f t="shared" si="1"/>
        <v>1080</v>
      </c>
      <c r="P48" s="5" t="s">
        <v>5</v>
      </c>
      <c r="Q48" s="5" t="s">
        <v>6</v>
      </c>
      <c r="R48" s="5">
        <f t="shared" si="2"/>
        <v>4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.75" customHeight="1">
      <c r="A49" s="3">
        <f t="shared" si="5"/>
        <v>43433</v>
      </c>
      <c r="B49" s="4" t="s">
        <v>20</v>
      </c>
      <c r="C49" s="5" t="s">
        <v>21</v>
      </c>
      <c r="D49" s="5"/>
      <c r="E49" s="5"/>
      <c r="F49" s="5">
        <v>40</v>
      </c>
      <c r="G49" s="5">
        <v>525</v>
      </c>
      <c r="H49" s="5"/>
      <c r="I49" s="5"/>
      <c r="J49" s="5">
        <v>45</v>
      </c>
      <c r="K49" s="5"/>
      <c r="L49" s="5"/>
      <c r="M49" s="5"/>
      <c r="N49" s="6">
        <f t="shared" si="0"/>
        <v>40</v>
      </c>
      <c r="O49" s="6">
        <f t="shared" si="1"/>
        <v>525</v>
      </c>
      <c r="P49" s="5" t="s">
        <v>6</v>
      </c>
      <c r="Q49" s="5" t="s">
        <v>7</v>
      </c>
      <c r="R49" s="5">
        <f t="shared" si="2"/>
        <v>3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.75" customHeight="1">
      <c r="A50" s="3">
        <f t="shared" si="5"/>
        <v>43435</v>
      </c>
      <c r="B50" s="4" t="s">
        <v>20</v>
      </c>
      <c r="C50" s="5"/>
      <c r="D50" s="5"/>
      <c r="E50" s="5">
        <v>330</v>
      </c>
      <c r="F50" s="5">
        <v>315</v>
      </c>
      <c r="G50" s="5"/>
      <c r="H50" s="5">
        <v>640</v>
      </c>
      <c r="I50" s="5"/>
      <c r="J50" s="5">
        <v>580</v>
      </c>
      <c r="K50" s="5"/>
      <c r="L50" s="5"/>
      <c r="M50" s="5"/>
      <c r="N50" s="6">
        <f t="shared" si="0"/>
        <v>315</v>
      </c>
      <c r="O50" s="6">
        <f t="shared" si="1"/>
        <v>640</v>
      </c>
      <c r="P50" s="5" t="s">
        <v>6</v>
      </c>
      <c r="Q50" s="5" t="s">
        <v>8</v>
      </c>
      <c r="R50" s="5">
        <f t="shared" si="2"/>
        <v>4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.75" customHeight="1">
      <c r="A51" s="3">
        <v>43498</v>
      </c>
      <c r="B51" s="4" t="s">
        <v>20</v>
      </c>
      <c r="C51" s="5"/>
      <c r="D51" s="5"/>
      <c r="E51" s="5">
        <v>95</v>
      </c>
      <c r="F51" s="5">
        <v>70</v>
      </c>
      <c r="G51" s="5"/>
      <c r="H51" s="5">
        <v>210</v>
      </c>
      <c r="I51" s="5"/>
      <c r="J51" s="5">
        <v>164</v>
      </c>
      <c r="K51" s="5"/>
      <c r="L51" s="5"/>
      <c r="M51" s="5"/>
      <c r="N51" s="6">
        <f t="shared" si="0"/>
        <v>70</v>
      </c>
      <c r="O51" s="6">
        <f t="shared" si="1"/>
        <v>210</v>
      </c>
      <c r="P51" s="5" t="s">
        <v>6</v>
      </c>
      <c r="Q51" s="5" t="s">
        <v>8</v>
      </c>
      <c r="R51" s="5">
        <f t="shared" si="2"/>
        <v>4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.75" customHeight="1">
      <c r="A52" s="3">
        <f>A51+2</f>
        <v>43500</v>
      </c>
      <c r="B52" s="4" t="s">
        <v>20</v>
      </c>
      <c r="C52" s="5"/>
      <c r="D52" s="5"/>
      <c r="E52" s="5">
        <v>195</v>
      </c>
      <c r="F52" s="5">
        <v>175</v>
      </c>
      <c r="G52" s="5"/>
      <c r="H52" s="5">
        <v>360</v>
      </c>
      <c r="I52" s="5"/>
      <c r="J52" s="5">
        <v>245</v>
      </c>
      <c r="K52" s="5"/>
      <c r="L52" s="5"/>
      <c r="M52" s="5"/>
      <c r="N52" s="6">
        <f t="shared" si="0"/>
        <v>175</v>
      </c>
      <c r="O52" s="6">
        <f t="shared" si="1"/>
        <v>360</v>
      </c>
      <c r="P52" s="5" t="s">
        <v>6</v>
      </c>
      <c r="Q52" s="5" t="s">
        <v>8</v>
      </c>
      <c r="R52" s="5">
        <f t="shared" si="2"/>
        <v>4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3">
      <c r="A53" s="3">
        <f t="shared" ref="A53:A62" si="6">A52+2</f>
        <v>43502</v>
      </c>
      <c r="B53" s="4" t="s">
        <v>20</v>
      </c>
      <c r="C53" s="5" t="s">
        <v>21</v>
      </c>
      <c r="D53" s="5"/>
      <c r="E53" s="5"/>
      <c r="F53" s="5">
        <v>480</v>
      </c>
      <c r="G53" s="5">
        <v>235</v>
      </c>
      <c r="H53" s="5"/>
      <c r="I53" s="5">
        <v>525</v>
      </c>
      <c r="J53" s="5">
        <v>305</v>
      </c>
      <c r="K53" s="5"/>
      <c r="L53" s="5"/>
      <c r="M53" s="5"/>
      <c r="N53" s="6">
        <f t="shared" si="0"/>
        <v>235</v>
      </c>
      <c r="O53" s="6">
        <f t="shared" si="1"/>
        <v>525</v>
      </c>
      <c r="P53" s="5" t="s">
        <v>7</v>
      </c>
      <c r="Q53" s="5" t="s">
        <v>6</v>
      </c>
      <c r="R53" s="5">
        <f t="shared" si="2"/>
        <v>4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3">
      <c r="A54" s="3">
        <f t="shared" si="6"/>
        <v>43504</v>
      </c>
      <c r="B54" s="4" t="s">
        <v>20</v>
      </c>
      <c r="C54" s="5"/>
      <c r="D54" s="5"/>
      <c r="E54" s="5"/>
      <c r="F54" s="5">
        <v>300</v>
      </c>
      <c r="G54" s="5">
        <v>390</v>
      </c>
      <c r="H54" s="5"/>
      <c r="I54" s="5"/>
      <c r="J54" s="5">
        <v>190</v>
      </c>
      <c r="K54" s="5">
        <v>255</v>
      </c>
      <c r="L54" s="5"/>
      <c r="M54" s="5"/>
      <c r="N54" s="6">
        <f t="shared" si="0"/>
        <v>190</v>
      </c>
      <c r="O54" s="6">
        <f t="shared" si="1"/>
        <v>390</v>
      </c>
      <c r="P54" s="5" t="s">
        <v>11</v>
      </c>
      <c r="Q54" s="5" t="s">
        <v>7</v>
      </c>
      <c r="R54" s="5">
        <f t="shared" si="2"/>
        <v>4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3">
      <c r="A55" s="3">
        <f t="shared" si="6"/>
        <v>43506</v>
      </c>
      <c r="B55" s="4" t="s">
        <v>20</v>
      </c>
      <c r="C55" s="5"/>
      <c r="D55" s="5"/>
      <c r="E55" s="5">
        <v>1020</v>
      </c>
      <c r="F55" s="5">
        <v>440</v>
      </c>
      <c r="G55" s="5"/>
      <c r="H55" s="5">
        <v>415</v>
      </c>
      <c r="I55" s="5"/>
      <c r="J55" s="5">
        <v>255</v>
      </c>
      <c r="K55" s="5"/>
      <c r="L55" s="5"/>
      <c r="M55" s="5"/>
      <c r="N55" s="6">
        <f t="shared" si="0"/>
        <v>255</v>
      </c>
      <c r="O55" s="6">
        <f t="shared" si="1"/>
        <v>1020</v>
      </c>
      <c r="P55" s="5" t="s">
        <v>11</v>
      </c>
      <c r="Q55" s="5" t="s">
        <v>5</v>
      </c>
      <c r="R55" s="5">
        <f t="shared" si="2"/>
        <v>4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3">
      <c r="A56" s="3">
        <f t="shared" si="6"/>
        <v>43508</v>
      </c>
      <c r="B56" s="4" t="s">
        <v>20</v>
      </c>
      <c r="C56" s="5"/>
      <c r="D56" s="5"/>
      <c r="E56" s="5"/>
      <c r="F56" s="5">
        <v>530</v>
      </c>
      <c r="G56" s="5"/>
      <c r="H56" s="5"/>
      <c r="I56" s="5"/>
      <c r="J56" s="5">
        <v>90</v>
      </c>
      <c r="K56" s="5">
        <v>470</v>
      </c>
      <c r="L56" s="5"/>
      <c r="M56" s="5"/>
      <c r="N56" s="6">
        <f t="shared" si="0"/>
        <v>90</v>
      </c>
      <c r="O56" s="6">
        <f t="shared" si="1"/>
        <v>530</v>
      </c>
      <c r="P56" s="5" t="s">
        <v>11</v>
      </c>
      <c r="Q56" s="5" t="s">
        <v>6</v>
      </c>
      <c r="R56" s="5">
        <f t="shared" si="2"/>
        <v>3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3">
      <c r="A57" s="3">
        <f t="shared" si="6"/>
        <v>43510</v>
      </c>
      <c r="B57" s="4" t="s">
        <v>20</v>
      </c>
      <c r="C57" s="5"/>
      <c r="D57" s="5"/>
      <c r="E57" s="5">
        <v>570</v>
      </c>
      <c r="F57" s="5">
        <v>730</v>
      </c>
      <c r="G57" s="5"/>
      <c r="H57" s="5">
        <v>735</v>
      </c>
      <c r="I57" s="5"/>
      <c r="J57" s="5">
        <v>520</v>
      </c>
      <c r="K57" s="5"/>
      <c r="L57" s="5"/>
      <c r="M57" s="5"/>
      <c r="N57" s="6">
        <f t="shared" si="0"/>
        <v>520</v>
      </c>
      <c r="O57" s="6">
        <f t="shared" si="1"/>
        <v>735</v>
      </c>
      <c r="P57" s="5" t="s">
        <v>11</v>
      </c>
      <c r="Q57" s="5" t="s">
        <v>8</v>
      </c>
      <c r="R57" s="5">
        <f t="shared" si="2"/>
        <v>4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3">
      <c r="A58" s="3">
        <f t="shared" si="6"/>
        <v>43512</v>
      </c>
      <c r="B58" s="4" t="s">
        <v>20</v>
      </c>
      <c r="C58" s="5"/>
      <c r="D58" s="5"/>
      <c r="E58" s="5">
        <v>345</v>
      </c>
      <c r="F58" s="5">
        <v>390</v>
      </c>
      <c r="G58" s="5"/>
      <c r="H58" s="5">
        <v>255</v>
      </c>
      <c r="I58" s="5"/>
      <c r="J58" s="5">
        <v>235</v>
      </c>
      <c r="K58" s="5"/>
      <c r="L58" s="5"/>
      <c r="M58" s="5"/>
      <c r="N58" s="6">
        <f t="shared" si="0"/>
        <v>235</v>
      </c>
      <c r="O58" s="6">
        <f t="shared" si="1"/>
        <v>390</v>
      </c>
      <c r="P58" s="5" t="s">
        <v>11</v>
      </c>
      <c r="Q58" s="5" t="s">
        <v>6</v>
      </c>
      <c r="R58" s="5">
        <f t="shared" si="2"/>
        <v>4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3">
      <c r="A59" s="3">
        <f t="shared" si="6"/>
        <v>43514</v>
      </c>
      <c r="B59" s="4" t="s">
        <v>20</v>
      </c>
      <c r="C59" s="5"/>
      <c r="D59" s="5"/>
      <c r="E59" s="5"/>
      <c r="F59" s="5">
        <v>295</v>
      </c>
      <c r="G59" s="5">
        <v>380</v>
      </c>
      <c r="H59" s="5"/>
      <c r="I59" s="5"/>
      <c r="J59" s="5">
        <v>375</v>
      </c>
      <c r="K59" s="5"/>
      <c r="L59" s="5"/>
      <c r="M59" s="5"/>
      <c r="N59" s="6">
        <f t="shared" si="0"/>
        <v>295</v>
      </c>
      <c r="O59" s="6">
        <f t="shared" si="1"/>
        <v>380</v>
      </c>
      <c r="P59" s="5" t="s">
        <v>6</v>
      </c>
      <c r="Q59" s="5" t="s">
        <v>7</v>
      </c>
      <c r="R59" s="5">
        <f t="shared" si="2"/>
        <v>3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3">
      <c r="A60" s="3">
        <f t="shared" si="6"/>
        <v>43516</v>
      </c>
      <c r="B60" s="4" t="s">
        <v>20</v>
      </c>
      <c r="C60" s="5"/>
      <c r="D60" s="5"/>
      <c r="E60" s="5"/>
      <c r="F60" s="5">
        <v>245</v>
      </c>
      <c r="G60" s="5"/>
      <c r="H60" s="5"/>
      <c r="I60" s="5"/>
      <c r="J60" s="5">
        <v>205</v>
      </c>
      <c r="K60" s="5">
        <v>170</v>
      </c>
      <c r="L60" s="5"/>
      <c r="M60" s="5"/>
      <c r="N60" s="6">
        <f t="shared" si="0"/>
        <v>170</v>
      </c>
      <c r="O60" s="6">
        <f t="shared" si="1"/>
        <v>245</v>
      </c>
      <c r="P60" s="5" t="s">
        <v>12</v>
      </c>
      <c r="Q60" s="5" t="s">
        <v>6</v>
      </c>
      <c r="R60" s="5">
        <f t="shared" si="2"/>
        <v>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3">
      <c r="A61" s="3">
        <f t="shared" si="6"/>
        <v>43518</v>
      </c>
      <c r="B61" s="4" t="s">
        <v>20</v>
      </c>
      <c r="C61" s="5"/>
      <c r="D61" s="5"/>
      <c r="E61" s="5"/>
      <c r="F61" s="5">
        <v>180</v>
      </c>
      <c r="G61" s="5"/>
      <c r="H61" s="5"/>
      <c r="I61" s="5"/>
      <c r="J61" s="5">
        <v>495</v>
      </c>
      <c r="K61" s="5">
        <v>580</v>
      </c>
      <c r="L61" s="5"/>
      <c r="M61" s="5"/>
      <c r="N61" s="6">
        <f t="shared" si="0"/>
        <v>180</v>
      </c>
      <c r="O61" s="6">
        <f t="shared" si="1"/>
        <v>580</v>
      </c>
      <c r="P61" s="5" t="s">
        <v>6</v>
      </c>
      <c r="Q61" s="5" t="s">
        <v>12</v>
      </c>
      <c r="R61" s="5">
        <f t="shared" si="2"/>
        <v>3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3">
      <c r="A62" s="3">
        <f t="shared" si="6"/>
        <v>43520</v>
      </c>
      <c r="B62" s="4" t="s">
        <v>20</v>
      </c>
      <c r="C62" s="5"/>
      <c r="D62" s="5"/>
      <c r="E62" s="5"/>
      <c r="F62" s="5">
        <v>140</v>
      </c>
      <c r="G62" s="5"/>
      <c r="H62" s="5"/>
      <c r="I62" s="5"/>
      <c r="J62" s="5">
        <v>405</v>
      </c>
      <c r="K62" s="5">
        <v>105</v>
      </c>
      <c r="L62" s="5"/>
      <c r="M62" s="5"/>
      <c r="N62" s="6">
        <f t="shared" si="0"/>
        <v>105</v>
      </c>
      <c r="O62" s="6">
        <f t="shared" si="1"/>
        <v>405</v>
      </c>
      <c r="P62" s="5" t="s">
        <v>12</v>
      </c>
      <c r="Q62" s="5" t="s">
        <v>11</v>
      </c>
      <c r="R62" s="5">
        <f t="shared" si="2"/>
        <v>3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3">
      <c r="A63" s="3">
        <v>43592</v>
      </c>
      <c r="B63" s="4" t="s">
        <v>20</v>
      </c>
      <c r="C63" s="5"/>
      <c r="D63" s="5"/>
      <c r="E63" s="5"/>
      <c r="F63" s="5">
        <v>550</v>
      </c>
      <c r="G63" s="5"/>
      <c r="H63" s="5"/>
      <c r="I63" s="5"/>
      <c r="J63" s="5">
        <v>505</v>
      </c>
      <c r="K63" s="5">
        <v>310</v>
      </c>
      <c r="L63" s="5"/>
      <c r="M63" s="5"/>
      <c r="N63" s="6">
        <f t="shared" si="0"/>
        <v>310</v>
      </c>
      <c r="O63" s="6">
        <f t="shared" si="1"/>
        <v>550</v>
      </c>
      <c r="P63" s="5" t="s">
        <v>12</v>
      </c>
      <c r="Q63" s="5" t="s">
        <v>6</v>
      </c>
      <c r="R63" s="5">
        <f t="shared" si="2"/>
        <v>3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3">
      <c r="A64" s="3">
        <f>A63+2</f>
        <v>43594</v>
      </c>
      <c r="B64" s="4" t="s">
        <v>20</v>
      </c>
      <c r="C64" s="5"/>
      <c r="D64" s="5"/>
      <c r="E64" s="5"/>
      <c r="F64" s="5">
        <v>440</v>
      </c>
      <c r="G64" s="5"/>
      <c r="H64" s="5"/>
      <c r="I64" s="5"/>
      <c r="J64" s="5">
        <v>540</v>
      </c>
      <c r="K64" s="5">
        <v>280</v>
      </c>
      <c r="L64" s="5"/>
      <c r="M64" s="5"/>
      <c r="N64" s="6">
        <f t="shared" si="0"/>
        <v>280</v>
      </c>
      <c r="O64" s="6">
        <f t="shared" si="1"/>
        <v>540</v>
      </c>
      <c r="P64" s="5" t="s">
        <v>12</v>
      </c>
      <c r="Q64" s="5" t="s">
        <v>11</v>
      </c>
      <c r="R64" s="5">
        <f t="shared" si="2"/>
        <v>3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3">
      <c r="A65" s="3">
        <f t="shared" ref="A65:A75" si="7">A64+2</f>
        <v>43596</v>
      </c>
      <c r="B65" s="4" t="s">
        <v>20</v>
      </c>
      <c r="C65" s="5"/>
      <c r="D65" s="5"/>
      <c r="E65" s="5"/>
      <c r="F65" s="5">
        <v>445</v>
      </c>
      <c r="G65" s="5"/>
      <c r="H65" s="5"/>
      <c r="I65" s="5"/>
      <c r="J65" s="5">
        <v>240</v>
      </c>
      <c r="K65" s="5">
        <v>445</v>
      </c>
      <c r="L65" s="5"/>
      <c r="M65" s="5"/>
      <c r="N65" s="6">
        <f t="shared" si="0"/>
        <v>240</v>
      </c>
      <c r="O65" s="6">
        <f t="shared" si="1"/>
        <v>445</v>
      </c>
      <c r="P65" s="5" t="s">
        <v>11</v>
      </c>
      <c r="Q65" s="5" t="s">
        <v>6</v>
      </c>
      <c r="R65" s="5">
        <f t="shared" si="2"/>
        <v>3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3">
      <c r="A66" s="3">
        <f t="shared" si="7"/>
        <v>43598</v>
      </c>
      <c r="B66" s="4" t="s">
        <v>20</v>
      </c>
      <c r="C66" s="5"/>
      <c r="D66" s="5"/>
      <c r="E66" s="5"/>
      <c r="F66" s="5">
        <v>435</v>
      </c>
      <c r="G66" s="5"/>
      <c r="H66" s="5"/>
      <c r="I66" s="5"/>
      <c r="J66" s="5">
        <v>310</v>
      </c>
      <c r="K66" s="5">
        <v>765</v>
      </c>
      <c r="L66" s="5"/>
      <c r="M66" s="5"/>
      <c r="N66" s="6">
        <f t="shared" ref="N66:N129" si="8">MIN($D66:$M66)</f>
        <v>310</v>
      </c>
      <c r="O66" s="6">
        <f t="shared" ref="O66:O129" si="9">MAX($D66:$M66)</f>
        <v>765</v>
      </c>
      <c r="P66" s="5" t="s">
        <v>11</v>
      </c>
      <c r="Q66" s="5" t="s">
        <v>12</v>
      </c>
      <c r="R66" s="5">
        <f t="shared" ref="R66:R129" si="10">COUNT(D66:M66)</f>
        <v>3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3">
      <c r="A67" s="3">
        <f t="shared" si="7"/>
        <v>43600</v>
      </c>
      <c r="B67" s="4" t="s">
        <v>22</v>
      </c>
      <c r="C67" s="5"/>
      <c r="D67" s="5"/>
      <c r="E67" s="5">
        <v>380</v>
      </c>
      <c r="F67" s="5">
        <v>445</v>
      </c>
      <c r="G67" s="5">
        <v>730</v>
      </c>
      <c r="H67" s="5">
        <v>840</v>
      </c>
      <c r="I67" s="5"/>
      <c r="J67" s="5">
        <v>425</v>
      </c>
      <c r="K67" s="5"/>
      <c r="L67" s="5"/>
      <c r="M67" s="5"/>
      <c r="N67" s="6">
        <f t="shared" si="8"/>
        <v>380</v>
      </c>
      <c r="O67" s="6">
        <f t="shared" si="9"/>
        <v>840</v>
      </c>
      <c r="P67" s="5" t="s">
        <v>5</v>
      </c>
      <c r="Q67" s="5" t="s">
        <v>8</v>
      </c>
      <c r="R67" s="5">
        <f t="shared" si="10"/>
        <v>5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3">
      <c r="A68" s="3">
        <f t="shared" si="7"/>
        <v>43602</v>
      </c>
      <c r="B68" s="4" t="s">
        <v>22</v>
      </c>
      <c r="C68" s="5"/>
      <c r="D68" s="5"/>
      <c r="E68" s="5">
        <v>395</v>
      </c>
      <c r="F68" s="5">
        <v>760</v>
      </c>
      <c r="G68" s="5"/>
      <c r="H68" s="5"/>
      <c r="I68" s="5"/>
      <c r="J68" s="5">
        <v>385</v>
      </c>
      <c r="K68" s="5">
        <v>830</v>
      </c>
      <c r="L68" s="5">
        <v>555</v>
      </c>
      <c r="M68" s="5"/>
      <c r="N68" s="6">
        <f t="shared" si="8"/>
        <v>385</v>
      </c>
      <c r="O68" s="6">
        <f t="shared" si="9"/>
        <v>830</v>
      </c>
      <c r="P68" s="5" t="s">
        <v>11</v>
      </c>
      <c r="Q68" s="5" t="s">
        <v>12</v>
      </c>
      <c r="R68" s="5">
        <f t="shared" si="10"/>
        <v>5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3">
      <c r="A69" s="3">
        <f t="shared" si="7"/>
        <v>43604</v>
      </c>
      <c r="B69" s="4" t="s">
        <v>22</v>
      </c>
      <c r="C69" s="5"/>
      <c r="D69" s="5"/>
      <c r="E69" s="5">
        <v>105</v>
      </c>
      <c r="F69" s="5"/>
      <c r="G69" s="5"/>
      <c r="H69" s="5">
        <v>180</v>
      </c>
      <c r="I69" s="5"/>
      <c r="J69" s="5"/>
      <c r="K69" s="5"/>
      <c r="L69" s="5">
        <v>330</v>
      </c>
      <c r="M69" s="5"/>
      <c r="N69" s="6">
        <f t="shared" si="8"/>
        <v>105</v>
      </c>
      <c r="O69" s="6">
        <f t="shared" si="9"/>
        <v>330</v>
      </c>
      <c r="P69" s="5" t="s">
        <v>5</v>
      </c>
      <c r="Q69" s="5" t="s">
        <v>13</v>
      </c>
      <c r="R69" s="5">
        <f t="shared" si="10"/>
        <v>3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3">
      <c r="A70" s="3">
        <f t="shared" si="7"/>
        <v>43606</v>
      </c>
      <c r="B70" s="4" t="s">
        <v>22</v>
      </c>
      <c r="C70" s="5"/>
      <c r="D70" s="5"/>
      <c r="E70" s="5">
        <v>765</v>
      </c>
      <c r="F70" s="5">
        <v>565</v>
      </c>
      <c r="G70" s="5"/>
      <c r="H70" s="5">
        <v>415</v>
      </c>
      <c r="I70" s="5"/>
      <c r="J70" s="5">
        <v>555</v>
      </c>
      <c r="K70" s="5"/>
      <c r="L70" s="5"/>
      <c r="M70" s="5"/>
      <c r="N70" s="6">
        <f t="shared" si="8"/>
        <v>415</v>
      </c>
      <c r="O70" s="6">
        <f t="shared" si="9"/>
        <v>765</v>
      </c>
      <c r="P70" s="5" t="s">
        <v>8</v>
      </c>
      <c r="Q70" s="5" t="s">
        <v>5</v>
      </c>
      <c r="R70" s="5">
        <f t="shared" si="10"/>
        <v>4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3">
      <c r="A71" s="3">
        <f t="shared" si="7"/>
        <v>43608</v>
      </c>
      <c r="B71" s="4" t="s">
        <v>22</v>
      </c>
      <c r="C71" s="5"/>
      <c r="D71" s="5"/>
      <c r="E71" s="5">
        <v>760</v>
      </c>
      <c r="F71" s="5">
        <v>570</v>
      </c>
      <c r="G71" s="5"/>
      <c r="H71" s="5">
        <v>300</v>
      </c>
      <c r="I71" s="5"/>
      <c r="J71" s="5">
        <v>455</v>
      </c>
      <c r="K71" s="5"/>
      <c r="L71" s="5"/>
      <c r="M71" s="5"/>
      <c r="N71" s="6">
        <f t="shared" si="8"/>
        <v>300</v>
      </c>
      <c r="O71" s="6">
        <f t="shared" si="9"/>
        <v>760</v>
      </c>
      <c r="P71" s="5" t="s">
        <v>8</v>
      </c>
      <c r="Q71" s="5" t="s">
        <v>5</v>
      </c>
      <c r="R71" s="5">
        <f t="shared" si="10"/>
        <v>4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3">
      <c r="A72" s="3">
        <f t="shared" si="7"/>
        <v>43610</v>
      </c>
      <c r="B72" s="4" t="s">
        <v>22</v>
      </c>
      <c r="C72" s="5" t="s">
        <v>21</v>
      </c>
      <c r="D72" s="5"/>
      <c r="E72" s="5">
        <v>215</v>
      </c>
      <c r="F72" s="5"/>
      <c r="G72" s="5">
        <v>215</v>
      </c>
      <c r="H72" s="5">
        <v>350</v>
      </c>
      <c r="I72" s="5"/>
      <c r="J72" s="5"/>
      <c r="K72" s="5"/>
      <c r="L72" s="5">
        <v>40</v>
      </c>
      <c r="M72" s="5"/>
      <c r="N72" s="6">
        <f t="shared" si="8"/>
        <v>40</v>
      </c>
      <c r="O72" s="6">
        <f t="shared" si="9"/>
        <v>350</v>
      </c>
      <c r="P72" s="5" t="s">
        <v>13</v>
      </c>
      <c r="Q72" s="5" t="s">
        <v>8</v>
      </c>
      <c r="R72" s="5">
        <f t="shared" si="10"/>
        <v>4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3">
      <c r="A73" s="3">
        <f t="shared" si="7"/>
        <v>43612</v>
      </c>
      <c r="B73" s="4" t="s">
        <v>22</v>
      </c>
      <c r="C73" s="5"/>
      <c r="D73" s="5"/>
      <c r="E73" s="5">
        <v>755</v>
      </c>
      <c r="F73" s="5">
        <v>815</v>
      </c>
      <c r="G73" s="5">
        <v>685</v>
      </c>
      <c r="H73" s="5"/>
      <c r="I73" s="5"/>
      <c r="J73" s="5">
        <v>270</v>
      </c>
      <c r="K73" s="5"/>
      <c r="L73" s="5">
        <v>870</v>
      </c>
      <c r="M73" s="5"/>
      <c r="N73" s="6">
        <f t="shared" si="8"/>
        <v>270</v>
      </c>
      <c r="O73" s="6">
        <f t="shared" si="9"/>
        <v>870</v>
      </c>
      <c r="P73" s="5" t="s">
        <v>11</v>
      </c>
      <c r="Q73" s="5" t="s">
        <v>13</v>
      </c>
      <c r="R73" s="5">
        <f t="shared" si="10"/>
        <v>5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3">
      <c r="A74" s="3">
        <f t="shared" si="7"/>
        <v>43614</v>
      </c>
      <c r="B74" s="4" t="s">
        <v>22</v>
      </c>
      <c r="C74" s="5"/>
      <c r="D74" s="5"/>
      <c r="E74" s="5">
        <v>390</v>
      </c>
      <c r="F74" s="5">
        <v>310</v>
      </c>
      <c r="G74" s="5"/>
      <c r="H74" s="5">
        <v>520</v>
      </c>
      <c r="I74" s="5"/>
      <c r="J74" s="5"/>
      <c r="K74" s="5"/>
      <c r="L74" s="5">
        <v>400</v>
      </c>
      <c r="M74" s="5"/>
      <c r="N74" s="6">
        <f t="shared" si="8"/>
        <v>310</v>
      </c>
      <c r="O74" s="6">
        <f t="shared" si="9"/>
        <v>520</v>
      </c>
      <c r="P74" s="5" t="s">
        <v>6</v>
      </c>
      <c r="Q74" s="5" t="s">
        <v>8</v>
      </c>
      <c r="R74" s="5">
        <f t="shared" si="10"/>
        <v>4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3">
      <c r="A75" s="3">
        <f t="shared" si="7"/>
        <v>43616</v>
      </c>
      <c r="B75" s="4" t="s">
        <v>22</v>
      </c>
      <c r="C75" s="5"/>
      <c r="D75" s="5"/>
      <c r="E75" s="5">
        <v>620</v>
      </c>
      <c r="F75" s="5">
        <v>500</v>
      </c>
      <c r="G75" s="5"/>
      <c r="H75" s="5">
        <v>390</v>
      </c>
      <c r="I75" s="5"/>
      <c r="J75" s="5">
        <v>295</v>
      </c>
      <c r="K75" s="5"/>
      <c r="L75" s="5"/>
      <c r="M75" s="5"/>
      <c r="N75" s="6">
        <f t="shared" si="8"/>
        <v>295</v>
      </c>
      <c r="O75" s="6">
        <f t="shared" si="9"/>
        <v>620</v>
      </c>
      <c r="P75" s="5" t="s">
        <v>11</v>
      </c>
      <c r="Q75" s="5" t="s">
        <v>5</v>
      </c>
      <c r="R75" s="5">
        <f t="shared" si="10"/>
        <v>4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3">
      <c r="A76" s="3">
        <v>44062</v>
      </c>
      <c r="B76" s="4" t="s">
        <v>22</v>
      </c>
      <c r="C76" s="5" t="s">
        <v>21</v>
      </c>
      <c r="D76" s="5"/>
      <c r="E76" s="5">
        <v>380</v>
      </c>
      <c r="F76" s="5">
        <v>150</v>
      </c>
      <c r="G76" s="5"/>
      <c r="H76" s="5">
        <v>185</v>
      </c>
      <c r="I76" s="5"/>
      <c r="J76" s="5">
        <v>330</v>
      </c>
      <c r="K76" s="5"/>
      <c r="L76" s="5"/>
      <c r="M76" s="5"/>
      <c r="N76" s="6">
        <f t="shared" si="8"/>
        <v>150</v>
      </c>
      <c r="O76" s="6">
        <f t="shared" si="9"/>
        <v>380</v>
      </c>
      <c r="P76" s="5" t="s">
        <v>6</v>
      </c>
      <c r="Q76" s="5" t="s">
        <v>5</v>
      </c>
      <c r="R76" s="5">
        <f t="shared" si="10"/>
        <v>4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3">
      <c r="A77" s="3">
        <f>A76+2</f>
        <v>44064</v>
      </c>
      <c r="B77" s="4" t="s">
        <v>22</v>
      </c>
      <c r="C77" s="5" t="s">
        <v>21</v>
      </c>
      <c r="D77" s="5"/>
      <c r="E77" s="5">
        <v>300</v>
      </c>
      <c r="F77" s="5">
        <v>70</v>
      </c>
      <c r="G77" s="5">
        <v>85</v>
      </c>
      <c r="H77" s="5"/>
      <c r="I77" s="5"/>
      <c r="J77" s="5">
        <v>315</v>
      </c>
      <c r="K77" s="5"/>
      <c r="L77" s="5">
        <v>290</v>
      </c>
      <c r="M77" s="5"/>
      <c r="N77" s="6">
        <f t="shared" si="8"/>
        <v>70</v>
      </c>
      <c r="O77" s="6">
        <f t="shared" si="9"/>
        <v>315</v>
      </c>
      <c r="P77" s="5" t="s">
        <v>6</v>
      </c>
      <c r="Q77" s="5" t="s">
        <v>11</v>
      </c>
      <c r="R77" s="5">
        <f t="shared" si="10"/>
        <v>5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3">
      <c r="A78" s="3">
        <f t="shared" ref="A78:A88" si="11">A77+2</f>
        <v>44066</v>
      </c>
      <c r="B78" s="4" t="s">
        <v>22</v>
      </c>
      <c r="C78" s="5"/>
      <c r="D78" s="5"/>
      <c r="E78" s="5">
        <v>395</v>
      </c>
      <c r="F78" s="5">
        <v>475</v>
      </c>
      <c r="G78" s="5"/>
      <c r="H78" s="5">
        <v>460</v>
      </c>
      <c r="I78" s="5"/>
      <c r="J78" s="5">
        <v>510</v>
      </c>
      <c r="K78" s="5"/>
      <c r="L78" s="5"/>
      <c r="M78" s="5"/>
      <c r="N78" s="6">
        <f t="shared" si="8"/>
        <v>395</v>
      </c>
      <c r="O78" s="6">
        <f t="shared" si="9"/>
        <v>510</v>
      </c>
      <c r="P78" s="5" t="s">
        <v>5</v>
      </c>
      <c r="Q78" s="5" t="s">
        <v>11</v>
      </c>
      <c r="R78" s="5">
        <f t="shared" si="10"/>
        <v>4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3">
      <c r="A79" s="3">
        <f t="shared" si="11"/>
        <v>44068</v>
      </c>
      <c r="B79" s="4" t="s">
        <v>22</v>
      </c>
      <c r="C79" s="5"/>
      <c r="D79" s="5"/>
      <c r="E79" s="5">
        <v>355</v>
      </c>
      <c r="F79" s="5">
        <v>660</v>
      </c>
      <c r="G79" s="5">
        <v>475</v>
      </c>
      <c r="H79" s="5"/>
      <c r="I79" s="5"/>
      <c r="J79" s="5">
        <v>380</v>
      </c>
      <c r="K79" s="5"/>
      <c r="L79" s="5">
        <v>295</v>
      </c>
      <c r="M79" s="5"/>
      <c r="N79" s="6">
        <f t="shared" si="8"/>
        <v>295</v>
      </c>
      <c r="O79" s="6">
        <f t="shared" si="9"/>
        <v>660</v>
      </c>
      <c r="P79" s="5" t="s">
        <v>13</v>
      </c>
      <c r="Q79" s="5" t="s">
        <v>6</v>
      </c>
      <c r="R79" s="5">
        <f t="shared" si="10"/>
        <v>5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3">
      <c r="A80" s="3">
        <f t="shared" si="11"/>
        <v>44070</v>
      </c>
      <c r="B80" s="4" t="s">
        <v>22</v>
      </c>
      <c r="C80" s="5"/>
      <c r="D80" s="5"/>
      <c r="E80" s="5">
        <v>565</v>
      </c>
      <c r="F80" s="5">
        <v>365</v>
      </c>
      <c r="G80" s="5"/>
      <c r="H80" s="5"/>
      <c r="I80" s="5"/>
      <c r="J80" s="5">
        <v>130</v>
      </c>
      <c r="K80" s="5"/>
      <c r="L80" s="5">
        <v>305</v>
      </c>
      <c r="M80" s="5"/>
      <c r="N80" s="6">
        <f t="shared" si="8"/>
        <v>130</v>
      </c>
      <c r="O80" s="6">
        <f t="shared" si="9"/>
        <v>565</v>
      </c>
      <c r="P80" s="5" t="s">
        <v>11</v>
      </c>
      <c r="Q80" s="5" t="s">
        <v>5</v>
      </c>
      <c r="R80" s="5">
        <f t="shared" si="10"/>
        <v>4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3">
      <c r="A81" s="3">
        <f t="shared" si="11"/>
        <v>44072</v>
      </c>
      <c r="B81" s="4" t="s">
        <v>22</v>
      </c>
      <c r="C81" s="5"/>
      <c r="D81" s="5"/>
      <c r="E81" s="5">
        <v>355</v>
      </c>
      <c r="F81" s="5">
        <v>355</v>
      </c>
      <c r="G81" s="5"/>
      <c r="H81" s="5"/>
      <c r="I81" s="5"/>
      <c r="J81" s="5">
        <v>700</v>
      </c>
      <c r="K81" s="5"/>
      <c r="L81" s="5">
        <v>310</v>
      </c>
      <c r="M81" s="5"/>
      <c r="N81" s="6">
        <f t="shared" si="8"/>
        <v>310</v>
      </c>
      <c r="O81" s="6">
        <f t="shared" si="9"/>
        <v>700</v>
      </c>
      <c r="P81" s="5" t="s">
        <v>13</v>
      </c>
      <c r="Q81" s="5" t="s">
        <v>11</v>
      </c>
      <c r="R81" s="5">
        <f t="shared" si="10"/>
        <v>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3">
      <c r="A82" s="3">
        <f t="shared" si="11"/>
        <v>44074</v>
      </c>
      <c r="B82" s="4" t="s">
        <v>22</v>
      </c>
      <c r="C82" s="5"/>
      <c r="D82" s="5"/>
      <c r="E82" s="5">
        <v>250</v>
      </c>
      <c r="F82" s="5"/>
      <c r="G82" s="5">
        <v>805</v>
      </c>
      <c r="H82" s="5">
        <v>705</v>
      </c>
      <c r="I82" s="5"/>
      <c r="J82" s="5"/>
      <c r="K82" s="5"/>
      <c r="L82" s="5">
        <v>535</v>
      </c>
      <c r="M82" s="5"/>
      <c r="N82" s="6">
        <f t="shared" si="8"/>
        <v>250</v>
      </c>
      <c r="O82" s="6">
        <f t="shared" si="9"/>
        <v>805</v>
      </c>
      <c r="P82" s="5" t="s">
        <v>5</v>
      </c>
      <c r="Q82" s="5" t="s">
        <v>7</v>
      </c>
      <c r="R82" s="5">
        <f t="shared" si="10"/>
        <v>4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3">
      <c r="A83" s="3">
        <f t="shared" si="11"/>
        <v>44076</v>
      </c>
      <c r="B83" s="4" t="s">
        <v>22</v>
      </c>
      <c r="C83" s="5"/>
      <c r="D83" s="5"/>
      <c r="E83" s="5"/>
      <c r="F83" s="5">
        <v>290</v>
      </c>
      <c r="G83" s="5">
        <v>495</v>
      </c>
      <c r="H83" s="5"/>
      <c r="I83" s="5"/>
      <c r="J83" s="5">
        <v>615</v>
      </c>
      <c r="K83" s="5"/>
      <c r="L83" s="5">
        <v>570</v>
      </c>
      <c r="M83" s="5"/>
      <c r="N83" s="6">
        <f t="shared" si="8"/>
        <v>290</v>
      </c>
      <c r="O83" s="6">
        <f t="shared" si="9"/>
        <v>615</v>
      </c>
      <c r="P83" s="5" t="s">
        <v>6</v>
      </c>
      <c r="Q83" s="5" t="s">
        <v>11</v>
      </c>
      <c r="R83" s="5">
        <f t="shared" si="10"/>
        <v>4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3">
      <c r="A84" s="3">
        <f t="shared" si="11"/>
        <v>44078</v>
      </c>
      <c r="B84" s="4" t="s">
        <v>22</v>
      </c>
      <c r="C84" s="5"/>
      <c r="D84" s="5"/>
      <c r="E84" s="5">
        <v>605</v>
      </c>
      <c r="F84" s="5">
        <v>895</v>
      </c>
      <c r="G84" s="5">
        <v>475</v>
      </c>
      <c r="H84" s="5"/>
      <c r="I84" s="5"/>
      <c r="J84" s="5">
        <v>830</v>
      </c>
      <c r="K84" s="5"/>
      <c r="L84" s="5">
        <v>745</v>
      </c>
      <c r="M84" s="5"/>
      <c r="N84" s="6">
        <f t="shared" si="8"/>
        <v>475</v>
      </c>
      <c r="O84" s="6">
        <f t="shared" si="9"/>
        <v>895</v>
      </c>
      <c r="P84" s="5" t="s">
        <v>7</v>
      </c>
      <c r="Q84" s="5" t="s">
        <v>6</v>
      </c>
      <c r="R84" s="5">
        <f t="shared" si="10"/>
        <v>5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3">
      <c r="A85" s="3">
        <f t="shared" si="11"/>
        <v>44080</v>
      </c>
      <c r="B85" s="4" t="s">
        <v>22</v>
      </c>
      <c r="C85" s="5"/>
      <c r="D85" s="5"/>
      <c r="E85" s="5">
        <v>790</v>
      </c>
      <c r="F85" s="5">
        <v>285</v>
      </c>
      <c r="G85" s="5"/>
      <c r="H85" s="5"/>
      <c r="I85" s="5"/>
      <c r="J85" s="5">
        <v>225</v>
      </c>
      <c r="K85" s="5"/>
      <c r="L85" s="5">
        <v>615</v>
      </c>
      <c r="M85" s="5"/>
      <c r="N85" s="6">
        <f t="shared" si="8"/>
        <v>225</v>
      </c>
      <c r="O85" s="6">
        <f t="shared" si="9"/>
        <v>790</v>
      </c>
      <c r="P85" s="5" t="s">
        <v>11</v>
      </c>
      <c r="Q85" s="5" t="s">
        <v>5</v>
      </c>
      <c r="R85" s="5">
        <f t="shared" si="10"/>
        <v>4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3">
      <c r="A86" s="3">
        <f t="shared" si="11"/>
        <v>44082</v>
      </c>
      <c r="B86" s="4" t="s">
        <v>22</v>
      </c>
      <c r="C86" s="5"/>
      <c r="D86" s="5"/>
      <c r="E86" s="5">
        <v>370</v>
      </c>
      <c r="F86" s="5">
        <v>585</v>
      </c>
      <c r="G86" s="5"/>
      <c r="H86" s="5">
        <v>450</v>
      </c>
      <c r="I86" s="5"/>
      <c r="J86" s="5">
        <v>420</v>
      </c>
      <c r="K86" s="5"/>
      <c r="L86" s="5"/>
      <c r="M86" s="5"/>
      <c r="N86" s="6">
        <f t="shared" si="8"/>
        <v>370</v>
      </c>
      <c r="O86" s="6">
        <f t="shared" si="9"/>
        <v>585</v>
      </c>
      <c r="P86" s="5" t="s">
        <v>5</v>
      </c>
      <c r="Q86" s="5" t="s">
        <v>6</v>
      </c>
      <c r="R86" s="5">
        <f t="shared" si="10"/>
        <v>4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3">
      <c r="A87" s="3">
        <f t="shared" si="11"/>
        <v>44084</v>
      </c>
      <c r="B87" s="4" t="s">
        <v>22</v>
      </c>
      <c r="C87" s="5"/>
      <c r="D87" s="5"/>
      <c r="E87" s="5">
        <v>365</v>
      </c>
      <c r="F87" s="5">
        <v>755</v>
      </c>
      <c r="G87" s="5"/>
      <c r="H87" s="5"/>
      <c r="I87" s="5"/>
      <c r="J87" s="5">
        <v>365</v>
      </c>
      <c r="K87" s="5"/>
      <c r="L87" s="5">
        <v>790</v>
      </c>
      <c r="M87" s="5"/>
      <c r="N87" s="6">
        <f t="shared" si="8"/>
        <v>365</v>
      </c>
      <c r="O87" s="6">
        <f t="shared" si="9"/>
        <v>790</v>
      </c>
      <c r="P87" s="5" t="s">
        <v>5</v>
      </c>
      <c r="Q87" s="5" t="s">
        <v>13</v>
      </c>
      <c r="R87" s="5">
        <f t="shared" si="10"/>
        <v>4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3">
      <c r="A88" s="3">
        <f t="shared" si="11"/>
        <v>44086</v>
      </c>
      <c r="B88" s="4" t="s">
        <v>22</v>
      </c>
      <c r="C88" s="5"/>
      <c r="D88" s="5"/>
      <c r="E88" s="5">
        <v>585</v>
      </c>
      <c r="F88" s="5">
        <v>595</v>
      </c>
      <c r="G88" s="5">
        <v>590</v>
      </c>
      <c r="H88" s="5"/>
      <c r="I88" s="5"/>
      <c r="J88" s="5">
        <v>885</v>
      </c>
      <c r="K88" s="5"/>
      <c r="L88" s="5">
        <v>540</v>
      </c>
      <c r="M88" s="5"/>
      <c r="N88" s="6">
        <f t="shared" si="8"/>
        <v>540</v>
      </c>
      <c r="O88" s="6">
        <f t="shared" si="9"/>
        <v>885</v>
      </c>
      <c r="P88" s="5" t="s">
        <v>13</v>
      </c>
      <c r="Q88" s="5" t="s">
        <v>11</v>
      </c>
      <c r="R88" s="5">
        <f t="shared" si="10"/>
        <v>5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3">
      <c r="A89" s="3">
        <v>43834</v>
      </c>
      <c r="B89" s="4" t="s">
        <v>22</v>
      </c>
      <c r="C89" s="5"/>
      <c r="D89" s="5"/>
      <c r="E89" s="5">
        <v>325</v>
      </c>
      <c r="F89" s="5">
        <v>420</v>
      </c>
      <c r="G89" s="5"/>
      <c r="H89" s="5"/>
      <c r="I89" s="5"/>
      <c r="J89" s="5">
        <v>470</v>
      </c>
      <c r="K89" s="5"/>
      <c r="L89" s="5">
        <v>200</v>
      </c>
      <c r="M89" s="5"/>
      <c r="N89" s="6">
        <f t="shared" si="8"/>
        <v>200</v>
      </c>
      <c r="O89" s="6">
        <f t="shared" si="9"/>
        <v>470</v>
      </c>
      <c r="P89" s="5" t="s">
        <v>13</v>
      </c>
      <c r="Q89" s="5" t="s">
        <v>11</v>
      </c>
      <c r="R89" s="5">
        <f t="shared" si="10"/>
        <v>4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3">
      <c r="A90" s="3">
        <f>A89+2</f>
        <v>43836</v>
      </c>
      <c r="B90" s="4" t="s">
        <v>22</v>
      </c>
      <c r="C90" s="5"/>
      <c r="D90" s="5"/>
      <c r="E90" s="5">
        <v>630</v>
      </c>
      <c r="F90" s="5">
        <v>530</v>
      </c>
      <c r="G90" s="5"/>
      <c r="H90" s="5"/>
      <c r="I90" s="5"/>
      <c r="J90" s="5">
        <v>220</v>
      </c>
      <c r="K90" s="5">
        <v>215</v>
      </c>
      <c r="L90" s="5">
        <v>300</v>
      </c>
      <c r="M90" s="5"/>
      <c r="N90" s="6">
        <f t="shared" si="8"/>
        <v>215</v>
      </c>
      <c r="O90" s="6">
        <f t="shared" si="9"/>
        <v>630</v>
      </c>
      <c r="P90" s="5" t="s">
        <v>12</v>
      </c>
      <c r="Q90" s="5" t="s">
        <v>5</v>
      </c>
      <c r="R90" s="5">
        <f t="shared" si="10"/>
        <v>5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3">
      <c r="A91" s="3">
        <f t="shared" ref="A91:A97" si="12">A90+2</f>
        <v>43838</v>
      </c>
      <c r="B91" s="4" t="s">
        <v>22</v>
      </c>
      <c r="C91" s="5"/>
      <c r="D91" s="5"/>
      <c r="E91" s="5">
        <v>210</v>
      </c>
      <c r="F91" s="5">
        <v>330</v>
      </c>
      <c r="G91" s="5"/>
      <c r="H91" s="5"/>
      <c r="I91" s="5"/>
      <c r="J91" s="5">
        <v>795</v>
      </c>
      <c r="K91" s="5">
        <v>825</v>
      </c>
      <c r="L91" s="5">
        <v>485</v>
      </c>
      <c r="M91" s="5"/>
      <c r="N91" s="6">
        <f t="shared" si="8"/>
        <v>210</v>
      </c>
      <c r="O91" s="6">
        <f t="shared" si="9"/>
        <v>825</v>
      </c>
      <c r="P91" s="5" t="s">
        <v>5</v>
      </c>
      <c r="Q91" s="5" t="s">
        <v>12</v>
      </c>
      <c r="R91" s="5">
        <f t="shared" si="10"/>
        <v>5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3">
      <c r="A92" s="3">
        <f t="shared" si="12"/>
        <v>43840</v>
      </c>
      <c r="B92" s="4" t="s">
        <v>22</v>
      </c>
      <c r="C92" s="5" t="s">
        <v>21</v>
      </c>
      <c r="D92" s="5"/>
      <c r="E92" s="5">
        <v>170</v>
      </c>
      <c r="F92" s="5"/>
      <c r="G92" s="5"/>
      <c r="H92" s="5">
        <v>15</v>
      </c>
      <c r="I92" s="5"/>
      <c r="J92" s="5">
        <v>95</v>
      </c>
      <c r="K92" s="5"/>
      <c r="L92" s="5"/>
      <c r="M92" s="5"/>
      <c r="N92" s="6">
        <f t="shared" si="8"/>
        <v>15</v>
      </c>
      <c r="O92" s="6">
        <f t="shared" si="9"/>
        <v>170</v>
      </c>
      <c r="P92" s="5" t="s">
        <v>8</v>
      </c>
      <c r="Q92" s="5" t="s">
        <v>5</v>
      </c>
      <c r="R92" s="5">
        <f t="shared" si="10"/>
        <v>3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3">
      <c r="A93" s="3">
        <f t="shared" si="12"/>
        <v>43842</v>
      </c>
      <c r="B93" s="4" t="s">
        <v>22</v>
      </c>
      <c r="C93" s="5" t="s">
        <v>21</v>
      </c>
      <c r="D93" s="5"/>
      <c r="E93" s="5">
        <v>285</v>
      </c>
      <c r="F93" s="5">
        <v>200</v>
      </c>
      <c r="G93" s="5"/>
      <c r="H93" s="5">
        <v>285</v>
      </c>
      <c r="I93" s="5"/>
      <c r="J93" s="5"/>
      <c r="K93" s="5"/>
      <c r="L93" s="5">
        <v>430</v>
      </c>
      <c r="M93" s="5"/>
      <c r="N93" s="6">
        <f t="shared" si="8"/>
        <v>200</v>
      </c>
      <c r="O93" s="6">
        <f t="shared" si="9"/>
        <v>430</v>
      </c>
      <c r="P93" s="5" t="s">
        <v>6</v>
      </c>
      <c r="Q93" s="5" t="s">
        <v>13</v>
      </c>
      <c r="R93" s="5">
        <f t="shared" si="10"/>
        <v>4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3">
      <c r="A94" s="3">
        <f t="shared" si="12"/>
        <v>43844</v>
      </c>
      <c r="B94" s="4" t="s">
        <v>22</v>
      </c>
      <c r="C94" s="5"/>
      <c r="D94" s="5"/>
      <c r="E94" s="5">
        <v>210</v>
      </c>
      <c r="F94" s="5">
        <v>465</v>
      </c>
      <c r="G94" s="5">
        <v>570</v>
      </c>
      <c r="H94" s="5"/>
      <c r="I94" s="5"/>
      <c r="J94" s="5">
        <v>590</v>
      </c>
      <c r="K94" s="5"/>
      <c r="L94" s="5">
        <v>530</v>
      </c>
      <c r="M94" s="5"/>
      <c r="N94" s="6">
        <f t="shared" si="8"/>
        <v>210</v>
      </c>
      <c r="O94" s="6">
        <f t="shared" si="9"/>
        <v>590</v>
      </c>
      <c r="P94" s="5" t="s">
        <v>5</v>
      </c>
      <c r="Q94" s="5" t="s">
        <v>11</v>
      </c>
      <c r="R94" s="5">
        <f t="shared" si="10"/>
        <v>5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3">
      <c r="A95" s="3">
        <f t="shared" si="12"/>
        <v>43846</v>
      </c>
      <c r="B95" s="4" t="s">
        <v>22</v>
      </c>
      <c r="C95" s="5"/>
      <c r="D95" s="5"/>
      <c r="E95" s="5">
        <v>245</v>
      </c>
      <c r="F95" s="5">
        <v>470</v>
      </c>
      <c r="G95" s="5"/>
      <c r="H95" s="5">
        <v>555</v>
      </c>
      <c r="I95" s="5"/>
      <c r="J95" s="5">
        <v>510</v>
      </c>
      <c r="K95" s="5"/>
      <c r="L95" s="5"/>
      <c r="M95" s="5"/>
      <c r="N95" s="6">
        <f t="shared" si="8"/>
        <v>245</v>
      </c>
      <c r="O95" s="6">
        <f t="shared" si="9"/>
        <v>555</v>
      </c>
      <c r="P95" s="5" t="s">
        <v>5</v>
      </c>
      <c r="Q95" s="5" t="s">
        <v>8</v>
      </c>
      <c r="R95" s="5">
        <f t="shared" si="10"/>
        <v>4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3">
      <c r="A96" s="3">
        <f t="shared" si="12"/>
        <v>43848</v>
      </c>
      <c r="B96" s="4" t="s">
        <v>22</v>
      </c>
      <c r="C96" s="5"/>
      <c r="D96" s="5"/>
      <c r="E96" s="5">
        <v>155</v>
      </c>
      <c r="F96" s="5"/>
      <c r="G96" s="5"/>
      <c r="H96" s="5"/>
      <c r="I96" s="5"/>
      <c r="J96" s="5">
        <v>225</v>
      </c>
      <c r="K96" s="5"/>
      <c r="L96" s="5">
        <v>485</v>
      </c>
      <c r="M96" s="5"/>
      <c r="N96" s="6">
        <f t="shared" si="8"/>
        <v>155</v>
      </c>
      <c r="O96" s="6">
        <f t="shared" si="9"/>
        <v>485</v>
      </c>
      <c r="P96" s="5" t="s">
        <v>5</v>
      </c>
      <c r="Q96" s="5" t="s">
        <v>13</v>
      </c>
      <c r="R96" s="5">
        <f t="shared" si="10"/>
        <v>3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3">
      <c r="A97" s="3">
        <f t="shared" si="12"/>
        <v>43850</v>
      </c>
      <c r="B97" s="4" t="s">
        <v>22</v>
      </c>
      <c r="C97" s="5"/>
      <c r="D97" s="5"/>
      <c r="E97" s="5">
        <v>400</v>
      </c>
      <c r="F97" s="5">
        <v>850</v>
      </c>
      <c r="G97" s="5"/>
      <c r="H97" s="5"/>
      <c r="I97" s="5"/>
      <c r="J97" s="5">
        <v>315</v>
      </c>
      <c r="K97" s="5"/>
      <c r="L97" s="5">
        <v>240</v>
      </c>
      <c r="M97" s="5"/>
      <c r="N97" s="6">
        <f t="shared" si="8"/>
        <v>240</v>
      </c>
      <c r="O97" s="6">
        <f t="shared" si="9"/>
        <v>850</v>
      </c>
      <c r="P97" s="5" t="s">
        <v>13</v>
      </c>
      <c r="Q97" s="5" t="s">
        <v>6</v>
      </c>
      <c r="R97" s="5">
        <f t="shared" si="10"/>
        <v>4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3">
      <c r="A98" s="3">
        <v>44065</v>
      </c>
      <c r="B98" s="4" t="s">
        <v>22</v>
      </c>
      <c r="C98" s="5"/>
      <c r="D98" s="5"/>
      <c r="E98" s="5">
        <v>795</v>
      </c>
      <c r="F98" s="5">
        <v>520</v>
      </c>
      <c r="G98" s="5"/>
      <c r="H98" s="5">
        <v>580</v>
      </c>
      <c r="I98" s="5"/>
      <c r="J98" s="5">
        <v>320</v>
      </c>
      <c r="K98" s="5"/>
      <c r="L98" s="5"/>
      <c r="M98" s="5"/>
      <c r="N98" s="6">
        <f t="shared" si="8"/>
        <v>320</v>
      </c>
      <c r="O98" s="6">
        <f t="shared" si="9"/>
        <v>795</v>
      </c>
      <c r="P98" s="5" t="s">
        <v>11</v>
      </c>
      <c r="Q98" s="5" t="s">
        <v>5</v>
      </c>
      <c r="R98" s="5">
        <f t="shared" si="10"/>
        <v>4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3">
      <c r="A99" s="3">
        <f>A98+2</f>
        <v>44067</v>
      </c>
      <c r="B99" s="4" t="s">
        <v>22</v>
      </c>
      <c r="C99" s="5"/>
      <c r="D99" s="5"/>
      <c r="E99" s="5">
        <v>270</v>
      </c>
      <c r="F99" s="5"/>
      <c r="G99" s="5"/>
      <c r="H99" s="5">
        <v>650</v>
      </c>
      <c r="I99" s="5"/>
      <c r="J99" s="5">
        <v>705</v>
      </c>
      <c r="K99" s="5"/>
      <c r="L99" s="5">
        <v>435</v>
      </c>
      <c r="M99" s="5"/>
      <c r="N99" s="6">
        <f t="shared" si="8"/>
        <v>270</v>
      </c>
      <c r="O99" s="6">
        <f t="shared" si="9"/>
        <v>705</v>
      </c>
      <c r="P99" s="5" t="s">
        <v>5</v>
      </c>
      <c r="Q99" s="5" t="s">
        <v>11</v>
      </c>
      <c r="R99" s="5">
        <f t="shared" si="10"/>
        <v>4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3">
      <c r="A100" s="3">
        <f t="shared" ref="A100:A107" si="13">A99+2</f>
        <v>44069</v>
      </c>
      <c r="B100" s="4" t="s">
        <v>22</v>
      </c>
      <c r="C100" s="5"/>
      <c r="D100" s="5"/>
      <c r="E100" s="5">
        <v>395</v>
      </c>
      <c r="F100" s="5">
        <v>555</v>
      </c>
      <c r="G100" s="5">
        <v>510</v>
      </c>
      <c r="H100" s="5"/>
      <c r="I100" s="5"/>
      <c r="J100" s="5">
        <v>230</v>
      </c>
      <c r="K100" s="5"/>
      <c r="L100" s="5">
        <v>435</v>
      </c>
      <c r="M100" s="5"/>
      <c r="N100" s="6">
        <f t="shared" si="8"/>
        <v>230</v>
      </c>
      <c r="O100" s="6">
        <f t="shared" si="9"/>
        <v>555</v>
      </c>
      <c r="P100" s="5" t="s">
        <v>11</v>
      </c>
      <c r="Q100" s="5" t="s">
        <v>6</v>
      </c>
      <c r="R100" s="5">
        <f t="shared" si="10"/>
        <v>5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3">
      <c r="A101" s="3">
        <f t="shared" si="13"/>
        <v>44071</v>
      </c>
      <c r="B101" s="4" t="s">
        <v>22</v>
      </c>
      <c r="C101" s="5"/>
      <c r="D101" s="5"/>
      <c r="E101" s="5">
        <v>310</v>
      </c>
      <c r="F101" s="5">
        <v>185</v>
      </c>
      <c r="G101" s="5"/>
      <c r="H101" s="5">
        <v>845</v>
      </c>
      <c r="I101" s="5"/>
      <c r="J101" s="5">
        <v>560</v>
      </c>
      <c r="K101" s="5"/>
      <c r="L101" s="5"/>
      <c r="M101" s="5"/>
      <c r="N101" s="6">
        <f t="shared" si="8"/>
        <v>185</v>
      </c>
      <c r="O101" s="6">
        <f t="shared" si="9"/>
        <v>845</v>
      </c>
      <c r="P101" s="5" t="s">
        <v>6</v>
      </c>
      <c r="Q101" s="5" t="s">
        <v>8</v>
      </c>
      <c r="R101" s="5">
        <f t="shared" si="10"/>
        <v>4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3">
      <c r="A102" s="3">
        <f t="shared" si="13"/>
        <v>44073</v>
      </c>
      <c r="B102" s="4" t="s">
        <v>22</v>
      </c>
      <c r="C102" s="5"/>
      <c r="D102" s="5"/>
      <c r="E102" s="5">
        <v>440</v>
      </c>
      <c r="F102" s="5">
        <v>670</v>
      </c>
      <c r="G102" s="5">
        <v>400</v>
      </c>
      <c r="H102" s="5"/>
      <c r="I102" s="5"/>
      <c r="J102" s="5">
        <v>660</v>
      </c>
      <c r="K102" s="5">
        <v>325</v>
      </c>
      <c r="L102" s="5">
        <v>255</v>
      </c>
      <c r="M102" s="5"/>
      <c r="N102" s="6">
        <f t="shared" si="8"/>
        <v>255</v>
      </c>
      <c r="O102" s="6">
        <f t="shared" si="9"/>
        <v>670</v>
      </c>
      <c r="P102" s="5" t="s">
        <v>13</v>
      </c>
      <c r="Q102" s="5" t="s">
        <v>6</v>
      </c>
      <c r="R102" s="5">
        <f t="shared" si="10"/>
        <v>6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3">
      <c r="A103" s="3">
        <f t="shared" si="13"/>
        <v>44075</v>
      </c>
      <c r="B103" s="4" t="s">
        <v>22</v>
      </c>
      <c r="C103" s="5"/>
      <c r="D103" s="5"/>
      <c r="E103" s="5">
        <v>325</v>
      </c>
      <c r="F103" s="5">
        <v>280</v>
      </c>
      <c r="G103" s="5">
        <v>170</v>
      </c>
      <c r="H103" s="5">
        <v>515</v>
      </c>
      <c r="I103" s="5"/>
      <c r="J103" s="5">
        <v>330</v>
      </c>
      <c r="K103" s="5"/>
      <c r="L103" s="5"/>
      <c r="M103" s="5"/>
      <c r="N103" s="6">
        <f t="shared" si="8"/>
        <v>170</v>
      </c>
      <c r="O103" s="6">
        <f t="shared" si="9"/>
        <v>515</v>
      </c>
      <c r="P103" s="5" t="s">
        <v>7</v>
      </c>
      <c r="Q103" s="5" t="s">
        <v>8</v>
      </c>
      <c r="R103" s="5">
        <f t="shared" si="10"/>
        <v>5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3">
      <c r="A104" s="3">
        <f t="shared" si="13"/>
        <v>44077</v>
      </c>
      <c r="B104" s="4" t="s">
        <v>22</v>
      </c>
      <c r="C104" s="5"/>
      <c r="D104" s="5"/>
      <c r="E104" s="5">
        <v>590</v>
      </c>
      <c r="F104" s="5">
        <v>190</v>
      </c>
      <c r="G104" s="5"/>
      <c r="H104" s="5">
        <v>485</v>
      </c>
      <c r="I104" s="5"/>
      <c r="J104" s="5">
        <v>500</v>
      </c>
      <c r="K104" s="5"/>
      <c r="L104" s="5"/>
      <c r="M104" s="5"/>
      <c r="N104" s="6">
        <f t="shared" si="8"/>
        <v>190</v>
      </c>
      <c r="O104" s="6">
        <f t="shared" si="9"/>
        <v>590</v>
      </c>
      <c r="P104" s="5" t="s">
        <v>6</v>
      </c>
      <c r="Q104" s="5" t="s">
        <v>5</v>
      </c>
      <c r="R104" s="5">
        <f t="shared" si="10"/>
        <v>4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3">
      <c r="A105" s="3">
        <f t="shared" si="13"/>
        <v>44079</v>
      </c>
      <c r="B105" s="4" t="s">
        <v>22</v>
      </c>
      <c r="C105" s="5"/>
      <c r="D105" s="5"/>
      <c r="E105" s="5">
        <v>235</v>
      </c>
      <c r="F105" s="5">
        <v>385</v>
      </c>
      <c r="G105" s="5"/>
      <c r="H105" s="5">
        <v>300</v>
      </c>
      <c r="I105" s="5"/>
      <c r="J105" s="5">
        <v>240</v>
      </c>
      <c r="K105" s="5"/>
      <c r="L105" s="5"/>
      <c r="M105" s="5"/>
      <c r="N105" s="6">
        <f t="shared" si="8"/>
        <v>235</v>
      </c>
      <c r="O105" s="6">
        <f t="shared" si="9"/>
        <v>385</v>
      </c>
      <c r="P105" s="5" t="s">
        <v>5</v>
      </c>
      <c r="Q105" s="5" t="s">
        <v>6</v>
      </c>
      <c r="R105" s="5">
        <f t="shared" si="10"/>
        <v>4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3">
      <c r="A106" s="3">
        <f t="shared" si="13"/>
        <v>44081</v>
      </c>
      <c r="B106" s="4" t="s">
        <v>22</v>
      </c>
      <c r="C106" s="5"/>
      <c r="D106" s="5"/>
      <c r="E106" s="5">
        <v>315</v>
      </c>
      <c r="F106" s="5">
        <v>385</v>
      </c>
      <c r="G106" s="5"/>
      <c r="H106" s="5">
        <v>310</v>
      </c>
      <c r="I106" s="5"/>
      <c r="J106" s="5">
        <v>560</v>
      </c>
      <c r="K106" s="5"/>
      <c r="L106" s="5"/>
      <c r="M106" s="5"/>
      <c r="N106" s="6">
        <f t="shared" si="8"/>
        <v>310</v>
      </c>
      <c r="O106" s="6">
        <f t="shared" si="9"/>
        <v>560</v>
      </c>
      <c r="P106" s="5" t="s">
        <v>8</v>
      </c>
      <c r="Q106" s="5" t="s">
        <v>11</v>
      </c>
      <c r="R106" s="5">
        <f t="shared" si="10"/>
        <v>4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3">
      <c r="A107" s="3">
        <f t="shared" si="13"/>
        <v>44083</v>
      </c>
      <c r="B107" s="4" t="s">
        <v>22</v>
      </c>
      <c r="C107" s="5"/>
      <c r="D107" s="5"/>
      <c r="E107" s="5">
        <v>190</v>
      </c>
      <c r="F107" s="5">
        <v>290</v>
      </c>
      <c r="G107" s="5">
        <v>150</v>
      </c>
      <c r="H107" s="5"/>
      <c r="I107" s="5"/>
      <c r="J107" s="5">
        <v>535</v>
      </c>
      <c r="K107" s="5"/>
      <c r="L107" s="5">
        <v>690</v>
      </c>
      <c r="M107" s="5"/>
      <c r="N107" s="6">
        <f t="shared" si="8"/>
        <v>150</v>
      </c>
      <c r="O107" s="6">
        <f t="shared" si="9"/>
        <v>690</v>
      </c>
      <c r="P107" s="5" t="s">
        <v>7</v>
      </c>
      <c r="Q107" s="5" t="s">
        <v>13</v>
      </c>
      <c r="R107" s="5">
        <f t="shared" si="10"/>
        <v>5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3">
      <c r="A108" s="3">
        <v>44087</v>
      </c>
      <c r="B108" s="4" t="s">
        <v>25</v>
      </c>
      <c r="C108" s="5"/>
      <c r="D108" s="5"/>
      <c r="E108" s="5"/>
      <c r="F108" s="5">
        <v>335</v>
      </c>
      <c r="G108" s="5"/>
      <c r="H108" s="5"/>
      <c r="I108" s="5"/>
      <c r="J108" s="5">
        <v>455</v>
      </c>
      <c r="K108" s="5">
        <v>250</v>
      </c>
      <c r="L108" s="5"/>
      <c r="M108" s="5"/>
      <c r="N108" s="6">
        <f t="shared" si="8"/>
        <v>250</v>
      </c>
      <c r="O108" s="6">
        <f t="shared" si="9"/>
        <v>455</v>
      </c>
      <c r="P108" s="5" t="s">
        <v>12</v>
      </c>
      <c r="Q108" s="5" t="s">
        <v>11</v>
      </c>
      <c r="R108" s="5">
        <f t="shared" si="10"/>
        <v>3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3">
      <c r="A109" s="3">
        <v>44089</v>
      </c>
      <c r="B109" s="4" t="s">
        <v>22</v>
      </c>
      <c r="C109" s="5"/>
      <c r="D109" s="5"/>
      <c r="E109" s="5">
        <v>670</v>
      </c>
      <c r="F109" s="5">
        <v>375</v>
      </c>
      <c r="G109" s="5"/>
      <c r="H109" s="5">
        <v>665</v>
      </c>
      <c r="I109" s="5"/>
      <c r="J109" s="5">
        <v>510</v>
      </c>
      <c r="K109" s="5"/>
      <c r="L109" s="5"/>
      <c r="M109" s="5"/>
      <c r="N109" s="6">
        <f t="shared" si="8"/>
        <v>375</v>
      </c>
      <c r="O109" s="6">
        <f t="shared" si="9"/>
        <v>670</v>
      </c>
      <c r="P109" s="5" t="s">
        <v>6</v>
      </c>
      <c r="Q109" s="5" t="s">
        <v>5</v>
      </c>
      <c r="R109" s="5">
        <f t="shared" si="10"/>
        <v>4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3">
      <c r="A110" s="3">
        <v>44098</v>
      </c>
      <c r="B110" s="4" t="s">
        <v>20</v>
      </c>
      <c r="C110" s="5" t="s">
        <v>21</v>
      </c>
      <c r="D110" s="5"/>
      <c r="E110" s="5"/>
      <c r="F110" s="5">
        <v>5</v>
      </c>
      <c r="G110" s="5">
        <v>185</v>
      </c>
      <c r="H110" s="5"/>
      <c r="I110" s="5"/>
      <c r="J110" s="5">
        <v>145</v>
      </c>
      <c r="K110" s="5">
        <v>460</v>
      </c>
      <c r="L110" s="5"/>
      <c r="M110" s="5"/>
      <c r="N110" s="6">
        <f t="shared" si="8"/>
        <v>5</v>
      </c>
      <c r="O110" s="6">
        <f t="shared" si="9"/>
        <v>460</v>
      </c>
      <c r="P110" s="5" t="s">
        <v>6</v>
      </c>
      <c r="Q110" s="5" t="s">
        <v>12</v>
      </c>
      <c r="R110" s="5">
        <f t="shared" si="10"/>
        <v>4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3">
      <c r="A111" s="3">
        <v>44100</v>
      </c>
      <c r="B111" s="4" t="s">
        <v>22</v>
      </c>
      <c r="C111" s="5"/>
      <c r="D111" s="5"/>
      <c r="E111" s="5">
        <v>600</v>
      </c>
      <c r="F111" s="5">
        <v>335</v>
      </c>
      <c r="G111" s="5"/>
      <c r="H111" s="5"/>
      <c r="I111" s="5"/>
      <c r="J111" s="5">
        <v>485</v>
      </c>
      <c r="K111" s="5">
        <v>385</v>
      </c>
      <c r="L111" s="5">
        <v>605</v>
      </c>
      <c r="M111" s="5"/>
      <c r="N111" s="6">
        <f t="shared" si="8"/>
        <v>335</v>
      </c>
      <c r="O111" s="6">
        <f t="shared" si="9"/>
        <v>605</v>
      </c>
      <c r="P111" s="5" t="s">
        <v>6</v>
      </c>
      <c r="Q111" s="5" t="s">
        <v>13</v>
      </c>
      <c r="R111" s="5">
        <f t="shared" si="10"/>
        <v>5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3">
      <c r="A112" s="3">
        <v>44108</v>
      </c>
      <c r="B112" s="4" t="s">
        <v>20</v>
      </c>
      <c r="C112" s="5" t="s">
        <v>21</v>
      </c>
      <c r="D112" s="5"/>
      <c r="E112" s="5">
        <v>260</v>
      </c>
      <c r="F112" s="5">
        <v>675</v>
      </c>
      <c r="G112" s="5"/>
      <c r="H112" s="5">
        <v>550</v>
      </c>
      <c r="I112" s="5"/>
      <c r="J112" s="5">
        <v>340</v>
      </c>
      <c r="K112" s="5"/>
      <c r="L112" s="5"/>
      <c r="M112" s="5"/>
      <c r="N112" s="6">
        <f t="shared" si="8"/>
        <v>260</v>
      </c>
      <c r="O112" s="6">
        <f t="shared" si="9"/>
        <v>675</v>
      </c>
      <c r="P112" s="5" t="s">
        <v>5</v>
      </c>
      <c r="Q112" s="5" t="s">
        <v>6</v>
      </c>
      <c r="R112" s="5">
        <f t="shared" si="10"/>
        <v>4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3">
      <c r="A113" s="3">
        <v>44112</v>
      </c>
      <c r="B113" s="4" t="s">
        <v>20</v>
      </c>
      <c r="C113" s="5"/>
      <c r="D113" s="5"/>
      <c r="E113" s="5">
        <v>555</v>
      </c>
      <c r="F113" s="5">
        <v>460</v>
      </c>
      <c r="G113" s="5"/>
      <c r="H113" s="5">
        <v>315</v>
      </c>
      <c r="I113" s="5"/>
      <c r="J113" s="5">
        <v>250</v>
      </c>
      <c r="K113" s="5"/>
      <c r="L113" s="5"/>
      <c r="M113" s="5"/>
      <c r="N113" s="6">
        <f t="shared" si="8"/>
        <v>250</v>
      </c>
      <c r="O113" s="6">
        <f t="shared" si="9"/>
        <v>555</v>
      </c>
      <c r="P113" s="5" t="s">
        <v>11</v>
      </c>
      <c r="Q113" s="5" t="s">
        <v>5</v>
      </c>
      <c r="R113" s="5">
        <f t="shared" si="10"/>
        <v>4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3">
      <c r="A114" s="3">
        <v>44114</v>
      </c>
      <c r="B114" s="4" t="s">
        <v>22</v>
      </c>
      <c r="C114" s="5"/>
      <c r="D114" s="5"/>
      <c r="E114" s="5">
        <v>520</v>
      </c>
      <c r="F114" s="5">
        <v>300</v>
      </c>
      <c r="G114" s="5"/>
      <c r="H114" s="5"/>
      <c r="I114" s="5"/>
      <c r="J114" s="5">
        <v>485</v>
      </c>
      <c r="K114" s="5"/>
      <c r="L114" s="5">
        <v>175</v>
      </c>
      <c r="M114" s="5"/>
      <c r="N114" s="6">
        <f t="shared" si="8"/>
        <v>175</v>
      </c>
      <c r="O114" s="6">
        <f t="shared" si="9"/>
        <v>520</v>
      </c>
      <c r="P114" s="5" t="s">
        <v>13</v>
      </c>
      <c r="Q114" s="5" t="s">
        <v>5</v>
      </c>
      <c r="R114" s="5">
        <f t="shared" si="10"/>
        <v>4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3">
      <c r="A115" s="3">
        <v>44127</v>
      </c>
      <c r="B115" s="4" t="s">
        <v>20</v>
      </c>
      <c r="C115" s="5"/>
      <c r="D115" s="5"/>
      <c r="E115" s="5">
        <v>430</v>
      </c>
      <c r="F115" s="5">
        <v>355</v>
      </c>
      <c r="G115" s="5"/>
      <c r="H115" s="5"/>
      <c r="I115" s="5"/>
      <c r="J115" s="5">
        <v>355</v>
      </c>
      <c r="K115" s="5"/>
      <c r="L115" s="5"/>
      <c r="M115" s="5"/>
      <c r="N115" s="6">
        <f t="shared" si="8"/>
        <v>355</v>
      </c>
      <c r="O115" s="6">
        <f t="shared" si="9"/>
        <v>430</v>
      </c>
      <c r="P115" s="5" t="s">
        <v>6</v>
      </c>
      <c r="Q115" s="5" t="s">
        <v>5</v>
      </c>
      <c r="R115" s="5">
        <f t="shared" si="10"/>
        <v>3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3">
      <c r="A116" s="3">
        <v>44129</v>
      </c>
      <c r="B116" s="4" t="s">
        <v>20</v>
      </c>
      <c r="C116" s="5"/>
      <c r="D116" s="5"/>
      <c r="E116" s="5">
        <v>435</v>
      </c>
      <c r="F116" s="5">
        <v>165</v>
      </c>
      <c r="G116" s="5"/>
      <c r="H116" s="5"/>
      <c r="I116" s="5"/>
      <c r="J116" s="5">
        <v>335</v>
      </c>
      <c r="K116" s="5"/>
      <c r="L116" s="5">
        <v>365</v>
      </c>
      <c r="M116" s="5"/>
      <c r="N116" s="6">
        <f t="shared" si="8"/>
        <v>165</v>
      </c>
      <c r="O116" s="6">
        <f t="shared" si="9"/>
        <v>435</v>
      </c>
      <c r="P116" s="5" t="s">
        <v>6</v>
      </c>
      <c r="Q116" s="5" t="s">
        <v>5</v>
      </c>
      <c r="R116" s="5">
        <f t="shared" si="10"/>
        <v>4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3">
      <c r="A117" s="3">
        <v>44137</v>
      </c>
      <c r="B117" s="4" t="s">
        <v>22</v>
      </c>
      <c r="C117" s="5"/>
      <c r="D117" s="5"/>
      <c r="E117" s="5">
        <v>345</v>
      </c>
      <c r="F117" s="5">
        <v>255</v>
      </c>
      <c r="G117" s="5"/>
      <c r="H117" s="5">
        <v>360</v>
      </c>
      <c r="I117" s="5"/>
      <c r="J117" s="5">
        <v>310</v>
      </c>
      <c r="K117" s="5"/>
      <c r="L117" s="5"/>
      <c r="M117" s="5"/>
      <c r="N117" s="6">
        <f t="shared" si="8"/>
        <v>255</v>
      </c>
      <c r="O117" s="6">
        <f t="shared" si="9"/>
        <v>360</v>
      </c>
      <c r="P117" s="5" t="s">
        <v>6</v>
      </c>
      <c r="Q117" s="5" t="s">
        <v>8</v>
      </c>
      <c r="R117" s="5">
        <f t="shared" si="10"/>
        <v>4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3">
      <c r="A118" s="3">
        <v>44140</v>
      </c>
      <c r="B118" s="4" t="s">
        <v>22</v>
      </c>
      <c r="C118" s="5" t="s">
        <v>21</v>
      </c>
      <c r="D118" s="5"/>
      <c r="E118" s="5">
        <v>115</v>
      </c>
      <c r="F118" s="5">
        <v>15</v>
      </c>
      <c r="G118" s="5"/>
      <c r="H118" s="5">
        <v>260</v>
      </c>
      <c r="I118" s="5"/>
      <c r="J118" s="5">
        <v>350</v>
      </c>
      <c r="K118" s="5"/>
      <c r="L118" s="5"/>
      <c r="M118" s="5"/>
      <c r="N118" s="6">
        <f t="shared" si="8"/>
        <v>15</v>
      </c>
      <c r="O118" s="6">
        <f t="shared" si="9"/>
        <v>350</v>
      </c>
      <c r="P118" s="5" t="s">
        <v>6</v>
      </c>
      <c r="Q118" s="5" t="s">
        <v>11</v>
      </c>
      <c r="R118" s="5">
        <f t="shared" si="10"/>
        <v>4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3">
      <c r="A119" s="3">
        <v>44142</v>
      </c>
      <c r="B119" s="4" t="s">
        <v>22</v>
      </c>
      <c r="C119" s="5"/>
      <c r="D119" s="5"/>
      <c r="E119" s="5">
        <v>590</v>
      </c>
      <c r="F119" s="5">
        <v>210</v>
      </c>
      <c r="G119" s="5"/>
      <c r="H119" s="5"/>
      <c r="I119" s="5"/>
      <c r="J119" s="5">
        <v>520</v>
      </c>
      <c r="K119" s="5"/>
      <c r="L119" s="5">
        <v>80</v>
      </c>
      <c r="M119" s="5"/>
      <c r="N119" s="6">
        <f t="shared" si="8"/>
        <v>80</v>
      </c>
      <c r="O119" s="6">
        <f t="shared" si="9"/>
        <v>590</v>
      </c>
      <c r="P119" s="5" t="s">
        <v>13</v>
      </c>
      <c r="Q119" s="5" t="s">
        <v>5</v>
      </c>
      <c r="R119" s="5">
        <f t="shared" si="10"/>
        <v>4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3">
      <c r="A120" s="3">
        <v>44146</v>
      </c>
      <c r="B120" s="4" t="s">
        <v>22</v>
      </c>
      <c r="C120" s="5"/>
      <c r="D120" s="5"/>
      <c r="E120" s="5">
        <v>250</v>
      </c>
      <c r="F120" s="5">
        <v>75</v>
      </c>
      <c r="G120" s="5"/>
      <c r="H120" s="5">
        <v>335</v>
      </c>
      <c r="I120" s="5"/>
      <c r="J120" s="5">
        <v>150</v>
      </c>
      <c r="K120" s="5"/>
      <c r="L120" s="5"/>
      <c r="M120" s="5"/>
      <c r="N120" s="6">
        <f t="shared" si="8"/>
        <v>75</v>
      </c>
      <c r="O120" s="6">
        <f t="shared" si="9"/>
        <v>335</v>
      </c>
      <c r="P120" s="5" t="s">
        <v>6</v>
      </c>
      <c r="Q120" s="5" t="s">
        <v>8</v>
      </c>
      <c r="R120" s="5">
        <f t="shared" si="10"/>
        <v>4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3">
      <c r="A121" s="3">
        <v>44148</v>
      </c>
      <c r="B121" s="4" t="s">
        <v>20</v>
      </c>
      <c r="C121" s="5"/>
      <c r="D121" s="5"/>
      <c r="E121" s="5"/>
      <c r="F121" s="5">
        <v>515</v>
      </c>
      <c r="G121" s="5">
        <v>200</v>
      </c>
      <c r="H121" s="5"/>
      <c r="I121" s="5"/>
      <c r="J121" s="5">
        <v>420</v>
      </c>
      <c r="K121" s="5">
        <v>40</v>
      </c>
      <c r="L121" s="5"/>
      <c r="M121" s="5"/>
      <c r="N121" s="6">
        <f t="shared" si="8"/>
        <v>40</v>
      </c>
      <c r="O121" s="6">
        <f t="shared" si="9"/>
        <v>515</v>
      </c>
      <c r="P121" s="5" t="s">
        <v>12</v>
      </c>
      <c r="Q121" s="5" t="s">
        <v>6</v>
      </c>
      <c r="R121" s="5">
        <f t="shared" si="10"/>
        <v>4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3">
      <c r="A122" s="3">
        <v>44156</v>
      </c>
      <c r="B122" s="4" t="s">
        <v>26</v>
      </c>
      <c r="C122" s="5"/>
      <c r="D122" s="5"/>
      <c r="E122" s="5">
        <v>245</v>
      </c>
      <c r="F122" s="5">
        <v>615</v>
      </c>
      <c r="G122" s="5"/>
      <c r="H122" s="5"/>
      <c r="I122" s="5"/>
      <c r="J122" s="5">
        <v>560</v>
      </c>
      <c r="K122" s="5"/>
      <c r="L122" s="5">
        <v>480</v>
      </c>
      <c r="M122" s="5"/>
      <c r="N122" s="6">
        <f t="shared" si="8"/>
        <v>245</v>
      </c>
      <c r="O122" s="6">
        <f t="shared" si="9"/>
        <v>615</v>
      </c>
      <c r="P122" s="5" t="s">
        <v>5</v>
      </c>
      <c r="Q122" s="5" t="s">
        <v>6</v>
      </c>
      <c r="R122" s="5">
        <f t="shared" si="10"/>
        <v>4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3">
      <c r="A123" s="3">
        <v>44158</v>
      </c>
      <c r="B123" s="4" t="s">
        <v>20</v>
      </c>
      <c r="C123" s="5"/>
      <c r="D123" s="5"/>
      <c r="E123" s="5">
        <v>310</v>
      </c>
      <c r="F123" s="5">
        <v>455</v>
      </c>
      <c r="G123" s="5"/>
      <c r="H123" s="5">
        <v>705</v>
      </c>
      <c r="I123" s="5"/>
      <c r="J123" s="5">
        <v>575</v>
      </c>
      <c r="K123" s="5"/>
      <c r="L123" s="5"/>
      <c r="M123" s="5"/>
      <c r="N123" s="6">
        <f t="shared" si="8"/>
        <v>310</v>
      </c>
      <c r="O123" s="6">
        <f t="shared" si="9"/>
        <v>705</v>
      </c>
      <c r="P123" s="5" t="s">
        <v>5</v>
      </c>
      <c r="Q123" s="5" t="s">
        <v>8</v>
      </c>
      <c r="R123" s="5">
        <f t="shared" si="10"/>
        <v>4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3">
      <c r="A124" s="3">
        <v>44164</v>
      </c>
      <c r="B124" s="4" t="s">
        <v>22</v>
      </c>
      <c r="C124" s="5"/>
      <c r="D124" s="5"/>
      <c r="E124" s="5">
        <v>170</v>
      </c>
      <c r="F124" s="5"/>
      <c r="G124" s="5"/>
      <c r="H124" s="5">
        <v>225</v>
      </c>
      <c r="I124" s="5"/>
      <c r="J124" s="5"/>
      <c r="K124" s="5"/>
      <c r="L124" s="5">
        <v>375</v>
      </c>
      <c r="M124" s="5"/>
      <c r="N124" s="6">
        <f t="shared" si="8"/>
        <v>170</v>
      </c>
      <c r="O124" s="6">
        <f t="shared" si="9"/>
        <v>375</v>
      </c>
      <c r="P124" s="5" t="s">
        <v>5</v>
      </c>
      <c r="Q124" s="5" t="s">
        <v>13</v>
      </c>
      <c r="R124" s="5">
        <f t="shared" si="10"/>
        <v>3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3">
      <c r="A125" s="3">
        <v>44170</v>
      </c>
      <c r="B125" s="4" t="s">
        <v>22</v>
      </c>
      <c r="C125" s="5"/>
      <c r="D125" s="5"/>
      <c r="E125" s="5">
        <v>295</v>
      </c>
      <c r="F125" s="5">
        <v>350</v>
      </c>
      <c r="G125" s="5"/>
      <c r="H125" s="5"/>
      <c r="I125" s="5"/>
      <c r="J125" s="5">
        <v>385</v>
      </c>
      <c r="K125" s="5"/>
      <c r="L125" s="5">
        <v>565</v>
      </c>
      <c r="M125" s="5"/>
      <c r="N125" s="6">
        <f t="shared" si="8"/>
        <v>295</v>
      </c>
      <c r="O125" s="6">
        <f t="shared" si="9"/>
        <v>565</v>
      </c>
      <c r="P125" s="5" t="s">
        <v>5</v>
      </c>
      <c r="Q125" s="5" t="s">
        <v>13</v>
      </c>
      <c r="R125" s="5">
        <f t="shared" si="10"/>
        <v>4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3">
      <c r="A126" s="3">
        <v>44170</v>
      </c>
      <c r="B126" s="4" t="s">
        <v>22</v>
      </c>
      <c r="C126" s="5"/>
      <c r="D126" s="5"/>
      <c r="E126" s="5">
        <v>205</v>
      </c>
      <c r="F126" s="5">
        <v>675</v>
      </c>
      <c r="G126" s="5"/>
      <c r="H126" s="5">
        <v>365</v>
      </c>
      <c r="I126" s="5">
        <v>385</v>
      </c>
      <c r="J126" s="5">
        <v>270</v>
      </c>
      <c r="K126" s="5"/>
      <c r="L126" s="5"/>
      <c r="M126" s="5"/>
      <c r="N126" s="6">
        <f t="shared" si="8"/>
        <v>205</v>
      </c>
      <c r="O126" s="6">
        <f t="shared" si="9"/>
        <v>675</v>
      </c>
      <c r="P126" s="5" t="s">
        <v>5</v>
      </c>
      <c r="Q126" s="5" t="s">
        <v>6</v>
      </c>
      <c r="R126" s="5">
        <f t="shared" si="10"/>
        <v>5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3">
      <c r="A127" s="3">
        <v>44173</v>
      </c>
      <c r="B127" s="4" t="s">
        <v>20</v>
      </c>
      <c r="C127" s="5"/>
      <c r="D127" s="5"/>
      <c r="E127" s="5">
        <v>445</v>
      </c>
      <c r="F127" s="5">
        <v>945</v>
      </c>
      <c r="G127" s="5"/>
      <c r="H127" s="5"/>
      <c r="I127" s="5"/>
      <c r="J127" s="5">
        <v>420</v>
      </c>
      <c r="K127" s="5"/>
      <c r="L127" s="5"/>
      <c r="M127" s="5"/>
      <c r="N127" s="6">
        <f t="shared" si="8"/>
        <v>420</v>
      </c>
      <c r="O127" s="6">
        <f t="shared" si="9"/>
        <v>945</v>
      </c>
      <c r="P127" s="5" t="s">
        <v>11</v>
      </c>
      <c r="Q127" s="5" t="s">
        <v>6</v>
      </c>
      <c r="R127" s="5">
        <f t="shared" si="10"/>
        <v>3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3">
      <c r="A128" s="3">
        <v>44175</v>
      </c>
      <c r="B128" s="4" t="s">
        <v>22</v>
      </c>
      <c r="C128" s="5"/>
      <c r="D128" s="5"/>
      <c r="E128" s="5">
        <v>360</v>
      </c>
      <c r="F128" s="5">
        <v>215</v>
      </c>
      <c r="G128" s="5"/>
      <c r="H128" s="5"/>
      <c r="I128" s="5"/>
      <c r="J128" s="5">
        <v>215</v>
      </c>
      <c r="K128" s="5"/>
      <c r="L128" s="5"/>
      <c r="M128" s="5"/>
      <c r="N128" s="6">
        <f t="shared" si="8"/>
        <v>215</v>
      </c>
      <c r="O128" s="6">
        <f t="shared" si="9"/>
        <v>360</v>
      </c>
      <c r="P128" s="5" t="s">
        <v>6</v>
      </c>
      <c r="Q128" s="5" t="s">
        <v>5</v>
      </c>
      <c r="R128" s="5">
        <f t="shared" si="10"/>
        <v>3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3">
      <c r="A129" s="3">
        <v>44176</v>
      </c>
      <c r="B129" s="4" t="s">
        <v>20</v>
      </c>
      <c r="C129" s="5" t="s">
        <v>21</v>
      </c>
      <c r="D129" s="5"/>
      <c r="E129" s="5"/>
      <c r="F129" s="5">
        <v>140</v>
      </c>
      <c r="G129" s="5">
        <v>295</v>
      </c>
      <c r="H129" s="5"/>
      <c r="I129" s="5"/>
      <c r="J129" s="5">
        <v>140</v>
      </c>
      <c r="K129" s="5"/>
      <c r="L129" s="5"/>
      <c r="M129" s="5"/>
      <c r="N129" s="6">
        <f t="shared" si="8"/>
        <v>140</v>
      </c>
      <c r="O129" s="6">
        <f t="shared" si="9"/>
        <v>295</v>
      </c>
      <c r="P129" s="5" t="s">
        <v>6</v>
      </c>
      <c r="Q129" s="5" t="s">
        <v>7</v>
      </c>
      <c r="R129" s="5">
        <f t="shared" si="10"/>
        <v>3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3">
      <c r="A130" s="3">
        <v>44183</v>
      </c>
      <c r="B130" s="4" t="s">
        <v>22</v>
      </c>
      <c r="C130" s="5" t="s">
        <v>21</v>
      </c>
      <c r="D130" s="5"/>
      <c r="E130" s="5">
        <v>220</v>
      </c>
      <c r="F130" s="5">
        <v>320</v>
      </c>
      <c r="G130" s="5"/>
      <c r="H130" s="5">
        <v>665</v>
      </c>
      <c r="I130" s="5"/>
      <c r="J130" s="5">
        <v>300</v>
      </c>
      <c r="K130" s="5"/>
      <c r="L130" s="5"/>
      <c r="M130" s="5"/>
      <c r="N130" s="6">
        <f t="shared" ref="N130:N193" si="14">MIN($D130:$M130)</f>
        <v>220</v>
      </c>
      <c r="O130" s="6">
        <f t="shared" ref="O130:O193" si="15">MAX($D130:$M130)</f>
        <v>665</v>
      </c>
      <c r="P130" s="5" t="s">
        <v>5</v>
      </c>
      <c r="Q130" s="5" t="s">
        <v>8</v>
      </c>
      <c r="R130" s="5">
        <f t="shared" ref="R130:R193" si="16">COUNT(D130:M130)</f>
        <v>4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3">
      <c r="A131" s="3">
        <v>44200</v>
      </c>
      <c r="B131" s="4" t="s">
        <v>22</v>
      </c>
      <c r="C131" s="5"/>
      <c r="D131" s="5"/>
      <c r="E131" s="5">
        <v>895</v>
      </c>
      <c r="F131" s="5">
        <v>470</v>
      </c>
      <c r="G131" s="5"/>
      <c r="H131" s="5">
        <v>425</v>
      </c>
      <c r="I131" s="5"/>
      <c r="J131" s="5">
        <v>480</v>
      </c>
      <c r="K131" s="5"/>
      <c r="L131" s="5"/>
      <c r="M131" s="5"/>
      <c r="N131" s="6">
        <f t="shared" si="14"/>
        <v>425</v>
      </c>
      <c r="O131" s="6">
        <f t="shared" si="15"/>
        <v>895</v>
      </c>
      <c r="P131" s="5" t="s">
        <v>8</v>
      </c>
      <c r="Q131" s="5" t="s">
        <v>5</v>
      </c>
      <c r="R131" s="5">
        <f t="shared" si="16"/>
        <v>4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3">
      <c r="A132" s="3">
        <v>44206</v>
      </c>
      <c r="B132" s="4" t="s">
        <v>22</v>
      </c>
      <c r="C132" s="5"/>
      <c r="D132" s="5"/>
      <c r="E132" s="5">
        <v>535</v>
      </c>
      <c r="F132" s="5">
        <v>475</v>
      </c>
      <c r="G132" s="5"/>
      <c r="H132" s="5">
        <v>695</v>
      </c>
      <c r="I132" s="5"/>
      <c r="J132" s="5">
        <v>925</v>
      </c>
      <c r="K132" s="5"/>
      <c r="L132" s="5"/>
      <c r="M132" s="5"/>
      <c r="N132" s="6">
        <f t="shared" si="14"/>
        <v>475</v>
      </c>
      <c r="O132" s="6">
        <f t="shared" si="15"/>
        <v>925</v>
      </c>
      <c r="P132" s="5" t="s">
        <v>6</v>
      </c>
      <c r="Q132" s="5" t="s">
        <v>11</v>
      </c>
      <c r="R132" s="5">
        <f t="shared" si="16"/>
        <v>4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3">
      <c r="A133" s="3">
        <v>44210</v>
      </c>
      <c r="B133" s="4" t="s">
        <v>20</v>
      </c>
      <c r="C133" s="5"/>
      <c r="D133" s="5"/>
      <c r="E133" s="5"/>
      <c r="F133" s="5">
        <v>390</v>
      </c>
      <c r="G133" s="5"/>
      <c r="H133" s="5"/>
      <c r="I133" s="5"/>
      <c r="J133" s="5">
        <v>695</v>
      </c>
      <c r="K133" s="5"/>
      <c r="L133" s="5"/>
      <c r="M133" s="5"/>
      <c r="N133" s="6">
        <f t="shared" si="14"/>
        <v>390</v>
      </c>
      <c r="O133" s="6">
        <f t="shared" si="15"/>
        <v>695</v>
      </c>
      <c r="P133" s="5" t="s">
        <v>14</v>
      </c>
      <c r="Q133" s="5" t="s">
        <v>11</v>
      </c>
      <c r="R133" s="5">
        <f t="shared" si="16"/>
        <v>2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3">
      <c r="A134" s="3">
        <v>44239</v>
      </c>
      <c r="B134" s="4" t="s">
        <v>20</v>
      </c>
      <c r="C134" s="5"/>
      <c r="D134" s="5"/>
      <c r="E134" s="5"/>
      <c r="F134" s="5">
        <v>70</v>
      </c>
      <c r="G134" s="5"/>
      <c r="H134" s="5"/>
      <c r="I134" s="5"/>
      <c r="J134" s="5">
        <v>145</v>
      </c>
      <c r="K134" s="5"/>
      <c r="L134" s="5"/>
      <c r="M134" s="5"/>
      <c r="N134" s="6">
        <f t="shared" si="14"/>
        <v>70</v>
      </c>
      <c r="O134" s="6">
        <f t="shared" si="15"/>
        <v>145</v>
      </c>
      <c r="P134" s="5" t="s">
        <v>6</v>
      </c>
      <c r="Q134" s="5" t="s">
        <v>14</v>
      </c>
      <c r="R134" s="5">
        <f t="shared" si="16"/>
        <v>2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3">
      <c r="A135" s="3">
        <v>44240</v>
      </c>
      <c r="B135" s="4" t="s">
        <v>20</v>
      </c>
      <c r="C135" s="5"/>
      <c r="D135" s="5"/>
      <c r="E135" s="5">
        <v>795</v>
      </c>
      <c r="F135" s="5">
        <v>820</v>
      </c>
      <c r="G135" s="5"/>
      <c r="H135" s="5">
        <v>595</v>
      </c>
      <c r="I135" s="5"/>
      <c r="J135" s="5">
        <v>445</v>
      </c>
      <c r="K135" s="5"/>
      <c r="L135" s="5">
        <v>720</v>
      </c>
      <c r="M135" s="5"/>
      <c r="N135" s="6">
        <f t="shared" si="14"/>
        <v>445</v>
      </c>
      <c r="O135" s="6">
        <f t="shared" si="15"/>
        <v>820</v>
      </c>
      <c r="P135" s="5" t="s">
        <v>11</v>
      </c>
      <c r="Q135" s="5" t="s">
        <v>6</v>
      </c>
      <c r="R135" s="5">
        <f t="shared" si="16"/>
        <v>5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3">
      <c r="A136" s="3">
        <v>44242</v>
      </c>
      <c r="B136" s="4" t="s">
        <v>24</v>
      </c>
      <c r="C136" s="5"/>
      <c r="D136" s="5"/>
      <c r="E136" s="5"/>
      <c r="F136" s="5">
        <v>345</v>
      </c>
      <c r="G136" s="5"/>
      <c r="H136" s="5"/>
      <c r="I136" s="5"/>
      <c r="J136" s="5">
        <v>420</v>
      </c>
      <c r="K136" s="5">
        <v>270</v>
      </c>
      <c r="L136" s="5"/>
      <c r="M136" s="5"/>
      <c r="N136" s="6">
        <f t="shared" si="14"/>
        <v>270</v>
      </c>
      <c r="O136" s="6">
        <f t="shared" si="15"/>
        <v>420</v>
      </c>
      <c r="P136" s="5" t="s">
        <v>12</v>
      </c>
      <c r="Q136" s="5" t="s">
        <v>11</v>
      </c>
      <c r="R136" s="5">
        <f t="shared" si="16"/>
        <v>3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3">
      <c r="A137" s="3">
        <v>44267</v>
      </c>
      <c r="B137" s="4" t="s">
        <v>20</v>
      </c>
      <c r="C137" s="5" t="s">
        <v>21</v>
      </c>
      <c r="D137" s="5"/>
      <c r="E137" s="5"/>
      <c r="F137" s="5">
        <v>105</v>
      </c>
      <c r="G137" s="5"/>
      <c r="H137" s="5"/>
      <c r="I137" s="5"/>
      <c r="J137" s="5">
        <v>100</v>
      </c>
      <c r="K137" s="5">
        <v>240</v>
      </c>
      <c r="L137" s="5"/>
      <c r="M137" s="5"/>
      <c r="N137" s="6">
        <f t="shared" si="14"/>
        <v>100</v>
      </c>
      <c r="O137" s="6">
        <f t="shared" si="15"/>
        <v>240</v>
      </c>
      <c r="P137" s="5" t="s">
        <v>11</v>
      </c>
      <c r="Q137" s="5" t="s">
        <v>12</v>
      </c>
      <c r="R137" s="5">
        <f t="shared" si="16"/>
        <v>3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3">
      <c r="A138" s="3">
        <v>44272</v>
      </c>
      <c r="B138" s="4" t="s">
        <v>20</v>
      </c>
      <c r="C138" s="5"/>
      <c r="D138" s="5"/>
      <c r="E138" s="5">
        <v>310</v>
      </c>
      <c r="F138" s="5">
        <v>510</v>
      </c>
      <c r="G138" s="5"/>
      <c r="H138" s="5"/>
      <c r="I138" s="5"/>
      <c r="J138" s="5">
        <v>380</v>
      </c>
      <c r="K138" s="5"/>
      <c r="L138" s="5">
        <v>820</v>
      </c>
      <c r="M138" s="5"/>
      <c r="N138" s="6">
        <f t="shared" si="14"/>
        <v>310</v>
      </c>
      <c r="O138" s="6">
        <f t="shared" si="15"/>
        <v>820</v>
      </c>
      <c r="P138" s="5" t="s">
        <v>5</v>
      </c>
      <c r="Q138" s="5" t="s">
        <v>13</v>
      </c>
      <c r="R138" s="5">
        <f t="shared" si="16"/>
        <v>4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3">
      <c r="A139" s="3">
        <v>44274</v>
      </c>
      <c r="B139" s="4" t="s">
        <v>20</v>
      </c>
      <c r="C139" s="5"/>
      <c r="D139" s="5"/>
      <c r="E139" s="5">
        <v>525</v>
      </c>
      <c r="F139" s="5">
        <v>740</v>
      </c>
      <c r="G139" s="5"/>
      <c r="H139" s="5">
        <v>185</v>
      </c>
      <c r="I139" s="5"/>
      <c r="J139" s="5">
        <v>400</v>
      </c>
      <c r="K139" s="5">
        <v>515</v>
      </c>
      <c r="L139" s="5"/>
      <c r="M139" s="5"/>
      <c r="N139" s="6">
        <f t="shared" si="14"/>
        <v>185</v>
      </c>
      <c r="O139" s="6">
        <f t="shared" si="15"/>
        <v>740</v>
      </c>
      <c r="P139" s="5" t="s">
        <v>8</v>
      </c>
      <c r="Q139" s="5" t="s">
        <v>6</v>
      </c>
      <c r="R139" s="5">
        <f t="shared" si="16"/>
        <v>5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3">
      <c r="A140" s="3">
        <v>44279</v>
      </c>
      <c r="B140" s="4" t="s">
        <v>20</v>
      </c>
      <c r="C140" s="5"/>
      <c r="D140" s="5"/>
      <c r="E140" s="5">
        <v>405</v>
      </c>
      <c r="F140" s="5">
        <v>215</v>
      </c>
      <c r="G140" s="5"/>
      <c r="H140" s="5"/>
      <c r="I140" s="5"/>
      <c r="J140" s="5">
        <v>385</v>
      </c>
      <c r="K140" s="5">
        <v>355</v>
      </c>
      <c r="L140" s="5"/>
      <c r="M140" s="5"/>
      <c r="N140" s="6">
        <f t="shared" si="14"/>
        <v>215</v>
      </c>
      <c r="O140" s="6">
        <f t="shared" si="15"/>
        <v>405</v>
      </c>
      <c r="P140" s="5" t="s">
        <v>6</v>
      </c>
      <c r="Q140" s="5" t="s">
        <v>5</v>
      </c>
      <c r="R140" s="5">
        <f t="shared" si="16"/>
        <v>4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3">
      <c r="A141" s="3">
        <v>44281</v>
      </c>
      <c r="B141" s="4" t="s">
        <v>20</v>
      </c>
      <c r="C141" s="5"/>
      <c r="D141" s="5"/>
      <c r="E141" s="5">
        <v>580</v>
      </c>
      <c r="F141" s="5">
        <v>210</v>
      </c>
      <c r="G141" s="5"/>
      <c r="H141" s="5"/>
      <c r="I141" s="5"/>
      <c r="J141" s="5">
        <v>290</v>
      </c>
      <c r="K141" s="5">
        <v>465</v>
      </c>
      <c r="L141" s="5"/>
      <c r="M141" s="5"/>
      <c r="N141" s="6">
        <f t="shared" si="14"/>
        <v>210</v>
      </c>
      <c r="O141" s="6">
        <f t="shared" si="15"/>
        <v>580</v>
      </c>
      <c r="P141" s="5" t="s">
        <v>6</v>
      </c>
      <c r="Q141" s="5" t="s">
        <v>5</v>
      </c>
      <c r="R141" s="5">
        <f t="shared" si="16"/>
        <v>4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3">
      <c r="A142" s="3">
        <v>44285</v>
      </c>
      <c r="B142" s="4" t="s">
        <v>22</v>
      </c>
      <c r="C142" s="5"/>
      <c r="D142" s="5"/>
      <c r="E142" s="5">
        <v>725</v>
      </c>
      <c r="F142" s="5">
        <v>595</v>
      </c>
      <c r="G142" s="5"/>
      <c r="H142" s="5"/>
      <c r="I142" s="5"/>
      <c r="J142" s="5">
        <v>290</v>
      </c>
      <c r="K142" s="5"/>
      <c r="L142" s="5">
        <v>400</v>
      </c>
      <c r="M142" s="5"/>
      <c r="N142" s="6">
        <f t="shared" si="14"/>
        <v>290</v>
      </c>
      <c r="O142" s="6">
        <f t="shared" si="15"/>
        <v>725</v>
      </c>
      <c r="P142" s="5" t="s">
        <v>11</v>
      </c>
      <c r="Q142" s="5" t="s">
        <v>5</v>
      </c>
      <c r="R142" s="5">
        <f t="shared" si="16"/>
        <v>4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3">
      <c r="A143" s="3">
        <v>44288</v>
      </c>
      <c r="B143" s="4" t="s">
        <v>22</v>
      </c>
      <c r="C143" s="5"/>
      <c r="D143" s="5"/>
      <c r="E143" s="5">
        <v>335</v>
      </c>
      <c r="F143" s="5">
        <v>495</v>
      </c>
      <c r="G143" s="5"/>
      <c r="H143" s="5">
        <v>615</v>
      </c>
      <c r="I143" s="5"/>
      <c r="J143" s="5">
        <v>680</v>
      </c>
      <c r="K143" s="5"/>
      <c r="L143" s="5"/>
      <c r="M143" s="5"/>
      <c r="N143" s="6">
        <f t="shared" si="14"/>
        <v>335</v>
      </c>
      <c r="O143" s="6">
        <f t="shared" si="15"/>
        <v>680</v>
      </c>
      <c r="P143" s="5" t="s">
        <v>5</v>
      </c>
      <c r="Q143" s="5" t="s">
        <v>11</v>
      </c>
      <c r="R143" s="5">
        <f t="shared" si="16"/>
        <v>4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3">
      <c r="A144" s="3">
        <v>44292</v>
      </c>
      <c r="B144" s="4" t="s">
        <v>22</v>
      </c>
      <c r="C144" s="5"/>
      <c r="D144" s="5"/>
      <c r="E144" s="5">
        <v>345</v>
      </c>
      <c r="F144" s="5">
        <v>340</v>
      </c>
      <c r="G144" s="5"/>
      <c r="H144" s="5">
        <v>310</v>
      </c>
      <c r="I144" s="5"/>
      <c r="J144" s="5">
        <v>460</v>
      </c>
      <c r="K144" s="5"/>
      <c r="L144" s="5"/>
      <c r="M144" s="5"/>
      <c r="N144" s="6">
        <f t="shared" si="14"/>
        <v>310</v>
      </c>
      <c r="O144" s="6">
        <f t="shared" si="15"/>
        <v>460</v>
      </c>
      <c r="P144" s="5" t="s">
        <v>8</v>
      </c>
      <c r="Q144" s="5" t="s">
        <v>11</v>
      </c>
      <c r="R144" s="5">
        <f t="shared" si="16"/>
        <v>4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3">
      <c r="A145" s="3">
        <v>44297</v>
      </c>
      <c r="B145" s="4" t="s">
        <v>27</v>
      </c>
      <c r="C145" s="5"/>
      <c r="D145" s="5"/>
      <c r="E145" s="5"/>
      <c r="F145" s="5">
        <v>415</v>
      </c>
      <c r="G145" s="5"/>
      <c r="H145" s="5"/>
      <c r="I145" s="5"/>
      <c r="J145" s="5">
        <v>565</v>
      </c>
      <c r="K145" s="5">
        <v>400</v>
      </c>
      <c r="L145" s="5"/>
      <c r="M145" s="5"/>
      <c r="N145" s="6">
        <f t="shared" si="14"/>
        <v>400</v>
      </c>
      <c r="O145" s="6">
        <f t="shared" si="15"/>
        <v>565</v>
      </c>
      <c r="P145" s="5" t="s">
        <v>12</v>
      </c>
      <c r="Q145" s="5" t="s">
        <v>11</v>
      </c>
      <c r="R145" s="5">
        <f t="shared" si="16"/>
        <v>3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3">
      <c r="A146" s="3">
        <v>44297</v>
      </c>
      <c r="B146" s="4" t="s">
        <v>27</v>
      </c>
      <c r="C146" s="5"/>
      <c r="D146" s="5"/>
      <c r="E146" s="5"/>
      <c r="F146" s="5">
        <v>305</v>
      </c>
      <c r="G146" s="5"/>
      <c r="H146" s="5"/>
      <c r="I146" s="5"/>
      <c r="J146" s="5">
        <v>290</v>
      </c>
      <c r="K146" s="5">
        <v>390</v>
      </c>
      <c r="L146" s="5"/>
      <c r="M146" s="5"/>
      <c r="N146" s="6">
        <f t="shared" si="14"/>
        <v>290</v>
      </c>
      <c r="O146" s="6">
        <f t="shared" si="15"/>
        <v>390</v>
      </c>
      <c r="P146" s="5" t="s">
        <v>11</v>
      </c>
      <c r="Q146" s="5" t="s">
        <v>12</v>
      </c>
      <c r="R146" s="5">
        <f t="shared" si="16"/>
        <v>3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3">
      <c r="A147" s="3">
        <v>44297</v>
      </c>
      <c r="B147" s="4" t="s">
        <v>22</v>
      </c>
      <c r="C147" s="5"/>
      <c r="D147" s="5"/>
      <c r="E147" s="5">
        <v>540</v>
      </c>
      <c r="F147" s="5"/>
      <c r="G147" s="5"/>
      <c r="H147" s="5">
        <v>375</v>
      </c>
      <c r="I147" s="5"/>
      <c r="J147" s="5"/>
      <c r="K147" s="5"/>
      <c r="L147" s="5">
        <v>335</v>
      </c>
      <c r="M147" s="5"/>
      <c r="N147" s="6">
        <f t="shared" si="14"/>
        <v>335</v>
      </c>
      <c r="O147" s="6">
        <f t="shared" si="15"/>
        <v>540</v>
      </c>
      <c r="P147" s="5" t="s">
        <v>13</v>
      </c>
      <c r="Q147" s="5" t="s">
        <v>5</v>
      </c>
      <c r="R147" s="5">
        <f t="shared" si="16"/>
        <v>3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3">
      <c r="A148" s="3">
        <v>44298</v>
      </c>
      <c r="B148" s="4" t="s">
        <v>27</v>
      </c>
      <c r="C148" s="5"/>
      <c r="D148" s="5"/>
      <c r="E148" s="5"/>
      <c r="F148" s="5">
        <v>315</v>
      </c>
      <c r="G148" s="5"/>
      <c r="H148" s="5"/>
      <c r="I148" s="5"/>
      <c r="J148" s="5">
        <v>435</v>
      </c>
      <c r="K148" s="5">
        <v>310</v>
      </c>
      <c r="L148" s="5"/>
      <c r="M148" s="5"/>
      <c r="N148" s="6">
        <f t="shared" si="14"/>
        <v>310</v>
      </c>
      <c r="O148" s="6">
        <f t="shared" si="15"/>
        <v>435</v>
      </c>
      <c r="P148" s="5" t="s">
        <v>12</v>
      </c>
      <c r="Q148" s="5" t="s">
        <v>11</v>
      </c>
      <c r="R148" s="5">
        <f t="shared" si="16"/>
        <v>3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3">
      <c r="A149" s="3">
        <v>44299</v>
      </c>
      <c r="B149" s="4" t="s">
        <v>27</v>
      </c>
      <c r="C149" s="5"/>
      <c r="D149" s="5"/>
      <c r="E149" s="5"/>
      <c r="F149" s="5">
        <v>350</v>
      </c>
      <c r="G149" s="5"/>
      <c r="H149" s="5"/>
      <c r="I149" s="5"/>
      <c r="J149" s="5">
        <v>475</v>
      </c>
      <c r="K149" s="5">
        <v>280</v>
      </c>
      <c r="L149" s="5"/>
      <c r="M149" s="5"/>
      <c r="N149" s="6">
        <f t="shared" si="14"/>
        <v>280</v>
      </c>
      <c r="O149" s="6">
        <f t="shared" si="15"/>
        <v>475</v>
      </c>
      <c r="P149" s="5" t="s">
        <v>12</v>
      </c>
      <c r="Q149" s="5" t="s">
        <v>11</v>
      </c>
      <c r="R149" s="5">
        <f t="shared" si="16"/>
        <v>3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3">
      <c r="A150" s="3">
        <v>44300</v>
      </c>
      <c r="B150" s="4" t="s">
        <v>27</v>
      </c>
      <c r="C150" s="5"/>
      <c r="D150" s="5"/>
      <c r="E150" s="5"/>
      <c r="F150" s="5">
        <v>310</v>
      </c>
      <c r="G150" s="5"/>
      <c r="H150" s="5"/>
      <c r="I150" s="5"/>
      <c r="J150" s="5">
        <v>390</v>
      </c>
      <c r="K150" s="5">
        <v>270</v>
      </c>
      <c r="L150" s="5"/>
      <c r="M150" s="5"/>
      <c r="N150" s="6">
        <f t="shared" si="14"/>
        <v>270</v>
      </c>
      <c r="O150" s="6">
        <f t="shared" si="15"/>
        <v>390</v>
      </c>
      <c r="P150" s="5" t="s">
        <v>12</v>
      </c>
      <c r="Q150" s="5" t="s">
        <v>11</v>
      </c>
      <c r="R150" s="5">
        <f t="shared" si="16"/>
        <v>3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3">
      <c r="A151" s="3">
        <v>44302</v>
      </c>
      <c r="B151" s="4" t="s">
        <v>28</v>
      </c>
      <c r="C151" s="5"/>
      <c r="D151" s="5"/>
      <c r="E151" s="5"/>
      <c r="F151" s="5">
        <v>335</v>
      </c>
      <c r="G151" s="5"/>
      <c r="H151" s="5"/>
      <c r="I151" s="5"/>
      <c r="J151" s="5">
        <v>390</v>
      </c>
      <c r="K151" s="5">
        <v>250</v>
      </c>
      <c r="L151" s="5"/>
      <c r="M151" s="5"/>
      <c r="N151" s="6">
        <f t="shared" si="14"/>
        <v>250</v>
      </c>
      <c r="O151" s="6">
        <f t="shared" si="15"/>
        <v>390</v>
      </c>
      <c r="P151" s="5" t="s">
        <v>12</v>
      </c>
      <c r="Q151" s="5" t="s">
        <v>11</v>
      </c>
      <c r="R151" s="5">
        <f t="shared" si="16"/>
        <v>3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3">
      <c r="A152" s="3">
        <v>44307</v>
      </c>
      <c r="B152" s="4" t="s">
        <v>23</v>
      </c>
      <c r="C152" s="5"/>
      <c r="D152" s="5"/>
      <c r="E152" s="5"/>
      <c r="F152" s="5">
        <v>470</v>
      </c>
      <c r="G152" s="5"/>
      <c r="H152" s="5"/>
      <c r="I152" s="5"/>
      <c r="J152" s="5">
        <v>720</v>
      </c>
      <c r="K152" s="5">
        <v>475</v>
      </c>
      <c r="L152" s="5"/>
      <c r="M152" s="5"/>
      <c r="N152" s="6">
        <f t="shared" si="14"/>
        <v>470</v>
      </c>
      <c r="O152" s="6">
        <f t="shared" si="15"/>
        <v>720</v>
      </c>
      <c r="P152" s="5" t="s">
        <v>6</v>
      </c>
      <c r="Q152" s="5" t="s">
        <v>11</v>
      </c>
      <c r="R152" s="5">
        <f t="shared" si="16"/>
        <v>3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3">
      <c r="A153" s="3">
        <v>44318</v>
      </c>
      <c r="B153" s="4" t="s">
        <v>20</v>
      </c>
      <c r="C153" s="5"/>
      <c r="D153" s="5"/>
      <c r="E153" s="5"/>
      <c r="F153" s="5">
        <v>380</v>
      </c>
      <c r="G153" s="5">
        <v>745</v>
      </c>
      <c r="H153" s="5"/>
      <c r="I153" s="5"/>
      <c r="J153" s="5">
        <v>240</v>
      </c>
      <c r="K153" s="5"/>
      <c r="L153" s="5"/>
      <c r="M153" s="5"/>
      <c r="N153" s="6">
        <f t="shared" si="14"/>
        <v>240</v>
      </c>
      <c r="O153" s="6">
        <f t="shared" si="15"/>
        <v>745</v>
      </c>
      <c r="P153" s="5" t="s">
        <v>11</v>
      </c>
      <c r="Q153" s="5" t="s">
        <v>7</v>
      </c>
      <c r="R153" s="5">
        <f t="shared" si="16"/>
        <v>3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3">
      <c r="A154" s="3">
        <v>44329</v>
      </c>
      <c r="B154" s="4" t="s">
        <v>20</v>
      </c>
      <c r="C154" s="5"/>
      <c r="D154" s="5"/>
      <c r="E154" s="5"/>
      <c r="F154" s="5">
        <v>385</v>
      </c>
      <c r="G154" s="5">
        <v>925</v>
      </c>
      <c r="H154" s="5"/>
      <c r="I154" s="5"/>
      <c r="J154" s="5">
        <v>240</v>
      </c>
      <c r="K154" s="5"/>
      <c r="L154" s="5"/>
      <c r="M154" s="5"/>
      <c r="N154" s="6">
        <f t="shared" si="14"/>
        <v>240</v>
      </c>
      <c r="O154" s="6">
        <f t="shared" si="15"/>
        <v>925</v>
      </c>
      <c r="P154" s="5" t="s">
        <v>11</v>
      </c>
      <c r="Q154" s="5" t="s">
        <v>7</v>
      </c>
      <c r="R154" s="5">
        <f t="shared" si="16"/>
        <v>3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3">
      <c r="A155" s="3">
        <v>44342</v>
      </c>
      <c r="B155" s="4" t="s">
        <v>24</v>
      </c>
      <c r="C155" s="5"/>
      <c r="D155" s="5"/>
      <c r="E155" s="5"/>
      <c r="F155" s="5">
        <v>365</v>
      </c>
      <c r="G155" s="5"/>
      <c r="H155" s="5"/>
      <c r="I155" s="5"/>
      <c r="J155" s="5">
        <v>205</v>
      </c>
      <c r="K155" s="5">
        <v>615</v>
      </c>
      <c r="L155" s="5"/>
      <c r="M155" s="5"/>
      <c r="N155" s="6">
        <f t="shared" si="14"/>
        <v>205</v>
      </c>
      <c r="O155" s="6">
        <f t="shared" si="15"/>
        <v>615</v>
      </c>
      <c r="P155" s="5" t="s">
        <v>11</v>
      </c>
      <c r="Q155" s="5" t="s">
        <v>12</v>
      </c>
      <c r="R155" s="5">
        <f t="shared" si="16"/>
        <v>3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3">
      <c r="A156" s="3">
        <v>44344</v>
      </c>
      <c r="B156" s="4" t="s">
        <v>24</v>
      </c>
      <c r="C156" s="5"/>
      <c r="D156" s="5"/>
      <c r="E156" s="5"/>
      <c r="F156" s="5">
        <v>320</v>
      </c>
      <c r="G156" s="5"/>
      <c r="H156" s="5"/>
      <c r="I156" s="5"/>
      <c r="J156" s="5">
        <v>520</v>
      </c>
      <c r="K156" s="5">
        <v>470</v>
      </c>
      <c r="L156" s="5"/>
      <c r="M156" s="5"/>
      <c r="N156" s="6">
        <f t="shared" si="14"/>
        <v>320</v>
      </c>
      <c r="O156" s="6">
        <f t="shared" si="15"/>
        <v>520</v>
      </c>
      <c r="P156" s="5" t="s">
        <v>6</v>
      </c>
      <c r="Q156" s="5" t="s">
        <v>11</v>
      </c>
      <c r="R156" s="5">
        <f t="shared" si="16"/>
        <v>3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3">
      <c r="A157" s="3">
        <v>44346</v>
      </c>
      <c r="B157" s="4" t="s">
        <v>20</v>
      </c>
      <c r="C157" s="5"/>
      <c r="D157" s="5"/>
      <c r="E157" s="5"/>
      <c r="F157" s="5">
        <v>505</v>
      </c>
      <c r="G157" s="5"/>
      <c r="H157" s="5"/>
      <c r="I157" s="5"/>
      <c r="J157" s="5">
        <v>400</v>
      </c>
      <c r="K157" s="5">
        <v>595</v>
      </c>
      <c r="L157" s="5"/>
      <c r="M157" s="5"/>
      <c r="N157" s="6">
        <f t="shared" si="14"/>
        <v>400</v>
      </c>
      <c r="O157" s="6">
        <f t="shared" si="15"/>
        <v>595</v>
      </c>
      <c r="P157" s="5" t="s">
        <v>11</v>
      </c>
      <c r="Q157" s="5" t="s">
        <v>12</v>
      </c>
      <c r="R157" s="5">
        <f t="shared" si="16"/>
        <v>3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3">
      <c r="A158" s="3">
        <v>44347</v>
      </c>
      <c r="B158" s="4" t="s">
        <v>22</v>
      </c>
      <c r="C158" s="5"/>
      <c r="D158" s="5"/>
      <c r="E158" s="5">
        <v>655</v>
      </c>
      <c r="F158" s="5">
        <v>250</v>
      </c>
      <c r="G158" s="5"/>
      <c r="H158" s="5"/>
      <c r="I158" s="5"/>
      <c r="J158" s="5">
        <v>545</v>
      </c>
      <c r="K158" s="5">
        <v>450</v>
      </c>
      <c r="L158" s="5">
        <v>580</v>
      </c>
      <c r="M158" s="5"/>
      <c r="N158" s="6">
        <f t="shared" si="14"/>
        <v>250</v>
      </c>
      <c r="O158" s="6">
        <f t="shared" si="15"/>
        <v>655</v>
      </c>
      <c r="P158" s="5" t="s">
        <v>6</v>
      </c>
      <c r="Q158" s="5" t="s">
        <v>5</v>
      </c>
      <c r="R158" s="5">
        <f t="shared" si="16"/>
        <v>5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3">
      <c r="A159" s="3">
        <v>44352</v>
      </c>
      <c r="B159" s="4" t="s">
        <v>24</v>
      </c>
      <c r="C159" s="5"/>
      <c r="D159" s="5"/>
      <c r="E159" s="5"/>
      <c r="F159" s="5">
        <v>350</v>
      </c>
      <c r="G159" s="5"/>
      <c r="H159" s="5"/>
      <c r="I159" s="5"/>
      <c r="J159" s="5">
        <v>455</v>
      </c>
      <c r="K159" s="5">
        <v>445</v>
      </c>
      <c r="L159" s="5"/>
      <c r="M159" s="5"/>
      <c r="N159" s="6">
        <f t="shared" si="14"/>
        <v>350</v>
      </c>
      <c r="O159" s="6">
        <f t="shared" si="15"/>
        <v>455</v>
      </c>
      <c r="P159" s="5" t="s">
        <v>6</v>
      </c>
      <c r="Q159" s="5" t="s">
        <v>11</v>
      </c>
      <c r="R159" s="5">
        <f t="shared" si="16"/>
        <v>3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3">
      <c r="A160" s="3">
        <v>44362</v>
      </c>
      <c r="B160" s="4" t="s">
        <v>22</v>
      </c>
      <c r="C160" s="5"/>
      <c r="D160" s="5"/>
      <c r="E160" s="5">
        <v>520</v>
      </c>
      <c r="F160" s="5">
        <v>540</v>
      </c>
      <c r="G160" s="5"/>
      <c r="H160" s="5">
        <v>585</v>
      </c>
      <c r="I160" s="5"/>
      <c r="J160" s="5">
        <v>265</v>
      </c>
      <c r="K160" s="5"/>
      <c r="L160" s="5"/>
      <c r="M160" s="5"/>
      <c r="N160" s="6">
        <f t="shared" si="14"/>
        <v>265</v>
      </c>
      <c r="O160" s="6">
        <f t="shared" si="15"/>
        <v>585</v>
      </c>
      <c r="P160" s="5" t="s">
        <v>11</v>
      </c>
      <c r="Q160" s="5" t="s">
        <v>8</v>
      </c>
      <c r="R160" s="5">
        <f t="shared" si="16"/>
        <v>4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3">
      <c r="A161" s="3">
        <v>44370</v>
      </c>
      <c r="B161" s="4" t="s">
        <v>22</v>
      </c>
      <c r="C161" s="5"/>
      <c r="D161" s="5"/>
      <c r="E161" s="5">
        <v>385</v>
      </c>
      <c r="F161" s="5">
        <v>695</v>
      </c>
      <c r="G161" s="5"/>
      <c r="H161" s="5">
        <v>765</v>
      </c>
      <c r="I161" s="5"/>
      <c r="J161" s="5">
        <v>265</v>
      </c>
      <c r="K161" s="5"/>
      <c r="L161" s="5"/>
      <c r="M161" s="5"/>
      <c r="N161" s="6">
        <f t="shared" si="14"/>
        <v>265</v>
      </c>
      <c r="O161" s="6">
        <f t="shared" si="15"/>
        <v>765</v>
      </c>
      <c r="P161" s="5" t="s">
        <v>11</v>
      </c>
      <c r="Q161" s="5" t="s">
        <v>8</v>
      </c>
      <c r="R161" s="5">
        <f t="shared" si="16"/>
        <v>4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3">
      <c r="A162" s="3">
        <v>44374</v>
      </c>
      <c r="B162" s="4" t="s">
        <v>22</v>
      </c>
      <c r="C162" s="5"/>
      <c r="D162" s="5"/>
      <c r="E162" s="5">
        <v>505</v>
      </c>
      <c r="F162" s="5">
        <v>185</v>
      </c>
      <c r="G162" s="5"/>
      <c r="H162" s="5"/>
      <c r="I162" s="5"/>
      <c r="J162" s="5">
        <v>260</v>
      </c>
      <c r="K162" s="5"/>
      <c r="L162" s="5">
        <v>1085</v>
      </c>
      <c r="M162" s="5"/>
      <c r="N162" s="6">
        <f t="shared" si="14"/>
        <v>185</v>
      </c>
      <c r="O162" s="6">
        <f t="shared" si="15"/>
        <v>1085</v>
      </c>
      <c r="P162" s="5" t="s">
        <v>6</v>
      </c>
      <c r="Q162" s="5" t="s">
        <v>13</v>
      </c>
      <c r="R162" s="5">
        <f t="shared" si="16"/>
        <v>4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3">
      <c r="A163" s="3">
        <v>44375</v>
      </c>
      <c r="B163" s="4" t="s">
        <v>22</v>
      </c>
      <c r="C163" s="5"/>
      <c r="D163" s="5"/>
      <c r="E163" s="5">
        <v>320</v>
      </c>
      <c r="F163" s="5">
        <v>270</v>
      </c>
      <c r="G163" s="5"/>
      <c r="H163" s="5">
        <v>120</v>
      </c>
      <c r="I163" s="5"/>
      <c r="J163" s="5">
        <v>300</v>
      </c>
      <c r="K163" s="5"/>
      <c r="L163" s="5"/>
      <c r="M163" s="5"/>
      <c r="N163" s="6">
        <f t="shared" si="14"/>
        <v>120</v>
      </c>
      <c r="O163" s="6">
        <f t="shared" si="15"/>
        <v>320</v>
      </c>
      <c r="P163" s="5" t="s">
        <v>8</v>
      </c>
      <c r="Q163" s="5" t="s">
        <v>5</v>
      </c>
      <c r="R163" s="5">
        <f t="shared" si="16"/>
        <v>4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3">
      <c r="A164" s="3">
        <v>44416</v>
      </c>
      <c r="B164" s="4" t="s">
        <v>20</v>
      </c>
      <c r="C164" s="5"/>
      <c r="D164" s="5"/>
      <c r="E164" s="5"/>
      <c r="F164" s="5">
        <v>225</v>
      </c>
      <c r="G164" s="5"/>
      <c r="H164" s="5"/>
      <c r="I164" s="5"/>
      <c r="J164" s="5">
        <v>325</v>
      </c>
      <c r="K164" s="5"/>
      <c r="L164" s="5">
        <v>420</v>
      </c>
      <c r="M164" s="5"/>
      <c r="N164" s="6">
        <f t="shared" si="14"/>
        <v>225</v>
      </c>
      <c r="O164" s="6">
        <f t="shared" si="15"/>
        <v>420</v>
      </c>
      <c r="P164" s="5" t="s">
        <v>6</v>
      </c>
      <c r="Q164" s="5" t="s">
        <v>13</v>
      </c>
      <c r="R164" s="5">
        <f t="shared" si="16"/>
        <v>3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3">
      <c r="A165" s="3">
        <v>44422</v>
      </c>
      <c r="B165" s="4" t="s">
        <v>22</v>
      </c>
      <c r="C165" s="5"/>
      <c r="D165" s="5"/>
      <c r="E165" s="5">
        <v>300</v>
      </c>
      <c r="F165" s="5">
        <v>525</v>
      </c>
      <c r="G165" s="5"/>
      <c r="H165" s="5"/>
      <c r="I165" s="5"/>
      <c r="J165" s="5">
        <v>525</v>
      </c>
      <c r="K165" s="5"/>
      <c r="L165" s="5">
        <v>680</v>
      </c>
      <c r="M165" s="5"/>
      <c r="N165" s="6">
        <f t="shared" si="14"/>
        <v>300</v>
      </c>
      <c r="O165" s="6">
        <f t="shared" si="15"/>
        <v>680</v>
      </c>
      <c r="P165" s="5" t="s">
        <v>5</v>
      </c>
      <c r="Q165" s="5" t="s">
        <v>13</v>
      </c>
      <c r="R165" s="5">
        <f t="shared" si="16"/>
        <v>4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3">
      <c r="A166" s="3">
        <v>44423</v>
      </c>
      <c r="B166" s="4" t="s">
        <v>20</v>
      </c>
      <c r="C166" s="5"/>
      <c r="D166" s="5"/>
      <c r="E166" s="5">
        <v>260</v>
      </c>
      <c r="F166" s="5">
        <v>655</v>
      </c>
      <c r="G166" s="5">
        <v>245</v>
      </c>
      <c r="H166" s="5"/>
      <c r="I166" s="5">
        <v>1010</v>
      </c>
      <c r="J166" s="5">
        <v>235</v>
      </c>
      <c r="K166" s="5"/>
      <c r="L166" s="5"/>
      <c r="M166" s="5"/>
      <c r="N166" s="6">
        <f t="shared" si="14"/>
        <v>235</v>
      </c>
      <c r="O166" s="6">
        <f t="shared" si="15"/>
        <v>1010</v>
      </c>
      <c r="P166" s="5" t="s">
        <v>11</v>
      </c>
      <c r="Q166" s="5" t="s">
        <v>6</v>
      </c>
      <c r="R166" s="5">
        <f t="shared" si="16"/>
        <v>5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3">
      <c r="A167" s="3">
        <v>44428</v>
      </c>
      <c r="B167" s="4" t="s">
        <v>22</v>
      </c>
      <c r="C167" s="5"/>
      <c r="D167" s="5"/>
      <c r="E167" s="5">
        <v>640</v>
      </c>
      <c r="F167" s="5">
        <v>455</v>
      </c>
      <c r="G167" s="5"/>
      <c r="H167" s="5">
        <v>140</v>
      </c>
      <c r="I167" s="5"/>
      <c r="J167" s="5">
        <v>810</v>
      </c>
      <c r="K167" s="5"/>
      <c r="L167" s="5"/>
      <c r="M167" s="5"/>
      <c r="N167" s="6">
        <f t="shared" si="14"/>
        <v>140</v>
      </c>
      <c r="O167" s="6">
        <f t="shared" si="15"/>
        <v>810</v>
      </c>
      <c r="P167" s="5" t="s">
        <v>8</v>
      </c>
      <c r="Q167" s="5" t="s">
        <v>11</v>
      </c>
      <c r="R167" s="5">
        <f t="shared" si="16"/>
        <v>4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3">
      <c r="A168" s="3">
        <v>44437</v>
      </c>
      <c r="B168" s="4" t="s">
        <v>22</v>
      </c>
      <c r="C168" s="5"/>
      <c r="D168" s="5"/>
      <c r="E168" s="5">
        <v>645</v>
      </c>
      <c r="F168" s="5">
        <v>705</v>
      </c>
      <c r="G168" s="5">
        <v>745</v>
      </c>
      <c r="H168" s="5"/>
      <c r="I168" s="5"/>
      <c r="J168" s="5">
        <v>255</v>
      </c>
      <c r="K168" s="5"/>
      <c r="L168" s="5"/>
      <c r="M168" s="5"/>
      <c r="N168" s="6">
        <f t="shared" si="14"/>
        <v>255</v>
      </c>
      <c r="O168" s="6">
        <f t="shared" si="15"/>
        <v>745</v>
      </c>
      <c r="P168" s="5" t="s">
        <v>11</v>
      </c>
      <c r="Q168" s="5" t="s">
        <v>7</v>
      </c>
      <c r="R168" s="5">
        <f t="shared" si="16"/>
        <v>4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3">
      <c r="A169" s="3">
        <v>44500</v>
      </c>
      <c r="B169" s="4" t="s">
        <v>20</v>
      </c>
      <c r="C169" s="5"/>
      <c r="D169" s="5"/>
      <c r="E169" s="5">
        <v>485</v>
      </c>
      <c r="F169" s="5">
        <v>540</v>
      </c>
      <c r="G169" s="5">
        <v>340</v>
      </c>
      <c r="H169" s="5"/>
      <c r="I169" s="5"/>
      <c r="J169" s="5">
        <v>675</v>
      </c>
      <c r="K169" s="5"/>
      <c r="L169" s="5">
        <v>705</v>
      </c>
      <c r="M169" s="5"/>
      <c r="N169" s="6">
        <f t="shared" si="14"/>
        <v>340</v>
      </c>
      <c r="O169" s="6">
        <f t="shared" si="15"/>
        <v>705</v>
      </c>
      <c r="P169" s="5" t="s">
        <v>7</v>
      </c>
      <c r="Q169" s="5" t="s">
        <v>13</v>
      </c>
      <c r="R169" s="5">
        <f t="shared" si="16"/>
        <v>5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3">
      <c r="A170" s="3">
        <v>44538</v>
      </c>
      <c r="B170" s="4" t="s">
        <v>24</v>
      </c>
      <c r="C170" s="5"/>
      <c r="D170" s="5"/>
      <c r="E170" s="5"/>
      <c r="F170" s="5">
        <v>580</v>
      </c>
      <c r="G170" s="5"/>
      <c r="H170" s="5"/>
      <c r="I170" s="5"/>
      <c r="J170" s="5">
        <v>310</v>
      </c>
      <c r="K170" s="5">
        <v>745</v>
      </c>
      <c r="L170" s="5"/>
      <c r="M170" s="5"/>
      <c r="N170" s="6">
        <f t="shared" si="14"/>
        <v>310</v>
      </c>
      <c r="O170" s="6">
        <f t="shared" si="15"/>
        <v>745</v>
      </c>
      <c r="P170" s="5" t="s">
        <v>4</v>
      </c>
      <c r="Q170" s="5" t="s">
        <v>12</v>
      </c>
      <c r="R170" s="5">
        <f t="shared" si="16"/>
        <v>3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3">
      <c r="A171" s="3">
        <v>44539</v>
      </c>
      <c r="B171" s="4" t="s">
        <v>24</v>
      </c>
      <c r="C171" s="5"/>
      <c r="D171" s="5"/>
      <c r="E171" s="5"/>
      <c r="F171" s="5">
        <v>465</v>
      </c>
      <c r="G171" s="5"/>
      <c r="H171" s="5"/>
      <c r="I171" s="5"/>
      <c r="J171" s="5">
        <v>185</v>
      </c>
      <c r="K171" s="5">
        <v>115</v>
      </c>
      <c r="L171" s="5"/>
      <c r="M171" s="5"/>
      <c r="N171" s="6">
        <f t="shared" si="14"/>
        <v>115</v>
      </c>
      <c r="O171" s="6">
        <f t="shared" si="15"/>
        <v>465</v>
      </c>
      <c r="P171" s="5" t="s">
        <v>12</v>
      </c>
      <c r="Q171" s="5" t="s">
        <v>6</v>
      </c>
      <c r="R171" s="5">
        <f t="shared" si="16"/>
        <v>3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3">
      <c r="A172" s="3">
        <v>44562</v>
      </c>
      <c r="B172" s="4" t="s">
        <v>22</v>
      </c>
      <c r="C172" s="5"/>
      <c r="D172" s="5"/>
      <c r="E172" s="5">
        <v>850</v>
      </c>
      <c r="F172" s="5">
        <v>395</v>
      </c>
      <c r="G172" s="5">
        <v>515</v>
      </c>
      <c r="H172" s="5"/>
      <c r="I172" s="5"/>
      <c r="J172" s="5">
        <v>280</v>
      </c>
      <c r="K172" s="5"/>
      <c r="L172" s="5">
        <v>705</v>
      </c>
      <c r="M172" s="5"/>
      <c r="N172" s="6">
        <f t="shared" si="14"/>
        <v>280</v>
      </c>
      <c r="O172" s="6">
        <f t="shared" si="15"/>
        <v>850</v>
      </c>
      <c r="P172" s="5" t="s">
        <v>11</v>
      </c>
      <c r="Q172" s="5" t="s">
        <v>5</v>
      </c>
      <c r="R172" s="5">
        <f t="shared" si="16"/>
        <v>5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3">
      <c r="A173" s="3">
        <v>44581</v>
      </c>
      <c r="B173" s="4" t="s">
        <v>20</v>
      </c>
      <c r="C173" s="5"/>
      <c r="D173" s="5"/>
      <c r="E173" s="5">
        <v>720</v>
      </c>
      <c r="F173" s="5">
        <v>345</v>
      </c>
      <c r="G173" s="5">
        <v>590</v>
      </c>
      <c r="H173" s="5"/>
      <c r="I173" s="5"/>
      <c r="J173" s="5">
        <v>300</v>
      </c>
      <c r="K173" s="5"/>
      <c r="L173" s="5"/>
      <c r="M173" s="5"/>
      <c r="N173" s="6">
        <f t="shared" si="14"/>
        <v>300</v>
      </c>
      <c r="O173" s="6">
        <f t="shared" si="15"/>
        <v>720</v>
      </c>
      <c r="P173" s="5" t="s">
        <v>11</v>
      </c>
      <c r="Q173" s="5" t="s">
        <v>5</v>
      </c>
      <c r="R173" s="5">
        <f t="shared" si="16"/>
        <v>4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3">
      <c r="A174" s="3">
        <v>44595</v>
      </c>
      <c r="B174" s="4" t="s">
        <v>20</v>
      </c>
      <c r="C174" s="5"/>
      <c r="D174" s="5"/>
      <c r="E174" s="5">
        <v>455</v>
      </c>
      <c r="F174" s="5">
        <v>580</v>
      </c>
      <c r="G174" s="5">
        <v>615</v>
      </c>
      <c r="H174" s="5"/>
      <c r="I174" s="5"/>
      <c r="J174" s="5">
        <v>195</v>
      </c>
      <c r="K174" s="5"/>
      <c r="L174" s="5"/>
      <c r="M174" s="5"/>
      <c r="N174" s="6">
        <f t="shared" si="14"/>
        <v>195</v>
      </c>
      <c r="O174" s="6">
        <f t="shared" si="15"/>
        <v>615</v>
      </c>
      <c r="P174" s="5" t="s">
        <v>11</v>
      </c>
      <c r="Q174" s="5" t="s">
        <v>7</v>
      </c>
      <c r="R174" s="5">
        <f t="shared" si="16"/>
        <v>4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3">
      <c r="A175" s="3">
        <v>44602</v>
      </c>
      <c r="B175" s="4" t="s">
        <v>20</v>
      </c>
      <c r="C175" s="5"/>
      <c r="D175" s="5"/>
      <c r="E175" s="5">
        <v>330</v>
      </c>
      <c r="F175" s="5">
        <v>300</v>
      </c>
      <c r="G175" s="5">
        <v>495</v>
      </c>
      <c r="H175" s="5"/>
      <c r="I175" s="5"/>
      <c r="J175" s="5">
        <v>475</v>
      </c>
      <c r="K175" s="5"/>
      <c r="L175" s="5"/>
      <c r="M175" s="5"/>
      <c r="N175" s="6">
        <f t="shared" si="14"/>
        <v>300</v>
      </c>
      <c r="O175" s="6">
        <f t="shared" si="15"/>
        <v>495</v>
      </c>
      <c r="P175" s="5" t="s">
        <v>6</v>
      </c>
      <c r="Q175" s="5" t="s">
        <v>7</v>
      </c>
      <c r="R175" s="5">
        <f t="shared" si="16"/>
        <v>4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3">
      <c r="A176" s="3">
        <v>44623</v>
      </c>
      <c r="B176" s="4" t="s">
        <v>20</v>
      </c>
      <c r="C176" s="5"/>
      <c r="D176" s="5"/>
      <c r="E176" s="5">
        <v>605</v>
      </c>
      <c r="F176" s="5">
        <v>200</v>
      </c>
      <c r="G176" s="5">
        <v>630</v>
      </c>
      <c r="H176" s="5"/>
      <c r="I176" s="5"/>
      <c r="J176" s="5">
        <v>285</v>
      </c>
      <c r="K176" s="5"/>
      <c r="L176" s="5"/>
      <c r="M176" s="5"/>
      <c r="N176" s="6">
        <f t="shared" si="14"/>
        <v>200</v>
      </c>
      <c r="O176" s="6">
        <f t="shared" si="15"/>
        <v>630</v>
      </c>
      <c r="P176" s="5" t="s">
        <v>6</v>
      </c>
      <c r="Q176" s="5" t="s">
        <v>7</v>
      </c>
      <c r="R176" s="5">
        <f t="shared" si="16"/>
        <v>4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3">
      <c r="A177" s="3">
        <v>44665</v>
      </c>
      <c r="B177" s="6" t="s">
        <v>24</v>
      </c>
      <c r="C177" s="5" t="s">
        <v>21</v>
      </c>
      <c r="D177" s="5"/>
      <c r="E177" s="5"/>
      <c r="F177" s="5">
        <v>20</v>
      </c>
      <c r="G177" s="5"/>
      <c r="H177" s="5"/>
      <c r="I177" s="5">
        <v>235</v>
      </c>
      <c r="J177" s="5">
        <v>170</v>
      </c>
      <c r="K177" s="5">
        <v>270</v>
      </c>
      <c r="L177" s="5"/>
      <c r="M177" s="5"/>
      <c r="N177" s="6">
        <f t="shared" si="14"/>
        <v>20</v>
      </c>
      <c r="O177" s="6">
        <f t="shared" si="15"/>
        <v>270</v>
      </c>
      <c r="P177" s="5" t="s">
        <v>6</v>
      </c>
      <c r="Q177" s="5" t="s">
        <v>12</v>
      </c>
      <c r="R177" s="5">
        <f t="shared" si="16"/>
        <v>4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3">
      <c r="A178" s="3">
        <v>44673</v>
      </c>
      <c r="B178" s="4" t="s">
        <v>20</v>
      </c>
      <c r="C178" s="5"/>
      <c r="D178" s="5"/>
      <c r="E178" s="5">
        <v>555</v>
      </c>
      <c r="F178" s="5">
        <v>490</v>
      </c>
      <c r="G178" s="5">
        <v>475</v>
      </c>
      <c r="H178" s="5"/>
      <c r="I178" s="5"/>
      <c r="J178" s="5">
        <v>345</v>
      </c>
      <c r="K178" s="5"/>
      <c r="L178" s="5"/>
      <c r="M178" s="5"/>
      <c r="N178" s="6">
        <f t="shared" si="14"/>
        <v>345</v>
      </c>
      <c r="O178" s="6">
        <f t="shared" si="15"/>
        <v>555</v>
      </c>
      <c r="P178" s="5" t="s">
        <v>11</v>
      </c>
      <c r="Q178" s="5" t="s">
        <v>5</v>
      </c>
      <c r="R178" s="5">
        <f t="shared" si="16"/>
        <v>4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3">
      <c r="A179" s="3">
        <v>44679</v>
      </c>
      <c r="B179" s="4" t="s">
        <v>20</v>
      </c>
      <c r="C179" s="5"/>
      <c r="D179" s="5"/>
      <c r="E179" s="5">
        <v>625</v>
      </c>
      <c r="F179" s="5">
        <v>495</v>
      </c>
      <c r="G179" s="5">
        <v>705</v>
      </c>
      <c r="H179" s="5"/>
      <c r="I179" s="5"/>
      <c r="J179" s="5">
        <v>450</v>
      </c>
      <c r="K179" s="5"/>
      <c r="L179" s="5"/>
      <c r="M179" s="5"/>
      <c r="N179" s="6">
        <f t="shared" si="14"/>
        <v>450</v>
      </c>
      <c r="O179" s="6">
        <f t="shared" si="15"/>
        <v>705</v>
      </c>
      <c r="P179" s="5" t="s">
        <v>11</v>
      </c>
      <c r="Q179" s="5" t="s">
        <v>7</v>
      </c>
      <c r="R179" s="5">
        <f t="shared" si="16"/>
        <v>4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3">
      <c r="A180" s="3">
        <v>44681</v>
      </c>
      <c r="B180" s="4" t="s">
        <v>22</v>
      </c>
      <c r="C180" s="5"/>
      <c r="D180" s="5"/>
      <c r="E180" s="5">
        <v>410</v>
      </c>
      <c r="F180" s="5"/>
      <c r="G180" s="5">
        <v>605</v>
      </c>
      <c r="H180" s="5">
        <v>330</v>
      </c>
      <c r="I180" s="5"/>
      <c r="J180" s="5"/>
      <c r="K180" s="5"/>
      <c r="L180" s="5">
        <v>375</v>
      </c>
      <c r="M180" s="5"/>
      <c r="N180" s="6">
        <f t="shared" si="14"/>
        <v>330</v>
      </c>
      <c r="O180" s="6">
        <f t="shared" si="15"/>
        <v>605</v>
      </c>
      <c r="P180" s="5" t="s">
        <v>8</v>
      </c>
      <c r="Q180" s="5" t="s">
        <v>7</v>
      </c>
      <c r="R180" s="5">
        <f t="shared" si="16"/>
        <v>4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3">
      <c r="A181" s="3">
        <v>44686</v>
      </c>
      <c r="B181" s="4" t="s">
        <v>20</v>
      </c>
      <c r="C181" s="5"/>
      <c r="D181" s="5"/>
      <c r="E181" s="5">
        <v>335</v>
      </c>
      <c r="F181" s="5">
        <v>285</v>
      </c>
      <c r="G181" s="5"/>
      <c r="H181" s="5">
        <v>140</v>
      </c>
      <c r="I181" s="5"/>
      <c r="J181" s="5">
        <v>465</v>
      </c>
      <c r="K181" s="5"/>
      <c r="L181" s="5"/>
      <c r="M181" s="5"/>
      <c r="N181" s="6">
        <f t="shared" si="14"/>
        <v>140</v>
      </c>
      <c r="O181" s="6">
        <f t="shared" si="15"/>
        <v>465</v>
      </c>
      <c r="P181" s="5" t="s">
        <v>8</v>
      </c>
      <c r="Q181" s="5" t="s">
        <v>11</v>
      </c>
      <c r="R181" s="5">
        <f t="shared" si="16"/>
        <v>4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3">
      <c r="A182" s="3">
        <v>44688</v>
      </c>
      <c r="B182" s="4" t="s">
        <v>20</v>
      </c>
      <c r="C182" s="5"/>
      <c r="D182" s="5"/>
      <c r="E182" s="5">
        <v>355</v>
      </c>
      <c r="F182" s="5">
        <v>250</v>
      </c>
      <c r="G182" s="5"/>
      <c r="H182" s="5"/>
      <c r="I182" s="5"/>
      <c r="J182" s="5">
        <v>330</v>
      </c>
      <c r="K182" s="5"/>
      <c r="L182" s="5">
        <v>645</v>
      </c>
      <c r="M182" s="5"/>
      <c r="N182" s="6">
        <f t="shared" si="14"/>
        <v>250</v>
      </c>
      <c r="O182" s="6">
        <f t="shared" si="15"/>
        <v>645</v>
      </c>
      <c r="P182" s="5" t="s">
        <v>6</v>
      </c>
      <c r="Q182" s="5" t="s">
        <v>13</v>
      </c>
      <c r="R182" s="5">
        <f t="shared" si="16"/>
        <v>4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3">
      <c r="A183" s="3">
        <v>44700</v>
      </c>
      <c r="B183" s="4" t="s">
        <v>20</v>
      </c>
      <c r="C183" s="5"/>
      <c r="D183" s="5"/>
      <c r="E183" s="5">
        <v>540</v>
      </c>
      <c r="F183" s="5">
        <v>520</v>
      </c>
      <c r="G183" s="5">
        <v>715</v>
      </c>
      <c r="H183" s="5"/>
      <c r="I183" s="5"/>
      <c r="J183" s="5">
        <v>500</v>
      </c>
      <c r="K183" s="5"/>
      <c r="L183" s="5"/>
      <c r="M183" s="5"/>
      <c r="N183" s="6">
        <f t="shared" si="14"/>
        <v>500</v>
      </c>
      <c r="O183" s="6">
        <f t="shared" si="15"/>
        <v>715</v>
      </c>
      <c r="P183" s="5" t="s">
        <v>11</v>
      </c>
      <c r="Q183" s="5" t="s">
        <v>7</v>
      </c>
      <c r="R183" s="5">
        <f t="shared" si="16"/>
        <v>4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3">
      <c r="A184" s="3">
        <v>44702</v>
      </c>
      <c r="B184" s="4" t="s">
        <v>22</v>
      </c>
      <c r="C184" s="5"/>
      <c r="D184" s="5"/>
      <c r="E184" s="5">
        <v>330</v>
      </c>
      <c r="F184" s="5">
        <v>310</v>
      </c>
      <c r="G184" s="5">
        <v>645</v>
      </c>
      <c r="H184" s="5"/>
      <c r="I184" s="5"/>
      <c r="J184" s="5">
        <v>165</v>
      </c>
      <c r="K184" s="5"/>
      <c r="L184" s="5"/>
      <c r="M184" s="5"/>
      <c r="N184" s="6">
        <f t="shared" si="14"/>
        <v>165</v>
      </c>
      <c r="O184" s="6">
        <f t="shared" si="15"/>
        <v>645</v>
      </c>
      <c r="P184" s="5" t="s">
        <v>11</v>
      </c>
      <c r="Q184" s="5" t="s">
        <v>7</v>
      </c>
      <c r="R184" s="5">
        <f t="shared" si="16"/>
        <v>4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3">
      <c r="A185" s="3">
        <v>44709</v>
      </c>
      <c r="B185" s="4" t="s">
        <v>20</v>
      </c>
      <c r="C185" s="5"/>
      <c r="D185" s="5"/>
      <c r="E185" s="5">
        <v>365</v>
      </c>
      <c r="F185" s="5">
        <v>190</v>
      </c>
      <c r="G185" s="5"/>
      <c r="H185" s="5"/>
      <c r="I185" s="5"/>
      <c r="J185" s="5">
        <v>375</v>
      </c>
      <c r="K185" s="5">
        <v>715</v>
      </c>
      <c r="L185" s="5"/>
      <c r="M185" s="5"/>
      <c r="N185" s="6">
        <f t="shared" si="14"/>
        <v>190</v>
      </c>
      <c r="O185" s="6">
        <f t="shared" si="15"/>
        <v>715</v>
      </c>
      <c r="P185" s="5" t="s">
        <v>6</v>
      </c>
      <c r="Q185" s="5" t="s">
        <v>12</v>
      </c>
      <c r="R185" s="5">
        <f t="shared" si="16"/>
        <v>4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3">
      <c r="A186" s="3">
        <v>44711</v>
      </c>
      <c r="B186" s="4" t="s">
        <v>29</v>
      </c>
      <c r="C186" s="5"/>
      <c r="D186" s="5"/>
      <c r="E186" s="5"/>
      <c r="F186" s="5">
        <v>610</v>
      </c>
      <c r="G186" s="5"/>
      <c r="H186" s="5"/>
      <c r="I186" s="5"/>
      <c r="J186" s="5">
        <v>265</v>
      </c>
      <c r="K186" s="5">
        <v>110</v>
      </c>
      <c r="L186" s="5"/>
      <c r="M186" s="5"/>
      <c r="N186" s="6">
        <f t="shared" si="14"/>
        <v>110</v>
      </c>
      <c r="O186" s="6">
        <f t="shared" si="15"/>
        <v>610</v>
      </c>
      <c r="P186" s="5" t="s">
        <v>12</v>
      </c>
      <c r="Q186" s="5" t="s">
        <v>6</v>
      </c>
      <c r="R186" s="5">
        <f t="shared" si="16"/>
        <v>3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3">
      <c r="A187" s="3">
        <v>44712</v>
      </c>
      <c r="B187" s="4" t="s">
        <v>20</v>
      </c>
      <c r="C187" s="5"/>
      <c r="D187" s="5"/>
      <c r="E187" s="5"/>
      <c r="F187" s="5">
        <v>355</v>
      </c>
      <c r="G187" s="5">
        <v>445</v>
      </c>
      <c r="H187" s="5"/>
      <c r="I187" s="5"/>
      <c r="J187" s="5">
        <v>655</v>
      </c>
      <c r="K187" s="5">
        <v>435</v>
      </c>
      <c r="L187" s="5"/>
      <c r="M187" s="5"/>
      <c r="N187" s="6">
        <f t="shared" si="14"/>
        <v>355</v>
      </c>
      <c r="O187" s="6">
        <f t="shared" si="15"/>
        <v>655</v>
      </c>
      <c r="P187" s="5" t="s">
        <v>6</v>
      </c>
      <c r="Q187" s="5" t="s">
        <v>11</v>
      </c>
      <c r="R187" s="5">
        <f t="shared" si="16"/>
        <v>4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3">
      <c r="A188" s="3">
        <v>44751</v>
      </c>
      <c r="B188" s="4" t="s">
        <v>22</v>
      </c>
      <c r="C188" s="5"/>
      <c r="D188" s="5"/>
      <c r="E188" s="5"/>
      <c r="F188" s="5">
        <v>525</v>
      </c>
      <c r="G188" s="5">
        <v>340</v>
      </c>
      <c r="H188" s="5"/>
      <c r="I188" s="5"/>
      <c r="J188" s="5">
        <v>375</v>
      </c>
      <c r="K188" s="5"/>
      <c r="L188" s="5"/>
      <c r="M188" s="5"/>
      <c r="N188" s="6">
        <f t="shared" si="14"/>
        <v>340</v>
      </c>
      <c r="O188" s="6">
        <f t="shared" si="15"/>
        <v>525</v>
      </c>
      <c r="P188" s="5" t="s">
        <v>7</v>
      </c>
      <c r="Q188" s="5" t="s">
        <v>6</v>
      </c>
      <c r="R188" s="5">
        <f t="shared" si="16"/>
        <v>3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3">
      <c r="A189" s="3">
        <v>44787</v>
      </c>
      <c r="B189" s="4" t="s">
        <v>22</v>
      </c>
      <c r="C189" s="5" t="s">
        <v>21</v>
      </c>
      <c r="D189" s="5"/>
      <c r="E189" s="5">
        <v>255</v>
      </c>
      <c r="F189" s="5">
        <v>150</v>
      </c>
      <c r="G189" s="5">
        <v>435</v>
      </c>
      <c r="H189" s="5"/>
      <c r="I189" s="5"/>
      <c r="J189" s="5">
        <v>185</v>
      </c>
      <c r="K189" s="5"/>
      <c r="L189" s="5">
        <v>310</v>
      </c>
      <c r="M189" s="5"/>
      <c r="N189" s="6">
        <f t="shared" si="14"/>
        <v>150</v>
      </c>
      <c r="O189" s="6">
        <f t="shared" si="15"/>
        <v>435</v>
      </c>
      <c r="P189" s="5" t="s">
        <v>6</v>
      </c>
      <c r="Q189" s="5" t="s">
        <v>7</v>
      </c>
      <c r="R189" s="5">
        <f t="shared" si="16"/>
        <v>5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3">
      <c r="A190" s="3">
        <v>44791</v>
      </c>
      <c r="B190" s="4" t="s">
        <v>20</v>
      </c>
      <c r="C190" s="5"/>
      <c r="D190" s="5"/>
      <c r="E190" s="5">
        <v>230</v>
      </c>
      <c r="F190" s="5">
        <v>720</v>
      </c>
      <c r="G190" s="5">
        <v>310</v>
      </c>
      <c r="H190" s="5"/>
      <c r="I190" s="5"/>
      <c r="J190" s="5">
        <v>570</v>
      </c>
      <c r="K190" s="5"/>
      <c r="L190" s="5"/>
      <c r="M190" s="5"/>
      <c r="N190" s="6">
        <f t="shared" si="14"/>
        <v>230</v>
      </c>
      <c r="O190" s="6">
        <f t="shared" si="15"/>
        <v>720</v>
      </c>
      <c r="P190" s="5" t="s">
        <v>5</v>
      </c>
      <c r="Q190" s="5" t="s">
        <v>6</v>
      </c>
      <c r="R190" s="5">
        <f t="shared" si="16"/>
        <v>4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3">
      <c r="A191" s="3">
        <v>44793</v>
      </c>
      <c r="B191" s="4" t="s">
        <v>20</v>
      </c>
      <c r="C191" s="5"/>
      <c r="D191" s="5"/>
      <c r="E191" s="5">
        <v>595</v>
      </c>
      <c r="F191" s="5">
        <v>470</v>
      </c>
      <c r="G191" s="5"/>
      <c r="H191" s="5"/>
      <c r="I191" s="5"/>
      <c r="J191" s="5">
        <v>110</v>
      </c>
      <c r="K191" s="5">
        <v>420</v>
      </c>
      <c r="L191" s="5"/>
      <c r="M191" s="5"/>
      <c r="N191" s="6">
        <f t="shared" si="14"/>
        <v>110</v>
      </c>
      <c r="O191" s="6">
        <f t="shared" si="15"/>
        <v>595</v>
      </c>
      <c r="P191" s="5" t="s">
        <v>11</v>
      </c>
      <c r="Q191" s="5" t="s">
        <v>5</v>
      </c>
      <c r="R191" s="5">
        <f t="shared" si="16"/>
        <v>4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3">
      <c r="A192" s="3">
        <v>44798</v>
      </c>
      <c r="B192" s="4" t="s">
        <v>20</v>
      </c>
      <c r="C192" s="5"/>
      <c r="D192" s="5"/>
      <c r="E192" s="5">
        <v>665</v>
      </c>
      <c r="F192" s="5">
        <v>185</v>
      </c>
      <c r="G192" s="5">
        <v>480</v>
      </c>
      <c r="H192" s="5"/>
      <c r="I192" s="5"/>
      <c r="J192" s="5">
        <v>310</v>
      </c>
      <c r="K192" s="5"/>
      <c r="L192" s="5"/>
      <c r="M192" s="5"/>
      <c r="N192" s="6">
        <f t="shared" si="14"/>
        <v>185</v>
      </c>
      <c r="O192" s="6">
        <f t="shared" si="15"/>
        <v>665</v>
      </c>
      <c r="P192" s="5" t="s">
        <v>6</v>
      </c>
      <c r="Q192" s="5" t="s">
        <v>5</v>
      </c>
      <c r="R192" s="5">
        <f t="shared" si="16"/>
        <v>4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3">
      <c r="A193" s="3">
        <v>44815</v>
      </c>
      <c r="B193" s="4" t="s">
        <v>22</v>
      </c>
      <c r="C193" s="5"/>
      <c r="D193" s="5"/>
      <c r="E193" s="5"/>
      <c r="F193" s="5">
        <v>450</v>
      </c>
      <c r="G193" s="5">
        <v>490</v>
      </c>
      <c r="H193" s="5"/>
      <c r="I193" s="5"/>
      <c r="J193" s="5">
        <v>165</v>
      </c>
      <c r="K193" s="5"/>
      <c r="L193" s="5">
        <v>365</v>
      </c>
      <c r="M193" s="5"/>
      <c r="N193" s="6">
        <f t="shared" si="14"/>
        <v>165</v>
      </c>
      <c r="O193" s="6">
        <f t="shared" si="15"/>
        <v>490</v>
      </c>
      <c r="P193" s="5" t="s">
        <v>11</v>
      </c>
      <c r="Q193" s="5" t="s">
        <v>7</v>
      </c>
      <c r="R193" s="5">
        <f t="shared" si="16"/>
        <v>4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3">
      <c r="A194" s="3">
        <v>44819</v>
      </c>
      <c r="B194" s="4" t="s">
        <v>20</v>
      </c>
      <c r="C194" s="5" t="s">
        <v>21</v>
      </c>
      <c r="D194" s="5"/>
      <c r="E194" s="5"/>
      <c r="F194" s="5">
        <v>80</v>
      </c>
      <c r="G194" s="5">
        <v>25</v>
      </c>
      <c r="H194" s="5"/>
      <c r="I194" s="5"/>
      <c r="J194" s="5">
        <v>340</v>
      </c>
      <c r="K194" s="5"/>
      <c r="L194" s="5"/>
      <c r="M194" s="5"/>
      <c r="N194" s="6">
        <f t="shared" ref="N194:N257" si="17">MIN($D194:$M194)</f>
        <v>25</v>
      </c>
      <c r="O194" s="6">
        <f t="shared" ref="O194:O257" si="18">MAX($D194:$M194)</f>
        <v>340</v>
      </c>
      <c r="P194" s="5" t="s">
        <v>7</v>
      </c>
      <c r="Q194" s="5" t="s">
        <v>11</v>
      </c>
      <c r="R194" s="5">
        <f t="shared" ref="R194:R257" si="19">COUNT(D194:M194)</f>
        <v>3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3">
      <c r="A195" s="3">
        <v>44836</v>
      </c>
      <c r="B195" s="4" t="s">
        <v>22</v>
      </c>
      <c r="C195" s="5"/>
      <c r="D195" s="5"/>
      <c r="E195" s="5">
        <v>365</v>
      </c>
      <c r="F195" s="5">
        <v>345</v>
      </c>
      <c r="G195" s="5"/>
      <c r="H195" s="5"/>
      <c r="I195" s="5"/>
      <c r="J195" s="5">
        <v>590</v>
      </c>
      <c r="K195" s="5"/>
      <c r="L195" s="5">
        <v>410</v>
      </c>
      <c r="M195" s="5"/>
      <c r="N195" s="6">
        <f t="shared" si="17"/>
        <v>345</v>
      </c>
      <c r="O195" s="6">
        <f t="shared" si="18"/>
        <v>590</v>
      </c>
      <c r="P195" s="5" t="s">
        <v>6</v>
      </c>
      <c r="Q195" s="5" t="s">
        <v>11</v>
      </c>
      <c r="R195" s="5">
        <f t="shared" si="19"/>
        <v>4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3">
      <c r="A196" s="3">
        <v>44850</v>
      </c>
      <c r="B196" s="4" t="s">
        <v>20</v>
      </c>
      <c r="C196" s="5"/>
      <c r="D196" s="5"/>
      <c r="E196" s="5">
        <v>620</v>
      </c>
      <c r="F196" s="5">
        <v>450</v>
      </c>
      <c r="G196" s="5">
        <v>220</v>
      </c>
      <c r="H196" s="5"/>
      <c r="I196" s="5"/>
      <c r="J196" s="5">
        <v>290</v>
      </c>
      <c r="K196" s="5"/>
      <c r="L196" s="5">
        <v>350</v>
      </c>
      <c r="M196" s="5"/>
      <c r="N196" s="6">
        <f t="shared" si="17"/>
        <v>220</v>
      </c>
      <c r="O196" s="6">
        <f t="shared" si="18"/>
        <v>620</v>
      </c>
      <c r="P196" s="5" t="s">
        <v>7</v>
      </c>
      <c r="Q196" s="5" t="s">
        <v>5</v>
      </c>
      <c r="R196" s="5">
        <f t="shared" si="19"/>
        <v>5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3">
      <c r="A197" s="3">
        <v>44852</v>
      </c>
      <c r="B197" s="4" t="s">
        <v>20</v>
      </c>
      <c r="C197" s="5" t="s">
        <v>21</v>
      </c>
      <c r="D197" s="5"/>
      <c r="E197" s="5">
        <v>165</v>
      </c>
      <c r="F197" s="5">
        <v>105</v>
      </c>
      <c r="G197" s="5"/>
      <c r="H197" s="5">
        <v>190</v>
      </c>
      <c r="I197" s="5"/>
      <c r="J197" s="5">
        <v>260</v>
      </c>
      <c r="K197" s="5"/>
      <c r="L197" s="5"/>
      <c r="M197" s="5"/>
      <c r="N197" s="6">
        <f t="shared" si="17"/>
        <v>105</v>
      </c>
      <c r="O197" s="6">
        <f t="shared" si="18"/>
        <v>260</v>
      </c>
      <c r="P197" s="5" t="s">
        <v>6</v>
      </c>
      <c r="Q197" s="5" t="s">
        <v>11</v>
      </c>
      <c r="R197" s="5">
        <f t="shared" si="19"/>
        <v>4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3">
      <c r="A198" s="3">
        <v>44864</v>
      </c>
      <c r="B198" s="4" t="s">
        <v>22</v>
      </c>
      <c r="C198" s="5"/>
      <c r="D198" s="5"/>
      <c r="E198" s="5">
        <v>365</v>
      </c>
      <c r="F198" s="5">
        <v>375</v>
      </c>
      <c r="G198" s="5"/>
      <c r="H198" s="5"/>
      <c r="I198" s="5"/>
      <c r="J198" s="5">
        <v>460</v>
      </c>
      <c r="K198" s="5"/>
      <c r="L198" s="5">
        <v>465</v>
      </c>
      <c r="M198" s="5"/>
      <c r="N198" s="6">
        <f t="shared" si="17"/>
        <v>365</v>
      </c>
      <c r="O198" s="6">
        <f t="shared" si="18"/>
        <v>465</v>
      </c>
      <c r="P198" s="5" t="s">
        <v>5</v>
      </c>
      <c r="Q198" s="5" t="s">
        <v>13</v>
      </c>
      <c r="R198" s="5">
        <f t="shared" si="19"/>
        <v>4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3">
      <c r="A199" s="3">
        <v>44870</v>
      </c>
      <c r="B199" s="4" t="s">
        <v>24</v>
      </c>
      <c r="C199" s="5"/>
      <c r="D199" s="5"/>
      <c r="E199" s="5"/>
      <c r="F199" s="5">
        <v>430</v>
      </c>
      <c r="G199" s="5"/>
      <c r="H199" s="5"/>
      <c r="I199" s="5">
        <v>470</v>
      </c>
      <c r="J199" s="5">
        <v>220</v>
      </c>
      <c r="K199" s="5">
        <v>495</v>
      </c>
      <c r="L199" s="5"/>
      <c r="M199" s="5"/>
      <c r="N199" s="6">
        <f t="shared" si="17"/>
        <v>220</v>
      </c>
      <c r="O199" s="6">
        <f t="shared" si="18"/>
        <v>495</v>
      </c>
      <c r="P199" s="5" t="s">
        <v>11</v>
      </c>
      <c r="Q199" s="5" t="s">
        <v>12</v>
      </c>
      <c r="R199" s="5">
        <f t="shared" si="19"/>
        <v>4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3">
      <c r="A200" s="3">
        <v>44871</v>
      </c>
      <c r="B200" s="4" t="s">
        <v>20</v>
      </c>
      <c r="C200" s="5" t="s">
        <v>21</v>
      </c>
      <c r="D200" s="5"/>
      <c r="E200" s="5">
        <v>115</v>
      </c>
      <c r="F200" s="5">
        <v>105</v>
      </c>
      <c r="G200" s="5"/>
      <c r="H200" s="5"/>
      <c r="I200" s="5"/>
      <c r="J200" s="5">
        <v>580</v>
      </c>
      <c r="K200" s="5"/>
      <c r="L200" s="5"/>
      <c r="M200" s="5"/>
      <c r="N200" s="6">
        <f t="shared" si="17"/>
        <v>105</v>
      </c>
      <c r="O200" s="6">
        <f t="shared" si="18"/>
        <v>580</v>
      </c>
      <c r="P200" s="5" t="s">
        <v>6</v>
      </c>
      <c r="Q200" s="5" t="s">
        <v>11</v>
      </c>
      <c r="R200" s="5">
        <f t="shared" si="19"/>
        <v>3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3">
      <c r="A201" s="3">
        <v>44875</v>
      </c>
      <c r="B201" s="4" t="s">
        <v>22</v>
      </c>
      <c r="C201" s="5"/>
      <c r="D201" s="5"/>
      <c r="E201" s="5">
        <v>405</v>
      </c>
      <c r="F201" s="5">
        <v>470</v>
      </c>
      <c r="G201" s="5">
        <v>300</v>
      </c>
      <c r="H201" s="5"/>
      <c r="I201" s="5"/>
      <c r="J201" s="5">
        <v>605</v>
      </c>
      <c r="K201" s="5"/>
      <c r="L201" s="5"/>
      <c r="M201" s="5"/>
      <c r="N201" s="6">
        <f t="shared" si="17"/>
        <v>300</v>
      </c>
      <c r="O201" s="6">
        <f t="shared" si="18"/>
        <v>605</v>
      </c>
      <c r="P201" s="5" t="s">
        <v>7</v>
      </c>
      <c r="Q201" s="5" t="s">
        <v>11</v>
      </c>
      <c r="R201" s="5">
        <f t="shared" si="19"/>
        <v>4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3">
      <c r="A202" s="3">
        <v>44878</v>
      </c>
      <c r="B202" s="4" t="s">
        <v>22</v>
      </c>
      <c r="C202" s="5"/>
      <c r="D202" s="5"/>
      <c r="E202" s="5">
        <v>425</v>
      </c>
      <c r="F202" s="5">
        <v>885</v>
      </c>
      <c r="G202" s="5">
        <v>340</v>
      </c>
      <c r="H202" s="5"/>
      <c r="I202" s="5"/>
      <c r="J202" s="5">
        <v>350</v>
      </c>
      <c r="K202" s="5"/>
      <c r="L202" s="5">
        <v>825</v>
      </c>
      <c r="M202" s="5"/>
      <c r="N202" s="6">
        <f t="shared" si="17"/>
        <v>340</v>
      </c>
      <c r="O202" s="6">
        <f t="shared" si="18"/>
        <v>885</v>
      </c>
      <c r="P202" s="5" t="s">
        <v>7</v>
      </c>
      <c r="Q202" s="5" t="s">
        <v>6</v>
      </c>
      <c r="R202" s="5">
        <f t="shared" si="19"/>
        <v>5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3">
      <c r="A203" s="3">
        <v>44880</v>
      </c>
      <c r="B203" s="4" t="s">
        <v>20</v>
      </c>
      <c r="C203" s="5" t="s">
        <v>21</v>
      </c>
      <c r="D203" s="5"/>
      <c r="E203" s="5"/>
      <c r="F203" s="5">
        <v>240</v>
      </c>
      <c r="G203" s="5"/>
      <c r="H203" s="5"/>
      <c r="I203" s="5"/>
      <c r="J203" s="5">
        <v>285</v>
      </c>
      <c r="K203" s="5">
        <v>90</v>
      </c>
      <c r="L203" s="5"/>
      <c r="M203" s="5"/>
      <c r="N203" s="6">
        <f t="shared" si="17"/>
        <v>90</v>
      </c>
      <c r="O203" s="6">
        <f t="shared" si="18"/>
        <v>285</v>
      </c>
      <c r="P203" s="5" t="s">
        <v>12</v>
      </c>
      <c r="Q203" s="5" t="s">
        <v>11</v>
      </c>
      <c r="R203" s="5">
        <f t="shared" si="19"/>
        <v>3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3">
      <c r="A204" s="3">
        <v>44896</v>
      </c>
      <c r="B204" s="4" t="s">
        <v>22</v>
      </c>
      <c r="C204" s="5"/>
      <c r="D204" s="5"/>
      <c r="E204" s="5">
        <v>225</v>
      </c>
      <c r="F204" s="5">
        <v>615</v>
      </c>
      <c r="G204" s="5">
        <v>450</v>
      </c>
      <c r="H204" s="5"/>
      <c r="I204" s="5"/>
      <c r="J204" s="5">
        <v>210</v>
      </c>
      <c r="K204" s="5"/>
      <c r="L204" s="5"/>
      <c r="M204" s="5"/>
      <c r="N204" s="6">
        <f t="shared" si="17"/>
        <v>210</v>
      </c>
      <c r="O204" s="6">
        <f t="shared" si="18"/>
        <v>615</v>
      </c>
      <c r="P204" s="5" t="s">
        <v>11</v>
      </c>
      <c r="Q204" s="5" t="s">
        <v>6</v>
      </c>
      <c r="R204" s="5">
        <f t="shared" si="19"/>
        <v>4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3">
      <c r="A205" s="3">
        <v>44903</v>
      </c>
      <c r="B205" s="4" t="s">
        <v>22</v>
      </c>
      <c r="C205" s="5"/>
      <c r="D205" s="5"/>
      <c r="E205" s="5">
        <v>340</v>
      </c>
      <c r="F205" s="5">
        <v>200</v>
      </c>
      <c r="G205" s="5">
        <v>570</v>
      </c>
      <c r="H205" s="5"/>
      <c r="I205" s="5"/>
      <c r="J205" s="5">
        <v>260</v>
      </c>
      <c r="K205" s="5"/>
      <c r="L205" s="5"/>
      <c r="M205" s="5"/>
      <c r="N205" s="6">
        <f t="shared" si="17"/>
        <v>200</v>
      </c>
      <c r="O205" s="6">
        <f t="shared" si="18"/>
        <v>570</v>
      </c>
      <c r="P205" s="5" t="s">
        <v>6</v>
      </c>
      <c r="Q205" s="5" t="s">
        <v>7</v>
      </c>
      <c r="R205" s="5">
        <f t="shared" si="19"/>
        <v>4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3">
      <c r="A206" s="3">
        <v>44927</v>
      </c>
      <c r="B206" s="4" t="s">
        <v>22</v>
      </c>
      <c r="C206" s="5"/>
      <c r="D206" s="5"/>
      <c r="E206" s="5">
        <v>45</v>
      </c>
      <c r="F206" s="5">
        <v>45</v>
      </c>
      <c r="G206" s="5">
        <v>115</v>
      </c>
      <c r="H206" s="5"/>
      <c r="I206" s="5"/>
      <c r="J206" s="5">
        <v>125</v>
      </c>
      <c r="K206" s="5"/>
      <c r="L206" s="5"/>
      <c r="M206" s="5"/>
      <c r="N206" s="6">
        <f t="shared" si="17"/>
        <v>45</v>
      </c>
      <c r="O206" s="6">
        <f t="shared" si="18"/>
        <v>125</v>
      </c>
      <c r="P206" s="5" t="s">
        <v>5</v>
      </c>
      <c r="Q206" s="5" t="s">
        <v>11</v>
      </c>
      <c r="R206" s="5">
        <f t="shared" si="19"/>
        <v>4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3">
      <c r="A207" s="3">
        <v>44933</v>
      </c>
      <c r="B207" s="4" t="s">
        <v>22</v>
      </c>
      <c r="C207" s="5"/>
      <c r="D207" s="5"/>
      <c r="E207" s="5">
        <v>590</v>
      </c>
      <c r="F207" s="5"/>
      <c r="G207" s="5">
        <v>625</v>
      </c>
      <c r="H207" s="5">
        <v>420</v>
      </c>
      <c r="I207" s="5"/>
      <c r="J207" s="5"/>
      <c r="K207" s="5"/>
      <c r="L207" s="5">
        <v>390</v>
      </c>
      <c r="M207" s="5"/>
      <c r="N207" s="6">
        <f t="shared" si="17"/>
        <v>390</v>
      </c>
      <c r="O207" s="6">
        <f t="shared" si="18"/>
        <v>625</v>
      </c>
      <c r="P207" s="5" t="s">
        <v>13</v>
      </c>
      <c r="Q207" s="5" t="s">
        <v>7</v>
      </c>
      <c r="R207" s="5">
        <f t="shared" si="19"/>
        <v>4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3">
      <c r="A208" s="3">
        <v>44938</v>
      </c>
      <c r="B208" s="4" t="s">
        <v>22</v>
      </c>
      <c r="C208" s="5"/>
      <c r="D208" s="5"/>
      <c r="E208" s="5">
        <v>305</v>
      </c>
      <c r="F208" s="5">
        <v>540</v>
      </c>
      <c r="G208" s="5">
        <v>310</v>
      </c>
      <c r="H208" s="5"/>
      <c r="I208" s="5"/>
      <c r="J208" s="5">
        <v>600</v>
      </c>
      <c r="K208" s="5"/>
      <c r="L208" s="5"/>
      <c r="M208" s="5"/>
      <c r="N208" s="6">
        <f t="shared" si="17"/>
        <v>305</v>
      </c>
      <c r="O208" s="6">
        <f t="shared" si="18"/>
        <v>600</v>
      </c>
      <c r="P208" s="5" t="s">
        <v>5</v>
      </c>
      <c r="Q208" s="5" t="s">
        <v>11</v>
      </c>
      <c r="R208" s="5">
        <f t="shared" si="19"/>
        <v>4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3">
      <c r="A209" s="3">
        <v>44945</v>
      </c>
      <c r="B209" s="4" t="s">
        <v>22</v>
      </c>
      <c r="C209" s="5"/>
      <c r="D209" s="5"/>
      <c r="E209" s="5">
        <v>540</v>
      </c>
      <c r="F209" s="5">
        <v>270</v>
      </c>
      <c r="G209" s="5">
        <v>615</v>
      </c>
      <c r="H209" s="5"/>
      <c r="I209" s="5"/>
      <c r="J209" s="5">
        <v>155</v>
      </c>
      <c r="K209" s="5"/>
      <c r="L209" s="5"/>
      <c r="M209" s="5"/>
      <c r="N209" s="6">
        <f t="shared" si="17"/>
        <v>155</v>
      </c>
      <c r="O209" s="6">
        <f t="shared" si="18"/>
        <v>615</v>
      </c>
      <c r="P209" s="5" t="s">
        <v>11</v>
      </c>
      <c r="Q209" s="5" t="s">
        <v>7</v>
      </c>
      <c r="R209" s="5">
        <f t="shared" si="19"/>
        <v>4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3">
      <c r="A210" s="3">
        <v>44954</v>
      </c>
      <c r="B210" s="4" t="s">
        <v>22</v>
      </c>
      <c r="C210" s="5"/>
      <c r="D210" s="5"/>
      <c r="E210" s="5">
        <v>490</v>
      </c>
      <c r="F210" s="5">
        <v>505</v>
      </c>
      <c r="G210" s="5"/>
      <c r="H210" s="5">
        <v>270</v>
      </c>
      <c r="I210" s="5"/>
      <c r="J210" s="5"/>
      <c r="K210" s="5"/>
      <c r="L210" s="5">
        <v>425</v>
      </c>
      <c r="M210" s="5"/>
      <c r="N210" s="6">
        <f t="shared" si="17"/>
        <v>270</v>
      </c>
      <c r="O210" s="6">
        <f t="shared" si="18"/>
        <v>505</v>
      </c>
      <c r="P210" s="5" t="s">
        <v>8</v>
      </c>
      <c r="Q210" s="5" t="s">
        <v>6</v>
      </c>
      <c r="R210" s="5">
        <f t="shared" si="19"/>
        <v>4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3">
      <c r="A211" s="3">
        <v>44961</v>
      </c>
      <c r="B211" s="4" t="s">
        <v>22</v>
      </c>
      <c r="C211" s="5"/>
      <c r="D211" s="5"/>
      <c r="E211" s="5">
        <v>470</v>
      </c>
      <c r="F211" s="5">
        <v>445</v>
      </c>
      <c r="G211" s="5"/>
      <c r="H211" s="5"/>
      <c r="I211" s="5"/>
      <c r="J211" s="5">
        <v>440</v>
      </c>
      <c r="K211" s="5"/>
      <c r="L211" s="5">
        <v>660</v>
      </c>
      <c r="M211" s="5"/>
      <c r="N211" s="6">
        <f t="shared" si="17"/>
        <v>440</v>
      </c>
      <c r="O211" s="6">
        <f t="shared" si="18"/>
        <v>660</v>
      </c>
      <c r="P211" s="5" t="s">
        <v>11</v>
      </c>
      <c r="Q211" s="5" t="s">
        <v>13</v>
      </c>
      <c r="R211" s="5">
        <f t="shared" si="19"/>
        <v>4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3">
      <c r="A212" s="3">
        <v>44966</v>
      </c>
      <c r="B212" s="4" t="s">
        <v>22</v>
      </c>
      <c r="C212" s="5"/>
      <c r="D212" s="5"/>
      <c r="E212" s="5">
        <v>750</v>
      </c>
      <c r="F212" s="5">
        <v>310</v>
      </c>
      <c r="G212" s="5">
        <v>330</v>
      </c>
      <c r="H212" s="5"/>
      <c r="I212" s="5"/>
      <c r="J212" s="5">
        <v>605</v>
      </c>
      <c r="K212" s="5"/>
      <c r="L212" s="5"/>
      <c r="M212" s="5"/>
      <c r="N212" s="6">
        <f t="shared" si="17"/>
        <v>310</v>
      </c>
      <c r="O212" s="6">
        <f t="shared" si="18"/>
        <v>750</v>
      </c>
      <c r="P212" s="5" t="s">
        <v>6</v>
      </c>
      <c r="Q212" s="5" t="s">
        <v>5</v>
      </c>
      <c r="R212" s="5">
        <f t="shared" si="19"/>
        <v>4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3">
      <c r="A213" s="3">
        <v>44968</v>
      </c>
      <c r="B213" s="4" t="s">
        <v>22</v>
      </c>
      <c r="C213" s="5"/>
      <c r="D213" s="5"/>
      <c r="E213" s="5">
        <v>405</v>
      </c>
      <c r="F213" s="5">
        <v>175</v>
      </c>
      <c r="G213" s="5"/>
      <c r="H213" s="5"/>
      <c r="I213" s="5"/>
      <c r="J213" s="5">
        <v>285</v>
      </c>
      <c r="K213" s="5"/>
      <c r="L213" s="5">
        <v>495</v>
      </c>
      <c r="M213" s="5"/>
      <c r="N213" s="6">
        <f t="shared" si="17"/>
        <v>175</v>
      </c>
      <c r="O213" s="6">
        <f t="shared" si="18"/>
        <v>495</v>
      </c>
      <c r="P213" s="5" t="s">
        <v>6</v>
      </c>
      <c r="Q213" s="5" t="s">
        <v>13</v>
      </c>
      <c r="R213" s="5">
        <f t="shared" si="19"/>
        <v>4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3">
      <c r="A214" s="3">
        <v>44989</v>
      </c>
      <c r="B214" s="4" t="s">
        <v>20</v>
      </c>
      <c r="C214" s="5"/>
      <c r="D214" s="5"/>
      <c r="E214" s="5">
        <v>255</v>
      </c>
      <c r="F214" s="5">
        <v>240</v>
      </c>
      <c r="G214" s="5"/>
      <c r="H214" s="5"/>
      <c r="I214" s="5"/>
      <c r="J214" s="5">
        <v>270</v>
      </c>
      <c r="K214" s="5"/>
      <c r="L214" s="5"/>
      <c r="M214" s="5"/>
      <c r="N214" s="6">
        <f t="shared" si="17"/>
        <v>240</v>
      </c>
      <c r="O214" s="6">
        <f t="shared" si="18"/>
        <v>270</v>
      </c>
      <c r="P214" s="5" t="s">
        <v>6</v>
      </c>
      <c r="Q214" s="5" t="s">
        <v>11</v>
      </c>
      <c r="R214" s="5">
        <f t="shared" si="19"/>
        <v>3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3">
      <c r="A215" s="3">
        <v>44990</v>
      </c>
      <c r="B215" s="4" t="s">
        <v>20</v>
      </c>
      <c r="C215" s="5"/>
      <c r="D215" s="5"/>
      <c r="E215" s="5">
        <v>530</v>
      </c>
      <c r="F215" s="5">
        <v>680</v>
      </c>
      <c r="G215" s="5">
        <v>395</v>
      </c>
      <c r="H215" s="5"/>
      <c r="I215" s="5"/>
      <c r="J215" s="5">
        <v>760</v>
      </c>
      <c r="K215" s="5"/>
      <c r="L215" s="5">
        <v>840</v>
      </c>
      <c r="M215" s="5"/>
      <c r="N215" s="6">
        <f t="shared" si="17"/>
        <v>395</v>
      </c>
      <c r="O215" s="6">
        <f t="shared" si="18"/>
        <v>840</v>
      </c>
      <c r="P215" s="5" t="s">
        <v>7</v>
      </c>
      <c r="Q215" s="5" t="s">
        <v>13</v>
      </c>
      <c r="R215" s="5">
        <f t="shared" si="19"/>
        <v>5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3">
      <c r="A216" s="3">
        <v>44996</v>
      </c>
      <c r="B216" s="4" t="s">
        <v>20</v>
      </c>
      <c r="C216" s="5"/>
      <c r="D216" s="5"/>
      <c r="E216" s="5">
        <v>265</v>
      </c>
      <c r="F216" s="5">
        <v>260</v>
      </c>
      <c r="G216" s="5">
        <v>380</v>
      </c>
      <c r="H216" s="5"/>
      <c r="I216" s="5"/>
      <c r="J216" s="5">
        <v>130</v>
      </c>
      <c r="K216" s="5"/>
      <c r="L216" s="5"/>
      <c r="M216" s="5"/>
      <c r="N216" s="6">
        <f t="shared" si="17"/>
        <v>130</v>
      </c>
      <c r="O216" s="6">
        <f t="shared" si="18"/>
        <v>380</v>
      </c>
      <c r="P216" s="5" t="s">
        <v>11</v>
      </c>
      <c r="Q216" s="5" t="s">
        <v>7</v>
      </c>
      <c r="R216" s="5">
        <f t="shared" si="19"/>
        <v>4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3">
      <c r="A217" s="3">
        <v>44999</v>
      </c>
      <c r="B217" s="4" t="s">
        <v>20</v>
      </c>
      <c r="C217" s="5"/>
      <c r="D217" s="5"/>
      <c r="E217" s="5">
        <v>650</v>
      </c>
      <c r="F217" s="5">
        <v>240</v>
      </c>
      <c r="G217" s="5">
        <v>225</v>
      </c>
      <c r="H217" s="5"/>
      <c r="I217" s="5"/>
      <c r="J217" s="5">
        <v>465</v>
      </c>
      <c r="K217" s="5"/>
      <c r="L217" s="5"/>
      <c r="M217" s="5"/>
      <c r="N217" s="6">
        <f t="shared" si="17"/>
        <v>225</v>
      </c>
      <c r="O217" s="6">
        <f t="shared" si="18"/>
        <v>650</v>
      </c>
      <c r="P217" s="5" t="s">
        <v>7</v>
      </c>
      <c r="Q217" s="5" t="s">
        <v>5</v>
      </c>
      <c r="R217" s="5">
        <f t="shared" si="19"/>
        <v>4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3">
      <c r="A218" s="3">
        <v>45001</v>
      </c>
      <c r="B218" s="4" t="s">
        <v>20</v>
      </c>
      <c r="C218" s="5"/>
      <c r="D218" s="5"/>
      <c r="E218" s="5">
        <v>160</v>
      </c>
      <c r="F218" s="5">
        <v>345</v>
      </c>
      <c r="G218" s="5">
        <v>630</v>
      </c>
      <c r="H218" s="5"/>
      <c r="I218" s="5"/>
      <c r="J218" s="5">
        <v>740</v>
      </c>
      <c r="K218" s="5"/>
      <c r="L218" s="5"/>
      <c r="M218" s="5"/>
      <c r="N218" s="6">
        <f t="shared" si="17"/>
        <v>160</v>
      </c>
      <c r="O218" s="6">
        <f t="shared" si="18"/>
        <v>740</v>
      </c>
      <c r="P218" s="5" t="s">
        <v>5</v>
      </c>
      <c r="Q218" s="5" t="s">
        <v>11</v>
      </c>
      <c r="R218" s="5">
        <f t="shared" si="19"/>
        <v>4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3">
      <c r="A219" s="3">
        <v>45003</v>
      </c>
      <c r="B219" s="4" t="s">
        <v>20</v>
      </c>
      <c r="C219" s="5"/>
      <c r="D219" s="5"/>
      <c r="E219" s="5">
        <v>440</v>
      </c>
      <c r="F219" s="5">
        <v>195</v>
      </c>
      <c r="G219" s="5"/>
      <c r="H219" s="5"/>
      <c r="I219" s="5"/>
      <c r="J219" s="5">
        <v>575</v>
      </c>
      <c r="K219" s="5">
        <v>705</v>
      </c>
      <c r="L219" s="5">
        <v>705</v>
      </c>
      <c r="M219" s="5"/>
      <c r="N219" s="6">
        <f t="shared" si="17"/>
        <v>195</v>
      </c>
      <c r="O219" s="6">
        <f t="shared" si="18"/>
        <v>705</v>
      </c>
      <c r="P219" s="5" t="s">
        <v>6</v>
      </c>
      <c r="Q219" s="5" t="s">
        <v>12</v>
      </c>
      <c r="R219" s="5">
        <f t="shared" si="19"/>
        <v>5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3">
      <c r="A220" s="3">
        <v>45008</v>
      </c>
      <c r="B220" s="4" t="s">
        <v>20</v>
      </c>
      <c r="C220" s="5"/>
      <c r="D220" s="5"/>
      <c r="E220" s="5">
        <v>450</v>
      </c>
      <c r="F220" s="5">
        <v>345</v>
      </c>
      <c r="G220" s="5">
        <v>610</v>
      </c>
      <c r="H220" s="5"/>
      <c r="I220" s="5"/>
      <c r="J220" s="5">
        <v>840</v>
      </c>
      <c r="K220" s="5">
        <v>595</v>
      </c>
      <c r="L220" s="5"/>
      <c r="M220" s="5"/>
      <c r="N220" s="6">
        <f t="shared" si="17"/>
        <v>345</v>
      </c>
      <c r="O220" s="6">
        <f t="shared" si="18"/>
        <v>840</v>
      </c>
      <c r="P220" s="5" t="s">
        <v>6</v>
      </c>
      <c r="Q220" s="5" t="s">
        <v>11</v>
      </c>
      <c r="R220" s="5">
        <f t="shared" si="19"/>
        <v>5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3">
      <c r="A221" s="3">
        <v>45008</v>
      </c>
      <c r="B221" s="4" t="s">
        <v>20</v>
      </c>
      <c r="C221" s="5"/>
      <c r="D221" s="5"/>
      <c r="E221" s="5">
        <v>175</v>
      </c>
      <c r="F221" s="5">
        <v>340</v>
      </c>
      <c r="G221" s="5">
        <v>425</v>
      </c>
      <c r="H221" s="5"/>
      <c r="I221" s="5"/>
      <c r="J221" s="5">
        <v>320</v>
      </c>
      <c r="K221" s="5"/>
      <c r="L221" s="5"/>
      <c r="M221" s="5"/>
      <c r="N221" s="6">
        <f t="shared" si="17"/>
        <v>175</v>
      </c>
      <c r="O221" s="6">
        <f t="shared" si="18"/>
        <v>425</v>
      </c>
      <c r="P221" s="5" t="s">
        <v>5</v>
      </c>
      <c r="Q221" s="5" t="s">
        <v>7</v>
      </c>
      <c r="R221" s="5">
        <f t="shared" si="19"/>
        <v>4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3">
      <c r="A222" s="3">
        <v>45010</v>
      </c>
      <c r="B222" s="4" t="s">
        <v>20</v>
      </c>
      <c r="C222" s="5"/>
      <c r="D222" s="5"/>
      <c r="E222" s="5">
        <v>465</v>
      </c>
      <c r="F222" s="5"/>
      <c r="G222" s="5"/>
      <c r="H222" s="5"/>
      <c r="I222" s="5"/>
      <c r="J222" s="5">
        <v>205</v>
      </c>
      <c r="K222" s="5">
        <v>370</v>
      </c>
      <c r="L222" s="5"/>
      <c r="M222" s="5"/>
      <c r="N222" s="6">
        <f t="shared" si="17"/>
        <v>205</v>
      </c>
      <c r="O222" s="6">
        <f t="shared" si="18"/>
        <v>465</v>
      </c>
      <c r="P222" s="5" t="s">
        <v>11</v>
      </c>
      <c r="Q222" s="5" t="s">
        <v>5</v>
      </c>
      <c r="R222" s="5">
        <f t="shared" si="19"/>
        <v>3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3">
      <c r="A223" s="3">
        <v>45022</v>
      </c>
      <c r="B223" s="4" t="s">
        <v>20</v>
      </c>
      <c r="C223" s="5"/>
      <c r="D223" s="5"/>
      <c r="E223" s="5">
        <v>350</v>
      </c>
      <c r="F223" s="5">
        <v>340</v>
      </c>
      <c r="G223" s="5">
        <v>370</v>
      </c>
      <c r="H223" s="5"/>
      <c r="I223" s="5"/>
      <c r="J223" s="5">
        <v>290</v>
      </c>
      <c r="K223" s="5"/>
      <c r="L223" s="5"/>
      <c r="M223" s="5"/>
      <c r="N223" s="6">
        <f t="shared" si="17"/>
        <v>290</v>
      </c>
      <c r="O223" s="6">
        <f t="shared" si="18"/>
        <v>370</v>
      </c>
      <c r="P223" s="5" t="s">
        <v>11</v>
      </c>
      <c r="Q223" s="5" t="s">
        <v>7</v>
      </c>
      <c r="R223" s="5">
        <f t="shared" si="19"/>
        <v>4</v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3">
      <c r="A224" s="3">
        <v>45025</v>
      </c>
      <c r="B224" s="4" t="s">
        <v>30</v>
      </c>
      <c r="C224" s="5"/>
      <c r="D224" s="5"/>
      <c r="E224" s="5">
        <v>635</v>
      </c>
      <c r="F224" s="5">
        <v>440</v>
      </c>
      <c r="G224" s="5"/>
      <c r="H224" s="5"/>
      <c r="I224" s="5"/>
      <c r="J224" s="5">
        <v>645</v>
      </c>
      <c r="K224" s="5"/>
      <c r="L224" s="5"/>
      <c r="M224" s="5"/>
      <c r="N224" s="6">
        <f t="shared" si="17"/>
        <v>440</v>
      </c>
      <c r="O224" s="6">
        <f t="shared" si="18"/>
        <v>645</v>
      </c>
      <c r="P224" s="5" t="s">
        <v>6</v>
      </c>
      <c r="Q224" s="5" t="s">
        <v>11</v>
      </c>
      <c r="R224" s="5">
        <f t="shared" si="19"/>
        <v>3</v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 ht="13">
      <c r="A225" s="3">
        <v>45027</v>
      </c>
      <c r="B225" s="4" t="s">
        <v>22</v>
      </c>
      <c r="C225" s="5"/>
      <c r="D225" s="5"/>
      <c r="E225" s="5">
        <v>365</v>
      </c>
      <c r="F225" s="5">
        <v>290</v>
      </c>
      <c r="G225" s="5"/>
      <c r="H225" s="5">
        <v>370</v>
      </c>
      <c r="I225" s="5"/>
      <c r="J225" s="5"/>
      <c r="K225" s="5"/>
      <c r="L225" s="5"/>
      <c r="M225" s="5"/>
      <c r="N225" s="6">
        <f t="shared" si="17"/>
        <v>290</v>
      </c>
      <c r="O225" s="6">
        <f t="shared" si="18"/>
        <v>370</v>
      </c>
      <c r="P225" s="5" t="s">
        <v>6</v>
      </c>
      <c r="Q225" s="5" t="s">
        <v>8</v>
      </c>
      <c r="R225" s="5">
        <f t="shared" si="19"/>
        <v>3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ht="13">
      <c r="A226" s="3">
        <v>45029</v>
      </c>
      <c r="B226" s="4" t="s">
        <v>20</v>
      </c>
      <c r="C226" s="5"/>
      <c r="D226" s="5"/>
      <c r="E226" s="5">
        <v>495</v>
      </c>
      <c r="F226" s="5">
        <v>350</v>
      </c>
      <c r="G226" s="5">
        <v>585</v>
      </c>
      <c r="H226" s="5"/>
      <c r="I226" s="5"/>
      <c r="J226" s="5">
        <v>85</v>
      </c>
      <c r="K226" s="5"/>
      <c r="L226" s="5"/>
      <c r="M226" s="5"/>
      <c r="N226" s="6">
        <f t="shared" si="17"/>
        <v>85</v>
      </c>
      <c r="O226" s="6">
        <f t="shared" si="18"/>
        <v>585</v>
      </c>
      <c r="P226" s="5" t="s">
        <v>11</v>
      </c>
      <c r="Q226" s="5" t="s">
        <v>7</v>
      </c>
      <c r="R226" s="5">
        <f t="shared" si="19"/>
        <v>4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 ht="13">
      <c r="A227" s="3">
        <v>45031</v>
      </c>
      <c r="B227" s="4" t="s">
        <v>22</v>
      </c>
      <c r="C227" s="5"/>
      <c r="D227" s="5"/>
      <c r="E227" s="5">
        <v>235</v>
      </c>
      <c r="F227" s="5">
        <v>365</v>
      </c>
      <c r="G227" s="5">
        <v>320</v>
      </c>
      <c r="H227" s="5"/>
      <c r="I227" s="5"/>
      <c r="J227" s="5">
        <v>690</v>
      </c>
      <c r="K227" s="5"/>
      <c r="L227" s="5">
        <v>390</v>
      </c>
      <c r="M227" s="5"/>
      <c r="N227" s="6">
        <f t="shared" si="17"/>
        <v>235</v>
      </c>
      <c r="O227" s="6">
        <f t="shared" si="18"/>
        <v>690</v>
      </c>
      <c r="P227" s="5" t="s">
        <v>5</v>
      </c>
      <c r="Q227" s="5" t="s">
        <v>11</v>
      </c>
      <c r="R227" s="5">
        <f t="shared" si="19"/>
        <v>5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ht="13">
      <c r="A228" s="3">
        <v>45031</v>
      </c>
      <c r="B228" s="4" t="s">
        <v>20</v>
      </c>
      <c r="C228" s="5"/>
      <c r="D228" s="5"/>
      <c r="E228" s="5">
        <v>625</v>
      </c>
      <c r="F228" s="5">
        <v>570</v>
      </c>
      <c r="G228" s="5">
        <v>525</v>
      </c>
      <c r="H228" s="5"/>
      <c r="I228" s="5"/>
      <c r="J228" s="5">
        <v>495</v>
      </c>
      <c r="K228" s="5"/>
      <c r="L228" s="5">
        <v>660</v>
      </c>
      <c r="M228" s="5"/>
      <c r="N228" s="6">
        <f t="shared" si="17"/>
        <v>495</v>
      </c>
      <c r="O228" s="6">
        <f t="shared" si="18"/>
        <v>660</v>
      </c>
      <c r="P228" s="5" t="s">
        <v>11</v>
      </c>
      <c r="Q228" s="5" t="s">
        <v>13</v>
      </c>
      <c r="R228" s="5">
        <f t="shared" si="19"/>
        <v>5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 ht="13">
      <c r="A229" s="3">
        <v>45043</v>
      </c>
      <c r="B229" s="4" t="s">
        <v>20</v>
      </c>
      <c r="C229" s="5"/>
      <c r="D229" s="5"/>
      <c r="E229" s="5">
        <v>530</v>
      </c>
      <c r="F229" s="5">
        <v>150</v>
      </c>
      <c r="G229" s="5">
        <v>400</v>
      </c>
      <c r="H229" s="5"/>
      <c r="I229" s="5"/>
      <c r="J229" s="5">
        <v>365</v>
      </c>
      <c r="K229" s="5"/>
      <c r="L229" s="5"/>
      <c r="M229" s="5"/>
      <c r="N229" s="6">
        <f t="shared" si="17"/>
        <v>150</v>
      </c>
      <c r="O229" s="6">
        <f t="shared" si="18"/>
        <v>530</v>
      </c>
      <c r="P229" s="5" t="s">
        <v>6</v>
      </c>
      <c r="Q229" s="5" t="s">
        <v>5</v>
      </c>
      <c r="R229" s="5">
        <f t="shared" si="19"/>
        <v>4</v>
      </c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ht="13">
      <c r="A230" s="3">
        <v>45045</v>
      </c>
      <c r="B230" s="4" t="s">
        <v>20</v>
      </c>
      <c r="C230" s="5"/>
      <c r="D230" s="5"/>
      <c r="E230" s="5">
        <v>680</v>
      </c>
      <c r="F230" s="5">
        <v>270</v>
      </c>
      <c r="G230" s="5"/>
      <c r="H230" s="5"/>
      <c r="I230" s="5"/>
      <c r="J230" s="5">
        <v>330</v>
      </c>
      <c r="K230" s="5"/>
      <c r="L230" s="5">
        <v>170</v>
      </c>
      <c r="M230" s="5"/>
      <c r="N230" s="6">
        <f t="shared" si="17"/>
        <v>170</v>
      </c>
      <c r="O230" s="6">
        <f t="shared" si="18"/>
        <v>680</v>
      </c>
      <c r="P230" s="5" t="s">
        <v>13</v>
      </c>
      <c r="Q230" s="5" t="s">
        <v>5</v>
      </c>
      <c r="R230" s="5">
        <f t="shared" si="19"/>
        <v>4</v>
      </c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 ht="13">
      <c r="A231" s="3">
        <v>45051</v>
      </c>
      <c r="B231" s="4" t="s">
        <v>22</v>
      </c>
      <c r="C231" s="5"/>
      <c r="D231" s="5"/>
      <c r="E231" s="5">
        <v>585</v>
      </c>
      <c r="F231" s="5">
        <v>605</v>
      </c>
      <c r="G231" s="5"/>
      <c r="H231" s="5"/>
      <c r="I231" s="5"/>
      <c r="J231" s="5">
        <v>230</v>
      </c>
      <c r="K231" s="5"/>
      <c r="L231" s="5">
        <v>630</v>
      </c>
      <c r="M231" s="5"/>
      <c r="N231" s="6">
        <f t="shared" si="17"/>
        <v>230</v>
      </c>
      <c r="O231" s="6">
        <f t="shared" si="18"/>
        <v>630</v>
      </c>
      <c r="P231" s="5" t="s">
        <v>11</v>
      </c>
      <c r="Q231" s="5" t="s">
        <v>13</v>
      </c>
      <c r="R231" s="5">
        <f t="shared" si="19"/>
        <v>4</v>
      </c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ht="13">
      <c r="A232" s="3">
        <v>45057</v>
      </c>
      <c r="B232" s="4" t="s">
        <v>20</v>
      </c>
      <c r="C232" s="5"/>
      <c r="D232" s="5"/>
      <c r="E232" s="5">
        <v>220</v>
      </c>
      <c r="F232" s="5">
        <v>170</v>
      </c>
      <c r="G232" s="5">
        <v>595</v>
      </c>
      <c r="H232" s="5"/>
      <c r="I232" s="5"/>
      <c r="J232" s="5">
        <v>310</v>
      </c>
      <c r="K232" s="5"/>
      <c r="L232" s="5"/>
      <c r="M232" s="5"/>
      <c r="N232" s="6">
        <f t="shared" si="17"/>
        <v>170</v>
      </c>
      <c r="O232" s="6">
        <f t="shared" si="18"/>
        <v>595</v>
      </c>
      <c r="P232" s="5" t="s">
        <v>6</v>
      </c>
      <c r="Q232" s="5" t="s">
        <v>7</v>
      </c>
      <c r="R232" s="5">
        <f t="shared" si="19"/>
        <v>4</v>
      </c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 ht="13">
      <c r="A233" s="3">
        <v>45066</v>
      </c>
      <c r="B233" s="4" t="s">
        <v>32</v>
      </c>
      <c r="C233" s="5"/>
      <c r="D233" s="5"/>
      <c r="E233" s="5">
        <v>225</v>
      </c>
      <c r="F233" s="5">
        <v>290</v>
      </c>
      <c r="G233" s="5"/>
      <c r="H233" s="5"/>
      <c r="I233" s="5"/>
      <c r="J233" s="5">
        <v>225</v>
      </c>
      <c r="K233" s="5"/>
      <c r="L233" s="5">
        <v>275</v>
      </c>
      <c r="M233" s="5"/>
      <c r="N233" s="6">
        <f t="shared" si="17"/>
        <v>225</v>
      </c>
      <c r="O233" s="6">
        <f t="shared" si="18"/>
        <v>290</v>
      </c>
      <c r="P233" s="5" t="s">
        <v>5</v>
      </c>
      <c r="Q233" s="5" t="s">
        <v>6</v>
      </c>
      <c r="R233" s="5">
        <f t="shared" si="19"/>
        <v>4</v>
      </c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ht="13">
      <c r="A234" s="3">
        <v>45071</v>
      </c>
      <c r="B234" s="4" t="s">
        <v>20</v>
      </c>
      <c r="C234" s="5"/>
      <c r="D234" s="5"/>
      <c r="E234" s="5">
        <v>335</v>
      </c>
      <c r="F234" s="5">
        <v>635</v>
      </c>
      <c r="G234" s="5">
        <v>570</v>
      </c>
      <c r="H234" s="5"/>
      <c r="I234" s="5"/>
      <c r="J234" s="5">
        <v>365</v>
      </c>
      <c r="K234" s="5">
        <v>560</v>
      </c>
      <c r="L234" s="5"/>
      <c r="M234" s="5"/>
      <c r="N234" s="6">
        <f t="shared" si="17"/>
        <v>335</v>
      </c>
      <c r="O234" s="6">
        <f t="shared" si="18"/>
        <v>635</v>
      </c>
      <c r="P234" s="5" t="s">
        <v>5</v>
      </c>
      <c r="Q234" s="5" t="s">
        <v>6</v>
      </c>
      <c r="R234" s="5">
        <f t="shared" si="19"/>
        <v>5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 ht="13">
      <c r="A235" s="3">
        <v>45073</v>
      </c>
      <c r="B235" s="4" t="s">
        <v>33</v>
      </c>
      <c r="C235" s="5"/>
      <c r="D235" s="5"/>
      <c r="E235" s="5"/>
      <c r="F235" s="5">
        <v>115</v>
      </c>
      <c r="G235" s="5"/>
      <c r="H235" s="5"/>
      <c r="I235" s="5"/>
      <c r="J235" s="5">
        <v>630</v>
      </c>
      <c r="K235" s="5">
        <v>680</v>
      </c>
      <c r="L235" s="5"/>
      <c r="M235" s="5"/>
      <c r="N235" s="6">
        <f t="shared" si="17"/>
        <v>115</v>
      </c>
      <c r="O235" s="6">
        <f t="shared" si="18"/>
        <v>680</v>
      </c>
      <c r="P235" s="5" t="s">
        <v>6</v>
      </c>
      <c r="Q235" s="5" t="s">
        <v>12</v>
      </c>
      <c r="R235" s="5">
        <f t="shared" si="19"/>
        <v>3</v>
      </c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ht="13">
      <c r="A236" s="3">
        <v>45074</v>
      </c>
      <c r="B236" s="4" t="s">
        <v>33</v>
      </c>
      <c r="C236" s="5"/>
      <c r="D236" s="5"/>
      <c r="E236" s="5"/>
      <c r="F236" s="5">
        <v>310</v>
      </c>
      <c r="G236" s="5"/>
      <c r="H236" s="5"/>
      <c r="I236" s="5"/>
      <c r="J236" s="5">
        <v>230</v>
      </c>
      <c r="K236" s="5">
        <v>505</v>
      </c>
      <c r="L236" s="5"/>
      <c r="M236" s="5"/>
      <c r="N236" s="6">
        <f t="shared" si="17"/>
        <v>230</v>
      </c>
      <c r="O236" s="6">
        <f t="shared" si="18"/>
        <v>505</v>
      </c>
      <c r="P236" s="5" t="s">
        <v>11</v>
      </c>
      <c r="Q236" s="5" t="s">
        <v>12</v>
      </c>
      <c r="R236" s="5">
        <f t="shared" si="19"/>
        <v>3</v>
      </c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 ht="13">
      <c r="A237" s="3">
        <v>45089</v>
      </c>
      <c r="B237" s="4" t="s">
        <v>31</v>
      </c>
      <c r="C237" s="5"/>
      <c r="D237" s="5"/>
      <c r="E237" s="5">
        <v>625</v>
      </c>
      <c r="F237" s="5">
        <v>310</v>
      </c>
      <c r="G237" s="5">
        <v>710</v>
      </c>
      <c r="H237" s="5"/>
      <c r="I237" s="5"/>
      <c r="J237" s="5">
        <v>290</v>
      </c>
      <c r="K237" s="5"/>
      <c r="L237" s="5"/>
      <c r="M237" s="5"/>
      <c r="N237" s="6">
        <f t="shared" si="17"/>
        <v>290</v>
      </c>
      <c r="O237" s="6">
        <f t="shared" si="18"/>
        <v>710</v>
      </c>
      <c r="P237" s="5" t="s">
        <v>11</v>
      </c>
      <c r="Q237" s="5" t="s">
        <v>7</v>
      </c>
      <c r="R237" s="5">
        <f t="shared" si="19"/>
        <v>4</v>
      </c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ht="13">
      <c r="A238" s="3">
        <v>45092</v>
      </c>
      <c r="B238" s="4" t="s">
        <v>31</v>
      </c>
      <c r="C238" s="5"/>
      <c r="D238" s="5"/>
      <c r="E238" s="5">
        <v>295</v>
      </c>
      <c r="F238" s="5">
        <v>465</v>
      </c>
      <c r="G238" s="5"/>
      <c r="H238" s="5"/>
      <c r="I238" s="5"/>
      <c r="J238" s="5">
        <v>665</v>
      </c>
      <c r="K238" s="5"/>
      <c r="L238" s="5"/>
      <c r="M238" s="5"/>
      <c r="N238" s="6">
        <f t="shared" si="17"/>
        <v>295</v>
      </c>
      <c r="O238" s="6">
        <f t="shared" si="18"/>
        <v>665</v>
      </c>
      <c r="P238" s="5" t="s">
        <v>5</v>
      </c>
      <c r="Q238" s="5" t="s">
        <v>11</v>
      </c>
      <c r="R238" s="5">
        <f t="shared" si="19"/>
        <v>3</v>
      </c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 ht="13">
      <c r="A239" s="3">
        <v>45094</v>
      </c>
      <c r="B239" s="4" t="s">
        <v>31</v>
      </c>
      <c r="C239" s="5"/>
      <c r="D239" s="5"/>
      <c r="E239" s="5">
        <v>225</v>
      </c>
      <c r="F239" s="5">
        <v>190</v>
      </c>
      <c r="G239" s="5"/>
      <c r="H239" s="5">
        <v>335</v>
      </c>
      <c r="I239" s="5"/>
      <c r="J239" s="5">
        <v>335</v>
      </c>
      <c r="K239" s="5"/>
      <c r="L239" s="5"/>
      <c r="M239" s="5"/>
      <c r="N239" s="6">
        <f t="shared" si="17"/>
        <v>190</v>
      </c>
      <c r="O239" s="6">
        <f t="shared" si="18"/>
        <v>335</v>
      </c>
      <c r="P239" s="5" t="s">
        <v>6</v>
      </c>
      <c r="Q239" s="5" t="s">
        <v>8</v>
      </c>
      <c r="R239" s="5">
        <f t="shared" si="19"/>
        <v>4</v>
      </c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ht="13">
      <c r="A240" s="3">
        <v>45099</v>
      </c>
      <c r="B240" s="4" t="s">
        <v>31</v>
      </c>
      <c r="C240" s="5"/>
      <c r="D240" s="5"/>
      <c r="E240" s="5">
        <v>225</v>
      </c>
      <c r="F240" s="5">
        <v>465</v>
      </c>
      <c r="G240" s="5">
        <v>450</v>
      </c>
      <c r="H240" s="5"/>
      <c r="I240" s="5"/>
      <c r="J240" s="5">
        <v>385</v>
      </c>
      <c r="K240" s="5"/>
      <c r="L240" s="5"/>
      <c r="M240" s="5"/>
      <c r="N240" s="6">
        <f t="shared" si="17"/>
        <v>225</v>
      </c>
      <c r="O240" s="6">
        <f t="shared" si="18"/>
        <v>465</v>
      </c>
      <c r="P240" s="5" t="s">
        <v>5</v>
      </c>
      <c r="Q240" s="5" t="s">
        <v>9</v>
      </c>
      <c r="R240" s="5">
        <f t="shared" si="19"/>
        <v>4</v>
      </c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 ht="13">
      <c r="A241" s="3">
        <v>45106</v>
      </c>
      <c r="B241" s="4" t="s">
        <v>31</v>
      </c>
      <c r="C241" s="5"/>
      <c r="D241" s="5"/>
      <c r="E241" s="5">
        <v>345</v>
      </c>
      <c r="F241" s="5">
        <v>565</v>
      </c>
      <c r="G241" s="5">
        <v>365</v>
      </c>
      <c r="H241" s="5"/>
      <c r="I241" s="5">
        <v>565</v>
      </c>
      <c r="J241" s="5">
        <v>225</v>
      </c>
      <c r="K241" s="5">
        <v>1030</v>
      </c>
      <c r="L241" s="5"/>
      <c r="M241" s="5"/>
      <c r="N241" s="6">
        <f t="shared" si="17"/>
        <v>225</v>
      </c>
      <c r="O241" s="6">
        <f t="shared" si="18"/>
        <v>1030</v>
      </c>
      <c r="P241" s="5" t="s">
        <v>11</v>
      </c>
      <c r="Q241" s="5" t="s">
        <v>12</v>
      </c>
      <c r="R241" s="5">
        <f t="shared" si="19"/>
        <v>6</v>
      </c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13">
      <c r="A242" s="3">
        <v>45107</v>
      </c>
      <c r="B242" s="4" t="s">
        <v>31</v>
      </c>
      <c r="C242" s="5"/>
      <c r="D242" s="5"/>
      <c r="E242" s="5">
        <v>835</v>
      </c>
      <c r="F242" s="5">
        <v>410</v>
      </c>
      <c r="G242" s="5"/>
      <c r="H242" s="5"/>
      <c r="I242" s="5"/>
      <c r="J242" s="5">
        <v>140</v>
      </c>
      <c r="K242" s="5">
        <v>165</v>
      </c>
      <c r="L242" s="5"/>
      <c r="M242" s="5"/>
      <c r="N242" s="6">
        <f t="shared" si="17"/>
        <v>140</v>
      </c>
      <c r="O242" s="6">
        <f t="shared" si="18"/>
        <v>835</v>
      </c>
      <c r="P242" s="5" t="s">
        <v>11</v>
      </c>
      <c r="Q242" s="5" t="s">
        <v>5</v>
      </c>
      <c r="R242" s="5">
        <f t="shared" si="19"/>
        <v>4</v>
      </c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 ht="13">
      <c r="A243" s="3">
        <v>45109</v>
      </c>
      <c r="B243" s="4" t="s">
        <v>34</v>
      </c>
      <c r="C243" s="5"/>
      <c r="D243" s="5"/>
      <c r="E243" s="5"/>
      <c r="F243" s="5">
        <v>215</v>
      </c>
      <c r="G243" s="5"/>
      <c r="H243" s="5"/>
      <c r="I243" s="5"/>
      <c r="J243" s="5">
        <v>400</v>
      </c>
      <c r="K243" s="5">
        <v>420</v>
      </c>
      <c r="L243" s="5"/>
      <c r="M243" s="5"/>
      <c r="N243" s="6">
        <f t="shared" si="17"/>
        <v>215</v>
      </c>
      <c r="O243" s="6">
        <f t="shared" si="18"/>
        <v>420</v>
      </c>
      <c r="P243" s="5" t="s">
        <v>6</v>
      </c>
      <c r="Q243" s="5" t="s">
        <v>12</v>
      </c>
      <c r="R243" s="5">
        <f t="shared" si="19"/>
        <v>3</v>
      </c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13">
      <c r="A244" s="3">
        <v>45110</v>
      </c>
      <c r="B244" s="4" t="s">
        <v>34</v>
      </c>
      <c r="C244" s="5"/>
      <c r="D244" s="5"/>
      <c r="E244" s="5"/>
      <c r="F244" s="5">
        <v>405</v>
      </c>
      <c r="G244" s="5"/>
      <c r="H244" s="5"/>
      <c r="I244" s="5"/>
      <c r="J244" s="5">
        <v>390</v>
      </c>
      <c r="K244" s="5">
        <v>250</v>
      </c>
      <c r="L244" s="5"/>
      <c r="M244" s="5"/>
      <c r="N244" s="6">
        <f t="shared" si="17"/>
        <v>250</v>
      </c>
      <c r="O244" s="6">
        <f t="shared" si="18"/>
        <v>405</v>
      </c>
      <c r="P244" s="5" t="s">
        <v>12</v>
      </c>
      <c r="Q244" s="5" t="s">
        <v>6</v>
      </c>
      <c r="R244" s="5">
        <f t="shared" si="19"/>
        <v>3</v>
      </c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 ht="13">
      <c r="A245" s="3">
        <v>45111</v>
      </c>
      <c r="B245" s="4" t="s">
        <v>34</v>
      </c>
      <c r="C245" s="5"/>
      <c r="D245" s="5"/>
      <c r="E245" s="5"/>
      <c r="F245" s="5">
        <v>695</v>
      </c>
      <c r="G245" s="5"/>
      <c r="H245" s="5"/>
      <c r="I245" s="5"/>
      <c r="J245" s="5">
        <v>315</v>
      </c>
      <c r="K245" s="5">
        <v>220</v>
      </c>
      <c r="L245" s="5"/>
      <c r="M245" s="5"/>
      <c r="N245" s="6">
        <f t="shared" si="17"/>
        <v>220</v>
      </c>
      <c r="O245" s="6">
        <f t="shared" si="18"/>
        <v>695</v>
      </c>
      <c r="P245" s="5" t="s">
        <v>12</v>
      </c>
      <c r="Q245" s="5" t="s">
        <v>6</v>
      </c>
      <c r="R245" s="5">
        <f t="shared" si="19"/>
        <v>3</v>
      </c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3">
      <c r="A246" s="3">
        <v>45113</v>
      </c>
      <c r="B246" s="4" t="s">
        <v>31</v>
      </c>
      <c r="C246" s="5"/>
      <c r="D246" s="5"/>
      <c r="E246" s="5">
        <v>475</v>
      </c>
      <c r="F246" s="5">
        <v>595</v>
      </c>
      <c r="G246" s="5">
        <v>685</v>
      </c>
      <c r="H246" s="5"/>
      <c r="I246" s="5"/>
      <c r="J246" s="5">
        <v>535</v>
      </c>
      <c r="K246" s="5">
        <v>340</v>
      </c>
      <c r="L246" s="5"/>
      <c r="M246" s="5"/>
      <c r="N246" s="6">
        <f t="shared" si="17"/>
        <v>340</v>
      </c>
      <c r="O246" s="6">
        <f t="shared" si="18"/>
        <v>685</v>
      </c>
      <c r="P246" s="5" t="s">
        <v>12</v>
      </c>
      <c r="Q246" s="5" t="s">
        <v>7</v>
      </c>
      <c r="R246" s="5">
        <f t="shared" si="19"/>
        <v>5</v>
      </c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 ht="13">
      <c r="A247" s="3">
        <v>45116</v>
      </c>
      <c r="B247" s="4" t="s">
        <v>31</v>
      </c>
      <c r="C247" s="5"/>
      <c r="D247" s="5"/>
      <c r="E247" s="5"/>
      <c r="F247" s="5">
        <v>135</v>
      </c>
      <c r="G247" s="5"/>
      <c r="H247" s="5"/>
      <c r="I247" s="5"/>
      <c r="J247" s="5">
        <v>230</v>
      </c>
      <c r="K247" s="5">
        <v>560</v>
      </c>
      <c r="L247" s="5"/>
      <c r="M247" s="5"/>
      <c r="N247" s="6">
        <f t="shared" si="17"/>
        <v>135</v>
      </c>
      <c r="O247" s="6">
        <f t="shared" si="18"/>
        <v>560</v>
      </c>
      <c r="P247" s="5" t="s">
        <v>6</v>
      </c>
      <c r="Q247" s="5" t="s">
        <v>12</v>
      </c>
      <c r="R247" s="5">
        <f t="shared" si="19"/>
        <v>3</v>
      </c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3">
      <c r="A248" s="3">
        <v>45126</v>
      </c>
      <c r="B248" s="4" t="s">
        <v>31</v>
      </c>
      <c r="C248" s="5"/>
      <c r="D248" s="5"/>
      <c r="E248" s="5">
        <v>335</v>
      </c>
      <c r="F248" s="5">
        <v>310</v>
      </c>
      <c r="G248" s="5">
        <v>615</v>
      </c>
      <c r="H248" s="5"/>
      <c r="I248" s="5"/>
      <c r="J248" s="5">
        <v>450</v>
      </c>
      <c r="K248" s="5"/>
      <c r="L248" s="5"/>
      <c r="M248" s="5"/>
      <c r="N248" s="6">
        <f t="shared" si="17"/>
        <v>310</v>
      </c>
      <c r="O248" s="6">
        <f t="shared" si="18"/>
        <v>615</v>
      </c>
      <c r="P248" s="5" t="s">
        <v>6</v>
      </c>
      <c r="Q248" s="5" t="s">
        <v>7</v>
      </c>
      <c r="R248" s="5">
        <f t="shared" si="19"/>
        <v>4</v>
      </c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3">
      <c r="A249" s="3">
        <v>45134</v>
      </c>
      <c r="B249" s="4" t="s">
        <v>31</v>
      </c>
      <c r="C249" s="5"/>
      <c r="D249" s="5"/>
      <c r="E249" s="5">
        <v>325</v>
      </c>
      <c r="F249" s="5">
        <v>360</v>
      </c>
      <c r="G249" s="5"/>
      <c r="H249" s="5"/>
      <c r="I249" s="5"/>
      <c r="J249" s="5">
        <v>340</v>
      </c>
      <c r="K249" s="5"/>
      <c r="L249" s="5"/>
      <c r="M249" s="5"/>
      <c r="N249" s="6">
        <f t="shared" si="17"/>
        <v>325</v>
      </c>
      <c r="O249" s="6">
        <f t="shared" si="18"/>
        <v>360</v>
      </c>
      <c r="P249" s="5" t="s">
        <v>5</v>
      </c>
      <c r="Q249" s="5" t="s">
        <v>6</v>
      </c>
      <c r="R249" s="5">
        <f t="shared" si="19"/>
        <v>3</v>
      </c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3">
      <c r="A250" s="3">
        <v>45143</v>
      </c>
      <c r="B250" s="4" t="s">
        <v>35</v>
      </c>
      <c r="C250" s="5"/>
      <c r="D250" s="5"/>
      <c r="E250" s="5"/>
      <c r="F250" s="5">
        <v>265</v>
      </c>
      <c r="G250" s="5"/>
      <c r="H250" s="5"/>
      <c r="I250" s="5"/>
      <c r="J250" s="5">
        <v>135</v>
      </c>
      <c r="K250" s="5"/>
      <c r="L250" s="5">
        <v>475</v>
      </c>
      <c r="M250" s="5"/>
      <c r="N250" s="6">
        <f t="shared" si="17"/>
        <v>135</v>
      </c>
      <c r="O250" s="6">
        <f t="shared" si="18"/>
        <v>475</v>
      </c>
      <c r="P250" s="5" t="s">
        <v>11</v>
      </c>
      <c r="Q250" s="5" t="s">
        <v>13</v>
      </c>
      <c r="R250" s="5">
        <f t="shared" si="19"/>
        <v>3</v>
      </c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3">
      <c r="A251" s="3">
        <v>45147</v>
      </c>
      <c r="B251" s="4" t="s">
        <v>31</v>
      </c>
      <c r="C251" s="5"/>
      <c r="D251" s="5"/>
      <c r="E251" s="5">
        <v>165</v>
      </c>
      <c r="F251" s="5">
        <v>460</v>
      </c>
      <c r="G251" s="5"/>
      <c r="H251" s="5"/>
      <c r="I251" s="5"/>
      <c r="J251" s="5">
        <v>460</v>
      </c>
      <c r="K251" s="5">
        <v>325</v>
      </c>
      <c r="L251" s="5"/>
      <c r="M251" s="5"/>
      <c r="N251" s="6">
        <f t="shared" si="17"/>
        <v>165</v>
      </c>
      <c r="O251" s="6">
        <f t="shared" si="18"/>
        <v>460</v>
      </c>
      <c r="P251" s="5" t="s">
        <v>5</v>
      </c>
      <c r="Q251" s="5" t="s">
        <v>6</v>
      </c>
      <c r="R251" s="5">
        <f t="shared" si="19"/>
        <v>4</v>
      </c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3">
      <c r="A252" s="3">
        <v>45148</v>
      </c>
      <c r="B252" s="4" t="s">
        <v>31</v>
      </c>
      <c r="C252" s="5"/>
      <c r="D252" s="5"/>
      <c r="E252" s="5">
        <v>715</v>
      </c>
      <c r="F252" s="5">
        <v>440</v>
      </c>
      <c r="G252" s="5">
        <v>715</v>
      </c>
      <c r="H252" s="5"/>
      <c r="I252" s="5"/>
      <c r="J252" s="5">
        <v>660</v>
      </c>
      <c r="K252" s="5">
        <v>810</v>
      </c>
      <c r="L252" s="5"/>
      <c r="M252" s="5"/>
      <c r="N252" s="6">
        <f t="shared" si="17"/>
        <v>440</v>
      </c>
      <c r="O252" s="6">
        <f t="shared" si="18"/>
        <v>810</v>
      </c>
      <c r="P252" s="5" t="s">
        <v>6</v>
      </c>
      <c r="Q252" s="5" t="s">
        <v>12</v>
      </c>
      <c r="R252" s="5">
        <f t="shared" si="19"/>
        <v>5</v>
      </c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3">
      <c r="A253" s="3">
        <v>45150</v>
      </c>
      <c r="B253" s="4" t="s">
        <v>22</v>
      </c>
      <c r="C253" s="5"/>
      <c r="D253" s="5"/>
      <c r="E253" s="5">
        <v>680</v>
      </c>
      <c r="F253" s="5">
        <v>365</v>
      </c>
      <c r="G253" s="5"/>
      <c r="H253" s="5"/>
      <c r="I253" s="5"/>
      <c r="J253" s="5">
        <v>505</v>
      </c>
      <c r="K253" s="5">
        <v>605</v>
      </c>
      <c r="L253" s="5">
        <v>215</v>
      </c>
      <c r="M253" s="5"/>
      <c r="N253" s="6">
        <f t="shared" si="17"/>
        <v>215</v>
      </c>
      <c r="O253" s="6">
        <f t="shared" si="18"/>
        <v>680</v>
      </c>
      <c r="P253" s="5" t="s">
        <v>13</v>
      </c>
      <c r="Q253" s="5" t="s">
        <v>5</v>
      </c>
      <c r="R253" s="5">
        <f t="shared" si="19"/>
        <v>5</v>
      </c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3">
      <c r="A254" s="3">
        <v>45155</v>
      </c>
      <c r="B254" s="4" t="s">
        <v>31</v>
      </c>
      <c r="C254" s="5"/>
      <c r="D254" s="5"/>
      <c r="E254" s="5">
        <v>270</v>
      </c>
      <c r="F254" s="5">
        <v>310</v>
      </c>
      <c r="G254" s="5">
        <v>845</v>
      </c>
      <c r="H254" s="5"/>
      <c r="I254" s="5"/>
      <c r="J254" s="5">
        <v>415</v>
      </c>
      <c r="K254" s="5">
        <v>450</v>
      </c>
      <c r="L254" s="5"/>
      <c r="M254" s="5"/>
      <c r="N254" s="6">
        <f t="shared" si="17"/>
        <v>270</v>
      </c>
      <c r="O254" s="6">
        <f t="shared" si="18"/>
        <v>845</v>
      </c>
      <c r="P254" s="5" t="s">
        <v>5</v>
      </c>
      <c r="Q254" s="5" t="s">
        <v>7</v>
      </c>
      <c r="R254" s="5">
        <f t="shared" si="19"/>
        <v>5</v>
      </c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3">
      <c r="A255" s="3">
        <v>45156</v>
      </c>
      <c r="B255" s="4" t="s">
        <v>35</v>
      </c>
      <c r="C255" s="5"/>
      <c r="D255" s="5"/>
      <c r="E255" s="5"/>
      <c r="F255" s="5">
        <v>310</v>
      </c>
      <c r="G255" s="5"/>
      <c r="H255" s="5"/>
      <c r="I255" s="5"/>
      <c r="J255" s="5">
        <v>130</v>
      </c>
      <c r="K255" s="5">
        <v>360</v>
      </c>
      <c r="L255" s="5"/>
      <c r="M255" s="5"/>
      <c r="N255" s="6">
        <f t="shared" si="17"/>
        <v>130</v>
      </c>
      <c r="O255" s="6">
        <f t="shared" si="18"/>
        <v>360</v>
      </c>
      <c r="P255" s="5" t="s">
        <v>11</v>
      </c>
      <c r="Q255" s="5" t="s">
        <v>12</v>
      </c>
      <c r="R255" s="5">
        <f t="shared" si="19"/>
        <v>3</v>
      </c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3">
      <c r="A256" s="3">
        <v>45158</v>
      </c>
      <c r="B256" s="4" t="s">
        <v>31</v>
      </c>
      <c r="C256" s="5"/>
      <c r="D256" s="5"/>
      <c r="E256" s="5">
        <v>625</v>
      </c>
      <c r="F256" s="5">
        <v>395</v>
      </c>
      <c r="G256" s="5"/>
      <c r="H256" s="5">
        <v>1310</v>
      </c>
      <c r="I256" s="5"/>
      <c r="J256" s="5">
        <v>280</v>
      </c>
      <c r="K256" s="5">
        <v>665</v>
      </c>
      <c r="L256" s="5"/>
      <c r="M256" s="5"/>
      <c r="N256" s="6">
        <f t="shared" si="17"/>
        <v>280</v>
      </c>
      <c r="O256" s="6">
        <f t="shared" si="18"/>
        <v>1310</v>
      </c>
      <c r="P256" s="5" t="s">
        <v>11</v>
      </c>
      <c r="Q256" s="5" t="s">
        <v>8</v>
      </c>
      <c r="R256" s="5">
        <f t="shared" si="19"/>
        <v>5</v>
      </c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3">
      <c r="A257" s="3">
        <v>45162</v>
      </c>
      <c r="B257" s="4" t="s">
        <v>31</v>
      </c>
      <c r="C257" s="5"/>
      <c r="D257" s="5"/>
      <c r="E257" s="5">
        <v>560</v>
      </c>
      <c r="F257" s="5">
        <v>460</v>
      </c>
      <c r="G257" s="5">
        <v>465</v>
      </c>
      <c r="H257" s="5"/>
      <c r="I257" s="5"/>
      <c r="J257" s="5">
        <v>560</v>
      </c>
      <c r="K257" s="5">
        <v>880</v>
      </c>
      <c r="L257" s="5">
        <v>345</v>
      </c>
      <c r="M257" s="5"/>
      <c r="N257" s="6">
        <f t="shared" si="17"/>
        <v>345</v>
      </c>
      <c r="O257" s="6">
        <f t="shared" si="18"/>
        <v>880</v>
      </c>
      <c r="P257" s="5" t="s">
        <v>13</v>
      </c>
      <c r="Q257" s="5" t="s">
        <v>12</v>
      </c>
      <c r="R257" s="5">
        <f t="shared" si="19"/>
        <v>6</v>
      </c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3">
      <c r="A258" s="3">
        <v>45167</v>
      </c>
      <c r="B258" s="4" t="s">
        <v>31</v>
      </c>
      <c r="C258" s="5"/>
      <c r="D258" s="5"/>
      <c r="E258" s="5">
        <v>735</v>
      </c>
      <c r="F258" s="5">
        <v>380</v>
      </c>
      <c r="G258" s="5">
        <v>540</v>
      </c>
      <c r="H258" s="5"/>
      <c r="I258" s="5"/>
      <c r="J258" s="5">
        <v>345</v>
      </c>
      <c r="K258" s="5">
        <v>400</v>
      </c>
      <c r="L258" s="5"/>
      <c r="M258" s="5"/>
      <c r="N258" s="6">
        <f t="shared" ref="N258:N321" si="20">MIN($D258:$M258)</f>
        <v>345</v>
      </c>
      <c r="O258" s="6">
        <f t="shared" ref="O258:O321" si="21">MAX($D258:$M258)</f>
        <v>735</v>
      </c>
      <c r="P258" s="5" t="s">
        <v>11</v>
      </c>
      <c r="Q258" s="5" t="s">
        <v>5</v>
      </c>
      <c r="R258" s="5">
        <f t="shared" ref="R258:R321" si="22">COUNT(D258:M258)</f>
        <v>5</v>
      </c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3">
      <c r="A259" s="3">
        <v>45170</v>
      </c>
      <c r="B259" s="4" t="s">
        <v>24</v>
      </c>
      <c r="C259" s="5"/>
      <c r="D259" s="5"/>
      <c r="E259" s="5"/>
      <c r="F259" s="5">
        <v>260</v>
      </c>
      <c r="G259" s="5"/>
      <c r="H259" s="5"/>
      <c r="I259" s="5"/>
      <c r="J259" s="5">
        <v>435</v>
      </c>
      <c r="K259" s="5">
        <v>410</v>
      </c>
      <c r="L259" s="5"/>
      <c r="M259" s="5"/>
      <c r="N259" s="6">
        <f t="shared" si="20"/>
        <v>260</v>
      </c>
      <c r="O259" s="6">
        <f t="shared" si="21"/>
        <v>435</v>
      </c>
      <c r="P259" s="5" t="s">
        <v>6</v>
      </c>
      <c r="Q259" s="5" t="s">
        <v>11</v>
      </c>
      <c r="R259" s="5">
        <f t="shared" si="22"/>
        <v>3</v>
      </c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3">
      <c r="A260" s="3">
        <v>45178</v>
      </c>
      <c r="B260" s="4" t="s">
        <v>22</v>
      </c>
      <c r="C260" s="5"/>
      <c r="D260" s="5"/>
      <c r="E260" s="5">
        <v>505</v>
      </c>
      <c r="F260" s="5">
        <v>425</v>
      </c>
      <c r="G260" s="5"/>
      <c r="H260" s="5"/>
      <c r="I260" s="5"/>
      <c r="J260" s="5">
        <v>715</v>
      </c>
      <c r="K260" s="5">
        <v>385</v>
      </c>
      <c r="L260" s="5">
        <v>220</v>
      </c>
      <c r="M260" s="5"/>
      <c r="N260" s="6">
        <f t="shared" si="20"/>
        <v>220</v>
      </c>
      <c r="O260" s="6">
        <f t="shared" si="21"/>
        <v>715</v>
      </c>
      <c r="P260" s="5" t="s">
        <v>13</v>
      </c>
      <c r="Q260" s="5" t="s">
        <v>11</v>
      </c>
      <c r="R260" s="5">
        <f t="shared" si="22"/>
        <v>5</v>
      </c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3">
      <c r="A261" s="3">
        <v>45181</v>
      </c>
      <c r="B261" s="4" t="s">
        <v>31</v>
      </c>
      <c r="C261" s="5"/>
      <c r="D261" s="5"/>
      <c r="E261" s="5">
        <v>320</v>
      </c>
      <c r="F261" s="5">
        <v>490</v>
      </c>
      <c r="G261" s="5"/>
      <c r="H261" s="5"/>
      <c r="I261" s="5"/>
      <c r="J261" s="5">
        <v>320</v>
      </c>
      <c r="K261" s="5">
        <v>115</v>
      </c>
      <c r="L261" s="5"/>
      <c r="M261" s="5"/>
      <c r="N261" s="6">
        <f t="shared" si="20"/>
        <v>115</v>
      </c>
      <c r="O261" s="6">
        <f t="shared" si="21"/>
        <v>490</v>
      </c>
      <c r="P261" s="5" t="s">
        <v>12</v>
      </c>
      <c r="Q261" s="5" t="s">
        <v>6</v>
      </c>
      <c r="R261" s="5">
        <f t="shared" si="22"/>
        <v>4</v>
      </c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3">
      <c r="A262" s="3">
        <v>45184</v>
      </c>
      <c r="B262" s="4" t="s">
        <v>36</v>
      </c>
      <c r="C262" s="5"/>
      <c r="D262" s="5"/>
      <c r="E262" s="5"/>
      <c r="F262" s="5">
        <v>750</v>
      </c>
      <c r="G262" s="5"/>
      <c r="H262" s="5"/>
      <c r="I262" s="5"/>
      <c r="J262" s="5">
        <v>30</v>
      </c>
      <c r="K262" s="5">
        <v>425</v>
      </c>
      <c r="L262" s="5"/>
      <c r="M262" s="5"/>
      <c r="N262" s="6">
        <f t="shared" si="20"/>
        <v>30</v>
      </c>
      <c r="O262" s="6">
        <f t="shared" si="21"/>
        <v>750</v>
      </c>
      <c r="P262" s="5" t="s">
        <v>11</v>
      </c>
      <c r="Q262" s="5" t="s">
        <v>6</v>
      </c>
      <c r="R262" s="5">
        <f t="shared" si="22"/>
        <v>3</v>
      </c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3">
      <c r="A263" s="3">
        <v>45185</v>
      </c>
      <c r="B263" s="4" t="s">
        <v>37</v>
      </c>
      <c r="C263" s="5"/>
      <c r="D263" s="5"/>
      <c r="E263" s="5"/>
      <c r="F263" s="5">
        <v>620</v>
      </c>
      <c r="G263" s="5"/>
      <c r="H263" s="5"/>
      <c r="I263" s="5"/>
      <c r="J263" s="5">
        <v>530</v>
      </c>
      <c r="K263" s="5">
        <v>380</v>
      </c>
      <c r="L263" s="5"/>
      <c r="M263" s="5"/>
      <c r="N263" s="6">
        <f t="shared" si="20"/>
        <v>380</v>
      </c>
      <c r="O263" s="6">
        <f t="shared" si="21"/>
        <v>620</v>
      </c>
      <c r="P263" s="5" t="s">
        <v>12</v>
      </c>
      <c r="Q263" s="5" t="s">
        <v>6</v>
      </c>
      <c r="R263" s="5">
        <f t="shared" si="22"/>
        <v>3</v>
      </c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3">
      <c r="A264" s="3">
        <v>45187</v>
      </c>
      <c r="B264" s="4" t="s">
        <v>37</v>
      </c>
      <c r="C264" s="5"/>
      <c r="D264" s="5"/>
      <c r="E264" s="5"/>
      <c r="F264" s="5">
        <v>350</v>
      </c>
      <c r="G264" s="5"/>
      <c r="H264" s="5"/>
      <c r="I264" s="5"/>
      <c r="J264" s="5">
        <v>725</v>
      </c>
      <c r="K264" s="5">
        <v>275</v>
      </c>
      <c r="L264" s="5"/>
      <c r="M264" s="5"/>
      <c r="N264" s="6">
        <f t="shared" si="20"/>
        <v>275</v>
      </c>
      <c r="O264" s="6">
        <f t="shared" si="21"/>
        <v>725</v>
      </c>
      <c r="P264" s="5" t="s">
        <v>12</v>
      </c>
      <c r="Q264" s="5" t="s">
        <v>11</v>
      </c>
      <c r="R264" s="5">
        <f t="shared" si="22"/>
        <v>3</v>
      </c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3">
      <c r="A265" s="3">
        <v>45190</v>
      </c>
      <c r="B265" s="4" t="s">
        <v>38</v>
      </c>
      <c r="C265" s="5"/>
      <c r="D265" s="5"/>
      <c r="E265" s="5"/>
      <c r="F265" s="5">
        <v>245</v>
      </c>
      <c r="G265" s="5"/>
      <c r="H265" s="5"/>
      <c r="I265" s="5"/>
      <c r="J265" s="5">
        <v>415</v>
      </c>
      <c r="K265" s="5">
        <v>530</v>
      </c>
      <c r="L265" s="5"/>
      <c r="M265" s="5"/>
      <c r="N265" s="6">
        <f t="shared" si="20"/>
        <v>245</v>
      </c>
      <c r="O265" s="6">
        <f t="shared" si="21"/>
        <v>530</v>
      </c>
      <c r="P265" s="5" t="s">
        <v>6</v>
      </c>
      <c r="Q265" s="5" t="s">
        <v>12</v>
      </c>
      <c r="R265" s="5">
        <f t="shared" si="22"/>
        <v>3</v>
      </c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3">
      <c r="A266" s="3">
        <v>45191</v>
      </c>
      <c r="B266" s="4" t="s">
        <v>39</v>
      </c>
      <c r="C266" s="5"/>
      <c r="D266" s="5"/>
      <c r="E266" s="5"/>
      <c r="F266" s="5">
        <v>605</v>
      </c>
      <c r="G266" s="5"/>
      <c r="H266" s="5"/>
      <c r="I266" s="5"/>
      <c r="J266" s="5">
        <v>355</v>
      </c>
      <c r="K266" s="5">
        <v>1185</v>
      </c>
      <c r="L266" s="5"/>
      <c r="M266" s="5"/>
      <c r="N266" s="6">
        <f t="shared" si="20"/>
        <v>355</v>
      </c>
      <c r="O266" s="6">
        <f t="shared" si="21"/>
        <v>1185</v>
      </c>
      <c r="P266" s="5" t="s">
        <v>11</v>
      </c>
      <c r="Q266" s="5" t="s">
        <v>12</v>
      </c>
      <c r="R266" s="5">
        <f t="shared" si="22"/>
        <v>3</v>
      </c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3">
      <c r="A267" s="3">
        <v>45192</v>
      </c>
      <c r="B267" s="4" t="s">
        <v>39</v>
      </c>
      <c r="C267" s="5"/>
      <c r="D267" s="5"/>
      <c r="E267" s="5"/>
      <c r="F267" s="5">
        <v>590</v>
      </c>
      <c r="G267" s="5"/>
      <c r="H267" s="5"/>
      <c r="I267" s="5"/>
      <c r="J267" s="5">
        <v>510</v>
      </c>
      <c r="K267" s="5">
        <v>610</v>
      </c>
      <c r="L267" s="5"/>
      <c r="M267" s="5"/>
      <c r="N267" s="6">
        <f t="shared" si="20"/>
        <v>510</v>
      </c>
      <c r="O267" s="6">
        <f t="shared" si="21"/>
        <v>610</v>
      </c>
      <c r="P267" s="5" t="s">
        <v>11</v>
      </c>
      <c r="Q267" s="5" t="s">
        <v>12</v>
      </c>
      <c r="R267" s="5">
        <f t="shared" si="22"/>
        <v>3</v>
      </c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3">
      <c r="A268" s="3">
        <v>45193</v>
      </c>
      <c r="B268" s="4" t="s">
        <v>39</v>
      </c>
      <c r="C268" s="5"/>
      <c r="D268" s="5"/>
      <c r="E268" s="5"/>
      <c r="F268" s="5">
        <v>220</v>
      </c>
      <c r="G268" s="5"/>
      <c r="H268" s="5"/>
      <c r="I268" s="5"/>
      <c r="J268" s="5">
        <v>335</v>
      </c>
      <c r="K268" s="5">
        <v>480</v>
      </c>
      <c r="L268" s="5"/>
      <c r="M268" s="5"/>
      <c r="N268" s="6">
        <f t="shared" si="20"/>
        <v>220</v>
      </c>
      <c r="O268" s="6">
        <f t="shared" si="21"/>
        <v>480</v>
      </c>
      <c r="P268" s="5" t="s">
        <v>6</v>
      </c>
      <c r="Q268" s="5" t="s">
        <v>12</v>
      </c>
      <c r="R268" s="5">
        <f t="shared" si="22"/>
        <v>3</v>
      </c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3">
      <c r="A269" s="3">
        <v>45194</v>
      </c>
      <c r="B269" s="4" t="s">
        <v>31</v>
      </c>
      <c r="C269" s="5"/>
      <c r="D269" s="5"/>
      <c r="E269" s="5">
        <v>640</v>
      </c>
      <c r="F269" s="5">
        <v>435</v>
      </c>
      <c r="G269" s="5"/>
      <c r="H269" s="5"/>
      <c r="I269" s="5"/>
      <c r="J269" s="5">
        <v>490</v>
      </c>
      <c r="K269" s="5">
        <v>440</v>
      </c>
      <c r="L269" s="5"/>
      <c r="M269" s="5"/>
      <c r="N269" s="6">
        <f t="shared" si="20"/>
        <v>435</v>
      </c>
      <c r="O269" s="6">
        <f t="shared" si="21"/>
        <v>640</v>
      </c>
      <c r="P269" s="5" t="s">
        <v>6</v>
      </c>
      <c r="Q269" s="5" t="s">
        <v>5</v>
      </c>
      <c r="R269" s="5">
        <f t="shared" si="22"/>
        <v>4</v>
      </c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3">
      <c r="A270" s="3">
        <v>45197</v>
      </c>
      <c r="B270" s="4" t="s">
        <v>31</v>
      </c>
      <c r="C270" s="5"/>
      <c r="D270" s="5"/>
      <c r="E270" s="5">
        <v>555</v>
      </c>
      <c r="F270" s="5">
        <v>270</v>
      </c>
      <c r="G270" s="5">
        <v>240</v>
      </c>
      <c r="H270" s="5"/>
      <c r="I270" s="5"/>
      <c r="J270" s="5">
        <v>470</v>
      </c>
      <c r="K270" s="5"/>
      <c r="L270" s="5"/>
      <c r="M270" s="5"/>
      <c r="N270" s="6">
        <f t="shared" si="20"/>
        <v>240</v>
      </c>
      <c r="O270" s="6">
        <f t="shared" si="21"/>
        <v>555</v>
      </c>
      <c r="P270" s="5" t="s">
        <v>7</v>
      </c>
      <c r="Q270" s="5" t="s">
        <v>5</v>
      </c>
      <c r="R270" s="5">
        <f t="shared" si="22"/>
        <v>4</v>
      </c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3">
      <c r="A271" s="3">
        <v>45206</v>
      </c>
      <c r="B271" s="4" t="s">
        <v>22</v>
      </c>
      <c r="C271" s="5"/>
      <c r="D271" s="5"/>
      <c r="E271" s="5">
        <v>260</v>
      </c>
      <c r="F271" s="5">
        <v>75</v>
      </c>
      <c r="G271" s="5">
        <v>130</v>
      </c>
      <c r="H271" s="5"/>
      <c r="I271" s="5"/>
      <c r="J271" s="5"/>
      <c r="K271" s="5"/>
      <c r="L271" s="5">
        <v>150</v>
      </c>
      <c r="M271" s="5"/>
      <c r="N271" s="6">
        <f t="shared" si="20"/>
        <v>75</v>
      </c>
      <c r="O271" s="6">
        <f t="shared" si="21"/>
        <v>260</v>
      </c>
      <c r="P271" s="5" t="s">
        <v>6</v>
      </c>
      <c r="Q271" s="5" t="s">
        <v>5</v>
      </c>
      <c r="R271" s="5">
        <f t="shared" si="22"/>
        <v>4</v>
      </c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3">
      <c r="A272" s="3">
        <v>45218</v>
      </c>
      <c r="B272" s="4" t="s">
        <v>31</v>
      </c>
      <c r="C272" s="5"/>
      <c r="D272" s="5"/>
      <c r="E272" s="5">
        <v>265</v>
      </c>
      <c r="F272" s="5">
        <v>720</v>
      </c>
      <c r="G272" s="5">
        <v>705</v>
      </c>
      <c r="H272" s="5"/>
      <c r="I272" s="5"/>
      <c r="J272" s="5">
        <v>530</v>
      </c>
      <c r="K272" s="5"/>
      <c r="L272" s="5"/>
      <c r="M272" s="5"/>
      <c r="N272" s="6">
        <f t="shared" si="20"/>
        <v>265</v>
      </c>
      <c r="O272" s="6">
        <f t="shared" si="21"/>
        <v>720</v>
      </c>
      <c r="P272" s="5" t="s">
        <v>5</v>
      </c>
      <c r="Q272" s="5" t="s">
        <v>6</v>
      </c>
      <c r="R272" s="5">
        <f t="shared" si="22"/>
        <v>4</v>
      </c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3">
      <c r="A273" s="3">
        <v>45232</v>
      </c>
      <c r="B273" s="4" t="s">
        <v>31</v>
      </c>
      <c r="C273" s="5"/>
      <c r="D273" s="5"/>
      <c r="E273" s="5">
        <v>365</v>
      </c>
      <c r="F273" s="5">
        <v>525</v>
      </c>
      <c r="G273" s="5">
        <v>435</v>
      </c>
      <c r="H273" s="5"/>
      <c r="I273" s="5"/>
      <c r="J273" s="5">
        <v>435</v>
      </c>
      <c r="K273" s="5"/>
      <c r="L273" s="5"/>
      <c r="M273" s="5"/>
      <c r="N273" s="6">
        <f t="shared" si="20"/>
        <v>365</v>
      </c>
      <c r="O273" s="6">
        <f t="shared" si="21"/>
        <v>525</v>
      </c>
      <c r="P273" s="5" t="s">
        <v>5</v>
      </c>
      <c r="Q273" s="5" t="s">
        <v>6</v>
      </c>
      <c r="R273" s="5">
        <f t="shared" si="22"/>
        <v>4</v>
      </c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3">
      <c r="A274" s="3">
        <v>45237</v>
      </c>
      <c r="B274" s="4" t="s">
        <v>31</v>
      </c>
      <c r="C274" s="5"/>
      <c r="D274" s="5"/>
      <c r="E274" s="5">
        <v>485</v>
      </c>
      <c r="F274" s="5">
        <v>445</v>
      </c>
      <c r="G274" s="5">
        <v>530</v>
      </c>
      <c r="H274" s="5"/>
      <c r="I274" s="5"/>
      <c r="J274" s="5">
        <v>370</v>
      </c>
      <c r="K274" s="5"/>
      <c r="L274" s="5"/>
      <c r="M274" s="5"/>
      <c r="N274" s="6">
        <f t="shared" si="20"/>
        <v>370</v>
      </c>
      <c r="O274" s="6">
        <f t="shared" si="21"/>
        <v>530</v>
      </c>
      <c r="P274" s="5" t="s">
        <v>11</v>
      </c>
      <c r="Q274" s="5" t="s">
        <v>7</v>
      </c>
      <c r="R274" s="5">
        <f t="shared" si="22"/>
        <v>4</v>
      </c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3">
      <c r="A275" s="3">
        <v>45240</v>
      </c>
      <c r="B275" s="4" t="s">
        <v>40</v>
      </c>
      <c r="C275" s="5"/>
      <c r="D275" s="5"/>
      <c r="E275" s="5"/>
      <c r="F275" s="5">
        <v>345</v>
      </c>
      <c r="G275" s="5"/>
      <c r="H275" s="5"/>
      <c r="I275" s="5"/>
      <c r="J275" s="5">
        <v>240</v>
      </c>
      <c r="K275" s="5">
        <v>245</v>
      </c>
      <c r="L275" s="5"/>
      <c r="M275" s="5"/>
      <c r="N275" s="6">
        <f t="shared" si="20"/>
        <v>240</v>
      </c>
      <c r="O275" s="6">
        <f t="shared" si="21"/>
        <v>345</v>
      </c>
      <c r="P275" s="5" t="s">
        <v>11</v>
      </c>
      <c r="Q275" s="5" t="s">
        <v>6</v>
      </c>
      <c r="R275" s="5">
        <f t="shared" si="22"/>
        <v>3</v>
      </c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3">
      <c r="A276" s="3">
        <v>45242</v>
      </c>
      <c r="B276" s="4" t="s">
        <v>41</v>
      </c>
      <c r="C276" s="5"/>
      <c r="D276" s="5"/>
      <c r="E276" s="5"/>
      <c r="F276" s="5">
        <v>350</v>
      </c>
      <c r="G276" s="5"/>
      <c r="H276" s="5"/>
      <c r="I276" s="5"/>
      <c r="J276" s="5">
        <v>305</v>
      </c>
      <c r="K276" s="5">
        <v>785</v>
      </c>
      <c r="L276" s="5"/>
      <c r="M276" s="5"/>
      <c r="N276" s="6">
        <f t="shared" si="20"/>
        <v>305</v>
      </c>
      <c r="O276" s="6">
        <f t="shared" si="21"/>
        <v>785</v>
      </c>
      <c r="P276" s="5" t="s">
        <v>11</v>
      </c>
      <c r="Q276" s="5" t="s">
        <v>12</v>
      </c>
      <c r="R276" s="5">
        <f t="shared" si="22"/>
        <v>3</v>
      </c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3">
      <c r="A277" s="3">
        <v>45243</v>
      </c>
      <c r="B277" s="4" t="s">
        <v>42</v>
      </c>
      <c r="C277" s="5"/>
      <c r="D277" s="5"/>
      <c r="E277" s="5"/>
      <c r="F277" s="5">
        <v>250</v>
      </c>
      <c r="G277" s="5"/>
      <c r="H277" s="5"/>
      <c r="I277" s="5"/>
      <c r="J277" s="5">
        <v>895</v>
      </c>
      <c r="K277" s="5">
        <v>440</v>
      </c>
      <c r="L277" s="5"/>
      <c r="M277" s="5"/>
      <c r="N277" s="6">
        <f t="shared" si="20"/>
        <v>250</v>
      </c>
      <c r="O277" s="6">
        <f t="shared" si="21"/>
        <v>895</v>
      </c>
      <c r="P277" s="5" t="s">
        <v>6</v>
      </c>
      <c r="Q277" s="5" t="s">
        <v>11</v>
      </c>
      <c r="R277" s="5">
        <f t="shared" si="22"/>
        <v>3</v>
      </c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3">
      <c r="A278" s="3">
        <v>45245</v>
      </c>
      <c r="B278" s="4" t="s">
        <v>43</v>
      </c>
      <c r="C278" s="5"/>
      <c r="D278" s="5"/>
      <c r="E278" s="5"/>
      <c r="F278" s="5">
        <v>305</v>
      </c>
      <c r="G278" s="5"/>
      <c r="H278" s="5"/>
      <c r="I278" s="5"/>
      <c r="J278" s="5">
        <v>340</v>
      </c>
      <c r="K278" s="5">
        <v>600</v>
      </c>
      <c r="L278" s="5"/>
      <c r="M278" s="5"/>
      <c r="N278" s="6">
        <f t="shared" si="20"/>
        <v>305</v>
      </c>
      <c r="O278" s="6">
        <f t="shared" si="21"/>
        <v>600</v>
      </c>
      <c r="P278" s="5" t="s">
        <v>6</v>
      </c>
      <c r="Q278" s="5" t="s">
        <v>12</v>
      </c>
      <c r="R278" s="5">
        <f t="shared" si="22"/>
        <v>3</v>
      </c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3">
      <c r="A279" s="3">
        <v>45246</v>
      </c>
      <c r="B279" s="4" t="s">
        <v>44</v>
      </c>
      <c r="C279" s="5"/>
      <c r="D279" s="5"/>
      <c r="E279" s="5"/>
      <c r="F279" s="5">
        <v>370</v>
      </c>
      <c r="G279" s="5"/>
      <c r="H279" s="5"/>
      <c r="I279" s="5"/>
      <c r="J279" s="5">
        <v>280</v>
      </c>
      <c r="K279" s="5">
        <v>450</v>
      </c>
      <c r="L279" s="5"/>
      <c r="M279" s="5"/>
      <c r="N279" s="6">
        <f t="shared" si="20"/>
        <v>280</v>
      </c>
      <c r="O279" s="6">
        <f t="shared" si="21"/>
        <v>450</v>
      </c>
      <c r="P279" s="5" t="s">
        <v>11</v>
      </c>
      <c r="Q279" s="5" t="s">
        <v>12</v>
      </c>
      <c r="R279" s="5">
        <f t="shared" si="22"/>
        <v>3</v>
      </c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3">
      <c r="A280" s="7">
        <v>45254</v>
      </c>
      <c r="B280" s="4" t="s">
        <v>45</v>
      </c>
      <c r="C280" s="5"/>
      <c r="D280" s="5"/>
      <c r="E280" s="5"/>
      <c r="F280" s="5">
        <v>480</v>
      </c>
      <c r="G280" s="5"/>
      <c r="H280" s="5"/>
      <c r="I280" s="5"/>
      <c r="J280" s="5">
        <v>150</v>
      </c>
      <c r="K280" s="5">
        <v>255</v>
      </c>
      <c r="L280" s="5"/>
      <c r="M280" s="5"/>
      <c r="N280" s="6">
        <f t="shared" si="20"/>
        <v>150</v>
      </c>
      <c r="O280" s="6">
        <f t="shared" si="21"/>
        <v>480</v>
      </c>
      <c r="P280" s="5" t="s">
        <v>11</v>
      </c>
      <c r="Q280" s="5" t="s">
        <v>6</v>
      </c>
      <c r="R280" s="5">
        <f t="shared" si="22"/>
        <v>3</v>
      </c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3">
      <c r="A281" s="3">
        <v>45255</v>
      </c>
      <c r="B281" s="4" t="s">
        <v>46</v>
      </c>
      <c r="C281" s="5"/>
      <c r="D281" s="5"/>
      <c r="E281" s="5"/>
      <c r="F281" s="5">
        <v>190</v>
      </c>
      <c r="G281" s="5"/>
      <c r="H281" s="5"/>
      <c r="I281" s="5"/>
      <c r="J281" s="5">
        <v>490</v>
      </c>
      <c r="K281" s="5">
        <v>590</v>
      </c>
      <c r="L281" s="5"/>
      <c r="M281" s="5"/>
      <c r="N281" s="6">
        <f t="shared" si="20"/>
        <v>190</v>
      </c>
      <c r="O281" s="6">
        <f t="shared" si="21"/>
        <v>590</v>
      </c>
      <c r="P281" s="5" t="s">
        <v>6</v>
      </c>
      <c r="Q281" s="5" t="s">
        <v>12</v>
      </c>
      <c r="R281" s="5">
        <f t="shared" si="22"/>
        <v>3</v>
      </c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3">
      <c r="A282" s="3">
        <v>45256</v>
      </c>
      <c r="B282" s="4" t="s">
        <v>47</v>
      </c>
      <c r="C282" s="5"/>
      <c r="D282" s="5"/>
      <c r="E282" s="5"/>
      <c r="F282" s="5">
        <v>95</v>
      </c>
      <c r="G282" s="5"/>
      <c r="H282" s="5"/>
      <c r="I282" s="5"/>
      <c r="J282" s="5">
        <v>275</v>
      </c>
      <c r="K282" s="5">
        <v>510</v>
      </c>
      <c r="L282" s="5"/>
      <c r="M282" s="5"/>
      <c r="N282" s="6">
        <f t="shared" si="20"/>
        <v>95</v>
      </c>
      <c r="O282" s="6">
        <f t="shared" si="21"/>
        <v>510</v>
      </c>
      <c r="P282" s="5" t="s">
        <v>6</v>
      </c>
      <c r="Q282" s="5" t="s">
        <v>12</v>
      </c>
      <c r="R282" s="5">
        <f t="shared" si="22"/>
        <v>3</v>
      </c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3">
      <c r="A283" s="3">
        <v>45259</v>
      </c>
      <c r="B283" s="4" t="s">
        <v>48</v>
      </c>
      <c r="C283" s="5"/>
      <c r="D283" s="5"/>
      <c r="E283" s="5"/>
      <c r="F283" s="5">
        <v>335</v>
      </c>
      <c r="G283" s="5"/>
      <c r="H283" s="5"/>
      <c r="I283" s="5"/>
      <c r="J283" s="5">
        <v>275</v>
      </c>
      <c r="K283" s="5">
        <v>165</v>
      </c>
      <c r="L283" s="5"/>
      <c r="M283" s="5"/>
      <c r="N283" s="6">
        <f t="shared" si="20"/>
        <v>165</v>
      </c>
      <c r="O283" s="6">
        <f t="shared" si="21"/>
        <v>335</v>
      </c>
      <c r="P283" s="5" t="s">
        <v>12</v>
      </c>
      <c r="Q283" s="5" t="s">
        <v>6</v>
      </c>
      <c r="R283" s="5">
        <f t="shared" si="22"/>
        <v>3</v>
      </c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3">
      <c r="A284" s="3">
        <v>45262</v>
      </c>
      <c r="B284" s="4" t="s">
        <v>49</v>
      </c>
      <c r="C284" s="5"/>
      <c r="D284" s="5"/>
      <c r="E284" s="5"/>
      <c r="F284" s="5">
        <v>455</v>
      </c>
      <c r="G284" s="5"/>
      <c r="H284" s="5"/>
      <c r="I284" s="5"/>
      <c r="J284" s="5">
        <v>165</v>
      </c>
      <c r="K284" s="5">
        <v>230</v>
      </c>
      <c r="L284" s="5"/>
      <c r="M284" s="5"/>
      <c r="N284" s="6">
        <f t="shared" si="20"/>
        <v>165</v>
      </c>
      <c r="O284" s="6">
        <f t="shared" si="21"/>
        <v>455</v>
      </c>
      <c r="P284" s="5" t="s">
        <v>11</v>
      </c>
      <c r="Q284" s="5" t="s">
        <v>6</v>
      </c>
      <c r="R284" s="5">
        <f t="shared" si="22"/>
        <v>3</v>
      </c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3">
      <c r="A285" s="3">
        <v>45272</v>
      </c>
      <c r="B285" s="4" t="s">
        <v>26</v>
      </c>
      <c r="C285" s="5"/>
      <c r="D285" s="5"/>
      <c r="E285" s="5"/>
      <c r="F285" s="5">
        <v>325</v>
      </c>
      <c r="G285" s="5"/>
      <c r="H285" s="5"/>
      <c r="I285" s="5"/>
      <c r="J285" s="5">
        <v>455</v>
      </c>
      <c r="K285" s="5">
        <v>610</v>
      </c>
      <c r="L285" s="5">
        <v>515</v>
      </c>
      <c r="M285" s="5"/>
      <c r="N285" s="6">
        <f t="shared" si="20"/>
        <v>325</v>
      </c>
      <c r="O285" s="6">
        <f t="shared" si="21"/>
        <v>610</v>
      </c>
      <c r="P285" s="5" t="s">
        <v>6</v>
      </c>
      <c r="Q285" s="5" t="s">
        <v>12</v>
      </c>
      <c r="R285" s="5">
        <f t="shared" si="22"/>
        <v>4</v>
      </c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3">
      <c r="A286" s="3">
        <v>45274</v>
      </c>
      <c r="B286" s="4" t="s">
        <v>31</v>
      </c>
      <c r="C286" s="5"/>
      <c r="D286" s="5"/>
      <c r="E286" s="5">
        <v>690</v>
      </c>
      <c r="F286" s="5">
        <v>715</v>
      </c>
      <c r="G286" s="5">
        <v>690</v>
      </c>
      <c r="H286" s="5"/>
      <c r="I286" s="5"/>
      <c r="J286" s="5">
        <v>480</v>
      </c>
      <c r="K286" s="5">
        <v>250</v>
      </c>
      <c r="L286" s="5"/>
      <c r="M286" s="5"/>
      <c r="N286" s="6">
        <f t="shared" si="20"/>
        <v>250</v>
      </c>
      <c r="O286" s="6">
        <f t="shared" si="21"/>
        <v>715</v>
      </c>
      <c r="P286" s="5" t="s">
        <v>12</v>
      </c>
      <c r="Q286" s="5" t="s">
        <v>6</v>
      </c>
      <c r="R286" s="5">
        <f t="shared" si="22"/>
        <v>5</v>
      </c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3">
      <c r="A287" s="3">
        <v>45278</v>
      </c>
      <c r="B287" s="4" t="s">
        <v>32</v>
      </c>
      <c r="C287" s="5"/>
      <c r="D287" s="5"/>
      <c r="E287" s="5">
        <v>100</v>
      </c>
      <c r="F287" s="5">
        <v>510</v>
      </c>
      <c r="G287" s="5"/>
      <c r="H287" s="5"/>
      <c r="I287" s="5"/>
      <c r="J287" s="5">
        <v>580</v>
      </c>
      <c r="K287" s="5">
        <v>1070</v>
      </c>
      <c r="L287" s="5"/>
      <c r="M287" s="5"/>
      <c r="N287" s="6">
        <f t="shared" si="20"/>
        <v>100</v>
      </c>
      <c r="O287" s="6">
        <f t="shared" si="21"/>
        <v>1070</v>
      </c>
      <c r="P287" s="5" t="s">
        <v>5</v>
      </c>
      <c r="Q287" s="5" t="s">
        <v>12</v>
      </c>
      <c r="R287" s="5">
        <f t="shared" si="22"/>
        <v>4</v>
      </c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3">
      <c r="A288" s="3">
        <v>45281</v>
      </c>
      <c r="B288" s="4" t="s">
        <v>31</v>
      </c>
      <c r="C288" s="5"/>
      <c r="D288" s="5"/>
      <c r="E288" s="5">
        <v>500</v>
      </c>
      <c r="F288" s="5">
        <v>465</v>
      </c>
      <c r="G288" s="5">
        <v>555</v>
      </c>
      <c r="H288" s="5"/>
      <c r="I288" s="5">
        <v>745</v>
      </c>
      <c r="J288" s="5"/>
      <c r="K288" s="5">
        <v>755</v>
      </c>
      <c r="L288" s="5"/>
      <c r="M288" s="5"/>
      <c r="N288" s="6">
        <f t="shared" si="20"/>
        <v>465</v>
      </c>
      <c r="O288" s="6">
        <f t="shared" si="21"/>
        <v>755</v>
      </c>
      <c r="P288" s="5" t="s">
        <v>6</v>
      </c>
      <c r="Q288" s="5" t="s">
        <v>12</v>
      </c>
      <c r="R288" s="5">
        <f t="shared" si="22"/>
        <v>5</v>
      </c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3">
      <c r="A289" s="3">
        <v>45287</v>
      </c>
      <c r="B289" s="4" t="s">
        <v>31</v>
      </c>
      <c r="C289" s="5"/>
      <c r="D289" s="5"/>
      <c r="E289" s="5">
        <v>595</v>
      </c>
      <c r="F289" s="5">
        <v>465</v>
      </c>
      <c r="G289" s="5"/>
      <c r="H289" s="5"/>
      <c r="I289" s="5"/>
      <c r="J289" s="5">
        <v>265</v>
      </c>
      <c r="K289" s="5"/>
      <c r="L289" s="5"/>
      <c r="M289" s="5"/>
      <c r="N289" s="6">
        <f t="shared" si="20"/>
        <v>265</v>
      </c>
      <c r="O289" s="6">
        <f t="shared" si="21"/>
        <v>595</v>
      </c>
      <c r="P289" s="5" t="s">
        <v>11</v>
      </c>
      <c r="Q289" s="5" t="s">
        <v>5</v>
      </c>
      <c r="R289" s="5">
        <f t="shared" si="22"/>
        <v>3</v>
      </c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3">
      <c r="A290" s="3">
        <v>45291</v>
      </c>
      <c r="B290" s="4" t="s">
        <v>31</v>
      </c>
      <c r="C290" s="5"/>
      <c r="D290" s="5"/>
      <c r="E290" s="5">
        <v>205</v>
      </c>
      <c r="F290" s="5">
        <v>570</v>
      </c>
      <c r="G290" s="5">
        <v>155</v>
      </c>
      <c r="H290" s="5"/>
      <c r="I290" s="5"/>
      <c r="J290" s="5">
        <v>585</v>
      </c>
      <c r="K290" s="5"/>
      <c r="L290" s="5"/>
      <c r="M290" s="5"/>
      <c r="N290" s="6">
        <f t="shared" si="20"/>
        <v>155</v>
      </c>
      <c r="O290" s="6">
        <f t="shared" si="21"/>
        <v>585</v>
      </c>
      <c r="P290" s="5" t="s">
        <v>7</v>
      </c>
      <c r="Q290" s="5" t="s">
        <v>11</v>
      </c>
      <c r="R290" s="5">
        <f t="shared" si="22"/>
        <v>4</v>
      </c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3">
      <c r="A291" s="3">
        <v>45302</v>
      </c>
      <c r="B291" s="4" t="s">
        <v>31</v>
      </c>
      <c r="C291" s="5"/>
      <c r="D291" s="5"/>
      <c r="E291" s="5">
        <v>195</v>
      </c>
      <c r="F291" s="5">
        <v>575</v>
      </c>
      <c r="G291" s="5"/>
      <c r="H291" s="5"/>
      <c r="I291" s="5"/>
      <c r="J291" s="5">
        <v>325</v>
      </c>
      <c r="K291" s="5"/>
      <c r="L291" s="5"/>
      <c r="M291" s="5"/>
      <c r="N291" s="6">
        <f t="shared" si="20"/>
        <v>195</v>
      </c>
      <c r="O291" s="6">
        <f t="shared" si="21"/>
        <v>575</v>
      </c>
      <c r="P291" s="5" t="s">
        <v>5</v>
      </c>
      <c r="Q291" s="5" t="s">
        <v>6</v>
      </c>
      <c r="R291" s="5">
        <f t="shared" si="22"/>
        <v>3</v>
      </c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3">
      <c r="A292" s="3">
        <v>45309</v>
      </c>
      <c r="B292" s="4" t="s">
        <v>31</v>
      </c>
      <c r="C292" s="5"/>
      <c r="D292" s="5"/>
      <c r="E292" s="5">
        <v>560</v>
      </c>
      <c r="F292" s="5">
        <v>745</v>
      </c>
      <c r="G292" s="5">
        <v>445</v>
      </c>
      <c r="H292" s="5"/>
      <c r="I292" s="5"/>
      <c r="J292" s="5">
        <v>605</v>
      </c>
      <c r="K292" s="5"/>
      <c r="L292" s="5"/>
      <c r="M292" s="5"/>
      <c r="N292" s="6">
        <f t="shared" si="20"/>
        <v>445</v>
      </c>
      <c r="O292" s="6">
        <f t="shared" si="21"/>
        <v>745</v>
      </c>
      <c r="P292" s="5" t="s">
        <v>7</v>
      </c>
      <c r="Q292" s="5" t="s">
        <v>6</v>
      </c>
      <c r="R292" s="5">
        <f t="shared" si="22"/>
        <v>4</v>
      </c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3">
      <c r="A293" s="3">
        <v>45311</v>
      </c>
      <c r="B293" s="4" t="s">
        <v>26</v>
      </c>
      <c r="C293" s="5"/>
      <c r="D293" s="5"/>
      <c r="E293" s="5">
        <v>500</v>
      </c>
      <c r="F293" s="5">
        <v>475</v>
      </c>
      <c r="G293" s="5">
        <v>440</v>
      </c>
      <c r="H293" s="5"/>
      <c r="I293" s="5"/>
      <c r="J293" s="5">
        <v>505</v>
      </c>
      <c r="K293" s="5"/>
      <c r="L293" s="5">
        <v>445</v>
      </c>
      <c r="M293" s="5"/>
      <c r="N293" s="6">
        <f t="shared" si="20"/>
        <v>440</v>
      </c>
      <c r="O293" s="6">
        <f t="shared" si="21"/>
        <v>505</v>
      </c>
      <c r="P293" s="5" t="s">
        <v>7</v>
      </c>
      <c r="Q293" s="5" t="s">
        <v>11</v>
      </c>
      <c r="R293" s="5">
        <f t="shared" si="22"/>
        <v>5</v>
      </c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3">
      <c r="A294" s="3">
        <v>45323</v>
      </c>
      <c r="B294" s="4" t="s">
        <v>31</v>
      </c>
      <c r="C294" s="5"/>
      <c r="D294" s="5"/>
      <c r="E294" s="5">
        <v>385</v>
      </c>
      <c r="F294" s="5">
        <v>315</v>
      </c>
      <c r="G294" s="5">
        <v>500</v>
      </c>
      <c r="H294" s="5"/>
      <c r="I294" s="5"/>
      <c r="J294" s="5">
        <v>165</v>
      </c>
      <c r="K294" s="5"/>
      <c r="L294" s="5"/>
      <c r="M294" s="5"/>
      <c r="N294" s="6">
        <f t="shared" si="20"/>
        <v>165</v>
      </c>
      <c r="O294" s="6">
        <f t="shared" si="21"/>
        <v>500</v>
      </c>
      <c r="P294" s="5" t="s">
        <v>11</v>
      </c>
      <c r="Q294" s="5" t="s">
        <v>7</v>
      </c>
      <c r="R294" s="5">
        <f t="shared" si="22"/>
        <v>4</v>
      </c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3">
      <c r="A295" s="3">
        <v>45325</v>
      </c>
      <c r="B295" s="4" t="s">
        <v>32</v>
      </c>
      <c r="C295" s="5"/>
      <c r="D295" s="5"/>
      <c r="E295" s="5">
        <v>240</v>
      </c>
      <c r="F295" s="5">
        <v>380</v>
      </c>
      <c r="G295" s="5">
        <v>885</v>
      </c>
      <c r="H295" s="5"/>
      <c r="I295" s="5"/>
      <c r="J295" s="5"/>
      <c r="K295" s="5"/>
      <c r="L295" s="5">
        <v>855</v>
      </c>
      <c r="M295" s="5"/>
      <c r="N295" s="6">
        <f t="shared" si="20"/>
        <v>240</v>
      </c>
      <c r="O295" s="6">
        <f t="shared" si="21"/>
        <v>885</v>
      </c>
      <c r="P295" s="5" t="s">
        <v>5</v>
      </c>
      <c r="Q295" s="5" t="s">
        <v>7</v>
      </c>
      <c r="R295" s="5">
        <f t="shared" si="22"/>
        <v>4</v>
      </c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3">
      <c r="A296" s="3">
        <v>45330</v>
      </c>
      <c r="B296" s="4" t="s">
        <v>31</v>
      </c>
      <c r="C296" s="5"/>
      <c r="D296" s="5"/>
      <c r="E296" s="5">
        <v>260</v>
      </c>
      <c r="F296" s="5">
        <v>345</v>
      </c>
      <c r="G296" s="5">
        <v>450</v>
      </c>
      <c r="H296" s="5"/>
      <c r="I296" s="5"/>
      <c r="J296" s="5">
        <v>300</v>
      </c>
      <c r="K296" s="5"/>
      <c r="L296" s="5"/>
      <c r="M296" s="5"/>
      <c r="N296" s="6">
        <f t="shared" si="20"/>
        <v>260</v>
      </c>
      <c r="O296" s="6">
        <f t="shared" si="21"/>
        <v>450</v>
      </c>
      <c r="P296" s="5" t="s">
        <v>5</v>
      </c>
      <c r="Q296" s="5" t="s">
        <v>7</v>
      </c>
      <c r="R296" s="5">
        <f t="shared" si="22"/>
        <v>4</v>
      </c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3">
      <c r="A297" s="3">
        <v>45332</v>
      </c>
      <c r="B297" s="4" t="s">
        <v>31</v>
      </c>
      <c r="C297" s="5"/>
      <c r="D297" s="5"/>
      <c r="E297" s="5">
        <v>675</v>
      </c>
      <c r="F297" s="5">
        <v>165</v>
      </c>
      <c r="G297" s="5">
        <v>325</v>
      </c>
      <c r="H297" s="5"/>
      <c r="I297" s="5"/>
      <c r="J297" s="5">
        <v>475</v>
      </c>
      <c r="K297" s="5"/>
      <c r="L297" s="5">
        <v>465</v>
      </c>
      <c r="M297" s="5"/>
      <c r="N297" s="6">
        <f t="shared" si="20"/>
        <v>165</v>
      </c>
      <c r="O297" s="6">
        <f t="shared" si="21"/>
        <v>675</v>
      </c>
      <c r="P297" s="5" t="s">
        <v>6</v>
      </c>
      <c r="Q297" s="5" t="s">
        <v>5</v>
      </c>
      <c r="R297" s="5">
        <f t="shared" si="22"/>
        <v>5</v>
      </c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3">
      <c r="A298" s="3">
        <v>45337</v>
      </c>
      <c r="B298" s="4" t="s">
        <v>31</v>
      </c>
      <c r="C298" s="5"/>
      <c r="D298" s="5"/>
      <c r="E298" s="5">
        <v>495</v>
      </c>
      <c r="F298" s="5">
        <v>560</v>
      </c>
      <c r="G298" s="5">
        <v>250</v>
      </c>
      <c r="H298" s="5"/>
      <c r="I298" s="5"/>
      <c r="J298" s="5">
        <v>510</v>
      </c>
      <c r="K298" s="5"/>
      <c r="L298" s="5"/>
      <c r="M298" s="5"/>
      <c r="N298" s="6">
        <f t="shared" si="20"/>
        <v>250</v>
      </c>
      <c r="O298" s="6">
        <f t="shared" si="21"/>
        <v>560</v>
      </c>
      <c r="P298" s="5" t="s">
        <v>7</v>
      </c>
      <c r="Q298" s="5" t="s">
        <v>6</v>
      </c>
      <c r="R298" s="5">
        <f t="shared" si="22"/>
        <v>4</v>
      </c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3">
      <c r="A299" s="3">
        <v>45339</v>
      </c>
      <c r="B299" s="4" t="s">
        <v>32</v>
      </c>
      <c r="C299" s="5"/>
      <c r="D299" s="5"/>
      <c r="E299" s="5">
        <v>340</v>
      </c>
      <c r="F299" s="5">
        <v>370</v>
      </c>
      <c r="G299" s="5"/>
      <c r="H299" s="5"/>
      <c r="I299" s="5"/>
      <c r="J299" s="5">
        <v>165</v>
      </c>
      <c r="K299" s="5"/>
      <c r="L299" s="5">
        <v>940</v>
      </c>
      <c r="M299" s="5"/>
      <c r="N299" s="6">
        <f t="shared" si="20"/>
        <v>165</v>
      </c>
      <c r="O299" s="6">
        <f t="shared" si="21"/>
        <v>940</v>
      </c>
      <c r="P299" s="5" t="s">
        <v>11</v>
      </c>
      <c r="Q299" s="5" t="s">
        <v>13</v>
      </c>
      <c r="R299" s="5">
        <f t="shared" si="22"/>
        <v>4</v>
      </c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3">
      <c r="A300" s="3">
        <v>45351</v>
      </c>
      <c r="B300" s="4" t="s">
        <v>31</v>
      </c>
      <c r="C300" s="5"/>
      <c r="D300" s="5"/>
      <c r="E300" s="5">
        <v>485</v>
      </c>
      <c r="F300" s="5">
        <v>615</v>
      </c>
      <c r="G300" s="5">
        <v>395</v>
      </c>
      <c r="H300" s="5"/>
      <c r="I300" s="5"/>
      <c r="J300" s="5">
        <v>290</v>
      </c>
      <c r="K300" s="5"/>
      <c r="L300" s="5"/>
      <c r="M300" s="5"/>
      <c r="N300" s="6">
        <f t="shared" si="20"/>
        <v>290</v>
      </c>
      <c r="O300" s="6">
        <f t="shared" si="21"/>
        <v>615</v>
      </c>
      <c r="P300" s="5" t="s">
        <v>11</v>
      </c>
      <c r="Q300" s="5" t="s">
        <v>6</v>
      </c>
      <c r="R300" s="5">
        <f t="shared" si="22"/>
        <v>4</v>
      </c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3">
      <c r="A301" s="3">
        <v>45353</v>
      </c>
      <c r="B301" s="4" t="s">
        <v>32</v>
      </c>
      <c r="C301" s="5"/>
      <c r="D301" s="5"/>
      <c r="E301" s="5">
        <v>390</v>
      </c>
      <c r="F301" s="5">
        <v>590</v>
      </c>
      <c r="G301" s="5"/>
      <c r="H301" s="5"/>
      <c r="I301" s="5"/>
      <c r="J301" s="5">
        <v>290</v>
      </c>
      <c r="K301" s="5"/>
      <c r="L301" s="5">
        <v>775</v>
      </c>
      <c r="M301" s="5"/>
      <c r="N301" s="6">
        <f t="shared" si="20"/>
        <v>290</v>
      </c>
      <c r="O301" s="6">
        <f t="shared" si="21"/>
        <v>775</v>
      </c>
      <c r="P301" s="5" t="s">
        <v>11</v>
      </c>
      <c r="Q301" s="5" t="s">
        <v>13</v>
      </c>
      <c r="R301" s="5">
        <f t="shared" si="22"/>
        <v>4</v>
      </c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3">
      <c r="A302" s="3">
        <v>45358</v>
      </c>
      <c r="B302" s="4" t="s">
        <v>31</v>
      </c>
      <c r="C302" s="5"/>
      <c r="D302" s="5"/>
      <c r="E302" s="5"/>
      <c r="F302" s="5">
        <v>315</v>
      </c>
      <c r="G302" s="5">
        <v>135</v>
      </c>
      <c r="H302" s="5"/>
      <c r="I302" s="5"/>
      <c r="J302" s="5">
        <v>595</v>
      </c>
      <c r="K302" s="5"/>
      <c r="L302" s="5"/>
      <c r="M302" s="5"/>
      <c r="N302" s="6">
        <f t="shared" si="20"/>
        <v>135</v>
      </c>
      <c r="O302" s="6">
        <f t="shared" si="21"/>
        <v>595</v>
      </c>
      <c r="P302" s="5" t="s">
        <v>7</v>
      </c>
      <c r="Q302" s="5" t="s">
        <v>11</v>
      </c>
      <c r="R302" s="5">
        <f t="shared" si="22"/>
        <v>3</v>
      </c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3">
      <c r="A303" s="3">
        <v>45360</v>
      </c>
      <c r="B303" s="4" t="s">
        <v>32</v>
      </c>
      <c r="C303" s="5"/>
      <c r="D303" s="5"/>
      <c r="E303" s="5">
        <v>280</v>
      </c>
      <c r="F303" s="5">
        <v>655</v>
      </c>
      <c r="G303" s="5">
        <v>695</v>
      </c>
      <c r="H303" s="5"/>
      <c r="I303" s="5"/>
      <c r="J303" s="5">
        <v>485</v>
      </c>
      <c r="K303" s="5"/>
      <c r="L303" s="5">
        <v>545</v>
      </c>
      <c r="M303" s="5"/>
      <c r="N303" s="6">
        <f t="shared" si="20"/>
        <v>280</v>
      </c>
      <c r="O303" s="6">
        <f t="shared" si="21"/>
        <v>695</v>
      </c>
      <c r="P303" s="5" t="s">
        <v>5</v>
      </c>
      <c r="Q303" s="5" t="s">
        <v>7</v>
      </c>
      <c r="R303" s="5">
        <f t="shared" si="22"/>
        <v>5</v>
      </c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3">
      <c r="A304" s="3">
        <v>45364</v>
      </c>
      <c r="B304" s="4" t="s">
        <v>31</v>
      </c>
      <c r="C304" s="5"/>
      <c r="D304" s="5"/>
      <c r="E304" s="5">
        <v>325</v>
      </c>
      <c r="F304" s="5">
        <v>405</v>
      </c>
      <c r="G304" s="5"/>
      <c r="H304" s="5"/>
      <c r="I304" s="5"/>
      <c r="J304" s="5">
        <v>375</v>
      </c>
      <c r="K304" s="5">
        <v>540</v>
      </c>
      <c r="L304" s="5"/>
      <c r="M304" s="5"/>
      <c r="N304" s="6">
        <f t="shared" si="20"/>
        <v>325</v>
      </c>
      <c r="O304" s="6">
        <f t="shared" si="21"/>
        <v>540</v>
      </c>
      <c r="P304" s="5" t="s">
        <v>5</v>
      </c>
      <c r="Q304" s="5" t="s">
        <v>12</v>
      </c>
      <c r="R304" s="5">
        <f t="shared" si="22"/>
        <v>4</v>
      </c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3">
      <c r="A305" s="3">
        <v>45367</v>
      </c>
      <c r="B305" s="4" t="s">
        <v>31</v>
      </c>
      <c r="C305" s="5"/>
      <c r="D305" s="5"/>
      <c r="E305" s="5">
        <v>685</v>
      </c>
      <c r="F305" s="5">
        <v>520</v>
      </c>
      <c r="G305" s="5">
        <v>550</v>
      </c>
      <c r="H305" s="5"/>
      <c r="I305" s="5"/>
      <c r="J305" s="5">
        <v>630</v>
      </c>
      <c r="K305" s="5">
        <v>460</v>
      </c>
      <c r="L305" s="5"/>
      <c r="M305" s="5"/>
      <c r="N305" s="6">
        <f t="shared" si="20"/>
        <v>460</v>
      </c>
      <c r="O305" s="6">
        <f t="shared" si="21"/>
        <v>685</v>
      </c>
      <c r="P305" s="5" t="s">
        <v>12</v>
      </c>
      <c r="Q305" s="5" t="s">
        <v>5</v>
      </c>
      <c r="R305" s="5">
        <f t="shared" si="22"/>
        <v>5</v>
      </c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3">
      <c r="A306" s="3">
        <v>45372</v>
      </c>
      <c r="B306" s="4" t="s">
        <v>31</v>
      </c>
      <c r="C306" s="5"/>
      <c r="D306" s="5"/>
      <c r="E306" s="5">
        <v>615</v>
      </c>
      <c r="F306" s="5">
        <v>260</v>
      </c>
      <c r="G306" s="5">
        <v>525</v>
      </c>
      <c r="H306" s="5"/>
      <c r="I306" s="5"/>
      <c r="J306" s="5">
        <v>790</v>
      </c>
      <c r="K306" s="5"/>
      <c r="L306" s="5"/>
      <c r="M306" s="5"/>
      <c r="N306" s="6">
        <f t="shared" si="20"/>
        <v>260</v>
      </c>
      <c r="O306" s="6">
        <f t="shared" si="21"/>
        <v>790</v>
      </c>
      <c r="P306" s="5" t="s">
        <v>6</v>
      </c>
      <c r="Q306" s="5" t="s">
        <v>11</v>
      </c>
      <c r="R306" s="5">
        <f t="shared" si="22"/>
        <v>4</v>
      </c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3">
      <c r="A307" s="3">
        <v>45380</v>
      </c>
      <c r="B307" s="4" t="s">
        <v>49</v>
      </c>
      <c r="C307" s="5"/>
      <c r="D307" s="5"/>
      <c r="E307" s="5"/>
      <c r="F307" s="5">
        <v>325</v>
      </c>
      <c r="G307" s="5"/>
      <c r="H307" s="5"/>
      <c r="I307" s="5"/>
      <c r="J307" s="5">
        <v>460</v>
      </c>
      <c r="K307" s="5">
        <v>405</v>
      </c>
      <c r="L307" s="5"/>
      <c r="M307" s="5"/>
      <c r="N307" s="6">
        <f t="shared" si="20"/>
        <v>325</v>
      </c>
      <c r="O307" s="6">
        <f t="shared" si="21"/>
        <v>460</v>
      </c>
      <c r="P307" s="5" t="s">
        <v>6</v>
      </c>
      <c r="Q307" s="5" t="s">
        <v>11</v>
      </c>
      <c r="R307" s="5">
        <f t="shared" si="22"/>
        <v>3</v>
      </c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3">
      <c r="A308" s="3">
        <v>45381</v>
      </c>
      <c r="B308" s="4" t="s">
        <v>50</v>
      </c>
      <c r="C308" s="5"/>
      <c r="D308" s="5"/>
      <c r="E308" s="5"/>
      <c r="F308" s="5">
        <v>190</v>
      </c>
      <c r="G308" s="5"/>
      <c r="H308" s="5"/>
      <c r="I308" s="5"/>
      <c r="J308" s="5">
        <v>275</v>
      </c>
      <c r="K308" s="5">
        <v>705</v>
      </c>
      <c r="L308" s="5"/>
      <c r="M308" s="5"/>
      <c r="N308" s="6">
        <f t="shared" si="20"/>
        <v>190</v>
      </c>
      <c r="O308" s="6">
        <f t="shared" si="21"/>
        <v>705</v>
      </c>
      <c r="P308" s="5" t="s">
        <v>6</v>
      </c>
      <c r="Q308" s="5" t="s">
        <v>12</v>
      </c>
      <c r="R308" s="5">
        <f t="shared" si="22"/>
        <v>3</v>
      </c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3">
      <c r="A309" s="3">
        <v>45392</v>
      </c>
      <c r="B309" s="4" t="s">
        <v>51</v>
      </c>
      <c r="C309" s="5"/>
      <c r="D309" s="5"/>
      <c r="E309" s="5"/>
      <c r="F309" s="5">
        <v>320</v>
      </c>
      <c r="G309" s="5"/>
      <c r="H309" s="5"/>
      <c r="I309" s="5"/>
      <c r="J309" s="5">
        <v>365</v>
      </c>
      <c r="K309" s="5">
        <v>520</v>
      </c>
      <c r="L309" s="5"/>
      <c r="M309" s="5"/>
      <c r="N309" s="6">
        <f t="shared" si="20"/>
        <v>320</v>
      </c>
      <c r="O309" s="6">
        <f t="shared" si="21"/>
        <v>520</v>
      </c>
      <c r="P309" s="5" t="s">
        <v>6</v>
      </c>
      <c r="Q309" s="5" t="s">
        <v>12</v>
      </c>
      <c r="R309" s="5">
        <f t="shared" si="22"/>
        <v>3</v>
      </c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3">
      <c r="A310" s="3">
        <v>45393</v>
      </c>
      <c r="B310" s="4" t="s">
        <v>52</v>
      </c>
      <c r="C310" s="5"/>
      <c r="D310" s="5"/>
      <c r="E310" s="5"/>
      <c r="F310" s="5">
        <v>420</v>
      </c>
      <c r="G310" s="5"/>
      <c r="H310" s="5"/>
      <c r="I310" s="5"/>
      <c r="J310" s="5">
        <v>370</v>
      </c>
      <c r="K310" s="5">
        <v>425</v>
      </c>
      <c r="L310" s="5"/>
      <c r="M310" s="5"/>
      <c r="N310" s="6">
        <f t="shared" si="20"/>
        <v>370</v>
      </c>
      <c r="O310" s="6">
        <f t="shared" si="21"/>
        <v>425</v>
      </c>
      <c r="P310" s="5" t="s">
        <v>11</v>
      </c>
      <c r="Q310" s="5" t="s">
        <v>12</v>
      </c>
      <c r="R310" s="5">
        <f t="shared" si="22"/>
        <v>3</v>
      </c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3">
      <c r="A311" s="3">
        <v>45395</v>
      </c>
      <c r="B311" s="4" t="s">
        <v>52</v>
      </c>
      <c r="C311" s="5"/>
      <c r="D311" s="5"/>
      <c r="E311" s="5"/>
      <c r="F311" s="5">
        <v>180</v>
      </c>
      <c r="G311" s="5"/>
      <c r="H311" s="5"/>
      <c r="I311" s="5"/>
      <c r="J311" s="5">
        <v>570</v>
      </c>
      <c r="K311" s="5">
        <v>525</v>
      </c>
      <c r="L311" s="5"/>
      <c r="M311" s="5"/>
      <c r="N311" s="6">
        <f t="shared" si="20"/>
        <v>180</v>
      </c>
      <c r="O311" s="6">
        <f t="shared" si="21"/>
        <v>570</v>
      </c>
      <c r="P311" s="5" t="s">
        <v>6</v>
      </c>
      <c r="Q311" s="5" t="s">
        <v>11</v>
      </c>
      <c r="R311" s="5">
        <f t="shared" si="22"/>
        <v>3</v>
      </c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3">
      <c r="A312" s="3">
        <v>45397</v>
      </c>
      <c r="B312" s="4" t="s">
        <v>52</v>
      </c>
      <c r="C312" s="5"/>
      <c r="D312" s="5"/>
      <c r="E312" s="5"/>
      <c r="F312" s="5">
        <v>545</v>
      </c>
      <c r="G312" s="5"/>
      <c r="H312" s="5"/>
      <c r="I312" s="5"/>
      <c r="J312" s="5">
        <v>315</v>
      </c>
      <c r="K312" s="5">
        <v>630</v>
      </c>
      <c r="L312" s="5"/>
      <c r="M312" s="5"/>
      <c r="N312" s="6">
        <f t="shared" si="20"/>
        <v>315</v>
      </c>
      <c r="O312" s="6">
        <f t="shared" si="21"/>
        <v>630</v>
      </c>
      <c r="P312" s="5" t="s">
        <v>11</v>
      </c>
      <c r="Q312" s="5" t="s">
        <v>12</v>
      </c>
      <c r="R312" s="5">
        <f t="shared" si="22"/>
        <v>3</v>
      </c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3">
      <c r="A313" s="3">
        <v>45398</v>
      </c>
      <c r="B313" s="4" t="s">
        <v>52</v>
      </c>
      <c r="C313" s="5"/>
      <c r="D313" s="5"/>
      <c r="E313" s="5"/>
      <c r="F313" s="5">
        <v>445</v>
      </c>
      <c r="G313" s="5"/>
      <c r="H313" s="5"/>
      <c r="I313" s="5"/>
      <c r="J313" s="5">
        <v>355</v>
      </c>
      <c r="K313" s="5">
        <v>240</v>
      </c>
      <c r="L313" s="5"/>
      <c r="M313" s="5"/>
      <c r="N313" s="6">
        <f t="shared" si="20"/>
        <v>240</v>
      </c>
      <c r="O313" s="6">
        <f t="shared" si="21"/>
        <v>445</v>
      </c>
      <c r="P313" s="5" t="s">
        <v>12</v>
      </c>
      <c r="Q313" s="5" t="s">
        <v>6</v>
      </c>
      <c r="R313" s="5">
        <f t="shared" si="22"/>
        <v>3</v>
      </c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3">
      <c r="A314" s="3">
        <v>45391</v>
      </c>
      <c r="B314" s="4" t="s">
        <v>53</v>
      </c>
      <c r="C314" s="5"/>
      <c r="D314" s="5"/>
      <c r="E314" s="5"/>
      <c r="F314" s="5">
        <v>245</v>
      </c>
      <c r="G314" s="5"/>
      <c r="H314" s="5"/>
      <c r="I314" s="5"/>
      <c r="J314" s="5">
        <v>230</v>
      </c>
      <c r="K314" s="5">
        <v>150</v>
      </c>
      <c r="L314" s="5"/>
      <c r="M314" s="5"/>
      <c r="N314" s="6">
        <f t="shared" si="20"/>
        <v>150</v>
      </c>
      <c r="O314" s="6">
        <f t="shared" si="21"/>
        <v>245</v>
      </c>
      <c r="P314" s="5" t="s">
        <v>12</v>
      </c>
      <c r="Q314" s="5" t="s">
        <v>6</v>
      </c>
      <c r="R314" s="5">
        <f t="shared" si="22"/>
        <v>3</v>
      </c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3">
      <c r="A315" s="3">
        <v>45407</v>
      </c>
      <c r="B315" s="4" t="s">
        <v>31</v>
      </c>
      <c r="C315" s="5"/>
      <c r="D315" s="5"/>
      <c r="E315" s="5">
        <v>245</v>
      </c>
      <c r="F315" s="5" t="s">
        <v>54</v>
      </c>
      <c r="G315" s="5">
        <v>500</v>
      </c>
      <c r="H315" s="5"/>
      <c r="I315" s="5"/>
      <c r="J315" s="5">
        <v>535</v>
      </c>
      <c r="K315" s="5"/>
      <c r="L315" s="5"/>
      <c r="M315" s="5"/>
      <c r="N315" s="6">
        <f t="shared" si="20"/>
        <v>245</v>
      </c>
      <c r="O315" s="6">
        <f t="shared" si="21"/>
        <v>535</v>
      </c>
      <c r="P315" s="5" t="s">
        <v>5</v>
      </c>
      <c r="Q315" s="5" t="s">
        <v>11</v>
      </c>
      <c r="R315" s="5">
        <f t="shared" si="22"/>
        <v>3</v>
      </c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3">
      <c r="A316" s="3">
        <v>45416</v>
      </c>
      <c r="B316" s="4" t="s">
        <v>31</v>
      </c>
      <c r="C316" s="5"/>
      <c r="D316" s="5"/>
      <c r="E316" s="5"/>
      <c r="F316" s="5">
        <v>160</v>
      </c>
      <c r="G316" s="5">
        <v>445</v>
      </c>
      <c r="H316" s="5"/>
      <c r="I316" s="5"/>
      <c r="J316" s="5">
        <v>655</v>
      </c>
      <c r="K316" s="5"/>
      <c r="L316" s="5">
        <v>490</v>
      </c>
      <c r="M316" s="5"/>
      <c r="N316" s="6">
        <f t="shared" si="20"/>
        <v>160</v>
      </c>
      <c r="O316" s="6">
        <f t="shared" si="21"/>
        <v>655</v>
      </c>
      <c r="P316" s="5" t="s">
        <v>6</v>
      </c>
      <c r="Q316" s="5" t="s">
        <v>11</v>
      </c>
      <c r="R316" s="5">
        <f t="shared" si="22"/>
        <v>4</v>
      </c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3">
      <c r="A317" s="3">
        <v>45424</v>
      </c>
      <c r="B317" s="4" t="s">
        <v>31</v>
      </c>
      <c r="C317" s="5"/>
      <c r="D317" s="5"/>
      <c r="E317" s="5">
        <v>385</v>
      </c>
      <c r="F317" s="5">
        <v>165</v>
      </c>
      <c r="G317" s="5"/>
      <c r="H317" s="5"/>
      <c r="I317" s="5"/>
      <c r="J317" s="5">
        <v>470</v>
      </c>
      <c r="K317" s="5"/>
      <c r="L317" s="5"/>
      <c r="M317" s="5"/>
      <c r="N317" s="6">
        <f t="shared" si="20"/>
        <v>165</v>
      </c>
      <c r="O317" s="6">
        <f t="shared" si="21"/>
        <v>470</v>
      </c>
      <c r="P317" s="5" t="s">
        <v>6</v>
      </c>
      <c r="Q317" s="5" t="s">
        <v>11</v>
      </c>
      <c r="R317" s="5">
        <f t="shared" si="22"/>
        <v>3</v>
      </c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3">
      <c r="A318" s="3">
        <v>45426</v>
      </c>
      <c r="B318" s="4" t="s">
        <v>31</v>
      </c>
      <c r="C318" s="5"/>
      <c r="D318" s="5"/>
      <c r="E318" s="5">
        <v>515</v>
      </c>
      <c r="F318" s="5">
        <v>305</v>
      </c>
      <c r="G318" s="5">
        <v>335</v>
      </c>
      <c r="H318" s="5"/>
      <c r="I318" s="5"/>
      <c r="J318" s="5">
        <v>485</v>
      </c>
      <c r="K318" s="5"/>
      <c r="L318" s="5"/>
      <c r="M318" s="5"/>
      <c r="N318" s="6">
        <f t="shared" si="20"/>
        <v>305</v>
      </c>
      <c r="O318" s="6">
        <f t="shared" si="21"/>
        <v>515</v>
      </c>
      <c r="P318" s="5" t="s">
        <v>6</v>
      </c>
      <c r="Q318" s="5" t="s">
        <v>5</v>
      </c>
      <c r="R318" s="5">
        <f t="shared" si="22"/>
        <v>4</v>
      </c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3">
      <c r="A319" s="3">
        <v>45430</v>
      </c>
      <c r="B319" s="4" t="s">
        <v>31</v>
      </c>
      <c r="C319" s="5"/>
      <c r="D319" s="5"/>
      <c r="E319" s="5">
        <v>385</v>
      </c>
      <c r="F319" s="5">
        <v>390</v>
      </c>
      <c r="G319" s="5"/>
      <c r="H319" s="5"/>
      <c r="I319" s="5"/>
      <c r="J319" s="5">
        <v>110</v>
      </c>
      <c r="K319" s="5"/>
      <c r="L319" s="5">
        <v>265</v>
      </c>
      <c r="M319" s="5"/>
      <c r="N319" s="6">
        <f t="shared" si="20"/>
        <v>110</v>
      </c>
      <c r="O319" s="6">
        <f t="shared" si="21"/>
        <v>390</v>
      </c>
      <c r="P319" s="5" t="s">
        <v>11</v>
      </c>
      <c r="Q319" s="5" t="s">
        <v>6</v>
      </c>
      <c r="R319" s="5">
        <f t="shared" si="22"/>
        <v>4</v>
      </c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3">
      <c r="A320" s="3">
        <v>45438</v>
      </c>
      <c r="B320" s="4" t="s">
        <v>49</v>
      </c>
      <c r="C320" s="5"/>
      <c r="D320" s="5"/>
      <c r="E320" s="5"/>
      <c r="F320" s="5">
        <v>170</v>
      </c>
      <c r="G320" s="5"/>
      <c r="H320" s="5"/>
      <c r="I320" s="5">
        <v>430</v>
      </c>
      <c r="J320" s="5">
        <v>490</v>
      </c>
      <c r="K320" s="5">
        <v>445</v>
      </c>
      <c r="L320" s="5"/>
      <c r="M320" s="5"/>
      <c r="N320" s="6">
        <f t="shared" si="20"/>
        <v>170</v>
      </c>
      <c r="O320" s="6">
        <f t="shared" si="21"/>
        <v>490</v>
      </c>
      <c r="P320" s="5" t="s">
        <v>6</v>
      </c>
      <c r="Q320" s="5" t="s">
        <v>11</v>
      </c>
      <c r="R320" s="5">
        <f t="shared" si="22"/>
        <v>4</v>
      </c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3">
      <c r="A321" s="3">
        <v>45444</v>
      </c>
      <c r="B321" s="4" t="s">
        <v>31</v>
      </c>
      <c r="C321" s="5"/>
      <c r="D321" s="5"/>
      <c r="E321" s="5">
        <v>415</v>
      </c>
      <c r="F321" s="5">
        <v>300</v>
      </c>
      <c r="G321" s="5"/>
      <c r="H321" s="5"/>
      <c r="I321" s="5">
        <v>220</v>
      </c>
      <c r="J321" s="5">
        <v>485</v>
      </c>
      <c r="K321" s="5"/>
      <c r="L321" s="5"/>
      <c r="M321" s="5"/>
      <c r="N321" s="6">
        <f t="shared" si="20"/>
        <v>220</v>
      </c>
      <c r="O321" s="6">
        <f t="shared" si="21"/>
        <v>485</v>
      </c>
      <c r="P321" s="5" t="s">
        <v>10</v>
      </c>
      <c r="Q321" s="5" t="s">
        <v>11</v>
      </c>
      <c r="R321" s="5">
        <f t="shared" si="22"/>
        <v>4</v>
      </c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3">
      <c r="A322" s="3">
        <v>45451</v>
      </c>
      <c r="B322" s="4" t="s">
        <v>32</v>
      </c>
      <c r="C322" s="5"/>
      <c r="D322" s="5"/>
      <c r="E322" s="5">
        <v>485</v>
      </c>
      <c r="F322" s="5">
        <v>525</v>
      </c>
      <c r="G322" s="5"/>
      <c r="H322" s="5"/>
      <c r="I322" s="5"/>
      <c r="J322" s="5">
        <v>400</v>
      </c>
      <c r="K322" s="5"/>
      <c r="L322" s="5"/>
      <c r="M322" s="5"/>
      <c r="N322" s="6">
        <f t="shared" ref="N322:N385" si="23">MIN($D322:$M322)</f>
        <v>400</v>
      </c>
      <c r="O322" s="6">
        <f t="shared" ref="O322:O385" si="24">MAX($D322:$M322)</f>
        <v>525</v>
      </c>
      <c r="P322" s="5" t="s">
        <v>11</v>
      </c>
      <c r="Q322" s="5" t="s">
        <v>6</v>
      </c>
      <c r="R322" s="5">
        <f t="shared" ref="R322:R385" si="25">COUNT(D322:M322)</f>
        <v>3</v>
      </c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3">
      <c r="A323" s="3">
        <v>45471</v>
      </c>
      <c r="B323" s="4" t="s">
        <v>31</v>
      </c>
      <c r="C323" s="5"/>
      <c r="D323" s="5"/>
      <c r="E323" s="5">
        <v>335</v>
      </c>
      <c r="F323" s="5">
        <v>565</v>
      </c>
      <c r="G323" s="5"/>
      <c r="H323" s="5"/>
      <c r="I323" s="5"/>
      <c r="J323" s="5">
        <v>1100</v>
      </c>
      <c r="K323" s="5">
        <v>880</v>
      </c>
      <c r="L323" s="5"/>
      <c r="M323" s="5"/>
      <c r="N323" s="6">
        <f t="shared" si="23"/>
        <v>335</v>
      </c>
      <c r="O323" s="6">
        <f t="shared" si="24"/>
        <v>1100</v>
      </c>
      <c r="P323" s="5" t="s">
        <v>5</v>
      </c>
      <c r="Q323" s="5" t="s">
        <v>11</v>
      </c>
      <c r="R323" s="5">
        <f t="shared" si="25"/>
        <v>4</v>
      </c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3">
      <c r="A324" s="3">
        <v>45476</v>
      </c>
      <c r="B324" s="4" t="s">
        <v>55</v>
      </c>
      <c r="C324" s="5"/>
      <c r="D324" s="5"/>
      <c r="E324" s="5">
        <v>680</v>
      </c>
      <c r="F324" s="5">
        <v>520</v>
      </c>
      <c r="G324" s="5"/>
      <c r="H324" s="5"/>
      <c r="I324" s="5"/>
      <c r="J324" s="5">
        <v>200</v>
      </c>
      <c r="K324" s="5"/>
      <c r="L324" s="5"/>
      <c r="M324" s="5"/>
      <c r="N324" s="6">
        <f t="shared" si="23"/>
        <v>200</v>
      </c>
      <c r="O324" s="6">
        <f t="shared" si="24"/>
        <v>680</v>
      </c>
      <c r="P324" s="5" t="s">
        <v>11</v>
      </c>
      <c r="Q324" s="5" t="s">
        <v>5</v>
      </c>
      <c r="R324" s="5">
        <f t="shared" si="25"/>
        <v>3</v>
      </c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3">
      <c r="A325" s="3">
        <v>45481</v>
      </c>
      <c r="B325" s="4" t="s">
        <v>56</v>
      </c>
      <c r="C325" s="5"/>
      <c r="D325" s="5"/>
      <c r="E325" s="5">
        <v>510</v>
      </c>
      <c r="F325" s="5">
        <v>660</v>
      </c>
      <c r="G325" s="5"/>
      <c r="H325" s="5">
        <v>1140</v>
      </c>
      <c r="I325" s="5"/>
      <c r="J325" s="5">
        <v>420</v>
      </c>
      <c r="K325" s="5"/>
      <c r="L325" s="5"/>
      <c r="M325" s="5"/>
      <c r="N325" s="6">
        <f t="shared" si="23"/>
        <v>420</v>
      </c>
      <c r="O325" s="6">
        <f t="shared" si="24"/>
        <v>1140</v>
      </c>
      <c r="P325" s="5" t="s">
        <v>11</v>
      </c>
      <c r="Q325" s="5" t="s">
        <v>8</v>
      </c>
      <c r="R325" s="5">
        <f t="shared" si="25"/>
        <v>4</v>
      </c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3">
      <c r="A326" s="3">
        <v>45485</v>
      </c>
      <c r="B326" s="4" t="s">
        <v>57</v>
      </c>
      <c r="C326" s="5"/>
      <c r="D326" s="5"/>
      <c r="E326" s="5">
        <v>205</v>
      </c>
      <c r="F326" s="5">
        <v>415</v>
      </c>
      <c r="G326" s="5"/>
      <c r="H326" s="5"/>
      <c r="I326" s="5"/>
      <c r="J326" s="5">
        <v>220</v>
      </c>
      <c r="K326" s="5"/>
      <c r="L326" s="5"/>
      <c r="M326" s="5"/>
      <c r="N326" s="6">
        <f t="shared" si="23"/>
        <v>205</v>
      </c>
      <c r="O326" s="6">
        <f t="shared" si="24"/>
        <v>415</v>
      </c>
      <c r="P326" s="5" t="s">
        <v>5</v>
      </c>
      <c r="Q326" s="5" t="s">
        <v>6</v>
      </c>
      <c r="R326" s="5">
        <f t="shared" si="25"/>
        <v>3</v>
      </c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3">
      <c r="A327" s="3">
        <v>45486</v>
      </c>
      <c r="B327" s="4" t="s">
        <v>31</v>
      </c>
      <c r="C327" s="5"/>
      <c r="D327" s="5"/>
      <c r="E327" s="5">
        <v>455</v>
      </c>
      <c r="F327" s="5">
        <v>380</v>
      </c>
      <c r="G327" s="5"/>
      <c r="H327" s="5"/>
      <c r="I327" s="5"/>
      <c r="J327" s="5">
        <v>385</v>
      </c>
      <c r="K327" s="5">
        <v>505</v>
      </c>
      <c r="L327" s="5"/>
      <c r="M327" s="5"/>
      <c r="N327" s="6">
        <f t="shared" si="23"/>
        <v>380</v>
      </c>
      <c r="O327" s="6">
        <f t="shared" si="24"/>
        <v>505</v>
      </c>
      <c r="P327" s="5" t="s">
        <v>6</v>
      </c>
      <c r="Q327" s="5" t="s">
        <v>12</v>
      </c>
      <c r="R327" s="5">
        <f t="shared" si="25"/>
        <v>4</v>
      </c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3">
      <c r="A328" s="3">
        <v>45493</v>
      </c>
      <c r="B328" s="4" t="s">
        <v>32</v>
      </c>
      <c r="C328" s="5"/>
      <c r="D328" s="5"/>
      <c r="E328" s="5">
        <v>530</v>
      </c>
      <c r="F328" s="5">
        <v>595</v>
      </c>
      <c r="G328" s="5"/>
      <c r="H328" s="5"/>
      <c r="I328" s="5"/>
      <c r="J328" s="5">
        <v>355</v>
      </c>
      <c r="K328" s="5">
        <v>255</v>
      </c>
      <c r="L328" s="5">
        <v>530</v>
      </c>
      <c r="M328" s="5"/>
      <c r="N328" s="6">
        <f t="shared" si="23"/>
        <v>255</v>
      </c>
      <c r="O328" s="6">
        <f t="shared" si="24"/>
        <v>595</v>
      </c>
      <c r="P328" s="5" t="s">
        <v>12</v>
      </c>
      <c r="Q328" s="5" t="s">
        <v>6</v>
      </c>
      <c r="R328" s="5">
        <f t="shared" si="25"/>
        <v>5</v>
      </c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3">
      <c r="A329" s="3">
        <v>45494</v>
      </c>
      <c r="B329" s="4" t="s">
        <v>31</v>
      </c>
      <c r="C329" s="5"/>
      <c r="D329" s="5"/>
      <c r="E329" s="5">
        <v>210</v>
      </c>
      <c r="F329" s="5">
        <v>435</v>
      </c>
      <c r="G329" s="5"/>
      <c r="H329" s="5"/>
      <c r="I329" s="5"/>
      <c r="J329" s="5">
        <v>420</v>
      </c>
      <c r="K329" s="5">
        <v>315</v>
      </c>
      <c r="L329" s="5"/>
      <c r="M329" s="5"/>
      <c r="N329" s="6">
        <f t="shared" si="23"/>
        <v>210</v>
      </c>
      <c r="O329" s="6">
        <f t="shared" si="24"/>
        <v>435</v>
      </c>
      <c r="P329" s="5" t="s">
        <v>5</v>
      </c>
      <c r="Q329" s="5" t="s">
        <v>6</v>
      </c>
      <c r="R329" s="5">
        <f t="shared" si="25"/>
        <v>4</v>
      </c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3">
      <c r="A330" s="3">
        <v>45497</v>
      </c>
      <c r="B330" s="4" t="s">
        <v>31</v>
      </c>
      <c r="C330" s="5"/>
      <c r="D330" s="5"/>
      <c r="E330" s="5"/>
      <c r="F330" s="5">
        <v>640</v>
      </c>
      <c r="G330" s="5">
        <v>265</v>
      </c>
      <c r="H330" s="5"/>
      <c r="I330" s="5"/>
      <c r="J330" s="5">
        <v>490</v>
      </c>
      <c r="K330" s="5">
        <v>405</v>
      </c>
      <c r="L330" s="5"/>
      <c r="M330" s="5"/>
      <c r="N330" s="6">
        <f t="shared" si="23"/>
        <v>265</v>
      </c>
      <c r="O330" s="6">
        <f t="shared" si="24"/>
        <v>640</v>
      </c>
      <c r="P330" s="5" t="s">
        <v>7</v>
      </c>
      <c r="Q330" s="5" t="s">
        <v>6</v>
      </c>
      <c r="R330" s="5">
        <f t="shared" si="25"/>
        <v>4</v>
      </c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3">
      <c r="A331" s="3">
        <v>45498</v>
      </c>
      <c r="B331" s="4" t="s">
        <v>31</v>
      </c>
      <c r="C331" s="5"/>
      <c r="D331" s="5"/>
      <c r="E331" s="5">
        <v>330</v>
      </c>
      <c r="F331" s="5">
        <v>335</v>
      </c>
      <c r="G331" s="5"/>
      <c r="H331" s="5"/>
      <c r="I331" s="5"/>
      <c r="J331" s="5">
        <v>410</v>
      </c>
      <c r="K331" s="5">
        <v>355</v>
      </c>
      <c r="L331" s="5"/>
      <c r="M331" s="5"/>
      <c r="N331" s="6">
        <f t="shared" si="23"/>
        <v>330</v>
      </c>
      <c r="O331" s="6">
        <f t="shared" si="24"/>
        <v>410</v>
      </c>
      <c r="P331" s="5" t="s">
        <v>5</v>
      </c>
      <c r="Q331" s="5" t="s">
        <v>11</v>
      </c>
      <c r="R331" s="5">
        <f t="shared" si="25"/>
        <v>4</v>
      </c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3">
      <c r="A332" s="3">
        <v>45516</v>
      </c>
      <c r="B332" s="4" t="s">
        <v>32</v>
      </c>
      <c r="C332" s="5" t="s">
        <v>21</v>
      </c>
      <c r="D332" s="5"/>
      <c r="E332" s="5">
        <v>405</v>
      </c>
      <c r="F332" s="5">
        <v>390</v>
      </c>
      <c r="G332" s="5"/>
      <c r="H332" s="5">
        <v>75</v>
      </c>
      <c r="I332" s="5"/>
      <c r="J332" s="5">
        <v>235</v>
      </c>
      <c r="K332" s="5"/>
      <c r="L332" s="5"/>
      <c r="M332" s="5"/>
      <c r="N332" s="6">
        <f t="shared" si="23"/>
        <v>75</v>
      </c>
      <c r="O332" s="6">
        <f t="shared" si="24"/>
        <v>405</v>
      </c>
      <c r="P332" s="5" t="s">
        <v>8</v>
      </c>
      <c r="Q332" s="5" t="s">
        <v>5</v>
      </c>
      <c r="R332" s="5">
        <f t="shared" si="25"/>
        <v>4</v>
      </c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3">
      <c r="A333" s="3">
        <v>45521</v>
      </c>
      <c r="B333" s="4" t="s">
        <v>32</v>
      </c>
      <c r="C333" s="5"/>
      <c r="D333" s="5"/>
      <c r="E333" s="5">
        <v>170</v>
      </c>
      <c r="F333" s="5">
        <v>175</v>
      </c>
      <c r="G333" s="5">
        <v>375</v>
      </c>
      <c r="H333" s="5"/>
      <c r="I333" s="5"/>
      <c r="J333" s="5">
        <v>675</v>
      </c>
      <c r="K333" s="5"/>
      <c r="L333" s="5">
        <v>640</v>
      </c>
      <c r="M333" s="5"/>
      <c r="N333" s="6">
        <f t="shared" si="23"/>
        <v>170</v>
      </c>
      <c r="O333" s="6">
        <f t="shared" si="24"/>
        <v>675</v>
      </c>
      <c r="P333" s="5" t="s">
        <v>5</v>
      </c>
      <c r="Q333" s="5" t="s">
        <v>11</v>
      </c>
      <c r="R333" s="5">
        <f t="shared" si="25"/>
        <v>5</v>
      </c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3">
      <c r="A334" s="3">
        <v>45534</v>
      </c>
      <c r="B334" s="4" t="s">
        <v>49</v>
      </c>
      <c r="C334" s="5"/>
      <c r="D334" s="5"/>
      <c r="E334" s="5"/>
      <c r="F334" s="5"/>
      <c r="G334" s="5"/>
      <c r="H334" s="5"/>
      <c r="I334" s="5">
        <v>870</v>
      </c>
      <c r="J334" s="5">
        <v>170</v>
      </c>
      <c r="K334" s="5">
        <v>210</v>
      </c>
      <c r="L334" s="5"/>
      <c r="M334" s="5"/>
      <c r="N334" s="6">
        <f t="shared" si="23"/>
        <v>170</v>
      </c>
      <c r="O334" s="6">
        <f t="shared" si="24"/>
        <v>870</v>
      </c>
      <c r="P334" s="5" t="s">
        <v>11</v>
      </c>
      <c r="Q334" s="5" t="s">
        <v>10</v>
      </c>
      <c r="R334" s="5">
        <f t="shared" si="25"/>
        <v>3</v>
      </c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3">
      <c r="A335" s="3">
        <v>45536</v>
      </c>
      <c r="B335" s="4" t="s">
        <v>32</v>
      </c>
      <c r="C335" s="5"/>
      <c r="D335" s="5"/>
      <c r="E335" s="5">
        <v>740</v>
      </c>
      <c r="F335" s="5">
        <v>525</v>
      </c>
      <c r="G335" s="5"/>
      <c r="H335" s="5"/>
      <c r="I335" s="5"/>
      <c r="J335" s="5">
        <v>240</v>
      </c>
      <c r="K335" s="5"/>
      <c r="L335" s="5">
        <v>285</v>
      </c>
      <c r="M335" s="5"/>
      <c r="N335" s="6">
        <f t="shared" si="23"/>
        <v>240</v>
      </c>
      <c r="O335" s="6">
        <f t="shared" si="24"/>
        <v>740</v>
      </c>
      <c r="P335" s="5" t="s">
        <v>11</v>
      </c>
      <c r="Q335" s="5" t="s">
        <v>5</v>
      </c>
      <c r="R335" s="5">
        <f t="shared" si="25"/>
        <v>4</v>
      </c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3">
      <c r="A336" s="3">
        <v>45598</v>
      </c>
      <c r="B336" s="4" t="s">
        <v>32</v>
      </c>
      <c r="C336" s="5"/>
      <c r="D336" s="5"/>
      <c r="E336" s="5">
        <v>400</v>
      </c>
      <c r="F336" s="5">
        <v>215</v>
      </c>
      <c r="G336" s="5">
        <v>675</v>
      </c>
      <c r="H336" s="5"/>
      <c r="I336" s="5"/>
      <c r="J336" s="5">
        <v>840</v>
      </c>
      <c r="K336" s="5"/>
      <c r="L336" s="5"/>
      <c r="M336" s="5"/>
      <c r="N336" s="6">
        <f t="shared" si="23"/>
        <v>215</v>
      </c>
      <c r="O336" s="6">
        <f t="shared" si="24"/>
        <v>840</v>
      </c>
      <c r="P336" s="5" t="s">
        <v>6</v>
      </c>
      <c r="Q336" s="5" t="s">
        <v>11</v>
      </c>
      <c r="R336" s="5">
        <f t="shared" si="25"/>
        <v>4</v>
      </c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3">
      <c r="A337" s="3">
        <v>45611</v>
      </c>
      <c r="B337" s="4" t="s">
        <v>32</v>
      </c>
      <c r="C337" s="5"/>
      <c r="D337" s="5"/>
      <c r="E337" s="5">
        <v>320</v>
      </c>
      <c r="F337" s="5">
        <v>550</v>
      </c>
      <c r="G337" s="5"/>
      <c r="H337" s="5">
        <v>225</v>
      </c>
      <c r="I337" s="5"/>
      <c r="J337" s="5">
        <v>415</v>
      </c>
      <c r="K337" s="5"/>
      <c r="L337" s="5"/>
      <c r="M337" s="5"/>
      <c r="N337" s="6">
        <f t="shared" si="23"/>
        <v>225</v>
      </c>
      <c r="O337" s="6">
        <f t="shared" si="24"/>
        <v>550</v>
      </c>
      <c r="P337" s="5" t="s">
        <v>8</v>
      </c>
      <c r="Q337" s="5" t="s">
        <v>6</v>
      </c>
      <c r="R337" s="5">
        <f t="shared" si="25"/>
        <v>4</v>
      </c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3">
      <c r="A338" s="3">
        <v>45619</v>
      </c>
      <c r="B338" s="4" t="s">
        <v>31</v>
      </c>
      <c r="C338" s="5"/>
      <c r="D338" s="5"/>
      <c r="E338" s="5">
        <v>720</v>
      </c>
      <c r="F338" s="5">
        <v>570</v>
      </c>
      <c r="G338" s="5">
        <v>865</v>
      </c>
      <c r="H338" s="5"/>
      <c r="I338" s="5"/>
      <c r="J338" s="5">
        <v>480</v>
      </c>
      <c r="K338" s="5"/>
      <c r="L338" s="5">
        <v>1050</v>
      </c>
      <c r="M338" s="5"/>
      <c r="N338" s="6">
        <f t="shared" si="23"/>
        <v>480</v>
      </c>
      <c r="O338" s="6">
        <f t="shared" si="24"/>
        <v>1050</v>
      </c>
      <c r="P338" s="5" t="s">
        <v>11</v>
      </c>
      <c r="Q338" s="5" t="s">
        <v>13</v>
      </c>
      <c r="R338" s="5">
        <f t="shared" si="25"/>
        <v>5</v>
      </c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3">
      <c r="A339" s="3">
        <v>45624</v>
      </c>
      <c r="B339" s="4" t="s">
        <v>32</v>
      </c>
      <c r="C339" s="5"/>
      <c r="D339" s="5"/>
      <c r="E339" s="5">
        <v>415</v>
      </c>
      <c r="F339" s="5">
        <v>560</v>
      </c>
      <c r="G339" s="5"/>
      <c r="H339" s="5"/>
      <c r="I339" s="5"/>
      <c r="J339" s="5">
        <v>150</v>
      </c>
      <c r="K339" s="5"/>
      <c r="L339" s="5">
        <v>460</v>
      </c>
      <c r="M339" s="5"/>
      <c r="N339" s="6">
        <f t="shared" si="23"/>
        <v>150</v>
      </c>
      <c r="O339" s="6">
        <f t="shared" si="24"/>
        <v>560</v>
      </c>
      <c r="P339" s="5" t="s">
        <v>11</v>
      </c>
      <c r="Q339" s="5" t="s">
        <v>6</v>
      </c>
      <c r="R339" s="5">
        <f t="shared" si="25"/>
        <v>4</v>
      </c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3">
      <c r="A340" s="3">
        <v>45633</v>
      </c>
      <c r="B340" s="4" t="s">
        <v>31</v>
      </c>
      <c r="C340" s="5"/>
      <c r="D340" s="5"/>
      <c r="E340" s="5">
        <v>400</v>
      </c>
      <c r="F340" s="5">
        <v>340</v>
      </c>
      <c r="G340" s="5">
        <v>395</v>
      </c>
      <c r="H340" s="5"/>
      <c r="I340" s="5"/>
      <c r="J340" s="5">
        <v>620</v>
      </c>
      <c r="K340" s="5"/>
      <c r="L340" s="5"/>
      <c r="M340" s="5"/>
      <c r="N340" s="6">
        <f t="shared" si="23"/>
        <v>340</v>
      </c>
      <c r="O340" s="6">
        <f t="shared" si="24"/>
        <v>620</v>
      </c>
      <c r="P340" s="5" t="s">
        <v>6</v>
      </c>
      <c r="Q340" s="5" t="s">
        <v>11</v>
      </c>
      <c r="R340" s="5">
        <f t="shared" si="25"/>
        <v>4</v>
      </c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3">
      <c r="A341" s="3">
        <v>45641</v>
      </c>
      <c r="B341" s="4" t="s">
        <v>31</v>
      </c>
      <c r="C341" s="5"/>
      <c r="D341" s="5"/>
      <c r="E341" s="5">
        <v>535</v>
      </c>
      <c r="F341" s="5">
        <v>425</v>
      </c>
      <c r="G341" s="5">
        <v>260</v>
      </c>
      <c r="H341" s="5"/>
      <c r="I341" s="5"/>
      <c r="J341" s="5">
        <v>425</v>
      </c>
      <c r="K341" s="5"/>
      <c r="L341" s="5"/>
      <c r="M341" s="5"/>
      <c r="N341" s="6">
        <f t="shared" si="23"/>
        <v>260</v>
      </c>
      <c r="O341" s="6">
        <f t="shared" si="24"/>
        <v>535</v>
      </c>
      <c r="P341" s="5" t="s">
        <v>7</v>
      </c>
      <c r="Q341" s="5" t="s">
        <v>5</v>
      </c>
      <c r="R341" s="5">
        <f t="shared" si="25"/>
        <v>4</v>
      </c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3">
      <c r="A342" s="3">
        <v>45654</v>
      </c>
      <c r="B342" s="4" t="s">
        <v>31</v>
      </c>
      <c r="C342" s="5"/>
      <c r="D342" s="5"/>
      <c r="E342" s="5">
        <v>335</v>
      </c>
      <c r="F342" s="5">
        <v>320</v>
      </c>
      <c r="G342" s="5"/>
      <c r="H342" s="5">
        <v>545</v>
      </c>
      <c r="I342" s="5"/>
      <c r="J342" s="5">
        <v>690</v>
      </c>
      <c r="K342" s="5"/>
      <c r="L342" s="5"/>
      <c r="M342" s="5"/>
      <c r="N342" s="6">
        <f t="shared" si="23"/>
        <v>320</v>
      </c>
      <c r="O342" s="6">
        <f t="shared" si="24"/>
        <v>690</v>
      </c>
      <c r="P342" s="5" t="s">
        <v>6</v>
      </c>
      <c r="Q342" s="5" t="s">
        <v>11</v>
      </c>
      <c r="R342" s="5">
        <f t="shared" si="25"/>
        <v>4</v>
      </c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3">
      <c r="A343" s="3">
        <v>45657</v>
      </c>
      <c r="B343" s="4" t="s">
        <v>31</v>
      </c>
      <c r="C343" s="5"/>
      <c r="D343" s="5"/>
      <c r="E343" s="5">
        <v>375</v>
      </c>
      <c r="F343" s="5">
        <v>625</v>
      </c>
      <c r="G343" s="5">
        <v>665</v>
      </c>
      <c r="H343" s="5"/>
      <c r="I343" s="5"/>
      <c r="J343" s="5">
        <v>385</v>
      </c>
      <c r="K343" s="5"/>
      <c r="L343" s="5"/>
      <c r="M343" s="5"/>
      <c r="N343" s="6">
        <f t="shared" si="23"/>
        <v>375</v>
      </c>
      <c r="O343" s="6">
        <f t="shared" si="24"/>
        <v>665</v>
      </c>
      <c r="P343" s="5" t="s">
        <v>5</v>
      </c>
      <c r="Q343" s="5" t="s">
        <v>7</v>
      </c>
      <c r="R343" s="5">
        <f t="shared" si="25"/>
        <v>4</v>
      </c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3">
      <c r="A344" s="3">
        <v>45661</v>
      </c>
      <c r="B344" s="4" t="s">
        <v>32</v>
      </c>
      <c r="C344" s="5"/>
      <c r="D344" s="5"/>
      <c r="E344" s="5">
        <v>545</v>
      </c>
      <c r="F344" s="5">
        <v>415</v>
      </c>
      <c r="G344" s="5">
        <v>380</v>
      </c>
      <c r="H344" s="5"/>
      <c r="I344" s="5"/>
      <c r="J344" s="5">
        <v>180</v>
      </c>
      <c r="K344" s="5"/>
      <c r="L344" s="5">
        <v>440</v>
      </c>
      <c r="M344" s="5"/>
      <c r="N344" s="6">
        <f t="shared" si="23"/>
        <v>180</v>
      </c>
      <c r="O344" s="6">
        <f t="shared" si="24"/>
        <v>545</v>
      </c>
      <c r="P344" s="5" t="s">
        <v>11</v>
      </c>
      <c r="Q344" s="5" t="s">
        <v>5</v>
      </c>
      <c r="R344" s="5">
        <f t="shared" si="25"/>
        <v>5</v>
      </c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3">
      <c r="A345" s="3">
        <v>45664</v>
      </c>
      <c r="B345" s="4" t="s">
        <v>49</v>
      </c>
      <c r="C345" s="5"/>
      <c r="D345" s="5"/>
      <c r="E345" s="5"/>
      <c r="F345" s="5">
        <v>585</v>
      </c>
      <c r="G345" s="5"/>
      <c r="H345" s="5"/>
      <c r="I345" s="5">
        <v>365</v>
      </c>
      <c r="J345" s="5">
        <v>815</v>
      </c>
      <c r="K345" s="5">
        <v>505</v>
      </c>
      <c r="L345" s="5"/>
      <c r="M345" s="5"/>
      <c r="N345" s="6">
        <f t="shared" si="23"/>
        <v>365</v>
      </c>
      <c r="O345" s="6">
        <f t="shared" si="24"/>
        <v>815</v>
      </c>
      <c r="P345" s="5" t="s">
        <v>10</v>
      </c>
      <c r="Q345" s="5" t="s">
        <v>11</v>
      </c>
      <c r="R345" s="5">
        <f t="shared" si="25"/>
        <v>4</v>
      </c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3">
      <c r="A346" s="3">
        <v>45668</v>
      </c>
      <c r="B346" s="4" t="s">
        <v>26</v>
      </c>
      <c r="C346" s="5"/>
      <c r="D346" s="5"/>
      <c r="E346" s="5">
        <v>870</v>
      </c>
      <c r="F346" s="5">
        <v>830</v>
      </c>
      <c r="G346" s="5"/>
      <c r="H346" s="5"/>
      <c r="I346" s="5"/>
      <c r="J346" s="5">
        <v>440</v>
      </c>
      <c r="K346" s="5"/>
      <c r="L346" s="5">
        <v>625</v>
      </c>
      <c r="M346" s="5"/>
      <c r="N346" s="6">
        <f t="shared" si="23"/>
        <v>440</v>
      </c>
      <c r="O346" s="6">
        <f t="shared" si="24"/>
        <v>870</v>
      </c>
      <c r="P346" s="5" t="s">
        <v>11</v>
      </c>
      <c r="Q346" s="5" t="s">
        <v>5</v>
      </c>
      <c r="R346" s="5">
        <f t="shared" si="25"/>
        <v>4</v>
      </c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3">
      <c r="A347" s="3">
        <v>45675</v>
      </c>
      <c r="B347" s="4" t="s">
        <v>31</v>
      </c>
      <c r="C347" s="5"/>
      <c r="D347" s="5"/>
      <c r="E347" s="5">
        <v>110</v>
      </c>
      <c r="F347" s="5">
        <v>310</v>
      </c>
      <c r="G347" s="5"/>
      <c r="H347" s="5"/>
      <c r="I347" s="5"/>
      <c r="J347" s="5">
        <v>325</v>
      </c>
      <c r="K347" s="5"/>
      <c r="L347" s="5">
        <v>435</v>
      </c>
      <c r="M347" s="5"/>
      <c r="N347" s="6">
        <f t="shared" si="23"/>
        <v>110</v>
      </c>
      <c r="O347" s="6">
        <f t="shared" si="24"/>
        <v>435</v>
      </c>
      <c r="P347" s="5" t="s">
        <v>5</v>
      </c>
      <c r="Q347" s="5" t="s">
        <v>13</v>
      </c>
      <c r="R347" s="5">
        <f t="shared" si="25"/>
        <v>4</v>
      </c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3">
      <c r="A348" s="3">
        <v>45683</v>
      </c>
      <c r="B348" s="4" t="s">
        <v>49</v>
      </c>
      <c r="C348" s="5"/>
      <c r="D348" s="5"/>
      <c r="E348" s="5"/>
      <c r="F348" s="5">
        <v>285</v>
      </c>
      <c r="G348" s="5"/>
      <c r="H348" s="5"/>
      <c r="I348" s="5"/>
      <c r="J348" s="5">
        <v>135</v>
      </c>
      <c r="K348" s="5">
        <v>585</v>
      </c>
      <c r="L348" s="5"/>
      <c r="M348" s="5"/>
      <c r="N348" s="6">
        <f t="shared" si="23"/>
        <v>135</v>
      </c>
      <c r="O348" s="6">
        <f t="shared" si="24"/>
        <v>585</v>
      </c>
      <c r="P348" s="5" t="s">
        <v>11</v>
      </c>
      <c r="Q348" s="5" t="s">
        <v>12</v>
      </c>
      <c r="R348" s="5">
        <f t="shared" si="25"/>
        <v>3</v>
      </c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3">
      <c r="A349" s="3">
        <v>45690</v>
      </c>
      <c r="B349" s="4" t="s">
        <v>49</v>
      </c>
      <c r="C349" s="5"/>
      <c r="D349" s="5"/>
      <c r="E349" s="5"/>
      <c r="F349" s="5">
        <v>780</v>
      </c>
      <c r="G349" s="5"/>
      <c r="H349" s="5"/>
      <c r="I349" s="5">
        <v>410</v>
      </c>
      <c r="J349" s="5">
        <v>370</v>
      </c>
      <c r="K349" s="5">
        <v>495</v>
      </c>
      <c r="L349" s="5"/>
      <c r="M349" s="5"/>
      <c r="N349" s="6">
        <f t="shared" si="23"/>
        <v>370</v>
      </c>
      <c r="O349" s="6">
        <f t="shared" si="24"/>
        <v>780</v>
      </c>
      <c r="P349" s="5" t="s">
        <v>11</v>
      </c>
      <c r="Q349" s="5" t="s">
        <v>6</v>
      </c>
      <c r="R349" s="5">
        <f t="shared" si="25"/>
        <v>4</v>
      </c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3">
      <c r="A350" s="3">
        <v>45696</v>
      </c>
      <c r="B350" s="4" t="s">
        <v>31</v>
      </c>
      <c r="C350" s="5"/>
      <c r="D350" s="5"/>
      <c r="E350" s="5">
        <v>460</v>
      </c>
      <c r="F350" s="5">
        <v>590</v>
      </c>
      <c r="G350" s="5">
        <v>625</v>
      </c>
      <c r="H350" s="5"/>
      <c r="I350" s="5"/>
      <c r="J350" s="5">
        <v>275</v>
      </c>
      <c r="K350" s="5"/>
      <c r="L350" s="5"/>
      <c r="M350" s="5"/>
      <c r="N350" s="6">
        <f t="shared" si="23"/>
        <v>275</v>
      </c>
      <c r="O350" s="6">
        <f t="shared" si="24"/>
        <v>625</v>
      </c>
      <c r="P350" s="5" t="s">
        <v>11</v>
      </c>
      <c r="Q350" s="5" t="s">
        <v>7</v>
      </c>
      <c r="R350" s="5">
        <f t="shared" si="25"/>
        <v>4</v>
      </c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3">
      <c r="A351" s="3">
        <v>45699</v>
      </c>
      <c r="B351" s="4" t="s">
        <v>32</v>
      </c>
      <c r="C351" s="5"/>
      <c r="D351" s="5"/>
      <c r="E351" s="5">
        <v>425</v>
      </c>
      <c r="F351" s="5">
        <v>225</v>
      </c>
      <c r="G351" s="5">
        <v>200</v>
      </c>
      <c r="H351" s="5"/>
      <c r="I351" s="5"/>
      <c r="J351" s="5">
        <v>735</v>
      </c>
      <c r="K351" s="5"/>
      <c r="L351" s="5"/>
      <c r="M351" s="5"/>
      <c r="N351" s="6">
        <f t="shared" si="23"/>
        <v>200</v>
      </c>
      <c r="O351" s="6">
        <f t="shared" si="24"/>
        <v>735</v>
      </c>
      <c r="P351" s="5" t="s">
        <v>7</v>
      </c>
      <c r="Q351" s="5" t="s">
        <v>11</v>
      </c>
      <c r="R351" s="5">
        <f t="shared" si="25"/>
        <v>4</v>
      </c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3">
      <c r="A352" s="3">
        <v>45704</v>
      </c>
      <c r="B352" s="4" t="s">
        <v>31</v>
      </c>
      <c r="C352" s="5"/>
      <c r="D352" s="5"/>
      <c r="E352" s="5"/>
      <c r="F352" s="5">
        <v>215</v>
      </c>
      <c r="G352" s="5"/>
      <c r="H352" s="5"/>
      <c r="I352" s="5"/>
      <c r="J352" s="5">
        <v>85</v>
      </c>
      <c r="K352" s="5">
        <v>330</v>
      </c>
      <c r="L352" s="5"/>
      <c r="M352" s="5"/>
      <c r="N352" s="6">
        <f t="shared" si="23"/>
        <v>85</v>
      </c>
      <c r="O352" s="6">
        <f t="shared" si="24"/>
        <v>330</v>
      </c>
      <c r="P352" s="5" t="s">
        <v>11</v>
      </c>
      <c r="Q352" s="5" t="s">
        <v>12</v>
      </c>
      <c r="R352" s="5">
        <f t="shared" si="25"/>
        <v>3</v>
      </c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3">
      <c r="A353" s="3">
        <v>45711</v>
      </c>
      <c r="B353" s="4" t="s">
        <v>31</v>
      </c>
      <c r="C353" s="5"/>
      <c r="D353" s="5"/>
      <c r="E353" s="5">
        <v>445</v>
      </c>
      <c r="F353" s="5">
        <v>595</v>
      </c>
      <c r="G353" s="5">
        <v>310</v>
      </c>
      <c r="H353" s="5"/>
      <c r="I353" s="5"/>
      <c r="J353" s="5">
        <v>630</v>
      </c>
      <c r="K353" s="5"/>
      <c r="L353" s="5"/>
      <c r="M353" s="5"/>
      <c r="N353" s="6">
        <f t="shared" si="23"/>
        <v>310</v>
      </c>
      <c r="O353" s="6">
        <f t="shared" si="24"/>
        <v>630</v>
      </c>
      <c r="P353" s="5" t="s">
        <v>7</v>
      </c>
      <c r="Q353" s="5" t="s">
        <v>11</v>
      </c>
      <c r="R353" s="5">
        <f t="shared" si="25"/>
        <v>4</v>
      </c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3">
      <c r="A354" s="3">
        <v>45719</v>
      </c>
      <c r="B354" s="4" t="s">
        <v>49</v>
      </c>
      <c r="C354" s="5"/>
      <c r="D354" s="5"/>
      <c r="E354" s="5"/>
      <c r="F354" s="5">
        <v>245</v>
      </c>
      <c r="G354" s="5"/>
      <c r="H354" s="5"/>
      <c r="I354" s="5"/>
      <c r="J354" s="5">
        <v>615</v>
      </c>
      <c r="K354" s="5">
        <v>390</v>
      </c>
      <c r="L354" s="5"/>
      <c r="M354" s="5"/>
      <c r="N354" s="6">
        <f t="shared" si="23"/>
        <v>245</v>
      </c>
      <c r="O354" s="6">
        <f t="shared" si="24"/>
        <v>615</v>
      </c>
      <c r="P354" s="5" t="s">
        <v>6</v>
      </c>
      <c r="Q354" s="5" t="s">
        <v>11</v>
      </c>
      <c r="R354" s="5">
        <f t="shared" si="25"/>
        <v>3</v>
      </c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3">
      <c r="A355" s="3">
        <v>45723</v>
      </c>
      <c r="B355" s="4" t="s">
        <v>49</v>
      </c>
      <c r="C355" s="5"/>
      <c r="D355" s="5"/>
      <c r="E355" s="5"/>
      <c r="F355" s="5">
        <v>260</v>
      </c>
      <c r="G355" s="5"/>
      <c r="H355" s="5"/>
      <c r="I355" s="5"/>
      <c r="J355" s="5">
        <v>330</v>
      </c>
      <c r="K355" s="5">
        <v>455</v>
      </c>
      <c r="L355" s="5"/>
      <c r="M355" s="5"/>
      <c r="N355" s="6">
        <f t="shared" si="23"/>
        <v>260</v>
      </c>
      <c r="O355" s="6">
        <f t="shared" si="24"/>
        <v>455</v>
      </c>
      <c r="P355" s="5" t="s">
        <v>6</v>
      </c>
      <c r="Q355" s="5" t="s">
        <v>12</v>
      </c>
      <c r="R355" s="5">
        <f t="shared" si="25"/>
        <v>3</v>
      </c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3">
      <c r="A356" s="3">
        <v>45731</v>
      </c>
      <c r="B356" s="4" t="s">
        <v>31</v>
      </c>
      <c r="C356" s="5"/>
      <c r="D356" s="5"/>
      <c r="E356" s="5">
        <v>365</v>
      </c>
      <c r="F356" s="5">
        <v>295</v>
      </c>
      <c r="G356" s="5">
        <v>410</v>
      </c>
      <c r="H356" s="5"/>
      <c r="I356" s="5"/>
      <c r="J356" s="5">
        <v>325</v>
      </c>
      <c r="K356" s="5"/>
      <c r="L356" s="5">
        <v>675</v>
      </c>
      <c r="M356" s="5"/>
      <c r="N356" s="6">
        <f t="shared" si="23"/>
        <v>295</v>
      </c>
      <c r="O356" s="6">
        <f t="shared" si="24"/>
        <v>675</v>
      </c>
      <c r="P356" s="5" t="s">
        <v>6</v>
      </c>
      <c r="Q356" s="5" t="s">
        <v>13</v>
      </c>
      <c r="R356" s="5">
        <f t="shared" si="25"/>
        <v>5</v>
      </c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3">
      <c r="A357" s="3">
        <v>45743</v>
      </c>
      <c r="B357" s="4" t="s">
        <v>31</v>
      </c>
      <c r="C357" s="5"/>
      <c r="D357" s="5"/>
      <c r="E357" s="5">
        <v>500</v>
      </c>
      <c r="F357" s="5">
        <v>200</v>
      </c>
      <c r="G357" s="5"/>
      <c r="H357" s="5"/>
      <c r="I357" s="5"/>
      <c r="J357" s="5">
        <v>290</v>
      </c>
      <c r="K357" s="5"/>
      <c r="L357" s="5"/>
      <c r="M357" s="5"/>
      <c r="N357" s="6">
        <f t="shared" si="23"/>
        <v>200</v>
      </c>
      <c r="O357" s="6">
        <f t="shared" si="24"/>
        <v>500</v>
      </c>
      <c r="P357" s="5" t="s">
        <v>6</v>
      </c>
      <c r="Q357" s="5" t="s">
        <v>5</v>
      </c>
      <c r="R357" s="5">
        <f t="shared" si="25"/>
        <v>3</v>
      </c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3">
      <c r="A358" s="3">
        <v>45745</v>
      </c>
      <c r="B358" s="4" t="s">
        <v>31</v>
      </c>
      <c r="C358" s="5"/>
      <c r="D358" s="5"/>
      <c r="E358" s="5">
        <v>315</v>
      </c>
      <c r="F358" s="5">
        <v>265</v>
      </c>
      <c r="G358" s="5"/>
      <c r="H358" s="5"/>
      <c r="I358" s="5"/>
      <c r="J358" s="5">
        <v>615</v>
      </c>
      <c r="K358" s="5"/>
      <c r="L358" s="5">
        <v>545</v>
      </c>
      <c r="M358" s="5"/>
      <c r="N358" s="6">
        <f t="shared" si="23"/>
        <v>265</v>
      </c>
      <c r="O358" s="6">
        <f t="shared" si="24"/>
        <v>615</v>
      </c>
      <c r="P358" s="5" t="s">
        <v>6</v>
      </c>
      <c r="Q358" s="5" t="s">
        <v>11</v>
      </c>
      <c r="R358" s="5">
        <f t="shared" si="25"/>
        <v>4</v>
      </c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3">
      <c r="A359" s="3">
        <v>45752</v>
      </c>
      <c r="B359" s="4" t="s">
        <v>31</v>
      </c>
      <c r="C359" s="5"/>
      <c r="D359" s="5"/>
      <c r="E359" s="5">
        <v>215</v>
      </c>
      <c r="F359" s="5">
        <v>275</v>
      </c>
      <c r="G359" s="5"/>
      <c r="H359" s="5"/>
      <c r="I359" s="5"/>
      <c r="J359" s="5">
        <v>945</v>
      </c>
      <c r="K359" s="5"/>
      <c r="L359" s="5">
        <v>110</v>
      </c>
      <c r="M359" s="5"/>
      <c r="N359" s="6">
        <f t="shared" si="23"/>
        <v>110</v>
      </c>
      <c r="O359" s="6">
        <f t="shared" si="24"/>
        <v>945</v>
      </c>
      <c r="P359" s="5" t="s">
        <v>13</v>
      </c>
      <c r="Q359" s="5" t="s">
        <v>11</v>
      </c>
      <c r="R359" s="5">
        <f t="shared" si="25"/>
        <v>4</v>
      </c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3">
      <c r="A360" s="3">
        <v>45754</v>
      </c>
      <c r="B360" s="4" t="s">
        <v>31</v>
      </c>
      <c r="C360" s="5"/>
      <c r="D360" s="5"/>
      <c r="E360" s="5">
        <v>380</v>
      </c>
      <c r="F360" s="5">
        <v>410</v>
      </c>
      <c r="G360" s="5"/>
      <c r="H360" s="5"/>
      <c r="I360" s="5"/>
      <c r="J360" s="5">
        <v>700</v>
      </c>
      <c r="K360" s="5"/>
      <c r="L360" s="5"/>
      <c r="M360" s="5"/>
      <c r="N360" s="6">
        <f t="shared" si="23"/>
        <v>380</v>
      </c>
      <c r="O360" s="6">
        <f t="shared" si="24"/>
        <v>700</v>
      </c>
      <c r="P360" s="5" t="s">
        <v>5</v>
      </c>
      <c r="Q360" s="5" t="s">
        <v>11</v>
      </c>
      <c r="R360" s="5">
        <f t="shared" si="25"/>
        <v>3</v>
      </c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3">
      <c r="A361" s="3">
        <v>45757</v>
      </c>
      <c r="B361" s="4" t="s">
        <v>49</v>
      </c>
      <c r="C361" s="5"/>
      <c r="D361" s="5"/>
      <c r="E361" s="5"/>
      <c r="F361" s="5">
        <v>325</v>
      </c>
      <c r="G361" s="5"/>
      <c r="H361" s="5"/>
      <c r="I361" s="5"/>
      <c r="J361" s="5">
        <v>440</v>
      </c>
      <c r="K361" s="5">
        <v>505</v>
      </c>
      <c r="L361" s="5"/>
      <c r="M361" s="5"/>
      <c r="N361" s="6">
        <f t="shared" si="23"/>
        <v>325</v>
      </c>
      <c r="O361" s="6">
        <f t="shared" si="24"/>
        <v>505</v>
      </c>
      <c r="P361" s="5" t="s">
        <v>6</v>
      </c>
      <c r="Q361" s="5" t="s">
        <v>12</v>
      </c>
      <c r="R361" s="5">
        <f t="shared" si="25"/>
        <v>3</v>
      </c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3">
      <c r="A362" s="3">
        <v>45758</v>
      </c>
      <c r="B362" s="4" t="s">
        <v>58</v>
      </c>
      <c r="C362" s="5"/>
      <c r="D362" s="5"/>
      <c r="E362" s="5"/>
      <c r="F362" s="5">
        <v>690</v>
      </c>
      <c r="G362" s="5"/>
      <c r="H362" s="5"/>
      <c r="I362" s="5"/>
      <c r="J362" s="5">
        <v>560</v>
      </c>
      <c r="K362" s="5">
        <v>210</v>
      </c>
      <c r="L362" s="5"/>
      <c r="M362" s="5"/>
      <c r="N362" s="6">
        <f t="shared" si="23"/>
        <v>210</v>
      </c>
      <c r="O362" s="6">
        <f t="shared" si="24"/>
        <v>690</v>
      </c>
      <c r="P362" s="5" t="s">
        <v>12</v>
      </c>
      <c r="Q362" s="5" t="s">
        <v>6</v>
      </c>
      <c r="R362" s="5">
        <f t="shared" si="25"/>
        <v>3</v>
      </c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3">
      <c r="A363" s="3">
        <v>45759</v>
      </c>
      <c r="B363" s="4" t="s">
        <v>58</v>
      </c>
      <c r="C363" s="5"/>
      <c r="D363" s="5"/>
      <c r="E363" s="5"/>
      <c r="F363" s="5">
        <v>360</v>
      </c>
      <c r="G363" s="5"/>
      <c r="H363" s="5"/>
      <c r="I363" s="5"/>
      <c r="J363" s="5">
        <v>615</v>
      </c>
      <c r="K363" s="5">
        <v>385</v>
      </c>
      <c r="L363" s="5"/>
      <c r="M363" s="5"/>
      <c r="N363" s="6">
        <f t="shared" si="23"/>
        <v>360</v>
      </c>
      <c r="O363" s="6">
        <f t="shared" si="24"/>
        <v>615</v>
      </c>
      <c r="P363" s="5" t="s">
        <v>6</v>
      </c>
      <c r="Q363" s="5" t="s">
        <v>11</v>
      </c>
      <c r="R363" s="5">
        <f t="shared" si="25"/>
        <v>3</v>
      </c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3">
      <c r="A364" s="3">
        <v>45764</v>
      </c>
      <c r="B364" s="4" t="s">
        <v>31</v>
      </c>
      <c r="C364" s="5"/>
      <c r="D364" s="5"/>
      <c r="E364" s="5">
        <v>325</v>
      </c>
      <c r="F364" s="5">
        <v>570</v>
      </c>
      <c r="G364" s="5">
        <v>470</v>
      </c>
      <c r="H364" s="5"/>
      <c r="I364" s="5"/>
      <c r="J364" s="5">
        <v>225</v>
      </c>
      <c r="K364" s="5"/>
      <c r="L364" s="5">
        <v>285</v>
      </c>
      <c r="M364" s="5"/>
      <c r="N364" s="6">
        <f t="shared" si="23"/>
        <v>225</v>
      </c>
      <c r="O364" s="6">
        <f t="shared" si="24"/>
        <v>570</v>
      </c>
      <c r="P364" s="5" t="s">
        <v>11</v>
      </c>
      <c r="Q364" s="5" t="s">
        <v>6</v>
      </c>
      <c r="R364" s="5">
        <f t="shared" si="25"/>
        <v>5</v>
      </c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3">
      <c r="A365" s="3">
        <v>45772</v>
      </c>
      <c r="B365" s="4" t="s">
        <v>49</v>
      </c>
      <c r="C365" s="5"/>
      <c r="D365" s="5"/>
      <c r="E365" s="5"/>
      <c r="F365" s="5">
        <v>440</v>
      </c>
      <c r="G365" s="5"/>
      <c r="H365" s="5"/>
      <c r="I365" s="5"/>
      <c r="J365" s="5">
        <v>385</v>
      </c>
      <c r="K365" s="5">
        <v>320</v>
      </c>
      <c r="L365" s="5"/>
      <c r="M365" s="5"/>
      <c r="N365" s="6">
        <f t="shared" si="23"/>
        <v>320</v>
      </c>
      <c r="O365" s="6">
        <f t="shared" si="24"/>
        <v>440</v>
      </c>
      <c r="P365" s="5" t="s">
        <v>12</v>
      </c>
      <c r="Q365" s="5" t="s">
        <v>6</v>
      </c>
      <c r="R365" s="5">
        <f t="shared" si="25"/>
        <v>3</v>
      </c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3">
      <c r="A366" s="3">
        <v>45773</v>
      </c>
      <c r="B366" s="4" t="s">
        <v>49</v>
      </c>
      <c r="C366" s="5"/>
      <c r="D366" s="5"/>
      <c r="E366" s="5"/>
      <c r="F366" s="5">
        <v>220</v>
      </c>
      <c r="G366" s="5"/>
      <c r="H366" s="5"/>
      <c r="I366" s="5"/>
      <c r="J366" s="5">
        <v>235</v>
      </c>
      <c r="K366" s="5">
        <v>425</v>
      </c>
      <c r="L366" s="5"/>
      <c r="M366" s="5"/>
      <c r="N366" s="6">
        <f t="shared" si="23"/>
        <v>220</v>
      </c>
      <c r="O366" s="6">
        <f t="shared" si="24"/>
        <v>425</v>
      </c>
      <c r="P366" s="5" t="s">
        <v>6</v>
      </c>
      <c r="Q366" s="5" t="s">
        <v>12</v>
      </c>
      <c r="R366" s="5">
        <f t="shared" si="25"/>
        <v>3</v>
      </c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3">
      <c r="A367" s="3">
        <v>45774</v>
      </c>
      <c r="B367" s="4" t="s">
        <v>49</v>
      </c>
      <c r="C367" s="5"/>
      <c r="D367" s="5"/>
      <c r="E367" s="5"/>
      <c r="F367" s="5">
        <v>755</v>
      </c>
      <c r="G367" s="5"/>
      <c r="H367" s="5"/>
      <c r="I367" s="5"/>
      <c r="J367" s="5">
        <v>575</v>
      </c>
      <c r="K367" s="5">
        <v>635</v>
      </c>
      <c r="L367" s="5"/>
      <c r="M367" s="5"/>
      <c r="N367" s="6">
        <f t="shared" si="23"/>
        <v>575</v>
      </c>
      <c r="O367" s="6">
        <f t="shared" si="24"/>
        <v>755</v>
      </c>
      <c r="P367" s="5" t="s">
        <v>11</v>
      </c>
      <c r="Q367" s="5" t="s">
        <v>6</v>
      </c>
      <c r="R367" s="5">
        <f t="shared" si="25"/>
        <v>3</v>
      </c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3">
      <c r="A368" s="3">
        <v>45775</v>
      </c>
      <c r="B368" s="4" t="s">
        <v>31</v>
      </c>
      <c r="C368" s="5"/>
      <c r="D368" s="5"/>
      <c r="E368" s="5">
        <v>205</v>
      </c>
      <c r="F368" s="5">
        <v>385</v>
      </c>
      <c r="G368" s="5"/>
      <c r="H368" s="5"/>
      <c r="I368" s="5"/>
      <c r="J368" s="5">
        <v>150</v>
      </c>
      <c r="K368" s="5"/>
      <c r="L368" s="5"/>
      <c r="M368" s="5"/>
      <c r="N368" s="6">
        <f t="shared" si="23"/>
        <v>150</v>
      </c>
      <c r="O368" s="6">
        <f t="shared" si="24"/>
        <v>385</v>
      </c>
      <c r="P368" s="5" t="s">
        <v>11</v>
      </c>
      <c r="Q368" s="5" t="s">
        <v>6</v>
      </c>
      <c r="R368" s="5">
        <f t="shared" si="25"/>
        <v>3</v>
      </c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3">
      <c r="A369" s="3">
        <v>45785</v>
      </c>
      <c r="B369" s="4" t="s">
        <v>31</v>
      </c>
      <c r="C369" s="5"/>
      <c r="D369" s="5"/>
      <c r="E369" s="5"/>
      <c r="F369" s="5">
        <v>235</v>
      </c>
      <c r="G369" s="5">
        <v>255</v>
      </c>
      <c r="H369" s="5"/>
      <c r="I369" s="5"/>
      <c r="J369" s="5">
        <v>160</v>
      </c>
      <c r="K369" s="5"/>
      <c r="L369" s="5"/>
      <c r="M369" s="5"/>
      <c r="N369" s="6">
        <f t="shared" si="23"/>
        <v>160</v>
      </c>
      <c r="O369" s="6">
        <f t="shared" si="24"/>
        <v>255</v>
      </c>
      <c r="P369" s="5" t="s">
        <v>11</v>
      </c>
      <c r="Q369" s="5" t="s">
        <v>7</v>
      </c>
      <c r="R369" s="5">
        <f t="shared" si="25"/>
        <v>3</v>
      </c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3">
      <c r="A370" s="3">
        <v>45788</v>
      </c>
      <c r="B370" s="4" t="s">
        <v>31</v>
      </c>
      <c r="C370" s="5"/>
      <c r="D370" s="5"/>
      <c r="E370" s="5">
        <v>320</v>
      </c>
      <c r="F370" s="5">
        <v>375</v>
      </c>
      <c r="G370" s="5"/>
      <c r="H370" s="5"/>
      <c r="I370" s="5"/>
      <c r="J370" s="5">
        <v>100</v>
      </c>
      <c r="K370" s="5"/>
      <c r="L370" s="5">
        <v>380</v>
      </c>
      <c r="M370" s="5"/>
      <c r="N370" s="6">
        <f t="shared" si="23"/>
        <v>100</v>
      </c>
      <c r="O370" s="6">
        <f t="shared" si="24"/>
        <v>380</v>
      </c>
      <c r="P370" s="5" t="s">
        <v>11</v>
      </c>
      <c r="Q370" s="5" t="s">
        <v>13</v>
      </c>
      <c r="R370" s="5">
        <f t="shared" si="25"/>
        <v>4</v>
      </c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3">
      <c r="A371" s="3">
        <v>45799</v>
      </c>
      <c r="B371" s="4" t="s">
        <v>31</v>
      </c>
      <c r="C371" s="5"/>
      <c r="D371" s="5"/>
      <c r="E371" s="5">
        <v>815</v>
      </c>
      <c r="F371" s="5">
        <v>575</v>
      </c>
      <c r="G371" s="5">
        <v>345</v>
      </c>
      <c r="H371" s="5"/>
      <c r="I371" s="5"/>
      <c r="J371" s="5">
        <v>830</v>
      </c>
      <c r="K371" s="5"/>
      <c r="L371" s="5"/>
      <c r="M371" s="5"/>
      <c r="N371" s="6">
        <f t="shared" si="23"/>
        <v>345</v>
      </c>
      <c r="O371" s="6">
        <f t="shared" si="24"/>
        <v>830</v>
      </c>
      <c r="P371" s="5" t="s">
        <v>7</v>
      </c>
      <c r="Q371" s="5" t="s">
        <v>11</v>
      </c>
      <c r="R371" s="5">
        <f t="shared" si="25"/>
        <v>4</v>
      </c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3">
      <c r="A372" s="3">
        <v>45801</v>
      </c>
      <c r="B372" s="4" t="s">
        <v>31</v>
      </c>
      <c r="C372" s="5"/>
      <c r="D372" s="5"/>
      <c r="E372" s="5">
        <v>315</v>
      </c>
      <c r="F372" s="5">
        <v>330</v>
      </c>
      <c r="G372" s="5"/>
      <c r="H372" s="5"/>
      <c r="I372" s="5"/>
      <c r="J372" s="5">
        <v>450</v>
      </c>
      <c r="K372" s="5"/>
      <c r="L372" s="5">
        <v>620</v>
      </c>
      <c r="M372" s="5"/>
      <c r="N372" s="6">
        <f t="shared" si="23"/>
        <v>315</v>
      </c>
      <c r="O372" s="6">
        <f t="shared" si="24"/>
        <v>620</v>
      </c>
      <c r="P372" s="5" t="s">
        <v>5</v>
      </c>
      <c r="Q372" s="5" t="s">
        <v>13</v>
      </c>
      <c r="R372" s="5">
        <f t="shared" si="25"/>
        <v>4</v>
      </c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3">
      <c r="A373" s="3">
        <v>45807</v>
      </c>
      <c r="B373" s="4" t="s">
        <v>31</v>
      </c>
      <c r="C373" s="5"/>
      <c r="D373" s="5"/>
      <c r="E373" s="5">
        <v>400</v>
      </c>
      <c r="F373" s="5">
        <v>280</v>
      </c>
      <c r="G373" s="5">
        <v>1025</v>
      </c>
      <c r="H373" s="5"/>
      <c r="I373" s="5"/>
      <c r="J373" s="5">
        <v>495</v>
      </c>
      <c r="K373" s="5"/>
      <c r="L373" s="5"/>
      <c r="M373" s="5"/>
      <c r="N373" s="6">
        <f t="shared" si="23"/>
        <v>280</v>
      </c>
      <c r="O373" s="6">
        <f t="shared" si="24"/>
        <v>1025</v>
      </c>
      <c r="P373" s="5" t="s">
        <v>6</v>
      </c>
      <c r="Q373" s="5" t="s">
        <v>7</v>
      </c>
      <c r="R373" s="5">
        <f t="shared" si="25"/>
        <v>4</v>
      </c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3">
      <c r="A374" s="3">
        <v>45815</v>
      </c>
      <c r="B374" s="4" t="s">
        <v>31</v>
      </c>
      <c r="C374" s="5"/>
      <c r="D374" s="5"/>
      <c r="E374" s="5">
        <v>90</v>
      </c>
      <c r="F374" s="5">
        <v>655</v>
      </c>
      <c r="G374" s="5">
        <v>485</v>
      </c>
      <c r="H374" s="5"/>
      <c r="I374" s="5"/>
      <c r="J374" s="5">
        <v>460</v>
      </c>
      <c r="K374" s="5"/>
      <c r="L374" s="5"/>
      <c r="M374" s="5"/>
      <c r="N374" s="6">
        <f t="shared" si="23"/>
        <v>90</v>
      </c>
      <c r="O374" s="6">
        <f t="shared" si="24"/>
        <v>655</v>
      </c>
      <c r="P374" s="5" t="s">
        <v>5</v>
      </c>
      <c r="Q374" s="5" t="s">
        <v>6</v>
      </c>
      <c r="R374" s="5">
        <f t="shared" si="25"/>
        <v>4</v>
      </c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3">
      <c r="A375" s="3">
        <v>45821</v>
      </c>
      <c r="B375" s="4" t="s">
        <v>31</v>
      </c>
      <c r="C375" s="5"/>
      <c r="D375" s="5"/>
      <c r="E375" s="5">
        <v>80</v>
      </c>
      <c r="F375" s="5">
        <v>445</v>
      </c>
      <c r="G375" s="5"/>
      <c r="H375" s="5">
        <v>690</v>
      </c>
      <c r="I375" s="5"/>
      <c r="J375" s="5">
        <v>315</v>
      </c>
      <c r="K375" s="5"/>
      <c r="L375" s="5"/>
      <c r="M375" s="5"/>
      <c r="N375" s="6">
        <f t="shared" si="23"/>
        <v>80</v>
      </c>
      <c r="O375" s="6">
        <f t="shared" si="24"/>
        <v>690</v>
      </c>
      <c r="P375" s="5" t="s">
        <v>5</v>
      </c>
      <c r="Q375" s="5" t="s">
        <v>8</v>
      </c>
      <c r="R375" s="5">
        <f t="shared" si="25"/>
        <v>4</v>
      </c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3">
      <c r="A376" s="3">
        <v>45823</v>
      </c>
      <c r="B376" s="4" t="s">
        <v>31</v>
      </c>
      <c r="C376" s="5"/>
      <c r="D376" s="5"/>
      <c r="E376" s="5">
        <v>510</v>
      </c>
      <c r="F376" s="5">
        <v>545</v>
      </c>
      <c r="G376" s="5"/>
      <c r="H376" s="5"/>
      <c r="I376" s="5"/>
      <c r="J376" s="5">
        <v>510</v>
      </c>
      <c r="K376" s="5"/>
      <c r="L376" s="5">
        <v>340</v>
      </c>
      <c r="M376" s="5"/>
      <c r="N376" s="6">
        <f t="shared" si="23"/>
        <v>340</v>
      </c>
      <c r="O376" s="6">
        <f t="shared" si="24"/>
        <v>545</v>
      </c>
      <c r="P376" s="5" t="s">
        <v>13</v>
      </c>
      <c r="Q376" s="5" t="s">
        <v>6</v>
      </c>
      <c r="R376" s="5">
        <f t="shared" si="25"/>
        <v>4</v>
      </c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3">
      <c r="A377" s="3">
        <v>45836</v>
      </c>
      <c r="B377" s="4" t="s">
        <v>31</v>
      </c>
      <c r="C377" s="5"/>
      <c r="D377" s="5"/>
      <c r="E377" s="5"/>
      <c r="F377" s="5">
        <v>375</v>
      </c>
      <c r="G377" s="5">
        <v>535</v>
      </c>
      <c r="H377" s="5"/>
      <c r="I377" s="5"/>
      <c r="J377" s="5">
        <v>250</v>
      </c>
      <c r="K377" s="5"/>
      <c r="L377" s="5"/>
      <c r="M377" s="5"/>
      <c r="N377" s="6">
        <f t="shared" si="23"/>
        <v>250</v>
      </c>
      <c r="O377" s="6">
        <f t="shared" si="24"/>
        <v>535</v>
      </c>
      <c r="P377" s="5" t="s">
        <v>11</v>
      </c>
      <c r="Q377" s="5" t="s">
        <v>7</v>
      </c>
      <c r="R377" s="5">
        <f t="shared" si="25"/>
        <v>3</v>
      </c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3">
      <c r="A378" s="3">
        <v>45837</v>
      </c>
      <c r="B378" s="4" t="s">
        <v>49</v>
      </c>
      <c r="C378" s="5"/>
      <c r="D378" s="5"/>
      <c r="E378" s="5"/>
      <c r="F378" s="5">
        <v>305</v>
      </c>
      <c r="G378" s="5"/>
      <c r="H378" s="5"/>
      <c r="I378" s="5"/>
      <c r="J378" s="5">
        <v>120</v>
      </c>
      <c r="K378" s="5">
        <v>585</v>
      </c>
      <c r="L378" s="5"/>
      <c r="M378" s="5"/>
      <c r="N378" s="6">
        <f t="shared" si="23"/>
        <v>120</v>
      </c>
      <c r="O378" s="6">
        <f t="shared" si="24"/>
        <v>585</v>
      </c>
      <c r="P378" s="5" t="s">
        <v>11</v>
      </c>
      <c r="Q378" s="5" t="s">
        <v>12</v>
      </c>
      <c r="R378" s="5">
        <f t="shared" si="25"/>
        <v>3</v>
      </c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3">
      <c r="A379" s="3">
        <v>45838</v>
      </c>
      <c r="B379" s="4" t="s">
        <v>49</v>
      </c>
      <c r="C379" s="5"/>
      <c r="D379" s="5"/>
      <c r="E379" s="5"/>
      <c r="F379" s="5">
        <v>450</v>
      </c>
      <c r="G379" s="5"/>
      <c r="H379" s="5"/>
      <c r="I379" s="5"/>
      <c r="J379" s="5">
        <v>220</v>
      </c>
      <c r="K379" s="5">
        <v>330</v>
      </c>
      <c r="L379" s="5"/>
      <c r="M379" s="5"/>
      <c r="N379" s="6">
        <f t="shared" si="23"/>
        <v>220</v>
      </c>
      <c r="O379" s="6">
        <f t="shared" si="24"/>
        <v>450</v>
      </c>
      <c r="P379" s="5" t="s">
        <v>11</v>
      </c>
      <c r="Q379" s="5" t="s">
        <v>6</v>
      </c>
      <c r="R379" s="5">
        <f t="shared" si="25"/>
        <v>3</v>
      </c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3">
      <c r="A380" s="3">
        <v>45841</v>
      </c>
      <c r="B380" s="4" t="s">
        <v>31</v>
      </c>
      <c r="C380" s="5"/>
      <c r="D380" s="5"/>
      <c r="E380" s="5">
        <v>365</v>
      </c>
      <c r="F380" s="5">
        <v>205</v>
      </c>
      <c r="G380" s="5"/>
      <c r="H380" s="5"/>
      <c r="I380" s="5"/>
      <c r="J380" s="5">
        <v>555</v>
      </c>
      <c r="K380" s="5">
        <v>365</v>
      </c>
      <c r="L380" s="5"/>
      <c r="M380" s="5"/>
      <c r="N380" s="6">
        <f t="shared" si="23"/>
        <v>205</v>
      </c>
      <c r="O380" s="6">
        <f t="shared" si="24"/>
        <v>555</v>
      </c>
      <c r="P380" s="5" t="s">
        <v>6</v>
      </c>
      <c r="Q380" s="5" t="s">
        <v>11</v>
      </c>
      <c r="R380" s="5">
        <f t="shared" si="25"/>
        <v>4</v>
      </c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3">
      <c r="A381" s="3">
        <v>45842</v>
      </c>
      <c r="B381" s="4" t="s">
        <v>31</v>
      </c>
      <c r="C381" s="5"/>
      <c r="D381" s="5"/>
      <c r="E381" s="5">
        <v>325</v>
      </c>
      <c r="F381" s="5">
        <v>365</v>
      </c>
      <c r="G381" s="5"/>
      <c r="H381" s="5"/>
      <c r="I381" s="5"/>
      <c r="J381" s="5">
        <v>630</v>
      </c>
      <c r="K381" s="5">
        <v>840</v>
      </c>
      <c r="L381" s="5">
        <v>810</v>
      </c>
      <c r="M381" s="5"/>
      <c r="N381" s="6">
        <f t="shared" si="23"/>
        <v>325</v>
      </c>
      <c r="O381" s="6">
        <f t="shared" si="24"/>
        <v>840</v>
      </c>
      <c r="P381" s="5" t="s">
        <v>5</v>
      </c>
      <c r="Q381" s="5" t="s">
        <v>12</v>
      </c>
      <c r="R381" s="5">
        <f t="shared" si="25"/>
        <v>5</v>
      </c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3">
      <c r="A382" s="3">
        <v>45844</v>
      </c>
      <c r="B382" s="4" t="s">
        <v>31</v>
      </c>
      <c r="C382" s="5"/>
      <c r="D382" s="5"/>
      <c r="E382" s="5">
        <v>285</v>
      </c>
      <c r="F382" s="5">
        <v>200</v>
      </c>
      <c r="G382" s="5"/>
      <c r="H382" s="5"/>
      <c r="I382" s="5"/>
      <c r="J382" s="5">
        <v>330</v>
      </c>
      <c r="K382" s="5">
        <v>455</v>
      </c>
      <c r="L382" s="5"/>
      <c r="M382" s="5"/>
      <c r="N382" s="6">
        <f t="shared" si="23"/>
        <v>200</v>
      </c>
      <c r="O382" s="6">
        <f t="shared" si="24"/>
        <v>455</v>
      </c>
      <c r="P382" s="5" t="s">
        <v>6</v>
      </c>
      <c r="Q382" s="5" t="s">
        <v>12</v>
      </c>
      <c r="R382" s="5">
        <f t="shared" si="25"/>
        <v>4</v>
      </c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3">
      <c r="A383" s="3">
        <v>45845</v>
      </c>
      <c r="B383" s="4" t="s">
        <v>31</v>
      </c>
      <c r="C383" s="5"/>
      <c r="D383" s="5"/>
      <c r="E383" s="5">
        <v>505</v>
      </c>
      <c r="F383" s="5">
        <v>505</v>
      </c>
      <c r="G383" s="5"/>
      <c r="H383" s="5"/>
      <c r="I383" s="5"/>
      <c r="J383" s="5">
        <v>495</v>
      </c>
      <c r="K383" s="5">
        <v>505</v>
      </c>
      <c r="L383" s="5"/>
      <c r="M383" s="5"/>
      <c r="N383" s="6">
        <f t="shared" si="23"/>
        <v>495</v>
      </c>
      <c r="O383" s="6">
        <f t="shared" si="24"/>
        <v>505</v>
      </c>
      <c r="P383" s="5" t="s">
        <v>11</v>
      </c>
      <c r="Q383" s="5" t="s">
        <v>5</v>
      </c>
      <c r="R383" s="5">
        <f t="shared" si="25"/>
        <v>4</v>
      </c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3">
      <c r="A384" s="3">
        <v>45853</v>
      </c>
      <c r="B384" s="4" t="s">
        <v>31</v>
      </c>
      <c r="C384" s="5"/>
      <c r="D384" s="5"/>
      <c r="E384" s="5">
        <v>435</v>
      </c>
      <c r="F384" s="5"/>
      <c r="G384" s="5"/>
      <c r="H384" s="5"/>
      <c r="I384" s="5"/>
      <c r="J384" s="5">
        <v>375</v>
      </c>
      <c r="K384" s="5">
        <v>230</v>
      </c>
      <c r="L384" s="5"/>
      <c r="M384" s="5"/>
      <c r="N384" s="6">
        <f t="shared" si="23"/>
        <v>230</v>
      </c>
      <c r="O384" s="6">
        <f t="shared" si="24"/>
        <v>435</v>
      </c>
      <c r="P384" s="5" t="s">
        <v>12</v>
      </c>
      <c r="Q384" s="5" t="s">
        <v>5</v>
      </c>
      <c r="R384" s="5">
        <f t="shared" si="25"/>
        <v>3</v>
      </c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3">
      <c r="A385" s="3">
        <v>45875</v>
      </c>
      <c r="B385" s="4" t="s">
        <v>31</v>
      </c>
      <c r="C385" s="5"/>
      <c r="D385" s="5"/>
      <c r="E385" s="5">
        <v>340</v>
      </c>
      <c r="F385" s="5">
        <v>590</v>
      </c>
      <c r="G385" s="5"/>
      <c r="H385" s="5"/>
      <c r="I385" s="5"/>
      <c r="J385" s="5">
        <v>450</v>
      </c>
      <c r="K385" s="5">
        <v>470</v>
      </c>
      <c r="L385" s="5"/>
      <c r="M385" s="5"/>
      <c r="N385" s="6">
        <f t="shared" si="23"/>
        <v>340</v>
      </c>
      <c r="O385" s="6">
        <f t="shared" si="24"/>
        <v>590</v>
      </c>
      <c r="P385" s="5" t="s">
        <v>5</v>
      </c>
      <c r="Q385" s="5" t="s">
        <v>6</v>
      </c>
      <c r="R385" s="5">
        <f t="shared" si="25"/>
        <v>4</v>
      </c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3">
      <c r="A386" s="3">
        <v>45879</v>
      </c>
      <c r="B386" s="4" t="s">
        <v>31</v>
      </c>
      <c r="C386" s="5"/>
      <c r="D386" s="5"/>
      <c r="E386" s="5">
        <v>450</v>
      </c>
      <c r="F386" s="5">
        <v>490</v>
      </c>
      <c r="G386" s="5"/>
      <c r="H386" s="5"/>
      <c r="I386" s="5"/>
      <c r="J386" s="5">
        <v>670</v>
      </c>
      <c r="K386" s="5">
        <v>1025</v>
      </c>
      <c r="L386" s="5">
        <v>625</v>
      </c>
      <c r="M386" s="5"/>
      <c r="N386" s="6">
        <f t="shared" ref="N386:N435" si="26">MIN($D386:$M386)</f>
        <v>450</v>
      </c>
      <c r="O386" s="6">
        <f t="shared" ref="O386:O435" si="27">MAX($D386:$M386)</f>
        <v>1025</v>
      </c>
      <c r="P386" s="5" t="s">
        <v>5</v>
      </c>
      <c r="Q386" s="5" t="s">
        <v>12</v>
      </c>
      <c r="R386" s="5">
        <f t="shared" ref="R386:R435" si="28">COUNT(D386:M386)</f>
        <v>5</v>
      </c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3">
      <c r="A387" s="3">
        <v>45881</v>
      </c>
      <c r="B387" s="4" t="s">
        <v>31</v>
      </c>
      <c r="C387" s="5"/>
      <c r="D387" s="5"/>
      <c r="E387" s="5">
        <v>350</v>
      </c>
      <c r="F387" s="5"/>
      <c r="G387" s="5">
        <v>570</v>
      </c>
      <c r="H387" s="5"/>
      <c r="I387" s="5"/>
      <c r="J387" s="5">
        <v>590</v>
      </c>
      <c r="K387" s="5">
        <v>405</v>
      </c>
      <c r="L387" s="5"/>
      <c r="M387" s="5"/>
      <c r="N387" s="6">
        <f t="shared" si="26"/>
        <v>350</v>
      </c>
      <c r="O387" s="6">
        <f t="shared" si="27"/>
        <v>590</v>
      </c>
      <c r="P387" s="5" t="s">
        <v>5</v>
      </c>
      <c r="Q387" s="5" t="s">
        <v>11</v>
      </c>
      <c r="R387" s="5">
        <f t="shared" si="28"/>
        <v>4</v>
      </c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3">
      <c r="A388" s="3">
        <v>45885</v>
      </c>
      <c r="B388" s="4" t="s">
        <v>59</v>
      </c>
      <c r="C388" s="5"/>
      <c r="D388" s="5"/>
      <c r="E388" s="5"/>
      <c r="F388" s="5">
        <v>505</v>
      </c>
      <c r="G388" s="5"/>
      <c r="H388" s="5"/>
      <c r="I388" s="5"/>
      <c r="J388" s="5">
        <v>110</v>
      </c>
      <c r="K388" s="5">
        <v>300</v>
      </c>
      <c r="L388" s="5"/>
      <c r="M388" s="5"/>
      <c r="N388" s="6">
        <f t="shared" si="26"/>
        <v>110</v>
      </c>
      <c r="O388" s="6">
        <f t="shared" si="27"/>
        <v>505</v>
      </c>
      <c r="P388" s="5" t="s">
        <v>11</v>
      </c>
      <c r="Q388" s="5" t="s">
        <v>6</v>
      </c>
      <c r="R388" s="5">
        <f t="shared" si="28"/>
        <v>3</v>
      </c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3">
      <c r="A389" s="3">
        <v>45886</v>
      </c>
      <c r="B389" s="4" t="s">
        <v>59</v>
      </c>
      <c r="C389" s="5"/>
      <c r="D389" s="5"/>
      <c r="E389" s="5"/>
      <c r="F389" s="5">
        <v>200</v>
      </c>
      <c r="G389" s="5"/>
      <c r="H389" s="5"/>
      <c r="I389" s="5"/>
      <c r="J389" s="5">
        <v>415</v>
      </c>
      <c r="K389" s="5">
        <v>635</v>
      </c>
      <c r="L389" s="5"/>
      <c r="M389" s="5"/>
      <c r="N389" s="6">
        <f t="shared" si="26"/>
        <v>200</v>
      </c>
      <c r="O389" s="6">
        <f t="shared" si="27"/>
        <v>635</v>
      </c>
      <c r="P389" s="5" t="s">
        <v>6</v>
      </c>
      <c r="Q389" s="5" t="s">
        <v>12</v>
      </c>
      <c r="R389" s="5">
        <f t="shared" si="28"/>
        <v>3</v>
      </c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3">
      <c r="A390" s="3">
        <v>45889</v>
      </c>
      <c r="B390" s="4" t="s">
        <v>31</v>
      </c>
      <c r="C390" s="5"/>
      <c r="D390" s="5"/>
      <c r="E390" s="5">
        <v>285</v>
      </c>
      <c r="F390" s="5">
        <v>820</v>
      </c>
      <c r="G390" s="5"/>
      <c r="H390" s="5"/>
      <c r="I390" s="5"/>
      <c r="J390" s="5">
        <v>130</v>
      </c>
      <c r="K390" s="5">
        <v>715</v>
      </c>
      <c r="L390" s="5"/>
      <c r="M390" s="5"/>
      <c r="N390" s="6">
        <f t="shared" si="26"/>
        <v>130</v>
      </c>
      <c r="O390" s="6">
        <f t="shared" si="27"/>
        <v>820</v>
      </c>
      <c r="P390" s="5" t="s">
        <v>11</v>
      </c>
      <c r="Q390" s="5" t="s">
        <v>6</v>
      </c>
      <c r="R390" s="5">
        <f t="shared" si="28"/>
        <v>4</v>
      </c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3">
      <c r="A391" s="3">
        <v>45892</v>
      </c>
      <c r="B391" s="4" t="s">
        <v>31</v>
      </c>
      <c r="C391" s="5"/>
      <c r="D391" s="5"/>
      <c r="E391" s="5">
        <v>470</v>
      </c>
      <c r="F391" s="5">
        <v>575</v>
      </c>
      <c r="G391" s="5">
        <v>465</v>
      </c>
      <c r="H391" s="5"/>
      <c r="I391" s="5"/>
      <c r="J391" s="5">
        <v>420</v>
      </c>
      <c r="K391" s="5">
        <v>645</v>
      </c>
      <c r="L391" s="5"/>
      <c r="M391" s="5"/>
      <c r="N391" s="6">
        <f t="shared" si="26"/>
        <v>420</v>
      </c>
      <c r="O391" s="6">
        <f t="shared" si="27"/>
        <v>645</v>
      </c>
      <c r="P391" s="5" t="s">
        <v>11</v>
      </c>
      <c r="Q391" s="5" t="s">
        <v>12</v>
      </c>
      <c r="R391" s="5">
        <f t="shared" si="28"/>
        <v>5</v>
      </c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3">
      <c r="A392" s="3">
        <v>45897</v>
      </c>
      <c r="B392" s="4" t="s">
        <v>31</v>
      </c>
      <c r="C392" s="5"/>
      <c r="D392" s="5"/>
      <c r="E392" s="5">
        <v>300</v>
      </c>
      <c r="F392" s="5">
        <v>450</v>
      </c>
      <c r="G392" s="5"/>
      <c r="H392" s="5"/>
      <c r="I392" s="5"/>
      <c r="J392" s="5">
        <v>515</v>
      </c>
      <c r="K392" s="5">
        <v>415</v>
      </c>
      <c r="L392" s="5"/>
      <c r="M392" s="5"/>
      <c r="N392" s="6">
        <f t="shared" si="26"/>
        <v>300</v>
      </c>
      <c r="O392" s="6">
        <f t="shared" si="27"/>
        <v>515</v>
      </c>
      <c r="P392" s="5" t="s">
        <v>5</v>
      </c>
      <c r="Q392" s="5" t="s">
        <v>11</v>
      </c>
      <c r="R392" s="5">
        <f t="shared" si="28"/>
        <v>4</v>
      </c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3">
      <c r="A393" s="3">
        <v>45898</v>
      </c>
      <c r="B393" s="4" t="s">
        <v>49</v>
      </c>
      <c r="C393" s="5"/>
      <c r="D393" s="5"/>
      <c r="E393" s="5"/>
      <c r="F393" s="5">
        <v>220</v>
      </c>
      <c r="G393" s="5"/>
      <c r="H393" s="5"/>
      <c r="I393" s="5">
        <v>190</v>
      </c>
      <c r="J393" s="5">
        <v>175</v>
      </c>
      <c r="K393" s="5">
        <v>525</v>
      </c>
      <c r="L393" s="5"/>
      <c r="M393" s="5"/>
      <c r="N393" s="6">
        <f t="shared" si="26"/>
        <v>175</v>
      </c>
      <c r="O393" s="6">
        <f t="shared" si="27"/>
        <v>525</v>
      </c>
      <c r="P393" s="5" t="s">
        <v>11</v>
      </c>
      <c r="Q393" s="5" t="s">
        <v>12</v>
      </c>
      <c r="R393" s="5">
        <f t="shared" si="28"/>
        <v>4</v>
      </c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3">
      <c r="A394" s="3">
        <v>45899</v>
      </c>
      <c r="B394" s="4" t="s">
        <v>49</v>
      </c>
      <c r="C394" s="5"/>
      <c r="D394" s="5"/>
      <c r="E394" s="5"/>
      <c r="F394" s="5">
        <v>370</v>
      </c>
      <c r="G394" s="5"/>
      <c r="H394" s="5"/>
      <c r="I394" s="5">
        <v>835</v>
      </c>
      <c r="J394" s="5">
        <v>180</v>
      </c>
      <c r="K394" s="5">
        <v>705</v>
      </c>
      <c r="L394" s="5"/>
      <c r="M394" s="5"/>
      <c r="N394" s="6">
        <f t="shared" si="26"/>
        <v>180</v>
      </c>
      <c r="O394" s="6">
        <f t="shared" si="27"/>
        <v>835</v>
      </c>
      <c r="P394" s="5" t="s">
        <v>11</v>
      </c>
      <c r="Q394" s="5" t="s">
        <v>10</v>
      </c>
      <c r="R394" s="5">
        <f t="shared" si="28"/>
        <v>4</v>
      </c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3">
      <c r="A395" s="3">
        <v>45900</v>
      </c>
      <c r="B395" s="4" t="s">
        <v>49</v>
      </c>
      <c r="C395" s="5"/>
      <c r="D395" s="5"/>
      <c r="E395" s="5"/>
      <c r="F395" s="5">
        <v>540</v>
      </c>
      <c r="G395" s="5"/>
      <c r="H395" s="5"/>
      <c r="I395" s="5">
        <v>850</v>
      </c>
      <c r="J395" s="5">
        <v>350</v>
      </c>
      <c r="K395" s="5">
        <v>535</v>
      </c>
      <c r="L395" s="5"/>
      <c r="M395" s="5"/>
      <c r="N395" s="6">
        <f t="shared" si="26"/>
        <v>350</v>
      </c>
      <c r="O395" s="6">
        <f t="shared" si="27"/>
        <v>850</v>
      </c>
      <c r="P395" s="5" t="s">
        <v>11</v>
      </c>
      <c r="Q395" s="5" t="s">
        <v>10</v>
      </c>
      <c r="R395" s="5">
        <f t="shared" si="28"/>
        <v>4</v>
      </c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3">
      <c r="A396" s="3">
        <v>45903</v>
      </c>
      <c r="B396" s="4" t="s">
        <v>31</v>
      </c>
      <c r="C396" s="5"/>
      <c r="D396" s="5"/>
      <c r="E396" s="5">
        <v>455</v>
      </c>
      <c r="F396" s="5">
        <v>210</v>
      </c>
      <c r="G396" s="5"/>
      <c r="H396" s="5"/>
      <c r="I396" s="5"/>
      <c r="J396" s="5">
        <v>325</v>
      </c>
      <c r="K396" s="5"/>
      <c r="L396" s="5"/>
      <c r="M396" s="5"/>
      <c r="N396" s="6">
        <f t="shared" si="26"/>
        <v>210</v>
      </c>
      <c r="O396" s="6">
        <f t="shared" si="27"/>
        <v>455</v>
      </c>
      <c r="P396" s="5" t="s">
        <v>6</v>
      </c>
      <c r="Q396" s="5" t="s">
        <v>5</v>
      </c>
      <c r="R396" s="5">
        <f t="shared" si="28"/>
        <v>3</v>
      </c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3">
      <c r="A397" s="3">
        <v>45906</v>
      </c>
      <c r="B397" s="4" t="s">
        <v>31</v>
      </c>
      <c r="C397" s="5"/>
      <c r="D397" s="5"/>
      <c r="E397" s="5">
        <v>285</v>
      </c>
      <c r="F397" s="5">
        <v>670</v>
      </c>
      <c r="G397" s="5">
        <v>805</v>
      </c>
      <c r="H397" s="5"/>
      <c r="I397" s="5"/>
      <c r="J397" s="5">
        <v>545</v>
      </c>
      <c r="K397" s="5"/>
      <c r="L397" s="5">
        <v>495</v>
      </c>
      <c r="M397" s="5"/>
      <c r="N397" s="6">
        <f t="shared" si="26"/>
        <v>285</v>
      </c>
      <c r="O397" s="6">
        <f t="shared" si="27"/>
        <v>805</v>
      </c>
      <c r="P397" s="5" t="s">
        <v>5</v>
      </c>
      <c r="Q397" s="5" t="s">
        <v>7</v>
      </c>
      <c r="R397" s="5">
        <f t="shared" si="28"/>
        <v>5</v>
      </c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3">
      <c r="A398" s="3">
        <v>45914</v>
      </c>
      <c r="B398" s="4" t="s">
        <v>31</v>
      </c>
      <c r="C398" s="5"/>
      <c r="D398" s="5"/>
      <c r="E398" s="5">
        <v>635</v>
      </c>
      <c r="F398" s="5">
        <v>515</v>
      </c>
      <c r="G398" s="5"/>
      <c r="H398" s="5">
        <v>220</v>
      </c>
      <c r="I398" s="5"/>
      <c r="J398" s="5">
        <v>390</v>
      </c>
      <c r="K398" s="5"/>
      <c r="L398" s="5"/>
      <c r="M398" s="5"/>
      <c r="N398" s="6">
        <f t="shared" si="26"/>
        <v>220</v>
      </c>
      <c r="O398" s="6">
        <f t="shared" si="27"/>
        <v>635</v>
      </c>
      <c r="P398" s="5" t="s">
        <v>8</v>
      </c>
      <c r="Q398" s="5" t="s">
        <v>5</v>
      </c>
      <c r="R398" s="5">
        <f t="shared" si="28"/>
        <v>4</v>
      </c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3">
      <c r="A399" s="3">
        <v>45917</v>
      </c>
      <c r="B399" s="4" t="s">
        <v>31</v>
      </c>
      <c r="C399" s="5"/>
      <c r="D399" s="5"/>
      <c r="E399" s="5">
        <v>305</v>
      </c>
      <c r="F399" s="5">
        <v>235</v>
      </c>
      <c r="G399" s="5"/>
      <c r="H399" s="5"/>
      <c r="I399" s="5"/>
      <c r="J399" s="5">
        <v>205</v>
      </c>
      <c r="K399" s="5"/>
      <c r="L399" s="5"/>
      <c r="M399" s="5"/>
      <c r="N399" s="6">
        <f t="shared" si="26"/>
        <v>205</v>
      </c>
      <c r="O399" s="6">
        <f t="shared" si="27"/>
        <v>305</v>
      </c>
      <c r="P399" s="5" t="s">
        <v>11</v>
      </c>
      <c r="Q399" s="5" t="s">
        <v>5</v>
      </c>
      <c r="R399" s="5">
        <f t="shared" si="28"/>
        <v>3</v>
      </c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3">
      <c r="A400" s="3">
        <v>45924</v>
      </c>
      <c r="B400" s="4" t="s">
        <v>22</v>
      </c>
      <c r="C400" s="5"/>
      <c r="D400" s="5"/>
      <c r="E400" s="5">
        <v>495</v>
      </c>
      <c r="F400" s="5">
        <v>135</v>
      </c>
      <c r="G400" s="5"/>
      <c r="H400" s="5">
        <v>240</v>
      </c>
      <c r="I400" s="5"/>
      <c r="J400" s="5">
        <v>735</v>
      </c>
      <c r="K400" s="5"/>
      <c r="L400" s="5"/>
      <c r="M400" s="5"/>
      <c r="N400" s="6">
        <f t="shared" si="26"/>
        <v>135</v>
      </c>
      <c r="O400" s="6">
        <f t="shared" si="27"/>
        <v>735</v>
      </c>
      <c r="P400" s="5" t="s">
        <v>6</v>
      </c>
      <c r="Q400" s="5" t="s">
        <v>11</v>
      </c>
      <c r="R400" s="5">
        <f t="shared" si="28"/>
        <v>4</v>
      </c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3">
      <c r="A401" s="3">
        <v>45930</v>
      </c>
      <c r="B401" s="4" t="s">
        <v>60</v>
      </c>
      <c r="C401" s="5"/>
      <c r="D401" s="5"/>
      <c r="E401" s="5"/>
      <c r="F401" s="5">
        <v>260</v>
      </c>
      <c r="G401" s="5"/>
      <c r="H401" s="5"/>
      <c r="I401" s="5"/>
      <c r="J401" s="5">
        <v>545</v>
      </c>
      <c r="K401" s="5">
        <v>425</v>
      </c>
      <c r="L401" s="5"/>
      <c r="M401" s="5"/>
      <c r="N401" s="6">
        <f t="shared" si="26"/>
        <v>260</v>
      </c>
      <c r="O401" s="6">
        <f t="shared" si="27"/>
        <v>545</v>
      </c>
      <c r="P401" s="5" t="s">
        <v>6</v>
      </c>
      <c r="Q401" s="5" t="s">
        <v>11</v>
      </c>
      <c r="R401" s="5">
        <f t="shared" si="28"/>
        <v>3</v>
      </c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3">
      <c r="A402" s="3">
        <v>45931</v>
      </c>
      <c r="B402" s="4" t="s">
        <v>60</v>
      </c>
      <c r="C402" s="5"/>
      <c r="D402" s="5"/>
      <c r="E402" s="5"/>
      <c r="F402" s="5">
        <v>255</v>
      </c>
      <c r="G402" s="5"/>
      <c r="H402" s="5"/>
      <c r="I402" s="5"/>
      <c r="J402" s="5">
        <v>555</v>
      </c>
      <c r="K402" s="5">
        <v>445</v>
      </c>
      <c r="L402" s="5"/>
      <c r="M402" s="5"/>
      <c r="N402" s="6">
        <f t="shared" si="26"/>
        <v>255</v>
      </c>
      <c r="O402" s="6">
        <f t="shared" si="27"/>
        <v>555</v>
      </c>
      <c r="P402" s="5" t="s">
        <v>6</v>
      </c>
      <c r="Q402" s="5" t="s">
        <v>11</v>
      </c>
      <c r="R402" s="5">
        <f t="shared" si="28"/>
        <v>3</v>
      </c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3">
      <c r="A403" s="3">
        <v>45934</v>
      </c>
      <c r="B403" s="4" t="s">
        <v>31</v>
      </c>
      <c r="C403" s="5"/>
      <c r="D403" s="5"/>
      <c r="E403" s="5">
        <v>270</v>
      </c>
      <c r="F403" s="5">
        <v>1055</v>
      </c>
      <c r="G403" s="5">
        <v>270</v>
      </c>
      <c r="H403" s="5"/>
      <c r="I403" s="5"/>
      <c r="J403" s="5">
        <v>345</v>
      </c>
      <c r="K403" s="5"/>
      <c r="L403" s="5"/>
      <c r="M403" s="5"/>
      <c r="N403" s="6">
        <f t="shared" si="26"/>
        <v>270</v>
      </c>
      <c r="O403" s="6">
        <f t="shared" si="27"/>
        <v>1055</v>
      </c>
      <c r="P403" s="5" t="s">
        <v>5</v>
      </c>
      <c r="Q403" s="5" t="s">
        <v>6</v>
      </c>
      <c r="R403" s="5">
        <f t="shared" si="28"/>
        <v>4</v>
      </c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3">
      <c r="A404" s="3">
        <v>45941</v>
      </c>
      <c r="B404" s="4" t="s">
        <v>31</v>
      </c>
      <c r="C404" s="5"/>
      <c r="D404" s="5"/>
      <c r="E404" s="5">
        <v>320</v>
      </c>
      <c r="F404" s="5">
        <v>740</v>
      </c>
      <c r="G404" s="5">
        <v>950</v>
      </c>
      <c r="H404" s="5"/>
      <c r="I404" s="5"/>
      <c r="J404" s="5">
        <v>620</v>
      </c>
      <c r="K404" s="5"/>
      <c r="L404" s="5">
        <v>420</v>
      </c>
      <c r="M404" s="5"/>
      <c r="N404" s="6">
        <f t="shared" si="26"/>
        <v>320</v>
      </c>
      <c r="O404" s="6">
        <f t="shared" si="27"/>
        <v>950</v>
      </c>
      <c r="P404" s="5" t="s">
        <v>5</v>
      </c>
      <c r="Q404" s="5" t="s">
        <v>7</v>
      </c>
      <c r="R404" s="5">
        <f t="shared" si="28"/>
        <v>5</v>
      </c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3">
      <c r="A405" s="3">
        <v>45948</v>
      </c>
      <c r="B405" s="4" t="s">
        <v>49</v>
      </c>
      <c r="C405" s="5"/>
      <c r="D405" s="5"/>
      <c r="E405" s="5"/>
      <c r="F405" s="5"/>
      <c r="G405" s="5"/>
      <c r="H405" s="5"/>
      <c r="I405" s="5">
        <v>355</v>
      </c>
      <c r="J405" s="5">
        <v>420</v>
      </c>
      <c r="K405" s="5">
        <v>165</v>
      </c>
      <c r="L405" s="5"/>
      <c r="M405" s="5"/>
      <c r="N405" s="6">
        <f t="shared" si="26"/>
        <v>165</v>
      </c>
      <c r="O405" s="6">
        <f t="shared" si="27"/>
        <v>420</v>
      </c>
      <c r="P405" s="5" t="s">
        <v>12</v>
      </c>
      <c r="Q405" s="5" t="s">
        <v>11</v>
      </c>
      <c r="R405" s="5">
        <f t="shared" si="28"/>
        <v>3</v>
      </c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3">
      <c r="A406" s="3">
        <v>45966</v>
      </c>
      <c r="B406" s="4" t="s">
        <v>49</v>
      </c>
      <c r="C406" s="5"/>
      <c r="D406" s="5"/>
      <c r="E406" s="5"/>
      <c r="F406" s="5">
        <v>480</v>
      </c>
      <c r="G406" s="5"/>
      <c r="H406" s="5"/>
      <c r="I406" s="5"/>
      <c r="J406" s="5">
        <v>300</v>
      </c>
      <c r="K406" s="5">
        <v>400</v>
      </c>
      <c r="L406" s="5"/>
      <c r="M406" s="5"/>
      <c r="N406" s="6">
        <f t="shared" si="26"/>
        <v>300</v>
      </c>
      <c r="O406" s="6">
        <f t="shared" si="27"/>
        <v>480</v>
      </c>
      <c r="P406" s="5" t="s">
        <v>11</v>
      </c>
      <c r="Q406" s="5" t="s">
        <v>6</v>
      </c>
      <c r="R406" s="5">
        <f t="shared" si="28"/>
        <v>3</v>
      </c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3">
      <c r="A407" s="3">
        <v>45968</v>
      </c>
      <c r="B407" s="4" t="s">
        <v>49</v>
      </c>
      <c r="C407" s="5"/>
      <c r="D407" s="5"/>
      <c r="E407" s="5"/>
      <c r="F407" s="5">
        <v>215</v>
      </c>
      <c r="G407" s="5"/>
      <c r="H407" s="5"/>
      <c r="I407" s="5"/>
      <c r="J407" s="5">
        <v>495</v>
      </c>
      <c r="K407" s="5">
        <v>720</v>
      </c>
      <c r="L407" s="5"/>
      <c r="M407" s="5"/>
      <c r="N407" s="6">
        <f t="shared" si="26"/>
        <v>215</v>
      </c>
      <c r="O407" s="6">
        <f t="shared" si="27"/>
        <v>720</v>
      </c>
      <c r="P407" s="5" t="s">
        <v>6</v>
      </c>
      <c r="Q407" s="5" t="s">
        <v>12</v>
      </c>
      <c r="R407" s="5">
        <f t="shared" si="28"/>
        <v>3</v>
      </c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3">
      <c r="A408" s="3">
        <v>45969</v>
      </c>
      <c r="B408" s="4" t="s">
        <v>49</v>
      </c>
      <c r="C408" s="5"/>
      <c r="D408" s="5"/>
      <c r="E408" s="5"/>
      <c r="F408" s="5">
        <v>385</v>
      </c>
      <c r="G408" s="5"/>
      <c r="H408" s="5"/>
      <c r="I408" s="5"/>
      <c r="J408" s="5">
        <v>640</v>
      </c>
      <c r="K408" s="5">
        <v>230</v>
      </c>
      <c r="L408" s="5"/>
      <c r="M408" s="5"/>
      <c r="N408" s="6">
        <f t="shared" si="26"/>
        <v>230</v>
      </c>
      <c r="O408" s="6">
        <f t="shared" si="27"/>
        <v>640</v>
      </c>
      <c r="P408" s="5" t="s">
        <v>12</v>
      </c>
      <c r="Q408" s="5" t="s">
        <v>11</v>
      </c>
      <c r="R408" s="5">
        <f t="shared" si="28"/>
        <v>3</v>
      </c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3">
      <c r="A409" s="3">
        <v>45970</v>
      </c>
      <c r="B409" s="4" t="s">
        <v>31</v>
      </c>
      <c r="C409" s="5"/>
      <c r="D409" s="5"/>
      <c r="E409" s="5">
        <v>275</v>
      </c>
      <c r="F409" s="5">
        <v>390</v>
      </c>
      <c r="G409" s="5"/>
      <c r="H409" s="5">
        <v>260</v>
      </c>
      <c r="I409" s="5"/>
      <c r="J409" s="5">
        <v>535</v>
      </c>
      <c r="K409" s="5"/>
      <c r="L409" s="5"/>
      <c r="M409" s="5"/>
      <c r="N409" s="6">
        <f t="shared" si="26"/>
        <v>260</v>
      </c>
      <c r="O409" s="6">
        <f t="shared" si="27"/>
        <v>535</v>
      </c>
      <c r="P409" s="5" t="s">
        <v>8</v>
      </c>
      <c r="Q409" s="5" t="s">
        <v>11</v>
      </c>
      <c r="R409" s="5">
        <f t="shared" si="28"/>
        <v>4</v>
      </c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3">
      <c r="A410" s="3">
        <v>45976</v>
      </c>
      <c r="B410" s="4" t="s">
        <v>31</v>
      </c>
      <c r="C410" s="5"/>
      <c r="D410" s="5"/>
      <c r="E410" s="5">
        <v>640</v>
      </c>
      <c r="F410" s="5"/>
      <c r="G410" s="5"/>
      <c r="H410" s="5">
        <v>285</v>
      </c>
      <c r="I410" s="5"/>
      <c r="J410" s="5">
        <v>515</v>
      </c>
      <c r="K410" s="5"/>
      <c r="L410" s="5"/>
      <c r="M410" s="5"/>
      <c r="N410" s="6">
        <f t="shared" si="26"/>
        <v>285</v>
      </c>
      <c r="O410" s="6">
        <f t="shared" si="27"/>
        <v>640</v>
      </c>
      <c r="P410" s="5" t="s">
        <v>8</v>
      </c>
      <c r="Q410" s="5" t="s">
        <v>5</v>
      </c>
      <c r="R410" s="5">
        <f t="shared" si="28"/>
        <v>3</v>
      </c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3">
      <c r="A411" s="3">
        <v>45983</v>
      </c>
      <c r="B411" s="4" t="s">
        <v>31</v>
      </c>
      <c r="C411" s="5"/>
      <c r="D411" s="5"/>
      <c r="E411" s="5">
        <v>700</v>
      </c>
      <c r="F411" s="5"/>
      <c r="G411" s="5">
        <v>815</v>
      </c>
      <c r="H411" s="5"/>
      <c r="I411" s="5"/>
      <c r="J411" s="5">
        <v>415</v>
      </c>
      <c r="K411" s="5"/>
      <c r="L411" s="5"/>
      <c r="M411" s="5"/>
      <c r="N411" s="6">
        <f t="shared" si="26"/>
        <v>415</v>
      </c>
      <c r="O411" s="6">
        <f t="shared" si="27"/>
        <v>815</v>
      </c>
      <c r="P411" s="5" t="s">
        <v>11</v>
      </c>
      <c r="Q411" s="5" t="s">
        <v>7</v>
      </c>
      <c r="R411" s="5">
        <f t="shared" si="28"/>
        <v>3</v>
      </c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3">
      <c r="A412" s="3">
        <v>45983</v>
      </c>
      <c r="B412" s="4" t="s">
        <v>49</v>
      </c>
      <c r="C412" s="5"/>
      <c r="D412" s="5"/>
      <c r="E412" s="5"/>
      <c r="F412" s="5">
        <v>360</v>
      </c>
      <c r="G412" s="5"/>
      <c r="H412" s="5"/>
      <c r="I412" s="5">
        <v>620</v>
      </c>
      <c r="J412" s="5">
        <v>375</v>
      </c>
      <c r="K412" s="5">
        <v>530</v>
      </c>
      <c r="L412" s="5"/>
      <c r="M412" s="5"/>
      <c r="N412" s="6">
        <f t="shared" si="26"/>
        <v>360</v>
      </c>
      <c r="O412" s="6">
        <f t="shared" si="27"/>
        <v>620</v>
      </c>
      <c r="P412" s="5" t="s">
        <v>6</v>
      </c>
      <c r="Q412" s="5" t="s">
        <v>10</v>
      </c>
      <c r="R412" s="5">
        <f t="shared" si="28"/>
        <v>4</v>
      </c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3">
      <c r="A413" s="3">
        <v>45990</v>
      </c>
      <c r="B413" s="4" t="s">
        <v>49</v>
      </c>
      <c r="C413" s="5"/>
      <c r="D413" s="5"/>
      <c r="E413" s="5"/>
      <c r="F413" s="5">
        <v>150</v>
      </c>
      <c r="G413" s="5"/>
      <c r="H413" s="5"/>
      <c r="I413" s="5"/>
      <c r="J413" s="5">
        <v>710</v>
      </c>
      <c r="K413" s="5">
        <v>305</v>
      </c>
      <c r="L413" s="5"/>
      <c r="M413" s="5"/>
      <c r="N413" s="6">
        <f t="shared" si="26"/>
        <v>150</v>
      </c>
      <c r="O413" s="6">
        <f t="shared" si="27"/>
        <v>710</v>
      </c>
      <c r="P413" s="5" t="s">
        <v>6</v>
      </c>
      <c r="Q413" s="5" t="s">
        <v>11</v>
      </c>
      <c r="R413" s="5">
        <f t="shared" si="28"/>
        <v>3</v>
      </c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3">
      <c r="A414" s="3">
        <v>45991</v>
      </c>
      <c r="B414" s="4" t="s">
        <v>49</v>
      </c>
      <c r="C414" s="5"/>
      <c r="D414" s="5"/>
      <c r="E414" s="5"/>
      <c r="F414" s="5">
        <v>265</v>
      </c>
      <c r="G414" s="5"/>
      <c r="H414" s="5"/>
      <c r="I414" s="5"/>
      <c r="J414" s="5">
        <v>290</v>
      </c>
      <c r="K414" s="5">
        <v>395</v>
      </c>
      <c r="L414" s="5"/>
      <c r="M414" s="5"/>
      <c r="N414" s="6">
        <f t="shared" si="26"/>
        <v>265</v>
      </c>
      <c r="O414" s="6">
        <f t="shared" si="27"/>
        <v>395</v>
      </c>
      <c r="P414" s="5" t="s">
        <v>6</v>
      </c>
      <c r="Q414" s="5" t="s">
        <v>12</v>
      </c>
      <c r="R414" s="5">
        <f t="shared" si="28"/>
        <v>3</v>
      </c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3">
      <c r="A415" s="3">
        <v>45994</v>
      </c>
      <c r="B415" s="4" t="s">
        <v>31</v>
      </c>
      <c r="C415" s="5"/>
      <c r="D415" s="5"/>
      <c r="E415" s="5">
        <v>470</v>
      </c>
      <c r="F415" s="5">
        <v>355</v>
      </c>
      <c r="G415" s="5"/>
      <c r="H415" s="5"/>
      <c r="I415" s="5"/>
      <c r="J415" s="5">
        <v>300</v>
      </c>
      <c r="K415" s="5"/>
      <c r="L415" s="5"/>
      <c r="M415" s="5"/>
      <c r="N415" s="6">
        <f t="shared" si="26"/>
        <v>300</v>
      </c>
      <c r="O415" s="6">
        <f t="shared" si="27"/>
        <v>470</v>
      </c>
      <c r="P415" s="5" t="s">
        <v>11</v>
      </c>
      <c r="Q415" s="5" t="s">
        <v>5</v>
      </c>
      <c r="R415" s="5">
        <f t="shared" si="28"/>
        <v>3</v>
      </c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3">
      <c r="A416" s="3">
        <v>45997</v>
      </c>
      <c r="B416" s="4" t="s">
        <v>22</v>
      </c>
      <c r="C416" s="5"/>
      <c r="D416" s="5"/>
      <c r="E416" s="5">
        <v>495</v>
      </c>
      <c r="F416" s="5">
        <v>245</v>
      </c>
      <c r="G416" s="5">
        <v>185</v>
      </c>
      <c r="H416" s="5"/>
      <c r="I416" s="5"/>
      <c r="J416" s="5">
        <v>290</v>
      </c>
      <c r="K416" s="5"/>
      <c r="L416" s="5"/>
      <c r="M416" s="5"/>
      <c r="N416" s="6">
        <f t="shared" si="26"/>
        <v>185</v>
      </c>
      <c r="O416" s="6">
        <f t="shared" si="27"/>
        <v>495</v>
      </c>
      <c r="P416" s="5" t="s">
        <v>7</v>
      </c>
      <c r="Q416" s="5" t="s">
        <v>5</v>
      </c>
      <c r="R416" s="5">
        <f t="shared" si="28"/>
        <v>4</v>
      </c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3">
      <c r="A417" s="3">
        <v>46023</v>
      </c>
      <c r="B417" s="4" t="s">
        <v>31</v>
      </c>
      <c r="C417" s="5"/>
      <c r="D417" s="5"/>
      <c r="E417" s="5">
        <v>445</v>
      </c>
      <c r="F417" s="5">
        <v>460</v>
      </c>
      <c r="G417" s="5">
        <v>885</v>
      </c>
      <c r="H417" s="5"/>
      <c r="I417" s="5"/>
      <c r="J417" s="5">
        <v>160</v>
      </c>
      <c r="K417" s="5"/>
      <c r="L417" s="5"/>
      <c r="M417" s="5"/>
      <c r="N417" s="6">
        <f t="shared" si="26"/>
        <v>160</v>
      </c>
      <c r="O417" s="6">
        <f t="shared" si="27"/>
        <v>885</v>
      </c>
      <c r="P417" s="5" t="s">
        <v>11</v>
      </c>
      <c r="Q417" s="5" t="s">
        <v>7</v>
      </c>
      <c r="R417" s="5">
        <f t="shared" si="28"/>
        <v>4</v>
      </c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3">
      <c r="A418" s="3">
        <v>46025</v>
      </c>
      <c r="B418" s="4" t="s">
        <v>22</v>
      </c>
      <c r="C418" s="5"/>
      <c r="D418" s="5"/>
      <c r="E418" s="5">
        <v>245</v>
      </c>
      <c r="F418" s="5">
        <v>595</v>
      </c>
      <c r="G418" s="5">
        <v>310</v>
      </c>
      <c r="H418" s="5"/>
      <c r="I418" s="5"/>
      <c r="J418" s="5">
        <v>1055</v>
      </c>
      <c r="K418" s="5"/>
      <c r="L418" s="5"/>
      <c r="M418" s="5"/>
      <c r="N418" s="6">
        <f t="shared" si="26"/>
        <v>245</v>
      </c>
      <c r="O418" s="6">
        <f t="shared" si="27"/>
        <v>1055</v>
      </c>
      <c r="P418" s="5" t="s">
        <v>5</v>
      </c>
      <c r="Q418" s="5" t="s">
        <v>11</v>
      </c>
      <c r="R418" s="5">
        <f t="shared" si="28"/>
        <v>4</v>
      </c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3">
      <c r="A419" s="3">
        <v>46032</v>
      </c>
      <c r="B419" s="4" t="s">
        <v>31</v>
      </c>
      <c r="C419" s="5"/>
      <c r="D419" s="5"/>
      <c r="E419" s="5">
        <v>775</v>
      </c>
      <c r="F419" s="5">
        <v>640</v>
      </c>
      <c r="G419" s="5">
        <v>455</v>
      </c>
      <c r="H419" s="5"/>
      <c r="I419" s="5"/>
      <c r="J419" s="5">
        <v>790</v>
      </c>
      <c r="K419" s="5"/>
      <c r="L419" s="5">
        <v>1120</v>
      </c>
      <c r="M419" s="5"/>
      <c r="N419" s="6">
        <f t="shared" si="26"/>
        <v>455</v>
      </c>
      <c r="O419" s="6">
        <f t="shared" si="27"/>
        <v>1120</v>
      </c>
      <c r="P419" s="5" t="s">
        <v>7</v>
      </c>
      <c r="Q419" s="5" t="s">
        <v>13</v>
      </c>
      <c r="R419" s="5">
        <f t="shared" si="28"/>
        <v>5</v>
      </c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3">
      <c r="A420" s="3">
        <v>46039</v>
      </c>
      <c r="B420" s="4" t="s">
        <v>22</v>
      </c>
      <c r="C420" s="5"/>
      <c r="D420" s="5"/>
      <c r="E420" s="5">
        <v>735</v>
      </c>
      <c r="F420" s="5">
        <v>950</v>
      </c>
      <c r="G420" s="5">
        <v>520</v>
      </c>
      <c r="H420" s="5"/>
      <c r="I420" s="5"/>
      <c r="J420" s="5">
        <v>290</v>
      </c>
      <c r="K420" s="5"/>
      <c r="L420" s="5">
        <v>380</v>
      </c>
      <c r="M420" s="5"/>
      <c r="N420" s="6">
        <f t="shared" si="26"/>
        <v>290</v>
      </c>
      <c r="O420" s="6">
        <f t="shared" si="27"/>
        <v>950</v>
      </c>
      <c r="P420" s="5" t="s">
        <v>11</v>
      </c>
      <c r="Q420" s="5" t="s">
        <v>6</v>
      </c>
      <c r="R420" s="5">
        <f t="shared" si="28"/>
        <v>5</v>
      </c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3">
      <c r="A421" s="3">
        <v>46050</v>
      </c>
      <c r="B421" s="4" t="s">
        <v>49</v>
      </c>
      <c r="C421" s="5"/>
      <c r="D421" s="5"/>
      <c r="E421" s="5"/>
      <c r="F421" s="5">
        <v>235</v>
      </c>
      <c r="G421" s="5"/>
      <c r="H421" s="5"/>
      <c r="I421" s="5"/>
      <c r="J421" s="5">
        <v>755</v>
      </c>
      <c r="K421" s="5">
        <v>425</v>
      </c>
      <c r="L421" s="5"/>
      <c r="M421" s="5"/>
      <c r="N421" s="6">
        <f t="shared" si="26"/>
        <v>235</v>
      </c>
      <c r="O421" s="6">
        <f t="shared" si="27"/>
        <v>755</v>
      </c>
      <c r="P421" s="5" t="s">
        <v>6</v>
      </c>
      <c r="Q421" s="5" t="s">
        <v>11</v>
      </c>
      <c r="R421" s="5">
        <f t="shared" si="28"/>
        <v>3</v>
      </c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3">
      <c r="A422" s="3">
        <v>46067</v>
      </c>
      <c r="B422" s="4" t="s">
        <v>22</v>
      </c>
      <c r="C422" s="5"/>
      <c r="D422" s="5"/>
      <c r="E422" s="5">
        <v>435</v>
      </c>
      <c r="F422" s="5">
        <v>570</v>
      </c>
      <c r="G422" s="5">
        <v>515</v>
      </c>
      <c r="H422" s="5"/>
      <c r="I422" s="5"/>
      <c r="J422" s="5">
        <v>445</v>
      </c>
      <c r="K422" s="5"/>
      <c r="L422" s="5">
        <v>795</v>
      </c>
      <c r="M422" s="5"/>
      <c r="N422" s="6">
        <f t="shared" si="26"/>
        <v>435</v>
      </c>
      <c r="O422" s="6">
        <f t="shared" si="27"/>
        <v>795</v>
      </c>
      <c r="P422" s="5" t="s">
        <v>5</v>
      </c>
      <c r="Q422" s="5" t="s">
        <v>13</v>
      </c>
      <c r="R422" s="5">
        <f t="shared" si="28"/>
        <v>5</v>
      </c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3">
      <c r="A423" s="3">
        <v>46081</v>
      </c>
      <c r="B423" s="4" t="s">
        <v>22</v>
      </c>
      <c r="C423" s="5"/>
      <c r="D423" s="5"/>
      <c r="E423" s="5">
        <v>360</v>
      </c>
      <c r="F423" s="5">
        <v>515</v>
      </c>
      <c r="G423" s="5">
        <v>345</v>
      </c>
      <c r="H423" s="5"/>
      <c r="I423" s="5"/>
      <c r="J423" s="5">
        <v>695</v>
      </c>
      <c r="K423" s="5"/>
      <c r="L423" s="5"/>
      <c r="M423" s="5"/>
      <c r="N423" s="6">
        <f t="shared" si="26"/>
        <v>345</v>
      </c>
      <c r="O423" s="6">
        <f t="shared" si="27"/>
        <v>695</v>
      </c>
      <c r="P423" s="5" t="s">
        <v>7</v>
      </c>
      <c r="Q423" s="5" t="s">
        <v>11</v>
      </c>
      <c r="R423" s="5">
        <f t="shared" si="28"/>
        <v>4</v>
      </c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3">
      <c r="A424" s="3">
        <v>46084</v>
      </c>
      <c r="B424" s="4" t="s">
        <v>49</v>
      </c>
      <c r="C424" s="5"/>
      <c r="D424" s="5"/>
      <c r="E424" s="5"/>
      <c r="F424" s="5">
        <v>160</v>
      </c>
      <c r="G424" s="5"/>
      <c r="H424" s="5"/>
      <c r="I424" s="5"/>
      <c r="J424" s="5">
        <v>205</v>
      </c>
      <c r="K424" s="5">
        <v>355</v>
      </c>
      <c r="L424" s="5"/>
      <c r="M424" s="5"/>
      <c r="N424" s="6">
        <f t="shared" si="26"/>
        <v>160</v>
      </c>
      <c r="O424" s="6">
        <f t="shared" si="27"/>
        <v>355</v>
      </c>
      <c r="P424" s="5" t="s">
        <v>6</v>
      </c>
      <c r="Q424" s="5" t="s">
        <v>12</v>
      </c>
      <c r="R424" s="5">
        <f t="shared" si="28"/>
        <v>3</v>
      </c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3">
      <c r="A425" s="3">
        <v>46085</v>
      </c>
      <c r="B425" s="4" t="s">
        <v>49</v>
      </c>
      <c r="C425" s="5"/>
      <c r="D425" s="5"/>
      <c r="E425" s="5"/>
      <c r="F425" s="5">
        <v>410</v>
      </c>
      <c r="G425" s="5"/>
      <c r="H425" s="5"/>
      <c r="I425" s="5"/>
      <c r="J425" s="5">
        <v>365</v>
      </c>
      <c r="K425" s="5">
        <v>230</v>
      </c>
      <c r="L425" s="5"/>
      <c r="M425" s="5"/>
      <c r="N425" s="6">
        <f t="shared" si="26"/>
        <v>230</v>
      </c>
      <c r="O425" s="6">
        <f t="shared" si="27"/>
        <v>410</v>
      </c>
      <c r="P425" s="5" t="s">
        <v>12</v>
      </c>
      <c r="Q425" s="5" t="s">
        <v>6</v>
      </c>
      <c r="R425" s="5">
        <f t="shared" si="28"/>
        <v>3</v>
      </c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3">
      <c r="A426" s="3">
        <v>46089</v>
      </c>
      <c r="B426" s="4" t="s">
        <v>49</v>
      </c>
      <c r="C426" s="5"/>
      <c r="D426" s="5"/>
      <c r="E426" s="5"/>
      <c r="F426" s="5">
        <v>195</v>
      </c>
      <c r="G426" s="5"/>
      <c r="H426" s="5"/>
      <c r="I426" s="5"/>
      <c r="J426" s="5">
        <v>605</v>
      </c>
      <c r="K426" s="5">
        <v>860</v>
      </c>
      <c r="L426" s="5"/>
      <c r="M426" s="5"/>
      <c r="N426" s="6">
        <f t="shared" si="26"/>
        <v>195</v>
      </c>
      <c r="O426" s="6">
        <f t="shared" si="27"/>
        <v>860</v>
      </c>
      <c r="P426" s="5" t="s">
        <v>6</v>
      </c>
      <c r="Q426" s="5" t="s">
        <v>12</v>
      </c>
      <c r="R426" s="5">
        <f t="shared" si="28"/>
        <v>3</v>
      </c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3">
      <c r="A427" s="3">
        <v>46091</v>
      </c>
      <c r="B427" s="4" t="s">
        <v>49</v>
      </c>
      <c r="C427" s="5"/>
      <c r="D427" s="5"/>
      <c r="E427" s="5"/>
      <c r="F427" s="5">
        <v>190</v>
      </c>
      <c r="G427" s="5"/>
      <c r="H427" s="5"/>
      <c r="I427" s="5"/>
      <c r="J427" s="5">
        <v>325</v>
      </c>
      <c r="K427" s="5">
        <v>215</v>
      </c>
      <c r="L427" s="5"/>
      <c r="M427" s="5"/>
      <c r="N427" s="6">
        <f t="shared" si="26"/>
        <v>190</v>
      </c>
      <c r="O427" s="6">
        <f t="shared" si="27"/>
        <v>325</v>
      </c>
      <c r="P427" s="5" t="s">
        <v>6</v>
      </c>
      <c r="Q427" s="5" t="s">
        <v>11</v>
      </c>
      <c r="R427" s="5">
        <f t="shared" si="28"/>
        <v>3</v>
      </c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3">
      <c r="A428" s="3">
        <v>46109</v>
      </c>
      <c r="B428" s="4" t="s">
        <v>22</v>
      </c>
      <c r="C428" s="5"/>
      <c r="D428" s="5"/>
      <c r="E428" s="5">
        <v>385</v>
      </c>
      <c r="F428" s="5">
        <v>380</v>
      </c>
      <c r="G428" s="5"/>
      <c r="H428" s="5"/>
      <c r="I428" s="5"/>
      <c r="J428" s="5">
        <v>345</v>
      </c>
      <c r="K428" s="5"/>
      <c r="L428" s="5"/>
      <c r="M428" s="5"/>
      <c r="N428" s="6">
        <f t="shared" si="26"/>
        <v>345</v>
      </c>
      <c r="O428" s="6">
        <f t="shared" si="27"/>
        <v>385</v>
      </c>
      <c r="P428" s="5" t="s">
        <v>11</v>
      </c>
      <c r="Q428" s="5" t="s">
        <v>5</v>
      </c>
      <c r="R428" s="5">
        <f t="shared" si="28"/>
        <v>3</v>
      </c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3">
      <c r="A429" s="3">
        <v>46121</v>
      </c>
      <c r="B429" s="4" t="s">
        <v>31</v>
      </c>
      <c r="C429" s="5"/>
      <c r="D429" s="5"/>
      <c r="E429" s="5">
        <v>695</v>
      </c>
      <c r="F429" s="5">
        <v>285</v>
      </c>
      <c r="G429" s="5">
        <v>135</v>
      </c>
      <c r="H429" s="5"/>
      <c r="I429" s="5"/>
      <c r="J429" s="5">
        <v>290</v>
      </c>
      <c r="K429" s="5"/>
      <c r="L429" s="5"/>
      <c r="M429" s="5"/>
      <c r="N429" s="6">
        <f t="shared" si="26"/>
        <v>135</v>
      </c>
      <c r="O429" s="6">
        <f t="shared" si="27"/>
        <v>695</v>
      </c>
      <c r="P429" s="5" t="s">
        <v>7</v>
      </c>
      <c r="Q429" s="5" t="s">
        <v>5</v>
      </c>
      <c r="R429" s="5">
        <f t="shared" si="28"/>
        <v>4</v>
      </c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3">
      <c r="A430" s="3">
        <v>46137</v>
      </c>
      <c r="B430" s="4" t="s">
        <v>49</v>
      </c>
      <c r="C430" s="5"/>
      <c r="D430" s="5"/>
      <c r="E430" s="5"/>
      <c r="F430" s="5">
        <v>325</v>
      </c>
      <c r="G430" s="5"/>
      <c r="H430" s="5"/>
      <c r="I430" s="5"/>
      <c r="J430" s="5">
        <v>525</v>
      </c>
      <c r="K430" s="5">
        <v>235</v>
      </c>
      <c r="L430" s="5"/>
      <c r="M430" s="5"/>
      <c r="N430" s="6">
        <f t="shared" si="26"/>
        <v>235</v>
      </c>
      <c r="O430" s="6">
        <f t="shared" si="27"/>
        <v>525</v>
      </c>
      <c r="P430" s="5" t="s">
        <v>12</v>
      </c>
      <c r="Q430" s="5" t="s">
        <v>11</v>
      </c>
      <c r="R430" s="5">
        <f t="shared" si="28"/>
        <v>3</v>
      </c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3">
      <c r="A431" s="3">
        <v>46156</v>
      </c>
      <c r="B431" s="4" t="s">
        <v>31</v>
      </c>
      <c r="C431" s="5" t="s">
        <v>21</v>
      </c>
      <c r="D431" s="5"/>
      <c r="E431" s="5"/>
      <c r="F431" s="5">
        <v>190</v>
      </c>
      <c r="G431" s="5">
        <v>245</v>
      </c>
      <c r="H431" s="5"/>
      <c r="I431" s="5"/>
      <c r="J431" s="5">
        <v>315</v>
      </c>
      <c r="K431" s="5">
        <v>365</v>
      </c>
      <c r="L431" s="5"/>
      <c r="M431" s="5"/>
      <c r="N431" s="6">
        <f t="shared" si="26"/>
        <v>190</v>
      </c>
      <c r="O431" s="6">
        <f t="shared" si="27"/>
        <v>365</v>
      </c>
      <c r="P431" s="5" t="s">
        <v>6</v>
      </c>
      <c r="Q431" s="5" t="s">
        <v>12</v>
      </c>
      <c r="R431" s="5">
        <f t="shared" si="28"/>
        <v>4</v>
      </c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3">
      <c r="A432" s="3">
        <v>46159</v>
      </c>
      <c r="B432" s="4" t="s">
        <v>61</v>
      </c>
      <c r="C432" s="5"/>
      <c r="D432" s="5"/>
      <c r="E432" s="5"/>
      <c r="F432" s="5">
        <v>330</v>
      </c>
      <c r="G432" s="5"/>
      <c r="H432" s="5"/>
      <c r="I432" s="5"/>
      <c r="J432" s="5">
        <v>405</v>
      </c>
      <c r="K432" s="5">
        <v>495</v>
      </c>
      <c r="L432" s="5"/>
      <c r="M432" s="5"/>
      <c r="N432" s="6">
        <f t="shared" si="26"/>
        <v>330</v>
      </c>
      <c r="O432" s="6">
        <f t="shared" si="27"/>
        <v>495</v>
      </c>
      <c r="P432" s="5" t="s">
        <v>6</v>
      </c>
      <c r="Q432" s="5" t="s">
        <v>12</v>
      </c>
      <c r="R432" s="5">
        <f t="shared" si="28"/>
        <v>3</v>
      </c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3">
      <c r="A433" s="3">
        <v>46160</v>
      </c>
      <c r="B433" s="4" t="s">
        <v>61</v>
      </c>
      <c r="C433" s="5"/>
      <c r="D433" s="5"/>
      <c r="E433" s="5"/>
      <c r="F433" s="5">
        <v>50</v>
      </c>
      <c r="G433" s="5"/>
      <c r="H433" s="5"/>
      <c r="I433" s="5"/>
      <c r="J433" s="5">
        <v>615</v>
      </c>
      <c r="K433" s="5">
        <v>250</v>
      </c>
      <c r="L433" s="5"/>
      <c r="M433" s="5"/>
      <c r="N433" s="6">
        <f t="shared" si="26"/>
        <v>50</v>
      </c>
      <c r="O433" s="6">
        <f t="shared" si="27"/>
        <v>615</v>
      </c>
      <c r="P433" s="5" t="s">
        <v>6</v>
      </c>
      <c r="Q433" s="5" t="s">
        <v>11</v>
      </c>
      <c r="R433" s="5">
        <f t="shared" si="28"/>
        <v>3</v>
      </c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3">
      <c r="A434" s="3">
        <v>46167</v>
      </c>
      <c r="B434" s="4" t="s">
        <v>49</v>
      </c>
      <c r="C434" s="5" t="s">
        <v>21</v>
      </c>
      <c r="D434" s="5"/>
      <c r="E434" s="5"/>
      <c r="F434" s="5">
        <v>170</v>
      </c>
      <c r="G434" s="5"/>
      <c r="H434" s="5"/>
      <c r="I434" s="5">
        <v>325</v>
      </c>
      <c r="J434" s="5">
        <v>255</v>
      </c>
      <c r="K434" s="5">
        <v>90</v>
      </c>
      <c r="L434" s="5"/>
      <c r="M434" s="5"/>
      <c r="N434" s="6">
        <f t="shared" si="26"/>
        <v>90</v>
      </c>
      <c r="O434" s="6">
        <f t="shared" si="27"/>
        <v>325</v>
      </c>
      <c r="P434" s="5" t="s">
        <v>12</v>
      </c>
      <c r="Q434" s="5" t="s">
        <v>10</v>
      </c>
      <c r="R434" s="5">
        <f t="shared" si="28"/>
        <v>4</v>
      </c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3">
      <c r="A435" s="3">
        <v>46186</v>
      </c>
      <c r="B435" s="4" t="s">
        <v>102</v>
      </c>
      <c r="C435" s="5"/>
      <c r="D435" s="5"/>
      <c r="E435" s="5"/>
      <c r="F435" s="5">
        <v>185</v>
      </c>
      <c r="G435" s="5">
        <v>450</v>
      </c>
      <c r="H435" s="5"/>
      <c r="I435" s="5">
        <v>700</v>
      </c>
      <c r="J435" s="5">
        <v>515</v>
      </c>
      <c r="K435" s="5"/>
      <c r="L435" s="5"/>
      <c r="M435" s="5"/>
      <c r="N435" s="6">
        <f t="shared" si="26"/>
        <v>185</v>
      </c>
      <c r="O435" s="6">
        <f t="shared" si="27"/>
        <v>700</v>
      </c>
      <c r="P435" s="5" t="s">
        <v>6</v>
      </c>
      <c r="Q435" s="5" t="s">
        <v>10</v>
      </c>
      <c r="R435" s="5">
        <f t="shared" si="28"/>
        <v>4</v>
      </c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3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6"/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3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6"/>
      <c r="O437" s="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3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6"/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3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6"/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3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6"/>
      <c r="O440" s="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3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6"/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3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6"/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3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6"/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3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6"/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3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6"/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3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6"/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3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6"/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3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6"/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3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6"/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3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6"/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3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6"/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3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6"/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3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6"/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3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6"/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3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6"/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3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6"/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3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6"/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3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6"/>
      <c r="O458" s="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3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6"/>
      <c r="O459" s="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3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6"/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3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6"/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3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6"/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3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6"/>
      <c r="O463" s="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3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6"/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3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6"/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3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6"/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3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6"/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3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6"/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3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6"/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3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6"/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3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6"/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3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6"/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3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6"/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3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6"/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3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6"/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3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6"/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3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6"/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3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6"/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3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6"/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3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6"/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3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6"/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3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6"/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3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6"/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3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6"/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3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6"/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3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6"/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3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6"/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3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6"/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3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6"/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3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6"/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3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6"/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3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6"/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3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6"/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3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6"/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3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6"/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3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6"/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3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6"/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3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6"/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3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6"/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3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6"/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3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6"/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3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6"/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3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6"/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3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6"/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3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6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3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6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3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6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3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6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3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6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3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6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3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6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3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6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3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6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3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6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3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6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3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6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3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6"/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3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6"/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3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6"/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3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6"/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3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6"/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3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6"/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3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6"/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3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6"/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3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6"/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3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6"/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3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6"/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3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6"/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3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6"/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3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6"/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3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6"/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3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6"/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3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6"/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3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6"/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3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6"/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3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6"/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3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6"/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3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6"/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3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6"/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3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6"/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3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6"/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3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6"/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3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6"/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3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6"/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3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6"/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3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6"/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3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6"/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3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6"/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3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6"/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3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6"/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3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6"/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3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6"/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3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6"/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3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6"/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3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6"/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3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6"/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3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6"/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3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6"/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3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6"/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3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6"/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3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6"/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3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6"/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3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6"/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3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6"/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3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6"/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3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6"/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3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6"/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3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6"/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3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6"/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3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6"/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3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6"/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3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6"/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3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6"/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3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6"/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3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6"/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3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6"/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3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6"/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3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6"/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3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6"/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3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6"/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3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6"/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3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6"/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3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6"/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3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6"/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3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6"/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3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6"/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3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6"/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3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6"/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3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6"/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3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6"/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3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6"/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3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6"/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3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6"/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3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6"/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3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6"/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3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6"/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3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6"/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3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6"/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3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6"/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3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6"/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3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6"/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3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6"/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3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6"/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3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6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3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6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3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6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3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6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3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6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3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6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3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6"/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3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6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3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6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3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6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3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6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3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6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3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6"/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3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6"/>
      <c r="O617" s="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3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6"/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3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6"/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3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6"/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3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6"/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3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6"/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3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6"/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3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6"/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3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6"/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3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6"/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3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6"/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3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6"/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3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6"/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3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6"/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3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6"/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3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6"/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3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6"/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3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6"/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3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6"/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3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6"/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3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6"/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3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6"/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3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6"/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3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6"/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3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6"/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3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6"/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3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6"/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3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6"/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3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6"/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3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6"/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3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6"/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3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6"/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3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6"/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3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6"/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3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6"/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3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6"/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3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6"/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3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6"/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3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6"/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3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6"/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3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6"/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3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6"/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3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6"/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3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6"/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3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6"/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3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6"/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3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6"/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3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6"/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3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6"/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3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6"/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3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6"/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3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6"/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3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6"/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3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6"/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3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6"/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3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6"/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3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6"/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3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6"/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3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6"/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3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6"/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3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6"/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3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6"/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3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6"/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3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6"/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3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6"/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3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6"/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3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6"/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3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6"/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3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6"/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3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6"/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3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6"/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3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6"/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3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6"/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3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6"/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3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6"/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3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6"/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3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6"/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3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6"/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3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6"/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3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6"/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3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6"/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3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6"/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3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6"/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3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6"/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3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6"/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3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6"/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3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6"/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3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6"/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3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6"/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3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6"/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3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6"/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3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6"/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3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6"/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3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6"/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3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6"/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3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6"/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3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6"/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3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6"/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3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6"/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3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6"/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3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6"/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3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6"/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3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6"/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3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6"/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3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6"/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3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6"/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3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6"/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3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6"/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3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6"/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3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6"/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3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6"/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3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6"/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3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6"/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3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6"/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3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6"/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3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6"/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3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6"/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3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6"/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3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6"/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3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6"/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3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6"/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3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6"/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3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6"/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3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6"/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3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6"/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3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6"/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3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6"/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3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6"/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3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6"/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3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6"/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3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6"/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3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6"/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3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6"/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3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6"/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3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6"/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3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6"/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3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6"/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3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6"/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3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6"/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3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6"/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3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6"/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3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6"/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3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6"/>
      <c r="O759" s="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3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6"/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3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6"/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3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6"/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3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6"/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3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6"/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3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6"/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3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6"/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3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6"/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3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6"/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3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6"/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3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6"/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3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6"/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3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6"/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3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6"/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3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6"/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3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6"/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3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6"/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3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6"/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3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6"/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3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6"/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3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6"/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3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6"/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3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6"/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3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6"/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3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6"/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3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6"/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3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6"/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3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6"/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3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6"/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3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6"/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3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6"/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3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6"/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3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6"/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3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6"/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3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6"/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3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6"/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3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6"/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3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6"/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3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6"/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3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6"/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3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6"/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3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6"/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3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6"/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3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6"/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3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6"/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3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6"/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3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6"/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3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6"/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3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6"/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3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6"/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3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6"/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3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6"/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3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6"/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3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6"/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3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6"/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3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6"/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3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6"/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3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6"/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3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6"/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3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6"/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3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6"/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3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6"/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3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6"/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3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6"/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3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6"/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3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6"/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3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6"/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3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6"/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3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6"/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3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6"/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3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6"/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3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6"/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3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6"/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3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6"/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3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6"/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3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6"/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3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6"/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3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6"/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3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6"/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3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6"/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3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6"/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3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6"/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3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6"/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3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6"/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3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6"/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3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6"/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3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6"/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3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6"/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3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6"/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3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6"/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3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6"/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3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6"/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3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6"/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3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6"/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3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6"/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3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6"/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3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6"/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3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6"/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3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6"/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3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6"/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3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6"/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3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6"/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3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6"/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3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6"/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3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6"/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3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6"/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3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6"/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3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6"/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3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6"/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3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6"/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3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6"/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3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6"/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3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6"/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3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6"/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3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6"/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3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6"/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3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6"/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3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6"/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3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6"/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3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6"/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3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6"/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3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6"/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3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6"/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3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6"/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3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6"/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3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6"/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3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6"/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3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6"/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3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6"/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3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6"/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3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6"/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3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6"/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3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6"/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3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6"/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3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6"/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3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6"/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3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6"/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3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6"/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3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6"/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3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6"/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3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6"/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3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6"/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3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6"/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3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6"/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3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6"/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3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6"/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3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6"/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3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6"/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3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6"/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3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6"/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3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6"/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3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6"/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3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6"/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3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6"/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3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6"/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3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6"/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3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6"/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3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6"/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3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6"/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</sheetData>
  <conditionalFormatting sqref="D2:M452">
    <cfRule type="expression" dxfId="23" priority="28">
      <formula>AND(D2&lt;&gt;"",D2=MIN($E2:$M2))</formula>
    </cfRule>
    <cfRule type="expression" dxfId="22" priority="29">
      <formula>AND(D2&lt;&gt;"",D2=MAX($E2:$M2))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7.6640625" customWidth="1"/>
    <col min="2" max="2" width="6.33203125" customWidth="1"/>
    <col min="3" max="3" width="4.83203125" customWidth="1"/>
    <col min="4" max="4" width="5.83203125" customWidth="1"/>
    <col min="5" max="7" width="6.6640625" customWidth="1"/>
    <col min="8" max="8" width="7" customWidth="1"/>
    <col min="9" max="9" width="4" customWidth="1"/>
    <col min="10" max="10" width="7.1640625" customWidth="1"/>
    <col min="11" max="11" width="5" customWidth="1"/>
    <col min="12" max="12" width="7.5" customWidth="1"/>
  </cols>
  <sheetData>
    <row r="1" spans="1:33" ht="15.75" customHeight="1">
      <c r="A1" s="9" t="str">
        <f t="array" ref="A1:AF1">INDEX('Stats (dont edit)'!1:1,0)</f>
        <v>Name</v>
      </c>
      <c r="B1" s="9" t="str">
        <v>Games</v>
      </c>
      <c r="C1" s="9" t="str">
        <v>Wins</v>
      </c>
      <c r="D1" s="10" t="str">
        <v>Win %</v>
      </c>
      <c r="E1" s="9" t="str">
        <v>Losses</v>
      </c>
      <c r="F1" s="10" t="str">
        <v>Loss %</v>
      </c>
      <c r="G1" s="9" t="str">
        <v>Lowest</v>
      </c>
      <c r="H1" s="9" t="str">
        <v>Highest</v>
      </c>
      <c r="I1" s="11" t="str">
        <v>Avg</v>
      </c>
      <c r="J1" s="12" t="str">
        <v>All Time</v>
      </c>
      <c r="K1" s="12" t="str">
        <v>Rank</v>
      </c>
      <c r="L1" s="13" t="str">
        <v>Score</v>
      </c>
      <c r="M1" s="9">
        <v>0</v>
      </c>
      <c r="N1" s="9">
        <v>0</v>
      </c>
      <c r="O1" s="9">
        <v>0</v>
      </c>
      <c r="P1" s="9">
        <v>0</v>
      </c>
      <c r="Q1" s="9">
        <v>0</v>
      </c>
      <c r="R1" s="9">
        <v>0</v>
      </c>
      <c r="S1" s="9">
        <v>0</v>
      </c>
      <c r="T1" s="9">
        <v>0</v>
      </c>
      <c r="U1" s="9">
        <v>0</v>
      </c>
      <c r="V1" s="9">
        <v>0</v>
      </c>
      <c r="W1" s="9">
        <v>0</v>
      </c>
      <c r="X1" s="9">
        <v>0</v>
      </c>
      <c r="Y1" s="9">
        <v>0</v>
      </c>
      <c r="Z1" s="9">
        <v>0</v>
      </c>
      <c r="AA1" s="9">
        <v>0</v>
      </c>
      <c r="AB1" s="9">
        <v>0</v>
      </c>
      <c r="AC1" s="9">
        <v>0</v>
      </c>
      <c r="AD1" s="9">
        <v>0</v>
      </c>
      <c r="AE1" s="9">
        <v>0</v>
      </c>
      <c r="AF1" s="9">
        <v>0</v>
      </c>
      <c r="AG1" s="9"/>
    </row>
    <row r="2" spans="1:33" ht="15.75" customHeight="1">
      <c r="A2" s="8" t="str">
        <f ca="1">IFERROR(__xludf.DUMMYFUNCTION("SORT(FILTER('Stats (dont edit)'!A2:L1000,'Stats (dont edit)'!D2:D1000&lt;&gt;""""),11,TRUE)"),"Karenina")</f>
        <v>Karenina</v>
      </c>
      <c r="B2" s="8">
        <f ca="1">IFERROR(__xludf.DUMMYFUNCTION("""COMPUTED_VALUE"""),18)</f>
        <v>18</v>
      </c>
      <c r="C2" s="8">
        <f ca="1">IFERROR(__xludf.DUMMYFUNCTION("""COMPUTED_VALUE"""),6)</f>
        <v>6</v>
      </c>
      <c r="D2" s="14">
        <f ca="1">IFERROR(__xludf.DUMMYFUNCTION("""COMPUTED_VALUE"""),0.333333333333333)</f>
        <v>0.33333333333333298</v>
      </c>
      <c r="E2" s="8">
        <f ca="1">IFERROR(__xludf.DUMMYFUNCTION("""COMPUTED_VALUE"""),2)</f>
        <v>2</v>
      </c>
      <c r="F2" s="14">
        <f ca="1">IFERROR(__xludf.DUMMYFUNCTION("""COMPUTED_VALUE"""),0.111111111111111)</f>
        <v>0.11111111111111099</v>
      </c>
      <c r="G2" s="8">
        <f ca="1">IFERROR(__xludf.DUMMYFUNCTION("""COMPUTED_VALUE"""),60)</f>
        <v>60</v>
      </c>
      <c r="H2" s="8">
        <f ca="1">IFERROR(__xludf.DUMMYFUNCTION("""COMPUTED_VALUE"""),800)</f>
        <v>800</v>
      </c>
      <c r="I2" s="15">
        <f ca="1">IFERROR(__xludf.DUMMYFUNCTION("""COMPUTED_VALUE"""),359.444444444444)</f>
        <v>359.444444444444</v>
      </c>
      <c r="J2" s="16">
        <f ca="1">IFERROR(__xludf.DUMMYFUNCTION("""COMPUTED_VALUE"""),6470)</f>
        <v>6470</v>
      </c>
      <c r="K2" s="16">
        <f ca="1">IFERROR(__xludf.DUMMYFUNCTION("""COMPUTED_VALUE"""),1)</f>
        <v>1</v>
      </c>
      <c r="L2" s="17">
        <f ca="1">IFERROR(__xludf.DUMMYFUNCTION("""COMPUTED_VALUE"""),1.58333333333333)</f>
        <v>1.5833333333333299</v>
      </c>
    </row>
    <row r="3" spans="1:33" ht="15.75" customHeight="1">
      <c r="A3" s="8" t="str">
        <f ca="1">IFERROR(__xludf.DUMMYFUNCTION("""COMPUTED_VALUE"""),"Jeff M")</f>
        <v>Jeff M</v>
      </c>
      <c r="B3" s="8">
        <f ca="1">IFERROR(__xludf.DUMMYFUNCTION("""COMPUTED_VALUE"""),81)</f>
        <v>81</v>
      </c>
      <c r="C3" s="8">
        <f ca="1">IFERROR(__xludf.DUMMYFUNCTION("""COMPUTED_VALUE"""),23)</f>
        <v>23</v>
      </c>
      <c r="D3" s="14">
        <f ca="1">IFERROR(__xludf.DUMMYFUNCTION("""COMPUTED_VALUE"""),0.28395061728395)</f>
        <v>0.28395061728394999</v>
      </c>
      <c r="E3" s="8">
        <f ca="1">IFERROR(__xludf.DUMMYFUNCTION("""COMPUTED_VALUE"""),26)</f>
        <v>26</v>
      </c>
      <c r="F3" s="14">
        <f ca="1">IFERROR(__xludf.DUMMYFUNCTION("""COMPUTED_VALUE"""),0.320987654320987)</f>
        <v>0.32098765432098703</v>
      </c>
      <c r="G3" s="8">
        <f ca="1">IFERROR(__xludf.DUMMYFUNCTION("""COMPUTED_VALUE"""),15)</f>
        <v>15</v>
      </c>
      <c r="H3" s="8">
        <f ca="1">IFERROR(__xludf.DUMMYFUNCTION("""COMPUTED_VALUE"""),1310)</f>
        <v>1310</v>
      </c>
      <c r="I3" s="15">
        <f ca="1">IFERROR(__xludf.DUMMYFUNCTION("""COMPUTED_VALUE"""),428.456790123456)</f>
        <v>428.45679012345602</v>
      </c>
      <c r="J3" s="16">
        <f ca="1">IFERROR(__xludf.DUMMYFUNCTION("""COMPUTED_VALUE"""),34705)</f>
        <v>34705</v>
      </c>
      <c r="K3" s="16">
        <f ca="1">IFERROR(__xludf.DUMMYFUNCTION("""COMPUTED_VALUE"""),2)</f>
        <v>2</v>
      </c>
      <c r="L3" s="17">
        <f ca="1">IFERROR(__xludf.DUMMYFUNCTION("""COMPUTED_VALUE"""),1.15668343240359)</f>
        <v>1.15668343240359</v>
      </c>
    </row>
    <row r="4" spans="1:33" ht="15.75" customHeight="1">
      <c r="A4" s="8" t="str">
        <f ca="1">IFERROR(__xludf.DUMMYFUNCTION("""COMPUTED_VALUE"""),"David")</f>
        <v>David</v>
      </c>
      <c r="B4" s="8">
        <f ca="1">IFERROR(__xludf.DUMMYFUNCTION("""COMPUTED_VALUE"""),493)</f>
        <v>493</v>
      </c>
      <c r="C4" s="8">
        <f ca="1">IFERROR(__xludf.DUMMYFUNCTION("""COMPUTED_VALUE"""),148)</f>
        <v>148</v>
      </c>
      <c r="D4" s="14">
        <f ca="1">IFERROR(__xludf.DUMMYFUNCTION("""COMPUTED_VALUE"""),0.300202839756592)</f>
        <v>0.30020283975659201</v>
      </c>
      <c r="E4" s="8">
        <f ca="1">IFERROR(__xludf.DUMMYFUNCTION("""COMPUTED_VALUE"""),98)</f>
        <v>98</v>
      </c>
      <c r="F4" s="14">
        <f ca="1">IFERROR(__xludf.DUMMYFUNCTION("""COMPUTED_VALUE"""),0.198782961460446)</f>
        <v>0.19878296146044599</v>
      </c>
      <c r="G4" s="8">
        <f ca="1">IFERROR(__xludf.DUMMYFUNCTION("""COMPUTED_VALUE"""),5)</f>
        <v>5</v>
      </c>
      <c r="H4" s="8">
        <f ca="1">IFERROR(__xludf.DUMMYFUNCTION("""COMPUTED_VALUE"""),1080)</f>
        <v>1080</v>
      </c>
      <c r="I4" s="15">
        <f ca="1">IFERROR(__xludf.DUMMYFUNCTION("""COMPUTED_VALUE"""),396.876267748478)</f>
        <v>396.87626774847803</v>
      </c>
      <c r="J4" s="16">
        <f ca="1">IFERROR(__xludf.DUMMYFUNCTION("""COMPUTED_VALUE"""),195660)</f>
        <v>195660</v>
      </c>
      <c r="K4" s="16">
        <f ca="1">IFERROR(__xludf.DUMMYFUNCTION("""COMPUTED_VALUE"""),3)</f>
        <v>3</v>
      </c>
      <c r="L4" s="17">
        <f ca="1">IFERROR(__xludf.DUMMYFUNCTION("""COMPUTED_VALUE"""),1.13838773251484)</f>
        <v>1.1383877325148399</v>
      </c>
    </row>
    <row r="5" spans="1:33" ht="15.75" customHeight="1">
      <c r="A5" s="8" t="str">
        <f ca="1">IFERROR(__xludf.DUMMYFUNCTION("""COMPUTED_VALUE"""),"Karen")</f>
        <v>Karen</v>
      </c>
      <c r="B5" s="8">
        <f ca="1">IFERROR(__xludf.DUMMYFUNCTION("""COMPUTED_VALUE"""),34)</f>
        <v>34</v>
      </c>
      <c r="C5" s="8">
        <f ca="1">IFERROR(__xludf.DUMMYFUNCTION("""COMPUTED_VALUE"""),9)</f>
        <v>9</v>
      </c>
      <c r="D5" s="14">
        <f ca="1">IFERROR(__xludf.DUMMYFUNCTION("""COMPUTED_VALUE"""),0.264705882352941)</f>
        <v>0.26470588235294101</v>
      </c>
      <c r="E5" s="8">
        <f ca="1">IFERROR(__xludf.DUMMYFUNCTION("""COMPUTED_VALUE"""),12)</f>
        <v>12</v>
      </c>
      <c r="F5" s="14">
        <f ca="1">IFERROR(__xludf.DUMMYFUNCTION("""COMPUTED_VALUE"""),0.352941176470588)</f>
        <v>0.35294117647058798</v>
      </c>
      <c r="G5" s="8">
        <f ca="1">IFERROR(__xludf.DUMMYFUNCTION("""COMPUTED_VALUE"""),55)</f>
        <v>55</v>
      </c>
      <c r="H5" s="8">
        <f ca="1">IFERROR(__xludf.DUMMYFUNCTION("""COMPUTED_VALUE"""),890)</f>
        <v>890</v>
      </c>
      <c r="I5" s="15">
        <f ca="1">IFERROR(__xludf.DUMMYFUNCTION("""COMPUTED_VALUE"""),430.147058823529)</f>
        <v>430.14705882352899</v>
      </c>
      <c r="J5" s="16">
        <f ca="1">IFERROR(__xludf.DUMMYFUNCTION("""COMPUTED_VALUE"""),14625)</f>
        <v>14625</v>
      </c>
      <c r="K5" s="16">
        <f ca="1">IFERROR(__xludf.DUMMYFUNCTION("""COMPUTED_VALUE"""),4)</f>
        <v>4</v>
      </c>
      <c r="L5" s="17">
        <f ca="1">IFERROR(__xludf.DUMMYFUNCTION("""COMPUTED_VALUE"""),1.1038062283737)</f>
        <v>1.1038062283737</v>
      </c>
    </row>
    <row r="6" spans="1:33" ht="15.75" customHeight="1">
      <c r="A6" s="8" t="str">
        <f ca="1">IFERROR(__xludf.DUMMYFUNCTION("""COMPUTED_VALUE"""),"Charlene")</f>
        <v>Charlene</v>
      </c>
      <c r="B6" s="8">
        <f ca="1">IFERROR(__xludf.DUMMYFUNCTION("""COMPUTED_VALUE"""),342)</f>
        <v>342</v>
      </c>
      <c r="C6" s="8">
        <f ca="1">IFERROR(__xludf.DUMMYFUNCTION("""COMPUTED_VALUE"""),89)</f>
        <v>89</v>
      </c>
      <c r="D6" s="14">
        <f ca="1">IFERROR(__xludf.DUMMYFUNCTION("""COMPUTED_VALUE"""),0.260233918128655)</f>
        <v>0.26023391812865498</v>
      </c>
      <c r="E6" s="8">
        <f ca="1">IFERROR(__xludf.DUMMYFUNCTION("""COMPUTED_VALUE"""),75)</f>
        <v>75</v>
      </c>
      <c r="F6" s="14">
        <f ca="1">IFERROR(__xludf.DUMMYFUNCTION("""COMPUTED_VALUE"""),0.219298245614035)</f>
        <v>0.21929824561403499</v>
      </c>
      <c r="G6" s="8">
        <f ca="1">IFERROR(__xludf.DUMMYFUNCTION("""COMPUTED_VALUE"""),45)</f>
        <v>45</v>
      </c>
      <c r="H6" s="8">
        <f ca="1">IFERROR(__xludf.DUMMYFUNCTION("""COMPUTED_VALUE"""),1020)</f>
        <v>1020</v>
      </c>
      <c r="I6" s="15">
        <f ca="1">IFERROR(__xludf.DUMMYFUNCTION("""COMPUTED_VALUE"""),416.959064327485)</f>
        <v>416.95906432748501</v>
      </c>
      <c r="J6" s="16">
        <f ca="1">IFERROR(__xludf.DUMMYFUNCTION("""COMPUTED_VALUE"""),142600)</f>
        <v>142600</v>
      </c>
      <c r="K6" s="16">
        <f ca="1">IFERROR(__xludf.DUMMYFUNCTION("""COMPUTED_VALUE"""),5)</f>
        <v>5</v>
      </c>
      <c r="L6" s="17">
        <f ca="1">IFERROR(__xludf.DUMMYFUNCTION("""COMPUTED_VALUE"""),1.07345850005129)</f>
        <v>1.07345850005129</v>
      </c>
    </row>
    <row r="7" spans="1:33" ht="15.75" customHeight="1">
      <c r="A7" s="8" t="str">
        <f ca="1">IFERROR(__xludf.DUMMYFUNCTION("""COMPUTED_VALUE"""),"Nancy")</f>
        <v>Nancy</v>
      </c>
      <c r="B7" s="8">
        <f ca="1">IFERROR(__xludf.DUMMYFUNCTION("""COMPUTED_VALUE"""),514)</f>
        <v>514</v>
      </c>
      <c r="C7" s="8">
        <f ca="1">IFERROR(__xludf.DUMMYFUNCTION("""COMPUTED_VALUE"""),137)</f>
        <v>137</v>
      </c>
      <c r="D7" s="14">
        <f ca="1">IFERROR(__xludf.DUMMYFUNCTION("""COMPUTED_VALUE"""),0.266536964980544)</f>
        <v>0.26653696498054402</v>
      </c>
      <c r="E7" s="8">
        <f ca="1">IFERROR(__xludf.DUMMYFUNCTION("""COMPUTED_VALUE"""),114)</f>
        <v>114</v>
      </c>
      <c r="F7" s="14">
        <f ca="1">IFERROR(__xludf.DUMMYFUNCTION("""COMPUTED_VALUE"""),0.221789883268482)</f>
        <v>0.22178988326848201</v>
      </c>
      <c r="G7" s="8">
        <f ca="1">IFERROR(__xludf.DUMMYFUNCTION("""COMPUTED_VALUE"""),30)</f>
        <v>30</v>
      </c>
      <c r="H7" s="8">
        <f ca="1">IFERROR(__xludf.DUMMYFUNCTION("""COMPUTED_VALUE"""),1100)</f>
        <v>1100</v>
      </c>
      <c r="I7" s="15">
        <f ca="1">IFERROR(__xludf.DUMMYFUNCTION("""COMPUTED_VALUE"""),406.038910505836)</f>
        <v>406.03891050583599</v>
      </c>
      <c r="J7" s="16">
        <f ca="1">IFERROR(__xludf.DUMMYFUNCTION("""COMPUTED_VALUE"""),208704)</f>
        <v>208704</v>
      </c>
      <c r="K7" s="16">
        <f ca="1">IFERROR(__xludf.DUMMYFUNCTION("""COMPUTED_VALUE"""),6)</f>
        <v>6</v>
      </c>
      <c r="L7" s="17">
        <f ca="1">IFERROR(__xludf.DUMMYFUNCTION("""COMPUTED_VALUE"""),1.02755529985313)</f>
        <v>1.0275552998531301</v>
      </c>
    </row>
    <row r="8" spans="1:33" ht="15.75" customHeight="1">
      <c r="A8" s="8" t="str">
        <f ca="1">IFERROR(__xludf.DUMMYFUNCTION("""COMPUTED_VALUE"""),"Debby")</f>
        <v>Debby</v>
      </c>
      <c r="B8" s="8">
        <f ca="1">IFERROR(__xludf.DUMMYFUNCTION("""COMPUTED_VALUE"""),184)</f>
        <v>184</v>
      </c>
      <c r="C8" s="8">
        <f ca="1">IFERROR(__xludf.DUMMYFUNCTION("""COMPUTED_VALUE"""),43)</f>
        <v>43</v>
      </c>
      <c r="D8" s="14">
        <f ca="1">IFERROR(__xludf.DUMMYFUNCTION("""COMPUTED_VALUE"""),0.233695652173913)</f>
        <v>0.233695652173913</v>
      </c>
      <c r="E8" s="8">
        <f ca="1">IFERROR(__xludf.DUMMYFUNCTION("""COMPUTED_VALUE"""),55)</f>
        <v>55</v>
      </c>
      <c r="F8" s="14">
        <f ca="1">IFERROR(__xludf.DUMMYFUNCTION("""COMPUTED_VALUE"""),0.29891304347826)</f>
        <v>0.29891304347825998</v>
      </c>
      <c r="G8" s="8">
        <f ca="1">IFERROR(__xludf.DUMMYFUNCTION("""COMPUTED_VALUE"""),25)</f>
        <v>25</v>
      </c>
      <c r="H8" s="8">
        <f ca="1">IFERROR(__xludf.DUMMYFUNCTION("""COMPUTED_VALUE"""),1025)</f>
        <v>1025</v>
      </c>
      <c r="I8" s="15">
        <f ca="1">IFERROR(__xludf.DUMMYFUNCTION("""COMPUTED_VALUE"""),459.130434782608)</f>
        <v>459.13043478260801</v>
      </c>
      <c r="J8" s="16">
        <f ca="1">IFERROR(__xludf.DUMMYFUNCTION("""COMPUTED_VALUE"""),84480)</f>
        <v>84480</v>
      </c>
      <c r="K8" s="16">
        <f ca="1">IFERROR(__xludf.DUMMYFUNCTION("""COMPUTED_VALUE"""),7)</f>
        <v>7</v>
      </c>
      <c r="L8" s="17">
        <f ca="1">IFERROR(__xludf.DUMMYFUNCTION("""COMPUTED_VALUE"""),0.977108931947069)</f>
        <v>0.97710893194706905</v>
      </c>
    </row>
    <row r="9" spans="1:33" ht="15.75" customHeight="1">
      <c r="A9" s="8" t="str">
        <f ca="1">IFERROR(__xludf.DUMMYFUNCTION("""COMPUTED_VALUE"""),"Sally")</f>
        <v>Sally</v>
      </c>
      <c r="B9" s="8">
        <f ca="1">IFERROR(__xludf.DUMMYFUNCTION("""COMPUTED_VALUE"""),207)</f>
        <v>207</v>
      </c>
      <c r="C9" s="8">
        <f ca="1">IFERROR(__xludf.DUMMYFUNCTION("""COMPUTED_VALUE"""),45)</f>
        <v>45</v>
      </c>
      <c r="D9" s="14">
        <f ca="1">IFERROR(__xludf.DUMMYFUNCTION("""COMPUTED_VALUE"""),0.217391304347826)</f>
        <v>0.217391304347826</v>
      </c>
      <c r="E9" s="8">
        <f ca="1">IFERROR(__xludf.DUMMYFUNCTION("""COMPUTED_VALUE"""),78)</f>
        <v>78</v>
      </c>
      <c r="F9" s="14">
        <f ca="1">IFERROR(__xludf.DUMMYFUNCTION("""COMPUTED_VALUE"""),0.376811594202898)</f>
        <v>0.376811594202898</v>
      </c>
      <c r="G9" s="8">
        <f ca="1">IFERROR(__xludf.DUMMYFUNCTION("""COMPUTED_VALUE"""),40)</f>
        <v>40</v>
      </c>
      <c r="H9" s="8">
        <f ca="1">IFERROR(__xludf.DUMMYFUNCTION("""COMPUTED_VALUE"""),1185)</f>
        <v>1185</v>
      </c>
      <c r="I9" s="15">
        <f ca="1">IFERROR(__xludf.DUMMYFUNCTION("""COMPUTED_VALUE"""),446.71497584541)</f>
        <v>446.71497584540998</v>
      </c>
      <c r="J9" s="16">
        <f ca="1">IFERROR(__xludf.DUMMYFUNCTION("""COMPUTED_VALUE"""),92470)</f>
        <v>92470</v>
      </c>
      <c r="K9" s="16">
        <f ca="1">IFERROR(__xludf.DUMMYFUNCTION("""COMPUTED_VALUE"""),8)</f>
        <v>8</v>
      </c>
      <c r="L9" s="17">
        <f ca="1">IFERROR(__xludf.DUMMYFUNCTION("""COMPUTED_VALUE"""),0.766108894023197)</f>
        <v>0.76610889402319704</v>
      </c>
    </row>
    <row r="10" spans="1:33" ht="15.75" customHeight="1">
      <c r="A10" s="8" t="str">
        <f ca="1">IFERROR(__xludf.DUMMYFUNCTION("""COMPUTED_VALUE"""),"Sara")</f>
        <v>Sara</v>
      </c>
      <c r="B10" s="8">
        <f ca="1">IFERROR(__xludf.DUMMYFUNCTION("""COMPUTED_VALUE"""),26)</f>
        <v>26</v>
      </c>
      <c r="C10" s="8">
        <f ca="1">IFERROR(__xludf.DUMMYFUNCTION("""COMPUTED_VALUE"""),5)</f>
        <v>5</v>
      </c>
      <c r="D10" s="14">
        <f ca="1">IFERROR(__xludf.DUMMYFUNCTION("""COMPUTED_VALUE"""),0.192307692307692)</f>
        <v>0.19230769230769201</v>
      </c>
      <c r="E10" s="8">
        <f ca="1">IFERROR(__xludf.DUMMYFUNCTION("""COMPUTED_VALUE"""),7)</f>
        <v>7</v>
      </c>
      <c r="F10" s="14">
        <f ca="1">IFERROR(__xludf.DUMMYFUNCTION("""COMPUTED_VALUE"""),0.269230769230769)</f>
        <v>0.269230769230769</v>
      </c>
      <c r="G10" s="8">
        <f ca="1">IFERROR(__xludf.DUMMYFUNCTION("""COMPUTED_VALUE"""),45)</f>
        <v>45</v>
      </c>
      <c r="H10" s="8">
        <f ca="1">IFERROR(__xludf.DUMMYFUNCTION("""COMPUTED_VALUE"""),940)</f>
        <v>940</v>
      </c>
      <c r="I10" s="15">
        <f ca="1">IFERROR(__xludf.DUMMYFUNCTION("""COMPUTED_VALUE"""),367.692307692307)</f>
        <v>367.692307692307</v>
      </c>
      <c r="J10" s="16">
        <f ca="1">IFERROR(__xludf.DUMMYFUNCTION("""COMPUTED_VALUE"""),9560)</f>
        <v>9560</v>
      </c>
      <c r="K10" s="16">
        <f ca="1">IFERROR(__xludf.DUMMYFUNCTION("""COMPUTED_VALUE"""),9)</f>
        <v>9</v>
      </c>
      <c r="L10" s="17">
        <f ca="1">IFERROR(__xludf.DUMMYFUNCTION("""COMPUTED_VALUE"""),0.692307692307692)</f>
        <v>0.69230769230769196</v>
      </c>
    </row>
    <row r="11" spans="1:33" ht="15.75" customHeight="1">
      <c r="A11" s="8" t="str">
        <f ca="1">IFERROR(__xludf.DUMMYFUNCTION("""COMPUTED_VALUE"""),"Sandy")</f>
        <v>Sandy</v>
      </c>
      <c r="B11" s="8">
        <f ca="1">IFERROR(__xludf.DUMMYFUNCTION("""COMPUTED_VALUE"""),138)</f>
        <v>138</v>
      </c>
      <c r="C11" s="8">
        <f ca="1">IFERROR(__xludf.DUMMYFUNCTION("""COMPUTED_VALUE"""),21)</f>
        <v>21</v>
      </c>
      <c r="D11" s="14">
        <f ca="1">IFERROR(__xludf.DUMMYFUNCTION("""COMPUTED_VALUE"""),0.152173913043478)</f>
        <v>0.15217391304347799</v>
      </c>
      <c r="E11" s="8">
        <f ca="1">IFERROR(__xludf.DUMMYFUNCTION("""COMPUTED_VALUE"""),43)</f>
        <v>43</v>
      </c>
      <c r="F11" s="14">
        <f ca="1">IFERROR(__xludf.DUMMYFUNCTION("""COMPUTED_VALUE"""),0.31159420289855)</f>
        <v>0.31159420289855</v>
      </c>
      <c r="G11" s="8">
        <f ca="1">IFERROR(__xludf.DUMMYFUNCTION("""COMPUTED_VALUE"""),40)</f>
        <v>40</v>
      </c>
      <c r="H11" s="8">
        <f ca="1">IFERROR(__xludf.DUMMYFUNCTION("""COMPUTED_VALUE"""),1120)</f>
        <v>1120</v>
      </c>
      <c r="I11" s="15">
        <f ca="1">IFERROR(__xludf.DUMMYFUNCTION("""COMPUTED_VALUE"""),501.884057971014)</f>
        <v>501.88405797101399</v>
      </c>
      <c r="J11" s="16">
        <f ca="1">IFERROR(__xludf.DUMMYFUNCTION("""COMPUTED_VALUE"""),69260)</f>
        <v>69260</v>
      </c>
      <c r="K11" s="16">
        <f ca="1">IFERROR(__xludf.DUMMYFUNCTION("""COMPUTED_VALUE"""),10)</f>
        <v>10</v>
      </c>
      <c r="L11" s="17">
        <f ca="1">IFERROR(__xludf.DUMMYFUNCTION("""COMPUTED_VALUE"""),0.657004830917874)</f>
        <v>0.65700483091787398</v>
      </c>
    </row>
    <row r="12" spans="1:33" ht="15.75" customHeight="1">
      <c r="J12" s="16"/>
      <c r="K12" s="16"/>
      <c r="L12" s="17"/>
    </row>
    <row r="13" spans="1:33" ht="15.75" customHeight="1">
      <c r="J13" s="16"/>
      <c r="K13" s="16"/>
      <c r="L13" s="17"/>
    </row>
    <row r="14" spans="1:33" ht="15.75" customHeight="1">
      <c r="J14" s="16"/>
      <c r="K14" s="16"/>
      <c r="L14" s="17"/>
    </row>
    <row r="15" spans="1:33" ht="15.75" customHeight="1">
      <c r="J15" s="16"/>
      <c r="K15" s="16"/>
      <c r="L15" s="17"/>
    </row>
    <row r="16" spans="1:33" ht="15.75" customHeight="1">
      <c r="J16" s="16"/>
      <c r="K16" s="16"/>
      <c r="L16" s="17"/>
    </row>
    <row r="17" spans="10:12" ht="15.75" customHeight="1">
      <c r="J17" s="16"/>
      <c r="K17" s="16"/>
      <c r="L17" s="17"/>
    </row>
    <row r="18" spans="10:12" ht="15.75" customHeight="1">
      <c r="J18" s="16"/>
      <c r="K18" s="16"/>
      <c r="L18" s="17"/>
    </row>
    <row r="19" spans="10:12" ht="15.75" customHeight="1">
      <c r="J19" s="16"/>
      <c r="K19" s="16"/>
      <c r="L19" s="17"/>
    </row>
    <row r="20" spans="10:12" ht="15.75" customHeight="1">
      <c r="J20" s="16"/>
      <c r="K20" s="16"/>
      <c r="L20" s="17"/>
    </row>
    <row r="21" spans="10:12" ht="15.75" customHeight="1">
      <c r="J21" s="16"/>
      <c r="K21" s="16"/>
      <c r="L21" s="17"/>
    </row>
    <row r="22" spans="10:12" ht="15.75" customHeight="1">
      <c r="J22" s="16"/>
      <c r="K22" s="16"/>
      <c r="L22" s="17"/>
    </row>
    <row r="23" spans="10:12" ht="15.75" customHeight="1">
      <c r="J23" s="16"/>
      <c r="K23" s="16"/>
      <c r="L23" s="17"/>
    </row>
    <row r="24" spans="10:12" ht="15.75" customHeight="1">
      <c r="J24" s="16"/>
      <c r="K24" s="16"/>
      <c r="L24" s="17"/>
    </row>
    <row r="25" spans="10:12" ht="15.75" customHeight="1">
      <c r="J25" s="16"/>
      <c r="K25" s="16"/>
      <c r="L25" s="17"/>
    </row>
    <row r="26" spans="10:12" ht="15.75" customHeight="1">
      <c r="J26" s="16"/>
      <c r="K26" s="16"/>
      <c r="L26" s="17"/>
    </row>
    <row r="27" spans="10:12" ht="15.75" customHeight="1">
      <c r="J27" s="16"/>
      <c r="K27" s="16"/>
      <c r="L27" s="17"/>
    </row>
    <row r="28" spans="10:12" ht="15.75" customHeight="1">
      <c r="J28" s="16"/>
      <c r="K28" s="16"/>
      <c r="L28" s="17"/>
    </row>
    <row r="29" spans="10:12" ht="15.75" customHeight="1">
      <c r="J29" s="16"/>
      <c r="K29" s="16"/>
      <c r="L29" s="17"/>
    </row>
    <row r="30" spans="10:12" ht="15.75" customHeight="1">
      <c r="J30" s="16"/>
      <c r="K30" s="16"/>
      <c r="L30" s="17"/>
    </row>
    <row r="31" spans="10:12" ht="15.75" customHeight="1">
      <c r="J31" s="16"/>
      <c r="K31" s="16"/>
      <c r="L31" s="17"/>
    </row>
    <row r="32" spans="10:12" ht="15.75" customHeight="1">
      <c r="J32" s="16"/>
      <c r="K32" s="16"/>
      <c r="L32" s="17"/>
    </row>
    <row r="33" spans="10:12" ht="15.75" customHeight="1">
      <c r="J33" s="16"/>
      <c r="K33" s="16"/>
      <c r="L33" s="17"/>
    </row>
    <row r="34" spans="10:12" ht="15.75" customHeight="1">
      <c r="J34" s="16"/>
      <c r="K34" s="16"/>
      <c r="L34" s="17"/>
    </row>
    <row r="35" spans="10:12" ht="15.75" customHeight="1">
      <c r="J35" s="16"/>
      <c r="K35" s="16"/>
      <c r="L35" s="17"/>
    </row>
    <row r="36" spans="10:12" ht="15.75" customHeight="1">
      <c r="J36" s="16"/>
      <c r="K36" s="16"/>
      <c r="L36" s="17"/>
    </row>
    <row r="37" spans="10:12" ht="15.75" customHeight="1">
      <c r="J37" s="16"/>
      <c r="K37" s="16"/>
      <c r="L37" s="17"/>
    </row>
    <row r="38" spans="10:12" ht="15.75" customHeight="1">
      <c r="J38" s="16"/>
      <c r="K38" s="16"/>
      <c r="L38" s="17"/>
    </row>
    <row r="39" spans="10:12" ht="15.75" customHeight="1">
      <c r="J39" s="16"/>
      <c r="K39" s="16"/>
      <c r="L39" s="17"/>
    </row>
    <row r="40" spans="10:12" ht="15.75" customHeight="1">
      <c r="J40" s="16"/>
      <c r="K40" s="16"/>
      <c r="L40" s="17"/>
    </row>
    <row r="41" spans="10:12" ht="15.75" customHeight="1">
      <c r="J41" s="16"/>
      <c r="K41" s="16"/>
      <c r="L41" s="17"/>
    </row>
    <row r="42" spans="10:12" ht="15.75" customHeight="1">
      <c r="J42" s="16"/>
      <c r="K42" s="16"/>
      <c r="L42" s="17"/>
    </row>
    <row r="43" spans="10:12" ht="15.75" customHeight="1">
      <c r="J43" s="16"/>
      <c r="K43" s="16"/>
      <c r="L43" s="17"/>
    </row>
    <row r="44" spans="10:12" ht="15.75" customHeight="1">
      <c r="J44" s="16"/>
      <c r="K44" s="16"/>
      <c r="L44" s="17"/>
    </row>
    <row r="45" spans="10:12" ht="15.75" customHeight="1">
      <c r="J45" s="16"/>
      <c r="K45" s="16"/>
      <c r="L45" s="17"/>
    </row>
    <row r="46" spans="10:12" ht="15.75" customHeight="1">
      <c r="J46" s="16"/>
      <c r="K46" s="16"/>
      <c r="L46" s="17"/>
    </row>
    <row r="47" spans="10:12" ht="15.75" customHeight="1">
      <c r="J47" s="16"/>
      <c r="K47" s="16"/>
      <c r="L47" s="17"/>
    </row>
    <row r="48" spans="10:12" ht="15.75" customHeight="1">
      <c r="J48" s="16"/>
      <c r="K48" s="16"/>
      <c r="L48" s="17"/>
    </row>
    <row r="49" spans="10:12" ht="15.75" customHeight="1">
      <c r="J49" s="16"/>
      <c r="K49" s="16"/>
      <c r="L49" s="17"/>
    </row>
    <row r="50" spans="10:12" ht="15.75" customHeight="1">
      <c r="J50" s="16"/>
      <c r="K50" s="16"/>
      <c r="L50" s="17"/>
    </row>
    <row r="51" spans="10:12" ht="15.75" customHeight="1">
      <c r="J51" s="16"/>
      <c r="K51" s="16"/>
      <c r="L51" s="17"/>
    </row>
    <row r="52" spans="10:12" ht="15.75" customHeight="1">
      <c r="J52" s="16"/>
      <c r="K52" s="16"/>
      <c r="L52" s="17"/>
    </row>
    <row r="53" spans="10:12" ht="15.75" customHeight="1">
      <c r="J53" s="16"/>
      <c r="K53" s="16"/>
      <c r="L53" s="17"/>
    </row>
    <row r="54" spans="10:12" ht="15.75" customHeight="1">
      <c r="J54" s="16"/>
      <c r="K54" s="16"/>
      <c r="L54" s="17"/>
    </row>
    <row r="55" spans="10:12" ht="15.75" customHeight="1">
      <c r="J55" s="16"/>
      <c r="K55" s="16"/>
      <c r="L55" s="17"/>
    </row>
    <row r="56" spans="10:12" ht="15.75" customHeight="1">
      <c r="J56" s="16"/>
      <c r="K56" s="16"/>
      <c r="L56" s="17"/>
    </row>
    <row r="57" spans="10:12" ht="15.75" customHeight="1">
      <c r="J57" s="16"/>
      <c r="K57" s="16"/>
      <c r="L57" s="17"/>
    </row>
    <row r="58" spans="10:12" ht="15.75" customHeight="1">
      <c r="J58" s="16"/>
      <c r="K58" s="16"/>
      <c r="L58" s="17"/>
    </row>
    <row r="59" spans="10:12" ht="15.75" customHeight="1">
      <c r="J59" s="16"/>
      <c r="K59" s="16"/>
      <c r="L59" s="17"/>
    </row>
    <row r="60" spans="10:12" ht="15.75" customHeight="1">
      <c r="J60" s="16"/>
      <c r="K60" s="16"/>
      <c r="L60" s="17"/>
    </row>
    <row r="61" spans="10:12" ht="15.75" customHeight="1">
      <c r="J61" s="16"/>
      <c r="K61" s="16"/>
      <c r="L61" s="17"/>
    </row>
    <row r="62" spans="10:12" ht="15.75" customHeight="1">
      <c r="J62" s="16"/>
      <c r="K62" s="16"/>
      <c r="L62" s="17"/>
    </row>
    <row r="63" spans="10:12" ht="15.75" customHeight="1">
      <c r="J63" s="16"/>
      <c r="K63" s="16"/>
      <c r="L63" s="17"/>
    </row>
    <row r="64" spans="10:12" ht="15.75" customHeight="1">
      <c r="J64" s="16"/>
      <c r="K64" s="16"/>
      <c r="L64" s="17"/>
    </row>
    <row r="65" spans="10:12" ht="15.75" customHeight="1">
      <c r="J65" s="16"/>
      <c r="K65" s="16"/>
      <c r="L65" s="17"/>
    </row>
    <row r="66" spans="10:12" ht="15.75" customHeight="1">
      <c r="J66" s="16"/>
      <c r="K66" s="16"/>
      <c r="L66" s="17"/>
    </row>
    <row r="67" spans="10:12" ht="15.75" customHeight="1">
      <c r="J67" s="16"/>
      <c r="K67" s="16"/>
      <c r="L67" s="17"/>
    </row>
    <row r="68" spans="10:12" ht="13">
      <c r="J68" s="16"/>
      <c r="K68" s="16"/>
      <c r="L68" s="17"/>
    </row>
    <row r="69" spans="10:12" ht="13">
      <c r="J69" s="16"/>
      <c r="K69" s="16"/>
      <c r="L69" s="17"/>
    </row>
    <row r="70" spans="10:12" ht="13">
      <c r="J70" s="16"/>
      <c r="K70" s="16"/>
      <c r="L70" s="17"/>
    </row>
    <row r="71" spans="10:12" ht="13">
      <c r="J71" s="16"/>
      <c r="K71" s="16"/>
      <c r="L71" s="17"/>
    </row>
    <row r="72" spans="10:12" ht="13">
      <c r="J72" s="16"/>
      <c r="K72" s="16"/>
      <c r="L72" s="17"/>
    </row>
    <row r="73" spans="10:12" ht="13">
      <c r="J73" s="16"/>
      <c r="K73" s="16"/>
      <c r="L73" s="17"/>
    </row>
    <row r="74" spans="10:12" ht="13">
      <c r="J74" s="16"/>
      <c r="K74" s="16"/>
      <c r="L74" s="17"/>
    </row>
    <row r="75" spans="10:12" ht="13">
      <c r="J75" s="16"/>
      <c r="K75" s="16"/>
      <c r="L75" s="17"/>
    </row>
    <row r="76" spans="10:12" ht="13">
      <c r="J76" s="16"/>
      <c r="K76" s="16"/>
      <c r="L76" s="17"/>
    </row>
    <row r="77" spans="10:12" ht="13">
      <c r="J77" s="16"/>
      <c r="K77" s="16"/>
      <c r="L77" s="17"/>
    </row>
    <row r="78" spans="10:12" ht="13">
      <c r="J78" s="16"/>
      <c r="K78" s="16"/>
      <c r="L78" s="17"/>
    </row>
    <row r="79" spans="10:12" ht="13">
      <c r="J79" s="16"/>
      <c r="K79" s="16"/>
      <c r="L79" s="17"/>
    </row>
    <row r="80" spans="10:12" ht="13">
      <c r="J80" s="16"/>
      <c r="K80" s="16"/>
      <c r="L80" s="17"/>
    </row>
    <row r="81" spans="10:12" ht="13">
      <c r="J81" s="16"/>
      <c r="K81" s="16"/>
      <c r="L81" s="17"/>
    </row>
    <row r="82" spans="10:12" ht="13">
      <c r="J82" s="16"/>
      <c r="K82" s="16"/>
      <c r="L82" s="17"/>
    </row>
    <row r="83" spans="10:12" ht="13">
      <c r="J83" s="16"/>
      <c r="K83" s="16"/>
      <c r="L83" s="17"/>
    </row>
    <row r="84" spans="10:12" ht="13">
      <c r="J84" s="16"/>
      <c r="K84" s="16"/>
      <c r="L84" s="17"/>
    </row>
    <row r="85" spans="10:12" ht="13">
      <c r="J85" s="16"/>
      <c r="K85" s="16"/>
      <c r="L85" s="17"/>
    </row>
    <row r="86" spans="10:12" ht="13">
      <c r="J86" s="16"/>
      <c r="K86" s="16"/>
      <c r="L86" s="17"/>
    </row>
    <row r="87" spans="10:12" ht="13">
      <c r="J87" s="16"/>
      <c r="K87" s="16"/>
      <c r="L87" s="17"/>
    </row>
    <row r="88" spans="10:12" ht="13">
      <c r="J88" s="16"/>
      <c r="K88" s="16"/>
      <c r="L88" s="17"/>
    </row>
    <row r="89" spans="10:12" ht="13">
      <c r="J89" s="16"/>
      <c r="K89" s="16"/>
      <c r="L89" s="17"/>
    </row>
    <row r="90" spans="10:12" ht="13">
      <c r="J90" s="16"/>
      <c r="K90" s="16"/>
      <c r="L90" s="17"/>
    </row>
    <row r="91" spans="10:12" ht="13">
      <c r="J91" s="16"/>
      <c r="K91" s="16"/>
      <c r="L91" s="17"/>
    </row>
    <row r="92" spans="10:12" ht="13">
      <c r="J92" s="16"/>
      <c r="K92" s="16"/>
      <c r="L92" s="17"/>
    </row>
    <row r="93" spans="10:12" ht="13">
      <c r="J93" s="16"/>
      <c r="K93" s="16"/>
      <c r="L93" s="17"/>
    </row>
    <row r="94" spans="10:12" ht="13">
      <c r="J94" s="16"/>
      <c r="K94" s="16"/>
      <c r="L94" s="17"/>
    </row>
    <row r="95" spans="10:12" ht="13">
      <c r="J95" s="16"/>
      <c r="K95" s="16"/>
      <c r="L95" s="17"/>
    </row>
    <row r="96" spans="10:12" ht="13">
      <c r="J96" s="16"/>
      <c r="K96" s="16"/>
      <c r="L96" s="17"/>
    </row>
    <row r="97" spans="10:12" ht="13">
      <c r="J97" s="16"/>
      <c r="K97" s="16"/>
      <c r="L97" s="17"/>
    </row>
    <row r="98" spans="10:12" ht="13">
      <c r="J98" s="16"/>
      <c r="K98" s="16"/>
      <c r="L98" s="17"/>
    </row>
    <row r="99" spans="10:12" ht="13">
      <c r="J99" s="16"/>
      <c r="K99" s="16"/>
      <c r="L99" s="17"/>
    </row>
    <row r="100" spans="10:12" ht="13">
      <c r="J100" s="16"/>
      <c r="K100" s="16"/>
      <c r="L100" s="17"/>
    </row>
    <row r="101" spans="10:12" ht="13">
      <c r="J101" s="16"/>
      <c r="K101" s="16"/>
      <c r="L101" s="17"/>
    </row>
    <row r="102" spans="10:12" ht="13">
      <c r="J102" s="16"/>
      <c r="K102" s="16"/>
      <c r="L102" s="17"/>
    </row>
    <row r="103" spans="10:12" ht="13">
      <c r="J103" s="16"/>
      <c r="K103" s="16"/>
      <c r="L103" s="17"/>
    </row>
    <row r="104" spans="10:12" ht="13">
      <c r="J104" s="16"/>
      <c r="K104" s="16"/>
      <c r="L104" s="17"/>
    </row>
    <row r="105" spans="10:12" ht="13">
      <c r="J105" s="16"/>
      <c r="K105" s="16"/>
      <c r="L105" s="17"/>
    </row>
    <row r="106" spans="10:12" ht="13">
      <c r="J106" s="16"/>
      <c r="K106" s="16"/>
      <c r="L106" s="17"/>
    </row>
    <row r="107" spans="10:12" ht="13">
      <c r="J107" s="16"/>
      <c r="K107" s="16"/>
      <c r="L107" s="17"/>
    </row>
    <row r="108" spans="10:12" ht="13">
      <c r="J108" s="16"/>
      <c r="K108" s="16"/>
      <c r="L108" s="17"/>
    </row>
    <row r="109" spans="10:12" ht="13">
      <c r="J109" s="16"/>
      <c r="K109" s="16"/>
      <c r="L109" s="17"/>
    </row>
    <row r="110" spans="10:12" ht="13">
      <c r="J110" s="16"/>
      <c r="K110" s="16"/>
      <c r="L110" s="17"/>
    </row>
    <row r="111" spans="10:12" ht="13">
      <c r="J111" s="16"/>
      <c r="K111" s="16"/>
      <c r="L111" s="17"/>
    </row>
    <row r="112" spans="10:12" ht="13">
      <c r="J112" s="16"/>
      <c r="K112" s="16"/>
      <c r="L112" s="17"/>
    </row>
    <row r="113" spans="10:12" ht="13">
      <c r="J113" s="16"/>
      <c r="K113" s="16"/>
      <c r="L113" s="17"/>
    </row>
    <row r="114" spans="10:12" ht="13">
      <c r="J114" s="16"/>
      <c r="K114" s="16"/>
      <c r="L114" s="17"/>
    </row>
    <row r="115" spans="10:12" ht="13">
      <c r="J115" s="16"/>
      <c r="K115" s="16"/>
      <c r="L115" s="17"/>
    </row>
    <row r="116" spans="10:12" ht="13">
      <c r="J116" s="16"/>
      <c r="K116" s="16"/>
      <c r="L116" s="17"/>
    </row>
    <row r="117" spans="10:12" ht="13">
      <c r="J117" s="16"/>
      <c r="K117" s="16"/>
      <c r="L117" s="17"/>
    </row>
    <row r="118" spans="10:12" ht="13">
      <c r="J118" s="16"/>
      <c r="K118" s="16"/>
      <c r="L118" s="17"/>
    </row>
    <row r="119" spans="10:12" ht="13">
      <c r="J119" s="16"/>
      <c r="K119" s="16"/>
      <c r="L119" s="17"/>
    </row>
    <row r="120" spans="10:12" ht="13">
      <c r="J120" s="16"/>
      <c r="K120" s="16"/>
      <c r="L120" s="17"/>
    </row>
    <row r="121" spans="10:12" ht="13">
      <c r="J121" s="16"/>
      <c r="K121" s="16"/>
      <c r="L121" s="17"/>
    </row>
    <row r="122" spans="10:12" ht="13">
      <c r="J122" s="16"/>
      <c r="K122" s="16"/>
      <c r="L122" s="17"/>
    </row>
    <row r="123" spans="10:12" ht="13">
      <c r="J123" s="16"/>
      <c r="K123" s="16"/>
      <c r="L123" s="17"/>
    </row>
    <row r="124" spans="10:12" ht="13">
      <c r="J124" s="16"/>
      <c r="K124" s="16"/>
      <c r="L124" s="17"/>
    </row>
    <row r="125" spans="10:12" ht="13">
      <c r="J125" s="16"/>
      <c r="K125" s="16"/>
      <c r="L125" s="17"/>
    </row>
    <row r="126" spans="10:12" ht="13">
      <c r="J126" s="16"/>
      <c r="K126" s="16"/>
      <c r="L126" s="17"/>
    </row>
    <row r="127" spans="10:12" ht="13">
      <c r="J127" s="16"/>
      <c r="K127" s="16"/>
      <c r="L127" s="17"/>
    </row>
    <row r="128" spans="10:12" ht="13">
      <c r="J128" s="16"/>
      <c r="K128" s="16"/>
      <c r="L128" s="17"/>
    </row>
    <row r="129" spans="10:12" ht="13">
      <c r="J129" s="16"/>
      <c r="K129" s="16"/>
      <c r="L129" s="17"/>
    </row>
    <row r="130" spans="10:12" ht="13">
      <c r="J130" s="16"/>
      <c r="K130" s="16"/>
      <c r="L130" s="17"/>
    </row>
    <row r="131" spans="10:12" ht="13">
      <c r="J131" s="16"/>
      <c r="K131" s="16"/>
      <c r="L131" s="17"/>
    </row>
    <row r="132" spans="10:12" ht="13">
      <c r="J132" s="16"/>
      <c r="K132" s="16"/>
      <c r="L132" s="17"/>
    </row>
    <row r="133" spans="10:12" ht="13">
      <c r="J133" s="16"/>
      <c r="K133" s="16"/>
      <c r="L133" s="17"/>
    </row>
    <row r="134" spans="10:12" ht="13">
      <c r="J134" s="16"/>
      <c r="K134" s="16"/>
      <c r="L134" s="17"/>
    </row>
    <row r="135" spans="10:12" ht="13">
      <c r="J135" s="16"/>
      <c r="K135" s="16"/>
      <c r="L135" s="17"/>
    </row>
    <row r="136" spans="10:12" ht="13">
      <c r="J136" s="16"/>
      <c r="K136" s="16"/>
      <c r="L136" s="17"/>
    </row>
    <row r="137" spans="10:12" ht="13">
      <c r="J137" s="16"/>
      <c r="K137" s="16"/>
      <c r="L137" s="17"/>
    </row>
    <row r="138" spans="10:12" ht="13">
      <c r="J138" s="16"/>
      <c r="K138" s="16"/>
      <c r="L138" s="17"/>
    </row>
    <row r="139" spans="10:12" ht="13">
      <c r="J139" s="16"/>
      <c r="K139" s="16"/>
      <c r="L139" s="17"/>
    </row>
    <row r="140" spans="10:12" ht="13">
      <c r="J140" s="16"/>
      <c r="K140" s="16"/>
      <c r="L140" s="17"/>
    </row>
    <row r="141" spans="10:12" ht="13">
      <c r="J141" s="16"/>
      <c r="K141" s="16"/>
      <c r="L141" s="17"/>
    </row>
    <row r="142" spans="10:12" ht="13">
      <c r="J142" s="16"/>
      <c r="K142" s="16"/>
      <c r="L142" s="17"/>
    </row>
    <row r="143" spans="10:12" ht="13">
      <c r="J143" s="16"/>
      <c r="K143" s="16"/>
      <c r="L143" s="17"/>
    </row>
    <row r="144" spans="10:12" ht="13">
      <c r="J144" s="16"/>
      <c r="K144" s="16"/>
      <c r="L144" s="17"/>
    </row>
    <row r="145" spans="10:12" ht="13">
      <c r="J145" s="16"/>
      <c r="K145" s="16"/>
      <c r="L145" s="17"/>
    </row>
    <row r="146" spans="10:12" ht="13">
      <c r="J146" s="16"/>
      <c r="K146" s="16"/>
      <c r="L146" s="17"/>
    </row>
    <row r="147" spans="10:12" ht="13">
      <c r="J147" s="16"/>
      <c r="K147" s="16"/>
      <c r="L147" s="17"/>
    </row>
    <row r="148" spans="10:12" ht="13">
      <c r="J148" s="16"/>
      <c r="K148" s="16"/>
      <c r="L148" s="17"/>
    </row>
    <row r="149" spans="10:12" ht="13">
      <c r="J149" s="16"/>
      <c r="K149" s="16"/>
      <c r="L149" s="17"/>
    </row>
    <row r="150" spans="10:12" ht="13">
      <c r="J150" s="16"/>
      <c r="K150" s="16"/>
      <c r="L150" s="17"/>
    </row>
    <row r="151" spans="10:12" ht="13">
      <c r="J151" s="16"/>
      <c r="K151" s="16"/>
      <c r="L151" s="17"/>
    </row>
    <row r="152" spans="10:12" ht="13">
      <c r="J152" s="16"/>
      <c r="K152" s="16"/>
      <c r="L152" s="17"/>
    </row>
    <row r="153" spans="10:12" ht="13">
      <c r="J153" s="16"/>
      <c r="K153" s="16"/>
      <c r="L153" s="17"/>
    </row>
    <row r="154" spans="10:12" ht="13">
      <c r="J154" s="16"/>
      <c r="K154" s="16"/>
      <c r="L154" s="17"/>
    </row>
    <row r="155" spans="10:12" ht="13">
      <c r="J155" s="16"/>
      <c r="K155" s="16"/>
      <c r="L155" s="17"/>
    </row>
    <row r="156" spans="10:12" ht="13">
      <c r="J156" s="16"/>
      <c r="K156" s="16"/>
      <c r="L156" s="17"/>
    </row>
    <row r="157" spans="10:12" ht="13">
      <c r="J157" s="16"/>
      <c r="K157" s="16"/>
      <c r="L157" s="17"/>
    </row>
    <row r="158" spans="10:12" ht="13">
      <c r="J158" s="16"/>
      <c r="K158" s="16"/>
      <c r="L158" s="17"/>
    </row>
    <row r="159" spans="10:12" ht="13">
      <c r="J159" s="16"/>
      <c r="K159" s="16"/>
      <c r="L159" s="17"/>
    </row>
    <row r="160" spans="10:12" ht="13">
      <c r="J160" s="16"/>
      <c r="K160" s="16"/>
      <c r="L160" s="17"/>
    </row>
    <row r="161" spans="10:12" ht="13">
      <c r="J161" s="16"/>
      <c r="K161" s="16"/>
      <c r="L161" s="17"/>
    </row>
    <row r="162" spans="10:12" ht="13">
      <c r="J162" s="16"/>
      <c r="K162" s="16"/>
      <c r="L162" s="17"/>
    </row>
    <row r="163" spans="10:12" ht="13">
      <c r="J163" s="16"/>
      <c r="K163" s="16"/>
      <c r="L163" s="17"/>
    </row>
    <row r="164" spans="10:12" ht="13">
      <c r="J164" s="16"/>
      <c r="K164" s="16"/>
      <c r="L164" s="17"/>
    </row>
    <row r="165" spans="10:12" ht="13">
      <c r="J165" s="16"/>
      <c r="K165" s="16"/>
      <c r="L165" s="17"/>
    </row>
    <row r="166" spans="10:12" ht="13">
      <c r="J166" s="16"/>
      <c r="K166" s="16"/>
      <c r="L166" s="17"/>
    </row>
    <row r="167" spans="10:12" ht="13">
      <c r="J167" s="16"/>
      <c r="K167" s="16"/>
      <c r="L167" s="17"/>
    </row>
    <row r="168" spans="10:12" ht="13">
      <c r="J168" s="16"/>
      <c r="K168" s="16"/>
      <c r="L168" s="17"/>
    </row>
    <row r="169" spans="10:12" ht="13">
      <c r="J169" s="16"/>
      <c r="K169" s="16"/>
      <c r="L169" s="17"/>
    </row>
    <row r="170" spans="10:12" ht="13">
      <c r="J170" s="16"/>
      <c r="K170" s="16"/>
      <c r="L170" s="17"/>
    </row>
    <row r="171" spans="10:12" ht="13">
      <c r="J171" s="16"/>
      <c r="K171" s="16"/>
      <c r="L171" s="17"/>
    </row>
    <row r="172" spans="10:12" ht="13">
      <c r="J172" s="16"/>
      <c r="K172" s="16"/>
      <c r="L172" s="17"/>
    </row>
    <row r="173" spans="10:12" ht="13">
      <c r="J173" s="16"/>
      <c r="K173" s="16"/>
      <c r="L173" s="17"/>
    </row>
    <row r="174" spans="10:12" ht="13">
      <c r="J174" s="16"/>
      <c r="K174" s="16"/>
      <c r="L174" s="17"/>
    </row>
    <row r="175" spans="10:12" ht="13">
      <c r="J175" s="16"/>
      <c r="K175" s="16"/>
      <c r="L175" s="17"/>
    </row>
    <row r="176" spans="10:12" ht="13">
      <c r="J176" s="16"/>
      <c r="K176" s="16"/>
      <c r="L176" s="17"/>
    </row>
    <row r="177" spans="10:12" ht="13">
      <c r="J177" s="16"/>
      <c r="K177" s="16"/>
      <c r="L177" s="17"/>
    </row>
    <row r="178" spans="10:12" ht="13">
      <c r="J178" s="16"/>
      <c r="K178" s="16"/>
      <c r="L178" s="17"/>
    </row>
    <row r="179" spans="10:12" ht="13">
      <c r="J179" s="16"/>
      <c r="K179" s="16"/>
      <c r="L179" s="17"/>
    </row>
    <row r="180" spans="10:12" ht="13">
      <c r="J180" s="16"/>
      <c r="K180" s="16"/>
      <c r="L180" s="17"/>
    </row>
    <row r="181" spans="10:12" ht="13">
      <c r="J181" s="16"/>
      <c r="K181" s="16"/>
      <c r="L181" s="17"/>
    </row>
    <row r="182" spans="10:12" ht="13">
      <c r="J182" s="16"/>
      <c r="K182" s="16"/>
      <c r="L182" s="17"/>
    </row>
    <row r="183" spans="10:12" ht="13">
      <c r="J183" s="16"/>
      <c r="K183" s="16"/>
      <c r="L183" s="17"/>
    </row>
    <row r="184" spans="10:12" ht="13">
      <c r="J184" s="16"/>
      <c r="K184" s="16"/>
      <c r="L184" s="17"/>
    </row>
    <row r="185" spans="10:12" ht="13">
      <c r="J185" s="16"/>
      <c r="K185" s="16"/>
      <c r="L185" s="17"/>
    </row>
    <row r="186" spans="10:12" ht="13">
      <c r="J186" s="16"/>
      <c r="K186" s="16"/>
      <c r="L186" s="17"/>
    </row>
    <row r="187" spans="10:12" ht="13">
      <c r="J187" s="16"/>
      <c r="K187" s="16"/>
      <c r="L187" s="17"/>
    </row>
    <row r="188" spans="10:12" ht="13">
      <c r="J188" s="16"/>
      <c r="K188" s="16"/>
      <c r="L188" s="17"/>
    </row>
    <row r="189" spans="10:12" ht="13">
      <c r="J189" s="16"/>
      <c r="K189" s="16"/>
      <c r="L189" s="17"/>
    </row>
    <row r="190" spans="10:12" ht="13">
      <c r="J190" s="16"/>
      <c r="K190" s="16"/>
      <c r="L190" s="17"/>
    </row>
    <row r="191" spans="10:12" ht="13">
      <c r="J191" s="16"/>
      <c r="K191" s="16"/>
      <c r="L191" s="17"/>
    </row>
    <row r="192" spans="10:12" ht="13">
      <c r="J192" s="16"/>
      <c r="K192" s="16"/>
      <c r="L192" s="17"/>
    </row>
    <row r="193" spans="10:12" ht="13">
      <c r="J193" s="16"/>
      <c r="K193" s="16"/>
      <c r="L193" s="17"/>
    </row>
    <row r="194" spans="10:12" ht="13">
      <c r="J194" s="16"/>
      <c r="K194" s="16"/>
      <c r="L194" s="17"/>
    </row>
    <row r="195" spans="10:12" ht="13">
      <c r="J195" s="16"/>
      <c r="K195" s="16"/>
      <c r="L195" s="17"/>
    </row>
    <row r="196" spans="10:12" ht="13">
      <c r="J196" s="16"/>
      <c r="K196" s="16"/>
      <c r="L196" s="17"/>
    </row>
    <row r="197" spans="10:12" ht="13">
      <c r="J197" s="16"/>
      <c r="K197" s="16"/>
      <c r="L197" s="17"/>
    </row>
    <row r="198" spans="10:12" ht="13">
      <c r="J198" s="16"/>
      <c r="K198" s="16"/>
      <c r="L198" s="17"/>
    </row>
    <row r="199" spans="10:12" ht="13">
      <c r="J199" s="16"/>
      <c r="K199" s="16"/>
      <c r="L199" s="17"/>
    </row>
    <row r="200" spans="10:12" ht="13">
      <c r="J200" s="16"/>
      <c r="K200" s="16"/>
      <c r="L200" s="17"/>
    </row>
    <row r="201" spans="10:12" ht="13">
      <c r="J201" s="16"/>
      <c r="K201" s="16"/>
      <c r="L201" s="17"/>
    </row>
    <row r="202" spans="10:12" ht="13">
      <c r="J202" s="16"/>
      <c r="K202" s="16"/>
      <c r="L202" s="17"/>
    </row>
    <row r="203" spans="10:12" ht="13">
      <c r="J203" s="16"/>
      <c r="K203" s="16"/>
      <c r="L203" s="17"/>
    </row>
    <row r="204" spans="10:12" ht="13">
      <c r="J204" s="16"/>
      <c r="K204" s="16"/>
      <c r="L204" s="17"/>
    </row>
    <row r="205" spans="10:12" ht="13">
      <c r="J205" s="16"/>
      <c r="K205" s="16"/>
      <c r="L205" s="17"/>
    </row>
    <row r="206" spans="10:12" ht="13">
      <c r="J206" s="16"/>
      <c r="K206" s="16"/>
      <c r="L206" s="17"/>
    </row>
    <row r="207" spans="10:12" ht="13">
      <c r="J207" s="16"/>
      <c r="K207" s="16"/>
      <c r="L207" s="17"/>
    </row>
    <row r="208" spans="10:12" ht="13">
      <c r="J208" s="16"/>
      <c r="K208" s="16"/>
      <c r="L208" s="17"/>
    </row>
    <row r="209" spans="10:12" ht="13">
      <c r="J209" s="16"/>
      <c r="K209" s="16"/>
      <c r="L209" s="17"/>
    </row>
    <row r="210" spans="10:12" ht="13">
      <c r="J210" s="16"/>
      <c r="K210" s="16"/>
      <c r="L210" s="17"/>
    </row>
    <row r="211" spans="10:12" ht="13">
      <c r="J211" s="16"/>
      <c r="K211" s="16"/>
      <c r="L211" s="17"/>
    </row>
    <row r="212" spans="10:12" ht="13">
      <c r="J212" s="16"/>
      <c r="K212" s="16"/>
      <c r="L212" s="17"/>
    </row>
    <row r="213" spans="10:12" ht="13">
      <c r="J213" s="16"/>
      <c r="K213" s="16"/>
      <c r="L213" s="17"/>
    </row>
    <row r="214" spans="10:12" ht="13">
      <c r="J214" s="16"/>
      <c r="K214" s="16"/>
      <c r="L214" s="17"/>
    </row>
    <row r="215" spans="10:12" ht="13">
      <c r="J215" s="16"/>
      <c r="K215" s="16"/>
      <c r="L215" s="17"/>
    </row>
    <row r="216" spans="10:12" ht="13">
      <c r="J216" s="16"/>
      <c r="K216" s="16"/>
      <c r="L216" s="17"/>
    </row>
    <row r="217" spans="10:12" ht="13">
      <c r="J217" s="16"/>
      <c r="K217" s="16"/>
      <c r="L217" s="17"/>
    </row>
    <row r="218" spans="10:12" ht="13">
      <c r="J218" s="16"/>
      <c r="K218" s="16"/>
      <c r="L218" s="17"/>
    </row>
    <row r="219" spans="10:12" ht="13">
      <c r="J219" s="16"/>
      <c r="K219" s="16"/>
      <c r="L219" s="17"/>
    </row>
    <row r="220" spans="10:12" ht="13">
      <c r="J220" s="16"/>
      <c r="K220" s="16"/>
      <c r="L220" s="17"/>
    </row>
    <row r="221" spans="10:12" ht="13">
      <c r="J221" s="16"/>
      <c r="K221" s="16"/>
      <c r="L221" s="17"/>
    </row>
    <row r="222" spans="10:12" ht="13">
      <c r="J222" s="16"/>
      <c r="K222" s="16"/>
      <c r="L222" s="17"/>
    </row>
    <row r="223" spans="10:12" ht="13">
      <c r="J223" s="16"/>
      <c r="K223" s="16"/>
      <c r="L223" s="17"/>
    </row>
    <row r="224" spans="10:12" ht="13">
      <c r="J224" s="16"/>
      <c r="K224" s="16"/>
      <c r="L224" s="17"/>
    </row>
    <row r="225" spans="10:12" ht="13">
      <c r="J225" s="16"/>
      <c r="K225" s="16"/>
      <c r="L225" s="17"/>
    </row>
    <row r="226" spans="10:12" ht="13">
      <c r="J226" s="16"/>
      <c r="K226" s="16"/>
      <c r="L226" s="17"/>
    </row>
    <row r="227" spans="10:12" ht="13">
      <c r="J227" s="16"/>
      <c r="K227" s="16"/>
      <c r="L227" s="17"/>
    </row>
    <row r="228" spans="10:12" ht="13">
      <c r="J228" s="16"/>
      <c r="K228" s="16"/>
      <c r="L228" s="17"/>
    </row>
    <row r="229" spans="10:12" ht="13">
      <c r="J229" s="16"/>
      <c r="K229" s="16"/>
      <c r="L229" s="17"/>
    </row>
    <row r="230" spans="10:12" ht="13">
      <c r="J230" s="16"/>
      <c r="K230" s="16"/>
      <c r="L230" s="17"/>
    </row>
    <row r="231" spans="10:12" ht="13">
      <c r="J231" s="16"/>
      <c r="K231" s="16"/>
      <c r="L231" s="17"/>
    </row>
    <row r="232" spans="10:12" ht="13">
      <c r="J232" s="16"/>
      <c r="K232" s="16"/>
      <c r="L232" s="17"/>
    </row>
    <row r="233" spans="10:12" ht="13">
      <c r="J233" s="16"/>
      <c r="K233" s="16"/>
      <c r="L233" s="17"/>
    </row>
    <row r="234" spans="10:12" ht="13">
      <c r="J234" s="16"/>
      <c r="K234" s="16"/>
      <c r="L234" s="17"/>
    </row>
    <row r="235" spans="10:12" ht="13">
      <c r="J235" s="16"/>
      <c r="K235" s="16"/>
      <c r="L235" s="17"/>
    </row>
    <row r="236" spans="10:12" ht="13">
      <c r="J236" s="16"/>
      <c r="K236" s="16"/>
      <c r="L236" s="17"/>
    </row>
    <row r="237" spans="10:12" ht="13">
      <c r="J237" s="16"/>
      <c r="K237" s="16"/>
      <c r="L237" s="17"/>
    </row>
    <row r="238" spans="10:12" ht="13">
      <c r="J238" s="16"/>
      <c r="K238" s="16"/>
      <c r="L238" s="17"/>
    </row>
    <row r="239" spans="10:12" ht="13">
      <c r="J239" s="16"/>
      <c r="K239" s="16"/>
      <c r="L239" s="17"/>
    </row>
    <row r="240" spans="10:12" ht="13">
      <c r="J240" s="16"/>
      <c r="K240" s="16"/>
      <c r="L240" s="17"/>
    </row>
    <row r="241" spans="10:12" ht="13">
      <c r="J241" s="16"/>
      <c r="K241" s="16"/>
      <c r="L241" s="17"/>
    </row>
    <row r="242" spans="10:12" ht="13">
      <c r="J242" s="16"/>
      <c r="K242" s="16"/>
      <c r="L242" s="17"/>
    </row>
    <row r="243" spans="10:12" ht="13">
      <c r="J243" s="16"/>
      <c r="K243" s="16"/>
      <c r="L243" s="17"/>
    </row>
    <row r="244" spans="10:12" ht="13">
      <c r="J244" s="16"/>
      <c r="K244" s="16"/>
      <c r="L244" s="17"/>
    </row>
    <row r="245" spans="10:12" ht="13">
      <c r="J245" s="16"/>
      <c r="K245" s="16"/>
      <c r="L245" s="17"/>
    </row>
    <row r="246" spans="10:12" ht="13">
      <c r="J246" s="16"/>
      <c r="K246" s="16"/>
      <c r="L246" s="17"/>
    </row>
    <row r="247" spans="10:12" ht="13">
      <c r="J247" s="16"/>
      <c r="K247" s="16"/>
      <c r="L247" s="17"/>
    </row>
    <row r="248" spans="10:12" ht="13">
      <c r="J248" s="16"/>
      <c r="K248" s="16"/>
      <c r="L248" s="17"/>
    </row>
    <row r="249" spans="10:12" ht="13">
      <c r="J249" s="16"/>
      <c r="K249" s="16"/>
      <c r="L249" s="17"/>
    </row>
    <row r="250" spans="10:12" ht="13">
      <c r="J250" s="16"/>
      <c r="K250" s="16"/>
      <c r="L250" s="17"/>
    </row>
    <row r="251" spans="10:12" ht="13">
      <c r="J251" s="16"/>
      <c r="K251" s="16"/>
      <c r="L251" s="17"/>
    </row>
    <row r="252" spans="10:12" ht="13">
      <c r="J252" s="16"/>
      <c r="K252" s="16"/>
      <c r="L252" s="17"/>
    </row>
    <row r="253" spans="10:12" ht="13">
      <c r="J253" s="16"/>
      <c r="K253" s="16"/>
      <c r="L253" s="17"/>
    </row>
    <row r="254" spans="10:12" ht="13">
      <c r="J254" s="16"/>
      <c r="K254" s="16"/>
      <c r="L254" s="17"/>
    </row>
    <row r="255" spans="10:12" ht="13">
      <c r="J255" s="16"/>
      <c r="K255" s="16"/>
      <c r="L255" s="17"/>
    </row>
    <row r="256" spans="10:12" ht="13">
      <c r="J256" s="16"/>
      <c r="K256" s="16"/>
      <c r="L256" s="17"/>
    </row>
    <row r="257" spans="10:12" ht="13">
      <c r="J257" s="16"/>
      <c r="K257" s="16"/>
      <c r="L257" s="17"/>
    </row>
    <row r="258" spans="10:12" ht="13">
      <c r="J258" s="16"/>
      <c r="K258" s="16"/>
      <c r="L258" s="17"/>
    </row>
    <row r="259" spans="10:12" ht="13">
      <c r="J259" s="16"/>
      <c r="K259" s="16"/>
      <c r="L259" s="17"/>
    </row>
    <row r="260" spans="10:12" ht="13">
      <c r="J260" s="16"/>
      <c r="K260" s="16"/>
      <c r="L260" s="17"/>
    </row>
    <row r="261" spans="10:12" ht="13">
      <c r="J261" s="16"/>
      <c r="K261" s="16"/>
      <c r="L261" s="17"/>
    </row>
    <row r="262" spans="10:12" ht="13">
      <c r="J262" s="16"/>
      <c r="K262" s="16"/>
      <c r="L262" s="17"/>
    </row>
    <row r="263" spans="10:12" ht="13">
      <c r="J263" s="16"/>
      <c r="K263" s="16"/>
      <c r="L263" s="17"/>
    </row>
    <row r="264" spans="10:12" ht="13">
      <c r="J264" s="16"/>
      <c r="K264" s="16"/>
      <c r="L264" s="17"/>
    </row>
    <row r="265" spans="10:12" ht="13">
      <c r="J265" s="16"/>
      <c r="K265" s="16"/>
      <c r="L265" s="17"/>
    </row>
    <row r="266" spans="10:12" ht="13">
      <c r="J266" s="16"/>
      <c r="K266" s="16"/>
      <c r="L266" s="17"/>
    </row>
    <row r="267" spans="10:12" ht="13">
      <c r="J267" s="16"/>
      <c r="K267" s="16"/>
      <c r="L267" s="17"/>
    </row>
    <row r="268" spans="10:12" ht="13">
      <c r="J268" s="16"/>
      <c r="K268" s="16"/>
      <c r="L268" s="17"/>
    </row>
    <row r="269" spans="10:12" ht="13">
      <c r="J269" s="16"/>
      <c r="K269" s="16"/>
      <c r="L269" s="17"/>
    </row>
    <row r="270" spans="10:12" ht="13">
      <c r="J270" s="16"/>
      <c r="K270" s="16"/>
      <c r="L270" s="17"/>
    </row>
    <row r="271" spans="10:12" ht="13">
      <c r="J271" s="16"/>
      <c r="K271" s="16"/>
      <c r="L271" s="17"/>
    </row>
    <row r="272" spans="10:12" ht="13">
      <c r="J272" s="16"/>
      <c r="K272" s="16"/>
      <c r="L272" s="17"/>
    </row>
    <row r="273" spans="10:12" ht="13">
      <c r="J273" s="16"/>
      <c r="K273" s="16"/>
      <c r="L273" s="17"/>
    </row>
    <row r="274" spans="10:12" ht="13">
      <c r="J274" s="16"/>
      <c r="K274" s="16"/>
      <c r="L274" s="17"/>
    </row>
    <row r="275" spans="10:12" ht="13">
      <c r="J275" s="16"/>
      <c r="K275" s="16"/>
      <c r="L275" s="17"/>
    </row>
    <row r="276" spans="10:12" ht="13">
      <c r="J276" s="16"/>
      <c r="K276" s="16"/>
      <c r="L276" s="17"/>
    </row>
    <row r="277" spans="10:12" ht="13">
      <c r="J277" s="16"/>
      <c r="K277" s="16"/>
      <c r="L277" s="17"/>
    </row>
    <row r="278" spans="10:12" ht="13">
      <c r="J278" s="16"/>
      <c r="K278" s="16"/>
      <c r="L278" s="17"/>
    </row>
    <row r="279" spans="10:12" ht="13">
      <c r="J279" s="16"/>
      <c r="K279" s="16"/>
      <c r="L279" s="17"/>
    </row>
    <row r="280" spans="10:12" ht="13">
      <c r="J280" s="16"/>
      <c r="K280" s="16"/>
      <c r="L280" s="17"/>
    </row>
    <row r="281" spans="10:12" ht="13">
      <c r="J281" s="16"/>
      <c r="K281" s="16"/>
      <c r="L281" s="17"/>
    </row>
    <row r="282" spans="10:12" ht="13">
      <c r="J282" s="16"/>
      <c r="K282" s="16"/>
      <c r="L282" s="17"/>
    </row>
    <row r="283" spans="10:12" ht="13">
      <c r="J283" s="16"/>
      <c r="K283" s="16"/>
      <c r="L283" s="17"/>
    </row>
    <row r="284" spans="10:12" ht="13">
      <c r="J284" s="16"/>
      <c r="K284" s="16"/>
      <c r="L284" s="17"/>
    </row>
    <row r="285" spans="10:12" ht="13">
      <c r="J285" s="16"/>
      <c r="K285" s="16"/>
      <c r="L285" s="17"/>
    </row>
    <row r="286" spans="10:12" ht="13">
      <c r="J286" s="16"/>
      <c r="K286" s="16"/>
      <c r="L286" s="17"/>
    </row>
    <row r="287" spans="10:12" ht="13">
      <c r="J287" s="16"/>
      <c r="K287" s="16"/>
      <c r="L287" s="17"/>
    </row>
    <row r="288" spans="10:12" ht="13">
      <c r="J288" s="16"/>
      <c r="K288" s="16"/>
      <c r="L288" s="17"/>
    </row>
    <row r="289" spans="10:12" ht="13">
      <c r="J289" s="16"/>
      <c r="K289" s="16"/>
      <c r="L289" s="17"/>
    </row>
    <row r="290" spans="10:12" ht="13">
      <c r="J290" s="16"/>
      <c r="K290" s="16"/>
      <c r="L290" s="17"/>
    </row>
    <row r="291" spans="10:12" ht="13">
      <c r="J291" s="16"/>
      <c r="K291" s="16"/>
      <c r="L291" s="17"/>
    </row>
    <row r="292" spans="10:12" ht="13">
      <c r="J292" s="16"/>
      <c r="K292" s="16"/>
      <c r="L292" s="17"/>
    </row>
    <row r="293" spans="10:12" ht="13">
      <c r="J293" s="16"/>
      <c r="K293" s="16"/>
      <c r="L293" s="17"/>
    </row>
    <row r="294" spans="10:12" ht="13">
      <c r="J294" s="16"/>
      <c r="K294" s="16"/>
      <c r="L294" s="17"/>
    </row>
    <row r="295" spans="10:12" ht="13">
      <c r="J295" s="16"/>
      <c r="K295" s="16"/>
      <c r="L295" s="17"/>
    </row>
    <row r="296" spans="10:12" ht="13">
      <c r="J296" s="16"/>
      <c r="K296" s="16"/>
      <c r="L296" s="17"/>
    </row>
    <row r="297" spans="10:12" ht="13">
      <c r="J297" s="16"/>
      <c r="K297" s="16"/>
      <c r="L297" s="17"/>
    </row>
    <row r="298" spans="10:12" ht="13">
      <c r="J298" s="16"/>
      <c r="K298" s="16"/>
      <c r="L298" s="17"/>
    </row>
    <row r="299" spans="10:12" ht="13">
      <c r="J299" s="16"/>
      <c r="K299" s="16"/>
      <c r="L299" s="17"/>
    </row>
    <row r="300" spans="10:12" ht="13">
      <c r="J300" s="16"/>
      <c r="K300" s="16"/>
      <c r="L300" s="17"/>
    </row>
    <row r="301" spans="10:12" ht="13">
      <c r="J301" s="16"/>
      <c r="K301" s="16"/>
      <c r="L301" s="17"/>
    </row>
    <row r="302" spans="10:12" ht="13">
      <c r="J302" s="16"/>
      <c r="K302" s="16"/>
      <c r="L302" s="17"/>
    </row>
    <row r="303" spans="10:12" ht="13">
      <c r="J303" s="16"/>
      <c r="K303" s="16"/>
      <c r="L303" s="17"/>
    </row>
    <row r="304" spans="10:12" ht="13">
      <c r="J304" s="16"/>
      <c r="K304" s="16"/>
      <c r="L304" s="17"/>
    </row>
    <row r="305" spans="10:12" ht="13">
      <c r="J305" s="16"/>
      <c r="K305" s="16"/>
      <c r="L305" s="17"/>
    </row>
    <row r="306" spans="10:12" ht="13">
      <c r="J306" s="16"/>
      <c r="K306" s="16"/>
      <c r="L306" s="17"/>
    </row>
    <row r="307" spans="10:12" ht="13">
      <c r="J307" s="16"/>
      <c r="K307" s="16"/>
      <c r="L307" s="17"/>
    </row>
    <row r="308" spans="10:12" ht="13">
      <c r="J308" s="16"/>
      <c r="K308" s="16"/>
      <c r="L308" s="17"/>
    </row>
    <row r="309" spans="10:12" ht="13">
      <c r="J309" s="16"/>
      <c r="K309" s="16"/>
      <c r="L309" s="17"/>
    </row>
    <row r="310" spans="10:12" ht="13">
      <c r="J310" s="16"/>
      <c r="K310" s="16"/>
      <c r="L310" s="17"/>
    </row>
    <row r="311" spans="10:12" ht="13">
      <c r="J311" s="16"/>
      <c r="K311" s="16"/>
      <c r="L311" s="17"/>
    </row>
    <row r="312" spans="10:12" ht="13">
      <c r="J312" s="16"/>
      <c r="K312" s="16"/>
      <c r="L312" s="17"/>
    </row>
    <row r="313" spans="10:12" ht="13">
      <c r="J313" s="16"/>
      <c r="K313" s="16"/>
      <c r="L313" s="17"/>
    </row>
    <row r="314" spans="10:12" ht="13">
      <c r="J314" s="16"/>
      <c r="K314" s="16"/>
      <c r="L314" s="17"/>
    </row>
    <row r="315" spans="10:12" ht="13">
      <c r="J315" s="16"/>
      <c r="K315" s="16"/>
      <c r="L315" s="17"/>
    </row>
    <row r="316" spans="10:12" ht="13">
      <c r="J316" s="16"/>
      <c r="K316" s="16"/>
      <c r="L316" s="17"/>
    </row>
    <row r="317" spans="10:12" ht="13">
      <c r="J317" s="16"/>
      <c r="K317" s="16"/>
      <c r="L317" s="17"/>
    </row>
    <row r="318" spans="10:12" ht="13">
      <c r="J318" s="16"/>
      <c r="K318" s="16"/>
      <c r="L318" s="17"/>
    </row>
    <row r="319" spans="10:12" ht="13">
      <c r="J319" s="16"/>
      <c r="K319" s="16"/>
      <c r="L319" s="17"/>
    </row>
    <row r="320" spans="10:12" ht="13">
      <c r="J320" s="16"/>
      <c r="K320" s="16"/>
      <c r="L320" s="17"/>
    </row>
    <row r="321" spans="10:12" ht="13">
      <c r="J321" s="16"/>
      <c r="K321" s="16"/>
      <c r="L321" s="17"/>
    </row>
    <row r="322" spans="10:12" ht="13">
      <c r="J322" s="16"/>
      <c r="K322" s="16"/>
      <c r="L322" s="17"/>
    </row>
    <row r="323" spans="10:12" ht="13">
      <c r="J323" s="16"/>
      <c r="K323" s="16"/>
      <c r="L323" s="17"/>
    </row>
    <row r="324" spans="10:12" ht="13">
      <c r="J324" s="16"/>
      <c r="K324" s="16"/>
      <c r="L324" s="17"/>
    </row>
    <row r="325" spans="10:12" ht="13">
      <c r="J325" s="16"/>
      <c r="K325" s="16"/>
      <c r="L325" s="17"/>
    </row>
    <row r="326" spans="10:12" ht="13">
      <c r="J326" s="16"/>
      <c r="K326" s="16"/>
      <c r="L326" s="17"/>
    </row>
    <row r="327" spans="10:12" ht="13">
      <c r="J327" s="16"/>
      <c r="K327" s="16"/>
      <c r="L327" s="17"/>
    </row>
    <row r="328" spans="10:12" ht="13">
      <c r="J328" s="16"/>
      <c r="K328" s="16"/>
      <c r="L328" s="17"/>
    </row>
    <row r="329" spans="10:12" ht="13">
      <c r="J329" s="16"/>
      <c r="K329" s="16"/>
      <c r="L329" s="17"/>
    </row>
    <row r="330" spans="10:12" ht="13">
      <c r="J330" s="16"/>
      <c r="K330" s="16"/>
      <c r="L330" s="17"/>
    </row>
    <row r="331" spans="10:12" ht="13">
      <c r="J331" s="16"/>
      <c r="K331" s="16"/>
      <c r="L331" s="17"/>
    </row>
    <row r="332" spans="10:12" ht="13">
      <c r="J332" s="16"/>
      <c r="K332" s="16"/>
      <c r="L332" s="17"/>
    </row>
    <row r="333" spans="10:12" ht="13">
      <c r="J333" s="16"/>
      <c r="K333" s="16"/>
      <c r="L333" s="17"/>
    </row>
    <row r="334" spans="10:12" ht="13">
      <c r="J334" s="16"/>
      <c r="K334" s="16"/>
      <c r="L334" s="17"/>
    </row>
    <row r="335" spans="10:12" ht="13">
      <c r="J335" s="16"/>
      <c r="K335" s="16"/>
      <c r="L335" s="17"/>
    </row>
    <row r="336" spans="10:12" ht="13">
      <c r="J336" s="16"/>
      <c r="K336" s="16"/>
      <c r="L336" s="17"/>
    </row>
    <row r="337" spans="10:12" ht="13">
      <c r="J337" s="16"/>
      <c r="K337" s="16"/>
      <c r="L337" s="17"/>
    </row>
    <row r="338" spans="10:12" ht="13">
      <c r="J338" s="16"/>
      <c r="K338" s="16"/>
      <c r="L338" s="17"/>
    </row>
    <row r="339" spans="10:12" ht="13">
      <c r="J339" s="16"/>
      <c r="K339" s="16"/>
      <c r="L339" s="17"/>
    </row>
    <row r="340" spans="10:12" ht="13">
      <c r="J340" s="16"/>
      <c r="K340" s="16"/>
      <c r="L340" s="17"/>
    </row>
    <row r="341" spans="10:12" ht="13">
      <c r="J341" s="16"/>
      <c r="K341" s="16"/>
      <c r="L341" s="17"/>
    </row>
    <row r="342" spans="10:12" ht="13">
      <c r="J342" s="16"/>
      <c r="K342" s="16"/>
      <c r="L342" s="17"/>
    </row>
    <row r="343" spans="10:12" ht="13">
      <c r="J343" s="16"/>
      <c r="K343" s="16"/>
      <c r="L343" s="17"/>
    </row>
    <row r="344" spans="10:12" ht="13">
      <c r="J344" s="16"/>
      <c r="K344" s="16"/>
      <c r="L344" s="17"/>
    </row>
    <row r="345" spans="10:12" ht="13">
      <c r="J345" s="16"/>
      <c r="K345" s="16"/>
      <c r="L345" s="17"/>
    </row>
    <row r="346" spans="10:12" ht="13">
      <c r="J346" s="16"/>
      <c r="K346" s="16"/>
      <c r="L346" s="17"/>
    </row>
    <row r="347" spans="10:12" ht="13">
      <c r="J347" s="16"/>
      <c r="K347" s="16"/>
      <c r="L347" s="17"/>
    </row>
    <row r="348" spans="10:12" ht="13">
      <c r="J348" s="16"/>
      <c r="K348" s="16"/>
      <c r="L348" s="17"/>
    </row>
    <row r="349" spans="10:12" ht="13">
      <c r="J349" s="16"/>
      <c r="K349" s="16"/>
      <c r="L349" s="17"/>
    </row>
    <row r="350" spans="10:12" ht="13">
      <c r="J350" s="16"/>
      <c r="K350" s="16"/>
      <c r="L350" s="17"/>
    </row>
    <row r="351" spans="10:12" ht="13">
      <c r="J351" s="16"/>
      <c r="K351" s="16"/>
      <c r="L351" s="17"/>
    </row>
    <row r="352" spans="10:12" ht="13">
      <c r="J352" s="16"/>
      <c r="K352" s="16"/>
      <c r="L352" s="17"/>
    </row>
    <row r="353" spans="10:12" ht="13">
      <c r="J353" s="16"/>
      <c r="K353" s="16"/>
      <c r="L353" s="17"/>
    </row>
    <row r="354" spans="10:12" ht="13">
      <c r="J354" s="16"/>
      <c r="K354" s="16"/>
      <c r="L354" s="17"/>
    </row>
    <row r="355" spans="10:12" ht="13">
      <c r="J355" s="16"/>
      <c r="K355" s="16"/>
      <c r="L355" s="17"/>
    </row>
    <row r="356" spans="10:12" ht="13">
      <c r="J356" s="16"/>
      <c r="K356" s="16"/>
      <c r="L356" s="17"/>
    </row>
    <row r="357" spans="10:12" ht="13">
      <c r="J357" s="16"/>
      <c r="K357" s="16"/>
      <c r="L357" s="17"/>
    </row>
    <row r="358" spans="10:12" ht="13">
      <c r="J358" s="16"/>
      <c r="K358" s="16"/>
      <c r="L358" s="17"/>
    </row>
    <row r="359" spans="10:12" ht="13">
      <c r="J359" s="16"/>
      <c r="K359" s="16"/>
      <c r="L359" s="17"/>
    </row>
    <row r="360" spans="10:12" ht="13">
      <c r="J360" s="16"/>
      <c r="K360" s="16"/>
      <c r="L360" s="17"/>
    </row>
    <row r="361" spans="10:12" ht="13">
      <c r="J361" s="16"/>
      <c r="K361" s="16"/>
      <c r="L361" s="17"/>
    </row>
    <row r="362" spans="10:12" ht="13">
      <c r="J362" s="16"/>
      <c r="K362" s="16"/>
      <c r="L362" s="17"/>
    </row>
    <row r="363" spans="10:12" ht="13">
      <c r="J363" s="16"/>
      <c r="K363" s="16"/>
      <c r="L363" s="17"/>
    </row>
    <row r="364" spans="10:12" ht="13">
      <c r="J364" s="16"/>
      <c r="K364" s="16"/>
      <c r="L364" s="17"/>
    </row>
    <row r="365" spans="10:12" ht="13">
      <c r="J365" s="16"/>
      <c r="K365" s="16"/>
      <c r="L365" s="17"/>
    </row>
    <row r="366" spans="10:12" ht="13">
      <c r="J366" s="16"/>
      <c r="K366" s="16"/>
      <c r="L366" s="17"/>
    </row>
    <row r="367" spans="10:12" ht="13">
      <c r="J367" s="16"/>
      <c r="K367" s="16"/>
      <c r="L367" s="17"/>
    </row>
    <row r="368" spans="10:12" ht="13">
      <c r="J368" s="16"/>
      <c r="K368" s="16"/>
      <c r="L368" s="17"/>
    </row>
    <row r="369" spans="10:12" ht="13">
      <c r="J369" s="16"/>
      <c r="K369" s="16"/>
      <c r="L369" s="17"/>
    </row>
    <row r="370" spans="10:12" ht="13">
      <c r="J370" s="16"/>
      <c r="K370" s="16"/>
      <c r="L370" s="17"/>
    </row>
    <row r="371" spans="10:12" ht="13">
      <c r="J371" s="16"/>
      <c r="K371" s="16"/>
      <c r="L371" s="17"/>
    </row>
    <row r="372" spans="10:12" ht="13">
      <c r="J372" s="16"/>
      <c r="K372" s="16"/>
      <c r="L372" s="17"/>
    </row>
    <row r="373" spans="10:12" ht="13">
      <c r="J373" s="16"/>
      <c r="K373" s="16"/>
      <c r="L373" s="17"/>
    </row>
    <row r="374" spans="10:12" ht="13">
      <c r="J374" s="16"/>
      <c r="K374" s="16"/>
      <c r="L374" s="17"/>
    </row>
    <row r="375" spans="10:12" ht="13">
      <c r="J375" s="16"/>
      <c r="K375" s="16"/>
      <c r="L375" s="17"/>
    </row>
    <row r="376" spans="10:12" ht="13">
      <c r="J376" s="16"/>
      <c r="K376" s="16"/>
      <c r="L376" s="17"/>
    </row>
    <row r="377" spans="10:12" ht="13">
      <c r="J377" s="16"/>
      <c r="K377" s="16"/>
      <c r="L377" s="17"/>
    </row>
    <row r="378" spans="10:12" ht="13">
      <c r="J378" s="16"/>
      <c r="K378" s="16"/>
      <c r="L378" s="17"/>
    </row>
    <row r="379" spans="10:12" ht="13">
      <c r="J379" s="16"/>
      <c r="K379" s="16"/>
      <c r="L379" s="17"/>
    </row>
    <row r="380" spans="10:12" ht="13">
      <c r="J380" s="16"/>
      <c r="K380" s="16"/>
      <c r="L380" s="17"/>
    </row>
    <row r="381" spans="10:12" ht="13">
      <c r="J381" s="16"/>
      <c r="K381" s="16"/>
      <c r="L381" s="17"/>
    </row>
    <row r="382" spans="10:12" ht="13">
      <c r="J382" s="16"/>
      <c r="K382" s="16"/>
      <c r="L382" s="17"/>
    </row>
    <row r="383" spans="10:12" ht="13">
      <c r="J383" s="16"/>
      <c r="K383" s="16"/>
      <c r="L383" s="17"/>
    </row>
    <row r="384" spans="10:12" ht="13">
      <c r="J384" s="16"/>
      <c r="K384" s="16"/>
      <c r="L384" s="17"/>
    </row>
    <row r="385" spans="10:12" ht="13">
      <c r="J385" s="16"/>
      <c r="K385" s="16"/>
      <c r="L385" s="17"/>
    </row>
    <row r="386" spans="10:12" ht="13">
      <c r="J386" s="16"/>
      <c r="K386" s="16"/>
      <c r="L386" s="17"/>
    </row>
    <row r="387" spans="10:12" ht="13">
      <c r="J387" s="16"/>
      <c r="K387" s="16"/>
      <c r="L387" s="17"/>
    </row>
    <row r="388" spans="10:12" ht="13">
      <c r="J388" s="16"/>
      <c r="K388" s="16"/>
      <c r="L388" s="17"/>
    </row>
    <row r="389" spans="10:12" ht="13">
      <c r="J389" s="16"/>
      <c r="K389" s="16"/>
      <c r="L389" s="17"/>
    </row>
    <row r="390" spans="10:12" ht="13">
      <c r="J390" s="16"/>
      <c r="K390" s="16"/>
      <c r="L390" s="17"/>
    </row>
    <row r="391" spans="10:12" ht="13">
      <c r="J391" s="16"/>
      <c r="K391" s="16"/>
      <c r="L391" s="17"/>
    </row>
    <row r="392" spans="10:12" ht="13">
      <c r="J392" s="16"/>
      <c r="K392" s="16"/>
      <c r="L392" s="17"/>
    </row>
    <row r="393" spans="10:12" ht="13">
      <c r="J393" s="16"/>
      <c r="K393" s="16"/>
      <c r="L393" s="17"/>
    </row>
    <row r="394" spans="10:12" ht="13">
      <c r="J394" s="16"/>
      <c r="K394" s="16"/>
      <c r="L394" s="17"/>
    </row>
    <row r="395" spans="10:12" ht="13">
      <c r="J395" s="16"/>
      <c r="K395" s="16"/>
      <c r="L395" s="17"/>
    </row>
    <row r="396" spans="10:12" ht="13">
      <c r="J396" s="16"/>
      <c r="K396" s="16"/>
      <c r="L396" s="17"/>
    </row>
    <row r="397" spans="10:12" ht="13">
      <c r="J397" s="16"/>
      <c r="K397" s="16"/>
      <c r="L397" s="17"/>
    </row>
    <row r="398" spans="10:12" ht="13">
      <c r="J398" s="16"/>
      <c r="K398" s="16"/>
      <c r="L398" s="17"/>
    </row>
    <row r="399" spans="10:12" ht="13">
      <c r="J399" s="16"/>
      <c r="K399" s="16"/>
      <c r="L399" s="17"/>
    </row>
    <row r="400" spans="10:12" ht="13">
      <c r="J400" s="16"/>
      <c r="K400" s="16"/>
      <c r="L400" s="17"/>
    </row>
    <row r="401" spans="10:12" ht="13">
      <c r="J401" s="16"/>
      <c r="K401" s="16"/>
      <c r="L401" s="17"/>
    </row>
    <row r="402" spans="10:12" ht="13">
      <c r="J402" s="16"/>
      <c r="K402" s="16"/>
      <c r="L402" s="17"/>
    </row>
    <row r="403" spans="10:12" ht="13">
      <c r="J403" s="16"/>
      <c r="K403" s="16"/>
      <c r="L403" s="17"/>
    </row>
    <row r="404" spans="10:12" ht="13">
      <c r="J404" s="16"/>
      <c r="K404" s="16"/>
      <c r="L404" s="17"/>
    </row>
    <row r="405" spans="10:12" ht="13">
      <c r="J405" s="16"/>
      <c r="K405" s="16"/>
      <c r="L405" s="17"/>
    </row>
    <row r="406" spans="10:12" ht="13">
      <c r="J406" s="16"/>
      <c r="K406" s="16"/>
      <c r="L406" s="17"/>
    </row>
    <row r="407" spans="10:12" ht="13">
      <c r="J407" s="16"/>
      <c r="K407" s="16"/>
      <c r="L407" s="17"/>
    </row>
    <row r="408" spans="10:12" ht="13">
      <c r="J408" s="16"/>
      <c r="K408" s="16"/>
      <c r="L408" s="17"/>
    </row>
    <row r="409" spans="10:12" ht="13">
      <c r="J409" s="16"/>
      <c r="K409" s="16"/>
      <c r="L409" s="17"/>
    </row>
    <row r="410" spans="10:12" ht="13">
      <c r="J410" s="16"/>
      <c r="K410" s="16"/>
      <c r="L410" s="17"/>
    </row>
    <row r="411" spans="10:12" ht="13">
      <c r="J411" s="16"/>
      <c r="K411" s="16"/>
      <c r="L411" s="17"/>
    </row>
    <row r="412" spans="10:12" ht="13">
      <c r="J412" s="16"/>
      <c r="K412" s="16"/>
      <c r="L412" s="17"/>
    </row>
    <row r="413" spans="10:12" ht="13">
      <c r="J413" s="16"/>
      <c r="K413" s="16"/>
      <c r="L413" s="17"/>
    </row>
    <row r="414" spans="10:12" ht="13">
      <c r="J414" s="16"/>
      <c r="K414" s="16"/>
      <c r="L414" s="17"/>
    </row>
    <row r="415" spans="10:12" ht="13">
      <c r="J415" s="16"/>
      <c r="K415" s="16"/>
      <c r="L415" s="17"/>
    </row>
    <row r="416" spans="10:12" ht="13">
      <c r="J416" s="16"/>
      <c r="K416" s="16"/>
      <c r="L416" s="17"/>
    </row>
    <row r="417" spans="10:12" ht="13">
      <c r="J417" s="16"/>
      <c r="K417" s="16"/>
      <c r="L417" s="17"/>
    </row>
    <row r="418" spans="10:12" ht="13">
      <c r="J418" s="16"/>
      <c r="K418" s="16"/>
      <c r="L418" s="17"/>
    </row>
    <row r="419" spans="10:12" ht="13">
      <c r="J419" s="16"/>
      <c r="K419" s="16"/>
      <c r="L419" s="17"/>
    </row>
    <row r="420" spans="10:12" ht="13">
      <c r="J420" s="16"/>
      <c r="K420" s="16"/>
      <c r="L420" s="17"/>
    </row>
    <row r="421" spans="10:12" ht="13">
      <c r="J421" s="16"/>
      <c r="K421" s="16"/>
      <c r="L421" s="17"/>
    </row>
    <row r="422" spans="10:12" ht="13">
      <c r="J422" s="16"/>
      <c r="K422" s="16"/>
      <c r="L422" s="17"/>
    </row>
    <row r="423" spans="10:12" ht="13">
      <c r="J423" s="16"/>
      <c r="K423" s="16"/>
      <c r="L423" s="17"/>
    </row>
    <row r="424" spans="10:12" ht="13">
      <c r="J424" s="16"/>
      <c r="K424" s="16"/>
      <c r="L424" s="17"/>
    </row>
    <row r="425" spans="10:12" ht="13">
      <c r="J425" s="16"/>
      <c r="K425" s="16"/>
      <c r="L425" s="17"/>
    </row>
    <row r="426" spans="10:12" ht="13">
      <c r="J426" s="16"/>
      <c r="K426" s="16"/>
      <c r="L426" s="17"/>
    </row>
    <row r="427" spans="10:12" ht="13">
      <c r="J427" s="16"/>
      <c r="K427" s="16"/>
      <c r="L427" s="17"/>
    </row>
    <row r="428" spans="10:12" ht="13">
      <c r="J428" s="16"/>
      <c r="K428" s="16"/>
      <c r="L428" s="17"/>
    </row>
    <row r="429" spans="10:12" ht="13">
      <c r="J429" s="16"/>
      <c r="K429" s="16"/>
      <c r="L429" s="17"/>
    </row>
    <row r="430" spans="10:12" ht="13">
      <c r="J430" s="16"/>
      <c r="K430" s="16"/>
      <c r="L430" s="17"/>
    </row>
    <row r="431" spans="10:12" ht="13">
      <c r="J431" s="16"/>
      <c r="K431" s="16"/>
      <c r="L431" s="17"/>
    </row>
    <row r="432" spans="10:12" ht="13">
      <c r="J432" s="16"/>
      <c r="K432" s="16"/>
      <c r="L432" s="17"/>
    </row>
    <row r="433" spans="10:12" ht="13">
      <c r="J433" s="16"/>
      <c r="K433" s="16"/>
      <c r="L433" s="17"/>
    </row>
    <row r="434" spans="10:12" ht="13">
      <c r="J434" s="16"/>
      <c r="K434" s="16"/>
      <c r="L434" s="17"/>
    </row>
    <row r="435" spans="10:12" ht="13">
      <c r="J435" s="16"/>
      <c r="K435" s="16"/>
      <c r="L435" s="17"/>
    </row>
    <row r="436" spans="10:12" ht="13">
      <c r="J436" s="16"/>
      <c r="K436" s="16"/>
      <c r="L436" s="17"/>
    </row>
    <row r="437" spans="10:12" ht="13">
      <c r="J437" s="16"/>
      <c r="K437" s="16"/>
      <c r="L437" s="17"/>
    </row>
    <row r="438" spans="10:12" ht="13">
      <c r="J438" s="16"/>
      <c r="K438" s="16"/>
      <c r="L438" s="17"/>
    </row>
    <row r="439" spans="10:12" ht="13">
      <c r="J439" s="16"/>
      <c r="K439" s="16"/>
      <c r="L439" s="17"/>
    </row>
    <row r="440" spans="10:12" ht="13">
      <c r="J440" s="16"/>
      <c r="K440" s="16"/>
      <c r="L440" s="17"/>
    </row>
    <row r="441" spans="10:12" ht="13">
      <c r="J441" s="16"/>
      <c r="K441" s="16"/>
      <c r="L441" s="17"/>
    </row>
    <row r="442" spans="10:12" ht="13">
      <c r="J442" s="16"/>
      <c r="K442" s="16"/>
      <c r="L442" s="17"/>
    </row>
    <row r="443" spans="10:12" ht="13">
      <c r="J443" s="16"/>
      <c r="K443" s="16"/>
      <c r="L443" s="17"/>
    </row>
    <row r="444" spans="10:12" ht="13">
      <c r="J444" s="16"/>
      <c r="K444" s="16"/>
      <c r="L444" s="17"/>
    </row>
    <row r="445" spans="10:12" ht="13">
      <c r="J445" s="16"/>
      <c r="K445" s="16"/>
      <c r="L445" s="17"/>
    </row>
    <row r="446" spans="10:12" ht="13">
      <c r="J446" s="16"/>
      <c r="K446" s="16"/>
      <c r="L446" s="17"/>
    </row>
    <row r="447" spans="10:12" ht="13">
      <c r="J447" s="16"/>
      <c r="K447" s="16"/>
      <c r="L447" s="17"/>
    </row>
    <row r="448" spans="10:12" ht="13">
      <c r="J448" s="16"/>
      <c r="K448" s="16"/>
      <c r="L448" s="17"/>
    </row>
    <row r="449" spans="10:12" ht="13">
      <c r="J449" s="16"/>
      <c r="K449" s="16"/>
      <c r="L449" s="17"/>
    </row>
    <row r="450" spans="10:12" ht="13">
      <c r="J450" s="16"/>
      <c r="K450" s="16"/>
      <c r="L450" s="17"/>
    </row>
    <row r="451" spans="10:12" ht="13">
      <c r="J451" s="16"/>
      <c r="K451" s="16"/>
      <c r="L451" s="17"/>
    </row>
    <row r="452" spans="10:12" ht="13">
      <c r="J452" s="16"/>
      <c r="K452" s="16"/>
      <c r="L452" s="17"/>
    </row>
    <row r="453" spans="10:12" ht="13">
      <c r="J453" s="16"/>
      <c r="K453" s="16"/>
      <c r="L453" s="17"/>
    </row>
    <row r="454" spans="10:12" ht="13">
      <c r="J454" s="16"/>
      <c r="K454" s="16"/>
      <c r="L454" s="17"/>
    </row>
    <row r="455" spans="10:12" ht="13">
      <c r="J455" s="16"/>
      <c r="K455" s="16"/>
      <c r="L455" s="17"/>
    </row>
    <row r="456" spans="10:12" ht="13">
      <c r="J456" s="16"/>
      <c r="K456" s="16"/>
      <c r="L456" s="17"/>
    </row>
    <row r="457" spans="10:12" ht="13">
      <c r="J457" s="16"/>
      <c r="K457" s="16"/>
      <c r="L457" s="17"/>
    </row>
    <row r="458" spans="10:12" ht="13">
      <c r="J458" s="16"/>
      <c r="K458" s="16"/>
      <c r="L458" s="17"/>
    </row>
    <row r="459" spans="10:12" ht="13">
      <c r="J459" s="16"/>
      <c r="K459" s="16"/>
      <c r="L459" s="17"/>
    </row>
    <row r="460" spans="10:12" ht="13">
      <c r="J460" s="16"/>
      <c r="K460" s="16"/>
      <c r="L460" s="17"/>
    </row>
    <row r="461" spans="10:12" ht="13">
      <c r="J461" s="16"/>
      <c r="K461" s="16"/>
      <c r="L461" s="17"/>
    </row>
    <row r="462" spans="10:12" ht="13">
      <c r="J462" s="16"/>
      <c r="K462" s="16"/>
      <c r="L462" s="17"/>
    </row>
    <row r="463" spans="10:12" ht="13">
      <c r="J463" s="16"/>
      <c r="K463" s="16"/>
      <c r="L463" s="17"/>
    </row>
    <row r="464" spans="10:12" ht="13">
      <c r="J464" s="16"/>
      <c r="K464" s="16"/>
      <c r="L464" s="17"/>
    </row>
    <row r="465" spans="10:12" ht="13">
      <c r="J465" s="16"/>
      <c r="K465" s="16"/>
      <c r="L465" s="17"/>
    </row>
    <row r="466" spans="10:12" ht="13">
      <c r="J466" s="16"/>
      <c r="K466" s="16"/>
      <c r="L466" s="17"/>
    </row>
    <row r="467" spans="10:12" ht="13">
      <c r="J467" s="16"/>
      <c r="K467" s="16"/>
      <c r="L467" s="17"/>
    </row>
    <row r="468" spans="10:12" ht="13">
      <c r="J468" s="16"/>
      <c r="K468" s="16"/>
      <c r="L468" s="17"/>
    </row>
    <row r="469" spans="10:12" ht="13">
      <c r="J469" s="16"/>
      <c r="K469" s="16"/>
      <c r="L469" s="17"/>
    </row>
    <row r="470" spans="10:12" ht="13">
      <c r="J470" s="16"/>
      <c r="K470" s="16"/>
      <c r="L470" s="17"/>
    </row>
    <row r="471" spans="10:12" ht="13">
      <c r="J471" s="16"/>
      <c r="K471" s="16"/>
      <c r="L471" s="17"/>
    </row>
    <row r="472" spans="10:12" ht="13">
      <c r="J472" s="16"/>
      <c r="K472" s="16"/>
      <c r="L472" s="17"/>
    </row>
    <row r="473" spans="10:12" ht="13">
      <c r="J473" s="16"/>
      <c r="K473" s="16"/>
      <c r="L473" s="17"/>
    </row>
    <row r="474" spans="10:12" ht="13">
      <c r="J474" s="16"/>
      <c r="K474" s="16"/>
      <c r="L474" s="17"/>
    </row>
    <row r="475" spans="10:12" ht="13">
      <c r="J475" s="16"/>
      <c r="K475" s="16"/>
      <c r="L475" s="17"/>
    </row>
    <row r="476" spans="10:12" ht="13">
      <c r="J476" s="16"/>
      <c r="K476" s="16"/>
      <c r="L476" s="17"/>
    </row>
    <row r="477" spans="10:12" ht="13">
      <c r="J477" s="16"/>
      <c r="K477" s="16"/>
      <c r="L477" s="17"/>
    </row>
    <row r="478" spans="10:12" ht="13">
      <c r="J478" s="16"/>
      <c r="K478" s="16"/>
      <c r="L478" s="17"/>
    </row>
    <row r="479" spans="10:12" ht="13">
      <c r="J479" s="16"/>
      <c r="K479" s="16"/>
      <c r="L479" s="17"/>
    </row>
    <row r="480" spans="10:12" ht="13">
      <c r="J480" s="16"/>
      <c r="K480" s="16"/>
      <c r="L480" s="17"/>
    </row>
    <row r="481" spans="10:12" ht="13">
      <c r="J481" s="16"/>
      <c r="K481" s="16"/>
      <c r="L481" s="17"/>
    </row>
    <row r="482" spans="10:12" ht="13">
      <c r="J482" s="16"/>
      <c r="K482" s="16"/>
      <c r="L482" s="17"/>
    </row>
    <row r="483" spans="10:12" ht="13">
      <c r="J483" s="16"/>
      <c r="K483" s="16"/>
      <c r="L483" s="17"/>
    </row>
    <row r="484" spans="10:12" ht="13">
      <c r="J484" s="16"/>
      <c r="K484" s="16"/>
      <c r="L484" s="17"/>
    </row>
    <row r="485" spans="10:12" ht="13">
      <c r="J485" s="16"/>
      <c r="K485" s="16"/>
      <c r="L485" s="17"/>
    </row>
    <row r="486" spans="10:12" ht="13">
      <c r="J486" s="16"/>
      <c r="K486" s="16"/>
      <c r="L486" s="17"/>
    </row>
    <row r="487" spans="10:12" ht="13">
      <c r="J487" s="16"/>
      <c r="K487" s="16"/>
      <c r="L487" s="17"/>
    </row>
    <row r="488" spans="10:12" ht="13">
      <c r="J488" s="16"/>
      <c r="K488" s="16"/>
      <c r="L488" s="17"/>
    </row>
    <row r="489" spans="10:12" ht="13">
      <c r="J489" s="16"/>
      <c r="K489" s="16"/>
      <c r="L489" s="17"/>
    </row>
    <row r="490" spans="10:12" ht="13">
      <c r="J490" s="16"/>
      <c r="K490" s="16"/>
      <c r="L490" s="17"/>
    </row>
    <row r="491" spans="10:12" ht="13">
      <c r="J491" s="16"/>
      <c r="K491" s="16"/>
      <c r="L491" s="17"/>
    </row>
    <row r="492" spans="10:12" ht="13">
      <c r="J492" s="16"/>
      <c r="K492" s="16"/>
      <c r="L492" s="17"/>
    </row>
    <row r="493" spans="10:12" ht="13">
      <c r="J493" s="16"/>
      <c r="K493" s="16"/>
      <c r="L493" s="17"/>
    </row>
    <row r="494" spans="10:12" ht="13">
      <c r="J494" s="16"/>
      <c r="K494" s="16"/>
      <c r="L494" s="17"/>
    </row>
    <row r="495" spans="10:12" ht="13">
      <c r="J495" s="16"/>
      <c r="K495" s="16"/>
      <c r="L495" s="17"/>
    </row>
    <row r="496" spans="10:12" ht="13">
      <c r="J496" s="16"/>
      <c r="K496" s="16"/>
      <c r="L496" s="17"/>
    </row>
    <row r="497" spans="10:12" ht="13">
      <c r="J497" s="16"/>
      <c r="K497" s="16"/>
      <c r="L497" s="17"/>
    </row>
    <row r="498" spans="10:12" ht="13">
      <c r="J498" s="16"/>
      <c r="K498" s="16"/>
      <c r="L498" s="17"/>
    </row>
    <row r="499" spans="10:12" ht="13">
      <c r="J499" s="16"/>
      <c r="K499" s="16"/>
      <c r="L499" s="17"/>
    </row>
    <row r="500" spans="10:12" ht="13">
      <c r="J500" s="16"/>
      <c r="K500" s="16"/>
      <c r="L500" s="17"/>
    </row>
    <row r="501" spans="10:12" ht="13">
      <c r="J501" s="16"/>
      <c r="K501" s="16"/>
      <c r="L501" s="17"/>
    </row>
    <row r="502" spans="10:12" ht="13">
      <c r="J502" s="16"/>
      <c r="K502" s="16"/>
      <c r="L502" s="17"/>
    </row>
    <row r="503" spans="10:12" ht="13">
      <c r="J503" s="16"/>
      <c r="K503" s="16"/>
      <c r="L503" s="17"/>
    </row>
    <row r="504" spans="10:12" ht="13">
      <c r="J504" s="16"/>
      <c r="K504" s="16"/>
      <c r="L504" s="17"/>
    </row>
    <row r="505" spans="10:12" ht="13">
      <c r="J505" s="16"/>
      <c r="K505" s="16"/>
      <c r="L505" s="17"/>
    </row>
    <row r="506" spans="10:12" ht="13">
      <c r="J506" s="16"/>
      <c r="K506" s="16"/>
      <c r="L506" s="17"/>
    </row>
    <row r="507" spans="10:12" ht="13">
      <c r="J507" s="16"/>
      <c r="K507" s="16"/>
      <c r="L507" s="17"/>
    </row>
    <row r="508" spans="10:12" ht="13">
      <c r="J508" s="16"/>
      <c r="K508" s="16"/>
      <c r="L508" s="17"/>
    </row>
    <row r="509" spans="10:12" ht="13">
      <c r="J509" s="16"/>
      <c r="K509" s="16"/>
      <c r="L509" s="17"/>
    </row>
    <row r="510" spans="10:12" ht="13">
      <c r="J510" s="16"/>
      <c r="K510" s="16"/>
      <c r="L510" s="17"/>
    </row>
    <row r="511" spans="10:12" ht="13">
      <c r="J511" s="16"/>
      <c r="K511" s="16"/>
      <c r="L511" s="17"/>
    </row>
    <row r="512" spans="10:12" ht="13">
      <c r="J512" s="16"/>
      <c r="K512" s="16"/>
      <c r="L512" s="17"/>
    </row>
    <row r="513" spans="10:12" ht="13">
      <c r="J513" s="16"/>
      <c r="K513" s="16"/>
      <c r="L513" s="17"/>
    </row>
    <row r="514" spans="10:12" ht="13">
      <c r="J514" s="16"/>
      <c r="K514" s="16"/>
      <c r="L514" s="17"/>
    </row>
    <row r="515" spans="10:12" ht="13">
      <c r="J515" s="16"/>
      <c r="K515" s="16"/>
      <c r="L515" s="17"/>
    </row>
    <row r="516" spans="10:12" ht="13">
      <c r="J516" s="16"/>
      <c r="K516" s="16"/>
      <c r="L516" s="17"/>
    </row>
    <row r="517" spans="10:12" ht="13">
      <c r="J517" s="16"/>
      <c r="K517" s="16"/>
      <c r="L517" s="17"/>
    </row>
    <row r="518" spans="10:12" ht="13">
      <c r="J518" s="16"/>
      <c r="K518" s="16"/>
      <c r="L518" s="17"/>
    </row>
    <row r="519" spans="10:12" ht="13">
      <c r="J519" s="16"/>
      <c r="K519" s="16"/>
      <c r="L519" s="17"/>
    </row>
    <row r="520" spans="10:12" ht="13">
      <c r="J520" s="16"/>
      <c r="K520" s="16"/>
      <c r="L520" s="17"/>
    </row>
    <row r="521" spans="10:12" ht="13">
      <c r="J521" s="16"/>
      <c r="K521" s="16"/>
      <c r="L521" s="17"/>
    </row>
    <row r="522" spans="10:12" ht="13">
      <c r="J522" s="16"/>
      <c r="K522" s="16"/>
      <c r="L522" s="17"/>
    </row>
    <row r="523" spans="10:12" ht="13">
      <c r="J523" s="16"/>
      <c r="K523" s="16"/>
      <c r="L523" s="17"/>
    </row>
    <row r="524" spans="10:12" ht="13">
      <c r="J524" s="16"/>
      <c r="K524" s="16"/>
      <c r="L524" s="17"/>
    </row>
    <row r="525" spans="10:12" ht="13">
      <c r="J525" s="16"/>
      <c r="K525" s="16"/>
      <c r="L525" s="17"/>
    </row>
    <row r="526" spans="10:12" ht="13">
      <c r="J526" s="16"/>
      <c r="K526" s="16"/>
      <c r="L526" s="17"/>
    </row>
    <row r="527" spans="10:12" ht="13">
      <c r="J527" s="16"/>
      <c r="K527" s="16"/>
      <c r="L527" s="17"/>
    </row>
    <row r="528" spans="10:12" ht="13">
      <c r="J528" s="16"/>
      <c r="K528" s="16"/>
      <c r="L528" s="17"/>
    </row>
    <row r="529" spans="10:12" ht="13">
      <c r="J529" s="16"/>
      <c r="K529" s="16"/>
      <c r="L529" s="17"/>
    </row>
    <row r="530" spans="10:12" ht="13">
      <c r="J530" s="16"/>
      <c r="K530" s="16"/>
      <c r="L530" s="17"/>
    </row>
    <row r="531" spans="10:12" ht="13">
      <c r="J531" s="16"/>
      <c r="K531" s="16"/>
      <c r="L531" s="17"/>
    </row>
    <row r="532" spans="10:12" ht="13">
      <c r="J532" s="16"/>
      <c r="K532" s="16"/>
      <c r="L532" s="17"/>
    </row>
    <row r="533" spans="10:12" ht="13">
      <c r="J533" s="16"/>
      <c r="K533" s="16"/>
      <c r="L533" s="17"/>
    </row>
    <row r="534" spans="10:12" ht="13">
      <c r="J534" s="16"/>
      <c r="K534" s="16"/>
      <c r="L534" s="17"/>
    </row>
    <row r="535" spans="10:12" ht="13">
      <c r="J535" s="16"/>
      <c r="K535" s="16"/>
      <c r="L535" s="17"/>
    </row>
    <row r="536" spans="10:12" ht="13">
      <c r="J536" s="16"/>
      <c r="K536" s="16"/>
      <c r="L536" s="17"/>
    </row>
    <row r="537" spans="10:12" ht="13">
      <c r="J537" s="16"/>
      <c r="K537" s="16"/>
      <c r="L537" s="17"/>
    </row>
    <row r="538" spans="10:12" ht="13">
      <c r="J538" s="16"/>
      <c r="K538" s="16"/>
      <c r="L538" s="17"/>
    </row>
    <row r="539" spans="10:12" ht="13">
      <c r="J539" s="16"/>
      <c r="K539" s="16"/>
      <c r="L539" s="17"/>
    </row>
    <row r="540" spans="10:12" ht="13">
      <c r="J540" s="16"/>
      <c r="K540" s="16"/>
      <c r="L540" s="17"/>
    </row>
    <row r="541" spans="10:12" ht="13">
      <c r="J541" s="16"/>
      <c r="K541" s="16"/>
      <c r="L541" s="17"/>
    </row>
    <row r="542" spans="10:12" ht="13">
      <c r="J542" s="16"/>
      <c r="K542" s="16"/>
      <c r="L542" s="17"/>
    </row>
    <row r="543" spans="10:12" ht="13">
      <c r="J543" s="16"/>
      <c r="K543" s="16"/>
      <c r="L543" s="17"/>
    </row>
    <row r="544" spans="10:12" ht="13">
      <c r="J544" s="16"/>
      <c r="K544" s="16"/>
      <c r="L544" s="17"/>
    </row>
    <row r="545" spans="10:12" ht="13">
      <c r="J545" s="16"/>
      <c r="K545" s="16"/>
      <c r="L545" s="17"/>
    </row>
    <row r="546" spans="10:12" ht="13">
      <c r="J546" s="16"/>
      <c r="K546" s="16"/>
      <c r="L546" s="17"/>
    </row>
    <row r="547" spans="10:12" ht="13">
      <c r="J547" s="16"/>
      <c r="K547" s="16"/>
      <c r="L547" s="17"/>
    </row>
    <row r="548" spans="10:12" ht="13">
      <c r="J548" s="16"/>
      <c r="K548" s="16"/>
      <c r="L548" s="17"/>
    </row>
    <row r="549" spans="10:12" ht="13">
      <c r="J549" s="16"/>
      <c r="K549" s="16"/>
      <c r="L549" s="17"/>
    </row>
    <row r="550" spans="10:12" ht="13">
      <c r="J550" s="16"/>
      <c r="K550" s="16"/>
      <c r="L550" s="17"/>
    </row>
    <row r="551" spans="10:12" ht="13">
      <c r="J551" s="16"/>
      <c r="K551" s="16"/>
      <c r="L551" s="17"/>
    </row>
    <row r="552" spans="10:12" ht="13">
      <c r="J552" s="16"/>
      <c r="K552" s="16"/>
      <c r="L552" s="17"/>
    </row>
    <row r="553" spans="10:12" ht="13">
      <c r="J553" s="16"/>
      <c r="K553" s="16"/>
      <c r="L553" s="17"/>
    </row>
    <row r="554" spans="10:12" ht="13">
      <c r="J554" s="16"/>
      <c r="K554" s="16"/>
      <c r="L554" s="17"/>
    </row>
    <row r="555" spans="10:12" ht="13">
      <c r="J555" s="16"/>
      <c r="K555" s="16"/>
      <c r="L555" s="17"/>
    </row>
    <row r="556" spans="10:12" ht="13">
      <c r="J556" s="16"/>
      <c r="K556" s="16"/>
      <c r="L556" s="17"/>
    </row>
    <row r="557" spans="10:12" ht="13">
      <c r="J557" s="16"/>
      <c r="K557" s="16"/>
      <c r="L557" s="17"/>
    </row>
    <row r="558" spans="10:12" ht="13">
      <c r="J558" s="16"/>
      <c r="K558" s="16"/>
      <c r="L558" s="17"/>
    </row>
    <row r="559" spans="10:12" ht="13">
      <c r="J559" s="16"/>
      <c r="K559" s="16"/>
      <c r="L559" s="17"/>
    </row>
    <row r="560" spans="10:12" ht="13">
      <c r="J560" s="16"/>
      <c r="K560" s="16"/>
      <c r="L560" s="17"/>
    </row>
    <row r="561" spans="10:12" ht="13">
      <c r="J561" s="16"/>
      <c r="K561" s="16"/>
      <c r="L561" s="17"/>
    </row>
    <row r="562" spans="10:12" ht="13">
      <c r="J562" s="16"/>
      <c r="K562" s="16"/>
      <c r="L562" s="17"/>
    </row>
    <row r="563" spans="10:12" ht="13">
      <c r="J563" s="16"/>
      <c r="K563" s="16"/>
      <c r="L563" s="17"/>
    </row>
    <row r="564" spans="10:12" ht="13">
      <c r="J564" s="16"/>
      <c r="K564" s="16"/>
      <c r="L564" s="17"/>
    </row>
    <row r="565" spans="10:12" ht="13">
      <c r="J565" s="16"/>
      <c r="K565" s="16"/>
      <c r="L565" s="17"/>
    </row>
    <row r="566" spans="10:12" ht="13">
      <c r="J566" s="16"/>
      <c r="K566" s="16"/>
      <c r="L566" s="17"/>
    </row>
    <row r="567" spans="10:12" ht="13">
      <c r="J567" s="16"/>
      <c r="K567" s="16"/>
      <c r="L567" s="17"/>
    </row>
    <row r="568" spans="10:12" ht="13">
      <c r="J568" s="16"/>
      <c r="K568" s="16"/>
      <c r="L568" s="17"/>
    </row>
    <row r="569" spans="10:12" ht="13">
      <c r="J569" s="16"/>
      <c r="K569" s="16"/>
      <c r="L569" s="17"/>
    </row>
    <row r="570" spans="10:12" ht="13">
      <c r="J570" s="16"/>
      <c r="K570" s="16"/>
      <c r="L570" s="17"/>
    </row>
    <row r="571" spans="10:12" ht="13">
      <c r="J571" s="16"/>
      <c r="K571" s="16"/>
      <c r="L571" s="17"/>
    </row>
    <row r="572" spans="10:12" ht="13">
      <c r="J572" s="16"/>
      <c r="K572" s="16"/>
      <c r="L572" s="17"/>
    </row>
    <row r="573" spans="10:12" ht="13">
      <c r="J573" s="16"/>
      <c r="K573" s="16"/>
      <c r="L573" s="17"/>
    </row>
    <row r="574" spans="10:12" ht="13">
      <c r="J574" s="16"/>
      <c r="K574" s="16"/>
      <c r="L574" s="17"/>
    </row>
    <row r="575" spans="10:12" ht="13">
      <c r="J575" s="16"/>
      <c r="K575" s="16"/>
      <c r="L575" s="17"/>
    </row>
    <row r="576" spans="10:12" ht="13">
      <c r="J576" s="16"/>
      <c r="K576" s="16"/>
      <c r="L576" s="17"/>
    </row>
    <row r="577" spans="10:12" ht="13">
      <c r="J577" s="16"/>
      <c r="K577" s="16"/>
      <c r="L577" s="17"/>
    </row>
    <row r="578" spans="10:12" ht="13">
      <c r="J578" s="16"/>
      <c r="K578" s="16"/>
      <c r="L578" s="17"/>
    </row>
    <row r="579" spans="10:12" ht="13">
      <c r="J579" s="16"/>
      <c r="K579" s="16"/>
      <c r="L579" s="17"/>
    </row>
    <row r="580" spans="10:12" ht="13">
      <c r="J580" s="16"/>
      <c r="K580" s="16"/>
      <c r="L580" s="17"/>
    </row>
    <row r="581" spans="10:12" ht="13">
      <c r="J581" s="16"/>
      <c r="K581" s="16"/>
      <c r="L581" s="17"/>
    </row>
    <row r="582" spans="10:12" ht="13">
      <c r="J582" s="16"/>
      <c r="K582" s="16"/>
      <c r="L582" s="17"/>
    </row>
    <row r="583" spans="10:12" ht="13">
      <c r="J583" s="16"/>
      <c r="K583" s="16"/>
      <c r="L583" s="17"/>
    </row>
    <row r="584" spans="10:12" ht="13">
      <c r="J584" s="16"/>
      <c r="K584" s="16"/>
      <c r="L584" s="17"/>
    </row>
    <row r="585" spans="10:12" ht="13">
      <c r="J585" s="16"/>
      <c r="K585" s="16"/>
      <c r="L585" s="17"/>
    </row>
    <row r="586" spans="10:12" ht="13">
      <c r="J586" s="16"/>
      <c r="K586" s="16"/>
      <c r="L586" s="17"/>
    </row>
    <row r="587" spans="10:12" ht="13">
      <c r="J587" s="16"/>
      <c r="K587" s="16"/>
      <c r="L587" s="17"/>
    </row>
    <row r="588" spans="10:12" ht="13">
      <c r="J588" s="16"/>
      <c r="K588" s="16"/>
      <c r="L588" s="17"/>
    </row>
    <row r="589" spans="10:12" ht="13">
      <c r="J589" s="16"/>
      <c r="K589" s="16"/>
      <c r="L589" s="17"/>
    </row>
    <row r="590" spans="10:12" ht="13">
      <c r="J590" s="16"/>
      <c r="K590" s="16"/>
      <c r="L590" s="17"/>
    </row>
    <row r="591" spans="10:12" ht="13">
      <c r="J591" s="16"/>
      <c r="K591" s="16"/>
      <c r="L591" s="17"/>
    </row>
    <row r="592" spans="10:12" ht="13">
      <c r="J592" s="16"/>
      <c r="K592" s="16"/>
      <c r="L592" s="17"/>
    </row>
    <row r="593" spans="10:12" ht="13">
      <c r="J593" s="16"/>
      <c r="K593" s="16"/>
      <c r="L593" s="17"/>
    </row>
    <row r="594" spans="10:12" ht="13">
      <c r="J594" s="16"/>
      <c r="K594" s="16"/>
      <c r="L594" s="17"/>
    </row>
    <row r="595" spans="10:12" ht="13">
      <c r="J595" s="16"/>
      <c r="K595" s="16"/>
      <c r="L595" s="17"/>
    </row>
    <row r="596" spans="10:12" ht="13">
      <c r="J596" s="16"/>
      <c r="K596" s="16"/>
      <c r="L596" s="17"/>
    </row>
    <row r="597" spans="10:12" ht="13">
      <c r="J597" s="16"/>
      <c r="K597" s="16"/>
      <c r="L597" s="17"/>
    </row>
    <row r="598" spans="10:12" ht="13">
      <c r="J598" s="16"/>
      <c r="K598" s="16"/>
      <c r="L598" s="17"/>
    </row>
    <row r="599" spans="10:12" ht="13">
      <c r="J599" s="16"/>
      <c r="K599" s="16"/>
      <c r="L599" s="17"/>
    </row>
    <row r="600" spans="10:12" ht="13">
      <c r="J600" s="16"/>
      <c r="K600" s="16"/>
      <c r="L600" s="17"/>
    </row>
    <row r="601" spans="10:12" ht="13">
      <c r="J601" s="16"/>
      <c r="K601" s="16"/>
      <c r="L601" s="17"/>
    </row>
    <row r="602" spans="10:12" ht="13">
      <c r="J602" s="16"/>
      <c r="K602" s="16"/>
      <c r="L602" s="17"/>
    </row>
    <row r="603" spans="10:12" ht="13">
      <c r="J603" s="16"/>
      <c r="K603" s="16"/>
      <c r="L603" s="17"/>
    </row>
    <row r="604" spans="10:12" ht="13">
      <c r="J604" s="16"/>
      <c r="K604" s="16"/>
      <c r="L604" s="17"/>
    </row>
    <row r="605" spans="10:12" ht="13">
      <c r="J605" s="16"/>
      <c r="K605" s="16"/>
      <c r="L605" s="17"/>
    </row>
    <row r="606" spans="10:12" ht="13">
      <c r="J606" s="16"/>
      <c r="K606" s="16"/>
      <c r="L606" s="17"/>
    </row>
    <row r="607" spans="10:12" ht="13">
      <c r="J607" s="16"/>
      <c r="K607" s="16"/>
      <c r="L607" s="17"/>
    </row>
    <row r="608" spans="10:12" ht="13">
      <c r="J608" s="16"/>
      <c r="K608" s="16"/>
      <c r="L608" s="17"/>
    </row>
    <row r="609" spans="10:12" ht="13">
      <c r="J609" s="16"/>
      <c r="K609" s="16"/>
      <c r="L609" s="17"/>
    </row>
    <row r="610" spans="10:12" ht="13">
      <c r="J610" s="16"/>
      <c r="K610" s="16"/>
      <c r="L610" s="17"/>
    </row>
    <row r="611" spans="10:12" ht="13">
      <c r="J611" s="16"/>
      <c r="K611" s="16"/>
      <c r="L611" s="17"/>
    </row>
    <row r="612" spans="10:12" ht="13">
      <c r="J612" s="16"/>
      <c r="K612" s="16"/>
      <c r="L612" s="17"/>
    </row>
    <row r="613" spans="10:12" ht="13">
      <c r="J613" s="16"/>
      <c r="K613" s="16"/>
      <c r="L613" s="17"/>
    </row>
    <row r="614" spans="10:12" ht="13">
      <c r="J614" s="16"/>
      <c r="K614" s="16"/>
      <c r="L614" s="17"/>
    </row>
    <row r="615" spans="10:12" ht="13">
      <c r="J615" s="16"/>
      <c r="K615" s="16"/>
      <c r="L615" s="17"/>
    </row>
    <row r="616" spans="10:12" ht="13">
      <c r="J616" s="16"/>
      <c r="K616" s="16"/>
      <c r="L616" s="17"/>
    </row>
    <row r="617" spans="10:12" ht="13">
      <c r="J617" s="16"/>
      <c r="K617" s="16"/>
      <c r="L617" s="17"/>
    </row>
    <row r="618" spans="10:12" ht="13">
      <c r="J618" s="16"/>
      <c r="K618" s="16"/>
      <c r="L618" s="17"/>
    </row>
    <row r="619" spans="10:12" ht="13">
      <c r="J619" s="16"/>
      <c r="K619" s="16"/>
      <c r="L619" s="17"/>
    </row>
    <row r="620" spans="10:12" ht="13">
      <c r="J620" s="16"/>
      <c r="K620" s="16"/>
      <c r="L620" s="17"/>
    </row>
    <row r="621" spans="10:12" ht="13">
      <c r="J621" s="16"/>
      <c r="K621" s="16"/>
      <c r="L621" s="17"/>
    </row>
    <row r="622" spans="10:12" ht="13">
      <c r="J622" s="16"/>
      <c r="K622" s="16"/>
      <c r="L622" s="17"/>
    </row>
    <row r="623" spans="10:12" ht="13">
      <c r="J623" s="16"/>
      <c r="K623" s="16"/>
      <c r="L623" s="17"/>
    </row>
    <row r="624" spans="10:12" ht="13">
      <c r="J624" s="16"/>
      <c r="K624" s="16"/>
      <c r="L624" s="17"/>
    </row>
    <row r="625" spans="10:12" ht="13">
      <c r="J625" s="16"/>
      <c r="K625" s="16"/>
      <c r="L625" s="17"/>
    </row>
    <row r="626" spans="10:12" ht="13">
      <c r="J626" s="16"/>
      <c r="K626" s="16"/>
      <c r="L626" s="17"/>
    </row>
    <row r="627" spans="10:12" ht="13">
      <c r="J627" s="16"/>
      <c r="K627" s="16"/>
      <c r="L627" s="17"/>
    </row>
    <row r="628" spans="10:12" ht="13">
      <c r="J628" s="16"/>
      <c r="K628" s="16"/>
      <c r="L628" s="17"/>
    </row>
    <row r="629" spans="10:12" ht="13">
      <c r="J629" s="16"/>
      <c r="K629" s="16"/>
      <c r="L629" s="17"/>
    </row>
    <row r="630" spans="10:12" ht="13">
      <c r="J630" s="16"/>
      <c r="K630" s="16"/>
      <c r="L630" s="17"/>
    </row>
    <row r="631" spans="10:12" ht="13">
      <c r="J631" s="16"/>
      <c r="K631" s="16"/>
      <c r="L631" s="17"/>
    </row>
    <row r="632" spans="10:12" ht="13">
      <c r="J632" s="16"/>
      <c r="K632" s="16"/>
      <c r="L632" s="17"/>
    </row>
    <row r="633" spans="10:12" ht="13">
      <c r="J633" s="16"/>
      <c r="K633" s="16"/>
      <c r="L633" s="17"/>
    </row>
    <row r="634" spans="10:12" ht="13">
      <c r="J634" s="16"/>
      <c r="K634" s="16"/>
      <c r="L634" s="17"/>
    </row>
    <row r="635" spans="10:12" ht="13">
      <c r="J635" s="16"/>
      <c r="K635" s="16"/>
      <c r="L635" s="17"/>
    </row>
    <row r="636" spans="10:12" ht="13">
      <c r="J636" s="16"/>
      <c r="K636" s="16"/>
      <c r="L636" s="17"/>
    </row>
    <row r="637" spans="10:12" ht="13">
      <c r="J637" s="16"/>
      <c r="K637" s="16"/>
      <c r="L637" s="17"/>
    </row>
    <row r="638" spans="10:12" ht="13">
      <c r="J638" s="16"/>
      <c r="K638" s="16"/>
      <c r="L638" s="17"/>
    </row>
    <row r="639" spans="10:12" ht="13">
      <c r="J639" s="16"/>
      <c r="K639" s="16"/>
      <c r="L639" s="17"/>
    </row>
    <row r="640" spans="10:12" ht="13">
      <c r="J640" s="16"/>
      <c r="K640" s="16"/>
      <c r="L640" s="17"/>
    </row>
    <row r="641" spans="10:12" ht="13">
      <c r="J641" s="16"/>
      <c r="K641" s="16"/>
      <c r="L641" s="17"/>
    </row>
    <row r="642" spans="10:12" ht="13">
      <c r="J642" s="16"/>
      <c r="K642" s="16"/>
      <c r="L642" s="17"/>
    </row>
    <row r="643" spans="10:12" ht="13">
      <c r="J643" s="16"/>
      <c r="K643" s="16"/>
      <c r="L643" s="17"/>
    </row>
    <row r="644" spans="10:12" ht="13">
      <c r="J644" s="16"/>
      <c r="K644" s="16"/>
      <c r="L644" s="17"/>
    </row>
    <row r="645" spans="10:12" ht="13">
      <c r="J645" s="16"/>
      <c r="K645" s="16"/>
      <c r="L645" s="17"/>
    </row>
    <row r="646" spans="10:12" ht="13">
      <c r="J646" s="16"/>
      <c r="K646" s="16"/>
      <c r="L646" s="17"/>
    </row>
    <row r="647" spans="10:12" ht="13">
      <c r="J647" s="16"/>
      <c r="K647" s="16"/>
      <c r="L647" s="17"/>
    </row>
    <row r="648" spans="10:12" ht="13">
      <c r="J648" s="16"/>
      <c r="K648" s="16"/>
      <c r="L648" s="17"/>
    </row>
    <row r="649" spans="10:12" ht="13">
      <c r="J649" s="16"/>
      <c r="K649" s="16"/>
      <c r="L649" s="17"/>
    </row>
    <row r="650" spans="10:12" ht="13">
      <c r="J650" s="16"/>
      <c r="K650" s="16"/>
      <c r="L650" s="17"/>
    </row>
    <row r="651" spans="10:12" ht="13">
      <c r="J651" s="16"/>
      <c r="K651" s="16"/>
      <c r="L651" s="17"/>
    </row>
    <row r="652" spans="10:12" ht="13">
      <c r="J652" s="16"/>
      <c r="K652" s="16"/>
      <c r="L652" s="17"/>
    </row>
    <row r="653" spans="10:12" ht="13">
      <c r="J653" s="16"/>
      <c r="K653" s="16"/>
      <c r="L653" s="17"/>
    </row>
    <row r="654" spans="10:12" ht="13">
      <c r="J654" s="16"/>
      <c r="K654" s="16"/>
      <c r="L654" s="17"/>
    </row>
    <row r="655" spans="10:12" ht="13">
      <c r="J655" s="16"/>
      <c r="K655" s="16"/>
      <c r="L655" s="17"/>
    </row>
    <row r="656" spans="10:12" ht="13">
      <c r="J656" s="16"/>
      <c r="K656" s="16"/>
      <c r="L656" s="17"/>
    </row>
    <row r="657" spans="10:12" ht="13">
      <c r="J657" s="16"/>
      <c r="K657" s="16"/>
      <c r="L657" s="17"/>
    </row>
    <row r="658" spans="10:12" ht="13">
      <c r="J658" s="16"/>
      <c r="K658" s="16"/>
      <c r="L658" s="17"/>
    </row>
    <row r="659" spans="10:12" ht="13">
      <c r="J659" s="16"/>
      <c r="K659" s="16"/>
      <c r="L659" s="17"/>
    </row>
    <row r="660" spans="10:12" ht="13">
      <c r="J660" s="16"/>
      <c r="K660" s="16"/>
      <c r="L660" s="17"/>
    </row>
    <row r="661" spans="10:12" ht="13">
      <c r="J661" s="16"/>
      <c r="K661" s="16"/>
      <c r="L661" s="17"/>
    </row>
    <row r="662" spans="10:12" ht="13">
      <c r="J662" s="16"/>
      <c r="K662" s="16"/>
      <c r="L662" s="17"/>
    </row>
    <row r="663" spans="10:12" ht="13">
      <c r="J663" s="16"/>
      <c r="K663" s="16"/>
      <c r="L663" s="17"/>
    </row>
    <row r="664" spans="10:12" ht="13">
      <c r="J664" s="16"/>
      <c r="K664" s="16"/>
      <c r="L664" s="17"/>
    </row>
    <row r="665" spans="10:12" ht="13">
      <c r="J665" s="16"/>
      <c r="K665" s="16"/>
      <c r="L665" s="17"/>
    </row>
    <row r="666" spans="10:12" ht="13">
      <c r="J666" s="16"/>
      <c r="K666" s="16"/>
      <c r="L666" s="17"/>
    </row>
    <row r="667" spans="10:12" ht="13">
      <c r="J667" s="16"/>
      <c r="K667" s="16"/>
      <c r="L667" s="17"/>
    </row>
    <row r="668" spans="10:12" ht="13">
      <c r="J668" s="16"/>
      <c r="K668" s="16"/>
      <c r="L668" s="17"/>
    </row>
    <row r="669" spans="10:12" ht="13">
      <c r="J669" s="16"/>
      <c r="K669" s="16"/>
      <c r="L669" s="17"/>
    </row>
    <row r="670" spans="10:12" ht="13">
      <c r="J670" s="16"/>
      <c r="K670" s="16"/>
      <c r="L670" s="17"/>
    </row>
    <row r="671" spans="10:12" ht="13">
      <c r="J671" s="16"/>
      <c r="K671" s="16"/>
      <c r="L671" s="17"/>
    </row>
    <row r="672" spans="10:12" ht="13">
      <c r="J672" s="16"/>
      <c r="K672" s="16"/>
      <c r="L672" s="17"/>
    </row>
    <row r="673" spans="10:12" ht="13">
      <c r="J673" s="16"/>
      <c r="K673" s="16"/>
      <c r="L673" s="17"/>
    </row>
    <row r="674" spans="10:12" ht="13">
      <c r="J674" s="16"/>
      <c r="K674" s="16"/>
      <c r="L674" s="17"/>
    </row>
    <row r="675" spans="10:12" ht="13">
      <c r="J675" s="16"/>
      <c r="K675" s="16"/>
      <c r="L675" s="17"/>
    </row>
    <row r="676" spans="10:12" ht="13">
      <c r="J676" s="16"/>
      <c r="K676" s="16"/>
      <c r="L676" s="17"/>
    </row>
    <row r="677" spans="10:12" ht="13">
      <c r="J677" s="16"/>
      <c r="K677" s="16"/>
      <c r="L677" s="17"/>
    </row>
    <row r="678" spans="10:12" ht="13">
      <c r="J678" s="16"/>
      <c r="K678" s="16"/>
      <c r="L678" s="17"/>
    </row>
    <row r="679" spans="10:12" ht="13">
      <c r="J679" s="16"/>
      <c r="K679" s="16"/>
      <c r="L679" s="17"/>
    </row>
    <row r="680" spans="10:12" ht="13">
      <c r="J680" s="16"/>
      <c r="K680" s="16"/>
      <c r="L680" s="17"/>
    </row>
    <row r="681" spans="10:12" ht="13">
      <c r="J681" s="16"/>
      <c r="K681" s="16"/>
      <c r="L681" s="17"/>
    </row>
    <row r="682" spans="10:12" ht="13">
      <c r="J682" s="16"/>
      <c r="K682" s="16"/>
      <c r="L682" s="17"/>
    </row>
    <row r="683" spans="10:12" ht="13">
      <c r="J683" s="16"/>
      <c r="K683" s="16"/>
      <c r="L683" s="17"/>
    </row>
    <row r="684" spans="10:12" ht="13">
      <c r="J684" s="16"/>
      <c r="K684" s="16"/>
      <c r="L684" s="17"/>
    </row>
    <row r="685" spans="10:12" ht="13">
      <c r="J685" s="16"/>
      <c r="K685" s="16"/>
      <c r="L685" s="17"/>
    </row>
    <row r="686" spans="10:12" ht="13">
      <c r="J686" s="16"/>
      <c r="K686" s="16"/>
      <c r="L686" s="17"/>
    </row>
    <row r="687" spans="10:12" ht="13">
      <c r="J687" s="16"/>
      <c r="K687" s="16"/>
      <c r="L687" s="17"/>
    </row>
    <row r="688" spans="10:12" ht="13">
      <c r="J688" s="16"/>
      <c r="K688" s="16"/>
      <c r="L688" s="17"/>
    </row>
    <row r="689" spans="10:12" ht="13">
      <c r="J689" s="16"/>
      <c r="K689" s="16"/>
      <c r="L689" s="17"/>
    </row>
    <row r="690" spans="10:12" ht="13">
      <c r="J690" s="16"/>
      <c r="K690" s="16"/>
      <c r="L690" s="17"/>
    </row>
    <row r="691" spans="10:12" ht="13">
      <c r="J691" s="16"/>
      <c r="K691" s="16"/>
      <c r="L691" s="17"/>
    </row>
    <row r="692" spans="10:12" ht="13">
      <c r="J692" s="16"/>
      <c r="K692" s="16"/>
      <c r="L692" s="17"/>
    </row>
    <row r="693" spans="10:12" ht="13">
      <c r="J693" s="16"/>
      <c r="K693" s="16"/>
      <c r="L693" s="17"/>
    </row>
    <row r="694" spans="10:12" ht="13">
      <c r="J694" s="16"/>
      <c r="K694" s="16"/>
      <c r="L694" s="17"/>
    </row>
    <row r="695" spans="10:12" ht="13">
      <c r="J695" s="16"/>
      <c r="K695" s="16"/>
      <c r="L695" s="17"/>
    </row>
    <row r="696" spans="10:12" ht="13">
      <c r="J696" s="16"/>
      <c r="K696" s="16"/>
      <c r="L696" s="17"/>
    </row>
    <row r="697" spans="10:12" ht="13">
      <c r="J697" s="16"/>
      <c r="K697" s="16"/>
      <c r="L697" s="17"/>
    </row>
    <row r="698" spans="10:12" ht="13">
      <c r="J698" s="16"/>
      <c r="K698" s="16"/>
      <c r="L698" s="17"/>
    </row>
    <row r="699" spans="10:12" ht="13">
      <c r="J699" s="16"/>
      <c r="K699" s="16"/>
      <c r="L699" s="17"/>
    </row>
    <row r="700" spans="10:12" ht="13">
      <c r="J700" s="16"/>
      <c r="K700" s="16"/>
      <c r="L700" s="17"/>
    </row>
    <row r="701" spans="10:12" ht="13">
      <c r="J701" s="16"/>
      <c r="K701" s="16"/>
      <c r="L701" s="17"/>
    </row>
    <row r="702" spans="10:12" ht="13">
      <c r="J702" s="16"/>
      <c r="K702" s="16"/>
      <c r="L702" s="17"/>
    </row>
    <row r="703" spans="10:12" ht="13">
      <c r="J703" s="16"/>
      <c r="K703" s="16"/>
      <c r="L703" s="17"/>
    </row>
    <row r="704" spans="10:12" ht="13">
      <c r="J704" s="16"/>
      <c r="K704" s="16"/>
      <c r="L704" s="17"/>
    </row>
    <row r="705" spans="10:12" ht="13">
      <c r="J705" s="16"/>
      <c r="K705" s="16"/>
      <c r="L705" s="17"/>
    </row>
    <row r="706" spans="10:12" ht="13">
      <c r="J706" s="16"/>
      <c r="K706" s="16"/>
      <c r="L706" s="17"/>
    </row>
    <row r="707" spans="10:12" ht="13">
      <c r="J707" s="16"/>
      <c r="K707" s="16"/>
      <c r="L707" s="17"/>
    </row>
    <row r="708" spans="10:12" ht="13">
      <c r="J708" s="16"/>
      <c r="K708" s="16"/>
      <c r="L708" s="17"/>
    </row>
    <row r="709" spans="10:12" ht="13">
      <c r="J709" s="16"/>
      <c r="K709" s="16"/>
      <c r="L709" s="17"/>
    </row>
    <row r="710" spans="10:12" ht="13">
      <c r="J710" s="16"/>
      <c r="K710" s="16"/>
      <c r="L710" s="17"/>
    </row>
    <row r="711" spans="10:12" ht="13">
      <c r="J711" s="16"/>
      <c r="K711" s="16"/>
      <c r="L711" s="17"/>
    </row>
    <row r="712" spans="10:12" ht="13">
      <c r="J712" s="16"/>
      <c r="K712" s="16"/>
      <c r="L712" s="17"/>
    </row>
    <row r="713" spans="10:12" ht="13">
      <c r="J713" s="16"/>
      <c r="K713" s="16"/>
      <c r="L713" s="17"/>
    </row>
    <row r="714" spans="10:12" ht="13">
      <c r="J714" s="16"/>
      <c r="K714" s="16"/>
      <c r="L714" s="17"/>
    </row>
    <row r="715" spans="10:12" ht="13">
      <c r="J715" s="16"/>
      <c r="K715" s="16"/>
      <c r="L715" s="17"/>
    </row>
    <row r="716" spans="10:12" ht="13">
      <c r="J716" s="16"/>
      <c r="K716" s="16"/>
      <c r="L716" s="17"/>
    </row>
    <row r="717" spans="10:12" ht="13">
      <c r="J717" s="16"/>
      <c r="K717" s="16"/>
      <c r="L717" s="17"/>
    </row>
    <row r="718" spans="10:12" ht="13">
      <c r="J718" s="16"/>
      <c r="K718" s="16"/>
      <c r="L718" s="17"/>
    </row>
    <row r="719" spans="10:12" ht="13">
      <c r="J719" s="16"/>
      <c r="K719" s="16"/>
      <c r="L719" s="17"/>
    </row>
    <row r="720" spans="10:12" ht="13">
      <c r="J720" s="16"/>
      <c r="K720" s="16"/>
      <c r="L720" s="17"/>
    </row>
    <row r="721" spans="10:12" ht="13">
      <c r="J721" s="16"/>
      <c r="K721" s="16"/>
      <c r="L721" s="17"/>
    </row>
    <row r="722" spans="10:12" ht="13">
      <c r="J722" s="16"/>
      <c r="K722" s="16"/>
      <c r="L722" s="17"/>
    </row>
    <row r="723" spans="10:12" ht="13">
      <c r="J723" s="16"/>
      <c r="K723" s="16"/>
      <c r="L723" s="17"/>
    </row>
    <row r="724" spans="10:12" ht="13">
      <c r="J724" s="16"/>
      <c r="K724" s="16"/>
      <c r="L724" s="17"/>
    </row>
    <row r="725" spans="10:12" ht="13">
      <c r="J725" s="16"/>
      <c r="K725" s="16"/>
      <c r="L725" s="17"/>
    </row>
    <row r="726" spans="10:12" ht="13">
      <c r="J726" s="16"/>
      <c r="K726" s="16"/>
      <c r="L726" s="17"/>
    </row>
    <row r="727" spans="10:12" ht="13">
      <c r="J727" s="16"/>
      <c r="K727" s="16"/>
      <c r="L727" s="17"/>
    </row>
    <row r="728" spans="10:12" ht="13">
      <c r="J728" s="16"/>
      <c r="K728" s="16"/>
      <c r="L728" s="17"/>
    </row>
    <row r="729" spans="10:12" ht="13">
      <c r="J729" s="16"/>
      <c r="K729" s="16"/>
      <c r="L729" s="17"/>
    </row>
    <row r="730" spans="10:12" ht="13">
      <c r="J730" s="16"/>
      <c r="K730" s="16"/>
      <c r="L730" s="17"/>
    </row>
    <row r="731" spans="10:12" ht="13">
      <c r="J731" s="16"/>
      <c r="K731" s="16"/>
      <c r="L731" s="17"/>
    </row>
    <row r="732" spans="10:12" ht="13">
      <c r="J732" s="16"/>
      <c r="K732" s="16"/>
      <c r="L732" s="17"/>
    </row>
    <row r="733" spans="10:12" ht="13">
      <c r="J733" s="16"/>
      <c r="K733" s="16"/>
      <c r="L733" s="17"/>
    </row>
    <row r="734" spans="10:12" ht="13">
      <c r="J734" s="16"/>
      <c r="K734" s="16"/>
      <c r="L734" s="17"/>
    </row>
    <row r="735" spans="10:12" ht="13">
      <c r="J735" s="16"/>
      <c r="K735" s="16"/>
      <c r="L735" s="17"/>
    </row>
    <row r="736" spans="10:12" ht="13">
      <c r="J736" s="16"/>
      <c r="K736" s="16"/>
      <c r="L736" s="17"/>
    </row>
    <row r="737" spans="10:12" ht="13">
      <c r="J737" s="16"/>
      <c r="K737" s="16"/>
      <c r="L737" s="17"/>
    </row>
    <row r="738" spans="10:12" ht="13">
      <c r="J738" s="16"/>
      <c r="K738" s="16"/>
      <c r="L738" s="17"/>
    </row>
    <row r="739" spans="10:12" ht="13">
      <c r="J739" s="16"/>
      <c r="K739" s="16"/>
      <c r="L739" s="17"/>
    </row>
    <row r="740" spans="10:12" ht="13">
      <c r="J740" s="16"/>
      <c r="K740" s="16"/>
      <c r="L740" s="17"/>
    </row>
    <row r="741" spans="10:12" ht="13">
      <c r="J741" s="16"/>
      <c r="K741" s="16"/>
      <c r="L741" s="17"/>
    </row>
    <row r="742" spans="10:12" ht="13">
      <c r="J742" s="16"/>
      <c r="K742" s="16"/>
      <c r="L742" s="17"/>
    </row>
    <row r="743" spans="10:12" ht="13">
      <c r="J743" s="16"/>
      <c r="K743" s="16"/>
      <c r="L743" s="17"/>
    </row>
    <row r="744" spans="10:12" ht="13">
      <c r="J744" s="16"/>
      <c r="K744" s="16"/>
      <c r="L744" s="17"/>
    </row>
    <row r="745" spans="10:12" ht="13">
      <c r="J745" s="16"/>
      <c r="K745" s="16"/>
      <c r="L745" s="17"/>
    </row>
    <row r="746" spans="10:12" ht="13">
      <c r="J746" s="16"/>
      <c r="K746" s="16"/>
      <c r="L746" s="17"/>
    </row>
    <row r="747" spans="10:12" ht="13">
      <c r="J747" s="16"/>
      <c r="K747" s="16"/>
      <c r="L747" s="17"/>
    </row>
    <row r="748" spans="10:12" ht="13">
      <c r="J748" s="16"/>
      <c r="K748" s="16"/>
      <c r="L748" s="17"/>
    </row>
    <row r="749" spans="10:12" ht="13">
      <c r="J749" s="16"/>
      <c r="K749" s="16"/>
      <c r="L749" s="17"/>
    </row>
    <row r="750" spans="10:12" ht="13">
      <c r="J750" s="16"/>
      <c r="K750" s="16"/>
      <c r="L750" s="17"/>
    </row>
    <row r="751" spans="10:12" ht="13">
      <c r="J751" s="16"/>
      <c r="K751" s="16"/>
      <c r="L751" s="17"/>
    </row>
    <row r="752" spans="10:12" ht="13">
      <c r="J752" s="16"/>
      <c r="K752" s="16"/>
      <c r="L752" s="17"/>
    </row>
    <row r="753" spans="10:12" ht="13">
      <c r="J753" s="16"/>
      <c r="K753" s="16"/>
      <c r="L753" s="17"/>
    </row>
    <row r="754" spans="10:12" ht="13">
      <c r="J754" s="16"/>
      <c r="K754" s="16"/>
      <c r="L754" s="17"/>
    </row>
    <row r="755" spans="10:12" ht="13">
      <c r="J755" s="16"/>
      <c r="K755" s="16"/>
      <c r="L755" s="17"/>
    </row>
    <row r="756" spans="10:12" ht="13">
      <c r="J756" s="16"/>
      <c r="K756" s="16"/>
      <c r="L756" s="17"/>
    </row>
    <row r="757" spans="10:12" ht="13">
      <c r="J757" s="16"/>
      <c r="K757" s="16"/>
      <c r="L757" s="17"/>
    </row>
    <row r="758" spans="10:12" ht="13">
      <c r="J758" s="16"/>
      <c r="K758" s="16"/>
      <c r="L758" s="17"/>
    </row>
    <row r="759" spans="10:12" ht="13">
      <c r="J759" s="16"/>
      <c r="K759" s="16"/>
      <c r="L759" s="17"/>
    </row>
    <row r="760" spans="10:12" ht="13">
      <c r="J760" s="16"/>
      <c r="K760" s="16"/>
      <c r="L760" s="17"/>
    </row>
    <row r="761" spans="10:12" ht="13">
      <c r="J761" s="16"/>
      <c r="K761" s="16"/>
      <c r="L761" s="17"/>
    </row>
    <row r="762" spans="10:12" ht="13">
      <c r="J762" s="16"/>
      <c r="K762" s="16"/>
      <c r="L762" s="17"/>
    </row>
    <row r="763" spans="10:12" ht="13">
      <c r="J763" s="16"/>
      <c r="K763" s="16"/>
      <c r="L763" s="17"/>
    </row>
    <row r="764" spans="10:12" ht="13">
      <c r="J764" s="16"/>
      <c r="K764" s="16"/>
      <c r="L764" s="17"/>
    </row>
    <row r="765" spans="10:12" ht="13">
      <c r="J765" s="16"/>
      <c r="K765" s="16"/>
      <c r="L765" s="17"/>
    </row>
    <row r="766" spans="10:12" ht="13">
      <c r="J766" s="16"/>
      <c r="K766" s="16"/>
      <c r="L766" s="17"/>
    </row>
    <row r="767" spans="10:12" ht="13">
      <c r="J767" s="16"/>
      <c r="K767" s="16"/>
      <c r="L767" s="17"/>
    </row>
    <row r="768" spans="10:12" ht="13">
      <c r="J768" s="16"/>
      <c r="K768" s="16"/>
      <c r="L768" s="17"/>
    </row>
    <row r="769" spans="10:12" ht="13">
      <c r="J769" s="16"/>
      <c r="K769" s="16"/>
      <c r="L769" s="17"/>
    </row>
    <row r="770" spans="10:12" ht="13">
      <c r="J770" s="16"/>
      <c r="K770" s="16"/>
      <c r="L770" s="17"/>
    </row>
    <row r="771" spans="10:12" ht="13">
      <c r="J771" s="16"/>
      <c r="K771" s="16"/>
      <c r="L771" s="17"/>
    </row>
    <row r="772" spans="10:12" ht="13">
      <c r="J772" s="16"/>
      <c r="K772" s="16"/>
      <c r="L772" s="17"/>
    </row>
    <row r="773" spans="10:12" ht="13">
      <c r="J773" s="16"/>
      <c r="K773" s="16"/>
      <c r="L773" s="17"/>
    </row>
    <row r="774" spans="10:12" ht="13">
      <c r="J774" s="16"/>
      <c r="K774" s="16"/>
      <c r="L774" s="17"/>
    </row>
    <row r="775" spans="10:12" ht="13">
      <c r="J775" s="16"/>
      <c r="K775" s="16"/>
      <c r="L775" s="17"/>
    </row>
    <row r="776" spans="10:12" ht="13">
      <c r="J776" s="16"/>
      <c r="K776" s="16"/>
      <c r="L776" s="17"/>
    </row>
    <row r="777" spans="10:12" ht="13">
      <c r="J777" s="16"/>
      <c r="K777" s="16"/>
      <c r="L777" s="17"/>
    </row>
    <row r="778" spans="10:12" ht="13">
      <c r="J778" s="16"/>
      <c r="K778" s="16"/>
      <c r="L778" s="17"/>
    </row>
    <row r="779" spans="10:12" ht="13">
      <c r="J779" s="16"/>
      <c r="K779" s="16"/>
      <c r="L779" s="17"/>
    </row>
    <row r="780" spans="10:12" ht="13">
      <c r="J780" s="16"/>
      <c r="K780" s="16"/>
      <c r="L780" s="17"/>
    </row>
    <row r="781" spans="10:12" ht="13">
      <c r="J781" s="16"/>
      <c r="K781" s="16"/>
      <c r="L781" s="17"/>
    </row>
    <row r="782" spans="10:12" ht="13">
      <c r="J782" s="16"/>
      <c r="K782" s="16"/>
      <c r="L782" s="17"/>
    </row>
    <row r="783" spans="10:12" ht="13">
      <c r="J783" s="16"/>
      <c r="K783" s="16"/>
      <c r="L783" s="17"/>
    </row>
    <row r="784" spans="10:12" ht="13">
      <c r="J784" s="16"/>
      <c r="K784" s="16"/>
      <c r="L784" s="17"/>
    </row>
    <row r="785" spans="10:12" ht="13">
      <c r="J785" s="16"/>
      <c r="K785" s="16"/>
      <c r="L785" s="17"/>
    </row>
    <row r="786" spans="10:12" ht="13">
      <c r="J786" s="16"/>
      <c r="K786" s="16"/>
      <c r="L786" s="17"/>
    </row>
    <row r="787" spans="10:12" ht="13">
      <c r="J787" s="16"/>
      <c r="K787" s="16"/>
      <c r="L787" s="17"/>
    </row>
    <row r="788" spans="10:12" ht="13">
      <c r="J788" s="16"/>
      <c r="K788" s="16"/>
      <c r="L788" s="17"/>
    </row>
    <row r="789" spans="10:12" ht="13">
      <c r="J789" s="16"/>
      <c r="K789" s="16"/>
      <c r="L789" s="17"/>
    </row>
    <row r="790" spans="10:12" ht="13">
      <c r="J790" s="16"/>
      <c r="K790" s="16"/>
      <c r="L790" s="17"/>
    </row>
    <row r="791" spans="10:12" ht="13">
      <c r="J791" s="16"/>
      <c r="K791" s="16"/>
      <c r="L791" s="17"/>
    </row>
    <row r="792" spans="10:12" ht="13">
      <c r="J792" s="16"/>
      <c r="K792" s="16"/>
      <c r="L792" s="17"/>
    </row>
    <row r="793" spans="10:12" ht="13">
      <c r="J793" s="16"/>
      <c r="K793" s="16"/>
      <c r="L793" s="17"/>
    </row>
    <row r="794" spans="10:12" ht="13">
      <c r="J794" s="16"/>
      <c r="K794" s="16"/>
      <c r="L794" s="17"/>
    </row>
    <row r="795" spans="10:12" ht="13">
      <c r="J795" s="16"/>
      <c r="K795" s="16"/>
      <c r="L795" s="17"/>
    </row>
    <row r="796" spans="10:12" ht="13">
      <c r="J796" s="16"/>
      <c r="K796" s="16"/>
      <c r="L796" s="17"/>
    </row>
    <row r="797" spans="10:12" ht="13">
      <c r="J797" s="16"/>
      <c r="K797" s="16"/>
      <c r="L797" s="17"/>
    </row>
    <row r="798" spans="10:12" ht="13">
      <c r="J798" s="16"/>
      <c r="K798" s="16"/>
      <c r="L798" s="17"/>
    </row>
    <row r="799" spans="10:12" ht="13">
      <c r="J799" s="16"/>
      <c r="K799" s="16"/>
      <c r="L799" s="17"/>
    </row>
    <row r="800" spans="10:12" ht="13">
      <c r="J800" s="16"/>
      <c r="K800" s="16"/>
      <c r="L800" s="17"/>
    </row>
    <row r="801" spans="10:12" ht="13">
      <c r="J801" s="16"/>
      <c r="K801" s="16"/>
      <c r="L801" s="17"/>
    </row>
    <row r="802" spans="10:12" ht="13">
      <c r="J802" s="16"/>
      <c r="K802" s="16"/>
      <c r="L802" s="17"/>
    </row>
    <row r="803" spans="10:12" ht="13">
      <c r="J803" s="16"/>
      <c r="K803" s="16"/>
      <c r="L803" s="17"/>
    </row>
    <row r="804" spans="10:12" ht="13">
      <c r="J804" s="16"/>
      <c r="K804" s="16"/>
      <c r="L804" s="17"/>
    </row>
    <row r="805" spans="10:12" ht="13">
      <c r="J805" s="16"/>
      <c r="K805" s="16"/>
      <c r="L805" s="17"/>
    </row>
    <row r="806" spans="10:12" ht="13">
      <c r="J806" s="16"/>
      <c r="K806" s="16"/>
      <c r="L806" s="17"/>
    </row>
    <row r="807" spans="10:12" ht="13">
      <c r="J807" s="16"/>
      <c r="K807" s="16"/>
      <c r="L807" s="17"/>
    </row>
    <row r="808" spans="10:12" ht="13">
      <c r="J808" s="16"/>
      <c r="K808" s="16"/>
      <c r="L808" s="17"/>
    </row>
    <row r="809" spans="10:12" ht="13">
      <c r="J809" s="16"/>
      <c r="K809" s="16"/>
      <c r="L809" s="17"/>
    </row>
    <row r="810" spans="10:12" ht="13">
      <c r="J810" s="16"/>
      <c r="K810" s="16"/>
      <c r="L810" s="17"/>
    </row>
    <row r="811" spans="10:12" ht="13">
      <c r="J811" s="16"/>
      <c r="K811" s="16"/>
      <c r="L811" s="17"/>
    </row>
    <row r="812" spans="10:12" ht="13">
      <c r="J812" s="16"/>
      <c r="K812" s="16"/>
      <c r="L812" s="17"/>
    </row>
    <row r="813" spans="10:12" ht="13">
      <c r="J813" s="16"/>
      <c r="K813" s="16"/>
      <c r="L813" s="17"/>
    </row>
    <row r="814" spans="10:12" ht="13">
      <c r="J814" s="16"/>
      <c r="K814" s="16"/>
      <c r="L814" s="17"/>
    </row>
    <row r="815" spans="10:12" ht="13">
      <c r="J815" s="16"/>
      <c r="K815" s="16"/>
      <c r="L815" s="17"/>
    </row>
    <row r="816" spans="10:12" ht="13">
      <c r="J816" s="16"/>
      <c r="K816" s="16"/>
      <c r="L816" s="17"/>
    </row>
    <row r="817" spans="10:12" ht="13">
      <c r="J817" s="16"/>
      <c r="K817" s="16"/>
      <c r="L817" s="17"/>
    </row>
    <row r="818" spans="10:12" ht="13">
      <c r="J818" s="16"/>
      <c r="K818" s="16"/>
      <c r="L818" s="17"/>
    </row>
    <row r="819" spans="10:12" ht="13">
      <c r="J819" s="16"/>
      <c r="K819" s="16"/>
      <c r="L819" s="17"/>
    </row>
    <row r="820" spans="10:12" ht="13">
      <c r="J820" s="16"/>
      <c r="K820" s="16"/>
      <c r="L820" s="17"/>
    </row>
    <row r="821" spans="10:12" ht="13">
      <c r="J821" s="16"/>
      <c r="K821" s="16"/>
      <c r="L821" s="17"/>
    </row>
    <row r="822" spans="10:12" ht="13">
      <c r="J822" s="16"/>
      <c r="K822" s="16"/>
      <c r="L822" s="17"/>
    </row>
    <row r="823" spans="10:12" ht="13">
      <c r="J823" s="16"/>
      <c r="K823" s="16"/>
      <c r="L823" s="17"/>
    </row>
    <row r="824" spans="10:12" ht="13">
      <c r="J824" s="16"/>
      <c r="K824" s="16"/>
      <c r="L824" s="17"/>
    </row>
    <row r="825" spans="10:12" ht="13">
      <c r="J825" s="16"/>
      <c r="K825" s="16"/>
      <c r="L825" s="17"/>
    </row>
    <row r="826" spans="10:12" ht="13">
      <c r="J826" s="16"/>
      <c r="K826" s="16"/>
      <c r="L826" s="17"/>
    </row>
    <row r="827" spans="10:12" ht="13">
      <c r="J827" s="16"/>
      <c r="K827" s="16"/>
      <c r="L827" s="17"/>
    </row>
    <row r="828" spans="10:12" ht="13">
      <c r="J828" s="16"/>
      <c r="K828" s="16"/>
      <c r="L828" s="17"/>
    </row>
    <row r="829" spans="10:12" ht="13">
      <c r="J829" s="16"/>
      <c r="K829" s="16"/>
      <c r="L829" s="17"/>
    </row>
    <row r="830" spans="10:12" ht="13">
      <c r="J830" s="16"/>
      <c r="K830" s="16"/>
      <c r="L830" s="17"/>
    </row>
    <row r="831" spans="10:12" ht="13">
      <c r="J831" s="16"/>
      <c r="K831" s="16"/>
      <c r="L831" s="17"/>
    </row>
    <row r="832" spans="10:12" ht="13">
      <c r="J832" s="16"/>
      <c r="K832" s="16"/>
      <c r="L832" s="17"/>
    </row>
    <row r="833" spans="10:12" ht="13">
      <c r="J833" s="16"/>
      <c r="K833" s="16"/>
      <c r="L833" s="17"/>
    </row>
    <row r="834" spans="10:12" ht="13">
      <c r="J834" s="16"/>
      <c r="K834" s="16"/>
      <c r="L834" s="17"/>
    </row>
    <row r="835" spans="10:12" ht="13">
      <c r="J835" s="16"/>
      <c r="K835" s="16"/>
      <c r="L835" s="17"/>
    </row>
    <row r="836" spans="10:12" ht="13">
      <c r="J836" s="16"/>
      <c r="K836" s="16"/>
      <c r="L836" s="17"/>
    </row>
    <row r="837" spans="10:12" ht="13">
      <c r="J837" s="16"/>
      <c r="K837" s="16"/>
      <c r="L837" s="17"/>
    </row>
    <row r="838" spans="10:12" ht="13">
      <c r="J838" s="16"/>
      <c r="K838" s="16"/>
      <c r="L838" s="17"/>
    </row>
    <row r="839" spans="10:12" ht="13">
      <c r="J839" s="16"/>
      <c r="K839" s="16"/>
      <c r="L839" s="17"/>
    </row>
    <row r="840" spans="10:12" ht="13">
      <c r="J840" s="16"/>
      <c r="K840" s="16"/>
      <c r="L840" s="17"/>
    </row>
    <row r="841" spans="10:12" ht="13">
      <c r="J841" s="16"/>
      <c r="K841" s="16"/>
      <c r="L841" s="17"/>
    </row>
    <row r="842" spans="10:12" ht="13">
      <c r="J842" s="16"/>
      <c r="K842" s="16"/>
      <c r="L842" s="17"/>
    </row>
    <row r="843" spans="10:12" ht="13">
      <c r="J843" s="16"/>
      <c r="K843" s="16"/>
      <c r="L843" s="17"/>
    </row>
    <row r="844" spans="10:12" ht="13">
      <c r="J844" s="16"/>
      <c r="K844" s="16"/>
      <c r="L844" s="17"/>
    </row>
    <row r="845" spans="10:12" ht="13">
      <c r="J845" s="16"/>
      <c r="K845" s="16"/>
      <c r="L845" s="17"/>
    </row>
    <row r="846" spans="10:12" ht="13">
      <c r="J846" s="16"/>
      <c r="K846" s="16"/>
      <c r="L846" s="17"/>
    </row>
    <row r="847" spans="10:12" ht="13">
      <c r="J847" s="16"/>
      <c r="K847" s="16"/>
      <c r="L847" s="17"/>
    </row>
    <row r="848" spans="10:12" ht="13">
      <c r="J848" s="16"/>
      <c r="K848" s="16"/>
      <c r="L848" s="17"/>
    </row>
    <row r="849" spans="10:12" ht="13">
      <c r="J849" s="16"/>
      <c r="K849" s="16"/>
      <c r="L849" s="17"/>
    </row>
    <row r="850" spans="10:12" ht="13">
      <c r="J850" s="16"/>
      <c r="K850" s="16"/>
      <c r="L850" s="17"/>
    </row>
    <row r="851" spans="10:12" ht="13">
      <c r="J851" s="16"/>
      <c r="K851" s="16"/>
      <c r="L851" s="17"/>
    </row>
    <row r="852" spans="10:12" ht="13">
      <c r="J852" s="16"/>
      <c r="K852" s="16"/>
      <c r="L852" s="17"/>
    </row>
    <row r="853" spans="10:12" ht="13">
      <c r="J853" s="16"/>
      <c r="K853" s="16"/>
      <c r="L853" s="17"/>
    </row>
    <row r="854" spans="10:12" ht="13">
      <c r="J854" s="16"/>
      <c r="K854" s="16"/>
      <c r="L854" s="17"/>
    </row>
    <row r="855" spans="10:12" ht="13">
      <c r="J855" s="16"/>
      <c r="K855" s="16"/>
      <c r="L855" s="17"/>
    </row>
    <row r="856" spans="10:12" ht="13">
      <c r="J856" s="16"/>
      <c r="K856" s="16"/>
      <c r="L856" s="17"/>
    </row>
    <row r="857" spans="10:12" ht="13">
      <c r="J857" s="16"/>
      <c r="K857" s="16"/>
      <c r="L857" s="17"/>
    </row>
    <row r="858" spans="10:12" ht="13">
      <c r="J858" s="16"/>
      <c r="K858" s="16"/>
      <c r="L858" s="17"/>
    </row>
    <row r="859" spans="10:12" ht="13">
      <c r="J859" s="16"/>
      <c r="K859" s="16"/>
      <c r="L859" s="17"/>
    </row>
    <row r="860" spans="10:12" ht="13">
      <c r="J860" s="16"/>
      <c r="K860" s="16"/>
      <c r="L860" s="17"/>
    </row>
    <row r="861" spans="10:12" ht="13">
      <c r="J861" s="16"/>
      <c r="K861" s="16"/>
      <c r="L861" s="17"/>
    </row>
    <row r="862" spans="10:12" ht="13">
      <c r="J862" s="16"/>
      <c r="K862" s="16"/>
      <c r="L862" s="17"/>
    </row>
    <row r="863" spans="10:12" ht="13">
      <c r="J863" s="16"/>
      <c r="K863" s="16"/>
      <c r="L863" s="17"/>
    </row>
    <row r="864" spans="10:12" ht="13">
      <c r="J864" s="16"/>
      <c r="K864" s="16"/>
      <c r="L864" s="17"/>
    </row>
    <row r="865" spans="10:12" ht="13">
      <c r="J865" s="16"/>
      <c r="K865" s="16"/>
      <c r="L865" s="17"/>
    </row>
    <row r="866" spans="10:12" ht="13">
      <c r="J866" s="16"/>
      <c r="K866" s="16"/>
      <c r="L866" s="17"/>
    </row>
    <row r="867" spans="10:12" ht="13">
      <c r="J867" s="16"/>
      <c r="K867" s="16"/>
      <c r="L867" s="17"/>
    </row>
    <row r="868" spans="10:12" ht="13">
      <c r="J868" s="16"/>
      <c r="K868" s="16"/>
      <c r="L868" s="17"/>
    </row>
    <row r="869" spans="10:12" ht="13">
      <c r="J869" s="16"/>
      <c r="K869" s="16"/>
      <c r="L869" s="17"/>
    </row>
    <row r="870" spans="10:12" ht="13">
      <c r="J870" s="16"/>
      <c r="K870" s="16"/>
      <c r="L870" s="17"/>
    </row>
    <row r="871" spans="10:12" ht="13">
      <c r="J871" s="16"/>
      <c r="K871" s="16"/>
      <c r="L871" s="17"/>
    </row>
    <row r="872" spans="10:12" ht="13">
      <c r="J872" s="16"/>
      <c r="K872" s="16"/>
      <c r="L872" s="17"/>
    </row>
    <row r="873" spans="10:12" ht="13">
      <c r="J873" s="16"/>
      <c r="K873" s="16"/>
      <c r="L873" s="17"/>
    </row>
    <row r="874" spans="10:12" ht="13">
      <c r="J874" s="16"/>
      <c r="K874" s="16"/>
      <c r="L874" s="17"/>
    </row>
    <row r="875" spans="10:12" ht="13">
      <c r="J875" s="16"/>
      <c r="K875" s="16"/>
      <c r="L875" s="17"/>
    </row>
    <row r="876" spans="10:12" ht="13">
      <c r="J876" s="16"/>
      <c r="K876" s="16"/>
      <c r="L876" s="17"/>
    </row>
    <row r="877" spans="10:12" ht="13">
      <c r="J877" s="16"/>
      <c r="K877" s="16"/>
      <c r="L877" s="17"/>
    </row>
    <row r="878" spans="10:12" ht="13">
      <c r="J878" s="16"/>
      <c r="K878" s="16"/>
      <c r="L878" s="17"/>
    </row>
    <row r="879" spans="10:12" ht="13">
      <c r="J879" s="16"/>
      <c r="K879" s="16"/>
      <c r="L879" s="17"/>
    </row>
    <row r="880" spans="10:12" ht="13">
      <c r="J880" s="16"/>
      <c r="K880" s="16"/>
      <c r="L880" s="17"/>
    </row>
    <row r="881" spans="10:12" ht="13">
      <c r="J881" s="16"/>
      <c r="K881" s="16"/>
      <c r="L881" s="17"/>
    </row>
    <row r="882" spans="10:12" ht="13">
      <c r="J882" s="16"/>
      <c r="K882" s="16"/>
      <c r="L882" s="17"/>
    </row>
    <row r="883" spans="10:12" ht="13">
      <c r="J883" s="16"/>
      <c r="K883" s="16"/>
      <c r="L883" s="17"/>
    </row>
    <row r="884" spans="10:12" ht="13">
      <c r="J884" s="16"/>
      <c r="K884" s="16"/>
      <c r="L884" s="17"/>
    </row>
    <row r="885" spans="10:12" ht="13">
      <c r="J885" s="16"/>
      <c r="K885" s="16"/>
      <c r="L885" s="17"/>
    </row>
    <row r="886" spans="10:12" ht="13">
      <c r="J886" s="16"/>
      <c r="K886" s="16"/>
      <c r="L886" s="17"/>
    </row>
    <row r="887" spans="10:12" ht="13">
      <c r="J887" s="16"/>
      <c r="K887" s="16"/>
      <c r="L887" s="17"/>
    </row>
    <row r="888" spans="10:12" ht="13">
      <c r="J888" s="16"/>
      <c r="K888" s="16"/>
      <c r="L888" s="17"/>
    </row>
    <row r="889" spans="10:12" ht="13">
      <c r="J889" s="16"/>
      <c r="K889" s="16"/>
      <c r="L889" s="17"/>
    </row>
    <row r="890" spans="10:12" ht="13">
      <c r="J890" s="16"/>
      <c r="K890" s="16"/>
      <c r="L890" s="17"/>
    </row>
    <row r="891" spans="10:12" ht="13">
      <c r="J891" s="16"/>
      <c r="K891" s="16"/>
      <c r="L891" s="17"/>
    </row>
    <row r="892" spans="10:12" ht="13">
      <c r="J892" s="16"/>
      <c r="K892" s="16"/>
      <c r="L892" s="17"/>
    </row>
    <row r="893" spans="10:12" ht="13">
      <c r="J893" s="16"/>
      <c r="K893" s="16"/>
      <c r="L893" s="17"/>
    </row>
    <row r="894" spans="10:12" ht="13">
      <c r="J894" s="16"/>
      <c r="K894" s="16"/>
      <c r="L894" s="17"/>
    </row>
    <row r="895" spans="10:12" ht="13">
      <c r="J895" s="16"/>
      <c r="K895" s="16"/>
      <c r="L895" s="17"/>
    </row>
    <row r="896" spans="10:12" ht="13">
      <c r="J896" s="16"/>
      <c r="K896" s="16"/>
      <c r="L896" s="17"/>
    </row>
    <row r="897" spans="10:12" ht="13">
      <c r="J897" s="16"/>
      <c r="K897" s="16"/>
      <c r="L897" s="17"/>
    </row>
    <row r="898" spans="10:12" ht="13">
      <c r="J898" s="16"/>
      <c r="K898" s="16"/>
      <c r="L898" s="17"/>
    </row>
    <row r="899" spans="10:12" ht="13">
      <c r="J899" s="16"/>
      <c r="K899" s="16"/>
      <c r="L899" s="17"/>
    </row>
    <row r="900" spans="10:12" ht="13">
      <c r="J900" s="16"/>
      <c r="K900" s="16"/>
      <c r="L900" s="17"/>
    </row>
    <row r="901" spans="10:12" ht="13">
      <c r="J901" s="16"/>
      <c r="K901" s="16"/>
      <c r="L901" s="17"/>
    </row>
    <row r="902" spans="10:12" ht="13">
      <c r="J902" s="16"/>
      <c r="K902" s="16"/>
      <c r="L902" s="17"/>
    </row>
    <row r="903" spans="10:12" ht="13">
      <c r="J903" s="16"/>
      <c r="K903" s="16"/>
      <c r="L903" s="17"/>
    </row>
    <row r="904" spans="10:12" ht="13">
      <c r="J904" s="16"/>
      <c r="K904" s="16"/>
      <c r="L904" s="17"/>
    </row>
    <row r="905" spans="10:12" ht="13">
      <c r="J905" s="16"/>
      <c r="K905" s="16"/>
      <c r="L905" s="17"/>
    </row>
    <row r="906" spans="10:12" ht="13">
      <c r="J906" s="16"/>
      <c r="K906" s="16"/>
      <c r="L906" s="17"/>
    </row>
    <row r="907" spans="10:12" ht="13">
      <c r="J907" s="16"/>
      <c r="K907" s="16"/>
      <c r="L907" s="17"/>
    </row>
    <row r="908" spans="10:12" ht="13">
      <c r="J908" s="16"/>
      <c r="K908" s="16"/>
      <c r="L908" s="17"/>
    </row>
    <row r="909" spans="10:12" ht="13">
      <c r="J909" s="16"/>
      <c r="K909" s="16"/>
      <c r="L909" s="17"/>
    </row>
    <row r="910" spans="10:12" ht="13">
      <c r="J910" s="16"/>
      <c r="K910" s="16"/>
      <c r="L910" s="17"/>
    </row>
    <row r="911" spans="10:12" ht="13">
      <c r="J911" s="16"/>
      <c r="K911" s="16"/>
      <c r="L911" s="17"/>
    </row>
    <row r="912" spans="10:12" ht="13">
      <c r="J912" s="16"/>
      <c r="K912" s="16"/>
      <c r="L912" s="17"/>
    </row>
    <row r="913" spans="10:12" ht="13">
      <c r="J913" s="16"/>
      <c r="K913" s="16"/>
      <c r="L913" s="17"/>
    </row>
    <row r="914" spans="10:12" ht="13">
      <c r="J914" s="16"/>
      <c r="K914" s="16"/>
      <c r="L914" s="17"/>
    </row>
    <row r="915" spans="10:12" ht="13">
      <c r="J915" s="16"/>
      <c r="K915" s="16"/>
      <c r="L915" s="17"/>
    </row>
    <row r="916" spans="10:12" ht="13">
      <c r="J916" s="16"/>
      <c r="K916" s="16"/>
      <c r="L916" s="17"/>
    </row>
    <row r="917" spans="10:12" ht="13">
      <c r="J917" s="16"/>
      <c r="K917" s="16"/>
      <c r="L917" s="17"/>
    </row>
    <row r="918" spans="10:12" ht="13">
      <c r="J918" s="16"/>
      <c r="K918" s="16"/>
      <c r="L918" s="17"/>
    </row>
    <row r="919" spans="10:12" ht="13">
      <c r="J919" s="16"/>
      <c r="K919" s="16"/>
      <c r="L919" s="17"/>
    </row>
    <row r="920" spans="10:12" ht="13">
      <c r="J920" s="16"/>
      <c r="K920" s="16"/>
      <c r="L920" s="17"/>
    </row>
    <row r="921" spans="10:12" ht="13">
      <c r="J921" s="16"/>
      <c r="K921" s="16"/>
      <c r="L921" s="17"/>
    </row>
    <row r="922" spans="10:12" ht="13">
      <c r="J922" s="16"/>
      <c r="K922" s="16"/>
      <c r="L922" s="17"/>
    </row>
    <row r="923" spans="10:12" ht="13">
      <c r="J923" s="16"/>
      <c r="K923" s="16"/>
      <c r="L923" s="17"/>
    </row>
    <row r="924" spans="10:12" ht="13">
      <c r="J924" s="16"/>
      <c r="K924" s="16"/>
      <c r="L924" s="17"/>
    </row>
    <row r="925" spans="10:12" ht="13">
      <c r="J925" s="16"/>
      <c r="K925" s="16"/>
      <c r="L925" s="17"/>
    </row>
    <row r="926" spans="10:12" ht="13">
      <c r="J926" s="16"/>
      <c r="K926" s="16"/>
      <c r="L926" s="17"/>
    </row>
    <row r="927" spans="10:12" ht="13">
      <c r="J927" s="16"/>
      <c r="K927" s="16"/>
      <c r="L927" s="17"/>
    </row>
    <row r="928" spans="10:12" ht="13">
      <c r="J928" s="16"/>
      <c r="K928" s="16"/>
      <c r="L928" s="17"/>
    </row>
    <row r="929" spans="10:12" ht="13">
      <c r="J929" s="16"/>
      <c r="K929" s="16"/>
      <c r="L929" s="17"/>
    </row>
    <row r="930" spans="10:12" ht="13">
      <c r="J930" s="16"/>
      <c r="K930" s="16"/>
      <c r="L930" s="17"/>
    </row>
    <row r="931" spans="10:12" ht="13">
      <c r="J931" s="16"/>
      <c r="K931" s="16"/>
      <c r="L931" s="17"/>
    </row>
    <row r="932" spans="10:12" ht="13">
      <c r="J932" s="16"/>
      <c r="K932" s="16"/>
      <c r="L932" s="17"/>
    </row>
    <row r="933" spans="10:12" ht="13">
      <c r="J933" s="16"/>
      <c r="K933" s="16"/>
      <c r="L933" s="17"/>
    </row>
    <row r="934" spans="10:12" ht="13">
      <c r="J934" s="16"/>
      <c r="K934" s="16"/>
      <c r="L934" s="17"/>
    </row>
    <row r="935" spans="10:12" ht="13">
      <c r="J935" s="16"/>
      <c r="K935" s="16"/>
      <c r="L935" s="17"/>
    </row>
    <row r="936" spans="10:12" ht="13">
      <c r="J936" s="16"/>
      <c r="K936" s="16"/>
      <c r="L936" s="17"/>
    </row>
    <row r="937" spans="10:12" ht="13">
      <c r="J937" s="16"/>
      <c r="K937" s="16"/>
      <c r="L937" s="17"/>
    </row>
    <row r="938" spans="10:12" ht="13">
      <c r="J938" s="16"/>
      <c r="K938" s="16"/>
      <c r="L938" s="17"/>
    </row>
    <row r="939" spans="10:12" ht="13">
      <c r="J939" s="16"/>
      <c r="K939" s="16"/>
      <c r="L939" s="17"/>
    </row>
    <row r="940" spans="10:12" ht="13">
      <c r="J940" s="16"/>
      <c r="K940" s="16"/>
      <c r="L940" s="17"/>
    </row>
    <row r="941" spans="10:12" ht="13">
      <c r="J941" s="16"/>
      <c r="K941" s="16"/>
      <c r="L941" s="17"/>
    </row>
    <row r="942" spans="10:12" ht="13">
      <c r="J942" s="16"/>
      <c r="K942" s="16"/>
      <c r="L942" s="17"/>
    </row>
    <row r="943" spans="10:12" ht="13">
      <c r="J943" s="16"/>
      <c r="K943" s="16"/>
      <c r="L943" s="17"/>
    </row>
    <row r="944" spans="10:12" ht="13">
      <c r="J944" s="16"/>
      <c r="K944" s="16"/>
      <c r="L944" s="17"/>
    </row>
    <row r="945" spans="10:12" ht="13">
      <c r="J945" s="16"/>
      <c r="K945" s="16"/>
      <c r="L945" s="17"/>
    </row>
    <row r="946" spans="10:12" ht="13">
      <c r="J946" s="16"/>
      <c r="K946" s="16"/>
      <c r="L946" s="17"/>
    </row>
    <row r="947" spans="10:12" ht="13">
      <c r="J947" s="16"/>
      <c r="K947" s="16"/>
      <c r="L947" s="17"/>
    </row>
    <row r="948" spans="10:12" ht="13">
      <c r="J948" s="16"/>
      <c r="K948" s="16"/>
      <c r="L948" s="17"/>
    </row>
    <row r="949" spans="10:12" ht="13">
      <c r="J949" s="16"/>
      <c r="K949" s="16"/>
      <c r="L949" s="17"/>
    </row>
    <row r="950" spans="10:12" ht="13">
      <c r="J950" s="16"/>
      <c r="K950" s="16"/>
      <c r="L950" s="17"/>
    </row>
    <row r="951" spans="10:12" ht="13">
      <c r="J951" s="16"/>
      <c r="K951" s="16"/>
      <c r="L951" s="17"/>
    </row>
    <row r="952" spans="10:12" ht="13">
      <c r="J952" s="16"/>
      <c r="K952" s="16"/>
      <c r="L952" s="17"/>
    </row>
    <row r="953" spans="10:12" ht="13">
      <c r="J953" s="16"/>
      <c r="K953" s="16"/>
      <c r="L953" s="17"/>
    </row>
    <row r="954" spans="10:12" ht="13">
      <c r="J954" s="16"/>
      <c r="K954" s="16"/>
      <c r="L954" s="17"/>
    </row>
    <row r="955" spans="10:12" ht="13">
      <c r="J955" s="16"/>
      <c r="K955" s="16"/>
      <c r="L955" s="17"/>
    </row>
    <row r="956" spans="10:12" ht="13">
      <c r="J956" s="16"/>
      <c r="K956" s="16"/>
      <c r="L956" s="17"/>
    </row>
    <row r="957" spans="10:12" ht="13">
      <c r="J957" s="16"/>
      <c r="K957" s="16"/>
      <c r="L957" s="17"/>
    </row>
    <row r="958" spans="10:12" ht="13">
      <c r="J958" s="16"/>
      <c r="K958" s="16"/>
      <c r="L958" s="17"/>
    </row>
    <row r="959" spans="10:12" ht="13">
      <c r="J959" s="16"/>
      <c r="K959" s="16"/>
      <c r="L959" s="17"/>
    </row>
    <row r="960" spans="10:12" ht="13">
      <c r="J960" s="16"/>
      <c r="K960" s="16"/>
      <c r="L960" s="17"/>
    </row>
    <row r="961" spans="10:12" ht="13">
      <c r="J961" s="16"/>
      <c r="K961" s="16"/>
      <c r="L961" s="17"/>
    </row>
    <row r="962" spans="10:12" ht="13">
      <c r="J962" s="16"/>
      <c r="K962" s="16"/>
      <c r="L962" s="17"/>
    </row>
    <row r="963" spans="10:12" ht="13">
      <c r="J963" s="16"/>
      <c r="K963" s="16"/>
      <c r="L963" s="17"/>
    </row>
    <row r="964" spans="10:12" ht="13">
      <c r="J964" s="16"/>
      <c r="K964" s="16"/>
      <c r="L964" s="17"/>
    </row>
    <row r="965" spans="10:12" ht="13">
      <c r="J965" s="16"/>
      <c r="K965" s="16"/>
      <c r="L965" s="17"/>
    </row>
    <row r="966" spans="10:12" ht="13">
      <c r="J966" s="16"/>
      <c r="K966" s="16"/>
      <c r="L966" s="17"/>
    </row>
    <row r="967" spans="10:12" ht="13">
      <c r="J967" s="16"/>
      <c r="K967" s="16"/>
      <c r="L967" s="17"/>
    </row>
    <row r="968" spans="10:12" ht="13">
      <c r="J968" s="16"/>
      <c r="K968" s="16"/>
      <c r="L968" s="17"/>
    </row>
    <row r="969" spans="10:12" ht="13">
      <c r="J969" s="16"/>
      <c r="K969" s="16"/>
      <c r="L969" s="17"/>
    </row>
    <row r="970" spans="10:12" ht="13">
      <c r="J970" s="16"/>
      <c r="K970" s="16"/>
      <c r="L970" s="17"/>
    </row>
    <row r="971" spans="10:12" ht="13">
      <c r="J971" s="16"/>
      <c r="K971" s="16"/>
      <c r="L971" s="17"/>
    </row>
    <row r="972" spans="10:12" ht="13">
      <c r="J972" s="16"/>
      <c r="K972" s="16"/>
      <c r="L972" s="17"/>
    </row>
    <row r="973" spans="10:12" ht="13">
      <c r="J973" s="16"/>
      <c r="K973" s="16"/>
      <c r="L973" s="17"/>
    </row>
    <row r="974" spans="10:12" ht="13">
      <c r="J974" s="16"/>
      <c r="K974" s="16"/>
      <c r="L974" s="17"/>
    </row>
    <row r="975" spans="10:12" ht="13">
      <c r="J975" s="16"/>
      <c r="K975" s="16"/>
      <c r="L975" s="17"/>
    </row>
    <row r="976" spans="10:12" ht="13">
      <c r="J976" s="16"/>
      <c r="K976" s="16"/>
      <c r="L976" s="17"/>
    </row>
    <row r="977" spans="10:12" ht="13">
      <c r="J977" s="16"/>
      <c r="K977" s="16"/>
      <c r="L977" s="17"/>
    </row>
    <row r="978" spans="10:12" ht="13">
      <c r="J978" s="16"/>
      <c r="K978" s="16"/>
      <c r="L978" s="17"/>
    </row>
    <row r="979" spans="10:12" ht="13">
      <c r="J979" s="16"/>
      <c r="K979" s="16"/>
      <c r="L979" s="17"/>
    </row>
    <row r="980" spans="10:12" ht="13">
      <c r="J980" s="16"/>
      <c r="K980" s="16"/>
      <c r="L980" s="17"/>
    </row>
    <row r="981" spans="10:12" ht="13">
      <c r="J981" s="16"/>
      <c r="K981" s="16"/>
      <c r="L981" s="17"/>
    </row>
    <row r="982" spans="10:12" ht="13">
      <c r="J982" s="16"/>
      <c r="K982" s="16"/>
      <c r="L982" s="17"/>
    </row>
    <row r="983" spans="10:12" ht="13">
      <c r="J983" s="16"/>
      <c r="K983" s="16"/>
      <c r="L983" s="17"/>
    </row>
    <row r="984" spans="10:12" ht="13">
      <c r="J984" s="16"/>
      <c r="K984" s="16"/>
      <c r="L984" s="17"/>
    </row>
    <row r="985" spans="10:12" ht="13">
      <c r="J985" s="16"/>
      <c r="K985" s="16"/>
      <c r="L985" s="17"/>
    </row>
    <row r="986" spans="10:12" ht="13">
      <c r="J986" s="16"/>
      <c r="K986" s="16"/>
      <c r="L986" s="17"/>
    </row>
    <row r="987" spans="10:12" ht="13">
      <c r="J987" s="16"/>
      <c r="K987" s="16"/>
      <c r="L987" s="17"/>
    </row>
    <row r="988" spans="10:12" ht="13">
      <c r="J988" s="16"/>
      <c r="K988" s="16"/>
      <c r="L988" s="17"/>
    </row>
    <row r="989" spans="10:12" ht="13">
      <c r="J989" s="16"/>
      <c r="K989" s="16"/>
      <c r="L989" s="17"/>
    </row>
    <row r="990" spans="10:12" ht="13">
      <c r="J990" s="16"/>
      <c r="K990" s="16"/>
      <c r="L990" s="17"/>
    </row>
    <row r="991" spans="10:12" ht="13">
      <c r="J991" s="16"/>
      <c r="K991" s="16"/>
      <c r="L991" s="17"/>
    </row>
    <row r="992" spans="10:12" ht="13">
      <c r="J992" s="16"/>
      <c r="K992" s="16"/>
      <c r="L992" s="17"/>
    </row>
    <row r="993" spans="10:12" ht="13">
      <c r="J993" s="16"/>
      <c r="K993" s="16"/>
      <c r="L993" s="17"/>
    </row>
    <row r="994" spans="10:12" ht="13">
      <c r="J994" s="16"/>
      <c r="K994" s="16"/>
      <c r="L994" s="17"/>
    </row>
    <row r="995" spans="10:12" ht="13">
      <c r="J995" s="16"/>
      <c r="K995" s="16"/>
      <c r="L995" s="17"/>
    </row>
    <row r="996" spans="10:12" ht="13">
      <c r="J996" s="16"/>
      <c r="K996" s="16"/>
      <c r="L996" s="17"/>
    </row>
    <row r="997" spans="10:12" ht="13">
      <c r="J997" s="16"/>
      <c r="K997" s="16"/>
      <c r="L997" s="17"/>
    </row>
    <row r="998" spans="10:12" ht="13">
      <c r="J998" s="16"/>
      <c r="K998" s="16"/>
      <c r="L998" s="17"/>
    </row>
    <row r="999" spans="10:12" ht="13">
      <c r="J999" s="16"/>
      <c r="K999" s="16"/>
      <c r="L999" s="17"/>
    </row>
    <row r="1000" spans="10:12" ht="13">
      <c r="J1000" s="16"/>
      <c r="K1000" s="16"/>
      <c r="L1000" s="17"/>
    </row>
  </sheetData>
  <conditionalFormatting sqref="B1:B1000">
    <cfRule type="expression" dxfId="21" priority="5">
      <formula>B1=MAX($B$2:$B$1000)</formula>
    </cfRule>
  </conditionalFormatting>
  <conditionalFormatting sqref="C1:C1000">
    <cfRule type="expression" dxfId="20" priority="4">
      <formula>C1=MAX($C$2:$C$1000)</formula>
    </cfRule>
  </conditionalFormatting>
  <conditionalFormatting sqref="D1:D1000">
    <cfRule type="expression" dxfId="19" priority="1">
      <formula>D1=MAX($D$2:$D$1000)</formula>
    </cfRule>
  </conditionalFormatting>
  <conditionalFormatting sqref="E1:F1000">
    <cfRule type="expression" dxfId="18" priority="2">
      <formula>E1=MAX($E$2:$E$1000)</formula>
    </cfRule>
  </conditionalFormatting>
  <conditionalFormatting sqref="F1:F1000">
    <cfRule type="expression" dxfId="17" priority="3">
      <formula>F1=MAX($F$2:$F$1000)</formula>
    </cfRule>
  </conditionalFormatting>
  <conditionalFormatting sqref="G1:G1000">
    <cfRule type="expression" dxfId="16" priority="6">
      <formula>G1=MIN($G$2:$G$1000)</formula>
    </cfRule>
  </conditionalFormatting>
  <conditionalFormatting sqref="H1:H1000 I2:I25">
    <cfRule type="expression" dxfId="15" priority="7">
      <formula>H1=MAX($H$2:$H$1000)</formula>
    </cfRule>
  </conditionalFormatting>
  <conditionalFormatting sqref="I1:I1000">
    <cfRule type="expression" dxfId="14" priority="9">
      <formula>I1=MAX($I$2:$I$1000)</formula>
    </cfRule>
    <cfRule type="expression" dxfId="13" priority="10">
      <formula>I1=MIN($I$2:$I$1000)</formula>
    </cfRule>
  </conditionalFormatting>
  <conditionalFormatting sqref="I1:J1000">
    <cfRule type="expression" dxfId="12" priority="8">
      <formula>I1=MAX($J$2:$J$1000)</formula>
    </cfRule>
  </conditionalFormatting>
  <conditionalFormatting sqref="K1:K1000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5" customWidth="1"/>
    <col min="2" max="11" width="7.33203125" customWidth="1"/>
    <col min="12" max="12" width="7" customWidth="1"/>
    <col min="13" max="32" width="7.33203125" customWidth="1"/>
  </cols>
  <sheetData>
    <row r="1" spans="1:32" ht="15.75" customHeight="1">
      <c r="A1" s="12" t="s">
        <v>73</v>
      </c>
      <c r="B1" s="12" t="s">
        <v>62</v>
      </c>
      <c r="C1" s="12" t="s">
        <v>63</v>
      </c>
      <c r="D1" s="18" t="s">
        <v>64</v>
      </c>
      <c r="E1" s="12" t="s">
        <v>65</v>
      </c>
      <c r="F1" s="18" t="s">
        <v>66</v>
      </c>
      <c r="G1" s="12" t="s">
        <v>67</v>
      </c>
      <c r="H1" s="12" t="s">
        <v>68</v>
      </c>
      <c r="I1" s="19" t="s">
        <v>69</v>
      </c>
      <c r="J1" s="12" t="s">
        <v>70</v>
      </c>
      <c r="K1" s="12" t="s">
        <v>71</v>
      </c>
      <c r="L1" s="20" t="s">
        <v>72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5.75" customHeight="1">
      <c r="A2" s="21" t="str">
        <f>('Pivot (dont edit)'!A4)</f>
        <v>aa</v>
      </c>
      <c r="B2" s="16">
        <f>COUNT('Pivot (dont edit)'!4:4)</f>
        <v>917</v>
      </c>
      <c r="C2" s="16">
        <f>COUNTIF('Raw Games'!P:P,$A2)</f>
        <v>0</v>
      </c>
      <c r="D2" s="22">
        <f>IF($B2&gt;'Constants (dont edit)'!$B$3,C2/$B2,"")</f>
        <v>0</v>
      </c>
      <c r="E2" s="16">
        <f>COUNTIF('Raw Games'!Q:Q,$A2)</f>
        <v>0</v>
      </c>
      <c r="F2" s="22">
        <f>IF($B2&gt;'Constants (dont edit)'!$B$3,E2/$B2,"")</f>
        <v>0</v>
      </c>
      <c r="G2" s="16" t="e">
        <f>MIN('Pivot (dont edit)'!4:4)</f>
        <v>#N/A</v>
      </c>
      <c r="H2" s="16" t="e">
        <f>MAX('Pivot (dont edit)'!4:4)</f>
        <v>#N/A</v>
      </c>
      <c r="I2" s="23" t="e">
        <f>IF(AND(B2&gt;='Constants (dont edit)'!$B$4,SUM('Pivot (dont edit)'!4:4)&gt;0), AVERAGE('Pivot (dont edit)'!4:4), "")</f>
        <v>#N/A</v>
      </c>
      <c r="J2" s="16" t="e">
        <f>SUM('Pivot (dont edit)'!4:4)</f>
        <v>#N/A</v>
      </c>
      <c r="K2" s="16">
        <f t="shared" ref="K2:K29" si="0">RANK(L2,L:L)</f>
        <v>1</v>
      </c>
      <c r="L2" s="24">
        <f>IF($B2&gt;'Constants (dont edit)'!$B$3,(SUMIF('Raw Games'!P:P,$A2,'Raw Games'!R:R)-SUMIF('Raw Games'!Q:Q,$A2,'Raw Games'!R:R)/B2)/B2,0)</f>
        <v>0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 customHeight="1">
      <c r="A3" s="21" t="str">
        <f>('Pivot (dont edit)'!A5)</f>
        <v>Aurora</v>
      </c>
      <c r="B3" s="16">
        <f>COUNT('Pivot (dont edit)'!5:5)</f>
        <v>917</v>
      </c>
      <c r="C3" s="16">
        <f>COUNTIF('Raw Games'!P:P,$A3)</f>
        <v>0</v>
      </c>
      <c r="D3" s="22">
        <f>IF($B3&gt;'Constants (dont edit)'!$B$3,C3/$B3,"")</f>
        <v>0</v>
      </c>
      <c r="E3" s="16">
        <f>COUNTIF('Raw Games'!Q:Q,$A3)</f>
        <v>0</v>
      </c>
      <c r="F3" s="22">
        <f>IF($B3&gt;'Constants (dont edit)'!$B$3,E3/$B3,"")</f>
        <v>0</v>
      </c>
      <c r="G3" s="16" t="e">
        <f>MIN('Pivot (dont edit)'!5:5)</f>
        <v>#N/A</v>
      </c>
      <c r="H3" s="16" t="e">
        <f>MAX('Pivot (dont edit)'!5:5)</f>
        <v>#N/A</v>
      </c>
      <c r="I3" s="23" t="e">
        <f>IF(AND(B3&gt;='Constants (dont edit)'!$B$4,SUM('Pivot (dont edit)'!5:5)&gt;0), AVERAGE('Pivot (dont edit)'!5:5), "")</f>
        <v>#N/A</v>
      </c>
      <c r="J3" s="16" t="e">
        <f>SUM('Pivot (dont edit)'!5:5)</f>
        <v>#N/A</v>
      </c>
      <c r="K3" s="16">
        <f t="shared" si="0"/>
        <v>1</v>
      </c>
      <c r="L3" s="24">
        <f>IF($B3&gt;'Constants (dont edit)'!$B$3,(SUMIF('Raw Games'!P:P,$A3,'Raw Games'!R:R)-SUMIF('Raw Games'!Q:Q,$A3,'Raw Games'!R:R)/B3)/B3,0)</f>
        <v>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75" customHeight="1">
      <c r="A4" s="21" t="str">
        <f>('Pivot (dont edit)'!A6)</f>
        <v>Lucas</v>
      </c>
      <c r="B4" s="16">
        <f>COUNT('Pivot (dont edit)'!6:6)</f>
        <v>916</v>
      </c>
      <c r="C4" s="16">
        <f>COUNTIF('Raw Games'!P:P,$A4)</f>
        <v>0</v>
      </c>
      <c r="D4" s="22">
        <f>IF($B4&gt;'Constants (dont edit)'!$B$3,C4/$B4,"")</f>
        <v>0</v>
      </c>
      <c r="E4" s="16">
        <f>COUNTIF('Raw Games'!Q:Q,$A4)</f>
        <v>0</v>
      </c>
      <c r="F4" s="22">
        <f>IF($B4&gt;'Constants (dont edit)'!$B$3,E4/$B4,"")</f>
        <v>0</v>
      </c>
      <c r="G4" s="16" t="e">
        <f>MIN('Pivot (dont edit)'!6:6)</f>
        <v>#N/A</v>
      </c>
      <c r="H4" s="16" t="e">
        <f>MAX('Pivot (dont edit)'!6:6)</f>
        <v>#N/A</v>
      </c>
      <c r="I4" s="23" t="e">
        <f>IF(AND(B4&gt;='Constants (dont edit)'!$B$4,SUM('Pivot (dont edit)'!6:6)&gt;0), AVERAGE('Pivot (dont edit)'!6:6), "")</f>
        <v>#N/A</v>
      </c>
      <c r="J4" s="16" t="e">
        <f>SUM('Pivot (dont edit)'!6:6)</f>
        <v>#N/A</v>
      </c>
      <c r="K4" s="16">
        <f t="shared" si="0"/>
        <v>1</v>
      </c>
      <c r="L4" s="24">
        <f>IF($B4&gt;'Constants (dont edit)'!$B$3,(SUMIF('Raw Games'!P:P,$A4,'Raw Games'!R:R)-SUMIF('Raw Games'!Q:Q,$A4,'Raw Games'!R:R)/B4)/B4,0)</f>
        <v>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15.75" customHeight="1">
      <c r="A5" s="21" t="str">
        <f>('Pivot (dont edit)'!A7)</f>
        <v>Lily</v>
      </c>
      <c r="B5" s="16">
        <f>COUNT('Pivot (dont edit)'!7:7)</f>
        <v>917</v>
      </c>
      <c r="C5" s="16">
        <f>COUNTIF('Raw Games'!P:P,$A5)</f>
        <v>0</v>
      </c>
      <c r="D5" s="22">
        <f>IF($B5&gt;'Constants (dont edit)'!$B$3,C5/$B5,"")</f>
        <v>0</v>
      </c>
      <c r="E5" s="16">
        <f>COUNTIF('Raw Games'!Q:Q,$A5)</f>
        <v>0</v>
      </c>
      <c r="F5" s="22">
        <f>IF($B5&gt;'Constants (dont edit)'!$B$3,E5/$B5,"")</f>
        <v>0</v>
      </c>
      <c r="G5" s="16" t="e">
        <f>MIN('Pivot (dont edit)'!7:7)</f>
        <v>#N/A</v>
      </c>
      <c r="H5" s="16" t="e">
        <f>MAX('Pivot (dont edit)'!7:7)</f>
        <v>#N/A</v>
      </c>
      <c r="I5" s="23" t="e">
        <f>IF(AND(B5&gt;='Constants (dont edit)'!$B$4,SUM('Pivot (dont edit)'!7:7)&gt;0), AVERAGE('Pivot (dont edit)'!7:7), "")</f>
        <v>#N/A</v>
      </c>
      <c r="J5" s="16" t="e">
        <f>SUM('Pivot (dont edit)'!7:7)</f>
        <v>#N/A</v>
      </c>
      <c r="K5" s="16">
        <f t="shared" si="0"/>
        <v>1</v>
      </c>
      <c r="L5" s="24">
        <f>IF($B5&gt;'Constants (dont edit)'!$B$3,(SUMIF('Raw Games'!P:P,$A5,'Raw Games'!R:R)-SUMIF('Raw Games'!Q:Q,$A5,'Raw Games'!R:R)/B5)/B5,0)</f>
        <v>0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75" customHeight="1">
      <c r="A6" s="21" t="str">
        <f>('Pivot (dont edit)'!A8)</f>
        <v>Owen</v>
      </c>
      <c r="B6" s="16">
        <f>COUNT('Pivot (dont edit)'!8:8)</f>
        <v>917</v>
      </c>
      <c r="C6" s="16">
        <f>COUNTIF('Raw Games'!P:P,$A6)</f>
        <v>0</v>
      </c>
      <c r="D6" s="22">
        <f>IF($B6&gt;'Constants (dont edit)'!$B$3,C6/$B6,"")</f>
        <v>0</v>
      </c>
      <c r="E6" s="16">
        <f>COUNTIF('Raw Games'!Q:Q,$A6)</f>
        <v>0</v>
      </c>
      <c r="F6" s="22">
        <f>IF($B6&gt;'Constants (dont edit)'!$B$3,E6/$B6,"")</f>
        <v>0</v>
      </c>
      <c r="G6" s="16" t="e">
        <f>MIN('Pivot (dont edit)'!8:8)</f>
        <v>#N/A</v>
      </c>
      <c r="H6" s="16" t="e">
        <f>MAX('Pivot (dont edit)'!8:8)</f>
        <v>#N/A</v>
      </c>
      <c r="I6" s="23" t="e">
        <f>IF(AND(B6&gt;='Constants (dont edit)'!$B$4,SUM('Pivot (dont edit)'!8:8)&gt;0), AVERAGE('Pivot (dont edit)'!8:8), "")</f>
        <v>#N/A</v>
      </c>
      <c r="J6" s="16" t="e">
        <f>SUM('Pivot (dont edit)'!8:8)</f>
        <v>#N/A</v>
      </c>
      <c r="K6" s="16">
        <f t="shared" si="0"/>
        <v>1</v>
      </c>
      <c r="L6" s="24">
        <f>IF($B6&gt;'Constants (dont edit)'!$B$3,(SUMIF('Raw Games'!P:P,$A6,'Raw Games'!R:R)-SUMIF('Raw Games'!Q:Q,$A6,'Raw Games'!R:R)/B6)/B6,0)</f>
        <v>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.75" customHeight="1">
      <c r="A7" s="21" t="str">
        <f>('Pivot (dont edit)'!A9)</f>
        <v>Cooper</v>
      </c>
      <c r="B7" s="16">
        <f>COUNT('Pivot (dont edit)'!9:9)</f>
        <v>917</v>
      </c>
      <c r="C7" s="16">
        <f>COUNTIF('Raw Games'!P:P,$A7)</f>
        <v>0</v>
      </c>
      <c r="D7" s="22">
        <f>IF($B7&gt;'Constants (dont edit)'!$B$3,C7/$B7,"")</f>
        <v>0</v>
      </c>
      <c r="E7" s="16">
        <f>COUNTIF('Raw Games'!Q:Q,$A7)</f>
        <v>0</v>
      </c>
      <c r="F7" s="22">
        <f>IF($B7&gt;'Constants (dont edit)'!$B$3,E7/$B7,"")</f>
        <v>0</v>
      </c>
      <c r="G7" s="16" t="e">
        <f>MIN('Pivot (dont edit)'!9:9)</f>
        <v>#N/A</v>
      </c>
      <c r="H7" s="16" t="e">
        <f>MAX('Pivot (dont edit)'!9:9)</f>
        <v>#N/A</v>
      </c>
      <c r="I7" s="23" t="e">
        <f>IF(AND(B7&gt;='Constants (dont edit)'!$B$4,SUM('Pivot (dont edit)'!9:9)&gt;0), AVERAGE('Pivot (dont edit)'!9:9), "")</f>
        <v>#N/A</v>
      </c>
      <c r="J7" s="16" t="e">
        <f>SUM('Pivot (dont edit)'!9:9)</f>
        <v>#N/A</v>
      </c>
      <c r="K7" s="16">
        <f t="shared" si="0"/>
        <v>1</v>
      </c>
      <c r="L7" s="24">
        <f>IF($B7&gt;'Constants (dont edit)'!$B$3,(SUMIF('Raw Games'!P:P,$A7,'Raw Games'!R:R)-SUMIF('Raw Games'!Q:Q,$A7,'Raw Games'!R:R)/B7)/B7,0)</f>
        <v>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15.75" customHeight="1">
      <c r="A8" s="21" t="str">
        <f>('Pivot (dont edit)'!A10)</f>
        <v>Lucy</v>
      </c>
      <c r="B8" s="16">
        <f>COUNT('Pivot (dont edit)'!10:10)</f>
        <v>917</v>
      </c>
      <c r="C8" s="16">
        <f>COUNTIF('Raw Games'!P:P,$A8)</f>
        <v>0</v>
      </c>
      <c r="D8" s="22">
        <f>IF($B8&gt;'Constants (dont edit)'!$B$3,C8/$B8,"")</f>
        <v>0</v>
      </c>
      <c r="E8" s="16">
        <f>COUNTIF('Raw Games'!Q:Q,$A8)</f>
        <v>0</v>
      </c>
      <c r="F8" s="22">
        <f>IF($B8&gt;'Constants (dont edit)'!$B$3,E8/$B8,"")</f>
        <v>0</v>
      </c>
      <c r="G8" s="16" t="e">
        <f>MIN('Pivot (dont edit)'!10:10)</f>
        <v>#N/A</v>
      </c>
      <c r="H8" s="16" t="e">
        <f>MAX('Pivot (dont edit)'!10:10)</f>
        <v>#N/A</v>
      </c>
      <c r="I8" s="23" t="e">
        <f>IF(AND(B8&gt;='Constants (dont edit)'!$B$4,SUM('Pivot (dont edit)'!10:10)&gt;0), AVERAGE('Pivot (dont edit)'!10:10), "")</f>
        <v>#N/A</v>
      </c>
      <c r="J8" s="16" t="e">
        <f>SUM('Pivot (dont edit)'!10:10)</f>
        <v>#N/A</v>
      </c>
      <c r="K8" s="16">
        <f t="shared" si="0"/>
        <v>1</v>
      </c>
      <c r="L8" s="24">
        <f>IF($B8&gt;'Constants (dont edit)'!$B$3,(SUMIF('Raw Games'!P:P,$A8,'Raw Games'!R:R)-SUMIF('Raw Games'!Q:Q,$A8,'Raw Games'!R:R)/B8)/B8,0)</f>
        <v>0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5.75" customHeight="1">
      <c r="A9" s="21" t="str">
        <f>('Pivot (dont edit)'!A11)</f>
        <v>Luna</v>
      </c>
      <c r="B9" s="16">
        <f>COUNT('Pivot (dont edit)'!11:11)</f>
        <v>917</v>
      </c>
      <c r="C9" s="16">
        <f>COUNTIF('Raw Games'!P:P,$A9)</f>
        <v>0</v>
      </c>
      <c r="D9" s="22">
        <f>IF($B9&gt;'Constants (dont edit)'!$B$3,C9/$B9,"")</f>
        <v>0</v>
      </c>
      <c r="E9" s="16">
        <f>COUNTIF('Raw Games'!Q:Q,$A9)</f>
        <v>0</v>
      </c>
      <c r="F9" s="22">
        <f>IF($B9&gt;'Constants (dont edit)'!$B$3,E9/$B9,"")</f>
        <v>0</v>
      </c>
      <c r="G9" s="16" t="e">
        <f>MIN('Pivot (dont edit)'!11:11)</f>
        <v>#N/A</v>
      </c>
      <c r="H9" s="16" t="e">
        <f>MAX('Pivot (dont edit)'!11:11)</f>
        <v>#N/A</v>
      </c>
      <c r="I9" s="23" t="e">
        <f>IF(AND(B9&gt;='Constants (dont edit)'!$B$4,SUM('Pivot (dont edit)'!11:11)&gt;0), AVERAGE('Pivot (dont edit)'!11:11), "")</f>
        <v>#N/A</v>
      </c>
      <c r="J9" s="16" t="e">
        <f>SUM('Pivot (dont edit)'!11:11)</f>
        <v>#N/A</v>
      </c>
      <c r="K9" s="16">
        <f t="shared" si="0"/>
        <v>1</v>
      </c>
      <c r="L9" s="24">
        <f>IF($B9&gt;'Constants (dont edit)'!$B$3,(SUMIF('Raw Games'!P:P,$A9,'Raw Games'!R:R)-SUMIF('Raw Games'!Q:Q,$A9,'Raw Games'!R:R)/B9)/B9,0)</f>
        <v>0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ht="15.75" customHeight="1">
      <c r="A10" s="21" t="str">
        <f>('Pivot (dont edit)'!A12)</f>
        <v>Layla</v>
      </c>
      <c r="B10" s="16">
        <f>COUNT('Pivot (dont edit)'!12:12)</f>
        <v>917</v>
      </c>
      <c r="C10" s="16">
        <f>COUNTIF('Raw Games'!P:P,$A10)</f>
        <v>0</v>
      </c>
      <c r="D10" s="22">
        <f>IF($B10&gt;'Constants (dont edit)'!$B$3,C10/$B10,"")</f>
        <v>0</v>
      </c>
      <c r="E10" s="16">
        <f>COUNTIF('Raw Games'!Q:Q,$A10)</f>
        <v>0</v>
      </c>
      <c r="F10" s="22">
        <f>IF($B10&gt;'Constants (dont edit)'!$B$3,E10/$B10,"")</f>
        <v>0</v>
      </c>
      <c r="G10" s="16" t="e">
        <f>MIN('Pivot (dont edit)'!12:12)</f>
        <v>#N/A</v>
      </c>
      <c r="H10" s="16" t="e">
        <f>MAX('Pivot (dont edit)'!12:12)</f>
        <v>#N/A</v>
      </c>
      <c r="I10" s="23" t="e">
        <f>IF(AND(B10&gt;='Constants (dont edit)'!$B$4,SUM('Pivot (dont edit)'!12:12)&gt;0), AVERAGE('Pivot (dont edit)'!12:12), "")</f>
        <v>#N/A</v>
      </c>
      <c r="J10" s="16" t="e">
        <f>SUM('Pivot (dont edit)'!12:12)</f>
        <v>#N/A</v>
      </c>
      <c r="K10" s="16">
        <f t="shared" si="0"/>
        <v>1</v>
      </c>
      <c r="L10" s="24">
        <f>IF($B10&gt;'Constants (dont edit)'!$B$3,(SUMIF('Raw Games'!P:P,$A10,'Raw Games'!R:R)-SUMIF('Raw Games'!Q:Q,$A10,'Raw Games'!R:R)/B10)/B10,0)</f>
        <v>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5.75" customHeight="1">
      <c r="A11" s="21">
        <f>('Pivot (dont edit)'!A13)</f>
        <v>0</v>
      </c>
      <c r="B11" s="16">
        <f>COUNT('Pivot (dont edit)'!13:13)</f>
        <v>918</v>
      </c>
      <c r="C11" s="16">
        <f>COUNTIF('Raw Games'!P:P,$A11)</f>
        <v>0</v>
      </c>
      <c r="D11" s="22">
        <f>IF($B11&gt;'Constants (dont edit)'!$B$3,C11/$B11,"")</f>
        <v>0</v>
      </c>
      <c r="E11" s="16">
        <f>COUNTIF('Raw Games'!Q:Q,$A11)</f>
        <v>0</v>
      </c>
      <c r="F11" s="22">
        <f>IF($B11&gt;'Constants (dont edit)'!$B$3,E11/$B11,"")</f>
        <v>0</v>
      </c>
      <c r="G11" s="16" t="e">
        <f>MIN('Pivot (dont edit)'!13:13)</f>
        <v>#N/A</v>
      </c>
      <c r="H11" s="16" t="e">
        <f>MAX('Pivot (dont edit)'!13:13)</f>
        <v>#N/A</v>
      </c>
      <c r="I11" s="23" t="e">
        <f>IF(AND(B11&gt;='Constants (dont edit)'!$B$4,SUM('Pivot (dont edit)'!13:13)&gt;0), AVERAGE('Pivot (dont edit)'!13:13), "")</f>
        <v>#N/A</v>
      </c>
      <c r="J11" s="16" t="e">
        <f>SUM('Pivot (dont edit)'!13:13)</f>
        <v>#N/A</v>
      </c>
      <c r="K11" s="16">
        <f t="shared" si="0"/>
        <v>1</v>
      </c>
      <c r="L11" s="24">
        <f>IF($B11&gt;'Constants (dont edit)'!$B$3,(SUMIF('Raw Games'!P:P,$A11,'Raw Games'!R:R)-SUMIF('Raw Games'!Q:Q,$A11,'Raw Games'!R:R)/B11)/B11,0)</f>
        <v>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15.75" customHeight="1">
      <c r="A12" s="21" t="str">
        <f>('Pivot (dont edit)'!A14)</f>
        <v>Min</v>
      </c>
      <c r="B12" s="16">
        <f>COUNT('Pivot (dont edit)'!14:14)</f>
        <v>917</v>
      </c>
      <c r="C12" s="16">
        <f>COUNTIF('Raw Games'!P:P,$A12)</f>
        <v>0</v>
      </c>
      <c r="D12" s="22">
        <f>IF($B12&gt;'Constants (dont edit)'!$B$3,C12/$B12,"")</f>
        <v>0</v>
      </c>
      <c r="E12" s="16">
        <f>COUNTIF('Raw Games'!Q:Q,$A12)</f>
        <v>0</v>
      </c>
      <c r="F12" s="22">
        <f>IF($B12&gt;'Constants (dont edit)'!$B$3,E12/$B12,"")</f>
        <v>0</v>
      </c>
      <c r="G12" s="16" t="e">
        <f>MIN('Pivot (dont edit)'!14:14)</f>
        <v>#N/A</v>
      </c>
      <c r="H12" s="16" t="e">
        <f>MAX('Pivot (dont edit)'!14:14)</f>
        <v>#N/A</v>
      </c>
      <c r="I12" s="23" t="e">
        <f>IF(AND(B12&gt;='Constants (dont edit)'!$B$4,SUM('Pivot (dont edit)'!14:14)&gt;0), AVERAGE('Pivot (dont edit)'!14:14), "")</f>
        <v>#N/A</v>
      </c>
      <c r="J12" s="16" t="e">
        <f>SUM('Pivot (dont edit)'!14:14)</f>
        <v>#N/A</v>
      </c>
      <c r="K12" s="16">
        <f t="shared" si="0"/>
        <v>1</v>
      </c>
      <c r="L12" s="24">
        <f>IF($B12&gt;'Constants (dont edit)'!$B$3,(SUMIF('Raw Games'!P:P,$A12,'Raw Games'!R:R)-SUMIF('Raw Games'!Q:Q,$A12,'Raw Games'!R:R)/B12)/B12,0)</f>
        <v>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15.75" customHeight="1">
      <c r="A13" s="21" t="str">
        <f>('Pivot (dont edit)'!A15)</f>
        <v>Max</v>
      </c>
      <c r="B13" s="16">
        <f>COUNT('Pivot (dont edit)'!15:15)</f>
        <v>917</v>
      </c>
      <c r="C13" s="16">
        <f>COUNTIF('Raw Games'!P:P,$A13)</f>
        <v>0</v>
      </c>
      <c r="D13" s="22">
        <f>IF($B13&gt;'Constants (dont edit)'!$B$3,C13/$B13,"")</f>
        <v>0</v>
      </c>
      <c r="E13" s="16">
        <f>COUNTIF('Raw Games'!Q:Q,$A13)</f>
        <v>0</v>
      </c>
      <c r="F13" s="22">
        <f>IF($B13&gt;'Constants (dont edit)'!$B$3,E13/$B13,"")</f>
        <v>0</v>
      </c>
      <c r="G13" s="16" t="e">
        <f>MIN('Pivot (dont edit)'!15:15)</f>
        <v>#N/A</v>
      </c>
      <c r="H13" s="16" t="e">
        <f>MAX('Pivot (dont edit)'!15:15)</f>
        <v>#N/A</v>
      </c>
      <c r="I13" s="23" t="e">
        <f>IF(AND(B13&gt;='Constants (dont edit)'!$B$4,SUM('Pivot (dont edit)'!15:15)&gt;0), AVERAGE('Pivot (dont edit)'!15:15), "")</f>
        <v>#N/A</v>
      </c>
      <c r="J13" s="16" t="e">
        <f>SUM('Pivot (dont edit)'!15:15)</f>
        <v>#N/A</v>
      </c>
      <c r="K13" s="16">
        <f t="shared" si="0"/>
        <v>1</v>
      </c>
      <c r="L13" s="24">
        <f>IF($B13&gt;'Constants (dont edit)'!$B$3,(SUMIF('Raw Games'!P:P,$A13,'Raw Games'!R:R)-SUMIF('Raw Games'!Q:Q,$A13,'Raw Games'!R:R)/B13)/B13,0)</f>
        <v>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15.75" customHeight="1">
      <c r="A14" s="21" t="str">
        <f>('Pivot (dont edit)'!A16)</f>
        <v>Winner</v>
      </c>
      <c r="B14" s="16">
        <f>COUNT('Pivot (dont edit)'!16:16)</f>
        <v>483</v>
      </c>
      <c r="C14" s="16">
        <f>COUNTIF('Raw Games'!P:P,$A14)</f>
        <v>1</v>
      </c>
      <c r="D14" s="22">
        <f>IF($B14&gt;'Constants (dont edit)'!$B$3,C14/$B14,"")</f>
        <v>2.070393374741201E-3</v>
      </c>
      <c r="E14" s="16">
        <f>COUNTIF('Raw Games'!Q:Q,$A14)</f>
        <v>0</v>
      </c>
      <c r="F14" s="22">
        <f>IF($B14&gt;'Constants (dont edit)'!$B$3,E14/$B14,"")</f>
        <v>0</v>
      </c>
      <c r="G14" s="16" t="e">
        <f>MIN('Pivot (dont edit)'!16:16)</f>
        <v>#N/A</v>
      </c>
      <c r="H14" s="16" t="e">
        <f>MAX('Pivot (dont edit)'!16:16)</f>
        <v>#N/A</v>
      </c>
      <c r="I14" s="23" t="e">
        <f>IF(AND(B14&gt;='Constants (dont edit)'!$B$4,SUM('Pivot (dont edit)'!16:16)&gt;0), AVERAGE('Pivot (dont edit)'!16:16), "")</f>
        <v>#N/A</v>
      </c>
      <c r="J14" s="16" t="e">
        <f>SUM('Pivot (dont edit)'!16:16)</f>
        <v>#N/A</v>
      </c>
      <c r="K14" s="16">
        <f t="shared" si="0"/>
        <v>1</v>
      </c>
      <c r="L14" s="24">
        <f>IF($B14&gt;'Constants (dont edit)'!$B$3,(SUMIF('Raw Games'!P:P,$A14,'Raw Games'!R:R)-SUMIF('Raw Games'!Q:Q,$A14,'Raw Games'!R:R)/B14)/B14,0)</f>
        <v>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5.75" customHeight="1">
      <c r="A15" s="21" t="str">
        <f>('Pivot (dont edit)'!A17)</f>
        <v>Loser</v>
      </c>
      <c r="B15" s="16">
        <f>COUNT('Pivot (dont edit)'!17:17)</f>
        <v>483</v>
      </c>
      <c r="C15" s="16">
        <f>COUNTIF('Raw Games'!P:P,$A15)</f>
        <v>0</v>
      </c>
      <c r="D15" s="22">
        <f>IF($B15&gt;'Constants (dont edit)'!$B$3,C15/$B15,"")</f>
        <v>0</v>
      </c>
      <c r="E15" s="16">
        <f>COUNTIF('Raw Games'!Q:Q,$A15)</f>
        <v>1</v>
      </c>
      <c r="F15" s="22">
        <f>IF($B15&gt;'Constants (dont edit)'!$B$3,E15/$B15,"")</f>
        <v>2.070393374741201E-3</v>
      </c>
      <c r="G15" s="16" t="e">
        <f>MIN('Pivot (dont edit)'!17:17)</f>
        <v>#N/A</v>
      </c>
      <c r="H15" s="16" t="e">
        <f>MAX('Pivot (dont edit)'!17:17)</f>
        <v>#N/A</v>
      </c>
      <c r="I15" s="23" t="e">
        <f>IF(AND(B15&gt;='Constants (dont edit)'!$B$4,SUM('Pivot (dont edit)'!17:17)&gt;0), AVERAGE('Pivot (dont edit)'!17:17), "")</f>
        <v>#N/A</v>
      </c>
      <c r="J15" s="16" t="e">
        <f>SUM('Pivot (dont edit)'!17:17)</f>
        <v>#N/A</v>
      </c>
      <c r="K15" s="16">
        <f t="shared" si="0"/>
        <v>1</v>
      </c>
      <c r="L15" s="24">
        <f>IF($B15&gt;'Constants (dont edit)'!$B$3,(SUMIF('Raw Games'!P:P,$A15,'Raw Games'!R:R)-SUMIF('Raw Games'!Q:Q,$A15,'Raw Games'!R:R)/B15)/B15,0)</f>
        <v>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15.75" customHeight="1">
      <c r="A16" s="21" t="str">
        <f>('Pivot (dont edit)'!A18)</f>
        <v>Players</v>
      </c>
      <c r="B16" s="16">
        <f>COUNT('Pivot (dont edit)'!18:18)</f>
        <v>917</v>
      </c>
      <c r="C16" s="16">
        <f>COUNTIF('Raw Games'!P:P,$A16)</f>
        <v>0</v>
      </c>
      <c r="D16" s="22">
        <f>IF($B16&gt;'Constants (dont edit)'!$B$3,C16/$B16,"")</f>
        <v>0</v>
      </c>
      <c r="E16" s="16">
        <f>COUNTIF('Raw Games'!Q:Q,$A16)</f>
        <v>0</v>
      </c>
      <c r="F16" s="22">
        <f>IF($B16&gt;'Constants (dont edit)'!$B$3,E16/$B16,"")</f>
        <v>0</v>
      </c>
      <c r="G16" s="16" t="e">
        <f>MIN('Pivot (dont edit)'!18:18)</f>
        <v>#N/A</v>
      </c>
      <c r="H16" s="16" t="e">
        <f>MAX('Pivot (dont edit)'!18:18)</f>
        <v>#N/A</v>
      </c>
      <c r="I16" s="23" t="e">
        <f>IF(AND(B16&gt;='Constants (dont edit)'!$B$4,SUM('Pivot (dont edit)'!18:18)&gt;0), AVERAGE('Pivot (dont edit)'!18:18), "")</f>
        <v>#N/A</v>
      </c>
      <c r="J16" s="16" t="e">
        <f>SUM('Pivot (dont edit)'!18:18)</f>
        <v>#N/A</v>
      </c>
      <c r="K16" s="16">
        <f t="shared" si="0"/>
        <v>1</v>
      </c>
      <c r="L16" s="24">
        <f>IF($B16&gt;'Constants (dont edit)'!$B$3,(SUMIF('Raw Games'!P:P,$A16,'Raw Games'!R:R)-SUMIF('Raw Games'!Q:Q,$A16,'Raw Games'!R:R)/B16)/B16,0)</f>
        <v>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5.75" customHeight="1">
      <c r="A17" s="21">
        <f>('Pivot (dont edit)'!A19)</f>
        <v>0</v>
      </c>
      <c r="B17" s="16">
        <f>COUNT('Pivot (dont edit)'!19:19)</f>
        <v>918</v>
      </c>
      <c r="C17" s="16">
        <f>COUNTIF('Raw Games'!P:P,$A17)</f>
        <v>0</v>
      </c>
      <c r="D17" s="22">
        <f>IF($B17&gt;'Constants (dont edit)'!$B$3,C17/$B17,"")</f>
        <v>0</v>
      </c>
      <c r="E17" s="16">
        <f>COUNTIF('Raw Games'!Q:Q,$A17)</f>
        <v>0</v>
      </c>
      <c r="F17" s="22">
        <f>IF($B17&gt;'Constants (dont edit)'!$B$3,E17/$B17,"")</f>
        <v>0</v>
      </c>
      <c r="G17" s="16" t="e">
        <f>MIN('Pivot (dont edit)'!19:19)</f>
        <v>#N/A</v>
      </c>
      <c r="H17" s="16" t="e">
        <f>MAX('Pivot (dont edit)'!19:19)</f>
        <v>#N/A</v>
      </c>
      <c r="I17" s="23" t="e">
        <f>IF(AND(B17&gt;='Constants (dont edit)'!$B$4,SUM('Pivot (dont edit)'!19:19)&gt;0), AVERAGE('Pivot (dont edit)'!19:19), "")</f>
        <v>#N/A</v>
      </c>
      <c r="J17" s="16" t="e">
        <f>SUM('Pivot (dont edit)'!19:19)</f>
        <v>#N/A</v>
      </c>
      <c r="K17" s="16">
        <f t="shared" si="0"/>
        <v>1</v>
      </c>
      <c r="L17" s="24">
        <f>IF($B17&gt;'Constants (dont edit)'!$B$3,(SUMIF('Raw Games'!P:P,$A17,'Raw Games'!R:R)-SUMIF('Raw Games'!Q:Q,$A17,'Raw Games'!R:R)/B17)/B17,0)</f>
        <v>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15.75" customHeight="1">
      <c r="A18" s="21">
        <f>('Pivot (dont edit)'!A20)</f>
        <v>0</v>
      </c>
      <c r="B18" s="16">
        <f>COUNT('Pivot (dont edit)'!20:20)</f>
        <v>918</v>
      </c>
      <c r="C18" s="16">
        <f>COUNTIF('Raw Games'!P:P,$A18)</f>
        <v>0</v>
      </c>
      <c r="D18" s="22">
        <f>IF($B18&gt;'Constants (dont edit)'!$B$3,C18/$B18,"")</f>
        <v>0</v>
      </c>
      <c r="E18" s="16">
        <f>COUNTIF('Raw Games'!Q:Q,$A18)</f>
        <v>0</v>
      </c>
      <c r="F18" s="22">
        <f>IF($B18&gt;'Constants (dont edit)'!$B$3,E18/$B18,"")</f>
        <v>0</v>
      </c>
      <c r="G18" s="16" t="e">
        <f>MIN('Pivot (dont edit)'!20:20)</f>
        <v>#N/A</v>
      </c>
      <c r="H18" s="16" t="e">
        <f>MAX('Pivot (dont edit)'!20:20)</f>
        <v>#N/A</v>
      </c>
      <c r="I18" s="23" t="e">
        <f>IF(AND(B18&gt;='Constants (dont edit)'!$B$4,SUM('Pivot (dont edit)'!20:20)&gt;0), AVERAGE('Pivot (dont edit)'!20:20), "")</f>
        <v>#N/A</v>
      </c>
      <c r="J18" s="16" t="e">
        <f>SUM('Pivot (dont edit)'!20:20)</f>
        <v>#N/A</v>
      </c>
      <c r="K18" s="16">
        <f t="shared" si="0"/>
        <v>1</v>
      </c>
      <c r="L18" s="24">
        <f>IF($B18&gt;'Constants (dont edit)'!$B$3,(SUMIF('Raw Games'!P:P,$A18,'Raw Games'!R:R)-SUMIF('Raw Games'!Q:Q,$A18,'Raw Games'!R:R)/B18)/B18,0)</f>
        <v>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ht="15.75" customHeight="1">
      <c r="A19" s="21">
        <f>('Pivot (dont edit)'!A21)</f>
        <v>0</v>
      </c>
      <c r="B19" s="16">
        <f>COUNT('Pivot (dont edit)'!21:21)</f>
        <v>918</v>
      </c>
      <c r="C19" s="16">
        <f>COUNTIF('Raw Games'!P:P,$A19)</f>
        <v>0</v>
      </c>
      <c r="D19" s="22">
        <f>IF($B19&gt;'Constants (dont edit)'!$B$3,C19/$B19,"")</f>
        <v>0</v>
      </c>
      <c r="E19" s="16">
        <f>COUNTIF('Raw Games'!Q:Q,$A19)</f>
        <v>0</v>
      </c>
      <c r="F19" s="22">
        <f>IF($B19&gt;'Constants (dont edit)'!$B$3,E19/$B19,"")</f>
        <v>0</v>
      </c>
      <c r="G19" s="16" t="e">
        <f>MIN('Pivot (dont edit)'!21:21)</f>
        <v>#N/A</v>
      </c>
      <c r="H19" s="16" t="e">
        <f>MAX('Pivot (dont edit)'!21:21)</f>
        <v>#N/A</v>
      </c>
      <c r="I19" s="23" t="e">
        <f>IF(AND(B19&gt;='Constants (dont edit)'!$B$4,SUM('Pivot (dont edit)'!21:21)&gt;0), AVERAGE('Pivot (dont edit)'!21:21), "")</f>
        <v>#N/A</v>
      </c>
      <c r="J19" s="16" t="e">
        <f>SUM('Pivot (dont edit)'!21:21)</f>
        <v>#N/A</v>
      </c>
      <c r="K19" s="16">
        <f t="shared" si="0"/>
        <v>1</v>
      </c>
      <c r="L19" s="24">
        <f>IF($B19&gt;'Constants (dont edit)'!$B$3,(SUMIF('Raw Games'!P:P,$A19,'Raw Games'!R:R)-SUMIF('Raw Games'!Q:Q,$A19,'Raw Games'!R:R)/B19)/B19,0)</f>
        <v>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ht="15.75" customHeight="1">
      <c r="A20" s="21">
        <f>('Pivot (dont edit)'!A22)</f>
        <v>0</v>
      </c>
      <c r="B20" s="16">
        <f>COUNT('Pivot (dont edit)'!22:22)</f>
        <v>918</v>
      </c>
      <c r="C20" s="16">
        <f>COUNTIF('Raw Games'!P:P,$A20)</f>
        <v>0</v>
      </c>
      <c r="D20" s="22">
        <f>IF($B20&gt;'Constants (dont edit)'!$B$3,C20/$B20,"")</f>
        <v>0</v>
      </c>
      <c r="E20" s="16">
        <f>COUNTIF('Raw Games'!Q:Q,$A20)</f>
        <v>0</v>
      </c>
      <c r="F20" s="22">
        <f>IF($B20&gt;'Constants (dont edit)'!$B$3,E20/$B20,"")</f>
        <v>0</v>
      </c>
      <c r="G20" s="16" t="e">
        <f>MIN('Pivot (dont edit)'!22:22)</f>
        <v>#N/A</v>
      </c>
      <c r="H20" s="16" t="e">
        <f>MAX('Pivot (dont edit)'!22:22)</f>
        <v>#N/A</v>
      </c>
      <c r="I20" s="23" t="e">
        <f>IF(AND(B20&gt;='Constants (dont edit)'!$B$4,SUM('Pivot (dont edit)'!22:22)&gt;0), AVERAGE('Pivot (dont edit)'!22:22), "")</f>
        <v>#N/A</v>
      </c>
      <c r="J20" s="16" t="e">
        <f>SUM('Pivot (dont edit)'!22:22)</f>
        <v>#N/A</v>
      </c>
      <c r="K20" s="16">
        <f t="shared" si="0"/>
        <v>1</v>
      </c>
      <c r="L20" s="24">
        <f>IF($B20&gt;'Constants (dont edit)'!$B$3,(SUMIF('Raw Games'!P:P,$A20,'Raw Games'!R:R)-SUMIF('Raw Games'!Q:Q,$A20,'Raw Games'!R:R)/B20)/B20,0)</f>
        <v>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 ht="15.75" customHeight="1">
      <c r="A21" s="21">
        <f>('Pivot (dont edit)'!A23)</f>
        <v>0</v>
      </c>
      <c r="B21" s="16">
        <f>COUNT('Pivot (dont edit)'!23:23)</f>
        <v>918</v>
      </c>
      <c r="C21" s="16">
        <f>COUNTIF('Raw Games'!P:P,$A21)</f>
        <v>0</v>
      </c>
      <c r="D21" s="22">
        <f>IF($B21&gt;'Constants (dont edit)'!$B$3,C21/$B21,"")</f>
        <v>0</v>
      </c>
      <c r="E21" s="16">
        <f>COUNTIF('Raw Games'!Q:Q,$A21)</f>
        <v>0</v>
      </c>
      <c r="F21" s="22">
        <f>IF($B21&gt;'Constants (dont edit)'!$B$3,E21/$B21,"")</f>
        <v>0</v>
      </c>
      <c r="G21" s="16" t="e">
        <f>MIN('Pivot (dont edit)'!23:23)</f>
        <v>#N/A</v>
      </c>
      <c r="H21" s="16" t="e">
        <f>MAX('Pivot (dont edit)'!23:23)</f>
        <v>#N/A</v>
      </c>
      <c r="I21" s="23" t="e">
        <f>IF(AND(B21&gt;='Constants (dont edit)'!$B$4,SUM('Pivot (dont edit)'!23:23)&gt;0), AVERAGE('Pivot (dont edit)'!23:23), "")</f>
        <v>#N/A</v>
      </c>
      <c r="J21" s="16" t="e">
        <f>SUM('Pivot (dont edit)'!23:23)</f>
        <v>#N/A</v>
      </c>
      <c r="K21" s="16">
        <f t="shared" si="0"/>
        <v>1</v>
      </c>
      <c r="L21" s="24">
        <f>IF($B21&gt;'Constants (dont edit)'!$B$3,(SUMIF('Raw Games'!P:P,$A21,'Raw Games'!R:R)-SUMIF('Raw Games'!Q:Q,$A21,'Raw Games'!R:R)/B21)/B21,0)</f>
        <v>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 ht="15.75" customHeight="1">
      <c r="A22" s="21">
        <f>('Pivot (dont edit)'!A24)</f>
        <v>0</v>
      </c>
      <c r="B22" s="16">
        <f>COUNT('Pivot (dont edit)'!24:24)</f>
        <v>918</v>
      </c>
      <c r="C22" s="16">
        <f>COUNTIF('Raw Games'!P:P,$A22)</f>
        <v>0</v>
      </c>
      <c r="D22" s="22">
        <f>IF($B22&gt;'Constants (dont edit)'!$B$3,C22/$B22,"")</f>
        <v>0</v>
      </c>
      <c r="E22" s="16">
        <f>COUNTIF('Raw Games'!Q:Q,$A22)</f>
        <v>0</v>
      </c>
      <c r="F22" s="22">
        <f>IF($B22&gt;'Constants (dont edit)'!$B$3,E22/$B22,"")</f>
        <v>0</v>
      </c>
      <c r="G22" s="16" t="e">
        <f>MIN('Pivot (dont edit)'!24:24)</f>
        <v>#N/A</v>
      </c>
      <c r="H22" s="16" t="e">
        <f>MAX('Pivot (dont edit)'!24:24)</f>
        <v>#N/A</v>
      </c>
      <c r="I22" s="23" t="e">
        <f>IF(AND(B22&gt;='Constants (dont edit)'!$B$4,SUM('Pivot (dont edit)'!24:24)&gt;0), AVERAGE('Pivot (dont edit)'!24:24), "")</f>
        <v>#N/A</v>
      </c>
      <c r="J22" s="16" t="e">
        <f>SUM('Pivot (dont edit)'!24:24)</f>
        <v>#N/A</v>
      </c>
      <c r="K22" s="16">
        <f t="shared" si="0"/>
        <v>1</v>
      </c>
      <c r="L22" s="24">
        <f>IF($B22&gt;'Constants (dont edit)'!$B$3,(SUMIF('Raw Games'!P:P,$A22,'Raw Games'!R:R)-SUMIF('Raw Games'!Q:Q,$A22,'Raw Games'!R:R)/B22)/B22,0)</f>
        <v>0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15.75" customHeight="1">
      <c r="A23" s="21">
        <f>('Pivot (dont edit)'!A25)</f>
        <v>0</v>
      </c>
      <c r="B23" s="16">
        <f>COUNT('Pivot (dont edit)'!25:25)</f>
        <v>918</v>
      </c>
      <c r="C23" s="16">
        <f>COUNTIF('Raw Games'!P:P,$A23)</f>
        <v>0</v>
      </c>
      <c r="D23" s="22">
        <f>IF($B23&gt;'Constants (dont edit)'!$B$3,C23/$B23,"")</f>
        <v>0</v>
      </c>
      <c r="E23" s="16">
        <f>COUNTIF('Raw Games'!Q:Q,$A23)</f>
        <v>0</v>
      </c>
      <c r="F23" s="22">
        <f>IF($B23&gt;'Constants (dont edit)'!$B$3,E23/$B23,"")</f>
        <v>0</v>
      </c>
      <c r="G23" s="16" t="e">
        <f>MIN('Pivot (dont edit)'!25:25)</f>
        <v>#N/A</v>
      </c>
      <c r="H23" s="16" t="e">
        <f>MAX('Pivot (dont edit)'!25:25)</f>
        <v>#N/A</v>
      </c>
      <c r="I23" s="23" t="e">
        <f>IF(AND(B23&gt;='Constants (dont edit)'!$B$4,SUM('Pivot (dont edit)'!25:25)&gt;0), AVERAGE('Pivot (dont edit)'!25:25), "")</f>
        <v>#N/A</v>
      </c>
      <c r="J23" s="16" t="e">
        <f>SUM('Pivot (dont edit)'!25:25)</f>
        <v>#N/A</v>
      </c>
      <c r="K23" s="16">
        <f t="shared" si="0"/>
        <v>1</v>
      </c>
      <c r="L23" s="24">
        <f>IF($B23&gt;'Constants (dont edit)'!$B$3,(SUMIF('Raw Games'!P:P,$A23,'Raw Games'!R:R)-SUMIF('Raw Games'!Q:Q,$A23,'Raw Games'!R:R)/B23)/B23,0)</f>
        <v>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 ht="15.75" customHeight="1">
      <c r="A24" s="21">
        <f>('Pivot (dont edit)'!A26)</f>
        <v>0</v>
      </c>
      <c r="B24" s="16">
        <f>COUNT('Pivot (dont edit)'!26:26)</f>
        <v>918</v>
      </c>
      <c r="C24" s="16">
        <f>COUNTIF('Raw Games'!P:P,$A24)</f>
        <v>0</v>
      </c>
      <c r="D24" s="22">
        <f>IF($B24&gt;'Constants (dont edit)'!$B$3,C24/$B24,"")</f>
        <v>0</v>
      </c>
      <c r="E24" s="16">
        <f>COUNTIF('Raw Games'!Q:Q,$A24)</f>
        <v>0</v>
      </c>
      <c r="F24" s="22">
        <f>IF($B24&gt;'Constants (dont edit)'!$B$3,E24/$B24,"")</f>
        <v>0</v>
      </c>
      <c r="G24" s="16" t="e">
        <f>MIN('Pivot (dont edit)'!26:26)</f>
        <v>#N/A</v>
      </c>
      <c r="H24" s="16" t="e">
        <f>MAX('Pivot (dont edit)'!26:26)</f>
        <v>#N/A</v>
      </c>
      <c r="I24" s="23" t="e">
        <f>IF(AND(B24&gt;='Constants (dont edit)'!$B$4,SUM('Pivot (dont edit)'!26:26)&gt;0), AVERAGE('Pivot (dont edit)'!26:26), "")</f>
        <v>#N/A</v>
      </c>
      <c r="J24" s="16" t="e">
        <f>SUM('Pivot (dont edit)'!26:26)</f>
        <v>#N/A</v>
      </c>
      <c r="K24" s="16">
        <f t="shared" si="0"/>
        <v>1</v>
      </c>
      <c r="L24" s="24">
        <f>IF($B24&gt;'Constants (dont edit)'!$B$3,(SUMIF('Raw Games'!P:P,$A24,'Raw Games'!R:R)-SUMIF('Raw Games'!Q:Q,$A24,'Raw Games'!R:R)/B24)/B24,0)</f>
        <v>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1:32" ht="15.75" customHeight="1">
      <c r="A25" s="21">
        <f>('Pivot (dont edit)'!A27)</f>
        <v>0</v>
      </c>
      <c r="B25" s="16">
        <f>COUNT('Pivot (dont edit)'!27:27)</f>
        <v>918</v>
      </c>
      <c r="C25" s="16">
        <f>COUNTIF('Raw Games'!P:P,$A25)</f>
        <v>0</v>
      </c>
      <c r="D25" s="22">
        <f>IF($B25&gt;'Constants (dont edit)'!$B$3,C25/$B25,"")</f>
        <v>0</v>
      </c>
      <c r="E25" s="16">
        <f>COUNTIF('Raw Games'!Q:Q,$A25)</f>
        <v>0</v>
      </c>
      <c r="F25" s="22">
        <f>IF($B25&gt;'Constants (dont edit)'!$B$3,E25/$B25,"")</f>
        <v>0</v>
      </c>
      <c r="G25" s="16" t="e">
        <f>MIN('Pivot (dont edit)'!27:27)</f>
        <v>#N/A</v>
      </c>
      <c r="H25" s="16" t="e">
        <f>MAX('Pivot (dont edit)'!27:27)</f>
        <v>#N/A</v>
      </c>
      <c r="I25" s="23" t="e">
        <f>IF(AND(B25&gt;='Constants (dont edit)'!$B$4,SUM('Pivot (dont edit)'!27:27)&gt;0), AVERAGE('Pivot (dont edit)'!27:27), "")</f>
        <v>#N/A</v>
      </c>
      <c r="J25" s="16" t="e">
        <f>SUM('Pivot (dont edit)'!27:27)</f>
        <v>#N/A</v>
      </c>
      <c r="K25" s="16">
        <f t="shared" si="0"/>
        <v>1</v>
      </c>
      <c r="L25" s="24">
        <f>IF($B25&gt;'Constants (dont edit)'!$B$3,(SUMIF('Raw Games'!P:P,$A25,'Raw Games'!R:R)-SUMIF('Raw Games'!Q:Q,$A25,'Raw Games'!R:R)/B25)/B25,0)</f>
        <v>0</v>
      </c>
      <c r="M25" s="21">
        <f>('Pivot (dont edit)'!M27)</f>
        <v>0</v>
      </c>
      <c r="N25" s="16">
        <f>COUNT('Pivot (dont edit)'!27:27)</f>
        <v>918</v>
      </c>
      <c r="O25" s="16">
        <f>COUNTIF('Raw Games'!AB:AB,$A25)</f>
        <v>0</v>
      </c>
      <c r="P25" s="22">
        <f>IF($B25&gt;'Constants (dont edit)'!$B$3,O25/$B25,"")</f>
        <v>0</v>
      </c>
      <c r="Q25" s="16">
        <f>COUNTIF('Raw Games'!AC:AC,$A25)</f>
        <v>0</v>
      </c>
      <c r="R25" s="22">
        <f>IF($B25&gt;'Constants (dont edit)'!$B$3,Q25/$B25,"")</f>
        <v>0</v>
      </c>
      <c r="S25" s="16" t="e">
        <f>MIN('Pivot (dont edit)'!27:27)</f>
        <v>#N/A</v>
      </c>
      <c r="T25" s="16" t="e">
        <f>MAX('Pivot (dont edit)'!27:27)</f>
        <v>#N/A</v>
      </c>
      <c r="U25" s="23" t="e">
        <f>IF(AND(N25&gt;='Constants (dont edit)'!$B$4,SUM('Pivot (dont edit)'!27:27)&gt;0), AVERAGE('Pivot (dont edit)'!27:27), "")</f>
        <v>#N/A</v>
      </c>
      <c r="V25" s="16" t="e">
        <f>SUM('Pivot (dont edit)'!27:27)</f>
        <v>#N/A</v>
      </c>
      <c r="W25" s="16">
        <f t="shared" ref="W25:W29" si="1">RANK(X25,X:X)</f>
        <v>1</v>
      </c>
      <c r="X25" s="24">
        <f>IF($B25&gt;'Constants (dont edit)'!$B$3,(SUMIF('Raw Games'!AB:AB,$A25,'Raw Games'!AD:AD)-SUMIF('Raw Games'!AC:AC,$A25,'Raw Games'!AD:AD)/N25)/N25,0)</f>
        <v>0</v>
      </c>
      <c r="Y25" s="21">
        <f>('Pivot (dont edit)'!Y27)</f>
        <v>0</v>
      </c>
      <c r="Z25" s="16">
        <f>COUNT('Pivot (dont edit)'!27:27)</f>
        <v>918</v>
      </c>
      <c r="AA25" s="16">
        <f>COUNTIF('Raw Games'!AN:AN,$A25)</f>
        <v>0</v>
      </c>
      <c r="AB25" s="22">
        <f>IF($B25&gt;'Constants (dont edit)'!$B$3,AA25/$B25,"")</f>
        <v>0</v>
      </c>
      <c r="AC25" s="16">
        <f>COUNTIF('Raw Games'!AO:AO,$A25)</f>
        <v>0</v>
      </c>
      <c r="AD25" s="22">
        <f>IF($B25&gt;'Constants (dont edit)'!$B$3,AC25/$B25,"")</f>
        <v>0</v>
      </c>
      <c r="AE25" s="16" t="e">
        <f>MIN('Pivot (dont edit)'!27:27)</f>
        <v>#N/A</v>
      </c>
      <c r="AF25" s="16" t="e">
        <f>MAX('Pivot (dont edit)'!27:27)</f>
        <v>#N/A</v>
      </c>
    </row>
    <row r="26" spans="1:32" ht="15.75" customHeight="1">
      <c r="A26" s="21">
        <f>('Pivot (dont edit)'!A28)</f>
        <v>0</v>
      </c>
      <c r="B26" s="16">
        <f>COUNT('Pivot (dont edit)'!28:28)</f>
        <v>918</v>
      </c>
      <c r="C26" s="16">
        <f>COUNTIF('Raw Games'!P:P,$A26)</f>
        <v>0</v>
      </c>
      <c r="D26" s="22">
        <f>IF($B26&gt;'Constants (dont edit)'!$B$3,C26/$B26,"")</f>
        <v>0</v>
      </c>
      <c r="E26" s="16">
        <f>COUNTIF('Raw Games'!Q:Q,$A26)</f>
        <v>0</v>
      </c>
      <c r="F26" s="22">
        <f>IF($B26&gt;'Constants (dont edit)'!$B$3,E26/$B26,"")</f>
        <v>0</v>
      </c>
      <c r="G26" s="16" t="e">
        <f>MIN('Pivot (dont edit)'!28:28)</f>
        <v>#N/A</v>
      </c>
      <c r="H26" s="16" t="e">
        <f>MAX('Pivot (dont edit)'!28:28)</f>
        <v>#N/A</v>
      </c>
      <c r="I26" s="23" t="e">
        <f>IF(AND(B26&gt;='Constants (dont edit)'!$B$4,SUM('Pivot (dont edit)'!28:28)&gt;0), AVERAGE('Pivot (dont edit)'!28:28), "")</f>
        <v>#N/A</v>
      </c>
      <c r="J26" s="16" t="e">
        <f>SUM('Pivot (dont edit)'!28:28)</f>
        <v>#N/A</v>
      </c>
      <c r="K26" s="16">
        <f t="shared" si="0"/>
        <v>1</v>
      </c>
      <c r="L26" s="24">
        <f>IF($B26&gt;'Constants (dont edit)'!$B$3,(SUMIF('Raw Games'!P:P,$A26,'Raw Games'!R:R)-SUMIF('Raw Games'!Q:Q,$A26,'Raw Games'!R:R)/B26)/B26,0)</f>
        <v>0</v>
      </c>
      <c r="M26" s="21">
        <f>('Pivot (dont edit)'!M28)</f>
        <v>0</v>
      </c>
      <c r="N26" s="16">
        <f>COUNT('Pivot (dont edit)'!28:28)</f>
        <v>918</v>
      </c>
      <c r="O26" s="16">
        <f>COUNTIF('Raw Games'!AB:AB,$A26)</f>
        <v>0</v>
      </c>
      <c r="P26" s="22">
        <f>IF($B26&gt;'Constants (dont edit)'!$B$3,O26/$B26,"")</f>
        <v>0</v>
      </c>
      <c r="Q26" s="16">
        <f>COUNTIF('Raw Games'!AC:AC,$A26)</f>
        <v>0</v>
      </c>
      <c r="R26" s="22">
        <f>IF($B26&gt;'Constants (dont edit)'!$B$3,Q26/$B26,"")</f>
        <v>0</v>
      </c>
      <c r="S26" s="16" t="e">
        <f>MIN('Pivot (dont edit)'!28:28)</f>
        <v>#N/A</v>
      </c>
      <c r="T26" s="16" t="e">
        <f>MAX('Pivot (dont edit)'!28:28)</f>
        <v>#N/A</v>
      </c>
      <c r="U26" s="23" t="e">
        <f>IF(AND(N26&gt;='Constants (dont edit)'!$B$4,SUM('Pivot (dont edit)'!28:28)&gt;0), AVERAGE('Pivot (dont edit)'!28:28), "")</f>
        <v>#N/A</v>
      </c>
      <c r="V26" s="16" t="e">
        <f>SUM('Pivot (dont edit)'!28:28)</f>
        <v>#N/A</v>
      </c>
      <c r="W26" s="16">
        <f t="shared" si="1"/>
        <v>1</v>
      </c>
      <c r="X26" s="24">
        <f>IF($B26&gt;'Constants (dont edit)'!$B$3,(SUMIF('Raw Games'!AB:AB,$A26,'Raw Games'!AD:AD)-SUMIF('Raw Games'!AC:AC,$A26,'Raw Games'!AD:AD)/N26)/N26,0)</f>
        <v>0</v>
      </c>
      <c r="Y26" s="21">
        <f>('Pivot (dont edit)'!Y28)</f>
        <v>0</v>
      </c>
      <c r="Z26" s="16">
        <f>COUNT('Pivot (dont edit)'!28:28)</f>
        <v>918</v>
      </c>
      <c r="AA26" s="16">
        <f>COUNTIF('Raw Games'!AN:AN,$A26)</f>
        <v>0</v>
      </c>
      <c r="AB26" s="22">
        <f>IF($B26&gt;'Constants (dont edit)'!$B$3,AA26/$B26,"")</f>
        <v>0</v>
      </c>
      <c r="AC26" s="16">
        <f>COUNTIF('Raw Games'!AO:AO,$A26)</f>
        <v>0</v>
      </c>
      <c r="AD26" s="22">
        <f>IF($B26&gt;'Constants (dont edit)'!$B$3,AC26/$B26,"")</f>
        <v>0</v>
      </c>
      <c r="AE26" s="16" t="e">
        <f>MIN('Pivot (dont edit)'!28:28)</f>
        <v>#N/A</v>
      </c>
      <c r="AF26" s="16" t="e">
        <f>MAX('Pivot (dont edit)'!28:28)</f>
        <v>#N/A</v>
      </c>
    </row>
    <row r="27" spans="1:32" ht="15.75" customHeight="1">
      <c r="A27" s="21">
        <f>('Pivot (dont edit)'!A29)</f>
        <v>0</v>
      </c>
      <c r="B27" s="16">
        <f>COUNT('Pivot (dont edit)'!29:29)</f>
        <v>918</v>
      </c>
      <c r="C27" s="16">
        <f>COUNTIF('Raw Games'!P:P,$A27)</f>
        <v>0</v>
      </c>
      <c r="D27" s="22">
        <f>IF($B27&gt;'Constants (dont edit)'!$B$3,C27/$B27,"")</f>
        <v>0</v>
      </c>
      <c r="E27" s="16">
        <f>COUNTIF('Raw Games'!Q:Q,$A27)</f>
        <v>0</v>
      </c>
      <c r="F27" s="22">
        <f>IF($B27&gt;'Constants (dont edit)'!$B$3,E27/$B27,"")</f>
        <v>0</v>
      </c>
      <c r="G27" s="16" t="e">
        <f>MIN('Pivot (dont edit)'!29:29)</f>
        <v>#N/A</v>
      </c>
      <c r="H27" s="16" t="e">
        <f>MAX('Pivot (dont edit)'!29:29)</f>
        <v>#N/A</v>
      </c>
      <c r="I27" s="23" t="e">
        <f>IF(AND(B27&gt;='Constants (dont edit)'!$B$4,SUM('Pivot (dont edit)'!29:29)&gt;0), AVERAGE('Pivot (dont edit)'!29:29), "")</f>
        <v>#N/A</v>
      </c>
      <c r="J27" s="16" t="e">
        <f>SUM('Pivot (dont edit)'!29:29)</f>
        <v>#N/A</v>
      </c>
      <c r="K27" s="16">
        <f t="shared" si="0"/>
        <v>1</v>
      </c>
      <c r="L27" s="24">
        <f>IF($B27&gt;'Constants (dont edit)'!$B$3,(SUMIF('Raw Games'!P:P,$A27,'Raw Games'!R:R)-SUMIF('Raw Games'!Q:Q,$A27,'Raw Games'!R:R)/B27)/B27,0)</f>
        <v>0</v>
      </c>
      <c r="M27" s="21">
        <f>('Pivot (dont edit)'!M29)</f>
        <v>0</v>
      </c>
      <c r="N27" s="16">
        <f>COUNT('Pivot (dont edit)'!29:29)</f>
        <v>918</v>
      </c>
      <c r="O27" s="16">
        <f>COUNTIF('Raw Games'!AB:AB,$A27)</f>
        <v>0</v>
      </c>
      <c r="P27" s="22">
        <f>IF($B27&gt;'Constants (dont edit)'!$B$3,O27/$B27,"")</f>
        <v>0</v>
      </c>
      <c r="Q27" s="16">
        <f>COUNTIF('Raw Games'!AC:AC,$A27)</f>
        <v>0</v>
      </c>
      <c r="R27" s="22">
        <f>IF($B27&gt;'Constants (dont edit)'!$B$3,Q27/$B27,"")</f>
        <v>0</v>
      </c>
      <c r="S27" s="16" t="e">
        <f>MIN('Pivot (dont edit)'!29:29)</f>
        <v>#N/A</v>
      </c>
      <c r="T27" s="16" t="e">
        <f>MAX('Pivot (dont edit)'!29:29)</f>
        <v>#N/A</v>
      </c>
      <c r="U27" s="23" t="e">
        <f>IF(AND(N27&gt;='Constants (dont edit)'!$B$4,SUM('Pivot (dont edit)'!29:29)&gt;0), AVERAGE('Pivot (dont edit)'!29:29), "")</f>
        <v>#N/A</v>
      </c>
      <c r="V27" s="16" t="e">
        <f>SUM('Pivot (dont edit)'!29:29)</f>
        <v>#N/A</v>
      </c>
      <c r="W27" s="16">
        <f t="shared" si="1"/>
        <v>1</v>
      </c>
      <c r="X27" s="24">
        <f>IF($B27&gt;'Constants (dont edit)'!$B$3,(SUMIF('Raw Games'!AB:AB,$A27,'Raw Games'!AD:AD)-SUMIF('Raw Games'!AC:AC,$A27,'Raw Games'!AD:AD)/N27)/N27,0)</f>
        <v>0</v>
      </c>
      <c r="Y27" s="21">
        <f>('Pivot (dont edit)'!Y29)</f>
        <v>0</v>
      </c>
      <c r="Z27" s="16">
        <f>COUNT('Pivot (dont edit)'!29:29)</f>
        <v>918</v>
      </c>
      <c r="AA27" s="16">
        <f>COUNTIF('Raw Games'!AN:AN,$A27)</f>
        <v>0</v>
      </c>
      <c r="AB27" s="22">
        <f>IF($B27&gt;'Constants (dont edit)'!$B$3,AA27/$B27,"")</f>
        <v>0</v>
      </c>
      <c r="AC27" s="16">
        <f>COUNTIF('Raw Games'!AO:AO,$A27)</f>
        <v>0</v>
      </c>
      <c r="AD27" s="22">
        <f>IF($B27&gt;'Constants (dont edit)'!$B$3,AC27/$B27,"")</f>
        <v>0</v>
      </c>
      <c r="AE27" s="16" t="e">
        <f>MIN('Pivot (dont edit)'!29:29)</f>
        <v>#N/A</v>
      </c>
      <c r="AF27" s="16" t="e">
        <f>MAX('Pivot (dont edit)'!29:29)</f>
        <v>#N/A</v>
      </c>
    </row>
    <row r="28" spans="1:32" ht="15.75" customHeight="1">
      <c r="A28" s="21">
        <f>('Pivot (dont edit)'!A30)</f>
        <v>0</v>
      </c>
      <c r="B28" s="16">
        <f>COUNT('Pivot (dont edit)'!30:30)</f>
        <v>918</v>
      </c>
      <c r="C28" s="16">
        <f>COUNTIF('Raw Games'!P:P,$A28)</f>
        <v>0</v>
      </c>
      <c r="D28" s="22">
        <f>IF($B28&gt;'Constants (dont edit)'!$B$3,C28/$B28,"")</f>
        <v>0</v>
      </c>
      <c r="E28" s="16">
        <f>COUNTIF('Raw Games'!Q:Q,$A28)</f>
        <v>0</v>
      </c>
      <c r="F28" s="22">
        <f>IF($B28&gt;'Constants (dont edit)'!$B$3,E28/$B28,"")</f>
        <v>0</v>
      </c>
      <c r="G28" s="16" t="e">
        <f>MIN('Pivot (dont edit)'!30:30)</f>
        <v>#N/A</v>
      </c>
      <c r="H28" s="16" t="e">
        <f>MAX('Pivot (dont edit)'!30:30)</f>
        <v>#N/A</v>
      </c>
      <c r="I28" s="23" t="e">
        <f>IF(AND(B28&gt;='Constants (dont edit)'!$B$4,SUM('Pivot (dont edit)'!30:30)&gt;0), AVERAGE('Pivot (dont edit)'!30:30), "")</f>
        <v>#N/A</v>
      </c>
      <c r="J28" s="16" t="e">
        <f>SUM('Pivot (dont edit)'!30:30)</f>
        <v>#N/A</v>
      </c>
      <c r="K28" s="16">
        <f t="shared" si="0"/>
        <v>1</v>
      </c>
      <c r="L28" s="24">
        <f>IF($B28&gt;'Constants (dont edit)'!$B$3,(SUMIF('Raw Games'!P:P,$A28,'Raw Games'!R:R)-SUMIF('Raw Games'!Q:Q,$A28,'Raw Games'!R:R)/B28)/B28,0)</f>
        <v>0</v>
      </c>
      <c r="M28" s="21">
        <f>('Pivot (dont edit)'!M30)</f>
        <v>0</v>
      </c>
      <c r="N28" s="16">
        <f>COUNT('Pivot (dont edit)'!30:30)</f>
        <v>918</v>
      </c>
      <c r="O28" s="16">
        <f>COUNTIF('Raw Games'!AB:AB,$A28)</f>
        <v>0</v>
      </c>
      <c r="P28" s="22">
        <f>IF($B28&gt;'Constants (dont edit)'!$B$3,O28/$B28,"")</f>
        <v>0</v>
      </c>
      <c r="Q28" s="16">
        <f>COUNTIF('Raw Games'!AC:AC,$A28)</f>
        <v>0</v>
      </c>
      <c r="R28" s="22">
        <f>IF($B28&gt;'Constants (dont edit)'!$B$3,Q28/$B28,"")</f>
        <v>0</v>
      </c>
      <c r="S28" s="16" t="e">
        <f>MIN('Pivot (dont edit)'!30:30)</f>
        <v>#N/A</v>
      </c>
      <c r="T28" s="16" t="e">
        <f>MAX('Pivot (dont edit)'!30:30)</f>
        <v>#N/A</v>
      </c>
      <c r="U28" s="23" t="e">
        <f>IF(AND(N28&gt;='Constants (dont edit)'!$B$4,SUM('Pivot (dont edit)'!30:30)&gt;0), AVERAGE('Pivot (dont edit)'!30:30), "")</f>
        <v>#N/A</v>
      </c>
      <c r="V28" s="16" t="e">
        <f>SUM('Pivot (dont edit)'!30:30)</f>
        <v>#N/A</v>
      </c>
      <c r="W28" s="16">
        <f t="shared" si="1"/>
        <v>1</v>
      </c>
      <c r="X28" s="24">
        <f>IF($B28&gt;'Constants (dont edit)'!$B$3,(SUMIF('Raw Games'!AB:AB,$A28,'Raw Games'!AD:AD)-SUMIF('Raw Games'!AC:AC,$A28,'Raw Games'!AD:AD)/N28)/N28,0)</f>
        <v>0</v>
      </c>
      <c r="Y28" s="21">
        <f>('Pivot (dont edit)'!Y30)</f>
        <v>0</v>
      </c>
      <c r="Z28" s="16">
        <f>COUNT('Pivot (dont edit)'!30:30)</f>
        <v>918</v>
      </c>
      <c r="AA28" s="16">
        <f>COUNTIF('Raw Games'!AN:AN,$A28)</f>
        <v>0</v>
      </c>
      <c r="AB28" s="22">
        <f>IF($B28&gt;'Constants (dont edit)'!$B$3,AA28/$B28,"")</f>
        <v>0</v>
      </c>
      <c r="AC28" s="16">
        <f>COUNTIF('Raw Games'!AO:AO,$A28)</f>
        <v>0</v>
      </c>
      <c r="AD28" s="22">
        <f>IF($B28&gt;'Constants (dont edit)'!$B$3,AC28/$B28,"")</f>
        <v>0</v>
      </c>
      <c r="AE28" s="16" t="e">
        <f>MIN('Pivot (dont edit)'!30:30)</f>
        <v>#N/A</v>
      </c>
      <c r="AF28" s="16" t="e">
        <f>MAX('Pivot (dont edit)'!30:30)</f>
        <v>#N/A</v>
      </c>
    </row>
    <row r="29" spans="1:32" ht="15.75" customHeight="1">
      <c r="A29" s="21">
        <f>('Pivot (dont edit)'!A31)</f>
        <v>0</v>
      </c>
      <c r="B29" s="16">
        <f>COUNT('Pivot (dont edit)'!31:31)</f>
        <v>918</v>
      </c>
      <c r="C29" s="16">
        <f>COUNTIF('Raw Games'!P:P,$A29)</f>
        <v>0</v>
      </c>
      <c r="D29" s="22">
        <f>IF($B29&gt;'Constants (dont edit)'!$B$3,C29/$B29,"")</f>
        <v>0</v>
      </c>
      <c r="E29" s="16">
        <f>COUNTIF('Raw Games'!Q:Q,$A29)</f>
        <v>0</v>
      </c>
      <c r="F29" s="22">
        <f>IF($B29&gt;'Constants (dont edit)'!$B$3,E29/$B29,"")</f>
        <v>0</v>
      </c>
      <c r="G29" s="16" t="e">
        <f>MIN('Pivot (dont edit)'!31:31)</f>
        <v>#N/A</v>
      </c>
      <c r="H29" s="16" t="e">
        <f>MAX('Pivot (dont edit)'!31:31)</f>
        <v>#N/A</v>
      </c>
      <c r="I29" s="23" t="e">
        <f>IF(AND(B29&gt;='Constants (dont edit)'!$B$4,SUM('Pivot (dont edit)'!31:31)&gt;0), AVERAGE('Pivot (dont edit)'!31:31), "")</f>
        <v>#N/A</v>
      </c>
      <c r="J29" s="16" t="e">
        <f>SUM('Pivot (dont edit)'!31:31)</f>
        <v>#N/A</v>
      </c>
      <c r="K29" s="16">
        <f t="shared" si="0"/>
        <v>1</v>
      </c>
      <c r="L29" s="24">
        <f>IF($B29&gt;'Constants (dont edit)'!$B$3,(SUMIF('Raw Games'!P:P,$A29,'Raw Games'!R:R)-SUMIF('Raw Games'!Q:Q,$A29,'Raw Games'!R:R)/B29)/B29,0)</f>
        <v>0</v>
      </c>
      <c r="M29" s="21">
        <f>('Pivot (dont edit)'!M31)</f>
        <v>0</v>
      </c>
      <c r="N29" s="16">
        <f>COUNT('Pivot (dont edit)'!31:31)</f>
        <v>918</v>
      </c>
      <c r="O29" s="16">
        <f>COUNTIF('Raw Games'!AB:AB,$A29)</f>
        <v>0</v>
      </c>
      <c r="P29" s="22">
        <f>IF($B29&gt;'Constants (dont edit)'!$B$3,O29/$B29,"")</f>
        <v>0</v>
      </c>
      <c r="Q29" s="16">
        <f>COUNTIF('Raw Games'!AC:AC,$A29)</f>
        <v>0</v>
      </c>
      <c r="R29" s="22">
        <f>IF($B29&gt;'Constants (dont edit)'!$B$3,Q29/$B29,"")</f>
        <v>0</v>
      </c>
      <c r="S29" s="16" t="e">
        <f>MIN('Pivot (dont edit)'!31:31)</f>
        <v>#N/A</v>
      </c>
      <c r="T29" s="16" t="e">
        <f>MAX('Pivot (dont edit)'!31:31)</f>
        <v>#N/A</v>
      </c>
      <c r="U29" s="23" t="e">
        <f>IF(AND(N29&gt;='Constants (dont edit)'!$B$4,SUM('Pivot (dont edit)'!31:31)&gt;0), AVERAGE('Pivot (dont edit)'!31:31), "")</f>
        <v>#N/A</v>
      </c>
      <c r="V29" s="16" t="e">
        <f>SUM('Pivot (dont edit)'!31:31)</f>
        <v>#N/A</v>
      </c>
      <c r="W29" s="16">
        <f t="shared" si="1"/>
        <v>1</v>
      </c>
      <c r="X29" s="24">
        <f>IF($B29&gt;'Constants (dont edit)'!$B$3,(SUMIF('Raw Games'!AB:AB,$A29,'Raw Games'!AD:AD)-SUMIF('Raw Games'!AC:AC,$A29,'Raw Games'!AD:AD)/N29)/N29,0)</f>
        <v>0</v>
      </c>
      <c r="Y29" s="21">
        <f>('Pivot (dont edit)'!Y31)</f>
        <v>0</v>
      </c>
      <c r="Z29" s="16">
        <f>COUNT('Pivot (dont edit)'!31:31)</f>
        <v>918</v>
      </c>
      <c r="AA29" s="16">
        <f>COUNTIF('Raw Games'!AN:AN,$A29)</f>
        <v>0</v>
      </c>
      <c r="AB29" s="22">
        <f>IF($B29&gt;'Constants (dont edit)'!$B$3,AA29/$B29,"")</f>
        <v>0</v>
      </c>
      <c r="AC29" s="16">
        <f>COUNTIF('Raw Games'!AO:AO,$A29)</f>
        <v>0</v>
      </c>
      <c r="AD29" s="22">
        <f>IF($B29&gt;'Constants (dont edit)'!$B$3,AC29/$B29,"")</f>
        <v>0</v>
      </c>
      <c r="AE29" s="16" t="e">
        <f>MIN('Pivot (dont edit)'!31:31)</f>
        <v>#N/A</v>
      </c>
      <c r="AF29" s="16" t="e">
        <f>MAX('Pivot (dont edit)'!31:31)</f>
        <v>#N/A</v>
      </c>
    </row>
    <row r="30" spans="1:32" ht="15.75" customHeight="1">
      <c r="A30" s="21"/>
      <c r="B30" s="16"/>
      <c r="C30" s="16"/>
      <c r="D30" s="22"/>
      <c r="E30" s="16"/>
      <c r="F30" s="22"/>
      <c r="G30" s="16"/>
      <c r="H30" s="16"/>
      <c r="I30" s="23"/>
      <c r="J30" s="16"/>
      <c r="K30" s="16"/>
      <c r="L30" s="2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2" ht="15.75" customHeight="1">
      <c r="A31" s="21"/>
      <c r="B31" s="16"/>
      <c r="C31" s="16"/>
      <c r="D31" s="22"/>
      <c r="E31" s="16"/>
      <c r="F31" s="22"/>
      <c r="G31" s="16"/>
      <c r="H31" s="16"/>
      <c r="I31" s="23"/>
      <c r="J31" s="16"/>
      <c r="K31" s="16"/>
      <c r="L31" s="25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1:32" ht="15.75" customHeight="1">
      <c r="A32" s="21"/>
      <c r="B32" s="16"/>
      <c r="C32" s="16"/>
      <c r="D32" s="22"/>
      <c r="E32" s="16"/>
      <c r="F32" s="22"/>
      <c r="G32" s="16"/>
      <c r="H32" s="16"/>
      <c r="I32" s="23"/>
      <c r="J32" s="16"/>
      <c r="K32" s="16"/>
      <c r="L32" s="25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15.75" customHeight="1">
      <c r="A33" s="21"/>
      <c r="B33" s="16"/>
      <c r="C33" s="16"/>
      <c r="D33" s="22"/>
      <c r="E33" s="16"/>
      <c r="F33" s="22"/>
      <c r="G33" s="16"/>
      <c r="H33" s="16"/>
      <c r="I33" s="23"/>
      <c r="J33" s="16"/>
      <c r="K33" s="16"/>
      <c r="L33" s="2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 spans="1:32" ht="15.75" customHeight="1">
      <c r="A34" s="21"/>
      <c r="B34" s="16"/>
      <c r="C34" s="16"/>
      <c r="D34" s="22"/>
      <c r="E34" s="16"/>
      <c r="F34" s="22"/>
      <c r="G34" s="16"/>
      <c r="H34" s="16"/>
      <c r="I34" s="23"/>
      <c r="J34" s="16"/>
      <c r="K34" s="16"/>
      <c r="L34" s="25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>
      <c r="A35" s="21"/>
      <c r="B35" s="16"/>
      <c r="C35" s="16"/>
      <c r="D35" s="22"/>
      <c r="E35" s="16"/>
      <c r="F35" s="22"/>
      <c r="G35" s="16"/>
      <c r="H35" s="16"/>
      <c r="I35" s="23"/>
      <c r="J35" s="16"/>
      <c r="K35" s="16"/>
      <c r="L35" s="25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1:32" ht="15.75" customHeight="1">
      <c r="A36" s="21"/>
      <c r="B36" s="16"/>
      <c r="C36" s="16"/>
      <c r="D36" s="22"/>
      <c r="E36" s="16"/>
      <c r="F36" s="22"/>
      <c r="G36" s="16"/>
      <c r="H36" s="16"/>
      <c r="I36" s="23"/>
      <c r="J36" s="16"/>
      <c r="K36" s="16"/>
      <c r="L36" s="2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 ht="15.75" customHeight="1">
      <c r="A37" s="21"/>
      <c r="B37" s="16"/>
      <c r="C37" s="16"/>
      <c r="D37" s="22"/>
      <c r="E37" s="16"/>
      <c r="F37" s="22"/>
      <c r="G37" s="16"/>
      <c r="H37" s="16"/>
      <c r="I37" s="23"/>
      <c r="J37" s="16"/>
      <c r="K37" s="16"/>
      <c r="L37" s="2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 spans="1:32" ht="15.75" customHeight="1">
      <c r="A38" s="21"/>
      <c r="B38" s="16"/>
      <c r="C38" s="16"/>
      <c r="D38" s="22"/>
      <c r="E38" s="16"/>
      <c r="F38" s="22"/>
      <c r="G38" s="16"/>
      <c r="H38" s="16"/>
      <c r="I38" s="23"/>
      <c r="J38" s="16"/>
      <c r="K38" s="16"/>
      <c r="L38" s="25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>
      <c r="A39" s="21"/>
      <c r="B39" s="16"/>
      <c r="C39" s="16"/>
      <c r="D39" s="22"/>
      <c r="E39" s="16"/>
      <c r="F39" s="22"/>
      <c r="G39" s="16"/>
      <c r="H39" s="16"/>
      <c r="I39" s="23"/>
      <c r="J39" s="16"/>
      <c r="K39" s="16"/>
      <c r="L39" s="25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 ht="15.75" customHeight="1">
      <c r="A40" s="21"/>
      <c r="B40" s="16"/>
      <c r="C40" s="16"/>
      <c r="D40" s="22"/>
      <c r="E40" s="16"/>
      <c r="F40" s="22"/>
      <c r="G40" s="16"/>
      <c r="H40" s="16"/>
      <c r="I40" s="23"/>
      <c r="J40" s="16"/>
      <c r="K40" s="16"/>
      <c r="L40" s="25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1:32" ht="15.75" customHeight="1">
      <c r="A41" s="21"/>
      <c r="B41" s="16"/>
      <c r="C41" s="16"/>
      <c r="D41" s="22"/>
      <c r="E41" s="16"/>
      <c r="F41" s="22"/>
      <c r="G41" s="16"/>
      <c r="H41" s="16"/>
      <c r="I41" s="23"/>
      <c r="J41" s="16"/>
      <c r="K41" s="16"/>
      <c r="L41" s="25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 ht="15.75" customHeight="1">
      <c r="A42" s="21"/>
      <c r="B42" s="16"/>
      <c r="C42" s="16"/>
      <c r="D42" s="22"/>
      <c r="E42" s="16"/>
      <c r="F42" s="22"/>
      <c r="G42" s="16"/>
      <c r="H42" s="16"/>
      <c r="I42" s="23"/>
      <c r="J42" s="16"/>
      <c r="K42" s="16"/>
      <c r="L42" s="25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1:32" ht="15.75" customHeight="1">
      <c r="A43" s="21"/>
      <c r="B43" s="16"/>
      <c r="C43" s="16"/>
      <c r="D43" s="22"/>
      <c r="E43" s="16"/>
      <c r="F43" s="22"/>
      <c r="G43" s="16"/>
      <c r="H43" s="16"/>
      <c r="I43" s="23"/>
      <c r="J43" s="16"/>
      <c r="K43" s="16"/>
      <c r="L43" s="25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>
      <c r="A44" s="21"/>
      <c r="B44" s="16"/>
      <c r="C44" s="16"/>
      <c r="D44" s="22"/>
      <c r="E44" s="16"/>
      <c r="F44" s="22"/>
      <c r="G44" s="16"/>
      <c r="H44" s="16"/>
      <c r="I44" s="23"/>
      <c r="J44" s="16"/>
      <c r="K44" s="16"/>
      <c r="L44" s="25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2" ht="15.75" customHeight="1">
      <c r="A45" s="21"/>
      <c r="B45" s="16"/>
      <c r="C45" s="16"/>
      <c r="D45" s="22"/>
      <c r="E45" s="16"/>
      <c r="F45" s="22"/>
      <c r="G45" s="16"/>
      <c r="H45" s="16"/>
      <c r="I45" s="23"/>
      <c r="J45" s="16"/>
      <c r="K45" s="16"/>
      <c r="L45" s="2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2" ht="15.75" customHeight="1">
      <c r="A46" s="21"/>
      <c r="B46" s="16"/>
      <c r="C46" s="16"/>
      <c r="D46" s="22"/>
      <c r="E46" s="16"/>
      <c r="F46" s="22"/>
      <c r="G46" s="16"/>
      <c r="H46" s="16"/>
      <c r="I46" s="23"/>
      <c r="J46" s="16"/>
      <c r="K46" s="16"/>
      <c r="L46" s="25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2" ht="15.75" customHeight="1">
      <c r="A47" s="21"/>
      <c r="B47" s="16"/>
      <c r="C47" s="16"/>
      <c r="D47" s="22"/>
      <c r="E47" s="16"/>
      <c r="F47" s="22"/>
      <c r="G47" s="16"/>
      <c r="H47" s="16"/>
      <c r="I47" s="23"/>
      <c r="J47" s="16"/>
      <c r="K47" s="16"/>
      <c r="L47" s="25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 ht="15.75" customHeight="1">
      <c r="A48" s="21"/>
      <c r="B48" s="16"/>
      <c r="C48" s="16"/>
      <c r="D48" s="22"/>
      <c r="E48" s="16"/>
      <c r="F48" s="22"/>
      <c r="G48" s="16"/>
      <c r="H48" s="16"/>
      <c r="I48" s="23"/>
      <c r="J48" s="16"/>
      <c r="K48" s="16"/>
      <c r="L48" s="25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:32" ht="15.75" customHeight="1">
      <c r="A49" s="21"/>
      <c r="B49" s="16"/>
      <c r="C49" s="16"/>
      <c r="D49" s="22"/>
      <c r="E49" s="16"/>
      <c r="F49" s="22"/>
      <c r="G49" s="16"/>
      <c r="H49" s="16"/>
      <c r="I49" s="23"/>
      <c r="J49" s="16"/>
      <c r="K49" s="16"/>
      <c r="L49" s="25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:32" ht="15.75" customHeight="1">
      <c r="A50" s="21"/>
      <c r="B50" s="16"/>
      <c r="C50" s="16"/>
      <c r="D50" s="22"/>
      <c r="E50" s="16"/>
      <c r="F50" s="22"/>
      <c r="G50" s="16"/>
      <c r="H50" s="16"/>
      <c r="I50" s="23"/>
      <c r="J50" s="16"/>
      <c r="K50" s="16"/>
      <c r="L50" s="25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:32" ht="15.75" customHeight="1">
      <c r="A51" s="21"/>
      <c r="B51" s="16"/>
      <c r="C51" s="16"/>
      <c r="D51" s="22"/>
      <c r="E51" s="16"/>
      <c r="F51" s="22"/>
      <c r="G51" s="16"/>
      <c r="H51" s="16"/>
      <c r="I51" s="23"/>
      <c r="J51" s="16"/>
      <c r="K51" s="16"/>
      <c r="L51" s="25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:32" ht="15.75" customHeight="1">
      <c r="A52" s="21"/>
      <c r="B52" s="16"/>
      <c r="C52" s="16"/>
      <c r="D52" s="22"/>
      <c r="E52" s="16"/>
      <c r="F52" s="22"/>
      <c r="G52" s="16"/>
      <c r="H52" s="16"/>
      <c r="I52" s="23"/>
      <c r="J52" s="16"/>
      <c r="K52" s="16"/>
      <c r="L52" s="25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 ht="15.75" customHeight="1">
      <c r="A53" s="21"/>
      <c r="B53" s="16"/>
      <c r="C53" s="16"/>
      <c r="D53" s="22"/>
      <c r="E53" s="16"/>
      <c r="F53" s="22"/>
      <c r="G53" s="16"/>
      <c r="H53" s="16"/>
      <c r="I53" s="23"/>
      <c r="J53" s="16"/>
      <c r="K53" s="16"/>
      <c r="L53" s="2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customHeight="1">
      <c r="A54" s="21"/>
      <c r="B54" s="16"/>
      <c r="C54" s="16"/>
      <c r="D54" s="22"/>
      <c r="E54" s="16"/>
      <c r="F54" s="22"/>
      <c r="G54" s="16"/>
      <c r="H54" s="16"/>
      <c r="I54" s="23"/>
      <c r="J54" s="16"/>
      <c r="K54" s="16"/>
      <c r="L54" s="25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spans="1:32" ht="15.75" customHeight="1">
      <c r="A55" s="21"/>
      <c r="B55" s="16"/>
      <c r="C55" s="16"/>
      <c r="D55" s="22"/>
      <c r="E55" s="16"/>
      <c r="F55" s="22"/>
      <c r="G55" s="16"/>
      <c r="H55" s="16"/>
      <c r="I55" s="23"/>
      <c r="J55" s="16"/>
      <c r="K55" s="16"/>
      <c r="L55" s="25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:32" ht="15.75" customHeight="1">
      <c r="A56" s="21"/>
      <c r="B56" s="16"/>
      <c r="C56" s="16"/>
      <c r="D56" s="22"/>
      <c r="E56" s="16"/>
      <c r="F56" s="22"/>
      <c r="G56" s="16"/>
      <c r="H56" s="16"/>
      <c r="I56" s="23"/>
      <c r="J56" s="16"/>
      <c r="K56" s="16"/>
      <c r="L56" s="25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 ht="15.75" customHeight="1">
      <c r="A57" s="21"/>
      <c r="B57" s="16"/>
      <c r="C57" s="16"/>
      <c r="D57" s="22"/>
      <c r="E57" s="16"/>
      <c r="F57" s="22"/>
      <c r="G57" s="16"/>
      <c r="H57" s="16"/>
      <c r="I57" s="23"/>
      <c r="J57" s="16"/>
      <c r="K57" s="16"/>
      <c r="L57" s="25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spans="1:32" ht="15.75" customHeight="1">
      <c r="A58" s="21"/>
      <c r="B58" s="16"/>
      <c r="C58" s="16"/>
      <c r="D58" s="22"/>
      <c r="E58" s="16"/>
      <c r="F58" s="22"/>
      <c r="G58" s="16"/>
      <c r="H58" s="16"/>
      <c r="I58" s="23"/>
      <c r="J58" s="16"/>
      <c r="K58" s="16"/>
      <c r="L58" s="25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spans="1:32" ht="15.75" customHeight="1">
      <c r="A59" s="21"/>
      <c r="B59" s="16"/>
      <c r="C59" s="16"/>
      <c r="D59" s="22"/>
      <c r="E59" s="16"/>
      <c r="F59" s="22"/>
      <c r="G59" s="16"/>
      <c r="H59" s="16"/>
      <c r="I59" s="23"/>
      <c r="J59" s="16"/>
      <c r="K59" s="16"/>
      <c r="L59" s="25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1:32" ht="15.75" customHeight="1">
      <c r="A60" s="21"/>
      <c r="B60" s="16"/>
      <c r="C60" s="16"/>
      <c r="D60" s="22"/>
      <c r="E60" s="16"/>
      <c r="F60" s="22"/>
      <c r="G60" s="16"/>
      <c r="H60" s="16"/>
      <c r="I60" s="23"/>
      <c r="J60" s="16"/>
      <c r="K60" s="16"/>
      <c r="L60" s="25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spans="1:32" ht="15.75" customHeight="1">
      <c r="A61" s="21"/>
      <c r="B61" s="16"/>
      <c r="C61" s="16"/>
      <c r="D61" s="22"/>
      <c r="E61" s="16"/>
      <c r="F61" s="22"/>
      <c r="G61" s="16"/>
      <c r="H61" s="16"/>
      <c r="I61" s="23"/>
      <c r="J61" s="16"/>
      <c r="K61" s="16"/>
      <c r="L61" s="2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spans="1:32" ht="15.75" customHeight="1">
      <c r="A62" s="21"/>
      <c r="B62" s="16"/>
      <c r="C62" s="16"/>
      <c r="D62" s="22"/>
      <c r="E62" s="16"/>
      <c r="F62" s="22"/>
      <c r="G62" s="16"/>
      <c r="H62" s="16"/>
      <c r="I62" s="23"/>
      <c r="J62" s="16"/>
      <c r="K62" s="16"/>
      <c r="L62" s="2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1:32" ht="15.75" customHeight="1">
      <c r="A63" s="21"/>
      <c r="B63" s="16"/>
      <c r="C63" s="16"/>
      <c r="D63" s="22"/>
      <c r="E63" s="16"/>
      <c r="F63" s="22"/>
      <c r="G63" s="16"/>
      <c r="H63" s="16"/>
      <c r="I63" s="23"/>
      <c r="J63" s="16"/>
      <c r="K63" s="16"/>
      <c r="L63" s="25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1:32" ht="15.75" customHeight="1">
      <c r="A64" s="21"/>
      <c r="B64" s="16"/>
      <c r="C64" s="16"/>
      <c r="D64" s="22"/>
      <c r="E64" s="16"/>
      <c r="F64" s="22"/>
      <c r="G64" s="16"/>
      <c r="H64" s="16"/>
      <c r="I64" s="23"/>
      <c r="J64" s="16"/>
      <c r="K64" s="16"/>
      <c r="L64" s="2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spans="1:32" ht="15.75" customHeight="1">
      <c r="A65" s="21"/>
      <c r="B65" s="16"/>
      <c r="C65" s="16"/>
      <c r="D65" s="22"/>
      <c r="E65" s="16"/>
      <c r="F65" s="22"/>
      <c r="G65" s="16"/>
      <c r="H65" s="16"/>
      <c r="I65" s="23"/>
      <c r="J65" s="16"/>
      <c r="K65" s="16"/>
      <c r="L65" s="25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 spans="1:32" ht="15.75" customHeight="1">
      <c r="A66" s="21"/>
      <c r="B66" s="16"/>
      <c r="C66" s="16"/>
      <c r="D66" s="22"/>
      <c r="E66" s="16"/>
      <c r="F66" s="22"/>
      <c r="G66" s="16"/>
      <c r="H66" s="16"/>
      <c r="I66" s="23"/>
      <c r="J66" s="16"/>
      <c r="K66" s="16"/>
      <c r="L66" s="25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 spans="1:32" ht="15.75" customHeight="1">
      <c r="A67" s="21"/>
      <c r="B67" s="16"/>
      <c r="C67" s="16"/>
      <c r="D67" s="22"/>
      <c r="E67" s="16"/>
      <c r="F67" s="22"/>
      <c r="G67" s="16"/>
      <c r="H67" s="16"/>
      <c r="I67" s="23"/>
      <c r="J67" s="16"/>
      <c r="K67" s="16"/>
      <c r="L67" s="25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 ht="13">
      <c r="A68" s="21"/>
      <c r="B68" s="16"/>
      <c r="C68" s="16"/>
      <c r="D68" s="22"/>
      <c r="E68" s="16"/>
      <c r="F68" s="22"/>
      <c r="G68" s="16"/>
      <c r="H68" s="16"/>
      <c r="I68" s="23"/>
      <c r="J68" s="16"/>
      <c r="K68" s="16"/>
      <c r="L68" s="2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spans="1:32" ht="13">
      <c r="A69" s="21"/>
      <c r="B69" s="16"/>
      <c r="C69" s="16"/>
      <c r="D69" s="22"/>
      <c r="E69" s="16"/>
      <c r="F69" s="22"/>
      <c r="G69" s="16"/>
      <c r="H69" s="16"/>
      <c r="I69" s="23"/>
      <c r="J69" s="16"/>
      <c r="K69" s="16"/>
      <c r="L69" s="2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spans="1:32" ht="13">
      <c r="A70" s="21"/>
      <c r="B70" s="16"/>
      <c r="C70" s="16"/>
      <c r="D70" s="22"/>
      <c r="E70" s="16"/>
      <c r="F70" s="22"/>
      <c r="G70" s="16"/>
      <c r="H70" s="16"/>
      <c r="I70" s="23"/>
      <c r="J70" s="16"/>
      <c r="K70" s="16"/>
      <c r="L70" s="2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 ht="13">
      <c r="A71" s="21"/>
      <c r="B71" s="16"/>
      <c r="C71" s="16"/>
      <c r="D71" s="22"/>
      <c r="E71" s="16"/>
      <c r="F71" s="22"/>
      <c r="G71" s="16"/>
      <c r="H71" s="16"/>
      <c r="I71" s="23"/>
      <c r="J71" s="16"/>
      <c r="K71" s="16"/>
      <c r="L71" s="25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 ht="13">
      <c r="A72" s="21"/>
      <c r="B72" s="16"/>
      <c r="C72" s="16"/>
      <c r="D72" s="22"/>
      <c r="E72" s="16"/>
      <c r="F72" s="22"/>
      <c r="G72" s="16"/>
      <c r="H72" s="16"/>
      <c r="I72" s="23"/>
      <c r="J72" s="16"/>
      <c r="K72" s="16"/>
      <c r="L72" s="25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 ht="13">
      <c r="A73" s="21"/>
      <c r="B73" s="16"/>
      <c r="C73" s="16"/>
      <c r="D73" s="22"/>
      <c r="E73" s="16"/>
      <c r="F73" s="22"/>
      <c r="G73" s="16"/>
      <c r="H73" s="16"/>
      <c r="I73" s="23"/>
      <c r="J73" s="16"/>
      <c r="K73" s="16"/>
      <c r="L73" s="25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spans="1:32" ht="13">
      <c r="A74" s="21"/>
      <c r="B74" s="16"/>
      <c r="C74" s="16"/>
      <c r="D74" s="22"/>
      <c r="E74" s="16"/>
      <c r="F74" s="22"/>
      <c r="G74" s="16"/>
      <c r="H74" s="16"/>
      <c r="I74" s="23"/>
      <c r="J74" s="16"/>
      <c r="K74" s="16"/>
      <c r="L74" s="25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 spans="1:32" ht="13">
      <c r="A75" s="21"/>
      <c r="B75" s="16"/>
      <c r="C75" s="16"/>
      <c r="D75" s="22"/>
      <c r="E75" s="16"/>
      <c r="F75" s="22"/>
      <c r="G75" s="16"/>
      <c r="H75" s="16"/>
      <c r="I75" s="23"/>
      <c r="J75" s="16"/>
      <c r="K75" s="16"/>
      <c r="L75" s="25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 spans="1:32" ht="13">
      <c r="A76" s="21"/>
      <c r="B76" s="16"/>
      <c r="C76" s="16"/>
      <c r="D76" s="22"/>
      <c r="E76" s="16"/>
      <c r="F76" s="22"/>
      <c r="G76" s="16"/>
      <c r="H76" s="16"/>
      <c r="I76" s="23"/>
      <c r="J76" s="16"/>
      <c r="K76" s="16"/>
      <c r="L76" s="2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spans="1:32" ht="13">
      <c r="A77" s="21"/>
      <c r="B77" s="16"/>
      <c r="C77" s="16"/>
      <c r="D77" s="22"/>
      <c r="E77" s="16"/>
      <c r="F77" s="22"/>
      <c r="G77" s="16"/>
      <c r="H77" s="16"/>
      <c r="I77" s="23"/>
      <c r="J77" s="16"/>
      <c r="K77" s="16"/>
      <c r="L77" s="2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spans="1:32" ht="13">
      <c r="A78" s="21"/>
      <c r="B78" s="16"/>
      <c r="C78" s="16"/>
      <c r="D78" s="22"/>
      <c r="E78" s="16"/>
      <c r="F78" s="22"/>
      <c r="G78" s="16"/>
      <c r="H78" s="16"/>
      <c r="I78" s="23"/>
      <c r="J78" s="16"/>
      <c r="K78" s="16"/>
      <c r="L78" s="2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spans="1:32" ht="13">
      <c r="A79" s="21"/>
      <c r="B79" s="16"/>
      <c r="C79" s="16"/>
      <c r="D79" s="22"/>
      <c r="E79" s="16"/>
      <c r="F79" s="22"/>
      <c r="G79" s="16"/>
      <c r="H79" s="16"/>
      <c r="I79" s="23"/>
      <c r="J79" s="16"/>
      <c r="K79" s="16"/>
      <c r="L79" s="25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spans="1:32" ht="13">
      <c r="A80" s="21"/>
      <c r="B80" s="16"/>
      <c r="C80" s="16"/>
      <c r="D80" s="22"/>
      <c r="E80" s="16"/>
      <c r="F80" s="22"/>
      <c r="G80" s="16"/>
      <c r="H80" s="16"/>
      <c r="I80" s="23"/>
      <c r="J80" s="16"/>
      <c r="K80" s="16"/>
      <c r="L80" s="25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 spans="1:32" ht="13">
      <c r="A81" s="21"/>
      <c r="B81" s="16"/>
      <c r="C81" s="16"/>
      <c r="D81" s="22"/>
      <c r="E81" s="16"/>
      <c r="F81" s="22"/>
      <c r="G81" s="16"/>
      <c r="H81" s="16"/>
      <c r="I81" s="23"/>
      <c r="J81" s="16"/>
      <c r="K81" s="16"/>
      <c r="L81" s="25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</row>
    <row r="82" spans="1:32" ht="13">
      <c r="A82" s="21"/>
      <c r="B82" s="16"/>
      <c r="C82" s="16"/>
      <c r="D82" s="22"/>
      <c r="E82" s="16"/>
      <c r="F82" s="22"/>
      <c r="G82" s="16"/>
      <c r="H82" s="16"/>
      <c r="I82" s="23"/>
      <c r="J82" s="16"/>
      <c r="K82" s="16"/>
      <c r="L82" s="25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 spans="1:32" ht="13">
      <c r="A83" s="21"/>
      <c r="B83" s="16"/>
      <c r="C83" s="16"/>
      <c r="D83" s="22"/>
      <c r="E83" s="16"/>
      <c r="F83" s="22"/>
      <c r="G83" s="16"/>
      <c r="H83" s="16"/>
      <c r="I83" s="23"/>
      <c r="J83" s="16"/>
      <c r="K83" s="16"/>
      <c r="L83" s="25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spans="1:32" ht="13">
      <c r="A84" s="21"/>
      <c r="B84" s="16"/>
      <c r="C84" s="16"/>
      <c r="D84" s="22"/>
      <c r="E84" s="16"/>
      <c r="F84" s="22"/>
      <c r="G84" s="16"/>
      <c r="H84" s="16"/>
      <c r="I84" s="23"/>
      <c r="J84" s="16"/>
      <c r="K84" s="16"/>
      <c r="L84" s="2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5" spans="1:32" ht="13">
      <c r="A85" s="21"/>
      <c r="B85" s="16"/>
      <c r="C85" s="16"/>
      <c r="D85" s="22"/>
      <c r="E85" s="16"/>
      <c r="F85" s="22"/>
      <c r="G85" s="16"/>
      <c r="H85" s="16"/>
      <c r="I85" s="23"/>
      <c r="J85" s="16"/>
      <c r="K85" s="16"/>
      <c r="L85" s="2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6" spans="1:32" ht="13">
      <c r="A86" s="21"/>
      <c r="B86" s="16"/>
      <c r="C86" s="16"/>
      <c r="D86" s="22"/>
      <c r="E86" s="16"/>
      <c r="F86" s="22"/>
      <c r="G86" s="16"/>
      <c r="H86" s="16"/>
      <c r="I86" s="23"/>
      <c r="J86" s="16"/>
      <c r="K86" s="16"/>
      <c r="L86" s="2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</row>
    <row r="87" spans="1:32" ht="13">
      <c r="A87" s="21"/>
      <c r="B87" s="16"/>
      <c r="C87" s="16"/>
      <c r="D87" s="22"/>
      <c r="E87" s="16"/>
      <c r="F87" s="22"/>
      <c r="G87" s="16"/>
      <c r="H87" s="16"/>
      <c r="I87" s="23"/>
      <c r="J87" s="16"/>
      <c r="K87" s="16"/>
      <c r="L87" s="25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</row>
    <row r="88" spans="1:32" ht="13">
      <c r="A88" s="21"/>
      <c r="B88" s="16"/>
      <c r="C88" s="16"/>
      <c r="D88" s="22"/>
      <c r="E88" s="16"/>
      <c r="F88" s="22"/>
      <c r="G88" s="16"/>
      <c r="H88" s="16"/>
      <c r="I88" s="23"/>
      <c r="J88" s="16"/>
      <c r="K88" s="16"/>
      <c r="L88" s="25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</row>
    <row r="89" spans="1:32" ht="13">
      <c r="A89" s="21"/>
      <c r="B89" s="16"/>
      <c r="C89" s="16"/>
      <c r="D89" s="22"/>
      <c r="E89" s="16"/>
      <c r="F89" s="22"/>
      <c r="G89" s="16"/>
      <c r="H89" s="16"/>
      <c r="I89" s="23"/>
      <c r="J89" s="16"/>
      <c r="K89" s="16"/>
      <c r="L89" s="25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 spans="1:32" ht="13">
      <c r="A90" s="21"/>
      <c r="B90" s="16"/>
      <c r="C90" s="16"/>
      <c r="D90" s="22"/>
      <c r="E90" s="16"/>
      <c r="F90" s="22"/>
      <c r="G90" s="16"/>
      <c r="H90" s="16"/>
      <c r="I90" s="23"/>
      <c r="J90" s="16"/>
      <c r="K90" s="16"/>
      <c r="L90" s="25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spans="1:32" ht="13">
      <c r="A91" s="21"/>
      <c r="B91" s="16"/>
      <c r="C91" s="16"/>
      <c r="D91" s="22"/>
      <c r="E91" s="16"/>
      <c r="F91" s="22"/>
      <c r="G91" s="16"/>
      <c r="H91" s="16"/>
      <c r="I91" s="23"/>
      <c r="J91" s="16"/>
      <c r="K91" s="16"/>
      <c r="L91" s="25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 spans="1:32" ht="13">
      <c r="A92" s="21"/>
      <c r="B92" s="16"/>
      <c r="C92" s="16"/>
      <c r="D92" s="22"/>
      <c r="E92" s="16"/>
      <c r="F92" s="22"/>
      <c r="G92" s="16"/>
      <c r="H92" s="16"/>
      <c r="I92" s="23"/>
      <c r="J92" s="16"/>
      <c r="K92" s="16"/>
      <c r="L92" s="2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  <row r="93" spans="1:32" ht="13">
      <c r="A93" s="21"/>
      <c r="B93" s="16"/>
      <c r="C93" s="16"/>
      <c r="D93" s="22"/>
      <c r="E93" s="16"/>
      <c r="F93" s="22"/>
      <c r="G93" s="16"/>
      <c r="H93" s="16"/>
      <c r="I93" s="23"/>
      <c r="J93" s="16"/>
      <c r="K93" s="16"/>
      <c r="L93" s="2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 spans="1:32" ht="13">
      <c r="A94" s="21"/>
      <c r="B94" s="16"/>
      <c r="C94" s="16"/>
      <c r="D94" s="22"/>
      <c r="E94" s="16"/>
      <c r="F94" s="22"/>
      <c r="G94" s="16"/>
      <c r="H94" s="16"/>
      <c r="I94" s="23"/>
      <c r="J94" s="16"/>
      <c r="K94" s="16"/>
      <c r="L94" s="2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</row>
    <row r="95" spans="1:32" ht="13">
      <c r="A95" s="21"/>
      <c r="B95" s="16"/>
      <c r="C95" s="16"/>
      <c r="D95" s="22"/>
      <c r="E95" s="16"/>
      <c r="F95" s="22"/>
      <c r="G95" s="16"/>
      <c r="H95" s="16"/>
      <c r="I95" s="23"/>
      <c r="J95" s="16"/>
      <c r="K95" s="16"/>
      <c r="L95" s="25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</row>
    <row r="96" spans="1:32" ht="13">
      <c r="A96" s="21"/>
      <c r="B96" s="16"/>
      <c r="C96" s="16"/>
      <c r="D96" s="22"/>
      <c r="E96" s="16"/>
      <c r="F96" s="22"/>
      <c r="G96" s="16"/>
      <c r="H96" s="16"/>
      <c r="I96" s="23"/>
      <c r="J96" s="16"/>
      <c r="K96" s="16"/>
      <c r="L96" s="25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 spans="1:32" ht="13">
      <c r="A97" s="21"/>
      <c r="B97" s="16"/>
      <c r="C97" s="16"/>
      <c r="D97" s="22"/>
      <c r="E97" s="16"/>
      <c r="F97" s="22"/>
      <c r="G97" s="16"/>
      <c r="H97" s="16"/>
      <c r="I97" s="23"/>
      <c r="J97" s="16"/>
      <c r="K97" s="16"/>
      <c r="L97" s="25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spans="1:32" ht="13">
      <c r="A98" s="21"/>
      <c r="B98" s="16"/>
      <c r="C98" s="16"/>
      <c r="D98" s="22"/>
      <c r="E98" s="16"/>
      <c r="F98" s="22"/>
      <c r="G98" s="16"/>
      <c r="H98" s="16"/>
      <c r="I98" s="23"/>
      <c r="J98" s="16"/>
      <c r="K98" s="16"/>
      <c r="L98" s="25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 spans="1:32" ht="13">
      <c r="A99" s="21"/>
      <c r="B99" s="16"/>
      <c r="C99" s="16"/>
      <c r="D99" s="22"/>
      <c r="E99" s="16"/>
      <c r="F99" s="22"/>
      <c r="G99" s="16"/>
      <c r="H99" s="16"/>
      <c r="I99" s="23"/>
      <c r="J99" s="16"/>
      <c r="K99" s="16"/>
      <c r="L99" s="25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</row>
    <row r="100" spans="1:32" ht="13">
      <c r="A100" s="21"/>
      <c r="B100" s="16"/>
      <c r="C100" s="16"/>
      <c r="D100" s="22"/>
      <c r="E100" s="16"/>
      <c r="F100" s="22"/>
      <c r="G100" s="16"/>
      <c r="H100" s="16"/>
      <c r="I100" s="23"/>
      <c r="J100" s="16"/>
      <c r="K100" s="16"/>
      <c r="L100" s="25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</row>
    <row r="101" spans="1:32" ht="13">
      <c r="A101" s="21"/>
      <c r="B101" s="16"/>
      <c r="C101" s="16"/>
      <c r="D101" s="22"/>
      <c r="E101" s="16"/>
      <c r="F101" s="22"/>
      <c r="G101" s="16"/>
      <c r="H101" s="16"/>
      <c r="I101" s="23"/>
      <c r="J101" s="16"/>
      <c r="K101" s="16"/>
      <c r="L101" s="25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</row>
    <row r="102" spans="1:32" ht="13">
      <c r="A102" s="21"/>
      <c r="B102" s="16"/>
      <c r="C102" s="16"/>
      <c r="D102" s="22"/>
      <c r="E102" s="16"/>
      <c r="F102" s="22"/>
      <c r="G102" s="16"/>
      <c r="H102" s="16"/>
      <c r="I102" s="23"/>
      <c r="J102" s="16"/>
      <c r="K102" s="16"/>
      <c r="L102" s="25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</row>
    <row r="103" spans="1:32" ht="13">
      <c r="A103" s="21"/>
      <c r="B103" s="16"/>
      <c r="C103" s="16"/>
      <c r="D103" s="22"/>
      <c r="E103" s="16"/>
      <c r="F103" s="22"/>
      <c r="G103" s="16"/>
      <c r="H103" s="16"/>
      <c r="I103" s="23"/>
      <c r="J103" s="16"/>
      <c r="K103" s="16"/>
      <c r="L103" s="25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</row>
    <row r="104" spans="1:32" ht="13">
      <c r="A104" s="21"/>
      <c r="B104" s="16"/>
      <c r="C104" s="16"/>
      <c r="D104" s="22"/>
      <c r="E104" s="16"/>
      <c r="F104" s="22"/>
      <c r="G104" s="16"/>
      <c r="H104" s="16"/>
      <c r="I104" s="23"/>
      <c r="J104" s="16"/>
      <c r="K104" s="16"/>
      <c r="L104" s="25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spans="1:32" ht="13">
      <c r="A105" s="21"/>
      <c r="B105" s="16"/>
      <c r="C105" s="16"/>
      <c r="D105" s="22"/>
      <c r="E105" s="16"/>
      <c r="F105" s="22"/>
      <c r="G105" s="16"/>
      <c r="H105" s="16"/>
      <c r="I105" s="23"/>
      <c r="J105" s="16"/>
      <c r="K105" s="16"/>
      <c r="L105" s="25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</row>
    <row r="106" spans="1:32" ht="13">
      <c r="A106" s="21"/>
      <c r="B106" s="16"/>
      <c r="C106" s="16"/>
      <c r="D106" s="22"/>
      <c r="E106" s="16"/>
      <c r="F106" s="22"/>
      <c r="G106" s="16"/>
      <c r="H106" s="16"/>
      <c r="I106" s="23"/>
      <c r="J106" s="16"/>
      <c r="K106" s="16"/>
      <c r="L106" s="25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</row>
    <row r="107" spans="1:32" ht="13">
      <c r="A107" s="21"/>
      <c r="B107" s="16"/>
      <c r="C107" s="16"/>
      <c r="D107" s="22"/>
      <c r="E107" s="16"/>
      <c r="F107" s="22"/>
      <c r="G107" s="16"/>
      <c r="H107" s="16"/>
      <c r="I107" s="23"/>
      <c r="J107" s="16"/>
      <c r="K107" s="16"/>
      <c r="L107" s="25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</row>
    <row r="108" spans="1:32" ht="13">
      <c r="A108" s="21"/>
      <c r="B108" s="16"/>
      <c r="C108" s="16"/>
      <c r="D108" s="22"/>
      <c r="E108" s="16"/>
      <c r="F108" s="22"/>
      <c r="G108" s="16"/>
      <c r="H108" s="16"/>
      <c r="I108" s="23"/>
      <c r="J108" s="16"/>
      <c r="K108" s="16"/>
      <c r="L108" s="25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spans="1:32" ht="13">
      <c r="A109" s="21"/>
      <c r="B109" s="16"/>
      <c r="C109" s="16"/>
      <c r="D109" s="22"/>
      <c r="E109" s="16"/>
      <c r="F109" s="22"/>
      <c r="G109" s="16"/>
      <c r="H109" s="16"/>
      <c r="I109" s="23"/>
      <c r="J109" s="16"/>
      <c r="K109" s="16"/>
      <c r="L109" s="25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 spans="1:32" ht="13">
      <c r="A110" s="21"/>
      <c r="B110" s="16"/>
      <c r="C110" s="16"/>
      <c r="D110" s="22"/>
      <c r="E110" s="16"/>
      <c r="F110" s="22"/>
      <c r="G110" s="16"/>
      <c r="H110" s="16"/>
      <c r="I110" s="23"/>
      <c r="J110" s="16"/>
      <c r="K110" s="16"/>
      <c r="L110" s="25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 spans="1:32" ht="13">
      <c r="A111" s="21"/>
      <c r="B111" s="16"/>
      <c r="C111" s="16"/>
      <c r="D111" s="22"/>
      <c r="E111" s="16"/>
      <c r="F111" s="22"/>
      <c r="G111" s="16"/>
      <c r="H111" s="16"/>
      <c r="I111" s="23"/>
      <c r="J111" s="16"/>
      <c r="K111" s="16"/>
      <c r="L111" s="25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 spans="1:32" ht="13">
      <c r="A112" s="21"/>
      <c r="B112" s="16"/>
      <c r="C112" s="16"/>
      <c r="D112" s="22"/>
      <c r="E112" s="16"/>
      <c r="F112" s="22"/>
      <c r="G112" s="16"/>
      <c r="H112" s="16"/>
      <c r="I112" s="23"/>
      <c r="J112" s="16"/>
      <c r="K112" s="16"/>
      <c r="L112" s="25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  <row r="113" spans="1:32" ht="13">
      <c r="A113" s="21"/>
      <c r="B113" s="16"/>
      <c r="C113" s="16"/>
      <c r="D113" s="22"/>
      <c r="E113" s="16"/>
      <c r="F113" s="22"/>
      <c r="G113" s="16"/>
      <c r="H113" s="16"/>
      <c r="I113" s="23"/>
      <c r="J113" s="16"/>
      <c r="K113" s="16"/>
      <c r="L113" s="25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</row>
    <row r="114" spans="1:32" ht="13">
      <c r="A114" s="21"/>
      <c r="B114" s="16"/>
      <c r="C114" s="16"/>
      <c r="D114" s="22"/>
      <c r="E114" s="16"/>
      <c r="F114" s="22"/>
      <c r="G114" s="16"/>
      <c r="H114" s="16"/>
      <c r="I114" s="23"/>
      <c r="J114" s="16"/>
      <c r="K114" s="16"/>
      <c r="L114" s="25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</row>
    <row r="115" spans="1:32" ht="13">
      <c r="A115" s="21"/>
      <c r="B115" s="16"/>
      <c r="C115" s="16"/>
      <c r="D115" s="22"/>
      <c r="E115" s="16"/>
      <c r="F115" s="22"/>
      <c r="G115" s="16"/>
      <c r="H115" s="16"/>
      <c r="I115" s="23"/>
      <c r="J115" s="16"/>
      <c r="K115" s="16"/>
      <c r="L115" s="25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</row>
    <row r="116" spans="1:32" ht="13">
      <c r="A116" s="21"/>
      <c r="B116" s="16"/>
      <c r="C116" s="16"/>
      <c r="D116" s="22"/>
      <c r="E116" s="16"/>
      <c r="F116" s="22"/>
      <c r="G116" s="16"/>
      <c r="H116" s="16"/>
      <c r="I116" s="23"/>
      <c r="J116" s="16"/>
      <c r="K116" s="16"/>
      <c r="L116" s="25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</row>
    <row r="117" spans="1:32" ht="13">
      <c r="A117" s="21"/>
      <c r="B117" s="16"/>
      <c r="C117" s="16"/>
      <c r="D117" s="22"/>
      <c r="E117" s="16"/>
      <c r="F117" s="22"/>
      <c r="G117" s="16"/>
      <c r="H117" s="16"/>
      <c r="I117" s="23"/>
      <c r="J117" s="16"/>
      <c r="K117" s="16"/>
      <c r="L117" s="25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</row>
    <row r="118" spans="1:32" ht="13">
      <c r="A118" s="21"/>
      <c r="B118" s="16"/>
      <c r="C118" s="16"/>
      <c r="D118" s="22"/>
      <c r="E118" s="16"/>
      <c r="F118" s="22"/>
      <c r="G118" s="16"/>
      <c r="H118" s="16"/>
      <c r="I118" s="23"/>
      <c r="J118" s="16"/>
      <c r="K118" s="16"/>
      <c r="L118" s="25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</row>
    <row r="119" spans="1:32" ht="13">
      <c r="A119" s="21"/>
      <c r="B119" s="16"/>
      <c r="C119" s="16"/>
      <c r="D119" s="22"/>
      <c r="E119" s="16"/>
      <c r="F119" s="22"/>
      <c r="G119" s="16"/>
      <c r="H119" s="16"/>
      <c r="I119" s="23"/>
      <c r="J119" s="16"/>
      <c r="K119" s="16"/>
      <c r="L119" s="25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</row>
    <row r="120" spans="1:32" ht="13">
      <c r="A120" s="21"/>
      <c r="B120" s="16"/>
      <c r="C120" s="16"/>
      <c r="D120" s="22"/>
      <c r="E120" s="16"/>
      <c r="F120" s="22"/>
      <c r="G120" s="16"/>
      <c r="H120" s="16"/>
      <c r="I120" s="23"/>
      <c r="J120" s="16"/>
      <c r="K120" s="16"/>
      <c r="L120" s="25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spans="1:32" ht="13">
      <c r="A121" s="21"/>
      <c r="B121" s="16"/>
      <c r="C121" s="16"/>
      <c r="D121" s="22"/>
      <c r="E121" s="16"/>
      <c r="F121" s="22"/>
      <c r="G121" s="16"/>
      <c r="H121" s="16"/>
      <c r="I121" s="23"/>
      <c r="J121" s="16"/>
      <c r="K121" s="16"/>
      <c r="L121" s="25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spans="1:32" ht="13">
      <c r="A122" s="21"/>
      <c r="B122" s="16"/>
      <c r="C122" s="16"/>
      <c r="D122" s="22"/>
      <c r="E122" s="16"/>
      <c r="F122" s="22"/>
      <c r="G122" s="16"/>
      <c r="H122" s="16"/>
      <c r="I122" s="23"/>
      <c r="J122" s="16"/>
      <c r="K122" s="16"/>
      <c r="L122" s="2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32" ht="13">
      <c r="A123" s="21"/>
      <c r="B123" s="16"/>
      <c r="C123" s="16"/>
      <c r="D123" s="22"/>
      <c r="E123" s="16"/>
      <c r="F123" s="22"/>
      <c r="G123" s="16"/>
      <c r="H123" s="16"/>
      <c r="I123" s="23"/>
      <c r="J123" s="16"/>
      <c r="K123" s="16"/>
      <c r="L123" s="25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 spans="1:32" ht="13">
      <c r="A124" s="21"/>
      <c r="B124" s="16"/>
      <c r="C124" s="16"/>
      <c r="D124" s="22"/>
      <c r="E124" s="16"/>
      <c r="F124" s="22"/>
      <c r="G124" s="16"/>
      <c r="H124" s="16"/>
      <c r="I124" s="23"/>
      <c r="J124" s="16"/>
      <c r="K124" s="16"/>
      <c r="L124" s="25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spans="1:32" ht="13">
      <c r="A125" s="21"/>
      <c r="B125" s="16"/>
      <c r="C125" s="16"/>
      <c r="D125" s="22"/>
      <c r="E125" s="16"/>
      <c r="F125" s="22"/>
      <c r="G125" s="16"/>
      <c r="H125" s="16"/>
      <c r="I125" s="23"/>
      <c r="J125" s="16"/>
      <c r="K125" s="16"/>
      <c r="L125" s="25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spans="1:32" ht="13">
      <c r="A126" s="21"/>
      <c r="B126" s="16"/>
      <c r="C126" s="16"/>
      <c r="D126" s="22"/>
      <c r="E126" s="16"/>
      <c r="F126" s="22"/>
      <c r="G126" s="16"/>
      <c r="H126" s="16"/>
      <c r="I126" s="23"/>
      <c r="J126" s="16"/>
      <c r="K126" s="16"/>
      <c r="L126" s="25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spans="1:32" ht="13">
      <c r="A127" s="21"/>
      <c r="B127" s="16"/>
      <c r="C127" s="16"/>
      <c r="D127" s="22"/>
      <c r="E127" s="16"/>
      <c r="F127" s="22"/>
      <c r="G127" s="16"/>
      <c r="H127" s="16"/>
      <c r="I127" s="23"/>
      <c r="J127" s="16"/>
      <c r="K127" s="16"/>
      <c r="L127" s="25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</row>
    <row r="128" spans="1:32" ht="13">
      <c r="A128" s="21"/>
      <c r="B128" s="16"/>
      <c r="C128" s="16"/>
      <c r="D128" s="22"/>
      <c r="E128" s="16"/>
      <c r="F128" s="22"/>
      <c r="G128" s="16"/>
      <c r="H128" s="16"/>
      <c r="I128" s="23"/>
      <c r="J128" s="16"/>
      <c r="K128" s="16"/>
      <c r="L128" s="25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32" ht="13">
      <c r="A129" s="21"/>
      <c r="B129" s="16"/>
      <c r="C129" s="16"/>
      <c r="D129" s="22"/>
      <c r="E129" s="16"/>
      <c r="F129" s="22"/>
      <c r="G129" s="16"/>
      <c r="H129" s="16"/>
      <c r="I129" s="23"/>
      <c r="J129" s="16"/>
      <c r="K129" s="16"/>
      <c r="L129" s="25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 spans="1:32" ht="13">
      <c r="A130" s="21"/>
      <c r="B130" s="16"/>
      <c r="C130" s="16"/>
      <c r="D130" s="22"/>
      <c r="E130" s="16"/>
      <c r="F130" s="22"/>
      <c r="G130" s="16"/>
      <c r="H130" s="16"/>
      <c r="I130" s="23"/>
      <c r="J130" s="16"/>
      <c r="K130" s="16"/>
      <c r="L130" s="25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 spans="1:32" ht="13">
      <c r="A131" s="21"/>
      <c r="B131" s="16"/>
      <c r="C131" s="16"/>
      <c r="D131" s="22"/>
      <c r="E131" s="16"/>
      <c r="F131" s="22"/>
      <c r="G131" s="16"/>
      <c r="H131" s="16"/>
      <c r="I131" s="23"/>
      <c r="J131" s="16"/>
      <c r="K131" s="16"/>
      <c r="L131" s="25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 spans="1:32" ht="13">
      <c r="A132" s="21"/>
      <c r="B132" s="16"/>
      <c r="C132" s="16"/>
      <c r="D132" s="22"/>
      <c r="E132" s="16"/>
      <c r="F132" s="22"/>
      <c r="G132" s="16"/>
      <c r="H132" s="16"/>
      <c r="I132" s="23"/>
      <c r="J132" s="16"/>
      <c r="K132" s="16"/>
      <c r="L132" s="25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spans="1:32" ht="13">
      <c r="A133" s="21"/>
      <c r="B133" s="16"/>
      <c r="C133" s="16"/>
      <c r="D133" s="22"/>
      <c r="E133" s="16"/>
      <c r="F133" s="22"/>
      <c r="G133" s="16"/>
      <c r="H133" s="16"/>
      <c r="I133" s="23"/>
      <c r="J133" s="16"/>
      <c r="K133" s="16"/>
      <c r="L133" s="25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spans="1:32" ht="13">
      <c r="A134" s="21"/>
      <c r="B134" s="16"/>
      <c r="C134" s="16"/>
      <c r="D134" s="22"/>
      <c r="E134" s="16"/>
      <c r="F134" s="22"/>
      <c r="G134" s="16"/>
      <c r="H134" s="16"/>
      <c r="I134" s="23"/>
      <c r="J134" s="16"/>
      <c r="K134" s="16"/>
      <c r="L134" s="25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 spans="1:32" ht="13">
      <c r="A135" s="21"/>
      <c r="B135" s="16"/>
      <c r="C135" s="16"/>
      <c r="D135" s="22"/>
      <c r="E135" s="16"/>
      <c r="F135" s="22"/>
      <c r="G135" s="16"/>
      <c r="H135" s="16"/>
      <c r="I135" s="23"/>
      <c r="J135" s="16"/>
      <c r="K135" s="16"/>
      <c r="L135" s="25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</row>
    <row r="136" spans="1:32" ht="13">
      <c r="A136" s="21"/>
      <c r="B136" s="16"/>
      <c r="C136" s="16"/>
      <c r="D136" s="22"/>
      <c r="E136" s="16"/>
      <c r="F136" s="22"/>
      <c r="G136" s="16"/>
      <c r="H136" s="16"/>
      <c r="I136" s="23"/>
      <c r="J136" s="16"/>
      <c r="K136" s="16"/>
      <c r="L136" s="25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</row>
    <row r="137" spans="1:32" ht="13">
      <c r="A137" s="21"/>
      <c r="B137" s="16"/>
      <c r="C137" s="16"/>
      <c r="D137" s="22"/>
      <c r="E137" s="16"/>
      <c r="F137" s="22"/>
      <c r="G137" s="16"/>
      <c r="H137" s="16"/>
      <c r="I137" s="23"/>
      <c r="J137" s="16"/>
      <c r="K137" s="16"/>
      <c r="L137" s="25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</row>
    <row r="138" spans="1:32" ht="13">
      <c r="A138" s="21"/>
      <c r="B138" s="16"/>
      <c r="C138" s="16"/>
      <c r="D138" s="22"/>
      <c r="E138" s="16"/>
      <c r="F138" s="22"/>
      <c r="G138" s="16"/>
      <c r="H138" s="16"/>
      <c r="I138" s="23"/>
      <c r="J138" s="16"/>
      <c r="K138" s="16"/>
      <c r="L138" s="25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 spans="1:32" ht="13">
      <c r="A139" s="21"/>
      <c r="B139" s="16"/>
      <c r="C139" s="16"/>
      <c r="D139" s="22"/>
      <c r="E139" s="16"/>
      <c r="F139" s="22"/>
      <c r="G139" s="16"/>
      <c r="H139" s="16"/>
      <c r="I139" s="23"/>
      <c r="J139" s="16"/>
      <c r="K139" s="16"/>
      <c r="L139" s="25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</row>
    <row r="140" spans="1:32" ht="13">
      <c r="A140" s="21"/>
      <c r="B140" s="16"/>
      <c r="C140" s="16"/>
      <c r="D140" s="22"/>
      <c r="E140" s="16"/>
      <c r="F140" s="22"/>
      <c r="G140" s="16"/>
      <c r="H140" s="16"/>
      <c r="I140" s="23"/>
      <c r="J140" s="16"/>
      <c r="K140" s="16"/>
      <c r="L140" s="2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 spans="1:32" ht="13">
      <c r="A141" s="21"/>
      <c r="B141" s="16"/>
      <c r="C141" s="16"/>
      <c r="D141" s="22"/>
      <c r="E141" s="16"/>
      <c r="F141" s="22"/>
      <c r="G141" s="16"/>
      <c r="H141" s="16"/>
      <c r="I141" s="23"/>
      <c r="J141" s="16"/>
      <c r="K141" s="16"/>
      <c r="L141" s="2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spans="1:32" ht="13">
      <c r="A142" s="21"/>
      <c r="B142" s="16"/>
      <c r="C142" s="16"/>
      <c r="D142" s="22"/>
      <c r="E142" s="16"/>
      <c r="F142" s="22"/>
      <c r="G142" s="16"/>
      <c r="H142" s="16"/>
      <c r="I142" s="23"/>
      <c r="J142" s="16"/>
      <c r="K142" s="16"/>
      <c r="L142" s="2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spans="1:32" ht="13">
      <c r="A143" s="21"/>
      <c r="B143" s="16"/>
      <c r="C143" s="16"/>
      <c r="D143" s="22"/>
      <c r="E143" s="16"/>
      <c r="F143" s="22"/>
      <c r="G143" s="16"/>
      <c r="H143" s="16"/>
      <c r="I143" s="23"/>
      <c r="J143" s="16"/>
      <c r="K143" s="16"/>
      <c r="L143" s="25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spans="1:32" ht="13">
      <c r="A144" s="21"/>
      <c r="B144" s="16"/>
      <c r="C144" s="16"/>
      <c r="D144" s="22"/>
      <c r="E144" s="16"/>
      <c r="F144" s="22"/>
      <c r="G144" s="16"/>
      <c r="H144" s="16"/>
      <c r="I144" s="23"/>
      <c r="J144" s="16"/>
      <c r="K144" s="16"/>
      <c r="L144" s="25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 spans="1:32" ht="13">
      <c r="A145" s="21"/>
      <c r="B145" s="16"/>
      <c r="C145" s="16"/>
      <c r="D145" s="22"/>
      <c r="E145" s="16"/>
      <c r="F145" s="22"/>
      <c r="G145" s="16"/>
      <c r="H145" s="16"/>
      <c r="I145" s="23"/>
      <c r="J145" s="16"/>
      <c r="K145" s="16"/>
      <c r="L145" s="25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 spans="1:32" ht="13">
      <c r="A146" s="21"/>
      <c r="B146" s="16"/>
      <c r="C146" s="16"/>
      <c r="D146" s="22"/>
      <c r="E146" s="16"/>
      <c r="F146" s="22"/>
      <c r="G146" s="16"/>
      <c r="H146" s="16"/>
      <c r="I146" s="23"/>
      <c r="J146" s="16"/>
      <c r="K146" s="16"/>
      <c r="L146" s="25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 spans="1:32" ht="13">
      <c r="A147" s="21"/>
      <c r="B147" s="16"/>
      <c r="C147" s="16"/>
      <c r="D147" s="22"/>
      <c r="E147" s="16"/>
      <c r="F147" s="22"/>
      <c r="G147" s="16"/>
      <c r="H147" s="16"/>
      <c r="I147" s="23"/>
      <c r="J147" s="16"/>
      <c r="K147" s="16"/>
      <c r="L147" s="25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 spans="1:32" ht="13">
      <c r="A148" s="21"/>
      <c r="B148" s="16"/>
      <c r="C148" s="16"/>
      <c r="D148" s="22"/>
      <c r="E148" s="16"/>
      <c r="F148" s="22"/>
      <c r="G148" s="16"/>
      <c r="H148" s="16"/>
      <c r="I148" s="23"/>
      <c r="J148" s="16"/>
      <c r="K148" s="16"/>
      <c r="L148" s="2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spans="1:32" ht="13">
      <c r="A149" s="21"/>
      <c r="B149" s="16"/>
      <c r="C149" s="16"/>
      <c r="D149" s="22"/>
      <c r="E149" s="16"/>
      <c r="F149" s="22"/>
      <c r="G149" s="16"/>
      <c r="H149" s="16"/>
      <c r="I149" s="23"/>
      <c r="J149" s="16"/>
      <c r="K149" s="16"/>
      <c r="L149" s="2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spans="1:32" ht="13">
      <c r="A150" s="21"/>
      <c r="B150" s="16"/>
      <c r="C150" s="16"/>
      <c r="D150" s="22"/>
      <c r="E150" s="16"/>
      <c r="F150" s="22"/>
      <c r="G150" s="16"/>
      <c r="H150" s="16"/>
      <c r="I150" s="23"/>
      <c r="J150" s="16"/>
      <c r="K150" s="16"/>
      <c r="L150" s="2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spans="1:32" ht="13">
      <c r="A151" s="21"/>
      <c r="B151" s="16"/>
      <c r="C151" s="16"/>
      <c r="D151" s="22"/>
      <c r="E151" s="16"/>
      <c r="F151" s="22"/>
      <c r="G151" s="16"/>
      <c r="H151" s="16"/>
      <c r="I151" s="23"/>
      <c r="J151" s="16"/>
      <c r="K151" s="16"/>
      <c r="L151" s="25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 spans="1:32" ht="13">
      <c r="A152" s="21"/>
      <c r="B152" s="16"/>
      <c r="C152" s="16"/>
      <c r="D152" s="22"/>
      <c r="E152" s="16"/>
      <c r="F152" s="22"/>
      <c r="G152" s="16"/>
      <c r="H152" s="16"/>
      <c r="I152" s="23"/>
      <c r="J152" s="16"/>
      <c r="K152" s="16"/>
      <c r="L152" s="25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 spans="1:32" ht="13">
      <c r="A153" s="21"/>
      <c r="B153" s="16"/>
      <c r="C153" s="16"/>
      <c r="D153" s="22"/>
      <c r="E153" s="16"/>
      <c r="F153" s="22"/>
      <c r="G153" s="16"/>
      <c r="H153" s="16"/>
      <c r="I153" s="23"/>
      <c r="J153" s="16"/>
      <c r="K153" s="16"/>
      <c r="L153" s="25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 ht="13">
      <c r="A154" s="21"/>
      <c r="B154" s="16"/>
      <c r="C154" s="16"/>
      <c r="D154" s="22"/>
      <c r="E154" s="16"/>
      <c r="F154" s="22"/>
      <c r="G154" s="16"/>
      <c r="H154" s="16"/>
      <c r="I154" s="23"/>
      <c r="J154" s="16"/>
      <c r="K154" s="16"/>
      <c r="L154" s="25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 spans="1:32" ht="13">
      <c r="A155" s="21"/>
      <c r="B155" s="16"/>
      <c r="C155" s="16"/>
      <c r="D155" s="22"/>
      <c r="E155" s="16"/>
      <c r="F155" s="22"/>
      <c r="G155" s="16"/>
      <c r="H155" s="16"/>
      <c r="I155" s="23"/>
      <c r="J155" s="16"/>
      <c r="K155" s="16"/>
      <c r="L155" s="25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spans="1:32" ht="13">
      <c r="A156" s="21"/>
      <c r="B156" s="16"/>
      <c r="C156" s="16"/>
      <c r="D156" s="22"/>
      <c r="E156" s="16"/>
      <c r="F156" s="22"/>
      <c r="G156" s="16"/>
      <c r="H156" s="16"/>
      <c r="I156" s="23"/>
      <c r="J156" s="16"/>
      <c r="K156" s="16"/>
      <c r="L156" s="2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 spans="1:32" ht="13">
      <c r="A157" s="21"/>
      <c r="B157" s="16"/>
      <c r="C157" s="16"/>
      <c r="D157" s="22"/>
      <c r="E157" s="16"/>
      <c r="F157" s="22"/>
      <c r="G157" s="16"/>
      <c r="H157" s="16"/>
      <c r="I157" s="23"/>
      <c r="J157" s="16"/>
      <c r="K157" s="16"/>
      <c r="L157" s="2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 spans="1:32" ht="13">
      <c r="A158" s="21"/>
      <c r="B158" s="16"/>
      <c r="C158" s="16"/>
      <c r="D158" s="22"/>
      <c r="E158" s="16"/>
      <c r="F158" s="22"/>
      <c r="G158" s="16"/>
      <c r="H158" s="16"/>
      <c r="I158" s="23"/>
      <c r="J158" s="16"/>
      <c r="K158" s="16"/>
      <c r="L158" s="2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 spans="1:32" ht="13">
      <c r="A159" s="21"/>
      <c r="B159" s="16"/>
      <c r="C159" s="16"/>
      <c r="D159" s="22"/>
      <c r="E159" s="16"/>
      <c r="F159" s="22"/>
      <c r="G159" s="16"/>
      <c r="H159" s="16"/>
      <c r="I159" s="23"/>
      <c r="J159" s="16"/>
      <c r="K159" s="16"/>
      <c r="L159" s="25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 spans="1:32" ht="13">
      <c r="A160" s="21"/>
      <c r="B160" s="16"/>
      <c r="C160" s="16"/>
      <c r="D160" s="22"/>
      <c r="E160" s="16"/>
      <c r="F160" s="22"/>
      <c r="G160" s="16"/>
      <c r="H160" s="16"/>
      <c r="I160" s="23"/>
      <c r="J160" s="16"/>
      <c r="K160" s="16"/>
      <c r="L160" s="25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 spans="1:32" ht="13">
      <c r="A161" s="21"/>
      <c r="B161" s="16"/>
      <c r="C161" s="16"/>
      <c r="D161" s="22"/>
      <c r="E161" s="16"/>
      <c r="F161" s="22"/>
      <c r="G161" s="16"/>
      <c r="H161" s="16"/>
      <c r="I161" s="23"/>
      <c r="J161" s="16"/>
      <c r="K161" s="16"/>
      <c r="L161" s="25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 spans="1:32" ht="13">
      <c r="A162" s="21"/>
      <c r="B162" s="16"/>
      <c r="C162" s="16"/>
      <c r="D162" s="22"/>
      <c r="E162" s="16"/>
      <c r="F162" s="22"/>
      <c r="G162" s="16"/>
      <c r="H162" s="16"/>
      <c r="I162" s="23"/>
      <c r="J162" s="16"/>
      <c r="K162" s="16"/>
      <c r="L162" s="25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 spans="1:32" ht="13">
      <c r="A163" s="21"/>
      <c r="B163" s="16"/>
      <c r="C163" s="16"/>
      <c r="D163" s="22"/>
      <c r="E163" s="16"/>
      <c r="F163" s="22"/>
      <c r="G163" s="16"/>
      <c r="H163" s="16"/>
      <c r="I163" s="23"/>
      <c r="J163" s="16"/>
      <c r="K163" s="16"/>
      <c r="L163" s="25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spans="1:32" ht="13">
      <c r="A164" s="21"/>
      <c r="B164" s="16"/>
      <c r="C164" s="16"/>
      <c r="D164" s="22"/>
      <c r="E164" s="16"/>
      <c r="F164" s="22"/>
      <c r="G164" s="16"/>
      <c r="H164" s="16"/>
      <c r="I164" s="23"/>
      <c r="J164" s="16"/>
      <c r="K164" s="16"/>
      <c r="L164" s="2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spans="1:32" ht="13">
      <c r="A165" s="21"/>
      <c r="B165" s="16"/>
      <c r="C165" s="16"/>
      <c r="D165" s="22"/>
      <c r="E165" s="16"/>
      <c r="F165" s="22"/>
      <c r="G165" s="16"/>
      <c r="H165" s="16"/>
      <c r="I165" s="23"/>
      <c r="J165" s="16"/>
      <c r="K165" s="16"/>
      <c r="L165" s="2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spans="1:32" ht="13">
      <c r="A166" s="21"/>
      <c r="B166" s="16"/>
      <c r="C166" s="16"/>
      <c r="D166" s="22"/>
      <c r="E166" s="16"/>
      <c r="F166" s="22"/>
      <c r="G166" s="16"/>
      <c r="H166" s="16"/>
      <c r="I166" s="23"/>
      <c r="J166" s="16"/>
      <c r="K166" s="16"/>
      <c r="L166" s="2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 spans="1:32" ht="13">
      <c r="A167" s="21"/>
      <c r="B167" s="16"/>
      <c r="C167" s="16"/>
      <c r="D167" s="22"/>
      <c r="E167" s="16"/>
      <c r="F167" s="22"/>
      <c r="G167" s="16"/>
      <c r="H167" s="16"/>
      <c r="I167" s="23"/>
      <c r="J167" s="16"/>
      <c r="K167" s="16"/>
      <c r="L167" s="25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 spans="1:32" ht="13">
      <c r="A168" s="21"/>
      <c r="B168" s="16"/>
      <c r="C168" s="16"/>
      <c r="D168" s="22"/>
      <c r="E168" s="16"/>
      <c r="F168" s="22"/>
      <c r="G168" s="16"/>
      <c r="H168" s="16"/>
      <c r="I168" s="23"/>
      <c r="J168" s="16"/>
      <c r="K168" s="16"/>
      <c r="L168" s="25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 spans="1:32" ht="13">
      <c r="A169" s="21"/>
      <c r="B169" s="16"/>
      <c r="C169" s="16"/>
      <c r="D169" s="22"/>
      <c r="E169" s="16"/>
      <c r="F169" s="22"/>
      <c r="G169" s="16"/>
      <c r="H169" s="16"/>
      <c r="I169" s="23"/>
      <c r="J169" s="16"/>
      <c r="K169" s="16"/>
      <c r="L169" s="25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 spans="1:32" ht="13">
      <c r="A170" s="21"/>
      <c r="B170" s="16"/>
      <c r="C170" s="16"/>
      <c r="D170" s="22"/>
      <c r="E170" s="16"/>
      <c r="F170" s="22"/>
      <c r="G170" s="16"/>
      <c r="H170" s="16"/>
      <c r="I170" s="23"/>
      <c r="J170" s="16"/>
      <c r="K170" s="16"/>
      <c r="L170" s="25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spans="1:32" ht="13">
      <c r="A171" s="21"/>
      <c r="B171" s="16"/>
      <c r="C171" s="16"/>
      <c r="D171" s="22"/>
      <c r="E171" s="16"/>
      <c r="F171" s="22"/>
      <c r="G171" s="16"/>
      <c r="H171" s="16"/>
      <c r="I171" s="23"/>
      <c r="J171" s="16"/>
      <c r="K171" s="16"/>
      <c r="L171" s="25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spans="1:32" ht="13">
      <c r="A172" s="21"/>
      <c r="B172" s="16"/>
      <c r="C172" s="16"/>
      <c r="D172" s="22"/>
      <c r="E172" s="16"/>
      <c r="F172" s="22"/>
      <c r="G172" s="16"/>
      <c r="H172" s="16"/>
      <c r="I172" s="23"/>
      <c r="J172" s="16"/>
      <c r="K172" s="16"/>
      <c r="L172" s="2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spans="1:32" ht="13">
      <c r="A173" s="21"/>
      <c r="B173" s="16"/>
      <c r="C173" s="16"/>
      <c r="D173" s="22"/>
      <c r="E173" s="16"/>
      <c r="F173" s="22"/>
      <c r="G173" s="16"/>
      <c r="H173" s="16"/>
      <c r="I173" s="23"/>
      <c r="J173" s="16"/>
      <c r="K173" s="16"/>
      <c r="L173" s="2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 spans="1:32" ht="13">
      <c r="A174" s="21"/>
      <c r="B174" s="16"/>
      <c r="C174" s="16"/>
      <c r="D174" s="22"/>
      <c r="E174" s="16"/>
      <c r="F174" s="22"/>
      <c r="G174" s="16"/>
      <c r="H174" s="16"/>
      <c r="I174" s="23"/>
      <c r="J174" s="16"/>
      <c r="K174" s="16"/>
      <c r="L174" s="2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 spans="1:32" ht="13">
      <c r="A175" s="21"/>
      <c r="B175" s="16"/>
      <c r="C175" s="16"/>
      <c r="D175" s="22"/>
      <c r="E175" s="16"/>
      <c r="F175" s="22"/>
      <c r="G175" s="16"/>
      <c r="H175" s="16"/>
      <c r="I175" s="23"/>
      <c r="J175" s="16"/>
      <c r="K175" s="16"/>
      <c r="L175" s="25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spans="1:32" ht="13">
      <c r="A176" s="21"/>
      <c r="B176" s="16"/>
      <c r="C176" s="16"/>
      <c r="D176" s="22"/>
      <c r="E176" s="16"/>
      <c r="F176" s="22"/>
      <c r="G176" s="16"/>
      <c r="H176" s="16"/>
      <c r="I176" s="23"/>
      <c r="J176" s="16"/>
      <c r="K176" s="16"/>
      <c r="L176" s="25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spans="1:32" ht="13">
      <c r="A177" s="21"/>
      <c r="B177" s="16"/>
      <c r="C177" s="16"/>
      <c r="D177" s="22"/>
      <c r="E177" s="16"/>
      <c r="F177" s="22"/>
      <c r="G177" s="16"/>
      <c r="H177" s="16"/>
      <c r="I177" s="23"/>
      <c r="J177" s="16"/>
      <c r="K177" s="16"/>
      <c r="L177" s="25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 spans="1:32" ht="13">
      <c r="A178" s="21"/>
      <c r="B178" s="16"/>
      <c r="C178" s="16"/>
      <c r="D178" s="22"/>
      <c r="E178" s="16"/>
      <c r="F178" s="22"/>
      <c r="G178" s="16"/>
      <c r="H178" s="16"/>
      <c r="I178" s="23"/>
      <c r="J178" s="16"/>
      <c r="K178" s="16"/>
      <c r="L178" s="25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spans="1:32" ht="13">
      <c r="A179" s="21"/>
      <c r="B179" s="16"/>
      <c r="C179" s="16"/>
      <c r="D179" s="22"/>
      <c r="E179" s="16"/>
      <c r="F179" s="22"/>
      <c r="G179" s="16"/>
      <c r="H179" s="16"/>
      <c r="I179" s="23"/>
      <c r="J179" s="16"/>
      <c r="K179" s="16"/>
      <c r="L179" s="25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spans="1:32" ht="13">
      <c r="A180" s="21"/>
      <c r="B180" s="16"/>
      <c r="C180" s="16"/>
      <c r="D180" s="22"/>
      <c r="E180" s="16"/>
      <c r="F180" s="22"/>
      <c r="G180" s="16"/>
      <c r="H180" s="16"/>
      <c r="I180" s="23"/>
      <c r="J180" s="16"/>
      <c r="K180" s="16"/>
      <c r="L180" s="2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 spans="1:32" ht="13">
      <c r="A181" s="21"/>
      <c r="B181" s="16"/>
      <c r="C181" s="16"/>
      <c r="D181" s="22"/>
      <c r="E181" s="16"/>
      <c r="F181" s="22"/>
      <c r="G181" s="16"/>
      <c r="H181" s="16"/>
      <c r="I181" s="23"/>
      <c r="J181" s="16"/>
      <c r="K181" s="16"/>
      <c r="L181" s="2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spans="1:32" ht="13">
      <c r="A182" s="21"/>
      <c r="B182" s="16"/>
      <c r="C182" s="16"/>
      <c r="D182" s="22"/>
      <c r="E182" s="16"/>
      <c r="F182" s="22"/>
      <c r="G182" s="16"/>
      <c r="H182" s="16"/>
      <c r="I182" s="23"/>
      <c r="J182" s="16"/>
      <c r="K182" s="16"/>
      <c r="L182" s="2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spans="1:32" ht="13">
      <c r="A183" s="21"/>
      <c r="B183" s="16"/>
      <c r="C183" s="16"/>
      <c r="D183" s="22"/>
      <c r="E183" s="16"/>
      <c r="F183" s="22"/>
      <c r="G183" s="16"/>
      <c r="H183" s="16"/>
      <c r="I183" s="23"/>
      <c r="J183" s="16"/>
      <c r="K183" s="16"/>
      <c r="L183" s="25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spans="1:32" ht="13">
      <c r="A184" s="21"/>
      <c r="B184" s="16"/>
      <c r="C184" s="16"/>
      <c r="D184" s="22"/>
      <c r="E184" s="16"/>
      <c r="F184" s="22"/>
      <c r="G184" s="16"/>
      <c r="H184" s="16"/>
      <c r="I184" s="23"/>
      <c r="J184" s="16"/>
      <c r="K184" s="16"/>
      <c r="L184" s="25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spans="1:32" ht="13">
      <c r="A185" s="21"/>
      <c r="B185" s="16"/>
      <c r="C185" s="16"/>
      <c r="D185" s="22"/>
      <c r="E185" s="16"/>
      <c r="F185" s="22"/>
      <c r="G185" s="16"/>
      <c r="H185" s="16"/>
      <c r="I185" s="23"/>
      <c r="J185" s="16"/>
      <c r="K185" s="16"/>
      <c r="L185" s="25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spans="1:32" ht="13">
      <c r="A186" s="21"/>
      <c r="B186" s="16"/>
      <c r="C186" s="16"/>
      <c r="D186" s="22"/>
      <c r="E186" s="16"/>
      <c r="F186" s="22"/>
      <c r="G186" s="16"/>
      <c r="H186" s="16"/>
      <c r="I186" s="23"/>
      <c r="J186" s="16"/>
      <c r="K186" s="16"/>
      <c r="L186" s="25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spans="1:32" ht="13">
      <c r="A187" s="21"/>
      <c r="B187" s="16"/>
      <c r="C187" s="16"/>
      <c r="D187" s="22"/>
      <c r="E187" s="16"/>
      <c r="F187" s="22"/>
      <c r="G187" s="16"/>
      <c r="H187" s="16"/>
      <c r="I187" s="23"/>
      <c r="J187" s="16"/>
      <c r="K187" s="16"/>
      <c r="L187" s="25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spans="1:32" ht="13">
      <c r="A188" s="21"/>
      <c r="B188" s="16"/>
      <c r="C188" s="16"/>
      <c r="D188" s="22"/>
      <c r="E188" s="16"/>
      <c r="F188" s="22"/>
      <c r="G188" s="16"/>
      <c r="H188" s="16"/>
      <c r="I188" s="23"/>
      <c r="J188" s="16"/>
      <c r="K188" s="16"/>
      <c r="L188" s="2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spans="1:32" ht="13">
      <c r="A189" s="21"/>
      <c r="B189" s="16"/>
      <c r="C189" s="16"/>
      <c r="D189" s="22"/>
      <c r="E189" s="16"/>
      <c r="F189" s="22"/>
      <c r="G189" s="16"/>
      <c r="H189" s="16"/>
      <c r="I189" s="23"/>
      <c r="J189" s="16"/>
      <c r="K189" s="16"/>
      <c r="L189" s="2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spans="1:32" ht="13">
      <c r="A190" s="21"/>
      <c r="B190" s="16"/>
      <c r="C190" s="16"/>
      <c r="D190" s="22"/>
      <c r="E190" s="16"/>
      <c r="F190" s="22"/>
      <c r="G190" s="16"/>
      <c r="H190" s="16"/>
      <c r="I190" s="23"/>
      <c r="J190" s="16"/>
      <c r="K190" s="16"/>
      <c r="L190" s="2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spans="1:32" ht="13">
      <c r="A191" s="21"/>
      <c r="B191" s="16"/>
      <c r="C191" s="16"/>
      <c r="D191" s="22"/>
      <c r="E191" s="16"/>
      <c r="F191" s="22"/>
      <c r="G191" s="16"/>
      <c r="H191" s="16"/>
      <c r="I191" s="23"/>
      <c r="J191" s="16"/>
      <c r="K191" s="16"/>
      <c r="L191" s="25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spans="1:32" ht="13">
      <c r="A192" s="21"/>
      <c r="B192" s="16"/>
      <c r="C192" s="16"/>
      <c r="D192" s="22"/>
      <c r="E192" s="16"/>
      <c r="F192" s="22"/>
      <c r="G192" s="16"/>
      <c r="H192" s="16"/>
      <c r="I192" s="23"/>
      <c r="J192" s="16"/>
      <c r="K192" s="16"/>
      <c r="L192" s="25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spans="1:32" ht="13">
      <c r="A193" s="21"/>
      <c r="B193" s="16"/>
      <c r="C193" s="16"/>
      <c r="D193" s="22"/>
      <c r="E193" s="16"/>
      <c r="F193" s="22"/>
      <c r="G193" s="16"/>
      <c r="H193" s="16"/>
      <c r="I193" s="23"/>
      <c r="J193" s="16"/>
      <c r="K193" s="16"/>
      <c r="L193" s="25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spans="1:32" ht="13">
      <c r="A194" s="21"/>
      <c r="B194" s="16"/>
      <c r="C194" s="16"/>
      <c r="D194" s="22"/>
      <c r="E194" s="16"/>
      <c r="F194" s="22"/>
      <c r="G194" s="16"/>
      <c r="H194" s="16"/>
      <c r="I194" s="23"/>
      <c r="J194" s="16"/>
      <c r="K194" s="16"/>
      <c r="L194" s="25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spans="1:32" ht="13">
      <c r="A195" s="21"/>
      <c r="B195" s="16"/>
      <c r="C195" s="16"/>
      <c r="D195" s="22"/>
      <c r="E195" s="16"/>
      <c r="F195" s="22"/>
      <c r="G195" s="16"/>
      <c r="H195" s="16"/>
      <c r="I195" s="23"/>
      <c r="J195" s="16"/>
      <c r="K195" s="16"/>
      <c r="L195" s="25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spans="1:32" ht="13">
      <c r="A196" s="21"/>
      <c r="B196" s="16"/>
      <c r="C196" s="16"/>
      <c r="D196" s="22"/>
      <c r="E196" s="16"/>
      <c r="F196" s="22"/>
      <c r="G196" s="16"/>
      <c r="H196" s="16"/>
      <c r="I196" s="23"/>
      <c r="J196" s="16"/>
      <c r="K196" s="16"/>
      <c r="L196" s="2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spans="1:32" ht="13">
      <c r="A197" s="21"/>
      <c r="B197" s="16"/>
      <c r="C197" s="16"/>
      <c r="D197" s="22"/>
      <c r="E197" s="16"/>
      <c r="F197" s="22"/>
      <c r="G197" s="16"/>
      <c r="H197" s="16"/>
      <c r="I197" s="23"/>
      <c r="J197" s="16"/>
      <c r="K197" s="16"/>
      <c r="L197" s="2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spans="1:32" ht="13">
      <c r="A198" s="21"/>
      <c r="B198" s="16"/>
      <c r="C198" s="16"/>
      <c r="D198" s="22"/>
      <c r="E198" s="16"/>
      <c r="F198" s="22"/>
      <c r="G198" s="16"/>
      <c r="H198" s="16"/>
      <c r="I198" s="23"/>
      <c r="J198" s="16"/>
      <c r="K198" s="16"/>
      <c r="L198" s="2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spans="1:32" ht="13">
      <c r="A199" s="21"/>
      <c r="B199" s="16"/>
      <c r="C199" s="16"/>
      <c r="D199" s="22"/>
      <c r="E199" s="16"/>
      <c r="F199" s="22"/>
      <c r="G199" s="16"/>
      <c r="H199" s="16"/>
      <c r="I199" s="23"/>
      <c r="J199" s="16"/>
      <c r="K199" s="16"/>
      <c r="L199" s="25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spans="1:32" ht="13">
      <c r="A200" s="21"/>
      <c r="B200" s="16"/>
      <c r="C200" s="16"/>
      <c r="D200" s="22"/>
      <c r="E200" s="16"/>
      <c r="F200" s="22"/>
      <c r="G200" s="16"/>
      <c r="H200" s="16"/>
      <c r="I200" s="23"/>
      <c r="J200" s="16"/>
      <c r="K200" s="16"/>
      <c r="L200" s="25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spans="1:32" ht="13">
      <c r="A201" s="21"/>
      <c r="B201" s="16"/>
      <c r="C201" s="16"/>
      <c r="D201" s="22"/>
      <c r="E201" s="16"/>
      <c r="F201" s="22"/>
      <c r="G201" s="16"/>
      <c r="H201" s="16"/>
      <c r="I201" s="23"/>
      <c r="J201" s="16"/>
      <c r="K201" s="16"/>
      <c r="L201" s="25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spans="1:32" ht="13">
      <c r="A202" s="21"/>
      <c r="B202" s="16"/>
      <c r="C202" s="16"/>
      <c r="D202" s="22"/>
      <c r="E202" s="16"/>
      <c r="F202" s="22"/>
      <c r="G202" s="16"/>
      <c r="H202" s="16"/>
      <c r="I202" s="23"/>
      <c r="J202" s="16"/>
      <c r="K202" s="16"/>
      <c r="L202" s="25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spans="1:32" ht="13">
      <c r="A203" s="21"/>
      <c r="B203" s="16"/>
      <c r="C203" s="16"/>
      <c r="D203" s="22"/>
      <c r="E203" s="16"/>
      <c r="F203" s="22"/>
      <c r="G203" s="16"/>
      <c r="H203" s="16"/>
      <c r="I203" s="23"/>
      <c r="J203" s="16"/>
      <c r="K203" s="16"/>
      <c r="L203" s="25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spans="1:32" ht="13">
      <c r="A204" s="21"/>
      <c r="B204" s="16"/>
      <c r="C204" s="16"/>
      <c r="D204" s="22"/>
      <c r="E204" s="16"/>
      <c r="F204" s="22"/>
      <c r="G204" s="16"/>
      <c r="H204" s="16"/>
      <c r="I204" s="23"/>
      <c r="J204" s="16"/>
      <c r="K204" s="16"/>
      <c r="L204" s="2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spans="1:32" ht="13">
      <c r="A205" s="21"/>
      <c r="B205" s="16"/>
      <c r="C205" s="16"/>
      <c r="D205" s="22"/>
      <c r="E205" s="16"/>
      <c r="F205" s="22"/>
      <c r="G205" s="16"/>
      <c r="H205" s="16"/>
      <c r="I205" s="23"/>
      <c r="J205" s="16"/>
      <c r="K205" s="16"/>
      <c r="L205" s="2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spans="1:32" ht="13">
      <c r="A206" s="21"/>
      <c r="B206" s="16"/>
      <c r="C206" s="16"/>
      <c r="D206" s="22"/>
      <c r="E206" s="16"/>
      <c r="F206" s="22"/>
      <c r="G206" s="16"/>
      <c r="H206" s="16"/>
      <c r="I206" s="23"/>
      <c r="J206" s="16"/>
      <c r="K206" s="16"/>
      <c r="L206" s="2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spans="1:32" ht="13">
      <c r="A207" s="21"/>
      <c r="B207" s="16"/>
      <c r="C207" s="16"/>
      <c r="D207" s="22"/>
      <c r="E207" s="16"/>
      <c r="F207" s="22"/>
      <c r="G207" s="16"/>
      <c r="H207" s="16"/>
      <c r="I207" s="23"/>
      <c r="J207" s="16"/>
      <c r="K207" s="16"/>
      <c r="L207" s="25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spans="1:32" ht="13">
      <c r="A208" s="21"/>
      <c r="B208" s="16"/>
      <c r="C208" s="16"/>
      <c r="D208" s="22"/>
      <c r="E208" s="16"/>
      <c r="F208" s="22"/>
      <c r="G208" s="16"/>
      <c r="H208" s="16"/>
      <c r="I208" s="23"/>
      <c r="J208" s="16"/>
      <c r="K208" s="16"/>
      <c r="L208" s="25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spans="1:32" ht="13">
      <c r="A209" s="21"/>
      <c r="B209" s="16"/>
      <c r="C209" s="16"/>
      <c r="D209" s="22"/>
      <c r="E209" s="16"/>
      <c r="F209" s="22"/>
      <c r="G209" s="16"/>
      <c r="H209" s="16"/>
      <c r="I209" s="23"/>
      <c r="J209" s="16"/>
      <c r="K209" s="16"/>
      <c r="L209" s="25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spans="1:32" ht="13">
      <c r="A210" s="21"/>
      <c r="B210" s="16"/>
      <c r="C210" s="16"/>
      <c r="D210" s="22"/>
      <c r="E210" s="16"/>
      <c r="F210" s="22"/>
      <c r="G210" s="16"/>
      <c r="H210" s="16"/>
      <c r="I210" s="23"/>
      <c r="J210" s="16"/>
      <c r="K210" s="16"/>
      <c r="L210" s="25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spans="1:32" ht="13">
      <c r="A211" s="21"/>
      <c r="B211" s="16"/>
      <c r="C211" s="16"/>
      <c r="D211" s="22"/>
      <c r="E211" s="16"/>
      <c r="F211" s="22"/>
      <c r="G211" s="16"/>
      <c r="H211" s="16"/>
      <c r="I211" s="23"/>
      <c r="J211" s="16"/>
      <c r="K211" s="16"/>
      <c r="L211" s="25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spans="1:32" ht="13">
      <c r="A212" s="21"/>
      <c r="B212" s="16"/>
      <c r="C212" s="16"/>
      <c r="D212" s="22"/>
      <c r="E212" s="16"/>
      <c r="F212" s="22"/>
      <c r="G212" s="16"/>
      <c r="H212" s="16"/>
      <c r="I212" s="23"/>
      <c r="J212" s="16"/>
      <c r="K212" s="16"/>
      <c r="L212" s="2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spans="1:32" ht="13">
      <c r="A213" s="21"/>
      <c r="B213" s="16"/>
      <c r="C213" s="16"/>
      <c r="D213" s="22"/>
      <c r="E213" s="16"/>
      <c r="F213" s="22"/>
      <c r="G213" s="16"/>
      <c r="H213" s="16"/>
      <c r="I213" s="23"/>
      <c r="J213" s="16"/>
      <c r="K213" s="16"/>
      <c r="L213" s="2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spans="1:32" ht="13">
      <c r="A214" s="21"/>
      <c r="B214" s="16"/>
      <c r="C214" s="16"/>
      <c r="D214" s="22"/>
      <c r="E214" s="16"/>
      <c r="F214" s="22"/>
      <c r="G214" s="16"/>
      <c r="H214" s="16"/>
      <c r="I214" s="23"/>
      <c r="J214" s="16"/>
      <c r="K214" s="16"/>
      <c r="L214" s="2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spans="1:32" ht="13">
      <c r="A215" s="21"/>
      <c r="B215" s="16"/>
      <c r="C215" s="16"/>
      <c r="D215" s="22"/>
      <c r="E215" s="16"/>
      <c r="F215" s="22"/>
      <c r="G215" s="16"/>
      <c r="H215" s="16"/>
      <c r="I215" s="23"/>
      <c r="J215" s="16"/>
      <c r="K215" s="16"/>
      <c r="L215" s="25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spans="1:32" ht="13">
      <c r="A216" s="21"/>
      <c r="B216" s="16"/>
      <c r="C216" s="16"/>
      <c r="D216" s="22"/>
      <c r="E216" s="16"/>
      <c r="F216" s="22"/>
      <c r="G216" s="16"/>
      <c r="H216" s="16"/>
      <c r="I216" s="23"/>
      <c r="J216" s="16"/>
      <c r="K216" s="16"/>
      <c r="L216" s="25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spans="1:32" ht="13">
      <c r="A217" s="21"/>
      <c r="B217" s="16"/>
      <c r="C217" s="16"/>
      <c r="D217" s="22"/>
      <c r="E217" s="16"/>
      <c r="F217" s="22"/>
      <c r="G217" s="16"/>
      <c r="H217" s="16"/>
      <c r="I217" s="23"/>
      <c r="J217" s="16"/>
      <c r="K217" s="16"/>
      <c r="L217" s="25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spans="1:32" ht="13">
      <c r="A218" s="21"/>
      <c r="B218" s="16"/>
      <c r="C218" s="16"/>
      <c r="D218" s="22"/>
      <c r="E218" s="16"/>
      <c r="F218" s="22"/>
      <c r="G218" s="16"/>
      <c r="H218" s="16"/>
      <c r="I218" s="23"/>
      <c r="J218" s="16"/>
      <c r="K218" s="16"/>
      <c r="L218" s="25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spans="1:32" ht="13">
      <c r="A219" s="21"/>
      <c r="B219" s="16"/>
      <c r="C219" s="16"/>
      <c r="D219" s="22"/>
      <c r="E219" s="16"/>
      <c r="F219" s="22"/>
      <c r="G219" s="16"/>
      <c r="H219" s="16"/>
      <c r="I219" s="23"/>
      <c r="J219" s="16"/>
      <c r="K219" s="16"/>
      <c r="L219" s="25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spans="1:32" ht="13">
      <c r="A220" s="21"/>
      <c r="B220" s="16"/>
      <c r="C220" s="16"/>
      <c r="D220" s="22"/>
      <c r="E220" s="16"/>
      <c r="F220" s="22"/>
      <c r="G220" s="16"/>
      <c r="H220" s="16"/>
      <c r="I220" s="23"/>
      <c r="J220" s="16"/>
      <c r="K220" s="16"/>
      <c r="L220" s="2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spans="1:32" ht="13">
      <c r="A221" s="21"/>
      <c r="B221" s="16"/>
      <c r="C221" s="16"/>
      <c r="D221" s="22"/>
      <c r="E221" s="16"/>
      <c r="F221" s="22"/>
      <c r="G221" s="16"/>
      <c r="H221" s="16"/>
      <c r="I221" s="23"/>
      <c r="J221" s="16"/>
      <c r="K221" s="16"/>
      <c r="L221" s="25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spans="1:32" ht="13">
      <c r="A222" s="21"/>
      <c r="B222" s="16"/>
      <c r="C222" s="16"/>
      <c r="D222" s="22"/>
      <c r="E222" s="16"/>
      <c r="F222" s="22"/>
      <c r="G222" s="16"/>
      <c r="H222" s="16"/>
      <c r="I222" s="23"/>
      <c r="J222" s="16"/>
      <c r="K222" s="16"/>
      <c r="L222" s="25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spans="1:32" ht="13">
      <c r="A223" s="21"/>
      <c r="B223" s="16"/>
      <c r="C223" s="16"/>
      <c r="D223" s="22"/>
      <c r="E223" s="16"/>
      <c r="F223" s="22"/>
      <c r="G223" s="16"/>
      <c r="H223" s="16"/>
      <c r="I223" s="23"/>
      <c r="J223" s="16"/>
      <c r="K223" s="16"/>
      <c r="L223" s="25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spans="1:32" ht="13">
      <c r="A224" s="21"/>
      <c r="B224" s="16"/>
      <c r="C224" s="16"/>
      <c r="D224" s="22"/>
      <c r="E224" s="16"/>
      <c r="F224" s="22"/>
      <c r="G224" s="16"/>
      <c r="H224" s="16"/>
      <c r="I224" s="23"/>
      <c r="J224" s="16"/>
      <c r="K224" s="16"/>
      <c r="L224" s="25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spans="1:32" ht="13">
      <c r="A225" s="21"/>
      <c r="B225" s="16"/>
      <c r="C225" s="16"/>
      <c r="D225" s="22"/>
      <c r="E225" s="16"/>
      <c r="F225" s="22"/>
      <c r="G225" s="16"/>
      <c r="H225" s="16"/>
      <c r="I225" s="23"/>
      <c r="J225" s="16"/>
      <c r="K225" s="16"/>
      <c r="L225" s="25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spans="1:32" ht="13">
      <c r="A226" s="21"/>
      <c r="B226" s="16"/>
      <c r="C226" s="16"/>
      <c r="D226" s="22"/>
      <c r="E226" s="16"/>
      <c r="F226" s="22"/>
      <c r="G226" s="16"/>
      <c r="H226" s="16"/>
      <c r="I226" s="23"/>
      <c r="J226" s="16"/>
      <c r="K226" s="16"/>
      <c r="L226" s="25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spans="1:32" ht="13">
      <c r="A227" s="21"/>
      <c r="B227" s="16"/>
      <c r="C227" s="16"/>
      <c r="D227" s="22"/>
      <c r="E227" s="16"/>
      <c r="F227" s="22"/>
      <c r="G227" s="16"/>
      <c r="H227" s="16"/>
      <c r="I227" s="23"/>
      <c r="J227" s="16"/>
      <c r="K227" s="16"/>
      <c r="L227" s="25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spans="1:32" ht="13">
      <c r="A228" s="21"/>
      <c r="B228" s="16"/>
      <c r="C228" s="16"/>
      <c r="D228" s="22"/>
      <c r="E228" s="16"/>
      <c r="F228" s="22"/>
      <c r="G228" s="16"/>
      <c r="H228" s="16"/>
      <c r="I228" s="23"/>
      <c r="J228" s="16"/>
      <c r="K228" s="16"/>
      <c r="L228" s="2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spans="1:32" ht="13">
      <c r="A229" s="21"/>
      <c r="B229" s="16"/>
      <c r="C229" s="16"/>
      <c r="D229" s="22"/>
      <c r="E229" s="16"/>
      <c r="F229" s="22"/>
      <c r="G229" s="16"/>
      <c r="H229" s="16"/>
      <c r="I229" s="23"/>
      <c r="J229" s="16"/>
      <c r="K229" s="16"/>
      <c r="L229" s="2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spans="1:32" ht="13">
      <c r="A230" s="21"/>
      <c r="B230" s="16"/>
      <c r="C230" s="16"/>
      <c r="D230" s="22"/>
      <c r="E230" s="16"/>
      <c r="F230" s="22"/>
      <c r="G230" s="16"/>
      <c r="H230" s="16"/>
      <c r="I230" s="23"/>
      <c r="J230" s="16"/>
      <c r="K230" s="16"/>
      <c r="L230" s="2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spans="1:32" ht="13">
      <c r="A231" s="21"/>
      <c r="B231" s="16"/>
      <c r="C231" s="16"/>
      <c r="D231" s="22"/>
      <c r="E231" s="16"/>
      <c r="F231" s="22"/>
      <c r="G231" s="16"/>
      <c r="H231" s="16"/>
      <c r="I231" s="23"/>
      <c r="J231" s="16"/>
      <c r="K231" s="16"/>
      <c r="L231" s="25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spans="1:32" ht="13">
      <c r="A232" s="21"/>
      <c r="B232" s="16"/>
      <c r="C232" s="16"/>
      <c r="D232" s="22"/>
      <c r="E232" s="16"/>
      <c r="F232" s="22"/>
      <c r="G232" s="16"/>
      <c r="H232" s="16"/>
      <c r="I232" s="23"/>
      <c r="J232" s="16"/>
      <c r="K232" s="16"/>
      <c r="L232" s="25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spans="1:32" ht="13">
      <c r="A233" s="21"/>
      <c r="B233" s="16"/>
      <c r="C233" s="16"/>
      <c r="D233" s="22"/>
      <c r="E233" s="16"/>
      <c r="F233" s="22"/>
      <c r="G233" s="16"/>
      <c r="H233" s="16"/>
      <c r="I233" s="23"/>
      <c r="J233" s="16"/>
      <c r="K233" s="16"/>
      <c r="L233" s="25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spans="1:32" ht="13">
      <c r="A234" s="21"/>
      <c r="B234" s="16"/>
      <c r="C234" s="16"/>
      <c r="D234" s="22"/>
      <c r="E234" s="16"/>
      <c r="F234" s="22"/>
      <c r="G234" s="16"/>
      <c r="H234" s="16"/>
      <c r="I234" s="23"/>
      <c r="J234" s="16"/>
      <c r="K234" s="16"/>
      <c r="L234" s="25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spans="1:32" ht="13">
      <c r="A235" s="21"/>
      <c r="B235" s="16"/>
      <c r="C235" s="16"/>
      <c r="D235" s="22"/>
      <c r="E235" s="16"/>
      <c r="F235" s="22"/>
      <c r="G235" s="16"/>
      <c r="H235" s="16"/>
      <c r="I235" s="23"/>
      <c r="J235" s="16"/>
      <c r="K235" s="16"/>
      <c r="L235" s="25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spans="1:32" ht="13">
      <c r="A236" s="21"/>
      <c r="B236" s="16"/>
      <c r="C236" s="16"/>
      <c r="D236" s="22"/>
      <c r="E236" s="16"/>
      <c r="F236" s="22"/>
      <c r="G236" s="16"/>
      <c r="H236" s="16"/>
      <c r="I236" s="23"/>
      <c r="J236" s="16"/>
      <c r="K236" s="16"/>
      <c r="L236" s="2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spans="1:32" ht="13">
      <c r="A237" s="21"/>
      <c r="B237" s="16"/>
      <c r="C237" s="16"/>
      <c r="D237" s="22"/>
      <c r="E237" s="16"/>
      <c r="F237" s="22"/>
      <c r="G237" s="16"/>
      <c r="H237" s="16"/>
      <c r="I237" s="23"/>
      <c r="J237" s="16"/>
      <c r="K237" s="16"/>
      <c r="L237" s="2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spans="1:32" ht="13">
      <c r="A238" s="21"/>
      <c r="B238" s="16"/>
      <c r="C238" s="16"/>
      <c r="D238" s="22"/>
      <c r="E238" s="16"/>
      <c r="F238" s="22"/>
      <c r="G238" s="16"/>
      <c r="H238" s="16"/>
      <c r="I238" s="23"/>
      <c r="J238" s="16"/>
      <c r="K238" s="16"/>
      <c r="L238" s="2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spans="1:32" ht="13">
      <c r="A239" s="21"/>
      <c r="B239" s="16"/>
      <c r="C239" s="16"/>
      <c r="D239" s="22"/>
      <c r="E239" s="16"/>
      <c r="F239" s="22"/>
      <c r="G239" s="16"/>
      <c r="H239" s="16"/>
      <c r="I239" s="23"/>
      <c r="J239" s="16"/>
      <c r="K239" s="16"/>
      <c r="L239" s="25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spans="1:32" ht="13">
      <c r="A240" s="21"/>
      <c r="B240" s="16"/>
      <c r="C240" s="16"/>
      <c r="D240" s="22"/>
      <c r="E240" s="16"/>
      <c r="F240" s="22"/>
      <c r="G240" s="16"/>
      <c r="H240" s="16"/>
      <c r="I240" s="23"/>
      <c r="J240" s="16"/>
      <c r="K240" s="16"/>
      <c r="L240" s="25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spans="1:32" ht="13">
      <c r="A241" s="21"/>
      <c r="B241" s="16"/>
      <c r="C241" s="16"/>
      <c r="D241" s="22"/>
      <c r="E241" s="16"/>
      <c r="F241" s="22"/>
      <c r="G241" s="16"/>
      <c r="H241" s="16"/>
      <c r="I241" s="23"/>
      <c r="J241" s="16"/>
      <c r="K241" s="16"/>
      <c r="L241" s="25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spans="1:32" ht="13">
      <c r="A242" s="21"/>
      <c r="B242" s="16"/>
      <c r="C242" s="16"/>
      <c r="D242" s="22"/>
      <c r="E242" s="16"/>
      <c r="F242" s="22"/>
      <c r="G242" s="16"/>
      <c r="H242" s="16"/>
      <c r="I242" s="23"/>
      <c r="J242" s="16"/>
      <c r="K242" s="16"/>
      <c r="L242" s="25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spans="1:32" ht="13">
      <c r="A243" s="21"/>
      <c r="B243" s="16"/>
      <c r="C243" s="16"/>
      <c r="D243" s="22"/>
      <c r="E243" s="16"/>
      <c r="F243" s="22"/>
      <c r="G243" s="16"/>
      <c r="H243" s="16"/>
      <c r="I243" s="23"/>
      <c r="J243" s="16"/>
      <c r="K243" s="16"/>
      <c r="L243" s="25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spans="1:32" ht="13">
      <c r="A244" s="21"/>
      <c r="B244" s="16"/>
      <c r="C244" s="16"/>
      <c r="D244" s="22"/>
      <c r="E244" s="16"/>
      <c r="F244" s="22"/>
      <c r="G244" s="16"/>
      <c r="H244" s="16"/>
      <c r="I244" s="23"/>
      <c r="J244" s="16"/>
      <c r="K244" s="16"/>
      <c r="L244" s="25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spans="1:32" ht="13">
      <c r="A245" s="21"/>
      <c r="B245" s="16"/>
      <c r="C245" s="16"/>
      <c r="D245" s="22"/>
      <c r="E245" s="16"/>
      <c r="F245" s="22"/>
      <c r="G245" s="16"/>
      <c r="H245" s="16"/>
      <c r="I245" s="23"/>
      <c r="J245" s="16"/>
      <c r="K245" s="16"/>
      <c r="L245" s="25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spans="1:32" ht="13">
      <c r="A246" s="21"/>
      <c r="B246" s="16"/>
      <c r="C246" s="16"/>
      <c r="D246" s="22"/>
      <c r="E246" s="16"/>
      <c r="F246" s="22"/>
      <c r="G246" s="16"/>
      <c r="H246" s="16"/>
      <c r="I246" s="23"/>
      <c r="J246" s="16"/>
      <c r="K246" s="16"/>
      <c r="L246" s="25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spans="1:32" ht="13">
      <c r="A247" s="21"/>
      <c r="B247" s="16"/>
      <c r="C247" s="16"/>
      <c r="D247" s="22"/>
      <c r="E247" s="16"/>
      <c r="F247" s="22"/>
      <c r="G247" s="16"/>
      <c r="H247" s="16"/>
      <c r="I247" s="23"/>
      <c r="J247" s="16"/>
      <c r="K247" s="16"/>
      <c r="L247" s="25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spans="1:32" ht="13">
      <c r="A248" s="21"/>
      <c r="B248" s="16"/>
      <c r="C248" s="16"/>
      <c r="D248" s="22"/>
      <c r="E248" s="16"/>
      <c r="F248" s="22"/>
      <c r="G248" s="16"/>
      <c r="H248" s="16"/>
      <c r="I248" s="23"/>
      <c r="J248" s="16"/>
      <c r="K248" s="16"/>
      <c r="L248" s="25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spans="1:32" ht="13">
      <c r="A249" s="21"/>
      <c r="B249" s="16"/>
      <c r="C249" s="16"/>
      <c r="D249" s="22"/>
      <c r="E249" s="16"/>
      <c r="F249" s="22"/>
      <c r="G249" s="16"/>
      <c r="H249" s="16"/>
      <c r="I249" s="23"/>
      <c r="J249" s="16"/>
      <c r="K249" s="16"/>
      <c r="L249" s="25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spans="1:32" ht="13">
      <c r="A250" s="21"/>
      <c r="B250" s="16"/>
      <c r="C250" s="16"/>
      <c r="D250" s="22"/>
      <c r="E250" s="16"/>
      <c r="F250" s="22"/>
      <c r="G250" s="16"/>
      <c r="H250" s="16"/>
      <c r="I250" s="23"/>
      <c r="J250" s="16"/>
      <c r="K250" s="16"/>
      <c r="L250" s="25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spans="1:32" ht="13">
      <c r="A251" s="21"/>
      <c r="B251" s="16"/>
      <c r="C251" s="16"/>
      <c r="D251" s="22"/>
      <c r="E251" s="16"/>
      <c r="F251" s="22"/>
      <c r="G251" s="16"/>
      <c r="H251" s="16"/>
      <c r="I251" s="23"/>
      <c r="J251" s="16"/>
      <c r="K251" s="16"/>
      <c r="L251" s="25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spans="1:32" ht="13">
      <c r="A252" s="21"/>
      <c r="B252" s="16"/>
      <c r="C252" s="16"/>
      <c r="D252" s="22"/>
      <c r="E252" s="16"/>
      <c r="F252" s="22"/>
      <c r="G252" s="16"/>
      <c r="H252" s="16"/>
      <c r="I252" s="23"/>
      <c r="J252" s="16"/>
      <c r="K252" s="16"/>
      <c r="L252" s="2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spans="1:32" ht="13">
      <c r="A253" s="21"/>
      <c r="B253" s="16"/>
      <c r="C253" s="16"/>
      <c r="D253" s="22"/>
      <c r="E253" s="16"/>
      <c r="F253" s="22"/>
      <c r="G253" s="16"/>
      <c r="H253" s="16"/>
      <c r="I253" s="23"/>
      <c r="J253" s="16"/>
      <c r="K253" s="16"/>
      <c r="L253" s="25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spans="1:32" ht="13">
      <c r="A254" s="21"/>
      <c r="B254" s="16"/>
      <c r="C254" s="16"/>
      <c r="D254" s="22"/>
      <c r="E254" s="16"/>
      <c r="F254" s="22"/>
      <c r="G254" s="16"/>
      <c r="H254" s="16"/>
      <c r="I254" s="23"/>
      <c r="J254" s="16"/>
      <c r="K254" s="16"/>
      <c r="L254" s="25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spans="1:32" ht="13">
      <c r="A255" s="21"/>
      <c r="B255" s="16"/>
      <c r="C255" s="16"/>
      <c r="D255" s="22"/>
      <c r="E255" s="16"/>
      <c r="F255" s="22"/>
      <c r="G255" s="16"/>
      <c r="H255" s="16"/>
      <c r="I255" s="23"/>
      <c r="J255" s="16"/>
      <c r="K255" s="16"/>
      <c r="L255" s="25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spans="1:32" ht="13">
      <c r="A256" s="21"/>
      <c r="B256" s="16"/>
      <c r="C256" s="16"/>
      <c r="D256" s="22"/>
      <c r="E256" s="16"/>
      <c r="F256" s="22"/>
      <c r="G256" s="16"/>
      <c r="H256" s="16"/>
      <c r="I256" s="23"/>
      <c r="J256" s="16"/>
      <c r="K256" s="16"/>
      <c r="L256" s="25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spans="1:32" ht="13">
      <c r="A257" s="21"/>
      <c r="B257" s="16"/>
      <c r="C257" s="16"/>
      <c r="D257" s="22"/>
      <c r="E257" s="16"/>
      <c r="F257" s="22"/>
      <c r="G257" s="16"/>
      <c r="H257" s="16"/>
      <c r="I257" s="23"/>
      <c r="J257" s="16"/>
      <c r="K257" s="16"/>
      <c r="L257" s="25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 spans="1:32" ht="13">
      <c r="A258" s="21"/>
      <c r="B258" s="16"/>
      <c r="C258" s="16"/>
      <c r="D258" s="22"/>
      <c r="E258" s="16"/>
      <c r="F258" s="22"/>
      <c r="G258" s="16"/>
      <c r="H258" s="16"/>
      <c r="I258" s="23"/>
      <c r="J258" s="16"/>
      <c r="K258" s="16"/>
      <c r="L258" s="25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spans="1:32" ht="13">
      <c r="A259" s="21"/>
      <c r="B259" s="16"/>
      <c r="C259" s="16"/>
      <c r="D259" s="22"/>
      <c r="E259" s="16"/>
      <c r="F259" s="22"/>
      <c r="G259" s="16"/>
      <c r="H259" s="16"/>
      <c r="I259" s="23"/>
      <c r="J259" s="16"/>
      <c r="K259" s="16"/>
      <c r="L259" s="25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 spans="1:32" ht="13">
      <c r="A260" s="21"/>
      <c r="B260" s="16"/>
      <c r="C260" s="16"/>
      <c r="D260" s="22"/>
      <c r="E260" s="16"/>
      <c r="F260" s="22"/>
      <c r="G260" s="16"/>
      <c r="H260" s="16"/>
      <c r="I260" s="23"/>
      <c r="J260" s="16"/>
      <c r="K260" s="16"/>
      <c r="L260" s="2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 spans="1:32" ht="13">
      <c r="A261" s="21"/>
      <c r="B261" s="16"/>
      <c r="C261" s="16"/>
      <c r="D261" s="22"/>
      <c r="E261" s="16"/>
      <c r="F261" s="22"/>
      <c r="G261" s="16"/>
      <c r="H261" s="16"/>
      <c r="I261" s="23"/>
      <c r="J261" s="16"/>
      <c r="K261" s="16"/>
      <c r="L261" s="2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 spans="1:32" ht="13">
      <c r="A262" s="21"/>
      <c r="B262" s="16"/>
      <c r="C262" s="16"/>
      <c r="D262" s="22"/>
      <c r="E262" s="16"/>
      <c r="F262" s="22"/>
      <c r="G262" s="16"/>
      <c r="H262" s="16"/>
      <c r="I262" s="23"/>
      <c r="J262" s="16"/>
      <c r="K262" s="16"/>
      <c r="L262" s="25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 spans="1:32" ht="13">
      <c r="A263" s="21"/>
      <c r="B263" s="16"/>
      <c r="C263" s="16"/>
      <c r="D263" s="22"/>
      <c r="E263" s="16"/>
      <c r="F263" s="22"/>
      <c r="G263" s="16"/>
      <c r="H263" s="16"/>
      <c r="I263" s="23"/>
      <c r="J263" s="16"/>
      <c r="K263" s="16"/>
      <c r="L263" s="25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 spans="1:32" ht="13">
      <c r="A264" s="21"/>
      <c r="B264" s="16"/>
      <c r="C264" s="16"/>
      <c r="D264" s="22"/>
      <c r="E264" s="16"/>
      <c r="F264" s="22"/>
      <c r="G264" s="16"/>
      <c r="H264" s="16"/>
      <c r="I264" s="23"/>
      <c r="J264" s="16"/>
      <c r="K264" s="16"/>
      <c r="L264" s="25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 spans="1:32" ht="13">
      <c r="A265" s="21"/>
      <c r="B265" s="16"/>
      <c r="C265" s="16"/>
      <c r="D265" s="22"/>
      <c r="E265" s="16"/>
      <c r="F265" s="22"/>
      <c r="G265" s="16"/>
      <c r="H265" s="16"/>
      <c r="I265" s="23"/>
      <c r="J265" s="16"/>
      <c r="K265" s="16"/>
      <c r="L265" s="25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 spans="1:32" ht="13">
      <c r="A266" s="21"/>
      <c r="B266" s="16"/>
      <c r="C266" s="16"/>
      <c r="D266" s="22"/>
      <c r="E266" s="16"/>
      <c r="F266" s="22"/>
      <c r="G266" s="16"/>
      <c r="H266" s="16"/>
      <c r="I266" s="23"/>
      <c r="J266" s="16"/>
      <c r="K266" s="16"/>
      <c r="L266" s="25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spans="1:32" ht="13">
      <c r="A267" s="21"/>
      <c r="B267" s="16"/>
      <c r="C267" s="16"/>
      <c r="D267" s="22"/>
      <c r="E267" s="16"/>
      <c r="F267" s="22"/>
      <c r="G267" s="16"/>
      <c r="H267" s="16"/>
      <c r="I267" s="23"/>
      <c r="J267" s="16"/>
      <c r="K267" s="16"/>
      <c r="L267" s="25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spans="1:32" ht="13">
      <c r="A268" s="21"/>
      <c r="B268" s="16"/>
      <c r="C268" s="16"/>
      <c r="D268" s="22"/>
      <c r="E268" s="16"/>
      <c r="F268" s="22"/>
      <c r="G268" s="16"/>
      <c r="H268" s="16"/>
      <c r="I268" s="23"/>
      <c r="J268" s="16"/>
      <c r="K268" s="16"/>
      <c r="L268" s="25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spans="1:32" ht="13">
      <c r="A269" s="21"/>
      <c r="B269" s="16"/>
      <c r="C269" s="16"/>
      <c r="D269" s="22"/>
      <c r="E269" s="16"/>
      <c r="F269" s="22"/>
      <c r="G269" s="16"/>
      <c r="H269" s="16"/>
      <c r="I269" s="23"/>
      <c r="J269" s="16"/>
      <c r="K269" s="16"/>
      <c r="L269" s="25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 spans="1:32" ht="13">
      <c r="A270" s="21"/>
      <c r="B270" s="16"/>
      <c r="C270" s="16"/>
      <c r="D270" s="22"/>
      <c r="E270" s="16"/>
      <c r="F270" s="22"/>
      <c r="G270" s="16"/>
      <c r="H270" s="16"/>
      <c r="I270" s="23"/>
      <c r="J270" s="16"/>
      <c r="K270" s="16"/>
      <c r="L270" s="25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 spans="1:32" ht="13">
      <c r="A271" s="21"/>
      <c r="B271" s="16"/>
      <c r="C271" s="16"/>
      <c r="D271" s="22"/>
      <c r="E271" s="16"/>
      <c r="F271" s="22"/>
      <c r="G271" s="16"/>
      <c r="H271" s="16"/>
      <c r="I271" s="23"/>
      <c r="J271" s="16"/>
      <c r="K271" s="16"/>
      <c r="L271" s="25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 spans="1:32" ht="13">
      <c r="A272" s="21"/>
      <c r="B272" s="16"/>
      <c r="C272" s="16"/>
      <c r="D272" s="22"/>
      <c r="E272" s="16"/>
      <c r="F272" s="22"/>
      <c r="G272" s="16"/>
      <c r="H272" s="16"/>
      <c r="I272" s="23"/>
      <c r="J272" s="16"/>
      <c r="K272" s="16"/>
      <c r="L272" s="25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 spans="1:32" ht="13">
      <c r="A273" s="21"/>
      <c r="B273" s="16"/>
      <c r="C273" s="16"/>
      <c r="D273" s="22"/>
      <c r="E273" s="16"/>
      <c r="F273" s="22"/>
      <c r="G273" s="16"/>
      <c r="H273" s="16"/>
      <c r="I273" s="23"/>
      <c r="J273" s="16"/>
      <c r="K273" s="16"/>
      <c r="L273" s="25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spans="1:32" ht="13">
      <c r="A274" s="21"/>
      <c r="B274" s="16"/>
      <c r="C274" s="16"/>
      <c r="D274" s="22"/>
      <c r="E274" s="16"/>
      <c r="F274" s="22"/>
      <c r="G274" s="16"/>
      <c r="H274" s="16"/>
      <c r="I274" s="23"/>
      <c r="J274" s="16"/>
      <c r="K274" s="16"/>
      <c r="L274" s="25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spans="1:32" ht="13">
      <c r="A275" s="21"/>
      <c r="B275" s="16"/>
      <c r="C275" s="16"/>
      <c r="D275" s="22"/>
      <c r="E275" s="16"/>
      <c r="F275" s="22"/>
      <c r="G275" s="16"/>
      <c r="H275" s="16"/>
      <c r="I275" s="23"/>
      <c r="J275" s="16"/>
      <c r="K275" s="16"/>
      <c r="L275" s="25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 spans="1:32" ht="13">
      <c r="A276" s="21"/>
      <c r="B276" s="16"/>
      <c r="C276" s="16"/>
      <c r="D276" s="22"/>
      <c r="E276" s="16"/>
      <c r="F276" s="22"/>
      <c r="G276" s="16"/>
      <c r="H276" s="16"/>
      <c r="I276" s="23"/>
      <c r="J276" s="16"/>
      <c r="K276" s="16"/>
      <c r="L276" s="2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 spans="1:32" ht="13">
      <c r="A277" s="21"/>
      <c r="B277" s="16"/>
      <c r="C277" s="16"/>
      <c r="D277" s="22"/>
      <c r="E277" s="16"/>
      <c r="F277" s="22"/>
      <c r="G277" s="16"/>
      <c r="H277" s="16"/>
      <c r="I277" s="23"/>
      <c r="J277" s="16"/>
      <c r="K277" s="16"/>
      <c r="L277" s="2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spans="1:32" ht="13">
      <c r="A278" s="21"/>
      <c r="B278" s="16"/>
      <c r="C278" s="16"/>
      <c r="D278" s="22"/>
      <c r="E278" s="16"/>
      <c r="F278" s="22"/>
      <c r="G278" s="16"/>
      <c r="H278" s="16"/>
      <c r="I278" s="23"/>
      <c r="J278" s="16"/>
      <c r="K278" s="16"/>
      <c r="L278" s="2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spans="1:32" ht="13">
      <c r="A279" s="21"/>
      <c r="B279" s="16"/>
      <c r="C279" s="16"/>
      <c r="D279" s="22"/>
      <c r="E279" s="16"/>
      <c r="F279" s="22"/>
      <c r="G279" s="16"/>
      <c r="H279" s="16"/>
      <c r="I279" s="23"/>
      <c r="J279" s="16"/>
      <c r="K279" s="16"/>
      <c r="L279" s="25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 spans="1:32" ht="13">
      <c r="A280" s="21"/>
      <c r="B280" s="16"/>
      <c r="C280" s="16"/>
      <c r="D280" s="22"/>
      <c r="E280" s="16"/>
      <c r="F280" s="22"/>
      <c r="G280" s="16"/>
      <c r="H280" s="16"/>
      <c r="I280" s="23"/>
      <c r="J280" s="16"/>
      <c r="K280" s="16"/>
      <c r="L280" s="25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 spans="1:32" ht="13">
      <c r="A281" s="21"/>
      <c r="B281" s="16"/>
      <c r="C281" s="16"/>
      <c r="D281" s="22"/>
      <c r="E281" s="16"/>
      <c r="F281" s="22"/>
      <c r="G281" s="16"/>
      <c r="H281" s="16"/>
      <c r="I281" s="23"/>
      <c r="J281" s="16"/>
      <c r="K281" s="16"/>
      <c r="L281" s="25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 spans="1:32" ht="13">
      <c r="A282" s="21"/>
      <c r="B282" s="16"/>
      <c r="C282" s="16"/>
      <c r="D282" s="22"/>
      <c r="E282" s="16"/>
      <c r="F282" s="22"/>
      <c r="G282" s="16"/>
      <c r="H282" s="16"/>
      <c r="I282" s="23"/>
      <c r="J282" s="16"/>
      <c r="K282" s="16"/>
      <c r="L282" s="25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spans="1:32" ht="13">
      <c r="A283" s="21"/>
      <c r="B283" s="16"/>
      <c r="C283" s="16"/>
      <c r="D283" s="22"/>
      <c r="E283" s="16"/>
      <c r="F283" s="22"/>
      <c r="G283" s="16"/>
      <c r="H283" s="16"/>
      <c r="I283" s="23"/>
      <c r="J283" s="16"/>
      <c r="K283" s="16"/>
      <c r="L283" s="25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spans="1:32" ht="13">
      <c r="A284" s="21"/>
      <c r="B284" s="16"/>
      <c r="C284" s="16"/>
      <c r="D284" s="22"/>
      <c r="E284" s="16"/>
      <c r="F284" s="22"/>
      <c r="G284" s="16"/>
      <c r="H284" s="16"/>
      <c r="I284" s="23"/>
      <c r="J284" s="16"/>
      <c r="K284" s="16"/>
      <c r="L284" s="2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spans="1:32" ht="13">
      <c r="A285" s="21"/>
      <c r="B285" s="16"/>
      <c r="C285" s="16"/>
      <c r="D285" s="22"/>
      <c r="E285" s="16"/>
      <c r="F285" s="22"/>
      <c r="G285" s="16"/>
      <c r="H285" s="16"/>
      <c r="I285" s="23"/>
      <c r="J285" s="16"/>
      <c r="K285" s="16"/>
      <c r="L285" s="2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 spans="1:32" ht="13">
      <c r="A286" s="21"/>
      <c r="B286" s="16"/>
      <c r="C286" s="16"/>
      <c r="D286" s="22"/>
      <c r="E286" s="16"/>
      <c r="F286" s="22"/>
      <c r="G286" s="16"/>
      <c r="H286" s="16"/>
      <c r="I286" s="23"/>
      <c r="J286" s="16"/>
      <c r="K286" s="16"/>
      <c r="L286" s="2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 spans="1:32" ht="13">
      <c r="A287" s="21"/>
      <c r="B287" s="16"/>
      <c r="C287" s="16"/>
      <c r="D287" s="22"/>
      <c r="E287" s="16"/>
      <c r="F287" s="22"/>
      <c r="G287" s="16"/>
      <c r="H287" s="16"/>
      <c r="I287" s="23"/>
      <c r="J287" s="16"/>
      <c r="K287" s="16"/>
      <c r="L287" s="25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 spans="1:32" ht="13">
      <c r="A288" s="21"/>
      <c r="B288" s="16"/>
      <c r="C288" s="16"/>
      <c r="D288" s="22"/>
      <c r="E288" s="16"/>
      <c r="F288" s="22"/>
      <c r="G288" s="16"/>
      <c r="H288" s="16"/>
      <c r="I288" s="23"/>
      <c r="J288" s="16"/>
      <c r="K288" s="16"/>
      <c r="L288" s="25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 spans="1:32" ht="13">
      <c r="A289" s="21"/>
      <c r="B289" s="16"/>
      <c r="C289" s="16"/>
      <c r="D289" s="22"/>
      <c r="E289" s="16"/>
      <c r="F289" s="22"/>
      <c r="G289" s="16"/>
      <c r="H289" s="16"/>
      <c r="I289" s="23"/>
      <c r="J289" s="16"/>
      <c r="K289" s="16"/>
      <c r="L289" s="25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 spans="1:32" ht="13">
      <c r="A290" s="21"/>
      <c r="B290" s="16"/>
      <c r="C290" s="16"/>
      <c r="D290" s="22"/>
      <c r="E290" s="16"/>
      <c r="F290" s="22"/>
      <c r="G290" s="16"/>
      <c r="H290" s="16"/>
      <c r="I290" s="23"/>
      <c r="J290" s="16"/>
      <c r="K290" s="16"/>
      <c r="L290" s="25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 spans="1:32" ht="13">
      <c r="A291" s="21"/>
      <c r="B291" s="16"/>
      <c r="C291" s="16"/>
      <c r="D291" s="22"/>
      <c r="E291" s="16"/>
      <c r="F291" s="22"/>
      <c r="G291" s="16"/>
      <c r="H291" s="16"/>
      <c r="I291" s="23"/>
      <c r="J291" s="16"/>
      <c r="K291" s="16"/>
      <c r="L291" s="25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 spans="1:32" ht="13">
      <c r="A292" s="21"/>
      <c r="B292" s="16"/>
      <c r="C292" s="16"/>
      <c r="D292" s="22"/>
      <c r="E292" s="16"/>
      <c r="F292" s="22"/>
      <c r="G292" s="16"/>
      <c r="H292" s="16"/>
      <c r="I292" s="23"/>
      <c r="J292" s="16"/>
      <c r="K292" s="16"/>
      <c r="L292" s="2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 spans="1:32" ht="13">
      <c r="A293" s="21"/>
      <c r="B293" s="16"/>
      <c r="C293" s="16"/>
      <c r="D293" s="22"/>
      <c r="E293" s="16"/>
      <c r="F293" s="22"/>
      <c r="G293" s="16"/>
      <c r="H293" s="16"/>
      <c r="I293" s="23"/>
      <c r="J293" s="16"/>
      <c r="K293" s="16"/>
      <c r="L293" s="2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 spans="1:32" ht="13">
      <c r="A294" s="21"/>
      <c r="B294" s="16"/>
      <c r="C294" s="16"/>
      <c r="D294" s="22"/>
      <c r="E294" s="16"/>
      <c r="F294" s="22"/>
      <c r="G294" s="16"/>
      <c r="H294" s="16"/>
      <c r="I294" s="23"/>
      <c r="J294" s="16"/>
      <c r="K294" s="16"/>
      <c r="L294" s="2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 spans="1:32" ht="13">
      <c r="A295" s="21"/>
      <c r="B295" s="16"/>
      <c r="C295" s="16"/>
      <c r="D295" s="22"/>
      <c r="E295" s="16"/>
      <c r="F295" s="22"/>
      <c r="G295" s="16"/>
      <c r="H295" s="16"/>
      <c r="I295" s="23"/>
      <c r="J295" s="16"/>
      <c r="K295" s="16"/>
      <c r="L295" s="25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 spans="1:32" ht="13">
      <c r="A296" s="21"/>
      <c r="B296" s="16"/>
      <c r="C296" s="16"/>
      <c r="D296" s="22"/>
      <c r="E296" s="16"/>
      <c r="F296" s="22"/>
      <c r="G296" s="16"/>
      <c r="H296" s="16"/>
      <c r="I296" s="23"/>
      <c r="J296" s="16"/>
      <c r="K296" s="16"/>
      <c r="L296" s="25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 spans="1:32" ht="13">
      <c r="A297" s="21"/>
      <c r="B297" s="16"/>
      <c r="C297" s="16"/>
      <c r="D297" s="22"/>
      <c r="E297" s="16"/>
      <c r="F297" s="22"/>
      <c r="G297" s="16"/>
      <c r="H297" s="16"/>
      <c r="I297" s="23"/>
      <c r="J297" s="16"/>
      <c r="K297" s="16"/>
      <c r="L297" s="25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spans="1:32" ht="13">
      <c r="A298" s="21"/>
      <c r="B298" s="16"/>
      <c r="C298" s="16"/>
      <c r="D298" s="22"/>
      <c r="E298" s="16"/>
      <c r="F298" s="22"/>
      <c r="G298" s="16"/>
      <c r="H298" s="16"/>
      <c r="I298" s="23"/>
      <c r="J298" s="16"/>
      <c r="K298" s="16"/>
      <c r="L298" s="25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spans="1:32" ht="13">
      <c r="A299" s="21"/>
      <c r="B299" s="16"/>
      <c r="C299" s="16"/>
      <c r="D299" s="22"/>
      <c r="E299" s="16"/>
      <c r="F299" s="22"/>
      <c r="G299" s="16"/>
      <c r="H299" s="16"/>
      <c r="I299" s="23"/>
      <c r="J299" s="16"/>
      <c r="K299" s="16"/>
      <c r="L299" s="25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spans="1:32" ht="13">
      <c r="A300" s="21"/>
      <c r="B300" s="16"/>
      <c r="C300" s="16"/>
      <c r="D300" s="22"/>
      <c r="E300" s="16"/>
      <c r="F300" s="22"/>
      <c r="G300" s="16"/>
      <c r="H300" s="16"/>
      <c r="I300" s="23"/>
      <c r="J300" s="16"/>
      <c r="K300" s="16"/>
      <c r="L300" s="2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 spans="1:32" ht="13">
      <c r="A301" s="21"/>
      <c r="B301" s="16"/>
      <c r="C301" s="16"/>
      <c r="D301" s="22"/>
      <c r="E301" s="16"/>
      <c r="F301" s="22"/>
      <c r="G301" s="16"/>
      <c r="H301" s="16"/>
      <c r="I301" s="23"/>
      <c r="J301" s="16"/>
      <c r="K301" s="16"/>
      <c r="L301" s="2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 spans="1:32" ht="13">
      <c r="A302" s="21"/>
      <c r="B302" s="16"/>
      <c r="C302" s="16"/>
      <c r="D302" s="22"/>
      <c r="E302" s="16"/>
      <c r="F302" s="22"/>
      <c r="G302" s="16"/>
      <c r="H302" s="16"/>
      <c r="I302" s="23"/>
      <c r="J302" s="16"/>
      <c r="K302" s="16"/>
      <c r="L302" s="2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 spans="1:32" ht="13">
      <c r="A303" s="21"/>
      <c r="B303" s="16"/>
      <c r="C303" s="16"/>
      <c r="D303" s="22"/>
      <c r="E303" s="16"/>
      <c r="F303" s="22"/>
      <c r="G303" s="16"/>
      <c r="H303" s="16"/>
      <c r="I303" s="23"/>
      <c r="J303" s="16"/>
      <c r="K303" s="16"/>
      <c r="L303" s="25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spans="1:32" ht="13">
      <c r="A304" s="21"/>
      <c r="B304" s="16"/>
      <c r="C304" s="16"/>
      <c r="D304" s="22"/>
      <c r="E304" s="16"/>
      <c r="F304" s="22"/>
      <c r="G304" s="16"/>
      <c r="H304" s="16"/>
      <c r="I304" s="23"/>
      <c r="J304" s="16"/>
      <c r="K304" s="16"/>
      <c r="L304" s="25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spans="1:32" ht="13">
      <c r="A305" s="21"/>
      <c r="B305" s="16"/>
      <c r="C305" s="16"/>
      <c r="D305" s="22"/>
      <c r="E305" s="16"/>
      <c r="F305" s="22"/>
      <c r="G305" s="16"/>
      <c r="H305" s="16"/>
      <c r="I305" s="23"/>
      <c r="J305" s="16"/>
      <c r="K305" s="16"/>
      <c r="L305" s="25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spans="1:32" ht="13">
      <c r="A306" s="21"/>
      <c r="B306" s="16"/>
      <c r="C306" s="16"/>
      <c r="D306" s="22"/>
      <c r="E306" s="16"/>
      <c r="F306" s="22"/>
      <c r="G306" s="16"/>
      <c r="H306" s="16"/>
      <c r="I306" s="23"/>
      <c r="J306" s="16"/>
      <c r="K306" s="16"/>
      <c r="L306" s="25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 spans="1:32" ht="13">
      <c r="A307" s="21"/>
      <c r="B307" s="16"/>
      <c r="C307" s="16"/>
      <c r="D307" s="22"/>
      <c r="E307" s="16"/>
      <c r="F307" s="22"/>
      <c r="G307" s="16"/>
      <c r="H307" s="16"/>
      <c r="I307" s="23"/>
      <c r="J307" s="16"/>
      <c r="K307" s="16"/>
      <c r="L307" s="25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 spans="1:32" ht="13">
      <c r="A308" s="21"/>
      <c r="B308" s="16"/>
      <c r="C308" s="16"/>
      <c r="D308" s="22"/>
      <c r="E308" s="16"/>
      <c r="F308" s="22"/>
      <c r="G308" s="16"/>
      <c r="H308" s="16"/>
      <c r="I308" s="23"/>
      <c r="J308" s="16"/>
      <c r="K308" s="16"/>
      <c r="L308" s="2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 spans="1:32" ht="13">
      <c r="A309" s="21"/>
      <c r="B309" s="16"/>
      <c r="C309" s="16"/>
      <c r="D309" s="22"/>
      <c r="E309" s="16"/>
      <c r="F309" s="22"/>
      <c r="G309" s="16"/>
      <c r="H309" s="16"/>
      <c r="I309" s="23"/>
      <c r="J309" s="16"/>
      <c r="K309" s="16"/>
      <c r="L309" s="2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 spans="1:32" ht="13">
      <c r="A310" s="21"/>
      <c r="B310" s="16"/>
      <c r="C310" s="16"/>
      <c r="D310" s="22"/>
      <c r="E310" s="16"/>
      <c r="F310" s="22"/>
      <c r="G310" s="16"/>
      <c r="H310" s="16"/>
      <c r="I310" s="23"/>
      <c r="J310" s="16"/>
      <c r="K310" s="16"/>
      <c r="L310" s="2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 spans="1:32" ht="13">
      <c r="A311" s="21"/>
      <c r="B311" s="16"/>
      <c r="C311" s="16"/>
      <c r="D311" s="22"/>
      <c r="E311" s="16"/>
      <c r="F311" s="22"/>
      <c r="G311" s="16"/>
      <c r="H311" s="16"/>
      <c r="I311" s="23"/>
      <c r="J311" s="16"/>
      <c r="K311" s="16"/>
      <c r="L311" s="25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 spans="1:32" ht="13">
      <c r="A312" s="21"/>
      <c r="B312" s="16"/>
      <c r="C312" s="16"/>
      <c r="D312" s="22"/>
      <c r="E312" s="16"/>
      <c r="F312" s="22"/>
      <c r="G312" s="16"/>
      <c r="H312" s="16"/>
      <c r="I312" s="23"/>
      <c r="J312" s="16"/>
      <c r="K312" s="16"/>
      <c r="L312" s="25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spans="1:32" ht="13">
      <c r="A313" s="21"/>
      <c r="B313" s="16"/>
      <c r="C313" s="16"/>
      <c r="D313" s="22"/>
      <c r="E313" s="16"/>
      <c r="F313" s="22"/>
      <c r="G313" s="16"/>
      <c r="H313" s="16"/>
      <c r="I313" s="23"/>
      <c r="J313" s="16"/>
      <c r="K313" s="16"/>
      <c r="L313" s="25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spans="1:32" ht="13">
      <c r="A314" s="21"/>
      <c r="B314" s="16"/>
      <c r="C314" s="16"/>
      <c r="D314" s="22"/>
      <c r="E314" s="16"/>
      <c r="F314" s="22"/>
      <c r="G314" s="16"/>
      <c r="H314" s="16"/>
      <c r="I314" s="23"/>
      <c r="J314" s="16"/>
      <c r="K314" s="16"/>
      <c r="L314" s="25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spans="1:32" ht="13">
      <c r="A315" s="21"/>
      <c r="B315" s="16"/>
      <c r="C315" s="16"/>
      <c r="D315" s="22"/>
      <c r="E315" s="16"/>
      <c r="F315" s="22"/>
      <c r="G315" s="16"/>
      <c r="H315" s="16"/>
      <c r="I315" s="23"/>
      <c r="J315" s="16"/>
      <c r="K315" s="16"/>
      <c r="L315" s="25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spans="1:32" ht="13">
      <c r="A316" s="21"/>
      <c r="B316" s="16"/>
      <c r="C316" s="16"/>
      <c r="D316" s="22"/>
      <c r="E316" s="16"/>
      <c r="F316" s="22"/>
      <c r="G316" s="16"/>
      <c r="H316" s="16"/>
      <c r="I316" s="23"/>
      <c r="J316" s="16"/>
      <c r="K316" s="16"/>
      <c r="L316" s="2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spans="1:32" ht="13">
      <c r="A317" s="21"/>
      <c r="B317" s="16"/>
      <c r="C317" s="16"/>
      <c r="D317" s="22"/>
      <c r="E317" s="16"/>
      <c r="F317" s="22"/>
      <c r="G317" s="16"/>
      <c r="H317" s="16"/>
      <c r="I317" s="23"/>
      <c r="J317" s="16"/>
      <c r="K317" s="16"/>
      <c r="L317" s="2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 spans="1:32" ht="13">
      <c r="A318" s="21"/>
      <c r="B318" s="16"/>
      <c r="C318" s="16"/>
      <c r="D318" s="22"/>
      <c r="E318" s="16"/>
      <c r="F318" s="22"/>
      <c r="G318" s="16"/>
      <c r="H318" s="16"/>
      <c r="I318" s="23"/>
      <c r="J318" s="16"/>
      <c r="K318" s="16"/>
      <c r="L318" s="2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 spans="1:32" ht="13">
      <c r="A319" s="21"/>
      <c r="B319" s="16"/>
      <c r="C319" s="16"/>
      <c r="D319" s="22"/>
      <c r="E319" s="16"/>
      <c r="F319" s="22"/>
      <c r="G319" s="16"/>
      <c r="H319" s="16"/>
      <c r="I319" s="23"/>
      <c r="J319" s="16"/>
      <c r="K319" s="16"/>
      <c r="L319" s="25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spans="1:32" ht="13">
      <c r="A320" s="21"/>
      <c r="B320" s="16"/>
      <c r="C320" s="16"/>
      <c r="D320" s="22"/>
      <c r="E320" s="16"/>
      <c r="F320" s="22"/>
      <c r="G320" s="16"/>
      <c r="H320" s="16"/>
      <c r="I320" s="23"/>
      <c r="J320" s="16"/>
      <c r="K320" s="16"/>
      <c r="L320" s="25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spans="1:32" ht="13">
      <c r="A321" s="21"/>
      <c r="B321" s="16"/>
      <c r="C321" s="16"/>
      <c r="D321" s="22"/>
      <c r="E321" s="16"/>
      <c r="F321" s="22"/>
      <c r="G321" s="16"/>
      <c r="H321" s="16"/>
      <c r="I321" s="23"/>
      <c r="J321" s="16"/>
      <c r="K321" s="16"/>
      <c r="L321" s="25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 spans="1:32" ht="13">
      <c r="A322" s="21"/>
      <c r="B322" s="16"/>
      <c r="C322" s="16"/>
      <c r="D322" s="22"/>
      <c r="E322" s="16"/>
      <c r="F322" s="22"/>
      <c r="G322" s="16"/>
      <c r="H322" s="16"/>
      <c r="I322" s="23"/>
      <c r="J322" s="16"/>
      <c r="K322" s="16"/>
      <c r="L322" s="25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 spans="1:32" ht="13">
      <c r="A323" s="21"/>
      <c r="B323" s="16"/>
      <c r="C323" s="16"/>
      <c r="D323" s="22"/>
      <c r="E323" s="16"/>
      <c r="F323" s="22"/>
      <c r="G323" s="16"/>
      <c r="H323" s="16"/>
      <c r="I323" s="23"/>
      <c r="J323" s="16"/>
      <c r="K323" s="16"/>
      <c r="L323" s="25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 spans="1:32" ht="13">
      <c r="A324" s="21"/>
      <c r="B324" s="16"/>
      <c r="C324" s="16"/>
      <c r="D324" s="22"/>
      <c r="E324" s="16"/>
      <c r="F324" s="22"/>
      <c r="G324" s="16"/>
      <c r="H324" s="16"/>
      <c r="I324" s="23"/>
      <c r="J324" s="16"/>
      <c r="K324" s="16"/>
      <c r="L324" s="2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 spans="1:32" ht="13">
      <c r="A325" s="21"/>
      <c r="B325" s="16"/>
      <c r="C325" s="16"/>
      <c r="D325" s="22"/>
      <c r="E325" s="16"/>
      <c r="F325" s="22"/>
      <c r="G325" s="16"/>
      <c r="H325" s="16"/>
      <c r="I325" s="23"/>
      <c r="J325" s="16"/>
      <c r="K325" s="16"/>
      <c r="L325" s="2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 spans="1:32" ht="13">
      <c r="A326" s="21"/>
      <c r="B326" s="16"/>
      <c r="C326" s="16"/>
      <c r="D326" s="22"/>
      <c r="E326" s="16"/>
      <c r="F326" s="22"/>
      <c r="G326" s="16"/>
      <c r="H326" s="16"/>
      <c r="I326" s="23"/>
      <c r="J326" s="16"/>
      <c r="K326" s="16"/>
      <c r="L326" s="2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spans="1:32" ht="13">
      <c r="A327" s="21"/>
      <c r="B327" s="16"/>
      <c r="C327" s="16"/>
      <c r="D327" s="22"/>
      <c r="E327" s="16"/>
      <c r="F327" s="22"/>
      <c r="G327" s="16"/>
      <c r="H327" s="16"/>
      <c r="I327" s="23"/>
      <c r="J327" s="16"/>
      <c r="K327" s="16"/>
      <c r="L327" s="25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 spans="1:32" ht="13">
      <c r="A328" s="21"/>
      <c r="B328" s="16"/>
      <c r="C328" s="16"/>
      <c r="D328" s="22"/>
      <c r="E328" s="16"/>
      <c r="F328" s="22"/>
      <c r="G328" s="16"/>
      <c r="H328" s="16"/>
      <c r="I328" s="23"/>
      <c r="J328" s="16"/>
      <c r="K328" s="16"/>
      <c r="L328" s="25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 spans="1:32" ht="13">
      <c r="A329" s="21"/>
      <c r="B329" s="16"/>
      <c r="C329" s="16"/>
      <c r="D329" s="22"/>
      <c r="E329" s="16"/>
      <c r="F329" s="22"/>
      <c r="G329" s="16"/>
      <c r="H329" s="16"/>
      <c r="I329" s="23"/>
      <c r="J329" s="16"/>
      <c r="K329" s="16"/>
      <c r="L329" s="25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 spans="1:32" ht="13">
      <c r="A330" s="21"/>
      <c r="B330" s="16"/>
      <c r="C330" s="16"/>
      <c r="D330" s="22"/>
      <c r="E330" s="16"/>
      <c r="F330" s="22"/>
      <c r="G330" s="16"/>
      <c r="H330" s="16"/>
      <c r="I330" s="23"/>
      <c r="J330" s="16"/>
      <c r="K330" s="16"/>
      <c r="L330" s="25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 spans="1:32" ht="13">
      <c r="A331" s="21"/>
      <c r="B331" s="16"/>
      <c r="C331" s="16"/>
      <c r="D331" s="22"/>
      <c r="E331" s="16"/>
      <c r="F331" s="22"/>
      <c r="G331" s="16"/>
      <c r="H331" s="16"/>
      <c r="I331" s="23"/>
      <c r="J331" s="16"/>
      <c r="K331" s="16"/>
      <c r="L331" s="25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 spans="1:32" ht="13">
      <c r="A332" s="21"/>
      <c r="B332" s="16"/>
      <c r="C332" s="16"/>
      <c r="D332" s="22"/>
      <c r="E332" s="16"/>
      <c r="F332" s="22"/>
      <c r="G332" s="16"/>
      <c r="H332" s="16"/>
      <c r="I332" s="23"/>
      <c r="J332" s="16"/>
      <c r="K332" s="16"/>
      <c r="L332" s="2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 spans="1:32" ht="13">
      <c r="A333" s="21"/>
      <c r="B333" s="16"/>
      <c r="C333" s="16"/>
      <c r="D333" s="22"/>
      <c r="E333" s="16"/>
      <c r="F333" s="22"/>
      <c r="G333" s="16"/>
      <c r="H333" s="16"/>
      <c r="I333" s="23"/>
      <c r="J333" s="16"/>
      <c r="K333" s="16"/>
      <c r="L333" s="2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 spans="1:32" ht="13">
      <c r="A334" s="21"/>
      <c r="B334" s="16"/>
      <c r="C334" s="16"/>
      <c r="D334" s="22"/>
      <c r="E334" s="16"/>
      <c r="F334" s="22"/>
      <c r="G334" s="16"/>
      <c r="H334" s="16"/>
      <c r="I334" s="23"/>
      <c r="J334" s="16"/>
      <c r="K334" s="16"/>
      <c r="L334" s="2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 spans="1:32" ht="13">
      <c r="A335" s="21"/>
      <c r="B335" s="16"/>
      <c r="C335" s="16"/>
      <c r="D335" s="22"/>
      <c r="E335" s="16"/>
      <c r="F335" s="22"/>
      <c r="G335" s="16"/>
      <c r="H335" s="16"/>
      <c r="I335" s="23"/>
      <c r="J335" s="16"/>
      <c r="K335" s="16"/>
      <c r="L335" s="25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 spans="1:32" ht="13">
      <c r="A336" s="21"/>
      <c r="B336" s="16"/>
      <c r="C336" s="16"/>
      <c r="D336" s="22"/>
      <c r="E336" s="16"/>
      <c r="F336" s="22"/>
      <c r="G336" s="16"/>
      <c r="H336" s="16"/>
      <c r="I336" s="23"/>
      <c r="J336" s="16"/>
      <c r="K336" s="16"/>
      <c r="L336" s="25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 spans="1:32" ht="13">
      <c r="A337" s="21"/>
      <c r="B337" s="16"/>
      <c r="C337" s="16"/>
      <c r="D337" s="22"/>
      <c r="E337" s="16"/>
      <c r="F337" s="22"/>
      <c r="G337" s="16"/>
      <c r="H337" s="16"/>
      <c r="I337" s="23"/>
      <c r="J337" s="16"/>
      <c r="K337" s="16"/>
      <c r="L337" s="25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 spans="1:32" ht="13">
      <c r="A338" s="21"/>
      <c r="B338" s="16"/>
      <c r="C338" s="16"/>
      <c r="D338" s="22"/>
      <c r="E338" s="16"/>
      <c r="F338" s="22"/>
      <c r="G338" s="16"/>
      <c r="H338" s="16"/>
      <c r="I338" s="23"/>
      <c r="J338" s="16"/>
      <c r="K338" s="16"/>
      <c r="L338" s="25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 spans="1:32" ht="13">
      <c r="A339" s="21"/>
      <c r="B339" s="16"/>
      <c r="C339" s="16"/>
      <c r="D339" s="22"/>
      <c r="E339" s="16"/>
      <c r="F339" s="22"/>
      <c r="G339" s="16"/>
      <c r="H339" s="16"/>
      <c r="I339" s="23"/>
      <c r="J339" s="16"/>
      <c r="K339" s="16"/>
      <c r="L339" s="25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 spans="1:32" ht="13">
      <c r="A340" s="21"/>
      <c r="B340" s="16"/>
      <c r="C340" s="16"/>
      <c r="D340" s="22"/>
      <c r="E340" s="16"/>
      <c r="F340" s="22"/>
      <c r="G340" s="16"/>
      <c r="H340" s="16"/>
      <c r="I340" s="23"/>
      <c r="J340" s="16"/>
      <c r="K340" s="16"/>
      <c r="L340" s="2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 spans="1:32" ht="13">
      <c r="A341" s="21"/>
      <c r="B341" s="16"/>
      <c r="C341" s="16"/>
      <c r="D341" s="22"/>
      <c r="E341" s="16"/>
      <c r="F341" s="22"/>
      <c r="G341" s="16"/>
      <c r="H341" s="16"/>
      <c r="I341" s="23"/>
      <c r="J341" s="16"/>
      <c r="K341" s="16"/>
      <c r="L341" s="2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 spans="1:32" ht="13">
      <c r="A342" s="21"/>
      <c r="B342" s="16"/>
      <c r="C342" s="16"/>
      <c r="D342" s="22"/>
      <c r="E342" s="16"/>
      <c r="F342" s="22"/>
      <c r="G342" s="16"/>
      <c r="H342" s="16"/>
      <c r="I342" s="23"/>
      <c r="J342" s="16"/>
      <c r="K342" s="16"/>
      <c r="L342" s="2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 spans="1:32" ht="13">
      <c r="A343" s="21"/>
      <c r="B343" s="16"/>
      <c r="C343" s="16"/>
      <c r="D343" s="22"/>
      <c r="E343" s="16"/>
      <c r="F343" s="22"/>
      <c r="G343" s="16"/>
      <c r="H343" s="16"/>
      <c r="I343" s="23"/>
      <c r="J343" s="16"/>
      <c r="K343" s="16"/>
      <c r="L343" s="25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 spans="1:32" ht="13">
      <c r="A344" s="21"/>
      <c r="B344" s="16"/>
      <c r="C344" s="16"/>
      <c r="D344" s="22"/>
      <c r="E344" s="16"/>
      <c r="F344" s="22"/>
      <c r="G344" s="16"/>
      <c r="H344" s="16"/>
      <c r="I344" s="23"/>
      <c r="J344" s="16"/>
      <c r="K344" s="16"/>
      <c r="L344" s="25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 spans="1:32" ht="13">
      <c r="A345" s="21"/>
      <c r="B345" s="16"/>
      <c r="C345" s="16"/>
      <c r="D345" s="22"/>
      <c r="E345" s="16"/>
      <c r="F345" s="22"/>
      <c r="G345" s="16"/>
      <c r="H345" s="16"/>
      <c r="I345" s="23"/>
      <c r="J345" s="16"/>
      <c r="K345" s="16"/>
      <c r="L345" s="25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 spans="1:32" ht="13">
      <c r="A346" s="21"/>
      <c r="B346" s="16"/>
      <c r="C346" s="16"/>
      <c r="D346" s="22"/>
      <c r="E346" s="16"/>
      <c r="F346" s="22"/>
      <c r="G346" s="16"/>
      <c r="H346" s="16"/>
      <c r="I346" s="23"/>
      <c r="J346" s="16"/>
      <c r="K346" s="16"/>
      <c r="L346" s="25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 spans="1:32" ht="13">
      <c r="A347" s="21"/>
      <c r="B347" s="16"/>
      <c r="C347" s="16"/>
      <c r="D347" s="22"/>
      <c r="E347" s="16"/>
      <c r="F347" s="22"/>
      <c r="G347" s="16"/>
      <c r="H347" s="16"/>
      <c r="I347" s="23"/>
      <c r="J347" s="16"/>
      <c r="K347" s="16"/>
      <c r="L347" s="25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 spans="1:32" ht="13">
      <c r="A348" s="21"/>
      <c r="B348" s="16"/>
      <c r="C348" s="16"/>
      <c r="D348" s="22"/>
      <c r="E348" s="16"/>
      <c r="F348" s="22"/>
      <c r="G348" s="16"/>
      <c r="H348" s="16"/>
      <c r="I348" s="23"/>
      <c r="J348" s="16"/>
      <c r="K348" s="16"/>
      <c r="L348" s="25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 spans="1:32" ht="13">
      <c r="A349" s="21"/>
      <c r="B349" s="16"/>
      <c r="C349" s="16"/>
      <c r="D349" s="22"/>
      <c r="E349" s="16"/>
      <c r="F349" s="22"/>
      <c r="G349" s="16"/>
      <c r="H349" s="16"/>
      <c r="I349" s="23"/>
      <c r="J349" s="16"/>
      <c r="K349" s="16"/>
      <c r="L349" s="2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 spans="1:32" ht="13">
      <c r="A350" s="21"/>
      <c r="B350" s="16"/>
      <c r="C350" s="16"/>
      <c r="D350" s="22"/>
      <c r="E350" s="16"/>
      <c r="F350" s="22"/>
      <c r="G350" s="16"/>
      <c r="H350" s="16"/>
      <c r="I350" s="23"/>
      <c r="J350" s="16"/>
      <c r="K350" s="16"/>
      <c r="L350" s="25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 spans="1:32" ht="13">
      <c r="A351" s="21"/>
      <c r="B351" s="16"/>
      <c r="C351" s="16"/>
      <c r="D351" s="22"/>
      <c r="E351" s="16"/>
      <c r="F351" s="22"/>
      <c r="G351" s="16"/>
      <c r="H351" s="16"/>
      <c r="I351" s="23"/>
      <c r="J351" s="16"/>
      <c r="K351" s="16"/>
      <c r="L351" s="25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 spans="1:32" ht="13">
      <c r="A352" s="21"/>
      <c r="B352" s="16"/>
      <c r="C352" s="16"/>
      <c r="D352" s="22"/>
      <c r="E352" s="16"/>
      <c r="F352" s="22"/>
      <c r="G352" s="16"/>
      <c r="H352" s="16"/>
      <c r="I352" s="23"/>
      <c r="J352" s="16"/>
      <c r="K352" s="16"/>
      <c r="L352" s="25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 spans="1:32" ht="13">
      <c r="A353" s="21"/>
      <c r="B353" s="16"/>
      <c r="C353" s="16"/>
      <c r="D353" s="22"/>
      <c r="E353" s="16"/>
      <c r="F353" s="22"/>
      <c r="G353" s="16"/>
      <c r="H353" s="16"/>
      <c r="I353" s="23"/>
      <c r="J353" s="16"/>
      <c r="K353" s="16"/>
      <c r="L353" s="25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 spans="1:32" ht="13">
      <c r="A354" s="21"/>
      <c r="B354" s="16"/>
      <c r="C354" s="16"/>
      <c r="D354" s="22"/>
      <c r="E354" s="16"/>
      <c r="F354" s="22"/>
      <c r="G354" s="16"/>
      <c r="H354" s="16"/>
      <c r="I354" s="23"/>
      <c r="J354" s="16"/>
      <c r="K354" s="16"/>
      <c r="L354" s="25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 spans="1:32" ht="13">
      <c r="A355" s="21"/>
      <c r="B355" s="16"/>
      <c r="C355" s="16"/>
      <c r="D355" s="22"/>
      <c r="E355" s="16"/>
      <c r="F355" s="22"/>
      <c r="G355" s="16"/>
      <c r="H355" s="16"/>
      <c r="I355" s="23"/>
      <c r="J355" s="16"/>
      <c r="K355" s="16"/>
      <c r="L355" s="25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 spans="1:32" ht="13">
      <c r="A356" s="21"/>
      <c r="B356" s="16"/>
      <c r="C356" s="16"/>
      <c r="D356" s="22"/>
      <c r="E356" s="16"/>
      <c r="F356" s="22"/>
      <c r="G356" s="16"/>
      <c r="H356" s="16"/>
      <c r="I356" s="23"/>
      <c r="J356" s="16"/>
      <c r="K356" s="16"/>
      <c r="L356" s="25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 spans="1:32" ht="13">
      <c r="A357" s="21"/>
      <c r="B357" s="16"/>
      <c r="C357" s="16"/>
      <c r="D357" s="22"/>
      <c r="E357" s="16"/>
      <c r="F357" s="22"/>
      <c r="G357" s="16"/>
      <c r="H357" s="16"/>
      <c r="I357" s="23"/>
      <c r="J357" s="16"/>
      <c r="K357" s="16"/>
      <c r="L357" s="25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 spans="1:32" ht="13">
      <c r="A358" s="21"/>
      <c r="B358" s="16"/>
      <c r="C358" s="16"/>
      <c r="D358" s="22"/>
      <c r="E358" s="16"/>
      <c r="F358" s="22"/>
      <c r="G358" s="16"/>
      <c r="H358" s="16"/>
      <c r="I358" s="23"/>
      <c r="J358" s="16"/>
      <c r="K358" s="16"/>
      <c r="L358" s="25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 spans="1:32" ht="13">
      <c r="A359" s="21"/>
      <c r="B359" s="16"/>
      <c r="C359" s="16"/>
      <c r="D359" s="22"/>
      <c r="E359" s="16"/>
      <c r="F359" s="22"/>
      <c r="G359" s="16"/>
      <c r="H359" s="16"/>
      <c r="I359" s="23"/>
      <c r="J359" s="16"/>
      <c r="K359" s="16"/>
      <c r="L359" s="25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 spans="1:32" ht="13">
      <c r="A360" s="21"/>
      <c r="B360" s="16"/>
      <c r="C360" s="16"/>
      <c r="D360" s="22"/>
      <c r="E360" s="16"/>
      <c r="F360" s="22"/>
      <c r="G360" s="16"/>
      <c r="H360" s="16"/>
      <c r="I360" s="23"/>
      <c r="J360" s="16"/>
      <c r="K360" s="16"/>
      <c r="L360" s="25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 spans="1:32" ht="13">
      <c r="A361" s="21"/>
      <c r="B361" s="16"/>
      <c r="C361" s="16"/>
      <c r="D361" s="22"/>
      <c r="E361" s="16"/>
      <c r="F361" s="22"/>
      <c r="G361" s="16"/>
      <c r="H361" s="16"/>
      <c r="I361" s="23"/>
      <c r="J361" s="16"/>
      <c r="K361" s="16"/>
      <c r="L361" s="25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 spans="1:32" ht="13">
      <c r="A362" s="21"/>
      <c r="B362" s="16"/>
      <c r="C362" s="16"/>
      <c r="D362" s="22"/>
      <c r="E362" s="16"/>
      <c r="F362" s="22"/>
      <c r="G362" s="16"/>
      <c r="H362" s="16"/>
      <c r="I362" s="23"/>
      <c r="J362" s="16"/>
      <c r="K362" s="16"/>
      <c r="L362" s="25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 spans="1:32" ht="13">
      <c r="A363" s="21"/>
      <c r="B363" s="16"/>
      <c r="C363" s="16"/>
      <c r="D363" s="22"/>
      <c r="E363" s="16"/>
      <c r="F363" s="22"/>
      <c r="G363" s="16"/>
      <c r="H363" s="16"/>
      <c r="I363" s="23"/>
      <c r="J363" s="16"/>
      <c r="K363" s="16"/>
      <c r="L363" s="25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 spans="1:32" ht="13">
      <c r="A364" s="21"/>
      <c r="B364" s="16"/>
      <c r="C364" s="16"/>
      <c r="D364" s="22"/>
      <c r="E364" s="16"/>
      <c r="F364" s="22"/>
      <c r="G364" s="16"/>
      <c r="H364" s="16"/>
      <c r="I364" s="23"/>
      <c r="J364" s="16"/>
      <c r="K364" s="16"/>
      <c r="L364" s="25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 spans="1:32" ht="13">
      <c r="A365" s="21"/>
      <c r="B365" s="16"/>
      <c r="C365" s="16"/>
      <c r="D365" s="22"/>
      <c r="E365" s="16"/>
      <c r="F365" s="22"/>
      <c r="G365" s="16"/>
      <c r="H365" s="16"/>
      <c r="I365" s="23"/>
      <c r="J365" s="16"/>
      <c r="K365" s="16"/>
      <c r="L365" s="25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 spans="1:32" ht="13">
      <c r="A366" s="21"/>
      <c r="B366" s="16"/>
      <c r="C366" s="16"/>
      <c r="D366" s="22"/>
      <c r="E366" s="16"/>
      <c r="F366" s="22"/>
      <c r="G366" s="16"/>
      <c r="H366" s="16"/>
      <c r="I366" s="23"/>
      <c r="J366" s="16"/>
      <c r="K366" s="16"/>
      <c r="L366" s="25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 spans="1:32" ht="13">
      <c r="A367" s="21"/>
      <c r="B367" s="16"/>
      <c r="C367" s="16"/>
      <c r="D367" s="22"/>
      <c r="E367" s="16"/>
      <c r="F367" s="22"/>
      <c r="G367" s="16"/>
      <c r="H367" s="16"/>
      <c r="I367" s="23"/>
      <c r="J367" s="16"/>
      <c r="K367" s="16"/>
      <c r="L367" s="25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 spans="1:32" ht="13">
      <c r="A368" s="21"/>
      <c r="B368" s="16"/>
      <c r="C368" s="16"/>
      <c r="D368" s="22"/>
      <c r="E368" s="16"/>
      <c r="F368" s="22"/>
      <c r="G368" s="16"/>
      <c r="H368" s="16"/>
      <c r="I368" s="23"/>
      <c r="J368" s="16"/>
      <c r="K368" s="16"/>
      <c r="L368" s="25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 spans="1:32" ht="13">
      <c r="A369" s="21"/>
      <c r="B369" s="16"/>
      <c r="C369" s="16"/>
      <c r="D369" s="22"/>
      <c r="E369" s="16"/>
      <c r="F369" s="22"/>
      <c r="G369" s="16"/>
      <c r="H369" s="16"/>
      <c r="I369" s="23"/>
      <c r="J369" s="16"/>
      <c r="K369" s="16"/>
      <c r="L369" s="25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 spans="1:32" ht="13">
      <c r="A370" s="21"/>
      <c r="B370" s="16"/>
      <c r="C370" s="16"/>
      <c r="D370" s="22"/>
      <c r="E370" s="16"/>
      <c r="F370" s="22"/>
      <c r="G370" s="16"/>
      <c r="H370" s="16"/>
      <c r="I370" s="23"/>
      <c r="J370" s="16"/>
      <c r="K370" s="16"/>
      <c r="L370" s="25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 spans="1:32" ht="13">
      <c r="A371" s="21"/>
      <c r="B371" s="16"/>
      <c r="C371" s="16"/>
      <c r="D371" s="22"/>
      <c r="E371" s="16"/>
      <c r="F371" s="22"/>
      <c r="G371" s="16"/>
      <c r="H371" s="16"/>
      <c r="I371" s="23"/>
      <c r="J371" s="16"/>
      <c r="K371" s="16"/>
      <c r="L371" s="25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 spans="1:32" ht="13">
      <c r="A372" s="21"/>
      <c r="B372" s="16"/>
      <c r="C372" s="16"/>
      <c r="D372" s="22"/>
      <c r="E372" s="16"/>
      <c r="F372" s="22"/>
      <c r="G372" s="16"/>
      <c r="H372" s="16"/>
      <c r="I372" s="23"/>
      <c r="J372" s="16"/>
      <c r="K372" s="16"/>
      <c r="L372" s="25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 spans="1:32" ht="13">
      <c r="A373" s="21"/>
      <c r="B373" s="16"/>
      <c r="C373" s="16"/>
      <c r="D373" s="22"/>
      <c r="E373" s="16"/>
      <c r="F373" s="22"/>
      <c r="G373" s="16"/>
      <c r="H373" s="16"/>
      <c r="I373" s="23"/>
      <c r="J373" s="16"/>
      <c r="K373" s="16"/>
      <c r="L373" s="25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 spans="1:32" ht="13">
      <c r="A374" s="21"/>
      <c r="B374" s="16"/>
      <c r="C374" s="16"/>
      <c r="D374" s="22"/>
      <c r="E374" s="16"/>
      <c r="F374" s="22"/>
      <c r="G374" s="16"/>
      <c r="H374" s="16"/>
      <c r="I374" s="23"/>
      <c r="J374" s="16"/>
      <c r="K374" s="16"/>
      <c r="L374" s="25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 spans="1:32" ht="13">
      <c r="A375" s="21"/>
      <c r="B375" s="16"/>
      <c r="C375" s="16"/>
      <c r="D375" s="22"/>
      <c r="E375" s="16"/>
      <c r="F375" s="22"/>
      <c r="G375" s="16"/>
      <c r="H375" s="16"/>
      <c r="I375" s="23"/>
      <c r="J375" s="16"/>
      <c r="K375" s="16"/>
      <c r="L375" s="25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 spans="1:32" ht="13">
      <c r="A376" s="21"/>
      <c r="B376" s="16"/>
      <c r="C376" s="16"/>
      <c r="D376" s="22"/>
      <c r="E376" s="16"/>
      <c r="F376" s="22"/>
      <c r="G376" s="16"/>
      <c r="H376" s="16"/>
      <c r="I376" s="23"/>
      <c r="J376" s="16"/>
      <c r="K376" s="16"/>
      <c r="L376" s="25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 spans="1:32" ht="13">
      <c r="A377" s="21"/>
      <c r="B377" s="16"/>
      <c r="C377" s="16"/>
      <c r="D377" s="22"/>
      <c r="E377" s="16"/>
      <c r="F377" s="22"/>
      <c r="G377" s="16"/>
      <c r="H377" s="16"/>
      <c r="I377" s="23"/>
      <c r="J377" s="16"/>
      <c r="K377" s="16"/>
      <c r="L377" s="25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 spans="1:32" ht="13">
      <c r="A378" s="21"/>
      <c r="B378" s="16"/>
      <c r="C378" s="16"/>
      <c r="D378" s="22"/>
      <c r="E378" s="16"/>
      <c r="F378" s="22"/>
      <c r="G378" s="16"/>
      <c r="H378" s="16"/>
      <c r="I378" s="23"/>
      <c r="J378" s="16"/>
      <c r="K378" s="16"/>
      <c r="L378" s="25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 spans="1:32" ht="13">
      <c r="A379" s="21"/>
      <c r="B379" s="16"/>
      <c r="C379" s="16"/>
      <c r="D379" s="22"/>
      <c r="E379" s="16"/>
      <c r="F379" s="22"/>
      <c r="G379" s="16"/>
      <c r="H379" s="16"/>
      <c r="I379" s="23"/>
      <c r="J379" s="16"/>
      <c r="K379" s="16"/>
      <c r="L379" s="25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 spans="1:32" ht="13">
      <c r="A380" s="21"/>
      <c r="B380" s="16"/>
      <c r="C380" s="16"/>
      <c r="D380" s="22"/>
      <c r="E380" s="16"/>
      <c r="F380" s="22"/>
      <c r="G380" s="16"/>
      <c r="H380" s="16"/>
      <c r="I380" s="23"/>
      <c r="J380" s="16"/>
      <c r="K380" s="16"/>
      <c r="L380" s="25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 spans="1:32" ht="13">
      <c r="A381" s="21"/>
      <c r="B381" s="16"/>
      <c r="C381" s="16"/>
      <c r="D381" s="22"/>
      <c r="E381" s="16"/>
      <c r="F381" s="22"/>
      <c r="G381" s="16"/>
      <c r="H381" s="16"/>
      <c r="I381" s="23"/>
      <c r="J381" s="16"/>
      <c r="K381" s="16"/>
      <c r="L381" s="2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 spans="1:32" ht="13">
      <c r="A382" s="21"/>
      <c r="B382" s="16"/>
      <c r="C382" s="16"/>
      <c r="D382" s="22"/>
      <c r="E382" s="16"/>
      <c r="F382" s="22"/>
      <c r="G382" s="16"/>
      <c r="H382" s="16"/>
      <c r="I382" s="23"/>
      <c r="J382" s="16"/>
      <c r="K382" s="16"/>
      <c r="L382" s="2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 spans="1:32" ht="13">
      <c r="A383" s="21"/>
      <c r="B383" s="16"/>
      <c r="C383" s="16"/>
      <c r="D383" s="22"/>
      <c r="E383" s="16"/>
      <c r="F383" s="22"/>
      <c r="G383" s="16"/>
      <c r="H383" s="16"/>
      <c r="I383" s="23"/>
      <c r="J383" s="16"/>
      <c r="K383" s="16"/>
      <c r="L383" s="25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 spans="1:32" ht="13">
      <c r="A384" s="21"/>
      <c r="B384" s="16"/>
      <c r="C384" s="16"/>
      <c r="D384" s="22"/>
      <c r="E384" s="16"/>
      <c r="F384" s="22"/>
      <c r="G384" s="16"/>
      <c r="H384" s="16"/>
      <c r="I384" s="23"/>
      <c r="J384" s="16"/>
      <c r="K384" s="16"/>
      <c r="L384" s="25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 spans="1:32" ht="13">
      <c r="A385" s="21"/>
      <c r="B385" s="16"/>
      <c r="C385" s="16"/>
      <c r="D385" s="22"/>
      <c r="E385" s="16"/>
      <c r="F385" s="22"/>
      <c r="G385" s="16"/>
      <c r="H385" s="16"/>
      <c r="I385" s="23"/>
      <c r="J385" s="16"/>
      <c r="K385" s="16"/>
      <c r="L385" s="25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 spans="1:32" ht="13">
      <c r="A386" s="21"/>
      <c r="B386" s="16"/>
      <c r="C386" s="16"/>
      <c r="D386" s="22"/>
      <c r="E386" s="16"/>
      <c r="F386" s="22"/>
      <c r="G386" s="16"/>
      <c r="H386" s="16"/>
      <c r="I386" s="23"/>
      <c r="J386" s="16"/>
      <c r="K386" s="16"/>
      <c r="L386" s="25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 spans="1:32" ht="13">
      <c r="A387" s="21"/>
      <c r="B387" s="16"/>
      <c r="C387" s="16"/>
      <c r="D387" s="22"/>
      <c r="E387" s="16"/>
      <c r="F387" s="22"/>
      <c r="G387" s="16"/>
      <c r="H387" s="16"/>
      <c r="I387" s="23"/>
      <c r="J387" s="16"/>
      <c r="K387" s="16"/>
      <c r="L387" s="25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 spans="1:32" ht="13">
      <c r="A388" s="21"/>
      <c r="B388" s="16"/>
      <c r="C388" s="16"/>
      <c r="D388" s="22"/>
      <c r="E388" s="16"/>
      <c r="F388" s="22"/>
      <c r="G388" s="16"/>
      <c r="H388" s="16"/>
      <c r="I388" s="23"/>
      <c r="J388" s="16"/>
      <c r="K388" s="16"/>
      <c r="L388" s="25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 spans="1:32" ht="13">
      <c r="A389" s="21"/>
      <c r="B389" s="16"/>
      <c r="C389" s="16"/>
      <c r="D389" s="22"/>
      <c r="E389" s="16"/>
      <c r="F389" s="22"/>
      <c r="G389" s="16"/>
      <c r="H389" s="16"/>
      <c r="I389" s="23"/>
      <c r="J389" s="16"/>
      <c r="K389" s="16"/>
      <c r="L389" s="2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 spans="1:32" ht="13">
      <c r="A390" s="21"/>
      <c r="B390" s="16"/>
      <c r="C390" s="16"/>
      <c r="D390" s="22"/>
      <c r="E390" s="16"/>
      <c r="F390" s="22"/>
      <c r="G390" s="16"/>
      <c r="H390" s="16"/>
      <c r="I390" s="23"/>
      <c r="J390" s="16"/>
      <c r="K390" s="16"/>
      <c r="L390" s="2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 spans="1:32" ht="13">
      <c r="A391" s="21"/>
      <c r="B391" s="16"/>
      <c r="C391" s="16"/>
      <c r="D391" s="22"/>
      <c r="E391" s="16"/>
      <c r="F391" s="22"/>
      <c r="G391" s="16"/>
      <c r="H391" s="16"/>
      <c r="I391" s="23"/>
      <c r="J391" s="16"/>
      <c r="K391" s="16"/>
      <c r="L391" s="25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 spans="1:32" ht="13">
      <c r="A392" s="21"/>
      <c r="B392" s="16"/>
      <c r="C392" s="16"/>
      <c r="D392" s="22"/>
      <c r="E392" s="16"/>
      <c r="F392" s="22"/>
      <c r="G392" s="16"/>
      <c r="H392" s="16"/>
      <c r="I392" s="23"/>
      <c r="J392" s="16"/>
      <c r="K392" s="16"/>
      <c r="L392" s="25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 spans="1:32" ht="13">
      <c r="A393" s="21"/>
      <c r="B393" s="16"/>
      <c r="C393" s="16"/>
      <c r="D393" s="22"/>
      <c r="E393" s="16"/>
      <c r="F393" s="22"/>
      <c r="G393" s="16"/>
      <c r="H393" s="16"/>
      <c r="I393" s="23"/>
      <c r="J393" s="16"/>
      <c r="K393" s="16"/>
      <c r="L393" s="25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 spans="1:32" ht="13">
      <c r="A394" s="21"/>
      <c r="B394" s="16"/>
      <c r="C394" s="16"/>
      <c r="D394" s="22"/>
      <c r="E394" s="16"/>
      <c r="F394" s="22"/>
      <c r="G394" s="16"/>
      <c r="H394" s="16"/>
      <c r="I394" s="23"/>
      <c r="J394" s="16"/>
      <c r="K394" s="16"/>
      <c r="L394" s="25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 spans="1:32" ht="13">
      <c r="A395" s="21"/>
      <c r="B395" s="16"/>
      <c r="C395" s="16"/>
      <c r="D395" s="22"/>
      <c r="E395" s="16"/>
      <c r="F395" s="22"/>
      <c r="G395" s="16"/>
      <c r="H395" s="16"/>
      <c r="I395" s="23"/>
      <c r="J395" s="16"/>
      <c r="K395" s="16"/>
      <c r="L395" s="25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 spans="1:32" ht="13">
      <c r="A396" s="21"/>
      <c r="B396" s="16"/>
      <c r="C396" s="16"/>
      <c r="D396" s="22"/>
      <c r="E396" s="16"/>
      <c r="F396" s="22"/>
      <c r="G396" s="16"/>
      <c r="H396" s="16"/>
      <c r="I396" s="23"/>
      <c r="J396" s="16"/>
      <c r="K396" s="16"/>
      <c r="L396" s="25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 spans="1:32" ht="13">
      <c r="A397" s="21"/>
      <c r="B397" s="16"/>
      <c r="C397" s="16"/>
      <c r="D397" s="22"/>
      <c r="E397" s="16"/>
      <c r="F397" s="22"/>
      <c r="G397" s="16"/>
      <c r="H397" s="16"/>
      <c r="I397" s="23"/>
      <c r="J397" s="16"/>
      <c r="K397" s="16"/>
      <c r="L397" s="25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 spans="1:32" ht="13">
      <c r="A398" s="21"/>
      <c r="B398" s="16"/>
      <c r="C398" s="16"/>
      <c r="D398" s="22"/>
      <c r="E398" s="16"/>
      <c r="F398" s="22"/>
      <c r="G398" s="16"/>
      <c r="H398" s="16"/>
      <c r="I398" s="23"/>
      <c r="J398" s="16"/>
      <c r="K398" s="16"/>
      <c r="L398" s="25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 spans="1:32" ht="13">
      <c r="A399" s="21"/>
      <c r="B399" s="16"/>
      <c r="C399" s="16"/>
      <c r="D399" s="22"/>
      <c r="E399" s="16"/>
      <c r="F399" s="22"/>
      <c r="G399" s="16"/>
      <c r="H399" s="16"/>
      <c r="I399" s="23"/>
      <c r="J399" s="16"/>
      <c r="K399" s="16"/>
      <c r="L399" s="25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 spans="1:32" ht="13">
      <c r="A400" s="21"/>
      <c r="B400" s="16"/>
      <c r="C400" s="16"/>
      <c r="D400" s="22"/>
      <c r="E400" s="16"/>
      <c r="F400" s="22"/>
      <c r="G400" s="16"/>
      <c r="H400" s="16"/>
      <c r="I400" s="23"/>
      <c r="J400" s="16"/>
      <c r="K400" s="16"/>
      <c r="L400" s="25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 spans="1:32" ht="13">
      <c r="A401" s="21"/>
      <c r="B401" s="16"/>
      <c r="C401" s="16"/>
      <c r="D401" s="22"/>
      <c r="E401" s="16"/>
      <c r="F401" s="22"/>
      <c r="G401" s="16"/>
      <c r="H401" s="16"/>
      <c r="I401" s="23"/>
      <c r="J401" s="16"/>
      <c r="K401" s="16"/>
      <c r="L401" s="25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 spans="1:32" ht="13">
      <c r="A402" s="21"/>
      <c r="B402" s="16"/>
      <c r="C402" s="16"/>
      <c r="D402" s="22"/>
      <c r="E402" s="16"/>
      <c r="F402" s="22"/>
      <c r="G402" s="16"/>
      <c r="H402" s="16"/>
      <c r="I402" s="23"/>
      <c r="J402" s="16"/>
      <c r="K402" s="16"/>
      <c r="L402" s="25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 spans="1:32" ht="13">
      <c r="A403" s="21"/>
      <c r="B403" s="16"/>
      <c r="C403" s="16"/>
      <c r="D403" s="22"/>
      <c r="E403" s="16"/>
      <c r="F403" s="22"/>
      <c r="G403" s="16"/>
      <c r="H403" s="16"/>
      <c r="I403" s="23"/>
      <c r="J403" s="16"/>
      <c r="K403" s="16"/>
      <c r="L403" s="25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 spans="1:32" ht="13">
      <c r="A404" s="21"/>
      <c r="B404" s="16"/>
      <c r="C404" s="16"/>
      <c r="D404" s="22"/>
      <c r="E404" s="16"/>
      <c r="F404" s="22"/>
      <c r="G404" s="16"/>
      <c r="H404" s="16"/>
      <c r="I404" s="23"/>
      <c r="J404" s="16"/>
      <c r="K404" s="16"/>
      <c r="L404" s="25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 spans="1:32" ht="13">
      <c r="A405" s="21"/>
      <c r="B405" s="16"/>
      <c r="C405" s="16"/>
      <c r="D405" s="22"/>
      <c r="E405" s="16"/>
      <c r="F405" s="22"/>
      <c r="G405" s="16"/>
      <c r="H405" s="16"/>
      <c r="I405" s="23"/>
      <c r="J405" s="16"/>
      <c r="K405" s="16"/>
      <c r="L405" s="2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 spans="1:32" ht="13">
      <c r="A406" s="21"/>
      <c r="B406" s="16"/>
      <c r="C406" s="16"/>
      <c r="D406" s="22"/>
      <c r="E406" s="16"/>
      <c r="F406" s="22"/>
      <c r="G406" s="16"/>
      <c r="H406" s="16"/>
      <c r="I406" s="23"/>
      <c r="J406" s="16"/>
      <c r="K406" s="16"/>
      <c r="L406" s="25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 spans="1:32" ht="13">
      <c r="A407" s="21"/>
      <c r="B407" s="16"/>
      <c r="C407" s="16"/>
      <c r="D407" s="22"/>
      <c r="E407" s="16"/>
      <c r="F407" s="22"/>
      <c r="G407" s="16"/>
      <c r="H407" s="16"/>
      <c r="I407" s="23"/>
      <c r="J407" s="16"/>
      <c r="K407" s="16"/>
      <c r="L407" s="25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 spans="1:32" ht="13">
      <c r="A408" s="21"/>
      <c r="B408" s="16"/>
      <c r="C408" s="16"/>
      <c r="D408" s="22"/>
      <c r="E408" s="16"/>
      <c r="F408" s="22"/>
      <c r="G408" s="16"/>
      <c r="H408" s="16"/>
      <c r="I408" s="23"/>
      <c r="J408" s="16"/>
      <c r="K408" s="16"/>
      <c r="L408" s="25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 spans="1:32" ht="13">
      <c r="A409" s="21"/>
      <c r="B409" s="16"/>
      <c r="C409" s="16"/>
      <c r="D409" s="22"/>
      <c r="E409" s="16"/>
      <c r="F409" s="22"/>
      <c r="G409" s="16"/>
      <c r="H409" s="16"/>
      <c r="I409" s="23"/>
      <c r="J409" s="16"/>
      <c r="K409" s="16"/>
      <c r="L409" s="25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 spans="1:32" ht="13">
      <c r="A410" s="21"/>
      <c r="B410" s="16"/>
      <c r="C410" s="16"/>
      <c r="D410" s="22"/>
      <c r="E410" s="16"/>
      <c r="F410" s="22"/>
      <c r="G410" s="16"/>
      <c r="H410" s="16"/>
      <c r="I410" s="23"/>
      <c r="J410" s="16"/>
      <c r="K410" s="16"/>
      <c r="L410" s="25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 spans="1:32" ht="13">
      <c r="A411" s="21"/>
      <c r="B411" s="16"/>
      <c r="C411" s="16"/>
      <c r="D411" s="22"/>
      <c r="E411" s="16"/>
      <c r="F411" s="22"/>
      <c r="G411" s="16"/>
      <c r="H411" s="16"/>
      <c r="I411" s="23"/>
      <c r="J411" s="16"/>
      <c r="K411" s="16"/>
      <c r="L411" s="25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 spans="1:32" ht="13">
      <c r="A412" s="21"/>
      <c r="B412" s="16"/>
      <c r="C412" s="16"/>
      <c r="D412" s="22"/>
      <c r="E412" s="16"/>
      <c r="F412" s="22"/>
      <c r="G412" s="16"/>
      <c r="H412" s="16"/>
      <c r="I412" s="23"/>
      <c r="J412" s="16"/>
      <c r="K412" s="16"/>
      <c r="L412" s="25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 spans="1:32" ht="13">
      <c r="A413" s="21"/>
      <c r="B413" s="16"/>
      <c r="C413" s="16"/>
      <c r="D413" s="22"/>
      <c r="E413" s="16"/>
      <c r="F413" s="22"/>
      <c r="G413" s="16"/>
      <c r="H413" s="16"/>
      <c r="I413" s="23"/>
      <c r="J413" s="16"/>
      <c r="K413" s="16"/>
      <c r="L413" s="25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 spans="1:32" ht="13">
      <c r="A414" s="21"/>
      <c r="B414" s="16"/>
      <c r="C414" s="16"/>
      <c r="D414" s="22"/>
      <c r="E414" s="16"/>
      <c r="F414" s="22"/>
      <c r="G414" s="16"/>
      <c r="H414" s="16"/>
      <c r="I414" s="23"/>
      <c r="J414" s="16"/>
      <c r="K414" s="16"/>
      <c r="L414" s="25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 spans="1:32" ht="13">
      <c r="A415" s="21"/>
      <c r="B415" s="16"/>
      <c r="C415" s="16"/>
      <c r="D415" s="22"/>
      <c r="E415" s="16"/>
      <c r="F415" s="22"/>
      <c r="G415" s="16"/>
      <c r="H415" s="16"/>
      <c r="I415" s="23"/>
      <c r="J415" s="16"/>
      <c r="K415" s="16"/>
      <c r="L415" s="25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 spans="1:32" ht="13">
      <c r="A416" s="21"/>
      <c r="B416" s="16"/>
      <c r="C416" s="16"/>
      <c r="D416" s="22"/>
      <c r="E416" s="16"/>
      <c r="F416" s="22"/>
      <c r="G416" s="16"/>
      <c r="H416" s="16"/>
      <c r="I416" s="23"/>
      <c r="J416" s="16"/>
      <c r="K416" s="16"/>
      <c r="L416" s="25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 spans="1:32" ht="13">
      <c r="A417" s="21"/>
      <c r="B417" s="16"/>
      <c r="C417" s="16"/>
      <c r="D417" s="22"/>
      <c r="E417" s="16"/>
      <c r="F417" s="22"/>
      <c r="G417" s="16"/>
      <c r="H417" s="16"/>
      <c r="I417" s="23"/>
      <c r="J417" s="16"/>
      <c r="K417" s="16"/>
      <c r="L417" s="25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 spans="1:32" ht="13">
      <c r="A418" s="21"/>
      <c r="B418" s="16"/>
      <c r="C418" s="16"/>
      <c r="D418" s="22"/>
      <c r="E418" s="16"/>
      <c r="F418" s="22"/>
      <c r="G418" s="16"/>
      <c r="H418" s="16"/>
      <c r="I418" s="23"/>
      <c r="J418" s="16"/>
      <c r="K418" s="16"/>
      <c r="L418" s="25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 spans="1:32" ht="13">
      <c r="A419" s="21"/>
      <c r="B419" s="16"/>
      <c r="C419" s="16"/>
      <c r="D419" s="22"/>
      <c r="E419" s="16"/>
      <c r="F419" s="22"/>
      <c r="G419" s="16"/>
      <c r="H419" s="16"/>
      <c r="I419" s="23"/>
      <c r="J419" s="16"/>
      <c r="K419" s="16"/>
      <c r="L419" s="25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 spans="1:32" ht="13">
      <c r="A420" s="21"/>
      <c r="B420" s="16"/>
      <c r="C420" s="16"/>
      <c r="D420" s="22"/>
      <c r="E420" s="16"/>
      <c r="F420" s="22"/>
      <c r="G420" s="16"/>
      <c r="H420" s="16"/>
      <c r="I420" s="23"/>
      <c r="J420" s="16"/>
      <c r="K420" s="16"/>
      <c r="L420" s="25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 spans="1:32" ht="13">
      <c r="A421" s="21"/>
      <c r="B421" s="16"/>
      <c r="C421" s="16"/>
      <c r="D421" s="22"/>
      <c r="E421" s="16"/>
      <c r="F421" s="22"/>
      <c r="G421" s="16"/>
      <c r="H421" s="16"/>
      <c r="I421" s="23"/>
      <c r="J421" s="16"/>
      <c r="K421" s="16"/>
      <c r="L421" s="25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 spans="1:32" ht="13">
      <c r="A422" s="21"/>
      <c r="B422" s="16"/>
      <c r="C422" s="16"/>
      <c r="D422" s="22"/>
      <c r="E422" s="16"/>
      <c r="F422" s="22"/>
      <c r="G422" s="16"/>
      <c r="H422" s="16"/>
      <c r="I422" s="23"/>
      <c r="J422" s="16"/>
      <c r="K422" s="16"/>
      <c r="L422" s="25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 spans="1:32" ht="13">
      <c r="A423" s="21"/>
      <c r="B423" s="16"/>
      <c r="C423" s="16"/>
      <c r="D423" s="22"/>
      <c r="E423" s="16"/>
      <c r="F423" s="22"/>
      <c r="G423" s="16"/>
      <c r="H423" s="16"/>
      <c r="I423" s="23"/>
      <c r="J423" s="16"/>
      <c r="K423" s="16"/>
      <c r="L423" s="25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 spans="1:32" ht="13">
      <c r="A424" s="21"/>
      <c r="B424" s="16"/>
      <c r="C424" s="16"/>
      <c r="D424" s="22"/>
      <c r="E424" s="16"/>
      <c r="F424" s="22"/>
      <c r="G424" s="16"/>
      <c r="H424" s="16"/>
      <c r="I424" s="23"/>
      <c r="J424" s="16"/>
      <c r="K424" s="16"/>
      <c r="L424" s="25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 spans="1:32" ht="13">
      <c r="A425" s="21"/>
      <c r="B425" s="16"/>
      <c r="C425" s="16"/>
      <c r="D425" s="22"/>
      <c r="E425" s="16"/>
      <c r="F425" s="22"/>
      <c r="G425" s="16"/>
      <c r="H425" s="16"/>
      <c r="I425" s="23"/>
      <c r="J425" s="16"/>
      <c r="K425" s="16"/>
      <c r="L425" s="25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 spans="1:32" ht="13">
      <c r="A426" s="21"/>
      <c r="B426" s="16"/>
      <c r="C426" s="16"/>
      <c r="D426" s="22"/>
      <c r="E426" s="16"/>
      <c r="F426" s="22"/>
      <c r="G426" s="16"/>
      <c r="H426" s="16"/>
      <c r="I426" s="23"/>
      <c r="J426" s="16"/>
      <c r="K426" s="16"/>
      <c r="L426" s="25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 spans="1:32" ht="13">
      <c r="A427" s="21"/>
      <c r="B427" s="16"/>
      <c r="C427" s="16"/>
      <c r="D427" s="22"/>
      <c r="E427" s="16"/>
      <c r="F427" s="22"/>
      <c r="G427" s="16"/>
      <c r="H427" s="16"/>
      <c r="I427" s="23"/>
      <c r="J427" s="16"/>
      <c r="K427" s="16"/>
      <c r="L427" s="25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 spans="1:32" ht="13">
      <c r="A428" s="21"/>
      <c r="B428" s="16"/>
      <c r="C428" s="16"/>
      <c r="D428" s="22"/>
      <c r="E428" s="16"/>
      <c r="F428" s="22"/>
      <c r="G428" s="16"/>
      <c r="H428" s="16"/>
      <c r="I428" s="23"/>
      <c r="J428" s="16"/>
      <c r="K428" s="16"/>
      <c r="L428" s="25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 spans="1:32" ht="13">
      <c r="A429" s="21"/>
      <c r="B429" s="16"/>
      <c r="C429" s="16"/>
      <c r="D429" s="22"/>
      <c r="E429" s="16"/>
      <c r="F429" s="22"/>
      <c r="G429" s="16"/>
      <c r="H429" s="16"/>
      <c r="I429" s="23"/>
      <c r="J429" s="16"/>
      <c r="K429" s="16"/>
      <c r="L429" s="25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 spans="1:32" ht="13">
      <c r="A430" s="21"/>
      <c r="B430" s="16"/>
      <c r="C430" s="16"/>
      <c r="D430" s="22"/>
      <c r="E430" s="16"/>
      <c r="F430" s="22"/>
      <c r="G430" s="16"/>
      <c r="H430" s="16"/>
      <c r="I430" s="23"/>
      <c r="J430" s="16"/>
      <c r="K430" s="16"/>
      <c r="L430" s="25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 spans="1:32" ht="13">
      <c r="A431" s="21"/>
      <c r="B431" s="16"/>
      <c r="C431" s="16"/>
      <c r="D431" s="22"/>
      <c r="E431" s="16"/>
      <c r="F431" s="22"/>
      <c r="G431" s="16"/>
      <c r="H431" s="16"/>
      <c r="I431" s="23"/>
      <c r="J431" s="16"/>
      <c r="K431" s="16"/>
      <c r="L431" s="25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 spans="1:32" ht="13">
      <c r="A432" s="21"/>
      <c r="B432" s="16"/>
      <c r="C432" s="16"/>
      <c r="D432" s="22"/>
      <c r="E432" s="16"/>
      <c r="F432" s="22"/>
      <c r="G432" s="16"/>
      <c r="H432" s="16"/>
      <c r="I432" s="23"/>
      <c r="J432" s="16"/>
      <c r="K432" s="16"/>
      <c r="L432" s="25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 spans="1:32" ht="13">
      <c r="A433" s="21"/>
      <c r="B433" s="16"/>
      <c r="C433" s="16"/>
      <c r="D433" s="22"/>
      <c r="E433" s="16"/>
      <c r="F433" s="22"/>
      <c r="G433" s="16"/>
      <c r="H433" s="16"/>
      <c r="I433" s="23"/>
      <c r="J433" s="16"/>
      <c r="K433" s="16"/>
      <c r="L433" s="25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 spans="1:32" ht="13">
      <c r="A434" s="21"/>
      <c r="B434" s="16"/>
      <c r="C434" s="16"/>
      <c r="D434" s="22"/>
      <c r="E434" s="16"/>
      <c r="F434" s="22"/>
      <c r="G434" s="16"/>
      <c r="H434" s="16"/>
      <c r="I434" s="23"/>
      <c r="J434" s="16"/>
      <c r="K434" s="16"/>
      <c r="L434" s="25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 spans="1:32" ht="13">
      <c r="A435" s="21"/>
      <c r="B435" s="16"/>
      <c r="C435" s="16"/>
      <c r="D435" s="22"/>
      <c r="E435" s="16"/>
      <c r="F435" s="22"/>
      <c r="G435" s="16"/>
      <c r="H435" s="16"/>
      <c r="I435" s="23"/>
      <c r="J435" s="16"/>
      <c r="K435" s="16"/>
      <c r="L435" s="25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 spans="1:32" ht="13">
      <c r="A436" s="21"/>
      <c r="B436" s="16"/>
      <c r="C436" s="16"/>
      <c r="D436" s="22"/>
      <c r="E436" s="16"/>
      <c r="F436" s="22"/>
      <c r="G436" s="16"/>
      <c r="H436" s="16"/>
      <c r="I436" s="23"/>
      <c r="J436" s="16"/>
      <c r="K436" s="16"/>
      <c r="L436" s="25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 spans="1:32" ht="13">
      <c r="A437" s="21"/>
      <c r="B437" s="16"/>
      <c r="C437" s="16"/>
      <c r="D437" s="22"/>
      <c r="E437" s="16"/>
      <c r="F437" s="22"/>
      <c r="G437" s="16"/>
      <c r="H437" s="16"/>
      <c r="I437" s="23"/>
      <c r="J437" s="16"/>
      <c r="K437" s="16"/>
      <c r="L437" s="25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 spans="1:32" ht="13">
      <c r="A438" s="21"/>
      <c r="B438" s="16"/>
      <c r="C438" s="16"/>
      <c r="D438" s="22"/>
      <c r="E438" s="16"/>
      <c r="F438" s="22"/>
      <c r="G438" s="16"/>
      <c r="H438" s="16"/>
      <c r="I438" s="23"/>
      <c r="J438" s="16"/>
      <c r="K438" s="16"/>
      <c r="L438" s="2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 spans="1:32" ht="13">
      <c r="A439" s="21"/>
      <c r="B439" s="16"/>
      <c r="C439" s="16"/>
      <c r="D439" s="22"/>
      <c r="E439" s="16"/>
      <c r="F439" s="22"/>
      <c r="G439" s="16"/>
      <c r="H439" s="16"/>
      <c r="I439" s="23"/>
      <c r="J439" s="16"/>
      <c r="K439" s="16"/>
      <c r="L439" s="25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 spans="1:32" ht="13">
      <c r="A440" s="21"/>
      <c r="B440" s="16"/>
      <c r="C440" s="16"/>
      <c r="D440" s="22"/>
      <c r="E440" s="16"/>
      <c r="F440" s="22"/>
      <c r="G440" s="16"/>
      <c r="H440" s="16"/>
      <c r="I440" s="23"/>
      <c r="J440" s="16"/>
      <c r="K440" s="16"/>
      <c r="L440" s="25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 spans="1:32" ht="13">
      <c r="A441" s="21"/>
      <c r="B441" s="16"/>
      <c r="C441" s="16"/>
      <c r="D441" s="22"/>
      <c r="E441" s="16"/>
      <c r="F441" s="22"/>
      <c r="G441" s="16"/>
      <c r="H441" s="16"/>
      <c r="I441" s="23"/>
      <c r="J441" s="16"/>
      <c r="K441" s="16"/>
      <c r="L441" s="25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 spans="1:32" ht="13">
      <c r="A442" s="21"/>
      <c r="B442" s="16"/>
      <c r="C442" s="16"/>
      <c r="D442" s="22"/>
      <c r="E442" s="16"/>
      <c r="F442" s="22"/>
      <c r="G442" s="16"/>
      <c r="H442" s="16"/>
      <c r="I442" s="23"/>
      <c r="J442" s="16"/>
      <c r="K442" s="16"/>
      <c r="L442" s="25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 spans="1:32" ht="13">
      <c r="A443" s="21"/>
      <c r="B443" s="16"/>
      <c r="C443" s="16"/>
      <c r="D443" s="22"/>
      <c r="E443" s="16"/>
      <c r="F443" s="22"/>
      <c r="G443" s="16"/>
      <c r="H443" s="16"/>
      <c r="I443" s="23"/>
      <c r="J443" s="16"/>
      <c r="K443" s="16"/>
      <c r="L443" s="25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 spans="1:32" ht="13">
      <c r="A444" s="21"/>
      <c r="B444" s="16"/>
      <c r="C444" s="16"/>
      <c r="D444" s="22"/>
      <c r="E444" s="16"/>
      <c r="F444" s="22"/>
      <c r="G444" s="16"/>
      <c r="H444" s="16"/>
      <c r="I444" s="23"/>
      <c r="J444" s="16"/>
      <c r="K444" s="16"/>
      <c r="L444" s="25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 spans="1:32" ht="13">
      <c r="A445" s="21"/>
      <c r="B445" s="16"/>
      <c r="C445" s="16"/>
      <c r="D445" s="22"/>
      <c r="E445" s="16"/>
      <c r="F445" s="22"/>
      <c r="G445" s="16"/>
      <c r="H445" s="16"/>
      <c r="I445" s="23"/>
      <c r="J445" s="16"/>
      <c r="K445" s="16"/>
      <c r="L445" s="25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 spans="1:32" ht="13">
      <c r="A446" s="21"/>
      <c r="B446" s="16"/>
      <c r="C446" s="16"/>
      <c r="D446" s="22"/>
      <c r="E446" s="16"/>
      <c r="F446" s="22"/>
      <c r="G446" s="16"/>
      <c r="H446" s="16"/>
      <c r="I446" s="23"/>
      <c r="J446" s="16"/>
      <c r="K446" s="16"/>
      <c r="L446" s="25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 spans="1:32" ht="13">
      <c r="A447" s="21"/>
      <c r="B447" s="16"/>
      <c r="C447" s="16"/>
      <c r="D447" s="22"/>
      <c r="E447" s="16"/>
      <c r="F447" s="22"/>
      <c r="G447" s="16"/>
      <c r="H447" s="16"/>
      <c r="I447" s="23"/>
      <c r="J447" s="16"/>
      <c r="K447" s="16"/>
      <c r="L447" s="25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 spans="1:32" ht="13">
      <c r="A448" s="21"/>
      <c r="B448" s="16"/>
      <c r="C448" s="16"/>
      <c r="D448" s="22"/>
      <c r="E448" s="16"/>
      <c r="F448" s="22"/>
      <c r="G448" s="16"/>
      <c r="H448" s="16"/>
      <c r="I448" s="23"/>
      <c r="J448" s="16"/>
      <c r="K448" s="16"/>
      <c r="L448" s="25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 spans="1:32" ht="13">
      <c r="A449" s="21"/>
      <c r="B449" s="16"/>
      <c r="C449" s="16"/>
      <c r="D449" s="22"/>
      <c r="E449" s="16"/>
      <c r="F449" s="22"/>
      <c r="G449" s="16"/>
      <c r="H449" s="16"/>
      <c r="I449" s="23"/>
      <c r="J449" s="16"/>
      <c r="K449" s="16"/>
      <c r="L449" s="25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 spans="1:32" ht="13">
      <c r="A450" s="21"/>
      <c r="B450" s="16"/>
      <c r="C450" s="16"/>
      <c r="D450" s="22"/>
      <c r="E450" s="16"/>
      <c r="F450" s="22"/>
      <c r="G450" s="16"/>
      <c r="H450" s="16"/>
      <c r="I450" s="23"/>
      <c r="J450" s="16"/>
      <c r="K450" s="16"/>
      <c r="L450" s="25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 spans="1:32" ht="13">
      <c r="A451" s="21"/>
      <c r="B451" s="16"/>
      <c r="C451" s="16"/>
      <c r="D451" s="22"/>
      <c r="E451" s="16"/>
      <c r="F451" s="22"/>
      <c r="G451" s="16"/>
      <c r="H451" s="16"/>
      <c r="I451" s="23"/>
      <c r="J451" s="16"/>
      <c r="K451" s="16"/>
      <c r="L451" s="25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 spans="1:32" ht="13">
      <c r="A452" s="21"/>
      <c r="B452" s="16"/>
      <c r="C452" s="16"/>
      <c r="D452" s="22"/>
      <c r="E452" s="16"/>
      <c r="F452" s="22"/>
      <c r="G452" s="16"/>
      <c r="H452" s="16"/>
      <c r="I452" s="23"/>
      <c r="J452" s="16"/>
      <c r="K452" s="16"/>
      <c r="L452" s="25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 spans="1:32" ht="13">
      <c r="A453" s="21"/>
      <c r="B453" s="16"/>
      <c r="C453" s="16"/>
      <c r="D453" s="22"/>
      <c r="E453" s="16"/>
      <c r="F453" s="22"/>
      <c r="G453" s="16"/>
      <c r="H453" s="16"/>
      <c r="I453" s="23"/>
      <c r="J453" s="16"/>
      <c r="K453" s="16"/>
      <c r="L453" s="2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 spans="1:32" ht="13">
      <c r="A454" s="21"/>
      <c r="B454" s="16"/>
      <c r="C454" s="16"/>
      <c r="D454" s="22"/>
      <c r="E454" s="16"/>
      <c r="F454" s="22"/>
      <c r="G454" s="16"/>
      <c r="H454" s="16"/>
      <c r="I454" s="23"/>
      <c r="J454" s="16"/>
      <c r="K454" s="16"/>
      <c r="L454" s="2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 spans="1:32" ht="13">
      <c r="A455" s="21"/>
      <c r="B455" s="16"/>
      <c r="C455" s="16"/>
      <c r="D455" s="22"/>
      <c r="E455" s="16"/>
      <c r="F455" s="22"/>
      <c r="G455" s="16"/>
      <c r="H455" s="16"/>
      <c r="I455" s="23"/>
      <c r="J455" s="16"/>
      <c r="K455" s="16"/>
      <c r="L455" s="25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 spans="1:32" ht="13">
      <c r="A456" s="21"/>
      <c r="B456" s="16"/>
      <c r="C456" s="16"/>
      <c r="D456" s="22"/>
      <c r="E456" s="16"/>
      <c r="F456" s="22"/>
      <c r="G456" s="16"/>
      <c r="H456" s="16"/>
      <c r="I456" s="23"/>
      <c r="J456" s="16"/>
      <c r="K456" s="16"/>
      <c r="L456" s="25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 spans="1:32" ht="13">
      <c r="A457" s="21"/>
      <c r="B457" s="16"/>
      <c r="C457" s="16"/>
      <c r="D457" s="22"/>
      <c r="E457" s="16"/>
      <c r="F457" s="22"/>
      <c r="G457" s="16"/>
      <c r="H457" s="16"/>
      <c r="I457" s="23"/>
      <c r="J457" s="16"/>
      <c r="K457" s="16"/>
      <c r="L457" s="25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 spans="1:32" ht="13">
      <c r="A458" s="21"/>
      <c r="B458" s="16"/>
      <c r="C458" s="16"/>
      <c r="D458" s="22"/>
      <c r="E458" s="16"/>
      <c r="F458" s="22"/>
      <c r="G458" s="16"/>
      <c r="H458" s="16"/>
      <c r="I458" s="23"/>
      <c r="J458" s="16"/>
      <c r="K458" s="16"/>
      <c r="L458" s="25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 spans="1:32" ht="13">
      <c r="A459" s="21"/>
      <c r="B459" s="16"/>
      <c r="C459" s="16"/>
      <c r="D459" s="22"/>
      <c r="E459" s="16"/>
      <c r="F459" s="22"/>
      <c r="G459" s="16"/>
      <c r="H459" s="16"/>
      <c r="I459" s="23"/>
      <c r="J459" s="16"/>
      <c r="K459" s="16"/>
      <c r="L459" s="25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 spans="1:32" ht="13">
      <c r="A460" s="21"/>
      <c r="B460" s="16"/>
      <c r="C460" s="16"/>
      <c r="D460" s="22"/>
      <c r="E460" s="16"/>
      <c r="F460" s="22"/>
      <c r="G460" s="16"/>
      <c r="H460" s="16"/>
      <c r="I460" s="23"/>
      <c r="J460" s="16"/>
      <c r="K460" s="16"/>
      <c r="L460" s="25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 spans="1:32" ht="13">
      <c r="A461" s="21"/>
      <c r="B461" s="16"/>
      <c r="C461" s="16"/>
      <c r="D461" s="22"/>
      <c r="E461" s="16"/>
      <c r="F461" s="22"/>
      <c r="G461" s="16"/>
      <c r="H461" s="16"/>
      <c r="I461" s="23"/>
      <c r="J461" s="16"/>
      <c r="K461" s="16"/>
      <c r="L461" s="25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 spans="1:32" ht="13">
      <c r="A462" s="21"/>
      <c r="B462" s="16"/>
      <c r="C462" s="16"/>
      <c r="D462" s="22"/>
      <c r="E462" s="16"/>
      <c r="F462" s="22"/>
      <c r="G462" s="16"/>
      <c r="H462" s="16"/>
      <c r="I462" s="23"/>
      <c r="J462" s="16"/>
      <c r="K462" s="16"/>
      <c r="L462" s="25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 spans="1:32" ht="13">
      <c r="A463" s="21"/>
      <c r="B463" s="16"/>
      <c r="C463" s="16"/>
      <c r="D463" s="22"/>
      <c r="E463" s="16"/>
      <c r="F463" s="22"/>
      <c r="G463" s="16"/>
      <c r="H463" s="16"/>
      <c r="I463" s="23"/>
      <c r="J463" s="16"/>
      <c r="K463" s="16"/>
      <c r="L463" s="25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 spans="1:32" ht="13">
      <c r="A464" s="21"/>
      <c r="B464" s="16"/>
      <c r="C464" s="16"/>
      <c r="D464" s="22"/>
      <c r="E464" s="16"/>
      <c r="F464" s="22"/>
      <c r="G464" s="16"/>
      <c r="H464" s="16"/>
      <c r="I464" s="23"/>
      <c r="J464" s="16"/>
      <c r="K464" s="16"/>
      <c r="L464" s="25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 spans="1:32" ht="13">
      <c r="A465" s="21"/>
      <c r="B465" s="16"/>
      <c r="C465" s="16"/>
      <c r="D465" s="22"/>
      <c r="E465" s="16"/>
      <c r="F465" s="22"/>
      <c r="G465" s="16"/>
      <c r="H465" s="16"/>
      <c r="I465" s="23"/>
      <c r="J465" s="16"/>
      <c r="K465" s="16"/>
      <c r="L465" s="25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 spans="1:32" ht="13">
      <c r="A466" s="21"/>
      <c r="B466" s="16"/>
      <c r="C466" s="16"/>
      <c r="D466" s="22"/>
      <c r="E466" s="16"/>
      <c r="F466" s="22"/>
      <c r="G466" s="16"/>
      <c r="H466" s="16"/>
      <c r="I466" s="23"/>
      <c r="J466" s="16"/>
      <c r="K466" s="16"/>
      <c r="L466" s="25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 spans="1:32" ht="13">
      <c r="A467" s="21"/>
      <c r="B467" s="16"/>
      <c r="C467" s="16"/>
      <c r="D467" s="22"/>
      <c r="E467" s="16"/>
      <c r="F467" s="22"/>
      <c r="G467" s="16"/>
      <c r="H467" s="16"/>
      <c r="I467" s="23"/>
      <c r="J467" s="16"/>
      <c r="K467" s="16"/>
      <c r="L467" s="25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 spans="1:32" ht="13">
      <c r="A468" s="21"/>
      <c r="B468" s="16"/>
      <c r="C468" s="16"/>
      <c r="D468" s="22"/>
      <c r="E468" s="16"/>
      <c r="F468" s="22"/>
      <c r="G468" s="16"/>
      <c r="H468" s="16"/>
      <c r="I468" s="23"/>
      <c r="J468" s="16"/>
      <c r="K468" s="16"/>
      <c r="L468" s="25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 spans="1:32" ht="13">
      <c r="A469" s="21"/>
      <c r="B469" s="16"/>
      <c r="C469" s="16"/>
      <c r="D469" s="22"/>
      <c r="E469" s="16"/>
      <c r="F469" s="22"/>
      <c r="G469" s="16"/>
      <c r="H469" s="16"/>
      <c r="I469" s="23"/>
      <c r="J469" s="16"/>
      <c r="K469" s="16"/>
      <c r="L469" s="2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 spans="1:32" ht="13">
      <c r="A470" s="21"/>
      <c r="B470" s="16"/>
      <c r="C470" s="16"/>
      <c r="D470" s="22"/>
      <c r="E470" s="16"/>
      <c r="F470" s="22"/>
      <c r="G470" s="16"/>
      <c r="H470" s="16"/>
      <c r="I470" s="23"/>
      <c r="J470" s="16"/>
      <c r="K470" s="16"/>
      <c r="L470" s="25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 spans="1:32" ht="13">
      <c r="A471" s="21"/>
      <c r="B471" s="16"/>
      <c r="C471" s="16"/>
      <c r="D471" s="22"/>
      <c r="E471" s="16"/>
      <c r="F471" s="22"/>
      <c r="G471" s="16"/>
      <c r="H471" s="16"/>
      <c r="I471" s="23"/>
      <c r="J471" s="16"/>
      <c r="K471" s="16"/>
      <c r="L471" s="25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 spans="1:32" ht="13">
      <c r="A472" s="21"/>
      <c r="B472" s="16"/>
      <c r="C472" s="16"/>
      <c r="D472" s="22"/>
      <c r="E472" s="16"/>
      <c r="F472" s="22"/>
      <c r="G472" s="16"/>
      <c r="H472" s="16"/>
      <c r="I472" s="23"/>
      <c r="J472" s="16"/>
      <c r="K472" s="16"/>
      <c r="L472" s="25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 spans="1:32" ht="13">
      <c r="A473" s="21"/>
      <c r="B473" s="16"/>
      <c r="C473" s="16"/>
      <c r="D473" s="22"/>
      <c r="E473" s="16"/>
      <c r="F473" s="22"/>
      <c r="G473" s="16"/>
      <c r="H473" s="16"/>
      <c r="I473" s="23"/>
      <c r="J473" s="16"/>
      <c r="K473" s="16"/>
      <c r="L473" s="25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 spans="1:32" ht="13">
      <c r="A474" s="21"/>
      <c r="B474" s="16"/>
      <c r="C474" s="16"/>
      <c r="D474" s="22"/>
      <c r="E474" s="16"/>
      <c r="F474" s="22"/>
      <c r="G474" s="16"/>
      <c r="H474" s="16"/>
      <c r="I474" s="23"/>
      <c r="J474" s="16"/>
      <c r="K474" s="16"/>
      <c r="L474" s="25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 spans="1:32" ht="13">
      <c r="A475" s="21"/>
      <c r="B475" s="16"/>
      <c r="C475" s="16"/>
      <c r="D475" s="22"/>
      <c r="E475" s="16"/>
      <c r="F475" s="22"/>
      <c r="G475" s="16"/>
      <c r="H475" s="16"/>
      <c r="I475" s="23"/>
      <c r="J475" s="16"/>
      <c r="K475" s="16"/>
      <c r="L475" s="25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 spans="1:32" ht="13">
      <c r="A476" s="21"/>
      <c r="B476" s="16"/>
      <c r="C476" s="16"/>
      <c r="D476" s="22"/>
      <c r="E476" s="16"/>
      <c r="F476" s="22"/>
      <c r="G476" s="16"/>
      <c r="H476" s="16"/>
      <c r="I476" s="23"/>
      <c r="J476" s="16"/>
      <c r="K476" s="16"/>
      <c r="L476" s="25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 spans="1:32" ht="13">
      <c r="A477" s="21"/>
      <c r="B477" s="16"/>
      <c r="C477" s="16"/>
      <c r="D477" s="22"/>
      <c r="E477" s="16"/>
      <c r="F477" s="22"/>
      <c r="G477" s="16"/>
      <c r="H477" s="16"/>
      <c r="I477" s="23"/>
      <c r="J477" s="16"/>
      <c r="K477" s="16"/>
      <c r="L477" s="25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 spans="1:32" ht="13">
      <c r="A478" s="21"/>
      <c r="B478" s="16"/>
      <c r="C478" s="16"/>
      <c r="D478" s="22"/>
      <c r="E478" s="16"/>
      <c r="F478" s="22"/>
      <c r="G478" s="16"/>
      <c r="H478" s="16"/>
      <c r="I478" s="23"/>
      <c r="J478" s="16"/>
      <c r="K478" s="16"/>
      <c r="L478" s="25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 spans="1:32" ht="13">
      <c r="A479" s="21"/>
      <c r="B479" s="16"/>
      <c r="C479" s="16"/>
      <c r="D479" s="22"/>
      <c r="E479" s="16"/>
      <c r="F479" s="22"/>
      <c r="G479" s="16"/>
      <c r="H479" s="16"/>
      <c r="I479" s="23"/>
      <c r="J479" s="16"/>
      <c r="K479" s="16"/>
      <c r="L479" s="25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 spans="1:32" ht="13">
      <c r="A480" s="21"/>
      <c r="B480" s="16"/>
      <c r="C480" s="16"/>
      <c r="D480" s="22"/>
      <c r="E480" s="16"/>
      <c r="F480" s="22"/>
      <c r="G480" s="16"/>
      <c r="H480" s="16"/>
      <c r="I480" s="23"/>
      <c r="J480" s="16"/>
      <c r="K480" s="16"/>
      <c r="L480" s="25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 spans="1:32" ht="13">
      <c r="A481" s="21"/>
      <c r="B481" s="16"/>
      <c r="C481" s="16"/>
      <c r="D481" s="22"/>
      <c r="E481" s="16"/>
      <c r="F481" s="22"/>
      <c r="G481" s="16"/>
      <c r="H481" s="16"/>
      <c r="I481" s="23"/>
      <c r="J481" s="16"/>
      <c r="K481" s="16"/>
      <c r="L481" s="25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 spans="1:32" ht="13">
      <c r="A482" s="21"/>
      <c r="B482" s="16"/>
      <c r="C482" s="16"/>
      <c r="D482" s="22"/>
      <c r="E482" s="16"/>
      <c r="F482" s="22"/>
      <c r="G482" s="16"/>
      <c r="H482" s="16"/>
      <c r="I482" s="23"/>
      <c r="J482" s="16"/>
      <c r="K482" s="16"/>
      <c r="L482" s="25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 spans="1:32" ht="13">
      <c r="A483" s="21"/>
      <c r="B483" s="16"/>
      <c r="C483" s="16"/>
      <c r="D483" s="22"/>
      <c r="E483" s="16"/>
      <c r="F483" s="22"/>
      <c r="G483" s="16"/>
      <c r="H483" s="16"/>
      <c r="I483" s="23"/>
      <c r="J483" s="16"/>
      <c r="K483" s="16"/>
      <c r="L483" s="25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 spans="1:32" ht="13">
      <c r="A484" s="21"/>
      <c r="B484" s="16"/>
      <c r="C484" s="16"/>
      <c r="D484" s="22"/>
      <c r="E484" s="16"/>
      <c r="F484" s="22"/>
      <c r="G484" s="16"/>
      <c r="H484" s="16"/>
      <c r="I484" s="23"/>
      <c r="J484" s="16"/>
      <c r="K484" s="16"/>
      <c r="L484" s="25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 spans="1:32" ht="13">
      <c r="A485" s="21"/>
      <c r="B485" s="16"/>
      <c r="C485" s="16"/>
      <c r="D485" s="22"/>
      <c r="E485" s="16"/>
      <c r="F485" s="22"/>
      <c r="G485" s="16"/>
      <c r="H485" s="16"/>
      <c r="I485" s="23"/>
      <c r="J485" s="16"/>
      <c r="K485" s="16"/>
      <c r="L485" s="25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 spans="1:32" ht="13">
      <c r="A486" s="21"/>
      <c r="B486" s="16"/>
      <c r="C486" s="16"/>
      <c r="D486" s="22"/>
      <c r="E486" s="16"/>
      <c r="F486" s="22"/>
      <c r="G486" s="16"/>
      <c r="H486" s="16"/>
      <c r="I486" s="23"/>
      <c r="J486" s="16"/>
      <c r="K486" s="16"/>
      <c r="L486" s="25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 spans="1:32" ht="13">
      <c r="A487" s="21"/>
      <c r="B487" s="16"/>
      <c r="C487" s="16"/>
      <c r="D487" s="22"/>
      <c r="E487" s="16"/>
      <c r="F487" s="22"/>
      <c r="G487" s="16"/>
      <c r="H487" s="16"/>
      <c r="I487" s="23"/>
      <c r="J487" s="16"/>
      <c r="K487" s="16"/>
      <c r="L487" s="25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 spans="1:32" ht="13">
      <c r="A488" s="21"/>
      <c r="B488" s="16"/>
      <c r="C488" s="16"/>
      <c r="D488" s="22"/>
      <c r="E488" s="16"/>
      <c r="F488" s="22"/>
      <c r="G488" s="16"/>
      <c r="H488" s="16"/>
      <c r="I488" s="23"/>
      <c r="J488" s="16"/>
      <c r="K488" s="16"/>
      <c r="L488" s="25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 spans="1:32" ht="13">
      <c r="A489" s="21"/>
      <c r="B489" s="16"/>
      <c r="C489" s="16"/>
      <c r="D489" s="22"/>
      <c r="E489" s="16"/>
      <c r="F489" s="22"/>
      <c r="G489" s="16"/>
      <c r="H489" s="16"/>
      <c r="I489" s="23"/>
      <c r="J489" s="16"/>
      <c r="K489" s="16"/>
      <c r="L489" s="25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 spans="1:32" ht="13">
      <c r="A490" s="21"/>
      <c r="B490" s="16"/>
      <c r="C490" s="16"/>
      <c r="D490" s="22"/>
      <c r="E490" s="16"/>
      <c r="F490" s="22"/>
      <c r="G490" s="16"/>
      <c r="H490" s="16"/>
      <c r="I490" s="23"/>
      <c r="J490" s="16"/>
      <c r="K490" s="16"/>
      <c r="L490" s="25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 spans="1:32" ht="13">
      <c r="A491" s="21"/>
      <c r="B491" s="16"/>
      <c r="C491" s="16"/>
      <c r="D491" s="22"/>
      <c r="E491" s="16"/>
      <c r="F491" s="22"/>
      <c r="G491" s="16"/>
      <c r="H491" s="16"/>
      <c r="I491" s="23"/>
      <c r="J491" s="16"/>
      <c r="K491" s="16"/>
      <c r="L491" s="25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 spans="1:32" ht="13">
      <c r="A492" s="21"/>
      <c r="B492" s="16"/>
      <c r="C492" s="16"/>
      <c r="D492" s="22"/>
      <c r="E492" s="16"/>
      <c r="F492" s="22"/>
      <c r="G492" s="16"/>
      <c r="H492" s="16"/>
      <c r="I492" s="23"/>
      <c r="J492" s="16"/>
      <c r="K492" s="16"/>
      <c r="L492" s="25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 spans="1:32" ht="13">
      <c r="A493" s="21"/>
      <c r="B493" s="16"/>
      <c r="C493" s="16"/>
      <c r="D493" s="22"/>
      <c r="E493" s="16"/>
      <c r="F493" s="22"/>
      <c r="G493" s="16"/>
      <c r="H493" s="16"/>
      <c r="I493" s="23"/>
      <c r="J493" s="16"/>
      <c r="K493" s="16"/>
      <c r="L493" s="25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 spans="1:32" ht="13">
      <c r="A494" s="21"/>
      <c r="B494" s="16"/>
      <c r="C494" s="16"/>
      <c r="D494" s="22"/>
      <c r="E494" s="16"/>
      <c r="F494" s="22"/>
      <c r="G494" s="16"/>
      <c r="H494" s="16"/>
      <c r="I494" s="23"/>
      <c r="J494" s="16"/>
      <c r="K494" s="16"/>
      <c r="L494" s="2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 spans="1:32" ht="13">
      <c r="A495" s="21"/>
      <c r="B495" s="16"/>
      <c r="C495" s="16"/>
      <c r="D495" s="22"/>
      <c r="E495" s="16"/>
      <c r="F495" s="22"/>
      <c r="G495" s="16"/>
      <c r="H495" s="16"/>
      <c r="I495" s="23"/>
      <c r="J495" s="16"/>
      <c r="K495" s="16"/>
      <c r="L495" s="25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 spans="1:32" ht="13">
      <c r="A496" s="21"/>
      <c r="B496" s="16"/>
      <c r="C496" s="16"/>
      <c r="D496" s="22"/>
      <c r="E496" s="16"/>
      <c r="F496" s="22"/>
      <c r="G496" s="16"/>
      <c r="H496" s="16"/>
      <c r="I496" s="23"/>
      <c r="J496" s="16"/>
      <c r="K496" s="16"/>
      <c r="L496" s="25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 spans="1:32" ht="13">
      <c r="A497" s="21"/>
      <c r="B497" s="16"/>
      <c r="C497" s="16"/>
      <c r="D497" s="22"/>
      <c r="E497" s="16"/>
      <c r="F497" s="22"/>
      <c r="G497" s="16"/>
      <c r="H497" s="16"/>
      <c r="I497" s="23"/>
      <c r="J497" s="16"/>
      <c r="K497" s="16"/>
      <c r="L497" s="25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 spans="1:32" ht="13">
      <c r="A498" s="21"/>
      <c r="B498" s="16"/>
      <c r="C498" s="16"/>
      <c r="D498" s="22"/>
      <c r="E498" s="16"/>
      <c r="F498" s="22"/>
      <c r="G498" s="16"/>
      <c r="H498" s="16"/>
      <c r="I498" s="23"/>
      <c r="J498" s="16"/>
      <c r="K498" s="16"/>
      <c r="L498" s="25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 spans="1:32" ht="13">
      <c r="A499" s="21"/>
      <c r="B499" s="16"/>
      <c r="C499" s="16"/>
      <c r="D499" s="22"/>
      <c r="E499" s="16"/>
      <c r="F499" s="22"/>
      <c r="G499" s="16"/>
      <c r="H499" s="16"/>
      <c r="I499" s="23"/>
      <c r="J499" s="16"/>
      <c r="K499" s="16"/>
      <c r="L499" s="25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 spans="1:32" ht="13">
      <c r="A500" s="21"/>
      <c r="B500" s="16"/>
      <c r="C500" s="16"/>
      <c r="D500" s="22"/>
      <c r="E500" s="16"/>
      <c r="F500" s="22"/>
      <c r="G500" s="16"/>
      <c r="H500" s="16"/>
      <c r="I500" s="23"/>
      <c r="J500" s="16"/>
      <c r="K500" s="16"/>
      <c r="L500" s="2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 spans="1:32" ht="13">
      <c r="A501" s="21"/>
      <c r="B501" s="16"/>
      <c r="C501" s="16"/>
      <c r="D501" s="22"/>
      <c r="E501" s="16"/>
      <c r="F501" s="22"/>
      <c r="G501" s="16"/>
      <c r="H501" s="16"/>
      <c r="I501" s="23"/>
      <c r="J501" s="16"/>
      <c r="K501" s="16"/>
      <c r="L501" s="25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 spans="1:32" ht="13">
      <c r="A502" s="21"/>
      <c r="B502" s="16"/>
      <c r="C502" s="16"/>
      <c r="D502" s="22"/>
      <c r="E502" s="16"/>
      <c r="F502" s="22"/>
      <c r="G502" s="16"/>
      <c r="H502" s="16"/>
      <c r="I502" s="23"/>
      <c r="J502" s="16"/>
      <c r="K502" s="16"/>
      <c r="L502" s="2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spans="1:32" ht="13">
      <c r="A503" s="21"/>
      <c r="B503" s="16"/>
      <c r="C503" s="16"/>
      <c r="D503" s="22"/>
      <c r="E503" s="16"/>
      <c r="F503" s="22"/>
      <c r="G503" s="16"/>
      <c r="H503" s="16"/>
      <c r="I503" s="23"/>
      <c r="J503" s="16"/>
      <c r="K503" s="16"/>
      <c r="L503" s="25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 spans="1:32" ht="13">
      <c r="A504" s="21"/>
      <c r="B504" s="16"/>
      <c r="C504" s="16"/>
      <c r="D504" s="22"/>
      <c r="E504" s="16"/>
      <c r="F504" s="22"/>
      <c r="G504" s="16"/>
      <c r="H504" s="16"/>
      <c r="I504" s="23"/>
      <c r="J504" s="16"/>
      <c r="K504" s="16"/>
      <c r="L504" s="25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 spans="1:32" ht="13">
      <c r="A505" s="21"/>
      <c r="B505" s="16"/>
      <c r="C505" s="16"/>
      <c r="D505" s="22"/>
      <c r="E505" s="16"/>
      <c r="F505" s="22"/>
      <c r="G505" s="16"/>
      <c r="H505" s="16"/>
      <c r="I505" s="23"/>
      <c r="J505" s="16"/>
      <c r="K505" s="16"/>
      <c r="L505" s="25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 spans="1:32" ht="13">
      <c r="A506" s="21"/>
      <c r="B506" s="16"/>
      <c r="C506" s="16"/>
      <c r="D506" s="22"/>
      <c r="E506" s="16"/>
      <c r="F506" s="22"/>
      <c r="G506" s="16"/>
      <c r="H506" s="16"/>
      <c r="I506" s="23"/>
      <c r="J506" s="16"/>
      <c r="K506" s="16"/>
      <c r="L506" s="25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 spans="1:32" ht="13">
      <c r="A507" s="21"/>
      <c r="B507" s="16"/>
      <c r="C507" s="16"/>
      <c r="D507" s="22"/>
      <c r="E507" s="16"/>
      <c r="F507" s="22"/>
      <c r="G507" s="16"/>
      <c r="H507" s="16"/>
      <c r="I507" s="23"/>
      <c r="J507" s="16"/>
      <c r="K507" s="16"/>
      <c r="L507" s="25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 spans="1:32" ht="13">
      <c r="A508" s="21"/>
      <c r="B508" s="16"/>
      <c r="C508" s="16"/>
      <c r="D508" s="22"/>
      <c r="E508" s="16"/>
      <c r="F508" s="22"/>
      <c r="G508" s="16"/>
      <c r="H508" s="16"/>
      <c r="I508" s="23"/>
      <c r="J508" s="16"/>
      <c r="K508" s="16"/>
      <c r="L508" s="25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 spans="1:32" ht="13">
      <c r="A509" s="21"/>
      <c r="B509" s="16"/>
      <c r="C509" s="16"/>
      <c r="D509" s="22"/>
      <c r="E509" s="16"/>
      <c r="F509" s="22"/>
      <c r="G509" s="16"/>
      <c r="H509" s="16"/>
      <c r="I509" s="23"/>
      <c r="J509" s="16"/>
      <c r="K509" s="16"/>
      <c r="L509" s="2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 spans="1:32" ht="13">
      <c r="A510" s="21"/>
      <c r="B510" s="16"/>
      <c r="C510" s="16"/>
      <c r="D510" s="22"/>
      <c r="E510" s="16"/>
      <c r="F510" s="22"/>
      <c r="G510" s="16"/>
      <c r="H510" s="16"/>
      <c r="I510" s="23"/>
      <c r="J510" s="16"/>
      <c r="K510" s="16"/>
      <c r="L510" s="25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 spans="1:32" ht="13">
      <c r="A511" s="21"/>
      <c r="B511" s="16"/>
      <c r="C511" s="16"/>
      <c r="D511" s="22"/>
      <c r="E511" s="16"/>
      <c r="F511" s="22"/>
      <c r="G511" s="16"/>
      <c r="H511" s="16"/>
      <c r="I511" s="23"/>
      <c r="J511" s="16"/>
      <c r="K511" s="16"/>
      <c r="L511" s="25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 spans="1:32" ht="13">
      <c r="A512" s="21"/>
      <c r="B512" s="16"/>
      <c r="C512" s="16"/>
      <c r="D512" s="22"/>
      <c r="E512" s="16"/>
      <c r="F512" s="22"/>
      <c r="G512" s="16"/>
      <c r="H512" s="16"/>
      <c r="I512" s="23"/>
      <c r="J512" s="16"/>
      <c r="K512" s="16"/>
      <c r="L512" s="25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 spans="1:32" ht="13">
      <c r="A513" s="21"/>
      <c r="B513" s="16"/>
      <c r="C513" s="16"/>
      <c r="D513" s="22"/>
      <c r="E513" s="16"/>
      <c r="F513" s="22"/>
      <c r="G513" s="16"/>
      <c r="H513" s="16"/>
      <c r="I513" s="23"/>
      <c r="J513" s="16"/>
      <c r="K513" s="16"/>
      <c r="L513" s="25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 spans="1:32" ht="13">
      <c r="A514" s="21"/>
      <c r="B514" s="16"/>
      <c r="C514" s="16"/>
      <c r="D514" s="22"/>
      <c r="E514" s="16"/>
      <c r="F514" s="22"/>
      <c r="G514" s="16"/>
      <c r="H514" s="16"/>
      <c r="I514" s="23"/>
      <c r="J514" s="16"/>
      <c r="K514" s="16"/>
      <c r="L514" s="25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 spans="1:32" ht="13">
      <c r="A515" s="21"/>
      <c r="B515" s="16"/>
      <c r="C515" s="16"/>
      <c r="D515" s="22"/>
      <c r="E515" s="16"/>
      <c r="F515" s="22"/>
      <c r="G515" s="16"/>
      <c r="H515" s="16"/>
      <c r="I515" s="23"/>
      <c r="J515" s="16"/>
      <c r="K515" s="16"/>
      <c r="L515" s="25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 spans="1:32" ht="13">
      <c r="A516" s="21"/>
      <c r="B516" s="16"/>
      <c r="C516" s="16"/>
      <c r="D516" s="22"/>
      <c r="E516" s="16"/>
      <c r="F516" s="22"/>
      <c r="G516" s="16"/>
      <c r="H516" s="16"/>
      <c r="I516" s="23"/>
      <c r="J516" s="16"/>
      <c r="K516" s="16"/>
      <c r="L516" s="25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 spans="1:32" ht="13">
      <c r="A517" s="21"/>
      <c r="B517" s="16"/>
      <c r="C517" s="16"/>
      <c r="D517" s="22"/>
      <c r="E517" s="16"/>
      <c r="F517" s="22"/>
      <c r="G517" s="16"/>
      <c r="H517" s="16"/>
      <c r="I517" s="23"/>
      <c r="J517" s="16"/>
      <c r="K517" s="16"/>
      <c r="L517" s="25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 spans="1:32" ht="13">
      <c r="A518" s="21"/>
      <c r="B518" s="16"/>
      <c r="C518" s="16"/>
      <c r="D518" s="22"/>
      <c r="E518" s="16"/>
      <c r="F518" s="22"/>
      <c r="G518" s="16"/>
      <c r="H518" s="16"/>
      <c r="I518" s="23"/>
      <c r="J518" s="16"/>
      <c r="K518" s="16"/>
      <c r="L518" s="2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 spans="1:32" ht="13">
      <c r="A519" s="21"/>
      <c r="B519" s="16"/>
      <c r="C519" s="16"/>
      <c r="D519" s="22"/>
      <c r="E519" s="16"/>
      <c r="F519" s="22"/>
      <c r="G519" s="16"/>
      <c r="H519" s="16"/>
      <c r="I519" s="23"/>
      <c r="J519" s="16"/>
      <c r="K519" s="16"/>
      <c r="L519" s="25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 spans="1:32" ht="13">
      <c r="A520" s="21"/>
      <c r="B520" s="16"/>
      <c r="C520" s="16"/>
      <c r="D520" s="22"/>
      <c r="E520" s="16"/>
      <c r="F520" s="22"/>
      <c r="G520" s="16"/>
      <c r="H520" s="16"/>
      <c r="I520" s="23"/>
      <c r="J520" s="16"/>
      <c r="K520" s="16"/>
      <c r="L520" s="25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 spans="1:32" ht="13">
      <c r="A521" s="21"/>
      <c r="B521" s="16"/>
      <c r="C521" s="16"/>
      <c r="D521" s="22"/>
      <c r="E521" s="16"/>
      <c r="F521" s="22"/>
      <c r="G521" s="16"/>
      <c r="H521" s="16"/>
      <c r="I521" s="23"/>
      <c r="J521" s="16"/>
      <c r="K521" s="16"/>
      <c r="L521" s="25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 spans="1:32" ht="13">
      <c r="A522" s="21"/>
      <c r="B522" s="16"/>
      <c r="C522" s="16"/>
      <c r="D522" s="22"/>
      <c r="E522" s="16"/>
      <c r="F522" s="22"/>
      <c r="G522" s="16"/>
      <c r="H522" s="16"/>
      <c r="I522" s="23"/>
      <c r="J522" s="16"/>
      <c r="K522" s="16"/>
      <c r="L522" s="25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 spans="1:32" ht="13">
      <c r="A523" s="21"/>
      <c r="B523" s="16"/>
      <c r="C523" s="16"/>
      <c r="D523" s="22"/>
      <c r="E523" s="16"/>
      <c r="F523" s="22"/>
      <c r="G523" s="16"/>
      <c r="H523" s="16"/>
      <c r="I523" s="23"/>
      <c r="J523" s="16"/>
      <c r="K523" s="16"/>
      <c r="L523" s="25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 spans="1:32" ht="13">
      <c r="A524" s="21"/>
      <c r="B524" s="16"/>
      <c r="C524" s="16"/>
      <c r="D524" s="22"/>
      <c r="E524" s="16"/>
      <c r="F524" s="22"/>
      <c r="G524" s="16"/>
      <c r="H524" s="16"/>
      <c r="I524" s="23"/>
      <c r="J524" s="16"/>
      <c r="K524" s="16"/>
      <c r="L524" s="25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 spans="1:32" ht="13">
      <c r="A525" s="21"/>
      <c r="B525" s="16"/>
      <c r="C525" s="16"/>
      <c r="D525" s="22"/>
      <c r="E525" s="16"/>
      <c r="F525" s="22"/>
      <c r="G525" s="16"/>
      <c r="H525" s="16"/>
      <c r="I525" s="23"/>
      <c r="J525" s="16"/>
      <c r="K525" s="16"/>
      <c r="L525" s="25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 spans="1:32" ht="13">
      <c r="A526" s="21"/>
      <c r="B526" s="16"/>
      <c r="C526" s="16"/>
      <c r="D526" s="22"/>
      <c r="E526" s="16"/>
      <c r="F526" s="22"/>
      <c r="G526" s="16"/>
      <c r="H526" s="16"/>
      <c r="I526" s="23"/>
      <c r="J526" s="16"/>
      <c r="K526" s="16"/>
      <c r="L526" s="25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 spans="1:32" ht="13">
      <c r="A527" s="21"/>
      <c r="B527" s="16"/>
      <c r="C527" s="16"/>
      <c r="D527" s="22"/>
      <c r="E527" s="16"/>
      <c r="F527" s="22"/>
      <c r="G527" s="16"/>
      <c r="H527" s="16"/>
      <c r="I527" s="23"/>
      <c r="J527" s="16"/>
      <c r="K527" s="16"/>
      <c r="L527" s="25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 spans="1:32" ht="13">
      <c r="A528" s="21"/>
      <c r="B528" s="16"/>
      <c r="C528" s="16"/>
      <c r="D528" s="22"/>
      <c r="E528" s="16"/>
      <c r="F528" s="22"/>
      <c r="G528" s="16"/>
      <c r="H528" s="16"/>
      <c r="I528" s="23"/>
      <c r="J528" s="16"/>
      <c r="K528" s="16"/>
      <c r="L528" s="25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 spans="1:32" ht="13">
      <c r="A529" s="21"/>
      <c r="B529" s="16"/>
      <c r="C529" s="16"/>
      <c r="D529" s="22"/>
      <c r="E529" s="16"/>
      <c r="F529" s="22"/>
      <c r="G529" s="16"/>
      <c r="H529" s="16"/>
      <c r="I529" s="23"/>
      <c r="J529" s="16"/>
      <c r="K529" s="16"/>
      <c r="L529" s="25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 spans="1:32" ht="13">
      <c r="A530" s="21"/>
      <c r="B530" s="16"/>
      <c r="C530" s="16"/>
      <c r="D530" s="22"/>
      <c r="E530" s="16"/>
      <c r="F530" s="22"/>
      <c r="G530" s="16"/>
      <c r="H530" s="16"/>
      <c r="I530" s="23"/>
      <c r="J530" s="16"/>
      <c r="K530" s="16"/>
      <c r="L530" s="25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 spans="1:32" ht="13">
      <c r="A531" s="21"/>
      <c r="B531" s="16"/>
      <c r="C531" s="16"/>
      <c r="D531" s="22"/>
      <c r="E531" s="16"/>
      <c r="F531" s="22"/>
      <c r="G531" s="16"/>
      <c r="H531" s="16"/>
      <c r="I531" s="23"/>
      <c r="J531" s="16"/>
      <c r="K531" s="16"/>
      <c r="L531" s="25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 spans="1:32" ht="13">
      <c r="A532" s="21"/>
      <c r="B532" s="16"/>
      <c r="C532" s="16"/>
      <c r="D532" s="22"/>
      <c r="E532" s="16"/>
      <c r="F532" s="22"/>
      <c r="G532" s="16"/>
      <c r="H532" s="16"/>
      <c r="I532" s="23"/>
      <c r="J532" s="16"/>
      <c r="K532" s="16"/>
      <c r="L532" s="25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 spans="1:32" ht="13">
      <c r="A533" s="21"/>
      <c r="B533" s="16"/>
      <c r="C533" s="16"/>
      <c r="D533" s="22"/>
      <c r="E533" s="16"/>
      <c r="F533" s="22"/>
      <c r="G533" s="16"/>
      <c r="H533" s="16"/>
      <c r="I533" s="23"/>
      <c r="J533" s="16"/>
      <c r="K533" s="16"/>
      <c r="L533" s="25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 spans="1:32" ht="13">
      <c r="A534" s="21"/>
      <c r="B534" s="16"/>
      <c r="C534" s="16"/>
      <c r="D534" s="22"/>
      <c r="E534" s="16"/>
      <c r="F534" s="22"/>
      <c r="G534" s="16"/>
      <c r="H534" s="16"/>
      <c r="I534" s="23"/>
      <c r="J534" s="16"/>
      <c r="K534" s="16"/>
      <c r="L534" s="25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 spans="1:32" ht="13">
      <c r="A535" s="21"/>
      <c r="B535" s="16"/>
      <c r="C535" s="16"/>
      <c r="D535" s="22"/>
      <c r="E535" s="16"/>
      <c r="F535" s="22"/>
      <c r="G535" s="16"/>
      <c r="H535" s="16"/>
      <c r="I535" s="23"/>
      <c r="J535" s="16"/>
      <c r="K535" s="16"/>
      <c r="L535" s="25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 spans="1:32" ht="13">
      <c r="A536" s="21"/>
      <c r="B536" s="16"/>
      <c r="C536" s="16"/>
      <c r="D536" s="22"/>
      <c r="E536" s="16"/>
      <c r="F536" s="22"/>
      <c r="G536" s="16"/>
      <c r="H536" s="16"/>
      <c r="I536" s="23"/>
      <c r="J536" s="16"/>
      <c r="K536" s="16"/>
      <c r="L536" s="25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 spans="1:32" ht="13">
      <c r="A537" s="21"/>
      <c r="B537" s="16"/>
      <c r="C537" s="16"/>
      <c r="D537" s="22"/>
      <c r="E537" s="16"/>
      <c r="F537" s="22"/>
      <c r="G537" s="16"/>
      <c r="H537" s="16"/>
      <c r="I537" s="23"/>
      <c r="J537" s="16"/>
      <c r="K537" s="16"/>
      <c r="L537" s="25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 spans="1:32" ht="13">
      <c r="A538" s="21"/>
      <c r="B538" s="16"/>
      <c r="C538" s="16"/>
      <c r="D538" s="22"/>
      <c r="E538" s="16"/>
      <c r="F538" s="22"/>
      <c r="G538" s="16"/>
      <c r="H538" s="16"/>
      <c r="I538" s="23"/>
      <c r="J538" s="16"/>
      <c r="K538" s="16"/>
      <c r="L538" s="25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 spans="1:32" ht="13">
      <c r="A539" s="21"/>
      <c r="B539" s="16"/>
      <c r="C539" s="16"/>
      <c r="D539" s="22"/>
      <c r="E539" s="16"/>
      <c r="F539" s="22"/>
      <c r="G539" s="16"/>
      <c r="H539" s="16"/>
      <c r="I539" s="23"/>
      <c r="J539" s="16"/>
      <c r="K539" s="16"/>
      <c r="L539" s="25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 spans="1:32" ht="13">
      <c r="A540" s="21"/>
      <c r="B540" s="16"/>
      <c r="C540" s="16"/>
      <c r="D540" s="22"/>
      <c r="E540" s="16"/>
      <c r="F540" s="22"/>
      <c r="G540" s="16"/>
      <c r="H540" s="16"/>
      <c r="I540" s="23"/>
      <c r="J540" s="16"/>
      <c r="K540" s="16"/>
      <c r="L540" s="25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 spans="1:32" ht="13">
      <c r="A541" s="21"/>
      <c r="B541" s="16"/>
      <c r="C541" s="16"/>
      <c r="D541" s="22"/>
      <c r="E541" s="16"/>
      <c r="F541" s="22"/>
      <c r="G541" s="16"/>
      <c r="H541" s="16"/>
      <c r="I541" s="23"/>
      <c r="J541" s="16"/>
      <c r="K541" s="16"/>
      <c r="L541" s="25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 spans="1:32" ht="13">
      <c r="A542" s="21"/>
      <c r="B542" s="16"/>
      <c r="C542" s="16"/>
      <c r="D542" s="22"/>
      <c r="E542" s="16"/>
      <c r="F542" s="22"/>
      <c r="G542" s="16"/>
      <c r="H542" s="16"/>
      <c r="I542" s="23"/>
      <c r="J542" s="16"/>
      <c r="K542" s="16"/>
      <c r="L542" s="25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 spans="1:32" ht="13">
      <c r="A543" s="21"/>
      <c r="B543" s="16"/>
      <c r="C543" s="16"/>
      <c r="D543" s="22"/>
      <c r="E543" s="16"/>
      <c r="F543" s="22"/>
      <c r="G543" s="16"/>
      <c r="H543" s="16"/>
      <c r="I543" s="23"/>
      <c r="J543" s="16"/>
      <c r="K543" s="16"/>
      <c r="L543" s="25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 spans="1:32" ht="13">
      <c r="A544" s="21"/>
      <c r="B544" s="16"/>
      <c r="C544" s="16"/>
      <c r="D544" s="22"/>
      <c r="E544" s="16"/>
      <c r="F544" s="22"/>
      <c r="G544" s="16"/>
      <c r="H544" s="16"/>
      <c r="I544" s="23"/>
      <c r="J544" s="16"/>
      <c r="K544" s="16"/>
      <c r="L544" s="2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 spans="1:32" ht="13">
      <c r="A545" s="21"/>
      <c r="B545" s="16"/>
      <c r="C545" s="16"/>
      <c r="D545" s="22"/>
      <c r="E545" s="16"/>
      <c r="F545" s="22"/>
      <c r="G545" s="16"/>
      <c r="H545" s="16"/>
      <c r="I545" s="23"/>
      <c r="J545" s="16"/>
      <c r="K545" s="16"/>
      <c r="L545" s="2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 spans="1:32" ht="13">
      <c r="A546" s="21"/>
      <c r="B546" s="16"/>
      <c r="C546" s="16"/>
      <c r="D546" s="22"/>
      <c r="E546" s="16"/>
      <c r="F546" s="22"/>
      <c r="G546" s="16"/>
      <c r="H546" s="16"/>
      <c r="I546" s="23"/>
      <c r="J546" s="16"/>
      <c r="K546" s="16"/>
      <c r="L546" s="2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 spans="1:32" ht="13">
      <c r="A547" s="21"/>
      <c r="B547" s="16"/>
      <c r="C547" s="16"/>
      <c r="D547" s="22"/>
      <c r="E547" s="16"/>
      <c r="F547" s="22"/>
      <c r="G547" s="16"/>
      <c r="H547" s="16"/>
      <c r="I547" s="23"/>
      <c r="J547" s="16"/>
      <c r="K547" s="16"/>
      <c r="L547" s="2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 spans="1:32" ht="13">
      <c r="A548" s="21"/>
      <c r="B548" s="16"/>
      <c r="C548" s="16"/>
      <c r="D548" s="22"/>
      <c r="E548" s="16"/>
      <c r="F548" s="22"/>
      <c r="G548" s="16"/>
      <c r="H548" s="16"/>
      <c r="I548" s="23"/>
      <c r="J548" s="16"/>
      <c r="K548" s="16"/>
      <c r="L548" s="2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 spans="1:32" ht="13">
      <c r="A549" s="21"/>
      <c r="B549" s="16"/>
      <c r="C549" s="16"/>
      <c r="D549" s="22"/>
      <c r="E549" s="16"/>
      <c r="F549" s="22"/>
      <c r="G549" s="16"/>
      <c r="H549" s="16"/>
      <c r="I549" s="23"/>
      <c r="J549" s="16"/>
      <c r="K549" s="16"/>
      <c r="L549" s="2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 spans="1:32" ht="13">
      <c r="A550" s="21"/>
      <c r="B550" s="16"/>
      <c r="C550" s="16"/>
      <c r="D550" s="22"/>
      <c r="E550" s="16"/>
      <c r="F550" s="22"/>
      <c r="G550" s="16"/>
      <c r="H550" s="16"/>
      <c r="I550" s="23"/>
      <c r="J550" s="16"/>
      <c r="K550" s="16"/>
      <c r="L550" s="2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 spans="1:32" ht="13">
      <c r="A551" s="21"/>
      <c r="B551" s="16"/>
      <c r="C551" s="16"/>
      <c r="D551" s="22"/>
      <c r="E551" s="16"/>
      <c r="F551" s="22"/>
      <c r="G551" s="16"/>
      <c r="H551" s="16"/>
      <c r="I551" s="23"/>
      <c r="J551" s="16"/>
      <c r="K551" s="16"/>
      <c r="L551" s="2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 spans="1:32" ht="13">
      <c r="A552" s="21"/>
      <c r="B552" s="16"/>
      <c r="C552" s="16"/>
      <c r="D552" s="22"/>
      <c r="E552" s="16"/>
      <c r="F552" s="22"/>
      <c r="G552" s="16"/>
      <c r="H552" s="16"/>
      <c r="I552" s="23"/>
      <c r="J552" s="16"/>
      <c r="K552" s="16"/>
      <c r="L552" s="2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 spans="1:32" ht="13">
      <c r="A553" s="21"/>
      <c r="B553" s="16"/>
      <c r="C553" s="16"/>
      <c r="D553" s="22"/>
      <c r="E553" s="16"/>
      <c r="F553" s="22"/>
      <c r="G553" s="16"/>
      <c r="H553" s="16"/>
      <c r="I553" s="23"/>
      <c r="J553" s="16"/>
      <c r="K553" s="16"/>
      <c r="L553" s="2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 spans="1:32" ht="13">
      <c r="A554" s="21"/>
      <c r="B554" s="16"/>
      <c r="C554" s="16"/>
      <c r="D554" s="22"/>
      <c r="E554" s="16"/>
      <c r="F554" s="22"/>
      <c r="G554" s="16"/>
      <c r="H554" s="16"/>
      <c r="I554" s="23"/>
      <c r="J554" s="16"/>
      <c r="K554" s="16"/>
      <c r="L554" s="2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 spans="1:32" ht="13">
      <c r="A555" s="21"/>
      <c r="B555" s="16"/>
      <c r="C555" s="16"/>
      <c r="D555" s="22"/>
      <c r="E555" s="16"/>
      <c r="F555" s="22"/>
      <c r="G555" s="16"/>
      <c r="H555" s="16"/>
      <c r="I555" s="23"/>
      <c r="J555" s="16"/>
      <c r="K555" s="16"/>
      <c r="L555" s="2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 spans="1:32" ht="13">
      <c r="A556" s="21"/>
      <c r="B556" s="16"/>
      <c r="C556" s="16"/>
      <c r="D556" s="22"/>
      <c r="E556" s="16"/>
      <c r="F556" s="22"/>
      <c r="G556" s="16"/>
      <c r="H556" s="16"/>
      <c r="I556" s="23"/>
      <c r="J556" s="16"/>
      <c r="K556" s="16"/>
      <c r="L556" s="2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 spans="1:32" ht="13">
      <c r="A557" s="21"/>
      <c r="B557" s="16"/>
      <c r="C557" s="16"/>
      <c r="D557" s="22"/>
      <c r="E557" s="16"/>
      <c r="F557" s="22"/>
      <c r="G557" s="16"/>
      <c r="H557" s="16"/>
      <c r="I557" s="23"/>
      <c r="J557" s="16"/>
      <c r="K557" s="16"/>
      <c r="L557" s="2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 spans="1:32" ht="13">
      <c r="A558" s="21"/>
      <c r="B558" s="16"/>
      <c r="C558" s="16"/>
      <c r="D558" s="22"/>
      <c r="E558" s="16"/>
      <c r="F558" s="22"/>
      <c r="G558" s="16"/>
      <c r="H558" s="16"/>
      <c r="I558" s="23"/>
      <c r="J558" s="16"/>
      <c r="K558" s="16"/>
      <c r="L558" s="2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 spans="1:32" ht="13">
      <c r="A559" s="21"/>
      <c r="B559" s="16"/>
      <c r="C559" s="16"/>
      <c r="D559" s="22"/>
      <c r="E559" s="16"/>
      <c r="F559" s="22"/>
      <c r="G559" s="16"/>
      <c r="H559" s="16"/>
      <c r="I559" s="23"/>
      <c r="J559" s="16"/>
      <c r="K559" s="16"/>
      <c r="L559" s="2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 spans="1:32" ht="13">
      <c r="A560" s="21"/>
      <c r="B560" s="16"/>
      <c r="C560" s="16"/>
      <c r="D560" s="22"/>
      <c r="E560" s="16"/>
      <c r="F560" s="22"/>
      <c r="G560" s="16"/>
      <c r="H560" s="16"/>
      <c r="I560" s="23"/>
      <c r="J560" s="16"/>
      <c r="K560" s="16"/>
      <c r="L560" s="2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 spans="1:32" ht="13">
      <c r="A561" s="21"/>
      <c r="B561" s="16"/>
      <c r="C561" s="16"/>
      <c r="D561" s="22"/>
      <c r="E561" s="16"/>
      <c r="F561" s="22"/>
      <c r="G561" s="16"/>
      <c r="H561" s="16"/>
      <c r="I561" s="23"/>
      <c r="J561" s="16"/>
      <c r="K561" s="16"/>
      <c r="L561" s="2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 spans="1:32" ht="13">
      <c r="A562" s="21"/>
      <c r="B562" s="16"/>
      <c r="C562" s="16"/>
      <c r="D562" s="22"/>
      <c r="E562" s="16"/>
      <c r="F562" s="22"/>
      <c r="G562" s="16"/>
      <c r="H562" s="16"/>
      <c r="I562" s="23"/>
      <c r="J562" s="16"/>
      <c r="K562" s="16"/>
      <c r="L562" s="2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 spans="1:32" ht="13">
      <c r="A563" s="21"/>
      <c r="B563" s="16"/>
      <c r="C563" s="16"/>
      <c r="D563" s="22"/>
      <c r="E563" s="16"/>
      <c r="F563" s="22"/>
      <c r="G563" s="16"/>
      <c r="H563" s="16"/>
      <c r="I563" s="23"/>
      <c r="J563" s="16"/>
      <c r="K563" s="16"/>
      <c r="L563" s="2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 spans="1:32" ht="13">
      <c r="A564" s="21"/>
      <c r="B564" s="16"/>
      <c r="C564" s="16"/>
      <c r="D564" s="22"/>
      <c r="E564" s="16"/>
      <c r="F564" s="22"/>
      <c r="G564" s="16"/>
      <c r="H564" s="16"/>
      <c r="I564" s="23"/>
      <c r="J564" s="16"/>
      <c r="K564" s="16"/>
      <c r="L564" s="2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 spans="1:32" ht="13">
      <c r="A565" s="21"/>
      <c r="B565" s="16"/>
      <c r="C565" s="16"/>
      <c r="D565" s="22"/>
      <c r="E565" s="16"/>
      <c r="F565" s="22"/>
      <c r="G565" s="16"/>
      <c r="H565" s="16"/>
      <c r="I565" s="23"/>
      <c r="J565" s="16"/>
      <c r="K565" s="16"/>
      <c r="L565" s="2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 spans="1:32" ht="13">
      <c r="A566" s="21"/>
      <c r="B566" s="16"/>
      <c r="C566" s="16"/>
      <c r="D566" s="22"/>
      <c r="E566" s="16"/>
      <c r="F566" s="22"/>
      <c r="G566" s="16"/>
      <c r="H566" s="16"/>
      <c r="I566" s="23"/>
      <c r="J566" s="16"/>
      <c r="K566" s="16"/>
      <c r="L566" s="2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 spans="1:32" ht="13">
      <c r="A567" s="21"/>
      <c r="B567" s="16"/>
      <c r="C567" s="16"/>
      <c r="D567" s="22"/>
      <c r="E567" s="16"/>
      <c r="F567" s="22"/>
      <c r="G567" s="16"/>
      <c r="H567" s="16"/>
      <c r="I567" s="23"/>
      <c r="J567" s="16"/>
      <c r="K567" s="16"/>
      <c r="L567" s="2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 spans="1:32" ht="13">
      <c r="A568" s="21"/>
      <c r="B568" s="16"/>
      <c r="C568" s="16"/>
      <c r="D568" s="22"/>
      <c r="E568" s="16"/>
      <c r="F568" s="22"/>
      <c r="G568" s="16"/>
      <c r="H568" s="16"/>
      <c r="I568" s="23"/>
      <c r="J568" s="16"/>
      <c r="K568" s="16"/>
      <c r="L568" s="2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 spans="1:32" ht="13">
      <c r="A569" s="21"/>
      <c r="B569" s="16"/>
      <c r="C569" s="16"/>
      <c r="D569" s="22"/>
      <c r="E569" s="16"/>
      <c r="F569" s="22"/>
      <c r="G569" s="16"/>
      <c r="H569" s="16"/>
      <c r="I569" s="23"/>
      <c r="J569" s="16"/>
      <c r="K569" s="16"/>
      <c r="L569" s="2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 spans="1:32" ht="13">
      <c r="A570" s="21"/>
      <c r="B570" s="16"/>
      <c r="C570" s="16"/>
      <c r="D570" s="22"/>
      <c r="E570" s="16"/>
      <c r="F570" s="22"/>
      <c r="G570" s="16"/>
      <c r="H570" s="16"/>
      <c r="I570" s="23"/>
      <c r="J570" s="16"/>
      <c r="K570" s="16"/>
      <c r="L570" s="2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 spans="1:32" ht="13">
      <c r="A571" s="21"/>
      <c r="B571" s="16"/>
      <c r="C571" s="16"/>
      <c r="D571" s="22"/>
      <c r="E571" s="16"/>
      <c r="F571" s="22"/>
      <c r="G571" s="16"/>
      <c r="H571" s="16"/>
      <c r="I571" s="23"/>
      <c r="J571" s="16"/>
      <c r="K571" s="16"/>
      <c r="L571" s="2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 spans="1:32" ht="13">
      <c r="A572" s="21"/>
      <c r="B572" s="16"/>
      <c r="C572" s="16"/>
      <c r="D572" s="22"/>
      <c r="E572" s="16"/>
      <c r="F572" s="22"/>
      <c r="G572" s="16"/>
      <c r="H572" s="16"/>
      <c r="I572" s="23"/>
      <c r="J572" s="16"/>
      <c r="K572" s="16"/>
      <c r="L572" s="2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 spans="1:32" ht="13">
      <c r="A573" s="21"/>
      <c r="B573" s="16"/>
      <c r="C573" s="16"/>
      <c r="D573" s="22"/>
      <c r="E573" s="16"/>
      <c r="F573" s="22"/>
      <c r="G573" s="16"/>
      <c r="H573" s="16"/>
      <c r="I573" s="23"/>
      <c r="J573" s="16"/>
      <c r="K573" s="16"/>
      <c r="L573" s="2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 spans="1:32" ht="13">
      <c r="A574" s="21"/>
      <c r="B574" s="16"/>
      <c r="C574" s="16"/>
      <c r="D574" s="22"/>
      <c r="E574" s="16"/>
      <c r="F574" s="22"/>
      <c r="G574" s="16"/>
      <c r="H574" s="16"/>
      <c r="I574" s="23"/>
      <c r="J574" s="16"/>
      <c r="K574" s="16"/>
      <c r="L574" s="2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 spans="1:32" ht="13">
      <c r="A575" s="21"/>
      <c r="B575" s="16"/>
      <c r="C575" s="16"/>
      <c r="D575" s="22"/>
      <c r="E575" s="16"/>
      <c r="F575" s="22"/>
      <c r="G575" s="16"/>
      <c r="H575" s="16"/>
      <c r="I575" s="23"/>
      <c r="J575" s="16"/>
      <c r="K575" s="16"/>
      <c r="L575" s="2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 spans="1:32" ht="13">
      <c r="A576" s="21"/>
      <c r="B576" s="16"/>
      <c r="C576" s="16"/>
      <c r="D576" s="22"/>
      <c r="E576" s="16"/>
      <c r="F576" s="22"/>
      <c r="G576" s="16"/>
      <c r="H576" s="16"/>
      <c r="I576" s="23"/>
      <c r="J576" s="16"/>
      <c r="K576" s="16"/>
      <c r="L576" s="2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 spans="1:32" ht="13">
      <c r="A577" s="21"/>
      <c r="B577" s="16"/>
      <c r="C577" s="16"/>
      <c r="D577" s="22"/>
      <c r="E577" s="16"/>
      <c r="F577" s="22"/>
      <c r="G577" s="16"/>
      <c r="H577" s="16"/>
      <c r="I577" s="23"/>
      <c r="J577" s="16"/>
      <c r="K577" s="16"/>
      <c r="L577" s="2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 spans="1:32" ht="13">
      <c r="A578" s="21"/>
      <c r="B578" s="16"/>
      <c r="C578" s="16"/>
      <c r="D578" s="22"/>
      <c r="E578" s="16"/>
      <c r="F578" s="22"/>
      <c r="G578" s="16"/>
      <c r="H578" s="16"/>
      <c r="I578" s="23"/>
      <c r="J578" s="16"/>
      <c r="K578" s="16"/>
      <c r="L578" s="2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 spans="1:32" ht="13">
      <c r="A579" s="21"/>
      <c r="B579" s="16"/>
      <c r="C579" s="16"/>
      <c r="D579" s="22"/>
      <c r="E579" s="16"/>
      <c r="F579" s="22"/>
      <c r="G579" s="16"/>
      <c r="H579" s="16"/>
      <c r="I579" s="23"/>
      <c r="J579" s="16"/>
      <c r="K579" s="16"/>
      <c r="L579" s="2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 spans="1:32" ht="13">
      <c r="A580" s="21"/>
      <c r="B580" s="16"/>
      <c r="C580" s="16"/>
      <c r="D580" s="22"/>
      <c r="E580" s="16"/>
      <c r="F580" s="22"/>
      <c r="G580" s="16"/>
      <c r="H580" s="16"/>
      <c r="I580" s="23"/>
      <c r="J580" s="16"/>
      <c r="K580" s="16"/>
      <c r="L580" s="2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 spans="1:32" ht="13">
      <c r="A581" s="21"/>
      <c r="B581" s="16"/>
      <c r="C581" s="16"/>
      <c r="D581" s="22"/>
      <c r="E581" s="16"/>
      <c r="F581" s="22"/>
      <c r="G581" s="16"/>
      <c r="H581" s="16"/>
      <c r="I581" s="23"/>
      <c r="J581" s="16"/>
      <c r="K581" s="16"/>
      <c r="L581" s="2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 spans="1:32" ht="13">
      <c r="A582" s="21"/>
      <c r="B582" s="16"/>
      <c r="C582" s="16"/>
      <c r="D582" s="22"/>
      <c r="E582" s="16"/>
      <c r="F582" s="22"/>
      <c r="G582" s="16"/>
      <c r="H582" s="16"/>
      <c r="I582" s="23"/>
      <c r="J582" s="16"/>
      <c r="K582" s="16"/>
      <c r="L582" s="2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 spans="1:32" ht="13">
      <c r="A583" s="21"/>
      <c r="B583" s="16"/>
      <c r="C583" s="16"/>
      <c r="D583" s="22"/>
      <c r="E583" s="16"/>
      <c r="F583" s="22"/>
      <c r="G583" s="16"/>
      <c r="H583" s="16"/>
      <c r="I583" s="23"/>
      <c r="J583" s="16"/>
      <c r="K583" s="16"/>
      <c r="L583" s="2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 spans="1:32" ht="13">
      <c r="A584" s="21"/>
      <c r="B584" s="16"/>
      <c r="C584" s="16"/>
      <c r="D584" s="22"/>
      <c r="E584" s="16"/>
      <c r="F584" s="22"/>
      <c r="G584" s="16"/>
      <c r="H584" s="16"/>
      <c r="I584" s="23"/>
      <c r="J584" s="16"/>
      <c r="K584" s="16"/>
      <c r="L584" s="2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 spans="1:32" ht="13">
      <c r="A585" s="21"/>
      <c r="B585" s="16"/>
      <c r="C585" s="16"/>
      <c r="D585" s="22"/>
      <c r="E585" s="16"/>
      <c r="F585" s="22"/>
      <c r="G585" s="16"/>
      <c r="H585" s="16"/>
      <c r="I585" s="23"/>
      <c r="J585" s="16"/>
      <c r="K585" s="16"/>
      <c r="L585" s="2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 spans="1:32" ht="13">
      <c r="A586" s="21"/>
      <c r="B586" s="16"/>
      <c r="C586" s="16"/>
      <c r="D586" s="22"/>
      <c r="E586" s="16"/>
      <c r="F586" s="22"/>
      <c r="G586" s="16"/>
      <c r="H586" s="16"/>
      <c r="I586" s="23"/>
      <c r="J586" s="16"/>
      <c r="K586" s="16"/>
      <c r="L586" s="2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 spans="1:32" ht="13">
      <c r="A587" s="21"/>
      <c r="B587" s="16"/>
      <c r="C587" s="16"/>
      <c r="D587" s="22"/>
      <c r="E587" s="16"/>
      <c r="F587" s="22"/>
      <c r="G587" s="16"/>
      <c r="H587" s="16"/>
      <c r="I587" s="23"/>
      <c r="J587" s="16"/>
      <c r="K587" s="16"/>
      <c r="L587" s="2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 spans="1:32" ht="13">
      <c r="A588" s="21"/>
      <c r="B588" s="16"/>
      <c r="C588" s="16"/>
      <c r="D588" s="22"/>
      <c r="E588" s="16"/>
      <c r="F588" s="22"/>
      <c r="G588" s="16"/>
      <c r="H588" s="16"/>
      <c r="I588" s="23"/>
      <c r="J588" s="16"/>
      <c r="K588" s="16"/>
      <c r="L588" s="2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 spans="1:32" ht="13">
      <c r="A589" s="21"/>
      <c r="B589" s="16"/>
      <c r="C589" s="16"/>
      <c r="D589" s="22"/>
      <c r="E589" s="16"/>
      <c r="F589" s="22"/>
      <c r="G589" s="16"/>
      <c r="H589" s="16"/>
      <c r="I589" s="23"/>
      <c r="J589" s="16"/>
      <c r="K589" s="16"/>
      <c r="L589" s="2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 spans="1:32" ht="13">
      <c r="A590" s="21"/>
      <c r="B590" s="16"/>
      <c r="C590" s="16"/>
      <c r="D590" s="22"/>
      <c r="E590" s="16"/>
      <c r="F590" s="22"/>
      <c r="G590" s="16"/>
      <c r="H590" s="16"/>
      <c r="I590" s="23"/>
      <c r="J590" s="16"/>
      <c r="K590" s="16"/>
      <c r="L590" s="2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 spans="1:32" ht="13">
      <c r="A591" s="21"/>
      <c r="B591" s="16"/>
      <c r="C591" s="16"/>
      <c r="D591" s="22"/>
      <c r="E591" s="16"/>
      <c r="F591" s="22"/>
      <c r="G591" s="16"/>
      <c r="H591" s="16"/>
      <c r="I591" s="23"/>
      <c r="J591" s="16"/>
      <c r="K591" s="16"/>
      <c r="L591" s="2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 spans="1:32" ht="13">
      <c r="A592" s="21"/>
      <c r="B592" s="16"/>
      <c r="C592" s="16"/>
      <c r="D592" s="22"/>
      <c r="E592" s="16"/>
      <c r="F592" s="22"/>
      <c r="G592" s="16"/>
      <c r="H592" s="16"/>
      <c r="I592" s="23"/>
      <c r="J592" s="16"/>
      <c r="K592" s="16"/>
      <c r="L592" s="2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 spans="1:32" ht="13">
      <c r="A593" s="21"/>
      <c r="B593" s="16"/>
      <c r="C593" s="16"/>
      <c r="D593" s="22"/>
      <c r="E593" s="16"/>
      <c r="F593" s="22"/>
      <c r="G593" s="16"/>
      <c r="H593" s="16"/>
      <c r="I593" s="23"/>
      <c r="J593" s="16"/>
      <c r="K593" s="16"/>
      <c r="L593" s="2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 spans="1:32" ht="13">
      <c r="A594" s="21"/>
      <c r="B594" s="16"/>
      <c r="C594" s="16"/>
      <c r="D594" s="22"/>
      <c r="E594" s="16"/>
      <c r="F594" s="22"/>
      <c r="G594" s="16"/>
      <c r="H594" s="16"/>
      <c r="I594" s="23"/>
      <c r="J594" s="16"/>
      <c r="K594" s="16"/>
      <c r="L594" s="2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 spans="1:32" ht="13">
      <c r="A595" s="21"/>
      <c r="B595" s="16"/>
      <c r="C595" s="16"/>
      <c r="D595" s="22"/>
      <c r="E595" s="16"/>
      <c r="F595" s="22"/>
      <c r="G595" s="16"/>
      <c r="H595" s="16"/>
      <c r="I595" s="23"/>
      <c r="J595" s="16"/>
      <c r="K595" s="16"/>
      <c r="L595" s="2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 spans="1:32" ht="13">
      <c r="A596" s="21"/>
      <c r="B596" s="16"/>
      <c r="C596" s="16"/>
      <c r="D596" s="22"/>
      <c r="E596" s="16"/>
      <c r="F596" s="22"/>
      <c r="G596" s="16"/>
      <c r="H596" s="16"/>
      <c r="I596" s="23"/>
      <c r="J596" s="16"/>
      <c r="K596" s="16"/>
      <c r="L596" s="2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 spans="1:32" ht="13">
      <c r="A597" s="21"/>
      <c r="B597" s="16"/>
      <c r="C597" s="16"/>
      <c r="D597" s="22"/>
      <c r="E597" s="16"/>
      <c r="F597" s="22"/>
      <c r="G597" s="16"/>
      <c r="H597" s="16"/>
      <c r="I597" s="23"/>
      <c r="J597" s="16"/>
      <c r="K597" s="16"/>
      <c r="L597" s="2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 spans="1:32" ht="13">
      <c r="A598" s="21"/>
      <c r="B598" s="16"/>
      <c r="C598" s="16"/>
      <c r="D598" s="22"/>
      <c r="E598" s="16"/>
      <c r="F598" s="22"/>
      <c r="G598" s="16"/>
      <c r="H598" s="16"/>
      <c r="I598" s="23"/>
      <c r="J598" s="16"/>
      <c r="K598" s="16"/>
      <c r="L598" s="2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 spans="1:32" ht="13">
      <c r="A599" s="21"/>
      <c r="B599" s="16"/>
      <c r="C599" s="16"/>
      <c r="D599" s="22"/>
      <c r="E599" s="16"/>
      <c r="F599" s="22"/>
      <c r="G599" s="16"/>
      <c r="H599" s="16"/>
      <c r="I599" s="23"/>
      <c r="J599" s="16"/>
      <c r="K599" s="16"/>
      <c r="L599" s="2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 spans="1:32" ht="13">
      <c r="A600" s="21"/>
      <c r="B600" s="16"/>
      <c r="C600" s="16"/>
      <c r="D600" s="22"/>
      <c r="E600" s="16"/>
      <c r="F600" s="22"/>
      <c r="G600" s="16"/>
      <c r="H600" s="16"/>
      <c r="I600" s="23"/>
      <c r="J600" s="16"/>
      <c r="K600" s="16"/>
      <c r="L600" s="2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 spans="1:32" ht="13">
      <c r="A601" s="21"/>
      <c r="B601" s="16"/>
      <c r="C601" s="16"/>
      <c r="D601" s="22"/>
      <c r="E601" s="16"/>
      <c r="F601" s="22"/>
      <c r="G601" s="16"/>
      <c r="H601" s="16"/>
      <c r="I601" s="23"/>
      <c r="J601" s="16"/>
      <c r="K601" s="16"/>
      <c r="L601" s="2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 spans="1:32" ht="13">
      <c r="A602" s="21"/>
      <c r="B602" s="16"/>
      <c r="C602" s="16"/>
      <c r="D602" s="22"/>
      <c r="E602" s="16"/>
      <c r="F602" s="22"/>
      <c r="G602" s="16"/>
      <c r="H602" s="16"/>
      <c r="I602" s="23"/>
      <c r="J602" s="16"/>
      <c r="K602" s="16"/>
      <c r="L602" s="2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 spans="1:32" ht="13">
      <c r="A603" s="21"/>
      <c r="B603" s="16"/>
      <c r="C603" s="16"/>
      <c r="D603" s="22"/>
      <c r="E603" s="16"/>
      <c r="F603" s="22"/>
      <c r="G603" s="16"/>
      <c r="H603" s="16"/>
      <c r="I603" s="23"/>
      <c r="J603" s="16"/>
      <c r="K603" s="16"/>
      <c r="L603" s="2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 spans="1:32" ht="13">
      <c r="A604" s="21"/>
      <c r="B604" s="16"/>
      <c r="C604" s="16"/>
      <c r="D604" s="22"/>
      <c r="E604" s="16"/>
      <c r="F604" s="22"/>
      <c r="G604" s="16"/>
      <c r="H604" s="16"/>
      <c r="I604" s="23"/>
      <c r="J604" s="16"/>
      <c r="K604" s="16"/>
      <c r="L604" s="2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 spans="1:32" ht="13">
      <c r="A605" s="21"/>
      <c r="B605" s="16"/>
      <c r="C605" s="16"/>
      <c r="D605" s="22"/>
      <c r="E605" s="16"/>
      <c r="F605" s="22"/>
      <c r="G605" s="16"/>
      <c r="H605" s="16"/>
      <c r="I605" s="23"/>
      <c r="J605" s="16"/>
      <c r="K605" s="16"/>
      <c r="L605" s="2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 spans="1:32" ht="13">
      <c r="A606" s="21"/>
      <c r="B606" s="16"/>
      <c r="C606" s="16"/>
      <c r="D606" s="22"/>
      <c r="E606" s="16"/>
      <c r="F606" s="22"/>
      <c r="G606" s="16"/>
      <c r="H606" s="16"/>
      <c r="I606" s="23"/>
      <c r="J606" s="16"/>
      <c r="K606" s="16"/>
      <c r="L606" s="2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 spans="1:32" ht="13">
      <c r="A607" s="21"/>
      <c r="B607" s="16"/>
      <c r="C607" s="16"/>
      <c r="D607" s="22"/>
      <c r="E607" s="16"/>
      <c r="F607" s="22"/>
      <c r="G607" s="16"/>
      <c r="H607" s="16"/>
      <c r="I607" s="23"/>
      <c r="J607" s="16"/>
      <c r="K607" s="16"/>
      <c r="L607" s="2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 spans="1:32" ht="13">
      <c r="A608" s="21"/>
      <c r="B608" s="16"/>
      <c r="C608" s="16"/>
      <c r="D608" s="22"/>
      <c r="E608" s="16"/>
      <c r="F608" s="22"/>
      <c r="G608" s="16"/>
      <c r="H608" s="16"/>
      <c r="I608" s="23"/>
      <c r="J608" s="16"/>
      <c r="K608" s="16"/>
      <c r="L608" s="2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 spans="1:32" ht="13">
      <c r="A609" s="21"/>
      <c r="B609" s="16"/>
      <c r="C609" s="16"/>
      <c r="D609" s="22"/>
      <c r="E609" s="16"/>
      <c r="F609" s="22"/>
      <c r="G609" s="16"/>
      <c r="H609" s="16"/>
      <c r="I609" s="23"/>
      <c r="J609" s="16"/>
      <c r="K609" s="16"/>
      <c r="L609" s="2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 spans="1:32" ht="13">
      <c r="A610" s="21"/>
      <c r="B610" s="16"/>
      <c r="C610" s="16"/>
      <c r="D610" s="22"/>
      <c r="E610" s="16"/>
      <c r="F610" s="22"/>
      <c r="G610" s="16"/>
      <c r="H610" s="16"/>
      <c r="I610" s="23"/>
      <c r="J610" s="16"/>
      <c r="K610" s="16"/>
      <c r="L610" s="2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 spans="1:32" ht="13">
      <c r="A611" s="21"/>
      <c r="B611" s="16"/>
      <c r="C611" s="16"/>
      <c r="D611" s="22"/>
      <c r="E611" s="16"/>
      <c r="F611" s="22"/>
      <c r="G611" s="16"/>
      <c r="H611" s="16"/>
      <c r="I611" s="23"/>
      <c r="J611" s="16"/>
      <c r="K611" s="16"/>
      <c r="L611" s="2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 spans="1:32" ht="13">
      <c r="A612" s="21"/>
      <c r="B612" s="16"/>
      <c r="C612" s="16"/>
      <c r="D612" s="22"/>
      <c r="E612" s="16"/>
      <c r="F612" s="22"/>
      <c r="G612" s="16"/>
      <c r="H612" s="16"/>
      <c r="I612" s="23"/>
      <c r="J612" s="16"/>
      <c r="K612" s="16"/>
      <c r="L612" s="2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 spans="1:32" ht="13">
      <c r="A613" s="21"/>
      <c r="B613" s="16"/>
      <c r="C613" s="16"/>
      <c r="D613" s="22"/>
      <c r="E613" s="16"/>
      <c r="F613" s="22"/>
      <c r="G613" s="16"/>
      <c r="H613" s="16"/>
      <c r="I613" s="23"/>
      <c r="J613" s="16"/>
      <c r="K613" s="16"/>
      <c r="L613" s="2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 spans="1:32" ht="13">
      <c r="A614" s="21"/>
      <c r="B614" s="16"/>
      <c r="C614" s="16"/>
      <c r="D614" s="22"/>
      <c r="E614" s="16"/>
      <c r="F614" s="22"/>
      <c r="G614" s="16"/>
      <c r="H614" s="16"/>
      <c r="I614" s="23"/>
      <c r="J614" s="16"/>
      <c r="K614" s="16"/>
      <c r="L614" s="2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 spans="1:32" ht="13">
      <c r="A615" s="21"/>
      <c r="B615" s="16"/>
      <c r="C615" s="16"/>
      <c r="D615" s="22"/>
      <c r="E615" s="16"/>
      <c r="F615" s="22"/>
      <c r="G615" s="16"/>
      <c r="H615" s="16"/>
      <c r="I615" s="23"/>
      <c r="J615" s="16"/>
      <c r="K615" s="16"/>
      <c r="L615" s="2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 spans="1:32" ht="13">
      <c r="A616" s="21"/>
      <c r="B616" s="16"/>
      <c r="C616" s="16"/>
      <c r="D616" s="22"/>
      <c r="E616" s="16"/>
      <c r="F616" s="22"/>
      <c r="G616" s="16"/>
      <c r="H616" s="16"/>
      <c r="I616" s="23"/>
      <c r="J616" s="16"/>
      <c r="K616" s="16"/>
      <c r="L616" s="2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 spans="1:32" ht="13">
      <c r="A617" s="21"/>
      <c r="B617" s="16"/>
      <c r="C617" s="16"/>
      <c r="D617" s="22"/>
      <c r="E617" s="16"/>
      <c r="F617" s="22"/>
      <c r="G617" s="16"/>
      <c r="H617" s="16"/>
      <c r="I617" s="23"/>
      <c r="J617" s="16"/>
      <c r="K617" s="16"/>
      <c r="L617" s="2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 spans="1:32" ht="13">
      <c r="A618" s="21"/>
      <c r="B618" s="16"/>
      <c r="C618" s="16"/>
      <c r="D618" s="22"/>
      <c r="E618" s="16"/>
      <c r="F618" s="22"/>
      <c r="G618" s="16"/>
      <c r="H618" s="16"/>
      <c r="I618" s="23"/>
      <c r="J618" s="16"/>
      <c r="K618" s="16"/>
      <c r="L618" s="2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 spans="1:32" ht="13">
      <c r="A619" s="21"/>
      <c r="B619" s="16"/>
      <c r="C619" s="16"/>
      <c r="D619" s="22"/>
      <c r="E619" s="16"/>
      <c r="F619" s="22"/>
      <c r="G619" s="16"/>
      <c r="H619" s="16"/>
      <c r="I619" s="23"/>
      <c r="J619" s="16"/>
      <c r="K619" s="16"/>
      <c r="L619" s="2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 spans="1:32" ht="13">
      <c r="A620" s="21"/>
      <c r="B620" s="16"/>
      <c r="C620" s="16"/>
      <c r="D620" s="22"/>
      <c r="E620" s="16"/>
      <c r="F620" s="22"/>
      <c r="G620" s="16"/>
      <c r="H620" s="16"/>
      <c r="I620" s="23"/>
      <c r="J620" s="16"/>
      <c r="K620" s="16"/>
      <c r="L620" s="2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 spans="1:32" ht="13">
      <c r="A621" s="21"/>
      <c r="B621" s="16"/>
      <c r="C621" s="16"/>
      <c r="D621" s="22"/>
      <c r="E621" s="16"/>
      <c r="F621" s="22"/>
      <c r="G621" s="16"/>
      <c r="H621" s="16"/>
      <c r="I621" s="23"/>
      <c r="J621" s="16"/>
      <c r="K621" s="16"/>
      <c r="L621" s="2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 spans="1:32" ht="13">
      <c r="A622" s="21"/>
      <c r="B622" s="16"/>
      <c r="C622" s="16"/>
      <c r="D622" s="22"/>
      <c r="E622" s="16"/>
      <c r="F622" s="22"/>
      <c r="G622" s="16"/>
      <c r="H622" s="16"/>
      <c r="I622" s="23"/>
      <c r="J622" s="16"/>
      <c r="K622" s="16"/>
      <c r="L622" s="2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 spans="1:32" ht="13">
      <c r="A623" s="21"/>
      <c r="B623" s="16"/>
      <c r="C623" s="16"/>
      <c r="D623" s="22"/>
      <c r="E623" s="16"/>
      <c r="F623" s="22"/>
      <c r="G623" s="16"/>
      <c r="H623" s="16"/>
      <c r="I623" s="23"/>
      <c r="J623" s="16"/>
      <c r="K623" s="16"/>
      <c r="L623" s="2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 spans="1:32" ht="13">
      <c r="A624" s="21"/>
      <c r="B624" s="16"/>
      <c r="C624" s="16"/>
      <c r="D624" s="22"/>
      <c r="E624" s="16"/>
      <c r="F624" s="22"/>
      <c r="G624" s="16"/>
      <c r="H624" s="16"/>
      <c r="I624" s="23"/>
      <c r="J624" s="16"/>
      <c r="K624" s="16"/>
      <c r="L624" s="2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 spans="1:32" ht="13">
      <c r="A625" s="21"/>
      <c r="B625" s="16"/>
      <c r="C625" s="16"/>
      <c r="D625" s="22"/>
      <c r="E625" s="16"/>
      <c r="F625" s="22"/>
      <c r="G625" s="16"/>
      <c r="H625" s="16"/>
      <c r="I625" s="23"/>
      <c r="J625" s="16"/>
      <c r="K625" s="16"/>
      <c r="L625" s="2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 spans="1:32" ht="13">
      <c r="A626" s="21"/>
      <c r="B626" s="16"/>
      <c r="C626" s="16"/>
      <c r="D626" s="22"/>
      <c r="E626" s="16"/>
      <c r="F626" s="22"/>
      <c r="G626" s="16"/>
      <c r="H626" s="16"/>
      <c r="I626" s="23"/>
      <c r="J626" s="16"/>
      <c r="K626" s="16"/>
      <c r="L626" s="2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spans="1:32" ht="13">
      <c r="A627" s="21"/>
      <c r="B627" s="16"/>
      <c r="C627" s="16"/>
      <c r="D627" s="22"/>
      <c r="E627" s="16"/>
      <c r="F627" s="22"/>
      <c r="G627" s="16"/>
      <c r="H627" s="16"/>
      <c r="I627" s="23"/>
      <c r="J627" s="16"/>
      <c r="K627" s="16"/>
      <c r="L627" s="2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 spans="1:32" ht="13">
      <c r="A628" s="21"/>
      <c r="B628" s="16"/>
      <c r="C628" s="16"/>
      <c r="D628" s="22"/>
      <c r="E628" s="16"/>
      <c r="F628" s="22"/>
      <c r="G628" s="16"/>
      <c r="H628" s="16"/>
      <c r="I628" s="23"/>
      <c r="J628" s="16"/>
      <c r="K628" s="16"/>
      <c r="L628" s="2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 spans="1:32" ht="13">
      <c r="A629" s="21"/>
      <c r="B629" s="16"/>
      <c r="C629" s="16"/>
      <c r="D629" s="22"/>
      <c r="E629" s="16"/>
      <c r="F629" s="22"/>
      <c r="G629" s="16"/>
      <c r="H629" s="16"/>
      <c r="I629" s="23"/>
      <c r="J629" s="16"/>
      <c r="K629" s="16"/>
      <c r="L629" s="2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 spans="1:32" ht="13">
      <c r="A630" s="21"/>
      <c r="B630" s="16"/>
      <c r="C630" s="16"/>
      <c r="D630" s="22"/>
      <c r="E630" s="16"/>
      <c r="F630" s="22"/>
      <c r="G630" s="16"/>
      <c r="H630" s="16"/>
      <c r="I630" s="23"/>
      <c r="J630" s="16"/>
      <c r="K630" s="16"/>
      <c r="L630" s="2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 spans="1:32" ht="13">
      <c r="A631" s="21"/>
      <c r="B631" s="16"/>
      <c r="C631" s="16"/>
      <c r="D631" s="22"/>
      <c r="E631" s="16"/>
      <c r="F631" s="22"/>
      <c r="G631" s="16"/>
      <c r="H631" s="16"/>
      <c r="I631" s="23"/>
      <c r="J631" s="16"/>
      <c r="K631" s="16"/>
      <c r="L631" s="2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 spans="1:32" ht="13">
      <c r="A632" s="21"/>
      <c r="B632" s="16"/>
      <c r="C632" s="16"/>
      <c r="D632" s="22"/>
      <c r="E632" s="16"/>
      <c r="F632" s="22"/>
      <c r="G632" s="16"/>
      <c r="H632" s="16"/>
      <c r="I632" s="23"/>
      <c r="J632" s="16"/>
      <c r="K632" s="16"/>
      <c r="L632" s="2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 spans="1:32" ht="13">
      <c r="A633" s="21"/>
      <c r="B633" s="16"/>
      <c r="C633" s="16"/>
      <c r="D633" s="22"/>
      <c r="E633" s="16"/>
      <c r="F633" s="22"/>
      <c r="G633" s="16"/>
      <c r="H633" s="16"/>
      <c r="I633" s="23"/>
      <c r="J633" s="16"/>
      <c r="K633" s="16"/>
      <c r="L633" s="2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 spans="1:32" ht="13">
      <c r="A634" s="21"/>
      <c r="B634" s="16"/>
      <c r="C634" s="16"/>
      <c r="D634" s="22"/>
      <c r="E634" s="16"/>
      <c r="F634" s="22"/>
      <c r="G634" s="16"/>
      <c r="H634" s="16"/>
      <c r="I634" s="23"/>
      <c r="J634" s="16"/>
      <c r="K634" s="16"/>
      <c r="L634" s="2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 spans="1:32" ht="13">
      <c r="A635" s="21"/>
      <c r="B635" s="16"/>
      <c r="C635" s="16"/>
      <c r="D635" s="22"/>
      <c r="E635" s="16"/>
      <c r="F635" s="22"/>
      <c r="G635" s="16"/>
      <c r="H635" s="16"/>
      <c r="I635" s="23"/>
      <c r="J635" s="16"/>
      <c r="K635" s="16"/>
      <c r="L635" s="2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spans="1:32" ht="13">
      <c r="A636" s="21"/>
      <c r="B636" s="16"/>
      <c r="C636" s="16"/>
      <c r="D636" s="22"/>
      <c r="E636" s="16"/>
      <c r="F636" s="22"/>
      <c r="G636" s="16"/>
      <c r="H636" s="16"/>
      <c r="I636" s="23"/>
      <c r="J636" s="16"/>
      <c r="K636" s="16"/>
      <c r="L636" s="2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 spans="1:32" ht="13">
      <c r="A637" s="21"/>
      <c r="B637" s="16"/>
      <c r="C637" s="16"/>
      <c r="D637" s="22"/>
      <c r="E637" s="16"/>
      <c r="F637" s="22"/>
      <c r="G637" s="16"/>
      <c r="H637" s="16"/>
      <c r="I637" s="23"/>
      <c r="J637" s="16"/>
      <c r="K637" s="16"/>
      <c r="L637" s="2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 spans="1:32" ht="13">
      <c r="A638" s="21"/>
      <c r="B638" s="16"/>
      <c r="C638" s="16"/>
      <c r="D638" s="22"/>
      <c r="E638" s="16"/>
      <c r="F638" s="22"/>
      <c r="G638" s="16"/>
      <c r="H638" s="16"/>
      <c r="I638" s="23"/>
      <c r="J638" s="16"/>
      <c r="K638" s="16"/>
      <c r="L638" s="2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 spans="1:32" ht="13">
      <c r="A639" s="21"/>
      <c r="B639" s="16"/>
      <c r="C639" s="16"/>
      <c r="D639" s="22"/>
      <c r="E639" s="16"/>
      <c r="F639" s="22"/>
      <c r="G639" s="16"/>
      <c r="H639" s="16"/>
      <c r="I639" s="23"/>
      <c r="J639" s="16"/>
      <c r="K639" s="16"/>
      <c r="L639" s="2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 spans="1:32" ht="13">
      <c r="A640" s="21"/>
      <c r="B640" s="16"/>
      <c r="C640" s="16"/>
      <c r="D640" s="22"/>
      <c r="E640" s="16"/>
      <c r="F640" s="22"/>
      <c r="G640" s="16"/>
      <c r="H640" s="16"/>
      <c r="I640" s="23"/>
      <c r="J640" s="16"/>
      <c r="K640" s="16"/>
      <c r="L640" s="2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 spans="1:32" ht="13">
      <c r="A641" s="21"/>
      <c r="B641" s="16"/>
      <c r="C641" s="16"/>
      <c r="D641" s="22"/>
      <c r="E641" s="16"/>
      <c r="F641" s="22"/>
      <c r="G641" s="16"/>
      <c r="H641" s="16"/>
      <c r="I641" s="23"/>
      <c r="J641" s="16"/>
      <c r="K641" s="16"/>
      <c r="L641" s="2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 spans="1:32" ht="13">
      <c r="A642" s="21"/>
      <c r="B642" s="16"/>
      <c r="C642" s="16"/>
      <c r="D642" s="22"/>
      <c r="E642" s="16"/>
      <c r="F642" s="22"/>
      <c r="G642" s="16"/>
      <c r="H642" s="16"/>
      <c r="I642" s="23"/>
      <c r="J642" s="16"/>
      <c r="K642" s="16"/>
      <c r="L642" s="2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 spans="1:32" ht="13">
      <c r="A643" s="21"/>
      <c r="B643" s="16"/>
      <c r="C643" s="16"/>
      <c r="D643" s="22"/>
      <c r="E643" s="16"/>
      <c r="F643" s="22"/>
      <c r="G643" s="16"/>
      <c r="H643" s="16"/>
      <c r="I643" s="23"/>
      <c r="J643" s="16"/>
      <c r="K643" s="16"/>
      <c r="L643" s="2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 spans="1:32" ht="13">
      <c r="A644" s="21"/>
      <c r="B644" s="16"/>
      <c r="C644" s="16"/>
      <c r="D644" s="22"/>
      <c r="E644" s="16"/>
      <c r="F644" s="22"/>
      <c r="G644" s="16"/>
      <c r="H644" s="16"/>
      <c r="I644" s="23"/>
      <c r="J644" s="16"/>
      <c r="K644" s="16"/>
      <c r="L644" s="2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 spans="1:32" ht="13">
      <c r="A645" s="21"/>
      <c r="B645" s="16"/>
      <c r="C645" s="16"/>
      <c r="D645" s="22"/>
      <c r="E645" s="16"/>
      <c r="F645" s="22"/>
      <c r="G645" s="16"/>
      <c r="H645" s="16"/>
      <c r="I645" s="23"/>
      <c r="J645" s="16"/>
      <c r="K645" s="16"/>
      <c r="L645" s="2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 spans="1:32" ht="13">
      <c r="A646" s="21"/>
      <c r="B646" s="16"/>
      <c r="C646" s="16"/>
      <c r="D646" s="22"/>
      <c r="E646" s="16"/>
      <c r="F646" s="22"/>
      <c r="G646" s="16"/>
      <c r="H646" s="16"/>
      <c r="I646" s="23"/>
      <c r="J646" s="16"/>
      <c r="K646" s="16"/>
      <c r="L646" s="2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 spans="1:32" ht="13">
      <c r="A647" s="21"/>
      <c r="B647" s="16"/>
      <c r="C647" s="16"/>
      <c r="D647" s="22"/>
      <c r="E647" s="16"/>
      <c r="F647" s="22"/>
      <c r="G647" s="16"/>
      <c r="H647" s="16"/>
      <c r="I647" s="23"/>
      <c r="J647" s="16"/>
      <c r="K647" s="16"/>
      <c r="L647" s="2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 spans="1:32" ht="13">
      <c r="A648" s="21"/>
      <c r="B648" s="16"/>
      <c r="C648" s="16"/>
      <c r="D648" s="22"/>
      <c r="E648" s="16"/>
      <c r="F648" s="22"/>
      <c r="G648" s="16"/>
      <c r="H648" s="16"/>
      <c r="I648" s="23"/>
      <c r="J648" s="16"/>
      <c r="K648" s="16"/>
      <c r="L648" s="2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 spans="1:32" ht="13">
      <c r="A649" s="21"/>
      <c r="B649" s="16"/>
      <c r="C649" s="16"/>
      <c r="D649" s="22"/>
      <c r="E649" s="16"/>
      <c r="F649" s="22"/>
      <c r="G649" s="16"/>
      <c r="H649" s="16"/>
      <c r="I649" s="23"/>
      <c r="J649" s="16"/>
      <c r="K649" s="16"/>
      <c r="L649" s="2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 spans="1:32" ht="13">
      <c r="A650" s="21"/>
      <c r="B650" s="16"/>
      <c r="C650" s="16"/>
      <c r="D650" s="22"/>
      <c r="E650" s="16"/>
      <c r="F650" s="22"/>
      <c r="G650" s="16"/>
      <c r="H650" s="16"/>
      <c r="I650" s="23"/>
      <c r="J650" s="16"/>
      <c r="K650" s="16"/>
      <c r="L650" s="2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 spans="1:32" ht="13">
      <c r="A651" s="21"/>
      <c r="B651" s="16"/>
      <c r="C651" s="16"/>
      <c r="D651" s="22"/>
      <c r="E651" s="16"/>
      <c r="F651" s="22"/>
      <c r="G651" s="16"/>
      <c r="H651" s="16"/>
      <c r="I651" s="23"/>
      <c r="J651" s="16"/>
      <c r="K651" s="16"/>
      <c r="L651" s="2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 spans="1:32" ht="13">
      <c r="A652" s="21"/>
      <c r="B652" s="16"/>
      <c r="C652" s="16"/>
      <c r="D652" s="22"/>
      <c r="E652" s="16"/>
      <c r="F652" s="22"/>
      <c r="G652" s="16"/>
      <c r="H652" s="16"/>
      <c r="I652" s="23"/>
      <c r="J652" s="16"/>
      <c r="K652" s="16"/>
      <c r="L652" s="2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 spans="1:32" ht="13">
      <c r="A653" s="21"/>
      <c r="B653" s="16"/>
      <c r="C653" s="16"/>
      <c r="D653" s="22"/>
      <c r="E653" s="16"/>
      <c r="F653" s="22"/>
      <c r="G653" s="16"/>
      <c r="H653" s="16"/>
      <c r="I653" s="23"/>
      <c r="J653" s="16"/>
      <c r="K653" s="16"/>
      <c r="L653" s="2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 spans="1:32" ht="13">
      <c r="A654" s="21"/>
      <c r="B654" s="16"/>
      <c r="C654" s="16"/>
      <c r="D654" s="22"/>
      <c r="E654" s="16"/>
      <c r="F654" s="22"/>
      <c r="G654" s="16"/>
      <c r="H654" s="16"/>
      <c r="I654" s="23"/>
      <c r="J654" s="16"/>
      <c r="K654" s="16"/>
      <c r="L654" s="2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 spans="1:32" ht="13">
      <c r="A655" s="21"/>
      <c r="B655" s="16"/>
      <c r="C655" s="16"/>
      <c r="D655" s="22"/>
      <c r="E655" s="16"/>
      <c r="F655" s="22"/>
      <c r="G655" s="16"/>
      <c r="H655" s="16"/>
      <c r="I655" s="23"/>
      <c r="J655" s="16"/>
      <c r="K655" s="16"/>
      <c r="L655" s="2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 spans="1:32" ht="13">
      <c r="A656" s="21"/>
      <c r="B656" s="16"/>
      <c r="C656" s="16"/>
      <c r="D656" s="22"/>
      <c r="E656" s="16"/>
      <c r="F656" s="22"/>
      <c r="G656" s="16"/>
      <c r="H656" s="16"/>
      <c r="I656" s="23"/>
      <c r="J656" s="16"/>
      <c r="K656" s="16"/>
      <c r="L656" s="2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 spans="1:32" ht="13">
      <c r="A657" s="21"/>
      <c r="B657" s="16"/>
      <c r="C657" s="16"/>
      <c r="D657" s="22"/>
      <c r="E657" s="16"/>
      <c r="F657" s="22"/>
      <c r="G657" s="16"/>
      <c r="H657" s="16"/>
      <c r="I657" s="23"/>
      <c r="J657" s="16"/>
      <c r="K657" s="16"/>
      <c r="L657" s="2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 spans="1:32" ht="13">
      <c r="A658" s="21"/>
      <c r="B658" s="16"/>
      <c r="C658" s="16"/>
      <c r="D658" s="22"/>
      <c r="E658" s="16"/>
      <c r="F658" s="22"/>
      <c r="G658" s="16"/>
      <c r="H658" s="16"/>
      <c r="I658" s="23"/>
      <c r="J658" s="16"/>
      <c r="K658" s="16"/>
      <c r="L658" s="2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 spans="1:32" ht="13">
      <c r="A659" s="21"/>
      <c r="B659" s="16"/>
      <c r="C659" s="16"/>
      <c r="D659" s="22"/>
      <c r="E659" s="16"/>
      <c r="F659" s="22"/>
      <c r="G659" s="16"/>
      <c r="H659" s="16"/>
      <c r="I659" s="23"/>
      <c r="J659" s="16"/>
      <c r="K659" s="16"/>
      <c r="L659" s="2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 spans="1:32" ht="13">
      <c r="A660" s="21"/>
      <c r="B660" s="16"/>
      <c r="C660" s="16"/>
      <c r="D660" s="22"/>
      <c r="E660" s="16"/>
      <c r="F660" s="22"/>
      <c r="G660" s="16"/>
      <c r="H660" s="16"/>
      <c r="I660" s="23"/>
      <c r="J660" s="16"/>
      <c r="K660" s="16"/>
      <c r="L660" s="2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 spans="1:32" ht="13">
      <c r="A661" s="21"/>
      <c r="B661" s="16"/>
      <c r="C661" s="16"/>
      <c r="D661" s="22"/>
      <c r="E661" s="16"/>
      <c r="F661" s="22"/>
      <c r="G661" s="16"/>
      <c r="H661" s="16"/>
      <c r="I661" s="23"/>
      <c r="J661" s="16"/>
      <c r="K661" s="16"/>
      <c r="L661" s="2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 spans="1:32" ht="13">
      <c r="A662" s="21"/>
      <c r="B662" s="16"/>
      <c r="C662" s="16"/>
      <c r="D662" s="22"/>
      <c r="E662" s="16"/>
      <c r="F662" s="22"/>
      <c r="G662" s="16"/>
      <c r="H662" s="16"/>
      <c r="I662" s="23"/>
      <c r="J662" s="16"/>
      <c r="K662" s="16"/>
      <c r="L662" s="2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 spans="1:32" ht="13">
      <c r="A663" s="21"/>
      <c r="B663" s="16"/>
      <c r="C663" s="16"/>
      <c r="D663" s="22"/>
      <c r="E663" s="16"/>
      <c r="F663" s="22"/>
      <c r="G663" s="16"/>
      <c r="H663" s="16"/>
      <c r="I663" s="23"/>
      <c r="J663" s="16"/>
      <c r="K663" s="16"/>
      <c r="L663" s="2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 spans="1:32" ht="13">
      <c r="A664" s="21"/>
      <c r="B664" s="16"/>
      <c r="C664" s="16"/>
      <c r="D664" s="22"/>
      <c r="E664" s="16"/>
      <c r="F664" s="22"/>
      <c r="G664" s="16"/>
      <c r="H664" s="16"/>
      <c r="I664" s="23"/>
      <c r="J664" s="16"/>
      <c r="K664" s="16"/>
      <c r="L664" s="2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 spans="1:32" ht="13">
      <c r="A665" s="21"/>
      <c r="B665" s="16"/>
      <c r="C665" s="16"/>
      <c r="D665" s="22"/>
      <c r="E665" s="16"/>
      <c r="F665" s="22"/>
      <c r="G665" s="16"/>
      <c r="H665" s="16"/>
      <c r="I665" s="23"/>
      <c r="J665" s="16"/>
      <c r="K665" s="16"/>
      <c r="L665" s="2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 spans="1:32" ht="13">
      <c r="A666" s="21"/>
      <c r="B666" s="16"/>
      <c r="C666" s="16"/>
      <c r="D666" s="22"/>
      <c r="E666" s="16"/>
      <c r="F666" s="22"/>
      <c r="G666" s="16"/>
      <c r="H666" s="16"/>
      <c r="I666" s="23"/>
      <c r="J666" s="16"/>
      <c r="K666" s="16"/>
      <c r="L666" s="2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 spans="1:32" ht="13">
      <c r="A667" s="21"/>
      <c r="B667" s="16"/>
      <c r="C667" s="16"/>
      <c r="D667" s="22"/>
      <c r="E667" s="16"/>
      <c r="F667" s="22"/>
      <c r="G667" s="16"/>
      <c r="H667" s="16"/>
      <c r="I667" s="23"/>
      <c r="J667" s="16"/>
      <c r="K667" s="16"/>
      <c r="L667" s="2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 spans="1:32" ht="13">
      <c r="A668" s="21"/>
      <c r="B668" s="16"/>
      <c r="C668" s="16"/>
      <c r="D668" s="22"/>
      <c r="E668" s="16"/>
      <c r="F668" s="22"/>
      <c r="G668" s="16"/>
      <c r="H668" s="16"/>
      <c r="I668" s="23"/>
      <c r="J668" s="16"/>
      <c r="K668" s="16"/>
      <c r="L668" s="2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 spans="1:32" ht="13">
      <c r="A669" s="21"/>
      <c r="B669" s="16"/>
      <c r="C669" s="16"/>
      <c r="D669" s="22"/>
      <c r="E669" s="16"/>
      <c r="F669" s="22"/>
      <c r="G669" s="16"/>
      <c r="H669" s="16"/>
      <c r="I669" s="23"/>
      <c r="J669" s="16"/>
      <c r="K669" s="16"/>
      <c r="L669" s="2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 spans="1:32" ht="13">
      <c r="A670" s="21"/>
      <c r="B670" s="16"/>
      <c r="C670" s="16"/>
      <c r="D670" s="22"/>
      <c r="E670" s="16"/>
      <c r="F670" s="22"/>
      <c r="G670" s="16"/>
      <c r="H670" s="16"/>
      <c r="I670" s="23"/>
      <c r="J670" s="16"/>
      <c r="K670" s="16"/>
      <c r="L670" s="2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 spans="1:32" ht="13">
      <c r="A671" s="21"/>
      <c r="B671" s="16"/>
      <c r="C671" s="16"/>
      <c r="D671" s="22"/>
      <c r="E671" s="16"/>
      <c r="F671" s="22"/>
      <c r="G671" s="16"/>
      <c r="H671" s="16"/>
      <c r="I671" s="23"/>
      <c r="J671" s="16"/>
      <c r="K671" s="16"/>
      <c r="L671" s="2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 spans="1:32" ht="13">
      <c r="A672" s="21"/>
      <c r="B672" s="16"/>
      <c r="C672" s="16"/>
      <c r="D672" s="22"/>
      <c r="E672" s="16"/>
      <c r="F672" s="22"/>
      <c r="G672" s="16"/>
      <c r="H672" s="16"/>
      <c r="I672" s="23"/>
      <c r="J672" s="16"/>
      <c r="K672" s="16"/>
      <c r="L672" s="2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 spans="1:32" ht="13">
      <c r="A673" s="21"/>
      <c r="B673" s="16"/>
      <c r="C673" s="16"/>
      <c r="D673" s="22"/>
      <c r="E673" s="16"/>
      <c r="F673" s="22"/>
      <c r="G673" s="16"/>
      <c r="H673" s="16"/>
      <c r="I673" s="23"/>
      <c r="J673" s="16"/>
      <c r="K673" s="16"/>
      <c r="L673" s="2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 spans="1:32" ht="13">
      <c r="A674" s="21"/>
      <c r="B674" s="16"/>
      <c r="C674" s="16"/>
      <c r="D674" s="22"/>
      <c r="E674" s="16"/>
      <c r="F674" s="22"/>
      <c r="G674" s="16"/>
      <c r="H674" s="16"/>
      <c r="I674" s="23"/>
      <c r="J674" s="16"/>
      <c r="K674" s="16"/>
      <c r="L674" s="2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 spans="1:32" ht="13">
      <c r="A675" s="21"/>
      <c r="B675" s="16"/>
      <c r="C675" s="16"/>
      <c r="D675" s="22"/>
      <c r="E675" s="16"/>
      <c r="F675" s="22"/>
      <c r="G675" s="16"/>
      <c r="H675" s="16"/>
      <c r="I675" s="23"/>
      <c r="J675" s="16"/>
      <c r="K675" s="16"/>
      <c r="L675" s="2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 spans="1:32" ht="13">
      <c r="A676" s="21"/>
      <c r="B676" s="16"/>
      <c r="C676" s="16"/>
      <c r="D676" s="22"/>
      <c r="E676" s="16"/>
      <c r="F676" s="22"/>
      <c r="G676" s="16"/>
      <c r="H676" s="16"/>
      <c r="I676" s="23"/>
      <c r="J676" s="16"/>
      <c r="K676" s="16"/>
      <c r="L676" s="2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 spans="1:32" ht="13">
      <c r="A677" s="21"/>
      <c r="B677" s="16"/>
      <c r="C677" s="16"/>
      <c r="D677" s="22"/>
      <c r="E677" s="16"/>
      <c r="F677" s="22"/>
      <c r="G677" s="16"/>
      <c r="H677" s="16"/>
      <c r="I677" s="23"/>
      <c r="J677" s="16"/>
      <c r="K677" s="16"/>
      <c r="L677" s="2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 spans="1:32" ht="13">
      <c r="A678" s="21"/>
      <c r="B678" s="16"/>
      <c r="C678" s="16"/>
      <c r="D678" s="22"/>
      <c r="E678" s="16"/>
      <c r="F678" s="22"/>
      <c r="G678" s="16"/>
      <c r="H678" s="16"/>
      <c r="I678" s="23"/>
      <c r="J678" s="16"/>
      <c r="K678" s="16"/>
      <c r="L678" s="2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 spans="1:32" ht="13">
      <c r="A679" s="21"/>
      <c r="B679" s="16"/>
      <c r="C679" s="16"/>
      <c r="D679" s="22"/>
      <c r="E679" s="16"/>
      <c r="F679" s="22"/>
      <c r="G679" s="16"/>
      <c r="H679" s="16"/>
      <c r="I679" s="23"/>
      <c r="J679" s="16"/>
      <c r="K679" s="16"/>
      <c r="L679" s="2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 spans="1:32" ht="13">
      <c r="A680" s="21"/>
      <c r="B680" s="16"/>
      <c r="C680" s="16"/>
      <c r="D680" s="22"/>
      <c r="E680" s="16"/>
      <c r="F680" s="22"/>
      <c r="G680" s="16"/>
      <c r="H680" s="16"/>
      <c r="I680" s="23"/>
      <c r="J680" s="16"/>
      <c r="K680" s="16"/>
      <c r="L680" s="2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 spans="1:32" ht="13">
      <c r="A681" s="21"/>
      <c r="B681" s="16"/>
      <c r="C681" s="16"/>
      <c r="D681" s="22"/>
      <c r="E681" s="16"/>
      <c r="F681" s="22"/>
      <c r="G681" s="16"/>
      <c r="H681" s="16"/>
      <c r="I681" s="23"/>
      <c r="J681" s="16"/>
      <c r="K681" s="16"/>
      <c r="L681" s="2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 spans="1:32" ht="13">
      <c r="A682" s="21"/>
      <c r="B682" s="16"/>
      <c r="C682" s="16"/>
      <c r="D682" s="22"/>
      <c r="E682" s="16"/>
      <c r="F682" s="22"/>
      <c r="G682" s="16"/>
      <c r="H682" s="16"/>
      <c r="I682" s="23"/>
      <c r="J682" s="16"/>
      <c r="K682" s="16"/>
      <c r="L682" s="2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 spans="1:32" ht="13">
      <c r="A683" s="21"/>
      <c r="B683" s="16"/>
      <c r="C683" s="16"/>
      <c r="D683" s="22"/>
      <c r="E683" s="16"/>
      <c r="F683" s="22"/>
      <c r="G683" s="16"/>
      <c r="H683" s="16"/>
      <c r="I683" s="23"/>
      <c r="J683" s="16"/>
      <c r="K683" s="16"/>
      <c r="L683" s="2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 spans="1:32" ht="13">
      <c r="A684" s="21"/>
      <c r="B684" s="16"/>
      <c r="C684" s="16"/>
      <c r="D684" s="22"/>
      <c r="E684" s="16"/>
      <c r="F684" s="22"/>
      <c r="G684" s="16"/>
      <c r="H684" s="16"/>
      <c r="I684" s="23"/>
      <c r="J684" s="16"/>
      <c r="K684" s="16"/>
      <c r="L684" s="2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 spans="1:32" ht="13">
      <c r="A685" s="21"/>
      <c r="B685" s="16"/>
      <c r="C685" s="16"/>
      <c r="D685" s="22"/>
      <c r="E685" s="16"/>
      <c r="F685" s="22"/>
      <c r="G685" s="16"/>
      <c r="H685" s="16"/>
      <c r="I685" s="23"/>
      <c r="J685" s="16"/>
      <c r="K685" s="16"/>
      <c r="L685" s="2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 spans="1:32" ht="13">
      <c r="A686" s="21"/>
      <c r="B686" s="16"/>
      <c r="C686" s="16"/>
      <c r="D686" s="22"/>
      <c r="E686" s="16"/>
      <c r="F686" s="22"/>
      <c r="G686" s="16"/>
      <c r="H686" s="16"/>
      <c r="I686" s="23"/>
      <c r="J686" s="16"/>
      <c r="K686" s="16"/>
      <c r="L686" s="2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 spans="1:32" ht="13">
      <c r="A687" s="21"/>
      <c r="B687" s="16"/>
      <c r="C687" s="16"/>
      <c r="D687" s="22"/>
      <c r="E687" s="16"/>
      <c r="F687" s="22"/>
      <c r="G687" s="16"/>
      <c r="H687" s="16"/>
      <c r="I687" s="23"/>
      <c r="J687" s="16"/>
      <c r="K687" s="16"/>
      <c r="L687" s="2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 spans="1:32" ht="13">
      <c r="A688" s="21"/>
      <c r="B688" s="16"/>
      <c r="C688" s="16"/>
      <c r="D688" s="22"/>
      <c r="E688" s="16"/>
      <c r="F688" s="22"/>
      <c r="G688" s="16"/>
      <c r="H688" s="16"/>
      <c r="I688" s="23"/>
      <c r="J688" s="16"/>
      <c r="K688" s="16"/>
      <c r="L688" s="2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 spans="1:32" ht="13">
      <c r="A689" s="21"/>
      <c r="B689" s="16"/>
      <c r="C689" s="16"/>
      <c r="D689" s="22"/>
      <c r="E689" s="16"/>
      <c r="F689" s="22"/>
      <c r="G689" s="16"/>
      <c r="H689" s="16"/>
      <c r="I689" s="23"/>
      <c r="J689" s="16"/>
      <c r="K689" s="16"/>
      <c r="L689" s="2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 spans="1:32" ht="13">
      <c r="A690" s="21"/>
      <c r="B690" s="16"/>
      <c r="C690" s="16"/>
      <c r="D690" s="22"/>
      <c r="E690" s="16"/>
      <c r="F690" s="22"/>
      <c r="G690" s="16"/>
      <c r="H690" s="16"/>
      <c r="I690" s="23"/>
      <c r="J690" s="16"/>
      <c r="K690" s="16"/>
      <c r="L690" s="2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 spans="1:32" ht="13">
      <c r="A691" s="21"/>
      <c r="B691" s="16"/>
      <c r="C691" s="16"/>
      <c r="D691" s="22"/>
      <c r="E691" s="16"/>
      <c r="F691" s="22"/>
      <c r="G691" s="16"/>
      <c r="H691" s="16"/>
      <c r="I691" s="23"/>
      <c r="J691" s="16"/>
      <c r="K691" s="16"/>
      <c r="L691" s="2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 spans="1:32" ht="13">
      <c r="A692" s="21"/>
      <c r="B692" s="16"/>
      <c r="C692" s="16"/>
      <c r="D692" s="22"/>
      <c r="E692" s="16"/>
      <c r="F692" s="22"/>
      <c r="G692" s="16"/>
      <c r="H692" s="16"/>
      <c r="I692" s="23"/>
      <c r="J692" s="16"/>
      <c r="K692" s="16"/>
      <c r="L692" s="2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 spans="1:32" ht="13">
      <c r="A693" s="21"/>
      <c r="B693" s="16"/>
      <c r="C693" s="16"/>
      <c r="D693" s="22"/>
      <c r="E693" s="16"/>
      <c r="F693" s="22"/>
      <c r="G693" s="16"/>
      <c r="H693" s="16"/>
      <c r="I693" s="23"/>
      <c r="J693" s="16"/>
      <c r="K693" s="16"/>
      <c r="L693" s="2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spans="1:32" ht="13">
      <c r="A694" s="21"/>
      <c r="B694" s="16"/>
      <c r="C694" s="16"/>
      <c r="D694" s="22"/>
      <c r="E694" s="16"/>
      <c r="F694" s="22"/>
      <c r="G694" s="16"/>
      <c r="H694" s="16"/>
      <c r="I694" s="23"/>
      <c r="J694" s="16"/>
      <c r="K694" s="16"/>
      <c r="L694" s="2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 spans="1:32" ht="13">
      <c r="A695" s="21"/>
      <c r="B695" s="16"/>
      <c r="C695" s="16"/>
      <c r="D695" s="22"/>
      <c r="E695" s="16"/>
      <c r="F695" s="22"/>
      <c r="G695" s="16"/>
      <c r="H695" s="16"/>
      <c r="I695" s="23"/>
      <c r="J695" s="16"/>
      <c r="K695" s="16"/>
      <c r="L695" s="2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 spans="1:32" ht="13">
      <c r="A696" s="21"/>
      <c r="B696" s="16"/>
      <c r="C696" s="16"/>
      <c r="D696" s="22"/>
      <c r="E696" s="16"/>
      <c r="F696" s="22"/>
      <c r="G696" s="16"/>
      <c r="H696" s="16"/>
      <c r="I696" s="23"/>
      <c r="J696" s="16"/>
      <c r="K696" s="16"/>
      <c r="L696" s="2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 spans="1:32" ht="13">
      <c r="A697" s="21"/>
      <c r="B697" s="16"/>
      <c r="C697" s="16"/>
      <c r="D697" s="22"/>
      <c r="E697" s="16"/>
      <c r="F697" s="22"/>
      <c r="G697" s="16"/>
      <c r="H697" s="16"/>
      <c r="I697" s="23"/>
      <c r="J697" s="16"/>
      <c r="K697" s="16"/>
      <c r="L697" s="2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 spans="1:32" ht="13">
      <c r="A698" s="21"/>
      <c r="B698" s="16"/>
      <c r="C698" s="16"/>
      <c r="D698" s="22"/>
      <c r="E698" s="16"/>
      <c r="F698" s="22"/>
      <c r="G698" s="16"/>
      <c r="H698" s="16"/>
      <c r="I698" s="23"/>
      <c r="J698" s="16"/>
      <c r="K698" s="16"/>
      <c r="L698" s="2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 spans="1:32" ht="13">
      <c r="A699" s="21"/>
      <c r="B699" s="16"/>
      <c r="C699" s="16"/>
      <c r="D699" s="22"/>
      <c r="E699" s="16"/>
      <c r="F699" s="22"/>
      <c r="G699" s="16"/>
      <c r="H699" s="16"/>
      <c r="I699" s="23"/>
      <c r="J699" s="16"/>
      <c r="K699" s="16"/>
      <c r="L699" s="2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 spans="1:32" ht="13">
      <c r="A700" s="21"/>
      <c r="B700" s="16"/>
      <c r="C700" s="16"/>
      <c r="D700" s="22"/>
      <c r="E700" s="16"/>
      <c r="F700" s="22"/>
      <c r="G700" s="16"/>
      <c r="H700" s="16"/>
      <c r="I700" s="23"/>
      <c r="J700" s="16"/>
      <c r="K700" s="16"/>
      <c r="L700" s="2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 spans="1:32" ht="13">
      <c r="A701" s="21"/>
      <c r="B701" s="16"/>
      <c r="C701" s="16"/>
      <c r="D701" s="22"/>
      <c r="E701" s="16"/>
      <c r="F701" s="22"/>
      <c r="G701" s="16"/>
      <c r="H701" s="16"/>
      <c r="I701" s="23"/>
      <c r="J701" s="16"/>
      <c r="K701" s="16"/>
      <c r="L701" s="2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 spans="1:32" ht="13">
      <c r="A702" s="21"/>
      <c r="B702" s="16"/>
      <c r="C702" s="16"/>
      <c r="D702" s="22"/>
      <c r="E702" s="16"/>
      <c r="F702" s="22"/>
      <c r="G702" s="16"/>
      <c r="H702" s="16"/>
      <c r="I702" s="23"/>
      <c r="J702" s="16"/>
      <c r="K702" s="16"/>
      <c r="L702" s="2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 spans="1:32" ht="13">
      <c r="A703" s="21"/>
      <c r="B703" s="16"/>
      <c r="C703" s="16"/>
      <c r="D703" s="22"/>
      <c r="E703" s="16"/>
      <c r="F703" s="22"/>
      <c r="G703" s="16"/>
      <c r="H703" s="16"/>
      <c r="I703" s="23"/>
      <c r="J703" s="16"/>
      <c r="K703" s="16"/>
      <c r="L703" s="2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 spans="1:32" ht="13">
      <c r="A704" s="21"/>
      <c r="B704" s="16"/>
      <c r="C704" s="16"/>
      <c r="D704" s="22"/>
      <c r="E704" s="16"/>
      <c r="F704" s="22"/>
      <c r="G704" s="16"/>
      <c r="H704" s="16"/>
      <c r="I704" s="23"/>
      <c r="J704" s="16"/>
      <c r="K704" s="16"/>
      <c r="L704" s="2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 spans="1:32" ht="13">
      <c r="A705" s="21"/>
      <c r="B705" s="16"/>
      <c r="C705" s="16"/>
      <c r="D705" s="22"/>
      <c r="E705" s="16"/>
      <c r="F705" s="22"/>
      <c r="G705" s="16"/>
      <c r="H705" s="16"/>
      <c r="I705" s="23"/>
      <c r="J705" s="16"/>
      <c r="K705" s="16"/>
      <c r="L705" s="2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 spans="1:32" ht="13">
      <c r="A706" s="21"/>
      <c r="B706" s="16"/>
      <c r="C706" s="16"/>
      <c r="D706" s="22"/>
      <c r="E706" s="16"/>
      <c r="F706" s="22"/>
      <c r="G706" s="16"/>
      <c r="H706" s="16"/>
      <c r="I706" s="23"/>
      <c r="J706" s="16"/>
      <c r="K706" s="16"/>
      <c r="L706" s="2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 spans="1:32" ht="13">
      <c r="A707" s="21"/>
      <c r="B707" s="16"/>
      <c r="C707" s="16"/>
      <c r="D707" s="22"/>
      <c r="E707" s="16"/>
      <c r="F707" s="22"/>
      <c r="G707" s="16"/>
      <c r="H707" s="16"/>
      <c r="I707" s="23"/>
      <c r="J707" s="16"/>
      <c r="K707" s="16"/>
      <c r="L707" s="2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 spans="1:32" ht="13">
      <c r="A708" s="21"/>
      <c r="B708" s="16"/>
      <c r="C708" s="16"/>
      <c r="D708" s="22"/>
      <c r="E708" s="16"/>
      <c r="F708" s="22"/>
      <c r="G708" s="16"/>
      <c r="H708" s="16"/>
      <c r="I708" s="23"/>
      <c r="J708" s="16"/>
      <c r="K708" s="16"/>
      <c r="L708" s="2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 spans="1:32" ht="13">
      <c r="A709" s="21"/>
      <c r="B709" s="16"/>
      <c r="C709" s="16"/>
      <c r="D709" s="22"/>
      <c r="E709" s="16"/>
      <c r="F709" s="22"/>
      <c r="G709" s="16"/>
      <c r="H709" s="16"/>
      <c r="I709" s="23"/>
      <c r="J709" s="16"/>
      <c r="K709" s="16"/>
      <c r="L709" s="2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 spans="1:32" ht="13">
      <c r="A710" s="21"/>
      <c r="B710" s="16"/>
      <c r="C710" s="16"/>
      <c r="D710" s="22"/>
      <c r="E710" s="16"/>
      <c r="F710" s="22"/>
      <c r="G710" s="16"/>
      <c r="H710" s="16"/>
      <c r="I710" s="23"/>
      <c r="J710" s="16"/>
      <c r="K710" s="16"/>
      <c r="L710" s="2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 spans="1:32" ht="13">
      <c r="A711" s="21"/>
      <c r="B711" s="16"/>
      <c r="C711" s="16"/>
      <c r="D711" s="22"/>
      <c r="E711" s="16"/>
      <c r="F711" s="22"/>
      <c r="G711" s="16"/>
      <c r="H711" s="16"/>
      <c r="I711" s="23"/>
      <c r="J711" s="16"/>
      <c r="K711" s="16"/>
      <c r="L711" s="2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 spans="1:32" ht="13">
      <c r="A712" s="21"/>
      <c r="B712" s="16"/>
      <c r="C712" s="16"/>
      <c r="D712" s="22"/>
      <c r="E712" s="16"/>
      <c r="F712" s="22"/>
      <c r="G712" s="16"/>
      <c r="H712" s="16"/>
      <c r="I712" s="23"/>
      <c r="J712" s="16"/>
      <c r="K712" s="16"/>
      <c r="L712" s="2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 spans="1:32" ht="13">
      <c r="A713" s="21"/>
      <c r="B713" s="16"/>
      <c r="C713" s="16"/>
      <c r="D713" s="22"/>
      <c r="E713" s="16"/>
      <c r="F713" s="22"/>
      <c r="G713" s="16"/>
      <c r="H713" s="16"/>
      <c r="I713" s="23"/>
      <c r="J713" s="16"/>
      <c r="K713" s="16"/>
      <c r="L713" s="2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 spans="1:32" ht="13">
      <c r="A714" s="21"/>
      <c r="B714" s="16"/>
      <c r="C714" s="16"/>
      <c r="D714" s="22"/>
      <c r="E714" s="16"/>
      <c r="F714" s="22"/>
      <c r="G714" s="16"/>
      <c r="H714" s="16"/>
      <c r="I714" s="23"/>
      <c r="J714" s="16"/>
      <c r="K714" s="16"/>
      <c r="L714" s="2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 spans="1:32" ht="13">
      <c r="A715" s="21"/>
      <c r="B715" s="16"/>
      <c r="C715" s="16"/>
      <c r="D715" s="22"/>
      <c r="E715" s="16"/>
      <c r="F715" s="22"/>
      <c r="G715" s="16"/>
      <c r="H715" s="16"/>
      <c r="I715" s="23"/>
      <c r="J715" s="16"/>
      <c r="K715" s="16"/>
      <c r="L715" s="2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 spans="1:32" ht="13">
      <c r="A716" s="21"/>
      <c r="B716" s="16"/>
      <c r="C716" s="16"/>
      <c r="D716" s="22"/>
      <c r="E716" s="16"/>
      <c r="F716" s="22"/>
      <c r="G716" s="16"/>
      <c r="H716" s="16"/>
      <c r="I716" s="23"/>
      <c r="J716" s="16"/>
      <c r="K716" s="16"/>
      <c r="L716" s="2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 spans="1:32" ht="13">
      <c r="A717" s="21"/>
      <c r="B717" s="16"/>
      <c r="C717" s="16"/>
      <c r="D717" s="22"/>
      <c r="E717" s="16"/>
      <c r="F717" s="22"/>
      <c r="G717" s="16"/>
      <c r="H717" s="16"/>
      <c r="I717" s="23"/>
      <c r="J717" s="16"/>
      <c r="K717" s="16"/>
      <c r="L717" s="2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 spans="1:32" ht="13">
      <c r="A718" s="21"/>
      <c r="B718" s="16"/>
      <c r="C718" s="16"/>
      <c r="D718" s="22"/>
      <c r="E718" s="16"/>
      <c r="F718" s="22"/>
      <c r="G718" s="16"/>
      <c r="H718" s="16"/>
      <c r="I718" s="23"/>
      <c r="J718" s="16"/>
      <c r="K718" s="16"/>
      <c r="L718" s="2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 spans="1:32" ht="13">
      <c r="A719" s="21"/>
      <c r="B719" s="16"/>
      <c r="C719" s="16"/>
      <c r="D719" s="22"/>
      <c r="E719" s="16"/>
      <c r="F719" s="22"/>
      <c r="G719" s="16"/>
      <c r="H719" s="16"/>
      <c r="I719" s="23"/>
      <c r="J719" s="16"/>
      <c r="K719" s="16"/>
      <c r="L719" s="2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 spans="1:32" ht="13">
      <c r="A720" s="21"/>
      <c r="B720" s="16"/>
      <c r="C720" s="16"/>
      <c r="D720" s="22"/>
      <c r="E720" s="16"/>
      <c r="F720" s="22"/>
      <c r="G720" s="16"/>
      <c r="H720" s="16"/>
      <c r="I720" s="23"/>
      <c r="J720" s="16"/>
      <c r="K720" s="16"/>
      <c r="L720" s="2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 spans="1:32" ht="13">
      <c r="A721" s="21"/>
      <c r="B721" s="16"/>
      <c r="C721" s="16"/>
      <c r="D721" s="22"/>
      <c r="E721" s="16"/>
      <c r="F721" s="22"/>
      <c r="G721" s="16"/>
      <c r="H721" s="16"/>
      <c r="I721" s="23"/>
      <c r="J721" s="16"/>
      <c r="K721" s="16"/>
      <c r="L721" s="2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 spans="1:32" ht="13">
      <c r="A722" s="21"/>
      <c r="B722" s="16"/>
      <c r="C722" s="16"/>
      <c r="D722" s="22"/>
      <c r="E722" s="16"/>
      <c r="F722" s="22"/>
      <c r="G722" s="16"/>
      <c r="H722" s="16"/>
      <c r="I722" s="23"/>
      <c r="J722" s="16"/>
      <c r="K722" s="16"/>
      <c r="L722" s="2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 spans="1:32" ht="13">
      <c r="A723" s="21"/>
      <c r="B723" s="16"/>
      <c r="C723" s="16"/>
      <c r="D723" s="22"/>
      <c r="E723" s="16"/>
      <c r="F723" s="22"/>
      <c r="G723" s="16"/>
      <c r="H723" s="16"/>
      <c r="I723" s="23"/>
      <c r="J723" s="16"/>
      <c r="K723" s="16"/>
      <c r="L723" s="2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 spans="1:32" ht="13">
      <c r="A724" s="21"/>
      <c r="B724" s="16"/>
      <c r="C724" s="16"/>
      <c r="D724" s="22"/>
      <c r="E724" s="16"/>
      <c r="F724" s="22"/>
      <c r="G724" s="16"/>
      <c r="H724" s="16"/>
      <c r="I724" s="23"/>
      <c r="J724" s="16"/>
      <c r="K724" s="16"/>
      <c r="L724" s="2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 spans="1:32" ht="13">
      <c r="A725" s="21"/>
      <c r="B725" s="16"/>
      <c r="C725" s="16"/>
      <c r="D725" s="22"/>
      <c r="E725" s="16"/>
      <c r="F725" s="22"/>
      <c r="G725" s="16"/>
      <c r="H725" s="16"/>
      <c r="I725" s="23"/>
      <c r="J725" s="16"/>
      <c r="K725" s="16"/>
      <c r="L725" s="2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 spans="1:32" ht="13">
      <c r="A726" s="21"/>
      <c r="B726" s="16"/>
      <c r="C726" s="16"/>
      <c r="D726" s="22"/>
      <c r="E726" s="16"/>
      <c r="F726" s="22"/>
      <c r="G726" s="16"/>
      <c r="H726" s="16"/>
      <c r="I726" s="23"/>
      <c r="J726" s="16"/>
      <c r="K726" s="16"/>
      <c r="L726" s="2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 spans="1:32" ht="13">
      <c r="A727" s="21"/>
      <c r="B727" s="16"/>
      <c r="C727" s="16"/>
      <c r="D727" s="22"/>
      <c r="E727" s="16"/>
      <c r="F727" s="22"/>
      <c r="G727" s="16"/>
      <c r="H727" s="16"/>
      <c r="I727" s="23"/>
      <c r="J727" s="16"/>
      <c r="K727" s="16"/>
      <c r="L727" s="2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 spans="1:32" ht="13">
      <c r="A728" s="21"/>
      <c r="B728" s="16"/>
      <c r="C728" s="16"/>
      <c r="D728" s="22"/>
      <c r="E728" s="16"/>
      <c r="F728" s="22"/>
      <c r="G728" s="16"/>
      <c r="H728" s="16"/>
      <c r="I728" s="23"/>
      <c r="J728" s="16"/>
      <c r="K728" s="16"/>
      <c r="L728" s="2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 spans="1:32" ht="13">
      <c r="A729" s="21"/>
      <c r="B729" s="16"/>
      <c r="C729" s="16"/>
      <c r="D729" s="22"/>
      <c r="E729" s="16"/>
      <c r="F729" s="22"/>
      <c r="G729" s="16"/>
      <c r="H729" s="16"/>
      <c r="I729" s="23"/>
      <c r="J729" s="16"/>
      <c r="K729" s="16"/>
      <c r="L729" s="2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 spans="1:32" ht="13">
      <c r="A730" s="21"/>
      <c r="B730" s="16"/>
      <c r="C730" s="16"/>
      <c r="D730" s="22"/>
      <c r="E730" s="16"/>
      <c r="F730" s="22"/>
      <c r="G730" s="16"/>
      <c r="H730" s="16"/>
      <c r="I730" s="23"/>
      <c r="J730" s="16"/>
      <c r="K730" s="16"/>
      <c r="L730" s="2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 spans="1:32" ht="13">
      <c r="A731" s="21"/>
      <c r="B731" s="16"/>
      <c r="C731" s="16"/>
      <c r="D731" s="22"/>
      <c r="E731" s="16"/>
      <c r="F731" s="22"/>
      <c r="G731" s="16"/>
      <c r="H731" s="16"/>
      <c r="I731" s="23"/>
      <c r="J731" s="16"/>
      <c r="K731" s="16"/>
      <c r="L731" s="2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 spans="1:32" ht="13">
      <c r="A732" s="21"/>
      <c r="B732" s="16"/>
      <c r="C732" s="16"/>
      <c r="D732" s="22"/>
      <c r="E732" s="16"/>
      <c r="F732" s="22"/>
      <c r="G732" s="16"/>
      <c r="H732" s="16"/>
      <c r="I732" s="23"/>
      <c r="J732" s="16"/>
      <c r="K732" s="16"/>
      <c r="L732" s="2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 spans="1:32" ht="13">
      <c r="A733" s="21"/>
      <c r="B733" s="16"/>
      <c r="C733" s="16"/>
      <c r="D733" s="22"/>
      <c r="E733" s="16"/>
      <c r="F733" s="22"/>
      <c r="G733" s="16"/>
      <c r="H733" s="16"/>
      <c r="I733" s="23"/>
      <c r="J733" s="16"/>
      <c r="K733" s="16"/>
      <c r="L733" s="2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 spans="1:32" ht="13">
      <c r="A734" s="21"/>
      <c r="B734" s="16"/>
      <c r="C734" s="16"/>
      <c r="D734" s="22"/>
      <c r="E734" s="16"/>
      <c r="F734" s="22"/>
      <c r="G734" s="16"/>
      <c r="H734" s="16"/>
      <c r="I734" s="23"/>
      <c r="J734" s="16"/>
      <c r="K734" s="16"/>
      <c r="L734" s="2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 spans="1:32" ht="13">
      <c r="A735" s="21"/>
      <c r="B735" s="16"/>
      <c r="C735" s="16"/>
      <c r="D735" s="22"/>
      <c r="E735" s="16"/>
      <c r="F735" s="22"/>
      <c r="G735" s="16"/>
      <c r="H735" s="16"/>
      <c r="I735" s="23"/>
      <c r="J735" s="16"/>
      <c r="K735" s="16"/>
      <c r="L735" s="2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 spans="1:32" ht="13">
      <c r="A736" s="21"/>
      <c r="B736" s="16"/>
      <c r="C736" s="16"/>
      <c r="D736" s="22"/>
      <c r="E736" s="16"/>
      <c r="F736" s="22"/>
      <c r="G736" s="16"/>
      <c r="H736" s="16"/>
      <c r="I736" s="23"/>
      <c r="J736" s="16"/>
      <c r="K736" s="16"/>
      <c r="L736" s="2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 spans="1:32" ht="13">
      <c r="A737" s="21"/>
      <c r="B737" s="16"/>
      <c r="C737" s="16"/>
      <c r="D737" s="22"/>
      <c r="E737" s="16"/>
      <c r="F737" s="22"/>
      <c r="G737" s="16"/>
      <c r="H737" s="16"/>
      <c r="I737" s="23"/>
      <c r="J737" s="16"/>
      <c r="K737" s="16"/>
      <c r="L737" s="2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 spans="1:32" ht="13">
      <c r="A738" s="21"/>
      <c r="B738" s="16"/>
      <c r="C738" s="16"/>
      <c r="D738" s="22"/>
      <c r="E738" s="16"/>
      <c r="F738" s="22"/>
      <c r="G738" s="16"/>
      <c r="H738" s="16"/>
      <c r="I738" s="23"/>
      <c r="J738" s="16"/>
      <c r="K738" s="16"/>
      <c r="L738" s="2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 spans="1:32" ht="13">
      <c r="A739" s="21"/>
      <c r="B739" s="16"/>
      <c r="C739" s="16"/>
      <c r="D739" s="22"/>
      <c r="E739" s="16"/>
      <c r="F739" s="22"/>
      <c r="G739" s="16"/>
      <c r="H739" s="16"/>
      <c r="I739" s="23"/>
      <c r="J739" s="16"/>
      <c r="K739" s="16"/>
      <c r="L739" s="2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 spans="1:32" ht="13">
      <c r="A740" s="21"/>
      <c r="B740" s="16"/>
      <c r="C740" s="16"/>
      <c r="D740" s="22"/>
      <c r="E740" s="16"/>
      <c r="F740" s="22"/>
      <c r="G740" s="16"/>
      <c r="H740" s="16"/>
      <c r="I740" s="23"/>
      <c r="J740" s="16"/>
      <c r="K740" s="16"/>
      <c r="L740" s="2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 spans="1:32" ht="13">
      <c r="A741" s="21"/>
      <c r="B741" s="16"/>
      <c r="C741" s="16"/>
      <c r="D741" s="22"/>
      <c r="E741" s="16"/>
      <c r="F741" s="22"/>
      <c r="G741" s="16"/>
      <c r="H741" s="16"/>
      <c r="I741" s="23"/>
      <c r="J741" s="16"/>
      <c r="K741" s="16"/>
      <c r="L741" s="2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 spans="1:32" ht="13">
      <c r="A742" s="21"/>
      <c r="B742" s="16"/>
      <c r="C742" s="16"/>
      <c r="D742" s="22"/>
      <c r="E742" s="16"/>
      <c r="F742" s="22"/>
      <c r="G742" s="16"/>
      <c r="H742" s="16"/>
      <c r="I742" s="23"/>
      <c r="J742" s="16"/>
      <c r="K742" s="16"/>
      <c r="L742" s="2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 spans="1:32" ht="13">
      <c r="A743" s="21"/>
      <c r="B743" s="16"/>
      <c r="C743" s="16"/>
      <c r="D743" s="22"/>
      <c r="E743" s="16"/>
      <c r="F743" s="22"/>
      <c r="G743" s="16"/>
      <c r="H743" s="16"/>
      <c r="I743" s="23"/>
      <c r="J743" s="16"/>
      <c r="K743" s="16"/>
      <c r="L743" s="2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 spans="1:32" ht="13">
      <c r="A744" s="21"/>
      <c r="B744" s="16"/>
      <c r="C744" s="16"/>
      <c r="D744" s="22"/>
      <c r="E744" s="16"/>
      <c r="F744" s="22"/>
      <c r="G744" s="16"/>
      <c r="H744" s="16"/>
      <c r="I744" s="23"/>
      <c r="J744" s="16"/>
      <c r="K744" s="16"/>
      <c r="L744" s="2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 spans="1:32" ht="13">
      <c r="A745" s="21"/>
      <c r="B745" s="16"/>
      <c r="C745" s="16"/>
      <c r="D745" s="22"/>
      <c r="E745" s="16"/>
      <c r="F745" s="22"/>
      <c r="G745" s="16"/>
      <c r="H745" s="16"/>
      <c r="I745" s="23"/>
      <c r="J745" s="16"/>
      <c r="K745" s="16"/>
      <c r="L745" s="2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 spans="1:32" ht="13">
      <c r="A746" s="21"/>
      <c r="B746" s="16"/>
      <c r="C746" s="16"/>
      <c r="D746" s="22"/>
      <c r="E746" s="16"/>
      <c r="F746" s="22"/>
      <c r="G746" s="16"/>
      <c r="H746" s="16"/>
      <c r="I746" s="23"/>
      <c r="J746" s="16"/>
      <c r="K746" s="16"/>
      <c r="L746" s="2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 spans="1:32" ht="13">
      <c r="A747" s="21"/>
      <c r="B747" s="16"/>
      <c r="C747" s="16"/>
      <c r="D747" s="22"/>
      <c r="E747" s="16"/>
      <c r="F747" s="22"/>
      <c r="G747" s="16"/>
      <c r="H747" s="16"/>
      <c r="I747" s="23"/>
      <c r="J747" s="16"/>
      <c r="K747" s="16"/>
      <c r="L747" s="2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 spans="1:32" ht="13">
      <c r="A748" s="21"/>
      <c r="B748" s="16"/>
      <c r="C748" s="16"/>
      <c r="D748" s="22"/>
      <c r="E748" s="16"/>
      <c r="F748" s="22"/>
      <c r="G748" s="16"/>
      <c r="H748" s="16"/>
      <c r="I748" s="23"/>
      <c r="J748" s="16"/>
      <c r="K748" s="16"/>
      <c r="L748" s="2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 spans="1:32" ht="13">
      <c r="A749" s="21"/>
      <c r="B749" s="16"/>
      <c r="C749" s="16"/>
      <c r="D749" s="22"/>
      <c r="E749" s="16"/>
      <c r="F749" s="22"/>
      <c r="G749" s="16"/>
      <c r="H749" s="16"/>
      <c r="I749" s="23"/>
      <c r="J749" s="16"/>
      <c r="K749" s="16"/>
      <c r="L749" s="2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 spans="1:32" ht="13">
      <c r="A750" s="21"/>
      <c r="B750" s="16"/>
      <c r="C750" s="16"/>
      <c r="D750" s="22"/>
      <c r="E750" s="16"/>
      <c r="F750" s="22"/>
      <c r="G750" s="16"/>
      <c r="H750" s="16"/>
      <c r="I750" s="23"/>
      <c r="J750" s="16"/>
      <c r="K750" s="16"/>
      <c r="L750" s="2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 spans="1:32" ht="13">
      <c r="A751" s="21"/>
      <c r="B751" s="16"/>
      <c r="C751" s="16"/>
      <c r="D751" s="22"/>
      <c r="E751" s="16"/>
      <c r="F751" s="22"/>
      <c r="G751" s="16"/>
      <c r="H751" s="16"/>
      <c r="I751" s="23"/>
      <c r="J751" s="16"/>
      <c r="K751" s="16"/>
      <c r="L751" s="2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 spans="1:32" ht="13">
      <c r="A752" s="21"/>
      <c r="B752" s="16"/>
      <c r="C752" s="16"/>
      <c r="D752" s="22"/>
      <c r="E752" s="16"/>
      <c r="F752" s="22"/>
      <c r="G752" s="16"/>
      <c r="H752" s="16"/>
      <c r="I752" s="23"/>
      <c r="J752" s="16"/>
      <c r="K752" s="16"/>
      <c r="L752" s="2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 spans="1:32" ht="13">
      <c r="A753" s="21"/>
      <c r="B753" s="16"/>
      <c r="C753" s="16"/>
      <c r="D753" s="22"/>
      <c r="E753" s="16"/>
      <c r="F753" s="22"/>
      <c r="G753" s="16"/>
      <c r="H753" s="16"/>
      <c r="I753" s="23"/>
      <c r="J753" s="16"/>
      <c r="K753" s="16"/>
      <c r="L753" s="2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 spans="1:32" ht="13">
      <c r="A754" s="21"/>
      <c r="B754" s="16"/>
      <c r="C754" s="16"/>
      <c r="D754" s="22"/>
      <c r="E754" s="16"/>
      <c r="F754" s="22"/>
      <c r="G754" s="16"/>
      <c r="H754" s="16"/>
      <c r="I754" s="23"/>
      <c r="J754" s="16"/>
      <c r="K754" s="16"/>
      <c r="L754" s="2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 spans="1:32" ht="13">
      <c r="A755" s="21"/>
      <c r="B755" s="16"/>
      <c r="C755" s="16"/>
      <c r="D755" s="22"/>
      <c r="E755" s="16"/>
      <c r="F755" s="22"/>
      <c r="G755" s="16"/>
      <c r="H755" s="16"/>
      <c r="I755" s="23"/>
      <c r="J755" s="16"/>
      <c r="K755" s="16"/>
      <c r="L755" s="2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 spans="1:32" ht="13">
      <c r="A756" s="21"/>
      <c r="B756" s="16"/>
      <c r="C756" s="16"/>
      <c r="D756" s="22"/>
      <c r="E756" s="16"/>
      <c r="F756" s="22"/>
      <c r="G756" s="16"/>
      <c r="H756" s="16"/>
      <c r="I756" s="23"/>
      <c r="J756" s="16"/>
      <c r="K756" s="16"/>
      <c r="L756" s="2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 spans="1:32" ht="13">
      <c r="A757" s="21"/>
      <c r="B757" s="16"/>
      <c r="C757" s="16"/>
      <c r="D757" s="22"/>
      <c r="E757" s="16"/>
      <c r="F757" s="22"/>
      <c r="G757" s="16"/>
      <c r="H757" s="16"/>
      <c r="I757" s="23"/>
      <c r="J757" s="16"/>
      <c r="K757" s="16"/>
      <c r="L757" s="2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 spans="1:32" ht="13">
      <c r="A758" s="21"/>
      <c r="B758" s="16"/>
      <c r="C758" s="16"/>
      <c r="D758" s="22"/>
      <c r="E758" s="16"/>
      <c r="F758" s="22"/>
      <c r="G758" s="16"/>
      <c r="H758" s="16"/>
      <c r="I758" s="23"/>
      <c r="J758" s="16"/>
      <c r="K758" s="16"/>
      <c r="L758" s="2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 spans="1:32" ht="13">
      <c r="A759" s="21"/>
      <c r="B759" s="16"/>
      <c r="C759" s="16"/>
      <c r="D759" s="22"/>
      <c r="E759" s="16"/>
      <c r="F759" s="22"/>
      <c r="G759" s="16"/>
      <c r="H759" s="16"/>
      <c r="I759" s="23"/>
      <c r="J759" s="16"/>
      <c r="K759" s="16"/>
      <c r="L759" s="2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 spans="1:32" ht="13">
      <c r="A760" s="21"/>
      <c r="B760" s="16"/>
      <c r="C760" s="16"/>
      <c r="D760" s="22"/>
      <c r="E760" s="16"/>
      <c r="F760" s="22"/>
      <c r="G760" s="16"/>
      <c r="H760" s="16"/>
      <c r="I760" s="23"/>
      <c r="J760" s="16"/>
      <c r="K760" s="16"/>
      <c r="L760" s="25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 spans="1:32" ht="13">
      <c r="A761" s="21"/>
      <c r="B761" s="16"/>
      <c r="C761" s="16"/>
      <c r="D761" s="22"/>
      <c r="E761" s="16"/>
      <c r="F761" s="22"/>
      <c r="G761" s="16"/>
      <c r="H761" s="16"/>
      <c r="I761" s="23"/>
      <c r="J761" s="16"/>
      <c r="K761" s="16"/>
      <c r="L761" s="25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 spans="1:32" ht="13">
      <c r="A762" s="21"/>
      <c r="B762" s="16"/>
      <c r="C762" s="16"/>
      <c r="D762" s="22"/>
      <c r="E762" s="16"/>
      <c r="F762" s="22"/>
      <c r="G762" s="16"/>
      <c r="H762" s="16"/>
      <c r="I762" s="23"/>
      <c r="J762" s="16"/>
      <c r="K762" s="16"/>
      <c r="L762" s="25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 spans="1:32" ht="13">
      <c r="A763" s="21"/>
      <c r="B763" s="16"/>
      <c r="C763" s="16"/>
      <c r="D763" s="22"/>
      <c r="E763" s="16"/>
      <c r="F763" s="22"/>
      <c r="G763" s="16"/>
      <c r="H763" s="16"/>
      <c r="I763" s="23"/>
      <c r="J763" s="16"/>
      <c r="K763" s="16"/>
      <c r="L763" s="25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 spans="1:32" ht="13">
      <c r="A764" s="21"/>
      <c r="B764" s="16"/>
      <c r="C764" s="16"/>
      <c r="D764" s="22"/>
      <c r="E764" s="16"/>
      <c r="F764" s="22"/>
      <c r="G764" s="16"/>
      <c r="H764" s="16"/>
      <c r="I764" s="23"/>
      <c r="J764" s="16"/>
      <c r="K764" s="16"/>
      <c r="L764" s="25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 spans="1:32" ht="13">
      <c r="A765" s="21"/>
      <c r="B765" s="16"/>
      <c r="C765" s="16"/>
      <c r="D765" s="22"/>
      <c r="E765" s="16"/>
      <c r="F765" s="22"/>
      <c r="G765" s="16"/>
      <c r="H765" s="16"/>
      <c r="I765" s="23"/>
      <c r="J765" s="16"/>
      <c r="K765" s="16"/>
      <c r="L765" s="2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 spans="1:32" ht="13">
      <c r="A766" s="21"/>
      <c r="B766" s="16"/>
      <c r="C766" s="16"/>
      <c r="D766" s="22"/>
      <c r="E766" s="16"/>
      <c r="F766" s="22"/>
      <c r="G766" s="16"/>
      <c r="H766" s="16"/>
      <c r="I766" s="23"/>
      <c r="J766" s="16"/>
      <c r="K766" s="16"/>
      <c r="L766" s="25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 spans="1:32" ht="13">
      <c r="A767" s="21"/>
      <c r="B767" s="16"/>
      <c r="C767" s="16"/>
      <c r="D767" s="22"/>
      <c r="E767" s="16"/>
      <c r="F767" s="22"/>
      <c r="G767" s="16"/>
      <c r="H767" s="16"/>
      <c r="I767" s="23"/>
      <c r="J767" s="16"/>
      <c r="K767" s="16"/>
      <c r="L767" s="25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 spans="1:32" ht="13">
      <c r="A768" s="21"/>
      <c r="B768" s="16"/>
      <c r="C768" s="16"/>
      <c r="D768" s="22"/>
      <c r="E768" s="16"/>
      <c r="F768" s="22"/>
      <c r="G768" s="16"/>
      <c r="H768" s="16"/>
      <c r="I768" s="23"/>
      <c r="J768" s="16"/>
      <c r="K768" s="16"/>
      <c r="L768" s="25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 spans="1:32" ht="13">
      <c r="A769" s="21"/>
      <c r="B769" s="16"/>
      <c r="C769" s="16"/>
      <c r="D769" s="22"/>
      <c r="E769" s="16"/>
      <c r="F769" s="22"/>
      <c r="G769" s="16"/>
      <c r="H769" s="16"/>
      <c r="I769" s="23"/>
      <c r="J769" s="16"/>
      <c r="K769" s="16"/>
      <c r="L769" s="25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 spans="1:32" ht="13">
      <c r="A770" s="21"/>
      <c r="B770" s="16"/>
      <c r="C770" s="16"/>
      <c r="D770" s="22"/>
      <c r="E770" s="16"/>
      <c r="F770" s="22"/>
      <c r="G770" s="16"/>
      <c r="H770" s="16"/>
      <c r="I770" s="23"/>
      <c r="J770" s="16"/>
      <c r="K770" s="16"/>
      <c r="L770" s="25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 spans="1:32" ht="13">
      <c r="A771" s="21"/>
      <c r="B771" s="16"/>
      <c r="C771" s="16"/>
      <c r="D771" s="22"/>
      <c r="E771" s="16"/>
      <c r="F771" s="22"/>
      <c r="G771" s="16"/>
      <c r="H771" s="16"/>
      <c r="I771" s="23"/>
      <c r="J771" s="16"/>
      <c r="K771" s="16"/>
      <c r="L771" s="25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 spans="1:32" ht="13">
      <c r="A772" s="21"/>
      <c r="B772" s="16"/>
      <c r="C772" s="16"/>
      <c r="D772" s="22"/>
      <c r="E772" s="16"/>
      <c r="F772" s="22"/>
      <c r="G772" s="16"/>
      <c r="H772" s="16"/>
      <c r="I772" s="23"/>
      <c r="J772" s="16"/>
      <c r="K772" s="16"/>
      <c r="L772" s="25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 spans="1:32" ht="13">
      <c r="A773" s="21"/>
      <c r="B773" s="16"/>
      <c r="C773" s="16"/>
      <c r="D773" s="22"/>
      <c r="E773" s="16"/>
      <c r="F773" s="22"/>
      <c r="G773" s="16"/>
      <c r="H773" s="16"/>
      <c r="I773" s="23"/>
      <c r="J773" s="16"/>
      <c r="K773" s="16"/>
      <c r="L773" s="25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 spans="1:32" ht="13">
      <c r="A774" s="21"/>
      <c r="B774" s="16"/>
      <c r="C774" s="16"/>
      <c r="D774" s="22"/>
      <c r="E774" s="16"/>
      <c r="F774" s="22"/>
      <c r="G774" s="16"/>
      <c r="H774" s="16"/>
      <c r="I774" s="23"/>
      <c r="J774" s="16"/>
      <c r="K774" s="16"/>
      <c r="L774" s="2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 spans="1:32" ht="13">
      <c r="A775" s="21"/>
      <c r="B775" s="16"/>
      <c r="C775" s="16"/>
      <c r="D775" s="22"/>
      <c r="E775" s="16"/>
      <c r="F775" s="22"/>
      <c r="G775" s="16"/>
      <c r="H775" s="16"/>
      <c r="I775" s="23"/>
      <c r="J775" s="16"/>
      <c r="K775" s="16"/>
      <c r="L775" s="25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 spans="1:32" ht="13">
      <c r="A776" s="21"/>
      <c r="B776" s="16"/>
      <c r="C776" s="16"/>
      <c r="D776" s="22"/>
      <c r="E776" s="16"/>
      <c r="F776" s="22"/>
      <c r="G776" s="16"/>
      <c r="H776" s="16"/>
      <c r="I776" s="23"/>
      <c r="J776" s="16"/>
      <c r="K776" s="16"/>
      <c r="L776" s="25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 spans="1:32" ht="13">
      <c r="A777" s="21"/>
      <c r="B777" s="16"/>
      <c r="C777" s="16"/>
      <c r="D777" s="22"/>
      <c r="E777" s="16"/>
      <c r="F777" s="22"/>
      <c r="G777" s="16"/>
      <c r="H777" s="16"/>
      <c r="I777" s="23"/>
      <c r="J777" s="16"/>
      <c r="K777" s="16"/>
      <c r="L777" s="25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 spans="1:32" ht="13">
      <c r="A778" s="21"/>
      <c r="B778" s="16"/>
      <c r="C778" s="16"/>
      <c r="D778" s="22"/>
      <c r="E778" s="16"/>
      <c r="F778" s="22"/>
      <c r="G778" s="16"/>
      <c r="H778" s="16"/>
      <c r="I778" s="23"/>
      <c r="J778" s="16"/>
      <c r="K778" s="16"/>
      <c r="L778" s="25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 spans="1:32" ht="13">
      <c r="A779" s="21"/>
      <c r="B779" s="16"/>
      <c r="C779" s="16"/>
      <c r="D779" s="22"/>
      <c r="E779" s="16"/>
      <c r="F779" s="22"/>
      <c r="G779" s="16"/>
      <c r="H779" s="16"/>
      <c r="I779" s="23"/>
      <c r="J779" s="16"/>
      <c r="K779" s="16"/>
      <c r="L779" s="25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 spans="1:32" ht="13">
      <c r="A780" s="21"/>
      <c r="B780" s="16"/>
      <c r="C780" s="16"/>
      <c r="D780" s="22"/>
      <c r="E780" s="16"/>
      <c r="F780" s="22"/>
      <c r="G780" s="16"/>
      <c r="H780" s="16"/>
      <c r="I780" s="23"/>
      <c r="J780" s="16"/>
      <c r="K780" s="16"/>
      <c r="L780" s="25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 spans="1:32" ht="13">
      <c r="A781" s="21"/>
      <c r="B781" s="16"/>
      <c r="C781" s="16"/>
      <c r="D781" s="22"/>
      <c r="E781" s="16"/>
      <c r="F781" s="22"/>
      <c r="G781" s="16"/>
      <c r="H781" s="16"/>
      <c r="I781" s="23"/>
      <c r="J781" s="16"/>
      <c r="K781" s="16"/>
      <c r="L781" s="25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 spans="1:32" ht="13">
      <c r="A782" s="21"/>
      <c r="B782" s="16"/>
      <c r="C782" s="16"/>
      <c r="D782" s="22"/>
      <c r="E782" s="16"/>
      <c r="F782" s="22"/>
      <c r="G782" s="16"/>
      <c r="H782" s="16"/>
      <c r="I782" s="23"/>
      <c r="J782" s="16"/>
      <c r="K782" s="16"/>
      <c r="L782" s="25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 spans="1:32" ht="13">
      <c r="A783" s="21"/>
      <c r="B783" s="16"/>
      <c r="C783" s="16"/>
      <c r="D783" s="22"/>
      <c r="E783" s="16"/>
      <c r="F783" s="22"/>
      <c r="G783" s="16"/>
      <c r="H783" s="16"/>
      <c r="I783" s="23"/>
      <c r="J783" s="16"/>
      <c r="K783" s="16"/>
      <c r="L783" s="25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 spans="1:32" ht="13">
      <c r="A784" s="21"/>
      <c r="B784" s="16"/>
      <c r="C784" s="16"/>
      <c r="D784" s="22"/>
      <c r="E784" s="16"/>
      <c r="F784" s="22"/>
      <c r="G784" s="16"/>
      <c r="H784" s="16"/>
      <c r="I784" s="23"/>
      <c r="J784" s="16"/>
      <c r="K784" s="16"/>
      <c r="L784" s="25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 spans="1:32" ht="13">
      <c r="A785" s="21"/>
      <c r="B785" s="16"/>
      <c r="C785" s="16"/>
      <c r="D785" s="22"/>
      <c r="E785" s="16"/>
      <c r="F785" s="22"/>
      <c r="G785" s="16"/>
      <c r="H785" s="16"/>
      <c r="I785" s="23"/>
      <c r="J785" s="16"/>
      <c r="K785" s="16"/>
      <c r="L785" s="25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 spans="1:32" ht="13">
      <c r="A786" s="21"/>
      <c r="B786" s="16"/>
      <c r="C786" s="16"/>
      <c r="D786" s="22"/>
      <c r="E786" s="16"/>
      <c r="F786" s="22"/>
      <c r="G786" s="16"/>
      <c r="H786" s="16"/>
      <c r="I786" s="23"/>
      <c r="J786" s="16"/>
      <c r="K786" s="16"/>
      <c r="L786" s="25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 spans="1:32" ht="13">
      <c r="A787" s="21"/>
      <c r="B787" s="16"/>
      <c r="C787" s="16"/>
      <c r="D787" s="22"/>
      <c r="E787" s="16"/>
      <c r="F787" s="22"/>
      <c r="G787" s="16"/>
      <c r="H787" s="16"/>
      <c r="I787" s="23"/>
      <c r="J787" s="16"/>
      <c r="K787" s="16"/>
      <c r="L787" s="25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 spans="1:32" ht="13">
      <c r="A788" s="21"/>
      <c r="B788" s="16"/>
      <c r="C788" s="16"/>
      <c r="D788" s="22"/>
      <c r="E788" s="16"/>
      <c r="F788" s="22"/>
      <c r="G788" s="16"/>
      <c r="H788" s="16"/>
      <c r="I788" s="23"/>
      <c r="J788" s="16"/>
      <c r="K788" s="16"/>
      <c r="L788" s="2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 spans="1:32" ht="13">
      <c r="A789" s="21"/>
      <c r="B789" s="16"/>
      <c r="C789" s="16"/>
      <c r="D789" s="22"/>
      <c r="E789" s="16"/>
      <c r="F789" s="22"/>
      <c r="G789" s="16"/>
      <c r="H789" s="16"/>
      <c r="I789" s="23"/>
      <c r="J789" s="16"/>
      <c r="K789" s="16"/>
      <c r="L789" s="25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 spans="1:32" ht="13">
      <c r="A790" s="21"/>
      <c r="B790" s="16"/>
      <c r="C790" s="16"/>
      <c r="D790" s="22"/>
      <c r="E790" s="16"/>
      <c r="F790" s="22"/>
      <c r="G790" s="16"/>
      <c r="H790" s="16"/>
      <c r="I790" s="23"/>
      <c r="J790" s="16"/>
      <c r="K790" s="16"/>
      <c r="L790" s="25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 spans="1:32" ht="13">
      <c r="A791" s="21"/>
      <c r="B791" s="16"/>
      <c r="C791" s="16"/>
      <c r="D791" s="22"/>
      <c r="E791" s="16"/>
      <c r="F791" s="22"/>
      <c r="G791" s="16"/>
      <c r="H791" s="16"/>
      <c r="I791" s="23"/>
      <c r="J791" s="16"/>
      <c r="K791" s="16"/>
      <c r="L791" s="25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 spans="1:32" ht="13">
      <c r="A792" s="21"/>
      <c r="B792" s="16"/>
      <c r="C792" s="16"/>
      <c r="D792" s="22"/>
      <c r="E792" s="16"/>
      <c r="F792" s="22"/>
      <c r="G792" s="16"/>
      <c r="H792" s="16"/>
      <c r="I792" s="23"/>
      <c r="J792" s="16"/>
      <c r="K792" s="16"/>
      <c r="L792" s="25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 spans="1:32" ht="13">
      <c r="A793" s="21"/>
      <c r="B793" s="16"/>
      <c r="C793" s="16"/>
      <c r="D793" s="22"/>
      <c r="E793" s="16"/>
      <c r="F793" s="22"/>
      <c r="G793" s="16"/>
      <c r="H793" s="16"/>
      <c r="I793" s="23"/>
      <c r="J793" s="16"/>
      <c r="K793" s="16"/>
      <c r="L793" s="25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 spans="1:32" ht="13">
      <c r="A794" s="21"/>
      <c r="B794" s="16"/>
      <c r="C794" s="16"/>
      <c r="D794" s="22"/>
      <c r="E794" s="16"/>
      <c r="F794" s="22"/>
      <c r="G794" s="16"/>
      <c r="H794" s="16"/>
      <c r="I794" s="23"/>
      <c r="J794" s="16"/>
      <c r="K794" s="16"/>
      <c r="L794" s="25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 spans="1:32" ht="13">
      <c r="A795" s="21"/>
      <c r="B795" s="16"/>
      <c r="C795" s="16"/>
      <c r="D795" s="22"/>
      <c r="E795" s="16"/>
      <c r="F795" s="22"/>
      <c r="G795" s="16"/>
      <c r="H795" s="16"/>
      <c r="I795" s="23"/>
      <c r="J795" s="16"/>
      <c r="K795" s="16"/>
      <c r="L795" s="25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 spans="1:32" ht="13">
      <c r="A796" s="21"/>
      <c r="B796" s="16"/>
      <c r="C796" s="16"/>
      <c r="D796" s="22"/>
      <c r="E796" s="16"/>
      <c r="F796" s="22"/>
      <c r="G796" s="16"/>
      <c r="H796" s="16"/>
      <c r="I796" s="23"/>
      <c r="J796" s="16"/>
      <c r="K796" s="16"/>
      <c r="L796" s="25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 spans="1:32" ht="13">
      <c r="A797" s="21"/>
      <c r="B797" s="16"/>
      <c r="C797" s="16"/>
      <c r="D797" s="22"/>
      <c r="E797" s="16"/>
      <c r="F797" s="22"/>
      <c r="G797" s="16"/>
      <c r="H797" s="16"/>
      <c r="I797" s="23"/>
      <c r="J797" s="16"/>
      <c r="K797" s="16"/>
      <c r="L797" s="25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 spans="1:32" ht="13">
      <c r="A798" s="21"/>
      <c r="B798" s="16"/>
      <c r="C798" s="16"/>
      <c r="D798" s="22"/>
      <c r="E798" s="16"/>
      <c r="F798" s="22"/>
      <c r="G798" s="16"/>
      <c r="H798" s="16"/>
      <c r="I798" s="23"/>
      <c r="J798" s="16"/>
      <c r="K798" s="16"/>
      <c r="L798" s="25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 spans="1:32" ht="13">
      <c r="A799" s="21"/>
      <c r="B799" s="16"/>
      <c r="C799" s="16"/>
      <c r="D799" s="22"/>
      <c r="E799" s="16"/>
      <c r="F799" s="22"/>
      <c r="G799" s="16"/>
      <c r="H799" s="16"/>
      <c r="I799" s="23"/>
      <c r="J799" s="16"/>
      <c r="K799" s="16"/>
      <c r="L799" s="25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 spans="1:32" ht="13">
      <c r="A800" s="21"/>
      <c r="B800" s="16"/>
      <c r="C800" s="16"/>
      <c r="D800" s="22"/>
      <c r="E800" s="16"/>
      <c r="F800" s="22"/>
      <c r="G800" s="16"/>
      <c r="H800" s="16"/>
      <c r="I800" s="23"/>
      <c r="J800" s="16"/>
      <c r="K800" s="16"/>
      <c r="L800" s="25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 spans="1:32" ht="13">
      <c r="A801" s="21"/>
      <c r="B801" s="16"/>
      <c r="C801" s="16"/>
      <c r="D801" s="22"/>
      <c r="E801" s="16"/>
      <c r="F801" s="22"/>
      <c r="G801" s="16"/>
      <c r="H801" s="16"/>
      <c r="I801" s="23"/>
      <c r="J801" s="16"/>
      <c r="K801" s="16"/>
      <c r="L801" s="25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 spans="1:32" ht="13">
      <c r="A802" s="21"/>
      <c r="B802" s="16"/>
      <c r="C802" s="16"/>
      <c r="D802" s="22"/>
      <c r="E802" s="16"/>
      <c r="F802" s="22"/>
      <c r="G802" s="16"/>
      <c r="H802" s="16"/>
      <c r="I802" s="23"/>
      <c r="J802" s="16"/>
      <c r="K802" s="16"/>
      <c r="L802" s="25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 spans="1:32" ht="13">
      <c r="A803" s="21"/>
      <c r="B803" s="16"/>
      <c r="C803" s="16"/>
      <c r="D803" s="22"/>
      <c r="E803" s="16"/>
      <c r="F803" s="22"/>
      <c r="G803" s="16"/>
      <c r="H803" s="16"/>
      <c r="I803" s="23"/>
      <c r="J803" s="16"/>
      <c r="K803" s="16"/>
      <c r="L803" s="25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 spans="1:32" ht="13">
      <c r="A804" s="21"/>
      <c r="B804" s="16"/>
      <c r="C804" s="16"/>
      <c r="D804" s="22"/>
      <c r="E804" s="16"/>
      <c r="F804" s="22"/>
      <c r="G804" s="16"/>
      <c r="H804" s="16"/>
      <c r="I804" s="23"/>
      <c r="J804" s="16"/>
      <c r="K804" s="16"/>
      <c r="L804" s="25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 spans="1:32" ht="13">
      <c r="A805" s="21"/>
      <c r="B805" s="16"/>
      <c r="C805" s="16"/>
      <c r="D805" s="22"/>
      <c r="E805" s="16"/>
      <c r="F805" s="22"/>
      <c r="G805" s="16"/>
      <c r="H805" s="16"/>
      <c r="I805" s="23"/>
      <c r="J805" s="16"/>
      <c r="K805" s="16"/>
      <c r="L805" s="25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 spans="1:32" ht="13">
      <c r="A806" s="21"/>
      <c r="B806" s="16"/>
      <c r="C806" s="16"/>
      <c r="D806" s="22"/>
      <c r="E806" s="16"/>
      <c r="F806" s="22"/>
      <c r="G806" s="16"/>
      <c r="H806" s="16"/>
      <c r="I806" s="23"/>
      <c r="J806" s="16"/>
      <c r="K806" s="16"/>
      <c r="L806" s="2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 spans="1:32" ht="13">
      <c r="A807" s="21"/>
      <c r="B807" s="16"/>
      <c r="C807" s="16"/>
      <c r="D807" s="22"/>
      <c r="E807" s="16"/>
      <c r="F807" s="22"/>
      <c r="G807" s="16"/>
      <c r="H807" s="16"/>
      <c r="I807" s="23"/>
      <c r="J807" s="16"/>
      <c r="K807" s="16"/>
      <c r="L807" s="25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 spans="1:32" ht="13">
      <c r="A808" s="21"/>
      <c r="B808" s="16"/>
      <c r="C808" s="16"/>
      <c r="D808" s="22"/>
      <c r="E808" s="16"/>
      <c r="F808" s="22"/>
      <c r="G808" s="16"/>
      <c r="H808" s="16"/>
      <c r="I808" s="23"/>
      <c r="J808" s="16"/>
      <c r="K808" s="16"/>
      <c r="L808" s="25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 spans="1:32" ht="13">
      <c r="A809" s="21"/>
      <c r="B809" s="16"/>
      <c r="C809" s="16"/>
      <c r="D809" s="22"/>
      <c r="E809" s="16"/>
      <c r="F809" s="22"/>
      <c r="G809" s="16"/>
      <c r="H809" s="16"/>
      <c r="I809" s="23"/>
      <c r="J809" s="16"/>
      <c r="K809" s="16"/>
      <c r="L809" s="25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 spans="1:32" ht="13">
      <c r="A810" s="21"/>
      <c r="B810" s="16"/>
      <c r="C810" s="16"/>
      <c r="D810" s="22"/>
      <c r="E810" s="16"/>
      <c r="F810" s="22"/>
      <c r="G810" s="16"/>
      <c r="H810" s="16"/>
      <c r="I810" s="23"/>
      <c r="J810" s="16"/>
      <c r="K810" s="16"/>
      <c r="L810" s="25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 spans="1:32" ht="13">
      <c r="A811" s="21"/>
      <c r="B811" s="16"/>
      <c r="C811" s="16"/>
      <c r="D811" s="22"/>
      <c r="E811" s="16"/>
      <c r="F811" s="22"/>
      <c r="G811" s="16"/>
      <c r="H811" s="16"/>
      <c r="I811" s="23"/>
      <c r="J811" s="16"/>
      <c r="K811" s="16"/>
      <c r="L811" s="25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 spans="1:32" ht="13">
      <c r="A812" s="21"/>
      <c r="B812" s="16"/>
      <c r="C812" s="16"/>
      <c r="D812" s="22"/>
      <c r="E812" s="16"/>
      <c r="F812" s="22"/>
      <c r="G812" s="16"/>
      <c r="H812" s="16"/>
      <c r="I812" s="23"/>
      <c r="J812" s="16"/>
      <c r="K812" s="16"/>
      <c r="L812" s="25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 spans="1:32" ht="13">
      <c r="A813" s="21"/>
      <c r="B813" s="16"/>
      <c r="C813" s="16"/>
      <c r="D813" s="22"/>
      <c r="E813" s="16"/>
      <c r="F813" s="22"/>
      <c r="G813" s="16"/>
      <c r="H813" s="16"/>
      <c r="I813" s="23"/>
      <c r="J813" s="16"/>
      <c r="K813" s="16"/>
      <c r="L813" s="25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 spans="1:32" ht="13">
      <c r="A814" s="21"/>
      <c r="B814" s="16"/>
      <c r="C814" s="16"/>
      <c r="D814" s="22"/>
      <c r="E814" s="16"/>
      <c r="F814" s="22"/>
      <c r="G814" s="16"/>
      <c r="H814" s="16"/>
      <c r="I814" s="23"/>
      <c r="J814" s="16"/>
      <c r="K814" s="16"/>
      <c r="L814" s="25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 spans="1:32" ht="13">
      <c r="A815" s="21"/>
      <c r="B815" s="16"/>
      <c r="C815" s="16"/>
      <c r="D815" s="22"/>
      <c r="E815" s="16"/>
      <c r="F815" s="22"/>
      <c r="G815" s="16"/>
      <c r="H815" s="16"/>
      <c r="I815" s="23"/>
      <c r="J815" s="16"/>
      <c r="K815" s="16"/>
      <c r="L815" s="25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 spans="1:32" ht="13">
      <c r="A816" s="21"/>
      <c r="B816" s="16"/>
      <c r="C816" s="16"/>
      <c r="D816" s="22"/>
      <c r="E816" s="16"/>
      <c r="F816" s="22"/>
      <c r="G816" s="16"/>
      <c r="H816" s="16"/>
      <c r="I816" s="23"/>
      <c r="J816" s="16"/>
      <c r="K816" s="16"/>
      <c r="L816" s="25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 spans="1:32" ht="13">
      <c r="A817" s="21"/>
      <c r="B817" s="16"/>
      <c r="C817" s="16"/>
      <c r="D817" s="22"/>
      <c r="E817" s="16"/>
      <c r="F817" s="22"/>
      <c r="G817" s="16"/>
      <c r="H817" s="16"/>
      <c r="I817" s="23"/>
      <c r="J817" s="16"/>
      <c r="K817" s="16"/>
      <c r="L817" s="25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 spans="1:32" ht="13">
      <c r="A818" s="21"/>
      <c r="B818" s="16"/>
      <c r="C818" s="16"/>
      <c r="D818" s="22"/>
      <c r="E818" s="16"/>
      <c r="F818" s="22"/>
      <c r="G818" s="16"/>
      <c r="H818" s="16"/>
      <c r="I818" s="23"/>
      <c r="J818" s="16"/>
      <c r="K818" s="16"/>
      <c r="L818" s="25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 spans="1:32" ht="13">
      <c r="A819" s="21"/>
      <c r="B819" s="16"/>
      <c r="C819" s="16"/>
      <c r="D819" s="22"/>
      <c r="E819" s="16"/>
      <c r="F819" s="22"/>
      <c r="G819" s="16"/>
      <c r="H819" s="16"/>
      <c r="I819" s="23"/>
      <c r="J819" s="16"/>
      <c r="K819" s="16"/>
      <c r="L819" s="25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 spans="1:32" ht="13">
      <c r="A820" s="21"/>
      <c r="B820" s="16"/>
      <c r="C820" s="16"/>
      <c r="D820" s="22"/>
      <c r="E820" s="16"/>
      <c r="F820" s="22"/>
      <c r="G820" s="16"/>
      <c r="H820" s="16"/>
      <c r="I820" s="23"/>
      <c r="J820" s="16"/>
      <c r="K820" s="16"/>
      <c r="L820" s="25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 spans="1:32" ht="13">
      <c r="A821" s="21"/>
      <c r="B821" s="16"/>
      <c r="C821" s="16"/>
      <c r="D821" s="22"/>
      <c r="E821" s="16"/>
      <c r="F821" s="22"/>
      <c r="G821" s="16"/>
      <c r="H821" s="16"/>
      <c r="I821" s="23"/>
      <c r="J821" s="16"/>
      <c r="K821" s="16"/>
      <c r="L821" s="25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 spans="1:32" ht="13">
      <c r="A822" s="21"/>
      <c r="B822" s="16"/>
      <c r="C822" s="16"/>
      <c r="D822" s="22"/>
      <c r="E822" s="16"/>
      <c r="F822" s="22"/>
      <c r="G822" s="16"/>
      <c r="H822" s="16"/>
      <c r="I822" s="23"/>
      <c r="J822" s="16"/>
      <c r="K822" s="16"/>
      <c r="L822" s="25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 spans="1:32" ht="13">
      <c r="A823" s="21"/>
      <c r="B823" s="16"/>
      <c r="C823" s="16"/>
      <c r="D823" s="22"/>
      <c r="E823" s="16"/>
      <c r="F823" s="22"/>
      <c r="G823" s="16"/>
      <c r="H823" s="16"/>
      <c r="I823" s="23"/>
      <c r="J823" s="16"/>
      <c r="K823" s="16"/>
      <c r="L823" s="25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 spans="1:32" ht="13">
      <c r="A824" s="21"/>
      <c r="B824" s="16"/>
      <c r="C824" s="16"/>
      <c r="D824" s="22"/>
      <c r="E824" s="16"/>
      <c r="F824" s="22"/>
      <c r="G824" s="16"/>
      <c r="H824" s="16"/>
      <c r="I824" s="23"/>
      <c r="J824" s="16"/>
      <c r="K824" s="16"/>
      <c r="L824" s="25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 spans="1:32" ht="13">
      <c r="A825" s="21"/>
      <c r="B825" s="16"/>
      <c r="C825" s="16"/>
      <c r="D825" s="22"/>
      <c r="E825" s="16"/>
      <c r="F825" s="22"/>
      <c r="G825" s="16"/>
      <c r="H825" s="16"/>
      <c r="I825" s="23"/>
      <c r="J825" s="16"/>
      <c r="K825" s="16"/>
      <c r="L825" s="25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 spans="1:32" ht="13">
      <c r="A826" s="21"/>
      <c r="B826" s="16"/>
      <c r="C826" s="16"/>
      <c r="D826" s="22"/>
      <c r="E826" s="16"/>
      <c r="F826" s="22"/>
      <c r="G826" s="16"/>
      <c r="H826" s="16"/>
      <c r="I826" s="23"/>
      <c r="J826" s="16"/>
      <c r="K826" s="16"/>
      <c r="L826" s="25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 spans="1:32" ht="13">
      <c r="A827" s="21"/>
      <c r="B827" s="16"/>
      <c r="C827" s="16"/>
      <c r="D827" s="22"/>
      <c r="E827" s="16"/>
      <c r="F827" s="22"/>
      <c r="G827" s="16"/>
      <c r="H827" s="16"/>
      <c r="I827" s="23"/>
      <c r="J827" s="16"/>
      <c r="K827" s="16"/>
      <c r="L827" s="25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 spans="1:32" ht="13">
      <c r="A828" s="21"/>
      <c r="B828" s="16"/>
      <c r="C828" s="16"/>
      <c r="D828" s="22"/>
      <c r="E828" s="16"/>
      <c r="F828" s="22"/>
      <c r="G828" s="16"/>
      <c r="H828" s="16"/>
      <c r="I828" s="23"/>
      <c r="J828" s="16"/>
      <c r="K828" s="16"/>
      <c r="L828" s="25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 spans="1:32" ht="13">
      <c r="A829" s="21"/>
      <c r="B829" s="16"/>
      <c r="C829" s="16"/>
      <c r="D829" s="22"/>
      <c r="E829" s="16"/>
      <c r="F829" s="22"/>
      <c r="G829" s="16"/>
      <c r="H829" s="16"/>
      <c r="I829" s="23"/>
      <c r="J829" s="16"/>
      <c r="K829" s="16"/>
      <c r="L829" s="25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 spans="1:32" ht="13">
      <c r="A830" s="21"/>
      <c r="B830" s="16"/>
      <c r="C830" s="16"/>
      <c r="D830" s="22"/>
      <c r="E830" s="16"/>
      <c r="F830" s="22"/>
      <c r="G830" s="16"/>
      <c r="H830" s="16"/>
      <c r="I830" s="23"/>
      <c r="J830" s="16"/>
      <c r="K830" s="16"/>
      <c r="L830" s="25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 spans="1:32" ht="13">
      <c r="A831" s="21"/>
      <c r="B831" s="16"/>
      <c r="C831" s="16"/>
      <c r="D831" s="22"/>
      <c r="E831" s="16"/>
      <c r="F831" s="22"/>
      <c r="G831" s="16"/>
      <c r="H831" s="16"/>
      <c r="I831" s="23"/>
      <c r="J831" s="16"/>
      <c r="K831" s="16"/>
      <c r="L831" s="25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 spans="1:32" ht="13">
      <c r="A832" s="21"/>
      <c r="B832" s="16"/>
      <c r="C832" s="16"/>
      <c r="D832" s="22"/>
      <c r="E832" s="16"/>
      <c r="F832" s="22"/>
      <c r="G832" s="16"/>
      <c r="H832" s="16"/>
      <c r="I832" s="23"/>
      <c r="J832" s="16"/>
      <c r="K832" s="16"/>
      <c r="L832" s="25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 spans="1:32" ht="13">
      <c r="A833" s="21"/>
      <c r="B833" s="16"/>
      <c r="C833" s="16"/>
      <c r="D833" s="22"/>
      <c r="E833" s="16"/>
      <c r="F833" s="22"/>
      <c r="G833" s="16"/>
      <c r="H833" s="16"/>
      <c r="I833" s="23"/>
      <c r="J833" s="16"/>
      <c r="K833" s="16"/>
      <c r="L833" s="25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 spans="1:32" ht="13">
      <c r="A834" s="21"/>
      <c r="B834" s="16"/>
      <c r="C834" s="16"/>
      <c r="D834" s="22"/>
      <c r="E834" s="16"/>
      <c r="F834" s="22"/>
      <c r="G834" s="16"/>
      <c r="H834" s="16"/>
      <c r="I834" s="23"/>
      <c r="J834" s="16"/>
      <c r="K834" s="16"/>
      <c r="L834" s="25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 spans="1:32" ht="13">
      <c r="A835" s="21"/>
      <c r="B835" s="16"/>
      <c r="C835" s="16"/>
      <c r="D835" s="22"/>
      <c r="E835" s="16"/>
      <c r="F835" s="22"/>
      <c r="G835" s="16"/>
      <c r="H835" s="16"/>
      <c r="I835" s="23"/>
      <c r="J835" s="16"/>
      <c r="K835" s="16"/>
      <c r="L835" s="25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 spans="1:32" ht="13">
      <c r="A836" s="21"/>
      <c r="B836" s="16"/>
      <c r="C836" s="16"/>
      <c r="D836" s="22"/>
      <c r="E836" s="16"/>
      <c r="F836" s="22"/>
      <c r="G836" s="16"/>
      <c r="H836" s="16"/>
      <c r="I836" s="23"/>
      <c r="J836" s="16"/>
      <c r="K836" s="16"/>
      <c r="L836" s="25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 spans="1:32" ht="13">
      <c r="A837" s="21"/>
      <c r="B837" s="16"/>
      <c r="C837" s="16"/>
      <c r="D837" s="22"/>
      <c r="E837" s="16"/>
      <c r="F837" s="22"/>
      <c r="G837" s="16"/>
      <c r="H837" s="16"/>
      <c r="I837" s="23"/>
      <c r="J837" s="16"/>
      <c r="K837" s="16"/>
      <c r="L837" s="25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 spans="1:32" ht="13">
      <c r="A838" s="21"/>
      <c r="B838" s="16"/>
      <c r="C838" s="16"/>
      <c r="D838" s="22"/>
      <c r="E838" s="16"/>
      <c r="F838" s="22"/>
      <c r="G838" s="16"/>
      <c r="H838" s="16"/>
      <c r="I838" s="23"/>
      <c r="J838" s="16"/>
      <c r="K838" s="16"/>
      <c r="L838" s="25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 spans="1:32" ht="13">
      <c r="A839" s="21"/>
      <c r="B839" s="16"/>
      <c r="C839" s="16"/>
      <c r="D839" s="22"/>
      <c r="E839" s="16"/>
      <c r="F839" s="22"/>
      <c r="G839" s="16"/>
      <c r="H839" s="16"/>
      <c r="I839" s="23"/>
      <c r="J839" s="16"/>
      <c r="K839" s="16"/>
      <c r="L839" s="25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 spans="1:32" ht="13">
      <c r="A840" s="21"/>
      <c r="B840" s="16"/>
      <c r="C840" s="16"/>
      <c r="D840" s="22"/>
      <c r="E840" s="16"/>
      <c r="F840" s="22"/>
      <c r="G840" s="16"/>
      <c r="H840" s="16"/>
      <c r="I840" s="23"/>
      <c r="J840" s="16"/>
      <c r="K840" s="16"/>
      <c r="L840" s="25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 spans="1:32" ht="13">
      <c r="A841" s="21"/>
      <c r="B841" s="16"/>
      <c r="C841" s="16"/>
      <c r="D841" s="22"/>
      <c r="E841" s="16"/>
      <c r="F841" s="22"/>
      <c r="G841" s="16"/>
      <c r="H841" s="16"/>
      <c r="I841" s="23"/>
      <c r="J841" s="16"/>
      <c r="K841" s="16"/>
      <c r="L841" s="25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 spans="1:32" ht="13">
      <c r="A842" s="21"/>
      <c r="B842" s="16"/>
      <c r="C842" s="16"/>
      <c r="D842" s="22"/>
      <c r="E842" s="16"/>
      <c r="F842" s="22"/>
      <c r="G842" s="16"/>
      <c r="H842" s="16"/>
      <c r="I842" s="23"/>
      <c r="J842" s="16"/>
      <c r="K842" s="16"/>
      <c r="L842" s="25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 spans="1:32" ht="13">
      <c r="A843" s="21"/>
      <c r="B843" s="16"/>
      <c r="C843" s="16"/>
      <c r="D843" s="22"/>
      <c r="E843" s="16"/>
      <c r="F843" s="22"/>
      <c r="G843" s="16"/>
      <c r="H843" s="16"/>
      <c r="I843" s="23"/>
      <c r="J843" s="16"/>
      <c r="K843" s="16"/>
      <c r="L843" s="25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 spans="1:32" ht="13">
      <c r="A844" s="21"/>
      <c r="B844" s="16"/>
      <c r="C844" s="16"/>
      <c r="D844" s="22"/>
      <c r="E844" s="16"/>
      <c r="F844" s="22"/>
      <c r="G844" s="16"/>
      <c r="H844" s="16"/>
      <c r="I844" s="23"/>
      <c r="J844" s="16"/>
      <c r="K844" s="16"/>
      <c r="L844" s="25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 spans="1:32" ht="13">
      <c r="A845" s="21"/>
      <c r="B845" s="16"/>
      <c r="C845" s="16"/>
      <c r="D845" s="22"/>
      <c r="E845" s="16"/>
      <c r="F845" s="22"/>
      <c r="G845" s="16"/>
      <c r="H845" s="16"/>
      <c r="I845" s="23"/>
      <c r="J845" s="16"/>
      <c r="K845" s="16"/>
      <c r="L845" s="2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 spans="1:32" ht="13">
      <c r="A846" s="21"/>
      <c r="B846" s="16"/>
      <c r="C846" s="16"/>
      <c r="D846" s="22"/>
      <c r="E846" s="16"/>
      <c r="F846" s="22"/>
      <c r="G846" s="16"/>
      <c r="H846" s="16"/>
      <c r="I846" s="23"/>
      <c r="J846" s="16"/>
      <c r="K846" s="16"/>
      <c r="L846" s="2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 spans="1:32" ht="13">
      <c r="A847" s="21"/>
      <c r="B847" s="16"/>
      <c r="C847" s="16"/>
      <c r="D847" s="22"/>
      <c r="E847" s="16"/>
      <c r="F847" s="22"/>
      <c r="G847" s="16"/>
      <c r="H847" s="16"/>
      <c r="I847" s="23"/>
      <c r="J847" s="16"/>
      <c r="K847" s="16"/>
      <c r="L847" s="25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 spans="1:32" ht="13">
      <c r="A848" s="21"/>
      <c r="B848" s="16"/>
      <c r="C848" s="16"/>
      <c r="D848" s="22"/>
      <c r="E848" s="16"/>
      <c r="F848" s="22"/>
      <c r="G848" s="16"/>
      <c r="H848" s="16"/>
      <c r="I848" s="23"/>
      <c r="J848" s="16"/>
      <c r="K848" s="16"/>
      <c r="L848" s="25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 spans="1:32" ht="13">
      <c r="A849" s="21"/>
      <c r="B849" s="16"/>
      <c r="C849" s="16"/>
      <c r="D849" s="22"/>
      <c r="E849" s="16"/>
      <c r="F849" s="22"/>
      <c r="G849" s="16"/>
      <c r="H849" s="16"/>
      <c r="I849" s="23"/>
      <c r="J849" s="16"/>
      <c r="K849" s="16"/>
      <c r="L849" s="25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 spans="1:32" ht="13">
      <c r="A850" s="21"/>
      <c r="B850" s="16"/>
      <c r="C850" s="16"/>
      <c r="D850" s="22"/>
      <c r="E850" s="16"/>
      <c r="F850" s="22"/>
      <c r="G850" s="16"/>
      <c r="H850" s="16"/>
      <c r="I850" s="23"/>
      <c r="J850" s="16"/>
      <c r="K850" s="16"/>
      <c r="L850" s="25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 spans="1:32" ht="13">
      <c r="A851" s="21"/>
      <c r="B851" s="16"/>
      <c r="C851" s="16"/>
      <c r="D851" s="22"/>
      <c r="E851" s="16"/>
      <c r="F851" s="22"/>
      <c r="G851" s="16"/>
      <c r="H851" s="16"/>
      <c r="I851" s="23"/>
      <c r="J851" s="16"/>
      <c r="K851" s="16"/>
      <c r="L851" s="25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 spans="1:32" ht="13">
      <c r="A852" s="21"/>
      <c r="B852" s="16"/>
      <c r="C852" s="16"/>
      <c r="D852" s="22"/>
      <c r="E852" s="16"/>
      <c r="F852" s="22"/>
      <c r="G852" s="16"/>
      <c r="H852" s="16"/>
      <c r="I852" s="23"/>
      <c r="J852" s="16"/>
      <c r="K852" s="16"/>
      <c r="L852" s="25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 spans="1:32" ht="13">
      <c r="A853" s="21"/>
      <c r="B853" s="16"/>
      <c r="C853" s="16"/>
      <c r="D853" s="22"/>
      <c r="E853" s="16"/>
      <c r="F853" s="22"/>
      <c r="G853" s="16"/>
      <c r="H853" s="16"/>
      <c r="I853" s="23"/>
      <c r="J853" s="16"/>
      <c r="K853" s="16"/>
      <c r="L853" s="25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 spans="1:32" ht="13">
      <c r="A854" s="21"/>
      <c r="B854" s="16"/>
      <c r="C854" s="16"/>
      <c r="D854" s="22"/>
      <c r="E854" s="16"/>
      <c r="F854" s="22"/>
      <c r="G854" s="16"/>
      <c r="H854" s="16"/>
      <c r="I854" s="23"/>
      <c r="J854" s="16"/>
      <c r="K854" s="16"/>
      <c r="L854" s="25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 spans="1:32" ht="13">
      <c r="A855" s="21"/>
      <c r="B855" s="16"/>
      <c r="C855" s="16"/>
      <c r="D855" s="22"/>
      <c r="E855" s="16"/>
      <c r="F855" s="22"/>
      <c r="G855" s="16"/>
      <c r="H855" s="16"/>
      <c r="I855" s="23"/>
      <c r="J855" s="16"/>
      <c r="K855" s="16"/>
      <c r="L855" s="25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 spans="1:32" ht="13">
      <c r="A856" s="21"/>
      <c r="B856" s="16"/>
      <c r="C856" s="16"/>
      <c r="D856" s="22"/>
      <c r="E856" s="16"/>
      <c r="F856" s="22"/>
      <c r="G856" s="16"/>
      <c r="H856" s="16"/>
      <c r="I856" s="23"/>
      <c r="J856" s="16"/>
      <c r="K856" s="16"/>
      <c r="L856" s="25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 spans="1:32" ht="13">
      <c r="A857" s="21"/>
      <c r="B857" s="16"/>
      <c r="C857" s="16"/>
      <c r="D857" s="22"/>
      <c r="E857" s="16"/>
      <c r="F857" s="22"/>
      <c r="G857" s="16"/>
      <c r="H857" s="16"/>
      <c r="I857" s="23"/>
      <c r="J857" s="16"/>
      <c r="K857" s="16"/>
      <c r="L857" s="25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 spans="1:32" ht="13">
      <c r="A858" s="21"/>
      <c r="B858" s="16"/>
      <c r="C858" s="16"/>
      <c r="D858" s="22"/>
      <c r="E858" s="16"/>
      <c r="F858" s="22"/>
      <c r="G858" s="16"/>
      <c r="H858" s="16"/>
      <c r="I858" s="23"/>
      <c r="J858" s="16"/>
      <c r="K858" s="16"/>
      <c r="L858" s="25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 spans="1:32" ht="13">
      <c r="A859" s="21"/>
      <c r="B859" s="16"/>
      <c r="C859" s="16"/>
      <c r="D859" s="22"/>
      <c r="E859" s="16"/>
      <c r="F859" s="22"/>
      <c r="G859" s="16"/>
      <c r="H859" s="16"/>
      <c r="I859" s="23"/>
      <c r="J859" s="16"/>
      <c r="K859" s="16"/>
      <c r="L859" s="25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 spans="1:32" ht="13">
      <c r="A860" s="21"/>
      <c r="B860" s="16"/>
      <c r="C860" s="16"/>
      <c r="D860" s="22"/>
      <c r="E860" s="16"/>
      <c r="F860" s="22"/>
      <c r="G860" s="16"/>
      <c r="H860" s="16"/>
      <c r="I860" s="23"/>
      <c r="J860" s="16"/>
      <c r="K860" s="16"/>
      <c r="L860" s="25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 spans="1:32" ht="13">
      <c r="A861" s="21"/>
      <c r="B861" s="16"/>
      <c r="C861" s="16"/>
      <c r="D861" s="22"/>
      <c r="E861" s="16"/>
      <c r="F861" s="22"/>
      <c r="G861" s="16"/>
      <c r="H861" s="16"/>
      <c r="I861" s="23"/>
      <c r="J861" s="16"/>
      <c r="K861" s="16"/>
      <c r="L861" s="25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 spans="1:32" ht="13">
      <c r="A862" s="21"/>
      <c r="B862" s="16"/>
      <c r="C862" s="16"/>
      <c r="D862" s="22"/>
      <c r="E862" s="16"/>
      <c r="F862" s="22"/>
      <c r="G862" s="16"/>
      <c r="H862" s="16"/>
      <c r="I862" s="23"/>
      <c r="J862" s="16"/>
      <c r="K862" s="16"/>
      <c r="L862" s="2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 spans="1:32" ht="13">
      <c r="A863" s="21"/>
      <c r="B863" s="16"/>
      <c r="C863" s="16"/>
      <c r="D863" s="22"/>
      <c r="E863" s="16"/>
      <c r="F863" s="22"/>
      <c r="G863" s="16"/>
      <c r="H863" s="16"/>
      <c r="I863" s="23"/>
      <c r="J863" s="16"/>
      <c r="K863" s="16"/>
      <c r="L863" s="25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 spans="1:32" ht="13">
      <c r="A864" s="21"/>
      <c r="B864" s="16"/>
      <c r="C864" s="16"/>
      <c r="D864" s="22"/>
      <c r="E864" s="16"/>
      <c r="F864" s="22"/>
      <c r="G864" s="16"/>
      <c r="H864" s="16"/>
      <c r="I864" s="23"/>
      <c r="J864" s="16"/>
      <c r="K864" s="16"/>
      <c r="L864" s="25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 spans="1:32" ht="13">
      <c r="A865" s="21"/>
      <c r="B865" s="16"/>
      <c r="C865" s="16"/>
      <c r="D865" s="22"/>
      <c r="E865" s="16"/>
      <c r="F865" s="22"/>
      <c r="G865" s="16"/>
      <c r="H865" s="16"/>
      <c r="I865" s="23"/>
      <c r="J865" s="16"/>
      <c r="K865" s="16"/>
      <c r="L865" s="25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 spans="1:32" ht="13">
      <c r="A866" s="21"/>
      <c r="B866" s="16"/>
      <c r="C866" s="16"/>
      <c r="D866" s="22"/>
      <c r="E866" s="16"/>
      <c r="F866" s="22"/>
      <c r="G866" s="16"/>
      <c r="H866" s="16"/>
      <c r="I866" s="23"/>
      <c r="J866" s="16"/>
      <c r="K866" s="16"/>
      <c r="L866" s="25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 spans="1:32" ht="13">
      <c r="A867" s="21"/>
      <c r="B867" s="16"/>
      <c r="C867" s="16"/>
      <c r="D867" s="22"/>
      <c r="E867" s="16"/>
      <c r="F867" s="22"/>
      <c r="G867" s="16"/>
      <c r="H867" s="16"/>
      <c r="I867" s="23"/>
      <c r="J867" s="16"/>
      <c r="K867" s="16"/>
      <c r="L867" s="25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 spans="1:32" ht="13">
      <c r="A868" s="21"/>
      <c r="B868" s="16"/>
      <c r="C868" s="16"/>
      <c r="D868" s="22"/>
      <c r="E868" s="16"/>
      <c r="F868" s="22"/>
      <c r="G868" s="16"/>
      <c r="H868" s="16"/>
      <c r="I868" s="23"/>
      <c r="J868" s="16"/>
      <c r="K868" s="16"/>
      <c r="L868" s="25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 spans="1:32" ht="13">
      <c r="A869" s="21"/>
      <c r="B869" s="16"/>
      <c r="C869" s="16"/>
      <c r="D869" s="22"/>
      <c r="E869" s="16"/>
      <c r="F869" s="22"/>
      <c r="G869" s="16"/>
      <c r="H869" s="16"/>
      <c r="I869" s="23"/>
      <c r="J869" s="16"/>
      <c r="K869" s="16"/>
      <c r="L869" s="25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 spans="1:32" ht="13">
      <c r="A870" s="21"/>
      <c r="B870" s="16"/>
      <c r="C870" s="16"/>
      <c r="D870" s="22"/>
      <c r="E870" s="16"/>
      <c r="F870" s="22"/>
      <c r="G870" s="16"/>
      <c r="H870" s="16"/>
      <c r="I870" s="23"/>
      <c r="J870" s="16"/>
      <c r="K870" s="16"/>
      <c r="L870" s="25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 spans="1:32" ht="13">
      <c r="A871" s="21"/>
      <c r="B871" s="16"/>
      <c r="C871" s="16"/>
      <c r="D871" s="22"/>
      <c r="E871" s="16"/>
      <c r="F871" s="22"/>
      <c r="G871" s="16"/>
      <c r="H871" s="16"/>
      <c r="I871" s="23"/>
      <c r="J871" s="16"/>
      <c r="K871" s="16"/>
      <c r="L871" s="25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 spans="1:32" ht="13">
      <c r="A872" s="21"/>
      <c r="B872" s="16"/>
      <c r="C872" s="16"/>
      <c r="D872" s="22"/>
      <c r="E872" s="16"/>
      <c r="F872" s="22"/>
      <c r="G872" s="16"/>
      <c r="H872" s="16"/>
      <c r="I872" s="23"/>
      <c r="J872" s="16"/>
      <c r="K872" s="16"/>
      <c r="L872" s="25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 spans="1:32" ht="13">
      <c r="A873" s="21"/>
      <c r="B873" s="16"/>
      <c r="C873" s="16"/>
      <c r="D873" s="22"/>
      <c r="E873" s="16"/>
      <c r="F873" s="22"/>
      <c r="G873" s="16"/>
      <c r="H873" s="16"/>
      <c r="I873" s="23"/>
      <c r="J873" s="16"/>
      <c r="K873" s="16"/>
      <c r="L873" s="25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 spans="1:32" ht="13">
      <c r="A874" s="21"/>
      <c r="B874" s="16"/>
      <c r="C874" s="16"/>
      <c r="D874" s="22"/>
      <c r="E874" s="16"/>
      <c r="F874" s="22"/>
      <c r="G874" s="16"/>
      <c r="H874" s="16"/>
      <c r="I874" s="23"/>
      <c r="J874" s="16"/>
      <c r="K874" s="16"/>
      <c r="L874" s="25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 spans="1:32" ht="13">
      <c r="A875" s="21"/>
      <c r="B875" s="16"/>
      <c r="C875" s="16"/>
      <c r="D875" s="22"/>
      <c r="E875" s="16"/>
      <c r="F875" s="22"/>
      <c r="G875" s="16"/>
      <c r="H875" s="16"/>
      <c r="I875" s="23"/>
      <c r="J875" s="16"/>
      <c r="K875" s="16"/>
      <c r="L875" s="25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 spans="1:32" ht="13">
      <c r="A876" s="21"/>
      <c r="B876" s="16"/>
      <c r="C876" s="16"/>
      <c r="D876" s="22"/>
      <c r="E876" s="16"/>
      <c r="F876" s="22"/>
      <c r="G876" s="16"/>
      <c r="H876" s="16"/>
      <c r="I876" s="23"/>
      <c r="J876" s="16"/>
      <c r="K876" s="16"/>
      <c r="L876" s="25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 spans="1:32" ht="13">
      <c r="A877" s="21"/>
      <c r="B877" s="16"/>
      <c r="C877" s="16"/>
      <c r="D877" s="22"/>
      <c r="E877" s="16"/>
      <c r="F877" s="22"/>
      <c r="G877" s="16"/>
      <c r="H877" s="16"/>
      <c r="I877" s="23"/>
      <c r="J877" s="16"/>
      <c r="K877" s="16"/>
      <c r="L877" s="25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 spans="1:32" ht="13">
      <c r="A878" s="21"/>
      <c r="B878" s="16"/>
      <c r="C878" s="16"/>
      <c r="D878" s="22"/>
      <c r="E878" s="16"/>
      <c r="F878" s="22"/>
      <c r="G878" s="16"/>
      <c r="H878" s="16"/>
      <c r="I878" s="23"/>
      <c r="J878" s="16"/>
      <c r="K878" s="16"/>
      <c r="L878" s="2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 spans="1:32" ht="13">
      <c r="A879" s="21"/>
      <c r="B879" s="16"/>
      <c r="C879" s="16"/>
      <c r="D879" s="22"/>
      <c r="E879" s="16"/>
      <c r="F879" s="22"/>
      <c r="G879" s="16"/>
      <c r="H879" s="16"/>
      <c r="I879" s="23"/>
      <c r="J879" s="16"/>
      <c r="K879" s="16"/>
      <c r="L879" s="25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 spans="1:32" ht="13">
      <c r="A880" s="21"/>
      <c r="B880" s="16"/>
      <c r="C880" s="16"/>
      <c r="D880" s="22"/>
      <c r="E880" s="16"/>
      <c r="F880" s="22"/>
      <c r="G880" s="16"/>
      <c r="H880" s="16"/>
      <c r="I880" s="23"/>
      <c r="J880" s="16"/>
      <c r="K880" s="16"/>
      <c r="L880" s="25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 spans="1:32" ht="13">
      <c r="A881" s="21"/>
      <c r="B881" s="16"/>
      <c r="C881" s="16"/>
      <c r="D881" s="22"/>
      <c r="E881" s="16"/>
      <c r="F881" s="22"/>
      <c r="G881" s="16"/>
      <c r="H881" s="16"/>
      <c r="I881" s="23"/>
      <c r="J881" s="16"/>
      <c r="K881" s="16"/>
      <c r="L881" s="25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 spans="1:32" ht="13">
      <c r="A882" s="21"/>
      <c r="B882" s="16"/>
      <c r="C882" s="16"/>
      <c r="D882" s="22"/>
      <c r="E882" s="16"/>
      <c r="F882" s="22"/>
      <c r="G882" s="16"/>
      <c r="H882" s="16"/>
      <c r="I882" s="23"/>
      <c r="J882" s="16"/>
      <c r="K882" s="16"/>
      <c r="L882" s="25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 spans="1:32" ht="13">
      <c r="A883" s="21"/>
      <c r="B883" s="16"/>
      <c r="C883" s="16"/>
      <c r="D883" s="22"/>
      <c r="E883" s="16"/>
      <c r="F883" s="22"/>
      <c r="G883" s="16"/>
      <c r="H883" s="16"/>
      <c r="I883" s="23"/>
      <c r="J883" s="16"/>
      <c r="K883" s="16"/>
      <c r="L883" s="25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 spans="1:32" ht="13">
      <c r="A884" s="21"/>
      <c r="B884" s="16"/>
      <c r="C884" s="16"/>
      <c r="D884" s="22"/>
      <c r="E884" s="16"/>
      <c r="F884" s="22"/>
      <c r="G884" s="16"/>
      <c r="H884" s="16"/>
      <c r="I884" s="23"/>
      <c r="J884" s="16"/>
      <c r="K884" s="16"/>
      <c r="L884" s="25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 spans="1:32" ht="13">
      <c r="A885" s="21"/>
      <c r="B885" s="16"/>
      <c r="C885" s="16"/>
      <c r="D885" s="22"/>
      <c r="E885" s="16"/>
      <c r="F885" s="22"/>
      <c r="G885" s="16"/>
      <c r="H885" s="16"/>
      <c r="I885" s="23"/>
      <c r="J885" s="16"/>
      <c r="K885" s="16"/>
      <c r="L885" s="25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 spans="1:32" ht="13">
      <c r="A886" s="21"/>
      <c r="B886" s="16"/>
      <c r="C886" s="16"/>
      <c r="D886" s="22"/>
      <c r="E886" s="16"/>
      <c r="F886" s="22"/>
      <c r="G886" s="16"/>
      <c r="H886" s="16"/>
      <c r="I886" s="23"/>
      <c r="J886" s="16"/>
      <c r="K886" s="16"/>
      <c r="L886" s="25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 spans="1:32" ht="13">
      <c r="A887" s="21"/>
      <c r="B887" s="16"/>
      <c r="C887" s="16"/>
      <c r="D887" s="22"/>
      <c r="E887" s="16"/>
      <c r="F887" s="22"/>
      <c r="G887" s="16"/>
      <c r="H887" s="16"/>
      <c r="I887" s="23"/>
      <c r="J887" s="16"/>
      <c r="K887" s="16"/>
      <c r="L887" s="25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 spans="1:32" ht="13">
      <c r="A888" s="21"/>
      <c r="B888" s="16"/>
      <c r="C888" s="16"/>
      <c r="D888" s="22"/>
      <c r="E888" s="16"/>
      <c r="F888" s="22"/>
      <c r="G888" s="16"/>
      <c r="H888" s="16"/>
      <c r="I888" s="23"/>
      <c r="J888" s="16"/>
      <c r="K888" s="16"/>
      <c r="L888" s="25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 spans="1:32" ht="13">
      <c r="A889" s="21"/>
      <c r="B889" s="16"/>
      <c r="C889" s="16"/>
      <c r="D889" s="22"/>
      <c r="E889" s="16"/>
      <c r="F889" s="22"/>
      <c r="G889" s="16"/>
      <c r="H889" s="16"/>
      <c r="I889" s="23"/>
      <c r="J889" s="16"/>
      <c r="K889" s="16"/>
      <c r="L889" s="25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 spans="1:32" ht="13">
      <c r="A890" s="21"/>
      <c r="B890" s="16"/>
      <c r="C890" s="16"/>
      <c r="D890" s="22"/>
      <c r="E890" s="16"/>
      <c r="F890" s="22"/>
      <c r="G890" s="16"/>
      <c r="H890" s="16"/>
      <c r="I890" s="23"/>
      <c r="J890" s="16"/>
      <c r="K890" s="16"/>
      <c r="L890" s="25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 spans="1:32" ht="13">
      <c r="A891" s="21"/>
      <c r="B891" s="16"/>
      <c r="C891" s="16"/>
      <c r="D891" s="22"/>
      <c r="E891" s="16"/>
      <c r="F891" s="22"/>
      <c r="G891" s="16"/>
      <c r="H891" s="16"/>
      <c r="I891" s="23"/>
      <c r="J891" s="16"/>
      <c r="K891" s="16"/>
      <c r="L891" s="25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 spans="1:32" ht="13">
      <c r="A892" s="21"/>
      <c r="B892" s="16"/>
      <c r="C892" s="16"/>
      <c r="D892" s="22"/>
      <c r="E892" s="16"/>
      <c r="F892" s="22"/>
      <c r="G892" s="16"/>
      <c r="H892" s="16"/>
      <c r="I892" s="23"/>
      <c r="J892" s="16"/>
      <c r="K892" s="16"/>
      <c r="L892" s="25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 spans="1:32" ht="13">
      <c r="A893" s="21"/>
      <c r="B893" s="16"/>
      <c r="C893" s="16"/>
      <c r="D893" s="22"/>
      <c r="E893" s="16"/>
      <c r="F893" s="22"/>
      <c r="G893" s="16"/>
      <c r="H893" s="16"/>
      <c r="I893" s="23"/>
      <c r="J893" s="16"/>
      <c r="K893" s="16"/>
      <c r="L893" s="25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 spans="1:32" ht="13">
      <c r="A894" s="21"/>
      <c r="B894" s="16"/>
      <c r="C894" s="16"/>
      <c r="D894" s="22"/>
      <c r="E894" s="16"/>
      <c r="F894" s="22"/>
      <c r="G894" s="16"/>
      <c r="H894" s="16"/>
      <c r="I894" s="23"/>
      <c r="J894" s="16"/>
      <c r="K894" s="16"/>
      <c r="L894" s="25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 spans="1:32" ht="13">
      <c r="A895" s="21"/>
      <c r="B895" s="16"/>
      <c r="C895" s="16"/>
      <c r="D895" s="22"/>
      <c r="E895" s="16"/>
      <c r="F895" s="22"/>
      <c r="G895" s="16"/>
      <c r="H895" s="16"/>
      <c r="I895" s="23"/>
      <c r="J895" s="16"/>
      <c r="K895" s="16"/>
      <c r="L895" s="25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 spans="1:32" ht="13">
      <c r="A896" s="21"/>
      <c r="B896" s="16"/>
      <c r="C896" s="16"/>
      <c r="D896" s="22"/>
      <c r="E896" s="16"/>
      <c r="F896" s="22"/>
      <c r="G896" s="16"/>
      <c r="H896" s="16"/>
      <c r="I896" s="23"/>
      <c r="J896" s="16"/>
      <c r="K896" s="16"/>
      <c r="L896" s="25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 spans="1:32" ht="13">
      <c r="A897" s="21"/>
      <c r="B897" s="16"/>
      <c r="C897" s="16"/>
      <c r="D897" s="22"/>
      <c r="E897" s="16"/>
      <c r="F897" s="22"/>
      <c r="G897" s="16"/>
      <c r="H897" s="16"/>
      <c r="I897" s="23"/>
      <c r="J897" s="16"/>
      <c r="K897" s="16"/>
      <c r="L897" s="25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 spans="1:32" ht="13">
      <c r="A898" s="21"/>
      <c r="B898" s="16"/>
      <c r="C898" s="16"/>
      <c r="D898" s="22"/>
      <c r="E898" s="16"/>
      <c r="F898" s="22"/>
      <c r="G898" s="16"/>
      <c r="H898" s="16"/>
      <c r="I898" s="23"/>
      <c r="J898" s="16"/>
      <c r="K898" s="16"/>
      <c r="L898" s="25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 spans="1:32" ht="13">
      <c r="A899" s="21"/>
      <c r="B899" s="16"/>
      <c r="C899" s="16"/>
      <c r="D899" s="22"/>
      <c r="E899" s="16"/>
      <c r="F899" s="22"/>
      <c r="G899" s="16"/>
      <c r="H899" s="16"/>
      <c r="I899" s="23"/>
      <c r="J899" s="16"/>
      <c r="K899" s="16"/>
      <c r="L899" s="25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 spans="1:32" ht="13">
      <c r="A900" s="21"/>
      <c r="B900" s="16"/>
      <c r="C900" s="16"/>
      <c r="D900" s="22"/>
      <c r="E900" s="16"/>
      <c r="F900" s="22"/>
      <c r="G900" s="16"/>
      <c r="H900" s="16"/>
      <c r="I900" s="23"/>
      <c r="J900" s="16"/>
      <c r="K900" s="16"/>
      <c r="L900" s="25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 spans="1:32" ht="13">
      <c r="A901" s="21"/>
      <c r="B901" s="16"/>
      <c r="C901" s="16"/>
      <c r="D901" s="22"/>
      <c r="E901" s="16"/>
      <c r="F901" s="22"/>
      <c r="G901" s="16"/>
      <c r="H901" s="16"/>
      <c r="I901" s="23"/>
      <c r="J901" s="16"/>
      <c r="K901" s="16"/>
      <c r="L901" s="25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 spans="1:32" ht="13">
      <c r="A902" s="21"/>
      <c r="B902" s="16"/>
      <c r="C902" s="16"/>
      <c r="D902" s="22"/>
      <c r="E902" s="16"/>
      <c r="F902" s="22"/>
      <c r="G902" s="16"/>
      <c r="H902" s="16"/>
      <c r="I902" s="23"/>
      <c r="J902" s="16"/>
      <c r="K902" s="16"/>
      <c r="L902" s="25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 spans="1:32" ht="13">
      <c r="A903" s="21"/>
      <c r="B903" s="16"/>
      <c r="C903" s="16"/>
      <c r="D903" s="22"/>
      <c r="E903" s="16"/>
      <c r="F903" s="22"/>
      <c r="G903" s="16"/>
      <c r="H903" s="16"/>
      <c r="I903" s="23"/>
      <c r="J903" s="16"/>
      <c r="K903" s="16"/>
      <c r="L903" s="25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 spans="1:32" ht="13">
      <c r="A904" s="21"/>
      <c r="B904" s="16"/>
      <c r="C904" s="16"/>
      <c r="D904" s="22"/>
      <c r="E904" s="16"/>
      <c r="F904" s="22"/>
      <c r="G904" s="16"/>
      <c r="H904" s="16"/>
      <c r="I904" s="23"/>
      <c r="J904" s="16"/>
      <c r="K904" s="16"/>
      <c r="L904" s="25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 spans="1:32" ht="13">
      <c r="A905" s="21"/>
      <c r="B905" s="16"/>
      <c r="C905" s="16"/>
      <c r="D905" s="22"/>
      <c r="E905" s="16"/>
      <c r="F905" s="22"/>
      <c r="G905" s="16"/>
      <c r="H905" s="16"/>
      <c r="I905" s="23"/>
      <c r="J905" s="16"/>
      <c r="K905" s="16"/>
      <c r="L905" s="25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 spans="1:32" ht="13">
      <c r="A906" s="21"/>
      <c r="B906" s="16"/>
      <c r="C906" s="16"/>
      <c r="D906" s="22"/>
      <c r="E906" s="16"/>
      <c r="F906" s="22"/>
      <c r="G906" s="16"/>
      <c r="H906" s="16"/>
      <c r="I906" s="23"/>
      <c r="J906" s="16"/>
      <c r="K906" s="16"/>
      <c r="L906" s="25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 spans="1:32" ht="13">
      <c r="A907" s="21"/>
      <c r="B907" s="16"/>
      <c r="C907" s="16"/>
      <c r="D907" s="22"/>
      <c r="E907" s="16"/>
      <c r="F907" s="22"/>
      <c r="G907" s="16"/>
      <c r="H907" s="16"/>
      <c r="I907" s="23"/>
      <c r="J907" s="16"/>
      <c r="K907" s="16"/>
      <c r="L907" s="25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 spans="1:32" ht="13">
      <c r="A908" s="21"/>
      <c r="B908" s="16"/>
      <c r="C908" s="16"/>
      <c r="D908" s="22"/>
      <c r="E908" s="16"/>
      <c r="F908" s="22"/>
      <c r="G908" s="16"/>
      <c r="H908" s="16"/>
      <c r="I908" s="23"/>
      <c r="J908" s="16"/>
      <c r="K908" s="16"/>
      <c r="L908" s="25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 spans="1:32" ht="13">
      <c r="A909" s="21"/>
      <c r="B909" s="16"/>
      <c r="C909" s="16"/>
      <c r="D909" s="22"/>
      <c r="E909" s="16"/>
      <c r="F909" s="22"/>
      <c r="G909" s="16"/>
      <c r="H909" s="16"/>
      <c r="I909" s="23"/>
      <c r="J909" s="16"/>
      <c r="K909" s="16"/>
      <c r="L909" s="25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 spans="1:32" ht="13">
      <c r="A910" s="21"/>
      <c r="B910" s="16"/>
      <c r="C910" s="16"/>
      <c r="D910" s="22"/>
      <c r="E910" s="16"/>
      <c r="F910" s="22"/>
      <c r="G910" s="16"/>
      <c r="H910" s="16"/>
      <c r="I910" s="23"/>
      <c r="J910" s="16"/>
      <c r="K910" s="16"/>
      <c r="L910" s="25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 spans="1:32" ht="13">
      <c r="A911" s="21"/>
      <c r="B911" s="16"/>
      <c r="C911" s="16"/>
      <c r="D911" s="22"/>
      <c r="E911" s="16"/>
      <c r="F911" s="22"/>
      <c r="G911" s="16"/>
      <c r="H911" s="16"/>
      <c r="I911" s="23"/>
      <c r="J911" s="16"/>
      <c r="K911" s="16"/>
      <c r="L911" s="25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 spans="1:32" ht="13">
      <c r="A912" s="21"/>
      <c r="B912" s="16"/>
      <c r="C912" s="16"/>
      <c r="D912" s="22"/>
      <c r="E912" s="16"/>
      <c r="F912" s="22"/>
      <c r="G912" s="16"/>
      <c r="H912" s="16"/>
      <c r="I912" s="23"/>
      <c r="J912" s="16"/>
      <c r="K912" s="16"/>
      <c r="L912" s="25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 spans="1:32" ht="13">
      <c r="A913" s="21"/>
      <c r="B913" s="16"/>
      <c r="C913" s="16"/>
      <c r="D913" s="22"/>
      <c r="E913" s="16"/>
      <c r="F913" s="22"/>
      <c r="G913" s="16"/>
      <c r="H913" s="16"/>
      <c r="I913" s="23"/>
      <c r="J913" s="16"/>
      <c r="K913" s="16"/>
      <c r="L913" s="25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 spans="1:32" ht="13">
      <c r="A914" s="21"/>
      <c r="B914" s="16"/>
      <c r="C914" s="16"/>
      <c r="D914" s="22"/>
      <c r="E914" s="16"/>
      <c r="F914" s="22"/>
      <c r="G914" s="16"/>
      <c r="H914" s="16"/>
      <c r="I914" s="23"/>
      <c r="J914" s="16"/>
      <c r="K914" s="16"/>
      <c r="L914" s="25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 spans="1:32" ht="13">
      <c r="A915" s="21"/>
      <c r="B915" s="16"/>
      <c r="C915" s="16"/>
      <c r="D915" s="22"/>
      <c r="E915" s="16"/>
      <c r="F915" s="22"/>
      <c r="G915" s="16"/>
      <c r="H915" s="16"/>
      <c r="I915" s="23"/>
      <c r="J915" s="16"/>
      <c r="K915" s="16"/>
      <c r="L915" s="25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 spans="1:32" ht="13">
      <c r="A916" s="21"/>
      <c r="B916" s="16"/>
      <c r="C916" s="16"/>
      <c r="D916" s="22"/>
      <c r="E916" s="16"/>
      <c r="F916" s="22"/>
      <c r="G916" s="16"/>
      <c r="H916" s="16"/>
      <c r="I916" s="23"/>
      <c r="J916" s="16"/>
      <c r="K916" s="16"/>
      <c r="L916" s="25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 spans="1:32" ht="13">
      <c r="A917" s="21"/>
      <c r="B917" s="16"/>
      <c r="C917" s="16"/>
      <c r="D917" s="22"/>
      <c r="E917" s="16"/>
      <c r="F917" s="22"/>
      <c r="G917" s="16"/>
      <c r="H917" s="16"/>
      <c r="I917" s="23"/>
      <c r="J917" s="16"/>
      <c r="K917" s="16"/>
      <c r="L917" s="25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 spans="1:32" ht="13">
      <c r="A918" s="21"/>
      <c r="B918" s="16"/>
      <c r="C918" s="16"/>
      <c r="D918" s="22"/>
      <c r="E918" s="16"/>
      <c r="F918" s="22"/>
      <c r="G918" s="16"/>
      <c r="H918" s="16"/>
      <c r="I918" s="23"/>
      <c r="J918" s="16"/>
      <c r="K918" s="16"/>
      <c r="L918" s="25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 spans="1:32" ht="13">
      <c r="A919" s="21"/>
      <c r="B919" s="16"/>
      <c r="C919" s="16"/>
      <c r="D919" s="22"/>
      <c r="E919" s="16"/>
      <c r="F919" s="22"/>
      <c r="G919" s="16"/>
      <c r="H919" s="16"/>
      <c r="I919" s="23"/>
      <c r="J919" s="16"/>
      <c r="K919" s="16"/>
      <c r="L919" s="25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 spans="1:32" ht="13">
      <c r="A920" s="21"/>
      <c r="B920" s="16"/>
      <c r="C920" s="16"/>
      <c r="D920" s="22"/>
      <c r="E920" s="16"/>
      <c r="F920" s="22"/>
      <c r="G920" s="16"/>
      <c r="H920" s="16"/>
      <c r="I920" s="23"/>
      <c r="J920" s="16"/>
      <c r="K920" s="16"/>
      <c r="L920" s="25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 spans="1:32" ht="13">
      <c r="A921" s="21"/>
      <c r="B921" s="16"/>
      <c r="C921" s="16"/>
      <c r="D921" s="22"/>
      <c r="E921" s="16"/>
      <c r="F921" s="22"/>
      <c r="G921" s="16"/>
      <c r="H921" s="16"/>
      <c r="I921" s="23"/>
      <c r="J921" s="16"/>
      <c r="K921" s="16"/>
      <c r="L921" s="25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 spans="1:32" ht="13">
      <c r="A922" s="21"/>
      <c r="B922" s="16"/>
      <c r="C922" s="16"/>
      <c r="D922" s="22"/>
      <c r="E922" s="16"/>
      <c r="F922" s="22"/>
      <c r="G922" s="16"/>
      <c r="H922" s="16"/>
      <c r="I922" s="23"/>
      <c r="J922" s="16"/>
      <c r="K922" s="16"/>
      <c r="L922" s="2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 spans="1:32" ht="13">
      <c r="A923" s="21"/>
      <c r="B923" s="16"/>
      <c r="C923" s="16"/>
      <c r="D923" s="22"/>
      <c r="E923" s="16"/>
      <c r="F923" s="22"/>
      <c r="G923" s="16"/>
      <c r="H923" s="16"/>
      <c r="I923" s="23"/>
      <c r="J923" s="16"/>
      <c r="K923" s="16"/>
      <c r="L923" s="25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 spans="1:32" ht="13">
      <c r="A924" s="21"/>
      <c r="B924" s="16"/>
      <c r="C924" s="16"/>
      <c r="D924" s="22"/>
      <c r="E924" s="16"/>
      <c r="F924" s="22"/>
      <c r="G924" s="16"/>
      <c r="H924" s="16"/>
      <c r="I924" s="23"/>
      <c r="J924" s="16"/>
      <c r="K924" s="16"/>
      <c r="L924" s="25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 spans="1:32" ht="13">
      <c r="A925" s="21"/>
      <c r="B925" s="16"/>
      <c r="C925" s="16"/>
      <c r="D925" s="22"/>
      <c r="E925" s="16"/>
      <c r="F925" s="22"/>
      <c r="G925" s="16"/>
      <c r="H925" s="16"/>
      <c r="I925" s="23"/>
      <c r="J925" s="16"/>
      <c r="K925" s="16"/>
      <c r="L925" s="25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 spans="1:32" ht="13">
      <c r="A926" s="21"/>
      <c r="B926" s="16"/>
      <c r="C926" s="16"/>
      <c r="D926" s="22"/>
      <c r="E926" s="16"/>
      <c r="F926" s="22"/>
      <c r="G926" s="16"/>
      <c r="H926" s="16"/>
      <c r="I926" s="23"/>
      <c r="J926" s="16"/>
      <c r="K926" s="16"/>
      <c r="L926" s="25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 spans="1:32" ht="13">
      <c r="A927" s="21"/>
      <c r="B927" s="16"/>
      <c r="C927" s="16"/>
      <c r="D927" s="22"/>
      <c r="E927" s="16"/>
      <c r="F927" s="22"/>
      <c r="G927" s="16"/>
      <c r="H927" s="16"/>
      <c r="I927" s="23"/>
      <c r="J927" s="16"/>
      <c r="K927" s="16"/>
      <c r="L927" s="25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 spans="1:32" ht="13">
      <c r="A928" s="21"/>
      <c r="B928" s="16"/>
      <c r="C928" s="16"/>
      <c r="D928" s="22"/>
      <c r="E928" s="16"/>
      <c r="F928" s="22"/>
      <c r="G928" s="16"/>
      <c r="H928" s="16"/>
      <c r="I928" s="23"/>
      <c r="J928" s="16"/>
      <c r="K928" s="16"/>
      <c r="L928" s="25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 spans="1:32" ht="13">
      <c r="A929" s="21"/>
      <c r="B929" s="16"/>
      <c r="C929" s="16"/>
      <c r="D929" s="22"/>
      <c r="E929" s="16"/>
      <c r="F929" s="22"/>
      <c r="G929" s="16"/>
      <c r="H929" s="16"/>
      <c r="I929" s="23"/>
      <c r="J929" s="16"/>
      <c r="K929" s="16"/>
      <c r="L929" s="25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 spans="1:32" ht="13">
      <c r="A930" s="21"/>
      <c r="B930" s="16"/>
      <c r="C930" s="16"/>
      <c r="D930" s="22"/>
      <c r="E930" s="16"/>
      <c r="F930" s="22"/>
      <c r="G930" s="16"/>
      <c r="H930" s="16"/>
      <c r="I930" s="23"/>
      <c r="J930" s="16"/>
      <c r="K930" s="16"/>
      <c r="L930" s="25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 spans="1:32" ht="13">
      <c r="A931" s="21"/>
      <c r="B931" s="16"/>
      <c r="C931" s="16"/>
      <c r="D931" s="22"/>
      <c r="E931" s="16"/>
      <c r="F931" s="22"/>
      <c r="G931" s="16"/>
      <c r="H931" s="16"/>
      <c r="I931" s="23"/>
      <c r="J931" s="16"/>
      <c r="K931" s="16"/>
      <c r="L931" s="25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 spans="1:32" ht="13">
      <c r="A932" s="21"/>
      <c r="B932" s="16"/>
      <c r="C932" s="16"/>
      <c r="D932" s="22"/>
      <c r="E932" s="16"/>
      <c r="F932" s="22"/>
      <c r="G932" s="16"/>
      <c r="H932" s="16"/>
      <c r="I932" s="23"/>
      <c r="J932" s="16"/>
      <c r="K932" s="16"/>
      <c r="L932" s="25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 spans="1:32" ht="13">
      <c r="A933" s="21"/>
      <c r="B933" s="16"/>
      <c r="C933" s="16"/>
      <c r="D933" s="22"/>
      <c r="E933" s="16"/>
      <c r="F933" s="22"/>
      <c r="G933" s="16"/>
      <c r="H933" s="16"/>
      <c r="I933" s="23"/>
      <c r="J933" s="16"/>
      <c r="K933" s="16"/>
      <c r="L933" s="25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 spans="1:32" ht="13">
      <c r="A934" s="21"/>
      <c r="B934" s="16"/>
      <c r="C934" s="16"/>
      <c r="D934" s="22"/>
      <c r="E934" s="16"/>
      <c r="F934" s="22"/>
      <c r="G934" s="16"/>
      <c r="H934" s="16"/>
      <c r="I934" s="23"/>
      <c r="J934" s="16"/>
      <c r="K934" s="16"/>
      <c r="L934" s="25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 spans="1:32" ht="13">
      <c r="A935" s="21"/>
      <c r="B935" s="16"/>
      <c r="C935" s="16"/>
      <c r="D935" s="22"/>
      <c r="E935" s="16"/>
      <c r="F935" s="22"/>
      <c r="G935" s="16"/>
      <c r="H935" s="16"/>
      <c r="I935" s="23"/>
      <c r="J935" s="16"/>
      <c r="K935" s="16"/>
      <c r="L935" s="25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 spans="1:32" ht="13">
      <c r="A936" s="21"/>
      <c r="B936" s="16"/>
      <c r="C936" s="16"/>
      <c r="D936" s="22"/>
      <c r="E936" s="16"/>
      <c r="F936" s="22"/>
      <c r="G936" s="16"/>
      <c r="H936" s="16"/>
      <c r="I936" s="23"/>
      <c r="J936" s="16"/>
      <c r="K936" s="16"/>
      <c r="L936" s="25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 spans="1:32" ht="13">
      <c r="A937" s="21"/>
      <c r="B937" s="16"/>
      <c r="C937" s="16"/>
      <c r="D937" s="22"/>
      <c r="E937" s="16"/>
      <c r="F937" s="22"/>
      <c r="G937" s="16"/>
      <c r="H937" s="16"/>
      <c r="I937" s="23"/>
      <c r="J937" s="16"/>
      <c r="K937" s="16"/>
      <c r="L937" s="25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 spans="1:32" ht="13">
      <c r="A938" s="21"/>
      <c r="B938" s="16"/>
      <c r="C938" s="16"/>
      <c r="D938" s="22"/>
      <c r="E938" s="16"/>
      <c r="F938" s="22"/>
      <c r="G938" s="16"/>
      <c r="H938" s="16"/>
      <c r="I938" s="23"/>
      <c r="J938" s="16"/>
      <c r="K938" s="16"/>
      <c r="L938" s="2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 spans="1:32" ht="13">
      <c r="A939" s="21"/>
      <c r="B939" s="16"/>
      <c r="C939" s="16"/>
      <c r="D939" s="22"/>
      <c r="E939" s="16"/>
      <c r="F939" s="22"/>
      <c r="G939" s="16"/>
      <c r="H939" s="16"/>
      <c r="I939" s="23"/>
      <c r="J939" s="16"/>
      <c r="K939" s="16"/>
      <c r="L939" s="25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 spans="1:32" ht="13">
      <c r="A940" s="21"/>
      <c r="B940" s="16"/>
      <c r="C940" s="16"/>
      <c r="D940" s="22"/>
      <c r="E940" s="16"/>
      <c r="F940" s="22"/>
      <c r="G940" s="16"/>
      <c r="H940" s="16"/>
      <c r="I940" s="23"/>
      <c r="J940" s="16"/>
      <c r="K940" s="16"/>
      <c r="L940" s="25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 spans="1:32" ht="13">
      <c r="A941" s="21"/>
      <c r="B941" s="16"/>
      <c r="C941" s="16"/>
      <c r="D941" s="22"/>
      <c r="E941" s="16"/>
      <c r="F941" s="22"/>
      <c r="G941" s="16"/>
      <c r="H941" s="16"/>
      <c r="I941" s="23"/>
      <c r="J941" s="16"/>
      <c r="K941" s="16"/>
      <c r="L941" s="25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 spans="1:32" ht="13">
      <c r="A942" s="21"/>
      <c r="B942" s="16"/>
      <c r="C942" s="16"/>
      <c r="D942" s="22"/>
      <c r="E942" s="16"/>
      <c r="F942" s="22"/>
      <c r="G942" s="16"/>
      <c r="H942" s="16"/>
      <c r="I942" s="23"/>
      <c r="J942" s="16"/>
      <c r="K942" s="16"/>
      <c r="L942" s="25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 spans="1:32" ht="13">
      <c r="A943" s="21"/>
      <c r="B943" s="16"/>
      <c r="C943" s="16"/>
      <c r="D943" s="22"/>
      <c r="E943" s="16"/>
      <c r="F943" s="22"/>
      <c r="G943" s="16"/>
      <c r="H943" s="16"/>
      <c r="I943" s="23"/>
      <c r="J943" s="16"/>
      <c r="K943" s="16"/>
      <c r="L943" s="25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 spans="1:32" ht="13">
      <c r="A944" s="21"/>
      <c r="B944" s="16"/>
      <c r="C944" s="16"/>
      <c r="D944" s="22"/>
      <c r="E944" s="16"/>
      <c r="F944" s="22"/>
      <c r="G944" s="16"/>
      <c r="H944" s="16"/>
      <c r="I944" s="23"/>
      <c r="J944" s="16"/>
      <c r="K944" s="16"/>
      <c r="L944" s="25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 spans="1:32" ht="13">
      <c r="A945" s="21"/>
      <c r="B945" s="16"/>
      <c r="C945" s="16"/>
      <c r="D945" s="22"/>
      <c r="E945" s="16"/>
      <c r="F945" s="22"/>
      <c r="G945" s="16"/>
      <c r="H945" s="16"/>
      <c r="I945" s="23"/>
      <c r="J945" s="16"/>
      <c r="K945" s="16"/>
      <c r="L945" s="25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 spans="1:32" ht="13">
      <c r="A946" s="21"/>
      <c r="B946" s="16"/>
      <c r="C946" s="16"/>
      <c r="D946" s="22"/>
      <c r="E946" s="16"/>
      <c r="F946" s="22"/>
      <c r="G946" s="16"/>
      <c r="H946" s="16"/>
      <c r="I946" s="23"/>
      <c r="J946" s="16"/>
      <c r="K946" s="16"/>
      <c r="L946" s="25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 spans="1:32" ht="13">
      <c r="A947" s="21"/>
      <c r="B947" s="16"/>
      <c r="C947" s="16"/>
      <c r="D947" s="22"/>
      <c r="E947" s="16"/>
      <c r="F947" s="22"/>
      <c r="G947" s="16"/>
      <c r="H947" s="16"/>
      <c r="I947" s="23"/>
      <c r="J947" s="16"/>
      <c r="K947" s="16"/>
      <c r="L947" s="25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 spans="1:32" ht="13">
      <c r="A948" s="21"/>
      <c r="B948" s="16"/>
      <c r="C948" s="16"/>
      <c r="D948" s="22"/>
      <c r="E948" s="16"/>
      <c r="F948" s="22"/>
      <c r="G948" s="16"/>
      <c r="H948" s="16"/>
      <c r="I948" s="23"/>
      <c r="J948" s="16"/>
      <c r="K948" s="16"/>
      <c r="L948" s="25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 spans="1:32" ht="13">
      <c r="A949" s="21"/>
      <c r="B949" s="16"/>
      <c r="C949" s="16"/>
      <c r="D949" s="22"/>
      <c r="E949" s="16"/>
      <c r="F949" s="22"/>
      <c r="G949" s="16"/>
      <c r="H949" s="16"/>
      <c r="I949" s="23"/>
      <c r="J949" s="16"/>
      <c r="K949" s="16"/>
      <c r="L949" s="25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 spans="1:32" ht="13">
      <c r="A950" s="21"/>
      <c r="B950" s="16"/>
      <c r="C950" s="16"/>
      <c r="D950" s="22"/>
      <c r="E950" s="16"/>
      <c r="F950" s="22"/>
      <c r="G950" s="16"/>
      <c r="H950" s="16"/>
      <c r="I950" s="23"/>
      <c r="J950" s="16"/>
      <c r="K950" s="16"/>
      <c r="L950" s="25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 spans="1:32" ht="13">
      <c r="A951" s="21"/>
      <c r="B951" s="16"/>
      <c r="C951" s="16"/>
      <c r="D951" s="22"/>
      <c r="E951" s="16"/>
      <c r="F951" s="22"/>
      <c r="G951" s="16"/>
      <c r="H951" s="16"/>
      <c r="I951" s="23"/>
      <c r="J951" s="16"/>
      <c r="K951" s="16"/>
      <c r="L951" s="25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 spans="1:32" ht="13">
      <c r="A952" s="21"/>
      <c r="B952" s="16"/>
      <c r="C952" s="16"/>
      <c r="D952" s="22"/>
      <c r="E952" s="16"/>
      <c r="F952" s="22"/>
      <c r="G952" s="16"/>
      <c r="H952" s="16"/>
      <c r="I952" s="23"/>
      <c r="J952" s="16"/>
      <c r="K952" s="16"/>
      <c r="L952" s="25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 spans="1:32" ht="13">
      <c r="A953" s="21"/>
      <c r="B953" s="16"/>
      <c r="C953" s="16"/>
      <c r="D953" s="22"/>
      <c r="E953" s="16"/>
      <c r="F953" s="22"/>
      <c r="G953" s="16"/>
      <c r="H953" s="16"/>
      <c r="I953" s="23"/>
      <c r="J953" s="16"/>
      <c r="K953" s="16"/>
      <c r="L953" s="25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 spans="1:32" ht="13">
      <c r="A954" s="21"/>
      <c r="B954" s="16"/>
      <c r="C954" s="16"/>
      <c r="D954" s="22"/>
      <c r="E954" s="16"/>
      <c r="F954" s="22"/>
      <c r="G954" s="16"/>
      <c r="H954" s="16"/>
      <c r="I954" s="23"/>
      <c r="J954" s="16"/>
      <c r="K954" s="16"/>
      <c r="L954" s="25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 spans="1:32" ht="13">
      <c r="A955" s="21"/>
      <c r="B955" s="16"/>
      <c r="C955" s="16"/>
      <c r="D955" s="22"/>
      <c r="E955" s="16"/>
      <c r="F955" s="22"/>
      <c r="G955" s="16"/>
      <c r="H955" s="16"/>
      <c r="I955" s="23"/>
      <c r="J955" s="16"/>
      <c r="K955" s="16"/>
      <c r="L955" s="25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 spans="1:32" ht="13">
      <c r="A956" s="21"/>
      <c r="B956" s="16"/>
      <c r="C956" s="16"/>
      <c r="D956" s="22"/>
      <c r="E956" s="16"/>
      <c r="F956" s="22"/>
      <c r="G956" s="16"/>
      <c r="H956" s="16"/>
      <c r="I956" s="23"/>
      <c r="J956" s="16"/>
      <c r="K956" s="16"/>
      <c r="L956" s="25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 spans="1:32" ht="13">
      <c r="A957" s="21"/>
      <c r="B957" s="16"/>
      <c r="C957" s="16"/>
      <c r="D957" s="22"/>
      <c r="E957" s="16"/>
      <c r="F957" s="22"/>
      <c r="G957" s="16"/>
      <c r="H957" s="16"/>
      <c r="I957" s="23"/>
      <c r="J957" s="16"/>
      <c r="K957" s="16"/>
      <c r="L957" s="25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 spans="1:32" ht="13">
      <c r="A958" s="21"/>
      <c r="B958" s="16"/>
      <c r="C958" s="16"/>
      <c r="D958" s="22"/>
      <c r="E958" s="16"/>
      <c r="F958" s="22"/>
      <c r="G958" s="16"/>
      <c r="H958" s="16"/>
      <c r="I958" s="23"/>
      <c r="J958" s="16"/>
      <c r="K958" s="16"/>
      <c r="L958" s="25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 spans="1:32" ht="13">
      <c r="A959" s="21"/>
      <c r="B959" s="16"/>
      <c r="C959" s="16"/>
      <c r="D959" s="22"/>
      <c r="E959" s="16"/>
      <c r="F959" s="22"/>
      <c r="G959" s="16"/>
      <c r="H959" s="16"/>
      <c r="I959" s="23"/>
      <c r="J959" s="16"/>
      <c r="K959" s="16"/>
      <c r="L959" s="25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 spans="1:32" ht="13">
      <c r="A960" s="21"/>
      <c r="B960" s="16"/>
      <c r="C960" s="16"/>
      <c r="D960" s="22"/>
      <c r="E960" s="16"/>
      <c r="F960" s="22"/>
      <c r="G960" s="16"/>
      <c r="H960" s="16"/>
      <c r="I960" s="23"/>
      <c r="J960" s="16"/>
      <c r="K960" s="16"/>
      <c r="L960" s="25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 spans="1:32" ht="13">
      <c r="A961" s="21"/>
      <c r="B961" s="16"/>
      <c r="C961" s="16"/>
      <c r="D961" s="22"/>
      <c r="E961" s="16"/>
      <c r="F961" s="22"/>
      <c r="G961" s="16"/>
      <c r="H961" s="16"/>
      <c r="I961" s="23"/>
      <c r="J961" s="16"/>
      <c r="K961" s="16"/>
      <c r="L961" s="25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 spans="1:32" ht="13">
      <c r="A962" s="21"/>
      <c r="B962" s="16"/>
      <c r="C962" s="16"/>
      <c r="D962" s="22"/>
      <c r="E962" s="16"/>
      <c r="F962" s="22"/>
      <c r="G962" s="16"/>
      <c r="H962" s="16"/>
      <c r="I962" s="23"/>
      <c r="J962" s="16"/>
      <c r="K962" s="16"/>
      <c r="L962" s="25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 spans="1:32" ht="13">
      <c r="A963" s="21"/>
      <c r="B963" s="16"/>
      <c r="C963" s="16"/>
      <c r="D963" s="22"/>
      <c r="E963" s="16"/>
      <c r="F963" s="22"/>
      <c r="G963" s="16"/>
      <c r="H963" s="16"/>
      <c r="I963" s="23"/>
      <c r="J963" s="16"/>
      <c r="K963" s="16"/>
      <c r="L963" s="25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 spans="1:32" ht="13">
      <c r="A964" s="21"/>
      <c r="B964" s="16"/>
      <c r="C964" s="16"/>
      <c r="D964" s="22"/>
      <c r="E964" s="16"/>
      <c r="F964" s="22"/>
      <c r="G964" s="16"/>
      <c r="H964" s="16"/>
      <c r="I964" s="23"/>
      <c r="J964" s="16"/>
      <c r="K964" s="16"/>
      <c r="L964" s="25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 spans="1:32" ht="13">
      <c r="A965" s="21"/>
      <c r="B965" s="16"/>
      <c r="C965" s="16"/>
      <c r="D965" s="22"/>
      <c r="E965" s="16"/>
      <c r="F965" s="22"/>
      <c r="G965" s="16"/>
      <c r="H965" s="16"/>
      <c r="I965" s="23"/>
      <c r="J965" s="16"/>
      <c r="K965" s="16"/>
      <c r="L965" s="25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 spans="1:32" ht="13">
      <c r="A966" s="21"/>
      <c r="B966" s="16"/>
      <c r="C966" s="16"/>
      <c r="D966" s="22"/>
      <c r="E966" s="16"/>
      <c r="F966" s="22"/>
      <c r="G966" s="16"/>
      <c r="H966" s="16"/>
      <c r="I966" s="23"/>
      <c r="J966" s="16"/>
      <c r="K966" s="16"/>
      <c r="L966" s="25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 spans="1:32" ht="13">
      <c r="A967" s="21"/>
      <c r="B967" s="16"/>
      <c r="C967" s="16"/>
      <c r="D967" s="22"/>
      <c r="E967" s="16"/>
      <c r="F967" s="22"/>
      <c r="G967" s="16"/>
      <c r="H967" s="16"/>
      <c r="I967" s="23"/>
      <c r="J967" s="16"/>
      <c r="K967" s="16"/>
      <c r="L967" s="25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 spans="1:32" ht="13">
      <c r="A968" s="21"/>
      <c r="B968" s="16"/>
      <c r="C968" s="16"/>
      <c r="D968" s="22"/>
      <c r="E968" s="16"/>
      <c r="F968" s="22"/>
      <c r="G968" s="16"/>
      <c r="H968" s="16"/>
      <c r="I968" s="23"/>
      <c r="J968" s="16"/>
      <c r="K968" s="16"/>
      <c r="L968" s="25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 spans="1:32" ht="13">
      <c r="A969" s="21"/>
      <c r="B969" s="16"/>
      <c r="C969" s="16"/>
      <c r="D969" s="22"/>
      <c r="E969" s="16"/>
      <c r="F969" s="22"/>
      <c r="G969" s="16"/>
      <c r="H969" s="16"/>
      <c r="I969" s="23"/>
      <c r="J969" s="16"/>
      <c r="K969" s="16"/>
      <c r="L969" s="25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 spans="1:32" ht="13">
      <c r="A970" s="21"/>
      <c r="B970" s="16"/>
      <c r="C970" s="16"/>
      <c r="D970" s="22"/>
      <c r="E970" s="16"/>
      <c r="F970" s="22"/>
      <c r="G970" s="16"/>
      <c r="H970" s="16"/>
      <c r="I970" s="23"/>
      <c r="J970" s="16"/>
      <c r="K970" s="16"/>
      <c r="L970" s="25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 spans="1:32" ht="13">
      <c r="A971" s="21"/>
      <c r="B971" s="16"/>
      <c r="C971" s="16"/>
      <c r="D971" s="22"/>
      <c r="E971" s="16"/>
      <c r="F971" s="22"/>
      <c r="G971" s="16"/>
      <c r="H971" s="16"/>
      <c r="I971" s="23"/>
      <c r="J971" s="16"/>
      <c r="K971" s="16"/>
      <c r="L971" s="25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 spans="1:32" ht="13">
      <c r="A972" s="21"/>
      <c r="B972" s="16"/>
      <c r="C972" s="16"/>
      <c r="D972" s="22"/>
      <c r="E972" s="16"/>
      <c r="F972" s="22"/>
      <c r="G972" s="16"/>
      <c r="H972" s="16"/>
      <c r="I972" s="23"/>
      <c r="J972" s="16"/>
      <c r="K972" s="16"/>
      <c r="L972" s="25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 spans="1:32" ht="13">
      <c r="A973" s="21"/>
      <c r="B973" s="16"/>
      <c r="C973" s="16"/>
      <c r="D973" s="22"/>
      <c r="E973" s="16"/>
      <c r="F973" s="22"/>
      <c r="G973" s="16"/>
      <c r="H973" s="16"/>
      <c r="I973" s="23"/>
      <c r="J973" s="16"/>
      <c r="K973" s="16"/>
      <c r="L973" s="25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 spans="1:32" ht="13">
      <c r="A974" s="21"/>
      <c r="B974" s="16"/>
      <c r="C974" s="16"/>
      <c r="D974" s="22"/>
      <c r="E974" s="16"/>
      <c r="F974" s="22"/>
      <c r="G974" s="16"/>
      <c r="H974" s="16"/>
      <c r="I974" s="23"/>
      <c r="J974" s="16"/>
      <c r="K974" s="16"/>
      <c r="L974" s="25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 spans="1:32" ht="13">
      <c r="A975" s="21"/>
      <c r="B975" s="16"/>
      <c r="C975" s="16"/>
      <c r="D975" s="22"/>
      <c r="E975" s="16"/>
      <c r="F975" s="22"/>
      <c r="G975" s="16"/>
      <c r="H975" s="16"/>
      <c r="I975" s="23"/>
      <c r="J975" s="16"/>
      <c r="K975" s="16"/>
      <c r="L975" s="25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 spans="1:32" ht="13">
      <c r="A976" s="21"/>
      <c r="B976" s="16"/>
      <c r="C976" s="16"/>
      <c r="D976" s="22"/>
      <c r="E976" s="16"/>
      <c r="F976" s="22"/>
      <c r="G976" s="16"/>
      <c r="H976" s="16"/>
      <c r="I976" s="23"/>
      <c r="J976" s="16"/>
      <c r="K976" s="16"/>
      <c r="L976" s="25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 spans="1:32" ht="13">
      <c r="A977" s="21"/>
      <c r="B977" s="16"/>
      <c r="C977" s="16"/>
      <c r="D977" s="22"/>
      <c r="E977" s="16"/>
      <c r="F977" s="22"/>
      <c r="G977" s="16"/>
      <c r="H977" s="16"/>
      <c r="I977" s="23"/>
      <c r="J977" s="16"/>
      <c r="K977" s="16"/>
      <c r="L977" s="25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 spans="1:32" ht="13">
      <c r="A978" s="21"/>
      <c r="B978" s="16"/>
      <c r="C978" s="16"/>
      <c r="D978" s="22"/>
      <c r="E978" s="16"/>
      <c r="F978" s="22"/>
      <c r="G978" s="16"/>
      <c r="H978" s="16"/>
      <c r="I978" s="23"/>
      <c r="J978" s="16"/>
      <c r="K978" s="16"/>
      <c r="L978" s="25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 spans="1:32" ht="13">
      <c r="A979" s="21"/>
      <c r="B979" s="16"/>
      <c r="C979" s="16"/>
      <c r="D979" s="22"/>
      <c r="E979" s="16"/>
      <c r="F979" s="22"/>
      <c r="G979" s="16"/>
      <c r="H979" s="16"/>
      <c r="I979" s="23"/>
      <c r="J979" s="16"/>
      <c r="K979" s="16"/>
      <c r="L979" s="25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 spans="1:32" ht="13">
      <c r="A980" s="21"/>
      <c r="B980" s="16"/>
      <c r="C980" s="16"/>
      <c r="D980" s="22"/>
      <c r="E980" s="16"/>
      <c r="F980" s="22"/>
      <c r="G980" s="16"/>
      <c r="H980" s="16"/>
      <c r="I980" s="23"/>
      <c r="J980" s="16"/>
      <c r="K980" s="16"/>
      <c r="L980" s="25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 spans="1:32" ht="13">
      <c r="A981" s="21"/>
      <c r="B981" s="16"/>
      <c r="C981" s="16"/>
      <c r="D981" s="22"/>
      <c r="E981" s="16"/>
      <c r="F981" s="22"/>
      <c r="G981" s="16"/>
      <c r="H981" s="16"/>
      <c r="I981" s="23"/>
      <c r="J981" s="16"/>
      <c r="K981" s="16"/>
      <c r="L981" s="25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 spans="1:32" ht="13">
      <c r="A982" s="21"/>
      <c r="B982" s="16"/>
      <c r="C982" s="16"/>
      <c r="D982" s="22"/>
      <c r="E982" s="16"/>
      <c r="F982" s="22"/>
      <c r="G982" s="16"/>
      <c r="H982" s="16"/>
      <c r="I982" s="23"/>
      <c r="J982" s="16"/>
      <c r="K982" s="16"/>
      <c r="L982" s="25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 spans="1:32" ht="13">
      <c r="A983" s="21"/>
      <c r="B983" s="16"/>
      <c r="C983" s="16"/>
      <c r="D983" s="22"/>
      <c r="E983" s="16"/>
      <c r="F983" s="22"/>
      <c r="G983" s="16"/>
      <c r="H983" s="16"/>
      <c r="I983" s="23"/>
      <c r="J983" s="16"/>
      <c r="K983" s="16"/>
      <c r="L983" s="25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 spans="1:32" ht="13">
      <c r="A984" s="21"/>
      <c r="B984" s="16"/>
      <c r="C984" s="16"/>
      <c r="D984" s="22"/>
      <c r="E984" s="16"/>
      <c r="F984" s="22"/>
      <c r="G984" s="16"/>
      <c r="H984" s="16"/>
      <c r="I984" s="23"/>
      <c r="J984" s="16"/>
      <c r="K984" s="16"/>
      <c r="L984" s="25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 spans="1:32" ht="13">
      <c r="A985" s="21"/>
      <c r="B985" s="16"/>
      <c r="C985" s="16"/>
      <c r="D985" s="22"/>
      <c r="E985" s="16"/>
      <c r="F985" s="22"/>
      <c r="G985" s="16"/>
      <c r="H985" s="16"/>
      <c r="I985" s="23"/>
      <c r="J985" s="16"/>
      <c r="K985" s="16"/>
      <c r="L985" s="25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 spans="1:32" ht="13">
      <c r="A986" s="21"/>
      <c r="B986" s="16"/>
      <c r="C986" s="16"/>
      <c r="D986" s="22"/>
      <c r="E986" s="16"/>
      <c r="F986" s="22"/>
      <c r="G986" s="16"/>
      <c r="H986" s="16"/>
      <c r="I986" s="23"/>
      <c r="J986" s="16"/>
      <c r="K986" s="16"/>
      <c r="L986" s="2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 spans="1:32" ht="13">
      <c r="A987" s="21"/>
      <c r="B987" s="16"/>
      <c r="C987" s="16"/>
      <c r="D987" s="22"/>
      <c r="E987" s="16"/>
      <c r="F987" s="22"/>
      <c r="G987" s="16"/>
      <c r="H987" s="16"/>
      <c r="I987" s="23"/>
      <c r="J987" s="16"/>
      <c r="K987" s="16"/>
      <c r="L987" s="25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 spans="1:32" ht="13">
      <c r="A988" s="21"/>
      <c r="B988" s="16"/>
      <c r="C988" s="16"/>
      <c r="D988" s="22"/>
      <c r="E988" s="16"/>
      <c r="F988" s="22"/>
      <c r="G988" s="16"/>
      <c r="H988" s="16"/>
      <c r="I988" s="23"/>
      <c r="J988" s="16"/>
      <c r="K988" s="16"/>
      <c r="L988" s="25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 spans="1:32" ht="13">
      <c r="A989" s="21"/>
      <c r="B989" s="16"/>
      <c r="C989" s="16"/>
      <c r="D989" s="22"/>
      <c r="E989" s="16"/>
      <c r="F989" s="22"/>
      <c r="G989" s="16"/>
      <c r="H989" s="16"/>
      <c r="I989" s="23"/>
      <c r="J989" s="16"/>
      <c r="K989" s="16"/>
      <c r="L989" s="25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 spans="1:32" ht="13">
      <c r="A990" s="21"/>
      <c r="B990" s="16"/>
      <c r="C990" s="16"/>
      <c r="D990" s="22"/>
      <c r="E990" s="16"/>
      <c r="F990" s="22"/>
      <c r="G990" s="16"/>
      <c r="H990" s="16"/>
      <c r="I990" s="23"/>
      <c r="J990" s="16"/>
      <c r="K990" s="16"/>
      <c r="L990" s="25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 spans="1:32" ht="13">
      <c r="A991" s="21"/>
      <c r="B991" s="16"/>
      <c r="C991" s="16"/>
      <c r="D991" s="22"/>
      <c r="E991" s="16"/>
      <c r="F991" s="22"/>
      <c r="G991" s="16"/>
      <c r="H991" s="16"/>
      <c r="I991" s="23"/>
      <c r="J991" s="16"/>
      <c r="K991" s="16"/>
      <c r="L991" s="25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 spans="1:32" ht="13">
      <c r="A992" s="21"/>
      <c r="B992" s="16"/>
      <c r="C992" s="16"/>
      <c r="D992" s="22"/>
      <c r="E992" s="16"/>
      <c r="F992" s="22"/>
      <c r="G992" s="16"/>
      <c r="H992" s="16"/>
      <c r="I992" s="23"/>
      <c r="J992" s="16"/>
      <c r="K992" s="16"/>
      <c r="L992" s="25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 spans="1:32" ht="13">
      <c r="A993" s="21"/>
      <c r="B993" s="16"/>
      <c r="C993" s="16"/>
      <c r="D993" s="22"/>
      <c r="E993" s="16"/>
      <c r="F993" s="22"/>
      <c r="G993" s="16"/>
      <c r="H993" s="16"/>
      <c r="I993" s="23"/>
      <c r="J993" s="16"/>
      <c r="K993" s="16"/>
      <c r="L993" s="25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 spans="1:32" ht="13">
      <c r="A994" s="21"/>
      <c r="B994" s="16"/>
      <c r="C994" s="16"/>
      <c r="D994" s="22"/>
      <c r="E994" s="16"/>
      <c r="F994" s="22"/>
      <c r="G994" s="16"/>
      <c r="H994" s="16"/>
      <c r="I994" s="23"/>
      <c r="J994" s="16"/>
      <c r="K994" s="16"/>
      <c r="L994" s="25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 spans="1:32" ht="13">
      <c r="A995" s="21"/>
      <c r="B995" s="16"/>
      <c r="C995" s="16"/>
      <c r="D995" s="22"/>
      <c r="E995" s="16"/>
      <c r="F995" s="22"/>
      <c r="G995" s="16"/>
      <c r="H995" s="16"/>
      <c r="I995" s="23"/>
      <c r="J995" s="16"/>
      <c r="K995" s="16"/>
      <c r="L995" s="25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 spans="1:32" ht="13">
      <c r="A996" s="21"/>
      <c r="B996" s="16"/>
      <c r="C996" s="16"/>
      <c r="D996" s="22"/>
      <c r="E996" s="16"/>
      <c r="F996" s="22"/>
      <c r="G996" s="16"/>
      <c r="H996" s="16"/>
      <c r="I996" s="23"/>
      <c r="J996" s="16"/>
      <c r="K996" s="16"/>
      <c r="L996" s="25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 spans="1:32" ht="13">
      <c r="A997" s="21"/>
      <c r="B997" s="16"/>
      <c r="C997" s="16"/>
      <c r="D997" s="22"/>
      <c r="E997" s="16"/>
      <c r="F997" s="22"/>
      <c r="G997" s="16"/>
      <c r="H997" s="16"/>
      <c r="I997" s="23"/>
      <c r="J997" s="16"/>
      <c r="K997" s="16"/>
      <c r="L997" s="25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 spans="1:32" ht="13">
      <c r="A998" s="21"/>
      <c r="B998" s="16"/>
      <c r="C998" s="16"/>
      <c r="D998" s="22"/>
      <c r="E998" s="16"/>
      <c r="F998" s="22"/>
      <c r="G998" s="16"/>
      <c r="H998" s="16"/>
      <c r="I998" s="23"/>
      <c r="J998" s="16"/>
      <c r="K998" s="16"/>
      <c r="L998" s="25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 spans="1:32" ht="13">
      <c r="A999" s="21"/>
      <c r="B999" s="16"/>
      <c r="C999" s="16"/>
      <c r="D999" s="22"/>
      <c r="E999" s="16"/>
      <c r="F999" s="22"/>
      <c r="G999" s="16"/>
      <c r="H999" s="16"/>
      <c r="I999" s="23"/>
      <c r="J999" s="16"/>
      <c r="K999" s="16"/>
      <c r="L999" s="25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 spans="1:32" ht="13">
      <c r="A1000" s="21"/>
      <c r="B1000" s="16"/>
      <c r="C1000" s="16"/>
      <c r="D1000" s="22"/>
      <c r="E1000" s="16"/>
      <c r="F1000" s="22"/>
      <c r="G1000" s="16"/>
      <c r="H1000" s="16"/>
      <c r="I1000" s="23"/>
      <c r="J1000" s="16"/>
      <c r="K1000" s="16"/>
      <c r="L1000" s="25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conditionalFormatting sqref="B1:B1000 N25:N29 Z25:Z29">
    <cfRule type="expression" dxfId="11" priority="5">
      <formula>B1=MAX($B$2:$B$1000)</formula>
    </cfRule>
  </conditionalFormatting>
  <conditionalFormatting sqref="C1:C1000 O25:O29 AA25:AA29">
    <cfRule type="expression" dxfId="10" priority="4">
      <formula>C1=MAX($C$2:$C$1000)</formula>
    </cfRule>
  </conditionalFormatting>
  <conditionalFormatting sqref="D1:D1000 P25:P29 AB25:AB29">
    <cfRule type="expression" dxfId="9" priority="1">
      <formula>D1=MAX($D$2:$D$1000)</formula>
    </cfRule>
  </conditionalFormatting>
  <conditionalFormatting sqref="E1:F1000 Q25:R29 AC25:AD29">
    <cfRule type="expression" dxfId="8" priority="2">
      <formula>E1=MAX($E$2:$E$1000)</formula>
    </cfRule>
  </conditionalFormatting>
  <conditionalFormatting sqref="F1:F1000 R25:R29 AD25:AD29">
    <cfRule type="expression" dxfId="7" priority="3">
      <formula>F1=MAX($F$2:$F$1000)</formula>
    </cfRule>
  </conditionalFormatting>
  <conditionalFormatting sqref="G1:G1000 S25:S29 AE25:AE29">
    <cfRule type="expression" dxfId="6" priority="6">
      <formula>G1=MIN($G$2:$G$1000)</formula>
    </cfRule>
  </conditionalFormatting>
  <conditionalFormatting sqref="H1:H1000 I2:I29 T25:U29 AF25:AF29">
    <cfRule type="expression" dxfId="5" priority="7">
      <formula>H1=MAX($H$2:$H$1000)</formula>
    </cfRule>
  </conditionalFormatting>
  <conditionalFormatting sqref="H1:H1000 T25:T29 AF25:AF29">
    <cfRule type="cellIs" dxfId="4" priority="13" operator="greaterThanOrEqual">
      <formula>1000</formula>
    </cfRule>
  </conditionalFormatting>
  <conditionalFormatting sqref="I1:I1000 U25:U29">
    <cfRule type="expression" dxfId="3" priority="9">
      <formula>I1=MAX($I$2:$I$1000)</formula>
    </cfRule>
    <cfRule type="expression" dxfId="2" priority="10">
      <formula>I1=MIN($I$2:$I$1000)</formula>
    </cfRule>
  </conditionalFormatting>
  <conditionalFormatting sqref="I1:J1000 U25:V29">
    <cfRule type="expression" dxfId="1" priority="8">
      <formula>I1=MAX($J$2:$J$1000)</formula>
    </cfRule>
  </conditionalFormatting>
  <conditionalFormatting sqref="K1:K1000 W25:W29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conditionalFormatting sqref="L1 X26:X29 L26:L1000">
    <cfRule type="expression" dxfId="0" priority="12">
      <formula>L1=MAX($L$2:$L$1000)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7.5" customWidth="1"/>
  </cols>
  <sheetData>
    <row r="1" spans="1:26" ht="15.75" customHeight="1">
      <c r="A1" s="21" t="s">
        <v>73</v>
      </c>
      <c r="B1" s="12" t="s">
        <v>74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>
      <c r="A2" s="21" t="s">
        <v>75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26" t="s">
        <v>76</v>
      </c>
      <c r="B3" s="16">
        <v>15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26" t="s">
        <v>77</v>
      </c>
      <c r="B4" s="16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26" t="s">
        <v>78</v>
      </c>
      <c r="B5" s="16">
        <v>1000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2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21" t="s">
        <v>79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26" t="s">
        <v>80</v>
      </c>
      <c r="B8" s="16">
        <f>COUNTA('Raw Games'!A:A)-1</f>
        <v>434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6" t="s">
        <v>81</v>
      </c>
      <c r="B9" s="16">
        <f>B8-B10</f>
        <v>404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6" t="s">
        <v>82</v>
      </c>
      <c r="B10" s="16">
        <f>COUNTIF('Raw Games'!C:C,"=Yes")</f>
        <v>30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6" t="s">
        <v>83</v>
      </c>
      <c r="B11" s="25">
        <f>AVERAGE('Raw Games'!E:M)</f>
        <v>427.11397720455909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6" t="s">
        <v>84</v>
      </c>
      <c r="B12" s="16">
        <f>MAX('Raw Games'!E:M)</f>
        <v>1310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6" t="s">
        <v>85</v>
      </c>
      <c r="B13" s="16">
        <f>MIN('Raw Games'!E:M)</f>
        <v>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6" t="s">
        <v>86</v>
      </c>
      <c r="B14" s="16">
        <f>COUNTIF('Raw Games'!E:M,"&gt;=1000")</f>
        <v>17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1" t="s">
        <v>87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26" t="s">
        <v>88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6" t="s">
        <v>89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6" t="s">
        <v>90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6" t="s">
        <v>91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6" t="s">
        <v>92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6" t="s">
        <v>93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3">
      <c r="A68" s="2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3">
      <c r="A69" s="2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3">
      <c r="A70" s="2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3">
      <c r="A71" s="2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">
      <c r="A72" s="2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3">
      <c r="A73" s="2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3">
      <c r="A74" s="2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3">
      <c r="A75" s="2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">
      <c r="A76" s="2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3">
      <c r="A77" s="2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3">
      <c r="A78" s="2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3">
      <c r="A79" s="2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3">
      <c r="A80" s="2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3">
      <c r="A81" s="2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3">
      <c r="A82" s="2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3">
      <c r="A83" s="2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3">
      <c r="A84" s="2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3">
      <c r="A85" s="2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3">
      <c r="A86" s="2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3">
      <c r="A87" s="2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">
      <c r="A88" s="2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3">
      <c r="A89" s="2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3">
      <c r="A90" s="2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3">
      <c r="A91" s="2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3">
      <c r="A92" s="2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">
      <c r="A93" s="2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3">
      <c r="A94" s="2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3">
      <c r="A95" s="2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3">
      <c r="A96" s="2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3">
      <c r="A97" s="2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3">
      <c r="A98" s="2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3">
      <c r="A99" s="2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3">
      <c r="A100" s="2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3">
      <c r="A101" s="2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3">
      <c r="A102" s="2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3">
      <c r="A103" s="2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3">
      <c r="A104" s="2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3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3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3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3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3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3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3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3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3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3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3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3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3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3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3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3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3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3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3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3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3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3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3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3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3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3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3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3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3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3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3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3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3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3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3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3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3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3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3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3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3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3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3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3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3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3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3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3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3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3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3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3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3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3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3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3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3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3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3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3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3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3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3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3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3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3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3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3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3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3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3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3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3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3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3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3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3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3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3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3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3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3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3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3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3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3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3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3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3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3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3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3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3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3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3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3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3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3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3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3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3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3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3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3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3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3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3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3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3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3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3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3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3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3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3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3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3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3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3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3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3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3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3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3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3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3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3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3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3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3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3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3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3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3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3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3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3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3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3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3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3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3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3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3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3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3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3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3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3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3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3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3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3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3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3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3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3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3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3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3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3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3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3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3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3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3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3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3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3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3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3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3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3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3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3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3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3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3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3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3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3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3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3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3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3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3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3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3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3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3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3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3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3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3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3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3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3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3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3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3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3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3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3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3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3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3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3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3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3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3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3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3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3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3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3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3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3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3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3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3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3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3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3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3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3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3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3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3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3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3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3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3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3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3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3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3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3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3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3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3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3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3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3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3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3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3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3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3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3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3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3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3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3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3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3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3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3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3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3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3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3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3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3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3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3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3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3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3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3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3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3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3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3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3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3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3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3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3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3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3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3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3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3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3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3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3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3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3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3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3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3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3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3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3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3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3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3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3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3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3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3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3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3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3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3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3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3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3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3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3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3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3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3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3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3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3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3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3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3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3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3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3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3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3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3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3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3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3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3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3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3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3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3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3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3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3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3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3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3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3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3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3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3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3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3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3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3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3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3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3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3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3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3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3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3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3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3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3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3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3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3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3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3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3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3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3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3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3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3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3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3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3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3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3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3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3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3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3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3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3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3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3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3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3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3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3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3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3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3">
      <c r="A998" s="2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3">
      <c r="A999" s="2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3">
      <c r="A1000" s="2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3">
      <c r="A1001" s="2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3">
      <c r="A1002" s="2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13">
      <c r="A1003" s="2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13">
      <c r="A1004" s="2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13">
      <c r="A1005" s="2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ht="13">
      <c r="A1006" s="2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H57"/>
  <sheetViews>
    <sheetView workbookViewId="0"/>
  </sheetViews>
  <sheetFormatPr baseColWidth="10" defaultColWidth="12.6640625" defaultRowHeight="15.75" customHeight="1"/>
  <sheetData>
    <row r="1" spans="1:1022" ht="15.75" customHeight="1">
      <c r="A1" s="27" t="str">
        <f t="array" ref="A1:AMH57">TRANSPOSE('Raw Games'!1:918)</f>
        <v>Date</v>
      </c>
      <c r="B1" s="27">
        <v>43134</v>
      </c>
      <c r="C1" s="27">
        <v>43135</v>
      </c>
      <c r="D1" s="27">
        <v>43136</v>
      </c>
      <c r="E1" s="27">
        <v>43137</v>
      </c>
      <c r="F1" s="27">
        <v>43138</v>
      </c>
      <c r="G1" s="27">
        <v>43140</v>
      </c>
      <c r="H1" s="27">
        <v>43142</v>
      </c>
      <c r="I1" s="27">
        <v>43144</v>
      </c>
      <c r="J1" s="27">
        <v>43146</v>
      </c>
      <c r="K1" s="27">
        <v>43148</v>
      </c>
      <c r="L1" s="27">
        <v>43150</v>
      </c>
      <c r="M1" s="27">
        <v>43152</v>
      </c>
      <c r="N1" s="27">
        <v>43154</v>
      </c>
      <c r="O1" s="27">
        <v>43156</v>
      </c>
      <c r="P1" s="27">
        <v>43158</v>
      </c>
      <c r="Q1" s="27">
        <v>43160</v>
      </c>
      <c r="R1" s="27">
        <v>43162</v>
      </c>
      <c r="S1" s="27">
        <v>43164</v>
      </c>
      <c r="T1" s="27">
        <v>43289</v>
      </c>
      <c r="U1" s="27">
        <v>43291</v>
      </c>
      <c r="V1" s="27">
        <v>43293</v>
      </c>
      <c r="W1" s="27">
        <v>43295</v>
      </c>
      <c r="X1" s="27">
        <v>43297</v>
      </c>
      <c r="Y1" s="27">
        <v>43299</v>
      </c>
      <c r="Z1" s="27">
        <v>43301</v>
      </c>
      <c r="AA1" s="27">
        <v>43303</v>
      </c>
      <c r="AB1" s="27">
        <v>43305</v>
      </c>
      <c r="AC1" s="27">
        <v>43307</v>
      </c>
      <c r="AD1" s="27">
        <v>43309</v>
      </c>
      <c r="AE1" s="27">
        <v>43311</v>
      </c>
      <c r="AF1" s="27">
        <v>43313</v>
      </c>
      <c r="AG1" s="27">
        <v>43315</v>
      </c>
      <c r="AH1" s="27">
        <v>43317</v>
      </c>
      <c r="AI1" s="27">
        <v>43319</v>
      </c>
      <c r="AJ1" s="27">
        <v>43321</v>
      </c>
      <c r="AK1" s="27">
        <v>43323</v>
      </c>
      <c r="AL1" s="27">
        <v>43325</v>
      </c>
      <c r="AM1" s="27">
        <v>43327</v>
      </c>
      <c r="AN1" s="27">
        <v>43415</v>
      </c>
      <c r="AO1" s="27">
        <v>43417</v>
      </c>
      <c r="AP1" s="27">
        <v>43419</v>
      </c>
      <c r="AQ1" s="27">
        <v>43421</v>
      </c>
      <c r="AR1" s="27">
        <v>43423</v>
      </c>
      <c r="AS1" s="27">
        <v>43425</v>
      </c>
      <c r="AT1" s="27">
        <v>43427</v>
      </c>
      <c r="AU1" s="27">
        <v>43429</v>
      </c>
      <c r="AV1" s="27">
        <v>43431</v>
      </c>
      <c r="AW1" s="27">
        <v>43433</v>
      </c>
      <c r="AX1" s="27">
        <v>43435</v>
      </c>
      <c r="AY1" s="27">
        <v>43498</v>
      </c>
      <c r="AZ1" s="27">
        <v>43500</v>
      </c>
      <c r="BA1" s="27">
        <v>43502</v>
      </c>
      <c r="BB1" s="27">
        <v>43504</v>
      </c>
      <c r="BC1" s="27">
        <v>43506</v>
      </c>
      <c r="BD1" s="27">
        <v>43508</v>
      </c>
      <c r="BE1" s="27">
        <v>43510</v>
      </c>
      <c r="BF1" s="27">
        <v>43512</v>
      </c>
      <c r="BG1" s="27">
        <v>43514</v>
      </c>
      <c r="BH1" s="27">
        <v>43516</v>
      </c>
      <c r="BI1" s="27">
        <v>43518</v>
      </c>
      <c r="BJ1" s="27">
        <v>43520</v>
      </c>
      <c r="BK1" s="27">
        <v>43592</v>
      </c>
      <c r="BL1" s="27">
        <v>43594</v>
      </c>
      <c r="BM1" s="27">
        <v>43596</v>
      </c>
      <c r="BN1" s="27">
        <v>43598</v>
      </c>
      <c r="BO1" s="27">
        <v>43600</v>
      </c>
      <c r="BP1" s="27">
        <v>43602</v>
      </c>
      <c r="BQ1" s="27">
        <v>43604</v>
      </c>
      <c r="BR1" s="27">
        <v>43606</v>
      </c>
      <c r="BS1" s="27">
        <v>43608</v>
      </c>
      <c r="BT1" s="27">
        <v>43610</v>
      </c>
      <c r="BU1" s="27">
        <v>43612</v>
      </c>
      <c r="BV1" s="27">
        <v>43614</v>
      </c>
      <c r="BW1" s="27">
        <v>43616</v>
      </c>
      <c r="BX1" s="27">
        <v>44062</v>
      </c>
      <c r="BY1" s="27">
        <v>44064</v>
      </c>
      <c r="BZ1" s="27">
        <v>44066</v>
      </c>
      <c r="CA1" s="27">
        <v>44068</v>
      </c>
      <c r="CB1" s="27">
        <v>44070</v>
      </c>
      <c r="CC1" s="27">
        <v>44072</v>
      </c>
      <c r="CD1" s="27">
        <v>44074</v>
      </c>
      <c r="CE1" s="27">
        <v>44076</v>
      </c>
      <c r="CF1" s="27">
        <v>44078</v>
      </c>
      <c r="CG1" s="27">
        <v>44080</v>
      </c>
      <c r="CH1" s="27">
        <v>44082</v>
      </c>
      <c r="CI1" s="27">
        <v>44084</v>
      </c>
      <c r="CJ1" s="27">
        <v>44086</v>
      </c>
      <c r="CK1" s="27">
        <v>43834</v>
      </c>
      <c r="CL1" s="27">
        <v>43836</v>
      </c>
      <c r="CM1" s="27">
        <v>43838</v>
      </c>
      <c r="CN1" s="27">
        <v>43840</v>
      </c>
      <c r="CO1" s="27">
        <v>43842</v>
      </c>
      <c r="CP1" s="27">
        <v>43844</v>
      </c>
      <c r="CQ1" s="27">
        <v>43846</v>
      </c>
      <c r="CR1" s="27">
        <v>43848</v>
      </c>
      <c r="CS1" s="27">
        <v>43850</v>
      </c>
      <c r="CT1" s="27">
        <v>44065</v>
      </c>
      <c r="CU1" s="27">
        <v>44067</v>
      </c>
      <c r="CV1" s="27">
        <v>44069</v>
      </c>
      <c r="CW1" s="27">
        <v>44071</v>
      </c>
      <c r="CX1" s="27">
        <v>44073</v>
      </c>
      <c r="CY1" s="27">
        <v>44075</v>
      </c>
      <c r="CZ1" s="27">
        <v>44077</v>
      </c>
      <c r="DA1" s="27">
        <v>44079</v>
      </c>
      <c r="DB1" s="27">
        <v>44081</v>
      </c>
      <c r="DC1" s="27">
        <v>44083</v>
      </c>
      <c r="DD1" s="27">
        <v>44087</v>
      </c>
      <c r="DE1" s="27">
        <v>44089</v>
      </c>
      <c r="DF1" s="27">
        <v>44098</v>
      </c>
      <c r="DG1" s="27">
        <v>44100</v>
      </c>
      <c r="DH1" s="27">
        <v>44108</v>
      </c>
      <c r="DI1" s="27">
        <v>44112</v>
      </c>
      <c r="DJ1" s="27">
        <v>44114</v>
      </c>
      <c r="DK1" s="27">
        <v>44127</v>
      </c>
      <c r="DL1" s="27">
        <v>44129</v>
      </c>
      <c r="DM1" s="27">
        <v>44137</v>
      </c>
      <c r="DN1" s="27">
        <v>44140</v>
      </c>
      <c r="DO1" s="27">
        <v>44142</v>
      </c>
      <c r="DP1" s="27">
        <v>44146</v>
      </c>
      <c r="DQ1" s="27">
        <v>44148</v>
      </c>
      <c r="DR1" s="27">
        <v>44156</v>
      </c>
      <c r="DS1" s="27">
        <v>44158</v>
      </c>
      <c r="DT1" s="27">
        <v>44164</v>
      </c>
      <c r="DU1" s="27">
        <v>44170</v>
      </c>
      <c r="DV1" s="27">
        <v>44170</v>
      </c>
      <c r="DW1" s="27">
        <v>44173</v>
      </c>
      <c r="DX1" s="27">
        <v>44175</v>
      </c>
      <c r="DY1" s="27">
        <v>44176</v>
      </c>
      <c r="DZ1" s="27">
        <v>44183</v>
      </c>
      <c r="EA1" s="27">
        <v>44200</v>
      </c>
      <c r="EB1" s="27">
        <v>44206</v>
      </c>
      <c r="EC1" s="27">
        <v>44210</v>
      </c>
      <c r="ED1" s="27">
        <v>44239</v>
      </c>
      <c r="EE1" s="27">
        <v>44240</v>
      </c>
      <c r="EF1" s="27">
        <v>44242</v>
      </c>
      <c r="EG1" s="27">
        <v>44267</v>
      </c>
      <c r="EH1" s="27">
        <v>44272</v>
      </c>
      <c r="EI1" s="27">
        <v>44274</v>
      </c>
      <c r="EJ1" s="27">
        <v>44279</v>
      </c>
      <c r="EK1" s="27">
        <v>44281</v>
      </c>
      <c r="EL1" s="27">
        <v>44285</v>
      </c>
      <c r="EM1" s="27">
        <v>44288</v>
      </c>
      <c r="EN1" s="27">
        <v>44292</v>
      </c>
      <c r="EO1" s="27">
        <v>44297</v>
      </c>
      <c r="EP1" s="27">
        <v>44297</v>
      </c>
      <c r="EQ1" s="27">
        <v>44297</v>
      </c>
      <c r="ER1" s="27">
        <v>44298</v>
      </c>
      <c r="ES1" s="27">
        <v>44299</v>
      </c>
      <c r="ET1" s="27">
        <v>44300</v>
      </c>
      <c r="EU1" s="27">
        <v>44302</v>
      </c>
      <c r="EV1" s="27">
        <v>44307</v>
      </c>
      <c r="EW1" s="27">
        <v>44318</v>
      </c>
      <c r="EX1" s="27">
        <v>44329</v>
      </c>
      <c r="EY1" s="27">
        <v>44342</v>
      </c>
      <c r="EZ1" s="27">
        <v>44344</v>
      </c>
      <c r="FA1" s="27">
        <v>44346</v>
      </c>
      <c r="FB1" s="27">
        <v>44347</v>
      </c>
      <c r="FC1" s="27">
        <v>44352</v>
      </c>
      <c r="FD1" s="27">
        <v>44362</v>
      </c>
      <c r="FE1" s="27">
        <v>44370</v>
      </c>
      <c r="FF1" s="27">
        <v>44374</v>
      </c>
      <c r="FG1" s="27">
        <v>44375</v>
      </c>
      <c r="FH1" s="27">
        <v>44416</v>
      </c>
      <c r="FI1" s="27">
        <v>44422</v>
      </c>
      <c r="FJ1" s="27">
        <v>44423</v>
      </c>
      <c r="FK1" s="27">
        <v>44428</v>
      </c>
      <c r="FL1" s="27">
        <v>44437</v>
      </c>
      <c r="FM1" s="27">
        <v>44500</v>
      </c>
      <c r="FN1" s="27">
        <v>44538</v>
      </c>
      <c r="FO1" s="27">
        <v>44539</v>
      </c>
      <c r="FP1" s="27">
        <v>44562</v>
      </c>
      <c r="FQ1" s="27">
        <v>44581</v>
      </c>
      <c r="FR1" s="27">
        <v>44595</v>
      </c>
      <c r="FS1" s="27">
        <v>44602</v>
      </c>
      <c r="FT1" s="27">
        <v>44623</v>
      </c>
      <c r="FU1" s="27">
        <v>44665</v>
      </c>
      <c r="FV1" s="27">
        <v>44673</v>
      </c>
      <c r="FW1" s="27">
        <v>44679</v>
      </c>
      <c r="FX1" s="27">
        <v>44681</v>
      </c>
      <c r="FY1" s="27">
        <v>44686</v>
      </c>
      <c r="FZ1" s="27">
        <v>44688</v>
      </c>
      <c r="GA1" s="27">
        <v>44700</v>
      </c>
      <c r="GB1" s="27">
        <v>44702</v>
      </c>
      <c r="GC1" s="27">
        <v>44709</v>
      </c>
      <c r="GD1" s="27">
        <v>44711</v>
      </c>
      <c r="GE1" s="27">
        <v>44712</v>
      </c>
      <c r="GF1" s="27">
        <v>44751</v>
      </c>
      <c r="GG1" s="27">
        <v>44787</v>
      </c>
      <c r="GH1" s="27">
        <v>44791</v>
      </c>
      <c r="GI1" s="27">
        <v>44793</v>
      </c>
      <c r="GJ1" s="27">
        <v>44798</v>
      </c>
      <c r="GK1" s="27">
        <v>44815</v>
      </c>
      <c r="GL1" s="27">
        <v>44819</v>
      </c>
      <c r="GM1" s="27">
        <v>44836</v>
      </c>
      <c r="GN1" s="27">
        <v>44850</v>
      </c>
      <c r="GO1" s="27">
        <v>44852</v>
      </c>
      <c r="GP1" s="27">
        <v>44864</v>
      </c>
      <c r="GQ1" s="27">
        <v>44870</v>
      </c>
      <c r="GR1" s="27">
        <v>44871</v>
      </c>
      <c r="GS1" s="27">
        <v>44875</v>
      </c>
      <c r="GT1" s="27">
        <v>44878</v>
      </c>
      <c r="GU1" s="27">
        <v>44880</v>
      </c>
      <c r="GV1" s="27">
        <v>44896</v>
      </c>
      <c r="GW1" s="27">
        <v>44903</v>
      </c>
      <c r="GX1" s="27">
        <v>44927</v>
      </c>
      <c r="GY1" s="27">
        <v>44933</v>
      </c>
      <c r="GZ1" s="27">
        <v>44938</v>
      </c>
      <c r="HA1" s="27">
        <v>44945</v>
      </c>
      <c r="HB1" s="27">
        <v>44954</v>
      </c>
      <c r="HC1" s="27">
        <v>44961</v>
      </c>
      <c r="HD1" s="27">
        <v>44966</v>
      </c>
      <c r="HE1" s="27">
        <v>44968</v>
      </c>
      <c r="HF1" s="27">
        <v>44989</v>
      </c>
      <c r="HG1" s="27">
        <v>44990</v>
      </c>
      <c r="HH1" s="27">
        <v>44996</v>
      </c>
      <c r="HI1" s="27">
        <v>44999</v>
      </c>
      <c r="HJ1" s="27">
        <v>45001</v>
      </c>
      <c r="HK1" s="27">
        <v>45003</v>
      </c>
      <c r="HL1" s="27">
        <v>45008</v>
      </c>
      <c r="HM1" s="27">
        <v>45008</v>
      </c>
      <c r="HN1" s="27">
        <v>45010</v>
      </c>
      <c r="HO1" s="27">
        <v>45022</v>
      </c>
      <c r="HP1" s="27">
        <v>45025</v>
      </c>
      <c r="HQ1" s="27">
        <v>45027</v>
      </c>
      <c r="HR1" s="27">
        <v>45029</v>
      </c>
      <c r="HS1" s="27">
        <v>45031</v>
      </c>
      <c r="HT1" s="27">
        <v>45031</v>
      </c>
      <c r="HU1" s="27">
        <v>45043</v>
      </c>
      <c r="HV1" s="27">
        <v>45045</v>
      </c>
      <c r="HW1" s="27">
        <v>45051</v>
      </c>
      <c r="HX1" s="27">
        <v>45057</v>
      </c>
      <c r="HY1" s="27">
        <v>45066</v>
      </c>
      <c r="HZ1" s="27">
        <v>45071</v>
      </c>
      <c r="IA1" s="27">
        <v>45073</v>
      </c>
      <c r="IB1" s="27">
        <v>45074</v>
      </c>
      <c r="IC1" s="27">
        <v>45089</v>
      </c>
      <c r="ID1" s="27">
        <v>45092</v>
      </c>
      <c r="IE1" s="27">
        <v>45094</v>
      </c>
      <c r="IF1" s="27">
        <v>45099</v>
      </c>
      <c r="IG1" s="27">
        <v>45106</v>
      </c>
      <c r="IH1" s="27">
        <v>45107</v>
      </c>
      <c r="II1" s="27">
        <v>45109</v>
      </c>
      <c r="IJ1" s="27">
        <v>45110</v>
      </c>
      <c r="IK1" s="27">
        <v>45111</v>
      </c>
      <c r="IL1" s="27">
        <v>45113</v>
      </c>
      <c r="IM1" s="27">
        <v>45116</v>
      </c>
      <c r="IN1" s="27">
        <v>45126</v>
      </c>
      <c r="IO1" s="27">
        <v>45134</v>
      </c>
      <c r="IP1" s="27">
        <v>45143</v>
      </c>
      <c r="IQ1" s="27">
        <v>45147</v>
      </c>
      <c r="IR1" s="27">
        <v>45148</v>
      </c>
      <c r="IS1" s="27">
        <v>45150</v>
      </c>
      <c r="IT1" s="27">
        <v>45155</v>
      </c>
      <c r="IU1" s="27">
        <v>45156</v>
      </c>
      <c r="IV1" s="27">
        <v>45158</v>
      </c>
      <c r="IW1" s="27">
        <v>45162</v>
      </c>
      <c r="IX1" s="27">
        <v>45167</v>
      </c>
      <c r="IY1" s="27">
        <v>45170</v>
      </c>
      <c r="IZ1" s="27">
        <v>45178</v>
      </c>
      <c r="JA1" s="27">
        <v>45181</v>
      </c>
      <c r="JB1" s="27">
        <v>45184</v>
      </c>
      <c r="JC1" s="27">
        <v>45185</v>
      </c>
      <c r="JD1" s="27">
        <v>45187</v>
      </c>
      <c r="JE1" s="27">
        <v>45190</v>
      </c>
      <c r="JF1" s="27">
        <v>45191</v>
      </c>
      <c r="JG1" s="27">
        <v>45192</v>
      </c>
      <c r="JH1" s="27">
        <v>45193</v>
      </c>
      <c r="JI1" s="27">
        <v>45194</v>
      </c>
      <c r="JJ1" s="27">
        <v>45197</v>
      </c>
      <c r="JK1" s="27">
        <v>45206</v>
      </c>
      <c r="JL1" s="27">
        <v>45218</v>
      </c>
      <c r="JM1" s="27">
        <v>45232</v>
      </c>
      <c r="JN1" s="27">
        <v>45237</v>
      </c>
      <c r="JO1" s="27">
        <v>45240</v>
      </c>
      <c r="JP1" s="27">
        <v>45242</v>
      </c>
      <c r="JQ1" s="27">
        <v>45243</v>
      </c>
      <c r="JR1" s="27">
        <v>45245</v>
      </c>
      <c r="JS1" s="27">
        <v>45246</v>
      </c>
      <c r="JT1" s="27">
        <v>45254</v>
      </c>
      <c r="JU1" s="27">
        <v>45255</v>
      </c>
      <c r="JV1" s="27">
        <v>45256</v>
      </c>
      <c r="JW1" s="27">
        <v>45259</v>
      </c>
      <c r="JX1" s="27">
        <v>45262</v>
      </c>
      <c r="JY1" s="27">
        <v>45272</v>
      </c>
      <c r="JZ1" s="27">
        <v>45274</v>
      </c>
      <c r="KA1" s="27">
        <v>45278</v>
      </c>
      <c r="KB1" s="27">
        <v>45281</v>
      </c>
      <c r="KC1" s="27">
        <v>45287</v>
      </c>
      <c r="KD1" s="27">
        <v>45291</v>
      </c>
      <c r="KE1" s="27">
        <v>45302</v>
      </c>
      <c r="KF1" s="27">
        <v>45309</v>
      </c>
      <c r="KG1" s="27">
        <v>45311</v>
      </c>
      <c r="KH1" s="27">
        <v>45323</v>
      </c>
      <c r="KI1" s="27">
        <v>45325</v>
      </c>
      <c r="KJ1" s="27">
        <v>45330</v>
      </c>
      <c r="KK1" s="27">
        <v>45332</v>
      </c>
      <c r="KL1" s="27">
        <v>45337</v>
      </c>
      <c r="KM1" s="27">
        <v>45339</v>
      </c>
      <c r="KN1" s="27">
        <v>45351</v>
      </c>
      <c r="KO1" s="27">
        <v>45353</v>
      </c>
      <c r="KP1" s="27">
        <v>45358</v>
      </c>
      <c r="KQ1" s="27">
        <v>45360</v>
      </c>
      <c r="KR1" s="27">
        <v>45364</v>
      </c>
      <c r="KS1" s="27">
        <v>45367</v>
      </c>
      <c r="KT1" s="27">
        <v>45372</v>
      </c>
      <c r="KU1" s="27">
        <v>45380</v>
      </c>
      <c r="KV1" s="27">
        <v>45381</v>
      </c>
      <c r="KW1" s="27">
        <v>45392</v>
      </c>
      <c r="KX1" s="27">
        <v>45393</v>
      </c>
      <c r="KY1" s="27">
        <v>45395</v>
      </c>
      <c r="KZ1" s="27">
        <v>45397</v>
      </c>
      <c r="LA1" s="27">
        <v>45398</v>
      </c>
      <c r="LB1" s="27">
        <v>45391</v>
      </c>
      <c r="LC1" s="27">
        <v>45407</v>
      </c>
      <c r="LD1" s="27">
        <v>45416</v>
      </c>
      <c r="LE1" s="27">
        <v>45424</v>
      </c>
      <c r="LF1" s="27">
        <v>45426</v>
      </c>
      <c r="LG1" s="27">
        <v>45430</v>
      </c>
      <c r="LH1" s="27">
        <v>45438</v>
      </c>
      <c r="LI1" s="27">
        <v>45444</v>
      </c>
      <c r="LJ1" s="27">
        <v>45451</v>
      </c>
      <c r="LK1" s="27">
        <v>45471</v>
      </c>
      <c r="LL1" s="27">
        <v>45476</v>
      </c>
      <c r="LM1" s="27">
        <v>45481</v>
      </c>
      <c r="LN1" s="27">
        <v>45485</v>
      </c>
      <c r="LO1" s="27">
        <v>45486</v>
      </c>
      <c r="LP1" s="27">
        <v>45493</v>
      </c>
      <c r="LQ1" s="27">
        <v>45494</v>
      </c>
      <c r="LR1" s="27">
        <v>45497</v>
      </c>
      <c r="LS1" s="27">
        <v>45498</v>
      </c>
      <c r="LT1" s="27">
        <v>45516</v>
      </c>
      <c r="LU1" s="27">
        <v>45521</v>
      </c>
      <c r="LV1" s="27">
        <v>45534</v>
      </c>
      <c r="LW1" s="27">
        <v>45536</v>
      </c>
      <c r="LX1" s="27">
        <v>45598</v>
      </c>
      <c r="LY1" s="27">
        <v>45611</v>
      </c>
      <c r="LZ1" s="27">
        <v>45619</v>
      </c>
      <c r="MA1" s="27">
        <v>45624</v>
      </c>
      <c r="MB1" s="27">
        <v>45633</v>
      </c>
      <c r="MC1" s="27">
        <v>45641</v>
      </c>
      <c r="MD1" s="27">
        <v>45654</v>
      </c>
      <c r="ME1" s="27">
        <v>45657</v>
      </c>
      <c r="MF1" s="27">
        <v>45661</v>
      </c>
      <c r="MG1" s="27">
        <v>45664</v>
      </c>
      <c r="MH1" s="27">
        <v>45668</v>
      </c>
      <c r="MI1" s="27">
        <v>45675</v>
      </c>
      <c r="MJ1" s="27">
        <v>45683</v>
      </c>
      <c r="MK1" s="27">
        <v>45690</v>
      </c>
      <c r="ML1" s="27">
        <v>45696</v>
      </c>
      <c r="MM1" s="27">
        <v>45699</v>
      </c>
      <c r="MN1" s="27">
        <v>45704</v>
      </c>
      <c r="MO1" s="27">
        <v>45711</v>
      </c>
      <c r="MP1" s="27">
        <v>45719</v>
      </c>
      <c r="MQ1" s="27">
        <v>45723</v>
      </c>
      <c r="MR1" s="27">
        <v>45731</v>
      </c>
      <c r="MS1" s="27">
        <v>45743</v>
      </c>
      <c r="MT1" s="27">
        <v>45745</v>
      </c>
      <c r="MU1" s="27">
        <v>45752</v>
      </c>
      <c r="MV1" s="27">
        <v>45754</v>
      </c>
      <c r="MW1" s="27">
        <v>45757</v>
      </c>
      <c r="MX1" s="28">
        <v>45758</v>
      </c>
      <c r="MY1" s="27">
        <v>45759</v>
      </c>
      <c r="MZ1" s="27">
        <v>45764</v>
      </c>
      <c r="NA1" s="27">
        <v>45772</v>
      </c>
      <c r="NB1" s="27">
        <v>45773</v>
      </c>
      <c r="NC1" s="27">
        <v>45774</v>
      </c>
      <c r="ND1" s="27">
        <v>45775</v>
      </c>
      <c r="NE1" s="27">
        <v>45785</v>
      </c>
      <c r="NF1" s="27">
        <v>45788</v>
      </c>
      <c r="NG1" s="27">
        <v>45799</v>
      </c>
      <c r="NH1" s="27">
        <v>45801</v>
      </c>
      <c r="NI1" s="27">
        <v>45807</v>
      </c>
      <c r="NJ1" s="27">
        <v>45815</v>
      </c>
      <c r="NK1" s="27">
        <v>45821</v>
      </c>
      <c r="NL1" s="27">
        <v>45823</v>
      </c>
      <c r="NM1" s="27">
        <v>45836</v>
      </c>
      <c r="NN1" s="27">
        <v>45837</v>
      </c>
      <c r="NO1" s="27">
        <v>45838</v>
      </c>
      <c r="NP1" s="27">
        <v>45841</v>
      </c>
      <c r="NQ1" s="27">
        <v>45842</v>
      </c>
      <c r="NR1" s="27">
        <v>45844</v>
      </c>
      <c r="NS1" s="27">
        <v>45845</v>
      </c>
      <c r="NT1" s="27">
        <v>45853</v>
      </c>
      <c r="NU1" s="27">
        <v>45875</v>
      </c>
      <c r="NV1" s="27">
        <v>45879</v>
      </c>
      <c r="NW1" s="27">
        <v>45881</v>
      </c>
      <c r="NX1" s="27">
        <v>45885</v>
      </c>
      <c r="NY1" s="27">
        <v>45886</v>
      </c>
      <c r="NZ1" s="27">
        <v>45889</v>
      </c>
      <c r="OA1" s="27">
        <v>45892</v>
      </c>
      <c r="OB1" s="27">
        <v>45897</v>
      </c>
      <c r="OC1" s="27">
        <v>45898</v>
      </c>
      <c r="OD1" s="27">
        <v>45899</v>
      </c>
      <c r="OE1" s="27">
        <v>45900</v>
      </c>
      <c r="OF1" s="27">
        <v>45903</v>
      </c>
      <c r="OG1" s="27">
        <v>45906</v>
      </c>
      <c r="OH1" s="27">
        <v>45914</v>
      </c>
      <c r="OI1" s="27">
        <v>45917</v>
      </c>
      <c r="OJ1" s="27">
        <v>45924</v>
      </c>
      <c r="OK1" s="27">
        <v>45930</v>
      </c>
      <c r="OL1" s="27">
        <v>45931</v>
      </c>
      <c r="OM1" s="27">
        <v>45934</v>
      </c>
      <c r="ON1" s="27">
        <v>45941</v>
      </c>
      <c r="OO1" s="27">
        <v>45948</v>
      </c>
      <c r="OP1" s="27">
        <v>45966</v>
      </c>
      <c r="OQ1" s="27">
        <v>45968</v>
      </c>
      <c r="OR1" s="27">
        <v>45969</v>
      </c>
      <c r="OS1" s="27">
        <v>45970</v>
      </c>
      <c r="OT1" s="27">
        <v>45976</v>
      </c>
      <c r="OU1" s="27">
        <v>45983</v>
      </c>
      <c r="OV1" s="27">
        <v>45983</v>
      </c>
      <c r="OW1" s="27">
        <v>45990</v>
      </c>
      <c r="OX1" s="27">
        <v>45991</v>
      </c>
      <c r="OY1" s="27">
        <v>45994</v>
      </c>
      <c r="OZ1" s="27">
        <v>45997</v>
      </c>
      <c r="PA1" s="27">
        <v>46023</v>
      </c>
      <c r="PB1" s="27">
        <v>46025</v>
      </c>
      <c r="PC1" s="27">
        <v>46032</v>
      </c>
      <c r="PD1" s="27">
        <v>46039</v>
      </c>
      <c r="PE1" s="27">
        <v>46050</v>
      </c>
      <c r="PF1" s="27">
        <v>46067</v>
      </c>
      <c r="PG1" s="27">
        <v>46081</v>
      </c>
      <c r="PH1" s="27">
        <v>46084</v>
      </c>
      <c r="PI1" s="27">
        <v>46085</v>
      </c>
      <c r="PJ1" s="27">
        <v>46089</v>
      </c>
      <c r="PK1" s="27">
        <v>46091</v>
      </c>
      <c r="PL1" s="27">
        <v>46109</v>
      </c>
      <c r="PM1" s="27">
        <v>46121</v>
      </c>
      <c r="PN1" s="27">
        <v>46137</v>
      </c>
      <c r="PO1" s="27">
        <v>46156</v>
      </c>
      <c r="PP1" s="27">
        <v>46159</v>
      </c>
      <c r="PQ1" s="27">
        <v>46160</v>
      </c>
      <c r="PR1" s="27">
        <v>46167</v>
      </c>
      <c r="PS1" s="27">
        <v>46186</v>
      </c>
      <c r="PT1" s="27">
        <v>0</v>
      </c>
      <c r="PU1" s="27">
        <v>0</v>
      </c>
      <c r="PV1" s="27">
        <v>0</v>
      </c>
      <c r="PW1" s="27">
        <v>0</v>
      </c>
      <c r="PX1" s="27">
        <v>0</v>
      </c>
      <c r="PY1" s="27">
        <v>0</v>
      </c>
      <c r="PZ1" s="27">
        <v>0</v>
      </c>
      <c r="QA1" s="27">
        <v>0</v>
      </c>
      <c r="QB1" s="27">
        <v>0</v>
      </c>
      <c r="QC1" s="27">
        <v>0</v>
      </c>
      <c r="QD1" s="27">
        <v>0</v>
      </c>
      <c r="QE1" s="27">
        <v>0</v>
      </c>
      <c r="QF1" s="27">
        <v>0</v>
      </c>
      <c r="QG1" s="27">
        <v>0</v>
      </c>
      <c r="QH1" s="27">
        <v>0</v>
      </c>
      <c r="QI1" s="27">
        <v>0</v>
      </c>
      <c r="QJ1" s="27">
        <v>0</v>
      </c>
      <c r="QK1" s="27">
        <v>0</v>
      </c>
      <c r="QL1" s="27">
        <v>0</v>
      </c>
      <c r="QM1" s="27">
        <v>0</v>
      </c>
      <c r="QN1" s="27">
        <v>0</v>
      </c>
      <c r="QO1" s="27">
        <v>0</v>
      </c>
      <c r="QP1" s="27">
        <v>0</v>
      </c>
      <c r="QQ1" s="27">
        <v>0</v>
      </c>
      <c r="QR1" s="27">
        <v>0</v>
      </c>
      <c r="QS1" s="27">
        <v>0</v>
      </c>
      <c r="QT1" s="27">
        <v>0</v>
      </c>
      <c r="QU1" s="27">
        <v>0</v>
      </c>
      <c r="QV1" s="27">
        <v>0</v>
      </c>
      <c r="QW1" s="27">
        <v>0</v>
      </c>
      <c r="QX1" s="27">
        <v>0</v>
      </c>
      <c r="QY1" s="27">
        <v>0</v>
      </c>
      <c r="QZ1" s="27">
        <v>0</v>
      </c>
      <c r="RA1" s="27">
        <v>0</v>
      </c>
      <c r="RB1" s="27">
        <v>0</v>
      </c>
      <c r="RC1" s="27">
        <v>0</v>
      </c>
      <c r="RD1" s="27">
        <v>0</v>
      </c>
      <c r="RE1" s="27">
        <v>0</v>
      </c>
      <c r="RF1" s="27">
        <v>0</v>
      </c>
      <c r="RG1" s="27">
        <v>0</v>
      </c>
      <c r="RH1" s="27">
        <v>0</v>
      </c>
      <c r="RI1" s="27">
        <v>0</v>
      </c>
      <c r="RJ1" s="27">
        <v>0</v>
      </c>
      <c r="RK1" s="27">
        <v>0</v>
      </c>
      <c r="RL1" s="27">
        <v>0</v>
      </c>
      <c r="RM1" s="27">
        <v>0</v>
      </c>
      <c r="RN1" s="27">
        <v>0</v>
      </c>
      <c r="RO1" s="27">
        <v>0</v>
      </c>
      <c r="RP1" s="27">
        <v>0</v>
      </c>
      <c r="RQ1" s="27">
        <v>0</v>
      </c>
      <c r="RR1" s="27">
        <v>0</v>
      </c>
      <c r="RS1" s="27">
        <v>0</v>
      </c>
      <c r="RT1" s="27">
        <v>0</v>
      </c>
      <c r="RU1" s="27">
        <v>0</v>
      </c>
      <c r="RV1" s="27">
        <v>0</v>
      </c>
      <c r="RW1" s="27">
        <v>0</v>
      </c>
      <c r="RX1" s="27">
        <v>0</v>
      </c>
      <c r="RY1" s="27">
        <v>0</v>
      </c>
      <c r="RZ1" s="27">
        <v>0</v>
      </c>
      <c r="SA1" s="27">
        <v>0</v>
      </c>
      <c r="SB1" s="27">
        <v>0</v>
      </c>
      <c r="SC1" s="27">
        <v>0</v>
      </c>
      <c r="SD1" s="27">
        <v>0</v>
      </c>
      <c r="SE1" s="27">
        <v>0</v>
      </c>
      <c r="SF1" s="27">
        <v>0</v>
      </c>
      <c r="SG1" s="27">
        <v>0</v>
      </c>
      <c r="SH1" s="27">
        <v>0</v>
      </c>
      <c r="SI1" s="27">
        <v>0</v>
      </c>
      <c r="SJ1" s="27">
        <v>0</v>
      </c>
      <c r="SK1" s="27">
        <v>0</v>
      </c>
      <c r="SL1" s="27">
        <v>0</v>
      </c>
      <c r="SM1" s="27">
        <v>0</v>
      </c>
      <c r="SN1" s="27">
        <v>0</v>
      </c>
      <c r="SO1" s="27">
        <v>0</v>
      </c>
      <c r="SP1" s="27">
        <v>0</v>
      </c>
      <c r="SQ1" s="27">
        <v>0</v>
      </c>
      <c r="SR1" s="27">
        <v>0</v>
      </c>
      <c r="SS1" s="27">
        <v>0</v>
      </c>
      <c r="ST1" s="27">
        <v>0</v>
      </c>
      <c r="SU1" s="27">
        <v>0</v>
      </c>
      <c r="SV1" s="27">
        <v>0</v>
      </c>
      <c r="SW1" s="27">
        <v>0</v>
      </c>
      <c r="SX1" s="27">
        <v>0</v>
      </c>
      <c r="SY1" s="27">
        <v>0</v>
      </c>
      <c r="SZ1" s="27">
        <v>0</v>
      </c>
      <c r="TA1" s="27">
        <v>0</v>
      </c>
      <c r="TB1" s="27">
        <v>0</v>
      </c>
      <c r="TC1" s="27">
        <v>0</v>
      </c>
      <c r="TD1" s="27">
        <v>0</v>
      </c>
      <c r="TE1" s="27">
        <v>0</v>
      </c>
      <c r="TF1" s="27">
        <v>0</v>
      </c>
      <c r="TG1" s="27">
        <v>0</v>
      </c>
      <c r="TH1" s="27">
        <v>0</v>
      </c>
      <c r="TI1" s="27">
        <v>0</v>
      </c>
      <c r="TJ1" s="27">
        <v>0</v>
      </c>
      <c r="TK1" s="27">
        <v>0</v>
      </c>
      <c r="TL1" s="27">
        <v>0</v>
      </c>
      <c r="TM1" s="27">
        <v>0</v>
      </c>
      <c r="TN1" s="27">
        <v>0</v>
      </c>
      <c r="TO1" s="27">
        <v>0</v>
      </c>
      <c r="TP1" s="27">
        <v>0</v>
      </c>
      <c r="TQ1" s="27">
        <v>0</v>
      </c>
      <c r="TR1" s="27">
        <v>0</v>
      </c>
      <c r="TS1" s="27">
        <v>0</v>
      </c>
      <c r="TT1" s="27">
        <v>0</v>
      </c>
      <c r="TU1" s="27">
        <v>0</v>
      </c>
      <c r="TV1" s="27">
        <v>0</v>
      </c>
      <c r="TW1" s="27">
        <v>0</v>
      </c>
      <c r="TX1" s="27">
        <v>0</v>
      </c>
      <c r="TY1" s="27">
        <v>0</v>
      </c>
      <c r="TZ1" s="27">
        <v>0</v>
      </c>
      <c r="UA1" s="27">
        <v>0</v>
      </c>
      <c r="UB1" s="27">
        <v>0</v>
      </c>
      <c r="UC1" s="27">
        <v>0</v>
      </c>
      <c r="UD1" s="27">
        <v>0</v>
      </c>
      <c r="UE1" s="27">
        <v>0</v>
      </c>
      <c r="UF1" s="27">
        <v>0</v>
      </c>
      <c r="UG1" s="27">
        <v>0</v>
      </c>
      <c r="UH1" s="27">
        <v>0</v>
      </c>
      <c r="UI1" s="27">
        <v>0</v>
      </c>
      <c r="UJ1" s="27">
        <v>0</v>
      </c>
      <c r="UK1" s="27">
        <v>0</v>
      </c>
      <c r="UL1" s="27">
        <v>0</v>
      </c>
      <c r="UM1" s="27">
        <v>0</v>
      </c>
      <c r="UN1" s="27">
        <v>0</v>
      </c>
      <c r="UO1" s="27">
        <v>0</v>
      </c>
      <c r="UP1" s="27">
        <v>0</v>
      </c>
      <c r="UQ1" s="27">
        <v>0</v>
      </c>
      <c r="UR1" s="27">
        <v>0</v>
      </c>
      <c r="US1" s="27">
        <v>0</v>
      </c>
      <c r="UT1" s="27">
        <v>0</v>
      </c>
      <c r="UU1" s="27">
        <v>0</v>
      </c>
      <c r="UV1" s="27">
        <v>0</v>
      </c>
      <c r="UW1" s="27">
        <v>0</v>
      </c>
      <c r="UX1" s="27">
        <v>0</v>
      </c>
      <c r="UY1" s="27">
        <v>0</v>
      </c>
      <c r="UZ1" s="27">
        <v>0</v>
      </c>
      <c r="VA1" s="27">
        <v>0</v>
      </c>
      <c r="VB1" s="27">
        <v>0</v>
      </c>
      <c r="VC1" s="27">
        <v>0</v>
      </c>
      <c r="VD1" s="27">
        <v>0</v>
      </c>
      <c r="VE1" s="27">
        <v>0</v>
      </c>
      <c r="VF1" s="27">
        <v>0</v>
      </c>
      <c r="VG1" s="27">
        <v>0</v>
      </c>
      <c r="VH1" s="27">
        <v>0</v>
      </c>
      <c r="VI1" s="27">
        <v>0</v>
      </c>
      <c r="VJ1" s="27">
        <v>0</v>
      </c>
      <c r="VK1" s="27">
        <v>0</v>
      </c>
      <c r="VL1" s="27">
        <v>0</v>
      </c>
      <c r="VM1" s="27">
        <v>0</v>
      </c>
      <c r="VN1" s="27">
        <v>0</v>
      </c>
      <c r="VO1" s="27">
        <v>0</v>
      </c>
      <c r="VP1" s="27">
        <v>0</v>
      </c>
      <c r="VQ1" s="27">
        <v>0</v>
      </c>
      <c r="VR1" s="27">
        <v>0</v>
      </c>
      <c r="VS1" s="27">
        <v>0</v>
      </c>
      <c r="VT1" s="27">
        <v>0</v>
      </c>
      <c r="VU1" s="27">
        <v>0</v>
      </c>
      <c r="VV1" s="27">
        <v>0</v>
      </c>
      <c r="VW1" s="27">
        <v>0</v>
      </c>
      <c r="VX1" s="27">
        <v>0</v>
      </c>
      <c r="VY1" s="27">
        <v>0</v>
      </c>
      <c r="VZ1" s="27">
        <v>0</v>
      </c>
      <c r="WA1" s="27">
        <v>0</v>
      </c>
      <c r="WB1" s="27">
        <v>0</v>
      </c>
      <c r="WC1" s="27">
        <v>0</v>
      </c>
      <c r="WD1" s="27">
        <v>0</v>
      </c>
      <c r="WE1" s="27">
        <v>0</v>
      </c>
      <c r="WF1" s="27">
        <v>0</v>
      </c>
      <c r="WG1" s="27">
        <v>0</v>
      </c>
      <c r="WH1" s="27">
        <v>0</v>
      </c>
      <c r="WI1" s="27">
        <v>0</v>
      </c>
      <c r="WJ1" s="27">
        <v>0</v>
      </c>
      <c r="WK1" s="27">
        <v>0</v>
      </c>
      <c r="WL1" s="27">
        <v>0</v>
      </c>
      <c r="WM1" s="27">
        <v>0</v>
      </c>
      <c r="WN1" s="27">
        <v>0</v>
      </c>
      <c r="WO1" s="27">
        <v>0</v>
      </c>
      <c r="WP1" s="27">
        <v>0</v>
      </c>
      <c r="WQ1" s="27">
        <v>0</v>
      </c>
      <c r="WR1" s="27">
        <v>0</v>
      </c>
      <c r="WS1" s="27">
        <v>0</v>
      </c>
      <c r="WT1" s="27">
        <v>0</v>
      </c>
      <c r="WU1" s="27">
        <v>0</v>
      </c>
      <c r="WV1" s="27">
        <v>0</v>
      </c>
      <c r="WW1" s="27">
        <v>0</v>
      </c>
      <c r="WX1" s="27">
        <v>0</v>
      </c>
      <c r="WY1" s="27">
        <v>0</v>
      </c>
      <c r="WZ1" s="27">
        <v>0</v>
      </c>
      <c r="XA1" s="27">
        <v>0</v>
      </c>
      <c r="XB1" s="27">
        <v>0</v>
      </c>
      <c r="XC1" s="27">
        <v>0</v>
      </c>
      <c r="XD1" s="27">
        <v>0</v>
      </c>
      <c r="XE1" s="27">
        <v>0</v>
      </c>
      <c r="XF1" s="27">
        <v>0</v>
      </c>
      <c r="XG1" s="27">
        <v>0</v>
      </c>
      <c r="XH1" s="27">
        <v>0</v>
      </c>
      <c r="XI1" s="27">
        <v>0</v>
      </c>
      <c r="XJ1" s="27">
        <v>0</v>
      </c>
      <c r="XK1" s="27">
        <v>0</v>
      </c>
      <c r="XL1" s="27">
        <v>0</v>
      </c>
      <c r="XM1" s="27">
        <v>0</v>
      </c>
      <c r="XN1" s="27">
        <v>0</v>
      </c>
      <c r="XO1" s="27">
        <v>0</v>
      </c>
      <c r="XP1" s="27">
        <v>0</v>
      </c>
      <c r="XQ1" s="27">
        <v>0</v>
      </c>
      <c r="XR1" s="27">
        <v>0</v>
      </c>
      <c r="XS1" s="27">
        <v>0</v>
      </c>
      <c r="XT1" s="27">
        <v>0</v>
      </c>
      <c r="XU1" s="27">
        <v>0</v>
      </c>
      <c r="XV1" s="27">
        <v>0</v>
      </c>
      <c r="XW1" s="27">
        <v>0</v>
      </c>
      <c r="XX1" s="27">
        <v>0</v>
      </c>
      <c r="XY1" s="27">
        <v>0</v>
      </c>
      <c r="XZ1" s="27">
        <v>0</v>
      </c>
      <c r="YA1" s="27">
        <v>0</v>
      </c>
      <c r="YB1" s="27">
        <v>0</v>
      </c>
      <c r="YC1" s="27">
        <v>0</v>
      </c>
      <c r="YD1" s="27">
        <v>0</v>
      </c>
      <c r="YE1" s="27">
        <v>0</v>
      </c>
      <c r="YF1" s="27">
        <v>0</v>
      </c>
      <c r="YG1" s="27">
        <v>0</v>
      </c>
      <c r="YH1" s="27">
        <v>0</v>
      </c>
      <c r="YI1" s="27">
        <v>0</v>
      </c>
      <c r="YJ1" s="27">
        <v>0</v>
      </c>
      <c r="YK1" s="27">
        <v>0</v>
      </c>
      <c r="YL1" s="27">
        <v>0</v>
      </c>
      <c r="YM1" s="27">
        <v>0</v>
      </c>
      <c r="YN1" s="27">
        <v>0</v>
      </c>
      <c r="YO1" s="27">
        <v>0</v>
      </c>
      <c r="YP1" s="27">
        <v>0</v>
      </c>
      <c r="YQ1" s="27">
        <v>0</v>
      </c>
      <c r="YR1" s="27">
        <v>0</v>
      </c>
      <c r="YS1" s="27">
        <v>0</v>
      </c>
      <c r="YT1" s="27">
        <v>0</v>
      </c>
      <c r="YU1" s="27">
        <v>0</v>
      </c>
      <c r="YV1" s="27">
        <v>0</v>
      </c>
      <c r="YW1" s="27">
        <v>0</v>
      </c>
      <c r="YX1" s="27">
        <v>0</v>
      </c>
      <c r="YY1" s="27">
        <v>0</v>
      </c>
      <c r="YZ1" s="27">
        <v>0</v>
      </c>
      <c r="ZA1" s="27">
        <v>0</v>
      </c>
      <c r="ZB1" s="27">
        <v>0</v>
      </c>
      <c r="ZC1" s="27">
        <v>0</v>
      </c>
      <c r="ZD1" s="27">
        <v>0</v>
      </c>
      <c r="ZE1" s="27">
        <v>0</v>
      </c>
      <c r="ZF1" s="27">
        <v>0</v>
      </c>
      <c r="ZG1" s="27">
        <v>0</v>
      </c>
      <c r="ZH1" s="27">
        <v>0</v>
      </c>
      <c r="ZI1" s="27">
        <v>0</v>
      </c>
      <c r="ZJ1" s="27">
        <v>0</v>
      </c>
      <c r="ZK1" s="27">
        <v>0</v>
      </c>
      <c r="ZL1" s="27">
        <v>0</v>
      </c>
      <c r="ZM1" s="27">
        <v>0</v>
      </c>
      <c r="ZN1" s="27">
        <v>0</v>
      </c>
      <c r="ZO1" s="27">
        <v>0</v>
      </c>
      <c r="ZP1" s="27">
        <v>0</v>
      </c>
      <c r="ZQ1" s="27">
        <v>0</v>
      </c>
      <c r="ZR1" s="27">
        <v>0</v>
      </c>
      <c r="ZS1" s="27">
        <v>0</v>
      </c>
      <c r="ZT1" s="27">
        <v>0</v>
      </c>
      <c r="ZU1" s="27">
        <v>0</v>
      </c>
      <c r="ZV1" s="27">
        <v>0</v>
      </c>
      <c r="ZW1" s="27">
        <v>0</v>
      </c>
      <c r="ZX1" s="27">
        <v>0</v>
      </c>
      <c r="ZY1" s="27">
        <v>0</v>
      </c>
      <c r="ZZ1" s="27">
        <v>0</v>
      </c>
      <c r="AAA1" s="27">
        <v>0</v>
      </c>
      <c r="AAB1" s="27">
        <v>0</v>
      </c>
      <c r="AAC1" s="27">
        <v>0</v>
      </c>
      <c r="AAD1" s="27">
        <v>0</v>
      </c>
      <c r="AAE1" s="27">
        <v>0</v>
      </c>
      <c r="AAF1" s="27">
        <v>0</v>
      </c>
      <c r="AAG1" s="27">
        <v>0</v>
      </c>
      <c r="AAH1" s="27">
        <v>0</v>
      </c>
      <c r="AAI1" s="27">
        <v>0</v>
      </c>
      <c r="AAJ1" s="27">
        <v>0</v>
      </c>
      <c r="AAK1" s="27">
        <v>0</v>
      </c>
      <c r="AAL1" s="27">
        <v>0</v>
      </c>
      <c r="AAM1" s="27">
        <v>0</v>
      </c>
      <c r="AAN1" s="27">
        <v>0</v>
      </c>
      <c r="AAO1" s="27">
        <v>0</v>
      </c>
      <c r="AAP1" s="27">
        <v>0</v>
      </c>
      <c r="AAQ1" s="27">
        <v>0</v>
      </c>
      <c r="AAR1" s="27">
        <v>0</v>
      </c>
      <c r="AAS1" s="27">
        <v>0</v>
      </c>
      <c r="AAT1" s="27">
        <v>0</v>
      </c>
      <c r="AAU1" s="27">
        <v>0</v>
      </c>
      <c r="AAV1" s="27">
        <v>0</v>
      </c>
      <c r="AAW1" s="27">
        <v>0</v>
      </c>
      <c r="AAX1" s="27">
        <v>0</v>
      </c>
      <c r="AAY1" s="27">
        <v>0</v>
      </c>
      <c r="AAZ1" s="27">
        <v>0</v>
      </c>
      <c r="ABA1" s="27">
        <v>0</v>
      </c>
      <c r="ABB1" s="27">
        <v>0</v>
      </c>
      <c r="ABC1" s="27">
        <v>0</v>
      </c>
      <c r="ABD1" s="27">
        <v>0</v>
      </c>
      <c r="ABE1" s="27">
        <v>0</v>
      </c>
      <c r="ABF1" s="27">
        <v>0</v>
      </c>
      <c r="ABG1" s="27">
        <v>0</v>
      </c>
      <c r="ABH1" s="27">
        <v>0</v>
      </c>
      <c r="ABI1" s="27">
        <v>0</v>
      </c>
      <c r="ABJ1" s="27">
        <v>0</v>
      </c>
      <c r="ABK1" s="27">
        <v>0</v>
      </c>
      <c r="ABL1" s="27">
        <v>0</v>
      </c>
      <c r="ABM1" s="27">
        <v>0</v>
      </c>
      <c r="ABN1" s="27">
        <v>0</v>
      </c>
      <c r="ABO1" s="27">
        <v>0</v>
      </c>
      <c r="ABP1" s="27">
        <v>0</v>
      </c>
      <c r="ABQ1" s="27">
        <v>0</v>
      </c>
      <c r="ABR1" s="27">
        <v>0</v>
      </c>
      <c r="ABS1" s="27">
        <v>0</v>
      </c>
      <c r="ABT1" s="27">
        <v>0</v>
      </c>
      <c r="ABU1" s="27">
        <v>0</v>
      </c>
      <c r="ABV1" s="27">
        <v>0</v>
      </c>
      <c r="ABW1" s="27">
        <v>0</v>
      </c>
      <c r="ABX1" s="27">
        <v>0</v>
      </c>
      <c r="ABY1" s="27">
        <v>0</v>
      </c>
      <c r="ABZ1" s="27">
        <v>0</v>
      </c>
      <c r="ACA1" s="27">
        <v>0</v>
      </c>
      <c r="ACB1" s="27">
        <v>0</v>
      </c>
      <c r="ACC1" s="27">
        <v>0</v>
      </c>
      <c r="ACD1" s="27">
        <v>0</v>
      </c>
      <c r="ACE1" s="27">
        <v>0</v>
      </c>
      <c r="ACF1" s="27">
        <v>0</v>
      </c>
      <c r="ACG1" s="27">
        <v>0</v>
      </c>
      <c r="ACH1" s="27">
        <v>0</v>
      </c>
      <c r="ACI1" s="27">
        <v>0</v>
      </c>
      <c r="ACJ1" s="27">
        <v>0</v>
      </c>
      <c r="ACK1" s="27">
        <v>0</v>
      </c>
      <c r="ACL1" s="27">
        <v>0</v>
      </c>
      <c r="ACM1" s="27">
        <v>0</v>
      </c>
      <c r="ACN1" s="27">
        <v>0</v>
      </c>
      <c r="ACO1" s="27">
        <v>0</v>
      </c>
      <c r="ACP1" s="27">
        <v>0</v>
      </c>
      <c r="ACQ1" s="27">
        <v>0</v>
      </c>
      <c r="ACR1" s="27">
        <v>0</v>
      </c>
      <c r="ACS1" s="27">
        <v>0</v>
      </c>
      <c r="ACT1" s="27">
        <v>0</v>
      </c>
      <c r="ACU1" s="27">
        <v>0</v>
      </c>
      <c r="ACV1" s="27">
        <v>0</v>
      </c>
      <c r="ACW1" s="27">
        <v>0</v>
      </c>
      <c r="ACX1" s="27">
        <v>0</v>
      </c>
      <c r="ACY1" s="27">
        <v>0</v>
      </c>
      <c r="ACZ1" s="27">
        <v>0</v>
      </c>
      <c r="ADA1" s="27">
        <v>0</v>
      </c>
      <c r="ADB1" s="27">
        <v>0</v>
      </c>
      <c r="ADC1" s="27">
        <v>0</v>
      </c>
      <c r="ADD1" s="27">
        <v>0</v>
      </c>
      <c r="ADE1" s="27">
        <v>0</v>
      </c>
      <c r="ADF1" s="27">
        <v>0</v>
      </c>
      <c r="ADG1" s="27">
        <v>0</v>
      </c>
      <c r="ADH1" s="27">
        <v>0</v>
      </c>
      <c r="ADI1" s="27">
        <v>0</v>
      </c>
      <c r="ADJ1" s="27">
        <v>0</v>
      </c>
      <c r="ADK1" s="27">
        <v>0</v>
      </c>
      <c r="ADL1" s="27">
        <v>0</v>
      </c>
      <c r="ADM1" s="27">
        <v>0</v>
      </c>
      <c r="ADN1" s="27">
        <v>0</v>
      </c>
      <c r="ADO1" s="27">
        <v>0</v>
      </c>
      <c r="ADP1" s="27">
        <v>0</v>
      </c>
      <c r="ADQ1" s="27">
        <v>0</v>
      </c>
      <c r="ADR1" s="27">
        <v>0</v>
      </c>
      <c r="ADS1" s="27">
        <v>0</v>
      </c>
      <c r="ADT1" s="27">
        <v>0</v>
      </c>
      <c r="ADU1" s="27">
        <v>0</v>
      </c>
      <c r="ADV1" s="27">
        <v>0</v>
      </c>
      <c r="ADW1" s="27">
        <v>0</v>
      </c>
      <c r="ADX1" s="27">
        <v>0</v>
      </c>
      <c r="ADY1" s="27">
        <v>0</v>
      </c>
      <c r="ADZ1" s="27">
        <v>0</v>
      </c>
      <c r="AEA1" s="27">
        <v>0</v>
      </c>
      <c r="AEB1" s="27">
        <v>0</v>
      </c>
      <c r="AEC1" s="27">
        <v>0</v>
      </c>
      <c r="AED1" s="27">
        <v>0</v>
      </c>
      <c r="AEE1" s="27">
        <v>0</v>
      </c>
      <c r="AEF1" s="27">
        <v>0</v>
      </c>
      <c r="AEG1" s="27">
        <v>0</v>
      </c>
      <c r="AEH1" s="27">
        <v>0</v>
      </c>
      <c r="AEI1" s="27">
        <v>0</v>
      </c>
      <c r="AEJ1" s="27">
        <v>0</v>
      </c>
      <c r="AEK1" s="27">
        <v>0</v>
      </c>
      <c r="AEL1" s="27">
        <v>0</v>
      </c>
      <c r="AEM1" s="27">
        <v>0</v>
      </c>
      <c r="AEN1" s="27">
        <v>0</v>
      </c>
      <c r="AEO1" s="27">
        <v>0</v>
      </c>
      <c r="AEP1" s="27">
        <v>0</v>
      </c>
      <c r="AEQ1" s="27">
        <v>0</v>
      </c>
      <c r="AER1" s="27">
        <v>0</v>
      </c>
      <c r="AES1" s="27">
        <v>0</v>
      </c>
      <c r="AET1" s="27">
        <v>0</v>
      </c>
      <c r="AEU1" s="27">
        <v>0</v>
      </c>
      <c r="AEV1" s="27">
        <v>0</v>
      </c>
      <c r="AEW1" s="27">
        <v>0</v>
      </c>
      <c r="AEX1" s="27">
        <v>0</v>
      </c>
      <c r="AEY1" s="27">
        <v>0</v>
      </c>
      <c r="AEZ1" s="27">
        <v>0</v>
      </c>
      <c r="AFA1" s="27">
        <v>0</v>
      </c>
      <c r="AFB1" s="27">
        <v>0</v>
      </c>
      <c r="AFC1" s="27">
        <v>0</v>
      </c>
      <c r="AFD1" s="27">
        <v>0</v>
      </c>
      <c r="AFE1" s="27">
        <v>0</v>
      </c>
      <c r="AFF1" s="27">
        <v>0</v>
      </c>
      <c r="AFG1" s="27">
        <v>0</v>
      </c>
      <c r="AFH1" s="27">
        <v>0</v>
      </c>
      <c r="AFI1" s="27">
        <v>0</v>
      </c>
      <c r="AFJ1" s="27">
        <v>0</v>
      </c>
      <c r="AFK1" s="27">
        <v>0</v>
      </c>
      <c r="AFL1" s="27">
        <v>0</v>
      </c>
      <c r="AFM1" s="27">
        <v>0</v>
      </c>
      <c r="AFN1" s="27">
        <v>0</v>
      </c>
      <c r="AFO1" s="27">
        <v>0</v>
      </c>
      <c r="AFP1" s="27">
        <v>0</v>
      </c>
      <c r="AFQ1" s="27">
        <v>0</v>
      </c>
      <c r="AFR1" s="27">
        <v>0</v>
      </c>
      <c r="AFS1" s="27">
        <v>0</v>
      </c>
      <c r="AFT1" s="27">
        <v>0</v>
      </c>
      <c r="AFU1" s="27">
        <v>0</v>
      </c>
      <c r="AFV1" s="27">
        <v>0</v>
      </c>
      <c r="AFW1" s="27">
        <v>0</v>
      </c>
      <c r="AFX1" s="27">
        <v>0</v>
      </c>
      <c r="AFY1" s="27">
        <v>0</v>
      </c>
      <c r="AFZ1" s="27">
        <v>0</v>
      </c>
      <c r="AGA1" s="27">
        <v>0</v>
      </c>
      <c r="AGB1" s="27">
        <v>0</v>
      </c>
      <c r="AGC1" s="27">
        <v>0</v>
      </c>
      <c r="AGD1" s="27">
        <v>0</v>
      </c>
      <c r="AGE1" s="27">
        <v>0</v>
      </c>
      <c r="AGF1" s="27">
        <v>0</v>
      </c>
      <c r="AGG1" s="27">
        <v>0</v>
      </c>
      <c r="AGH1" s="27">
        <v>0</v>
      </c>
      <c r="AGI1" s="27">
        <v>0</v>
      </c>
      <c r="AGJ1" s="27">
        <v>0</v>
      </c>
      <c r="AGK1" s="27">
        <v>0</v>
      </c>
      <c r="AGL1" s="27">
        <v>0</v>
      </c>
      <c r="AGM1" s="27">
        <v>0</v>
      </c>
      <c r="AGN1" s="27">
        <v>0</v>
      </c>
      <c r="AGO1" s="27">
        <v>0</v>
      </c>
      <c r="AGP1" s="27">
        <v>0</v>
      </c>
      <c r="AGQ1" s="27">
        <v>0</v>
      </c>
      <c r="AGR1" s="27">
        <v>0</v>
      </c>
      <c r="AGS1" s="27">
        <v>0</v>
      </c>
      <c r="AGT1" s="27">
        <v>0</v>
      </c>
      <c r="AGU1" s="27">
        <v>0</v>
      </c>
      <c r="AGV1" s="27">
        <v>0</v>
      </c>
      <c r="AGW1" s="27">
        <v>0</v>
      </c>
      <c r="AGX1" s="27">
        <v>0</v>
      </c>
      <c r="AGY1" s="27">
        <v>0</v>
      </c>
      <c r="AGZ1" s="27">
        <v>0</v>
      </c>
      <c r="AHA1" s="27">
        <v>0</v>
      </c>
      <c r="AHB1" s="27">
        <v>0</v>
      </c>
      <c r="AHC1" s="27">
        <v>0</v>
      </c>
      <c r="AHD1" s="27">
        <v>0</v>
      </c>
      <c r="AHE1" s="27">
        <v>0</v>
      </c>
      <c r="AHF1" s="27">
        <v>0</v>
      </c>
      <c r="AHG1" s="27">
        <v>0</v>
      </c>
      <c r="AHH1" s="27">
        <v>0</v>
      </c>
      <c r="AHI1" s="27">
        <v>0</v>
      </c>
      <c r="AHJ1" s="27">
        <v>0</v>
      </c>
      <c r="AHK1" s="27">
        <v>0</v>
      </c>
      <c r="AHL1" s="27">
        <v>0</v>
      </c>
      <c r="AHM1" s="27">
        <v>0</v>
      </c>
      <c r="AHN1" s="27">
        <v>0</v>
      </c>
      <c r="AHO1" s="27">
        <v>0</v>
      </c>
      <c r="AHP1" s="27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0</v>
      </c>
      <c r="AIA1">
        <v>0</v>
      </c>
      <c r="AIB1">
        <v>0</v>
      </c>
      <c r="AIC1">
        <v>0</v>
      </c>
      <c r="AID1">
        <v>0</v>
      </c>
      <c r="AIE1">
        <v>0</v>
      </c>
      <c r="AIF1">
        <v>0</v>
      </c>
      <c r="AIG1">
        <v>0</v>
      </c>
      <c r="AIH1">
        <v>0</v>
      </c>
      <c r="AII1" t="e">
        <v>#N/A</v>
      </c>
      <c r="AIJ1" t="e">
        <v>#N/A</v>
      </c>
      <c r="AIK1" t="e">
        <v>#N/A</v>
      </c>
      <c r="AIL1" t="e">
        <v>#N/A</v>
      </c>
      <c r="AIM1" t="e">
        <v>#N/A</v>
      </c>
      <c r="AIN1" t="e">
        <v>#N/A</v>
      </c>
      <c r="AIO1" t="e">
        <v>#N/A</v>
      </c>
      <c r="AIP1" t="e">
        <v>#N/A</v>
      </c>
      <c r="AIQ1" t="e">
        <v>#N/A</v>
      </c>
      <c r="AIR1" t="e">
        <v>#N/A</v>
      </c>
      <c r="AIS1" t="e">
        <v>#N/A</v>
      </c>
      <c r="AIT1" t="e">
        <v>#N/A</v>
      </c>
      <c r="AIU1" t="e">
        <v>#N/A</v>
      </c>
      <c r="AIV1" t="e">
        <v>#N/A</v>
      </c>
      <c r="AIW1" t="e">
        <v>#N/A</v>
      </c>
      <c r="AIX1" t="e">
        <v>#N/A</v>
      </c>
      <c r="AIY1" t="e">
        <v>#N/A</v>
      </c>
      <c r="AIZ1" t="e">
        <v>#N/A</v>
      </c>
      <c r="AJA1" t="e">
        <v>#N/A</v>
      </c>
      <c r="AJB1" t="e">
        <v>#N/A</v>
      </c>
      <c r="AJC1" t="e">
        <v>#N/A</v>
      </c>
      <c r="AJD1" t="e">
        <v>#N/A</v>
      </c>
      <c r="AJE1" t="e">
        <v>#N/A</v>
      </c>
      <c r="AJF1" t="e">
        <v>#N/A</v>
      </c>
      <c r="AJG1" t="e">
        <v>#N/A</v>
      </c>
      <c r="AJH1" t="e">
        <v>#N/A</v>
      </c>
      <c r="AJI1" t="e">
        <v>#N/A</v>
      </c>
      <c r="AJJ1" t="e">
        <v>#N/A</v>
      </c>
      <c r="AJK1" t="e">
        <v>#N/A</v>
      </c>
      <c r="AJL1" t="e">
        <v>#N/A</v>
      </c>
      <c r="AJM1" t="e">
        <v>#N/A</v>
      </c>
      <c r="AJN1" t="e">
        <v>#N/A</v>
      </c>
      <c r="AJO1" t="e">
        <v>#N/A</v>
      </c>
      <c r="AJP1" t="e">
        <v>#N/A</v>
      </c>
      <c r="AJQ1" t="e">
        <v>#N/A</v>
      </c>
      <c r="AJR1" t="e">
        <v>#N/A</v>
      </c>
      <c r="AJS1" t="e">
        <v>#N/A</v>
      </c>
      <c r="AJT1" t="e">
        <v>#N/A</v>
      </c>
      <c r="AJU1" t="e">
        <v>#N/A</v>
      </c>
      <c r="AJV1" t="e">
        <v>#N/A</v>
      </c>
      <c r="AJW1" t="e">
        <v>#N/A</v>
      </c>
      <c r="AJX1" t="e">
        <v>#N/A</v>
      </c>
      <c r="AJY1" t="e">
        <v>#N/A</v>
      </c>
      <c r="AJZ1" t="e">
        <v>#N/A</v>
      </c>
      <c r="AKA1" t="e">
        <v>#N/A</v>
      </c>
      <c r="AKB1" t="e">
        <v>#N/A</v>
      </c>
      <c r="AKC1" t="e">
        <v>#N/A</v>
      </c>
      <c r="AKD1" t="e">
        <v>#N/A</v>
      </c>
      <c r="AKE1" t="e">
        <v>#N/A</v>
      </c>
      <c r="AKF1" t="e">
        <v>#N/A</v>
      </c>
      <c r="AKG1" t="e">
        <v>#N/A</v>
      </c>
      <c r="AKH1" t="e">
        <v>#N/A</v>
      </c>
      <c r="AKI1" t="e">
        <v>#N/A</v>
      </c>
      <c r="AKJ1" t="e">
        <v>#N/A</v>
      </c>
      <c r="AKK1" t="e">
        <v>#N/A</v>
      </c>
      <c r="AKL1" t="e">
        <v>#N/A</v>
      </c>
      <c r="AKM1" t="e">
        <v>#N/A</v>
      </c>
      <c r="AKN1" t="e">
        <v>#N/A</v>
      </c>
      <c r="AKO1" t="e">
        <v>#N/A</v>
      </c>
      <c r="AKP1" t="e">
        <v>#N/A</v>
      </c>
      <c r="AKQ1" t="e">
        <v>#N/A</v>
      </c>
      <c r="AKR1" t="e">
        <v>#N/A</v>
      </c>
      <c r="AKS1" t="e">
        <v>#N/A</v>
      </c>
      <c r="AKT1" t="e">
        <v>#N/A</v>
      </c>
      <c r="AKU1" t="e">
        <v>#N/A</v>
      </c>
      <c r="AKV1" t="e">
        <v>#N/A</v>
      </c>
      <c r="AKW1" t="e">
        <v>#N/A</v>
      </c>
      <c r="AKX1" t="e">
        <v>#N/A</v>
      </c>
      <c r="AKY1" t="e">
        <v>#N/A</v>
      </c>
      <c r="AKZ1" t="e">
        <v>#N/A</v>
      </c>
      <c r="ALA1" t="e">
        <v>#N/A</v>
      </c>
      <c r="ALB1" t="e">
        <v>#N/A</v>
      </c>
      <c r="ALC1" t="e">
        <v>#N/A</v>
      </c>
      <c r="ALD1" t="e">
        <v>#N/A</v>
      </c>
      <c r="ALE1" t="e">
        <v>#N/A</v>
      </c>
      <c r="ALF1" t="e">
        <v>#N/A</v>
      </c>
      <c r="ALG1" t="e">
        <v>#N/A</v>
      </c>
      <c r="ALH1" t="e">
        <v>#N/A</v>
      </c>
      <c r="ALI1" t="e">
        <v>#N/A</v>
      </c>
      <c r="ALJ1" t="e">
        <v>#N/A</v>
      </c>
      <c r="ALK1" t="e">
        <v>#N/A</v>
      </c>
      <c r="ALL1" t="e">
        <v>#N/A</v>
      </c>
      <c r="ALM1" t="e">
        <v>#N/A</v>
      </c>
      <c r="ALN1" t="e">
        <v>#N/A</v>
      </c>
      <c r="ALO1" t="e">
        <v>#N/A</v>
      </c>
      <c r="ALP1" t="e">
        <v>#N/A</v>
      </c>
      <c r="ALQ1" t="e">
        <v>#N/A</v>
      </c>
      <c r="ALR1" t="e">
        <v>#N/A</v>
      </c>
      <c r="ALS1" t="e">
        <v>#N/A</v>
      </c>
      <c r="ALT1" t="e">
        <v>#N/A</v>
      </c>
      <c r="ALU1" t="e">
        <v>#N/A</v>
      </c>
      <c r="ALV1" t="e">
        <v>#N/A</v>
      </c>
      <c r="ALW1" t="e">
        <v>#N/A</v>
      </c>
      <c r="ALX1" t="e">
        <v>#N/A</v>
      </c>
      <c r="ALY1" t="e">
        <v>#N/A</v>
      </c>
      <c r="ALZ1" t="e">
        <v>#N/A</v>
      </c>
      <c r="AMA1" t="e">
        <v>#N/A</v>
      </c>
      <c r="AMB1" t="e">
        <v>#N/A</v>
      </c>
      <c r="AMC1" t="e">
        <v>#N/A</v>
      </c>
      <c r="AMD1" t="e">
        <v>#N/A</v>
      </c>
      <c r="AME1" t="e">
        <v>#N/A</v>
      </c>
      <c r="AMF1" t="e">
        <v>#N/A</v>
      </c>
      <c r="AMG1" t="e">
        <v>#N/A</v>
      </c>
      <c r="AMH1" t="e">
        <v>#N/A</v>
      </c>
    </row>
    <row r="2" spans="1:1022" ht="15.75" customHeight="1">
      <c r="A2" s="8" t="str">
        <v>Where</v>
      </c>
      <c r="B2" s="8" t="str">
        <v>Preston</v>
      </c>
      <c r="C2" s="8" t="str">
        <v>Preston</v>
      </c>
      <c r="D2" s="8" t="str">
        <v>Preston</v>
      </c>
      <c r="E2" s="8" t="str">
        <v>Preston</v>
      </c>
      <c r="F2" s="8" t="str">
        <v>Preston</v>
      </c>
      <c r="G2" s="8" t="str">
        <v>Preston</v>
      </c>
      <c r="H2" s="8" t="str">
        <v>Preston</v>
      </c>
      <c r="I2" s="8" t="str">
        <v>Preston</v>
      </c>
      <c r="J2" s="8" t="str">
        <v>Preston</v>
      </c>
      <c r="K2" s="8" t="str">
        <v>Preston</v>
      </c>
      <c r="L2" s="8" t="str">
        <v>Preston</v>
      </c>
      <c r="M2" s="8" t="str">
        <v>Preston</v>
      </c>
      <c r="N2" s="8" t="str">
        <v>Preston</v>
      </c>
      <c r="O2" s="8" t="str">
        <v>Preston</v>
      </c>
      <c r="P2" s="8" t="str">
        <v>Preston</v>
      </c>
      <c r="Q2" s="8" t="str">
        <v>Preston</v>
      </c>
      <c r="R2" s="8" t="str">
        <v>Preston</v>
      </c>
      <c r="S2" s="8" t="str">
        <v>Superior</v>
      </c>
      <c r="T2" s="8" t="str">
        <v>Superior</v>
      </c>
      <c r="U2" s="8" t="str">
        <v>Preston</v>
      </c>
      <c r="V2" s="8" t="str">
        <v>Preston</v>
      </c>
      <c r="W2" s="8" t="str">
        <v>Preston</v>
      </c>
      <c r="X2" s="8" t="str">
        <v>Preston</v>
      </c>
      <c r="Y2" s="8" t="str">
        <v>Preston</v>
      </c>
      <c r="Z2" s="8" t="str">
        <v>Superior</v>
      </c>
      <c r="AA2" s="8" t="str">
        <v>Preston</v>
      </c>
      <c r="AB2" s="8" t="str">
        <v>Superior</v>
      </c>
      <c r="AC2" s="8" t="str">
        <v>Superior</v>
      </c>
      <c r="AD2" s="8" t="str">
        <v>Preston</v>
      </c>
      <c r="AE2" s="8" t="str">
        <v>Preston</v>
      </c>
      <c r="AF2" s="8" t="str">
        <v>Preston</v>
      </c>
      <c r="AG2" s="8" t="str">
        <v>Superior</v>
      </c>
      <c r="AH2" s="8" t="str">
        <v>Superior</v>
      </c>
      <c r="AI2" s="8" t="str">
        <v>Superior</v>
      </c>
      <c r="AJ2" s="8" t="str">
        <v>Preston</v>
      </c>
      <c r="AK2" s="8" t="str">
        <v>Preston</v>
      </c>
      <c r="AL2" s="8" t="str">
        <v>Preston</v>
      </c>
      <c r="AM2" s="8" t="str">
        <v>Preston</v>
      </c>
      <c r="AN2" s="8" t="str">
        <v>Superior</v>
      </c>
      <c r="AO2" s="8" t="str">
        <v>Superior</v>
      </c>
      <c r="AP2" s="8" t="str">
        <v>Preston</v>
      </c>
      <c r="AQ2" s="8" t="str">
        <v>Superior</v>
      </c>
      <c r="AR2" s="8" t="str">
        <v>Preston</v>
      </c>
      <c r="AS2" s="8" t="str">
        <v>Superior</v>
      </c>
      <c r="AT2" s="8" t="str">
        <v>Preston</v>
      </c>
      <c r="AU2" s="8" t="str">
        <v>Superior</v>
      </c>
      <c r="AV2" s="8" t="str">
        <v>Preston</v>
      </c>
      <c r="AW2" s="8" t="str">
        <v>Preston</v>
      </c>
      <c r="AX2" s="8" t="str">
        <v>Preston</v>
      </c>
      <c r="AY2" s="8" t="str">
        <v>Preston</v>
      </c>
      <c r="AZ2" s="8" t="str">
        <v>Preston</v>
      </c>
      <c r="BA2" s="8" t="str">
        <v>Preston</v>
      </c>
      <c r="BB2" s="8" t="str">
        <v>Preston</v>
      </c>
      <c r="BC2" s="8" t="str">
        <v>Preston</v>
      </c>
      <c r="BD2" s="8" t="str">
        <v>Preston</v>
      </c>
      <c r="BE2" s="8" t="str">
        <v>Preston</v>
      </c>
      <c r="BF2" s="8" t="str">
        <v>Preston</v>
      </c>
      <c r="BG2" s="8" t="str">
        <v>Preston</v>
      </c>
      <c r="BH2" s="8" t="str">
        <v>Preston</v>
      </c>
      <c r="BI2" s="8" t="str">
        <v>Preston</v>
      </c>
      <c r="BJ2" s="8" t="str">
        <v>Preston</v>
      </c>
      <c r="BK2" s="8" t="str">
        <v>Preston</v>
      </c>
      <c r="BL2" s="8" t="str">
        <v>Preston</v>
      </c>
      <c r="BM2" s="8" t="str">
        <v>Preston</v>
      </c>
      <c r="BN2" s="8" t="str">
        <v>Preston</v>
      </c>
      <c r="BO2" s="8" t="str">
        <v>Superior</v>
      </c>
      <c r="BP2" s="8" t="str">
        <v>Superior</v>
      </c>
      <c r="BQ2" s="8" t="str">
        <v>Superior</v>
      </c>
      <c r="BR2" s="8" t="str">
        <v>Superior</v>
      </c>
      <c r="BS2" s="8" t="str">
        <v>Superior</v>
      </c>
      <c r="BT2" s="8" t="str">
        <v>Superior</v>
      </c>
      <c r="BU2" s="8" t="str">
        <v>Superior</v>
      </c>
      <c r="BV2" s="8" t="str">
        <v>Superior</v>
      </c>
      <c r="BW2" s="8" t="str">
        <v>Superior</v>
      </c>
      <c r="BX2" s="8" t="str">
        <v>Superior</v>
      </c>
      <c r="BY2" s="8" t="str">
        <v>Superior</v>
      </c>
      <c r="BZ2" s="8" t="str">
        <v>Superior</v>
      </c>
      <c r="CA2" s="8" t="str">
        <v>Superior</v>
      </c>
      <c r="CB2" s="8" t="str">
        <v>Superior</v>
      </c>
      <c r="CC2" s="8" t="str">
        <v>Superior</v>
      </c>
      <c r="CD2" s="8" t="str">
        <v>Superior</v>
      </c>
      <c r="CE2" s="8" t="str">
        <v>Superior</v>
      </c>
      <c r="CF2" s="8" t="str">
        <v>Superior</v>
      </c>
      <c r="CG2" s="8" t="str">
        <v>Superior</v>
      </c>
      <c r="CH2" s="8" t="str">
        <v>Superior</v>
      </c>
      <c r="CI2" s="8" t="str">
        <v>Superior</v>
      </c>
      <c r="CJ2" s="8" t="str">
        <v>Superior</v>
      </c>
      <c r="CK2" s="8" t="str">
        <v>Superior</v>
      </c>
      <c r="CL2" s="8" t="str">
        <v>Superior</v>
      </c>
      <c r="CM2" s="8" t="str">
        <v>Superior</v>
      </c>
      <c r="CN2" s="8" t="str">
        <v>Superior</v>
      </c>
      <c r="CO2" s="8" t="str">
        <v>Superior</v>
      </c>
      <c r="CP2" s="8" t="str">
        <v>Superior</v>
      </c>
      <c r="CQ2" s="8" t="str">
        <v>Superior</v>
      </c>
      <c r="CR2" s="8" t="str">
        <v>Superior</v>
      </c>
      <c r="CS2" s="8" t="str">
        <v>Superior</v>
      </c>
      <c r="CT2" s="8" t="str">
        <v>Superior</v>
      </c>
      <c r="CU2" s="8" t="str">
        <v>Superior</v>
      </c>
      <c r="CV2" s="8" t="str">
        <v>Superior</v>
      </c>
      <c r="CW2" s="8" t="str">
        <v>Superior</v>
      </c>
      <c r="CX2" s="8" t="str">
        <v>Superior</v>
      </c>
      <c r="CY2" s="8" t="str">
        <v>Superior</v>
      </c>
      <c r="CZ2" s="8" t="str">
        <v>Superior</v>
      </c>
      <c r="DA2" s="8" t="str">
        <v>Superior</v>
      </c>
      <c r="DB2" s="8" t="str">
        <v>Superior</v>
      </c>
      <c r="DC2" s="8" t="str">
        <v>Superior</v>
      </c>
      <c r="DD2" s="8" t="str">
        <v>Steckel Camp, Santa Paula, CA</v>
      </c>
      <c r="DE2" s="8" t="str">
        <v>Superior</v>
      </c>
      <c r="DF2" s="8" t="str">
        <v>Preston</v>
      </c>
      <c r="DG2" s="8" t="str">
        <v>Superior</v>
      </c>
      <c r="DH2" s="8" t="str">
        <v>Preston</v>
      </c>
      <c r="DI2" s="8" t="str">
        <v>Preston</v>
      </c>
      <c r="DJ2" s="8" t="str">
        <v>Superior</v>
      </c>
      <c r="DK2" s="8" t="str">
        <v>Preston</v>
      </c>
      <c r="DL2" s="8" t="str">
        <v>Preston</v>
      </c>
      <c r="DM2" s="8" t="str">
        <v>Superior</v>
      </c>
      <c r="DN2" s="8" t="str">
        <v>Superior</v>
      </c>
      <c r="DO2" s="8" t="str">
        <v>Superior</v>
      </c>
      <c r="DP2" s="8" t="str">
        <v>Superior</v>
      </c>
      <c r="DQ2" s="8" t="str">
        <v>Preston</v>
      </c>
      <c r="DR2" s="8" t="str">
        <v>Cedros</v>
      </c>
      <c r="DS2" s="8" t="str">
        <v>Preston</v>
      </c>
      <c r="DT2" s="8" t="str">
        <v>Superior</v>
      </c>
      <c r="DU2" s="8" t="str">
        <v>Superior</v>
      </c>
      <c r="DV2" s="8" t="str">
        <v>Superior</v>
      </c>
      <c r="DW2" s="8" t="str">
        <v>Preston</v>
      </c>
      <c r="DX2" s="8" t="str">
        <v>Superior</v>
      </c>
      <c r="DY2" s="8" t="str">
        <v>Preston</v>
      </c>
      <c r="DZ2" s="8" t="str">
        <v>Superior</v>
      </c>
      <c r="EA2" s="8" t="str">
        <v>Superior</v>
      </c>
      <c r="EB2" s="8" t="str">
        <v>Superior</v>
      </c>
      <c r="EC2" s="8" t="str">
        <v>Preston</v>
      </c>
      <c r="ED2" s="8" t="str">
        <v>Preston</v>
      </c>
      <c r="EE2" s="8" t="str">
        <v>Preston</v>
      </c>
      <c r="EF2" s="8" t="str">
        <v>Sally's</v>
      </c>
      <c r="EG2" s="8" t="str">
        <v>Preston</v>
      </c>
      <c r="EH2" s="8" t="str">
        <v>Preston</v>
      </c>
      <c r="EI2" s="8" t="str">
        <v>Preston</v>
      </c>
      <c r="EJ2" s="8" t="str">
        <v>Preston</v>
      </c>
      <c r="EK2" s="8" t="str">
        <v>Preston</v>
      </c>
      <c r="EL2" s="8" t="str">
        <v>Superior</v>
      </c>
      <c r="EM2" s="8" t="str">
        <v>Superior</v>
      </c>
      <c r="EN2" s="8" t="str">
        <v>Superior</v>
      </c>
      <c r="EO2" s="8" t="str">
        <v>Lake Tahoe Campground</v>
      </c>
      <c r="EP2" s="8" t="str">
        <v>Lake Tahoe Campground</v>
      </c>
      <c r="EQ2" s="8" t="str">
        <v>Superior</v>
      </c>
      <c r="ER2" s="8" t="str">
        <v>Lake Tahoe Campground</v>
      </c>
      <c r="ES2" s="8" t="str">
        <v>Lake Tahoe Campground</v>
      </c>
      <c r="ET2" s="8" t="str">
        <v>Lake Tahoe Campground</v>
      </c>
      <c r="EU2" s="8" t="str">
        <v>Aspen Camp, Lee VIning, CA</v>
      </c>
      <c r="EV2" s="8" t="str">
        <v>Indian Wells</v>
      </c>
      <c r="EW2" s="8" t="str">
        <v>Preston</v>
      </c>
      <c r="EX2" s="8" t="str">
        <v>Preston</v>
      </c>
      <c r="EY2" s="8" t="str">
        <v>Sally's</v>
      </c>
      <c r="EZ2" s="8" t="str">
        <v>Sally's</v>
      </c>
      <c r="FA2" s="8" t="str">
        <v>Preston</v>
      </c>
      <c r="FB2" s="8" t="str">
        <v>Superior</v>
      </c>
      <c r="FC2" s="8" t="str">
        <v>Sally's</v>
      </c>
      <c r="FD2" s="8" t="str">
        <v>Superior</v>
      </c>
      <c r="FE2" s="8" t="str">
        <v>Superior</v>
      </c>
      <c r="FF2" s="8" t="str">
        <v>Superior</v>
      </c>
      <c r="FG2" s="8" t="str">
        <v>Superior</v>
      </c>
      <c r="FH2" s="8" t="str">
        <v>Preston</v>
      </c>
      <c r="FI2" s="8" t="str">
        <v>Superior</v>
      </c>
      <c r="FJ2" s="8" t="str">
        <v>Preston</v>
      </c>
      <c r="FK2" s="8" t="str">
        <v>Superior</v>
      </c>
      <c r="FL2" s="8" t="str">
        <v>Superior</v>
      </c>
      <c r="FM2" s="8" t="str">
        <v>Preston</v>
      </c>
      <c r="FN2" s="8" t="str">
        <v>Sally's</v>
      </c>
      <c r="FO2" s="8" t="str">
        <v>Sally's</v>
      </c>
      <c r="FP2" s="8" t="str">
        <v>Superior</v>
      </c>
      <c r="FQ2" s="8" t="str">
        <v>Preston</v>
      </c>
      <c r="FR2" s="8" t="str">
        <v>Preston</v>
      </c>
      <c r="FS2" s="8" t="str">
        <v>Preston</v>
      </c>
      <c r="FT2" s="8" t="str">
        <v>Preston</v>
      </c>
      <c r="FU2" s="8" t="str">
        <v>Sally's</v>
      </c>
      <c r="FV2" s="8" t="str">
        <v>Preston</v>
      </c>
      <c r="FW2" s="8" t="str">
        <v>Preston</v>
      </c>
      <c r="FX2" s="8" t="str">
        <v>Superior</v>
      </c>
      <c r="FY2" s="8" t="str">
        <v>Preston</v>
      </c>
      <c r="FZ2" s="8" t="str">
        <v>Preston</v>
      </c>
      <c r="GA2" s="8" t="str">
        <v>Preston</v>
      </c>
      <c r="GB2" s="8" t="str">
        <v>Superior</v>
      </c>
      <c r="GC2" s="8" t="str">
        <v>Preston</v>
      </c>
      <c r="GD2" s="8" t="str">
        <v>Rincon Parkway</v>
      </c>
      <c r="GE2" s="8" t="str">
        <v>Preston</v>
      </c>
      <c r="GF2" s="8" t="str">
        <v>Superior</v>
      </c>
      <c r="GG2" s="8" t="str">
        <v>Superior</v>
      </c>
      <c r="GH2" s="8" t="str">
        <v>Preston</v>
      </c>
      <c r="GI2" s="8" t="str">
        <v>Preston</v>
      </c>
      <c r="GJ2" s="8" t="str">
        <v>Preston</v>
      </c>
      <c r="GK2" s="8" t="str">
        <v>Superior</v>
      </c>
      <c r="GL2" s="8" t="str">
        <v>Preston</v>
      </c>
      <c r="GM2" s="8" t="str">
        <v>Superior</v>
      </c>
      <c r="GN2" s="8" t="str">
        <v>Preston</v>
      </c>
      <c r="GO2" s="8" t="str">
        <v>Preston</v>
      </c>
      <c r="GP2" s="8" t="str">
        <v>Superior</v>
      </c>
      <c r="GQ2" s="8" t="str">
        <v>Sally's</v>
      </c>
      <c r="GR2" s="8" t="str">
        <v>Preston</v>
      </c>
      <c r="GS2" s="8" t="str">
        <v>Superior</v>
      </c>
      <c r="GT2" s="8" t="str">
        <v>Superior</v>
      </c>
      <c r="GU2" s="8" t="str">
        <v>Preston</v>
      </c>
      <c r="GV2" s="8" t="str">
        <v>Superior</v>
      </c>
      <c r="GW2" s="8" t="str">
        <v>Superior</v>
      </c>
      <c r="GX2" s="8" t="str">
        <v>Superior</v>
      </c>
      <c r="GY2" s="8" t="str">
        <v>Superior</v>
      </c>
      <c r="GZ2" s="8" t="str">
        <v>Superior</v>
      </c>
      <c r="HA2" s="8" t="str">
        <v>Superior</v>
      </c>
      <c r="HB2" s="8" t="str">
        <v>Superior</v>
      </c>
      <c r="HC2" s="8" t="str">
        <v>Superior</v>
      </c>
      <c r="HD2" s="8" t="str">
        <v>Superior</v>
      </c>
      <c r="HE2" s="8" t="str">
        <v>Superior</v>
      </c>
      <c r="HF2" s="8" t="str">
        <v>Preston</v>
      </c>
      <c r="HG2" s="8" t="str">
        <v>Preston</v>
      </c>
      <c r="HH2" s="8" t="str">
        <v>Preston</v>
      </c>
      <c r="HI2" s="8" t="str">
        <v>Preston</v>
      </c>
      <c r="HJ2" s="8" t="str">
        <v>Preston</v>
      </c>
      <c r="HK2" s="8" t="str">
        <v>Preston</v>
      </c>
      <c r="HL2" s="8" t="str">
        <v>Preston</v>
      </c>
      <c r="HM2" s="8" t="str">
        <v>Preston</v>
      </c>
      <c r="HN2" s="8" t="str">
        <v>Preston</v>
      </c>
      <c r="HO2" s="8" t="str">
        <v>Preston</v>
      </c>
      <c r="HP2" s="8" t="str">
        <v>Preston - Passover</v>
      </c>
      <c r="HQ2" s="8" t="str">
        <v>Superior</v>
      </c>
      <c r="HR2" s="8" t="str">
        <v>Preston</v>
      </c>
      <c r="HS2" s="8" t="str">
        <v>Superior</v>
      </c>
      <c r="HT2" s="8" t="str">
        <v>Preston</v>
      </c>
      <c r="HU2" s="8" t="str">
        <v>Preston</v>
      </c>
      <c r="HV2" s="8" t="str">
        <v>Preston</v>
      </c>
      <c r="HW2" s="8" t="str">
        <v>Superior</v>
      </c>
      <c r="HX2" s="8" t="str">
        <v>Preston</v>
      </c>
      <c r="HY2" s="8" t="str">
        <v xml:space="preserve">Superior </v>
      </c>
      <c r="HZ2" s="8" t="str">
        <v>Preston</v>
      </c>
      <c r="IA2" s="8" t="str">
        <v xml:space="preserve">Hobson Beach Park, Ventura </v>
      </c>
      <c r="IB2" s="8" t="str">
        <v xml:space="preserve">Hobson Beach Park, Ventura </v>
      </c>
      <c r="IC2" s="8" t="str">
        <v xml:space="preserve">Preston </v>
      </c>
      <c r="ID2" s="8" t="str">
        <v xml:space="preserve">Preston </v>
      </c>
      <c r="IE2" s="8" t="str">
        <v xml:space="preserve">Preston </v>
      </c>
      <c r="IF2" s="8" t="str">
        <v xml:space="preserve">Preston </v>
      </c>
      <c r="IG2" s="8" t="str">
        <v xml:space="preserve">Preston </v>
      </c>
      <c r="IH2" s="8" t="str">
        <v xml:space="preserve">Preston </v>
      </c>
      <c r="II2" s="8" t="str">
        <v>Thornehill Broome</v>
      </c>
      <c r="IJ2" s="8" t="str">
        <v>Thornehill Broome</v>
      </c>
      <c r="IK2" s="8" t="str">
        <v>Thornehill Broome</v>
      </c>
      <c r="IL2" s="8" t="str">
        <v xml:space="preserve">Preston </v>
      </c>
      <c r="IM2" s="8" t="str">
        <v xml:space="preserve">Preston </v>
      </c>
      <c r="IN2" s="8" t="str">
        <v xml:space="preserve">Preston </v>
      </c>
      <c r="IO2" s="8" t="str">
        <v xml:space="preserve">Preston </v>
      </c>
      <c r="IP2" s="8" t="str">
        <v>Emma Wood St Bch</v>
      </c>
      <c r="IQ2" s="8" t="str">
        <v xml:space="preserve">Preston </v>
      </c>
      <c r="IR2" s="8" t="str">
        <v xml:space="preserve">Preston </v>
      </c>
      <c r="IS2" s="8" t="str">
        <v>Superior</v>
      </c>
      <c r="IT2" s="8" t="str">
        <v xml:space="preserve">Preston </v>
      </c>
      <c r="IU2" s="8" t="str">
        <v>Emma Wood St Bch</v>
      </c>
      <c r="IV2" s="8" t="str">
        <v xml:space="preserve">Preston </v>
      </c>
      <c r="IW2" s="8" t="str">
        <v xml:space="preserve">Preston </v>
      </c>
      <c r="IX2" s="8" t="str">
        <v xml:space="preserve">Preston </v>
      </c>
      <c r="IY2" s="8" t="str">
        <v>Sally's</v>
      </c>
      <c r="IZ2" s="8" t="str">
        <v>Superior</v>
      </c>
      <c r="JA2" s="8" t="str">
        <v xml:space="preserve">Preston </v>
      </c>
      <c r="JB2" s="8" t="str">
        <v>Bridgeport</v>
      </c>
      <c r="JC2" s="8" t="str">
        <v xml:space="preserve">Tahoe City Campground </v>
      </c>
      <c r="JD2" s="8" t="str">
        <v xml:space="preserve">Tahoe City Campground </v>
      </c>
      <c r="JE2" s="8" t="str">
        <v>Mariposa Fairgrounds</v>
      </c>
      <c r="JF2" s="8" t="str">
        <v>Azalea, Sequoia</v>
      </c>
      <c r="JG2" s="8" t="str">
        <v>Azalea, Sequoia</v>
      </c>
      <c r="JH2" s="8" t="str">
        <v>Azalea, Sequoia</v>
      </c>
      <c r="JI2" s="8" t="str">
        <v xml:space="preserve">Preston </v>
      </c>
      <c r="JJ2" s="8" t="str">
        <v xml:space="preserve">Preston </v>
      </c>
      <c r="JK2" s="8" t="str">
        <v>Superior</v>
      </c>
      <c r="JL2" s="8" t="str">
        <v xml:space="preserve">Preston </v>
      </c>
      <c r="JM2" s="8" t="str">
        <v xml:space="preserve">Preston </v>
      </c>
      <c r="JN2" s="8" t="str">
        <v xml:space="preserve">Preston </v>
      </c>
      <c r="JO2" s="8" t="str">
        <v>Tuscon, AZ</v>
      </c>
      <c r="JP2" s="8" t="str">
        <v>Fort Stockton, TX</v>
      </c>
      <c r="JQ2" s="8" t="str">
        <v>Sonora, TX</v>
      </c>
      <c r="JR2" s="8" t="str">
        <v>Cracker Barrel, San Antonio, TX ￼</v>
      </c>
      <c r="JS2" s="8" t="str">
        <v>Mustang Hollow, TX</v>
      </c>
      <c r="JT2" s="8" t="str">
        <v>San Antonio, TX</v>
      </c>
      <c r="JU2" s="8" t="str">
        <v>Shriner Park, Junction, TX</v>
      </c>
      <c r="JV2" s="8" t="str">
        <v>Van Horn, TX</v>
      </c>
      <c r="JW2" s="8" t="str">
        <v>KOA, Lordsburg, TX</v>
      </c>
      <c r="JX2" s="8" t="str">
        <v xml:space="preserve">Palm Desert </v>
      </c>
      <c r="JY2" s="8" t="str">
        <v>Cedros</v>
      </c>
      <c r="JZ2" s="8" t="str">
        <v xml:space="preserve">Preston </v>
      </c>
      <c r="KA2" s="8" t="str">
        <v xml:space="preserve">Superior </v>
      </c>
      <c r="KB2" s="8" t="str">
        <v xml:space="preserve">Preston </v>
      </c>
      <c r="KC2" s="8" t="str">
        <v xml:space="preserve">Preston </v>
      </c>
      <c r="KD2" s="8" t="str">
        <v xml:space="preserve">Preston </v>
      </c>
      <c r="KE2" s="8" t="str">
        <v xml:space="preserve">Preston </v>
      </c>
      <c r="KF2" s="8" t="str">
        <v xml:space="preserve">Preston </v>
      </c>
      <c r="KG2" s="8" t="str">
        <v>Cedros</v>
      </c>
      <c r="KH2" s="8" t="str">
        <v xml:space="preserve">Preston </v>
      </c>
      <c r="KI2" s="8" t="str">
        <v xml:space="preserve">Superior </v>
      </c>
      <c r="KJ2" s="8" t="str">
        <v xml:space="preserve">Preston </v>
      </c>
      <c r="KK2" s="8" t="str">
        <v xml:space="preserve">Preston </v>
      </c>
      <c r="KL2" s="8" t="str">
        <v xml:space="preserve">Preston </v>
      </c>
      <c r="KM2" s="8" t="str">
        <v xml:space="preserve">Superior </v>
      </c>
      <c r="KN2" s="8" t="str">
        <v xml:space="preserve">Preston </v>
      </c>
      <c r="KO2" s="8" t="str">
        <v xml:space="preserve">Superior </v>
      </c>
      <c r="KP2" s="8" t="str">
        <v xml:space="preserve">Preston </v>
      </c>
      <c r="KQ2" s="8" t="str">
        <v xml:space="preserve">Superior </v>
      </c>
      <c r="KR2" s="8" t="str">
        <v xml:space="preserve">Preston </v>
      </c>
      <c r="KS2" s="8" t="str">
        <v xml:space="preserve">Preston </v>
      </c>
      <c r="KT2" s="8" t="str">
        <v xml:space="preserve">Preston </v>
      </c>
      <c r="KU2" s="8" t="str">
        <v xml:space="preserve">Palm Desert </v>
      </c>
      <c r="KV2" s="8" t="str">
        <v>Tonopah, AZ</v>
      </c>
      <c r="KW2" s="8" t="str">
        <v>Robert's Trucks, San Angelo</v>
      </c>
      <c r="KX2" s="8" t="str">
        <v>San Angelo, TX</v>
      </c>
      <c r="KY2" s="8" t="str">
        <v>San Angelo, TX</v>
      </c>
      <c r="KZ2" s="8" t="str">
        <v>San Angelo, TX</v>
      </c>
      <c r="LA2" s="8" t="str">
        <v>San Angelo, TX</v>
      </c>
      <c r="LB2" s="8" t="str">
        <v>El Paso</v>
      </c>
      <c r="LC2" s="8" t="str">
        <v xml:space="preserve">Preston </v>
      </c>
      <c r="LD2" s="8" t="str">
        <v xml:space="preserve">Preston </v>
      </c>
      <c r="LE2" s="8" t="str">
        <v xml:space="preserve">Preston </v>
      </c>
      <c r="LF2" s="8" t="str">
        <v xml:space="preserve">Preston </v>
      </c>
      <c r="LG2" s="8" t="str">
        <v xml:space="preserve">Preston </v>
      </c>
      <c r="LH2" s="8" t="str">
        <v xml:space="preserve">Palm Desert </v>
      </c>
      <c r="LI2" s="8" t="str">
        <v xml:space="preserve">Preston </v>
      </c>
      <c r="LJ2" s="8" t="str">
        <v xml:space="preserve">Superior </v>
      </c>
      <c r="LK2" s="8" t="str">
        <v xml:space="preserve">Preston </v>
      </c>
      <c r="LL2" s="8" t="str">
        <v>Los Baños</v>
      </c>
      <c r="LM2" s="8" t="str">
        <v xml:space="preserve"> Lue Heron, Tillamook </v>
      </c>
      <c r="LN2" s="8" t="str">
        <v>Morro Bay</v>
      </c>
      <c r="LO2" s="8" t="str">
        <v xml:space="preserve">Preston </v>
      </c>
      <c r="LP2" s="8" t="str">
        <v xml:space="preserve">Superior </v>
      </c>
      <c r="LQ2" s="8" t="str">
        <v xml:space="preserve">Preston </v>
      </c>
      <c r="LR2" s="8" t="str">
        <v xml:space="preserve">Preston </v>
      </c>
      <c r="LS2" s="8" t="str">
        <v xml:space="preserve">Preston </v>
      </c>
      <c r="LT2" s="8" t="str">
        <v xml:space="preserve">Superior </v>
      </c>
      <c r="LU2" s="8" t="str">
        <v xml:space="preserve">Superior </v>
      </c>
      <c r="LV2" s="8" t="str">
        <v xml:space="preserve">Palm Desert </v>
      </c>
      <c r="LW2" s="8" t="str">
        <v xml:space="preserve">Superior </v>
      </c>
      <c r="LX2" s="8" t="str">
        <v xml:space="preserve">Superior </v>
      </c>
      <c r="LY2" s="8" t="str">
        <v xml:space="preserve">Superior </v>
      </c>
      <c r="LZ2" s="8" t="str">
        <v xml:space="preserve">Preston </v>
      </c>
      <c r="MA2" s="8" t="str">
        <v xml:space="preserve">Superior </v>
      </c>
      <c r="MB2" s="8" t="str">
        <v xml:space="preserve">Preston </v>
      </c>
      <c r="MC2" s="8" t="str">
        <v xml:space="preserve">Preston </v>
      </c>
      <c r="MD2" s="8" t="str">
        <v xml:space="preserve">Preston </v>
      </c>
      <c r="ME2" s="8" t="str">
        <v xml:space="preserve">Preston </v>
      </c>
      <c r="MF2" s="8" t="str">
        <v xml:space="preserve">Superior </v>
      </c>
      <c r="MG2" s="8" t="str">
        <v xml:space="preserve">Palm Desert </v>
      </c>
      <c r="MH2" s="8" t="str">
        <v>Cedros</v>
      </c>
      <c r="MI2" s="8" t="str">
        <v xml:space="preserve">Preston </v>
      </c>
      <c r="MJ2" s="8" t="str">
        <v xml:space="preserve">Palm Desert </v>
      </c>
      <c r="MK2" s="8" t="str">
        <v xml:space="preserve">Palm Desert </v>
      </c>
      <c r="ML2" s="8" t="str">
        <v xml:space="preserve">Preston </v>
      </c>
      <c r="MM2" s="8" t="str">
        <v xml:space="preserve">Superior </v>
      </c>
      <c r="MN2" s="8" t="str">
        <v xml:space="preserve">Preston </v>
      </c>
      <c r="MO2" s="8" t="str">
        <v xml:space="preserve">Preston </v>
      </c>
      <c r="MP2" s="8" t="str">
        <v xml:space="preserve">Palm Desert </v>
      </c>
      <c r="MQ2" s="8" t="str">
        <v xml:space="preserve">Palm Desert </v>
      </c>
      <c r="MR2" s="8" t="str">
        <v xml:space="preserve">Preston </v>
      </c>
      <c r="MS2" s="8" t="str">
        <v xml:space="preserve">Preston </v>
      </c>
      <c r="MT2" s="8" t="str">
        <v xml:space="preserve">Preston </v>
      </c>
      <c r="MU2" s="8" t="str">
        <v xml:space="preserve">Preston </v>
      </c>
      <c r="MV2" s="8" t="str">
        <v xml:space="preserve">Preston </v>
      </c>
      <c r="MW2" s="8" t="str">
        <v xml:space="preserve">Palm Desert </v>
      </c>
      <c r="MX2" s="8" t="str">
        <v>Anza Borrego State Park ￼￼</v>
      </c>
      <c r="MY2" s="8" t="str">
        <v>Anza Borrego State Park ￼￼</v>
      </c>
      <c r="MZ2" s="8" t="str">
        <v xml:space="preserve">Preston </v>
      </c>
      <c r="NA2" s="8" t="str">
        <v xml:space="preserve">Palm Desert </v>
      </c>
      <c r="NB2" s="8" t="str">
        <v xml:space="preserve">Palm Desert </v>
      </c>
      <c r="NC2" s="8" t="str">
        <v xml:space="preserve">Palm Desert </v>
      </c>
      <c r="ND2" s="8" t="str">
        <v xml:space="preserve">Preston </v>
      </c>
      <c r="NE2" s="8" t="str">
        <v xml:space="preserve">Preston </v>
      </c>
      <c r="NF2" s="8" t="str">
        <v xml:space="preserve">Preston </v>
      </c>
      <c r="NG2" s="8" t="str">
        <v xml:space="preserve">Preston </v>
      </c>
      <c r="NH2" s="8" t="str">
        <v xml:space="preserve">Preston </v>
      </c>
      <c r="NI2" s="8" t="str">
        <v xml:space="preserve">Preston </v>
      </c>
      <c r="NJ2" s="8" t="str">
        <v xml:space="preserve">Preston </v>
      </c>
      <c r="NK2" s="8" t="str">
        <v xml:space="preserve">Preston </v>
      </c>
      <c r="NL2" s="8" t="str">
        <v xml:space="preserve">Preston </v>
      </c>
      <c r="NM2" s="8" t="str">
        <v xml:space="preserve">Preston </v>
      </c>
      <c r="NN2" s="8" t="str">
        <v xml:space="preserve">Palm Desert </v>
      </c>
      <c r="NO2" s="8" t="str">
        <v xml:space="preserve">Palm Desert </v>
      </c>
      <c r="NP2" s="8" t="str">
        <v xml:space="preserve">Preston </v>
      </c>
      <c r="NQ2" s="8" t="str">
        <v xml:space="preserve">Preston </v>
      </c>
      <c r="NR2" s="8" t="str">
        <v xml:space="preserve">Preston </v>
      </c>
      <c r="NS2" s="8" t="str">
        <v xml:space="preserve">Preston </v>
      </c>
      <c r="NT2" s="8" t="str">
        <v xml:space="preserve">Preston </v>
      </c>
      <c r="NU2" s="8" t="str">
        <v xml:space="preserve">Preston </v>
      </c>
      <c r="NV2" s="8" t="str">
        <v xml:space="preserve">Preston </v>
      </c>
      <c r="NW2" s="8" t="str">
        <v xml:space="preserve">Preston </v>
      </c>
      <c r="NX2" s="8" t="str">
        <v>Carpenteria</v>
      </c>
      <c r="NY2" s="8" t="str">
        <v>Carpenteria</v>
      </c>
      <c r="NZ2" s="8" t="str">
        <v xml:space="preserve">Preston </v>
      </c>
      <c r="OA2" s="8" t="str">
        <v xml:space="preserve">Preston </v>
      </c>
      <c r="OB2" s="8" t="str">
        <v xml:space="preserve">Preston </v>
      </c>
      <c r="OC2" s="8" t="str">
        <v xml:space="preserve">Palm Desert </v>
      </c>
      <c r="OD2" s="8" t="str">
        <v xml:space="preserve">Palm Desert </v>
      </c>
      <c r="OE2" s="8" t="str">
        <v xml:space="preserve">Palm Desert </v>
      </c>
      <c r="OF2" s="8" t="str">
        <v xml:space="preserve">Preston </v>
      </c>
      <c r="OG2" s="8" t="str">
        <v xml:space="preserve">Preston </v>
      </c>
      <c r="OH2" s="8" t="str">
        <v xml:space="preserve">Preston </v>
      </c>
      <c r="OI2" s="8" t="str">
        <v xml:space="preserve">Preston </v>
      </c>
      <c r="OJ2" s="8" t="str">
        <v>Superior</v>
      </c>
      <c r="OK2" s="8" t="str">
        <v>Huntington Beach</v>
      </c>
      <c r="OL2" s="8" t="str">
        <v>Huntington Beach</v>
      </c>
      <c r="OM2" s="8" t="str">
        <v xml:space="preserve">Preston </v>
      </c>
      <c r="ON2" s="8" t="str">
        <v xml:space="preserve">Preston </v>
      </c>
      <c r="OO2" s="8" t="str">
        <v xml:space="preserve">Palm Desert </v>
      </c>
      <c r="OP2" s="8" t="str">
        <v xml:space="preserve">Palm Desert </v>
      </c>
      <c r="OQ2" s="8" t="str">
        <v xml:space="preserve">Palm Desert </v>
      </c>
      <c r="OR2" s="8" t="str">
        <v xml:space="preserve">Palm Desert </v>
      </c>
      <c r="OS2" s="8" t="str">
        <v xml:space="preserve">Preston </v>
      </c>
      <c r="OT2" s="8" t="str">
        <v xml:space="preserve">Preston </v>
      </c>
      <c r="OU2" s="8" t="str">
        <v xml:space="preserve">Preston </v>
      </c>
      <c r="OV2" s="8" t="str">
        <v xml:space="preserve">Palm Desert </v>
      </c>
      <c r="OW2" s="8" t="str">
        <v xml:space="preserve">Palm Desert </v>
      </c>
      <c r="OX2" s="8" t="str">
        <v xml:space="preserve">Palm Desert </v>
      </c>
      <c r="OY2" s="8" t="str">
        <v xml:space="preserve">Preston </v>
      </c>
      <c r="OZ2" s="8" t="str">
        <v>Superior</v>
      </c>
      <c r="PA2" s="8" t="str">
        <v xml:space="preserve">Preston </v>
      </c>
      <c r="PB2" s="8" t="str">
        <v>Superior</v>
      </c>
      <c r="PC2" s="8" t="str">
        <v xml:space="preserve">Preston </v>
      </c>
      <c r="PD2" s="8" t="str">
        <v>Superior</v>
      </c>
      <c r="PE2" s="8" t="str">
        <v xml:space="preserve">Palm Desert </v>
      </c>
      <c r="PF2" s="8" t="str">
        <v>Superior</v>
      </c>
      <c r="PG2" s="8" t="str">
        <v>Superior</v>
      </c>
      <c r="PH2" s="8" t="str">
        <v xml:space="preserve">Palm Desert </v>
      </c>
      <c r="PI2" s="8" t="str">
        <v xml:space="preserve">Palm Desert </v>
      </c>
      <c r="PJ2" s="8" t="str">
        <v xml:space="preserve">Palm Desert </v>
      </c>
      <c r="PK2" s="8" t="str">
        <v xml:space="preserve">Palm Desert </v>
      </c>
      <c r="PL2" s="8" t="str">
        <v>Superior</v>
      </c>
      <c r="PM2" s="8" t="str">
        <v xml:space="preserve">Preston </v>
      </c>
      <c r="PN2" s="8" t="str">
        <v xml:space="preserve">Palm Desert </v>
      </c>
      <c r="PO2" s="8" t="str">
        <v xml:space="preserve">Preston </v>
      </c>
      <c r="PP2" s="8" t="str">
        <v>Newport Dunes</v>
      </c>
      <c r="PQ2" s="8" t="str">
        <v>Newport Dunes</v>
      </c>
      <c r="PR2" s="8" t="str">
        <v xml:space="preserve">Palm Desert </v>
      </c>
      <c r="PS2" s="8" t="str">
        <v>Aurora's House</v>
      </c>
      <c r="PT2" s="8">
        <v>0</v>
      </c>
      <c r="PU2" s="8">
        <v>0</v>
      </c>
      <c r="PV2" s="8">
        <v>0</v>
      </c>
      <c r="PW2" s="8">
        <v>0</v>
      </c>
      <c r="PX2" s="8">
        <v>0</v>
      </c>
      <c r="PY2" s="8">
        <v>0</v>
      </c>
      <c r="PZ2" s="8">
        <v>0</v>
      </c>
      <c r="QA2" s="8">
        <v>0</v>
      </c>
      <c r="QB2" s="8">
        <v>0</v>
      </c>
      <c r="QC2" s="8">
        <v>0</v>
      </c>
      <c r="QD2" s="8">
        <v>0</v>
      </c>
      <c r="QE2" s="8">
        <v>0</v>
      </c>
      <c r="QF2" s="8">
        <v>0</v>
      </c>
      <c r="QG2" s="8">
        <v>0</v>
      </c>
      <c r="QH2" s="8">
        <v>0</v>
      </c>
      <c r="QI2" s="8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8">
        <v>0</v>
      </c>
      <c r="QW2" s="8">
        <v>0</v>
      </c>
      <c r="QX2" s="8">
        <v>0</v>
      </c>
      <c r="QY2" s="8">
        <v>0</v>
      </c>
      <c r="QZ2" s="8">
        <v>0</v>
      </c>
      <c r="RA2" s="8">
        <v>0</v>
      </c>
      <c r="RB2" s="8">
        <v>0</v>
      </c>
      <c r="RC2" s="8">
        <v>0</v>
      </c>
      <c r="RD2" s="8">
        <v>0</v>
      </c>
      <c r="RE2" s="8">
        <v>0</v>
      </c>
      <c r="RF2" s="8">
        <v>0</v>
      </c>
      <c r="RG2" s="8">
        <v>0</v>
      </c>
      <c r="RH2" s="8">
        <v>0</v>
      </c>
      <c r="RI2" s="8">
        <v>0</v>
      </c>
      <c r="RJ2" s="8">
        <v>0</v>
      </c>
      <c r="RK2" s="8">
        <v>0</v>
      </c>
      <c r="RL2" s="8">
        <v>0</v>
      </c>
      <c r="RM2" s="8">
        <v>0</v>
      </c>
      <c r="RN2" s="8">
        <v>0</v>
      </c>
      <c r="RO2" s="8">
        <v>0</v>
      </c>
      <c r="RP2" s="8">
        <v>0</v>
      </c>
      <c r="RQ2" s="8">
        <v>0</v>
      </c>
      <c r="RR2" s="8">
        <v>0</v>
      </c>
      <c r="RS2" s="8">
        <v>0</v>
      </c>
      <c r="RT2" s="8">
        <v>0</v>
      </c>
      <c r="RU2" s="8">
        <v>0</v>
      </c>
      <c r="RV2" s="8">
        <v>0</v>
      </c>
      <c r="RW2" s="8">
        <v>0</v>
      </c>
      <c r="RX2" s="8">
        <v>0</v>
      </c>
      <c r="RY2" s="8">
        <v>0</v>
      </c>
      <c r="RZ2" s="8">
        <v>0</v>
      </c>
      <c r="SA2" s="8">
        <v>0</v>
      </c>
      <c r="SB2" s="8">
        <v>0</v>
      </c>
      <c r="SC2" s="8">
        <v>0</v>
      </c>
      <c r="SD2" s="8">
        <v>0</v>
      </c>
      <c r="SE2" s="8">
        <v>0</v>
      </c>
      <c r="SF2" s="8">
        <v>0</v>
      </c>
      <c r="SG2" s="8">
        <v>0</v>
      </c>
      <c r="SH2" s="8">
        <v>0</v>
      </c>
      <c r="SI2" s="8">
        <v>0</v>
      </c>
      <c r="SJ2" s="8">
        <v>0</v>
      </c>
      <c r="SK2" s="8">
        <v>0</v>
      </c>
      <c r="SL2" s="8">
        <v>0</v>
      </c>
      <c r="SM2" s="8">
        <v>0</v>
      </c>
      <c r="SN2" s="8">
        <v>0</v>
      </c>
      <c r="SO2" s="8">
        <v>0</v>
      </c>
      <c r="SP2" s="8">
        <v>0</v>
      </c>
      <c r="SQ2" s="8">
        <v>0</v>
      </c>
      <c r="SR2" s="8">
        <v>0</v>
      </c>
      <c r="SS2" s="8">
        <v>0</v>
      </c>
      <c r="ST2" s="8">
        <v>0</v>
      </c>
      <c r="SU2" s="8">
        <v>0</v>
      </c>
      <c r="SV2" s="8">
        <v>0</v>
      </c>
      <c r="SW2" s="8">
        <v>0</v>
      </c>
      <c r="SX2" s="8">
        <v>0</v>
      </c>
      <c r="SY2" s="8">
        <v>0</v>
      </c>
      <c r="SZ2" s="8">
        <v>0</v>
      </c>
      <c r="TA2" s="8">
        <v>0</v>
      </c>
      <c r="TB2" s="8">
        <v>0</v>
      </c>
      <c r="TC2" s="8">
        <v>0</v>
      </c>
      <c r="TD2" s="8">
        <v>0</v>
      </c>
      <c r="TE2" s="8">
        <v>0</v>
      </c>
      <c r="TF2" s="8">
        <v>0</v>
      </c>
      <c r="TG2" s="8">
        <v>0</v>
      </c>
      <c r="TH2" s="8">
        <v>0</v>
      </c>
      <c r="TI2" s="8">
        <v>0</v>
      </c>
      <c r="TJ2" s="8">
        <v>0</v>
      </c>
      <c r="TK2" s="8">
        <v>0</v>
      </c>
      <c r="TL2" s="8">
        <v>0</v>
      </c>
      <c r="TM2" s="8">
        <v>0</v>
      </c>
      <c r="TN2" s="8">
        <v>0</v>
      </c>
      <c r="TO2" s="8">
        <v>0</v>
      </c>
      <c r="TP2" s="8">
        <v>0</v>
      </c>
      <c r="TQ2" s="8">
        <v>0</v>
      </c>
      <c r="TR2" s="8">
        <v>0</v>
      </c>
      <c r="TS2" s="8">
        <v>0</v>
      </c>
      <c r="TT2" s="8">
        <v>0</v>
      </c>
      <c r="TU2" s="8">
        <v>0</v>
      </c>
      <c r="TV2" s="8">
        <v>0</v>
      </c>
      <c r="TW2" s="8">
        <v>0</v>
      </c>
      <c r="TX2" s="8">
        <v>0</v>
      </c>
      <c r="TY2" s="8">
        <v>0</v>
      </c>
      <c r="TZ2" s="8">
        <v>0</v>
      </c>
      <c r="UA2" s="8">
        <v>0</v>
      </c>
      <c r="UB2" s="8">
        <v>0</v>
      </c>
      <c r="UC2" s="8">
        <v>0</v>
      </c>
      <c r="UD2" s="8">
        <v>0</v>
      </c>
      <c r="UE2" s="8">
        <v>0</v>
      </c>
      <c r="UF2" s="8">
        <v>0</v>
      </c>
      <c r="UG2" s="8">
        <v>0</v>
      </c>
      <c r="UH2" s="8">
        <v>0</v>
      </c>
      <c r="UI2" s="8">
        <v>0</v>
      </c>
      <c r="UJ2" s="8">
        <v>0</v>
      </c>
      <c r="UK2" s="8">
        <v>0</v>
      </c>
      <c r="UL2" s="8">
        <v>0</v>
      </c>
      <c r="UM2" s="8">
        <v>0</v>
      </c>
      <c r="UN2" s="8">
        <v>0</v>
      </c>
      <c r="UO2" s="8">
        <v>0</v>
      </c>
      <c r="UP2" s="8">
        <v>0</v>
      </c>
      <c r="UQ2" s="8">
        <v>0</v>
      </c>
      <c r="UR2" s="8">
        <v>0</v>
      </c>
      <c r="US2" s="8">
        <v>0</v>
      </c>
      <c r="UT2" s="8">
        <v>0</v>
      </c>
      <c r="UU2" s="8">
        <v>0</v>
      </c>
      <c r="UV2" s="8">
        <v>0</v>
      </c>
      <c r="UW2" s="8">
        <v>0</v>
      </c>
      <c r="UX2" s="8">
        <v>0</v>
      </c>
      <c r="UY2" s="8">
        <v>0</v>
      </c>
      <c r="UZ2" s="8">
        <v>0</v>
      </c>
      <c r="VA2" s="8">
        <v>0</v>
      </c>
      <c r="VB2" s="8">
        <v>0</v>
      </c>
      <c r="VC2" s="8">
        <v>0</v>
      </c>
      <c r="VD2" s="8">
        <v>0</v>
      </c>
      <c r="VE2" s="8">
        <v>0</v>
      </c>
      <c r="VF2" s="8">
        <v>0</v>
      </c>
      <c r="VG2" s="8">
        <v>0</v>
      </c>
      <c r="VH2" s="8">
        <v>0</v>
      </c>
      <c r="VI2" s="8">
        <v>0</v>
      </c>
      <c r="VJ2" s="8">
        <v>0</v>
      </c>
      <c r="VK2" s="8">
        <v>0</v>
      </c>
      <c r="VL2" s="8">
        <v>0</v>
      </c>
      <c r="VM2" s="8">
        <v>0</v>
      </c>
      <c r="VN2" s="8">
        <v>0</v>
      </c>
      <c r="VO2" s="8">
        <v>0</v>
      </c>
      <c r="VP2" s="8">
        <v>0</v>
      </c>
      <c r="VQ2" s="8">
        <v>0</v>
      </c>
      <c r="VR2" s="8">
        <v>0</v>
      </c>
      <c r="VS2" s="8">
        <v>0</v>
      </c>
      <c r="VT2" s="8">
        <v>0</v>
      </c>
      <c r="VU2" s="8">
        <v>0</v>
      </c>
      <c r="VV2" s="8">
        <v>0</v>
      </c>
      <c r="VW2" s="8">
        <v>0</v>
      </c>
      <c r="VX2" s="8">
        <v>0</v>
      </c>
      <c r="VY2" s="8">
        <v>0</v>
      </c>
      <c r="VZ2" s="8">
        <v>0</v>
      </c>
      <c r="WA2" s="8">
        <v>0</v>
      </c>
      <c r="WB2" s="8">
        <v>0</v>
      </c>
      <c r="WC2" s="8">
        <v>0</v>
      </c>
      <c r="WD2" s="8">
        <v>0</v>
      </c>
      <c r="WE2" s="8">
        <v>0</v>
      </c>
      <c r="WF2" s="8">
        <v>0</v>
      </c>
      <c r="WG2" s="8">
        <v>0</v>
      </c>
      <c r="WH2" s="8">
        <v>0</v>
      </c>
      <c r="WI2" s="8">
        <v>0</v>
      </c>
      <c r="WJ2" s="8">
        <v>0</v>
      </c>
      <c r="WK2" s="8">
        <v>0</v>
      </c>
      <c r="WL2" s="8">
        <v>0</v>
      </c>
      <c r="WM2" s="8">
        <v>0</v>
      </c>
      <c r="WN2" s="8">
        <v>0</v>
      </c>
      <c r="WO2" s="8">
        <v>0</v>
      </c>
      <c r="WP2" s="8">
        <v>0</v>
      </c>
      <c r="WQ2" s="8">
        <v>0</v>
      </c>
      <c r="WR2" s="8">
        <v>0</v>
      </c>
      <c r="WS2" s="8">
        <v>0</v>
      </c>
      <c r="WT2" s="8">
        <v>0</v>
      </c>
      <c r="WU2" s="8">
        <v>0</v>
      </c>
      <c r="WV2" s="8">
        <v>0</v>
      </c>
      <c r="WW2" s="8">
        <v>0</v>
      </c>
      <c r="WX2" s="8">
        <v>0</v>
      </c>
      <c r="WY2" s="8">
        <v>0</v>
      </c>
      <c r="WZ2" s="8">
        <v>0</v>
      </c>
      <c r="XA2" s="8">
        <v>0</v>
      </c>
      <c r="XB2" s="8">
        <v>0</v>
      </c>
      <c r="XC2" s="8">
        <v>0</v>
      </c>
      <c r="XD2" s="8">
        <v>0</v>
      </c>
      <c r="XE2" s="8">
        <v>0</v>
      </c>
      <c r="XF2" s="8">
        <v>0</v>
      </c>
      <c r="XG2" s="8">
        <v>0</v>
      </c>
      <c r="XH2" s="8">
        <v>0</v>
      </c>
      <c r="XI2" s="8">
        <v>0</v>
      </c>
      <c r="XJ2" s="8">
        <v>0</v>
      </c>
      <c r="XK2" s="8">
        <v>0</v>
      </c>
      <c r="XL2" s="8">
        <v>0</v>
      </c>
      <c r="XM2" s="8">
        <v>0</v>
      </c>
      <c r="XN2" s="8">
        <v>0</v>
      </c>
      <c r="XO2" s="8">
        <v>0</v>
      </c>
      <c r="XP2" s="8">
        <v>0</v>
      </c>
      <c r="XQ2" s="8">
        <v>0</v>
      </c>
      <c r="XR2" s="8">
        <v>0</v>
      </c>
      <c r="XS2" s="8">
        <v>0</v>
      </c>
      <c r="XT2" s="8">
        <v>0</v>
      </c>
      <c r="XU2" s="8">
        <v>0</v>
      </c>
      <c r="XV2" s="8">
        <v>0</v>
      </c>
      <c r="XW2" s="8">
        <v>0</v>
      </c>
      <c r="XX2" s="8">
        <v>0</v>
      </c>
      <c r="XY2" s="8">
        <v>0</v>
      </c>
      <c r="XZ2" s="8">
        <v>0</v>
      </c>
      <c r="YA2" s="8">
        <v>0</v>
      </c>
      <c r="YB2" s="8">
        <v>0</v>
      </c>
      <c r="YC2" s="8">
        <v>0</v>
      </c>
      <c r="YD2" s="8">
        <v>0</v>
      </c>
      <c r="YE2" s="8">
        <v>0</v>
      </c>
      <c r="YF2" s="8">
        <v>0</v>
      </c>
      <c r="YG2" s="8">
        <v>0</v>
      </c>
      <c r="YH2" s="8">
        <v>0</v>
      </c>
      <c r="YI2" s="8">
        <v>0</v>
      </c>
      <c r="YJ2" s="8">
        <v>0</v>
      </c>
      <c r="YK2" s="8">
        <v>0</v>
      </c>
      <c r="YL2" s="8">
        <v>0</v>
      </c>
      <c r="YM2" s="8">
        <v>0</v>
      </c>
      <c r="YN2" s="8">
        <v>0</v>
      </c>
      <c r="YO2" s="8">
        <v>0</v>
      </c>
      <c r="YP2" s="8">
        <v>0</v>
      </c>
      <c r="YQ2" s="8">
        <v>0</v>
      </c>
      <c r="YR2" s="8">
        <v>0</v>
      </c>
      <c r="YS2" s="8">
        <v>0</v>
      </c>
      <c r="YT2" s="8">
        <v>0</v>
      </c>
      <c r="YU2" s="8">
        <v>0</v>
      </c>
      <c r="YV2" s="8">
        <v>0</v>
      </c>
      <c r="YW2" s="8">
        <v>0</v>
      </c>
      <c r="YX2" s="8">
        <v>0</v>
      </c>
      <c r="YY2" s="8">
        <v>0</v>
      </c>
      <c r="YZ2" s="8">
        <v>0</v>
      </c>
      <c r="ZA2" s="8">
        <v>0</v>
      </c>
      <c r="ZB2" s="8">
        <v>0</v>
      </c>
      <c r="ZC2" s="8">
        <v>0</v>
      </c>
      <c r="ZD2" s="8">
        <v>0</v>
      </c>
      <c r="ZE2" s="8">
        <v>0</v>
      </c>
      <c r="ZF2" s="8">
        <v>0</v>
      </c>
      <c r="ZG2" s="8">
        <v>0</v>
      </c>
      <c r="ZH2" s="8">
        <v>0</v>
      </c>
      <c r="ZI2" s="8">
        <v>0</v>
      </c>
      <c r="ZJ2" s="8">
        <v>0</v>
      </c>
      <c r="ZK2" s="8">
        <v>0</v>
      </c>
      <c r="ZL2" s="8">
        <v>0</v>
      </c>
      <c r="ZM2" s="8">
        <v>0</v>
      </c>
      <c r="ZN2" s="8">
        <v>0</v>
      </c>
      <c r="ZO2" s="8">
        <v>0</v>
      </c>
      <c r="ZP2" s="8">
        <v>0</v>
      </c>
      <c r="ZQ2" s="8">
        <v>0</v>
      </c>
      <c r="ZR2" s="8">
        <v>0</v>
      </c>
      <c r="ZS2" s="8">
        <v>0</v>
      </c>
      <c r="ZT2" s="8">
        <v>0</v>
      </c>
      <c r="ZU2" s="8">
        <v>0</v>
      </c>
      <c r="ZV2" s="8">
        <v>0</v>
      </c>
      <c r="ZW2" s="8">
        <v>0</v>
      </c>
      <c r="ZX2" s="8">
        <v>0</v>
      </c>
      <c r="ZY2" s="8">
        <v>0</v>
      </c>
      <c r="ZZ2" s="8">
        <v>0</v>
      </c>
      <c r="AAA2" s="8">
        <v>0</v>
      </c>
      <c r="AAB2" s="8">
        <v>0</v>
      </c>
      <c r="AAC2" s="8">
        <v>0</v>
      </c>
      <c r="AAD2" s="8">
        <v>0</v>
      </c>
      <c r="AAE2" s="8">
        <v>0</v>
      </c>
      <c r="AAF2" s="8">
        <v>0</v>
      </c>
      <c r="AAG2" s="8">
        <v>0</v>
      </c>
      <c r="AAH2" s="8">
        <v>0</v>
      </c>
      <c r="AAI2" s="8">
        <v>0</v>
      </c>
      <c r="AAJ2" s="8">
        <v>0</v>
      </c>
      <c r="AAK2" s="8">
        <v>0</v>
      </c>
      <c r="AAL2" s="8">
        <v>0</v>
      </c>
      <c r="AAM2" s="8">
        <v>0</v>
      </c>
      <c r="AAN2" s="8">
        <v>0</v>
      </c>
      <c r="AAO2" s="8">
        <v>0</v>
      </c>
      <c r="AAP2" s="8">
        <v>0</v>
      </c>
      <c r="AAQ2" s="8">
        <v>0</v>
      </c>
      <c r="AAR2" s="8">
        <v>0</v>
      </c>
      <c r="AAS2" s="8">
        <v>0</v>
      </c>
      <c r="AAT2" s="8">
        <v>0</v>
      </c>
      <c r="AAU2" s="8">
        <v>0</v>
      </c>
      <c r="AAV2" s="8">
        <v>0</v>
      </c>
      <c r="AAW2" s="8">
        <v>0</v>
      </c>
      <c r="AAX2" s="8">
        <v>0</v>
      </c>
      <c r="AAY2" s="8">
        <v>0</v>
      </c>
      <c r="AAZ2" s="8">
        <v>0</v>
      </c>
      <c r="ABA2" s="8">
        <v>0</v>
      </c>
      <c r="ABB2" s="8">
        <v>0</v>
      </c>
      <c r="ABC2" s="8">
        <v>0</v>
      </c>
      <c r="ABD2" s="8">
        <v>0</v>
      </c>
      <c r="ABE2" s="8">
        <v>0</v>
      </c>
      <c r="ABF2" s="8">
        <v>0</v>
      </c>
      <c r="ABG2" s="8">
        <v>0</v>
      </c>
      <c r="ABH2" s="8">
        <v>0</v>
      </c>
      <c r="ABI2" s="8">
        <v>0</v>
      </c>
      <c r="ABJ2" s="8">
        <v>0</v>
      </c>
      <c r="ABK2" s="8">
        <v>0</v>
      </c>
      <c r="ABL2" s="8">
        <v>0</v>
      </c>
      <c r="ABM2" s="8">
        <v>0</v>
      </c>
      <c r="ABN2" s="8">
        <v>0</v>
      </c>
      <c r="ABO2" s="8">
        <v>0</v>
      </c>
      <c r="ABP2" s="8">
        <v>0</v>
      </c>
      <c r="ABQ2" s="8">
        <v>0</v>
      </c>
      <c r="ABR2" s="8">
        <v>0</v>
      </c>
      <c r="ABS2" s="8">
        <v>0</v>
      </c>
      <c r="ABT2" s="8">
        <v>0</v>
      </c>
      <c r="ABU2" s="8">
        <v>0</v>
      </c>
      <c r="ABV2" s="8">
        <v>0</v>
      </c>
      <c r="ABW2" s="8">
        <v>0</v>
      </c>
      <c r="ABX2" s="8">
        <v>0</v>
      </c>
      <c r="ABY2" s="8">
        <v>0</v>
      </c>
      <c r="ABZ2" s="8">
        <v>0</v>
      </c>
      <c r="ACA2" s="8">
        <v>0</v>
      </c>
      <c r="ACB2" s="8">
        <v>0</v>
      </c>
      <c r="ACC2" s="8">
        <v>0</v>
      </c>
      <c r="ACD2" s="8">
        <v>0</v>
      </c>
      <c r="ACE2" s="8">
        <v>0</v>
      </c>
      <c r="ACF2" s="8">
        <v>0</v>
      </c>
      <c r="ACG2" s="8">
        <v>0</v>
      </c>
      <c r="ACH2" s="8">
        <v>0</v>
      </c>
      <c r="ACI2" s="8">
        <v>0</v>
      </c>
      <c r="ACJ2" s="8">
        <v>0</v>
      </c>
      <c r="ACK2" s="8">
        <v>0</v>
      </c>
      <c r="ACL2" s="8">
        <v>0</v>
      </c>
      <c r="ACM2" s="8">
        <v>0</v>
      </c>
      <c r="ACN2" s="8">
        <v>0</v>
      </c>
      <c r="ACO2" s="8">
        <v>0</v>
      </c>
      <c r="ACP2" s="8">
        <v>0</v>
      </c>
      <c r="ACQ2" s="8">
        <v>0</v>
      </c>
      <c r="ACR2" s="8">
        <v>0</v>
      </c>
      <c r="ACS2" s="8">
        <v>0</v>
      </c>
      <c r="ACT2" s="8">
        <v>0</v>
      </c>
      <c r="ACU2" s="8">
        <v>0</v>
      </c>
      <c r="ACV2" s="8">
        <v>0</v>
      </c>
      <c r="ACW2" s="8">
        <v>0</v>
      </c>
      <c r="ACX2" s="8">
        <v>0</v>
      </c>
      <c r="ACY2" s="8">
        <v>0</v>
      </c>
      <c r="ACZ2" s="8">
        <v>0</v>
      </c>
      <c r="ADA2" s="8">
        <v>0</v>
      </c>
      <c r="ADB2" s="8">
        <v>0</v>
      </c>
      <c r="ADC2" s="8">
        <v>0</v>
      </c>
      <c r="ADD2" s="8">
        <v>0</v>
      </c>
      <c r="ADE2" s="8">
        <v>0</v>
      </c>
      <c r="ADF2" s="8">
        <v>0</v>
      </c>
      <c r="ADG2" s="8">
        <v>0</v>
      </c>
      <c r="ADH2" s="8">
        <v>0</v>
      </c>
      <c r="ADI2" s="8">
        <v>0</v>
      </c>
      <c r="ADJ2" s="8">
        <v>0</v>
      </c>
      <c r="ADK2" s="8">
        <v>0</v>
      </c>
      <c r="ADL2" s="8">
        <v>0</v>
      </c>
      <c r="ADM2" s="8">
        <v>0</v>
      </c>
      <c r="ADN2" s="8">
        <v>0</v>
      </c>
      <c r="ADO2" s="8">
        <v>0</v>
      </c>
      <c r="ADP2" s="8">
        <v>0</v>
      </c>
      <c r="ADQ2" s="8">
        <v>0</v>
      </c>
      <c r="ADR2" s="8">
        <v>0</v>
      </c>
      <c r="ADS2" s="8">
        <v>0</v>
      </c>
      <c r="ADT2" s="8">
        <v>0</v>
      </c>
      <c r="ADU2" s="8">
        <v>0</v>
      </c>
      <c r="ADV2" s="8">
        <v>0</v>
      </c>
      <c r="ADW2" s="8">
        <v>0</v>
      </c>
      <c r="ADX2" s="8">
        <v>0</v>
      </c>
      <c r="ADY2" s="8">
        <v>0</v>
      </c>
      <c r="ADZ2" s="8">
        <v>0</v>
      </c>
      <c r="AEA2" s="8">
        <v>0</v>
      </c>
      <c r="AEB2" s="8">
        <v>0</v>
      </c>
      <c r="AEC2" s="8">
        <v>0</v>
      </c>
      <c r="AED2" s="8">
        <v>0</v>
      </c>
      <c r="AEE2" s="8">
        <v>0</v>
      </c>
      <c r="AEF2" s="8">
        <v>0</v>
      </c>
      <c r="AEG2" s="8">
        <v>0</v>
      </c>
      <c r="AEH2" s="8">
        <v>0</v>
      </c>
      <c r="AEI2" s="8">
        <v>0</v>
      </c>
      <c r="AEJ2" s="8">
        <v>0</v>
      </c>
      <c r="AEK2" s="8">
        <v>0</v>
      </c>
      <c r="AEL2" s="8">
        <v>0</v>
      </c>
      <c r="AEM2" s="8">
        <v>0</v>
      </c>
      <c r="AEN2" s="8">
        <v>0</v>
      </c>
      <c r="AEO2" s="8">
        <v>0</v>
      </c>
      <c r="AEP2" s="8">
        <v>0</v>
      </c>
      <c r="AEQ2" s="8">
        <v>0</v>
      </c>
      <c r="AER2" s="8">
        <v>0</v>
      </c>
      <c r="AES2" s="8">
        <v>0</v>
      </c>
      <c r="AET2" s="8">
        <v>0</v>
      </c>
      <c r="AEU2" s="8">
        <v>0</v>
      </c>
      <c r="AEV2" s="8">
        <v>0</v>
      </c>
      <c r="AEW2" s="8">
        <v>0</v>
      </c>
      <c r="AEX2" s="8">
        <v>0</v>
      </c>
      <c r="AEY2" s="8">
        <v>0</v>
      </c>
      <c r="AEZ2" s="8">
        <v>0</v>
      </c>
      <c r="AFA2" s="8">
        <v>0</v>
      </c>
      <c r="AFB2" s="8">
        <v>0</v>
      </c>
      <c r="AFC2" s="8">
        <v>0</v>
      </c>
      <c r="AFD2" s="8">
        <v>0</v>
      </c>
      <c r="AFE2" s="8">
        <v>0</v>
      </c>
      <c r="AFF2" s="8">
        <v>0</v>
      </c>
      <c r="AFG2" s="8">
        <v>0</v>
      </c>
      <c r="AFH2" s="8">
        <v>0</v>
      </c>
      <c r="AFI2" s="8">
        <v>0</v>
      </c>
      <c r="AFJ2" s="8">
        <v>0</v>
      </c>
      <c r="AFK2" s="8">
        <v>0</v>
      </c>
      <c r="AFL2" s="8">
        <v>0</v>
      </c>
      <c r="AFM2" s="8">
        <v>0</v>
      </c>
      <c r="AFN2" s="8">
        <v>0</v>
      </c>
      <c r="AFO2" s="8">
        <v>0</v>
      </c>
      <c r="AFP2" s="8">
        <v>0</v>
      </c>
      <c r="AFQ2" s="8">
        <v>0</v>
      </c>
      <c r="AFR2" s="8">
        <v>0</v>
      </c>
      <c r="AFS2" s="8">
        <v>0</v>
      </c>
      <c r="AFT2" s="8">
        <v>0</v>
      </c>
      <c r="AFU2" s="8">
        <v>0</v>
      </c>
      <c r="AFV2" s="8">
        <v>0</v>
      </c>
      <c r="AFW2" s="8">
        <v>0</v>
      </c>
      <c r="AFX2" s="8">
        <v>0</v>
      </c>
      <c r="AFY2" s="8">
        <v>0</v>
      </c>
      <c r="AFZ2" s="8">
        <v>0</v>
      </c>
      <c r="AGA2" s="8">
        <v>0</v>
      </c>
      <c r="AGB2" s="8">
        <v>0</v>
      </c>
      <c r="AGC2" s="8">
        <v>0</v>
      </c>
      <c r="AGD2" s="8">
        <v>0</v>
      </c>
      <c r="AGE2" s="8">
        <v>0</v>
      </c>
      <c r="AGF2" s="8">
        <v>0</v>
      </c>
      <c r="AGG2" s="8">
        <v>0</v>
      </c>
      <c r="AGH2" s="8">
        <v>0</v>
      </c>
      <c r="AGI2" s="8">
        <v>0</v>
      </c>
      <c r="AGJ2" s="8">
        <v>0</v>
      </c>
      <c r="AGK2" s="8">
        <v>0</v>
      </c>
      <c r="AGL2" s="8">
        <v>0</v>
      </c>
      <c r="AGM2" s="8">
        <v>0</v>
      </c>
      <c r="AGN2" s="8">
        <v>0</v>
      </c>
      <c r="AGO2" s="8">
        <v>0</v>
      </c>
      <c r="AGP2" s="8">
        <v>0</v>
      </c>
      <c r="AGQ2" s="8">
        <v>0</v>
      </c>
      <c r="AGR2" s="8">
        <v>0</v>
      </c>
      <c r="AGS2" s="8">
        <v>0</v>
      </c>
      <c r="AGT2" s="8">
        <v>0</v>
      </c>
      <c r="AGU2" s="8">
        <v>0</v>
      </c>
      <c r="AGV2" s="8">
        <v>0</v>
      </c>
      <c r="AGW2" s="8">
        <v>0</v>
      </c>
      <c r="AGX2" s="8">
        <v>0</v>
      </c>
      <c r="AGY2" s="8">
        <v>0</v>
      </c>
      <c r="AGZ2" s="8">
        <v>0</v>
      </c>
      <c r="AHA2" s="8">
        <v>0</v>
      </c>
      <c r="AHB2" s="8">
        <v>0</v>
      </c>
      <c r="AHC2" s="8">
        <v>0</v>
      </c>
      <c r="AHD2" s="8">
        <v>0</v>
      </c>
      <c r="AHE2" s="8">
        <v>0</v>
      </c>
      <c r="AHF2" s="8">
        <v>0</v>
      </c>
      <c r="AHG2" s="8">
        <v>0</v>
      </c>
      <c r="AHH2" s="8">
        <v>0</v>
      </c>
      <c r="AHI2" s="8">
        <v>0</v>
      </c>
      <c r="AHJ2" s="8">
        <v>0</v>
      </c>
      <c r="AHK2" s="8">
        <v>0</v>
      </c>
      <c r="AHL2" s="8">
        <v>0</v>
      </c>
      <c r="AHM2" s="8">
        <v>0</v>
      </c>
      <c r="AHN2" s="8">
        <v>0</v>
      </c>
      <c r="AHO2" s="8">
        <v>0</v>
      </c>
      <c r="AHP2" s="8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 t="e">
        <v>#N/A</v>
      </c>
      <c r="AIJ2" t="e">
        <v>#N/A</v>
      </c>
      <c r="AIK2" t="e">
        <v>#N/A</v>
      </c>
      <c r="AIL2" t="e">
        <v>#N/A</v>
      </c>
      <c r="AIM2" t="e">
        <v>#N/A</v>
      </c>
      <c r="AIN2" t="e">
        <v>#N/A</v>
      </c>
      <c r="AIO2" t="e">
        <v>#N/A</v>
      </c>
      <c r="AIP2" t="e">
        <v>#N/A</v>
      </c>
      <c r="AIQ2" t="e">
        <v>#N/A</v>
      </c>
      <c r="AIR2" t="e">
        <v>#N/A</v>
      </c>
      <c r="AIS2" t="e">
        <v>#N/A</v>
      </c>
      <c r="AIT2" t="e">
        <v>#N/A</v>
      </c>
      <c r="AIU2" t="e">
        <v>#N/A</v>
      </c>
      <c r="AIV2" t="e">
        <v>#N/A</v>
      </c>
      <c r="AIW2" t="e">
        <v>#N/A</v>
      </c>
      <c r="AIX2" t="e">
        <v>#N/A</v>
      </c>
      <c r="AIY2" t="e">
        <v>#N/A</v>
      </c>
      <c r="AIZ2" t="e">
        <v>#N/A</v>
      </c>
      <c r="AJA2" t="e">
        <v>#N/A</v>
      </c>
      <c r="AJB2" t="e">
        <v>#N/A</v>
      </c>
      <c r="AJC2" t="e">
        <v>#N/A</v>
      </c>
      <c r="AJD2" t="e">
        <v>#N/A</v>
      </c>
      <c r="AJE2" t="e">
        <v>#N/A</v>
      </c>
      <c r="AJF2" t="e">
        <v>#N/A</v>
      </c>
      <c r="AJG2" t="e">
        <v>#N/A</v>
      </c>
      <c r="AJH2" t="e">
        <v>#N/A</v>
      </c>
      <c r="AJI2" t="e">
        <v>#N/A</v>
      </c>
      <c r="AJJ2" t="e">
        <v>#N/A</v>
      </c>
      <c r="AJK2" t="e">
        <v>#N/A</v>
      </c>
      <c r="AJL2" t="e">
        <v>#N/A</v>
      </c>
      <c r="AJM2" t="e">
        <v>#N/A</v>
      </c>
      <c r="AJN2" t="e">
        <v>#N/A</v>
      </c>
      <c r="AJO2" t="e">
        <v>#N/A</v>
      </c>
      <c r="AJP2" t="e">
        <v>#N/A</v>
      </c>
      <c r="AJQ2" t="e">
        <v>#N/A</v>
      </c>
      <c r="AJR2" t="e">
        <v>#N/A</v>
      </c>
      <c r="AJS2" t="e">
        <v>#N/A</v>
      </c>
      <c r="AJT2" t="e">
        <v>#N/A</v>
      </c>
      <c r="AJU2" t="e">
        <v>#N/A</v>
      </c>
      <c r="AJV2" t="e">
        <v>#N/A</v>
      </c>
      <c r="AJW2" t="e">
        <v>#N/A</v>
      </c>
      <c r="AJX2" t="e">
        <v>#N/A</v>
      </c>
      <c r="AJY2" t="e">
        <v>#N/A</v>
      </c>
      <c r="AJZ2" t="e">
        <v>#N/A</v>
      </c>
      <c r="AKA2" t="e">
        <v>#N/A</v>
      </c>
      <c r="AKB2" t="e">
        <v>#N/A</v>
      </c>
      <c r="AKC2" t="e">
        <v>#N/A</v>
      </c>
      <c r="AKD2" t="e">
        <v>#N/A</v>
      </c>
      <c r="AKE2" t="e">
        <v>#N/A</v>
      </c>
      <c r="AKF2" t="e">
        <v>#N/A</v>
      </c>
      <c r="AKG2" t="e">
        <v>#N/A</v>
      </c>
      <c r="AKH2" t="e">
        <v>#N/A</v>
      </c>
      <c r="AKI2" t="e">
        <v>#N/A</v>
      </c>
      <c r="AKJ2" t="e">
        <v>#N/A</v>
      </c>
      <c r="AKK2" t="e">
        <v>#N/A</v>
      </c>
      <c r="AKL2" t="e">
        <v>#N/A</v>
      </c>
      <c r="AKM2" t="e">
        <v>#N/A</v>
      </c>
      <c r="AKN2" t="e">
        <v>#N/A</v>
      </c>
      <c r="AKO2" t="e">
        <v>#N/A</v>
      </c>
      <c r="AKP2" t="e">
        <v>#N/A</v>
      </c>
      <c r="AKQ2" t="e">
        <v>#N/A</v>
      </c>
      <c r="AKR2" t="e">
        <v>#N/A</v>
      </c>
      <c r="AKS2" t="e">
        <v>#N/A</v>
      </c>
      <c r="AKT2" t="e">
        <v>#N/A</v>
      </c>
      <c r="AKU2" t="e">
        <v>#N/A</v>
      </c>
      <c r="AKV2" t="e">
        <v>#N/A</v>
      </c>
      <c r="AKW2" t="e">
        <v>#N/A</v>
      </c>
      <c r="AKX2" t="e">
        <v>#N/A</v>
      </c>
      <c r="AKY2" t="e">
        <v>#N/A</v>
      </c>
      <c r="AKZ2" t="e">
        <v>#N/A</v>
      </c>
      <c r="ALA2" t="e">
        <v>#N/A</v>
      </c>
      <c r="ALB2" t="e">
        <v>#N/A</v>
      </c>
      <c r="ALC2" t="e">
        <v>#N/A</v>
      </c>
      <c r="ALD2" t="e">
        <v>#N/A</v>
      </c>
      <c r="ALE2" t="e">
        <v>#N/A</v>
      </c>
      <c r="ALF2" t="e">
        <v>#N/A</v>
      </c>
      <c r="ALG2" t="e">
        <v>#N/A</v>
      </c>
      <c r="ALH2" t="e">
        <v>#N/A</v>
      </c>
      <c r="ALI2" t="e">
        <v>#N/A</v>
      </c>
      <c r="ALJ2" t="e">
        <v>#N/A</v>
      </c>
      <c r="ALK2" t="e">
        <v>#N/A</v>
      </c>
      <c r="ALL2" t="e">
        <v>#N/A</v>
      </c>
      <c r="ALM2" t="e">
        <v>#N/A</v>
      </c>
      <c r="ALN2" t="e">
        <v>#N/A</v>
      </c>
      <c r="ALO2" t="e">
        <v>#N/A</v>
      </c>
      <c r="ALP2" t="e">
        <v>#N/A</v>
      </c>
      <c r="ALQ2" t="e">
        <v>#N/A</v>
      </c>
      <c r="ALR2" t="e">
        <v>#N/A</v>
      </c>
      <c r="ALS2" t="e">
        <v>#N/A</v>
      </c>
      <c r="ALT2" t="e">
        <v>#N/A</v>
      </c>
      <c r="ALU2" t="e">
        <v>#N/A</v>
      </c>
      <c r="ALV2" t="e">
        <v>#N/A</v>
      </c>
      <c r="ALW2" t="e">
        <v>#N/A</v>
      </c>
      <c r="ALX2" t="e">
        <v>#N/A</v>
      </c>
      <c r="ALY2" t="e">
        <v>#N/A</v>
      </c>
      <c r="ALZ2" t="e">
        <v>#N/A</v>
      </c>
      <c r="AMA2" t="e">
        <v>#N/A</v>
      </c>
      <c r="AMB2" t="e">
        <v>#N/A</v>
      </c>
      <c r="AMC2" t="e">
        <v>#N/A</v>
      </c>
      <c r="AMD2" t="e">
        <v>#N/A</v>
      </c>
      <c r="AME2" t="e">
        <v>#N/A</v>
      </c>
      <c r="AMF2" t="e">
        <v>#N/A</v>
      </c>
      <c r="AMG2" t="e">
        <v>#N/A</v>
      </c>
      <c r="AMH2" t="e">
        <v>#N/A</v>
      </c>
    </row>
    <row r="3" spans="1:1022" ht="15.75" customHeight="1">
      <c r="A3" s="8" t="str">
        <v>Half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 t="str">
        <v>Yes</v>
      </c>
      <c r="P3" s="8">
        <v>0</v>
      </c>
      <c r="Q3" s="8" t="str">
        <v>Yes</v>
      </c>
      <c r="R3" s="8">
        <v>0</v>
      </c>
      <c r="S3" s="8">
        <v>0</v>
      </c>
      <c r="T3" s="8">
        <v>0</v>
      </c>
      <c r="U3" s="8" t="str">
        <v>Yes</v>
      </c>
      <c r="V3" s="8" t="str">
        <v>Yes</v>
      </c>
      <c r="W3" s="8">
        <v>0</v>
      </c>
      <c r="X3" s="8" t="str">
        <v>Yes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 t="str">
        <v>Yes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 t="str">
        <v>Yes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 t="str">
        <v>Yes</v>
      </c>
      <c r="AS3" s="8">
        <v>0</v>
      </c>
      <c r="AT3" s="8">
        <v>0</v>
      </c>
      <c r="AU3" s="8">
        <v>0</v>
      </c>
      <c r="AV3" s="8">
        <v>0</v>
      </c>
      <c r="AW3" s="8" t="str">
        <v>Yes</v>
      </c>
      <c r="AX3" s="8">
        <v>0</v>
      </c>
      <c r="AY3" s="8">
        <v>0</v>
      </c>
      <c r="AZ3" s="8">
        <v>0</v>
      </c>
      <c r="BA3" s="8" t="str">
        <v>Yes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 t="str">
        <v>Yes</v>
      </c>
      <c r="BU3" s="8">
        <v>0</v>
      </c>
      <c r="BV3" s="8">
        <v>0</v>
      </c>
      <c r="BW3" s="8">
        <v>0</v>
      </c>
      <c r="BX3" s="8" t="str">
        <v>Yes</v>
      </c>
      <c r="BY3" s="8" t="str">
        <v>Yes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 t="str">
        <v>Yes</v>
      </c>
      <c r="CO3" s="8" t="str">
        <v>Yes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 t="str">
        <v>Yes</v>
      </c>
      <c r="DG3" s="8">
        <v>0</v>
      </c>
      <c r="DH3" s="8" t="str">
        <v>Yes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 t="str">
        <v>Yes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0</v>
      </c>
      <c r="DY3" s="8" t="str">
        <v>Yes</v>
      </c>
      <c r="DZ3" s="8" t="str">
        <v>Yes</v>
      </c>
      <c r="EA3" s="8">
        <v>0</v>
      </c>
      <c r="EB3" s="8">
        <v>0</v>
      </c>
      <c r="EC3" s="8">
        <v>0</v>
      </c>
      <c r="ED3" s="8">
        <v>0</v>
      </c>
      <c r="EE3" s="8">
        <v>0</v>
      </c>
      <c r="EF3" s="8">
        <v>0</v>
      </c>
      <c r="EG3" s="8" t="str">
        <v>Yes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0</v>
      </c>
      <c r="FK3" s="8">
        <v>0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0</v>
      </c>
      <c r="FS3" s="8">
        <v>0</v>
      </c>
      <c r="FT3" s="8">
        <v>0</v>
      </c>
      <c r="FU3" s="8" t="str">
        <v>Yes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8">
        <v>0</v>
      </c>
      <c r="GG3" s="8" t="str">
        <v>Yes</v>
      </c>
      <c r="GH3" s="8">
        <v>0</v>
      </c>
      <c r="GI3" s="8">
        <v>0</v>
      </c>
      <c r="GJ3" s="8">
        <v>0</v>
      </c>
      <c r="GK3" s="8">
        <v>0</v>
      </c>
      <c r="GL3" s="8" t="str">
        <v>Yes</v>
      </c>
      <c r="GM3" s="8">
        <v>0</v>
      </c>
      <c r="GN3" s="8">
        <v>0</v>
      </c>
      <c r="GO3" s="8" t="str">
        <v>Yes</v>
      </c>
      <c r="GP3" s="8">
        <v>0</v>
      </c>
      <c r="GQ3" s="8">
        <v>0</v>
      </c>
      <c r="GR3" s="8" t="str">
        <v>Yes</v>
      </c>
      <c r="GS3" s="8">
        <v>0</v>
      </c>
      <c r="GT3" s="8">
        <v>0</v>
      </c>
      <c r="GU3" s="8" t="str">
        <v>Yes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0</v>
      </c>
      <c r="IN3" s="8">
        <v>0</v>
      </c>
      <c r="IO3" s="8">
        <v>0</v>
      </c>
      <c r="IP3" s="8">
        <v>0</v>
      </c>
      <c r="IQ3" s="8">
        <v>0</v>
      </c>
      <c r="IR3" s="8">
        <v>0</v>
      </c>
      <c r="IS3" s="8">
        <v>0</v>
      </c>
      <c r="IT3" s="8">
        <v>0</v>
      </c>
      <c r="IU3" s="8">
        <v>0</v>
      </c>
      <c r="IV3" s="8">
        <v>0</v>
      </c>
      <c r="IW3" s="8">
        <v>0</v>
      </c>
      <c r="IX3" s="8">
        <v>0</v>
      </c>
      <c r="IY3" s="8">
        <v>0</v>
      </c>
      <c r="IZ3" s="8">
        <v>0</v>
      </c>
      <c r="JA3" s="8">
        <v>0</v>
      </c>
      <c r="JB3" s="8">
        <v>0</v>
      </c>
      <c r="JC3" s="8">
        <v>0</v>
      </c>
      <c r="JD3" s="8">
        <v>0</v>
      </c>
      <c r="JE3" s="8">
        <v>0</v>
      </c>
      <c r="JF3" s="8">
        <v>0</v>
      </c>
      <c r="JG3" s="8">
        <v>0</v>
      </c>
      <c r="JH3" s="8">
        <v>0</v>
      </c>
      <c r="JI3" s="8">
        <v>0</v>
      </c>
      <c r="JJ3" s="8">
        <v>0</v>
      </c>
      <c r="JK3" s="8">
        <v>0</v>
      </c>
      <c r="JL3" s="8">
        <v>0</v>
      </c>
      <c r="JM3" s="8">
        <v>0</v>
      </c>
      <c r="JN3" s="8">
        <v>0</v>
      </c>
      <c r="JO3" s="8">
        <v>0</v>
      </c>
      <c r="JP3" s="8">
        <v>0</v>
      </c>
      <c r="JQ3" s="8">
        <v>0</v>
      </c>
      <c r="JR3" s="8">
        <v>0</v>
      </c>
      <c r="JS3" s="8">
        <v>0</v>
      </c>
      <c r="JT3" s="8">
        <v>0</v>
      </c>
      <c r="JU3" s="8">
        <v>0</v>
      </c>
      <c r="JV3" s="8">
        <v>0</v>
      </c>
      <c r="JW3" s="8">
        <v>0</v>
      </c>
      <c r="JX3" s="8">
        <v>0</v>
      </c>
      <c r="JY3" s="8">
        <v>0</v>
      </c>
      <c r="JZ3" s="8">
        <v>0</v>
      </c>
      <c r="KA3" s="8">
        <v>0</v>
      </c>
      <c r="KB3" s="8">
        <v>0</v>
      </c>
      <c r="KC3" s="8">
        <v>0</v>
      </c>
      <c r="KD3" s="8">
        <v>0</v>
      </c>
      <c r="KE3" s="8">
        <v>0</v>
      </c>
      <c r="KF3" s="8">
        <v>0</v>
      </c>
      <c r="KG3" s="8">
        <v>0</v>
      </c>
      <c r="KH3" s="8">
        <v>0</v>
      </c>
      <c r="KI3" s="8">
        <v>0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0</v>
      </c>
      <c r="KP3" s="8">
        <v>0</v>
      </c>
      <c r="KQ3" s="8">
        <v>0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0</v>
      </c>
      <c r="KY3" s="8">
        <v>0</v>
      </c>
      <c r="KZ3" s="8">
        <v>0</v>
      </c>
      <c r="LA3" s="8">
        <v>0</v>
      </c>
      <c r="LB3" s="8">
        <v>0</v>
      </c>
      <c r="LC3" s="8">
        <v>0</v>
      </c>
      <c r="LD3" s="8">
        <v>0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0</v>
      </c>
      <c r="LK3" s="8">
        <v>0</v>
      </c>
      <c r="LL3" s="8">
        <v>0</v>
      </c>
      <c r="LM3" s="8">
        <v>0</v>
      </c>
      <c r="LN3" s="8">
        <v>0</v>
      </c>
      <c r="LO3" s="8">
        <v>0</v>
      </c>
      <c r="LP3" s="8">
        <v>0</v>
      </c>
      <c r="LQ3" s="8">
        <v>0</v>
      </c>
      <c r="LR3" s="8">
        <v>0</v>
      </c>
      <c r="LS3" s="8">
        <v>0</v>
      </c>
      <c r="LT3" s="8" t="str">
        <v>Yes</v>
      </c>
      <c r="LU3" s="8">
        <v>0</v>
      </c>
      <c r="LV3" s="8">
        <v>0</v>
      </c>
      <c r="LW3" s="8">
        <v>0</v>
      </c>
      <c r="LX3" s="8">
        <v>0</v>
      </c>
      <c r="LY3" s="8">
        <v>0</v>
      </c>
      <c r="LZ3" s="8">
        <v>0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0</v>
      </c>
      <c r="MJ3" s="8">
        <v>0</v>
      </c>
      <c r="MK3" s="8">
        <v>0</v>
      </c>
      <c r="ML3" s="8">
        <v>0</v>
      </c>
      <c r="MM3" s="8">
        <v>0</v>
      </c>
      <c r="MN3" s="8">
        <v>0</v>
      </c>
      <c r="MO3" s="8">
        <v>0</v>
      </c>
      <c r="MP3" s="8">
        <v>0</v>
      </c>
      <c r="MQ3" s="8">
        <v>0</v>
      </c>
      <c r="MR3" s="8">
        <v>0</v>
      </c>
      <c r="MS3" s="8">
        <v>0</v>
      </c>
      <c r="MT3" s="8">
        <v>0</v>
      </c>
      <c r="MU3" s="8">
        <v>0</v>
      </c>
      <c r="MV3" s="8">
        <v>0</v>
      </c>
      <c r="MW3" s="8">
        <v>0</v>
      </c>
      <c r="MX3" s="8">
        <v>0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0</v>
      </c>
      <c r="NE3" s="8">
        <v>0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0</v>
      </c>
      <c r="NW3" s="8">
        <v>0</v>
      </c>
      <c r="NX3" s="8">
        <v>0</v>
      </c>
      <c r="NY3" s="8">
        <v>0</v>
      </c>
      <c r="NZ3" s="8">
        <v>0</v>
      </c>
      <c r="OA3" s="8">
        <v>0</v>
      </c>
      <c r="OB3" s="8">
        <v>0</v>
      </c>
      <c r="OC3" s="8">
        <v>0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</v>
      </c>
      <c r="OT3" s="8">
        <v>0</v>
      </c>
      <c r="OU3" s="8">
        <v>0</v>
      </c>
      <c r="OV3" s="8">
        <v>0</v>
      </c>
      <c r="OW3" s="8">
        <v>0</v>
      </c>
      <c r="OX3" s="8">
        <v>0</v>
      </c>
      <c r="OY3" s="8">
        <v>0</v>
      </c>
      <c r="OZ3" s="8">
        <v>0</v>
      </c>
      <c r="PA3" s="8">
        <v>0</v>
      </c>
      <c r="PB3" s="8">
        <v>0</v>
      </c>
      <c r="PC3" s="8">
        <v>0</v>
      </c>
      <c r="PD3" s="8">
        <v>0</v>
      </c>
      <c r="PE3" s="8">
        <v>0</v>
      </c>
      <c r="PF3" s="8">
        <v>0</v>
      </c>
      <c r="PG3" s="8">
        <v>0</v>
      </c>
      <c r="PH3" s="8">
        <v>0</v>
      </c>
      <c r="PI3" s="8">
        <v>0</v>
      </c>
      <c r="PJ3" s="8">
        <v>0</v>
      </c>
      <c r="PK3" s="8">
        <v>0</v>
      </c>
      <c r="PL3" s="8">
        <v>0</v>
      </c>
      <c r="PM3" s="8">
        <v>0</v>
      </c>
      <c r="PN3" s="8">
        <v>0</v>
      </c>
      <c r="PO3" s="8" t="str">
        <v>Yes</v>
      </c>
      <c r="PP3" s="8">
        <v>0</v>
      </c>
      <c r="PQ3" s="8">
        <v>0</v>
      </c>
      <c r="PR3" s="8" t="str">
        <v>Yes</v>
      </c>
      <c r="PS3" s="8">
        <v>0</v>
      </c>
      <c r="PT3" s="8">
        <v>0</v>
      </c>
      <c r="PU3" s="8">
        <v>0</v>
      </c>
      <c r="PV3" s="8">
        <v>0</v>
      </c>
      <c r="PW3" s="8">
        <v>0</v>
      </c>
      <c r="PX3" s="8">
        <v>0</v>
      </c>
      <c r="PY3" s="8">
        <v>0</v>
      </c>
      <c r="PZ3" s="8">
        <v>0</v>
      </c>
      <c r="QA3" s="8">
        <v>0</v>
      </c>
      <c r="QB3" s="8">
        <v>0</v>
      </c>
      <c r="QC3" s="8">
        <v>0</v>
      </c>
      <c r="QD3" s="8">
        <v>0</v>
      </c>
      <c r="QE3" s="8">
        <v>0</v>
      </c>
      <c r="QF3" s="8">
        <v>0</v>
      </c>
      <c r="QG3" s="8">
        <v>0</v>
      </c>
      <c r="QH3" s="8">
        <v>0</v>
      </c>
      <c r="QI3" s="8">
        <v>0</v>
      </c>
      <c r="QJ3" s="8">
        <v>0</v>
      </c>
      <c r="QK3" s="8">
        <v>0</v>
      </c>
      <c r="QL3" s="8">
        <v>0</v>
      </c>
      <c r="QM3" s="8">
        <v>0</v>
      </c>
      <c r="QN3" s="8">
        <v>0</v>
      </c>
      <c r="QO3" s="8">
        <v>0</v>
      </c>
      <c r="QP3" s="8">
        <v>0</v>
      </c>
      <c r="QQ3" s="8">
        <v>0</v>
      </c>
      <c r="QR3" s="8">
        <v>0</v>
      </c>
      <c r="QS3" s="8">
        <v>0</v>
      </c>
      <c r="QT3" s="8">
        <v>0</v>
      </c>
      <c r="QU3" s="8">
        <v>0</v>
      </c>
      <c r="QV3" s="8">
        <v>0</v>
      </c>
      <c r="QW3" s="8">
        <v>0</v>
      </c>
      <c r="QX3" s="8">
        <v>0</v>
      </c>
      <c r="QY3" s="8">
        <v>0</v>
      </c>
      <c r="QZ3" s="8">
        <v>0</v>
      </c>
      <c r="RA3" s="8">
        <v>0</v>
      </c>
      <c r="RB3" s="8">
        <v>0</v>
      </c>
      <c r="RC3" s="8">
        <v>0</v>
      </c>
      <c r="RD3" s="8">
        <v>0</v>
      </c>
      <c r="RE3" s="8">
        <v>0</v>
      </c>
      <c r="RF3" s="8">
        <v>0</v>
      </c>
      <c r="RG3" s="8">
        <v>0</v>
      </c>
      <c r="RH3" s="8">
        <v>0</v>
      </c>
      <c r="RI3" s="8">
        <v>0</v>
      </c>
      <c r="RJ3" s="8">
        <v>0</v>
      </c>
      <c r="RK3" s="8">
        <v>0</v>
      </c>
      <c r="RL3" s="8">
        <v>0</v>
      </c>
      <c r="RM3" s="8">
        <v>0</v>
      </c>
      <c r="RN3" s="8">
        <v>0</v>
      </c>
      <c r="RO3" s="8">
        <v>0</v>
      </c>
      <c r="RP3" s="8">
        <v>0</v>
      </c>
      <c r="RQ3" s="8">
        <v>0</v>
      </c>
      <c r="RR3" s="8">
        <v>0</v>
      </c>
      <c r="RS3" s="8">
        <v>0</v>
      </c>
      <c r="RT3" s="8">
        <v>0</v>
      </c>
      <c r="RU3" s="8">
        <v>0</v>
      </c>
      <c r="RV3" s="8">
        <v>0</v>
      </c>
      <c r="RW3" s="8">
        <v>0</v>
      </c>
      <c r="RX3" s="8">
        <v>0</v>
      </c>
      <c r="RY3" s="8">
        <v>0</v>
      </c>
      <c r="RZ3" s="8">
        <v>0</v>
      </c>
      <c r="SA3" s="8">
        <v>0</v>
      </c>
      <c r="SB3" s="8">
        <v>0</v>
      </c>
      <c r="SC3" s="8">
        <v>0</v>
      </c>
      <c r="SD3" s="8">
        <v>0</v>
      </c>
      <c r="SE3" s="8">
        <v>0</v>
      </c>
      <c r="SF3" s="8">
        <v>0</v>
      </c>
      <c r="SG3" s="8">
        <v>0</v>
      </c>
      <c r="SH3" s="8">
        <v>0</v>
      </c>
      <c r="SI3" s="8">
        <v>0</v>
      </c>
      <c r="SJ3" s="8">
        <v>0</v>
      </c>
      <c r="SK3" s="8">
        <v>0</v>
      </c>
      <c r="SL3" s="8">
        <v>0</v>
      </c>
      <c r="SM3" s="8">
        <v>0</v>
      </c>
      <c r="SN3" s="8">
        <v>0</v>
      </c>
      <c r="SO3" s="8">
        <v>0</v>
      </c>
      <c r="SP3" s="8">
        <v>0</v>
      </c>
      <c r="SQ3" s="8">
        <v>0</v>
      </c>
      <c r="SR3" s="8">
        <v>0</v>
      </c>
      <c r="SS3" s="8">
        <v>0</v>
      </c>
      <c r="ST3" s="8">
        <v>0</v>
      </c>
      <c r="SU3" s="8">
        <v>0</v>
      </c>
      <c r="SV3" s="8">
        <v>0</v>
      </c>
      <c r="SW3" s="8">
        <v>0</v>
      </c>
      <c r="SX3" s="8">
        <v>0</v>
      </c>
      <c r="SY3" s="8">
        <v>0</v>
      </c>
      <c r="SZ3" s="8">
        <v>0</v>
      </c>
      <c r="TA3" s="8">
        <v>0</v>
      </c>
      <c r="TB3" s="8">
        <v>0</v>
      </c>
      <c r="TC3" s="8">
        <v>0</v>
      </c>
      <c r="TD3" s="8">
        <v>0</v>
      </c>
      <c r="TE3" s="8">
        <v>0</v>
      </c>
      <c r="TF3" s="8">
        <v>0</v>
      </c>
      <c r="TG3" s="8">
        <v>0</v>
      </c>
      <c r="TH3" s="8">
        <v>0</v>
      </c>
      <c r="TI3" s="8">
        <v>0</v>
      </c>
      <c r="TJ3" s="8">
        <v>0</v>
      </c>
      <c r="TK3" s="8">
        <v>0</v>
      </c>
      <c r="TL3" s="8">
        <v>0</v>
      </c>
      <c r="TM3" s="8">
        <v>0</v>
      </c>
      <c r="TN3" s="8">
        <v>0</v>
      </c>
      <c r="TO3" s="8">
        <v>0</v>
      </c>
      <c r="TP3" s="8">
        <v>0</v>
      </c>
      <c r="TQ3" s="8">
        <v>0</v>
      </c>
      <c r="TR3" s="8">
        <v>0</v>
      </c>
      <c r="TS3" s="8">
        <v>0</v>
      </c>
      <c r="TT3" s="8">
        <v>0</v>
      </c>
      <c r="TU3" s="8">
        <v>0</v>
      </c>
      <c r="TV3" s="8">
        <v>0</v>
      </c>
      <c r="TW3" s="8">
        <v>0</v>
      </c>
      <c r="TX3" s="8">
        <v>0</v>
      </c>
      <c r="TY3" s="8">
        <v>0</v>
      </c>
      <c r="TZ3" s="8">
        <v>0</v>
      </c>
      <c r="UA3" s="8">
        <v>0</v>
      </c>
      <c r="UB3" s="8">
        <v>0</v>
      </c>
      <c r="UC3" s="8">
        <v>0</v>
      </c>
      <c r="UD3" s="8">
        <v>0</v>
      </c>
      <c r="UE3" s="8">
        <v>0</v>
      </c>
      <c r="UF3" s="8">
        <v>0</v>
      </c>
      <c r="UG3" s="8">
        <v>0</v>
      </c>
      <c r="UH3" s="8">
        <v>0</v>
      </c>
      <c r="UI3" s="8">
        <v>0</v>
      </c>
      <c r="UJ3" s="8">
        <v>0</v>
      </c>
      <c r="UK3" s="8">
        <v>0</v>
      </c>
      <c r="UL3" s="8">
        <v>0</v>
      </c>
      <c r="UM3" s="8">
        <v>0</v>
      </c>
      <c r="UN3" s="8">
        <v>0</v>
      </c>
      <c r="UO3" s="8">
        <v>0</v>
      </c>
      <c r="UP3" s="8">
        <v>0</v>
      </c>
      <c r="UQ3" s="8">
        <v>0</v>
      </c>
      <c r="UR3" s="8">
        <v>0</v>
      </c>
      <c r="US3" s="8">
        <v>0</v>
      </c>
      <c r="UT3" s="8">
        <v>0</v>
      </c>
      <c r="UU3" s="8">
        <v>0</v>
      </c>
      <c r="UV3" s="8">
        <v>0</v>
      </c>
      <c r="UW3" s="8">
        <v>0</v>
      </c>
      <c r="UX3" s="8">
        <v>0</v>
      </c>
      <c r="UY3" s="8">
        <v>0</v>
      </c>
      <c r="UZ3" s="8">
        <v>0</v>
      </c>
      <c r="VA3" s="8">
        <v>0</v>
      </c>
      <c r="VB3" s="8">
        <v>0</v>
      </c>
      <c r="VC3" s="8">
        <v>0</v>
      </c>
      <c r="VD3" s="8">
        <v>0</v>
      </c>
      <c r="VE3" s="8">
        <v>0</v>
      </c>
      <c r="VF3" s="8">
        <v>0</v>
      </c>
      <c r="VG3" s="8">
        <v>0</v>
      </c>
      <c r="VH3" s="8">
        <v>0</v>
      </c>
      <c r="VI3" s="8">
        <v>0</v>
      </c>
      <c r="VJ3" s="8">
        <v>0</v>
      </c>
      <c r="VK3" s="8">
        <v>0</v>
      </c>
      <c r="VL3" s="8">
        <v>0</v>
      </c>
      <c r="VM3" s="8">
        <v>0</v>
      </c>
      <c r="VN3" s="8">
        <v>0</v>
      </c>
      <c r="VO3" s="8">
        <v>0</v>
      </c>
      <c r="VP3" s="8">
        <v>0</v>
      </c>
      <c r="VQ3" s="8">
        <v>0</v>
      </c>
      <c r="VR3" s="8">
        <v>0</v>
      </c>
      <c r="VS3" s="8">
        <v>0</v>
      </c>
      <c r="VT3" s="8">
        <v>0</v>
      </c>
      <c r="VU3" s="8">
        <v>0</v>
      </c>
      <c r="VV3" s="8">
        <v>0</v>
      </c>
      <c r="VW3" s="8">
        <v>0</v>
      </c>
      <c r="VX3" s="8">
        <v>0</v>
      </c>
      <c r="VY3" s="8">
        <v>0</v>
      </c>
      <c r="VZ3" s="8">
        <v>0</v>
      </c>
      <c r="WA3" s="8">
        <v>0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0</v>
      </c>
      <c r="WH3" s="8">
        <v>0</v>
      </c>
      <c r="WI3" s="8">
        <v>0</v>
      </c>
      <c r="WJ3" s="8">
        <v>0</v>
      </c>
      <c r="WK3" s="8">
        <v>0</v>
      </c>
      <c r="WL3" s="8">
        <v>0</v>
      </c>
      <c r="WM3" s="8">
        <v>0</v>
      </c>
      <c r="WN3" s="8">
        <v>0</v>
      </c>
      <c r="WO3" s="8">
        <v>0</v>
      </c>
      <c r="WP3" s="8">
        <v>0</v>
      </c>
      <c r="WQ3" s="8">
        <v>0</v>
      </c>
      <c r="WR3" s="8">
        <v>0</v>
      </c>
      <c r="WS3" s="8">
        <v>0</v>
      </c>
      <c r="WT3" s="8">
        <v>0</v>
      </c>
      <c r="WU3" s="8">
        <v>0</v>
      </c>
      <c r="WV3" s="8">
        <v>0</v>
      </c>
      <c r="WW3" s="8">
        <v>0</v>
      </c>
      <c r="WX3" s="8">
        <v>0</v>
      </c>
      <c r="WY3" s="8">
        <v>0</v>
      </c>
      <c r="WZ3" s="8">
        <v>0</v>
      </c>
      <c r="XA3" s="8">
        <v>0</v>
      </c>
      <c r="XB3" s="8">
        <v>0</v>
      </c>
      <c r="XC3" s="8">
        <v>0</v>
      </c>
      <c r="XD3" s="8">
        <v>0</v>
      </c>
      <c r="XE3" s="8">
        <v>0</v>
      </c>
      <c r="XF3" s="8">
        <v>0</v>
      </c>
      <c r="XG3" s="8">
        <v>0</v>
      </c>
      <c r="XH3" s="8">
        <v>0</v>
      </c>
      <c r="XI3" s="8">
        <v>0</v>
      </c>
      <c r="XJ3" s="8">
        <v>0</v>
      </c>
      <c r="XK3" s="8">
        <v>0</v>
      </c>
      <c r="XL3" s="8">
        <v>0</v>
      </c>
      <c r="XM3" s="8">
        <v>0</v>
      </c>
      <c r="XN3" s="8">
        <v>0</v>
      </c>
      <c r="XO3" s="8">
        <v>0</v>
      </c>
      <c r="XP3" s="8">
        <v>0</v>
      </c>
      <c r="XQ3" s="8">
        <v>0</v>
      </c>
      <c r="XR3" s="8">
        <v>0</v>
      </c>
      <c r="XS3" s="8">
        <v>0</v>
      </c>
      <c r="XT3" s="8">
        <v>0</v>
      </c>
      <c r="XU3" s="8">
        <v>0</v>
      </c>
      <c r="XV3" s="8">
        <v>0</v>
      </c>
      <c r="XW3" s="8">
        <v>0</v>
      </c>
      <c r="XX3" s="8">
        <v>0</v>
      </c>
      <c r="XY3" s="8">
        <v>0</v>
      </c>
      <c r="XZ3" s="8">
        <v>0</v>
      </c>
      <c r="YA3" s="8">
        <v>0</v>
      </c>
      <c r="YB3" s="8">
        <v>0</v>
      </c>
      <c r="YC3" s="8">
        <v>0</v>
      </c>
      <c r="YD3" s="8">
        <v>0</v>
      </c>
      <c r="YE3" s="8">
        <v>0</v>
      </c>
      <c r="YF3" s="8">
        <v>0</v>
      </c>
      <c r="YG3" s="8">
        <v>0</v>
      </c>
      <c r="YH3" s="8">
        <v>0</v>
      </c>
      <c r="YI3" s="8">
        <v>0</v>
      </c>
      <c r="YJ3" s="8">
        <v>0</v>
      </c>
      <c r="YK3" s="8">
        <v>0</v>
      </c>
      <c r="YL3" s="8">
        <v>0</v>
      </c>
      <c r="YM3" s="8">
        <v>0</v>
      </c>
      <c r="YN3" s="8">
        <v>0</v>
      </c>
      <c r="YO3" s="8">
        <v>0</v>
      </c>
      <c r="YP3" s="8">
        <v>0</v>
      </c>
      <c r="YQ3" s="8">
        <v>0</v>
      </c>
      <c r="YR3" s="8">
        <v>0</v>
      </c>
      <c r="YS3" s="8">
        <v>0</v>
      </c>
      <c r="YT3" s="8">
        <v>0</v>
      </c>
      <c r="YU3" s="8">
        <v>0</v>
      </c>
      <c r="YV3" s="8">
        <v>0</v>
      </c>
      <c r="YW3" s="8">
        <v>0</v>
      </c>
      <c r="YX3" s="8">
        <v>0</v>
      </c>
      <c r="YY3" s="8">
        <v>0</v>
      </c>
      <c r="YZ3" s="8">
        <v>0</v>
      </c>
      <c r="ZA3" s="8">
        <v>0</v>
      </c>
      <c r="ZB3" s="8">
        <v>0</v>
      </c>
      <c r="ZC3" s="8">
        <v>0</v>
      </c>
      <c r="ZD3" s="8">
        <v>0</v>
      </c>
      <c r="ZE3" s="8">
        <v>0</v>
      </c>
      <c r="ZF3" s="8">
        <v>0</v>
      </c>
      <c r="ZG3" s="8">
        <v>0</v>
      </c>
      <c r="ZH3" s="8">
        <v>0</v>
      </c>
      <c r="ZI3" s="8">
        <v>0</v>
      </c>
      <c r="ZJ3" s="8">
        <v>0</v>
      </c>
      <c r="ZK3" s="8">
        <v>0</v>
      </c>
      <c r="ZL3" s="8">
        <v>0</v>
      </c>
      <c r="ZM3" s="8">
        <v>0</v>
      </c>
      <c r="ZN3" s="8">
        <v>0</v>
      </c>
      <c r="ZO3" s="8">
        <v>0</v>
      </c>
      <c r="ZP3" s="8">
        <v>0</v>
      </c>
      <c r="ZQ3" s="8">
        <v>0</v>
      </c>
      <c r="ZR3" s="8">
        <v>0</v>
      </c>
      <c r="ZS3" s="8">
        <v>0</v>
      </c>
      <c r="ZT3" s="8">
        <v>0</v>
      </c>
      <c r="ZU3" s="8">
        <v>0</v>
      </c>
      <c r="ZV3" s="8">
        <v>0</v>
      </c>
      <c r="ZW3" s="8">
        <v>0</v>
      </c>
      <c r="ZX3" s="8">
        <v>0</v>
      </c>
      <c r="ZY3" s="8">
        <v>0</v>
      </c>
      <c r="ZZ3" s="8">
        <v>0</v>
      </c>
      <c r="AAA3" s="8">
        <v>0</v>
      </c>
      <c r="AAB3" s="8">
        <v>0</v>
      </c>
      <c r="AAC3" s="8">
        <v>0</v>
      </c>
      <c r="AAD3" s="8">
        <v>0</v>
      </c>
      <c r="AAE3" s="8">
        <v>0</v>
      </c>
      <c r="AAF3" s="8">
        <v>0</v>
      </c>
      <c r="AAG3" s="8">
        <v>0</v>
      </c>
      <c r="AAH3" s="8">
        <v>0</v>
      </c>
      <c r="AAI3" s="8">
        <v>0</v>
      </c>
      <c r="AAJ3" s="8">
        <v>0</v>
      </c>
      <c r="AAK3" s="8">
        <v>0</v>
      </c>
      <c r="AAL3" s="8">
        <v>0</v>
      </c>
      <c r="AAM3" s="8">
        <v>0</v>
      </c>
      <c r="AAN3" s="8">
        <v>0</v>
      </c>
      <c r="AAO3" s="8">
        <v>0</v>
      </c>
      <c r="AAP3" s="8">
        <v>0</v>
      </c>
      <c r="AAQ3" s="8">
        <v>0</v>
      </c>
      <c r="AAR3" s="8">
        <v>0</v>
      </c>
      <c r="AAS3" s="8">
        <v>0</v>
      </c>
      <c r="AAT3" s="8">
        <v>0</v>
      </c>
      <c r="AAU3" s="8">
        <v>0</v>
      </c>
      <c r="AAV3" s="8">
        <v>0</v>
      </c>
      <c r="AAW3" s="8">
        <v>0</v>
      </c>
      <c r="AAX3" s="8">
        <v>0</v>
      </c>
      <c r="AAY3" s="8">
        <v>0</v>
      </c>
      <c r="AAZ3" s="8">
        <v>0</v>
      </c>
      <c r="ABA3" s="8">
        <v>0</v>
      </c>
      <c r="ABB3" s="8">
        <v>0</v>
      </c>
      <c r="ABC3" s="8">
        <v>0</v>
      </c>
      <c r="ABD3" s="8">
        <v>0</v>
      </c>
      <c r="ABE3" s="8">
        <v>0</v>
      </c>
      <c r="ABF3" s="8">
        <v>0</v>
      </c>
      <c r="ABG3" s="8">
        <v>0</v>
      </c>
      <c r="ABH3" s="8">
        <v>0</v>
      </c>
      <c r="ABI3" s="8">
        <v>0</v>
      </c>
      <c r="ABJ3" s="8">
        <v>0</v>
      </c>
      <c r="ABK3" s="8">
        <v>0</v>
      </c>
      <c r="ABL3" s="8">
        <v>0</v>
      </c>
      <c r="ABM3" s="8">
        <v>0</v>
      </c>
      <c r="ABN3" s="8">
        <v>0</v>
      </c>
      <c r="ABO3" s="8">
        <v>0</v>
      </c>
      <c r="ABP3" s="8">
        <v>0</v>
      </c>
      <c r="ABQ3" s="8">
        <v>0</v>
      </c>
      <c r="ABR3" s="8">
        <v>0</v>
      </c>
      <c r="ABS3" s="8">
        <v>0</v>
      </c>
      <c r="ABT3" s="8">
        <v>0</v>
      </c>
      <c r="ABU3" s="8">
        <v>0</v>
      </c>
      <c r="ABV3" s="8">
        <v>0</v>
      </c>
      <c r="ABW3" s="8">
        <v>0</v>
      </c>
      <c r="ABX3" s="8">
        <v>0</v>
      </c>
      <c r="ABY3" s="8">
        <v>0</v>
      </c>
      <c r="ABZ3" s="8">
        <v>0</v>
      </c>
      <c r="ACA3" s="8">
        <v>0</v>
      </c>
      <c r="ACB3" s="8">
        <v>0</v>
      </c>
      <c r="ACC3" s="8">
        <v>0</v>
      </c>
      <c r="ACD3" s="8">
        <v>0</v>
      </c>
      <c r="ACE3" s="8">
        <v>0</v>
      </c>
      <c r="ACF3" s="8">
        <v>0</v>
      </c>
      <c r="ACG3" s="8">
        <v>0</v>
      </c>
      <c r="ACH3" s="8">
        <v>0</v>
      </c>
      <c r="ACI3" s="8">
        <v>0</v>
      </c>
      <c r="ACJ3" s="8">
        <v>0</v>
      </c>
      <c r="ACK3" s="8">
        <v>0</v>
      </c>
      <c r="ACL3" s="8">
        <v>0</v>
      </c>
      <c r="ACM3" s="8">
        <v>0</v>
      </c>
      <c r="ACN3" s="8">
        <v>0</v>
      </c>
      <c r="ACO3" s="8">
        <v>0</v>
      </c>
      <c r="ACP3" s="8">
        <v>0</v>
      </c>
      <c r="ACQ3" s="8">
        <v>0</v>
      </c>
      <c r="ACR3" s="8">
        <v>0</v>
      </c>
      <c r="ACS3" s="8">
        <v>0</v>
      </c>
      <c r="ACT3" s="8">
        <v>0</v>
      </c>
      <c r="ACU3" s="8">
        <v>0</v>
      </c>
      <c r="ACV3" s="8">
        <v>0</v>
      </c>
      <c r="ACW3" s="8">
        <v>0</v>
      </c>
      <c r="ACX3" s="8">
        <v>0</v>
      </c>
      <c r="ACY3" s="8">
        <v>0</v>
      </c>
      <c r="ACZ3" s="8">
        <v>0</v>
      </c>
      <c r="ADA3" s="8">
        <v>0</v>
      </c>
      <c r="ADB3" s="8">
        <v>0</v>
      </c>
      <c r="ADC3" s="8">
        <v>0</v>
      </c>
      <c r="ADD3" s="8">
        <v>0</v>
      </c>
      <c r="ADE3" s="8">
        <v>0</v>
      </c>
      <c r="ADF3" s="8">
        <v>0</v>
      </c>
      <c r="ADG3" s="8">
        <v>0</v>
      </c>
      <c r="ADH3" s="8">
        <v>0</v>
      </c>
      <c r="ADI3" s="8">
        <v>0</v>
      </c>
      <c r="ADJ3" s="8">
        <v>0</v>
      </c>
      <c r="ADK3" s="8">
        <v>0</v>
      </c>
      <c r="ADL3" s="8">
        <v>0</v>
      </c>
      <c r="ADM3" s="8">
        <v>0</v>
      </c>
      <c r="ADN3" s="8">
        <v>0</v>
      </c>
      <c r="ADO3" s="8">
        <v>0</v>
      </c>
      <c r="ADP3" s="8">
        <v>0</v>
      </c>
      <c r="ADQ3" s="8">
        <v>0</v>
      </c>
      <c r="ADR3" s="8">
        <v>0</v>
      </c>
      <c r="ADS3" s="8">
        <v>0</v>
      </c>
      <c r="ADT3" s="8">
        <v>0</v>
      </c>
      <c r="ADU3" s="8">
        <v>0</v>
      </c>
      <c r="ADV3" s="8">
        <v>0</v>
      </c>
      <c r="ADW3" s="8">
        <v>0</v>
      </c>
      <c r="ADX3" s="8">
        <v>0</v>
      </c>
      <c r="ADY3" s="8">
        <v>0</v>
      </c>
      <c r="ADZ3" s="8">
        <v>0</v>
      </c>
      <c r="AEA3" s="8">
        <v>0</v>
      </c>
      <c r="AEB3" s="8">
        <v>0</v>
      </c>
      <c r="AEC3" s="8">
        <v>0</v>
      </c>
      <c r="AED3" s="8">
        <v>0</v>
      </c>
      <c r="AEE3" s="8">
        <v>0</v>
      </c>
      <c r="AEF3" s="8">
        <v>0</v>
      </c>
      <c r="AEG3" s="8">
        <v>0</v>
      </c>
      <c r="AEH3" s="8">
        <v>0</v>
      </c>
      <c r="AEI3" s="8">
        <v>0</v>
      </c>
      <c r="AEJ3" s="8">
        <v>0</v>
      </c>
      <c r="AEK3" s="8">
        <v>0</v>
      </c>
      <c r="AEL3" s="8">
        <v>0</v>
      </c>
      <c r="AEM3" s="8">
        <v>0</v>
      </c>
      <c r="AEN3" s="8">
        <v>0</v>
      </c>
      <c r="AEO3" s="8">
        <v>0</v>
      </c>
      <c r="AEP3" s="8">
        <v>0</v>
      </c>
      <c r="AEQ3" s="8">
        <v>0</v>
      </c>
      <c r="AER3" s="8">
        <v>0</v>
      </c>
      <c r="AES3" s="8">
        <v>0</v>
      </c>
      <c r="AET3" s="8">
        <v>0</v>
      </c>
      <c r="AEU3" s="8">
        <v>0</v>
      </c>
      <c r="AEV3" s="8">
        <v>0</v>
      </c>
      <c r="AEW3" s="8">
        <v>0</v>
      </c>
      <c r="AEX3" s="8">
        <v>0</v>
      </c>
      <c r="AEY3" s="8">
        <v>0</v>
      </c>
      <c r="AEZ3" s="8">
        <v>0</v>
      </c>
      <c r="AFA3" s="8">
        <v>0</v>
      </c>
      <c r="AFB3" s="8">
        <v>0</v>
      </c>
      <c r="AFC3" s="8">
        <v>0</v>
      </c>
      <c r="AFD3" s="8">
        <v>0</v>
      </c>
      <c r="AFE3" s="8">
        <v>0</v>
      </c>
      <c r="AFF3" s="8">
        <v>0</v>
      </c>
      <c r="AFG3" s="8">
        <v>0</v>
      </c>
      <c r="AFH3" s="8">
        <v>0</v>
      </c>
      <c r="AFI3" s="8">
        <v>0</v>
      </c>
      <c r="AFJ3" s="8">
        <v>0</v>
      </c>
      <c r="AFK3" s="8">
        <v>0</v>
      </c>
      <c r="AFL3" s="8">
        <v>0</v>
      </c>
      <c r="AFM3" s="8">
        <v>0</v>
      </c>
      <c r="AFN3" s="8">
        <v>0</v>
      </c>
      <c r="AFO3" s="8">
        <v>0</v>
      </c>
      <c r="AFP3" s="8">
        <v>0</v>
      </c>
      <c r="AFQ3" s="8">
        <v>0</v>
      </c>
      <c r="AFR3" s="8">
        <v>0</v>
      </c>
      <c r="AFS3" s="8">
        <v>0</v>
      </c>
      <c r="AFT3" s="8">
        <v>0</v>
      </c>
      <c r="AFU3" s="8">
        <v>0</v>
      </c>
      <c r="AFV3" s="8">
        <v>0</v>
      </c>
      <c r="AFW3" s="8">
        <v>0</v>
      </c>
      <c r="AFX3" s="8">
        <v>0</v>
      </c>
      <c r="AFY3" s="8">
        <v>0</v>
      </c>
      <c r="AFZ3" s="8">
        <v>0</v>
      </c>
      <c r="AGA3" s="8">
        <v>0</v>
      </c>
      <c r="AGB3" s="8">
        <v>0</v>
      </c>
      <c r="AGC3" s="8">
        <v>0</v>
      </c>
      <c r="AGD3" s="8">
        <v>0</v>
      </c>
      <c r="AGE3" s="8">
        <v>0</v>
      </c>
      <c r="AGF3" s="8">
        <v>0</v>
      </c>
      <c r="AGG3" s="8">
        <v>0</v>
      </c>
      <c r="AGH3" s="8">
        <v>0</v>
      </c>
      <c r="AGI3" s="8">
        <v>0</v>
      </c>
      <c r="AGJ3" s="8">
        <v>0</v>
      </c>
      <c r="AGK3" s="8">
        <v>0</v>
      </c>
      <c r="AGL3" s="8">
        <v>0</v>
      </c>
      <c r="AGM3" s="8">
        <v>0</v>
      </c>
      <c r="AGN3" s="8">
        <v>0</v>
      </c>
      <c r="AGO3" s="8">
        <v>0</v>
      </c>
      <c r="AGP3" s="8">
        <v>0</v>
      </c>
      <c r="AGQ3" s="8">
        <v>0</v>
      </c>
      <c r="AGR3" s="8">
        <v>0</v>
      </c>
      <c r="AGS3" s="8">
        <v>0</v>
      </c>
      <c r="AGT3" s="8">
        <v>0</v>
      </c>
      <c r="AGU3" s="8">
        <v>0</v>
      </c>
      <c r="AGV3" s="8">
        <v>0</v>
      </c>
      <c r="AGW3" s="8">
        <v>0</v>
      </c>
      <c r="AGX3" s="8">
        <v>0</v>
      </c>
      <c r="AGY3" s="8">
        <v>0</v>
      </c>
      <c r="AGZ3" s="8">
        <v>0</v>
      </c>
      <c r="AHA3" s="8">
        <v>0</v>
      </c>
      <c r="AHB3" s="8">
        <v>0</v>
      </c>
      <c r="AHC3" s="8">
        <v>0</v>
      </c>
      <c r="AHD3" s="8">
        <v>0</v>
      </c>
      <c r="AHE3" s="8">
        <v>0</v>
      </c>
      <c r="AHF3" s="8">
        <v>0</v>
      </c>
      <c r="AHG3" s="8">
        <v>0</v>
      </c>
      <c r="AHH3" s="8">
        <v>0</v>
      </c>
      <c r="AHI3" s="8">
        <v>0</v>
      </c>
      <c r="AHJ3" s="8">
        <v>0</v>
      </c>
      <c r="AHK3" s="8">
        <v>0</v>
      </c>
      <c r="AHL3" s="8">
        <v>0</v>
      </c>
      <c r="AHM3" s="8">
        <v>0</v>
      </c>
      <c r="AHN3" s="8">
        <v>0</v>
      </c>
      <c r="AHO3" s="8">
        <v>0</v>
      </c>
      <c r="AHP3" s="8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 t="e">
        <v>#N/A</v>
      </c>
      <c r="AIJ3" t="e">
        <v>#N/A</v>
      </c>
      <c r="AIK3" t="e">
        <v>#N/A</v>
      </c>
      <c r="AIL3" t="e">
        <v>#N/A</v>
      </c>
      <c r="AIM3" t="e">
        <v>#N/A</v>
      </c>
      <c r="AIN3" t="e">
        <v>#N/A</v>
      </c>
      <c r="AIO3" t="e">
        <v>#N/A</v>
      </c>
      <c r="AIP3" t="e">
        <v>#N/A</v>
      </c>
      <c r="AIQ3" t="e">
        <v>#N/A</v>
      </c>
      <c r="AIR3" t="e">
        <v>#N/A</v>
      </c>
      <c r="AIS3" t="e">
        <v>#N/A</v>
      </c>
      <c r="AIT3" t="e">
        <v>#N/A</v>
      </c>
      <c r="AIU3" t="e">
        <v>#N/A</v>
      </c>
      <c r="AIV3" t="e">
        <v>#N/A</v>
      </c>
      <c r="AIW3" t="e">
        <v>#N/A</v>
      </c>
      <c r="AIX3" t="e">
        <v>#N/A</v>
      </c>
      <c r="AIY3" t="e">
        <v>#N/A</v>
      </c>
      <c r="AIZ3" t="e">
        <v>#N/A</v>
      </c>
      <c r="AJA3" t="e">
        <v>#N/A</v>
      </c>
      <c r="AJB3" t="e">
        <v>#N/A</v>
      </c>
      <c r="AJC3" t="e">
        <v>#N/A</v>
      </c>
      <c r="AJD3" t="e">
        <v>#N/A</v>
      </c>
      <c r="AJE3" t="e">
        <v>#N/A</v>
      </c>
      <c r="AJF3" t="e">
        <v>#N/A</v>
      </c>
      <c r="AJG3" t="e">
        <v>#N/A</v>
      </c>
      <c r="AJH3" t="e">
        <v>#N/A</v>
      </c>
      <c r="AJI3" t="e">
        <v>#N/A</v>
      </c>
      <c r="AJJ3" t="e">
        <v>#N/A</v>
      </c>
      <c r="AJK3" t="e">
        <v>#N/A</v>
      </c>
      <c r="AJL3" t="e">
        <v>#N/A</v>
      </c>
      <c r="AJM3" t="e">
        <v>#N/A</v>
      </c>
      <c r="AJN3" t="e">
        <v>#N/A</v>
      </c>
      <c r="AJO3" t="e">
        <v>#N/A</v>
      </c>
      <c r="AJP3" t="e">
        <v>#N/A</v>
      </c>
      <c r="AJQ3" t="e">
        <v>#N/A</v>
      </c>
      <c r="AJR3" t="e">
        <v>#N/A</v>
      </c>
      <c r="AJS3" t="e">
        <v>#N/A</v>
      </c>
      <c r="AJT3" t="e">
        <v>#N/A</v>
      </c>
      <c r="AJU3" t="e">
        <v>#N/A</v>
      </c>
      <c r="AJV3" t="e">
        <v>#N/A</v>
      </c>
      <c r="AJW3" t="e">
        <v>#N/A</v>
      </c>
      <c r="AJX3" t="e">
        <v>#N/A</v>
      </c>
      <c r="AJY3" t="e">
        <v>#N/A</v>
      </c>
      <c r="AJZ3" t="e">
        <v>#N/A</v>
      </c>
      <c r="AKA3" t="e">
        <v>#N/A</v>
      </c>
      <c r="AKB3" t="e">
        <v>#N/A</v>
      </c>
      <c r="AKC3" t="e">
        <v>#N/A</v>
      </c>
      <c r="AKD3" t="e">
        <v>#N/A</v>
      </c>
      <c r="AKE3" t="e">
        <v>#N/A</v>
      </c>
      <c r="AKF3" t="e">
        <v>#N/A</v>
      </c>
      <c r="AKG3" t="e">
        <v>#N/A</v>
      </c>
      <c r="AKH3" t="e">
        <v>#N/A</v>
      </c>
      <c r="AKI3" t="e">
        <v>#N/A</v>
      </c>
      <c r="AKJ3" t="e">
        <v>#N/A</v>
      </c>
      <c r="AKK3" t="e">
        <v>#N/A</v>
      </c>
      <c r="AKL3" t="e">
        <v>#N/A</v>
      </c>
      <c r="AKM3" t="e">
        <v>#N/A</v>
      </c>
      <c r="AKN3" t="e">
        <v>#N/A</v>
      </c>
      <c r="AKO3" t="e">
        <v>#N/A</v>
      </c>
      <c r="AKP3" t="e">
        <v>#N/A</v>
      </c>
      <c r="AKQ3" t="e">
        <v>#N/A</v>
      </c>
      <c r="AKR3" t="e">
        <v>#N/A</v>
      </c>
      <c r="AKS3" t="e">
        <v>#N/A</v>
      </c>
      <c r="AKT3" t="e">
        <v>#N/A</v>
      </c>
      <c r="AKU3" t="e">
        <v>#N/A</v>
      </c>
      <c r="AKV3" t="e">
        <v>#N/A</v>
      </c>
      <c r="AKW3" t="e">
        <v>#N/A</v>
      </c>
      <c r="AKX3" t="e">
        <v>#N/A</v>
      </c>
      <c r="AKY3" t="e">
        <v>#N/A</v>
      </c>
      <c r="AKZ3" t="e">
        <v>#N/A</v>
      </c>
      <c r="ALA3" t="e">
        <v>#N/A</v>
      </c>
      <c r="ALB3" t="e">
        <v>#N/A</v>
      </c>
      <c r="ALC3" t="e">
        <v>#N/A</v>
      </c>
      <c r="ALD3" t="e">
        <v>#N/A</v>
      </c>
      <c r="ALE3" t="e">
        <v>#N/A</v>
      </c>
      <c r="ALF3" t="e">
        <v>#N/A</v>
      </c>
      <c r="ALG3" t="e">
        <v>#N/A</v>
      </c>
      <c r="ALH3" t="e">
        <v>#N/A</v>
      </c>
      <c r="ALI3" t="e">
        <v>#N/A</v>
      </c>
      <c r="ALJ3" t="e">
        <v>#N/A</v>
      </c>
      <c r="ALK3" t="e">
        <v>#N/A</v>
      </c>
      <c r="ALL3" t="e">
        <v>#N/A</v>
      </c>
      <c r="ALM3" t="e">
        <v>#N/A</v>
      </c>
      <c r="ALN3" t="e">
        <v>#N/A</v>
      </c>
      <c r="ALO3" t="e">
        <v>#N/A</v>
      </c>
      <c r="ALP3" t="e">
        <v>#N/A</v>
      </c>
      <c r="ALQ3" t="e">
        <v>#N/A</v>
      </c>
      <c r="ALR3" t="e">
        <v>#N/A</v>
      </c>
      <c r="ALS3" t="e">
        <v>#N/A</v>
      </c>
      <c r="ALT3" t="e">
        <v>#N/A</v>
      </c>
      <c r="ALU3" t="e">
        <v>#N/A</v>
      </c>
      <c r="ALV3" t="e">
        <v>#N/A</v>
      </c>
      <c r="ALW3" t="e">
        <v>#N/A</v>
      </c>
      <c r="ALX3" t="e">
        <v>#N/A</v>
      </c>
      <c r="ALY3" t="e">
        <v>#N/A</v>
      </c>
      <c r="ALZ3" t="e">
        <v>#N/A</v>
      </c>
      <c r="AMA3" t="e">
        <v>#N/A</v>
      </c>
      <c r="AMB3" t="e">
        <v>#N/A</v>
      </c>
      <c r="AMC3" t="e">
        <v>#N/A</v>
      </c>
      <c r="AMD3" t="e">
        <v>#N/A</v>
      </c>
      <c r="AME3" t="e">
        <v>#N/A</v>
      </c>
      <c r="AMF3" t="e">
        <v>#N/A</v>
      </c>
      <c r="AMG3" t="e">
        <v>#N/A</v>
      </c>
      <c r="AMH3" t="e">
        <v>#N/A</v>
      </c>
    </row>
    <row r="4" spans="1:1022" ht="15.75" customHeight="1">
      <c r="A4" s="8" t="str">
        <v>aa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  <c r="DV4" s="8">
        <v>0</v>
      </c>
      <c r="DW4" s="8">
        <v>0</v>
      </c>
      <c r="DX4" s="8">
        <v>0</v>
      </c>
      <c r="DY4" s="8">
        <v>0</v>
      </c>
      <c r="DZ4" s="8">
        <v>0</v>
      </c>
      <c r="EA4" s="8">
        <v>0</v>
      </c>
      <c r="EB4" s="8">
        <v>0</v>
      </c>
      <c r="EC4" s="8">
        <v>0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0</v>
      </c>
      <c r="FI4" s="8">
        <v>0</v>
      </c>
      <c r="FJ4" s="8">
        <v>0</v>
      </c>
      <c r="FK4" s="8">
        <v>0</v>
      </c>
      <c r="FL4" s="8">
        <v>0</v>
      </c>
      <c r="FM4" s="8">
        <v>0</v>
      </c>
      <c r="FN4" s="8">
        <v>0</v>
      </c>
      <c r="FO4" s="8">
        <v>0</v>
      </c>
      <c r="FP4" s="8">
        <v>0</v>
      </c>
      <c r="FQ4" s="8">
        <v>0</v>
      </c>
      <c r="FR4" s="8">
        <v>0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8">
        <v>0</v>
      </c>
      <c r="FY4" s="8">
        <v>0</v>
      </c>
      <c r="FZ4" s="8">
        <v>0</v>
      </c>
      <c r="GA4" s="8">
        <v>0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8">
        <v>0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0</v>
      </c>
      <c r="HV4" s="8">
        <v>0</v>
      </c>
      <c r="HW4" s="8">
        <v>0</v>
      </c>
      <c r="HX4" s="8">
        <v>0</v>
      </c>
      <c r="HY4" s="8">
        <v>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0</v>
      </c>
      <c r="IG4" s="8">
        <v>0</v>
      </c>
      <c r="IH4" s="8">
        <v>0</v>
      </c>
      <c r="II4" s="8">
        <v>0</v>
      </c>
      <c r="IJ4" s="8">
        <v>0</v>
      </c>
      <c r="IK4" s="8">
        <v>0</v>
      </c>
      <c r="IL4" s="8">
        <v>0</v>
      </c>
      <c r="IM4" s="8">
        <v>0</v>
      </c>
      <c r="IN4" s="8">
        <v>0</v>
      </c>
      <c r="IO4" s="8">
        <v>0</v>
      </c>
      <c r="IP4" s="8">
        <v>0</v>
      </c>
      <c r="IQ4" s="8">
        <v>0</v>
      </c>
      <c r="IR4" s="8">
        <v>0</v>
      </c>
      <c r="IS4" s="8">
        <v>0</v>
      </c>
      <c r="IT4" s="8">
        <v>0</v>
      </c>
      <c r="IU4" s="8">
        <v>0</v>
      </c>
      <c r="IV4" s="8">
        <v>0</v>
      </c>
      <c r="IW4" s="8">
        <v>0</v>
      </c>
      <c r="IX4" s="8">
        <v>0</v>
      </c>
      <c r="IY4" s="8">
        <v>0</v>
      </c>
      <c r="IZ4" s="8">
        <v>0</v>
      </c>
      <c r="JA4" s="8">
        <v>0</v>
      </c>
      <c r="JB4" s="8">
        <v>0</v>
      </c>
      <c r="JC4" s="8">
        <v>0</v>
      </c>
      <c r="JD4" s="8">
        <v>0</v>
      </c>
      <c r="JE4" s="8">
        <v>0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0</v>
      </c>
      <c r="JL4" s="8">
        <v>0</v>
      </c>
      <c r="JM4" s="8">
        <v>0</v>
      </c>
      <c r="JN4" s="8">
        <v>0</v>
      </c>
      <c r="JO4" s="8">
        <v>0</v>
      </c>
      <c r="JP4" s="8">
        <v>0</v>
      </c>
      <c r="JQ4" s="8">
        <v>0</v>
      </c>
      <c r="JR4" s="8">
        <v>0</v>
      </c>
      <c r="JS4" s="8">
        <v>0</v>
      </c>
      <c r="JT4" s="8">
        <v>0</v>
      </c>
      <c r="JU4" s="8">
        <v>0</v>
      </c>
      <c r="JV4" s="8">
        <v>0</v>
      </c>
      <c r="JW4" s="8">
        <v>0</v>
      </c>
      <c r="JX4" s="8">
        <v>0</v>
      </c>
      <c r="JY4" s="8">
        <v>0</v>
      </c>
      <c r="JZ4" s="8">
        <v>0</v>
      </c>
      <c r="KA4" s="8">
        <v>0</v>
      </c>
      <c r="KB4" s="8">
        <v>0</v>
      </c>
      <c r="KC4" s="8">
        <v>0</v>
      </c>
      <c r="KD4" s="8">
        <v>0</v>
      </c>
      <c r="KE4" s="8">
        <v>0</v>
      </c>
      <c r="KF4" s="8">
        <v>0</v>
      </c>
      <c r="KG4" s="8">
        <v>0</v>
      </c>
      <c r="KH4" s="8">
        <v>0</v>
      </c>
      <c r="KI4" s="8">
        <v>0</v>
      </c>
      <c r="KJ4" s="8">
        <v>0</v>
      </c>
      <c r="KK4" s="8">
        <v>0</v>
      </c>
      <c r="KL4" s="8">
        <v>0</v>
      </c>
      <c r="KM4" s="8">
        <v>0</v>
      </c>
      <c r="KN4" s="8">
        <v>0</v>
      </c>
      <c r="KO4" s="8">
        <v>0</v>
      </c>
      <c r="KP4" s="8">
        <v>0</v>
      </c>
      <c r="KQ4" s="8">
        <v>0</v>
      </c>
      <c r="KR4" s="8">
        <v>0</v>
      </c>
      <c r="KS4" s="8">
        <v>0</v>
      </c>
      <c r="KT4" s="8">
        <v>0</v>
      </c>
      <c r="KU4" s="8">
        <v>0</v>
      </c>
      <c r="KV4" s="8">
        <v>0</v>
      </c>
      <c r="KW4" s="8">
        <v>0</v>
      </c>
      <c r="KX4" s="8">
        <v>0</v>
      </c>
      <c r="KY4" s="8">
        <v>0</v>
      </c>
      <c r="KZ4" s="8">
        <v>0</v>
      </c>
      <c r="LA4" s="8">
        <v>0</v>
      </c>
      <c r="LB4" s="8">
        <v>0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0</v>
      </c>
      <c r="LK4" s="8">
        <v>0</v>
      </c>
      <c r="LL4" s="8">
        <v>0</v>
      </c>
      <c r="LM4" s="8">
        <v>0</v>
      </c>
      <c r="LN4" s="8">
        <v>0</v>
      </c>
      <c r="LO4" s="8">
        <v>0</v>
      </c>
      <c r="LP4" s="8">
        <v>0</v>
      </c>
      <c r="LQ4" s="8">
        <v>0</v>
      </c>
      <c r="LR4" s="8">
        <v>0</v>
      </c>
      <c r="LS4" s="8">
        <v>0</v>
      </c>
      <c r="LT4" s="8">
        <v>0</v>
      </c>
      <c r="LU4" s="8">
        <v>0</v>
      </c>
      <c r="LV4" s="8">
        <v>0</v>
      </c>
      <c r="LW4" s="8">
        <v>0</v>
      </c>
      <c r="LX4" s="8">
        <v>0</v>
      </c>
      <c r="LY4" s="8">
        <v>0</v>
      </c>
      <c r="LZ4" s="8">
        <v>0</v>
      </c>
      <c r="MA4" s="8">
        <v>0</v>
      </c>
      <c r="MB4" s="8">
        <v>0</v>
      </c>
      <c r="MC4" s="8">
        <v>0</v>
      </c>
      <c r="MD4" s="8">
        <v>0</v>
      </c>
      <c r="ME4" s="8">
        <v>0</v>
      </c>
      <c r="MF4" s="8">
        <v>0</v>
      </c>
      <c r="MG4" s="8">
        <v>0</v>
      </c>
      <c r="MH4" s="8">
        <v>0</v>
      </c>
      <c r="MI4" s="8">
        <v>0</v>
      </c>
      <c r="MJ4" s="8">
        <v>0</v>
      </c>
      <c r="MK4" s="8">
        <v>0</v>
      </c>
      <c r="ML4" s="8">
        <v>0</v>
      </c>
      <c r="MM4" s="8">
        <v>0</v>
      </c>
      <c r="MN4" s="8">
        <v>0</v>
      </c>
      <c r="MO4" s="8">
        <v>0</v>
      </c>
      <c r="MP4" s="8">
        <v>0</v>
      </c>
      <c r="MQ4" s="8">
        <v>0</v>
      </c>
      <c r="MR4" s="8">
        <v>0</v>
      </c>
      <c r="MS4" s="8">
        <v>0</v>
      </c>
      <c r="MT4" s="8">
        <v>0</v>
      </c>
      <c r="MU4" s="8">
        <v>0</v>
      </c>
      <c r="MV4" s="8">
        <v>0</v>
      </c>
      <c r="MW4" s="8">
        <v>0</v>
      </c>
      <c r="MX4" s="8">
        <v>0</v>
      </c>
      <c r="MY4" s="8">
        <v>0</v>
      </c>
      <c r="MZ4" s="8">
        <v>0</v>
      </c>
      <c r="NA4" s="8">
        <v>0</v>
      </c>
      <c r="NB4" s="8">
        <v>0</v>
      </c>
      <c r="NC4" s="8">
        <v>0</v>
      </c>
      <c r="ND4" s="8">
        <v>0</v>
      </c>
      <c r="NE4" s="8">
        <v>0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>
        <v>0</v>
      </c>
      <c r="NU4" s="8">
        <v>0</v>
      </c>
      <c r="NV4" s="8">
        <v>0</v>
      </c>
      <c r="NW4" s="8">
        <v>0</v>
      </c>
      <c r="NX4" s="8">
        <v>0</v>
      </c>
      <c r="NY4" s="8">
        <v>0</v>
      </c>
      <c r="NZ4" s="8">
        <v>0</v>
      </c>
      <c r="OA4" s="8">
        <v>0</v>
      </c>
      <c r="OB4" s="8">
        <v>0</v>
      </c>
      <c r="OC4" s="8">
        <v>0</v>
      </c>
      <c r="OD4" s="8">
        <v>0</v>
      </c>
      <c r="OE4" s="8">
        <v>0</v>
      </c>
      <c r="OF4" s="8">
        <v>0</v>
      </c>
      <c r="OG4" s="8">
        <v>0</v>
      </c>
      <c r="OH4" s="8">
        <v>0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0</v>
      </c>
      <c r="OQ4" s="8">
        <v>0</v>
      </c>
      <c r="OR4" s="8">
        <v>0</v>
      </c>
      <c r="OS4" s="8">
        <v>0</v>
      </c>
      <c r="OT4" s="8">
        <v>0</v>
      </c>
      <c r="OU4" s="8">
        <v>0</v>
      </c>
      <c r="OV4" s="8">
        <v>0</v>
      </c>
      <c r="OW4" s="8">
        <v>0</v>
      </c>
      <c r="OX4" s="8">
        <v>0</v>
      </c>
      <c r="OY4" s="8">
        <v>0</v>
      </c>
      <c r="OZ4" s="8">
        <v>0</v>
      </c>
      <c r="PA4" s="8">
        <v>0</v>
      </c>
      <c r="PB4" s="8">
        <v>0</v>
      </c>
      <c r="PC4" s="8">
        <v>0</v>
      </c>
      <c r="PD4" s="8">
        <v>0</v>
      </c>
      <c r="PE4" s="8">
        <v>0</v>
      </c>
      <c r="PF4" s="8">
        <v>0</v>
      </c>
      <c r="PG4" s="8">
        <v>0</v>
      </c>
      <c r="PH4" s="8">
        <v>0</v>
      </c>
      <c r="PI4" s="8">
        <v>0</v>
      </c>
      <c r="PJ4" s="8">
        <v>0</v>
      </c>
      <c r="PK4" s="8">
        <v>0</v>
      </c>
      <c r="PL4" s="8">
        <v>0</v>
      </c>
      <c r="PM4" s="8">
        <v>0</v>
      </c>
      <c r="PN4" s="8">
        <v>0</v>
      </c>
      <c r="PO4" s="8">
        <v>0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0</v>
      </c>
      <c r="PV4" s="8">
        <v>0</v>
      </c>
      <c r="PW4" s="8">
        <v>0</v>
      </c>
      <c r="PX4" s="8">
        <v>0</v>
      </c>
      <c r="PY4" s="8">
        <v>0</v>
      </c>
      <c r="PZ4" s="8">
        <v>0</v>
      </c>
      <c r="QA4" s="8">
        <v>0</v>
      </c>
      <c r="QB4" s="8">
        <v>0</v>
      </c>
      <c r="QC4" s="8">
        <v>0</v>
      </c>
      <c r="QD4" s="8">
        <v>0</v>
      </c>
      <c r="QE4" s="8">
        <v>0</v>
      </c>
      <c r="QF4" s="8">
        <v>0</v>
      </c>
      <c r="QG4" s="8">
        <v>0</v>
      </c>
      <c r="QH4" s="8">
        <v>0</v>
      </c>
      <c r="QI4" s="8">
        <v>0</v>
      </c>
      <c r="QJ4" s="8">
        <v>0</v>
      </c>
      <c r="QK4" s="8">
        <v>0</v>
      </c>
      <c r="QL4" s="8">
        <v>0</v>
      </c>
      <c r="QM4" s="8">
        <v>0</v>
      </c>
      <c r="QN4" s="8">
        <v>0</v>
      </c>
      <c r="QO4" s="8">
        <v>0</v>
      </c>
      <c r="QP4" s="8">
        <v>0</v>
      </c>
      <c r="QQ4" s="8">
        <v>0</v>
      </c>
      <c r="QR4" s="8">
        <v>0</v>
      </c>
      <c r="QS4" s="8">
        <v>0</v>
      </c>
      <c r="QT4" s="8">
        <v>0</v>
      </c>
      <c r="QU4" s="8">
        <v>0</v>
      </c>
      <c r="QV4" s="8">
        <v>0</v>
      </c>
      <c r="QW4" s="8">
        <v>0</v>
      </c>
      <c r="QX4" s="8">
        <v>0</v>
      </c>
      <c r="QY4" s="8">
        <v>0</v>
      </c>
      <c r="QZ4" s="8">
        <v>0</v>
      </c>
      <c r="RA4" s="8">
        <v>0</v>
      </c>
      <c r="RB4" s="8">
        <v>0</v>
      </c>
      <c r="RC4" s="8">
        <v>0</v>
      </c>
      <c r="RD4" s="8">
        <v>0</v>
      </c>
      <c r="RE4" s="8">
        <v>0</v>
      </c>
      <c r="RF4" s="8">
        <v>0</v>
      </c>
      <c r="RG4" s="8">
        <v>0</v>
      </c>
      <c r="RH4" s="8">
        <v>0</v>
      </c>
      <c r="RI4" s="8">
        <v>0</v>
      </c>
      <c r="RJ4" s="8">
        <v>0</v>
      </c>
      <c r="RK4" s="8">
        <v>0</v>
      </c>
      <c r="RL4" s="8">
        <v>0</v>
      </c>
      <c r="RM4" s="8">
        <v>0</v>
      </c>
      <c r="RN4" s="8">
        <v>0</v>
      </c>
      <c r="RO4" s="8">
        <v>0</v>
      </c>
      <c r="RP4" s="8">
        <v>0</v>
      </c>
      <c r="RQ4" s="8">
        <v>0</v>
      </c>
      <c r="RR4" s="8">
        <v>0</v>
      </c>
      <c r="RS4" s="8">
        <v>0</v>
      </c>
      <c r="RT4" s="8">
        <v>0</v>
      </c>
      <c r="RU4" s="8">
        <v>0</v>
      </c>
      <c r="RV4" s="8">
        <v>0</v>
      </c>
      <c r="RW4" s="8">
        <v>0</v>
      </c>
      <c r="RX4" s="8">
        <v>0</v>
      </c>
      <c r="RY4" s="8">
        <v>0</v>
      </c>
      <c r="RZ4" s="8">
        <v>0</v>
      </c>
      <c r="SA4" s="8">
        <v>0</v>
      </c>
      <c r="SB4" s="8">
        <v>0</v>
      </c>
      <c r="SC4" s="8">
        <v>0</v>
      </c>
      <c r="SD4" s="8">
        <v>0</v>
      </c>
      <c r="SE4" s="8">
        <v>0</v>
      </c>
      <c r="SF4" s="8">
        <v>0</v>
      </c>
      <c r="SG4" s="8">
        <v>0</v>
      </c>
      <c r="SH4" s="8">
        <v>0</v>
      </c>
      <c r="SI4" s="8">
        <v>0</v>
      </c>
      <c r="SJ4" s="8">
        <v>0</v>
      </c>
      <c r="SK4" s="8">
        <v>0</v>
      </c>
      <c r="SL4" s="8">
        <v>0</v>
      </c>
      <c r="SM4" s="8">
        <v>0</v>
      </c>
      <c r="SN4" s="8">
        <v>0</v>
      </c>
      <c r="SO4" s="8">
        <v>0</v>
      </c>
      <c r="SP4" s="8">
        <v>0</v>
      </c>
      <c r="SQ4" s="8">
        <v>0</v>
      </c>
      <c r="SR4" s="8">
        <v>0</v>
      </c>
      <c r="SS4" s="8">
        <v>0</v>
      </c>
      <c r="ST4" s="8">
        <v>0</v>
      </c>
      <c r="SU4" s="8">
        <v>0</v>
      </c>
      <c r="SV4" s="8">
        <v>0</v>
      </c>
      <c r="SW4" s="8">
        <v>0</v>
      </c>
      <c r="SX4" s="8">
        <v>0</v>
      </c>
      <c r="SY4" s="8">
        <v>0</v>
      </c>
      <c r="SZ4" s="8">
        <v>0</v>
      </c>
      <c r="TA4" s="8">
        <v>0</v>
      </c>
      <c r="TB4" s="8">
        <v>0</v>
      </c>
      <c r="TC4" s="8">
        <v>0</v>
      </c>
      <c r="TD4" s="8">
        <v>0</v>
      </c>
      <c r="TE4" s="8">
        <v>0</v>
      </c>
      <c r="TF4" s="8">
        <v>0</v>
      </c>
      <c r="TG4" s="8">
        <v>0</v>
      </c>
      <c r="TH4" s="8">
        <v>0</v>
      </c>
      <c r="TI4" s="8">
        <v>0</v>
      </c>
      <c r="TJ4" s="8">
        <v>0</v>
      </c>
      <c r="TK4" s="8">
        <v>0</v>
      </c>
      <c r="TL4" s="8">
        <v>0</v>
      </c>
      <c r="TM4" s="8">
        <v>0</v>
      </c>
      <c r="TN4" s="8">
        <v>0</v>
      </c>
      <c r="TO4" s="8">
        <v>0</v>
      </c>
      <c r="TP4" s="8">
        <v>0</v>
      </c>
      <c r="TQ4" s="8">
        <v>0</v>
      </c>
      <c r="TR4" s="8">
        <v>0</v>
      </c>
      <c r="TS4" s="8">
        <v>0</v>
      </c>
      <c r="TT4" s="8">
        <v>0</v>
      </c>
      <c r="TU4" s="8">
        <v>0</v>
      </c>
      <c r="TV4" s="8">
        <v>0</v>
      </c>
      <c r="TW4" s="8">
        <v>0</v>
      </c>
      <c r="TX4" s="8">
        <v>0</v>
      </c>
      <c r="TY4" s="8">
        <v>0</v>
      </c>
      <c r="TZ4" s="8">
        <v>0</v>
      </c>
      <c r="UA4" s="8">
        <v>0</v>
      </c>
      <c r="UB4" s="8">
        <v>0</v>
      </c>
      <c r="UC4" s="8">
        <v>0</v>
      </c>
      <c r="UD4" s="8">
        <v>0</v>
      </c>
      <c r="UE4" s="8">
        <v>0</v>
      </c>
      <c r="UF4" s="8">
        <v>0</v>
      </c>
      <c r="UG4" s="8">
        <v>0</v>
      </c>
      <c r="UH4" s="8">
        <v>0</v>
      </c>
      <c r="UI4" s="8">
        <v>0</v>
      </c>
      <c r="UJ4" s="8">
        <v>0</v>
      </c>
      <c r="UK4" s="8">
        <v>0</v>
      </c>
      <c r="UL4" s="8">
        <v>0</v>
      </c>
      <c r="UM4" s="8">
        <v>0</v>
      </c>
      <c r="UN4" s="8">
        <v>0</v>
      </c>
      <c r="UO4" s="8">
        <v>0</v>
      </c>
      <c r="UP4" s="8">
        <v>0</v>
      </c>
      <c r="UQ4" s="8">
        <v>0</v>
      </c>
      <c r="UR4" s="8">
        <v>0</v>
      </c>
      <c r="US4" s="8">
        <v>0</v>
      </c>
      <c r="UT4" s="8">
        <v>0</v>
      </c>
      <c r="UU4" s="8">
        <v>0</v>
      </c>
      <c r="UV4" s="8">
        <v>0</v>
      </c>
      <c r="UW4" s="8">
        <v>0</v>
      </c>
      <c r="UX4" s="8">
        <v>0</v>
      </c>
      <c r="UY4" s="8">
        <v>0</v>
      </c>
      <c r="UZ4" s="8">
        <v>0</v>
      </c>
      <c r="VA4" s="8">
        <v>0</v>
      </c>
      <c r="VB4" s="8">
        <v>0</v>
      </c>
      <c r="VC4" s="8">
        <v>0</v>
      </c>
      <c r="VD4" s="8">
        <v>0</v>
      </c>
      <c r="VE4" s="8">
        <v>0</v>
      </c>
      <c r="VF4" s="8">
        <v>0</v>
      </c>
      <c r="VG4" s="8">
        <v>0</v>
      </c>
      <c r="VH4" s="8">
        <v>0</v>
      </c>
      <c r="VI4" s="8">
        <v>0</v>
      </c>
      <c r="VJ4" s="8">
        <v>0</v>
      </c>
      <c r="VK4" s="8">
        <v>0</v>
      </c>
      <c r="VL4" s="8">
        <v>0</v>
      </c>
      <c r="VM4" s="8">
        <v>0</v>
      </c>
      <c r="VN4" s="8">
        <v>0</v>
      </c>
      <c r="VO4" s="8">
        <v>0</v>
      </c>
      <c r="VP4" s="8">
        <v>0</v>
      </c>
      <c r="VQ4" s="8">
        <v>0</v>
      </c>
      <c r="VR4" s="8">
        <v>0</v>
      </c>
      <c r="VS4" s="8">
        <v>0</v>
      </c>
      <c r="VT4" s="8">
        <v>0</v>
      </c>
      <c r="VU4" s="8">
        <v>0</v>
      </c>
      <c r="VV4" s="8">
        <v>0</v>
      </c>
      <c r="VW4" s="8">
        <v>0</v>
      </c>
      <c r="VX4" s="8">
        <v>0</v>
      </c>
      <c r="VY4" s="8">
        <v>0</v>
      </c>
      <c r="VZ4" s="8">
        <v>0</v>
      </c>
      <c r="WA4" s="8">
        <v>0</v>
      </c>
      <c r="WB4" s="8">
        <v>0</v>
      </c>
      <c r="WC4" s="8">
        <v>0</v>
      </c>
      <c r="WD4" s="8">
        <v>0</v>
      </c>
      <c r="WE4" s="8">
        <v>0</v>
      </c>
      <c r="WF4" s="8">
        <v>0</v>
      </c>
      <c r="WG4" s="8">
        <v>0</v>
      </c>
      <c r="WH4" s="8">
        <v>0</v>
      </c>
      <c r="WI4" s="8">
        <v>0</v>
      </c>
      <c r="WJ4" s="8">
        <v>0</v>
      </c>
      <c r="WK4" s="8">
        <v>0</v>
      </c>
      <c r="WL4" s="8">
        <v>0</v>
      </c>
      <c r="WM4" s="8">
        <v>0</v>
      </c>
      <c r="WN4" s="8">
        <v>0</v>
      </c>
      <c r="WO4" s="8">
        <v>0</v>
      </c>
      <c r="WP4" s="8">
        <v>0</v>
      </c>
      <c r="WQ4" s="8">
        <v>0</v>
      </c>
      <c r="WR4" s="8">
        <v>0</v>
      </c>
      <c r="WS4" s="8">
        <v>0</v>
      </c>
      <c r="WT4" s="8">
        <v>0</v>
      </c>
      <c r="WU4" s="8">
        <v>0</v>
      </c>
      <c r="WV4" s="8">
        <v>0</v>
      </c>
      <c r="WW4" s="8">
        <v>0</v>
      </c>
      <c r="WX4" s="8">
        <v>0</v>
      </c>
      <c r="WY4" s="8">
        <v>0</v>
      </c>
      <c r="WZ4" s="8">
        <v>0</v>
      </c>
      <c r="XA4" s="8">
        <v>0</v>
      </c>
      <c r="XB4" s="8">
        <v>0</v>
      </c>
      <c r="XC4" s="8">
        <v>0</v>
      </c>
      <c r="XD4" s="8">
        <v>0</v>
      </c>
      <c r="XE4" s="8">
        <v>0</v>
      </c>
      <c r="XF4" s="8">
        <v>0</v>
      </c>
      <c r="XG4" s="8">
        <v>0</v>
      </c>
      <c r="XH4" s="8">
        <v>0</v>
      </c>
      <c r="XI4" s="8">
        <v>0</v>
      </c>
      <c r="XJ4" s="8">
        <v>0</v>
      </c>
      <c r="XK4" s="8">
        <v>0</v>
      </c>
      <c r="XL4" s="8">
        <v>0</v>
      </c>
      <c r="XM4" s="8">
        <v>0</v>
      </c>
      <c r="XN4" s="8">
        <v>0</v>
      </c>
      <c r="XO4" s="8">
        <v>0</v>
      </c>
      <c r="XP4" s="8">
        <v>0</v>
      </c>
      <c r="XQ4" s="8">
        <v>0</v>
      </c>
      <c r="XR4" s="8">
        <v>0</v>
      </c>
      <c r="XS4" s="8">
        <v>0</v>
      </c>
      <c r="XT4" s="8">
        <v>0</v>
      </c>
      <c r="XU4" s="8">
        <v>0</v>
      </c>
      <c r="XV4" s="8">
        <v>0</v>
      </c>
      <c r="XW4" s="8">
        <v>0</v>
      </c>
      <c r="XX4" s="8">
        <v>0</v>
      </c>
      <c r="XY4" s="8">
        <v>0</v>
      </c>
      <c r="XZ4" s="8">
        <v>0</v>
      </c>
      <c r="YA4" s="8">
        <v>0</v>
      </c>
      <c r="YB4" s="8">
        <v>0</v>
      </c>
      <c r="YC4" s="8">
        <v>0</v>
      </c>
      <c r="YD4" s="8">
        <v>0</v>
      </c>
      <c r="YE4" s="8">
        <v>0</v>
      </c>
      <c r="YF4" s="8">
        <v>0</v>
      </c>
      <c r="YG4" s="8">
        <v>0</v>
      </c>
      <c r="YH4" s="8">
        <v>0</v>
      </c>
      <c r="YI4" s="8">
        <v>0</v>
      </c>
      <c r="YJ4" s="8">
        <v>0</v>
      </c>
      <c r="YK4" s="8">
        <v>0</v>
      </c>
      <c r="YL4" s="8">
        <v>0</v>
      </c>
      <c r="YM4" s="8">
        <v>0</v>
      </c>
      <c r="YN4" s="8">
        <v>0</v>
      </c>
      <c r="YO4" s="8">
        <v>0</v>
      </c>
      <c r="YP4" s="8">
        <v>0</v>
      </c>
      <c r="YQ4" s="8">
        <v>0</v>
      </c>
      <c r="YR4" s="8">
        <v>0</v>
      </c>
      <c r="YS4" s="8">
        <v>0</v>
      </c>
      <c r="YT4" s="8">
        <v>0</v>
      </c>
      <c r="YU4" s="8">
        <v>0</v>
      </c>
      <c r="YV4" s="8">
        <v>0</v>
      </c>
      <c r="YW4" s="8">
        <v>0</v>
      </c>
      <c r="YX4" s="8">
        <v>0</v>
      </c>
      <c r="YY4" s="8">
        <v>0</v>
      </c>
      <c r="YZ4" s="8">
        <v>0</v>
      </c>
      <c r="ZA4" s="8">
        <v>0</v>
      </c>
      <c r="ZB4" s="8">
        <v>0</v>
      </c>
      <c r="ZC4" s="8">
        <v>0</v>
      </c>
      <c r="ZD4" s="8">
        <v>0</v>
      </c>
      <c r="ZE4" s="8">
        <v>0</v>
      </c>
      <c r="ZF4" s="8">
        <v>0</v>
      </c>
      <c r="ZG4" s="8">
        <v>0</v>
      </c>
      <c r="ZH4" s="8">
        <v>0</v>
      </c>
      <c r="ZI4" s="8">
        <v>0</v>
      </c>
      <c r="ZJ4" s="8">
        <v>0</v>
      </c>
      <c r="ZK4" s="8">
        <v>0</v>
      </c>
      <c r="ZL4" s="8">
        <v>0</v>
      </c>
      <c r="ZM4" s="8">
        <v>0</v>
      </c>
      <c r="ZN4" s="8">
        <v>0</v>
      </c>
      <c r="ZO4" s="8">
        <v>0</v>
      </c>
      <c r="ZP4" s="8">
        <v>0</v>
      </c>
      <c r="ZQ4" s="8">
        <v>0</v>
      </c>
      <c r="ZR4" s="8">
        <v>0</v>
      </c>
      <c r="ZS4" s="8">
        <v>0</v>
      </c>
      <c r="ZT4" s="8">
        <v>0</v>
      </c>
      <c r="ZU4" s="8">
        <v>0</v>
      </c>
      <c r="ZV4" s="8">
        <v>0</v>
      </c>
      <c r="ZW4" s="8">
        <v>0</v>
      </c>
      <c r="ZX4" s="8">
        <v>0</v>
      </c>
      <c r="ZY4" s="8">
        <v>0</v>
      </c>
      <c r="ZZ4" s="8">
        <v>0</v>
      </c>
      <c r="AAA4" s="8">
        <v>0</v>
      </c>
      <c r="AAB4" s="8">
        <v>0</v>
      </c>
      <c r="AAC4" s="8">
        <v>0</v>
      </c>
      <c r="AAD4" s="8">
        <v>0</v>
      </c>
      <c r="AAE4" s="8">
        <v>0</v>
      </c>
      <c r="AAF4" s="8">
        <v>0</v>
      </c>
      <c r="AAG4" s="8">
        <v>0</v>
      </c>
      <c r="AAH4" s="8">
        <v>0</v>
      </c>
      <c r="AAI4" s="8">
        <v>0</v>
      </c>
      <c r="AAJ4" s="8">
        <v>0</v>
      </c>
      <c r="AAK4" s="8">
        <v>0</v>
      </c>
      <c r="AAL4" s="8">
        <v>0</v>
      </c>
      <c r="AAM4" s="8">
        <v>0</v>
      </c>
      <c r="AAN4" s="8">
        <v>0</v>
      </c>
      <c r="AAO4" s="8">
        <v>0</v>
      </c>
      <c r="AAP4" s="8">
        <v>0</v>
      </c>
      <c r="AAQ4" s="8">
        <v>0</v>
      </c>
      <c r="AAR4" s="8">
        <v>0</v>
      </c>
      <c r="AAS4" s="8">
        <v>0</v>
      </c>
      <c r="AAT4" s="8">
        <v>0</v>
      </c>
      <c r="AAU4" s="8">
        <v>0</v>
      </c>
      <c r="AAV4" s="8">
        <v>0</v>
      </c>
      <c r="AAW4" s="8">
        <v>0</v>
      </c>
      <c r="AAX4" s="8">
        <v>0</v>
      </c>
      <c r="AAY4" s="8">
        <v>0</v>
      </c>
      <c r="AAZ4" s="8">
        <v>0</v>
      </c>
      <c r="ABA4" s="8">
        <v>0</v>
      </c>
      <c r="ABB4" s="8">
        <v>0</v>
      </c>
      <c r="ABC4" s="8">
        <v>0</v>
      </c>
      <c r="ABD4" s="8">
        <v>0</v>
      </c>
      <c r="ABE4" s="8">
        <v>0</v>
      </c>
      <c r="ABF4" s="8">
        <v>0</v>
      </c>
      <c r="ABG4" s="8">
        <v>0</v>
      </c>
      <c r="ABH4" s="8">
        <v>0</v>
      </c>
      <c r="ABI4" s="8">
        <v>0</v>
      </c>
      <c r="ABJ4" s="8">
        <v>0</v>
      </c>
      <c r="ABK4" s="8">
        <v>0</v>
      </c>
      <c r="ABL4" s="8">
        <v>0</v>
      </c>
      <c r="ABM4" s="8">
        <v>0</v>
      </c>
      <c r="ABN4" s="8">
        <v>0</v>
      </c>
      <c r="ABO4" s="8">
        <v>0</v>
      </c>
      <c r="ABP4" s="8">
        <v>0</v>
      </c>
      <c r="ABQ4" s="8">
        <v>0</v>
      </c>
      <c r="ABR4" s="8">
        <v>0</v>
      </c>
      <c r="ABS4" s="8">
        <v>0</v>
      </c>
      <c r="ABT4" s="8">
        <v>0</v>
      </c>
      <c r="ABU4" s="8">
        <v>0</v>
      </c>
      <c r="ABV4" s="8">
        <v>0</v>
      </c>
      <c r="ABW4" s="8">
        <v>0</v>
      </c>
      <c r="ABX4" s="8">
        <v>0</v>
      </c>
      <c r="ABY4" s="8">
        <v>0</v>
      </c>
      <c r="ABZ4" s="8">
        <v>0</v>
      </c>
      <c r="ACA4" s="8">
        <v>0</v>
      </c>
      <c r="ACB4" s="8">
        <v>0</v>
      </c>
      <c r="ACC4" s="8">
        <v>0</v>
      </c>
      <c r="ACD4" s="8">
        <v>0</v>
      </c>
      <c r="ACE4" s="8">
        <v>0</v>
      </c>
      <c r="ACF4" s="8">
        <v>0</v>
      </c>
      <c r="ACG4" s="8">
        <v>0</v>
      </c>
      <c r="ACH4" s="8">
        <v>0</v>
      </c>
      <c r="ACI4" s="8">
        <v>0</v>
      </c>
      <c r="ACJ4" s="8">
        <v>0</v>
      </c>
      <c r="ACK4" s="8">
        <v>0</v>
      </c>
      <c r="ACL4" s="8">
        <v>0</v>
      </c>
      <c r="ACM4" s="8">
        <v>0</v>
      </c>
      <c r="ACN4" s="8">
        <v>0</v>
      </c>
      <c r="ACO4" s="8">
        <v>0</v>
      </c>
      <c r="ACP4" s="8">
        <v>0</v>
      </c>
      <c r="ACQ4" s="8">
        <v>0</v>
      </c>
      <c r="ACR4" s="8">
        <v>0</v>
      </c>
      <c r="ACS4" s="8">
        <v>0</v>
      </c>
      <c r="ACT4" s="8">
        <v>0</v>
      </c>
      <c r="ACU4" s="8">
        <v>0</v>
      </c>
      <c r="ACV4" s="8">
        <v>0</v>
      </c>
      <c r="ACW4" s="8">
        <v>0</v>
      </c>
      <c r="ACX4" s="8">
        <v>0</v>
      </c>
      <c r="ACY4" s="8">
        <v>0</v>
      </c>
      <c r="ACZ4" s="8">
        <v>0</v>
      </c>
      <c r="ADA4" s="8">
        <v>0</v>
      </c>
      <c r="ADB4" s="8">
        <v>0</v>
      </c>
      <c r="ADC4" s="8">
        <v>0</v>
      </c>
      <c r="ADD4" s="8">
        <v>0</v>
      </c>
      <c r="ADE4" s="8">
        <v>0</v>
      </c>
      <c r="ADF4" s="8">
        <v>0</v>
      </c>
      <c r="ADG4" s="8">
        <v>0</v>
      </c>
      <c r="ADH4" s="8">
        <v>0</v>
      </c>
      <c r="ADI4" s="8">
        <v>0</v>
      </c>
      <c r="ADJ4" s="8">
        <v>0</v>
      </c>
      <c r="ADK4" s="8">
        <v>0</v>
      </c>
      <c r="ADL4" s="8">
        <v>0</v>
      </c>
      <c r="ADM4" s="8">
        <v>0</v>
      </c>
      <c r="ADN4" s="8">
        <v>0</v>
      </c>
      <c r="ADO4" s="8">
        <v>0</v>
      </c>
      <c r="ADP4" s="8">
        <v>0</v>
      </c>
      <c r="ADQ4" s="8">
        <v>0</v>
      </c>
      <c r="ADR4" s="8">
        <v>0</v>
      </c>
      <c r="ADS4" s="8">
        <v>0</v>
      </c>
      <c r="ADT4" s="8">
        <v>0</v>
      </c>
      <c r="ADU4" s="8">
        <v>0</v>
      </c>
      <c r="ADV4" s="8">
        <v>0</v>
      </c>
      <c r="ADW4" s="8">
        <v>0</v>
      </c>
      <c r="ADX4" s="8">
        <v>0</v>
      </c>
      <c r="ADY4" s="8">
        <v>0</v>
      </c>
      <c r="ADZ4" s="8">
        <v>0</v>
      </c>
      <c r="AEA4" s="8">
        <v>0</v>
      </c>
      <c r="AEB4" s="8">
        <v>0</v>
      </c>
      <c r="AEC4" s="8">
        <v>0</v>
      </c>
      <c r="AED4" s="8">
        <v>0</v>
      </c>
      <c r="AEE4" s="8">
        <v>0</v>
      </c>
      <c r="AEF4" s="8">
        <v>0</v>
      </c>
      <c r="AEG4" s="8">
        <v>0</v>
      </c>
      <c r="AEH4" s="8">
        <v>0</v>
      </c>
      <c r="AEI4" s="8">
        <v>0</v>
      </c>
      <c r="AEJ4" s="8">
        <v>0</v>
      </c>
      <c r="AEK4" s="8">
        <v>0</v>
      </c>
      <c r="AEL4" s="8">
        <v>0</v>
      </c>
      <c r="AEM4" s="8">
        <v>0</v>
      </c>
      <c r="AEN4" s="8">
        <v>0</v>
      </c>
      <c r="AEO4" s="8">
        <v>0</v>
      </c>
      <c r="AEP4" s="8">
        <v>0</v>
      </c>
      <c r="AEQ4" s="8">
        <v>0</v>
      </c>
      <c r="AER4" s="8">
        <v>0</v>
      </c>
      <c r="AES4" s="8">
        <v>0</v>
      </c>
      <c r="AET4" s="8">
        <v>0</v>
      </c>
      <c r="AEU4" s="8">
        <v>0</v>
      </c>
      <c r="AEV4" s="8">
        <v>0</v>
      </c>
      <c r="AEW4" s="8">
        <v>0</v>
      </c>
      <c r="AEX4" s="8">
        <v>0</v>
      </c>
      <c r="AEY4" s="8">
        <v>0</v>
      </c>
      <c r="AEZ4" s="8">
        <v>0</v>
      </c>
      <c r="AFA4" s="8">
        <v>0</v>
      </c>
      <c r="AFB4" s="8">
        <v>0</v>
      </c>
      <c r="AFC4" s="8">
        <v>0</v>
      </c>
      <c r="AFD4" s="8">
        <v>0</v>
      </c>
      <c r="AFE4" s="8">
        <v>0</v>
      </c>
      <c r="AFF4" s="8">
        <v>0</v>
      </c>
      <c r="AFG4" s="8">
        <v>0</v>
      </c>
      <c r="AFH4" s="8">
        <v>0</v>
      </c>
      <c r="AFI4" s="8">
        <v>0</v>
      </c>
      <c r="AFJ4" s="8">
        <v>0</v>
      </c>
      <c r="AFK4" s="8">
        <v>0</v>
      </c>
      <c r="AFL4" s="8">
        <v>0</v>
      </c>
      <c r="AFM4" s="8">
        <v>0</v>
      </c>
      <c r="AFN4" s="8">
        <v>0</v>
      </c>
      <c r="AFO4" s="8">
        <v>0</v>
      </c>
      <c r="AFP4" s="8">
        <v>0</v>
      </c>
      <c r="AFQ4" s="8">
        <v>0</v>
      </c>
      <c r="AFR4" s="8">
        <v>0</v>
      </c>
      <c r="AFS4" s="8">
        <v>0</v>
      </c>
      <c r="AFT4" s="8">
        <v>0</v>
      </c>
      <c r="AFU4" s="8">
        <v>0</v>
      </c>
      <c r="AFV4" s="8">
        <v>0</v>
      </c>
      <c r="AFW4" s="8">
        <v>0</v>
      </c>
      <c r="AFX4" s="8">
        <v>0</v>
      </c>
      <c r="AFY4" s="8">
        <v>0</v>
      </c>
      <c r="AFZ4" s="8">
        <v>0</v>
      </c>
      <c r="AGA4" s="8">
        <v>0</v>
      </c>
      <c r="AGB4" s="8">
        <v>0</v>
      </c>
      <c r="AGC4" s="8">
        <v>0</v>
      </c>
      <c r="AGD4" s="8">
        <v>0</v>
      </c>
      <c r="AGE4" s="8">
        <v>0</v>
      </c>
      <c r="AGF4" s="8">
        <v>0</v>
      </c>
      <c r="AGG4" s="8">
        <v>0</v>
      </c>
      <c r="AGH4" s="8">
        <v>0</v>
      </c>
      <c r="AGI4" s="8">
        <v>0</v>
      </c>
      <c r="AGJ4" s="8">
        <v>0</v>
      </c>
      <c r="AGK4" s="8">
        <v>0</v>
      </c>
      <c r="AGL4" s="8">
        <v>0</v>
      </c>
      <c r="AGM4" s="8">
        <v>0</v>
      </c>
      <c r="AGN4" s="8">
        <v>0</v>
      </c>
      <c r="AGO4" s="8">
        <v>0</v>
      </c>
      <c r="AGP4" s="8">
        <v>0</v>
      </c>
      <c r="AGQ4" s="8">
        <v>0</v>
      </c>
      <c r="AGR4" s="8">
        <v>0</v>
      </c>
      <c r="AGS4" s="8">
        <v>0</v>
      </c>
      <c r="AGT4" s="8">
        <v>0</v>
      </c>
      <c r="AGU4" s="8">
        <v>0</v>
      </c>
      <c r="AGV4" s="8">
        <v>0</v>
      </c>
      <c r="AGW4" s="8">
        <v>0</v>
      </c>
      <c r="AGX4" s="8">
        <v>0</v>
      </c>
      <c r="AGY4" s="8">
        <v>0</v>
      </c>
      <c r="AGZ4" s="8">
        <v>0</v>
      </c>
      <c r="AHA4" s="8">
        <v>0</v>
      </c>
      <c r="AHB4" s="8">
        <v>0</v>
      </c>
      <c r="AHC4" s="8">
        <v>0</v>
      </c>
      <c r="AHD4" s="8">
        <v>0</v>
      </c>
      <c r="AHE4" s="8">
        <v>0</v>
      </c>
      <c r="AHF4" s="8">
        <v>0</v>
      </c>
      <c r="AHG4" s="8">
        <v>0</v>
      </c>
      <c r="AHH4" s="8">
        <v>0</v>
      </c>
      <c r="AHI4" s="8">
        <v>0</v>
      </c>
      <c r="AHJ4" s="8">
        <v>0</v>
      </c>
      <c r="AHK4" s="8">
        <v>0</v>
      </c>
      <c r="AHL4" s="8">
        <v>0</v>
      </c>
      <c r="AHM4" s="8">
        <v>0</v>
      </c>
      <c r="AHN4" s="8">
        <v>0</v>
      </c>
      <c r="AHO4" s="8">
        <v>0</v>
      </c>
      <c r="AHP4" s="8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 t="e">
        <v>#N/A</v>
      </c>
      <c r="AIJ4" t="e">
        <v>#N/A</v>
      </c>
      <c r="AIK4" t="e">
        <v>#N/A</v>
      </c>
      <c r="AIL4" t="e">
        <v>#N/A</v>
      </c>
      <c r="AIM4" t="e">
        <v>#N/A</v>
      </c>
      <c r="AIN4" t="e">
        <v>#N/A</v>
      </c>
      <c r="AIO4" t="e">
        <v>#N/A</v>
      </c>
      <c r="AIP4" t="e">
        <v>#N/A</v>
      </c>
      <c r="AIQ4" t="e">
        <v>#N/A</v>
      </c>
      <c r="AIR4" t="e">
        <v>#N/A</v>
      </c>
      <c r="AIS4" t="e">
        <v>#N/A</v>
      </c>
      <c r="AIT4" t="e">
        <v>#N/A</v>
      </c>
      <c r="AIU4" t="e">
        <v>#N/A</v>
      </c>
      <c r="AIV4" t="e">
        <v>#N/A</v>
      </c>
      <c r="AIW4" t="e">
        <v>#N/A</v>
      </c>
      <c r="AIX4" t="e">
        <v>#N/A</v>
      </c>
      <c r="AIY4" t="e">
        <v>#N/A</v>
      </c>
      <c r="AIZ4" t="e">
        <v>#N/A</v>
      </c>
      <c r="AJA4" t="e">
        <v>#N/A</v>
      </c>
      <c r="AJB4" t="e">
        <v>#N/A</v>
      </c>
      <c r="AJC4" t="e">
        <v>#N/A</v>
      </c>
      <c r="AJD4" t="e">
        <v>#N/A</v>
      </c>
      <c r="AJE4" t="e">
        <v>#N/A</v>
      </c>
      <c r="AJF4" t="e">
        <v>#N/A</v>
      </c>
      <c r="AJG4" t="e">
        <v>#N/A</v>
      </c>
      <c r="AJH4" t="e">
        <v>#N/A</v>
      </c>
      <c r="AJI4" t="e">
        <v>#N/A</v>
      </c>
      <c r="AJJ4" t="e">
        <v>#N/A</v>
      </c>
      <c r="AJK4" t="e">
        <v>#N/A</v>
      </c>
      <c r="AJL4" t="e">
        <v>#N/A</v>
      </c>
      <c r="AJM4" t="e">
        <v>#N/A</v>
      </c>
      <c r="AJN4" t="e">
        <v>#N/A</v>
      </c>
      <c r="AJO4" t="e">
        <v>#N/A</v>
      </c>
      <c r="AJP4" t="e">
        <v>#N/A</v>
      </c>
      <c r="AJQ4" t="e">
        <v>#N/A</v>
      </c>
      <c r="AJR4" t="e">
        <v>#N/A</v>
      </c>
      <c r="AJS4" t="e">
        <v>#N/A</v>
      </c>
      <c r="AJT4" t="e">
        <v>#N/A</v>
      </c>
      <c r="AJU4" t="e">
        <v>#N/A</v>
      </c>
      <c r="AJV4" t="e">
        <v>#N/A</v>
      </c>
      <c r="AJW4" t="e">
        <v>#N/A</v>
      </c>
      <c r="AJX4" t="e">
        <v>#N/A</v>
      </c>
      <c r="AJY4" t="e">
        <v>#N/A</v>
      </c>
      <c r="AJZ4" t="e">
        <v>#N/A</v>
      </c>
      <c r="AKA4" t="e">
        <v>#N/A</v>
      </c>
      <c r="AKB4" t="e">
        <v>#N/A</v>
      </c>
      <c r="AKC4" t="e">
        <v>#N/A</v>
      </c>
      <c r="AKD4" t="e">
        <v>#N/A</v>
      </c>
      <c r="AKE4" t="e">
        <v>#N/A</v>
      </c>
      <c r="AKF4" t="e">
        <v>#N/A</v>
      </c>
      <c r="AKG4" t="e">
        <v>#N/A</v>
      </c>
      <c r="AKH4" t="e">
        <v>#N/A</v>
      </c>
      <c r="AKI4" t="e">
        <v>#N/A</v>
      </c>
      <c r="AKJ4" t="e">
        <v>#N/A</v>
      </c>
      <c r="AKK4" t="e">
        <v>#N/A</v>
      </c>
      <c r="AKL4" t="e">
        <v>#N/A</v>
      </c>
      <c r="AKM4" t="e">
        <v>#N/A</v>
      </c>
      <c r="AKN4" t="e">
        <v>#N/A</v>
      </c>
      <c r="AKO4" t="e">
        <v>#N/A</v>
      </c>
      <c r="AKP4" t="e">
        <v>#N/A</v>
      </c>
      <c r="AKQ4" t="e">
        <v>#N/A</v>
      </c>
      <c r="AKR4" t="e">
        <v>#N/A</v>
      </c>
      <c r="AKS4" t="e">
        <v>#N/A</v>
      </c>
      <c r="AKT4" t="e">
        <v>#N/A</v>
      </c>
      <c r="AKU4" t="e">
        <v>#N/A</v>
      </c>
      <c r="AKV4" t="e">
        <v>#N/A</v>
      </c>
      <c r="AKW4" t="e">
        <v>#N/A</v>
      </c>
      <c r="AKX4" t="e">
        <v>#N/A</v>
      </c>
      <c r="AKY4" t="e">
        <v>#N/A</v>
      </c>
      <c r="AKZ4" t="e">
        <v>#N/A</v>
      </c>
      <c r="ALA4" t="e">
        <v>#N/A</v>
      </c>
      <c r="ALB4" t="e">
        <v>#N/A</v>
      </c>
      <c r="ALC4" t="e">
        <v>#N/A</v>
      </c>
      <c r="ALD4" t="e">
        <v>#N/A</v>
      </c>
      <c r="ALE4" t="e">
        <v>#N/A</v>
      </c>
      <c r="ALF4" t="e">
        <v>#N/A</v>
      </c>
      <c r="ALG4" t="e">
        <v>#N/A</v>
      </c>
      <c r="ALH4" t="e">
        <v>#N/A</v>
      </c>
      <c r="ALI4" t="e">
        <v>#N/A</v>
      </c>
      <c r="ALJ4" t="e">
        <v>#N/A</v>
      </c>
      <c r="ALK4" t="e">
        <v>#N/A</v>
      </c>
      <c r="ALL4" t="e">
        <v>#N/A</v>
      </c>
      <c r="ALM4" t="e">
        <v>#N/A</v>
      </c>
      <c r="ALN4" t="e">
        <v>#N/A</v>
      </c>
      <c r="ALO4" t="e">
        <v>#N/A</v>
      </c>
      <c r="ALP4" t="e">
        <v>#N/A</v>
      </c>
      <c r="ALQ4" t="e">
        <v>#N/A</v>
      </c>
      <c r="ALR4" t="e">
        <v>#N/A</v>
      </c>
      <c r="ALS4" t="e">
        <v>#N/A</v>
      </c>
      <c r="ALT4" t="e">
        <v>#N/A</v>
      </c>
      <c r="ALU4" t="e">
        <v>#N/A</v>
      </c>
      <c r="ALV4" t="e">
        <v>#N/A</v>
      </c>
      <c r="ALW4" t="e">
        <v>#N/A</v>
      </c>
      <c r="ALX4" t="e">
        <v>#N/A</v>
      </c>
      <c r="ALY4" t="e">
        <v>#N/A</v>
      </c>
      <c r="ALZ4" t="e">
        <v>#N/A</v>
      </c>
      <c r="AMA4" t="e">
        <v>#N/A</v>
      </c>
      <c r="AMB4" t="e">
        <v>#N/A</v>
      </c>
      <c r="AMC4" t="e">
        <v>#N/A</v>
      </c>
      <c r="AMD4" t="e">
        <v>#N/A</v>
      </c>
      <c r="AME4" t="e">
        <v>#N/A</v>
      </c>
      <c r="AMF4" t="e">
        <v>#N/A</v>
      </c>
      <c r="AMG4" t="e">
        <v>#N/A</v>
      </c>
      <c r="AMH4" t="e">
        <v>#N/A</v>
      </c>
    </row>
    <row r="5" spans="1:1022" ht="15.75" customHeight="1">
      <c r="A5" s="8" t="str">
        <v>Aurora</v>
      </c>
      <c r="B5" s="8">
        <v>690</v>
      </c>
      <c r="C5" s="8">
        <v>385</v>
      </c>
      <c r="D5" s="8">
        <v>495</v>
      </c>
      <c r="E5" s="8">
        <v>0</v>
      </c>
      <c r="F5" s="8">
        <v>280</v>
      </c>
      <c r="G5" s="8">
        <v>460</v>
      </c>
      <c r="H5" s="8">
        <v>190</v>
      </c>
      <c r="I5" s="8">
        <v>400</v>
      </c>
      <c r="J5" s="8">
        <v>165</v>
      </c>
      <c r="K5" s="8">
        <v>445</v>
      </c>
      <c r="L5" s="8">
        <v>525</v>
      </c>
      <c r="M5" s="8">
        <v>405</v>
      </c>
      <c r="N5" s="8">
        <v>250</v>
      </c>
      <c r="O5" s="8">
        <v>95</v>
      </c>
      <c r="P5" s="8">
        <v>455</v>
      </c>
      <c r="Q5" s="8">
        <v>0</v>
      </c>
      <c r="R5" s="8">
        <v>260</v>
      </c>
      <c r="S5" s="8">
        <v>575</v>
      </c>
      <c r="T5" s="8">
        <v>95</v>
      </c>
      <c r="U5" s="8">
        <v>155</v>
      </c>
      <c r="V5" s="8">
        <v>235</v>
      </c>
      <c r="W5" s="8">
        <v>0</v>
      </c>
      <c r="X5" s="8">
        <v>0</v>
      </c>
      <c r="Y5" s="8">
        <v>125</v>
      </c>
      <c r="Z5" s="8">
        <v>175</v>
      </c>
      <c r="AA5" s="8">
        <v>595</v>
      </c>
      <c r="AB5" s="8">
        <v>535</v>
      </c>
      <c r="AC5" s="8">
        <v>840</v>
      </c>
      <c r="AD5" s="8">
        <v>635</v>
      </c>
      <c r="AE5" s="8">
        <v>235</v>
      </c>
      <c r="AF5" s="8">
        <v>0</v>
      </c>
      <c r="AG5" s="8">
        <v>125</v>
      </c>
      <c r="AH5" s="8">
        <v>485</v>
      </c>
      <c r="AI5" s="8">
        <v>330</v>
      </c>
      <c r="AJ5" s="8">
        <v>100</v>
      </c>
      <c r="AK5" s="8">
        <v>0</v>
      </c>
      <c r="AL5" s="8">
        <v>165</v>
      </c>
      <c r="AM5" s="8">
        <v>0</v>
      </c>
      <c r="AN5" s="8">
        <v>560</v>
      </c>
      <c r="AO5" s="8">
        <v>465</v>
      </c>
      <c r="AP5" s="8">
        <v>0</v>
      </c>
      <c r="AQ5" s="8">
        <v>770</v>
      </c>
      <c r="AR5" s="8">
        <v>0</v>
      </c>
      <c r="AS5" s="8">
        <v>225</v>
      </c>
      <c r="AT5" s="8">
        <v>235</v>
      </c>
      <c r="AU5" s="8">
        <v>385</v>
      </c>
      <c r="AV5" s="8">
        <v>465</v>
      </c>
      <c r="AW5" s="8">
        <v>0</v>
      </c>
      <c r="AX5" s="8">
        <v>330</v>
      </c>
      <c r="AY5" s="8">
        <v>95</v>
      </c>
      <c r="AZ5" s="8">
        <v>195</v>
      </c>
      <c r="BA5" s="8">
        <v>0</v>
      </c>
      <c r="BB5" s="8">
        <v>0</v>
      </c>
      <c r="BC5" s="8">
        <v>1020</v>
      </c>
      <c r="BD5" s="8">
        <v>0</v>
      </c>
      <c r="BE5" s="8">
        <v>570</v>
      </c>
      <c r="BF5" s="8">
        <v>345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380</v>
      </c>
      <c r="BP5" s="8">
        <v>395</v>
      </c>
      <c r="BQ5" s="8">
        <v>105</v>
      </c>
      <c r="BR5" s="8">
        <v>765</v>
      </c>
      <c r="BS5" s="8">
        <v>760</v>
      </c>
      <c r="BT5" s="8">
        <v>215</v>
      </c>
      <c r="BU5" s="8">
        <v>755</v>
      </c>
      <c r="BV5" s="8">
        <v>390</v>
      </c>
      <c r="BW5" s="8">
        <v>620</v>
      </c>
      <c r="BX5" s="8">
        <v>380</v>
      </c>
      <c r="BY5" s="8">
        <v>300</v>
      </c>
      <c r="BZ5" s="8">
        <v>395</v>
      </c>
      <c r="CA5" s="8">
        <v>355</v>
      </c>
      <c r="CB5" s="8">
        <v>565</v>
      </c>
      <c r="CC5" s="8">
        <v>355</v>
      </c>
      <c r="CD5" s="8">
        <v>250</v>
      </c>
      <c r="CE5" s="8">
        <v>0</v>
      </c>
      <c r="CF5" s="8">
        <v>605</v>
      </c>
      <c r="CG5" s="8">
        <v>790</v>
      </c>
      <c r="CH5" s="8">
        <v>370</v>
      </c>
      <c r="CI5" s="8">
        <v>365</v>
      </c>
      <c r="CJ5" s="8">
        <v>585</v>
      </c>
      <c r="CK5" s="8">
        <v>325</v>
      </c>
      <c r="CL5" s="8">
        <v>630</v>
      </c>
      <c r="CM5" s="8">
        <v>210</v>
      </c>
      <c r="CN5" s="8">
        <v>170</v>
      </c>
      <c r="CO5" s="8">
        <v>285</v>
      </c>
      <c r="CP5" s="8">
        <v>210</v>
      </c>
      <c r="CQ5" s="8">
        <v>245</v>
      </c>
      <c r="CR5" s="8">
        <v>155</v>
      </c>
      <c r="CS5" s="8">
        <v>400</v>
      </c>
      <c r="CT5" s="8">
        <v>795</v>
      </c>
      <c r="CU5" s="8">
        <v>270</v>
      </c>
      <c r="CV5" s="8">
        <v>395</v>
      </c>
      <c r="CW5" s="8">
        <v>310</v>
      </c>
      <c r="CX5" s="8">
        <v>440</v>
      </c>
      <c r="CY5" s="8">
        <v>325</v>
      </c>
      <c r="CZ5" s="8">
        <v>590</v>
      </c>
      <c r="DA5" s="8">
        <v>235</v>
      </c>
      <c r="DB5" s="8">
        <v>315</v>
      </c>
      <c r="DC5" s="8">
        <v>190</v>
      </c>
      <c r="DD5" s="8">
        <v>0</v>
      </c>
      <c r="DE5" s="8">
        <v>670</v>
      </c>
      <c r="DF5" s="8">
        <v>0</v>
      </c>
      <c r="DG5" s="8">
        <v>600</v>
      </c>
      <c r="DH5" s="8">
        <v>260</v>
      </c>
      <c r="DI5" s="8">
        <v>555</v>
      </c>
      <c r="DJ5" s="8">
        <v>520</v>
      </c>
      <c r="DK5" s="8">
        <v>430</v>
      </c>
      <c r="DL5" s="8">
        <v>435</v>
      </c>
      <c r="DM5" s="8">
        <v>345</v>
      </c>
      <c r="DN5" s="8">
        <v>115</v>
      </c>
      <c r="DO5" s="8">
        <v>590</v>
      </c>
      <c r="DP5" s="8">
        <v>250</v>
      </c>
      <c r="DQ5" s="8">
        <v>0</v>
      </c>
      <c r="DR5" s="8">
        <v>245</v>
      </c>
      <c r="DS5" s="8">
        <v>310</v>
      </c>
      <c r="DT5" s="8">
        <v>170</v>
      </c>
      <c r="DU5" s="8">
        <v>295</v>
      </c>
      <c r="DV5" s="8">
        <v>205</v>
      </c>
      <c r="DW5" s="8">
        <v>445</v>
      </c>
      <c r="DX5" s="8">
        <v>360</v>
      </c>
      <c r="DY5" s="8">
        <v>0</v>
      </c>
      <c r="DZ5" s="8">
        <v>220</v>
      </c>
      <c r="EA5" s="8">
        <v>895</v>
      </c>
      <c r="EB5" s="8">
        <v>535</v>
      </c>
      <c r="EC5" s="8">
        <v>0</v>
      </c>
      <c r="ED5" s="8">
        <v>0</v>
      </c>
      <c r="EE5" s="8">
        <v>795</v>
      </c>
      <c r="EF5" s="8">
        <v>0</v>
      </c>
      <c r="EG5" s="8">
        <v>0</v>
      </c>
      <c r="EH5" s="8">
        <v>310</v>
      </c>
      <c r="EI5" s="8">
        <v>525</v>
      </c>
      <c r="EJ5" s="8">
        <v>405</v>
      </c>
      <c r="EK5" s="8">
        <v>580</v>
      </c>
      <c r="EL5" s="8">
        <v>725</v>
      </c>
      <c r="EM5" s="8">
        <v>335</v>
      </c>
      <c r="EN5" s="8">
        <v>345</v>
      </c>
      <c r="EO5" s="8">
        <v>0</v>
      </c>
      <c r="EP5" s="8">
        <v>0</v>
      </c>
      <c r="EQ5" s="8">
        <v>540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655</v>
      </c>
      <c r="FC5" s="8">
        <v>0</v>
      </c>
      <c r="FD5" s="8">
        <v>520</v>
      </c>
      <c r="FE5" s="8">
        <v>385</v>
      </c>
      <c r="FF5" s="8">
        <v>505</v>
      </c>
      <c r="FG5" s="8">
        <v>320</v>
      </c>
      <c r="FH5" s="8">
        <v>0</v>
      </c>
      <c r="FI5" s="8">
        <v>300</v>
      </c>
      <c r="FJ5" s="8">
        <v>260</v>
      </c>
      <c r="FK5" s="8">
        <v>640</v>
      </c>
      <c r="FL5" s="8">
        <v>645</v>
      </c>
      <c r="FM5" s="8">
        <v>485</v>
      </c>
      <c r="FN5" s="8">
        <v>0</v>
      </c>
      <c r="FO5" s="8">
        <v>0</v>
      </c>
      <c r="FP5" s="8">
        <v>850</v>
      </c>
      <c r="FQ5" s="8">
        <v>720</v>
      </c>
      <c r="FR5" s="8">
        <v>455</v>
      </c>
      <c r="FS5" s="8">
        <v>330</v>
      </c>
      <c r="FT5" s="8">
        <v>605</v>
      </c>
      <c r="FU5" s="8">
        <v>0</v>
      </c>
      <c r="FV5" s="8">
        <v>555</v>
      </c>
      <c r="FW5" s="8">
        <v>625</v>
      </c>
      <c r="FX5" s="8">
        <v>410</v>
      </c>
      <c r="FY5" s="8">
        <v>335</v>
      </c>
      <c r="FZ5" s="8">
        <v>355</v>
      </c>
      <c r="GA5" s="8">
        <v>540</v>
      </c>
      <c r="GB5" s="8">
        <v>330</v>
      </c>
      <c r="GC5" s="8">
        <v>365</v>
      </c>
      <c r="GD5" s="8">
        <v>0</v>
      </c>
      <c r="GE5" s="8">
        <v>0</v>
      </c>
      <c r="GF5" s="8">
        <v>0</v>
      </c>
      <c r="GG5" s="8">
        <v>255</v>
      </c>
      <c r="GH5" s="8">
        <v>230</v>
      </c>
      <c r="GI5" s="8">
        <v>595</v>
      </c>
      <c r="GJ5" s="8">
        <v>665</v>
      </c>
      <c r="GK5" s="8">
        <v>0</v>
      </c>
      <c r="GL5" s="8">
        <v>0</v>
      </c>
      <c r="GM5" s="8">
        <v>365</v>
      </c>
      <c r="GN5" s="8">
        <v>620</v>
      </c>
      <c r="GO5" s="8">
        <v>165</v>
      </c>
      <c r="GP5" s="8">
        <v>365</v>
      </c>
      <c r="GQ5" s="8">
        <v>0</v>
      </c>
      <c r="GR5" s="8">
        <v>115</v>
      </c>
      <c r="GS5" s="8">
        <v>405</v>
      </c>
      <c r="GT5" s="8">
        <v>425</v>
      </c>
      <c r="GU5" s="8">
        <v>0</v>
      </c>
      <c r="GV5" s="8">
        <v>225</v>
      </c>
      <c r="GW5" s="8">
        <v>340</v>
      </c>
      <c r="GX5" s="8">
        <v>45</v>
      </c>
      <c r="GY5" s="8">
        <v>590</v>
      </c>
      <c r="GZ5" s="8">
        <v>305</v>
      </c>
      <c r="HA5" s="8">
        <v>540</v>
      </c>
      <c r="HB5" s="8">
        <v>490</v>
      </c>
      <c r="HC5" s="8">
        <v>470</v>
      </c>
      <c r="HD5" s="8">
        <v>750</v>
      </c>
      <c r="HE5" s="8">
        <v>405</v>
      </c>
      <c r="HF5" s="8">
        <v>255</v>
      </c>
      <c r="HG5" s="8">
        <v>530</v>
      </c>
      <c r="HH5" s="8">
        <v>265</v>
      </c>
      <c r="HI5" s="8">
        <v>650</v>
      </c>
      <c r="HJ5" s="8">
        <v>160</v>
      </c>
      <c r="HK5" s="8">
        <v>440</v>
      </c>
      <c r="HL5" s="8">
        <v>450</v>
      </c>
      <c r="HM5" s="8">
        <v>175</v>
      </c>
      <c r="HN5" s="8">
        <v>465</v>
      </c>
      <c r="HO5" s="8">
        <v>350</v>
      </c>
      <c r="HP5" s="8">
        <v>635</v>
      </c>
      <c r="HQ5" s="8">
        <v>365</v>
      </c>
      <c r="HR5" s="8">
        <v>495</v>
      </c>
      <c r="HS5" s="8">
        <v>235</v>
      </c>
      <c r="HT5" s="8">
        <v>625</v>
      </c>
      <c r="HU5" s="8">
        <v>530</v>
      </c>
      <c r="HV5" s="8">
        <v>680</v>
      </c>
      <c r="HW5" s="8">
        <v>585</v>
      </c>
      <c r="HX5" s="8">
        <v>220</v>
      </c>
      <c r="HY5" s="8">
        <v>225</v>
      </c>
      <c r="HZ5" s="8">
        <v>335</v>
      </c>
      <c r="IA5" s="8">
        <v>0</v>
      </c>
      <c r="IB5" s="8">
        <v>0</v>
      </c>
      <c r="IC5" s="8">
        <v>625</v>
      </c>
      <c r="ID5" s="8">
        <v>295</v>
      </c>
      <c r="IE5" s="8">
        <v>225</v>
      </c>
      <c r="IF5" s="8">
        <v>225</v>
      </c>
      <c r="IG5" s="8">
        <v>345</v>
      </c>
      <c r="IH5" s="8">
        <v>835</v>
      </c>
      <c r="II5" s="8">
        <v>0</v>
      </c>
      <c r="IJ5" s="8">
        <v>0</v>
      </c>
      <c r="IK5" s="8">
        <v>0</v>
      </c>
      <c r="IL5" s="8">
        <v>475</v>
      </c>
      <c r="IM5" s="8">
        <v>0</v>
      </c>
      <c r="IN5" s="8">
        <v>335</v>
      </c>
      <c r="IO5" s="8">
        <v>325</v>
      </c>
      <c r="IP5" s="8">
        <v>0</v>
      </c>
      <c r="IQ5" s="8">
        <v>165</v>
      </c>
      <c r="IR5" s="8">
        <v>715</v>
      </c>
      <c r="IS5" s="8">
        <v>680</v>
      </c>
      <c r="IT5" s="8">
        <v>270</v>
      </c>
      <c r="IU5" s="8">
        <v>0</v>
      </c>
      <c r="IV5" s="8">
        <v>625</v>
      </c>
      <c r="IW5" s="8">
        <v>560</v>
      </c>
      <c r="IX5" s="8">
        <v>735</v>
      </c>
      <c r="IY5" s="8">
        <v>0</v>
      </c>
      <c r="IZ5" s="8">
        <v>505</v>
      </c>
      <c r="JA5" s="8">
        <v>320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640</v>
      </c>
      <c r="JJ5" s="8">
        <v>555</v>
      </c>
      <c r="JK5" s="8">
        <v>260</v>
      </c>
      <c r="JL5" s="8">
        <v>265</v>
      </c>
      <c r="JM5" s="8">
        <v>365</v>
      </c>
      <c r="JN5" s="8">
        <v>485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8">
        <v>0</v>
      </c>
      <c r="JY5" s="8">
        <v>0</v>
      </c>
      <c r="JZ5" s="8">
        <v>690</v>
      </c>
      <c r="KA5" s="8">
        <v>100</v>
      </c>
      <c r="KB5" s="8">
        <v>500</v>
      </c>
      <c r="KC5" s="8">
        <v>595</v>
      </c>
      <c r="KD5" s="8">
        <v>205</v>
      </c>
      <c r="KE5" s="8">
        <v>195</v>
      </c>
      <c r="KF5" s="8">
        <v>560</v>
      </c>
      <c r="KG5" s="8">
        <v>500</v>
      </c>
      <c r="KH5" s="8">
        <v>385</v>
      </c>
      <c r="KI5" s="8">
        <v>240</v>
      </c>
      <c r="KJ5" s="8">
        <v>260</v>
      </c>
      <c r="KK5" s="8">
        <v>675</v>
      </c>
      <c r="KL5" s="8">
        <v>495</v>
      </c>
      <c r="KM5" s="8">
        <v>340</v>
      </c>
      <c r="KN5" s="8">
        <v>485</v>
      </c>
      <c r="KO5" s="8">
        <v>390</v>
      </c>
      <c r="KP5" s="8">
        <v>0</v>
      </c>
      <c r="KQ5" s="8">
        <v>280</v>
      </c>
      <c r="KR5" s="8">
        <v>325</v>
      </c>
      <c r="KS5" s="8">
        <v>685</v>
      </c>
      <c r="KT5" s="8">
        <v>615</v>
      </c>
      <c r="KU5" s="8">
        <v>0</v>
      </c>
      <c r="KV5" s="8">
        <v>0</v>
      </c>
      <c r="KW5" s="8">
        <v>0</v>
      </c>
      <c r="KX5" s="8">
        <v>0</v>
      </c>
      <c r="KY5" s="8">
        <v>0</v>
      </c>
      <c r="KZ5" s="8">
        <v>0</v>
      </c>
      <c r="LA5" s="8">
        <v>0</v>
      </c>
      <c r="LB5" s="8">
        <v>0</v>
      </c>
      <c r="LC5" s="8">
        <v>245</v>
      </c>
      <c r="LD5" s="8">
        <v>0</v>
      </c>
      <c r="LE5" s="8">
        <v>385</v>
      </c>
      <c r="LF5" s="8">
        <v>515</v>
      </c>
      <c r="LG5" s="8">
        <v>385</v>
      </c>
      <c r="LH5" s="8">
        <v>0</v>
      </c>
      <c r="LI5" s="8">
        <v>415</v>
      </c>
      <c r="LJ5" s="8">
        <v>485</v>
      </c>
      <c r="LK5" s="8">
        <v>335</v>
      </c>
      <c r="LL5" s="8">
        <v>680</v>
      </c>
      <c r="LM5" s="8">
        <v>510</v>
      </c>
      <c r="LN5" s="8">
        <v>205</v>
      </c>
      <c r="LO5" s="8">
        <v>455</v>
      </c>
      <c r="LP5" s="8">
        <v>530</v>
      </c>
      <c r="LQ5" s="8">
        <v>210</v>
      </c>
      <c r="LR5" s="8">
        <v>0</v>
      </c>
      <c r="LS5" s="8">
        <v>330</v>
      </c>
      <c r="LT5" s="8">
        <v>405</v>
      </c>
      <c r="LU5" s="8">
        <v>170</v>
      </c>
      <c r="LV5" s="8">
        <v>0</v>
      </c>
      <c r="LW5" s="8">
        <v>740</v>
      </c>
      <c r="LX5" s="8">
        <v>400</v>
      </c>
      <c r="LY5" s="8">
        <v>320</v>
      </c>
      <c r="LZ5" s="8">
        <v>720</v>
      </c>
      <c r="MA5" s="8">
        <v>415</v>
      </c>
      <c r="MB5" s="8">
        <v>400</v>
      </c>
      <c r="MC5" s="8">
        <v>535</v>
      </c>
      <c r="MD5" s="8">
        <v>335</v>
      </c>
      <c r="ME5" s="8">
        <v>375</v>
      </c>
      <c r="MF5" s="8">
        <v>545</v>
      </c>
      <c r="MG5" s="8">
        <v>0</v>
      </c>
      <c r="MH5" s="8">
        <v>870</v>
      </c>
      <c r="MI5" s="8">
        <v>110</v>
      </c>
      <c r="MJ5" s="8">
        <v>0</v>
      </c>
      <c r="MK5" s="8">
        <v>0</v>
      </c>
      <c r="ML5" s="8">
        <v>460</v>
      </c>
      <c r="MM5" s="8">
        <v>425</v>
      </c>
      <c r="MN5" s="8">
        <v>0</v>
      </c>
      <c r="MO5" s="8">
        <v>445</v>
      </c>
      <c r="MP5" s="8">
        <v>0</v>
      </c>
      <c r="MQ5" s="8">
        <v>0</v>
      </c>
      <c r="MR5" s="8">
        <v>365</v>
      </c>
      <c r="MS5" s="8">
        <v>500</v>
      </c>
      <c r="MT5" s="8">
        <v>315</v>
      </c>
      <c r="MU5" s="8">
        <v>215</v>
      </c>
      <c r="MV5" s="8">
        <v>380</v>
      </c>
      <c r="MW5" s="8">
        <v>0</v>
      </c>
      <c r="MX5" s="8">
        <v>0</v>
      </c>
      <c r="MY5" s="8">
        <v>0</v>
      </c>
      <c r="MZ5" s="8">
        <v>325</v>
      </c>
      <c r="NA5" s="8">
        <v>0</v>
      </c>
      <c r="NB5" s="8">
        <v>0</v>
      </c>
      <c r="NC5" s="8">
        <v>0</v>
      </c>
      <c r="ND5" s="8">
        <v>205</v>
      </c>
      <c r="NE5" s="8">
        <v>0</v>
      </c>
      <c r="NF5" s="8">
        <v>320</v>
      </c>
      <c r="NG5" s="8">
        <v>815</v>
      </c>
      <c r="NH5" s="8">
        <v>315</v>
      </c>
      <c r="NI5" s="8">
        <v>400</v>
      </c>
      <c r="NJ5" s="8">
        <v>90</v>
      </c>
      <c r="NK5" s="8">
        <v>80</v>
      </c>
      <c r="NL5" s="8">
        <v>510</v>
      </c>
      <c r="NM5" s="8">
        <v>0</v>
      </c>
      <c r="NN5" s="8">
        <v>0</v>
      </c>
      <c r="NO5" s="8">
        <v>0</v>
      </c>
      <c r="NP5" s="8">
        <v>365</v>
      </c>
      <c r="NQ5" s="8">
        <v>325</v>
      </c>
      <c r="NR5" s="8">
        <v>285</v>
      </c>
      <c r="NS5" s="8">
        <v>505</v>
      </c>
      <c r="NT5" s="8">
        <v>435</v>
      </c>
      <c r="NU5" s="8">
        <v>340</v>
      </c>
      <c r="NV5" s="8">
        <v>450</v>
      </c>
      <c r="NW5" s="8">
        <v>350</v>
      </c>
      <c r="NX5" s="8">
        <v>0</v>
      </c>
      <c r="NY5" s="8">
        <v>0</v>
      </c>
      <c r="NZ5" s="8">
        <v>285</v>
      </c>
      <c r="OA5" s="8">
        <v>470</v>
      </c>
      <c r="OB5" s="8">
        <v>300</v>
      </c>
      <c r="OC5" s="8">
        <v>0</v>
      </c>
      <c r="OD5" s="8">
        <v>0</v>
      </c>
      <c r="OE5" s="8">
        <v>0</v>
      </c>
      <c r="OF5" s="8">
        <v>455</v>
      </c>
      <c r="OG5" s="8">
        <v>285</v>
      </c>
      <c r="OH5" s="8">
        <v>635</v>
      </c>
      <c r="OI5" s="8">
        <v>305</v>
      </c>
      <c r="OJ5" s="8">
        <v>495</v>
      </c>
      <c r="OK5" s="8">
        <v>0</v>
      </c>
      <c r="OL5" s="8">
        <v>0</v>
      </c>
      <c r="OM5" s="8">
        <v>270</v>
      </c>
      <c r="ON5" s="8">
        <v>320</v>
      </c>
      <c r="OO5" s="8">
        <v>0</v>
      </c>
      <c r="OP5" s="8">
        <v>0</v>
      </c>
      <c r="OQ5" s="8">
        <v>0</v>
      </c>
      <c r="OR5" s="8">
        <v>0</v>
      </c>
      <c r="OS5" s="8">
        <v>275</v>
      </c>
      <c r="OT5" s="8">
        <v>640</v>
      </c>
      <c r="OU5" s="8">
        <v>700</v>
      </c>
      <c r="OV5" s="8">
        <v>0</v>
      </c>
      <c r="OW5" s="8">
        <v>0</v>
      </c>
      <c r="OX5" s="8">
        <v>0</v>
      </c>
      <c r="OY5" s="8">
        <v>470</v>
      </c>
      <c r="OZ5" s="8">
        <v>495</v>
      </c>
      <c r="PA5" s="8">
        <v>445</v>
      </c>
      <c r="PB5" s="8">
        <v>245</v>
      </c>
      <c r="PC5" s="8">
        <v>775</v>
      </c>
      <c r="PD5" s="8">
        <v>735</v>
      </c>
      <c r="PE5" s="8">
        <v>0</v>
      </c>
      <c r="PF5" s="8">
        <v>435</v>
      </c>
      <c r="PG5" s="8">
        <v>360</v>
      </c>
      <c r="PH5" s="8">
        <v>0</v>
      </c>
      <c r="PI5" s="8">
        <v>0</v>
      </c>
      <c r="PJ5" s="8">
        <v>0</v>
      </c>
      <c r="PK5" s="8">
        <v>0</v>
      </c>
      <c r="PL5" s="8">
        <v>385</v>
      </c>
      <c r="PM5" s="8">
        <v>695</v>
      </c>
      <c r="PN5" s="8">
        <v>0</v>
      </c>
      <c r="PO5" s="8">
        <v>0</v>
      </c>
      <c r="PP5" s="8">
        <v>0</v>
      </c>
      <c r="PQ5" s="8">
        <v>0</v>
      </c>
      <c r="PR5" s="8">
        <v>0</v>
      </c>
      <c r="PS5" s="8">
        <v>0</v>
      </c>
      <c r="PT5" s="8">
        <v>0</v>
      </c>
      <c r="PU5" s="8">
        <v>0</v>
      </c>
      <c r="PV5" s="8">
        <v>0</v>
      </c>
      <c r="PW5" s="8">
        <v>0</v>
      </c>
      <c r="PX5" s="8">
        <v>0</v>
      </c>
      <c r="PY5" s="8">
        <v>0</v>
      </c>
      <c r="PZ5" s="8">
        <v>0</v>
      </c>
      <c r="QA5" s="8">
        <v>0</v>
      </c>
      <c r="QB5" s="8">
        <v>0</v>
      </c>
      <c r="QC5" s="8">
        <v>0</v>
      </c>
      <c r="QD5" s="8">
        <v>0</v>
      </c>
      <c r="QE5" s="8">
        <v>0</v>
      </c>
      <c r="QF5" s="8">
        <v>0</v>
      </c>
      <c r="QG5" s="8">
        <v>0</v>
      </c>
      <c r="QH5" s="8">
        <v>0</v>
      </c>
      <c r="QI5" s="8">
        <v>0</v>
      </c>
      <c r="QJ5" s="8">
        <v>0</v>
      </c>
      <c r="QK5" s="8">
        <v>0</v>
      </c>
      <c r="QL5" s="8">
        <v>0</v>
      </c>
      <c r="QM5" s="8">
        <v>0</v>
      </c>
      <c r="QN5" s="8">
        <v>0</v>
      </c>
      <c r="QO5" s="8">
        <v>0</v>
      </c>
      <c r="QP5" s="8">
        <v>0</v>
      </c>
      <c r="QQ5" s="8">
        <v>0</v>
      </c>
      <c r="QR5" s="8">
        <v>0</v>
      </c>
      <c r="QS5" s="8">
        <v>0</v>
      </c>
      <c r="QT5" s="8">
        <v>0</v>
      </c>
      <c r="QU5" s="8">
        <v>0</v>
      </c>
      <c r="QV5" s="8">
        <v>0</v>
      </c>
      <c r="QW5" s="8">
        <v>0</v>
      </c>
      <c r="QX5" s="8">
        <v>0</v>
      </c>
      <c r="QY5" s="8">
        <v>0</v>
      </c>
      <c r="QZ5" s="8">
        <v>0</v>
      </c>
      <c r="RA5" s="8">
        <v>0</v>
      </c>
      <c r="RB5" s="8">
        <v>0</v>
      </c>
      <c r="RC5" s="8">
        <v>0</v>
      </c>
      <c r="RD5" s="8">
        <v>0</v>
      </c>
      <c r="RE5" s="8">
        <v>0</v>
      </c>
      <c r="RF5" s="8">
        <v>0</v>
      </c>
      <c r="RG5" s="8">
        <v>0</v>
      </c>
      <c r="RH5" s="8">
        <v>0</v>
      </c>
      <c r="RI5" s="8">
        <v>0</v>
      </c>
      <c r="RJ5" s="8">
        <v>0</v>
      </c>
      <c r="RK5" s="8">
        <v>0</v>
      </c>
      <c r="RL5" s="8">
        <v>0</v>
      </c>
      <c r="RM5" s="8">
        <v>0</v>
      </c>
      <c r="RN5" s="8">
        <v>0</v>
      </c>
      <c r="RO5" s="8">
        <v>0</v>
      </c>
      <c r="RP5" s="8">
        <v>0</v>
      </c>
      <c r="RQ5" s="8">
        <v>0</v>
      </c>
      <c r="RR5" s="8">
        <v>0</v>
      </c>
      <c r="RS5" s="8">
        <v>0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0</v>
      </c>
      <c r="SP5" s="8">
        <v>0</v>
      </c>
      <c r="SQ5" s="8">
        <v>0</v>
      </c>
      <c r="SR5" s="8">
        <v>0</v>
      </c>
      <c r="SS5" s="8">
        <v>0</v>
      </c>
      <c r="ST5" s="8">
        <v>0</v>
      </c>
      <c r="SU5" s="8">
        <v>0</v>
      </c>
      <c r="SV5" s="8">
        <v>0</v>
      </c>
      <c r="SW5" s="8">
        <v>0</v>
      </c>
      <c r="SX5" s="8">
        <v>0</v>
      </c>
      <c r="SY5" s="8">
        <v>0</v>
      </c>
      <c r="SZ5" s="8">
        <v>0</v>
      </c>
      <c r="TA5" s="8">
        <v>0</v>
      </c>
      <c r="TB5" s="8">
        <v>0</v>
      </c>
      <c r="TC5" s="8">
        <v>0</v>
      </c>
      <c r="TD5" s="8">
        <v>0</v>
      </c>
      <c r="TE5" s="8">
        <v>0</v>
      </c>
      <c r="TF5" s="8">
        <v>0</v>
      </c>
      <c r="TG5" s="8">
        <v>0</v>
      </c>
      <c r="TH5" s="8">
        <v>0</v>
      </c>
      <c r="TI5" s="8">
        <v>0</v>
      </c>
      <c r="TJ5" s="8">
        <v>0</v>
      </c>
      <c r="TK5" s="8">
        <v>0</v>
      </c>
      <c r="TL5" s="8">
        <v>0</v>
      </c>
      <c r="TM5" s="8">
        <v>0</v>
      </c>
      <c r="TN5" s="8">
        <v>0</v>
      </c>
      <c r="TO5" s="8">
        <v>0</v>
      </c>
      <c r="TP5" s="8">
        <v>0</v>
      </c>
      <c r="TQ5" s="8">
        <v>0</v>
      </c>
      <c r="TR5" s="8">
        <v>0</v>
      </c>
      <c r="TS5" s="8">
        <v>0</v>
      </c>
      <c r="TT5" s="8">
        <v>0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0</v>
      </c>
      <c r="UB5" s="8">
        <v>0</v>
      </c>
      <c r="UC5" s="8">
        <v>0</v>
      </c>
      <c r="UD5" s="8">
        <v>0</v>
      </c>
      <c r="UE5" s="8">
        <v>0</v>
      </c>
      <c r="UF5" s="8">
        <v>0</v>
      </c>
      <c r="UG5" s="8">
        <v>0</v>
      </c>
      <c r="UH5" s="8">
        <v>0</v>
      </c>
      <c r="UI5" s="8">
        <v>0</v>
      </c>
      <c r="UJ5" s="8">
        <v>0</v>
      </c>
      <c r="UK5" s="8">
        <v>0</v>
      </c>
      <c r="UL5" s="8">
        <v>0</v>
      </c>
      <c r="UM5" s="8">
        <v>0</v>
      </c>
      <c r="UN5" s="8">
        <v>0</v>
      </c>
      <c r="UO5" s="8">
        <v>0</v>
      </c>
      <c r="UP5" s="8">
        <v>0</v>
      </c>
      <c r="UQ5" s="8">
        <v>0</v>
      </c>
      <c r="UR5" s="8">
        <v>0</v>
      </c>
      <c r="US5" s="8">
        <v>0</v>
      </c>
      <c r="UT5" s="8">
        <v>0</v>
      </c>
      <c r="UU5" s="8">
        <v>0</v>
      </c>
      <c r="UV5" s="8">
        <v>0</v>
      </c>
      <c r="UW5" s="8">
        <v>0</v>
      </c>
      <c r="UX5" s="8">
        <v>0</v>
      </c>
      <c r="UY5" s="8">
        <v>0</v>
      </c>
      <c r="UZ5" s="8">
        <v>0</v>
      </c>
      <c r="VA5" s="8">
        <v>0</v>
      </c>
      <c r="VB5" s="8">
        <v>0</v>
      </c>
      <c r="VC5" s="8">
        <v>0</v>
      </c>
      <c r="VD5" s="8">
        <v>0</v>
      </c>
      <c r="VE5" s="8">
        <v>0</v>
      </c>
      <c r="VF5" s="8">
        <v>0</v>
      </c>
      <c r="VG5" s="8">
        <v>0</v>
      </c>
      <c r="VH5" s="8">
        <v>0</v>
      </c>
      <c r="VI5" s="8">
        <v>0</v>
      </c>
      <c r="VJ5" s="8">
        <v>0</v>
      </c>
      <c r="VK5" s="8">
        <v>0</v>
      </c>
      <c r="VL5" s="8">
        <v>0</v>
      </c>
      <c r="VM5" s="8">
        <v>0</v>
      </c>
      <c r="VN5" s="8">
        <v>0</v>
      </c>
      <c r="VO5" s="8">
        <v>0</v>
      </c>
      <c r="VP5" s="8">
        <v>0</v>
      </c>
      <c r="VQ5" s="8">
        <v>0</v>
      </c>
      <c r="VR5" s="8">
        <v>0</v>
      </c>
      <c r="VS5" s="8">
        <v>0</v>
      </c>
      <c r="VT5" s="8">
        <v>0</v>
      </c>
      <c r="VU5" s="8">
        <v>0</v>
      </c>
      <c r="VV5" s="8">
        <v>0</v>
      </c>
      <c r="VW5" s="8">
        <v>0</v>
      </c>
      <c r="VX5" s="8">
        <v>0</v>
      </c>
      <c r="VY5" s="8">
        <v>0</v>
      </c>
      <c r="VZ5" s="8">
        <v>0</v>
      </c>
      <c r="WA5" s="8">
        <v>0</v>
      </c>
      <c r="WB5" s="8">
        <v>0</v>
      </c>
      <c r="WC5" s="8">
        <v>0</v>
      </c>
      <c r="WD5" s="8">
        <v>0</v>
      </c>
      <c r="WE5" s="8">
        <v>0</v>
      </c>
      <c r="WF5" s="8">
        <v>0</v>
      </c>
      <c r="WG5" s="8">
        <v>0</v>
      </c>
      <c r="WH5" s="8">
        <v>0</v>
      </c>
      <c r="WI5" s="8">
        <v>0</v>
      </c>
      <c r="WJ5" s="8">
        <v>0</v>
      </c>
      <c r="WK5" s="8">
        <v>0</v>
      </c>
      <c r="WL5" s="8">
        <v>0</v>
      </c>
      <c r="WM5" s="8">
        <v>0</v>
      </c>
      <c r="WN5" s="8">
        <v>0</v>
      </c>
      <c r="WO5" s="8">
        <v>0</v>
      </c>
      <c r="WP5" s="8">
        <v>0</v>
      </c>
      <c r="WQ5" s="8">
        <v>0</v>
      </c>
      <c r="WR5" s="8">
        <v>0</v>
      </c>
      <c r="WS5" s="8">
        <v>0</v>
      </c>
      <c r="WT5" s="8">
        <v>0</v>
      </c>
      <c r="WU5" s="8">
        <v>0</v>
      </c>
      <c r="WV5" s="8">
        <v>0</v>
      </c>
      <c r="WW5" s="8">
        <v>0</v>
      </c>
      <c r="WX5" s="8">
        <v>0</v>
      </c>
      <c r="WY5" s="8">
        <v>0</v>
      </c>
      <c r="WZ5" s="8">
        <v>0</v>
      </c>
      <c r="XA5" s="8">
        <v>0</v>
      </c>
      <c r="XB5" s="8">
        <v>0</v>
      </c>
      <c r="XC5" s="8">
        <v>0</v>
      </c>
      <c r="XD5" s="8">
        <v>0</v>
      </c>
      <c r="XE5" s="8">
        <v>0</v>
      </c>
      <c r="XF5" s="8">
        <v>0</v>
      </c>
      <c r="XG5" s="8">
        <v>0</v>
      </c>
      <c r="XH5" s="8">
        <v>0</v>
      </c>
      <c r="XI5" s="8">
        <v>0</v>
      </c>
      <c r="XJ5" s="8">
        <v>0</v>
      </c>
      <c r="XK5" s="8">
        <v>0</v>
      </c>
      <c r="XL5" s="8">
        <v>0</v>
      </c>
      <c r="XM5" s="8">
        <v>0</v>
      </c>
      <c r="XN5" s="8">
        <v>0</v>
      </c>
      <c r="XO5" s="8">
        <v>0</v>
      </c>
      <c r="XP5" s="8">
        <v>0</v>
      </c>
      <c r="XQ5" s="8">
        <v>0</v>
      </c>
      <c r="XR5" s="8">
        <v>0</v>
      </c>
      <c r="XS5" s="8">
        <v>0</v>
      </c>
      <c r="XT5" s="8">
        <v>0</v>
      </c>
      <c r="XU5" s="8">
        <v>0</v>
      </c>
      <c r="XV5" s="8">
        <v>0</v>
      </c>
      <c r="XW5" s="8">
        <v>0</v>
      </c>
      <c r="XX5" s="8">
        <v>0</v>
      </c>
      <c r="XY5" s="8">
        <v>0</v>
      </c>
      <c r="XZ5" s="8">
        <v>0</v>
      </c>
      <c r="YA5" s="8">
        <v>0</v>
      </c>
      <c r="YB5" s="8">
        <v>0</v>
      </c>
      <c r="YC5" s="8">
        <v>0</v>
      </c>
      <c r="YD5" s="8">
        <v>0</v>
      </c>
      <c r="YE5" s="8">
        <v>0</v>
      </c>
      <c r="YF5" s="8">
        <v>0</v>
      </c>
      <c r="YG5" s="8">
        <v>0</v>
      </c>
      <c r="YH5" s="8">
        <v>0</v>
      </c>
      <c r="YI5" s="8">
        <v>0</v>
      </c>
      <c r="YJ5" s="8">
        <v>0</v>
      </c>
      <c r="YK5" s="8">
        <v>0</v>
      </c>
      <c r="YL5" s="8">
        <v>0</v>
      </c>
      <c r="YM5" s="8">
        <v>0</v>
      </c>
      <c r="YN5" s="8">
        <v>0</v>
      </c>
      <c r="YO5" s="8">
        <v>0</v>
      </c>
      <c r="YP5" s="8">
        <v>0</v>
      </c>
      <c r="YQ5" s="8">
        <v>0</v>
      </c>
      <c r="YR5" s="8">
        <v>0</v>
      </c>
      <c r="YS5" s="8">
        <v>0</v>
      </c>
      <c r="YT5" s="8">
        <v>0</v>
      </c>
      <c r="YU5" s="8">
        <v>0</v>
      </c>
      <c r="YV5" s="8">
        <v>0</v>
      </c>
      <c r="YW5" s="8">
        <v>0</v>
      </c>
      <c r="YX5" s="8">
        <v>0</v>
      </c>
      <c r="YY5" s="8">
        <v>0</v>
      </c>
      <c r="YZ5" s="8">
        <v>0</v>
      </c>
      <c r="ZA5" s="8">
        <v>0</v>
      </c>
      <c r="ZB5" s="8">
        <v>0</v>
      </c>
      <c r="ZC5" s="8">
        <v>0</v>
      </c>
      <c r="ZD5" s="8">
        <v>0</v>
      </c>
      <c r="ZE5" s="8">
        <v>0</v>
      </c>
      <c r="ZF5" s="8">
        <v>0</v>
      </c>
      <c r="ZG5" s="8">
        <v>0</v>
      </c>
      <c r="ZH5" s="8">
        <v>0</v>
      </c>
      <c r="ZI5" s="8">
        <v>0</v>
      </c>
      <c r="ZJ5" s="8">
        <v>0</v>
      </c>
      <c r="ZK5" s="8">
        <v>0</v>
      </c>
      <c r="ZL5" s="8">
        <v>0</v>
      </c>
      <c r="ZM5" s="8">
        <v>0</v>
      </c>
      <c r="ZN5" s="8">
        <v>0</v>
      </c>
      <c r="ZO5" s="8">
        <v>0</v>
      </c>
      <c r="ZP5" s="8">
        <v>0</v>
      </c>
      <c r="ZQ5" s="8">
        <v>0</v>
      </c>
      <c r="ZR5" s="8">
        <v>0</v>
      </c>
      <c r="ZS5" s="8">
        <v>0</v>
      </c>
      <c r="ZT5" s="8">
        <v>0</v>
      </c>
      <c r="ZU5" s="8">
        <v>0</v>
      </c>
      <c r="ZV5" s="8">
        <v>0</v>
      </c>
      <c r="ZW5" s="8">
        <v>0</v>
      </c>
      <c r="ZX5" s="8">
        <v>0</v>
      </c>
      <c r="ZY5" s="8">
        <v>0</v>
      </c>
      <c r="ZZ5" s="8">
        <v>0</v>
      </c>
      <c r="AAA5" s="8">
        <v>0</v>
      </c>
      <c r="AAB5" s="8">
        <v>0</v>
      </c>
      <c r="AAC5" s="8">
        <v>0</v>
      </c>
      <c r="AAD5" s="8">
        <v>0</v>
      </c>
      <c r="AAE5" s="8">
        <v>0</v>
      </c>
      <c r="AAF5" s="8">
        <v>0</v>
      </c>
      <c r="AAG5" s="8">
        <v>0</v>
      </c>
      <c r="AAH5" s="8">
        <v>0</v>
      </c>
      <c r="AAI5" s="8">
        <v>0</v>
      </c>
      <c r="AAJ5" s="8">
        <v>0</v>
      </c>
      <c r="AAK5" s="8">
        <v>0</v>
      </c>
      <c r="AAL5" s="8">
        <v>0</v>
      </c>
      <c r="AAM5" s="8">
        <v>0</v>
      </c>
      <c r="AAN5" s="8">
        <v>0</v>
      </c>
      <c r="AAO5" s="8">
        <v>0</v>
      </c>
      <c r="AAP5" s="8">
        <v>0</v>
      </c>
      <c r="AAQ5" s="8">
        <v>0</v>
      </c>
      <c r="AAR5" s="8">
        <v>0</v>
      </c>
      <c r="AAS5" s="8">
        <v>0</v>
      </c>
      <c r="AAT5" s="8">
        <v>0</v>
      </c>
      <c r="AAU5" s="8">
        <v>0</v>
      </c>
      <c r="AAV5" s="8">
        <v>0</v>
      </c>
      <c r="AAW5" s="8">
        <v>0</v>
      </c>
      <c r="AAX5" s="8">
        <v>0</v>
      </c>
      <c r="AAY5" s="8">
        <v>0</v>
      </c>
      <c r="AAZ5" s="8">
        <v>0</v>
      </c>
      <c r="ABA5" s="8">
        <v>0</v>
      </c>
      <c r="ABB5" s="8">
        <v>0</v>
      </c>
      <c r="ABC5" s="8">
        <v>0</v>
      </c>
      <c r="ABD5" s="8">
        <v>0</v>
      </c>
      <c r="ABE5" s="8">
        <v>0</v>
      </c>
      <c r="ABF5" s="8">
        <v>0</v>
      </c>
      <c r="ABG5" s="8">
        <v>0</v>
      </c>
      <c r="ABH5" s="8">
        <v>0</v>
      </c>
      <c r="ABI5" s="8">
        <v>0</v>
      </c>
      <c r="ABJ5" s="8">
        <v>0</v>
      </c>
      <c r="ABK5" s="8">
        <v>0</v>
      </c>
      <c r="ABL5" s="8">
        <v>0</v>
      </c>
      <c r="ABM5" s="8">
        <v>0</v>
      </c>
      <c r="ABN5" s="8">
        <v>0</v>
      </c>
      <c r="ABO5" s="8">
        <v>0</v>
      </c>
      <c r="ABP5" s="8">
        <v>0</v>
      </c>
      <c r="ABQ5" s="8">
        <v>0</v>
      </c>
      <c r="ABR5" s="8">
        <v>0</v>
      </c>
      <c r="ABS5" s="8">
        <v>0</v>
      </c>
      <c r="ABT5" s="8">
        <v>0</v>
      </c>
      <c r="ABU5" s="8">
        <v>0</v>
      </c>
      <c r="ABV5" s="8">
        <v>0</v>
      </c>
      <c r="ABW5" s="8">
        <v>0</v>
      </c>
      <c r="ABX5" s="8">
        <v>0</v>
      </c>
      <c r="ABY5" s="8">
        <v>0</v>
      </c>
      <c r="ABZ5" s="8">
        <v>0</v>
      </c>
      <c r="ACA5" s="8">
        <v>0</v>
      </c>
      <c r="ACB5" s="8">
        <v>0</v>
      </c>
      <c r="ACC5" s="8">
        <v>0</v>
      </c>
      <c r="ACD5" s="8">
        <v>0</v>
      </c>
      <c r="ACE5" s="8">
        <v>0</v>
      </c>
      <c r="ACF5" s="8">
        <v>0</v>
      </c>
      <c r="ACG5" s="8">
        <v>0</v>
      </c>
      <c r="ACH5" s="8">
        <v>0</v>
      </c>
      <c r="ACI5" s="8">
        <v>0</v>
      </c>
      <c r="ACJ5" s="8">
        <v>0</v>
      </c>
      <c r="ACK5" s="8">
        <v>0</v>
      </c>
      <c r="ACL5" s="8">
        <v>0</v>
      </c>
      <c r="ACM5" s="8">
        <v>0</v>
      </c>
      <c r="ACN5" s="8">
        <v>0</v>
      </c>
      <c r="ACO5" s="8">
        <v>0</v>
      </c>
      <c r="ACP5" s="8">
        <v>0</v>
      </c>
      <c r="ACQ5" s="8">
        <v>0</v>
      </c>
      <c r="ACR5" s="8">
        <v>0</v>
      </c>
      <c r="ACS5" s="8">
        <v>0</v>
      </c>
      <c r="ACT5" s="8">
        <v>0</v>
      </c>
      <c r="ACU5" s="8">
        <v>0</v>
      </c>
      <c r="ACV5" s="8">
        <v>0</v>
      </c>
      <c r="ACW5" s="8">
        <v>0</v>
      </c>
      <c r="ACX5" s="8">
        <v>0</v>
      </c>
      <c r="ACY5" s="8">
        <v>0</v>
      </c>
      <c r="ACZ5" s="8">
        <v>0</v>
      </c>
      <c r="ADA5" s="8">
        <v>0</v>
      </c>
      <c r="ADB5" s="8">
        <v>0</v>
      </c>
      <c r="ADC5" s="8">
        <v>0</v>
      </c>
      <c r="ADD5" s="8">
        <v>0</v>
      </c>
      <c r="ADE5" s="8">
        <v>0</v>
      </c>
      <c r="ADF5" s="8">
        <v>0</v>
      </c>
      <c r="ADG5" s="8">
        <v>0</v>
      </c>
      <c r="ADH5" s="8">
        <v>0</v>
      </c>
      <c r="ADI5" s="8">
        <v>0</v>
      </c>
      <c r="ADJ5" s="8">
        <v>0</v>
      </c>
      <c r="ADK5" s="8">
        <v>0</v>
      </c>
      <c r="ADL5" s="8">
        <v>0</v>
      </c>
      <c r="ADM5" s="8">
        <v>0</v>
      </c>
      <c r="ADN5" s="8">
        <v>0</v>
      </c>
      <c r="ADO5" s="8">
        <v>0</v>
      </c>
      <c r="ADP5" s="8">
        <v>0</v>
      </c>
      <c r="ADQ5" s="8">
        <v>0</v>
      </c>
      <c r="ADR5" s="8">
        <v>0</v>
      </c>
      <c r="ADS5" s="8">
        <v>0</v>
      </c>
      <c r="ADT5" s="8">
        <v>0</v>
      </c>
      <c r="ADU5" s="8">
        <v>0</v>
      </c>
      <c r="ADV5" s="8">
        <v>0</v>
      </c>
      <c r="ADW5" s="8">
        <v>0</v>
      </c>
      <c r="ADX5" s="8">
        <v>0</v>
      </c>
      <c r="ADY5" s="8">
        <v>0</v>
      </c>
      <c r="ADZ5" s="8">
        <v>0</v>
      </c>
      <c r="AEA5" s="8">
        <v>0</v>
      </c>
      <c r="AEB5" s="8">
        <v>0</v>
      </c>
      <c r="AEC5" s="8">
        <v>0</v>
      </c>
      <c r="AED5" s="8">
        <v>0</v>
      </c>
      <c r="AEE5" s="8">
        <v>0</v>
      </c>
      <c r="AEF5" s="8">
        <v>0</v>
      </c>
      <c r="AEG5" s="8">
        <v>0</v>
      </c>
      <c r="AEH5" s="8">
        <v>0</v>
      </c>
      <c r="AEI5" s="8">
        <v>0</v>
      </c>
      <c r="AEJ5" s="8">
        <v>0</v>
      </c>
      <c r="AEK5" s="8">
        <v>0</v>
      </c>
      <c r="AEL5" s="8">
        <v>0</v>
      </c>
      <c r="AEM5" s="8">
        <v>0</v>
      </c>
      <c r="AEN5" s="8">
        <v>0</v>
      </c>
      <c r="AEO5" s="8">
        <v>0</v>
      </c>
      <c r="AEP5" s="8">
        <v>0</v>
      </c>
      <c r="AEQ5" s="8">
        <v>0</v>
      </c>
      <c r="AER5" s="8">
        <v>0</v>
      </c>
      <c r="AES5" s="8">
        <v>0</v>
      </c>
      <c r="AET5" s="8">
        <v>0</v>
      </c>
      <c r="AEU5" s="8">
        <v>0</v>
      </c>
      <c r="AEV5" s="8">
        <v>0</v>
      </c>
      <c r="AEW5" s="8">
        <v>0</v>
      </c>
      <c r="AEX5" s="8">
        <v>0</v>
      </c>
      <c r="AEY5" s="8">
        <v>0</v>
      </c>
      <c r="AEZ5" s="8">
        <v>0</v>
      </c>
      <c r="AFA5" s="8">
        <v>0</v>
      </c>
      <c r="AFB5" s="8">
        <v>0</v>
      </c>
      <c r="AFC5" s="8">
        <v>0</v>
      </c>
      <c r="AFD5" s="8">
        <v>0</v>
      </c>
      <c r="AFE5" s="8">
        <v>0</v>
      </c>
      <c r="AFF5" s="8">
        <v>0</v>
      </c>
      <c r="AFG5" s="8">
        <v>0</v>
      </c>
      <c r="AFH5" s="8">
        <v>0</v>
      </c>
      <c r="AFI5" s="8">
        <v>0</v>
      </c>
      <c r="AFJ5" s="8">
        <v>0</v>
      </c>
      <c r="AFK5" s="8">
        <v>0</v>
      </c>
      <c r="AFL5" s="8">
        <v>0</v>
      </c>
      <c r="AFM5" s="8">
        <v>0</v>
      </c>
      <c r="AFN5" s="8">
        <v>0</v>
      </c>
      <c r="AFO5" s="8">
        <v>0</v>
      </c>
      <c r="AFP5" s="8">
        <v>0</v>
      </c>
      <c r="AFQ5" s="8">
        <v>0</v>
      </c>
      <c r="AFR5" s="8">
        <v>0</v>
      </c>
      <c r="AFS5" s="8">
        <v>0</v>
      </c>
      <c r="AFT5" s="8">
        <v>0</v>
      </c>
      <c r="AFU5" s="8">
        <v>0</v>
      </c>
      <c r="AFV5" s="8">
        <v>0</v>
      </c>
      <c r="AFW5" s="8">
        <v>0</v>
      </c>
      <c r="AFX5" s="8">
        <v>0</v>
      </c>
      <c r="AFY5" s="8">
        <v>0</v>
      </c>
      <c r="AFZ5" s="8">
        <v>0</v>
      </c>
      <c r="AGA5" s="8">
        <v>0</v>
      </c>
      <c r="AGB5" s="8">
        <v>0</v>
      </c>
      <c r="AGC5" s="8">
        <v>0</v>
      </c>
      <c r="AGD5" s="8">
        <v>0</v>
      </c>
      <c r="AGE5" s="8">
        <v>0</v>
      </c>
      <c r="AGF5" s="8">
        <v>0</v>
      </c>
      <c r="AGG5" s="8">
        <v>0</v>
      </c>
      <c r="AGH5" s="8">
        <v>0</v>
      </c>
      <c r="AGI5" s="8">
        <v>0</v>
      </c>
      <c r="AGJ5" s="8">
        <v>0</v>
      </c>
      <c r="AGK5" s="8">
        <v>0</v>
      </c>
      <c r="AGL5" s="8">
        <v>0</v>
      </c>
      <c r="AGM5" s="8">
        <v>0</v>
      </c>
      <c r="AGN5" s="8">
        <v>0</v>
      </c>
      <c r="AGO5" s="8">
        <v>0</v>
      </c>
      <c r="AGP5" s="8">
        <v>0</v>
      </c>
      <c r="AGQ5" s="8">
        <v>0</v>
      </c>
      <c r="AGR5" s="8">
        <v>0</v>
      </c>
      <c r="AGS5" s="8">
        <v>0</v>
      </c>
      <c r="AGT5" s="8">
        <v>0</v>
      </c>
      <c r="AGU5" s="8">
        <v>0</v>
      </c>
      <c r="AGV5" s="8">
        <v>0</v>
      </c>
      <c r="AGW5" s="8">
        <v>0</v>
      </c>
      <c r="AGX5" s="8">
        <v>0</v>
      </c>
      <c r="AGY5" s="8">
        <v>0</v>
      </c>
      <c r="AGZ5" s="8">
        <v>0</v>
      </c>
      <c r="AHA5" s="8">
        <v>0</v>
      </c>
      <c r="AHB5" s="8">
        <v>0</v>
      </c>
      <c r="AHC5" s="8">
        <v>0</v>
      </c>
      <c r="AHD5" s="8">
        <v>0</v>
      </c>
      <c r="AHE5" s="8">
        <v>0</v>
      </c>
      <c r="AHF5" s="8">
        <v>0</v>
      </c>
      <c r="AHG5" s="8">
        <v>0</v>
      </c>
      <c r="AHH5" s="8">
        <v>0</v>
      </c>
      <c r="AHI5" s="8">
        <v>0</v>
      </c>
      <c r="AHJ5" s="8">
        <v>0</v>
      </c>
      <c r="AHK5" s="8">
        <v>0</v>
      </c>
      <c r="AHL5" s="8">
        <v>0</v>
      </c>
      <c r="AHM5" s="8">
        <v>0</v>
      </c>
      <c r="AHN5" s="8">
        <v>0</v>
      </c>
      <c r="AHO5" s="8">
        <v>0</v>
      </c>
      <c r="AHP5" s="8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 t="e">
        <v>#N/A</v>
      </c>
      <c r="AIJ5" t="e">
        <v>#N/A</v>
      </c>
      <c r="AIK5" t="e">
        <v>#N/A</v>
      </c>
      <c r="AIL5" t="e">
        <v>#N/A</v>
      </c>
      <c r="AIM5" t="e">
        <v>#N/A</v>
      </c>
      <c r="AIN5" t="e">
        <v>#N/A</v>
      </c>
      <c r="AIO5" t="e">
        <v>#N/A</v>
      </c>
      <c r="AIP5" t="e">
        <v>#N/A</v>
      </c>
      <c r="AIQ5" t="e">
        <v>#N/A</v>
      </c>
      <c r="AIR5" t="e">
        <v>#N/A</v>
      </c>
      <c r="AIS5" t="e">
        <v>#N/A</v>
      </c>
      <c r="AIT5" t="e">
        <v>#N/A</v>
      </c>
      <c r="AIU5" t="e">
        <v>#N/A</v>
      </c>
      <c r="AIV5" t="e">
        <v>#N/A</v>
      </c>
      <c r="AIW5" t="e">
        <v>#N/A</v>
      </c>
      <c r="AIX5" t="e">
        <v>#N/A</v>
      </c>
      <c r="AIY5" t="e">
        <v>#N/A</v>
      </c>
      <c r="AIZ5" t="e">
        <v>#N/A</v>
      </c>
      <c r="AJA5" t="e">
        <v>#N/A</v>
      </c>
      <c r="AJB5" t="e">
        <v>#N/A</v>
      </c>
      <c r="AJC5" t="e">
        <v>#N/A</v>
      </c>
      <c r="AJD5" t="e">
        <v>#N/A</v>
      </c>
      <c r="AJE5" t="e">
        <v>#N/A</v>
      </c>
      <c r="AJF5" t="e">
        <v>#N/A</v>
      </c>
      <c r="AJG5" t="e">
        <v>#N/A</v>
      </c>
      <c r="AJH5" t="e">
        <v>#N/A</v>
      </c>
      <c r="AJI5" t="e">
        <v>#N/A</v>
      </c>
      <c r="AJJ5" t="e">
        <v>#N/A</v>
      </c>
      <c r="AJK5" t="e">
        <v>#N/A</v>
      </c>
      <c r="AJL5" t="e">
        <v>#N/A</v>
      </c>
      <c r="AJM5" t="e">
        <v>#N/A</v>
      </c>
      <c r="AJN5" t="e">
        <v>#N/A</v>
      </c>
      <c r="AJO5" t="e">
        <v>#N/A</v>
      </c>
      <c r="AJP5" t="e">
        <v>#N/A</v>
      </c>
      <c r="AJQ5" t="e">
        <v>#N/A</v>
      </c>
      <c r="AJR5" t="e">
        <v>#N/A</v>
      </c>
      <c r="AJS5" t="e">
        <v>#N/A</v>
      </c>
      <c r="AJT5" t="e">
        <v>#N/A</v>
      </c>
      <c r="AJU5" t="e">
        <v>#N/A</v>
      </c>
      <c r="AJV5" t="e">
        <v>#N/A</v>
      </c>
      <c r="AJW5" t="e">
        <v>#N/A</v>
      </c>
      <c r="AJX5" t="e">
        <v>#N/A</v>
      </c>
      <c r="AJY5" t="e">
        <v>#N/A</v>
      </c>
      <c r="AJZ5" t="e">
        <v>#N/A</v>
      </c>
      <c r="AKA5" t="e">
        <v>#N/A</v>
      </c>
      <c r="AKB5" t="e">
        <v>#N/A</v>
      </c>
      <c r="AKC5" t="e">
        <v>#N/A</v>
      </c>
      <c r="AKD5" t="e">
        <v>#N/A</v>
      </c>
      <c r="AKE5" t="e">
        <v>#N/A</v>
      </c>
      <c r="AKF5" t="e">
        <v>#N/A</v>
      </c>
      <c r="AKG5" t="e">
        <v>#N/A</v>
      </c>
      <c r="AKH5" t="e">
        <v>#N/A</v>
      </c>
      <c r="AKI5" t="e">
        <v>#N/A</v>
      </c>
      <c r="AKJ5" t="e">
        <v>#N/A</v>
      </c>
      <c r="AKK5" t="e">
        <v>#N/A</v>
      </c>
      <c r="AKL5" t="e">
        <v>#N/A</v>
      </c>
      <c r="AKM5" t="e">
        <v>#N/A</v>
      </c>
      <c r="AKN5" t="e">
        <v>#N/A</v>
      </c>
      <c r="AKO5" t="e">
        <v>#N/A</v>
      </c>
      <c r="AKP5" t="e">
        <v>#N/A</v>
      </c>
      <c r="AKQ5" t="e">
        <v>#N/A</v>
      </c>
      <c r="AKR5" t="e">
        <v>#N/A</v>
      </c>
      <c r="AKS5" t="e">
        <v>#N/A</v>
      </c>
      <c r="AKT5" t="e">
        <v>#N/A</v>
      </c>
      <c r="AKU5" t="e">
        <v>#N/A</v>
      </c>
      <c r="AKV5" t="e">
        <v>#N/A</v>
      </c>
      <c r="AKW5" t="e">
        <v>#N/A</v>
      </c>
      <c r="AKX5" t="e">
        <v>#N/A</v>
      </c>
      <c r="AKY5" t="e">
        <v>#N/A</v>
      </c>
      <c r="AKZ5" t="e">
        <v>#N/A</v>
      </c>
      <c r="ALA5" t="e">
        <v>#N/A</v>
      </c>
      <c r="ALB5" t="e">
        <v>#N/A</v>
      </c>
      <c r="ALC5" t="e">
        <v>#N/A</v>
      </c>
      <c r="ALD5" t="e">
        <v>#N/A</v>
      </c>
      <c r="ALE5" t="e">
        <v>#N/A</v>
      </c>
      <c r="ALF5" t="e">
        <v>#N/A</v>
      </c>
      <c r="ALG5" t="e">
        <v>#N/A</v>
      </c>
      <c r="ALH5" t="e">
        <v>#N/A</v>
      </c>
      <c r="ALI5" t="e">
        <v>#N/A</v>
      </c>
      <c r="ALJ5" t="e">
        <v>#N/A</v>
      </c>
      <c r="ALK5" t="e">
        <v>#N/A</v>
      </c>
      <c r="ALL5" t="e">
        <v>#N/A</v>
      </c>
      <c r="ALM5" t="e">
        <v>#N/A</v>
      </c>
      <c r="ALN5" t="e">
        <v>#N/A</v>
      </c>
      <c r="ALO5" t="e">
        <v>#N/A</v>
      </c>
      <c r="ALP5" t="e">
        <v>#N/A</v>
      </c>
      <c r="ALQ5" t="e">
        <v>#N/A</v>
      </c>
      <c r="ALR5" t="e">
        <v>#N/A</v>
      </c>
      <c r="ALS5" t="e">
        <v>#N/A</v>
      </c>
      <c r="ALT5" t="e">
        <v>#N/A</v>
      </c>
      <c r="ALU5" t="e">
        <v>#N/A</v>
      </c>
      <c r="ALV5" t="e">
        <v>#N/A</v>
      </c>
      <c r="ALW5" t="e">
        <v>#N/A</v>
      </c>
      <c r="ALX5" t="e">
        <v>#N/A</v>
      </c>
      <c r="ALY5" t="e">
        <v>#N/A</v>
      </c>
      <c r="ALZ5" t="e">
        <v>#N/A</v>
      </c>
      <c r="AMA5" t="e">
        <v>#N/A</v>
      </c>
      <c r="AMB5" t="e">
        <v>#N/A</v>
      </c>
      <c r="AMC5" t="e">
        <v>#N/A</v>
      </c>
      <c r="AMD5" t="e">
        <v>#N/A</v>
      </c>
      <c r="AME5" t="e">
        <v>#N/A</v>
      </c>
      <c r="AMF5" t="e">
        <v>#N/A</v>
      </c>
      <c r="AMG5" t="e">
        <v>#N/A</v>
      </c>
      <c r="AMH5" t="e">
        <v>#N/A</v>
      </c>
    </row>
    <row r="6" spans="1:1022" ht="15.75" customHeight="1">
      <c r="A6" s="8" t="str">
        <v>Lucas</v>
      </c>
      <c r="B6" s="8">
        <v>765</v>
      </c>
      <c r="C6" s="8">
        <v>510</v>
      </c>
      <c r="D6" s="8">
        <v>195</v>
      </c>
      <c r="E6" s="8">
        <v>65</v>
      </c>
      <c r="F6" s="8">
        <v>535</v>
      </c>
      <c r="G6" s="8">
        <v>225</v>
      </c>
      <c r="H6" s="8">
        <v>450</v>
      </c>
      <c r="I6" s="8">
        <v>0</v>
      </c>
      <c r="J6" s="8">
        <v>400</v>
      </c>
      <c r="K6" s="8">
        <v>0</v>
      </c>
      <c r="L6" s="8">
        <v>330</v>
      </c>
      <c r="M6" s="8">
        <v>385</v>
      </c>
      <c r="N6" s="8">
        <v>690</v>
      </c>
      <c r="O6" s="8">
        <v>240</v>
      </c>
      <c r="P6" s="8">
        <v>630</v>
      </c>
      <c r="Q6" s="8">
        <v>465</v>
      </c>
      <c r="R6" s="8">
        <v>285</v>
      </c>
      <c r="S6" s="8">
        <v>510</v>
      </c>
      <c r="T6" s="8">
        <v>705</v>
      </c>
      <c r="U6" s="8">
        <v>100</v>
      </c>
      <c r="V6" s="8">
        <v>135</v>
      </c>
      <c r="W6" s="8">
        <v>0</v>
      </c>
      <c r="X6" s="8">
        <v>160</v>
      </c>
      <c r="Y6" s="8">
        <v>655</v>
      </c>
      <c r="Z6" s="8">
        <v>625</v>
      </c>
      <c r="AA6" s="8">
        <v>455</v>
      </c>
      <c r="AB6" s="8">
        <v>590</v>
      </c>
      <c r="AC6" s="8">
        <v>725</v>
      </c>
      <c r="AD6" s="8">
        <v>665</v>
      </c>
      <c r="AE6" s="8">
        <v>265</v>
      </c>
      <c r="AF6" s="8">
        <v>665</v>
      </c>
      <c r="AG6" s="8">
        <v>240</v>
      </c>
      <c r="AH6" s="8">
        <v>180</v>
      </c>
      <c r="AI6" s="8">
        <v>480</v>
      </c>
      <c r="AJ6" s="8">
        <v>485</v>
      </c>
      <c r="AK6" s="8">
        <v>325</v>
      </c>
      <c r="AL6" s="8">
        <v>105</v>
      </c>
      <c r="AM6" s="8">
        <v>390</v>
      </c>
      <c r="AN6" s="8">
        <v>305</v>
      </c>
      <c r="AO6" s="8">
        <v>575</v>
      </c>
      <c r="AP6" s="8">
        <v>110</v>
      </c>
      <c r="AQ6" s="8">
        <v>420</v>
      </c>
      <c r="AR6" s="8">
        <v>245</v>
      </c>
      <c r="AS6" s="8">
        <v>0</v>
      </c>
      <c r="AT6" s="8">
        <v>595</v>
      </c>
      <c r="AU6" s="8">
        <v>585</v>
      </c>
      <c r="AV6" s="8">
        <v>1080</v>
      </c>
      <c r="AW6" s="8">
        <v>40</v>
      </c>
      <c r="AX6" s="8">
        <v>315</v>
      </c>
      <c r="AY6" s="8">
        <v>70</v>
      </c>
      <c r="AZ6" s="8">
        <v>175</v>
      </c>
      <c r="BA6" s="8">
        <v>480</v>
      </c>
      <c r="BB6" s="8">
        <v>300</v>
      </c>
      <c r="BC6" s="8">
        <v>440</v>
      </c>
      <c r="BD6" s="8">
        <v>530</v>
      </c>
      <c r="BE6" s="8">
        <v>730</v>
      </c>
      <c r="BF6" s="8">
        <v>390</v>
      </c>
      <c r="BG6" s="8">
        <v>295</v>
      </c>
      <c r="BH6" s="8">
        <v>245</v>
      </c>
      <c r="BI6" s="8">
        <v>180</v>
      </c>
      <c r="BJ6" s="8">
        <v>140</v>
      </c>
      <c r="BK6" s="8">
        <v>550</v>
      </c>
      <c r="BL6" s="8">
        <v>440</v>
      </c>
      <c r="BM6" s="8">
        <v>445</v>
      </c>
      <c r="BN6" s="8">
        <v>435</v>
      </c>
      <c r="BO6" s="8">
        <v>445</v>
      </c>
      <c r="BP6" s="8">
        <v>760</v>
      </c>
      <c r="BQ6" s="8">
        <v>0</v>
      </c>
      <c r="BR6" s="8">
        <v>565</v>
      </c>
      <c r="BS6" s="8">
        <v>570</v>
      </c>
      <c r="BT6" s="8">
        <v>0</v>
      </c>
      <c r="BU6" s="8">
        <v>815</v>
      </c>
      <c r="BV6" s="8">
        <v>310</v>
      </c>
      <c r="BW6" s="8">
        <v>500</v>
      </c>
      <c r="BX6" s="8">
        <v>150</v>
      </c>
      <c r="BY6" s="8">
        <v>70</v>
      </c>
      <c r="BZ6" s="8">
        <v>475</v>
      </c>
      <c r="CA6" s="8">
        <v>660</v>
      </c>
      <c r="CB6" s="8">
        <v>365</v>
      </c>
      <c r="CC6" s="8">
        <v>355</v>
      </c>
      <c r="CD6" s="8">
        <v>0</v>
      </c>
      <c r="CE6" s="8">
        <v>290</v>
      </c>
      <c r="CF6" s="8">
        <v>895</v>
      </c>
      <c r="CG6" s="8">
        <v>285</v>
      </c>
      <c r="CH6" s="8">
        <v>585</v>
      </c>
      <c r="CI6" s="8">
        <v>755</v>
      </c>
      <c r="CJ6" s="8">
        <v>595</v>
      </c>
      <c r="CK6" s="8">
        <v>420</v>
      </c>
      <c r="CL6" s="8">
        <v>530</v>
      </c>
      <c r="CM6" s="8">
        <v>330</v>
      </c>
      <c r="CN6" s="8">
        <v>0</v>
      </c>
      <c r="CO6" s="8">
        <v>200</v>
      </c>
      <c r="CP6" s="8">
        <v>465</v>
      </c>
      <c r="CQ6" s="8">
        <v>470</v>
      </c>
      <c r="CR6" s="8">
        <v>0</v>
      </c>
      <c r="CS6" s="8">
        <v>850</v>
      </c>
      <c r="CT6" s="8">
        <v>520</v>
      </c>
      <c r="CU6" s="8">
        <v>0</v>
      </c>
      <c r="CV6" s="8">
        <v>555</v>
      </c>
      <c r="CW6" s="8">
        <v>185</v>
      </c>
      <c r="CX6" s="8">
        <v>670</v>
      </c>
      <c r="CY6" s="8">
        <v>280</v>
      </c>
      <c r="CZ6" s="8">
        <v>190</v>
      </c>
      <c r="DA6" s="8">
        <v>385</v>
      </c>
      <c r="DB6" s="8">
        <v>385</v>
      </c>
      <c r="DC6" s="8">
        <v>290</v>
      </c>
      <c r="DD6" s="8">
        <v>335</v>
      </c>
      <c r="DE6" s="8">
        <v>375</v>
      </c>
      <c r="DF6" s="8">
        <v>5</v>
      </c>
      <c r="DG6" s="8">
        <v>335</v>
      </c>
      <c r="DH6" s="8">
        <v>675</v>
      </c>
      <c r="DI6" s="8">
        <v>460</v>
      </c>
      <c r="DJ6" s="8">
        <v>300</v>
      </c>
      <c r="DK6" s="8">
        <v>355</v>
      </c>
      <c r="DL6" s="8">
        <v>165</v>
      </c>
      <c r="DM6" s="8">
        <v>255</v>
      </c>
      <c r="DN6" s="8">
        <v>15</v>
      </c>
      <c r="DO6" s="8">
        <v>210</v>
      </c>
      <c r="DP6" s="8">
        <v>75</v>
      </c>
      <c r="DQ6" s="8">
        <v>515</v>
      </c>
      <c r="DR6" s="8">
        <v>615</v>
      </c>
      <c r="DS6" s="8">
        <v>455</v>
      </c>
      <c r="DT6" s="8">
        <v>0</v>
      </c>
      <c r="DU6" s="8">
        <v>350</v>
      </c>
      <c r="DV6" s="8">
        <v>675</v>
      </c>
      <c r="DW6" s="8">
        <v>945</v>
      </c>
      <c r="DX6" s="8">
        <v>215</v>
      </c>
      <c r="DY6" s="8">
        <v>140</v>
      </c>
      <c r="DZ6" s="8">
        <v>320</v>
      </c>
      <c r="EA6" s="8">
        <v>470</v>
      </c>
      <c r="EB6" s="8">
        <v>475</v>
      </c>
      <c r="EC6" s="8">
        <v>390</v>
      </c>
      <c r="ED6" s="8">
        <v>70</v>
      </c>
      <c r="EE6" s="8">
        <v>820</v>
      </c>
      <c r="EF6" s="8">
        <v>345</v>
      </c>
      <c r="EG6" s="8">
        <v>105</v>
      </c>
      <c r="EH6" s="8">
        <v>510</v>
      </c>
      <c r="EI6" s="8">
        <v>740</v>
      </c>
      <c r="EJ6" s="8">
        <v>215</v>
      </c>
      <c r="EK6" s="8">
        <v>210</v>
      </c>
      <c r="EL6" s="8">
        <v>595</v>
      </c>
      <c r="EM6" s="8">
        <v>495</v>
      </c>
      <c r="EN6" s="8">
        <v>340</v>
      </c>
      <c r="EO6" s="8">
        <v>415</v>
      </c>
      <c r="EP6" s="8">
        <v>305</v>
      </c>
      <c r="EQ6" s="8">
        <v>0</v>
      </c>
      <c r="ER6" s="8">
        <v>315</v>
      </c>
      <c r="ES6" s="8">
        <v>350</v>
      </c>
      <c r="ET6" s="8">
        <v>310</v>
      </c>
      <c r="EU6" s="8">
        <v>335</v>
      </c>
      <c r="EV6" s="8">
        <v>470</v>
      </c>
      <c r="EW6" s="8">
        <v>380</v>
      </c>
      <c r="EX6" s="8">
        <v>385</v>
      </c>
      <c r="EY6" s="8">
        <v>365</v>
      </c>
      <c r="EZ6" s="8">
        <v>320</v>
      </c>
      <c r="FA6" s="8">
        <v>505</v>
      </c>
      <c r="FB6" s="8">
        <v>250</v>
      </c>
      <c r="FC6" s="8">
        <v>350</v>
      </c>
      <c r="FD6" s="8">
        <v>540</v>
      </c>
      <c r="FE6" s="8">
        <v>695</v>
      </c>
      <c r="FF6" s="8">
        <v>185</v>
      </c>
      <c r="FG6" s="8">
        <v>270</v>
      </c>
      <c r="FH6" s="8">
        <v>225</v>
      </c>
      <c r="FI6" s="8">
        <v>525</v>
      </c>
      <c r="FJ6" s="8">
        <v>655</v>
      </c>
      <c r="FK6" s="8">
        <v>455</v>
      </c>
      <c r="FL6" s="8">
        <v>705</v>
      </c>
      <c r="FM6" s="8">
        <v>540</v>
      </c>
      <c r="FN6" s="8">
        <v>580</v>
      </c>
      <c r="FO6" s="8">
        <v>465</v>
      </c>
      <c r="FP6" s="8">
        <v>395</v>
      </c>
      <c r="FQ6" s="8">
        <v>345</v>
      </c>
      <c r="FR6" s="8">
        <v>580</v>
      </c>
      <c r="FS6" s="8">
        <v>300</v>
      </c>
      <c r="FT6" s="8">
        <v>200</v>
      </c>
      <c r="FU6" s="8">
        <v>20</v>
      </c>
      <c r="FV6" s="8">
        <v>490</v>
      </c>
      <c r="FW6" s="8">
        <v>495</v>
      </c>
      <c r="FX6" s="8">
        <v>0</v>
      </c>
      <c r="FY6" s="8">
        <v>285</v>
      </c>
      <c r="FZ6" s="8">
        <v>250</v>
      </c>
      <c r="GA6" s="8">
        <v>520</v>
      </c>
      <c r="GB6" s="8">
        <v>310</v>
      </c>
      <c r="GC6" s="8">
        <v>190</v>
      </c>
      <c r="GD6" s="8">
        <v>610</v>
      </c>
      <c r="GE6" s="8">
        <v>355</v>
      </c>
      <c r="GF6" s="8">
        <v>525</v>
      </c>
      <c r="GG6" s="8">
        <v>150</v>
      </c>
      <c r="GH6" s="8">
        <v>720</v>
      </c>
      <c r="GI6" s="8">
        <v>470</v>
      </c>
      <c r="GJ6" s="8">
        <v>185</v>
      </c>
      <c r="GK6" s="8">
        <v>450</v>
      </c>
      <c r="GL6" s="8">
        <v>80</v>
      </c>
      <c r="GM6" s="8">
        <v>345</v>
      </c>
      <c r="GN6" s="8">
        <v>450</v>
      </c>
      <c r="GO6" s="8">
        <v>105</v>
      </c>
      <c r="GP6" s="8">
        <v>375</v>
      </c>
      <c r="GQ6" s="8">
        <v>430</v>
      </c>
      <c r="GR6" s="8">
        <v>105</v>
      </c>
      <c r="GS6" s="8">
        <v>470</v>
      </c>
      <c r="GT6" s="8">
        <v>885</v>
      </c>
      <c r="GU6" s="8">
        <v>240</v>
      </c>
      <c r="GV6" s="8">
        <v>615</v>
      </c>
      <c r="GW6" s="8">
        <v>200</v>
      </c>
      <c r="GX6" s="8">
        <v>45</v>
      </c>
      <c r="GY6" s="8">
        <v>0</v>
      </c>
      <c r="GZ6" s="8">
        <v>540</v>
      </c>
      <c r="HA6" s="8">
        <v>270</v>
      </c>
      <c r="HB6" s="8">
        <v>505</v>
      </c>
      <c r="HC6" s="8">
        <v>445</v>
      </c>
      <c r="HD6" s="8">
        <v>310</v>
      </c>
      <c r="HE6" s="8">
        <v>175</v>
      </c>
      <c r="HF6" s="8">
        <v>240</v>
      </c>
      <c r="HG6" s="8">
        <v>680</v>
      </c>
      <c r="HH6" s="8">
        <v>260</v>
      </c>
      <c r="HI6" s="8">
        <v>240</v>
      </c>
      <c r="HJ6" s="8">
        <v>345</v>
      </c>
      <c r="HK6" s="8">
        <v>195</v>
      </c>
      <c r="HL6" s="8">
        <v>345</v>
      </c>
      <c r="HM6" s="8">
        <v>340</v>
      </c>
      <c r="HN6" s="8">
        <v>0</v>
      </c>
      <c r="HO6" s="8">
        <v>340</v>
      </c>
      <c r="HP6" s="8">
        <v>440</v>
      </c>
      <c r="HQ6" s="8">
        <v>290</v>
      </c>
      <c r="HR6" s="8">
        <v>350</v>
      </c>
      <c r="HS6" s="8">
        <v>365</v>
      </c>
      <c r="HT6" s="8">
        <v>570</v>
      </c>
      <c r="HU6" s="8">
        <v>150</v>
      </c>
      <c r="HV6" s="8">
        <v>270</v>
      </c>
      <c r="HW6" s="8">
        <v>605</v>
      </c>
      <c r="HX6" s="8">
        <v>170</v>
      </c>
      <c r="HY6" s="8">
        <v>290</v>
      </c>
      <c r="HZ6" s="8">
        <v>635</v>
      </c>
      <c r="IA6" s="8">
        <v>115</v>
      </c>
      <c r="IB6" s="8">
        <v>310</v>
      </c>
      <c r="IC6" s="8">
        <v>310</v>
      </c>
      <c r="ID6" s="8">
        <v>465</v>
      </c>
      <c r="IE6" s="8">
        <v>190</v>
      </c>
      <c r="IF6" s="8">
        <v>465</v>
      </c>
      <c r="IG6" s="8">
        <v>565</v>
      </c>
      <c r="IH6" s="8">
        <v>410</v>
      </c>
      <c r="II6" s="8">
        <v>215</v>
      </c>
      <c r="IJ6" s="8">
        <v>405</v>
      </c>
      <c r="IK6" s="8">
        <v>695</v>
      </c>
      <c r="IL6" s="8">
        <v>595</v>
      </c>
      <c r="IM6" s="8">
        <v>135</v>
      </c>
      <c r="IN6" s="8">
        <v>310</v>
      </c>
      <c r="IO6" s="8">
        <v>360</v>
      </c>
      <c r="IP6" s="8">
        <v>265</v>
      </c>
      <c r="IQ6" s="8">
        <v>460</v>
      </c>
      <c r="IR6" s="8">
        <v>440</v>
      </c>
      <c r="IS6" s="8">
        <v>365</v>
      </c>
      <c r="IT6" s="8">
        <v>310</v>
      </c>
      <c r="IU6" s="8">
        <v>310</v>
      </c>
      <c r="IV6" s="8">
        <v>395</v>
      </c>
      <c r="IW6" s="8">
        <v>460</v>
      </c>
      <c r="IX6" s="8">
        <v>380</v>
      </c>
      <c r="IY6" s="8">
        <v>260</v>
      </c>
      <c r="IZ6" s="8">
        <v>425</v>
      </c>
      <c r="JA6" s="8">
        <v>490</v>
      </c>
      <c r="JB6" s="8">
        <v>750</v>
      </c>
      <c r="JC6" s="8">
        <v>620</v>
      </c>
      <c r="JD6" s="8">
        <v>350</v>
      </c>
      <c r="JE6" s="8">
        <v>245</v>
      </c>
      <c r="JF6" s="8">
        <v>605</v>
      </c>
      <c r="JG6" s="8">
        <v>590</v>
      </c>
      <c r="JH6" s="8">
        <v>220</v>
      </c>
      <c r="JI6" s="8">
        <v>435</v>
      </c>
      <c r="JJ6" s="8">
        <v>270</v>
      </c>
      <c r="JK6" s="8">
        <v>75</v>
      </c>
      <c r="JL6" s="8">
        <v>720</v>
      </c>
      <c r="JM6" s="8">
        <v>525</v>
      </c>
      <c r="JN6" s="8">
        <v>445</v>
      </c>
      <c r="JO6" s="8">
        <v>345</v>
      </c>
      <c r="JP6" s="8">
        <v>350</v>
      </c>
      <c r="JQ6" s="8">
        <v>250</v>
      </c>
      <c r="JR6" s="8">
        <v>305</v>
      </c>
      <c r="JS6" s="8">
        <v>370</v>
      </c>
      <c r="JT6" s="8">
        <v>480</v>
      </c>
      <c r="JU6" s="8">
        <v>190</v>
      </c>
      <c r="JV6" s="8">
        <v>95</v>
      </c>
      <c r="JW6" s="8">
        <v>335</v>
      </c>
      <c r="JX6" s="8">
        <v>455</v>
      </c>
      <c r="JY6" s="8">
        <v>325</v>
      </c>
      <c r="JZ6" s="8">
        <v>715</v>
      </c>
      <c r="KA6" s="8">
        <v>510</v>
      </c>
      <c r="KB6" s="8">
        <v>465</v>
      </c>
      <c r="KC6" s="8">
        <v>465</v>
      </c>
      <c r="KD6" s="8">
        <v>570</v>
      </c>
      <c r="KE6" s="8">
        <v>575</v>
      </c>
      <c r="KF6" s="8">
        <v>745</v>
      </c>
      <c r="KG6" s="8">
        <v>475</v>
      </c>
      <c r="KH6" s="8">
        <v>315</v>
      </c>
      <c r="KI6" s="8">
        <v>380</v>
      </c>
      <c r="KJ6" s="8">
        <v>345</v>
      </c>
      <c r="KK6" s="8">
        <v>165</v>
      </c>
      <c r="KL6" s="8">
        <v>560</v>
      </c>
      <c r="KM6" s="8">
        <v>370</v>
      </c>
      <c r="KN6" s="8">
        <v>615</v>
      </c>
      <c r="KO6" s="8">
        <v>590</v>
      </c>
      <c r="KP6" s="8">
        <v>315</v>
      </c>
      <c r="KQ6" s="8">
        <v>655</v>
      </c>
      <c r="KR6" s="8">
        <v>405</v>
      </c>
      <c r="KS6" s="8">
        <v>520</v>
      </c>
      <c r="KT6" s="8">
        <v>260</v>
      </c>
      <c r="KU6" s="8">
        <v>325</v>
      </c>
      <c r="KV6" s="8">
        <v>190</v>
      </c>
      <c r="KW6" s="8">
        <v>320</v>
      </c>
      <c r="KX6" s="8">
        <v>420</v>
      </c>
      <c r="KY6" s="8">
        <v>180</v>
      </c>
      <c r="KZ6" s="8">
        <v>545</v>
      </c>
      <c r="LA6" s="8">
        <v>445</v>
      </c>
      <c r="LB6" s="8">
        <v>245</v>
      </c>
      <c r="LC6" s="8" t="str">
        <v>￼270</v>
      </c>
      <c r="LD6" s="8">
        <v>160</v>
      </c>
      <c r="LE6" s="8">
        <v>165</v>
      </c>
      <c r="LF6" s="8">
        <v>305</v>
      </c>
      <c r="LG6" s="8">
        <v>390</v>
      </c>
      <c r="LH6" s="8">
        <v>170</v>
      </c>
      <c r="LI6" s="8">
        <v>300</v>
      </c>
      <c r="LJ6" s="8">
        <v>525</v>
      </c>
      <c r="LK6" s="8">
        <v>565</v>
      </c>
      <c r="LL6" s="8">
        <v>520</v>
      </c>
      <c r="LM6" s="8">
        <v>660</v>
      </c>
      <c r="LN6" s="8">
        <v>415</v>
      </c>
      <c r="LO6" s="8">
        <v>380</v>
      </c>
      <c r="LP6" s="8">
        <v>595</v>
      </c>
      <c r="LQ6" s="8">
        <v>435</v>
      </c>
      <c r="LR6" s="8">
        <v>640</v>
      </c>
      <c r="LS6" s="8">
        <v>335</v>
      </c>
      <c r="LT6" s="8">
        <v>390</v>
      </c>
      <c r="LU6" s="8">
        <v>175</v>
      </c>
      <c r="LV6" s="8">
        <v>0</v>
      </c>
      <c r="LW6" s="8">
        <v>525</v>
      </c>
      <c r="LX6" s="8">
        <v>215</v>
      </c>
      <c r="LY6" s="8">
        <v>550</v>
      </c>
      <c r="LZ6" s="8">
        <v>570</v>
      </c>
      <c r="MA6" s="8">
        <v>560</v>
      </c>
      <c r="MB6" s="8">
        <v>340</v>
      </c>
      <c r="MC6" s="8">
        <v>425</v>
      </c>
      <c r="MD6" s="8">
        <v>320</v>
      </c>
      <c r="ME6" s="8">
        <v>625</v>
      </c>
      <c r="MF6" s="8">
        <v>415</v>
      </c>
      <c r="MG6" s="8">
        <v>585</v>
      </c>
      <c r="MH6" s="8">
        <v>830</v>
      </c>
      <c r="MI6" s="8">
        <v>310</v>
      </c>
      <c r="MJ6" s="8">
        <v>285</v>
      </c>
      <c r="MK6" s="8">
        <v>780</v>
      </c>
      <c r="ML6" s="8">
        <v>590</v>
      </c>
      <c r="MM6" s="8">
        <v>225</v>
      </c>
      <c r="MN6" s="8">
        <v>215</v>
      </c>
      <c r="MO6" s="8">
        <v>595</v>
      </c>
      <c r="MP6" s="8">
        <v>245</v>
      </c>
      <c r="MQ6" s="8">
        <v>260</v>
      </c>
      <c r="MR6" s="8">
        <v>295</v>
      </c>
      <c r="MS6" s="8">
        <v>200</v>
      </c>
      <c r="MT6" s="8">
        <v>265</v>
      </c>
      <c r="MU6" s="8">
        <v>275</v>
      </c>
      <c r="MV6" s="8">
        <v>410</v>
      </c>
      <c r="MW6" s="8">
        <v>325</v>
      </c>
      <c r="MX6" s="8">
        <v>690</v>
      </c>
      <c r="MY6" s="8">
        <v>360</v>
      </c>
      <c r="MZ6" s="8">
        <v>570</v>
      </c>
      <c r="NA6" s="8">
        <v>440</v>
      </c>
      <c r="NB6" s="8">
        <v>220</v>
      </c>
      <c r="NC6" s="8">
        <v>755</v>
      </c>
      <c r="ND6" s="8">
        <v>385</v>
      </c>
      <c r="NE6" s="8">
        <v>235</v>
      </c>
      <c r="NF6" s="8">
        <v>375</v>
      </c>
      <c r="NG6" s="8">
        <v>575</v>
      </c>
      <c r="NH6" s="8">
        <v>330</v>
      </c>
      <c r="NI6" s="8">
        <v>280</v>
      </c>
      <c r="NJ6" s="8">
        <v>655</v>
      </c>
      <c r="NK6" s="8">
        <v>445</v>
      </c>
      <c r="NL6" s="8">
        <v>545</v>
      </c>
      <c r="NM6" s="8">
        <v>375</v>
      </c>
      <c r="NN6" s="8">
        <v>305</v>
      </c>
      <c r="NO6" s="8">
        <v>450</v>
      </c>
      <c r="NP6" s="8">
        <v>205</v>
      </c>
      <c r="NQ6" s="8">
        <v>365</v>
      </c>
      <c r="NR6" s="8">
        <v>200</v>
      </c>
      <c r="NS6" s="8">
        <v>505</v>
      </c>
      <c r="NT6" s="8">
        <v>0</v>
      </c>
      <c r="NU6" s="8">
        <v>590</v>
      </c>
      <c r="NV6" s="8">
        <v>490</v>
      </c>
      <c r="NW6" s="8">
        <v>0</v>
      </c>
      <c r="NX6" s="8">
        <v>505</v>
      </c>
      <c r="NY6" s="8">
        <v>200</v>
      </c>
      <c r="NZ6" s="8">
        <v>820</v>
      </c>
      <c r="OA6" s="8">
        <v>575</v>
      </c>
      <c r="OB6" s="8">
        <v>450</v>
      </c>
      <c r="OC6" s="8">
        <v>220</v>
      </c>
      <c r="OD6" s="8">
        <v>370</v>
      </c>
      <c r="OE6" s="8">
        <v>540</v>
      </c>
      <c r="OF6" s="8">
        <v>210</v>
      </c>
      <c r="OG6" s="8">
        <v>670</v>
      </c>
      <c r="OH6" s="8">
        <v>515</v>
      </c>
      <c r="OI6" s="8">
        <v>235</v>
      </c>
      <c r="OJ6" s="8">
        <v>135</v>
      </c>
      <c r="OK6" s="8">
        <v>260</v>
      </c>
      <c r="OL6" s="8">
        <v>255</v>
      </c>
      <c r="OM6" s="8">
        <v>1055</v>
      </c>
      <c r="ON6" s="8">
        <v>740</v>
      </c>
      <c r="OO6" s="8">
        <v>0</v>
      </c>
      <c r="OP6" s="8">
        <v>480</v>
      </c>
      <c r="OQ6" s="8">
        <v>215</v>
      </c>
      <c r="OR6" s="8">
        <v>385</v>
      </c>
      <c r="OS6" s="8">
        <v>390</v>
      </c>
      <c r="OT6" s="8">
        <v>0</v>
      </c>
      <c r="OU6" s="8">
        <v>0</v>
      </c>
      <c r="OV6" s="8">
        <v>360</v>
      </c>
      <c r="OW6" s="8">
        <v>150</v>
      </c>
      <c r="OX6" s="8">
        <v>265</v>
      </c>
      <c r="OY6" s="8">
        <v>355</v>
      </c>
      <c r="OZ6" s="8">
        <v>245</v>
      </c>
      <c r="PA6" s="8">
        <v>460</v>
      </c>
      <c r="PB6" s="8">
        <v>595</v>
      </c>
      <c r="PC6" s="8">
        <v>640</v>
      </c>
      <c r="PD6" s="8">
        <v>950</v>
      </c>
      <c r="PE6" s="8">
        <v>235</v>
      </c>
      <c r="PF6" s="8">
        <v>570</v>
      </c>
      <c r="PG6" s="8">
        <v>515</v>
      </c>
      <c r="PH6" s="8">
        <v>160</v>
      </c>
      <c r="PI6" s="8">
        <v>410</v>
      </c>
      <c r="PJ6" s="8">
        <v>195</v>
      </c>
      <c r="PK6" s="8">
        <v>190</v>
      </c>
      <c r="PL6" s="8">
        <v>380</v>
      </c>
      <c r="PM6" s="8">
        <v>285</v>
      </c>
      <c r="PN6" s="8">
        <v>325</v>
      </c>
      <c r="PO6" s="8">
        <v>190</v>
      </c>
      <c r="PP6" s="8">
        <v>330</v>
      </c>
      <c r="PQ6" s="8">
        <v>50</v>
      </c>
      <c r="PR6" s="8">
        <v>170</v>
      </c>
      <c r="PS6" s="8">
        <v>185</v>
      </c>
      <c r="PT6" s="8">
        <v>0</v>
      </c>
      <c r="PU6" s="8">
        <v>0</v>
      </c>
      <c r="PV6" s="8">
        <v>0</v>
      </c>
      <c r="PW6" s="8">
        <v>0</v>
      </c>
      <c r="PX6" s="8">
        <v>0</v>
      </c>
      <c r="PY6" s="8">
        <v>0</v>
      </c>
      <c r="PZ6" s="8">
        <v>0</v>
      </c>
      <c r="QA6" s="8">
        <v>0</v>
      </c>
      <c r="QB6" s="8">
        <v>0</v>
      </c>
      <c r="QC6" s="8">
        <v>0</v>
      </c>
      <c r="QD6" s="8">
        <v>0</v>
      </c>
      <c r="QE6" s="8">
        <v>0</v>
      </c>
      <c r="QF6" s="8">
        <v>0</v>
      </c>
      <c r="QG6" s="8">
        <v>0</v>
      </c>
      <c r="QH6" s="8">
        <v>0</v>
      </c>
      <c r="QI6" s="8">
        <v>0</v>
      </c>
      <c r="QJ6" s="8">
        <v>0</v>
      </c>
      <c r="QK6" s="8">
        <v>0</v>
      </c>
      <c r="QL6" s="8">
        <v>0</v>
      </c>
      <c r="QM6" s="8">
        <v>0</v>
      </c>
      <c r="QN6" s="8">
        <v>0</v>
      </c>
      <c r="QO6" s="8">
        <v>0</v>
      </c>
      <c r="QP6" s="8">
        <v>0</v>
      </c>
      <c r="QQ6" s="8">
        <v>0</v>
      </c>
      <c r="QR6" s="8">
        <v>0</v>
      </c>
      <c r="QS6" s="8">
        <v>0</v>
      </c>
      <c r="QT6" s="8">
        <v>0</v>
      </c>
      <c r="QU6" s="8">
        <v>0</v>
      </c>
      <c r="QV6" s="8">
        <v>0</v>
      </c>
      <c r="QW6" s="8">
        <v>0</v>
      </c>
      <c r="QX6" s="8">
        <v>0</v>
      </c>
      <c r="QY6" s="8">
        <v>0</v>
      </c>
      <c r="QZ6" s="8">
        <v>0</v>
      </c>
      <c r="RA6" s="8">
        <v>0</v>
      </c>
      <c r="RB6" s="8">
        <v>0</v>
      </c>
      <c r="RC6" s="8">
        <v>0</v>
      </c>
      <c r="RD6" s="8">
        <v>0</v>
      </c>
      <c r="RE6" s="8">
        <v>0</v>
      </c>
      <c r="RF6" s="8">
        <v>0</v>
      </c>
      <c r="RG6" s="8">
        <v>0</v>
      </c>
      <c r="RH6" s="8">
        <v>0</v>
      </c>
      <c r="RI6" s="8">
        <v>0</v>
      </c>
      <c r="RJ6" s="8">
        <v>0</v>
      </c>
      <c r="RK6" s="8">
        <v>0</v>
      </c>
      <c r="RL6" s="8">
        <v>0</v>
      </c>
      <c r="RM6" s="8">
        <v>0</v>
      </c>
      <c r="RN6" s="8">
        <v>0</v>
      </c>
      <c r="RO6" s="8">
        <v>0</v>
      </c>
      <c r="RP6" s="8">
        <v>0</v>
      </c>
      <c r="RQ6" s="8">
        <v>0</v>
      </c>
      <c r="RR6" s="8">
        <v>0</v>
      </c>
      <c r="RS6" s="8">
        <v>0</v>
      </c>
      <c r="RT6" s="8">
        <v>0</v>
      </c>
      <c r="RU6" s="8">
        <v>0</v>
      </c>
      <c r="RV6" s="8">
        <v>0</v>
      </c>
      <c r="RW6" s="8">
        <v>0</v>
      </c>
      <c r="RX6" s="8">
        <v>0</v>
      </c>
      <c r="RY6" s="8">
        <v>0</v>
      </c>
      <c r="RZ6" s="8">
        <v>0</v>
      </c>
      <c r="SA6" s="8">
        <v>0</v>
      </c>
      <c r="SB6" s="8">
        <v>0</v>
      </c>
      <c r="SC6" s="8">
        <v>0</v>
      </c>
      <c r="SD6" s="8">
        <v>0</v>
      </c>
      <c r="SE6" s="8">
        <v>0</v>
      </c>
      <c r="SF6" s="8">
        <v>0</v>
      </c>
      <c r="SG6" s="8">
        <v>0</v>
      </c>
      <c r="SH6" s="8">
        <v>0</v>
      </c>
      <c r="SI6" s="8">
        <v>0</v>
      </c>
      <c r="SJ6" s="8">
        <v>0</v>
      </c>
      <c r="SK6" s="8">
        <v>0</v>
      </c>
      <c r="SL6" s="8">
        <v>0</v>
      </c>
      <c r="SM6" s="8">
        <v>0</v>
      </c>
      <c r="SN6" s="8">
        <v>0</v>
      </c>
      <c r="SO6" s="8">
        <v>0</v>
      </c>
      <c r="SP6" s="8">
        <v>0</v>
      </c>
      <c r="SQ6" s="8">
        <v>0</v>
      </c>
      <c r="SR6" s="8">
        <v>0</v>
      </c>
      <c r="SS6" s="8">
        <v>0</v>
      </c>
      <c r="ST6" s="8">
        <v>0</v>
      </c>
      <c r="SU6" s="8">
        <v>0</v>
      </c>
      <c r="SV6" s="8">
        <v>0</v>
      </c>
      <c r="SW6" s="8">
        <v>0</v>
      </c>
      <c r="SX6" s="8">
        <v>0</v>
      </c>
      <c r="SY6" s="8">
        <v>0</v>
      </c>
      <c r="SZ6" s="8">
        <v>0</v>
      </c>
      <c r="TA6" s="8">
        <v>0</v>
      </c>
      <c r="TB6" s="8">
        <v>0</v>
      </c>
      <c r="TC6" s="8">
        <v>0</v>
      </c>
      <c r="TD6" s="8">
        <v>0</v>
      </c>
      <c r="TE6" s="8">
        <v>0</v>
      </c>
      <c r="TF6" s="8">
        <v>0</v>
      </c>
      <c r="TG6" s="8">
        <v>0</v>
      </c>
      <c r="TH6" s="8">
        <v>0</v>
      </c>
      <c r="TI6" s="8">
        <v>0</v>
      </c>
      <c r="TJ6" s="8">
        <v>0</v>
      </c>
      <c r="TK6" s="8">
        <v>0</v>
      </c>
      <c r="TL6" s="8">
        <v>0</v>
      </c>
      <c r="TM6" s="8">
        <v>0</v>
      </c>
      <c r="TN6" s="8">
        <v>0</v>
      </c>
      <c r="TO6" s="8">
        <v>0</v>
      </c>
      <c r="TP6" s="8">
        <v>0</v>
      </c>
      <c r="TQ6" s="8">
        <v>0</v>
      </c>
      <c r="TR6" s="8">
        <v>0</v>
      </c>
      <c r="TS6" s="8">
        <v>0</v>
      </c>
      <c r="TT6" s="8">
        <v>0</v>
      </c>
      <c r="TU6" s="8">
        <v>0</v>
      </c>
      <c r="TV6" s="8">
        <v>0</v>
      </c>
      <c r="TW6" s="8">
        <v>0</v>
      </c>
      <c r="TX6" s="8">
        <v>0</v>
      </c>
      <c r="TY6" s="8">
        <v>0</v>
      </c>
      <c r="TZ6" s="8">
        <v>0</v>
      </c>
      <c r="UA6" s="8">
        <v>0</v>
      </c>
      <c r="UB6" s="8">
        <v>0</v>
      </c>
      <c r="UC6" s="8">
        <v>0</v>
      </c>
      <c r="UD6" s="8">
        <v>0</v>
      </c>
      <c r="UE6" s="8">
        <v>0</v>
      </c>
      <c r="UF6" s="8">
        <v>0</v>
      </c>
      <c r="UG6" s="8">
        <v>0</v>
      </c>
      <c r="UH6" s="8">
        <v>0</v>
      </c>
      <c r="UI6" s="8">
        <v>0</v>
      </c>
      <c r="UJ6" s="8">
        <v>0</v>
      </c>
      <c r="UK6" s="8">
        <v>0</v>
      </c>
      <c r="UL6" s="8">
        <v>0</v>
      </c>
      <c r="UM6" s="8">
        <v>0</v>
      </c>
      <c r="UN6" s="8">
        <v>0</v>
      </c>
      <c r="UO6" s="8">
        <v>0</v>
      </c>
      <c r="UP6" s="8">
        <v>0</v>
      </c>
      <c r="UQ6" s="8">
        <v>0</v>
      </c>
      <c r="UR6" s="8">
        <v>0</v>
      </c>
      <c r="US6" s="8">
        <v>0</v>
      </c>
      <c r="UT6" s="8">
        <v>0</v>
      </c>
      <c r="UU6" s="8">
        <v>0</v>
      </c>
      <c r="UV6" s="8">
        <v>0</v>
      </c>
      <c r="UW6" s="8">
        <v>0</v>
      </c>
      <c r="UX6" s="8">
        <v>0</v>
      </c>
      <c r="UY6" s="8">
        <v>0</v>
      </c>
      <c r="UZ6" s="8">
        <v>0</v>
      </c>
      <c r="VA6" s="8">
        <v>0</v>
      </c>
      <c r="VB6" s="8">
        <v>0</v>
      </c>
      <c r="VC6" s="8">
        <v>0</v>
      </c>
      <c r="VD6" s="8">
        <v>0</v>
      </c>
      <c r="VE6" s="8">
        <v>0</v>
      </c>
      <c r="VF6" s="8">
        <v>0</v>
      </c>
      <c r="VG6" s="8">
        <v>0</v>
      </c>
      <c r="VH6" s="8">
        <v>0</v>
      </c>
      <c r="VI6" s="8">
        <v>0</v>
      </c>
      <c r="VJ6" s="8">
        <v>0</v>
      </c>
      <c r="VK6" s="8">
        <v>0</v>
      </c>
      <c r="VL6" s="8">
        <v>0</v>
      </c>
      <c r="VM6" s="8">
        <v>0</v>
      </c>
      <c r="VN6" s="8">
        <v>0</v>
      </c>
      <c r="VO6" s="8">
        <v>0</v>
      </c>
      <c r="VP6" s="8">
        <v>0</v>
      </c>
      <c r="VQ6" s="8">
        <v>0</v>
      </c>
      <c r="VR6" s="8">
        <v>0</v>
      </c>
      <c r="VS6" s="8">
        <v>0</v>
      </c>
      <c r="VT6" s="8">
        <v>0</v>
      </c>
      <c r="VU6" s="8">
        <v>0</v>
      </c>
      <c r="VV6" s="8">
        <v>0</v>
      </c>
      <c r="VW6" s="8">
        <v>0</v>
      </c>
      <c r="VX6" s="8">
        <v>0</v>
      </c>
      <c r="VY6" s="8">
        <v>0</v>
      </c>
      <c r="VZ6" s="8">
        <v>0</v>
      </c>
      <c r="WA6" s="8">
        <v>0</v>
      </c>
      <c r="WB6" s="8">
        <v>0</v>
      </c>
      <c r="WC6" s="8">
        <v>0</v>
      </c>
      <c r="WD6" s="8">
        <v>0</v>
      </c>
      <c r="WE6" s="8">
        <v>0</v>
      </c>
      <c r="WF6" s="8">
        <v>0</v>
      </c>
      <c r="WG6" s="8">
        <v>0</v>
      </c>
      <c r="WH6" s="8">
        <v>0</v>
      </c>
      <c r="WI6" s="8">
        <v>0</v>
      </c>
      <c r="WJ6" s="8">
        <v>0</v>
      </c>
      <c r="WK6" s="8">
        <v>0</v>
      </c>
      <c r="WL6" s="8">
        <v>0</v>
      </c>
      <c r="WM6" s="8">
        <v>0</v>
      </c>
      <c r="WN6" s="8">
        <v>0</v>
      </c>
      <c r="WO6" s="8">
        <v>0</v>
      </c>
      <c r="WP6" s="8">
        <v>0</v>
      </c>
      <c r="WQ6" s="8">
        <v>0</v>
      </c>
      <c r="WR6" s="8">
        <v>0</v>
      </c>
      <c r="WS6" s="8">
        <v>0</v>
      </c>
      <c r="WT6" s="8">
        <v>0</v>
      </c>
      <c r="WU6" s="8">
        <v>0</v>
      </c>
      <c r="WV6" s="8">
        <v>0</v>
      </c>
      <c r="WW6" s="8">
        <v>0</v>
      </c>
      <c r="WX6" s="8">
        <v>0</v>
      </c>
      <c r="WY6" s="8">
        <v>0</v>
      </c>
      <c r="WZ6" s="8">
        <v>0</v>
      </c>
      <c r="XA6" s="8">
        <v>0</v>
      </c>
      <c r="XB6" s="8">
        <v>0</v>
      </c>
      <c r="XC6" s="8">
        <v>0</v>
      </c>
      <c r="XD6" s="8">
        <v>0</v>
      </c>
      <c r="XE6" s="8">
        <v>0</v>
      </c>
      <c r="XF6" s="8">
        <v>0</v>
      </c>
      <c r="XG6" s="8">
        <v>0</v>
      </c>
      <c r="XH6" s="8">
        <v>0</v>
      </c>
      <c r="XI6" s="8">
        <v>0</v>
      </c>
      <c r="XJ6" s="8">
        <v>0</v>
      </c>
      <c r="XK6" s="8">
        <v>0</v>
      </c>
      <c r="XL6" s="8">
        <v>0</v>
      </c>
      <c r="XM6" s="8">
        <v>0</v>
      </c>
      <c r="XN6" s="8">
        <v>0</v>
      </c>
      <c r="XO6" s="8">
        <v>0</v>
      </c>
      <c r="XP6" s="8">
        <v>0</v>
      </c>
      <c r="XQ6" s="8">
        <v>0</v>
      </c>
      <c r="XR6" s="8">
        <v>0</v>
      </c>
      <c r="XS6" s="8">
        <v>0</v>
      </c>
      <c r="XT6" s="8">
        <v>0</v>
      </c>
      <c r="XU6" s="8">
        <v>0</v>
      </c>
      <c r="XV6" s="8">
        <v>0</v>
      </c>
      <c r="XW6" s="8">
        <v>0</v>
      </c>
      <c r="XX6" s="8">
        <v>0</v>
      </c>
      <c r="XY6" s="8">
        <v>0</v>
      </c>
      <c r="XZ6" s="8">
        <v>0</v>
      </c>
      <c r="YA6" s="8">
        <v>0</v>
      </c>
      <c r="YB6" s="8">
        <v>0</v>
      </c>
      <c r="YC6" s="8">
        <v>0</v>
      </c>
      <c r="YD6" s="8">
        <v>0</v>
      </c>
      <c r="YE6" s="8">
        <v>0</v>
      </c>
      <c r="YF6" s="8">
        <v>0</v>
      </c>
      <c r="YG6" s="8">
        <v>0</v>
      </c>
      <c r="YH6" s="8">
        <v>0</v>
      </c>
      <c r="YI6" s="8">
        <v>0</v>
      </c>
      <c r="YJ6" s="8">
        <v>0</v>
      </c>
      <c r="YK6" s="8">
        <v>0</v>
      </c>
      <c r="YL6" s="8">
        <v>0</v>
      </c>
      <c r="YM6" s="8">
        <v>0</v>
      </c>
      <c r="YN6" s="8">
        <v>0</v>
      </c>
      <c r="YO6" s="8">
        <v>0</v>
      </c>
      <c r="YP6" s="8">
        <v>0</v>
      </c>
      <c r="YQ6" s="8">
        <v>0</v>
      </c>
      <c r="YR6" s="8">
        <v>0</v>
      </c>
      <c r="YS6" s="8">
        <v>0</v>
      </c>
      <c r="YT6" s="8">
        <v>0</v>
      </c>
      <c r="YU6" s="8">
        <v>0</v>
      </c>
      <c r="YV6" s="8">
        <v>0</v>
      </c>
      <c r="YW6" s="8">
        <v>0</v>
      </c>
      <c r="YX6" s="8">
        <v>0</v>
      </c>
      <c r="YY6" s="8">
        <v>0</v>
      </c>
      <c r="YZ6" s="8">
        <v>0</v>
      </c>
      <c r="ZA6" s="8">
        <v>0</v>
      </c>
      <c r="ZB6" s="8">
        <v>0</v>
      </c>
      <c r="ZC6" s="8">
        <v>0</v>
      </c>
      <c r="ZD6" s="8">
        <v>0</v>
      </c>
      <c r="ZE6" s="8">
        <v>0</v>
      </c>
      <c r="ZF6" s="8">
        <v>0</v>
      </c>
      <c r="ZG6" s="8">
        <v>0</v>
      </c>
      <c r="ZH6" s="8">
        <v>0</v>
      </c>
      <c r="ZI6" s="8">
        <v>0</v>
      </c>
      <c r="ZJ6" s="8">
        <v>0</v>
      </c>
      <c r="ZK6" s="8">
        <v>0</v>
      </c>
      <c r="ZL6" s="8">
        <v>0</v>
      </c>
      <c r="ZM6" s="8">
        <v>0</v>
      </c>
      <c r="ZN6" s="8">
        <v>0</v>
      </c>
      <c r="ZO6" s="8">
        <v>0</v>
      </c>
      <c r="ZP6" s="8">
        <v>0</v>
      </c>
      <c r="ZQ6" s="8">
        <v>0</v>
      </c>
      <c r="ZR6" s="8">
        <v>0</v>
      </c>
      <c r="ZS6" s="8">
        <v>0</v>
      </c>
      <c r="ZT6" s="8">
        <v>0</v>
      </c>
      <c r="ZU6" s="8">
        <v>0</v>
      </c>
      <c r="ZV6" s="8">
        <v>0</v>
      </c>
      <c r="ZW6" s="8">
        <v>0</v>
      </c>
      <c r="ZX6" s="8">
        <v>0</v>
      </c>
      <c r="ZY6" s="8">
        <v>0</v>
      </c>
      <c r="ZZ6" s="8">
        <v>0</v>
      </c>
      <c r="AAA6" s="8">
        <v>0</v>
      </c>
      <c r="AAB6" s="8">
        <v>0</v>
      </c>
      <c r="AAC6" s="8">
        <v>0</v>
      </c>
      <c r="AAD6" s="8">
        <v>0</v>
      </c>
      <c r="AAE6" s="8">
        <v>0</v>
      </c>
      <c r="AAF6" s="8">
        <v>0</v>
      </c>
      <c r="AAG6" s="8">
        <v>0</v>
      </c>
      <c r="AAH6" s="8">
        <v>0</v>
      </c>
      <c r="AAI6" s="8">
        <v>0</v>
      </c>
      <c r="AAJ6" s="8">
        <v>0</v>
      </c>
      <c r="AAK6" s="8">
        <v>0</v>
      </c>
      <c r="AAL6" s="8">
        <v>0</v>
      </c>
      <c r="AAM6" s="8">
        <v>0</v>
      </c>
      <c r="AAN6" s="8">
        <v>0</v>
      </c>
      <c r="AAO6" s="8">
        <v>0</v>
      </c>
      <c r="AAP6" s="8">
        <v>0</v>
      </c>
      <c r="AAQ6" s="8">
        <v>0</v>
      </c>
      <c r="AAR6" s="8">
        <v>0</v>
      </c>
      <c r="AAS6" s="8">
        <v>0</v>
      </c>
      <c r="AAT6" s="8">
        <v>0</v>
      </c>
      <c r="AAU6" s="8">
        <v>0</v>
      </c>
      <c r="AAV6" s="8">
        <v>0</v>
      </c>
      <c r="AAW6" s="8">
        <v>0</v>
      </c>
      <c r="AAX6" s="8">
        <v>0</v>
      </c>
      <c r="AAY6" s="8">
        <v>0</v>
      </c>
      <c r="AAZ6" s="8">
        <v>0</v>
      </c>
      <c r="ABA6" s="8">
        <v>0</v>
      </c>
      <c r="ABB6" s="8">
        <v>0</v>
      </c>
      <c r="ABC6" s="8">
        <v>0</v>
      </c>
      <c r="ABD6" s="8">
        <v>0</v>
      </c>
      <c r="ABE6" s="8">
        <v>0</v>
      </c>
      <c r="ABF6" s="8">
        <v>0</v>
      </c>
      <c r="ABG6" s="8">
        <v>0</v>
      </c>
      <c r="ABH6" s="8">
        <v>0</v>
      </c>
      <c r="ABI6" s="8">
        <v>0</v>
      </c>
      <c r="ABJ6" s="8">
        <v>0</v>
      </c>
      <c r="ABK6" s="8">
        <v>0</v>
      </c>
      <c r="ABL6" s="8">
        <v>0</v>
      </c>
      <c r="ABM6" s="8">
        <v>0</v>
      </c>
      <c r="ABN6" s="8">
        <v>0</v>
      </c>
      <c r="ABO6" s="8">
        <v>0</v>
      </c>
      <c r="ABP6" s="8">
        <v>0</v>
      </c>
      <c r="ABQ6" s="8">
        <v>0</v>
      </c>
      <c r="ABR6" s="8">
        <v>0</v>
      </c>
      <c r="ABS6" s="8">
        <v>0</v>
      </c>
      <c r="ABT6" s="8">
        <v>0</v>
      </c>
      <c r="ABU6" s="8">
        <v>0</v>
      </c>
      <c r="ABV6" s="8">
        <v>0</v>
      </c>
      <c r="ABW6" s="8">
        <v>0</v>
      </c>
      <c r="ABX6" s="8">
        <v>0</v>
      </c>
      <c r="ABY6" s="8">
        <v>0</v>
      </c>
      <c r="ABZ6" s="8">
        <v>0</v>
      </c>
      <c r="ACA6" s="8">
        <v>0</v>
      </c>
      <c r="ACB6" s="8">
        <v>0</v>
      </c>
      <c r="ACC6" s="8">
        <v>0</v>
      </c>
      <c r="ACD6" s="8">
        <v>0</v>
      </c>
      <c r="ACE6" s="8">
        <v>0</v>
      </c>
      <c r="ACF6" s="8">
        <v>0</v>
      </c>
      <c r="ACG6" s="8">
        <v>0</v>
      </c>
      <c r="ACH6" s="8">
        <v>0</v>
      </c>
      <c r="ACI6" s="8">
        <v>0</v>
      </c>
      <c r="ACJ6" s="8">
        <v>0</v>
      </c>
      <c r="ACK6" s="8">
        <v>0</v>
      </c>
      <c r="ACL6" s="8">
        <v>0</v>
      </c>
      <c r="ACM6" s="8">
        <v>0</v>
      </c>
      <c r="ACN6" s="8">
        <v>0</v>
      </c>
      <c r="ACO6" s="8">
        <v>0</v>
      </c>
      <c r="ACP6" s="8">
        <v>0</v>
      </c>
      <c r="ACQ6" s="8">
        <v>0</v>
      </c>
      <c r="ACR6" s="8">
        <v>0</v>
      </c>
      <c r="ACS6" s="8">
        <v>0</v>
      </c>
      <c r="ACT6" s="8">
        <v>0</v>
      </c>
      <c r="ACU6" s="8">
        <v>0</v>
      </c>
      <c r="ACV6" s="8">
        <v>0</v>
      </c>
      <c r="ACW6" s="8">
        <v>0</v>
      </c>
      <c r="ACX6" s="8">
        <v>0</v>
      </c>
      <c r="ACY6" s="8">
        <v>0</v>
      </c>
      <c r="ACZ6" s="8">
        <v>0</v>
      </c>
      <c r="ADA6" s="8">
        <v>0</v>
      </c>
      <c r="ADB6" s="8">
        <v>0</v>
      </c>
      <c r="ADC6" s="8">
        <v>0</v>
      </c>
      <c r="ADD6" s="8">
        <v>0</v>
      </c>
      <c r="ADE6" s="8">
        <v>0</v>
      </c>
      <c r="ADF6" s="8">
        <v>0</v>
      </c>
      <c r="ADG6" s="8">
        <v>0</v>
      </c>
      <c r="ADH6" s="8">
        <v>0</v>
      </c>
      <c r="ADI6" s="8">
        <v>0</v>
      </c>
      <c r="ADJ6" s="8">
        <v>0</v>
      </c>
      <c r="ADK6" s="8">
        <v>0</v>
      </c>
      <c r="ADL6" s="8">
        <v>0</v>
      </c>
      <c r="ADM6" s="8">
        <v>0</v>
      </c>
      <c r="ADN6" s="8">
        <v>0</v>
      </c>
      <c r="ADO6" s="8">
        <v>0</v>
      </c>
      <c r="ADP6" s="8">
        <v>0</v>
      </c>
      <c r="ADQ6" s="8">
        <v>0</v>
      </c>
      <c r="ADR6" s="8">
        <v>0</v>
      </c>
      <c r="ADS6" s="8">
        <v>0</v>
      </c>
      <c r="ADT6" s="8">
        <v>0</v>
      </c>
      <c r="ADU6" s="8">
        <v>0</v>
      </c>
      <c r="ADV6" s="8">
        <v>0</v>
      </c>
      <c r="ADW6" s="8">
        <v>0</v>
      </c>
      <c r="ADX6" s="8">
        <v>0</v>
      </c>
      <c r="ADY6" s="8">
        <v>0</v>
      </c>
      <c r="ADZ6" s="8">
        <v>0</v>
      </c>
      <c r="AEA6" s="8">
        <v>0</v>
      </c>
      <c r="AEB6" s="8">
        <v>0</v>
      </c>
      <c r="AEC6" s="8">
        <v>0</v>
      </c>
      <c r="AED6" s="8">
        <v>0</v>
      </c>
      <c r="AEE6" s="8">
        <v>0</v>
      </c>
      <c r="AEF6" s="8">
        <v>0</v>
      </c>
      <c r="AEG6" s="8">
        <v>0</v>
      </c>
      <c r="AEH6" s="8">
        <v>0</v>
      </c>
      <c r="AEI6" s="8">
        <v>0</v>
      </c>
      <c r="AEJ6" s="8">
        <v>0</v>
      </c>
      <c r="AEK6" s="8">
        <v>0</v>
      </c>
      <c r="AEL6" s="8">
        <v>0</v>
      </c>
      <c r="AEM6" s="8">
        <v>0</v>
      </c>
      <c r="AEN6" s="8">
        <v>0</v>
      </c>
      <c r="AEO6" s="8">
        <v>0</v>
      </c>
      <c r="AEP6" s="8">
        <v>0</v>
      </c>
      <c r="AEQ6" s="8">
        <v>0</v>
      </c>
      <c r="AER6" s="8">
        <v>0</v>
      </c>
      <c r="AES6" s="8">
        <v>0</v>
      </c>
      <c r="AET6" s="8">
        <v>0</v>
      </c>
      <c r="AEU6" s="8">
        <v>0</v>
      </c>
      <c r="AEV6" s="8">
        <v>0</v>
      </c>
      <c r="AEW6" s="8">
        <v>0</v>
      </c>
      <c r="AEX6" s="8">
        <v>0</v>
      </c>
      <c r="AEY6" s="8">
        <v>0</v>
      </c>
      <c r="AEZ6" s="8">
        <v>0</v>
      </c>
      <c r="AFA6" s="8">
        <v>0</v>
      </c>
      <c r="AFB6" s="8">
        <v>0</v>
      </c>
      <c r="AFC6" s="8">
        <v>0</v>
      </c>
      <c r="AFD6" s="8">
        <v>0</v>
      </c>
      <c r="AFE6" s="8">
        <v>0</v>
      </c>
      <c r="AFF6" s="8">
        <v>0</v>
      </c>
      <c r="AFG6" s="8">
        <v>0</v>
      </c>
      <c r="AFH6" s="8">
        <v>0</v>
      </c>
      <c r="AFI6" s="8">
        <v>0</v>
      </c>
      <c r="AFJ6" s="8">
        <v>0</v>
      </c>
      <c r="AFK6" s="8">
        <v>0</v>
      </c>
      <c r="AFL6" s="8">
        <v>0</v>
      </c>
      <c r="AFM6" s="8">
        <v>0</v>
      </c>
      <c r="AFN6" s="8">
        <v>0</v>
      </c>
      <c r="AFO6" s="8">
        <v>0</v>
      </c>
      <c r="AFP6" s="8">
        <v>0</v>
      </c>
      <c r="AFQ6" s="8">
        <v>0</v>
      </c>
      <c r="AFR6" s="8">
        <v>0</v>
      </c>
      <c r="AFS6" s="8">
        <v>0</v>
      </c>
      <c r="AFT6" s="8">
        <v>0</v>
      </c>
      <c r="AFU6" s="8">
        <v>0</v>
      </c>
      <c r="AFV6" s="8">
        <v>0</v>
      </c>
      <c r="AFW6" s="8">
        <v>0</v>
      </c>
      <c r="AFX6" s="8">
        <v>0</v>
      </c>
      <c r="AFY6" s="8">
        <v>0</v>
      </c>
      <c r="AFZ6" s="8">
        <v>0</v>
      </c>
      <c r="AGA6" s="8">
        <v>0</v>
      </c>
      <c r="AGB6" s="8">
        <v>0</v>
      </c>
      <c r="AGC6" s="8">
        <v>0</v>
      </c>
      <c r="AGD6" s="8">
        <v>0</v>
      </c>
      <c r="AGE6" s="8">
        <v>0</v>
      </c>
      <c r="AGF6" s="8">
        <v>0</v>
      </c>
      <c r="AGG6" s="8">
        <v>0</v>
      </c>
      <c r="AGH6" s="8">
        <v>0</v>
      </c>
      <c r="AGI6" s="8">
        <v>0</v>
      </c>
      <c r="AGJ6" s="8">
        <v>0</v>
      </c>
      <c r="AGK6" s="8">
        <v>0</v>
      </c>
      <c r="AGL6" s="8">
        <v>0</v>
      </c>
      <c r="AGM6" s="8">
        <v>0</v>
      </c>
      <c r="AGN6" s="8">
        <v>0</v>
      </c>
      <c r="AGO6" s="8">
        <v>0</v>
      </c>
      <c r="AGP6" s="8">
        <v>0</v>
      </c>
      <c r="AGQ6" s="8">
        <v>0</v>
      </c>
      <c r="AGR6" s="8">
        <v>0</v>
      </c>
      <c r="AGS6" s="8">
        <v>0</v>
      </c>
      <c r="AGT6" s="8">
        <v>0</v>
      </c>
      <c r="AGU6" s="8">
        <v>0</v>
      </c>
      <c r="AGV6" s="8">
        <v>0</v>
      </c>
      <c r="AGW6" s="8">
        <v>0</v>
      </c>
      <c r="AGX6" s="8">
        <v>0</v>
      </c>
      <c r="AGY6" s="8">
        <v>0</v>
      </c>
      <c r="AGZ6" s="8">
        <v>0</v>
      </c>
      <c r="AHA6" s="8">
        <v>0</v>
      </c>
      <c r="AHB6" s="8">
        <v>0</v>
      </c>
      <c r="AHC6" s="8">
        <v>0</v>
      </c>
      <c r="AHD6" s="8">
        <v>0</v>
      </c>
      <c r="AHE6" s="8">
        <v>0</v>
      </c>
      <c r="AHF6" s="8">
        <v>0</v>
      </c>
      <c r="AHG6" s="8">
        <v>0</v>
      </c>
      <c r="AHH6" s="8">
        <v>0</v>
      </c>
      <c r="AHI6" s="8">
        <v>0</v>
      </c>
      <c r="AHJ6" s="8">
        <v>0</v>
      </c>
      <c r="AHK6" s="8">
        <v>0</v>
      </c>
      <c r="AHL6" s="8">
        <v>0</v>
      </c>
      <c r="AHM6" s="8">
        <v>0</v>
      </c>
      <c r="AHN6" s="8">
        <v>0</v>
      </c>
      <c r="AHO6" s="8">
        <v>0</v>
      </c>
      <c r="AHP6" s="8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 t="e">
        <v>#N/A</v>
      </c>
      <c r="AIJ6" t="e">
        <v>#N/A</v>
      </c>
      <c r="AIK6" t="e">
        <v>#N/A</v>
      </c>
      <c r="AIL6" t="e">
        <v>#N/A</v>
      </c>
      <c r="AIM6" t="e">
        <v>#N/A</v>
      </c>
      <c r="AIN6" t="e">
        <v>#N/A</v>
      </c>
      <c r="AIO6" t="e">
        <v>#N/A</v>
      </c>
      <c r="AIP6" t="e">
        <v>#N/A</v>
      </c>
      <c r="AIQ6" t="e">
        <v>#N/A</v>
      </c>
      <c r="AIR6" t="e">
        <v>#N/A</v>
      </c>
      <c r="AIS6" t="e">
        <v>#N/A</v>
      </c>
      <c r="AIT6" t="e">
        <v>#N/A</v>
      </c>
      <c r="AIU6" t="e">
        <v>#N/A</v>
      </c>
      <c r="AIV6" t="e">
        <v>#N/A</v>
      </c>
      <c r="AIW6" t="e">
        <v>#N/A</v>
      </c>
      <c r="AIX6" t="e">
        <v>#N/A</v>
      </c>
      <c r="AIY6" t="e">
        <v>#N/A</v>
      </c>
      <c r="AIZ6" t="e">
        <v>#N/A</v>
      </c>
      <c r="AJA6" t="e">
        <v>#N/A</v>
      </c>
      <c r="AJB6" t="e">
        <v>#N/A</v>
      </c>
      <c r="AJC6" t="e">
        <v>#N/A</v>
      </c>
      <c r="AJD6" t="e">
        <v>#N/A</v>
      </c>
      <c r="AJE6" t="e">
        <v>#N/A</v>
      </c>
      <c r="AJF6" t="e">
        <v>#N/A</v>
      </c>
      <c r="AJG6" t="e">
        <v>#N/A</v>
      </c>
      <c r="AJH6" t="e">
        <v>#N/A</v>
      </c>
      <c r="AJI6" t="e">
        <v>#N/A</v>
      </c>
      <c r="AJJ6" t="e">
        <v>#N/A</v>
      </c>
      <c r="AJK6" t="e">
        <v>#N/A</v>
      </c>
      <c r="AJL6" t="e">
        <v>#N/A</v>
      </c>
      <c r="AJM6" t="e">
        <v>#N/A</v>
      </c>
      <c r="AJN6" t="e">
        <v>#N/A</v>
      </c>
      <c r="AJO6" t="e">
        <v>#N/A</v>
      </c>
      <c r="AJP6" t="e">
        <v>#N/A</v>
      </c>
      <c r="AJQ6" t="e">
        <v>#N/A</v>
      </c>
      <c r="AJR6" t="e">
        <v>#N/A</v>
      </c>
      <c r="AJS6" t="e">
        <v>#N/A</v>
      </c>
      <c r="AJT6" t="e">
        <v>#N/A</v>
      </c>
      <c r="AJU6" t="e">
        <v>#N/A</v>
      </c>
      <c r="AJV6" t="e">
        <v>#N/A</v>
      </c>
      <c r="AJW6" t="e">
        <v>#N/A</v>
      </c>
      <c r="AJX6" t="e">
        <v>#N/A</v>
      </c>
      <c r="AJY6" t="e">
        <v>#N/A</v>
      </c>
      <c r="AJZ6" t="e">
        <v>#N/A</v>
      </c>
      <c r="AKA6" t="e">
        <v>#N/A</v>
      </c>
      <c r="AKB6" t="e">
        <v>#N/A</v>
      </c>
      <c r="AKC6" t="e">
        <v>#N/A</v>
      </c>
      <c r="AKD6" t="e">
        <v>#N/A</v>
      </c>
      <c r="AKE6" t="e">
        <v>#N/A</v>
      </c>
      <c r="AKF6" t="e">
        <v>#N/A</v>
      </c>
      <c r="AKG6" t="e">
        <v>#N/A</v>
      </c>
      <c r="AKH6" t="e">
        <v>#N/A</v>
      </c>
      <c r="AKI6" t="e">
        <v>#N/A</v>
      </c>
      <c r="AKJ6" t="e">
        <v>#N/A</v>
      </c>
      <c r="AKK6" t="e">
        <v>#N/A</v>
      </c>
      <c r="AKL6" t="e">
        <v>#N/A</v>
      </c>
      <c r="AKM6" t="e">
        <v>#N/A</v>
      </c>
      <c r="AKN6" t="e">
        <v>#N/A</v>
      </c>
      <c r="AKO6" t="e">
        <v>#N/A</v>
      </c>
      <c r="AKP6" t="e">
        <v>#N/A</v>
      </c>
      <c r="AKQ6" t="e">
        <v>#N/A</v>
      </c>
      <c r="AKR6" t="e">
        <v>#N/A</v>
      </c>
      <c r="AKS6" t="e">
        <v>#N/A</v>
      </c>
      <c r="AKT6" t="e">
        <v>#N/A</v>
      </c>
      <c r="AKU6" t="e">
        <v>#N/A</v>
      </c>
      <c r="AKV6" t="e">
        <v>#N/A</v>
      </c>
      <c r="AKW6" t="e">
        <v>#N/A</v>
      </c>
      <c r="AKX6" t="e">
        <v>#N/A</v>
      </c>
      <c r="AKY6" t="e">
        <v>#N/A</v>
      </c>
      <c r="AKZ6" t="e">
        <v>#N/A</v>
      </c>
      <c r="ALA6" t="e">
        <v>#N/A</v>
      </c>
      <c r="ALB6" t="e">
        <v>#N/A</v>
      </c>
      <c r="ALC6" t="e">
        <v>#N/A</v>
      </c>
      <c r="ALD6" t="e">
        <v>#N/A</v>
      </c>
      <c r="ALE6" t="e">
        <v>#N/A</v>
      </c>
      <c r="ALF6" t="e">
        <v>#N/A</v>
      </c>
      <c r="ALG6" t="e">
        <v>#N/A</v>
      </c>
      <c r="ALH6" t="e">
        <v>#N/A</v>
      </c>
      <c r="ALI6" t="e">
        <v>#N/A</v>
      </c>
      <c r="ALJ6" t="e">
        <v>#N/A</v>
      </c>
      <c r="ALK6" t="e">
        <v>#N/A</v>
      </c>
      <c r="ALL6" t="e">
        <v>#N/A</v>
      </c>
      <c r="ALM6" t="e">
        <v>#N/A</v>
      </c>
      <c r="ALN6" t="e">
        <v>#N/A</v>
      </c>
      <c r="ALO6" t="e">
        <v>#N/A</v>
      </c>
      <c r="ALP6" t="e">
        <v>#N/A</v>
      </c>
      <c r="ALQ6" t="e">
        <v>#N/A</v>
      </c>
      <c r="ALR6" t="e">
        <v>#N/A</v>
      </c>
      <c r="ALS6" t="e">
        <v>#N/A</v>
      </c>
      <c r="ALT6" t="e">
        <v>#N/A</v>
      </c>
      <c r="ALU6" t="e">
        <v>#N/A</v>
      </c>
      <c r="ALV6" t="e">
        <v>#N/A</v>
      </c>
      <c r="ALW6" t="e">
        <v>#N/A</v>
      </c>
      <c r="ALX6" t="e">
        <v>#N/A</v>
      </c>
      <c r="ALY6" t="e">
        <v>#N/A</v>
      </c>
      <c r="ALZ6" t="e">
        <v>#N/A</v>
      </c>
      <c r="AMA6" t="e">
        <v>#N/A</v>
      </c>
      <c r="AMB6" t="e">
        <v>#N/A</v>
      </c>
      <c r="AMC6" t="e">
        <v>#N/A</v>
      </c>
      <c r="AMD6" t="e">
        <v>#N/A</v>
      </c>
      <c r="AME6" t="e">
        <v>#N/A</v>
      </c>
      <c r="AMF6" t="e">
        <v>#N/A</v>
      </c>
      <c r="AMG6" t="e">
        <v>#N/A</v>
      </c>
      <c r="AMH6" t="e">
        <v>#N/A</v>
      </c>
    </row>
    <row r="7" spans="1:1022" ht="15.75" customHeight="1">
      <c r="A7" s="8" t="str">
        <v>Lily</v>
      </c>
      <c r="B7" s="8">
        <v>520</v>
      </c>
      <c r="C7" s="8">
        <v>0</v>
      </c>
      <c r="D7" s="8">
        <v>795</v>
      </c>
      <c r="E7" s="8">
        <v>485</v>
      </c>
      <c r="F7" s="8">
        <v>525</v>
      </c>
      <c r="G7" s="8">
        <v>395</v>
      </c>
      <c r="H7" s="8">
        <v>0</v>
      </c>
      <c r="I7" s="8">
        <v>235</v>
      </c>
      <c r="J7" s="8">
        <v>250</v>
      </c>
      <c r="K7" s="8">
        <v>370</v>
      </c>
      <c r="L7" s="8">
        <v>540</v>
      </c>
      <c r="M7" s="8">
        <v>630</v>
      </c>
      <c r="N7" s="8">
        <v>0</v>
      </c>
      <c r="O7" s="8">
        <v>0</v>
      </c>
      <c r="P7" s="8">
        <v>395</v>
      </c>
      <c r="Q7" s="8">
        <v>405</v>
      </c>
      <c r="R7" s="8">
        <v>570</v>
      </c>
      <c r="S7" s="8">
        <v>0</v>
      </c>
      <c r="T7" s="8">
        <v>0</v>
      </c>
      <c r="U7" s="8">
        <v>495</v>
      </c>
      <c r="V7" s="8">
        <v>375</v>
      </c>
      <c r="W7" s="8">
        <v>155</v>
      </c>
      <c r="X7" s="8">
        <v>335</v>
      </c>
      <c r="Y7" s="8">
        <v>720</v>
      </c>
      <c r="Z7" s="8">
        <v>285</v>
      </c>
      <c r="AA7" s="8">
        <v>585</v>
      </c>
      <c r="AB7" s="8">
        <v>635</v>
      </c>
      <c r="AC7" s="8">
        <v>950</v>
      </c>
      <c r="AD7" s="8">
        <v>500</v>
      </c>
      <c r="AE7" s="8">
        <v>270</v>
      </c>
      <c r="AF7" s="8">
        <v>0</v>
      </c>
      <c r="AG7" s="8">
        <v>0</v>
      </c>
      <c r="AH7" s="8">
        <v>330</v>
      </c>
      <c r="AI7" s="8">
        <v>270</v>
      </c>
      <c r="AJ7" s="8">
        <v>0</v>
      </c>
      <c r="AK7" s="8">
        <v>330</v>
      </c>
      <c r="AL7" s="8">
        <v>455</v>
      </c>
      <c r="AM7" s="8">
        <v>315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600</v>
      </c>
      <c r="AV7" s="8">
        <v>0</v>
      </c>
      <c r="AW7" s="8">
        <v>525</v>
      </c>
      <c r="AX7" s="8">
        <v>0</v>
      </c>
      <c r="AY7" s="8">
        <v>0</v>
      </c>
      <c r="AZ7" s="8">
        <v>0</v>
      </c>
      <c r="BA7" s="8">
        <v>235</v>
      </c>
      <c r="BB7" s="8">
        <v>390</v>
      </c>
      <c r="BC7" s="8">
        <v>0</v>
      </c>
      <c r="BD7" s="8">
        <v>0</v>
      </c>
      <c r="BE7" s="8">
        <v>0</v>
      </c>
      <c r="BF7" s="8">
        <v>0</v>
      </c>
      <c r="BG7" s="8">
        <v>380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730</v>
      </c>
      <c r="BP7" s="8">
        <v>0</v>
      </c>
      <c r="BQ7" s="8">
        <v>0</v>
      </c>
      <c r="BR7" s="8">
        <v>0</v>
      </c>
      <c r="BS7" s="8">
        <v>0</v>
      </c>
      <c r="BT7" s="8">
        <v>215</v>
      </c>
      <c r="BU7" s="8">
        <v>685</v>
      </c>
      <c r="BV7" s="8">
        <v>0</v>
      </c>
      <c r="BW7" s="8">
        <v>0</v>
      </c>
      <c r="BX7" s="8">
        <v>0</v>
      </c>
      <c r="BY7" s="8">
        <v>85</v>
      </c>
      <c r="BZ7" s="8">
        <v>0</v>
      </c>
      <c r="CA7" s="8">
        <v>475</v>
      </c>
      <c r="CB7" s="8">
        <v>0</v>
      </c>
      <c r="CC7" s="8">
        <v>0</v>
      </c>
      <c r="CD7" s="8">
        <v>805</v>
      </c>
      <c r="CE7" s="8">
        <v>495</v>
      </c>
      <c r="CF7" s="8">
        <v>475</v>
      </c>
      <c r="CG7" s="8">
        <v>0</v>
      </c>
      <c r="CH7" s="8">
        <v>0</v>
      </c>
      <c r="CI7" s="8">
        <v>0</v>
      </c>
      <c r="CJ7" s="8">
        <v>590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570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510</v>
      </c>
      <c r="CW7" s="8">
        <v>0</v>
      </c>
      <c r="CX7" s="8">
        <v>400</v>
      </c>
      <c r="CY7" s="8">
        <v>170</v>
      </c>
      <c r="CZ7" s="8">
        <v>0</v>
      </c>
      <c r="DA7" s="8">
        <v>0</v>
      </c>
      <c r="DB7" s="8">
        <v>0</v>
      </c>
      <c r="DC7" s="8">
        <v>150</v>
      </c>
      <c r="DD7" s="8">
        <v>0</v>
      </c>
      <c r="DE7" s="8">
        <v>0</v>
      </c>
      <c r="DF7" s="8">
        <v>185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200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295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745</v>
      </c>
      <c r="EX7" s="8">
        <v>925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245</v>
      </c>
      <c r="FK7" s="8">
        <v>0</v>
      </c>
      <c r="FL7" s="8">
        <v>745</v>
      </c>
      <c r="FM7" s="8">
        <v>340</v>
      </c>
      <c r="FN7" s="8">
        <v>0</v>
      </c>
      <c r="FO7" s="8">
        <v>0</v>
      </c>
      <c r="FP7" s="8">
        <v>515</v>
      </c>
      <c r="FQ7" s="8">
        <v>590</v>
      </c>
      <c r="FR7" s="8">
        <v>615</v>
      </c>
      <c r="FS7" s="8">
        <v>495</v>
      </c>
      <c r="FT7" s="8">
        <v>630</v>
      </c>
      <c r="FU7" s="8">
        <v>0</v>
      </c>
      <c r="FV7" s="8">
        <v>475</v>
      </c>
      <c r="FW7" s="8">
        <v>705</v>
      </c>
      <c r="FX7" s="8">
        <v>605</v>
      </c>
      <c r="FY7" s="8">
        <v>0</v>
      </c>
      <c r="FZ7" s="8">
        <v>0</v>
      </c>
      <c r="GA7" s="8">
        <v>715</v>
      </c>
      <c r="GB7" s="8">
        <v>645</v>
      </c>
      <c r="GC7" s="8">
        <v>0</v>
      </c>
      <c r="GD7" s="8">
        <v>0</v>
      </c>
      <c r="GE7" s="8">
        <v>445</v>
      </c>
      <c r="GF7" s="8">
        <v>340</v>
      </c>
      <c r="GG7" s="8">
        <v>435</v>
      </c>
      <c r="GH7" s="8">
        <v>310</v>
      </c>
      <c r="GI7" s="8">
        <v>0</v>
      </c>
      <c r="GJ7" s="8">
        <v>480</v>
      </c>
      <c r="GK7" s="8">
        <v>490</v>
      </c>
      <c r="GL7" s="8">
        <v>25</v>
      </c>
      <c r="GM7" s="8">
        <v>0</v>
      </c>
      <c r="GN7" s="8">
        <v>220</v>
      </c>
      <c r="GO7" s="8">
        <v>0</v>
      </c>
      <c r="GP7" s="8">
        <v>0</v>
      </c>
      <c r="GQ7" s="8">
        <v>0</v>
      </c>
      <c r="GR7" s="8">
        <v>0</v>
      </c>
      <c r="GS7" s="8">
        <v>300</v>
      </c>
      <c r="GT7" s="8">
        <v>340</v>
      </c>
      <c r="GU7" s="8">
        <v>0</v>
      </c>
      <c r="GV7" s="8">
        <v>450</v>
      </c>
      <c r="GW7" s="8">
        <v>570</v>
      </c>
      <c r="GX7" s="8">
        <v>115</v>
      </c>
      <c r="GY7" s="8">
        <v>625</v>
      </c>
      <c r="GZ7" s="8">
        <v>310</v>
      </c>
      <c r="HA7" s="8">
        <v>615</v>
      </c>
      <c r="HB7" s="8">
        <v>0</v>
      </c>
      <c r="HC7" s="8">
        <v>0</v>
      </c>
      <c r="HD7" s="8">
        <v>330</v>
      </c>
      <c r="HE7" s="8">
        <v>0</v>
      </c>
      <c r="HF7" s="8">
        <v>0</v>
      </c>
      <c r="HG7" s="8">
        <v>395</v>
      </c>
      <c r="HH7" s="8">
        <v>380</v>
      </c>
      <c r="HI7" s="8">
        <v>225</v>
      </c>
      <c r="HJ7" s="8">
        <v>630</v>
      </c>
      <c r="HK7" s="8">
        <v>0</v>
      </c>
      <c r="HL7" s="8">
        <v>610</v>
      </c>
      <c r="HM7" s="8">
        <v>425</v>
      </c>
      <c r="HN7" s="8">
        <v>0</v>
      </c>
      <c r="HO7" s="8">
        <v>370</v>
      </c>
      <c r="HP7" s="8">
        <v>0</v>
      </c>
      <c r="HQ7" s="8">
        <v>0</v>
      </c>
      <c r="HR7" s="8">
        <v>585</v>
      </c>
      <c r="HS7" s="8">
        <v>320</v>
      </c>
      <c r="HT7" s="8">
        <v>525</v>
      </c>
      <c r="HU7" s="8">
        <v>400</v>
      </c>
      <c r="HV7" s="8">
        <v>0</v>
      </c>
      <c r="HW7" s="8">
        <v>0</v>
      </c>
      <c r="HX7" s="8">
        <v>595</v>
      </c>
      <c r="HY7" s="8">
        <v>0</v>
      </c>
      <c r="HZ7" s="8">
        <v>570</v>
      </c>
      <c r="IA7" s="8">
        <v>0</v>
      </c>
      <c r="IB7" s="8">
        <v>0</v>
      </c>
      <c r="IC7" s="8">
        <v>710</v>
      </c>
      <c r="ID7" s="8">
        <v>0</v>
      </c>
      <c r="IE7" s="8">
        <v>0</v>
      </c>
      <c r="IF7" s="8">
        <v>450</v>
      </c>
      <c r="IG7" s="8">
        <v>365</v>
      </c>
      <c r="IH7" s="8">
        <v>0</v>
      </c>
      <c r="II7" s="8">
        <v>0</v>
      </c>
      <c r="IJ7" s="8">
        <v>0</v>
      </c>
      <c r="IK7" s="8">
        <v>0</v>
      </c>
      <c r="IL7" s="8">
        <v>685</v>
      </c>
      <c r="IM7" s="8">
        <v>0</v>
      </c>
      <c r="IN7" s="8">
        <v>615</v>
      </c>
      <c r="IO7" s="8">
        <v>0</v>
      </c>
      <c r="IP7" s="8">
        <v>0</v>
      </c>
      <c r="IQ7" s="8">
        <v>0</v>
      </c>
      <c r="IR7" s="8">
        <v>715</v>
      </c>
      <c r="IS7" s="8">
        <v>0</v>
      </c>
      <c r="IT7" s="8">
        <v>845</v>
      </c>
      <c r="IU7" s="8">
        <v>0</v>
      </c>
      <c r="IV7" s="8">
        <v>0</v>
      </c>
      <c r="IW7" s="8">
        <v>465</v>
      </c>
      <c r="IX7" s="8">
        <v>540</v>
      </c>
      <c r="IY7" s="8">
        <v>0</v>
      </c>
      <c r="IZ7" s="8">
        <v>0</v>
      </c>
      <c r="JA7" s="8">
        <v>0</v>
      </c>
      <c r="JB7" s="8">
        <v>0</v>
      </c>
      <c r="JC7" s="8">
        <v>0</v>
      </c>
      <c r="JD7" s="8">
        <v>0</v>
      </c>
      <c r="JE7" s="8">
        <v>0</v>
      </c>
      <c r="JF7" s="8">
        <v>0</v>
      </c>
      <c r="JG7" s="8">
        <v>0</v>
      </c>
      <c r="JH7" s="8">
        <v>0</v>
      </c>
      <c r="JI7" s="8">
        <v>0</v>
      </c>
      <c r="JJ7" s="8">
        <v>240</v>
      </c>
      <c r="JK7" s="8">
        <v>130</v>
      </c>
      <c r="JL7" s="8">
        <v>705</v>
      </c>
      <c r="JM7" s="8">
        <v>435</v>
      </c>
      <c r="JN7" s="8">
        <v>530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690</v>
      </c>
      <c r="KA7" s="8">
        <v>0</v>
      </c>
      <c r="KB7" s="8">
        <v>555</v>
      </c>
      <c r="KC7" s="8">
        <v>0</v>
      </c>
      <c r="KD7" s="8">
        <v>155</v>
      </c>
      <c r="KE7" s="8">
        <v>0</v>
      </c>
      <c r="KF7" s="8">
        <v>445</v>
      </c>
      <c r="KG7" s="8">
        <v>440</v>
      </c>
      <c r="KH7" s="8">
        <v>500</v>
      </c>
      <c r="KI7" s="8">
        <v>885</v>
      </c>
      <c r="KJ7" s="8">
        <v>450</v>
      </c>
      <c r="KK7" s="8">
        <v>325</v>
      </c>
      <c r="KL7" s="8">
        <v>250</v>
      </c>
      <c r="KM7" s="8">
        <v>0</v>
      </c>
      <c r="KN7" s="8">
        <v>395</v>
      </c>
      <c r="KO7" s="8">
        <v>0</v>
      </c>
      <c r="KP7" s="8">
        <v>135</v>
      </c>
      <c r="KQ7" s="8">
        <v>695</v>
      </c>
      <c r="KR7" s="8">
        <v>0</v>
      </c>
      <c r="KS7" s="8">
        <v>550</v>
      </c>
      <c r="KT7" s="8">
        <v>525</v>
      </c>
      <c r="KU7" s="8">
        <v>0</v>
      </c>
      <c r="KV7" s="8">
        <v>0</v>
      </c>
      <c r="KW7" s="8">
        <v>0</v>
      </c>
      <c r="KX7" s="8">
        <v>0</v>
      </c>
      <c r="KY7" s="8">
        <v>0</v>
      </c>
      <c r="KZ7" s="8">
        <v>0</v>
      </c>
      <c r="LA7" s="8">
        <v>0</v>
      </c>
      <c r="LB7" s="8">
        <v>0</v>
      </c>
      <c r="LC7" s="8">
        <v>500</v>
      </c>
      <c r="LD7" s="8">
        <v>445</v>
      </c>
      <c r="LE7" s="8">
        <v>0</v>
      </c>
      <c r="LF7" s="8">
        <v>335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8">
        <v>265</v>
      </c>
      <c r="LS7" s="8">
        <v>0</v>
      </c>
      <c r="LT7" s="8">
        <v>0</v>
      </c>
      <c r="LU7" s="8">
        <v>375</v>
      </c>
      <c r="LV7" s="8">
        <v>0</v>
      </c>
      <c r="LW7" s="8">
        <v>0</v>
      </c>
      <c r="LX7" s="8">
        <v>675</v>
      </c>
      <c r="LY7" s="8">
        <v>0</v>
      </c>
      <c r="LZ7" s="8">
        <v>865</v>
      </c>
      <c r="MA7" s="8">
        <v>0</v>
      </c>
      <c r="MB7" s="8">
        <v>395</v>
      </c>
      <c r="MC7" s="8">
        <v>260</v>
      </c>
      <c r="MD7" s="8">
        <v>0</v>
      </c>
      <c r="ME7" s="8">
        <v>665</v>
      </c>
      <c r="MF7" s="8">
        <v>380</v>
      </c>
      <c r="MG7" s="8">
        <v>0</v>
      </c>
      <c r="MH7" s="8">
        <v>0</v>
      </c>
      <c r="MI7" s="8">
        <v>0</v>
      </c>
      <c r="MJ7" s="8">
        <v>0</v>
      </c>
      <c r="MK7" s="8">
        <v>0</v>
      </c>
      <c r="ML7" s="8">
        <v>625</v>
      </c>
      <c r="MM7" s="8">
        <v>200</v>
      </c>
      <c r="MN7" s="8">
        <v>0</v>
      </c>
      <c r="MO7" s="8">
        <v>310</v>
      </c>
      <c r="MP7" s="8">
        <v>0</v>
      </c>
      <c r="MQ7" s="8">
        <v>0</v>
      </c>
      <c r="MR7" s="8">
        <v>410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470</v>
      </c>
      <c r="NA7" s="8">
        <v>0</v>
      </c>
      <c r="NB7" s="8">
        <v>0</v>
      </c>
      <c r="NC7" s="8">
        <v>0</v>
      </c>
      <c r="ND7" s="8">
        <v>0</v>
      </c>
      <c r="NE7" s="8">
        <v>255</v>
      </c>
      <c r="NF7" s="8">
        <v>0</v>
      </c>
      <c r="NG7" s="8">
        <v>345</v>
      </c>
      <c r="NH7" s="8">
        <v>0</v>
      </c>
      <c r="NI7" s="8">
        <v>1025</v>
      </c>
      <c r="NJ7" s="8">
        <v>485</v>
      </c>
      <c r="NK7" s="8">
        <v>0</v>
      </c>
      <c r="NL7" s="8">
        <v>0</v>
      </c>
      <c r="NM7" s="8">
        <v>535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0</v>
      </c>
      <c r="NU7" s="8">
        <v>0</v>
      </c>
      <c r="NV7" s="8">
        <v>0</v>
      </c>
      <c r="NW7" s="8">
        <v>570</v>
      </c>
      <c r="NX7" s="8">
        <v>0</v>
      </c>
      <c r="NY7" s="8">
        <v>0</v>
      </c>
      <c r="NZ7" s="8">
        <v>0</v>
      </c>
      <c r="OA7" s="8">
        <v>465</v>
      </c>
      <c r="OB7" s="8">
        <v>0</v>
      </c>
      <c r="OC7" s="8">
        <v>0</v>
      </c>
      <c r="OD7" s="8">
        <v>0</v>
      </c>
      <c r="OE7" s="8">
        <v>0</v>
      </c>
      <c r="OF7" s="8">
        <v>0</v>
      </c>
      <c r="OG7" s="8">
        <v>805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270</v>
      </c>
      <c r="ON7" s="8">
        <v>950</v>
      </c>
      <c r="OO7" s="8">
        <v>0</v>
      </c>
      <c r="OP7" s="8">
        <v>0</v>
      </c>
      <c r="OQ7" s="8">
        <v>0</v>
      </c>
      <c r="OR7" s="8">
        <v>0</v>
      </c>
      <c r="OS7" s="8">
        <v>0</v>
      </c>
      <c r="OT7" s="8">
        <v>0</v>
      </c>
      <c r="OU7" s="8">
        <v>815</v>
      </c>
      <c r="OV7" s="8">
        <v>0</v>
      </c>
      <c r="OW7" s="8">
        <v>0</v>
      </c>
      <c r="OX7" s="8">
        <v>0</v>
      </c>
      <c r="OY7" s="8">
        <v>0</v>
      </c>
      <c r="OZ7" s="8">
        <v>185</v>
      </c>
      <c r="PA7" s="8">
        <v>885</v>
      </c>
      <c r="PB7" s="8">
        <v>310</v>
      </c>
      <c r="PC7" s="8">
        <v>455</v>
      </c>
      <c r="PD7" s="8">
        <v>520</v>
      </c>
      <c r="PE7" s="8">
        <v>0</v>
      </c>
      <c r="PF7" s="8">
        <v>515</v>
      </c>
      <c r="PG7" s="8">
        <v>345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135</v>
      </c>
      <c r="PN7" s="8">
        <v>0</v>
      </c>
      <c r="PO7" s="8">
        <v>245</v>
      </c>
      <c r="PP7" s="8">
        <v>0</v>
      </c>
      <c r="PQ7" s="8">
        <v>0</v>
      </c>
      <c r="PR7" s="8">
        <v>0</v>
      </c>
      <c r="PS7" s="8">
        <v>450</v>
      </c>
      <c r="PT7" s="8">
        <v>0</v>
      </c>
      <c r="PU7" s="8">
        <v>0</v>
      </c>
      <c r="PV7" s="8">
        <v>0</v>
      </c>
      <c r="PW7" s="8">
        <v>0</v>
      </c>
      <c r="PX7" s="8">
        <v>0</v>
      </c>
      <c r="PY7" s="8">
        <v>0</v>
      </c>
      <c r="PZ7" s="8">
        <v>0</v>
      </c>
      <c r="QA7" s="8">
        <v>0</v>
      </c>
      <c r="QB7" s="8">
        <v>0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0</v>
      </c>
      <c r="QO7" s="8">
        <v>0</v>
      </c>
      <c r="QP7" s="8">
        <v>0</v>
      </c>
      <c r="QQ7" s="8">
        <v>0</v>
      </c>
      <c r="QR7" s="8">
        <v>0</v>
      </c>
      <c r="QS7" s="8">
        <v>0</v>
      </c>
      <c r="QT7" s="8">
        <v>0</v>
      </c>
      <c r="QU7" s="8">
        <v>0</v>
      </c>
      <c r="QV7" s="8">
        <v>0</v>
      </c>
      <c r="QW7" s="8">
        <v>0</v>
      </c>
      <c r="QX7" s="8">
        <v>0</v>
      </c>
      <c r="QY7" s="8">
        <v>0</v>
      </c>
      <c r="QZ7" s="8">
        <v>0</v>
      </c>
      <c r="RA7" s="8">
        <v>0</v>
      </c>
      <c r="RB7" s="8">
        <v>0</v>
      </c>
      <c r="RC7" s="8">
        <v>0</v>
      </c>
      <c r="RD7" s="8">
        <v>0</v>
      </c>
      <c r="RE7" s="8">
        <v>0</v>
      </c>
      <c r="RF7" s="8">
        <v>0</v>
      </c>
      <c r="RG7" s="8">
        <v>0</v>
      </c>
      <c r="RH7" s="8">
        <v>0</v>
      </c>
      <c r="RI7" s="8">
        <v>0</v>
      </c>
      <c r="RJ7" s="8">
        <v>0</v>
      </c>
      <c r="RK7" s="8">
        <v>0</v>
      </c>
      <c r="RL7" s="8">
        <v>0</v>
      </c>
      <c r="RM7" s="8">
        <v>0</v>
      </c>
      <c r="RN7" s="8">
        <v>0</v>
      </c>
      <c r="RO7" s="8">
        <v>0</v>
      </c>
      <c r="RP7" s="8">
        <v>0</v>
      </c>
      <c r="RQ7" s="8">
        <v>0</v>
      </c>
      <c r="RR7" s="8">
        <v>0</v>
      </c>
      <c r="RS7" s="8">
        <v>0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0</v>
      </c>
      <c r="SP7" s="8">
        <v>0</v>
      </c>
      <c r="SQ7" s="8">
        <v>0</v>
      </c>
      <c r="SR7" s="8">
        <v>0</v>
      </c>
      <c r="SS7" s="8">
        <v>0</v>
      </c>
      <c r="ST7" s="8">
        <v>0</v>
      </c>
      <c r="SU7" s="8">
        <v>0</v>
      </c>
      <c r="SV7" s="8">
        <v>0</v>
      </c>
      <c r="SW7" s="8">
        <v>0</v>
      </c>
      <c r="SX7" s="8">
        <v>0</v>
      </c>
      <c r="SY7" s="8">
        <v>0</v>
      </c>
      <c r="SZ7" s="8">
        <v>0</v>
      </c>
      <c r="TA7" s="8">
        <v>0</v>
      </c>
      <c r="TB7" s="8">
        <v>0</v>
      </c>
      <c r="TC7" s="8">
        <v>0</v>
      </c>
      <c r="TD7" s="8">
        <v>0</v>
      </c>
      <c r="TE7" s="8">
        <v>0</v>
      </c>
      <c r="TF7" s="8">
        <v>0</v>
      </c>
      <c r="TG7" s="8">
        <v>0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0</v>
      </c>
      <c r="TO7" s="8">
        <v>0</v>
      </c>
      <c r="TP7" s="8">
        <v>0</v>
      </c>
      <c r="TQ7" s="8">
        <v>0</v>
      </c>
      <c r="TR7" s="8">
        <v>0</v>
      </c>
      <c r="TS7" s="8">
        <v>0</v>
      </c>
      <c r="TT7" s="8">
        <v>0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0</v>
      </c>
      <c r="UB7" s="8">
        <v>0</v>
      </c>
      <c r="UC7" s="8">
        <v>0</v>
      </c>
      <c r="UD7" s="8">
        <v>0</v>
      </c>
      <c r="UE7" s="8">
        <v>0</v>
      </c>
      <c r="UF7" s="8">
        <v>0</v>
      </c>
      <c r="UG7" s="8">
        <v>0</v>
      </c>
      <c r="UH7" s="8">
        <v>0</v>
      </c>
      <c r="UI7" s="8">
        <v>0</v>
      </c>
      <c r="UJ7" s="8">
        <v>0</v>
      </c>
      <c r="UK7" s="8">
        <v>0</v>
      </c>
      <c r="UL7" s="8">
        <v>0</v>
      </c>
      <c r="UM7" s="8">
        <v>0</v>
      </c>
      <c r="UN7" s="8">
        <v>0</v>
      </c>
      <c r="UO7" s="8">
        <v>0</v>
      </c>
      <c r="UP7" s="8">
        <v>0</v>
      </c>
      <c r="UQ7" s="8">
        <v>0</v>
      </c>
      <c r="UR7" s="8">
        <v>0</v>
      </c>
      <c r="US7" s="8">
        <v>0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0</v>
      </c>
      <c r="UZ7" s="8">
        <v>0</v>
      </c>
      <c r="VA7" s="8">
        <v>0</v>
      </c>
      <c r="VB7" s="8">
        <v>0</v>
      </c>
      <c r="VC7" s="8">
        <v>0</v>
      </c>
      <c r="VD7" s="8">
        <v>0</v>
      </c>
      <c r="VE7" s="8">
        <v>0</v>
      </c>
      <c r="VF7" s="8">
        <v>0</v>
      </c>
      <c r="VG7" s="8">
        <v>0</v>
      </c>
      <c r="VH7" s="8">
        <v>0</v>
      </c>
      <c r="VI7" s="8">
        <v>0</v>
      </c>
      <c r="VJ7" s="8">
        <v>0</v>
      </c>
      <c r="VK7" s="8">
        <v>0</v>
      </c>
      <c r="VL7" s="8">
        <v>0</v>
      </c>
      <c r="VM7" s="8">
        <v>0</v>
      </c>
      <c r="VN7" s="8">
        <v>0</v>
      </c>
      <c r="VO7" s="8">
        <v>0</v>
      </c>
      <c r="VP7" s="8">
        <v>0</v>
      </c>
      <c r="VQ7" s="8">
        <v>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0</v>
      </c>
      <c r="VY7" s="8">
        <v>0</v>
      </c>
      <c r="VZ7" s="8">
        <v>0</v>
      </c>
      <c r="WA7" s="8">
        <v>0</v>
      </c>
      <c r="WB7" s="8">
        <v>0</v>
      </c>
      <c r="WC7" s="8">
        <v>0</v>
      </c>
      <c r="WD7" s="8">
        <v>0</v>
      </c>
      <c r="WE7" s="8">
        <v>0</v>
      </c>
      <c r="WF7" s="8">
        <v>0</v>
      </c>
      <c r="WG7" s="8">
        <v>0</v>
      </c>
      <c r="WH7" s="8">
        <v>0</v>
      </c>
      <c r="WI7" s="8">
        <v>0</v>
      </c>
      <c r="WJ7" s="8">
        <v>0</v>
      </c>
      <c r="WK7" s="8">
        <v>0</v>
      </c>
      <c r="WL7" s="8">
        <v>0</v>
      </c>
      <c r="WM7" s="8">
        <v>0</v>
      </c>
      <c r="WN7" s="8">
        <v>0</v>
      </c>
      <c r="WO7" s="8">
        <v>0</v>
      </c>
      <c r="WP7" s="8">
        <v>0</v>
      </c>
      <c r="WQ7" s="8">
        <v>0</v>
      </c>
      <c r="WR7" s="8">
        <v>0</v>
      </c>
      <c r="WS7" s="8">
        <v>0</v>
      </c>
      <c r="WT7" s="8">
        <v>0</v>
      </c>
      <c r="WU7" s="8">
        <v>0</v>
      </c>
      <c r="WV7" s="8">
        <v>0</v>
      </c>
      <c r="WW7" s="8">
        <v>0</v>
      </c>
      <c r="WX7" s="8">
        <v>0</v>
      </c>
      <c r="WY7" s="8">
        <v>0</v>
      </c>
      <c r="WZ7" s="8">
        <v>0</v>
      </c>
      <c r="XA7" s="8">
        <v>0</v>
      </c>
      <c r="XB7" s="8">
        <v>0</v>
      </c>
      <c r="XC7" s="8">
        <v>0</v>
      </c>
      <c r="XD7" s="8">
        <v>0</v>
      </c>
      <c r="XE7" s="8">
        <v>0</v>
      </c>
      <c r="XF7" s="8">
        <v>0</v>
      </c>
      <c r="XG7" s="8">
        <v>0</v>
      </c>
      <c r="XH7" s="8">
        <v>0</v>
      </c>
      <c r="XI7" s="8">
        <v>0</v>
      </c>
      <c r="XJ7" s="8">
        <v>0</v>
      </c>
      <c r="XK7" s="8">
        <v>0</v>
      </c>
      <c r="XL7" s="8">
        <v>0</v>
      </c>
      <c r="XM7" s="8">
        <v>0</v>
      </c>
      <c r="XN7" s="8">
        <v>0</v>
      </c>
      <c r="XO7" s="8">
        <v>0</v>
      </c>
      <c r="XP7" s="8">
        <v>0</v>
      </c>
      <c r="XQ7" s="8">
        <v>0</v>
      </c>
      <c r="XR7" s="8">
        <v>0</v>
      </c>
      <c r="XS7" s="8">
        <v>0</v>
      </c>
      <c r="XT7" s="8">
        <v>0</v>
      </c>
      <c r="XU7" s="8">
        <v>0</v>
      </c>
      <c r="XV7" s="8">
        <v>0</v>
      </c>
      <c r="XW7" s="8">
        <v>0</v>
      </c>
      <c r="XX7" s="8">
        <v>0</v>
      </c>
      <c r="XY7" s="8">
        <v>0</v>
      </c>
      <c r="XZ7" s="8">
        <v>0</v>
      </c>
      <c r="YA7" s="8">
        <v>0</v>
      </c>
      <c r="YB7" s="8">
        <v>0</v>
      </c>
      <c r="YC7" s="8">
        <v>0</v>
      </c>
      <c r="YD7" s="8">
        <v>0</v>
      </c>
      <c r="YE7" s="8">
        <v>0</v>
      </c>
      <c r="YF7" s="8">
        <v>0</v>
      </c>
      <c r="YG7" s="8">
        <v>0</v>
      </c>
      <c r="YH7" s="8">
        <v>0</v>
      </c>
      <c r="YI7" s="8">
        <v>0</v>
      </c>
      <c r="YJ7" s="8">
        <v>0</v>
      </c>
      <c r="YK7" s="8">
        <v>0</v>
      </c>
      <c r="YL7" s="8">
        <v>0</v>
      </c>
      <c r="YM7" s="8">
        <v>0</v>
      </c>
      <c r="YN7" s="8">
        <v>0</v>
      </c>
      <c r="YO7" s="8">
        <v>0</v>
      </c>
      <c r="YP7" s="8">
        <v>0</v>
      </c>
      <c r="YQ7" s="8">
        <v>0</v>
      </c>
      <c r="YR7" s="8">
        <v>0</v>
      </c>
      <c r="YS7" s="8">
        <v>0</v>
      </c>
      <c r="YT7" s="8">
        <v>0</v>
      </c>
      <c r="YU7" s="8">
        <v>0</v>
      </c>
      <c r="YV7" s="8">
        <v>0</v>
      </c>
      <c r="YW7" s="8">
        <v>0</v>
      </c>
      <c r="YX7" s="8">
        <v>0</v>
      </c>
      <c r="YY7" s="8">
        <v>0</v>
      </c>
      <c r="YZ7" s="8">
        <v>0</v>
      </c>
      <c r="ZA7" s="8">
        <v>0</v>
      </c>
      <c r="ZB7" s="8">
        <v>0</v>
      </c>
      <c r="ZC7" s="8">
        <v>0</v>
      </c>
      <c r="ZD7" s="8">
        <v>0</v>
      </c>
      <c r="ZE7" s="8">
        <v>0</v>
      </c>
      <c r="ZF7" s="8">
        <v>0</v>
      </c>
      <c r="ZG7" s="8">
        <v>0</v>
      </c>
      <c r="ZH7" s="8">
        <v>0</v>
      </c>
      <c r="ZI7" s="8">
        <v>0</v>
      </c>
      <c r="ZJ7" s="8">
        <v>0</v>
      </c>
      <c r="ZK7" s="8">
        <v>0</v>
      </c>
      <c r="ZL7" s="8">
        <v>0</v>
      </c>
      <c r="ZM7" s="8">
        <v>0</v>
      </c>
      <c r="ZN7" s="8">
        <v>0</v>
      </c>
      <c r="ZO7" s="8">
        <v>0</v>
      </c>
      <c r="ZP7" s="8">
        <v>0</v>
      </c>
      <c r="ZQ7" s="8">
        <v>0</v>
      </c>
      <c r="ZR7" s="8">
        <v>0</v>
      </c>
      <c r="ZS7" s="8">
        <v>0</v>
      </c>
      <c r="ZT7" s="8">
        <v>0</v>
      </c>
      <c r="ZU7" s="8">
        <v>0</v>
      </c>
      <c r="ZV7" s="8">
        <v>0</v>
      </c>
      <c r="ZW7" s="8">
        <v>0</v>
      </c>
      <c r="ZX7" s="8">
        <v>0</v>
      </c>
      <c r="ZY7" s="8">
        <v>0</v>
      </c>
      <c r="ZZ7" s="8">
        <v>0</v>
      </c>
      <c r="AAA7" s="8">
        <v>0</v>
      </c>
      <c r="AAB7" s="8">
        <v>0</v>
      </c>
      <c r="AAC7" s="8">
        <v>0</v>
      </c>
      <c r="AAD7" s="8">
        <v>0</v>
      </c>
      <c r="AAE7" s="8">
        <v>0</v>
      </c>
      <c r="AAF7" s="8">
        <v>0</v>
      </c>
      <c r="AAG7" s="8">
        <v>0</v>
      </c>
      <c r="AAH7" s="8">
        <v>0</v>
      </c>
      <c r="AAI7" s="8">
        <v>0</v>
      </c>
      <c r="AAJ7" s="8">
        <v>0</v>
      </c>
      <c r="AAK7" s="8">
        <v>0</v>
      </c>
      <c r="AAL7" s="8">
        <v>0</v>
      </c>
      <c r="AAM7" s="8">
        <v>0</v>
      </c>
      <c r="AAN7" s="8">
        <v>0</v>
      </c>
      <c r="AAO7" s="8">
        <v>0</v>
      </c>
      <c r="AAP7" s="8">
        <v>0</v>
      </c>
      <c r="AAQ7" s="8">
        <v>0</v>
      </c>
      <c r="AAR7" s="8">
        <v>0</v>
      </c>
      <c r="AAS7" s="8">
        <v>0</v>
      </c>
      <c r="AAT7" s="8">
        <v>0</v>
      </c>
      <c r="AAU7" s="8">
        <v>0</v>
      </c>
      <c r="AAV7" s="8">
        <v>0</v>
      </c>
      <c r="AAW7" s="8">
        <v>0</v>
      </c>
      <c r="AAX7" s="8">
        <v>0</v>
      </c>
      <c r="AAY7" s="8">
        <v>0</v>
      </c>
      <c r="AAZ7" s="8">
        <v>0</v>
      </c>
      <c r="ABA7" s="8">
        <v>0</v>
      </c>
      <c r="ABB7" s="8">
        <v>0</v>
      </c>
      <c r="ABC7" s="8">
        <v>0</v>
      </c>
      <c r="ABD7" s="8">
        <v>0</v>
      </c>
      <c r="ABE7" s="8">
        <v>0</v>
      </c>
      <c r="ABF7" s="8">
        <v>0</v>
      </c>
      <c r="ABG7" s="8">
        <v>0</v>
      </c>
      <c r="ABH7" s="8">
        <v>0</v>
      </c>
      <c r="ABI7" s="8">
        <v>0</v>
      </c>
      <c r="ABJ7" s="8">
        <v>0</v>
      </c>
      <c r="ABK7" s="8">
        <v>0</v>
      </c>
      <c r="ABL7" s="8">
        <v>0</v>
      </c>
      <c r="ABM7" s="8">
        <v>0</v>
      </c>
      <c r="ABN7" s="8">
        <v>0</v>
      </c>
      <c r="ABO7" s="8">
        <v>0</v>
      </c>
      <c r="ABP7" s="8">
        <v>0</v>
      </c>
      <c r="ABQ7" s="8">
        <v>0</v>
      </c>
      <c r="ABR7" s="8">
        <v>0</v>
      </c>
      <c r="ABS7" s="8">
        <v>0</v>
      </c>
      <c r="ABT7" s="8">
        <v>0</v>
      </c>
      <c r="ABU7" s="8">
        <v>0</v>
      </c>
      <c r="ABV7" s="8">
        <v>0</v>
      </c>
      <c r="ABW7" s="8">
        <v>0</v>
      </c>
      <c r="ABX7" s="8">
        <v>0</v>
      </c>
      <c r="ABY7" s="8">
        <v>0</v>
      </c>
      <c r="ABZ7" s="8">
        <v>0</v>
      </c>
      <c r="ACA7" s="8">
        <v>0</v>
      </c>
      <c r="ACB7" s="8">
        <v>0</v>
      </c>
      <c r="ACC7" s="8">
        <v>0</v>
      </c>
      <c r="ACD7" s="8">
        <v>0</v>
      </c>
      <c r="ACE7" s="8">
        <v>0</v>
      </c>
      <c r="ACF7" s="8">
        <v>0</v>
      </c>
      <c r="ACG7" s="8">
        <v>0</v>
      </c>
      <c r="ACH7" s="8">
        <v>0</v>
      </c>
      <c r="ACI7" s="8">
        <v>0</v>
      </c>
      <c r="ACJ7" s="8">
        <v>0</v>
      </c>
      <c r="ACK7" s="8">
        <v>0</v>
      </c>
      <c r="ACL7" s="8">
        <v>0</v>
      </c>
      <c r="ACM7" s="8">
        <v>0</v>
      </c>
      <c r="ACN7" s="8">
        <v>0</v>
      </c>
      <c r="ACO7" s="8">
        <v>0</v>
      </c>
      <c r="ACP7" s="8">
        <v>0</v>
      </c>
      <c r="ACQ7" s="8">
        <v>0</v>
      </c>
      <c r="ACR7" s="8">
        <v>0</v>
      </c>
      <c r="ACS7" s="8">
        <v>0</v>
      </c>
      <c r="ACT7" s="8">
        <v>0</v>
      </c>
      <c r="ACU7" s="8">
        <v>0</v>
      </c>
      <c r="ACV7" s="8">
        <v>0</v>
      </c>
      <c r="ACW7" s="8">
        <v>0</v>
      </c>
      <c r="ACX7" s="8">
        <v>0</v>
      </c>
      <c r="ACY7" s="8">
        <v>0</v>
      </c>
      <c r="ACZ7" s="8">
        <v>0</v>
      </c>
      <c r="ADA7" s="8">
        <v>0</v>
      </c>
      <c r="ADB7" s="8">
        <v>0</v>
      </c>
      <c r="ADC7" s="8">
        <v>0</v>
      </c>
      <c r="ADD7" s="8">
        <v>0</v>
      </c>
      <c r="ADE7" s="8">
        <v>0</v>
      </c>
      <c r="ADF7" s="8">
        <v>0</v>
      </c>
      <c r="ADG7" s="8">
        <v>0</v>
      </c>
      <c r="ADH7" s="8">
        <v>0</v>
      </c>
      <c r="ADI7" s="8">
        <v>0</v>
      </c>
      <c r="ADJ7" s="8">
        <v>0</v>
      </c>
      <c r="ADK7" s="8">
        <v>0</v>
      </c>
      <c r="ADL7" s="8">
        <v>0</v>
      </c>
      <c r="ADM7" s="8">
        <v>0</v>
      </c>
      <c r="ADN7" s="8">
        <v>0</v>
      </c>
      <c r="ADO7" s="8">
        <v>0</v>
      </c>
      <c r="ADP7" s="8">
        <v>0</v>
      </c>
      <c r="ADQ7" s="8">
        <v>0</v>
      </c>
      <c r="ADR7" s="8">
        <v>0</v>
      </c>
      <c r="ADS7" s="8">
        <v>0</v>
      </c>
      <c r="ADT7" s="8">
        <v>0</v>
      </c>
      <c r="ADU7" s="8">
        <v>0</v>
      </c>
      <c r="ADV7" s="8">
        <v>0</v>
      </c>
      <c r="ADW7" s="8">
        <v>0</v>
      </c>
      <c r="ADX7" s="8">
        <v>0</v>
      </c>
      <c r="ADY7" s="8">
        <v>0</v>
      </c>
      <c r="ADZ7" s="8">
        <v>0</v>
      </c>
      <c r="AEA7" s="8">
        <v>0</v>
      </c>
      <c r="AEB7" s="8">
        <v>0</v>
      </c>
      <c r="AEC7" s="8">
        <v>0</v>
      </c>
      <c r="AED7" s="8">
        <v>0</v>
      </c>
      <c r="AEE7" s="8">
        <v>0</v>
      </c>
      <c r="AEF7" s="8">
        <v>0</v>
      </c>
      <c r="AEG7" s="8">
        <v>0</v>
      </c>
      <c r="AEH7" s="8">
        <v>0</v>
      </c>
      <c r="AEI7" s="8">
        <v>0</v>
      </c>
      <c r="AEJ7" s="8">
        <v>0</v>
      </c>
      <c r="AEK7" s="8">
        <v>0</v>
      </c>
      <c r="AEL7" s="8">
        <v>0</v>
      </c>
      <c r="AEM7" s="8">
        <v>0</v>
      </c>
      <c r="AEN7" s="8">
        <v>0</v>
      </c>
      <c r="AEO7" s="8">
        <v>0</v>
      </c>
      <c r="AEP7" s="8">
        <v>0</v>
      </c>
      <c r="AEQ7" s="8">
        <v>0</v>
      </c>
      <c r="AER7" s="8">
        <v>0</v>
      </c>
      <c r="AES7" s="8">
        <v>0</v>
      </c>
      <c r="AET7" s="8">
        <v>0</v>
      </c>
      <c r="AEU7" s="8">
        <v>0</v>
      </c>
      <c r="AEV7" s="8">
        <v>0</v>
      </c>
      <c r="AEW7" s="8">
        <v>0</v>
      </c>
      <c r="AEX7" s="8">
        <v>0</v>
      </c>
      <c r="AEY7" s="8">
        <v>0</v>
      </c>
      <c r="AEZ7" s="8">
        <v>0</v>
      </c>
      <c r="AFA7" s="8">
        <v>0</v>
      </c>
      <c r="AFB7" s="8">
        <v>0</v>
      </c>
      <c r="AFC7" s="8">
        <v>0</v>
      </c>
      <c r="AFD7" s="8">
        <v>0</v>
      </c>
      <c r="AFE7" s="8">
        <v>0</v>
      </c>
      <c r="AFF7" s="8">
        <v>0</v>
      </c>
      <c r="AFG7" s="8">
        <v>0</v>
      </c>
      <c r="AFH7" s="8">
        <v>0</v>
      </c>
      <c r="AFI7" s="8">
        <v>0</v>
      </c>
      <c r="AFJ7" s="8">
        <v>0</v>
      </c>
      <c r="AFK7" s="8">
        <v>0</v>
      </c>
      <c r="AFL7" s="8">
        <v>0</v>
      </c>
      <c r="AFM7" s="8">
        <v>0</v>
      </c>
      <c r="AFN7" s="8">
        <v>0</v>
      </c>
      <c r="AFO7" s="8">
        <v>0</v>
      </c>
      <c r="AFP7" s="8">
        <v>0</v>
      </c>
      <c r="AFQ7" s="8">
        <v>0</v>
      </c>
      <c r="AFR7" s="8">
        <v>0</v>
      </c>
      <c r="AFS7" s="8">
        <v>0</v>
      </c>
      <c r="AFT7" s="8">
        <v>0</v>
      </c>
      <c r="AFU7" s="8">
        <v>0</v>
      </c>
      <c r="AFV7" s="8">
        <v>0</v>
      </c>
      <c r="AFW7" s="8">
        <v>0</v>
      </c>
      <c r="AFX7" s="8">
        <v>0</v>
      </c>
      <c r="AFY7" s="8">
        <v>0</v>
      </c>
      <c r="AFZ7" s="8">
        <v>0</v>
      </c>
      <c r="AGA7" s="8">
        <v>0</v>
      </c>
      <c r="AGB7" s="8">
        <v>0</v>
      </c>
      <c r="AGC7" s="8">
        <v>0</v>
      </c>
      <c r="AGD7" s="8">
        <v>0</v>
      </c>
      <c r="AGE7" s="8">
        <v>0</v>
      </c>
      <c r="AGF7" s="8">
        <v>0</v>
      </c>
      <c r="AGG7" s="8">
        <v>0</v>
      </c>
      <c r="AGH7" s="8">
        <v>0</v>
      </c>
      <c r="AGI7" s="8">
        <v>0</v>
      </c>
      <c r="AGJ7" s="8">
        <v>0</v>
      </c>
      <c r="AGK7" s="8">
        <v>0</v>
      </c>
      <c r="AGL7" s="8">
        <v>0</v>
      </c>
      <c r="AGM7" s="8">
        <v>0</v>
      </c>
      <c r="AGN7" s="8">
        <v>0</v>
      </c>
      <c r="AGO7" s="8">
        <v>0</v>
      </c>
      <c r="AGP7" s="8">
        <v>0</v>
      </c>
      <c r="AGQ7" s="8">
        <v>0</v>
      </c>
      <c r="AGR7" s="8">
        <v>0</v>
      </c>
      <c r="AGS7" s="8">
        <v>0</v>
      </c>
      <c r="AGT7" s="8">
        <v>0</v>
      </c>
      <c r="AGU7" s="8">
        <v>0</v>
      </c>
      <c r="AGV7" s="8">
        <v>0</v>
      </c>
      <c r="AGW7" s="8">
        <v>0</v>
      </c>
      <c r="AGX7" s="8">
        <v>0</v>
      </c>
      <c r="AGY7" s="8">
        <v>0</v>
      </c>
      <c r="AGZ7" s="8">
        <v>0</v>
      </c>
      <c r="AHA7" s="8">
        <v>0</v>
      </c>
      <c r="AHB7" s="8">
        <v>0</v>
      </c>
      <c r="AHC7" s="8">
        <v>0</v>
      </c>
      <c r="AHD7" s="8">
        <v>0</v>
      </c>
      <c r="AHE7" s="8">
        <v>0</v>
      </c>
      <c r="AHF7" s="8">
        <v>0</v>
      </c>
      <c r="AHG7" s="8">
        <v>0</v>
      </c>
      <c r="AHH7" s="8">
        <v>0</v>
      </c>
      <c r="AHI7" s="8">
        <v>0</v>
      </c>
      <c r="AHJ7" s="8">
        <v>0</v>
      </c>
      <c r="AHK7" s="8">
        <v>0</v>
      </c>
      <c r="AHL7" s="8">
        <v>0</v>
      </c>
      <c r="AHM7" s="8">
        <v>0</v>
      </c>
      <c r="AHN7" s="8">
        <v>0</v>
      </c>
      <c r="AHO7" s="8">
        <v>0</v>
      </c>
      <c r="AHP7" s="8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 t="e">
        <v>#N/A</v>
      </c>
      <c r="AIJ7" t="e">
        <v>#N/A</v>
      </c>
      <c r="AIK7" t="e">
        <v>#N/A</v>
      </c>
      <c r="AIL7" t="e">
        <v>#N/A</v>
      </c>
      <c r="AIM7" t="e">
        <v>#N/A</v>
      </c>
      <c r="AIN7" t="e">
        <v>#N/A</v>
      </c>
      <c r="AIO7" t="e">
        <v>#N/A</v>
      </c>
      <c r="AIP7" t="e">
        <v>#N/A</v>
      </c>
      <c r="AIQ7" t="e">
        <v>#N/A</v>
      </c>
      <c r="AIR7" t="e">
        <v>#N/A</v>
      </c>
      <c r="AIS7" t="e">
        <v>#N/A</v>
      </c>
      <c r="AIT7" t="e">
        <v>#N/A</v>
      </c>
      <c r="AIU7" t="e">
        <v>#N/A</v>
      </c>
      <c r="AIV7" t="e">
        <v>#N/A</v>
      </c>
      <c r="AIW7" t="e">
        <v>#N/A</v>
      </c>
      <c r="AIX7" t="e">
        <v>#N/A</v>
      </c>
      <c r="AIY7" t="e">
        <v>#N/A</v>
      </c>
      <c r="AIZ7" t="e">
        <v>#N/A</v>
      </c>
      <c r="AJA7" t="e">
        <v>#N/A</v>
      </c>
      <c r="AJB7" t="e">
        <v>#N/A</v>
      </c>
      <c r="AJC7" t="e">
        <v>#N/A</v>
      </c>
      <c r="AJD7" t="e">
        <v>#N/A</v>
      </c>
      <c r="AJE7" t="e">
        <v>#N/A</v>
      </c>
      <c r="AJF7" t="e">
        <v>#N/A</v>
      </c>
      <c r="AJG7" t="e">
        <v>#N/A</v>
      </c>
      <c r="AJH7" t="e">
        <v>#N/A</v>
      </c>
      <c r="AJI7" t="e">
        <v>#N/A</v>
      </c>
      <c r="AJJ7" t="e">
        <v>#N/A</v>
      </c>
      <c r="AJK7" t="e">
        <v>#N/A</v>
      </c>
      <c r="AJL7" t="e">
        <v>#N/A</v>
      </c>
      <c r="AJM7" t="e">
        <v>#N/A</v>
      </c>
      <c r="AJN7" t="e">
        <v>#N/A</v>
      </c>
      <c r="AJO7" t="e">
        <v>#N/A</v>
      </c>
      <c r="AJP7" t="e">
        <v>#N/A</v>
      </c>
      <c r="AJQ7" t="e">
        <v>#N/A</v>
      </c>
      <c r="AJR7" t="e">
        <v>#N/A</v>
      </c>
      <c r="AJS7" t="e">
        <v>#N/A</v>
      </c>
      <c r="AJT7" t="e">
        <v>#N/A</v>
      </c>
      <c r="AJU7" t="e">
        <v>#N/A</v>
      </c>
      <c r="AJV7" t="e">
        <v>#N/A</v>
      </c>
      <c r="AJW7" t="e">
        <v>#N/A</v>
      </c>
      <c r="AJX7" t="e">
        <v>#N/A</v>
      </c>
      <c r="AJY7" t="e">
        <v>#N/A</v>
      </c>
      <c r="AJZ7" t="e">
        <v>#N/A</v>
      </c>
      <c r="AKA7" t="e">
        <v>#N/A</v>
      </c>
      <c r="AKB7" t="e">
        <v>#N/A</v>
      </c>
      <c r="AKC7" t="e">
        <v>#N/A</v>
      </c>
      <c r="AKD7" t="e">
        <v>#N/A</v>
      </c>
      <c r="AKE7" t="e">
        <v>#N/A</v>
      </c>
      <c r="AKF7" t="e">
        <v>#N/A</v>
      </c>
      <c r="AKG7" t="e">
        <v>#N/A</v>
      </c>
      <c r="AKH7" t="e">
        <v>#N/A</v>
      </c>
      <c r="AKI7" t="e">
        <v>#N/A</v>
      </c>
      <c r="AKJ7" t="e">
        <v>#N/A</v>
      </c>
      <c r="AKK7" t="e">
        <v>#N/A</v>
      </c>
      <c r="AKL7" t="e">
        <v>#N/A</v>
      </c>
      <c r="AKM7" t="e">
        <v>#N/A</v>
      </c>
      <c r="AKN7" t="e">
        <v>#N/A</v>
      </c>
      <c r="AKO7" t="e">
        <v>#N/A</v>
      </c>
      <c r="AKP7" t="e">
        <v>#N/A</v>
      </c>
      <c r="AKQ7" t="e">
        <v>#N/A</v>
      </c>
      <c r="AKR7" t="e">
        <v>#N/A</v>
      </c>
      <c r="AKS7" t="e">
        <v>#N/A</v>
      </c>
      <c r="AKT7" t="e">
        <v>#N/A</v>
      </c>
      <c r="AKU7" t="e">
        <v>#N/A</v>
      </c>
      <c r="AKV7" t="e">
        <v>#N/A</v>
      </c>
      <c r="AKW7" t="e">
        <v>#N/A</v>
      </c>
      <c r="AKX7" t="e">
        <v>#N/A</v>
      </c>
      <c r="AKY7" t="e">
        <v>#N/A</v>
      </c>
      <c r="AKZ7" t="e">
        <v>#N/A</v>
      </c>
      <c r="ALA7" t="e">
        <v>#N/A</v>
      </c>
      <c r="ALB7" t="e">
        <v>#N/A</v>
      </c>
      <c r="ALC7" t="e">
        <v>#N/A</v>
      </c>
      <c r="ALD7" t="e">
        <v>#N/A</v>
      </c>
      <c r="ALE7" t="e">
        <v>#N/A</v>
      </c>
      <c r="ALF7" t="e">
        <v>#N/A</v>
      </c>
      <c r="ALG7" t="e">
        <v>#N/A</v>
      </c>
      <c r="ALH7" t="e">
        <v>#N/A</v>
      </c>
      <c r="ALI7" t="e">
        <v>#N/A</v>
      </c>
      <c r="ALJ7" t="e">
        <v>#N/A</v>
      </c>
      <c r="ALK7" t="e">
        <v>#N/A</v>
      </c>
      <c r="ALL7" t="e">
        <v>#N/A</v>
      </c>
      <c r="ALM7" t="e">
        <v>#N/A</v>
      </c>
      <c r="ALN7" t="e">
        <v>#N/A</v>
      </c>
      <c r="ALO7" t="e">
        <v>#N/A</v>
      </c>
      <c r="ALP7" t="e">
        <v>#N/A</v>
      </c>
      <c r="ALQ7" t="e">
        <v>#N/A</v>
      </c>
      <c r="ALR7" t="e">
        <v>#N/A</v>
      </c>
      <c r="ALS7" t="e">
        <v>#N/A</v>
      </c>
      <c r="ALT7" t="e">
        <v>#N/A</v>
      </c>
      <c r="ALU7" t="e">
        <v>#N/A</v>
      </c>
      <c r="ALV7" t="e">
        <v>#N/A</v>
      </c>
      <c r="ALW7" t="e">
        <v>#N/A</v>
      </c>
      <c r="ALX7" t="e">
        <v>#N/A</v>
      </c>
      <c r="ALY7" t="e">
        <v>#N/A</v>
      </c>
      <c r="ALZ7" t="e">
        <v>#N/A</v>
      </c>
      <c r="AMA7" t="e">
        <v>#N/A</v>
      </c>
      <c r="AMB7" t="e">
        <v>#N/A</v>
      </c>
      <c r="AMC7" t="e">
        <v>#N/A</v>
      </c>
      <c r="AMD7" t="e">
        <v>#N/A</v>
      </c>
      <c r="AME7" t="e">
        <v>#N/A</v>
      </c>
      <c r="AMF7" t="e">
        <v>#N/A</v>
      </c>
      <c r="AMG7" t="e">
        <v>#N/A</v>
      </c>
      <c r="AMH7" t="e">
        <v>#N/A</v>
      </c>
    </row>
    <row r="8" spans="1:1022" ht="15.75" customHeight="1">
      <c r="A8" s="8" t="str">
        <v>Owen</v>
      </c>
      <c r="B8" s="8">
        <v>0</v>
      </c>
      <c r="C8" s="8">
        <v>300</v>
      </c>
      <c r="D8" s="8">
        <v>0</v>
      </c>
      <c r="E8" s="8">
        <v>0</v>
      </c>
      <c r="F8" s="8">
        <v>0</v>
      </c>
      <c r="G8" s="8">
        <v>0</v>
      </c>
      <c r="H8" s="8">
        <v>305</v>
      </c>
      <c r="I8" s="8">
        <v>0</v>
      </c>
      <c r="J8" s="8">
        <v>0</v>
      </c>
      <c r="K8" s="8">
        <v>465</v>
      </c>
      <c r="L8" s="8">
        <v>0</v>
      </c>
      <c r="M8" s="8">
        <v>0</v>
      </c>
      <c r="N8" s="8">
        <v>0</v>
      </c>
      <c r="O8" s="8">
        <v>95</v>
      </c>
      <c r="P8" s="8">
        <v>0</v>
      </c>
      <c r="Q8" s="8">
        <v>0</v>
      </c>
      <c r="R8" s="8">
        <v>0</v>
      </c>
      <c r="S8" s="8">
        <v>565</v>
      </c>
      <c r="T8" s="8">
        <v>775</v>
      </c>
      <c r="U8" s="8">
        <v>240</v>
      </c>
      <c r="V8" s="8">
        <v>0</v>
      </c>
      <c r="W8" s="8">
        <v>655</v>
      </c>
      <c r="X8" s="8">
        <v>0</v>
      </c>
      <c r="Y8" s="8">
        <v>0</v>
      </c>
      <c r="Z8" s="8">
        <v>0</v>
      </c>
      <c r="AA8" s="8">
        <v>0</v>
      </c>
      <c r="AB8" s="8">
        <v>905</v>
      </c>
      <c r="AC8" s="8">
        <v>0</v>
      </c>
      <c r="AD8" s="8">
        <v>0</v>
      </c>
      <c r="AE8" s="8">
        <v>110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725</v>
      </c>
      <c r="AP8" s="8">
        <v>0</v>
      </c>
      <c r="AQ8" s="8">
        <v>450</v>
      </c>
      <c r="AR8" s="8">
        <v>0</v>
      </c>
      <c r="AS8" s="8">
        <v>125</v>
      </c>
      <c r="AT8" s="8">
        <v>0</v>
      </c>
      <c r="AU8" s="8">
        <v>0</v>
      </c>
      <c r="AV8" s="8">
        <v>0</v>
      </c>
      <c r="AW8" s="8">
        <v>0</v>
      </c>
      <c r="AX8" s="8">
        <v>640</v>
      </c>
      <c r="AY8" s="8">
        <v>210</v>
      </c>
      <c r="AZ8" s="8">
        <v>360</v>
      </c>
      <c r="BA8" s="8">
        <v>0</v>
      </c>
      <c r="BB8" s="8">
        <v>0</v>
      </c>
      <c r="BC8" s="8">
        <v>415</v>
      </c>
      <c r="BD8" s="8">
        <v>0</v>
      </c>
      <c r="BE8" s="8">
        <v>735</v>
      </c>
      <c r="BF8" s="8">
        <v>255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840</v>
      </c>
      <c r="BP8" s="8">
        <v>0</v>
      </c>
      <c r="BQ8" s="8">
        <v>180</v>
      </c>
      <c r="BR8" s="8">
        <v>415</v>
      </c>
      <c r="BS8" s="8">
        <v>300</v>
      </c>
      <c r="BT8" s="8">
        <v>350</v>
      </c>
      <c r="BU8" s="8">
        <v>0</v>
      </c>
      <c r="BV8" s="8">
        <v>520</v>
      </c>
      <c r="BW8" s="8">
        <v>390</v>
      </c>
      <c r="BX8" s="8">
        <v>185</v>
      </c>
      <c r="BY8" s="8">
        <v>0</v>
      </c>
      <c r="BZ8" s="8">
        <v>460</v>
      </c>
      <c r="CA8" s="8">
        <v>0</v>
      </c>
      <c r="CB8" s="8">
        <v>0</v>
      </c>
      <c r="CC8" s="8">
        <v>0</v>
      </c>
      <c r="CD8" s="8">
        <v>705</v>
      </c>
      <c r="CE8" s="8">
        <v>0</v>
      </c>
      <c r="CF8" s="8">
        <v>0</v>
      </c>
      <c r="CG8" s="8">
        <v>0</v>
      </c>
      <c r="CH8" s="8">
        <v>450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15</v>
      </c>
      <c r="CO8" s="8">
        <v>285</v>
      </c>
      <c r="CP8" s="8">
        <v>0</v>
      </c>
      <c r="CQ8" s="8">
        <v>555</v>
      </c>
      <c r="CR8" s="8">
        <v>0</v>
      </c>
      <c r="CS8" s="8">
        <v>0</v>
      </c>
      <c r="CT8" s="8">
        <v>580</v>
      </c>
      <c r="CU8" s="8">
        <v>650</v>
      </c>
      <c r="CV8" s="8">
        <v>0</v>
      </c>
      <c r="CW8" s="8">
        <v>845</v>
      </c>
      <c r="CX8" s="8">
        <v>0</v>
      </c>
      <c r="CY8" s="8">
        <v>515</v>
      </c>
      <c r="CZ8" s="8">
        <v>485</v>
      </c>
      <c r="DA8" s="8">
        <v>300</v>
      </c>
      <c r="DB8" s="8">
        <v>310</v>
      </c>
      <c r="DC8" s="8">
        <v>0</v>
      </c>
      <c r="DD8" s="8">
        <v>0</v>
      </c>
      <c r="DE8" s="8">
        <v>665</v>
      </c>
      <c r="DF8" s="8">
        <v>0</v>
      </c>
      <c r="DG8" s="8">
        <v>0</v>
      </c>
      <c r="DH8" s="8">
        <v>550</v>
      </c>
      <c r="DI8" s="8">
        <v>315</v>
      </c>
      <c r="DJ8" s="8">
        <v>0</v>
      </c>
      <c r="DK8" s="8">
        <v>0</v>
      </c>
      <c r="DL8" s="8">
        <v>0</v>
      </c>
      <c r="DM8" s="8">
        <v>360</v>
      </c>
      <c r="DN8" s="8">
        <v>260</v>
      </c>
      <c r="DO8" s="8">
        <v>0</v>
      </c>
      <c r="DP8" s="8">
        <v>335</v>
      </c>
      <c r="DQ8" s="8">
        <v>0</v>
      </c>
      <c r="DR8" s="8">
        <v>0</v>
      </c>
      <c r="DS8" s="8">
        <v>705</v>
      </c>
      <c r="DT8" s="8">
        <v>225</v>
      </c>
      <c r="DU8" s="8">
        <v>0</v>
      </c>
      <c r="DV8" s="8">
        <v>365</v>
      </c>
      <c r="DW8" s="8">
        <v>0</v>
      </c>
      <c r="DX8" s="8">
        <v>0</v>
      </c>
      <c r="DY8" s="8">
        <v>0</v>
      </c>
      <c r="DZ8" s="8">
        <v>665</v>
      </c>
      <c r="EA8" s="8">
        <v>425</v>
      </c>
      <c r="EB8" s="8">
        <v>695</v>
      </c>
      <c r="EC8" s="8">
        <v>0</v>
      </c>
      <c r="ED8" s="8">
        <v>0</v>
      </c>
      <c r="EE8" s="8">
        <v>595</v>
      </c>
      <c r="EF8" s="8">
        <v>0</v>
      </c>
      <c r="EG8" s="8">
        <v>0</v>
      </c>
      <c r="EH8" s="8">
        <v>0</v>
      </c>
      <c r="EI8" s="8">
        <v>185</v>
      </c>
      <c r="EJ8" s="8">
        <v>0</v>
      </c>
      <c r="EK8" s="8">
        <v>0</v>
      </c>
      <c r="EL8" s="8">
        <v>0</v>
      </c>
      <c r="EM8" s="8">
        <v>615</v>
      </c>
      <c r="EN8" s="8">
        <v>310</v>
      </c>
      <c r="EO8" s="8">
        <v>0</v>
      </c>
      <c r="EP8" s="8">
        <v>0</v>
      </c>
      <c r="EQ8" s="8">
        <v>375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585</v>
      </c>
      <c r="FE8" s="8">
        <v>765</v>
      </c>
      <c r="FF8" s="8">
        <v>0</v>
      </c>
      <c r="FG8" s="8">
        <v>120</v>
      </c>
      <c r="FH8" s="8">
        <v>0</v>
      </c>
      <c r="FI8" s="8">
        <v>0</v>
      </c>
      <c r="FJ8" s="8">
        <v>0</v>
      </c>
      <c r="FK8" s="8">
        <v>140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330</v>
      </c>
      <c r="FY8" s="8">
        <v>140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190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420</v>
      </c>
      <c r="GZ8" s="8">
        <v>0</v>
      </c>
      <c r="HA8" s="8">
        <v>0</v>
      </c>
      <c r="HB8" s="8">
        <v>270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370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335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1310</v>
      </c>
      <c r="IW8" s="8">
        <v>0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1140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</v>
      </c>
      <c r="LT8" s="8">
        <v>75</v>
      </c>
      <c r="LU8" s="8">
        <v>0</v>
      </c>
      <c r="LV8" s="8">
        <v>0</v>
      </c>
      <c r="LW8" s="8">
        <v>0</v>
      </c>
      <c r="LX8" s="8">
        <v>0</v>
      </c>
      <c r="LY8" s="8">
        <v>225</v>
      </c>
      <c r="LZ8" s="8">
        <v>0</v>
      </c>
      <c r="MA8" s="8">
        <v>0</v>
      </c>
      <c r="MB8" s="8">
        <v>0</v>
      </c>
      <c r="MC8" s="8">
        <v>0</v>
      </c>
      <c r="MD8" s="8">
        <v>545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0</v>
      </c>
      <c r="NI8" s="8">
        <v>0</v>
      </c>
      <c r="NJ8" s="8">
        <v>0</v>
      </c>
      <c r="NK8" s="8">
        <v>690</v>
      </c>
      <c r="NL8" s="8">
        <v>0</v>
      </c>
      <c r="NM8" s="8">
        <v>0</v>
      </c>
      <c r="NN8" s="8">
        <v>0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220</v>
      </c>
      <c r="OI8" s="8">
        <v>0</v>
      </c>
      <c r="OJ8" s="8">
        <v>240</v>
      </c>
      <c r="OK8" s="8">
        <v>0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260</v>
      </c>
      <c r="OT8" s="8">
        <v>285</v>
      </c>
      <c r="OU8" s="8">
        <v>0</v>
      </c>
      <c r="OV8" s="8">
        <v>0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0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0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0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0</v>
      </c>
      <c r="SW8" s="8">
        <v>0</v>
      </c>
      <c r="SX8" s="8">
        <v>0</v>
      </c>
      <c r="SY8" s="8">
        <v>0</v>
      </c>
      <c r="SZ8" s="8">
        <v>0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0</v>
      </c>
      <c r="TG8" s="8">
        <v>0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0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0</v>
      </c>
      <c r="TT8" s="8">
        <v>0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0</v>
      </c>
      <c r="UC8" s="8">
        <v>0</v>
      </c>
      <c r="UD8" s="8">
        <v>0</v>
      </c>
      <c r="UE8" s="8">
        <v>0</v>
      </c>
      <c r="UF8" s="8">
        <v>0</v>
      </c>
      <c r="UG8" s="8">
        <v>0</v>
      </c>
      <c r="UH8" s="8">
        <v>0</v>
      </c>
      <c r="UI8" s="8">
        <v>0</v>
      </c>
      <c r="UJ8" s="8">
        <v>0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0</v>
      </c>
      <c r="UQ8" s="8">
        <v>0</v>
      </c>
      <c r="UR8" s="8">
        <v>0</v>
      </c>
      <c r="US8" s="8">
        <v>0</v>
      </c>
      <c r="UT8" s="8">
        <v>0</v>
      </c>
      <c r="UU8" s="8">
        <v>0</v>
      </c>
      <c r="UV8" s="8">
        <v>0</v>
      </c>
      <c r="UW8" s="8">
        <v>0</v>
      </c>
      <c r="UX8" s="8">
        <v>0</v>
      </c>
      <c r="UY8" s="8">
        <v>0</v>
      </c>
      <c r="UZ8" s="8">
        <v>0</v>
      </c>
      <c r="VA8" s="8">
        <v>0</v>
      </c>
      <c r="VB8" s="8">
        <v>0</v>
      </c>
      <c r="VC8" s="8">
        <v>0</v>
      </c>
      <c r="VD8" s="8">
        <v>0</v>
      </c>
      <c r="VE8" s="8">
        <v>0</v>
      </c>
      <c r="VF8" s="8">
        <v>0</v>
      </c>
      <c r="VG8" s="8">
        <v>0</v>
      </c>
      <c r="VH8" s="8">
        <v>0</v>
      </c>
      <c r="VI8" s="8">
        <v>0</v>
      </c>
      <c r="VJ8" s="8">
        <v>0</v>
      </c>
      <c r="VK8" s="8">
        <v>0</v>
      </c>
      <c r="VL8" s="8">
        <v>0</v>
      </c>
      <c r="VM8" s="8">
        <v>0</v>
      </c>
      <c r="VN8" s="8">
        <v>0</v>
      </c>
      <c r="VO8" s="8">
        <v>0</v>
      </c>
      <c r="VP8" s="8">
        <v>0</v>
      </c>
      <c r="VQ8" s="8">
        <v>0</v>
      </c>
      <c r="VR8" s="8">
        <v>0</v>
      </c>
      <c r="VS8" s="8">
        <v>0</v>
      </c>
      <c r="VT8" s="8">
        <v>0</v>
      </c>
      <c r="VU8" s="8">
        <v>0</v>
      </c>
      <c r="VV8" s="8">
        <v>0</v>
      </c>
      <c r="VW8" s="8">
        <v>0</v>
      </c>
      <c r="VX8" s="8">
        <v>0</v>
      </c>
      <c r="VY8" s="8">
        <v>0</v>
      </c>
      <c r="VZ8" s="8">
        <v>0</v>
      </c>
      <c r="WA8" s="8">
        <v>0</v>
      </c>
      <c r="WB8" s="8">
        <v>0</v>
      </c>
      <c r="WC8" s="8">
        <v>0</v>
      </c>
      <c r="WD8" s="8">
        <v>0</v>
      </c>
      <c r="WE8" s="8">
        <v>0</v>
      </c>
      <c r="WF8" s="8">
        <v>0</v>
      </c>
      <c r="WG8" s="8">
        <v>0</v>
      </c>
      <c r="WH8" s="8">
        <v>0</v>
      </c>
      <c r="WI8" s="8">
        <v>0</v>
      </c>
      <c r="WJ8" s="8">
        <v>0</v>
      </c>
      <c r="WK8" s="8">
        <v>0</v>
      </c>
      <c r="WL8" s="8">
        <v>0</v>
      </c>
      <c r="WM8" s="8">
        <v>0</v>
      </c>
      <c r="WN8" s="8">
        <v>0</v>
      </c>
      <c r="WO8" s="8">
        <v>0</v>
      </c>
      <c r="WP8" s="8">
        <v>0</v>
      </c>
      <c r="WQ8" s="8">
        <v>0</v>
      </c>
      <c r="WR8" s="8">
        <v>0</v>
      </c>
      <c r="WS8" s="8">
        <v>0</v>
      </c>
      <c r="WT8" s="8">
        <v>0</v>
      </c>
      <c r="WU8" s="8">
        <v>0</v>
      </c>
      <c r="WV8" s="8">
        <v>0</v>
      </c>
      <c r="WW8" s="8">
        <v>0</v>
      </c>
      <c r="WX8" s="8">
        <v>0</v>
      </c>
      <c r="WY8" s="8">
        <v>0</v>
      </c>
      <c r="WZ8" s="8">
        <v>0</v>
      </c>
      <c r="XA8" s="8">
        <v>0</v>
      </c>
      <c r="XB8" s="8">
        <v>0</v>
      </c>
      <c r="XC8" s="8">
        <v>0</v>
      </c>
      <c r="XD8" s="8">
        <v>0</v>
      </c>
      <c r="XE8" s="8">
        <v>0</v>
      </c>
      <c r="XF8" s="8">
        <v>0</v>
      </c>
      <c r="XG8" s="8">
        <v>0</v>
      </c>
      <c r="XH8" s="8">
        <v>0</v>
      </c>
      <c r="XI8" s="8">
        <v>0</v>
      </c>
      <c r="XJ8" s="8">
        <v>0</v>
      </c>
      <c r="XK8" s="8">
        <v>0</v>
      </c>
      <c r="XL8" s="8">
        <v>0</v>
      </c>
      <c r="XM8" s="8">
        <v>0</v>
      </c>
      <c r="XN8" s="8">
        <v>0</v>
      </c>
      <c r="XO8" s="8">
        <v>0</v>
      </c>
      <c r="XP8" s="8">
        <v>0</v>
      </c>
      <c r="XQ8" s="8">
        <v>0</v>
      </c>
      <c r="XR8" s="8">
        <v>0</v>
      </c>
      <c r="XS8" s="8">
        <v>0</v>
      </c>
      <c r="XT8" s="8">
        <v>0</v>
      </c>
      <c r="XU8" s="8">
        <v>0</v>
      </c>
      <c r="XV8" s="8">
        <v>0</v>
      </c>
      <c r="XW8" s="8">
        <v>0</v>
      </c>
      <c r="XX8" s="8">
        <v>0</v>
      </c>
      <c r="XY8" s="8">
        <v>0</v>
      </c>
      <c r="XZ8" s="8">
        <v>0</v>
      </c>
      <c r="YA8" s="8">
        <v>0</v>
      </c>
      <c r="YB8" s="8">
        <v>0</v>
      </c>
      <c r="YC8" s="8">
        <v>0</v>
      </c>
      <c r="YD8" s="8">
        <v>0</v>
      </c>
      <c r="YE8" s="8">
        <v>0</v>
      </c>
      <c r="YF8" s="8">
        <v>0</v>
      </c>
      <c r="YG8" s="8">
        <v>0</v>
      </c>
      <c r="YH8" s="8">
        <v>0</v>
      </c>
      <c r="YI8" s="8">
        <v>0</v>
      </c>
      <c r="YJ8" s="8">
        <v>0</v>
      </c>
      <c r="YK8" s="8">
        <v>0</v>
      </c>
      <c r="YL8" s="8">
        <v>0</v>
      </c>
      <c r="YM8" s="8">
        <v>0</v>
      </c>
      <c r="YN8" s="8">
        <v>0</v>
      </c>
      <c r="YO8" s="8">
        <v>0</v>
      </c>
      <c r="YP8" s="8">
        <v>0</v>
      </c>
      <c r="YQ8" s="8">
        <v>0</v>
      </c>
      <c r="YR8" s="8">
        <v>0</v>
      </c>
      <c r="YS8" s="8">
        <v>0</v>
      </c>
      <c r="YT8" s="8">
        <v>0</v>
      </c>
      <c r="YU8" s="8">
        <v>0</v>
      </c>
      <c r="YV8" s="8">
        <v>0</v>
      </c>
      <c r="YW8" s="8">
        <v>0</v>
      </c>
      <c r="YX8" s="8">
        <v>0</v>
      </c>
      <c r="YY8" s="8">
        <v>0</v>
      </c>
      <c r="YZ8" s="8">
        <v>0</v>
      </c>
      <c r="ZA8" s="8">
        <v>0</v>
      </c>
      <c r="ZB8" s="8">
        <v>0</v>
      </c>
      <c r="ZC8" s="8">
        <v>0</v>
      </c>
      <c r="ZD8" s="8">
        <v>0</v>
      </c>
      <c r="ZE8" s="8">
        <v>0</v>
      </c>
      <c r="ZF8" s="8">
        <v>0</v>
      </c>
      <c r="ZG8" s="8">
        <v>0</v>
      </c>
      <c r="ZH8" s="8">
        <v>0</v>
      </c>
      <c r="ZI8" s="8">
        <v>0</v>
      </c>
      <c r="ZJ8" s="8">
        <v>0</v>
      </c>
      <c r="ZK8" s="8">
        <v>0</v>
      </c>
      <c r="ZL8" s="8">
        <v>0</v>
      </c>
      <c r="ZM8" s="8">
        <v>0</v>
      </c>
      <c r="ZN8" s="8">
        <v>0</v>
      </c>
      <c r="ZO8" s="8">
        <v>0</v>
      </c>
      <c r="ZP8" s="8">
        <v>0</v>
      </c>
      <c r="ZQ8" s="8">
        <v>0</v>
      </c>
      <c r="ZR8" s="8">
        <v>0</v>
      </c>
      <c r="ZS8" s="8">
        <v>0</v>
      </c>
      <c r="ZT8" s="8">
        <v>0</v>
      </c>
      <c r="ZU8" s="8">
        <v>0</v>
      </c>
      <c r="ZV8" s="8">
        <v>0</v>
      </c>
      <c r="ZW8" s="8">
        <v>0</v>
      </c>
      <c r="ZX8" s="8">
        <v>0</v>
      </c>
      <c r="ZY8" s="8">
        <v>0</v>
      </c>
      <c r="ZZ8" s="8">
        <v>0</v>
      </c>
      <c r="AAA8" s="8">
        <v>0</v>
      </c>
      <c r="AAB8" s="8">
        <v>0</v>
      </c>
      <c r="AAC8" s="8">
        <v>0</v>
      </c>
      <c r="AAD8" s="8">
        <v>0</v>
      </c>
      <c r="AAE8" s="8">
        <v>0</v>
      </c>
      <c r="AAF8" s="8">
        <v>0</v>
      </c>
      <c r="AAG8" s="8">
        <v>0</v>
      </c>
      <c r="AAH8" s="8">
        <v>0</v>
      </c>
      <c r="AAI8" s="8">
        <v>0</v>
      </c>
      <c r="AAJ8" s="8">
        <v>0</v>
      </c>
      <c r="AAK8" s="8">
        <v>0</v>
      </c>
      <c r="AAL8" s="8">
        <v>0</v>
      </c>
      <c r="AAM8" s="8">
        <v>0</v>
      </c>
      <c r="AAN8" s="8">
        <v>0</v>
      </c>
      <c r="AAO8" s="8">
        <v>0</v>
      </c>
      <c r="AAP8" s="8">
        <v>0</v>
      </c>
      <c r="AAQ8" s="8">
        <v>0</v>
      </c>
      <c r="AAR8" s="8">
        <v>0</v>
      </c>
      <c r="AAS8" s="8">
        <v>0</v>
      </c>
      <c r="AAT8" s="8">
        <v>0</v>
      </c>
      <c r="AAU8" s="8">
        <v>0</v>
      </c>
      <c r="AAV8" s="8">
        <v>0</v>
      </c>
      <c r="AAW8" s="8">
        <v>0</v>
      </c>
      <c r="AAX8" s="8">
        <v>0</v>
      </c>
      <c r="AAY8" s="8">
        <v>0</v>
      </c>
      <c r="AAZ8" s="8">
        <v>0</v>
      </c>
      <c r="ABA8" s="8">
        <v>0</v>
      </c>
      <c r="ABB8" s="8">
        <v>0</v>
      </c>
      <c r="ABC8" s="8">
        <v>0</v>
      </c>
      <c r="ABD8" s="8">
        <v>0</v>
      </c>
      <c r="ABE8" s="8">
        <v>0</v>
      </c>
      <c r="ABF8" s="8">
        <v>0</v>
      </c>
      <c r="ABG8" s="8">
        <v>0</v>
      </c>
      <c r="ABH8" s="8">
        <v>0</v>
      </c>
      <c r="ABI8" s="8">
        <v>0</v>
      </c>
      <c r="ABJ8" s="8">
        <v>0</v>
      </c>
      <c r="ABK8" s="8">
        <v>0</v>
      </c>
      <c r="ABL8" s="8">
        <v>0</v>
      </c>
      <c r="ABM8" s="8">
        <v>0</v>
      </c>
      <c r="ABN8" s="8">
        <v>0</v>
      </c>
      <c r="ABO8" s="8">
        <v>0</v>
      </c>
      <c r="ABP8" s="8">
        <v>0</v>
      </c>
      <c r="ABQ8" s="8">
        <v>0</v>
      </c>
      <c r="ABR8" s="8">
        <v>0</v>
      </c>
      <c r="ABS8" s="8">
        <v>0</v>
      </c>
      <c r="ABT8" s="8">
        <v>0</v>
      </c>
      <c r="ABU8" s="8">
        <v>0</v>
      </c>
      <c r="ABV8" s="8">
        <v>0</v>
      </c>
      <c r="ABW8" s="8">
        <v>0</v>
      </c>
      <c r="ABX8" s="8">
        <v>0</v>
      </c>
      <c r="ABY8" s="8">
        <v>0</v>
      </c>
      <c r="ABZ8" s="8">
        <v>0</v>
      </c>
      <c r="ACA8" s="8">
        <v>0</v>
      </c>
      <c r="ACB8" s="8">
        <v>0</v>
      </c>
      <c r="ACC8" s="8">
        <v>0</v>
      </c>
      <c r="ACD8" s="8">
        <v>0</v>
      </c>
      <c r="ACE8" s="8">
        <v>0</v>
      </c>
      <c r="ACF8" s="8">
        <v>0</v>
      </c>
      <c r="ACG8" s="8">
        <v>0</v>
      </c>
      <c r="ACH8" s="8">
        <v>0</v>
      </c>
      <c r="ACI8" s="8">
        <v>0</v>
      </c>
      <c r="ACJ8" s="8">
        <v>0</v>
      </c>
      <c r="ACK8" s="8">
        <v>0</v>
      </c>
      <c r="ACL8" s="8">
        <v>0</v>
      </c>
      <c r="ACM8" s="8">
        <v>0</v>
      </c>
      <c r="ACN8" s="8">
        <v>0</v>
      </c>
      <c r="ACO8" s="8">
        <v>0</v>
      </c>
      <c r="ACP8" s="8">
        <v>0</v>
      </c>
      <c r="ACQ8" s="8">
        <v>0</v>
      </c>
      <c r="ACR8" s="8">
        <v>0</v>
      </c>
      <c r="ACS8" s="8">
        <v>0</v>
      </c>
      <c r="ACT8" s="8">
        <v>0</v>
      </c>
      <c r="ACU8" s="8">
        <v>0</v>
      </c>
      <c r="ACV8" s="8">
        <v>0</v>
      </c>
      <c r="ACW8" s="8">
        <v>0</v>
      </c>
      <c r="ACX8" s="8">
        <v>0</v>
      </c>
      <c r="ACY8" s="8">
        <v>0</v>
      </c>
      <c r="ACZ8" s="8">
        <v>0</v>
      </c>
      <c r="ADA8" s="8">
        <v>0</v>
      </c>
      <c r="ADB8" s="8">
        <v>0</v>
      </c>
      <c r="ADC8" s="8">
        <v>0</v>
      </c>
      <c r="ADD8" s="8">
        <v>0</v>
      </c>
      <c r="ADE8" s="8">
        <v>0</v>
      </c>
      <c r="ADF8" s="8">
        <v>0</v>
      </c>
      <c r="ADG8" s="8">
        <v>0</v>
      </c>
      <c r="ADH8" s="8">
        <v>0</v>
      </c>
      <c r="ADI8" s="8">
        <v>0</v>
      </c>
      <c r="ADJ8" s="8">
        <v>0</v>
      </c>
      <c r="ADK8" s="8">
        <v>0</v>
      </c>
      <c r="ADL8" s="8">
        <v>0</v>
      </c>
      <c r="ADM8" s="8">
        <v>0</v>
      </c>
      <c r="ADN8" s="8">
        <v>0</v>
      </c>
      <c r="ADO8" s="8">
        <v>0</v>
      </c>
      <c r="ADP8" s="8">
        <v>0</v>
      </c>
      <c r="ADQ8" s="8">
        <v>0</v>
      </c>
      <c r="ADR8" s="8">
        <v>0</v>
      </c>
      <c r="ADS8" s="8">
        <v>0</v>
      </c>
      <c r="ADT8" s="8">
        <v>0</v>
      </c>
      <c r="ADU8" s="8">
        <v>0</v>
      </c>
      <c r="ADV8" s="8">
        <v>0</v>
      </c>
      <c r="ADW8" s="8">
        <v>0</v>
      </c>
      <c r="ADX8" s="8">
        <v>0</v>
      </c>
      <c r="ADY8" s="8">
        <v>0</v>
      </c>
      <c r="ADZ8" s="8">
        <v>0</v>
      </c>
      <c r="AEA8" s="8">
        <v>0</v>
      </c>
      <c r="AEB8" s="8">
        <v>0</v>
      </c>
      <c r="AEC8" s="8">
        <v>0</v>
      </c>
      <c r="AED8" s="8">
        <v>0</v>
      </c>
      <c r="AEE8" s="8">
        <v>0</v>
      </c>
      <c r="AEF8" s="8">
        <v>0</v>
      </c>
      <c r="AEG8" s="8">
        <v>0</v>
      </c>
      <c r="AEH8" s="8">
        <v>0</v>
      </c>
      <c r="AEI8" s="8">
        <v>0</v>
      </c>
      <c r="AEJ8" s="8">
        <v>0</v>
      </c>
      <c r="AEK8" s="8">
        <v>0</v>
      </c>
      <c r="AEL8" s="8">
        <v>0</v>
      </c>
      <c r="AEM8" s="8">
        <v>0</v>
      </c>
      <c r="AEN8" s="8">
        <v>0</v>
      </c>
      <c r="AEO8" s="8">
        <v>0</v>
      </c>
      <c r="AEP8" s="8">
        <v>0</v>
      </c>
      <c r="AEQ8" s="8">
        <v>0</v>
      </c>
      <c r="AER8" s="8">
        <v>0</v>
      </c>
      <c r="AES8" s="8">
        <v>0</v>
      </c>
      <c r="AET8" s="8">
        <v>0</v>
      </c>
      <c r="AEU8" s="8">
        <v>0</v>
      </c>
      <c r="AEV8" s="8">
        <v>0</v>
      </c>
      <c r="AEW8" s="8">
        <v>0</v>
      </c>
      <c r="AEX8" s="8">
        <v>0</v>
      </c>
      <c r="AEY8" s="8">
        <v>0</v>
      </c>
      <c r="AEZ8" s="8">
        <v>0</v>
      </c>
      <c r="AFA8" s="8">
        <v>0</v>
      </c>
      <c r="AFB8" s="8">
        <v>0</v>
      </c>
      <c r="AFC8" s="8">
        <v>0</v>
      </c>
      <c r="AFD8" s="8">
        <v>0</v>
      </c>
      <c r="AFE8" s="8">
        <v>0</v>
      </c>
      <c r="AFF8" s="8">
        <v>0</v>
      </c>
      <c r="AFG8" s="8">
        <v>0</v>
      </c>
      <c r="AFH8" s="8">
        <v>0</v>
      </c>
      <c r="AFI8" s="8">
        <v>0</v>
      </c>
      <c r="AFJ8" s="8">
        <v>0</v>
      </c>
      <c r="AFK8" s="8">
        <v>0</v>
      </c>
      <c r="AFL8" s="8">
        <v>0</v>
      </c>
      <c r="AFM8" s="8">
        <v>0</v>
      </c>
      <c r="AFN8" s="8">
        <v>0</v>
      </c>
      <c r="AFO8" s="8">
        <v>0</v>
      </c>
      <c r="AFP8" s="8">
        <v>0</v>
      </c>
      <c r="AFQ8" s="8">
        <v>0</v>
      </c>
      <c r="AFR8" s="8">
        <v>0</v>
      </c>
      <c r="AFS8" s="8">
        <v>0</v>
      </c>
      <c r="AFT8" s="8">
        <v>0</v>
      </c>
      <c r="AFU8" s="8">
        <v>0</v>
      </c>
      <c r="AFV8" s="8">
        <v>0</v>
      </c>
      <c r="AFW8" s="8">
        <v>0</v>
      </c>
      <c r="AFX8" s="8">
        <v>0</v>
      </c>
      <c r="AFY8" s="8">
        <v>0</v>
      </c>
      <c r="AFZ8" s="8">
        <v>0</v>
      </c>
      <c r="AGA8" s="8">
        <v>0</v>
      </c>
      <c r="AGB8" s="8">
        <v>0</v>
      </c>
      <c r="AGC8" s="8">
        <v>0</v>
      </c>
      <c r="AGD8" s="8">
        <v>0</v>
      </c>
      <c r="AGE8" s="8">
        <v>0</v>
      </c>
      <c r="AGF8" s="8">
        <v>0</v>
      </c>
      <c r="AGG8" s="8">
        <v>0</v>
      </c>
      <c r="AGH8" s="8">
        <v>0</v>
      </c>
      <c r="AGI8" s="8">
        <v>0</v>
      </c>
      <c r="AGJ8" s="8">
        <v>0</v>
      </c>
      <c r="AGK8" s="8">
        <v>0</v>
      </c>
      <c r="AGL8" s="8">
        <v>0</v>
      </c>
      <c r="AGM8" s="8">
        <v>0</v>
      </c>
      <c r="AGN8" s="8">
        <v>0</v>
      </c>
      <c r="AGO8" s="8">
        <v>0</v>
      </c>
      <c r="AGP8" s="8">
        <v>0</v>
      </c>
      <c r="AGQ8" s="8">
        <v>0</v>
      </c>
      <c r="AGR8" s="8">
        <v>0</v>
      </c>
      <c r="AGS8" s="8">
        <v>0</v>
      </c>
      <c r="AGT8" s="8">
        <v>0</v>
      </c>
      <c r="AGU8" s="8">
        <v>0</v>
      </c>
      <c r="AGV8" s="8">
        <v>0</v>
      </c>
      <c r="AGW8" s="8">
        <v>0</v>
      </c>
      <c r="AGX8" s="8">
        <v>0</v>
      </c>
      <c r="AGY8" s="8">
        <v>0</v>
      </c>
      <c r="AGZ8" s="8">
        <v>0</v>
      </c>
      <c r="AHA8" s="8">
        <v>0</v>
      </c>
      <c r="AHB8" s="8">
        <v>0</v>
      </c>
      <c r="AHC8" s="8">
        <v>0</v>
      </c>
      <c r="AHD8" s="8">
        <v>0</v>
      </c>
      <c r="AHE8" s="8">
        <v>0</v>
      </c>
      <c r="AHF8" s="8">
        <v>0</v>
      </c>
      <c r="AHG8" s="8">
        <v>0</v>
      </c>
      <c r="AHH8" s="8">
        <v>0</v>
      </c>
      <c r="AHI8" s="8">
        <v>0</v>
      </c>
      <c r="AHJ8" s="8">
        <v>0</v>
      </c>
      <c r="AHK8" s="8">
        <v>0</v>
      </c>
      <c r="AHL8" s="8">
        <v>0</v>
      </c>
      <c r="AHM8" s="8">
        <v>0</v>
      </c>
      <c r="AHN8" s="8">
        <v>0</v>
      </c>
      <c r="AHO8" s="8">
        <v>0</v>
      </c>
      <c r="AHP8" s="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 t="e">
        <v>#N/A</v>
      </c>
      <c r="AIJ8" t="e">
        <v>#N/A</v>
      </c>
      <c r="AIK8" t="e">
        <v>#N/A</v>
      </c>
      <c r="AIL8" t="e">
        <v>#N/A</v>
      </c>
      <c r="AIM8" t="e">
        <v>#N/A</v>
      </c>
      <c r="AIN8" t="e">
        <v>#N/A</v>
      </c>
      <c r="AIO8" t="e">
        <v>#N/A</v>
      </c>
      <c r="AIP8" t="e">
        <v>#N/A</v>
      </c>
      <c r="AIQ8" t="e">
        <v>#N/A</v>
      </c>
      <c r="AIR8" t="e">
        <v>#N/A</v>
      </c>
      <c r="AIS8" t="e">
        <v>#N/A</v>
      </c>
      <c r="AIT8" t="e">
        <v>#N/A</v>
      </c>
      <c r="AIU8" t="e">
        <v>#N/A</v>
      </c>
      <c r="AIV8" t="e">
        <v>#N/A</v>
      </c>
      <c r="AIW8" t="e">
        <v>#N/A</v>
      </c>
      <c r="AIX8" t="e">
        <v>#N/A</v>
      </c>
      <c r="AIY8" t="e">
        <v>#N/A</v>
      </c>
      <c r="AIZ8" t="e">
        <v>#N/A</v>
      </c>
      <c r="AJA8" t="e">
        <v>#N/A</v>
      </c>
      <c r="AJB8" t="e">
        <v>#N/A</v>
      </c>
      <c r="AJC8" t="e">
        <v>#N/A</v>
      </c>
      <c r="AJD8" t="e">
        <v>#N/A</v>
      </c>
      <c r="AJE8" t="e">
        <v>#N/A</v>
      </c>
      <c r="AJF8" t="e">
        <v>#N/A</v>
      </c>
      <c r="AJG8" t="e">
        <v>#N/A</v>
      </c>
      <c r="AJH8" t="e">
        <v>#N/A</v>
      </c>
      <c r="AJI8" t="e">
        <v>#N/A</v>
      </c>
      <c r="AJJ8" t="e">
        <v>#N/A</v>
      </c>
      <c r="AJK8" t="e">
        <v>#N/A</v>
      </c>
      <c r="AJL8" t="e">
        <v>#N/A</v>
      </c>
      <c r="AJM8" t="e">
        <v>#N/A</v>
      </c>
      <c r="AJN8" t="e">
        <v>#N/A</v>
      </c>
      <c r="AJO8" t="e">
        <v>#N/A</v>
      </c>
      <c r="AJP8" t="e">
        <v>#N/A</v>
      </c>
      <c r="AJQ8" t="e">
        <v>#N/A</v>
      </c>
      <c r="AJR8" t="e">
        <v>#N/A</v>
      </c>
      <c r="AJS8" t="e">
        <v>#N/A</v>
      </c>
      <c r="AJT8" t="e">
        <v>#N/A</v>
      </c>
      <c r="AJU8" t="e">
        <v>#N/A</v>
      </c>
      <c r="AJV8" t="e">
        <v>#N/A</v>
      </c>
      <c r="AJW8" t="e">
        <v>#N/A</v>
      </c>
      <c r="AJX8" t="e">
        <v>#N/A</v>
      </c>
      <c r="AJY8" t="e">
        <v>#N/A</v>
      </c>
      <c r="AJZ8" t="e">
        <v>#N/A</v>
      </c>
      <c r="AKA8" t="e">
        <v>#N/A</v>
      </c>
      <c r="AKB8" t="e">
        <v>#N/A</v>
      </c>
      <c r="AKC8" t="e">
        <v>#N/A</v>
      </c>
      <c r="AKD8" t="e">
        <v>#N/A</v>
      </c>
      <c r="AKE8" t="e">
        <v>#N/A</v>
      </c>
      <c r="AKF8" t="e">
        <v>#N/A</v>
      </c>
      <c r="AKG8" t="e">
        <v>#N/A</v>
      </c>
      <c r="AKH8" t="e">
        <v>#N/A</v>
      </c>
      <c r="AKI8" t="e">
        <v>#N/A</v>
      </c>
      <c r="AKJ8" t="e">
        <v>#N/A</v>
      </c>
      <c r="AKK8" t="e">
        <v>#N/A</v>
      </c>
      <c r="AKL8" t="e">
        <v>#N/A</v>
      </c>
      <c r="AKM8" t="e">
        <v>#N/A</v>
      </c>
      <c r="AKN8" t="e">
        <v>#N/A</v>
      </c>
      <c r="AKO8" t="e">
        <v>#N/A</v>
      </c>
      <c r="AKP8" t="e">
        <v>#N/A</v>
      </c>
      <c r="AKQ8" t="e">
        <v>#N/A</v>
      </c>
      <c r="AKR8" t="e">
        <v>#N/A</v>
      </c>
      <c r="AKS8" t="e">
        <v>#N/A</v>
      </c>
      <c r="AKT8" t="e">
        <v>#N/A</v>
      </c>
      <c r="AKU8" t="e">
        <v>#N/A</v>
      </c>
      <c r="AKV8" t="e">
        <v>#N/A</v>
      </c>
      <c r="AKW8" t="e">
        <v>#N/A</v>
      </c>
      <c r="AKX8" t="e">
        <v>#N/A</v>
      </c>
      <c r="AKY8" t="e">
        <v>#N/A</v>
      </c>
      <c r="AKZ8" t="e">
        <v>#N/A</v>
      </c>
      <c r="ALA8" t="e">
        <v>#N/A</v>
      </c>
      <c r="ALB8" t="e">
        <v>#N/A</v>
      </c>
      <c r="ALC8" t="e">
        <v>#N/A</v>
      </c>
      <c r="ALD8" t="e">
        <v>#N/A</v>
      </c>
      <c r="ALE8" t="e">
        <v>#N/A</v>
      </c>
      <c r="ALF8" t="e">
        <v>#N/A</v>
      </c>
      <c r="ALG8" t="e">
        <v>#N/A</v>
      </c>
      <c r="ALH8" t="e">
        <v>#N/A</v>
      </c>
      <c r="ALI8" t="e">
        <v>#N/A</v>
      </c>
      <c r="ALJ8" t="e">
        <v>#N/A</v>
      </c>
      <c r="ALK8" t="e">
        <v>#N/A</v>
      </c>
      <c r="ALL8" t="e">
        <v>#N/A</v>
      </c>
      <c r="ALM8" t="e">
        <v>#N/A</v>
      </c>
      <c r="ALN8" t="e">
        <v>#N/A</v>
      </c>
      <c r="ALO8" t="e">
        <v>#N/A</v>
      </c>
      <c r="ALP8" t="e">
        <v>#N/A</v>
      </c>
      <c r="ALQ8" t="e">
        <v>#N/A</v>
      </c>
      <c r="ALR8" t="e">
        <v>#N/A</v>
      </c>
      <c r="ALS8" t="e">
        <v>#N/A</v>
      </c>
      <c r="ALT8" t="e">
        <v>#N/A</v>
      </c>
      <c r="ALU8" t="e">
        <v>#N/A</v>
      </c>
      <c r="ALV8" t="e">
        <v>#N/A</v>
      </c>
      <c r="ALW8" t="e">
        <v>#N/A</v>
      </c>
      <c r="ALX8" t="e">
        <v>#N/A</v>
      </c>
      <c r="ALY8" t="e">
        <v>#N/A</v>
      </c>
      <c r="ALZ8" t="e">
        <v>#N/A</v>
      </c>
      <c r="AMA8" t="e">
        <v>#N/A</v>
      </c>
      <c r="AMB8" t="e">
        <v>#N/A</v>
      </c>
      <c r="AMC8" t="e">
        <v>#N/A</v>
      </c>
      <c r="AMD8" t="e">
        <v>#N/A</v>
      </c>
      <c r="AME8" t="e">
        <v>#N/A</v>
      </c>
      <c r="AMF8" t="e">
        <v>#N/A</v>
      </c>
      <c r="AMG8" t="e">
        <v>#N/A</v>
      </c>
      <c r="AMH8" t="e">
        <v>#N/A</v>
      </c>
    </row>
    <row r="9" spans="1:1022" ht="15.75" customHeight="1">
      <c r="A9" s="8" t="str">
        <v>Cooper</v>
      </c>
      <c r="B9" s="8">
        <v>0</v>
      </c>
      <c r="C9" s="8">
        <v>0</v>
      </c>
      <c r="D9" s="8">
        <v>0</v>
      </c>
      <c r="E9" s="8">
        <v>895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320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705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525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385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1010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235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470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565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745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430</v>
      </c>
      <c r="LI9" s="8">
        <v>220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V9" s="8">
        <v>870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365</v>
      </c>
      <c r="MH9" s="8">
        <v>0</v>
      </c>
      <c r="MI9" s="8">
        <v>0</v>
      </c>
      <c r="MJ9" s="8">
        <v>0</v>
      </c>
      <c r="MK9" s="8">
        <v>410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190</v>
      </c>
      <c r="OD9" s="8">
        <v>835</v>
      </c>
      <c r="OE9" s="8">
        <v>850</v>
      </c>
      <c r="OF9" s="8">
        <v>0</v>
      </c>
      <c r="OG9" s="8">
        <v>0</v>
      </c>
      <c r="OH9" s="8">
        <v>0</v>
      </c>
      <c r="OI9" s="8">
        <v>0</v>
      </c>
      <c r="OJ9" s="8">
        <v>0</v>
      </c>
      <c r="OK9" s="8">
        <v>0</v>
      </c>
      <c r="OL9" s="8">
        <v>0</v>
      </c>
      <c r="OM9" s="8">
        <v>0</v>
      </c>
      <c r="ON9" s="8">
        <v>0</v>
      </c>
      <c r="OO9" s="8">
        <v>355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620</v>
      </c>
      <c r="OW9" s="8">
        <v>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325</v>
      </c>
      <c r="PS9" s="8">
        <v>700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0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0</v>
      </c>
      <c r="SW9" s="8">
        <v>0</v>
      </c>
      <c r="SX9" s="8">
        <v>0</v>
      </c>
      <c r="SY9" s="8">
        <v>0</v>
      </c>
      <c r="SZ9" s="8">
        <v>0</v>
      </c>
      <c r="TA9" s="8">
        <v>0</v>
      </c>
      <c r="TB9" s="8">
        <v>0</v>
      </c>
      <c r="TC9" s="8">
        <v>0</v>
      </c>
      <c r="TD9" s="8">
        <v>0</v>
      </c>
      <c r="TE9" s="8">
        <v>0</v>
      </c>
      <c r="TF9" s="8">
        <v>0</v>
      </c>
      <c r="TG9" s="8">
        <v>0</v>
      </c>
      <c r="TH9" s="8">
        <v>0</v>
      </c>
      <c r="TI9" s="8">
        <v>0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0</v>
      </c>
      <c r="UD9" s="8">
        <v>0</v>
      </c>
      <c r="UE9" s="8">
        <v>0</v>
      </c>
      <c r="UF9" s="8">
        <v>0</v>
      </c>
      <c r="UG9" s="8">
        <v>0</v>
      </c>
      <c r="UH9" s="8">
        <v>0</v>
      </c>
      <c r="UI9" s="8">
        <v>0</v>
      </c>
      <c r="UJ9" s="8">
        <v>0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0</v>
      </c>
      <c r="UQ9" s="8">
        <v>0</v>
      </c>
      <c r="UR9" s="8">
        <v>0</v>
      </c>
      <c r="US9" s="8">
        <v>0</v>
      </c>
      <c r="UT9" s="8">
        <v>0</v>
      </c>
      <c r="UU9" s="8">
        <v>0</v>
      </c>
      <c r="UV9" s="8">
        <v>0</v>
      </c>
      <c r="UW9" s="8">
        <v>0</v>
      </c>
      <c r="UX9" s="8">
        <v>0</v>
      </c>
      <c r="UY9" s="8">
        <v>0</v>
      </c>
      <c r="UZ9" s="8">
        <v>0</v>
      </c>
      <c r="VA9" s="8">
        <v>0</v>
      </c>
      <c r="VB9" s="8">
        <v>0</v>
      </c>
      <c r="VC9" s="8">
        <v>0</v>
      </c>
      <c r="VD9" s="8">
        <v>0</v>
      </c>
      <c r="VE9" s="8">
        <v>0</v>
      </c>
      <c r="VF9" s="8">
        <v>0</v>
      </c>
      <c r="VG9" s="8">
        <v>0</v>
      </c>
      <c r="VH9" s="8">
        <v>0</v>
      </c>
      <c r="VI9" s="8">
        <v>0</v>
      </c>
      <c r="VJ9" s="8">
        <v>0</v>
      </c>
      <c r="VK9" s="8">
        <v>0</v>
      </c>
      <c r="VL9" s="8">
        <v>0</v>
      </c>
      <c r="VM9" s="8">
        <v>0</v>
      </c>
      <c r="VN9" s="8">
        <v>0</v>
      </c>
      <c r="VO9" s="8">
        <v>0</v>
      </c>
      <c r="VP9" s="8">
        <v>0</v>
      </c>
      <c r="VQ9" s="8">
        <v>0</v>
      </c>
      <c r="VR9" s="8">
        <v>0</v>
      </c>
      <c r="VS9" s="8">
        <v>0</v>
      </c>
      <c r="VT9" s="8">
        <v>0</v>
      </c>
      <c r="VU9" s="8">
        <v>0</v>
      </c>
      <c r="VV9" s="8">
        <v>0</v>
      </c>
      <c r="VW9" s="8">
        <v>0</v>
      </c>
      <c r="VX9" s="8">
        <v>0</v>
      </c>
      <c r="VY9" s="8">
        <v>0</v>
      </c>
      <c r="VZ9" s="8">
        <v>0</v>
      </c>
      <c r="WA9" s="8">
        <v>0</v>
      </c>
      <c r="WB9" s="8">
        <v>0</v>
      </c>
      <c r="WC9" s="8">
        <v>0</v>
      </c>
      <c r="WD9" s="8">
        <v>0</v>
      </c>
      <c r="WE9" s="8">
        <v>0</v>
      </c>
      <c r="WF9" s="8">
        <v>0</v>
      </c>
      <c r="WG9" s="8">
        <v>0</v>
      </c>
      <c r="WH9" s="8">
        <v>0</v>
      </c>
      <c r="WI9" s="8">
        <v>0</v>
      </c>
      <c r="WJ9" s="8">
        <v>0</v>
      </c>
      <c r="WK9" s="8">
        <v>0</v>
      </c>
      <c r="WL9" s="8">
        <v>0</v>
      </c>
      <c r="WM9" s="8">
        <v>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0</v>
      </c>
      <c r="WT9" s="8">
        <v>0</v>
      </c>
      <c r="WU9" s="8">
        <v>0</v>
      </c>
      <c r="WV9" s="8">
        <v>0</v>
      </c>
      <c r="WW9" s="8">
        <v>0</v>
      </c>
      <c r="WX9" s="8">
        <v>0</v>
      </c>
      <c r="WY9" s="8">
        <v>0</v>
      </c>
      <c r="WZ9" s="8">
        <v>0</v>
      </c>
      <c r="XA9" s="8">
        <v>0</v>
      </c>
      <c r="XB9" s="8">
        <v>0</v>
      </c>
      <c r="XC9" s="8">
        <v>0</v>
      </c>
      <c r="XD9" s="8">
        <v>0</v>
      </c>
      <c r="XE9" s="8">
        <v>0</v>
      </c>
      <c r="XF9" s="8">
        <v>0</v>
      </c>
      <c r="XG9" s="8">
        <v>0</v>
      </c>
      <c r="XH9" s="8">
        <v>0</v>
      </c>
      <c r="XI9" s="8">
        <v>0</v>
      </c>
      <c r="XJ9" s="8">
        <v>0</v>
      </c>
      <c r="XK9" s="8">
        <v>0</v>
      </c>
      <c r="XL9" s="8">
        <v>0</v>
      </c>
      <c r="XM9" s="8">
        <v>0</v>
      </c>
      <c r="XN9" s="8">
        <v>0</v>
      </c>
      <c r="XO9" s="8">
        <v>0</v>
      </c>
      <c r="XP9" s="8">
        <v>0</v>
      </c>
      <c r="XQ9" s="8">
        <v>0</v>
      </c>
      <c r="XR9" s="8">
        <v>0</v>
      </c>
      <c r="XS9" s="8">
        <v>0</v>
      </c>
      <c r="XT9" s="8">
        <v>0</v>
      </c>
      <c r="XU9" s="8">
        <v>0</v>
      </c>
      <c r="XV9" s="8">
        <v>0</v>
      </c>
      <c r="XW9" s="8">
        <v>0</v>
      </c>
      <c r="XX9" s="8">
        <v>0</v>
      </c>
      <c r="XY9" s="8">
        <v>0</v>
      </c>
      <c r="XZ9" s="8">
        <v>0</v>
      </c>
      <c r="YA9" s="8">
        <v>0</v>
      </c>
      <c r="YB9" s="8">
        <v>0</v>
      </c>
      <c r="YC9" s="8">
        <v>0</v>
      </c>
      <c r="YD9" s="8">
        <v>0</v>
      </c>
      <c r="YE9" s="8">
        <v>0</v>
      </c>
      <c r="YF9" s="8">
        <v>0</v>
      </c>
      <c r="YG9" s="8">
        <v>0</v>
      </c>
      <c r="YH9" s="8">
        <v>0</v>
      </c>
      <c r="YI9" s="8">
        <v>0</v>
      </c>
      <c r="YJ9" s="8">
        <v>0</v>
      </c>
      <c r="YK9" s="8">
        <v>0</v>
      </c>
      <c r="YL9" s="8">
        <v>0</v>
      </c>
      <c r="YM9" s="8">
        <v>0</v>
      </c>
      <c r="YN9" s="8">
        <v>0</v>
      </c>
      <c r="YO9" s="8">
        <v>0</v>
      </c>
      <c r="YP9" s="8">
        <v>0</v>
      </c>
      <c r="YQ9" s="8">
        <v>0</v>
      </c>
      <c r="YR9" s="8">
        <v>0</v>
      </c>
      <c r="YS9" s="8">
        <v>0</v>
      </c>
      <c r="YT9" s="8">
        <v>0</v>
      </c>
      <c r="YU9" s="8">
        <v>0</v>
      </c>
      <c r="YV9" s="8">
        <v>0</v>
      </c>
      <c r="YW9" s="8">
        <v>0</v>
      </c>
      <c r="YX9" s="8">
        <v>0</v>
      </c>
      <c r="YY9" s="8">
        <v>0</v>
      </c>
      <c r="YZ9" s="8">
        <v>0</v>
      </c>
      <c r="ZA9" s="8">
        <v>0</v>
      </c>
      <c r="ZB9" s="8">
        <v>0</v>
      </c>
      <c r="ZC9" s="8">
        <v>0</v>
      </c>
      <c r="ZD9" s="8">
        <v>0</v>
      </c>
      <c r="ZE9" s="8">
        <v>0</v>
      </c>
      <c r="ZF9" s="8">
        <v>0</v>
      </c>
      <c r="ZG9" s="8">
        <v>0</v>
      </c>
      <c r="ZH9" s="8">
        <v>0</v>
      </c>
      <c r="ZI9" s="8">
        <v>0</v>
      </c>
      <c r="ZJ9" s="8">
        <v>0</v>
      </c>
      <c r="ZK9" s="8">
        <v>0</v>
      </c>
      <c r="ZL9" s="8">
        <v>0</v>
      </c>
      <c r="ZM9" s="8">
        <v>0</v>
      </c>
      <c r="ZN9" s="8">
        <v>0</v>
      </c>
      <c r="ZO9" s="8">
        <v>0</v>
      </c>
      <c r="ZP9" s="8">
        <v>0</v>
      </c>
      <c r="ZQ9" s="8">
        <v>0</v>
      </c>
      <c r="ZR9" s="8">
        <v>0</v>
      </c>
      <c r="ZS9" s="8">
        <v>0</v>
      </c>
      <c r="ZT9" s="8">
        <v>0</v>
      </c>
      <c r="ZU9" s="8">
        <v>0</v>
      </c>
      <c r="ZV9" s="8">
        <v>0</v>
      </c>
      <c r="ZW9" s="8">
        <v>0</v>
      </c>
      <c r="ZX9" s="8">
        <v>0</v>
      </c>
      <c r="ZY9" s="8">
        <v>0</v>
      </c>
      <c r="ZZ9" s="8">
        <v>0</v>
      </c>
      <c r="AAA9" s="8">
        <v>0</v>
      </c>
      <c r="AAB9" s="8">
        <v>0</v>
      </c>
      <c r="AAC9" s="8">
        <v>0</v>
      </c>
      <c r="AAD9" s="8">
        <v>0</v>
      </c>
      <c r="AAE9" s="8">
        <v>0</v>
      </c>
      <c r="AAF9" s="8">
        <v>0</v>
      </c>
      <c r="AAG9" s="8">
        <v>0</v>
      </c>
      <c r="AAH9" s="8">
        <v>0</v>
      </c>
      <c r="AAI9" s="8">
        <v>0</v>
      </c>
      <c r="AAJ9" s="8">
        <v>0</v>
      </c>
      <c r="AAK9" s="8">
        <v>0</v>
      </c>
      <c r="AAL9" s="8">
        <v>0</v>
      </c>
      <c r="AAM9" s="8">
        <v>0</v>
      </c>
      <c r="AAN9" s="8">
        <v>0</v>
      </c>
      <c r="AAO9" s="8">
        <v>0</v>
      </c>
      <c r="AAP9" s="8">
        <v>0</v>
      </c>
      <c r="AAQ9" s="8">
        <v>0</v>
      </c>
      <c r="AAR9" s="8">
        <v>0</v>
      </c>
      <c r="AAS9" s="8">
        <v>0</v>
      </c>
      <c r="AAT9" s="8">
        <v>0</v>
      </c>
      <c r="AAU9" s="8">
        <v>0</v>
      </c>
      <c r="AAV9" s="8">
        <v>0</v>
      </c>
      <c r="AAW9" s="8">
        <v>0</v>
      </c>
      <c r="AAX9" s="8">
        <v>0</v>
      </c>
      <c r="AAY9" s="8">
        <v>0</v>
      </c>
      <c r="AAZ9" s="8">
        <v>0</v>
      </c>
      <c r="ABA9" s="8">
        <v>0</v>
      </c>
      <c r="ABB9" s="8">
        <v>0</v>
      </c>
      <c r="ABC9" s="8">
        <v>0</v>
      </c>
      <c r="ABD9" s="8">
        <v>0</v>
      </c>
      <c r="ABE9" s="8">
        <v>0</v>
      </c>
      <c r="ABF9" s="8">
        <v>0</v>
      </c>
      <c r="ABG9" s="8">
        <v>0</v>
      </c>
      <c r="ABH9" s="8">
        <v>0</v>
      </c>
      <c r="ABI9" s="8">
        <v>0</v>
      </c>
      <c r="ABJ9" s="8">
        <v>0</v>
      </c>
      <c r="ABK9" s="8">
        <v>0</v>
      </c>
      <c r="ABL9" s="8">
        <v>0</v>
      </c>
      <c r="ABM9" s="8">
        <v>0</v>
      </c>
      <c r="ABN9" s="8">
        <v>0</v>
      </c>
      <c r="ABO9" s="8">
        <v>0</v>
      </c>
      <c r="ABP9" s="8">
        <v>0</v>
      </c>
      <c r="ABQ9" s="8">
        <v>0</v>
      </c>
      <c r="ABR9" s="8">
        <v>0</v>
      </c>
      <c r="ABS9" s="8">
        <v>0</v>
      </c>
      <c r="ABT9" s="8">
        <v>0</v>
      </c>
      <c r="ABU9" s="8">
        <v>0</v>
      </c>
      <c r="ABV9" s="8">
        <v>0</v>
      </c>
      <c r="ABW9" s="8">
        <v>0</v>
      </c>
      <c r="ABX9" s="8">
        <v>0</v>
      </c>
      <c r="ABY9" s="8">
        <v>0</v>
      </c>
      <c r="ABZ9" s="8">
        <v>0</v>
      </c>
      <c r="ACA9" s="8">
        <v>0</v>
      </c>
      <c r="ACB9" s="8">
        <v>0</v>
      </c>
      <c r="ACC9" s="8">
        <v>0</v>
      </c>
      <c r="ACD9" s="8">
        <v>0</v>
      </c>
      <c r="ACE9" s="8">
        <v>0</v>
      </c>
      <c r="ACF9" s="8">
        <v>0</v>
      </c>
      <c r="ACG9" s="8">
        <v>0</v>
      </c>
      <c r="ACH9" s="8">
        <v>0</v>
      </c>
      <c r="ACI9" s="8">
        <v>0</v>
      </c>
      <c r="ACJ9" s="8">
        <v>0</v>
      </c>
      <c r="ACK9" s="8">
        <v>0</v>
      </c>
      <c r="ACL9" s="8">
        <v>0</v>
      </c>
      <c r="ACM9" s="8">
        <v>0</v>
      </c>
      <c r="ACN9" s="8">
        <v>0</v>
      </c>
      <c r="ACO9" s="8">
        <v>0</v>
      </c>
      <c r="ACP9" s="8">
        <v>0</v>
      </c>
      <c r="ACQ9" s="8">
        <v>0</v>
      </c>
      <c r="ACR9" s="8">
        <v>0</v>
      </c>
      <c r="ACS9" s="8">
        <v>0</v>
      </c>
      <c r="ACT9" s="8">
        <v>0</v>
      </c>
      <c r="ACU9" s="8">
        <v>0</v>
      </c>
      <c r="ACV9" s="8">
        <v>0</v>
      </c>
      <c r="ACW9" s="8">
        <v>0</v>
      </c>
      <c r="ACX9" s="8">
        <v>0</v>
      </c>
      <c r="ACY9" s="8">
        <v>0</v>
      </c>
      <c r="ACZ9" s="8">
        <v>0</v>
      </c>
      <c r="ADA9" s="8">
        <v>0</v>
      </c>
      <c r="ADB9" s="8">
        <v>0</v>
      </c>
      <c r="ADC9" s="8">
        <v>0</v>
      </c>
      <c r="ADD9" s="8">
        <v>0</v>
      </c>
      <c r="ADE9" s="8">
        <v>0</v>
      </c>
      <c r="ADF9" s="8">
        <v>0</v>
      </c>
      <c r="ADG9" s="8">
        <v>0</v>
      </c>
      <c r="ADH9" s="8">
        <v>0</v>
      </c>
      <c r="ADI9" s="8">
        <v>0</v>
      </c>
      <c r="ADJ9" s="8">
        <v>0</v>
      </c>
      <c r="ADK9" s="8">
        <v>0</v>
      </c>
      <c r="ADL9" s="8">
        <v>0</v>
      </c>
      <c r="ADM9" s="8">
        <v>0</v>
      </c>
      <c r="ADN9" s="8">
        <v>0</v>
      </c>
      <c r="ADO9" s="8">
        <v>0</v>
      </c>
      <c r="ADP9" s="8">
        <v>0</v>
      </c>
      <c r="ADQ9" s="8">
        <v>0</v>
      </c>
      <c r="ADR9" s="8">
        <v>0</v>
      </c>
      <c r="ADS9" s="8">
        <v>0</v>
      </c>
      <c r="ADT9" s="8">
        <v>0</v>
      </c>
      <c r="ADU9" s="8">
        <v>0</v>
      </c>
      <c r="ADV9" s="8">
        <v>0</v>
      </c>
      <c r="ADW9" s="8">
        <v>0</v>
      </c>
      <c r="ADX9" s="8">
        <v>0</v>
      </c>
      <c r="ADY9" s="8">
        <v>0</v>
      </c>
      <c r="ADZ9" s="8">
        <v>0</v>
      </c>
      <c r="AEA9" s="8">
        <v>0</v>
      </c>
      <c r="AEB9" s="8">
        <v>0</v>
      </c>
      <c r="AEC9" s="8">
        <v>0</v>
      </c>
      <c r="AED9" s="8">
        <v>0</v>
      </c>
      <c r="AEE9" s="8">
        <v>0</v>
      </c>
      <c r="AEF9" s="8">
        <v>0</v>
      </c>
      <c r="AEG9" s="8">
        <v>0</v>
      </c>
      <c r="AEH9" s="8">
        <v>0</v>
      </c>
      <c r="AEI9" s="8">
        <v>0</v>
      </c>
      <c r="AEJ9" s="8">
        <v>0</v>
      </c>
      <c r="AEK9" s="8">
        <v>0</v>
      </c>
      <c r="AEL9" s="8">
        <v>0</v>
      </c>
      <c r="AEM9" s="8">
        <v>0</v>
      </c>
      <c r="AEN9" s="8">
        <v>0</v>
      </c>
      <c r="AEO9" s="8">
        <v>0</v>
      </c>
      <c r="AEP9" s="8">
        <v>0</v>
      </c>
      <c r="AEQ9" s="8">
        <v>0</v>
      </c>
      <c r="AER9" s="8">
        <v>0</v>
      </c>
      <c r="AES9" s="8">
        <v>0</v>
      </c>
      <c r="AET9" s="8">
        <v>0</v>
      </c>
      <c r="AEU9" s="8">
        <v>0</v>
      </c>
      <c r="AEV9" s="8">
        <v>0</v>
      </c>
      <c r="AEW9" s="8">
        <v>0</v>
      </c>
      <c r="AEX9" s="8">
        <v>0</v>
      </c>
      <c r="AEY9" s="8">
        <v>0</v>
      </c>
      <c r="AEZ9" s="8">
        <v>0</v>
      </c>
      <c r="AFA9" s="8">
        <v>0</v>
      </c>
      <c r="AFB9" s="8">
        <v>0</v>
      </c>
      <c r="AFC9" s="8">
        <v>0</v>
      </c>
      <c r="AFD9" s="8">
        <v>0</v>
      </c>
      <c r="AFE9" s="8">
        <v>0</v>
      </c>
      <c r="AFF9" s="8">
        <v>0</v>
      </c>
      <c r="AFG9" s="8">
        <v>0</v>
      </c>
      <c r="AFH9" s="8">
        <v>0</v>
      </c>
      <c r="AFI9" s="8">
        <v>0</v>
      </c>
      <c r="AFJ9" s="8">
        <v>0</v>
      </c>
      <c r="AFK9" s="8">
        <v>0</v>
      </c>
      <c r="AFL9" s="8">
        <v>0</v>
      </c>
      <c r="AFM9" s="8">
        <v>0</v>
      </c>
      <c r="AFN9" s="8">
        <v>0</v>
      </c>
      <c r="AFO9" s="8">
        <v>0</v>
      </c>
      <c r="AFP9" s="8">
        <v>0</v>
      </c>
      <c r="AFQ9" s="8">
        <v>0</v>
      </c>
      <c r="AFR9" s="8">
        <v>0</v>
      </c>
      <c r="AFS9" s="8">
        <v>0</v>
      </c>
      <c r="AFT9" s="8">
        <v>0</v>
      </c>
      <c r="AFU9" s="8">
        <v>0</v>
      </c>
      <c r="AFV9" s="8">
        <v>0</v>
      </c>
      <c r="AFW9" s="8">
        <v>0</v>
      </c>
      <c r="AFX9" s="8">
        <v>0</v>
      </c>
      <c r="AFY9" s="8">
        <v>0</v>
      </c>
      <c r="AFZ9" s="8">
        <v>0</v>
      </c>
      <c r="AGA9" s="8">
        <v>0</v>
      </c>
      <c r="AGB9" s="8">
        <v>0</v>
      </c>
      <c r="AGC9" s="8">
        <v>0</v>
      </c>
      <c r="AGD9" s="8">
        <v>0</v>
      </c>
      <c r="AGE9" s="8">
        <v>0</v>
      </c>
      <c r="AGF9" s="8">
        <v>0</v>
      </c>
      <c r="AGG9" s="8">
        <v>0</v>
      </c>
      <c r="AGH9" s="8">
        <v>0</v>
      </c>
      <c r="AGI9" s="8">
        <v>0</v>
      </c>
      <c r="AGJ9" s="8">
        <v>0</v>
      </c>
      <c r="AGK9" s="8">
        <v>0</v>
      </c>
      <c r="AGL9" s="8">
        <v>0</v>
      </c>
      <c r="AGM9" s="8">
        <v>0</v>
      </c>
      <c r="AGN9" s="8">
        <v>0</v>
      </c>
      <c r="AGO9" s="8">
        <v>0</v>
      </c>
      <c r="AGP9" s="8">
        <v>0</v>
      </c>
      <c r="AGQ9" s="8">
        <v>0</v>
      </c>
      <c r="AGR9" s="8">
        <v>0</v>
      </c>
      <c r="AGS9" s="8">
        <v>0</v>
      </c>
      <c r="AGT9" s="8">
        <v>0</v>
      </c>
      <c r="AGU9" s="8">
        <v>0</v>
      </c>
      <c r="AGV9" s="8">
        <v>0</v>
      </c>
      <c r="AGW9" s="8">
        <v>0</v>
      </c>
      <c r="AGX9" s="8">
        <v>0</v>
      </c>
      <c r="AGY9" s="8">
        <v>0</v>
      </c>
      <c r="AGZ9" s="8">
        <v>0</v>
      </c>
      <c r="AHA9" s="8">
        <v>0</v>
      </c>
      <c r="AHB9" s="8">
        <v>0</v>
      </c>
      <c r="AHC9" s="8">
        <v>0</v>
      </c>
      <c r="AHD9" s="8">
        <v>0</v>
      </c>
      <c r="AHE9" s="8">
        <v>0</v>
      </c>
      <c r="AHF9" s="8">
        <v>0</v>
      </c>
      <c r="AHG9" s="8">
        <v>0</v>
      </c>
      <c r="AHH9" s="8">
        <v>0</v>
      </c>
      <c r="AHI9" s="8">
        <v>0</v>
      </c>
      <c r="AHJ9" s="8">
        <v>0</v>
      </c>
      <c r="AHK9" s="8">
        <v>0</v>
      </c>
      <c r="AHL9" s="8">
        <v>0</v>
      </c>
      <c r="AHM9" s="8">
        <v>0</v>
      </c>
      <c r="AHN9" s="8">
        <v>0</v>
      </c>
      <c r="AHO9" s="8">
        <v>0</v>
      </c>
      <c r="AHP9" s="8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 t="e">
        <v>#N/A</v>
      </c>
      <c r="AIJ9" t="e">
        <v>#N/A</v>
      </c>
      <c r="AIK9" t="e">
        <v>#N/A</v>
      </c>
      <c r="AIL9" t="e">
        <v>#N/A</v>
      </c>
      <c r="AIM9" t="e">
        <v>#N/A</v>
      </c>
      <c r="AIN9" t="e">
        <v>#N/A</v>
      </c>
      <c r="AIO9" t="e">
        <v>#N/A</v>
      </c>
      <c r="AIP9" t="e">
        <v>#N/A</v>
      </c>
      <c r="AIQ9" t="e">
        <v>#N/A</v>
      </c>
      <c r="AIR9" t="e">
        <v>#N/A</v>
      </c>
      <c r="AIS9" t="e">
        <v>#N/A</v>
      </c>
      <c r="AIT9" t="e">
        <v>#N/A</v>
      </c>
      <c r="AIU9" t="e">
        <v>#N/A</v>
      </c>
      <c r="AIV9" t="e">
        <v>#N/A</v>
      </c>
      <c r="AIW9" t="e">
        <v>#N/A</v>
      </c>
      <c r="AIX9" t="e">
        <v>#N/A</v>
      </c>
      <c r="AIY9" t="e">
        <v>#N/A</v>
      </c>
      <c r="AIZ9" t="e">
        <v>#N/A</v>
      </c>
      <c r="AJA9" t="e">
        <v>#N/A</v>
      </c>
      <c r="AJB9" t="e">
        <v>#N/A</v>
      </c>
      <c r="AJC9" t="e">
        <v>#N/A</v>
      </c>
      <c r="AJD9" t="e">
        <v>#N/A</v>
      </c>
      <c r="AJE9" t="e">
        <v>#N/A</v>
      </c>
      <c r="AJF9" t="e">
        <v>#N/A</v>
      </c>
      <c r="AJG9" t="e">
        <v>#N/A</v>
      </c>
      <c r="AJH9" t="e">
        <v>#N/A</v>
      </c>
      <c r="AJI9" t="e">
        <v>#N/A</v>
      </c>
      <c r="AJJ9" t="e">
        <v>#N/A</v>
      </c>
      <c r="AJK9" t="e">
        <v>#N/A</v>
      </c>
      <c r="AJL9" t="e">
        <v>#N/A</v>
      </c>
      <c r="AJM9" t="e">
        <v>#N/A</v>
      </c>
      <c r="AJN9" t="e">
        <v>#N/A</v>
      </c>
      <c r="AJO9" t="e">
        <v>#N/A</v>
      </c>
      <c r="AJP9" t="e">
        <v>#N/A</v>
      </c>
      <c r="AJQ9" t="e">
        <v>#N/A</v>
      </c>
      <c r="AJR9" t="e">
        <v>#N/A</v>
      </c>
      <c r="AJS9" t="e">
        <v>#N/A</v>
      </c>
      <c r="AJT9" t="e">
        <v>#N/A</v>
      </c>
      <c r="AJU9" t="e">
        <v>#N/A</v>
      </c>
      <c r="AJV9" t="e">
        <v>#N/A</v>
      </c>
      <c r="AJW9" t="e">
        <v>#N/A</v>
      </c>
      <c r="AJX9" t="e">
        <v>#N/A</v>
      </c>
      <c r="AJY9" t="e">
        <v>#N/A</v>
      </c>
      <c r="AJZ9" t="e">
        <v>#N/A</v>
      </c>
      <c r="AKA9" t="e">
        <v>#N/A</v>
      </c>
      <c r="AKB9" t="e">
        <v>#N/A</v>
      </c>
      <c r="AKC9" t="e">
        <v>#N/A</v>
      </c>
      <c r="AKD9" t="e">
        <v>#N/A</v>
      </c>
      <c r="AKE9" t="e">
        <v>#N/A</v>
      </c>
      <c r="AKF9" t="e">
        <v>#N/A</v>
      </c>
      <c r="AKG9" t="e">
        <v>#N/A</v>
      </c>
      <c r="AKH9" t="e">
        <v>#N/A</v>
      </c>
      <c r="AKI9" t="e">
        <v>#N/A</v>
      </c>
      <c r="AKJ9" t="e">
        <v>#N/A</v>
      </c>
      <c r="AKK9" t="e">
        <v>#N/A</v>
      </c>
      <c r="AKL9" t="e">
        <v>#N/A</v>
      </c>
      <c r="AKM9" t="e">
        <v>#N/A</v>
      </c>
      <c r="AKN9" t="e">
        <v>#N/A</v>
      </c>
      <c r="AKO9" t="e">
        <v>#N/A</v>
      </c>
      <c r="AKP9" t="e">
        <v>#N/A</v>
      </c>
      <c r="AKQ9" t="e">
        <v>#N/A</v>
      </c>
      <c r="AKR9" t="e">
        <v>#N/A</v>
      </c>
      <c r="AKS9" t="e">
        <v>#N/A</v>
      </c>
      <c r="AKT9" t="e">
        <v>#N/A</v>
      </c>
      <c r="AKU9" t="e">
        <v>#N/A</v>
      </c>
      <c r="AKV9" t="e">
        <v>#N/A</v>
      </c>
      <c r="AKW9" t="e">
        <v>#N/A</v>
      </c>
      <c r="AKX9" t="e">
        <v>#N/A</v>
      </c>
      <c r="AKY9" t="e">
        <v>#N/A</v>
      </c>
      <c r="AKZ9" t="e">
        <v>#N/A</v>
      </c>
      <c r="ALA9" t="e">
        <v>#N/A</v>
      </c>
      <c r="ALB9" t="e">
        <v>#N/A</v>
      </c>
      <c r="ALC9" t="e">
        <v>#N/A</v>
      </c>
      <c r="ALD9" t="e">
        <v>#N/A</v>
      </c>
      <c r="ALE9" t="e">
        <v>#N/A</v>
      </c>
      <c r="ALF9" t="e">
        <v>#N/A</v>
      </c>
      <c r="ALG9" t="e">
        <v>#N/A</v>
      </c>
      <c r="ALH9" t="e">
        <v>#N/A</v>
      </c>
      <c r="ALI9" t="e">
        <v>#N/A</v>
      </c>
      <c r="ALJ9" t="e">
        <v>#N/A</v>
      </c>
      <c r="ALK9" t="e">
        <v>#N/A</v>
      </c>
      <c r="ALL9" t="e">
        <v>#N/A</v>
      </c>
      <c r="ALM9" t="e">
        <v>#N/A</v>
      </c>
      <c r="ALN9" t="e">
        <v>#N/A</v>
      </c>
      <c r="ALO9" t="e">
        <v>#N/A</v>
      </c>
      <c r="ALP9" t="e">
        <v>#N/A</v>
      </c>
      <c r="ALQ9" t="e">
        <v>#N/A</v>
      </c>
      <c r="ALR9" t="e">
        <v>#N/A</v>
      </c>
      <c r="ALS9" t="e">
        <v>#N/A</v>
      </c>
      <c r="ALT9" t="e">
        <v>#N/A</v>
      </c>
      <c r="ALU9" t="e">
        <v>#N/A</v>
      </c>
      <c r="ALV9" t="e">
        <v>#N/A</v>
      </c>
      <c r="ALW9" t="e">
        <v>#N/A</v>
      </c>
      <c r="ALX9" t="e">
        <v>#N/A</v>
      </c>
      <c r="ALY9" t="e">
        <v>#N/A</v>
      </c>
      <c r="ALZ9" t="e">
        <v>#N/A</v>
      </c>
      <c r="AMA9" t="e">
        <v>#N/A</v>
      </c>
      <c r="AMB9" t="e">
        <v>#N/A</v>
      </c>
      <c r="AMC9" t="e">
        <v>#N/A</v>
      </c>
      <c r="AMD9" t="e">
        <v>#N/A</v>
      </c>
      <c r="AME9" t="e">
        <v>#N/A</v>
      </c>
      <c r="AMF9" t="e">
        <v>#N/A</v>
      </c>
      <c r="AMG9" t="e">
        <v>#N/A</v>
      </c>
      <c r="AMH9" t="e">
        <v>#N/A</v>
      </c>
    </row>
    <row r="10" spans="1:1022" ht="15.75" customHeight="1">
      <c r="A10" s="8" t="str">
        <v>Lucy</v>
      </c>
      <c r="B10" s="8">
        <v>695</v>
      </c>
      <c r="C10" s="8">
        <v>365</v>
      </c>
      <c r="D10" s="8">
        <v>450</v>
      </c>
      <c r="E10" s="8">
        <v>540</v>
      </c>
      <c r="F10" s="8">
        <v>900</v>
      </c>
      <c r="G10" s="8">
        <v>675</v>
      </c>
      <c r="H10" s="8">
        <v>550</v>
      </c>
      <c r="I10" s="8">
        <v>260</v>
      </c>
      <c r="J10" s="8">
        <v>190</v>
      </c>
      <c r="K10" s="8">
        <v>430</v>
      </c>
      <c r="L10" s="8">
        <v>675</v>
      </c>
      <c r="M10" s="8">
        <v>410</v>
      </c>
      <c r="N10" s="8">
        <v>515</v>
      </c>
      <c r="O10" s="8">
        <v>265</v>
      </c>
      <c r="P10" s="8">
        <v>380</v>
      </c>
      <c r="Q10" s="8">
        <v>75</v>
      </c>
      <c r="R10" s="8">
        <v>695</v>
      </c>
      <c r="S10" s="8">
        <v>0</v>
      </c>
      <c r="T10" s="8">
        <v>400</v>
      </c>
      <c r="U10" s="8">
        <v>235</v>
      </c>
      <c r="V10" s="8">
        <v>145</v>
      </c>
      <c r="W10" s="8">
        <v>245</v>
      </c>
      <c r="X10" s="8">
        <v>145</v>
      </c>
      <c r="Y10" s="8">
        <v>390</v>
      </c>
      <c r="Z10" s="8">
        <v>185</v>
      </c>
      <c r="AA10" s="8">
        <v>520</v>
      </c>
      <c r="AB10" s="8">
        <v>480</v>
      </c>
      <c r="AC10" s="8">
        <v>150</v>
      </c>
      <c r="AD10" s="8">
        <v>520</v>
      </c>
      <c r="AE10" s="8">
        <v>360</v>
      </c>
      <c r="AF10" s="8">
        <v>285</v>
      </c>
      <c r="AG10" s="8">
        <v>520</v>
      </c>
      <c r="AH10" s="8">
        <v>460</v>
      </c>
      <c r="AI10" s="8">
        <v>470</v>
      </c>
      <c r="AJ10" s="8">
        <v>550</v>
      </c>
      <c r="AK10" s="8">
        <v>460</v>
      </c>
      <c r="AL10" s="8">
        <v>250</v>
      </c>
      <c r="AM10" s="8">
        <v>325</v>
      </c>
      <c r="AN10" s="8">
        <v>195</v>
      </c>
      <c r="AO10" s="8">
        <v>405</v>
      </c>
      <c r="AP10" s="8">
        <v>310</v>
      </c>
      <c r="AQ10" s="8">
        <v>630</v>
      </c>
      <c r="AR10" s="8">
        <v>165</v>
      </c>
      <c r="AS10" s="8">
        <v>0</v>
      </c>
      <c r="AT10" s="8">
        <v>325</v>
      </c>
      <c r="AU10" s="8">
        <v>500</v>
      </c>
      <c r="AV10" s="8">
        <v>600</v>
      </c>
      <c r="AW10" s="8">
        <v>45</v>
      </c>
      <c r="AX10" s="8">
        <v>580</v>
      </c>
      <c r="AY10" s="8">
        <v>164</v>
      </c>
      <c r="AZ10" s="8">
        <v>245</v>
      </c>
      <c r="BA10" s="8">
        <v>305</v>
      </c>
      <c r="BB10" s="8">
        <v>190</v>
      </c>
      <c r="BC10" s="8">
        <v>255</v>
      </c>
      <c r="BD10" s="8">
        <v>90</v>
      </c>
      <c r="BE10" s="8">
        <v>520</v>
      </c>
      <c r="BF10" s="8">
        <v>235</v>
      </c>
      <c r="BG10" s="8">
        <v>375</v>
      </c>
      <c r="BH10" s="8">
        <v>205</v>
      </c>
      <c r="BI10" s="8">
        <v>495</v>
      </c>
      <c r="BJ10" s="8">
        <v>405</v>
      </c>
      <c r="BK10" s="8">
        <v>505</v>
      </c>
      <c r="BL10" s="8">
        <v>540</v>
      </c>
      <c r="BM10" s="8">
        <v>240</v>
      </c>
      <c r="BN10" s="8">
        <v>310</v>
      </c>
      <c r="BO10" s="8">
        <v>425</v>
      </c>
      <c r="BP10" s="8">
        <v>385</v>
      </c>
      <c r="BQ10" s="8">
        <v>0</v>
      </c>
      <c r="BR10" s="8">
        <v>555</v>
      </c>
      <c r="BS10" s="8">
        <v>455</v>
      </c>
      <c r="BT10" s="8">
        <v>0</v>
      </c>
      <c r="BU10" s="8">
        <v>270</v>
      </c>
      <c r="BV10" s="8">
        <v>0</v>
      </c>
      <c r="BW10" s="8">
        <v>295</v>
      </c>
      <c r="BX10" s="8">
        <v>330</v>
      </c>
      <c r="BY10" s="8">
        <v>315</v>
      </c>
      <c r="BZ10" s="8">
        <v>510</v>
      </c>
      <c r="CA10" s="8">
        <v>380</v>
      </c>
      <c r="CB10" s="8">
        <v>130</v>
      </c>
      <c r="CC10" s="8">
        <v>700</v>
      </c>
      <c r="CD10" s="8">
        <v>0</v>
      </c>
      <c r="CE10" s="8">
        <v>615</v>
      </c>
      <c r="CF10" s="8">
        <v>830</v>
      </c>
      <c r="CG10" s="8">
        <v>225</v>
      </c>
      <c r="CH10" s="8">
        <v>420</v>
      </c>
      <c r="CI10" s="8">
        <v>365</v>
      </c>
      <c r="CJ10" s="8">
        <v>885</v>
      </c>
      <c r="CK10" s="8">
        <v>470</v>
      </c>
      <c r="CL10" s="8">
        <v>220</v>
      </c>
      <c r="CM10" s="8">
        <v>795</v>
      </c>
      <c r="CN10" s="8">
        <v>95</v>
      </c>
      <c r="CO10" s="8">
        <v>0</v>
      </c>
      <c r="CP10" s="8">
        <v>590</v>
      </c>
      <c r="CQ10" s="8">
        <v>510</v>
      </c>
      <c r="CR10" s="8">
        <v>225</v>
      </c>
      <c r="CS10" s="8">
        <v>315</v>
      </c>
      <c r="CT10" s="8">
        <v>320</v>
      </c>
      <c r="CU10" s="8">
        <v>705</v>
      </c>
      <c r="CV10" s="8">
        <v>230</v>
      </c>
      <c r="CW10" s="8">
        <v>560</v>
      </c>
      <c r="CX10" s="8">
        <v>660</v>
      </c>
      <c r="CY10" s="8">
        <v>330</v>
      </c>
      <c r="CZ10" s="8">
        <v>500</v>
      </c>
      <c r="DA10" s="8">
        <v>240</v>
      </c>
      <c r="DB10" s="8">
        <v>560</v>
      </c>
      <c r="DC10" s="8">
        <v>535</v>
      </c>
      <c r="DD10" s="8">
        <v>455</v>
      </c>
      <c r="DE10" s="8">
        <v>510</v>
      </c>
      <c r="DF10" s="8">
        <v>145</v>
      </c>
      <c r="DG10" s="8">
        <v>485</v>
      </c>
      <c r="DH10" s="8">
        <v>340</v>
      </c>
      <c r="DI10" s="8">
        <v>250</v>
      </c>
      <c r="DJ10" s="8">
        <v>485</v>
      </c>
      <c r="DK10" s="8">
        <v>355</v>
      </c>
      <c r="DL10" s="8">
        <v>335</v>
      </c>
      <c r="DM10" s="8">
        <v>310</v>
      </c>
      <c r="DN10" s="8">
        <v>350</v>
      </c>
      <c r="DO10" s="8">
        <v>520</v>
      </c>
      <c r="DP10" s="8">
        <v>150</v>
      </c>
      <c r="DQ10" s="8">
        <v>420</v>
      </c>
      <c r="DR10" s="8">
        <v>560</v>
      </c>
      <c r="DS10" s="8">
        <v>575</v>
      </c>
      <c r="DT10" s="8">
        <v>0</v>
      </c>
      <c r="DU10" s="8">
        <v>385</v>
      </c>
      <c r="DV10" s="8">
        <v>270</v>
      </c>
      <c r="DW10" s="8">
        <v>420</v>
      </c>
      <c r="DX10" s="8">
        <v>215</v>
      </c>
      <c r="DY10" s="8">
        <v>140</v>
      </c>
      <c r="DZ10" s="8">
        <v>300</v>
      </c>
      <c r="EA10" s="8">
        <v>480</v>
      </c>
      <c r="EB10" s="8">
        <v>925</v>
      </c>
      <c r="EC10" s="8">
        <v>695</v>
      </c>
      <c r="ED10" s="8">
        <v>145</v>
      </c>
      <c r="EE10" s="8">
        <v>445</v>
      </c>
      <c r="EF10" s="8">
        <v>420</v>
      </c>
      <c r="EG10" s="8">
        <v>100</v>
      </c>
      <c r="EH10" s="8">
        <v>380</v>
      </c>
      <c r="EI10" s="8">
        <v>400</v>
      </c>
      <c r="EJ10" s="8">
        <v>385</v>
      </c>
      <c r="EK10" s="8">
        <v>290</v>
      </c>
      <c r="EL10" s="8">
        <v>290</v>
      </c>
      <c r="EM10" s="8">
        <v>680</v>
      </c>
      <c r="EN10" s="8">
        <v>460</v>
      </c>
      <c r="EO10" s="8">
        <v>565</v>
      </c>
      <c r="EP10" s="8">
        <v>290</v>
      </c>
      <c r="EQ10" s="8">
        <v>0</v>
      </c>
      <c r="ER10" s="8">
        <v>435</v>
      </c>
      <c r="ES10" s="8">
        <v>475</v>
      </c>
      <c r="ET10" s="8">
        <v>390</v>
      </c>
      <c r="EU10" s="8">
        <v>390</v>
      </c>
      <c r="EV10" s="8">
        <v>720</v>
      </c>
      <c r="EW10" s="8">
        <v>240</v>
      </c>
      <c r="EX10" s="8">
        <v>240</v>
      </c>
      <c r="EY10" s="8">
        <v>205</v>
      </c>
      <c r="EZ10" s="8">
        <v>520</v>
      </c>
      <c r="FA10" s="8">
        <v>400</v>
      </c>
      <c r="FB10" s="8">
        <v>545</v>
      </c>
      <c r="FC10" s="8">
        <v>455</v>
      </c>
      <c r="FD10" s="8">
        <v>265</v>
      </c>
      <c r="FE10" s="8">
        <v>265</v>
      </c>
      <c r="FF10" s="8">
        <v>260</v>
      </c>
      <c r="FG10" s="8">
        <v>300</v>
      </c>
      <c r="FH10" s="8">
        <v>325</v>
      </c>
      <c r="FI10" s="8">
        <v>525</v>
      </c>
      <c r="FJ10" s="8">
        <v>235</v>
      </c>
      <c r="FK10" s="8">
        <v>810</v>
      </c>
      <c r="FL10" s="8">
        <v>255</v>
      </c>
      <c r="FM10" s="8">
        <v>675</v>
      </c>
      <c r="FN10" s="8">
        <v>310</v>
      </c>
      <c r="FO10" s="8">
        <v>185</v>
      </c>
      <c r="FP10" s="8">
        <v>280</v>
      </c>
      <c r="FQ10" s="8">
        <v>300</v>
      </c>
      <c r="FR10" s="8">
        <v>195</v>
      </c>
      <c r="FS10" s="8">
        <v>475</v>
      </c>
      <c r="FT10" s="8">
        <v>285</v>
      </c>
      <c r="FU10" s="8">
        <v>170</v>
      </c>
      <c r="FV10" s="8">
        <v>345</v>
      </c>
      <c r="FW10" s="8">
        <v>450</v>
      </c>
      <c r="FX10" s="8">
        <v>0</v>
      </c>
      <c r="FY10" s="8">
        <v>465</v>
      </c>
      <c r="FZ10" s="8">
        <v>330</v>
      </c>
      <c r="GA10" s="8">
        <v>500</v>
      </c>
      <c r="GB10" s="8">
        <v>165</v>
      </c>
      <c r="GC10" s="8">
        <v>375</v>
      </c>
      <c r="GD10" s="8">
        <v>265</v>
      </c>
      <c r="GE10" s="8">
        <v>655</v>
      </c>
      <c r="GF10" s="8">
        <v>375</v>
      </c>
      <c r="GG10" s="8">
        <v>185</v>
      </c>
      <c r="GH10" s="8">
        <v>570</v>
      </c>
      <c r="GI10" s="8">
        <v>110</v>
      </c>
      <c r="GJ10" s="8">
        <v>310</v>
      </c>
      <c r="GK10" s="8">
        <v>165</v>
      </c>
      <c r="GL10" s="8">
        <v>340</v>
      </c>
      <c r="GM10" s="8">
        <v>590</v>
      </c>
      <c r="GN10" s="8">
        <v>290</v>
      </c>
      <c r="GO10" s="8">
        <v>260</v>
      </c>
      <c r="GP10" s="8">
        <v>460</v>
      </c>
      <c r="GQ10" s="8">
        <v>220</v>
      </c>
      <c r="GR10" s="8">
        <v>580</v>
      </c>
      <c r="GS10" s="8">
        <v>605</v>
      </c>
      <c r="GT10" s="8">
        <v>350</v>
      </c>
      <c r="GU10" s="8">
        <v>285</v>
      </c>
      <c r="GV10" s="8">
        <v>210</v>
      </c>
      <c r="GW10" s="8">
        <v>260</v>
      </c>
      <c r="GX10" s="8">
        <v>125</v>
      </c>
      <c r="GY10" s="8">
        <v>0</v>
      </c>
      <c r="GZ10" s="8">
        <v>600</v>
      </c>
      <c r="HA10" s="8">
        <v>155</v>
      </c>
      <c r="HB10" s="8">
        <v>0</v>
      </c>
      <c r="HC10" s="8">
        <v>440</v>
      </c>
      <c r="HD10" s="8">
        <v>605</v>
      </c>
      <c r="HE10" s="8">
        <v>285</v>
      </c>
      <c r="HF10" s="8">
        <v>270</v>
      </c>
      <c r="HG10" s="8">
        <v>760</v>
      </c>
      <c r="HH10" s="8">
        <v>130</v>
      </c>
      <c r="HI10" s="8">
        <v>465</v>
      </c>
      <c r="HJ10" s="8">
        <v>740</v>
      </c>
      <c r="HK10" s="8">
        <v>575</v>
      </c>
      <c r="HL10" s="8">
        <v>840</v>
      </c>
      <c r="HM10" s="8">
        <v>320</v>
      </c>
      <c r="HN10" s="8">
        <v>205</v>
      </c>
      <c r="HO10" s="8">
        <v>290</v>
      </c>
      <c r="HP10" s="8">
        <v>645</v>
      </c>
      <c r="HQ10" s="8">
        <v>0</v>
      </c>
      <c r="HR10" s="8">
        <v>85</v>
      </c>
      <c r="HS10" s="8">
        <v>690</v>
      </c>
      <c r="HT10" s="8">
        <v>495</v>
      </c>
      <c r="HU10" s="8">
        <v>365</v>
      </c>
      <c r="HV10" s="8">
        <v>330</v>
      </c>
      <c r="HW10" s="8">
        <v>230</v>
      </c>
      <c r="HX10" s="8">
        <v>310</v>
      </c>
      <c r="HY10" s="8">
        <v>225</v>
      </c>
      <c r="HZ10" s="8">
        <v>365</v>
      </c>
      <c r="IA10" s="8">
        <v>630</v>
      </c>
      <c r="IB10" s="8">
        <v>230</v>
      </c>
      <c r="IC10" s="8">
        <v>290</v>
      </c>
      <c r="ID10" s="8">
        <v>665</v>
      </c>
      <c r="IE10" s="8">
        <v>335</v>
      </c>
      <c r="IF10" s="8">
        <v>385</v>
      </c>
      <c r="IG10" s="8">
        <v>225</v>
      </c>
      <c r="IH10" s="8">
        <v>140</v>
      </c>
      <c r="II10" s="8">
        <v>400</v>
      </c>
      <c r="IJ10" s="8">
        <v>390</v>
      </c>
      <c r="IK10" s="8">
        <v>315</v>
      </c>
      <c r="IL10" s="8">
        <v>535</v>
      </c>
      <c r="IM10" s="8">
        <v>230</v>
      </c>
      <c r="IN10" s="8">
        <v>450</v>
      </c>
      <c r="IO10" s="8">
        <v>340</v>
      </c>
      <c r="IP10" s="8">
        <v>135</v>
      </c>
      <c r="IQ10" s="8">
        <v>460</v>
      </c>
      <c r="IR10" s="8">
        <v>660</v>
      </c>
      <c r="IS10" s="8">
        <v>505</v>
      </c>
      <c r="IT10" s="8">
        <v>415</v>
      </c>
      <c r="IU10" s="8">
        <v>130</v>
      </c>
      <c r="IV10" s="8">
        <v>280</v>
      </c>
      <c r="IW10" s="8">
        <v>560</v>
      </c>
      <c r="IX10" s="8">
        <v>345</v>
      </c>
      <c r="IY10" s="8">
        <v>435</v>
      </c>
      <c r="IZ10" s="8">
        <v>715</v>
      </c>
      <c r="JA10" s="8">
        <v>320</v>
      </c>
      <c r="JB10" s="8">
        <v>30</v>
      </c>
      <c r="JC10" s="8">
        <v>530</v>
      </c>
      <c r="JD10" s="8">
        <v>725</v>
      </c>
      <c r="JE10" s="8">
        <v>415</v>
      </c>
      <c r="JF10" s="8">
        <v>355</v>
      </c>
      <c r="JG10" s="8">
        <v>510</v>
      </c>
      <c r="JH10" s="8">
        <v>335</v>
      </c>
      <c r="JI10" s="8">
        <v>490</v>
      </c>
      <c r="JJ10" s="8">
        <v>470</v>
      </c>
      <c r="JK10" s="8">
        <v>0</v>
      </c>
      <c r="JL10" s="8">
        <v>530</v>
      </c>
      <c r="JM10" s="8">
        <v>435</v>
      </c>
      <c r="JN10" s="8">
        <v>370</v>
      </c>
      <c r="JO10" s="8">
        <v>240</v>
      </c>
      <c r="JP10" s="8">
        <v>305</v>
      </c>
      <c r="JQ10" s="8">
        <v>895</v>
      </c>
      <c r="JR10" s="8">
        <v>340</v>
      </c>
      <c r="JS10" s="8">
        <v>280</v>
      </c>
      <c r="JT10" s="8">
        <v>150</v>
      </c>
      <c r="JU10" s="8">
        <v>490</v>
      </c>
      <c r="JV10" s="8">
        <v>275</v>
      </c>
      <c r="JW10" s="8">
        <v>275</v>
      </c>
      <c r="JX10" s="8">
        <v>165</v>
      </c>
      <c r="JY10" s="8">
        <v>455</v>
      </c>
      <c r="JZ10" s="8">
        <v>480</v>
      </c>
      <c r="KA10" s="8">
        <v>580</v>
      </c>
      <c r="KB10" s="8">
        <v>0</v>
      </c>
      <c r="KC10" s="8">
        <v>265</v>
      </c>
      <c r="KD10" s="8">
        <v>585</v>
      </c>
      <c r="KE10" s="8">
        <v>325</v>
      </c>
      <c r="KF10" s="8">
        <v>605</v>
      </c>
      <c r="KG10" s="8">
        <v>505</v>
      </c>
      <c r="KH10" s="8">
        <v>165</v>
      </c>
      <c r="KI10" s="8">
        <v>0</v>
      </c>
      <c r="KJ10" s="8">
        <v>300</v>
      </c>
      <c r="KK10" s="8">
        <v>475</v>
      </c>
      <c r="KL10" s="8">
        <v>510</v>
      </c>
      <c r="KM10" s="8">
        <v>165</v>
      </c>
      <c r="KN10" s="8">
        <v>290</v>
      </c>
      <c r="KO10" s="8">
        <v>290</v>
      </c>
      <c r="KP10" s="8">
        <v>595</v>
      </c>
      <c r="KQ10" s="8">
        <v>485</v>
      </c>
      <c r="KR10" s="8">
        <v>375</v>
      </c>
      <c r="KS10" s="8">
        <v>630</v>
      </c>
      <c r="KT10" s="8">
        <v>790</v>
      </c>
      <c r="KU10" s="8">
        <v>460</v>
      </c>
      <c r="KV10" s="8">
        <v>275</v>
      </c>
      <c r="KW10" s="8">
        <v>365</v>
      </c>
      <c r="KX10" s="8">
        <v>370</v>
      </c>
      <c r="KY10" s="8">
        <v>570</v>
      </c>
      <c r="KZ10" s="8">
        <v>315</v>
      </c>
      <c r="LA10" s="8">
        <v>355</v>
      </c>
      <c r="LB10" s="8">
        <v>230</v>
      </c>
      <c r="LC10" s="8">
        <v>535</v>
      </c>
      <c r="LD10" s="8">
        <v>655</v>
      </c>
      <c r="LE10" s="8">
        <v>470</v>
      </c>
      <c r="LF10" s="8">
        <v>485</v>
      </c>
      <c r="LG10" s="8">
        <v>110</v>
      </c>
      <c r="LH10" s="8">
        <v>490</v>
      </c>
      <c r="LI10" s="8">
        <v>485</v>
      </c>
      <c r="LJ10" s="8">
        <v>400</v>
      </c>
      <c r="LK10" s="8">
        <v>1100</v>
      </c>
      <c r="LL10" s="8">
        <v>200</v>
      </c>
      <c r="LM10" s="8">
        <v>420</v>
      </c>
      <c r="LN10" s="8">
        <v>220</v>
      </c>
      <c r="LO10" s="8">
        <v>385</v>
      </c>
      <c r="LP10" s="8">
        <v>355</v>
      </c>
      <c r="LQ10" s="8">
        <v>420</v>
      </c>
      <c r="LR10" s="8">
        <v>490</v>
      </c>
      <c r="LS10" s="8">
        <v>410</v>
      </c>
      <c r="LT10" s="8">
        <v>235</v>
      </c>
      <c r="LU10" s="8">
        <v>675</v>
      </c>
      <c r="LV10" s="8">
        <v>170</v>
      </c>
      <c r="LW10" s="8">
        <v>240</v>
      </c>
      <c r="LX10" s="8">
        <v>840</v>
      </c>
      <c r="LY10" s="8">
        <v>415</v>
      </c>
      <c r="LZ10" s="8">
        <v>480</v>
      </c>
      <c r="MA10" s="8">
        <v>150</v>
      </c>
      <c r="MB10" s="8">
        <v>620</v>
      </c>
      <c r="MC10" s="8">
        <v>425</v>
      </c>
      <c r="MD10" s="8">
        <v>690</v>
      </c>
      <c r="ME10" s="8">
        <v>385</v>
      </c>
      <c r="MF10" s="8">
        <v>180</v>
      </c>
      <c r="MG10" s="8">
        <v>815</v>
      </c>
      <c r="MH10" s="8">
        <v>440</v>
      </c>
      <c r="MI10" s="8">
        <v>325</v>
      </c>
      <c r="MJ10" s="8">
        <v>135</v>
      </c>
      <c r="MK10" s="8">
        <v>370</v>
      </c>
      <c r="ML10" s="8">
        <v>275</v>
      </c>
      <c r="MM10" s="8">
        <v>735</v>
      </c>
      <c r="MN10" s="8">
        <v>85</v>
      </c>
      <c r="MO10" s="8">
        <v>630</v>
      </c>
      <c r="MP10" s="8">
        <v>615</v>
      </c>
      <c r="MQ10" s="8">
        <v>330</v>
      </c>
      <c r="MR10" s="8">
        <v>325</v>
      </c>
      <c r="MS10" s="8">
        <v>290</v>
      </c>
      <c r="MT10" s="8">
        <v>615</v>
      </c>
      <c r="MU10" s="8">
        <v>945</v>
      </c>
      <c r="MV10" s="8">
        <v>700</v>
      </c>
      <c r="MW10" s="8">
        <v>440</v>
      </c>
      <c r="MX10" s="8">
        <v>560</v>
      </c>
      <c r="MY10" s="8">
        <v>615</v>
      </c>
      <c r="MZ10" s="8">
        <v>225</v>
      </c>
      <c r="NA10" s="8">
        <v>385</v>
      </c>
      <c r="NB10" s="8">
        <v>235</v>
      </c>
      <c r="NC10" s="8">
        <v>575</v>
      </c>
      <c r="ND10" s="8">
        <v>150</v>
      </c>
      <c r="NE10" s="8">
        <v>160</v>
      </c>
      <c r="NF10" s="8">
        <v>100</v>
      </c>
      <c r="NG10" s="8">
        <v>830</v>
      </c>
      <c r="NH10" s="8">
        <v>450</v>
      </c>
      <c r="NI10" s="8">
        <v>495</v>
      </c>
      <c r="NJ10" s="8">
        <v>460</v>
      </c>
      <c r="NK10" s="8">
        <v>315</v>
      </c>
      <c r="NL10" s="8">
        <v>510</v>
      </c>
      <c r="NM10" s="8">
        <v>250</v>
      </c>
      <c r="NN10" s="8">
        <v>120</v>
      </c>
      <c r="NO10" s="8">
        <v>220</v>
      </c>
      <c r="NP10" s="8">
        <v>555</v>
      </c>
      <c r="NQ10" s="8">
        <v>630</v>
      </c>
      <c r="NR10" s="8">
        <v>330</v>
      </c>
      <c r="NS10" s="8">
        <v>495</v>
      </c>
      <c r="NT10" s="8">
        <v>375</v>
      </c>
      <c r="NU10" s="8">
        <v>450</v>
      </c>
      <c r="NV10" s="8">
        <v>670</v>
      </c>
      <c r="NW10" s="8">
        <v>590</v>
      </c>
      <c r="NX10" s="8">
        <v>110</v>
      </c>
      <c r="NY10" s="8">
        <v>415</v>
      </c>
      <c r="NZ10" s="8">
        <v>130</v>
      </c>
      <c r="OA10" s="8">
        <v>420</v>
      </c>
      <c r="OB10" s="8">
        <v>515</v>
      </c>
      <c r="OC10" s="8">
        <v>175</v>
      </c>
      <c r="OD10" s="8">
        <v>180</v>
      </c>
      <c r="OE10" s="8">
        <v>350</v>
      </c>
      <c r="OF10" s="8">
        <v>325</v>
      </c>
      <c r="OG10" s="8">
        <v>545</v>
      </c>
      <c r="OH10" s="8">
        <v>390</v>
      </c>
      <c r="OI10" s="8">
        <v>205</v>
      </c>
      <c r="OJ10" s="8">
        <v>735</v>
      </c>
      <c r="OK10" s="8">
        <v>545</v>
      </c>
      <c r="OL10" s="8">
        <v>555</v>
      </c>
      <c r="OM10" s="8">
        <v>345</v>
      </c>
      <c r="ON10" s="8">
        <v>620</v>
      </c>
      <c r="OO10" s="8">
        <v>420</v>
      </c>
      <c r="OP10" s="8">
        <v>300</v>
      </c>
      <c r="OQ10" s="8">
        <v>495</v>
      </c>
      <c r="OR10" s="8">
        <v>640</v>
      </c>
      <c r="OS10" s="8">
        <v>535</v>
      </c>
      <c r="OT10" s="8">
        <v>515</v>
      </c>
      <c r="OU10" s="8">
        <v>415</v>
      </c>
      <c r="OV10" s="8">
        <v>375</v>
      </c>
      <c r="OW10" s="8">
        <v>710</v>
      </c>
      <c r="OX10" s="8">
        <v>290</v>
      </c>
      <c r="OY10" s="8">
        <v>300</v>
      </c>
      <c r="OZ10" s="8">
        <v>290</v>
      </c>
      <c r="PA10" s="8">
        <v>160</v>
      </c>
      <c r="PB10" s="8">
        <v>1055</v>
      </c>
      <c r="PC10" s="8">
        <v>790</v>
      </c>
      <c r="PD10" s="8">
        <v>290</v>
      </c>
      <c r="PE10" s="8">
        <v>755</v>
      </c>
      <c r="PF10" s="8">
        <v>445</v>
      </c>
      <c r="PG10" s="8">
        <v>695</v>
      </c>
      <c r="PH10" s="8">
        <v>205</v>
      </c>
      <c r="PI10" s="8">
        <v>365</v>
      </c>
      <c r="PJ10" s="8">
        <v>605</v>
      </c>
      <c r="PK10" s="8">
        <v>325</v>
      </c>
      <c r="PL10" s="8">
        <v>345</v>
      </c>
      <c r="PM10" s="8">
        <v>290</v>
      </c>
      <c r="PN10" s="8">
        <v>525</v>
      </c>
      <c r="PO10" s="8">
        <v>315</v>
      </c>
      <c r="PP10" s="8">
        <v>405</v>
      </c>
      <c r="PQ10" s="8">
        <v>615</v>
      </c>
      <c r="PR10" s="8">
        <v>255</v>
      </c>
      <c r="PS10" s="8">
        <v>515</v>
      </c>
      <c r="PT10" s="8">
        <v>0</v>
      </c>
      <c r="PU10" s="8">
        <v>0</v>
      </c>
      <c r="PV10" s="8">
        <v>0</v>
      </c>
      <c r="PW10" s="8">
        <v>0</v>
      </c>
      <c r="PX10" s="8">
        <v>0</v>
      </c>
      <c r="PY10" s="8">
        <v>0</v>
      </c>
      <c r="PZ10" s="8">
        <v>0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0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</v>
      </c>
      <c r="RN10" s="8">
        <v>0</v>
      </c>
      <c r="RO10" s="8">
        <v>0</v>
      </c>
      <c r="RP10" s="8">
        <v>0</v>
      </c>
      <c r="RQ10" s="8">
        <v>0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0</v>
      </c>
      <c r="SA10" s="8">
        <v>0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0</v>
      </c>
      <c r="SP10" s="8">
        <v>0</v>
      </c>
      <c r="SQ10" s="8">
        <v>0</v>
      </c>
      <c r="SR10" s="8">
        <v>0</v>
      </c>
      <c r="SS10" s="8">
        <v>0</v>
      </c>
      <c r="ST10" s="8">
        <v>0</v>
      </c>
      <c r="SU10" s="8">
        <v>0</v>
      </c>
      <c r="SV10" s="8">
        <v>0</v>
      </c>
      <c r="SW10" s="8">
        <v>0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8">
        <v>0</v>
      </c>
      <c r="TI10" s="8">
        <v>0</v>
      </c>
      <c r="TJ10" s="8">
        <v>0</v>
      </c>
      <c r="TK10" s="8">
        <v>0</v>
      </c>
      <c r="TL10" s="8">
        <v>0</v>
      </c>
      <c r="TM10" s="8">
        <v>0</v>
      </c>
      <c r="TN10" s="8">
        <v>0</v>
      </c>
      <c r="TO10" s="8">
        <v>0</v>
      </c>
      <c r="TP10" s="8">
        <v>0</v>
      </c>
      <c r="TQ10" s="8">
        <v>0</v>
      </c>
      <c r="TR10" s="8">
        <v>0</v>
      </c>
      <c r="TS10" s="8">
        <v>0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0</v>
      </c>
      <c r="UD10" s="8">
        <v>0</v>
      </c>
      <c r="UE10" s="8">
        <v>0</v>
      </c>
      <c r="UF10" s="8">
        <v>0</v>
      </c>
      <c r="UG10" s="8">
        <v>0</v>
      </c>
      <c r="UH10" s="8">
        <v>0</v>
      </c>
      <c r="UI10" s="8">
        <v>0</v>
      </c>
      <c r="UJ10" s="8">
        <v>0</v>
      </c>
      <c r="UK10" s="8">
        <v>0</v>
      </c>
      <c r="UL10" s="8">
        <v>0</v>
      </c>
      <c r="UM10" s="8">
        <v>0</v>
      </c>
      <c r="UN10" s="8">
        <v>0</v>
      </c>
      <c r="UO10" s="8">
        <v>0</v>
      </c>
      <c r="UP10" s="8">
        <v>0</v>
      </c>
      <c r="UQ10" s="8">
        <v>0</v>
      </c>
      <c r="UR10" s="8">
        <v>0</v>
      </c>
      <c r="US10" s="8">
        <v>0</v>
      </c>
      <c r="UT10" s="8">
        <v>0</v>
      </c>
      <c r="UU10" s="8">
        <v>0</v>
      </c>
      <c r="UV10" s="8">
        <v>0</v>
      </c>
      <c r="UW10" s="8">
        <v>0</v>
      </c>
      <c r="UX10" s="8">
        <v>0</v>
      </c>
      <c r="UY10" s="8">
        <v>0</v>
      </c>
      <c r="UZ10" s="8">
        <v>0</v>
      </c>
      <c r="VA10" s="8">
        <v>0</v>
      </c>
      <c r="VB10" s="8">
        <v>0</v>
      </c>
      <c r="VC10" s="8">
        <v>0</v>
      </c>
      <c r="VD10" s="8">
        <v>0</v>
      </c>
      <c r="VE10" s="8">
        <v>0</v>
      </c>
      <c r="VF10" s="8">
        <v>0</v>
      </c>
      <c r="VG10" s="8">
        <v>0</v>
      </c>
      <c r="VH10" s="8">
        <v>0</v>
      </c>
      <c r="VI10" s="8">
        <v>0</v>
      </c>
      <c r="VJ10" s="8">
        <v>0</v>
      </c>
      <c r="VK10" s="8">
        <v>0</v>
      </c>
      <c r="VL10" s="8">
        <v>0</v>
      </c>
      <c r="VM10" s="8">
        <v>0</v>
      </c>
      <c r="VN10" s="8">
        <v>0</v>
      </c>
      <c r="VO10" s="8">
        <v>0</v>
      </c>
      <c r="VP10" s="8">
        <v>0</v>
      </c>
      <c r="VQ10" s="8">
        <v>0</v>
      </c>
      <c r="VR10" s="8">
        <v>0</v>
      </c>
      <c r="VS10" s="8">
        <v>0</v>
      </c>
      <c r="VT10" s="8">
        <v>0</v>
      </c>
      <c r="VU10" s="8">
        <v>0</v>
      </c>
      <c r="VV10" s="8">
        <v>0</v>
      </c>
      <c r="VW10" s="8">
        <v>0</v>
      </c>
      <c r="VX10" s="8">
        <v>0</v>
      </c>
      <c r="VY10" s="8">
        <v>0</v>
      </c>
      <c r="VZ10" s="8">
        <v>0</v>
      </c>
      <c r="WA10" s="8">
        <v>0</v>
      </c>
      <c r="WB10" s="8">
        <v>0</v>
      </c>
      <c r="WC10" s="8">
        <v>0</v>
      </c>
      <c r="WD10" s="8">
        <v>0</v>
      </c>
      <c r="WE10" s="8">
        <v>0</v>
      </c>
      <c r="WF10" s="8">
        <v>0</v>
      </c>
      <c r="WG10" s="8">
        <v>0</v>
      </c>
      <c r="WH10" s="8">
        <v>0</v>
      </c>
      <c r="WI10" s="8">
        <v>0</v>
      </c>
      <c r="WJ10" s="8">
        <v>0</v>
      </c>
      <c r="WK10" s="8">
        <v>0</v>
      </c>
      <c r="WL10" s="8">
        <v>0</v>
      </c>
      <c r="WM10" s="8">
        <v>0</v>
      </c>
      <c r="WN10" s="8">
        <v>0</v>
      </c>
      <c r="WO10" s="8">
        <v>0</v>
      </c>
      <c r="WP10" s="8">
        <v>0</v>
      </c>
      <c r="WQ10" s="8">
        <v>0</v>
      </c>
      <c r="WR10" s="8">
        <v>0</v>
      </c>
      <c r="WS10" s="8">
        <v>0</v>
      </c>
      <c r="WT10" s="8">
        <v>0</v>
      </c>
      <c r="WU10" s="8">
        <v>0</v>
      </c>
      <c r="WV10" s="8">
        <v>0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  <c r="XB10" s="8">
        <v>0</v>
      </c>
      <c r="XC10" s="8">
        <v>0</v>
      </c>
      <c r="XD10" s="8">
        <v>0</v>
      </c>
      <c r="XE10" s="8">
        <v>0</v>
      </c>
      <c r="XF10" s="8">
        <v>0</v>
      </c>
      <c r="XG10" s="8">
        <v>0</v>
      </c>
      <c r="XH10" s="8">
        <v>0</v>
      </c>
      <c r="XI10" s="8">
        <v>0</v>
      </c>
      <c r="XJ10" s="8">
        <v>0</v>
      </c>
      <c r="XK10" s="8">
        <v>0</v>
      </c>
      <c r="XL10" s="8">
        <v>0</v>
      </c>
      <c r="XM10" s="8">
        <v>0</v>
      </c>
      <c r="XN10" s="8">
        <v>0</v>
      </c>
      <c r="XO10" s="8">
        <v>0</v>
      </c>
      <c r="XP10" s="8">
        <v>0</v>
      </c>
      <c r="XQ10" s="8">
        <v>0</v>
      </c>
      <c r="XR10" s="8">
        <v>0</v>
      </c>
      <c r="XS10" s="8">
        <v>0</v>
      </c>
      <c r="XT10" s="8">
        <v>0</v>
      </c>
      <c r="XU10" s="8">
        <v>0</v>
      </c>
      <c r="XV10" s="8">
        <v>0</v>
      </c>
      <c r="XW10" s="8">
        <v>0</v>
      </c>
      <c r="XX10" s="8">
        <v>0</v>
      </c>
      <c r="XY10" s="8">
        <v>0</v>
      </c>
      <c r="XZ10" s="8">
        <v>0</v>
      </c>
      <c r="YA10" s="8">
        <v>0</v>
      </c>
      <c r="YB10" s="8">
        <v>0</v>
      </c>
      <c r="YC10" s="8">
        <v>0</v>
      </c>
      <c r="YD10" s="8">
        <v>0</v>
      </c>
      <c r="YE10" s="8">
        <v>0</v>
      </c>
      <c r="YF10" s="8">
        <v>0</v>
      </c>
      <c r="YG10" s="8">
        <v>0</v>
      </c>
      <c r="YH10" s="8">
        <v>0</v>
      </c>
      <c r="YI10" s="8">
        <v>0</v>
      </c>
      <c r="YJ10" s="8">
        <v>0</v>
      </c>
      <c r="YK10" s="8">
        <v>0</v>
      </c>
      <c r="YL10" s="8">
        <v>0</v>
      </c>
      <c r="YM10" s="8">
        <v>0</v>
      </c>
      <c r="YN10" s="8">
        <v>0</v>
      </c>
      <c r="YO10" s="8">
        <v>0</v>
      </c>
      <c r="YP10" s="8">
        <v>0</v>
      </c>
      <c r="YQ10" s="8">
        <v>0</v>
      </c>
      <c r="YR10" s="8">
        <v>0</v>
      </c>
      <c r="YS10" s="8">
        <v>0</v>
      </c>
      <c r="YT10" s="8">
        <v>0</v>
      </c>
      <c r="YU10" s="8">
        <v>0</v>
      </c>
      <c r="YV10" s="8">
        <v>0</v>
      </c>
      <c r="YW10" s="8">
        <v>0</v>
      </c>
      <c r="YX10" s="8">
        <v>0</v>
      </c>
      <c r="YY10" s="8">
        <v>0</v>
      </c>
      <c r="YZ10" s="8">
        <v>0</v>
      </c>
      <c r="ZA10" s="8">
        <v>0</v>
      </c>
      <c r="ZB10" s="8">
        <v>0</v>
      </c>
      <c r="ZC10" s="8">
        <v>0</v>
      </c>
      <c r="ZD10" s="8">
        <v>0</v>
      </c>
      <c r="ZE10" s="8">
        <v>0</v>
      </c>
      <c r="ZF10" s="8">
        <v>0</v>
      </c>
      <c r="ZG10" s="8">
        <v>0</v>
      </c>
      <c r="ZH10" s="8">
        <v>0</v>
      </c>
      <c r="ZI10" s="8">
        <v>0</v>
      </c>
      <c r="ZJ10" s="8">
        <v>0</v>
      </c>
      <c r="ZK10" s="8">
        <v>0</v>
      </c>
      <c r="ZL10" s="8">
        <v>0</v>
      </c>
      <c r="ZM10" s="8">
        <v>0</v>
      </c>
      <c r="ZN10" s="8">
        <v>0</v>
      </c>
      <c r="ZO10" s="8">
        <v>0</v>
      </c>
      <c r="ZP10" s="8">
        <v>0</v>
      </c>
      <c r="ZQ10" s="8">
        <v>0</v>
      </c>
      <c r="ZR10" s="8">
        <v>0</v>
      </c>
      <c r="ZS10" s="8">
        <v>0</v>
      </c>
      <c r="ZT10" s="8">
        <v>0</v>
      </c>
      <c r="ZU10" s="8">
        <v>0</v>
      </c>
      <c r="ZV10" s="8">
        <v>0</v>
      </c>
      <c r="ZW10" s="8">
        <v>0</v>
      </c>
      <c r="ZX10" s="8">
        <v>0</v>
      </c>
      <c r="ZY10" s="8">
        <v>0</v>
      </c>
      <c r="ZZ10" s="8">
        <v>0</v>
      </c>
      <c r="AAA10" s="8">
        <v>0</v>
      </c>
      <c r="AAB10" s="8">
        <v>0</v>
      </c>
      <c r="AAC10" s="8">
        <v>0</v>
      </c>
      <c r="AAD10" s="8">
        <v>0</v>
      </c>
      <c r="AAE10" s="8">
        <v>0</v>
      </c>
      <c r="AAF10" s="8">
        <v>0</v>
      </c>
      <c r="AAG10" s="8">
        <v>0</v>
      </c>
      <c r="AAH10" s="8">
        <v>0</v>
      </c>
      <c r="AAI10" s="8">
        <v>0</v>
      </c>
      <c r="AAJ10" s="8">
        <v>0</v>
      </c>
      <c r="AAK10" s="8">
        <v>0</v>
      </c>
      <c r="AAL10" s="8">
        <v>0</v>
      </c>
      <c r="AAM10" s="8">
        <v>0</v>
      </c>
      <c r="AAN10" s="8">
        <v>0</v>
      </c>
      <c r="AAO10" s="8">
        <v>0</v>
      </c>
      <c r="AAP10" s="8">
        <v>0</v>
      </c>
      <c r="AAQ10" s="8">
        <v>0</v>
      </c>
      <c r="AAR10" s="8">
        <v>0</v>
      </c>
      <c r="AAS10" s="8">
        <v>0</v>
      </c>
      <c r="AAT10" s="8">
        <v>0</v>
      </c>
      <c r="AAU10" s="8">
        <v>0</v>
      </c>
      <c r="AAV10" s="8">
        <v>0</v>
      </c>
      <c r="AAW10" s="8">
        <v>0</v>
      </c>
      <c r="AAX10" s="8">
        <v>0</v>
      </c>
      <c r="AAY10" s="8">
        <v>0</v>
      </c>
      <c r="AAZ10" s="8">
        <v>0</v>
      </c>
      <c r="ABA10" s="8">
        <v>0</v>
      </c>
      <c r="ABB10" s="8">
        <v>0</v>
      </c>
      <c r="ABC10" s="8">
        <v>0</v>
      </c>
      <c r="ABD10" s="8">
        <v>0</v>
      </c>
      <c r="ABE10" s="8">
        <v>0</v>
      </c>
      <c r="ABF10" s="8">
        <v>0</v>
      </c>
      <c r="ABG10" s="8">
        <v>0</v>
      </c>
      <c r="ABH10" s="8">
        <v>0</v>
      </c>
      <c r="ABI10" s="8">
        <v>0</v>
      </c>
      <c r="ABJ10" s="8">
        <v>0</v>
      </c>
      <c r="ABK10" s="8">
        <v>0</v>
      </c>
      <c r="ABL10" s="8">
        <v>0</v>
      </c>
      <c r="ABM10" s="8">
        <v>0</v>
      </c>
      <c r="ABN10" s="8">
        <v>0</v>
      </c>
      <c r="ABO10" s="8">
        <v>0</v>
      </c>
      <c r="ABP10" s="8">
        <v>0</v>
      </c>
      <c r="ABQ10" s="8">
        <v>0</v>
      </c>
      <c r="ABR10" s="8">
        <v>0</v>
      </c>
      <c r="ABS10" s="8">
        <v>0</v>
      </c>
      <c r="ABT10" s="8">
        <v>0</v>
      </c>
      <c r="ABU10" s="8">
        <v>0</v>
      </c>
      <c r="ABV10" s="8">
        <v>0</v>
      </c>
      <c r="ABW10" s="8">
        <v>0</v>
      </c>
      <c r="ABX10" s="8">
        <v>0</v>
      </c>
      <c r="ABY10" s="8">
        <v>0</v>
      </c>
      <c r="ABZ10" s="8">
        <v>0</v>
      </c>
      <c r="ACA10" s="8">
        <v>0</v>
      </c>
      <c r="ACB10" s="8">
        <v>0</v>
      </c>
      <c r="ACC10" s="8">
        <v>0</v>
      </c>
      <c r="ACD10" s="8">
        <v>0</v>
      </c>
      <c r="ACE10" s="8">
        <v>0</v>
      </c>
      <c r="ACF10" s="8">
        <v>0</v>
      </c>
      <c r="ACG10" s="8">
        <v>0</v>
      </c>
      <c r="ACH10" s="8">
        <v>0</v>
      </c>
      <c r="ACI10" s="8">
        <v>0</v>
      </c>
      <c r="ACJ10" s="8">
        <v>0</v>
      </c>
      <c r="ACK10" s="8">
        <v>0</v>
      </c>
      <c r="ACL10" s="8">
        <v>0</v>
      </c>
      <c r="ACM10" s="8">
        <v>0</v>
      </c>
      <c r="ACN10" s="8">
        <v>0</v>
      </c>
      <c r="ACO10" s="8">
        <v>0</v>
      </c>
      <c r="ACP10" s="8">
        <v>0</v>
      </c>
      <c r="ACQ10" s="8">
        <v>0</v>
      </c>
      <c r="ACR10" s="8">
        <v>0</v>
      </c>
      <c r="ACS10" s="8">
        <v>0</v>
      </c>
      <c r="ACT10" s="8">
        <v>0</v>
      </c>
      <c r="ACU10" s="8">
        <v>0</v>
      </c>
      <c r="ACV10" s="8">
        <v>0</v>
      </c>
      <c r="ACW10" s="8">
        <v>0</v>
      </c>
      <c r="ACX10" s="8">
        <v>0</v>
      </c>
      <c r="ACY10" s="8">
        <v>0</v>
      </c>
      <c r="ACZ10" s="8">
        <v>0</v>
      </c>
      <c r="ADA10" s="8">
        <v>0</v>
      </c>
      <c r="ADB10" s="8">
        <v>0</v>
      </c>
      <c r="ADC10" s="8">
        <v>0</v>
      </c>
      <c r="ADD10" s="8">
        <v>0</v>
      </c>
      <c r="ADE10" s="8">
        <v>0</v>
      </c>
      <c r="ADF10" s="8">
        <v>0</v>
      </c>
      <c r="ADG10" s="8">
        <v>0</v>
      </c>
      <c r="ADH10" s="8">
        <v>0</v>
      </c>
      <c r="ADI10" s="8">
        <v>0</v>
      </c>
      <c r="ADJ10" s="8">
        <v>0</v>
      </c>
      <c r="ADK10" s="8">
        <v>0</v>
      </c>
      <c r="ADL10" s="8">
        <v>0</v>
      </c>
      <c r="ADM10" s="8">
        <v>0</v>
      </c>
      <c r="ADN10" s="8">
        <v>0</v>
      </c>
      <c r="ADO10" s="8">
        <v>0</v>
      </c>
      <c r="ADP10" s="8">
        <v>0</v>
      </c>
      <c r="ADQ10" s="8">
        <v>0</v>
      </c>
      <c r="ADR10" s="8">
        <v>0</v>
      </c>
      <c r="ADS10" s="8">
        <v>0</v>
      </c>
      <c r="ADT10" s="8">
        <v>0</v>
      </c>
      <c r="ADU10" s="8">
        <v>0</v>
      </c>
      <c r="ADV10" s="8">
        <v>0</v>
      </c>
      <c r="ADW10" s="8">
        <v>0</v>
      </c>
      <c r="ADX10" s="8">
        <v>0</v>
      </c>
      <c r="ADY10" s="8">
        <v>0</v>
      </c>
      <c r="ADZ10" s="8">
        <v>0</v>
      </c>
      <c r="AEA10" s="8">
        <v>0</v>
      </c>
      <c r="AEB10" s="8">
        <v>0</v>
      </c>
      <c r="AEC10" s="8">
        <v>0</v>
      </c>
      <c r="AED10" s="8">
        <v>0</v>
      </c>
      <c r="AEE10" s="8">
        <v>0</v>
      </c>
      <c r="AEF10" s="8">
        <v>0</v>
      </c>
      <c r="AEG10" s="8">
        <v>0</v>
      </c>
      <c r="AEH10" s="8">
        <v>0</v>
      </c>
      <c r="AEI10" s="8">
        <v>0</v>
      </c>
      <c r="AEJ10" s="8">
        <v>0</v>
      </c>
      <c r="AEK10" s="8">
        <v>0</v>
      </c>
      <c r="AEL10" s="8">
        <v>0</v>
      </c>
      <c r="AEM10" s="8">
        <v>0</v>
      </c>
      <c r="AEN10" s="8">
        <v>0</v>
      </c>
      <c r="AEO10" s="8">
        <v>0</v>
      </c>
      <c r="AEP10" s="8">
        <v>0</v>
      </c>
      <c r="AEQ10" s="8">
        <v>0</v>
      </c>
      <c r="AER10" s="8">
        <v>0</v>
      </c>
      <c r="AES10" s="8">
        <v>0</v>
      </c>
      <c r="AET10" s="8">
        <v>0</v>
      </c>
      <c r="AEU10" s="8">
        <v>0</v>
      </c>
      <c r="AEV10" s="8">
        <v>0</v>
      </c>
      <c r="AEW10" s="8">
        <v>0</v>
      </c>
      <c r="AEX10" s="8">
        <v>0</v>
      </c>
      <c r="AEY10" s="8">
        <v>0</v>
      </c>
      <c r="AEZ10" s="8">
        <v>0</v>
      </c>
      <c r="AFA10" s="8">
        <v>0</v>
      </c>
      <c r="AFB10" s="8">
        <v>0</v>
      </c>
      <c r="AFC10" s="8">
        <v>0</v>
      </c>
      <c r="AFD10" s="8">
        <v>0</v>
      </c>
      <c r="AFE10" s="8">
        <v>0</v>
      </c>
      <c r="AFF10" s="8">
        <v>0</v>
      </c>
      <c r="AFG10" s="8">
        <v>0</v>
      </c>
      <c r="AFH10" s="8">
        <v>0</v>
      </c>
      <c r="AFI10" s="8">
        <v>0</v>
      </c>
      <c r="AFJ10" s="8">
        <v>0</v>
      </c>
      <c r="AFK10" s="8">
        <v>0</v>
      </c>
      <c r="AFL10" s="8">
        <v>0</v>
      </c>
      <c r="AFM10" s="8">
        <v>0</v>
      </c>
      <c r="AFN10" s="8">
        <v>0</v>
      </c>
      <c r="AFO10" s="8">
        <v>0</v>
      </c>
      <c r="AFP10" s="8">
        <v>0</v>
      </c>
      <c r="AFQ10" s="8">
        <v>0</v>
      </c>
      <c r="AFR10" s="8">
        <v>0</v>
      </c>
      <c r="AFS10" s="8">
        <v>0</v>
      </c>
      <c r="AFT10" s="8">
        <v>0</v>
      </c>
      <c r="AFU10" s="8">
        <v>0</v>
      </c>
      <c r="AFV10" s="8">
        <v>0</v>
      </c>
      <c r="AFW10" s="8">
        <v>0</v>
      </c>
      <c r="AFX10" s="8">
        <v>0</v>
      </c>
      <c r="AFY10" s="8">
        <v>0</v>
      </c>
      <c r="AFZ10" s="8">
        <v>0</v>
      </c>
      <c r="AGA10" s="8">
        <v>0</v>
      </c>
      <c r="AGB10" s="8">
        <v>0</v>
      </c>
      <c r="AGC10" s="8">
        <v>0</v>
      </c>
      <c r="AGD10" s="8">
        <v>0</v>
      </c>
      <c r="AGE10" s="8">
        <v>0</v>
      </c>
      <c r="AGF10" s="8">
        <v>0</v>
      </c>
      <c r="AGG10" s="8">
        <v>0</v>
      </c>
      <c r="AGH10" s="8">
        <v>0</v>
      </c>
      <c r="AGI10" s="8">
        <v>0</v>
      </c>
      <c r="AGJ10" s="8">
        <v>0</v>
      </c>
      <c r="AGK10" s="8">
        <v>0</v>
      </c>
      <c r="AGL10" s="8">
        <v>0</v>
      </c>
      <c r="AGM10" s="8">
        <v>0</v>
      </c>
      <c r="AGN10" s="8">
        <v>0</v>
      </c>
      <c r="AGO10" s="8">
        <v>0</v>
      </c>
      <c r="AGP10" s="8">
        <v>0</v>
      </c>
      <c r="AGQ10" s="8">
        <v>0</v>
      </c>
      <c r="AGR10" s="8">
        <v>0</v>
      </c>
      <c r="AGS10" s="8">
        <v>0</v>
      </c>
      <c r="AGT10" s="8">
        <v>0</v>
      </c>
      <c r="AGU10" s="8">
        <v>0</v>
      </c>
      <c r="AGV10" s="8">
        <v>0</v>
      </c>
      <c r="AGW10" s="8">
        <v>0</v>
      </c>
      <c r="AGX10" s="8">
        <v>0</v>
      </c>
      <c r="AGY10" s="8">
        <v>0</v>
      </c>
      <c r="AGZ10" s="8">
        <v>0</v>
      </c>
      <c r="AHA10" s="8">
        <v>0</v>
      </c>
      <c r="AHB10" s="8">
        <v>0</v>
      </c>
      <c r="AHC10" s="8">
        <v>0</v>
      </c>
      <c r="AHD10" s="8">
        <v>0</v>
      </c>
      <c r="AHE10" s="8">
        <v>0</v>
      </c>
      <c r="AHF10" s="8">
        <v>0</v>
      </c>
      <c r="AHG10" s="8">
        <v>0</v>
      </c>
      <c r="AHH10" s="8">
        <v>0</v>
      </c>
      <c r="AHI10" s="8">
        <v>0</v>
      </c>
      <c r="AHJ10" s="8">
        <v>0</v>
      </c>
      <c r="AHK10" s="8">
        <v>0</v>
      </c>
      <c r="AHL10" s="8">
        <v>0</v>
      </c>
      <c r="AHM10" s="8">
        <v>0</v>
      </c>
      <c r="AHN10" s="8">
        <v>0</v>
      </c>
      <c r="AHO10" s="8">
        <v>0</v>
      </c>
      <c r="AHP10" s="8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 t="e">
        <v>#N/A</v>
      </c>
      <c r="AIJ10" t="e">
        <v>#N/A</v>
      </c>
      <c r="AIK10" t="e">
        <v>#N/A</v>
      </c>
      <c r="AIL10" t="e">
        <v>#N/A</v>
      </c>
      <c r="AIM10" t="e">
        <v>#N/A</v>
      </c>
      <c r="AIN10" t="e">
        <v>#N/A</v>
      </c>
      <c r="AIO10" t="e">
        <v>#N/A</v>
      </c>
      <c r="AIP10" t="e">
        <v>#N/A</v>
      </c>
      <c r="AIQ10" t="e">
        <v>#N/A</v>
      </c>
      <c r="AIR10" t="e">
        <v>#N/A</v>
      </c>
      <c r="AIS10" t="e">
        <v>#N/A</v>
      </c>
      <c r="AIT10" t="e">
        <v>#N/A</v>
      </c>
      <c r="AIU10" t="e">
        <v>#N/A</v>
      </c>
      <c r="AIV10" t="e">
        <v>#N/A</v>
      </c>
      <c r="AIW10" t="e">
        <v>#N/A</v>
      </c>
      <c r="AIX10" t="e">
        <v>#N/A</v>
      </c>
      <c r="AIY10" t="e">
        <v>#N/A</v>
      </c>
      <c r="AIZ10" t="e">
        <v>#N/A</v>
      </c>
      <c r="AJA10" t="e">
        <v>#N/A</v>
      </c>
      <c r="AJB10" t="e">
        <v>#N/A</v>
      </c>
      <c r="AJC10" t="e">
        <v>#N/A</v>
      </c>
      <c r="AJD10" t="e">
        <v>#N/A</v>
      </c>
      <c r="AJE10" t="e">
        <v>#N/A</v>
      </c>
      <c r="AJF10" t="e">
        <v>#N/A</v>
      </c>
      <c r="AJG10" t="e">
        <v>#N/A</v>
      </c>
      <c r="AJH10" t="e">
        <v>#N/A</v>
      </c>
      <c r="AJI10" t="e">
        <v>#N/A</v>
      </c>
      <c r="AJJ10" t="e">
        <v>#N/A</v>
      </c>
      <c r="AJK10" t="e">
        <v>#N/A</v>
      </c>
      <c r="AJL10" t="e">
        <v>#N/A</v>
      </c>
      <c r="AJM10" t="e">
        <v>#N/A</v>
      </c>
      <c r="AJN10" t="e">
        <v>#N/A</v>
      </c>
      <c r="AJO10" t="e">
        <v>#N/A</v>
      </c>
      <c r="AJP10" t="e">
        <v>#N/A</v>
      </c>
      <c r="AJQ10" t="e">
        <v>#N/A</v>
      </c>
      <c r="AJR10" t="e">
        <v>#N/A</v>
      </c>
      <c r="AJS10" t="e">
        <v>#N/A</v>
      </c>
      <c r="AJT10" t="e">
        <v>#N/A</v>
      </c>
      <c r="AJU10" t="e">
        <v>#N/A</v>
      </c>
      <c r="AJV10" t="e">
        <v>#N/A</v>
      </c>
      <c r="AJW10" t="e">
        <v>#N/A</v>
      </c>
      <c r="AJX10" t="e">
        <v>#N/A</v>
      </c>
      <c r="AJY10" t="e">
        <v>#N/A</v>
      </c>
      <c r="AJZ10" t="e">
        <v>#N/A</v>
      </c>
      <c r="AKA10" t="e">
        <v>#N/A</v>
      </c>
      <c r="AKB10" t="e">
        <v>#N/A</v>
      </c>
      <c r="AKC10" t="e">
        <v>#N/A</v>
      </c>
      <c r="AKD10" t="e">
        <v>#N/A</v>
      </c>
      <c r="AKE10" t="e">
        <v>#N/A</v>
      </c>
      <c r="AKF10" t="e">
        <v>#N/A</v>
      </c>
      <c r="AKG10" t="e">
        <v>#N/A</v>
      </c>
      <c r="AKH10" t="e">
        <v>#N/A</v>
      </c>
      <c r="AKI10" t="e">
        <v>#N/A</v>
      </c>
      <c r="AKJ10" t="e">
        <v>#N/A</v>
      </c>
      <c r="AKK10" t="e">
        <v>#N/A</v>
      </c>
      <c r="AKL10" t="e">
        <v>#N/A</v>
      </c>
      <c r="AKM10" t="e">
        <v>#N/A</v>
      </c>
      <c r="AKN10" t="e">
        <v>#N/A</v>
      </c>
      <c r="AKO10" t="e">
        <v>#N/A</v>
      </c>
      <c r="AKP10" t="e">
        <v>#N/A</v>
      </c>
      <c r="AKQ10" t="e">
        <v>#N/A</v>
      </c>
      <c r="AKR10" t="e">
        <v>#N/A</v>
      </c>
      <c r="AKS10" t="e">
        <v>#N/A</v>
      </c>
      <c r="AKT10" t="e">
        <v>#N/A</v>
      </c>
      <c r="AKU10" t="e">
        <v>#N/A</v>
      </c>
      <c r="AKV10" t="e">
        <v>#N/A</v>
      </c>
      <c r="AKW10" t="e">
        <v>#N/A</v>
      </c>
      <c r="AKX10" t="e">
        <v>#N/A</v>
      </c>
      <c r="AKY10" t="e">
        <v>#N/A</v>
      </c>
      <c r="AKZ10" t="e">
        <v>#N/A</v>
      </c>
      <c r="ALA10" t="e">
        <v>#N/A</v>
      </c>
      <c r="ALB10" t="e">
        <v>#N/A</v>
      </c>
      <c r="ALC10" t="e">
        <v>#N/A</v>
      </c>
      <c r="ALD10" t="e">
        <v>#N/A</v>
      </c>
      <c r="ALE10" t="e">
        <v>#N/A</v>
      </c>
      <c r="ALF10" t="e">
        <v>#N/A</v>
      </c>
      <c r="ALG10" t="e">
        <v>#N/A</v>
      </c>
      <c r="ALH10" t="e">
        <v>#N/A</v>
      </c>
      <c r="ALI10" t="e">
        <v>#N/A</v>
      </c>
      <c r="ALJ10" t="e">
        <v>#N/A</v>
      </c>
      <c r="ALK10" t="e">
        <v>#N/A</v>
      </c>
      <c r="ALL10" t="e">
        <v>#N/A</v>
      </c>
      <c r="ALM10" t="e">
        <v>#N/A</v>
      </c>
      <c r="ALN10" t="e">
        <v>#N/A</v>
      </c>
      <c r="ALO10" t="e">
        <v>#N/A</v>
      </c>
      <c r="ALP10" t="e">
        <v>#N/A</v>
      </c>
      <c r="ALQ10" t="e">
        <v>#N/A</v>
      </c>
      <c r="ALR10" t="e">
        <v>#N/A</v>
      </c>
      <c r="ALS10" t="e">
        <v>#N/A</v>
      </c>
      <c r="ALT10" t="e">
        <v>#N/A</v>
      </c>
      <c r="ALU10" t="e">
        <v>#N/A</v>
      </c>
      <c r="ALV10" t="e">
        <v>#N/A</v>
      </c>
      <c r="ALW10" t="e">
        <v>#N/A</v>
      </c>
      <c r="ALX10" t="e">
        <v>#N/A</v>
      </c>
      <c r="ALY10" t="e">
        <v>#N/A</v>
      </c>
      <c r="ALZ10" t="e">
        <v>#N/A</v>
      </c>
      <c r="AMA10" t="e">
        <v>#N/A</v>
      </c>
      <c r="AMB10" t="e">
        <v>#N/A</v>
      </c>
      <c r="AMC10" t="e">
        <v>#N/A</v>
      </c>
      <c r="AMD10" t="e">
        <v>#N/A</v>
      </c>
      <c r="AME10" t="e">
        <v>#N/A</v>
      </c>
      <c r="AMF10" t="e">
        <v>#N/A</v>
      </c>
      <c r="AMG10" t="e">
        <v>#N/A</v>
      </c>
      <c r="AMH10" t="e">
        <v>#N/A</v>
      </c>
    </row>
    <row r="11" spans="1:1022" ht="15.75" customHeight="1">
      <c r="A11" s="8" t="str">
        <v>Luna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240</v>
      </c>
      <c r="J11" s="8">
        <v>0</v>
      </c>
      <c r="K11" s="8">
        <v>0</v>
      </c>
      <c r="L11" s="8">
        <v>0</v>
      </c>
      <c r="M11" s="8">
        <v>380</v>
      </c>
      <c r="N11" s="8">
        <v>800</v>
      </c>
      <c r="O11" s="8">
        <v>0</v>
      </c>
      <c r="P11" s="8">
        <v>650</v>
      </c>
      <c r="Q11" s="8">
        <v>0</v>
      </c>
      <c r="R11" s="8">
        <v>0</v>
      </c>
      <c r="S11" s="8">
        <v>400</v>
      </c>
      <c r="T11" s="8">
        <v>0</v>
      </c>
      <c r="U11" s="8">
        <v>0</v>
      </c>
      <c r="V11" s="8">
        <v>120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605</v>
      </c>
      <c r="AG11" s="8">
        <v>0</v>
      </c>
      <c r="AH11" s="8">
        <v>0</v>
      </c>
      <c r="AI11" s="8">
        <v>0</v>
      </c>
      <c r="AJ11" s="8">
        <v>0</v>
      </c>
      <c r="AK11" s="8">
        <v>250</v>
      </c>
      <c r="AL11" s="8">
        <v>0</v>
      </c>
      <c r="AM11" s="8">
        <v>0</v>
      </c>
      <c r="AN11" s="8">
        <v>0</v>
      </c>
      <c r="AO11" s="8">
        <v>0</v>
      </c>
      <c r="AP11" s="8">
        <v>110</v>
      </c>
      <c r="AQ11" s="8">
        <v>1165</v>
      </c>
      <c r="AR11" s="8">
        <v>310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255</v>
      </c>
      <c r="BC11" s="8">
        <v>0</v>
      </c>
      <c r="BD11" s="8">
        <v>470</v>
      </c>
      <c r="BE11" s="8">
        <v>0</v>
      </c>
      <c r="BF11" s="8">
        <v>0</v>
      </c>
      <c r="BG11" s="8">
        <v>0</v>
      </c>
      <c r="BH11" s="8">
        <v>170</v>
      </c>
      <c r="BI11" s="8">
        <v>580</v>
      </c>
      <c r="BJ11" s="8">
        <v>105</v>
      </c>
      <c r="BK11" s="8">
        <v>310</v>
      </c>
      <c r="BL11" s="8">
        <v>280</v>
      </c>
      <c r="BM11" s="8">
        <v>445</v>
      </c>
      <c r="BN11" s="8">
        <v>765</v>
      </c>
      <c r="BO11" s="8">
        <v>0</v>
      </c>
      <c r="BP11" s="8">
        <v>830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215</v>
      </c>
      <c r="CM11" s="8">
        <v>825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325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250</v>
      </c>
      <c r="DE11" s="8">
        <v>0</v>
      </c>
      <c r="DF11" s="8">
        <v>460</v>
      </c>
      <c r="DG11" s="8">
        <v>385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40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270</v>
      </c>
      <c r="EG11" s="8">
        <v>240</v>
      </c>
      <c r="EH11" s="8">
        <v>0</v>
      </c>
      <c r="EI11" s="8">
        <v>515</v>
      </c>
      <c r="EJ11" s="8">
        <v>355</v>
      </c>
      <c r="EK11" s="8">
        <v>465</v>
      </c>
      <c r="EL11" s="8">
        <v>0</v>
      </c>
      <c r="EM11" s="8">
        <v>0</v>
      </c>
      <c r="EN11" s="8">
        <v>0</v>
      </c>
      <c r="EO11" s="8">
        <v>400</v>
      </c>
      <c r="EP11" s="8">
        <v>390</v>
      </c>
      <c r="EQ11" s="8">
        <v>0</v>
      </c>
      <c r="ER11" s="8">
        <v>310</v>
      </c>
      <c r="ES11" s="8">
        <v>280</v>
      </c>
      <c r="ET11" s="8">
        <v>270</v>
      </c>
      <c r="EU11" s="8">
        <v>250</v>
      </c>
      <c r="EV11" s="8">
        <v>475</v>
      </c>
      <c r="EW11" s="8">
        <v>0</v>
      </c>
      <c r="EX11" s="8">
        <v>0</v>
      </c>
      <c r="EY11" s="8">
        <v>615</v>
      </c>
      <c r="EZ11" s="8">
        <v>470</v>
      </c>
      <c r="FA11" s="8">
        <v>595</v>
      </c>
      <c r="FB11" s="8">
        <v>450</v>
      </c>
      <c r="FC11" s="8">
        <v>445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745</v>
      </c>
      <c r="FO11" s="8">
        <v>115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270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715</v>
      </c>
      <c r="GD11" s="8">
        <v>110</v>
      </c>
      <c r="GE11" s="8">
        <v>435</v>
      </c>
      <c r="GF11" s="8">
        <v>0</v>
      </c>
      <c r="GG11" s="8">
        <v>0</v>
      </c>
      <c r="GH11" s="8">
        <v>0</v>
      </c>
      <c r="GI11" s="8">
        <v>420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495</v>
      </c>
      <c r="GR11" s="8">
        <v>0</v>
      </c>
      <c r="GS11" s="8">
        <v>0</v>
      </c>
      <c r="GT11" s="8">
        <v>0</v>
      </c>
      <c r="GU11" s="8">
        <v>90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705</v>
      </c>
      <c r="HL11" s="8">
        <v>595</v>
      </c>
      <c r="HM11" s="8">
        <v>0</v>
      </c>
      <c r="HN11" s="8">
        <v>370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560</v>
      </c>
      <c r="IA11" s="8">
        <v>680</v>
      </c>
      <c r="IB11" s="8">
        <v>505</v>
      </c>
      <c r="IC11" s="8">
        <v>0</v>
      </c>
      <c r="ID11" s="8">
        <v>0</v>
      </c>
      <c r="IE11" s="8">
        <v>0</v>
      </c>
      <c r="IF11" s="8">
        <v>0</v>
      </c>
      <c r="IG11" s="8">
        <v>1030</v>
      </c>
      <c r="IH11" s="8">
        <v>165</v>
      </c>
      <c r="II11" s="8">
        <v>420</v>
      </c>
      <c r="IJ11" s="8">
        <v>250</v>
      </c>
      <c r="IK11" s="8">
        <v>220</v>
      </c>
      <c r="IL11" s="8">
        <v>340</v>
      </c>
      <c r="IM11" s="8">
        <v>560</v>
      </c>
      <c r="IN11" s="8">
        <v>0</v>
      </c>
      <c r="IO11" s="8">
        <v>0</v>
      </c>
      <c r="IP11" s="8">
        <v>0</v>
      </c>
      <c r="IQ11" s="8">
        <v>325</v>
      </c>
      <c r="IR11" s="8">
        <v>810</v>
      </c>
      <c r="IS11" s="8">
        <v>605</v>
      </c>
      <c r="IT11" s="8">
        <v>450</v>
      </c>
      <c r="IU11" s="8">
        <v>360</v>
      </c>
      <c r="IV11" s="8">
        <v>665</v>
      </c>
      <c r="IW11" s="8">
        <v>880</v>
      </c>
      <c r="IX11" s="8">
        <v>400</v>
      </c>
      <c r="IY11" s="8">
        <v>410</v>
      </c>
      <c r="IZ11" s="8">
        <v>385</v>
      </c>
      <c r="JA11" s="8">
        <v>115</v>
      </c>
      <c r="JB11" s="8">
        <v>425</v>
      </c>
      <c r="JC11" s="8">
        <v>380</v>
      </c>
      <c r="JD11" s="8">
        <v>275</v>
      </c>
      <c r="JE11" s="8">
        <v>530</v>
      </c>
      <c r="JF11" s="8">
        <v>1185</v>
      </c>
      <c r="JG11" s="8">
        <v>610</v>
      </c>
      <c r="JH11" s="8">
        <v>480</v>
      </c>
      <c r="JI11" s="8">
        <v>440</v>
      </c>
      <c r="JJ11" s="8">
        <v>0</v>
      </c>
      <c r="JK11" s="8">
        <v>0</v>
      </c>
      <c r="JL11" s="8">
        <v>0</v>
      </c>
      <c r="JM11" s="8">
        <v>0</v>
      </c>
      <c r="JN11" s="8">
        <v>0</v>
      </c>
      <c r="JO11" s="8">
        <v>245</v>
      </c>
      <c r="JP11" s="8">
        <v>785</v>
      </c>
      <c r="JQ11" s="8">
        <v>440</v>
      </c>
      <c r="JR11" s="8">
        <v>600</v>
      </c>
      <c r="JS11" s="8">
        <v>450</v>
      </c>
      <c r="JT11" s="8">
        <v>255</v>
      </c>
      <c r="JU11" s="8">
        <v>590</v>
      </c>
      <c r="JV11" s="8">
        <v>510</v>
      </c>
      <c r="JW11" s="8">
        <v>165</v>
      </c>
      <c r="JX11" s="8">
        <v>230</v>
      </c>
      <c r="JY11" s="8">
        <v>610</v>
      </c>
      <c r="JZ11" s="8">
        <v>250</v>
      </c>
      <c r="KA11" s="8">
        <v>1070</v>
      </c>
      <c r="KB11" s="8">
        <v>755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Q11" s="8">
        <v>0</v>
      </c>
      <c r="KR11" s="8">
        <v>540</v>
      </c>
      <c r="KS11" s="8">
        <v>460</v>
      </c>
      <c r="KT11" s="8">
        <v>0</v>
      </c>
      <c r="KU11" s="8">
        <v>405</v>
      </c>
      <c r="KV11" s="8">
        <v>705</v>
      </c>
      <c r="KW11" s="8">
        <v>520</v>
      </c>
      <c r="KX11" s="8">
        <v>425</v>
      </c>
      <c r="KY11" s="8">
        <v>525</v>
      </c>
      <c r="KZ11" s="8">
        <v>630</v>
      </c>
      <c r="LA11" s="8">
        <v>240</v>
      </c>
      <c r="LB11" s="8">
        <v>150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445</v>
      </c>
      <c r="LI11" s="8">
        <v>0</v>
      </c>
      <c r="LJ11" s="8">
        <v>0</v>
      </c>
      <c r="LK11" s="8">
        <v>880</v>
      </c>
      <c r="LL11" s="8">
        <v>0</v>
      </c>
      <c r="LM11" s="8">
        <v>0</v>
      </c>
      <c r="LN11" s="8">
        <v>0</v>
      </c>
      <c r="LO11" s="8">
        <v>505</v>
      </c>
      <c r="LP11" s="8">
        <v>255</v>
      </c>
      <c r="LQ11" s="8">
        <v>315</v>
      </c>
      <c r="LR11" s="8">
        <v>405</v>
      </c>
      <c r="LS11" s="8">
        <v>355</v>
      </c>
      <c r="LT11" s="8">
        <v>0</v>
      </c>
      <c r="LU11" s="8">
        <v>0</v>
      </c>
      <c r="LV11" s="8">
        <v>210</v>
      </c>
      <c r="LW11" s="8">
        <v>0</v>
      </c>
      <c r="LX11" s="8">
        <v>0</v>
      </c>
      <c r="LY11" s="8">
        <v>0</v>
      </c>
      <c r="LZ11" s="8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505</v>
      </c>
      <c r="MH11" s="8">
        <v>0</v>
      </c>
      <c r="MI11" s="8">
        <v>0</v>
      </c>
      <c r="MJ11" s="8">
        <v>585</v>
      </c>
      <c r="MK11" s="8">
        <v>495</v>
      </c>
      <c r="ML11" s="8">
        <v>0</v>
      </c>
      <c r="MM11" s="8">
        <v>0</v>
      </c>
      <c r="MN11" s="8">
        <v>330</v>
      </c>
      <c r="MO11" s="8">
        <v>0</v>
      </c>
      <c r="MP11" s="8">
        <v>390</v>
      </c>
      <c r="MQ11" s="8">
        <v>455</v>
      </c>
      <c r="MR11" s="8">
        <v>0</v>
      </c>
      <c r="MS11" s="8">
        <v>0</v>
      </c>
      <c r="MT11" s="8">
        <v>0</v>
      </c>
      <c r="MU11" s="8">
        <v>0</v>
      </c>
      <c r="MV11" s="8">
        <v>0</v>
      </c>
      <c r="MW11" s="8">
        <v>505</v>
      </c>
      <c r="MX11" s="8">
        <v>210</v>
      </c>
      <c r="MY11" s="8">
        <v>385</v>
      </c>
      <c r="MZ11" s="8">
        <v>0</v>
      </c>
      <c r="NA11" s="8">
        <v>320</v>
      </c>
      <c r="NB11" s="8">
        <v>425</v>
      </c>
      <c r="NC11" s="8">
        <v>635</v>
      </c>
      <c r="ND11" s="8">
        <v>0</v>
      </c>
      <c r="NE11" s="8">
        <v>0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0</v>
      </c>
      <c r="NM11" s="8">
        <v>0</v>
      </c>
      <c r="NN11" s="8">
        <v>585</v>
      </c>
      <c r="NO11" s="8">
        <v>330</v>
      </c>
      <c r="NP11" s="8">
        <v>365</v>
      </c>
      <c r="NQ11" s="8">
        <v>840</v>
      </c>
      <c r="NR11" s="8">
        <v>455</v>
      </c>
      <c r="NS11" s="8">
        <v>505</v>
      </c>
      <c r="NT11" s="8">
        <v>230</v>
      </c>
      <c r="NU11" s="8">
        <v>470</v>
      </c>
      <c r="NV11" s="8">
        <v>1025</v>
      </c>
      <c r="NW11" s="8">
        <v>405</v>
      </c>
      <c r="NX11" s="8">
        <v>300</v>
      </c>
      <c r="NY11" s="8">
        <v>635</v>
      </c>
      <c r="NZ11" s="8">
        <v>715</v>
      </c>
      <c r="OA11" s="8">
        <v>645</v>
      </c>
      <c r="OB11" s="8">
        <v>415</v>
      </c>
      <c r="OC11" s="8">
        <v>525</v>
      </c>
      <c r="OD11" s="8">
        <v>705</v>
      </c>
      <c r="OE11" s="8">
        <v>535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425</v>
      </c>
      <c r="OL11" s="8">
        <v>445</v>
      </c>
      <c r="OM11" s="8">
        <v>0</v>
      </c>
      <c r="ON11" s="8">
        <v>0</v>
      </c>
      <c r="OO11" s="8">
        <v>165</v>
      </c>
      <c r="OP11" s="8">
        <v>400</v>
      </c>
      <c r="OQ11" s="8">
        <v>720</v>
      </c>
      <c r="OR11" s="8">
        <v>230</v>
      </c>
      <c r="OS11" s="8">
        <v>0</v>
      </c>
      <c r="OT11" s="8">
        <v>0</v>
      </c>
      <c r="OU11" s="8">
        <v>0</v>
      </c>
      <c r="OV11" s="8">
        <v>530</v>
      </c>
      <c r="OW11" s="8">
        <v>305</v>
      </c>
      <c r="OX11" s="8">
        <v>395</v>
      </c>
      <c r="OY11" s="8">
        <v>0</v>
      </c>
      <c r="OZ11" s="8">
        <v>0</v>
      </c>
      <c r="PA11" s="8">
        <v>0</v>
      </c>
      <c r="PB11" s="8">
        <v>0</v>
      </c>
      <c r="PC11" s="8">
        <v>0</v>
      </c>
      <c r="PD11" s="8">
        <v>0</v>
      </c>
      <c r="PE11" s="8">
        <v>425</v>
      </c>
      <c r="PF11" s="8">
        <v>0</v>
      </c>
      <c r="PG11" s="8">
        <v>0</v>
      </c>
      <c r="PH11" s="8">
        <v>355</v>
      </c>
      <c r="PI11" s="8">
        <v>230</v>
      </c>
      <c r="PJ11" s="8">
        <v>860</v>
      </c>
      <c r="PK11" s="8">
        <v>215</v>
      </c>
      <c r="PL11" s="8">
        <v>0</v>
      </c>
      <c r="PM11" s="8">
        <v>0</v>
      </c>
      <c r="PN11" s="8">
        <v>235</v>
      </c>
      <c r="PO11" s="8">
        <v>365</v>
      </c>
      <c r="PP11" s="8">
        <v>495</v>
      </c>
      <c r="PQ11" s="8">
        <v>250</v>
      </c>
      <c r="PR11" s="8">
        <v>90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0</v>
      </c>
      <c r="SP11" s="8">
        <v>0</v>
      </c>
      <c r="SQ11" s="8">
        <v>0</v>
      </c>
      <c r="SR11" s="8">
        <v>0</v>
      </c>
      <c r="SS11" s="8">
        <v>0</v>
      </c>
      <c r="ST11" s="8">
        <v>0</v>
      </c>
      <c r="SU11" s="8">
        <v>0</v>
      </c>
      <c r="SV11" s="8">
        <v>0</v>
      </c>
      <c r="SW11" s="8">
        <v>0</v>
      </c>
      <c r="SX11" s="8">
        <v>0</v>
      </c>
      <c r="SY11" s="8">
        <v>0</v>
      </c>
      <c r="SZ11" s="8">
        <v>0</v>
      </c>
      <c r="TA11" s="8">
        <v>0</v>
      </c>
      <c r="TB11" s="8">
        <v>0</v>
      </c>
      <c r="TC11" s="8">
        <v>0</v>
      </c>
      <c r="TD11" s="8">
        <v>0</v>
      </c>
      <c r="TE11" s="8">
        <v>0</v>
      </c>
      <c r="TF11" s="8">
        <v>0</v>
      </c>
      <c r="TG11" s="8">
        <v>0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0</v>
      </c>
      <c r="TO11" s="8">
        <v>0</v>
      </c>
      <c r="TP11" s="8">
        <v>0</v>
      </c>
      <c r="TQ11" s="8">
        <v>0</v>
      </c>
      <c r="TR11" s="8">
        <v>0</v>
      </c>
      <c r="TS11" s="8">
        <v>0</v>
      </c>
      <c r="TT11" s="8">
        <v>0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0</v>
      </c>
      <c r="UB11" s="8">
        <v>0</v>
      </c>
      <c r="UC11" s="8">
        <v>0</v>
      </c>
      <c r="UD11" s="8">
        <v>0</v>
      </c>
      <c r="UE11" s="8">
        <v>0</v>
      </c>
      <c r="UF11" s="8">
        <v>0</v>
      </c>
      <c r="UG11" s="8">
        <v>0</v>
      </c>
      <c r="UH11" s="8">
        <v>0</v>
      </c>
      <c r="UI11" s="8">
        <v>0</v>
      </c>
      <c r="UJ11" s="8">
        <v>0</v>
      </c>
      <c r="UK11" s="8">
        <v>0</v>
      </c>
      <c r="UL11" s="8">
        <v>0</v>
      </c>
      <c r="UM11" s="8">
        <v>0</v>
      </c>
      <c r="UN11" s="8">
        <v>0</v>
      </c>
      <c r="UO11" s="8">
        <v>0</v>
      </c>
      <c r="UP11" s="8">
        <v>0</v>
      </c>
      <c r="UQ11" s="8">
        <v>0</v>
      </c>
      <c r="UR11" s="8">
        <v>0</v>
      </c>
      <c r="US11" s="8">
        <v>0</v>
      </c>
      <c r="UT11" s="8">
        <v>0</v>
      </c>
      <c r="UU11" s="8">
        <v>0</v>
      </c>
      <c r="UV11" s="8">
        <v>0</v>
      </c>
      <c r="UW11" s="8">
        <v>0</v>
      </c>
      <c r="UX11" s="8">
        <v>0</v>
      </c>
      <c r="UY11" s="8">
        <v>0</v>
      </c>
      <c r="UZ11" s="8">
        <v>0</v>
      </c>
      <c r="VA11" s="8">
        <v>0</v>
      </c>
      <c r="VB11" s="8">
        <v>0</v>
      </c>
      <c r="VC11" s="8">
        <v>0</v>
      </c>
      <c r="VD11" s="8">
        <v>0</v>
      </c>
      <c r="VE11" s="8">
        <v>0</v>
      </c>
      <c r="VF11" s="8">
        <v>0</v>
      </c>
      <c r="VG11" s="8">
        <v>0</v>
      </c>
      <c r="VH11" s="8">
        <v>0</v>
      </c>
      <c r="VI11" s="8">
        <v>0</v>
      </c>
      <c r="VJ11" s="8">
        <v>0</v>
      </c>
      <c r="VK11" s="8">
        <v>0</v>
      </c>
      <c r="VL11" s="8">
        <v>0</v>
      </c>
      <c r="VM11" s="8">
        <v>0</v>
      </c>
      <c r="VN11" s="8">
        <v>0</v>
      </c>
      <c r="VO11" s="8">
        <v>0</v>
      </c>
      <c r="VP11" s="8">
        <v>0</v>
      </c>
      <c r="VQ11" s="8">
        <v>0</v>
      </c>
      <c r="VR11" s="8">
        <v>0</v>
      </c>
      <c r="VS11" s="8">
        <v>0</v>
      </c>
      <c r="VT11" s="8">
        <v>0</v>
      </c>
      <c r="VU11" s="8">
        <v>0</v>
      </c>
      <c r="VV11" s="8">
        <v>0</v>
      </c>
      <c r="VW11" s="8">
        <v>0</v>
      </c>
      <c r="VX11" s="8">
        <v>0</v>
      </c>
      <c r="VY11" s="8">
        <v>0</v>
      </c>
      <c r="VZ11" s="8">
        <v>0</v>
      </c>
      <c r="WA11" s="8">
        <v>0</v>
      </c>
      <c r="WB11" s="8">
        <v>0</v>
      </c>
      <c r="WC11" s="8">
        <v>0</v>
      </c>
      <c r="WD11" s="8">
        <v>0</v>
      </c>
      <c r="WE11" s="8">
        <v>0</v>
      </c>
      <c r="WF11" s="8">
        <v>0</v>
      </c>
      <c r="WG11" s="8">
        <v>0</v>
      </c>
      <c r="WH11" s="8">
        <v>0</v>
      </c>
      <c r="WI11" s="8">
        <v>0</v>
      </c>
      <c r="WJ11" s="8">
        <v>0</v>
      </c>
      <c r="WK11" s="8">
        <v>0</v>
      </c>
      <c r="WL11" s="8">
        <v>0</v>
      </c>
      <c r="WM11" s="8">
        <v>0</v>
      </c>
      <c r="WN11" s="8">
        <v>0</v>
      </c>
      <c r="WO11" s="8">
        <v>0</v>
      </c>
      <c r="WP11" s="8">
        <v>0</v>
      </c>
      <c r="WQ11" s="8">
        <v>0</v>
      </c>
      <c r="WR11" s="8">
        <v>0</v>
      </c>
      <c r="WS11" s="8">
        <v>0</v>
      </c>
      <c r="WT11" s="8">
        <v>0</v>
      </c>
      <c r="WU11" s="8">
        <v>0</v>
      </c>
      <c r="WV11" s="8">
        <v>0</v>
      </c>
      <c r="WW11" s="8">
        <v>0</v>
      </c>
      <c r="WX11" s="8">
        <v>0</v>
      </c>
      <c r="WY11" s="8">
        <v>0</v>
      </c>
      <c r="WZ11" s="8">
        <v>0</v>
      </c>
      <c r="XA11" s="8">
        <v>0</v>
      </c>
      <c r="XB11" s="8">
        <v>0</v>
      </c>
      <c r="XC11" s="8">
        <v>0</v>
      </c>
      <c r="XD11" s="8">
        <v>0</v>
      </c>
      <c r="XE11" s="8">
        <v>0</v>
      </c>
      <c r="XF11" s="8">
        <v>0</v>
      </c>
      <c r="XG11" s="8">
        <v>0</v>
      </c>
      <c r="XH11" s="8">
        <v>0</v>
      </c>
      <c r="XI11" s="8">
        <v>0</v>
      </c>
      <c r="XJ11" s="8">
        <v>0</v>
      </c>
      <c r="XK11" s="8">
        <v>0</v>
      </c>
      <c r="XL11" s="8">
        <v>0</v>
      </c>
      <c r="XM11" s="8">
        <v>0</v>
      </c>
      <c r="XN11" s="8">
        <v>0</v>
      </c>
      <c r="XO11" s="8">
        <v>0</v>
      </c>
      <c r="XP11" s="8">
        <v>0</v>
      </c>
      <c r="XQ11" s="8">
        <v>0</v>
      </c>
      <c r="XR11" s="8">
        <v>0</v>
      </c>
      <c r="XS11" s="8">
        <v>0</v>
      </c>
      <c r="XT11" s="8">
        <v>0</v>
      </c>
      <c r="XU11" s="8">
        <v>0</v>
      </c>
      <c r="XV11" s="8">
        <v>0</v>
      </c>
      <c r="XW11" s="8">
        <v>0</v>
      </c>
      <c r="XX11" s="8">
        <v>0</v>
      </c>
      <c r="XY11" s="8">
        <v>0</v>
      </c>
      <c r="XZ11" s="8">
        <v>0</v>
      </c>
      <c r="YA11" s="8">
        <v>0</v>
      </c>
      <c r="YB11" s="8">
        <v>0</v>
      </c>
      <c r="YC11" s="8">
        <v>0</v>
      </c>
      <c r="YD11" s="8">
        <v>0</v>
      </c>
      <c r="YE11" s="8">
        <v>0</v>
      </c>
      <c r="YF11" s="8">
        <v>0</v>
      </c>
      <c r="YG11" s="8">
        <v>0</v>
      </c>
      <c r="YH11" s="8">
        <v>0</v>
      </c>
      <c r="YI11" s="8">
        <v>0</v>
      </c>
      <c r="YJ11" s="8">
        <v>0</v>
      </c>
      <c r="YK11" s="8">
        <v>0</v>
      </c>
      <c r="YL11" s="8">
        <v>0</v>
      </c>
      <c r="YM11" s="8">
        <v>0</v>
      </c>
      <c r="YN11" s="8">
        <v>0</v>
      </c>
      <c r="YO11" s="8">
        <v>0</v>
      </c>
      <c r="YP11" s="8">
        <v>0</v>
      </c>
      <c r="YQ11" s="8">
        <v>0</v>
      </c>
      <c r="YR11" s="8">
        <v>0</v>
      </c>
      <c r="YS11" s="8">
        <v>0</v>
      </c>
      <c r="YT11" s="8">
        <v>0</v>
      </c>
      <c r="YU11" s="8">
        <v>0</v>
      </c>
      <c r="YV11" s="8">
        <v>0</v>
      </c>
      <c r="YW11" s="8">
        <v>0</v>
      </c>
      <c r="YX11" s="8">
        <v>0</v>
      </c>
      <c r="YY11" s="8">
        <v>0</v>
      </c>
      <c r="YZ11" s="8">
        <v>0</v>
      </c>
      <c r="ZA11" s="8">
        <v>0</v>
      </c>
      <c r="ZB11" s="8">
        <v>0</v>
      </c>
      <c r="ZC11" s="8">
        <v>0</v>
      </c>
      <c r="ZD11" s="8">
        <v>0</v>
      </c>
      <c r="ZE11" s="8">
        <v>0</v>
      </c>
      <c r="ZF11" s="8">
        <v>0</v>
      </c>
      <c r="ZG11" s="8">
        <v>0</v>
      </c>
      <c r="ZH11" s="8">
        <v>0</v>
      </c>
      <c r="ZI11" s="8">
        <v>0</v>
      </c>
      <c r="ZJ11" s="8">
        <v>0</v>
      </c>
      <c r="ZK11" s="8">
        <v>0</v>
      </c>
      <c r="ZL11" s="8">
        <v>0</v>
      </c>
      <c r="ZM11" s="8">
        <v>0</v>
      </c>
      <c r="ZN11" s="8">
        <v>0</v>
      </c>
      <c r="ZO11" s="8">
        <v>0</v>
      </c>
      <c r="ZP11" s="8">
        <v>0</v>
      </c>
      <c r="ZQ11" s="8">
        <v>0</v>
      </c>
      <c r="ZR11" s="8">
        <v>0</v>
      </c>
      <c r="ZS11" s="8">
        <v>0</v>
      </c>
      <c r="ZT11" s="8">
        <v>0</v>
      </c>
      <c r="ZU11" s="8">
        <v>0</v>
      </c>
      <c r="ZV11" s="8">
        <v>0</v>
      </c>
      <c r="ZW11" s="8">
        <v>0</v>
      </c>
      <c r="ZX11" s="8">
        <v>0</v>
      </c>
      <c r="ZY11" s="8">
        <v>0</v>
      </c>
      <c r="ZZ11" s="8">
        <v>0</v>
      </c>
      <c r="AAA11" s="8">
        <v>0</v>
      </c>
      <c r="AAB11" s="8">
        <v>0</v>
      </c>
      <c r="AAC11" s="8">
        <v>0</v>
      </c>
      <c r="AAD11" s="8">
        <v>0</v>
      </c>
      <c r="AAE11" s="8">
        <v>0</v>
      </c>
      <c r="AAF11" s="8">
        <v>0</v>
      </c>
      <c r="AAG11" s="8">
        <v>0</v>
      </c>
      <c r="AAH11" s="8">
        <v>0</v>
      </c>
      <c r="AAI11" s="8">
        <v>0</v>
      </c>
      <c r="AAJ11" s="8">
        <v>0</v>
      </c>
      <c r="AAK11" s="8">
        <v>0</v>
      </c>
      <c r="AAL11" s="8">
        <v>0</v>
      </c>
      <c r="AAM11" s="8">
        <v>0</v>
      </c>
      <c r="AAN11" s="8">
        <v>0</v>
      </c>
      <c r="AAO11" s="8">
        <v>0</v>
      </c>
      <c r="AAP11" s="8">
        <v>0</v>
      </c>
      <c r="AAQ11" s="8">
        <v>0</v>
      </c>
      <c r="AAR11" s="8">
        <v>0</v>
      </c>
      <c r="AAS11" s="8">
        <v>0</v>
      </c>
      <c r="AAT11" s="8">
        <v>0</v>
      </c>
      <c r="AAU11" s="8">
        <v>0</v>
      </c>
      <c r="AAV11" s="8">
        <v>0</v>
      </c>
      <c r="AAW11" s="8">
        <v>0</v>
      </c>
      <c r="AAX11" s="8">
        <v>0</v>
      </c>
      <c r="AAY11" s="8">
        <v>0</v>
      </c>
      <c r="AAZ11" s="8">
        <v>0</v>
      </c>
      <c r="ABA11" s="8">
        <v>0</v>
      </c>
      <c r="ABB11" s="8">
        <v>0</v>
      </c>
      <c r="ABC11" s="8">
        <v>0</v>
      </c>
      <c r="ABD11" s="8">
        <v>0</v>
      </c>
      <c r="ABE11" s="8">
        <v>0</v>
      </c>
      <c r="ABF11" s="8">
        <v>0</v>
      </c>
      <c r="ABG11" s="8">
        <v>0</v>
      </c>
      <c r="ABH11" s="8">
        <v>0</v>
      </c>
      <c r="ABI11" s="8">
        <v>0</v>
      </c>
      <c r="ABJ11" s="8">
        <v>0</v>
      </c>
      <c r="ABK11" s="8">
        <v>0</v>
      </c>
      <c r="ABL11" s="8">
        <v>0</v>
      </c>
      <c r="ABM11" s="8">
        <v>0</v>
      </c>
      <c r="ABN11" s="8">
        <v>0</v>
      </c>
      <c r="ABO11" s="8">
        <v>0</v>
      </c>
      <c r="ABP11" s="8">
        <v>0</v>
      </c>
      <c r="ABQ11" s="8">
        <v>0</v>
      </c>
      <c r="ABR11" s="8">
        <v>0</v>
      </c>
      <c r="ABS11" s="8">
        <v>0</v>
      </c>
      <c r="ABT11" s="8">
        <v>0</v>
      </c>
      <c r="ABU11" s="8">
        <v>0</v>
      </c>
      <c r="ABV11" s="8">
        <v>0</v>
      </c>
      <c r="ABW11" s="8">
        <v>0</v>
      </c>
      <c r="ABX11" s="8">
        <v>0</v>
      </c>
      <c r="ABY11" s="8">
        <v>0</v>
      </c>
      <c r="ABZ11" s="8">
        <v>0</v>
      </c>
      <c r="ACA11" s="8">
        <v>0</v>
      </c>
      <c r="ACB11" s="8">
        <v>0</v>
      </c>
      <c r="ACC11" s="8">
        <v>0</v>
      </c>
      <c r="ACD11" s="8">
        <v>0</v>
      </c>
      <c r="ACE11" s="8">
        <v>0</v>
      </c>
      <c r="ACF11" s="8">
        <v>0</v>
      </c>
      <c r="ACG11" s="8">
        <v>0</v>
      </c>
      <c r="ACH11" s="8">
        <v>0</v>
      </c>
      <c r="ACI11" s="8">
        <v>0</v>
      </c>
      <c r="ACJ11" s="8">
        <v>0</v>
      </c>
      <c r="ACK11" s="8">
        <v>0</v>
      </c>
      <c r="ACL11" s="8">
        <v>0</v>
      </c>
      <c r="ACM11" s="8">
        <v>0</v>
      </c>
      <c r="ACN11" s="8">
        <v>0</v>
      </c>
      <c r="ACO11" s="8">
        <v>0</v>
      </c>
      <c r="ACP11" s="8">
        <v>0</v>
      </c>
      <c r="ACQ11" s="8">
        <v>0</v>
      </c>
      <c r="ACR11" s="8">
        <v>0</v>
      </c>
      <c r="ACS11" s="8">
        <v>0</v>
      </c>
      <c r="ACT11" s="8">
        <v>0</v>
      </c>
      <c r="ACU11" s="8">
        <v>0</v>
      </c>
      <c r="ACV11" s="8">
        <v>0</v>
      </c>
      <c r="ACW11" s="8">
        <v>0</v>
      </c>
      <c r="ACX11" s="8">
        <v>0</v>
      </c>
      <c r="ACY11" s="8">
        <v>0</v>
      </c>
      <c r="ACZ11" s="8">
        <v>0</v>
      </c>
      <c r="ADA11" s="8">
        <v>0</v>
      </c>
      <c r="ADB11" s="8">
        <v>0</v>
      </c>
      <c r="ADC11" s="8">
        <v>0</v>
      </c>
      <c r="ADD11" s="8">
        <v>0</v>
      </c>
      <c r="ADE11" s="8">
        <v>0</v>
      </c>
      <c r="ADF11" s="8">
        <v>0</v>
      </c>
      <c r="ADG11" s="8">
        <v>0</v>
      </c>
      <c r="ADH11" s="8">
        <v>0</v>
      </c>
      <c r="ADI11" s="8">
        <v>0</v>
      </c>
      <c r="ADJ11" s="8">
        <v>0</v>
      </c>
      <c r="ADK11" s="8">
        <v>0</v>
      </c>
      <c r="ADL11" s="8">
        <v>0</v>
      </c>
      <c r="ADM11" s="8">
        <v>0</v>
      </c>
      <c r="ADN11" s="8">
        <v>0</v>
      </c>
      <c r="ADO11" s="8">
        <v>0</v>
      </c>
      <c r="ADP11" s="8">
        <v>0</v>
      </c>
      <c r="ADQ11" s="8">
        <v>0</v>
      </c>
      <c r="ADR11" s="8">
        <v>0</v>
      </c>
      <c r="ADS11" s="8">
        <v>0</v>
      </c>
      <c r="ADT11" s="8">
        <v>0</v>
      </c>
      <c r="ADU11" s="8">
        <v>0</v>
      </c>
      <c r="ADV11" s="8">
        <v>0</v>
      </c>
      <c r="ADW11" s="8">
        <v>0</v>
      </c>
      <c r="ADX11" s="8">
        <v>0</v>
      </c>
      <c r="ADY11" s="8">
        <v>0</v>
      </c>
      <c r="ADZ11" s="8">
        <v>0</v>
      </c>
      <c r="AEA11" s="8">
        <v>0</v>
      </c>
      <c r="AEB11" s="8">
        <v>0</v>
      </c>
      <c r="AEC11" s="8">
        <v>0</v>
      </c>
      <c r="AED11" s="8">
        <v>0</v>
      </c>
      <c r="AEE11" s="8">
        <v>0</v>
      </c>
      <c r="AEF11" s="8">
        <v>0</v>
      </c>
      <c r="AEG11" s="8">
        <v>0</v>
      </c>
      <c r="AEH11" s="8">
        <v>0</v>
      </c>
      <c r="AEI11" s="8">
        <v>0</v>
      </c>
      <c r="AEJ11" s="8">
        <v>0</v>
      </c>
      <c r="AEK11" s="8">
        <v>0</v>
      </c>
      <c r="AEL11" s="8">
        <v>0</v>
      </c>
      <c r="AEM11" s="8">
        <v>0</v>
      </c>
      <c r="AEN11" s="8">
        <v>0</v>
      </c>
      <c r="AEO11" s="8">
        <v>0</v>
      </c>
      <c r="AEP11" s="8">
        <v>0</v>
      </c>
      <c r="AEQ11" s="8">
        <v>0</v>
      </c>
      <c r="AER11" s="8">
        <v>0</v>
      </c>
      <c r="AES11" s="8">
        <v>0</v>
      </c>
      <c r="AET11" s="8">
        <v>0</v>
      </c>
      <c r="AEU11" s="8">
        <v>0</v>
      </c>
      <c r="AEV11" s="8">
        <v>0</v>
      </c>
      <c r="AEW11" s="8">
        <v>0</v>
      </c>
      <c r="AEX11" s="8">
        <v>0</v>
      </c>
      <c r="AEY11" s="8">
        <v>0</v>
      </c>
      <c r="AEZ11" s="8">
        <v>0</v>
      </c>
      <c r="AFA11" s="8">
        <v>0</v>
      </c>
      <c r="AFB11" s="8">
        <v>0</v>
      </c>
      <c r="AFC11" s="8">
        <v>0</v>
      </c>
      <c r="AFD11" s="8">
        <v>0</v>
      </c>
      <c r="AFE11" s="8">
        <v>0</v>
      </c>
      <c r="AFF11" s="8">
        <v>0</v>
      </c>
      <c r="AFG11" s="8">
        <v>0</v>
      </c>
      <c r="AFH11" s="8">
        <v>0</v>
      </c>
      <c r="AFI11" s="8">
        <v>0</v>
      </c>
      <c r="AFJ11" s="8">
        <v>0</v>
      </c>
      <c r="AFK11" s="8">
        <v>0</v>
      </c>
      <c r="AFL11" s="8">
        <v>0</v>
      </c>
      <c r="AFM11" s="8">
        <v>0</v>
      </c>
      <c r="AFN11" s="8">
        <v>0</v>
      </c>
      <c r="AFO11" s="8">
        <v>0</v>
      </c>
      <c r="AFP11" s="8">
        <v>0</v>
      </c>
      <c r="AFQ11" s="8">
        <v>0</v>
      </c>
      <c r="AFR11" s="8">
        <v>0</v>
      </c>
      <c r="AFS11" s="8">
        <v>0</v>
      </c>
      <c r="AFT11" s="8">
        <v>0</v>
      </c>
      <c r="AFU11" s="8">
        <v>0</v>
      </c>
      <c r="AFV11" s="8">
        <v>0</v>
      </c>
      <c r="AFW11" s="8">
        <v>0</v>
      </c>
      <c r="AFX11" s="8">
        <v>0</v>
      </c>
      <c r="AFY11" s="8">
        <v>0</v>
      </c>
      <c r="AFZ11" s="8">
        <v>0</v>
      </c>
      <c r="AGA11" s="8">
        <v>0</v>
      </c>
      <c r="AGB11" s="8">
        <v>0</v>
      </c>
      <c r="AGC11" s="8">
        <v>0</v>
      </c>
      <c r="AGD11" s="8">
        <v>0</v>
      </c>
      <c r="AGE11" s="8">
        <v>0</v>
      </c>
      <c r="AGF11" s="8">
        <v>0</v>
      </c>
      <c r="AGG11" s="8">
        <v>0</v>
      </c>
      <c r="AGH11" s="8">
        <v>0</v>
      </c>
      <c r="AGI11" s="8">
        <v>0</v>
      </c>
      <c r="AGJ11" s="8">
        <v>0</v>
      </c>
      <c r="AGK11" s="8">
        <v>0</v>
      </c>
      <c r="AGL11" s="8">
        <v>0</v>
      </c>
      <c r="AGM11" s="8">
        <v>0</v>
      </c>
      <c r="AGN11" s="8">
        <v>0</v>
      </c>
      <c r="AGO11" s="8">
        <v>0</v>
      </c>
      <c r="AGP11" s="8">
        <v>0</v>
      </c>
      <c r="AGQ11" s="8">
        <v>0</v>
      </c>
      <c r="AGR11" s="8">
        <v>0</v>
      </c>
      <c r="AGS11" s="8">
        <v>0</v>
      </c>
      <c r="AGT11" s="8">
        <v>0</v>
      </c>
      <c r="AGU11" s="8">
        <v>0</v>
      </c>
      <c r="AGV11" s="8">
        <v>0</v>
      </c>
      <c r="AGW11" s="8">
        <v>0</v>
      </c>
      <c r="AGX11" s="8">
        <v>0</v>
      </c>
      <c r="AGY11" s="8">
        <v>0</v>
      </c>
      <c r="AGZ11" s="8">
        <v>0</v>
      </c>
      <c r="AHA11" s="8">
        <v>0</v>
      </c>
      <c r="AHB11" s="8">
        <v>0</v>
      </c>
      <c r="AHC11" s="8">
        <v>0</v>
      </c>
      <c r="AHD11" s="8">
        <v>0</v>
      </c>
      <c r="AHE11" s="8">
        <v>0</v>
      </c>
      <c r="AHF11" s="8">
        <v>0</v>
      </c>
      <c r="AHG11" s="8">
        <v>0</v>
      </c>
      <c r="AHH11" s="8">
        <v>0</v>
      </c>
      <c r="AHI11" s="8">
        <v>0</v>
      </c>
      <c r="AHJ11" s="8">
        <v>0</v>
      </c>
      <c r="AHK11" s="8">
        <v>0</v>
      </c>
      <c r="AHL11" s="8">
        <v>0</v>
      </c>
      <c r="AHM11" s="8">
        <v>0</v>
      </c>
      <c r="AHN11" s="8">
        <v>0</v>
      </c>
      <c r="AHO11" s="8">
        <v>0</v>
      </c>
      <c r="AHP11" s="8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 t="e">
        <v>#N/A</v>
      </c>
      <c r="AIJ11" t="e">
        <v>#N/A</v>
      </c>
      <c r="AIK11" t="e">
        <v>#N/A</v>
      </c>
      <c r="AIL11" t="e">
        <v>#N/A</v>
      </c>
      <c r="AIM11" t="e">
        <v>#N/A</v>
      </c>
      <c r="AIN11" t="e">
        <v>#N/A</v>
      </c>
      <c r="AIO11" t="e">
        <v>#N/A</v>
      </c>
      <c r="AIP11" t="e">
        <v>#N/A</v>
      </c>
      <c r="AIQ11" t="e">
        <v>#N/A</v>
      </c>
      <c r="AIR11" t="e">
        <v>#N/A</v>
      </c>
      <c r="AIS11" t="e">
        <v>#N/A</v>
      </c>
      <c r="AIT11" t="e">
        <v>#N/A</v>
      </c>
      <c r="AIU11" t="e">
        <v>#N/A</v>
      </c>
      <c r="AIV11" t="e">
        <v>#N/A</v>
      </c>
      <c r="AIW11" t="e">
        <v>#N/A</v>
      </c>
      <c r="AIX11" t="e">
        <v>#N/A</v>
      </c>
      <c r="AIY11" t="e">
        <v>#N/A</v>
      </c>
      <c r="AIZ11" t="e">
        <v>#N/A</v>
      </c>
      <c r="AJA11" t="e">
        <v>#N/A</v>
      </c>
      <c r="AJB11" t="e">
        <v>#N/A</v>
      </c>
      <c r="AJC11" t="e">
        <v>#N/A</v>
      </c>
      <c r="AJD11" t="e">
        <v>#N/A</v>
      </c>
      <c r="AJE11" t="e">
        <v>#N/A</v>
      </c>
      <c r="AJF11" t="e">
        <v>#N/A</v>
      </c>
      <c r="AJG11" t="e">
        <v>#N/A</v>
      </c>
      <c r="AJH11" t="e">
        <v>#N/A</v>
      </c>
      <c r="AJI11" t="e">
        <v>#N/A</v>
      </c>
      <c r="AJJ11" t="e">
        <v>#N/A</v>
      </c>
      <c r="AJK11" t="e">
        <v>#N/A</v>
      </c>
      <c r="AJL11" t="e">
        <v>#N/A</v>
      </c>
      <c r="AJM11" t="e">
        <v>#N/A</v>
      </c>
      <c r="AJN11" t="e">
        <v>#N/A</v>
      </c>
      <c r="AJO11" t="e">
        <v>#N/A</v>
      </c>
      <c r="AJP11" t="e">
        <v>#N/A</v>
      </c>
      <c r="AJQ11" t="e">
        <v>#N/A</v>
      </c>
      <c r="AJR11" t="e">
        <v>#N/A</v>
      </c>
      <c r="AJS11" t="e">
        <v>#N/A</v>
      </c>
      <c r="AJT11" t="e">
        <v>#N/A</v>
      </c>
      <c r="AJU11" t="e">
        <v>#N/A</v>
      </c>
      <c r="AJV11" t="e">
        <v>#N/A</v>
      </c>
      <c r="AJW11" t="e">
        <v>#N/A</v>
      </c>
      <c r="AJX11" t="e">
        <v>#N/A</v>
      </c>
      <c r="AJY11" t="e">
        <v>#N/A</v>
      </c>
      <c r="AJZ11" t="e">
        <v>#N/A</v>
      </c>
      <c r="AKA11" t="e">
        <v>#N/A</v>
      </c>
      <c r="AKB11" t="e">
        <v>#N/A</v>
      </c>
      <c r="AKC11" t="e">
        <v>#N/A</v>
      </c>
      <c r="AKD11" t="e">
        <v>#N/A</v>
      </c>
      <c r="AKE11" t="e">
        <v>#N/A</v>
      </c>
      <c r="AKF11" t="e">
        <v>#N/A</v>
      </c>
      <c r="AKG11" t="e">
        <v>#N/A</v>
      </c>
      <c r="AKH11" t="e">
        <v>#N/A</v>
      </c>
      <c r="AKI11" t="e">
        <v>#N/A</v>
      </c>
      <c r="AKJ11" t="e">
        <v>#N/A</v>
      </c>
      <c r="AKK11" t="e">
        <v>#N/A</v>
      </c>
      <c r="AKL11" t="e">
        <v>#N/A</v>
      </c>
      <c r="AKM11" t="e">
        <v>#N/A</v>
      </c>
      <c r="AKN11" t="e">
        <v>#N/A</v>
      </c>
      <c r="AKO11" t="e">
        <v>#N/A</v>
      </c>
      <c r="AKP11" t="e">
        <v>#N/A</v>
      </c>
      <c r="AKQ11" t="e">
        <v>#N/A</v>
      </c>
      <c r="AKR11" t="e">
        <v>#N/A</v>
      </c>
      <c r="AKS11" t="e">
        <v>#N/A</v>
      </c>
      <c r="AKT11" t="e">
        <v>#N/A</v>
      </c>
      <c r="AKU11" t="e">
        <v>#N/A</v>
      </c>
      <c r="AKV11" t="e">
        <v>#N/A</v>
      </c>
      <c r="AKW11" t="e">
        <v>#N/A</v>
      </c>
      <c r="AKX11" t="e">
        <v>#N/A</v>
      </c>
      <c r="AKY11" t="e">
        <v>#N/A</v>
      </c>
      <c r="AKZ11" t="e">
        <v>#N/A</v>
      </c>
      <c r="ALA11" t="e">
        <v>#N/A</v>
      </c>
      <c r="ALB11" t="e">
        <v>#N/A</v>
      </c>
      <c r="ALC11" t="e">
        <v>#N/A</v>
      </c>
      <c r="ALD11" t="e">
        <v>#N/A</v>
      </c>
      <c r="ALE11" t="e">
        <v>#N/A</v>
      </c>
      <c r="ALF11" t="e">
        <v>#N/A</v>
      </c>
      <c r="ALG11" t="e">
        <v>#N/A</v>
      </c>
      <c r="ALH11" t="e">
        <v>#N/A</v>
      </c>
      <c r="ALI11" t="e">
        <v>#N/A</v>
      </c>
      <c r="ALJ11" t="e">
        <v>#N/A</v>
      </c>
      <c r="ALK11" t="e">
        <v>#N/A</v>
      </c>
      <c r="ALL11" t="e">
        <v>#N/A</v>
      </c>
      <c r="ALM11" t="e">
        <v>#N/A</v>
      </c>
      <c r="ALN11" t="e">
        <v>#N/A</v>
      </c>
      <c r="ALO11" t="e">
        <v>#N/A</v>
      </c>
      <c r="ALP11" t="e">
        <v>#N/A</v>
      </c>
      <c r="ALQ11" t="e">
        <v>#N/A</v>
      </c>
      <c r="ALR11" t="e">
        <v>#N/A</v>
      </c>
      <c r="ALS11" t="e">
        <v>#N/A</v>
      </c>
      <c r="ALT11" t="e">
        <v>#N/A</v>
      </c>
      <c r="ALU11" t="e">
        <v>#N/A</v>
      </c>
      <c r="ALV11" t="e">
        <v>#N/A</v>
      </c>
      <c r="ALW11" t="e">
        <v>#N/A</v>
      </c>
      <c r="ALX11" t="e">
        <v>#N/A</v>
      </c>
      <c r="ALY11" t="e">
        <v>#N/A</v>
      </c>
      <c r="ALZ11" t="e">
        <v>#N/A</v>
      </c>
      <c r="AMA11" t="e">
        <v>#N/A</v>
      </c>
      <c r="AMB11" t="e">
        <v>#N/A</v>
      </c>
      <c r="AMC11" t="e">
        <v>#N/A</v>
      </c>
      <c r="AMD11" t="e">
        <v>#N/A</v>
      </c>
      <c r="AME11" t="e">
        <v>#N/A</v>
      </c>
      <c r="AMF11" t="e">
        <v>#N/A</v>
      </c>
      <c r="AMG11" t="e">
        <v>#N/A</v>
      </c>
      <c r="AMH11" t="e">
        <v>#N/A</v>
      </c>
    </row>
    <row r="12" spans="1:1022" ht="15.75" customHeight="1">
      <c r="A12" s="8" t="str">
        <v>Layla</v>
      </c>
      <c r="B12" s="8">
        <v>700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420</v>
      </c>
      <c r="R12" s="8">
        <v>780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565</v>
      </c>
      <c r="AD12" s="8">
        <v>0</v>
      </c>
      <c r="AE12" s="8">
        <v>0</v>
      </c>
      <c r="AF12" s="8">
        <v>0</v>
      </c>
      <c r="AG12" s="8">
        <v>495</v>
      </c>
      <c r="AH12" s="8">
        <v>0</v>
      </c>
      <c r="AI12" s="8">
        <v>0</v>
      </c>
      <c r="AJ12" s="8">
        <v>800</v>
      </c>
      <c r="AK12" s="8">
        <v>0</v>
      </c>
      <c r="AL12" s="8">
        <v>0</v>
      </c>
      <c r="AM12" s="8">
        <v>710</v>
      </c>
      <c r="AN12" s="8">
        <v>315</v>
      </c>
      <c r="AO12" s="8">
        <v>0</v>
      </c>
      <c r="AP12" s="8">
        <v>0</v>
      </c>
      <c r="AQ12" s="8">
        <v>0</v>
      </c>
      <c r="AR12" s="8">
        <v>0</v>
      </c>
      <c r="AS12" s="8">
        <v>255</v>
      </c>
      <c r="AT12" s="8">
        <v>415</v>
      </c>
      <c r="AU12" s="8">
        <v>0</v>
      </c>
      <c r="AV12" s="8">
        <v>480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555</v>
      </c>
      <c r="BQ12" s="8">
        <v>330</v>
      </c>
      <c r="BR12" s="8">
        <v>0</v>
      </c>
      <c r="BS12" s="8">
        <v>0</v>
      </c>
      <c r="BT12" s="8">
        <v>40</v>
      </c>
      <c r="BU12" s="8">
        <v>870</v>
      </c>
      <c r="BV12" s="8">
        <v>400</v>
      </c>
      <c r="BW12" s="8">
        <v>0</v>
      </c>
      <c r="BX12" s="8">
        <v>0</v>
      </c>
      <c r="BY12" s="8">
        <v>290</v>
      </c>
      <c r="BZ12" s="8">
        <v>0</v>
      </c>
      <c r="CA12" s="8">
        <v>295</v>
      </c>
      <c r="CB12" s="8">
        <v>305</v>
      </c>
      <c r="CC12" s="8">
        <v>310</v>
      </c>
      <c r="CD12" s="8">
        <v>535</v>
      </c>
      <c r="CE12" s="8">
        <v>570</v>
      </c>
      <c r="CF12" s="8">
        <v>745</v>
      </c>
      <c r="CG12" s="8">
        <v>615</v>
      </c>
      <c r="CH12" s="8">
        <v>0</v>
      </c>
      <c r="CI12" s="8">
        <v>790</v>
      </c>
      <c r="CJ12" s="8">
        <v>540</v>
      </c>
      <c r="CK12" s="8">
        <v>200</v>
      </c>
      <c r="CL12" s="8">
        <v>300</v>
      </c>
      <c r="CM12" s="8">
        <v>485</v>
      </c>
      <c r="CN12" s="8">
        <v>0</v>
      </c>
      <c r="CO12" s="8">
        <v>430</v>
      </c>
      <c r="CP12" s="8">
        <v>530</v>
      </c>
      <c r="CQ12" s="8">
        <v>0</v>
      </c>
      <c r="CR12" s="8">
        <v>485</v>
      </c>
      <c r="CS12" s="8">
        <v>240</v>
      </c>
      <c r="CT12" s="8">
        <v>0</v>
      </c>
      <c r="CU12" s="8">
        <v>435</v>
      </c>
      <c r="CV12" s="8">
        <v>435</v>
      </c>
      <c r="CW12" s="8">
        <v>0</v>
      </c>
      <c r="CX12" s="8">
        <v>255</v>
      </c>
      <c r="CY12" s="8">
        <v>0</v>
      </c>
      <c r="CZ12" s="8">
        <v>0</v>
      </c>
      <c r="DA12" s="8">
        <v>0</v>
      </c>
      <c r="DB12" s="8">
        <v>0</v>
      </c>
      <c r="DC12" s="8">
        <v>690</v>
      </c>
      <c r="DD12" s="8">
        <v>0</v>
      </c>
      <c r="DE12" s="8">
        <v>0</v>
      </c>
      <c r="DF12" s="8">
        <v>0</v>
      </c>
      <c r="DG12" s="8">
        <v>605</v>
      </c>
      <c r="DH12" s="8">
        <v>0</v>
      </c>
      <c r="DI12" s="8">
        <v>0</v>
      </c>
      <c r="DJ12" s="8">
        <v>175</v>
      </c>
      <c r="DK12" s="8">
        <v>0</v>
      </c>
      <c r="DL12" s="8">
        <v>365</v>
      </c>
      <c r="DM12" s="8">
        <v>0</v>
      </c>
      <c r="DN12" s="8">
        <v>0</v>
      </c>
      <c r="DO12" s="8">
        <v>80</v>
      </c>
      <c r="DP12" s="8">
        <v>0</v>
      </c>
      <c r="DQ12" s="8">
        <v>0</v>
      </c>
      <c r="DR12" s="8">
        <v>480</v>
      </c>
      <c r="DS12" s="8">
        <v>0</v>
      </c>
      <c r="DT12" s="8">
        <v>375</v>
      </c>
      <c r="DU12" s="8">
        <v>565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720</v>
      </c>
      <c r="EF12" s="8">
        <v>0</v>
      </c>
      <c r="EG12" s="8">
        <v>0</v>
      </c>
      <c r="EH12" s="8">
        <v>820</v>
      </c>
      <c r="EI12" s="8">
        <v>0</v>
      </c>
      <c r="EJ12" s="8">
        <v>0</v>
      </c>
      <c r="EK12" s="8">
        <v>0</v>
      </c>
      <c r="EL12" s="8">
        <v>400</v>
      </c>
      <c r="EM12" s="8">
        <v>0</v>
      </c>
      <c r="EN12" s="8">
        <v>0</v>
      </c>
      <c r="EO12" s="8">
        <v>0</v>
      </c>
      <c r="EP12" s="8">
        <v>0</v>
      </c>
      <c r="EQ12" s="8">
        <v>335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580</v>
      </c>
      <c r="FC12" s="8">
        <v>0</v>
      </c>
      <c r="FD12" s="8">
        <v>0</v>
      </c>
      <c r="FE12" s="8">
        <v>0</v>
      </c>
      <c r="FF12" s="8">
        <v>1085</v>
      </c>
      <c r="FG12" s="8">
        <v>0</v>
      </c>
      <c r="FH12" s="8">
        <v>420</v>
      </c>
      <c r="FI12" s="8">
        <v>680</v>
      </c>
      <c r="FJ12" s="8">
        <v>0</v>
      </c>
      <c r="FK12" s="8">
        <v>0</v>
      </c>
      <c r="FL12" s="8">
        <v>0</v>
      </c>
      <c r="FM12" s="8">
        <v>705</v>
      </c>
      <c r="FN12" s="8">
        <v>0</v>
      </c>
      <c r="FO12" s="8">
        <v>0</v>
      </c>
      <c r="FP12" s="8">
        <v>705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375</v>
      </c>
      <c r="FY12" s="8">
        <v>0</v>
      </c>
      <c r="FZ12" s="8">
        <v>645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310</v>
      </c>
      <c r="GH12" s="8">
        <v>0</v>
      </c>
      <c r="GI12" s="8">
        <v>0</v>
      </c>
      <c r="GJ12" s="8">
        <v>0</v>
      </c>
      <c r="GK12" s="8">
        <v>365</v>
      </c>
      <c r="GL12" s="8">
        <v>0</v>
      </c>
      <c r="GM12" s="8">
        <v>410</v>
      </c>
      <c r="GN12" s="8">
        <v>350</v>
      </c>
      <c r="GO12" s="8">
        <v>0</v>
      </c>
      <c r="GP12" s="8">
        <v>465</v>
      </c>
      <c r="GQ12" s="8">
        <v>0</v>
      </c>
      <c r="GR12" s="8">
        <v>0</v>
      </c>
      <c r="GS12" s="8">
        <v>0</v>
      </c>
      <c r="GT12" s="8">
        <v>825</v>
      </c>
      <c r="GU12" s="8">
        <v>0</v>
      </c>
      <c r="GV12" s="8">
        <v>0</v>
      </c>
      <c r="GW12" s="8">
        <v>0</v>
      </c>
      <c r="GX12" s="8">
        <v>0</v>
      </c>
      <c r="GY12" s="8">
        <v>390</v>
      </c>
      <c r="GZ12" s="8">
        <v>0</v>
      </c>
      <c r="HA12" s="8">
        <v>0</v>
      </c>
      <c r="HB12" s="8">
        <v>425</v>
      </c>
      <c r="HC12" s="8">
        <v>660</v>
      </c>
      <c r="HD12" s="8">
        <v>0</v>
      </c>
      <c r="HE12" s="8">
        <v>495</v>
      </c>
      <c r="HF12" s="8">
        <v>0</v>
      </c>
      <c r="HG12" s="8">
        <v>840</v>
      </c>
      <c r="HH12" s="8">
        <v>0</v>
      </c>
      <c r="HI12" s="8">
        <v>0</v>
      </c>
      <c r="HJ12" s="8">
        <v>0</v>
      </c>
      <c r="HK12" s="8">
        <v>705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390</v>
      </c>
      <c r="HT12" s="8">
        <v>660</v>
      </c>
      <c r="HU12" s="8">
        <v>0</v>
      </c>
      <c r="HV12" s="8">
        <v>170</v>
      </c>
      <c r="HW12" s="8">
        <v>630</v>
      </c>
      <c r="HX12" s="8">
        <v>0</v>
      </c>
      <c r="HY12" s="8">
        <v>275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475</v>
      </c>
      <c r="IQ12" s="8">
        <v>0</v>
      </c>
      <c r="IR12" s="8">
        <v>0</v>
      </c>
      <c r="IS12" s="8">
        <v>215</v>
      </c>
      <c r="IT12" s="8">
        <v>0</v>
      </c>
      <c r="IU12" s="8">
        <v>0</v>
      </c>
      <c r="IV12" s="8">
        <v>0</v>
      </c>
      <c r="IW12" s="8">
        <v>345</v>
      </c>
      <c r="IX12" s="8">
        <v>0</v>
      </c>
      <c r="IY12" s="8">
        <v>0</v>
      </c>
      <c r="IZ12" s="8">
        <v>220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150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515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445</v>
      </c>
      <c r="KH12" s="8">
        <v>0</v>
      </c>
      <c r="KI12" s="8">
        <v>855</v>
      </c>
      <c r="KJ12" s="8">
        <v>0</v>
      </c>
      <c r="KK12" s="8">
        <v>465</v>
      </c>
      <c r="KL12" s="8">
        <v>0</v>
      </c>
      <c r="KM12" s="8">
        <v>940</v>
      </c>
      <c r="KN12" s="8">
        <v>0</v>
      </c>
      <c r="KO12" s="8">
        <v>775</v>
      </c>
      <c r="KP12" s="8">
        <v>0</v>
      </c>
      <c r="KQ12" s="8">
        <v>545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490</v>
      </c>
      <c r="LE12" s="8">
        <v>0</v>
      </c>
      <c r="LF12" s="8">
        <v>0</v>
      </c>
      <c r="LG12" s="8">
        <v>265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530</v>
      </c>
      <c r="LQ12" s="8">
        <v>0</v>
      </c>
      <c r="LR12" s="8">
        <v>0</v>
      </c>
      <c r="LS12" s="8">
        <v>0</v>
      </c>
      <c r="LT12" s="8">
        <v>0</v>
      </c>
      <c r="LU12" s="8">
        <v>640</v>
      </c>
      <c r="LV12" s="8">
        <v>0</v>
      </c>
      <c r="LW12" s="8">
        <v>285</v>
      </c>
      <c r="LX12" s="8">
        <v>0</v>
      </c>
      <c r="LY12" s="8">
        <v>0</v>
      </c>
      <c r="LZ12" s="8">
        <v>1050</v>
      </c>
      <c r="MA12" s="8">
        <v>460</v>
      </c>
      <c r="MB12" s="8">
        <v>0</v>
      </c>
      <c r="MC12" s="8">
        <v>0</v>
      </c>
      <c r="MD12" s="8">
        <v>0</v>
      </c>
      <c r="ME12" s="8">
        <v>0</v>
      </c>
      <c r="MF12" s="8">
        <v>440</v>
      </c>
      <c r="MG12" s="8">
        <v>0</v>
      </c>
      <c r="MH12" s="8">
        <v>625</v>
      </c>
      <c r="MI12" s="8">
        <v>435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675</v>
      </c>
      <c r="MS12" s="8">
        <v>0</v>
      </c>
      <c r="MT12" s="8">
        <v>545</v>
      </c>
      <c r="MU12" s="8">
        <v>110</v>
      </c>
      <c r="MV12" s="8">
        <v>0</v>
      </c>
      <c r="MW12" s="8">
        <v>0</v>
      </c>
      <c r="MX12" s="8">
        <v>0</v>
      </c>
      <c r="MY12" s="8">
        <v>0</v>
      </c>
      <c r="MZ12" s="8">
        <v>285</v>
      </c>
      <c r="NA12" s="8">
        <v>0</v>
      </c>
      <c r="NB12" s="8">
        <v>0</v>
      </c>
      <c r="NC12" s="8">
        <v>0</v>
      </c>
      <c r="ND12" s="8">
        <v>0</v>
      </c>
      <c r="NE12" s="8">
        <v>0</v>
      </c>
      <c r="NF12" s="8">
        <v>380</v>
      </c>
      <c r="NG12" s="8">
        <v>0</v>
      </c>
      <c r="NH12" s="8">
        <v>620</v>
      </c>
      <c r="NI12" s="8">
        <v>0</v>
      </c>
      <c r="NJ12" s="8">
        <v>0</v>
      </c>
      <c r="NK12" s="8">
        <v>0</v>
      </c>
      <c r="NL12" s="8">
        <v>340</v>
      </c>
      <c r="NM12" s="8">
        <v>0</v>
      </c>
      <c r="NN12" s="8">
        <v>0</v>
      </c>
      <c r="NO12" s="8">
        <v>0</v>
      </c>
      <c r="NP12" s="8">
        <v>0</v>
      </c>
      <c r="NQ12" s="8">
        <v>810</v>
      </c>
      <c r="NR12" s="8">
        <v>0</v>
      </c>
      <c r="NS12" s="8">
        <v>0</v>
      </c>
      <c r="NT12" s="8">
        <v>0</v>
      </c>
      <c r="NU12" s="8">
        <v>0</v>
      </c>
      <c r="NV12" s="8">
        <v>625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</v>
      </c>
      <c r="OF12" s="8">
        <v>0</v>
      </c>
      <c r="OG12" s="8">
        <v>495</v>
      </c>
      <c r="OH12" s="8">
        <v>0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420</v>
      </c>
      <c r="OO12" s="8">
        <v>0</v>
      </c>
      <c r="OP12" s="8">
        <v>0</v>
      </c>
      <c r="OQ12" s="8">
        <v>0</v>
      </c>
      <c r="OR12" s="8">
        <v>0</v>
      </c>
      <c r="OS12" s="8">
        <v>0</v>
      </c>
      <c r="OT12" s="8">
        <v>0</v>
      </c>
      <c r="OU12" s="8">
        <v>0</v>
      </c>
      <c r="OV12" s="8">
        <v>0</v>
      </c>
      <c r="OW12" s="8">
        <v>0</v>
      </c>
      <c r="OX12" s="8">
        <v>0</v>
      </c>
      <c r="OY12" s="8">
        <v>0</v>
      </c>
      <c r="OZ12" s="8">
        <v>0</v>
      </c>
      <c r="PA12" s="8">
        <v>0</v>
      </c>
      <c r="PB12" s="8">
        <v>0</v>
      </c>
      <c r="PC12" s="8">
        <v>1120</v>
      </c>
      <c r="PD12" s="8">
        <v>380</v>
      </c>
      <c r="PE12" s="8">
        <v>0</v>
      </c>
      <c r="PF12" s="8">
        <v>795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</v>
      </c>
      <c r="PT12" s="8">
        <v>0</v>
      </c>
      <c r="PU12" s="8">
        <v>0</v>
      </c>
      <c r="PV12" s="8">
        <v>0</v>
      </c>
      <c r="PW12" s="8">
        <v>0</v>
      </c>
      <c r="PX12" s="8">
        <v>0</v>
      </c>
      <c r="PY12" s="8">
        <v>0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0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0</v>
      </c>
      <c r="QN12" s="8">
        <v>0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0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0</v>
      </c>
      <c r="RV12" s="8">
        <v>0</v>
      </c>
      <c r="RW12" s="8">
        <v>0</v>
      </c>
      <c r="RX12" s="8">
        <v>0</v>
      </c>
      <c r="RY12" s="8">
        <v>0</v>
      </c>
      <c r="RZ12" s="8">
        <v>0</v>
      </c>
      <c r="SA12" s="8">
        <v>0</v>
      </c>
      <c r="SB12" s="8">
        <v>0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  <c r="SL12" s="8">
        <v>0</v>
      </c>
      <c r="SM12" s="8">
        <v>0</v>
      </c>
      <c r="SN12" s="8">
        <v>0</v>
      </c>
      <c r="SO12" s="8">
        <v>0</v>
      </c>
      <c r="SP12" s="8">
        <v>0</v>
      </c>
      <c r="SQ12" s="8">
        <v>0</v>
      </c>
      <c r="SR12" s="8">
        <v>0</v>
      </c>
      <c r="SS12" s="8">
        <v>0</v>
      </c>
      <c r="ST12" s="8">
        <v>0</v>
      </c>
      <c r="SU12" s="8">
        <v>0</v>
      </c>
      <c r="SV12" s="8">
        <v>0</v>
      </c>
      <c r="SW12" s="8">
        <v>0</v>
      </c>
      <c r="SX12" s="8">
        <v>0</v>
      </c>
      <c r="SY12" s="8">
        <v>0</v>
      </c>
      <c r="SZ12" s="8">
        <v>0</v>
      </c>
      <c r="TA12" s="8">
        <v>0</v>
      </c>
      <c r="TB12" s="8">
        <v>0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8">
        <v>0</v>
      </c>
      <c r="TI12" s="8">
        <v>0</v>
      </c>
      <c r="TJ12" s="8">
        <v>0</v>
      </c>
      <c r="TK12" s="8">
        <v>0</v>
      </c>
      <c r="TL12" s="8">
        <v>0</v>
      </c>
      <c r="TM12" s="8">
        <v>0</v>
      </c>
      <c r="TN12" s="8">
        <v>0</v>
      </c>
      <c r="TO12" s="8">
        <v>0</v>
      </c>
      <c r="TP12" s="8">
        <v>0</v>
      </c>
      <c r="TQ12" s="8">
        <v>0</v>
      </c>
      <c r="TR12" s="8">
        <v>0</v>
      </c>
      <c r="TS12" s="8">
        <v>0</v>
      </c>
      <c r="TT12" s="8">
        <v>0</v>
      </c>
      <c r="TU12" s="8">
        <v>0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0</v>
      </c>
      <c r="UB12" s="8">
        <v>0</v>
      </c>
      <c r="UC12" s="8">
        <v>0</v>
      </c>
      <c r="UD12" s="8">
        <v>0</v>
      </c>
      <c r="UE12" s="8">
        <v>0</v>
      </c>
      <c r="UF12" s="8">
        <v>0</v>
      </c>
      <c r="UG12" s="8">
        <v>0</v>
      </c>
      <c r="UH12" s="8">
        <v>0</v>
      </c>
      <c r="UI12" s="8">
        <v>0</v>
      </c>
      <c r="UJ12" s="8">
        <v>0</v>
      </c>
      <c r="UK12" s="8">
        <v>0</v>
      </c>
      <c r="UL12" s="8">
        <v>0</v>
      </c>
      <c r="UM12" s="8">
        <v>0</v>
      </c>
      <c r="UN12" s="8">
        <v>0</v>
      </c>
      <c r="UO12" s="8">
        <v>0</v>
      </c>
      <c r="UP12" s="8">
        <v>0</v>
      </c>
      <c r="UQ12" s="8">
        <v>0</v>
      </c>
      <c r="UR12" s="8">
        <v>0</v>
      </c>
      <c r="US12" s="8">
        <v>0</v>
      </c>
      <c r="UT12" s="8">
        <v>0</v>
      </c>
      <c r="UU12" s="8">
        <v>0</v>
      </c>
      <c r="UV12" s="8">
        <v>0</v>
      </c>
      <c r="UW12" s="8">
        <v>0</v>
      </c>
      <c r="UX12" s="8">
        <v>0</v>
      </c>
      <c r="UY12" s="8">
        <v>0</v>
      </c>
      <c r="UZ12" s="8">
        <v>0</v>
      </c>
      <c r="VA12" s="8">
        <v>0</v>
      </c>
      <c r="VB12" s="8">
        <v>0</v>
      </c>
      <c r="VC12" s="8">
        <v>0</v>
      </c>
      <c r="VD12" s="8">
        <v>0</v>
      </c>
      <c r="VE12" s="8">
        <v>0</v>
      </c>
      <c r="VF12" s="8">
        <v>0</v>
      </c>
      <c r="VG12" s="8">
        <v>0</v>
      </c>
      <c r="VH12" s="8">
        <v>0</v>
      </c>
      <c r="VI12" s="8">
        <v>0</v>
      </c>
      <c r="VJ12" s="8">
        <v>0</v>
      </c>
      <c r="VK12" s="8">
        <v>0</v>
      </c>
      <c r="VL12" s="8">
        <v>0</v>
      </c>
      <c r="VM12" s="8">
        <v>0</v>
      </c>
      <c r="VN12" s="8">
        <v>0</v>
      </c>
      <c r="VO12" s="8">
        <v>0</v>
      </c>
      <c r="VP12" s="8">
        <v>0</v>
      </c>
      <c r="VQ12" s="8">
        <v>0</v>
      </c>
      <c r="VR12" s="8">
        <v>0</v>
      </c>
      <c r="VS12" s="8">
        <v>0</v>
      </c>
      <c r="VT12" s="8">
        <v>0</v>
      </c>
      <c r="VU12" s="8">
        <v>0</v>
      </c>
      <c r="VV12" s="8">
        <v>0</v>
      </c>
      <c r="VW12" s="8">
        <v>0</v>
      </c>
      <c r="VX12" s="8">
        <v>0</v>
      </c>
      <c r="VY12" s="8">
        <v>0</v>
      </c>
      <c r="VZ12" s="8">
        <v>0</v>
      </c>
      <c r="WA12" s="8">
        <v>0</v>
      </c>
      <c r="WB12" s="8">
        <v>0</v>
      </c>
      <c r="WC12" s="8">
        <v>0</v>
      </c>
      <c r="WD12" s="8">
        <v>0</v>
      </c>
      <c r="WE12" s="8">
        <v>0</v>
      </c>
      <c r="WF12" s="8">
        <v>0</v>
      </c>
      <c r="WG12" s="8">
        <v>0</v>
      </c>
      <c r="WH12" s="8">
        <v>0</v>
      </c>
      <c r="WI12" s="8">
        <v>0</v>
      </c>
      <c r="WJ12" s="8">
        <v>0</v>
      </c>
      <c r="WK12" s="8">
        <v>0</v>
      </c>
      <c r="WL12" s="8">
        <v>0</v>
      </c>
      <c r="WM12" s="8">
        <v>0</v>
      </c>
      <c r="WN12" s="8">
        <v>0</v>
      </c>
      <c r="WO12" s="8">
        <v>0</v>
      </c>
      <c r="WP12" s="8">
        <v>0</v>
      </c>
      <c r="WQ12" s="8">
        <v>0</v>
      </c>
      <c r="WR12" s="8">
        <v>0</v>
      </c>
      <c r="WS12" s="8">
        <v>0</v>
      </c>
      <c r="WT12" s="8">
        <v>0</v>
      </c>
      <c r="WU12" s="8">
        <v>0</v>
      </c>
      <c r="WV12" s="8">
        <v>0</v>
      </c>
      <c r="WW12" s="8">
        <v>0</v>
      </c>
      <c r="WX12" s="8">
        <v>0</v>
      </c>
      <c r="WY12" s="8">
        <v>0</v>
      </c>
      <c r="WZ12" s="8">
        <v>0</v>
      </c>
      <c r="XA12" s="8">
        <v>0</v>
      </c>
      <c r="XB12" s="8">
        <v>0</v>
      </c>
      <c r="XC12" s="8">
        <v>0</v>
      </c>
      <c r="XD12" s="8">
        <v>0</v>
      </c>
      <c r="XE12" s="8">
        <v>0</v>
      </c>
      <c r="XF12" s="8">
        <v>0</v>
      </c>
      <c r="XG12" s="8">
        <v>0</v>
      </c>
      <c r="XH12" s="8">
        <v>0</v>
      </c>
      <c r="XI12" s="8">
        <v>0</v>
      </c>
      <c r="XJ12" s="8">
        <v>0</v>
      </c>
      <c r="XK12" s="8">
        <v>0</v>
      </c>
      <c r="XL12" s="8">
        <v>0</v>
      </c>
      <c r="XM12" s="8">
        <v>0</v>
      </c>
      <c r="XN12" s="8">
        <v>0</v>
      </c>
      <c r="XO12" s="8">
        <v>0</v>
      </c>
      <c r="XP12" s="8">
        <v>0</v>
      </c>
      <c r="XQ12" s="8">
        <v>0</v>
      </c>
      <c r="XR12" s="8">
        <v>0</v>
      </c>
      <c r="XS12" s="8">
        <v>0</v>
      </c>
      <c r="XT12" s="8">
        <v>0</v>
      </c>
      <c r="XU12" s="8">
        <v>0</v>
      </c>
      <c r="XV12" s="8">
        <v>0</v>
      </c>
      <c r="XW12" s="8">
        <v>0</v>
      </c>
      <c r="XX12" s="8">
        <v>0</v>
      </c>
      <c r="XY12" s="8">
        <v>0</v>
      </c>
      <c r="XZ12" s="8">
        <v>0</v>
      </c>
      <c r="YA12" s="8">
        <v>0</v>
      </c>
      <c r="YB12" s="8">
        <v>0</v>
      </c>
      <c r="YC12" s="8">
        <v>0</v>
      </c>
      <c r="YD12" s="8">
        <v>0</v>
      </c>
      <c r="YE12" s="8">
        <v>0</v>
      </c>
      <c r="YF12" s="8">
        <v>0</v>
      </c>
      <c r="YG12" s="8">
        <v>0</v>
      </c>
      <c r="YH12" s="8">
        <v>0</v>
      </c>
      <c r="YI12" s="8">
        <v>0</v>
      </c>
      <c r="YJ12" s="8">
        <v>0</v>
      </c>
      <c r="YK12" s="8">
        <v>0</v>
      </c>
      <c r="YL12" s="8">
        <v>0</v>
      </c>
      <c r="YM12" s="8">
        <v>0</v>
      </c>
      <c r="YN12" s="8">
        <v>0</v>
      </c>
      <c r="YO12" s="8">
        <v>0</v>
      </c>
      <c r="YP12" s="8">
        <v>0</v>
      </c>
      <c r="YQ12" s="8">
        <v>0</v>
      </c>
      <c r="YR12" s="8">
        <v>0</v>
      </c>
      <c r="YS12" s="8">
        <v>0</v>
      </c>
      <c r="YT12" s="8">
        <v>0</v>
      </c>
      <c r="YU12" s="8">
        <v>0</v>
      </c>
      <c r="YV12" s="8">
        <v>0</v>
      </c>
      <c r="YW12" s="8">
        <v>0</v>
      </c>
      <c r="YX12" s="8">
        <v>0</v>
      </c>
      <c r="YY12" s="8">
        <v>0</v>
      </c>
      <c r="YZ12" s="8">
        <v>0</v>
      </c>
      <c r="ZA12" s="8">
        <v>0</v>
      </c>
      <c r="ZB12" s="8">
        <v>0</v>
      </c>
      <c r="ZC12" s="8">
        <v>0</v>
      </c>
      <c r="ZD12" s="8">
        <v>0</v>
      </c>
      <c r="ZE12" s="8">
        <v>0</v>
      </c>
      <c r="ZF12" s="8">
        <v>0</v>
      </c>
      <c r="ZG12" s="8">
        <v>0</v>
      </c>
      <c r="ZH12" s="8">
        <v>0</v>
      </c>
      <c r="ZI12" s="8">
        <v>0</v>
      </c>
      <c r="ZJ12" s="8">
        <v>0</v>
      </c>
      <c r="ZK12" s="8">
        <v>0</v>
      </c>
      <c r="ZL12" s="8">
        <v>0</v>
      </c>
      <c r="ZM12" s="8">
        <v>0</v>
      </c>
      <c r="ZN12" s="8">
        <v>0</v>
      </c>
      <c r="ZO12" s="8">
        <v>0</v>
      </c>
      <c r="ZP12" s="8">
        <v>0</v>
      </c>
      <c r="ZQ12" s="8">
        <v>0</v>
      </c>
      <c r="ZR12" s="8">
        <v>0</v>
      </c>
      <c r="ZS12" s="8">
        <v>0</v>
      </c>
      <c r="ZT12" s="8">
        <v>0</v>
      </c>
      <c r="ZU12" s="8">
        <v>0</v>
      </c>
      <c r="ZV12" s="8">
        <v>0</v>
      </c>
      <c r="ZW12" s="8">
        <v>0</v>
      </c>
      <c r="ZX12" s="8">
        <v>0</v>
      </c>
      <c r="ZY12" s="8">
        <v>0</v>
      </c>
      <c r="ZZ12" s="8">
        <v>0</v>
      </c>
      <c r="AAA12" s="8">
        <v>0</v>
      </c>
      <c r="AAB12" s="8">
        <v>0</v>
      </c>
      <c r="AAC12" s="8">
        <v>0</v>
      </c>
      <c r="AAD12" s="8">
        <v>0</v>
      </c>
      <c r="AAE12" s="8">
        <v>0</v>
      </c>
      <c r="AAF12" s="8">
        <v>0</v>
      </c>
      <c r="AAG12" s="8">
        <v>0</v>
      </c>
      <c r="AAH12" s="8">
        <v>0</v>
      </c>
      <c r="AAI12" s="8">
        <v>0</v>
      </c>
      <c r="AAJ12" s="8">
        <v>0</v>
      </c>
      <c r="AAK12" s="8">
        <v>0</v>
      </c>
      <c r="AAL12" s="8">
        <v>0</v>
      </c>
      <c r="AAM12" s="8">
        <v>0</v>
      </c>
      <c r="AAN12" s="8">
        <v>0</v>
      </c>
      <c r="AAO12" s="8">
        <v>0</v>
      </c>
      <c r="AAP12" s="8">
        <v>0</v>
      </c>
      <c r="AAQ12" s="8">
        <v>0</v>
      </c>
      <c r="AAR12" s="8">
        <v>0</v>
      </c>
      <c r="AAS12" s="8">
        <v>0</v>
      </c>
      <c r="AAT12" s="8">
        <v>0</v>
      </c>
      <c r="AAU12" s="8">
        <v>0</v>
      </c>
      <c r="AAV12" s="8">
        <v>0</v>
      </c>
      <c r="AAW12" s="8">
        <v>0</v>
      </c>
      <c r="AAX12" s="8">
        <v>0</v>
      </c>
      <c r="AAY12" s="8">
        <v>0</v>
      </c>
      <c r="AAZ12" s="8">
        <v>0</v>
      </c>
      <c r="ABA12" s="8">
        <v>0</v>
      </c>
      <c r="ABB12" s="8">
        <v>0</v>
      </c>
      <c r="ABC12" s="8">
        <v>0</v>
      </c>
      <c r="ABD12" s="8">
        <v>0</v>
      </c>
      <c r="ABE12" s="8">
        <v>0</v>
      </c>
      <c r="ABF12" s="8">
        <v>0</v>
      </c>
      <c r="ABG12" s="8">
        <v>0</v>
      </c>
      <c r="ABH12" s="8">
        <v>0</v>
      </c>
      <c r="ABI12" s="8">
        <v>0</v>
      </c>
      <c r="ABJ12" s="8">
        <v>0</v>
      </c>
      <c r="ABK12" s="8">
        <v>0</v>
      </c>
      <c r="ABL12" s="8">
        <v>0</v>
      </c>
      <c r="ABM12" s="8">
        <v>0</v>
      </c>
      <c r="ABN12" s="8">
        <v>0</v>
      </c>
      <c r="ABO12" s="8">
        <v>0</v>
      </c>
      <c r="ABP12" s="8">
        <v>0</v>
      </c>
      <c r="ABQ12" s="8">
        <v>0</v>
      </c>
      <c r="ABR12" s="8">
        <v>0</v>
      </c>
      <c r="ABS12" s="8">
        <v>0</v>
      </c>
      <c r="ABT12" s="8">
        <v>0</v>
      </c>
      <c r="ABU12" s="8">
        <v>0</v>
      </c>
      <c r="ABV12" s="8">
        <v>0</v>
      </c>
      <c r="ABW12" s="8">
        <v>0</v>
      </c>
      <c r="ABX12" s="8">
        <v>0</v>
      </c>
      <c r="ABY12" s="8">
        <v>0</v>
      </c>
      <c r="ABZ12" s="8">
        <v>0</v>
      </c>
      <c r="ACA12" s="8">
        <v>0</v>
      </c>
      <c r="ACB12" s="8">
        <v>0</v>
      </c>
      <c r="ACC12" s="8">
        <v>0</v>
      </c>
      <c r="ACD12" s="8">
        <v>0</v>
      </c>
      <c r="ACE12" s="8">
        <v>0</v>
      </c>
      <c r="ACF12" s="8">
        <v>0</v>
      </c>
      <c r="ACG12" s="8">
        <v>0</v>
      </c>
      <c r="ACH12" s="8">
        <v>0</v>
      </c>
      <c r="ACI12" s="8">
        <v>0</v>
      </c>
      <c r="ACJ12" s="8">
        <v>0</v>
      </c>
      <c r="ACK12" s="8">
        <v>0</v>
      </c>
      <c r="ACL12" s="8">
        <v>0</v>
      </c>
      <c r="ACM12" s="8">
        <v>0</v>
      </c>
      <c r="ACN12" s="8">
        <v>0</v>
      </c>
      <c r="ACO12" s="8">
        <v>0</v>
      </c>
      <c r="ACP12" s="8">
        <v>0</v>
      </c>
      <c r="ACQ12" s="8">
        <v>0</v>
      </c>
      <c r="ACR12" s="8">
        <v>0</v>
      </c>
      <c r="ACS12" s="8">
        <v>0</v>
      </c>
      <c r="ACT12" s="8">
        <v>0</v>
      </c>
      <c r="ACU12" s="8">
        <v>0</v>
      </c>
      <c r="ACV12" s="8">
        <v>0</v>
      </c>
      <c r="ACW12" s="8">
        <v>0</v>
      </c>
      <c r="ACX12" s="8">
        <v>0</v>
      </c>
      <c r="ACY12" s="8">
        <v>0</v>
      </c>
      <c r="ACZ12" s="8">
        <v>0</v>
      </c>
      <c r="ADA12" s="8">
        <v>0</v>
      </c>
      <c r="ADB12" s="8">
        <v>0</v>
      </c>
      <c r="ADC12" s="8">
        <v>0</v>
      </c>
      <c r="ADD12" s="8">
        <v>0</v>
      </c>
      <c r="ADE12" s="8">
        <v>0</v>
      </c>
      <c r="ADF12" s="8">
        <v>0</v>
      </c>
      <c r="ADG12" s="8">
        <v>0</v>
      </c>
      <c r="ADH12" s="8">
        <v>0</v>
      </c>
      <c r="ADI12" s="8">
        <v>0</v>
      </c>
      <c r="ADJ12" s="8">
        <v>0</v>
      </c>
      <c r="ADK12" s="8">
        <v>0</v>
      </c>
      <c r="ADL12" s="8">
        <v>0</v>
      </c>
      <c r="ADM12" s="8">
        <v>0</v>
      </c>
      <c r="ADN12" s="8">
        <v>0</v>
      </c>
      <c r="ADO12" s="8">
        <v>0</v>
      </c>
      <c r="ADP12" s="8">
        <v>0</v>
      </c>
      <c r="ADQ12" s="8">
        <v>0</v>
      </c>
      <c r="ADR12" s="8">
        <v>0</v>
      </c>
      <c r="ADS12" s="8">
        <v>0</v>
      </c>
      <c r="ADT12" s="8">
        <v>0</v>
      </c>
      <c r="ADU12" s="8">
        <v>0</v>
      </c>
      <c r="ADV12" s="8">
        <v>0</v>
      </c>
      <c r="ADW12" s="8">
        <v>0</v>
      </c>
      <c r="ADX12" s="8">
        <v>0</v>
      </c>
      <c r="ADY12" s="8">
        <v>0</v>
      </c>
      <c r="ADZ12" s="8">
        <v>0</v>
      </c>
      <c r="AEA12" s="8">
        <v>0</v>
      </c>
      <c r="AEB12" s="8">
        <v>0</v>
      </c>
      <c r="AEC12" s="8">
        <v>0</v>
      </c>
      <c r="AED12" s="8">
        <v>0</v>
      </c>
      <c r="AEE12" s="8">
        <v>0</v>
      </c>
      <c r="AEF12" s="8">
        <v>0</v>
      </c>
      <c r="AEG12" s="8">
        <v>0</v>
      </c>
      <c r="AEH12" s="8">
        <v>0</v>
      </c>
      <c r="AEI12" s="8">
        <v>0</v>
      </c>
      <c r="AEJ12" s="8">
        <v>0</v>
      </c>
      <c r="AEK12" s="8">
        <v>0</v>
      </c>
      <c r="AEL12" s="8">
        <v>0</v>
      </c>
      <c r="AEM12" s="8">
        <v>0</v>
      </c>
      <c r="AEN12" s="8">
        <v>0</v>
      </c>
      <c r="AEO12" s="8">
        <v>0</v>
      </c>
      <c r="AEP12" s="8">
        <v>0</v>
      </c>
      <c r="AEQ12" s="8">
        <v>0</v>
      </c>
      <c r="AER12" s="8">
        <v>0</v>
      </c>
      <c r="AES12" s="8">
        <v>0</v>
      </c>
      <c r="AET12" s="8">
        <v>0</v>
      </c>
      <c r="AEU12" s="8">
        <v>0</v>
      </c>
      <c r="AEV12" s="8">
        <v>0</v>
      </c>
      <c r="AEW12" s="8">
        <v>0</v>
      </c>
      <c r="AEX12" s="8">
        <v>0</v>
      </c>
      <c r="AEY12" s="8">
        <v>0</v>
      </c>
      <c r="AEZ12" s="8">
        <v>0</v>
      </c>
      <c r="AFA12" s="8">
        <v>0</v>
      </c>
      <c r="AFB12" s="8">
        <v>0</v>
      </c>
      <c r="AFC12" s="8">
        <v>0</v>
      </c>
      <c r="AFD12" s="8">
        <v>0</v>
      </c>
      <c r="AFE12" s="8">
        <v>0</v>
      </c>
      <c r="AFF12" s="8">
        <v>0</v>
      </c>
      <c r="AFG12" s="8">
        <v>0</v>
      </c>
      <c r="AFH12" s="8">
        <v>0</v>
      </c>
      <c r="AFI12" s="8">
        <v>0</v>
      </c>
      <c r="AFJ12" s="8">
        <v>0</v>
      </c>
      <c r="AFK12" s="8">
        <v>0</v>
      </c>
      <c r="AFL12" s="8">
        <v>0</v>
      </c>
      <c r="AFM12" s="8">
        <v>0</v>
      </c>
      <c r="AFN12" s="8">
        <v>0</v>
      </c>
      <c r="AFO12" s="8">
        <v>0</v>
      </c>
      <c r="AFP12" s="8">
        <v>0</v>
      </c>
      <c r="AFQ12" s="8">
        <v>0</v>
      </c>
      <c r="AFR12" s="8">
        <v>0</v>
      </c>
      <c r="AFS12" s="8">
        <v>0</v>
      </c>
      <c r="AFT12" s="8">
        <v>0</v>
      </c>
      <c r="AFU12" s="8">
        <v>0</v>
      </c>
      <c r="AFV12" s="8">
        <v>0</v>
      </c>
      <c r="AFW12" s="8">
        <v>0</v>
      </c>
      <c r="AFX12" s="8">
        <v>0</v>
      </c>
      <c r="AFY12" s="8">
        <v>0</v>
      </c>
      <c r="AFZ12" s="8">
        <v>0</v>
      </c>
      <c r="AGA12" s="8">
        <v>0</v>
      </c>
      <c r="AGB12" s="8">
        <v>0</v>
      </c>
      <c r="AGC12" s="8">
        <v>0</v>
      </c>
      <c r="AGD12" s="8">
        <v>0</v>
      </c>
      <c r="AGE12" s="8">
        <v>0</v>
      </c>
      <c r="AGF12" s="8">
        <v>0</v>
      </c>
      <c r="AGG12" s="8">
        <v>0</v>
      </c>
      <c r="AGH12" s="8">
        <v>0</v>
      </c>
      <c r="AGI12" s="8">
        <v>0</v>
      </c>
      <c r="AGJ12" s="8">
        <v>0</v>
      </c>
      <c r="AGK12" s="8">
        <v>0</v>
      </c>
      <c r="AGL12" s="8">
        <v>0</v>
      </c>
      <c r="AGM12" s="8">
        <v>0</v>
      </c>
      <c r="AGN12" s="8">
        <v>0</v>
      </c>
      <c r="AGO12" s="8">
        <v>0</v>
      </c>
      <c r="AGP12" s="8">
        <v>0</v>
      </c>
      <c r="AGQ12" s="8">
        <v>0</v>
      </c>
      <c r="AGR12" s="8">
        <v>0</v>
      </c>
      <c r="AGS12" s="8">
        <v>0</v>
      </c>
      <c r="AGT12" s="8">
        <v>0</v>
      </c>
      <c r="AGU12" s="8">
        <v>0</v>
      </c>
      <c r="AGV12" s="8">
        <v>0</v>
      </c>
      <c r="AGW12" s="8">
        <v>0</v>
      </c>
      <c r="AGX12" s="8">
        <v>0</v>
      </c>
      <c r="AGY12" s="8">
        <v>0</v>
      </c>
      <c r="AGZ12" s="8">
        <v>0</v>
      </c>
      <c r="AHA12" s="8">
        <v>0</v>
      </c>
      <c r="AHB12" s="8">
        <v>0</v>
      </c>
      <c r="AHC12" s="8">
        <v>0</v>
      </c>
      <c r="AHD12" s="8">
        <v>0</v>
      </c>
      <c r="AHE12" s="8">
        <v>0</v>
      </c>
      <c r="AHF12" s="8">
        <v>0</v>
      </c>
      <c r="AHG12" s="8">
        <v>0</v>
      </c>
      <c r="AHH12" s="8">
        <v>0</v>
      </c>
      <c r="AHI12" s="8">
        <v>0</v>
      </c>
      <c r="AHJ12" s="8">
        <v>0</v>
      </c>
      <c r="AHK12" s="8">
        <v>0</v>
      </c>
      <c r="AHL12" s="8">
        <v>0</v>
      </c>
      <c r="AHM12" s="8">
        <v>0</v>
      </c>
      <c r="AHN12" s="8">
        <v>0</v>
      </c>
      <c r="AHO12" s="8">
        <v>0</v>
      </c>
      <c r="AHP12" s="8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 t="e">
        <v>#N/A</v>
      </c>
      <c r="AIJ12" t="e">
        <v>#N/A</v>
      </c>
      <c r="AIK12" t="e">
        <v>#N/A</v>
      </c>
      <c r="AIL12" t="e">
        <v>#N/A</v>
      </c>
      <c r="AIM12" t="e">
        <v>#N/A</v>
      </c>
      <c r="AIN12" t="e">
        <v>#N/A</v>
      </c>
      <c r="AIO12" t="e">
        <v>#N/A</v>
      </c>
      <c r="AIP12" t="e">
        <v>#N/A</v>
      </c>
      <c r="AIQ12" t="e">
        <v>#N/A</v>
      </c>
      <c r="AIR12" t="e">
        <v>#N/A</v>
      </c>
      <c r="AIS12" t="e">
        <v>#N/A</v>
      </c>
      <c r="AIT12" t="e">
        <v>#N/A</v>
      </c>
      <c r="AIU12" t="e">
        <v>#N/A</v>
      </c>
      <c r="AIV12" t="e">
        <v>#N/A</v>
      </c>
      <c r="AIW12" t="e">
        <v>#N/A</v>
      </c>
      <c r="AIX12" t="e">
        <v>#N/A</v>
      </c>
      <c r="AIY12" t="e">
        <v>#N/A</v>
      </c>
      <c r="AIZ12" t="e">
        <v>#N/A</v>
      </c>
      <c r="AJA12" t="e">
        <v>#N/A</v>
      </c>
      <c r="AJB12" t="e">
        <v>#N/A</v>
      </c>
      <c r="AJC12" t="e">
        <v>#N/A</v>
      </c>
      <c r="AJD12" t="e">
        <v>#N/A</v>
      </c>
      <c r="AJE12" t="e">
        <v>#N/A</v>
      </c>
      <c r="AJF12" t="e">
        <v>#N/A</v>
      </c>
      <c r="AJG12" t="e">
        <v>#N/A</v>
      </c>
      <c r="AJH12" t="e">
        <v>#N/A</v>
      </c>
      <c r="AJI12" t="e">
        <v>#N/A</v>
      </c>
      <c r="AJJ12" t="e">
        <v>#N/A</v>
      </c>
      <c r="AJK12" t="e">
        <v>#N/A</v>
      </c>
      <c r="AJL12" t="e">
        <v>#N/A</v>
      </c>
      <c r="AJM12" t="e">
        <v>#N/A</v>
      </c>
      <c r="AJN12" t="e">
        <v>#N/A</v>
      </c>
      <c r="AJO12" t="e">
        <v>#N/A</v>
      </c>
      <c r="AJP12" t="e">
        <v>#N/A</v>
      </c>
      <c r="AJQ12" t="e">
        <v>#N/A</v>
      </c>
      <c r="AJR12" t="e">
        <v>#N/A</v>
      </c>
      <c r="AJS12" t="e">
        <v>#N/A</v>
      </c>
      <c r="AJT12" t="e">
        <v>#N/A</v>
      </c>
      <c r="AJU12" t="e">
        <v>#N/A</v>
      </c>
      <c r="AJV12" t="e">
        <v>#N/A</v>
      </c>
      <c r="AJW12" t="e">
        <v>#N/A</v>
      </c>
      <c r="AJX12" t="e">
        <v>#N/A</v>
      </c>
      <c r="AJY12" t="e">
        <v>#N/A</v>
      </c>
      <c r="AJZ12" t="e">
        <v>#N/A</v>
      </c>
      <c r="AKA12" t="e">
        <v>#N/A</v>
      </c>
      <c r="AKB12" t="e">
        <v>#N/A</v>
      </c>
      <c r="AKC12" t="e">
        <v>#N/A</v>
      </c>
      <c r="AKD12" t="e">
        <v>#N/A</v>
      </c>
      <c r="AKE12" t="e">
        <v>#N/A</v>
      </c>
      <c r="AKF12" t="e">
        <v>#N/A</v>
      </c>
      <c r="AKG12" t="e">
        <v>#N/A</v>
      </c>
      <c r="AKH12" t="e">
        <v>#N/A</v>
      </c>
      <c r="AKI12" t="e">
        <v>#N/A</v>
      </c>
      <c r="AKJ12" t="e">
        <v>#N/A</v>
      </c>
      <c r="AKK12" t="e">
        <v>#N/A</v>
      </c>
      <c r="AKL12" t="e">
        <v>#N/A</v>
      </c>
      <c r="AKM12" t="e">
        <v>#N/A</v>
      </c>
      <c r="AKN12" t="e">
        <v>#N/A</v>
      </c>
      <c r="AKO12" t="e">
        <v>#N/A</v>
      </c>
      <c r="AKP12" t="e">
        <v>#N/A</v>
      </c>
      <c r="AKQ12" t="e">
        <v>#N/A</v>
      </c>
      <c r="AKR12" t="e">
        <v>#N/A</v>
      </c>
      <c r="AKS12" t="e">
        <v>#N/A</v>
      </c>
      <c r="AKT12" t="e">
        <v>#N/A</v>
      </c>
      <c r="AKU12" t="e">
        <v>#N/A</v>
      </c>
      <c r="AKV12" t="e">
        <v>#N/A</v>
      </c>
      <c r="AKW12" t="e">
        <v>#N/A</v>
      </c>
      <c r="AKX12" t="e">
        <v>#N/A</v>
      </c>
      <c r="AKY12" t="e">
        <v>#N/A</v>
      </c>
      <c r="AKZ12" t="e">
        <v>#N/A</v>
      </c>
      <c r="ALA12" t="e">
        <v>#N/A</v>
      </c>
      <c r="ALB12" t="e">
        <v>#N/A</v>
      </c>
      <c r="ALC12" t="e">
        <v>#N/A</v>
      </c>
      <c r="ALD12" t="e">
        <v>#N/A</v>
      </c>
      <c r="ALE12" t="e">
        <v>#N/A</v>
      </c>
      <c r="ALF12" t="e">
        <v>#N/A</v>
      </c>
      <c r="ALG12" t="e">
        <v>#N/A</v>
      </c>
      <c r="ALH12" t="e">
        <v>#N/A</v>
      </c>
      <c r="ALI12" t="e">
        <v>#N/A</v>
      </c>
      <c r="ALJ12" t="e">
        <v>#N/A</v>
      </c>
      <c r="ALK12" t="e">
        <v>#N/A</v>
      </c>
      <c r="ALL12" t="e">
        <v>#N/A</v>
      </c>
      <c r="ALM12" t="e">
        <v>#N/A</v>
      </c>
      <c r="ALN12" t="e">
        <v>#N/A</v>
      </c>
      <c r="ALO12" t="e">
        <v>#N/A</v>
      </c>
      <c r="ALP12" t="e">
        <v>#N/A</v>
      </c>
      <c r="ALQ12" t="e">
        <v>#N/A</v>
      </c>
      <c r="ALR12" t="e">
        <v>#N/A</v>
      </c>
      <c r="ALS12" t="e">
        <v>#N/A</v>
      </c>
      <c r="ALT12" t="e">
        <v>#N/A</v>
      </c>
      <c r="ALU12" t="e">
        <v>#N/A</v>
      </c>
      <c r="ALV12" t="e">
        <v>#N/A</v>
      </c>
      <c r="ALW12" t="e">
        <v>#N/A</v>
      </c>
      <c r="ALX12" t="e">
        <v>#N/A</v>
      </c>
      <c r="ALY12" t="e">
        <v>#N/A</v>
      </c>
      <c r="ALZ12" t="e">
        <v>#N/A</v>
      </c>
      <c r="AMA12" t="e">
        <v>#N/A</v>
      </c>
      <c r="AMB12" t="e">
        <v>#N/A</v>
      </c>
      <c r="AMC12" t="e">
        <v>#N/A</v>
      </c>
      <c r="AMD12" t="e">
        <v>#N/A</v>
      </c>
      <c r="AME12" t="e">
        <v>#N/A</v>
      </c>
      <c r="AMF12" t="e">
        <v>#N/A</v>
      </c>
      <c r="AMG12" t="e">
        <v>#N/A</v>
      </c>
      <c r="AMH12" t="e">
        <v>#N/A</v>
      </c>
    </row>
    <row r="13" spans="1:1022" ht="15.75" customHeight="1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  <c r="NC13" s="8">
        <v>0</v>
      </c>
      <c r="ND13" s="8">
        <v>0</v>
      </c>
      <c r="NE13" s="8">
        <v>0</v>
      </c>
      <c r="NF13" s="8">
        <v>0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0</v>
      </c>
      <c r="OS13" s="8">
        <v>0</v>
      </c>
      <c r="OT13" s="8">
        <v>0</v>
      </c>
      <c r="OU13" s="8">
        <v>0</v>
      </c>
      <c r="OV13" s="8">
        <v>0</v>
      </c>
      <c r="OW13" s="8">
        <v>0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0</v>
      </c>
      <c r="PR13" s="8">
        <v>0</v>
      </c>
      <c r="PS13" s="8">
        <v>0</v>
      </c>
      <c r="PT13" s="8">
        <v>0</v>
      </c>
      <c r="PU13" s="8">
        <v>0</v>
      </c>
      <c r="PV13" s="8">
        <v>0</v>
      </c>
      <c r="PW13" s="8">
        <v>0</v>
      </c>
      <c r="PX13" s="8">
        <v>0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</v>
      </c>
      <c r="SS13" s="8">
        <v>0</v>
      </c>
      <c r="ST13" s="8">
        <v>0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0</v>
      </c>
      <c r="TA13" s="8">
        <v>0</v>
      </c>
      <c r="TB13" s="8">
        <v>0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0</v>
      </c>
      <c r="TK13" s="8">
        <v>0</v>
      </c>
      <c r="TL13" s="8">
        <v>0</v>
      </c>
      <c r="TM13" s="8">
        <v>0</v>
      </c>
      <c r="TN13" s="8">
        <v>0</v>
      </c>
      <c r="TO13" s="8">
        <v>0</v>
      </c>
      <c r="TP13" s="8">
        <v>0</v>
      </c>
      <c r="TQ13" s="8">
        <v>0</v>
      </c>
      <c r="TR13" s="8">
        <v>0</v>
      </c>
      <c r="TS13" s="8">
        <v>0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</v>
      </c>
      <c r="UJ13" s="8">
        <v>0</v>
      </c>
      <c r="UK13" s="8">
        <v>0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0</v>
      </c>
      <c r="UR13" s="8">
        <v>0</v>
      </c>
      <c r="US13" s="8">
        <v>0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0</v>
      </c>
      <c r="VB13" s="8">
        <v>0</v>
      </c>
      <c r="VC13" s="8">
        <v>0</v>
      </c>
      <c r="VD13" s="8">
        <v>0</v>
      </c>
      <c r="VE13" s="8">
        <v>0</v>
      </c>
      <c r="VF13" s="8">
        <v>0</v>
      </c>
      <c r="VG13" s="8">
        <v>0</v>
      </c>
      <c r="VH13" s="8">
        <v>0</v>
      </c>
      <c r="VI13" s="8">
        <v>0</v>
      </c>
      <c r="VJ13" s="8">
        <v>0</v>
      </c>
      <c r="VK13" s="8">
        <v>0</v>
      </c>
      <c r="VL13" s="8">
        <v>0</v>
      </c>
      <c r="VM13" s="8">
        <v>0</v>
      </c>
      <c r="VN13" s="8">
        <v>0</v>
      </c>
      <c r="VO13" s="8">
        <v>0</v>
      </c>
      <c r="VP13" s="8">
        <v>0</v>
      </c>
      <c r="VQ13" s="8">
        <v>0</v>
      </c>
      <c r="VR13" s="8">
        <v>0</v>
      </c>
      <c r="VS13" s="8">
        <v>0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0</v>
      </c>
      <c r="VZ13" s="8">
        <v>0</v>
      </c>
      <c r="WA13" s="8">
        <v>0</v>
      </c>
      <c r="WB13" s="8">
        <v>0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0</v>
      </c>
      <c r="WI13" s="8">
        <v>0</v>
      </c>
      <c r="WJ13" s="8">
        <v>0</v>
      </c>
      <c r="WK13" s="8">
        <v>0</v>
      </c>
      <c r="WL13" s="8">
        <v>0</v>
      </c>
      <c r="WM13" s="8">
        <v>0</v>
      </c>
      <c r="WN13" s="8">
        <v>0</v>
      </c>
      <c r="WO13" s="8">
        <v>0</v>
      </c>
      <c r="WP13" s="8">
        <v>0</v>
      </c>
      <c r="WQ13" s="8">
        <v>0</v>
      </c>
      <c r="WR13" s="8">
        <v>0</v>
      </c>
      <c r="WS13" s="8">
        <v>0</v>
      </c>
      <c r="WT13" s="8">
        <v>0</v>
      </c>
      <c r="WU13" s="8">
        <v>0</v>
      </c>
      <c r="WV13" s="8">
        <v>0</v>
      </c>
      <c r="WW13" s="8">
        <v>0</v>
      </c>
      <c r="WX13" s="8">
        <v>0</v>
      </c>
      <c r="WY13" s="8">
        <v>0</v>
      </c>
      <c r="WZ13" s="8">
        <v>0</v>
      </c>
      <c r="XA13" s="8">
        <v>0</v>
      </c>
      <c r="XB13" s="8">
        <v>0</v>
      </c>
      <c r="XC13" s="8">
        <v>0</v>
      </c>
      <c r="XD13" s="8">
        <v>0</v>
      </c>
      <c r="XE13" s="8">
        <v>0</v>
      </c>
      <c r="XF13" s="8">
        <v>0</v>
      </c>
      <c r="XG13" s="8">
        <v>0</v>
      </c>
      <c r="XH13" s="8">
        <v>0</v>
      </c>
      <c r="XI13" s="8">
        <v>0</v>
      </c>
      <c r="XJ13" s="8">
        <v>0</v>
      </c>
      <c r="XK13" s="8">
        <v>0</v>
      </c>
      <c r="XL13" s="8">
        <v>0</v>
      </c>
      <c r="XM13" s="8">
        <v>0</v>
      </c>
      <c r="XN13" s="8">
        <v>0</v>
      </c>
      <c r="XO13" s="8">
        <v>0</v>
      </c>
      <c r="XP13" s="8">
        <v>0</v>
      </c>
      <c r="XQ13" s="8">
        <v>0</v>
      </c>
      <c r="XR13" s="8">
        <v>0</v>
      </c>
      <c r="XS13" s="8">
        <v>0</v>
      </c>
      <c r="XT13" s="8">
        <v>0</v>
      </c>
      <c r="XU13" s="8">
        <v>0</v>
      </c>
      <c r="XV13" s="8">
        <v>0</v>
      </c>
      <c r="XW13" s="8">
        <v>0</v>
      </c>
      <c r="XX13" s="8">
        <v>0</v>
      </c>
      <c r="XY13" s="8">
        <v>0</v>
      </c>
      <c r="XZ13" s="8">
        <v>0</v>
      </c>
      <c r="YA13" s="8">
        <v>0</v>
      </c>
      <c r="YB13" s="8">
        <v>0</v>
      </c>
      <c r="YC13" s="8">
        <v>0</v>
      </c>
      <c r="YD13" s="8">
        <v>0</v>
      </c>
      <c r="YE13" s="8">
        <v>0</v>
      </c>
      <c r="YF13" s="8">
        <v>0</v>
      </c>
      <c r="YG13" s="8">
        <v>0</v>
      </c>
      <c r="YH13" s="8">
        <v>0</v>
      </c>
      <c r="YI13" s="8">
        <v>0</v>
      </c>
      <c r="YJ13" s="8">
        <v>0</v>
      </c>
      <c r="YK13" s="8">
        <v>0</v>
      </c>
      <c r="YL13" s="8">
        <v>0</v>
      </c>
      <c r="YM13" s="8">
        <v>0</v>
      </c>
      <c r="YN13" s="8">
        <v>0</v>
      </c>
      <c r="YO13" s="8">
        <v>0</v>
      </c>
      <c r="YP13" s="8">
        <v>0</v>
      </c>
      <c r="YQ13" s="8">
        <v>0</v>
      </c>
      <c r="YR13" s="8">
        <v>0</v>
      </c>
      <c r="YS13" s="8">
        <v>0</v>
      </c>
      <c r="YT13" s="8">
        <v>0</v>
      </c>
      <c r="YU13" s="8">
        <v>0</v>
      </c>
      <c r="YV13" s="8">
        <v>0</v>
      </c>
      <c r="YW13" s="8">
        <v>0</v>
      </c>
      <c r="YX13" s="8">
        <v>0</v>
      </c>
      <c r="YY13" s="8">
        <v>0</v>
      </c>
      <c r="YZ13" s="8">
        <v>0</v>
      </c>
      <c r="ZA13" s="8">
        <v>0</v>
      </c>
      <c r="ZB13" s="8">
        <v>0</v>
      </c>
      <c r="ZC13" s="8">
        <v>0</v>
      </c>
      <c r="ZD13" s="8">
        <v>0</v>
      </c>
      <c r="ZE13" s="8">
        <v>0</v>
      </c>
      <c r="ZF13" s="8">
        <v>0</v>
      </c>
      <c r="ZG13" s="8">
        <v>0</v>
      </c>
      <c r="ZH13" s="8">
        <v>0</v>
      </c>
      <c r="ZI13" s="8">
        <v>0</v>
      </c>
      <c r="ZJ13" s="8">
        <v>0</v>
      </c>
      <c r="ZK13" s="8">
        <v>0</v>
      </c>
      <c r="ZL13" s="8">
        <v>0</v>
      </c>
      <c r="ZM13" s="8">
        <v>0</v>
      </c>
      <c r="ZN13" s="8">
        <v>0</v>
      </c>
      <c r="ZO13" s="8">
        <v>0</v>
      </c>
      <c r="ZP13" s="8">
        <v>0</v>
      </c>
      <c r="ZQ13" s="8">
        <v>0</v>
      </c>
      <c r="ZR13" s="8">
        <v>0</v>
      </c>
      <c r="ZS13" s="8">
        <v>0</v>
      </c>
      <c r="ZT13" s="8">
        <v>0</v>
      </c>
      <c r="ZU13" s="8">
        <v>0</v>
      </c>
      <c r="ZV13" s="8">
        <v>0</v>
      </c>
      <c r="ZW13" s="8">
        <v>0</v>
      </c>
      <c r="ZX13" s="8">
        <v>0</v>
      </c>
      <c r="ZY13" s="8">
        <v>0</v>
      </c>
      <c r="ZZ13" s="8">
        <v>0</v>
      </c>
      <c r="AAA13" s="8">
        <v>0</v>
      </c>
      <c r="AAB13" s="8">
        <v>0</v>
      </c>
      <c r="AAC13" s="8">
        <v>0</v>
      </c>
      <c r="AAD13" s="8">
        <v>0</v>
      </c>
      <c r="AAE13" s="8">
        <v>0</v>
      </c>
      <c r="AAF13" s="8">
        <v>0</v>
      </c>
      <c r="AAG13" s="8">
        <v>0</v>
      </c>
      <c r="AAH13" s="8">
        <v>0</v>
      </c>
      <c r="AAI13" s="8">
        <v>0</v>
      </c>
      <c r="AAJ13" s="8">
        <v>0</v>
      </c>
      <c r="AAK13" s="8">
        <v>0</v>
      </c>
      <c r="AAL13" s="8">
        <v>0</v>
      </c>
      <c r="AAM13" s="8">
        <v>0</v>
      </c>
      <c r="AAN13" s="8">
        <v>0</v>
      </c>
      <c r="AAO13" s="8">
        <v>0</v>
      </c>
      <c r="AAP13" s="8">
        <v>0</v>
      </c>
      <c r="AAQ13" s="8">
        <v>0</v>
      </c>
      <c r="AAR13" s="8">
        <v>0</v>
      </c>
      <c r="AAS13" s="8">
        <v>0</v>
      </c>
      <c r="AAT13" s="8">
        <v>0</v>
      </c>
      <c r="AAU13" s="8">
        <v>0</v>
      </c>
      <c r="AAV13" s="8">
        <v>0</v>
      </c>
      <c r="AAW13" s="8">
        <v>0</v>
      </c>
      <c r="AAX13" s="8">
        <v>0</v>
      </c>
      <c r="AAY13" s="8">
        <v>0</v>
      </c>
      <c r="AAZ13" s="8">
        <v>0</v>
      </c>
      <c r="ABA13" s="8">
        <v>0</v>
      </c>
      <c r="ABB13" s="8">
        <v>0</v>
      </c>
      <c r="ABC13" s="8">
        <v>0</v>
      </c>
      <c r="ABD13" s="8">
        <v>0</v>
      </c>
      <c r="ABE13" s="8">
        <v>0</v>
      </c>
      <c r="ABF13" s="8">
        <v>0</v>
      </c>
      <c r="ABG13" s="8">
        <v>0</v>
      </c>
      <c r="ABH13" s="8">
        <v>0</v>
      </c>
      <c r="ABI13" s="8">
        <v>0</v>
      </c>
      <c r="ABJ13" s="8">
        <v>0</v>
      </c>
      <c r="ABK13" s="8">
        <v>0</v>
      </c>
      <c r="ABL13" s="8">
        <v>0</v>
      </c>
      <c r="ABM13" s="8">
        <v>0</v>
      </c>
      <c r="ABN13" s="8">
        <v>0</v>
      </c>
      <c r="ABO13" s="8">
        <v>0</v>
      </c>
      <c r="ABP13" s="8">
        <v>0</v>
      </c>
      <c r="ABQ13" s="8">
        <v>0</v>
      </c>
      <c r="ABR13" s="8">
        <v>0</v>
      </c>
      <c r="ABS13" s="8">
        <v>0</v>
      </c>
      <c r="ABT13" s="8">
        <v>0</v>
      </c>
      <c r="ABU13" s="8">
        <v>0</v>
      </c>
      <c r="ABV13" s="8">
        <v>0</v>
      </c>
      <c r="ABW13" s="8">
        <v>0</v>
      </c>
      <c r="ABX13" s="8">
        <v>0</v>
      </c>
      <c r="ABY13" s="8">
        <v>0</v>
      </c>
      <c r="ABZ13" s="8">
        <v>0</v>
      </c>
      <c r="ACA13" s="8">
        <v>0</v>
      </c>
      <c r="ACB13" s="8">
        <v>0</v>
      </c>
      <c r="ACC13" s="8">
        <v>0</v>
      </c>
      <c r="ACD13" s="8">
        <v>0</v>
      </c>
      <c r="ACE13" s="8">
        <v>0</v>
      </c>
      <c r="ACF13" s="8">
        <v>0</v>
      </c>
      <c r="ACG13" s="8">
        <v>0</v>
      </c>
      <c r="ACH13" s="8">
        <v>0</v>
      </c>
      <c r="ACI13" s="8">
        <v>0</v>
      </c>
      <c r="ACJ13" s="8">
        <v>0</v>
      </c>
      <c r="ACK13" s="8">
        <v>0</v>
      </c>
      <c r="ACL13" s="8">
        <v>0</v>
      </c>
      <c r="ACM13" s="8">
        <v>0</v>
      </c>
      <c r="ACN13" s="8">
        <v>0</v>
      </c>
      <c r="ACO13" s="8">
        <v>0</v>
      </c>
      <c r="ACP13" s="8">
        <v>0</v>
      </c>
      <c r="ACQ13" s="8">
        <v>0</v>
      </c>
      <c r="ACR13" s="8">
        <v>0</v>
      </c>
      <c r="ACS13" s="8">
        <v>0</v>
      </c>
      <c r="ACT13" s="8">
        <v>0</v>
      </c>
      <c r="ACU13" s="8">
        <v>0</v>
      </c>
      <c r="ACV13" s="8">
        <v>0</v>
      </c>
      <c r="ACW13" s="8">
        <v>0</v>
      </c>
      <c r="ACX13" s="8">
        <v>0</v>
      </c>
      <c r="ACY13" s="8">
        <v>0</v>
      </c>
      <c r="ACZ13" s="8">
        <v>0</v>
      </c>
      <c r="ADA13" s="8">
        <v>0</v>
      </c>
      <c r="ADB13" s="8">
        <v>0</v>
      </c>
      <c r="ADC13" s="8">
        <v>0</v>
      </c>
      <c r="ADD13" s="8">
        <v>0</v>
      </c>
      <c r="ADE13" s="8">
        <v>0</v>
      </c>
      <c r="ADF13" s="8">
        <v>0</v>
      </c>
      <c r="ADG13" s="8">
        <v>0</v>
      </c>
      <c r="ADH13" s="8">
        <v>0</v>
      </c>
      <c r="ADI13" s="8">
        <v>0</v>
      </c>
      <c r="ADJ13" s="8">
        <v>0</v>
      </c>
      <c r="ADK13" s="8">
        <v>0</v>
      </c>
      <c r="ADL13" s="8">
        <v>0</v>
      </c>
      <c r="ADM13" s="8">
        <v>0</v>
      </c>
      <c r="ADN13" s="8">
        <v>0</v>
      </c>
      <c r="ADO13" s="8">
        <v>0</v>
      </c>
      <c r="ADP13" s="8">
        <v>0</v>
      </c>
      <c r="ADQ13" s="8">
        <v>0</v>
      </c>
      <c r="ADR13" s="8">
        <v>0</v>
      </c>
      <c r="ADS13" s="8">
        <v>0</v>
      </c>
      <c r="ADT13" s="8">
        <v>0</v>
      </c>
      <c r="ADU13" s="8">
        <v>0</v>
      </c>
      <c r="ADV13" s="8">
        <v>0</v>
      </c>
      <c r="ADW13" s="8">
        <v>0</v>
      </c>
      <c r="ADX13" s="8">
        <v>0</v>
      </c>
      <c r="ADY13" s="8">
        <v>0</v>
      </c>
      <c r="ADZ13" s="8">
        <v>0</v>
      </c>
      <c r="AEA13" s="8">
        <v>0</v>
      </c>
      <c r="AEB13" s="8">
        <v>0</v>
      </c>
      <c r="AEC13" s="8">
        <v>0</v>
      </c>
      <c r="AED13" s="8">
        <v>0</v>
      </c>
      <c r="AEE13" s="8">
        <v>0</v>
      </c>
      <c r="AEF13" s="8">
        <v>0</v>
      </c>
      <c r="AEG13" s="8">
        <v>0</v>
      </c>
      <c r="AEH13" s="8">
        <v>0</v>
      </c>
      <c r="AEI13" s="8">
        <v>0</v>
      </c>
      <c r="AEJ13" s="8">
        <v>0</v>
      </c>
      <c r="AEK13" s="8">
        <v>0</v>
      </c>
      <c r="AEL13" s="8">
        <v>0</v>
      </c>
      <c r="AEM13" s="8">
        <v>0</v>
      </c>
      <c r="AEN13" s="8">
        <v>0</v>
      </c>
      <c r="AEO13" s="8">
        <v>0</v>
      </c>
      <c r="AEP13" s="8">
        <v>0</v>
      </c>
      <c r="AEQ13" s="8">
        <v>0</v>
      </c>
      <c r="AER13" s="8">
        <v>0</v>
      </c>
      <c r="AES13" s="8">
        <v>0</v>
      </c>
      <c r="AET13" s="8">
        <v>0</v>
      </c>
      <c r="AEU13" s="8">
        <v>0</v>
      </c>
      <c r="AEV13" s="8">
        <v>0</v>
      </c>
      <c r="AEW13" s="8">
        <v>0</v>
      </c>
      <c r="AEX13" s="8">
        <v>0</v>
      </c>
      <c r="AEY13" s="8">
        <v>0</v>
      </c>
      <c r="AEZ13" s="8">
        <v>0</v>
      </c>
      <c r="AFA13" s="8">
        <v>0</v>
      </c>
      <c r="AFB13" s="8">
        <v>0</v>
      </c>
      <c r="AFC13" s="8">
        <v>0</v>
      </c>
      <c r="AFD13" s="8">
        <v>0</v>
      </c>
      <c r="AFE13" s="8">
        <v>0</v>
      </c>
      <c r="AFF13" s="8">
        <v>0</v>
      </c>
      <c r="AFG13" s="8">
        <v>0</v>
      </c>
      <c r="AFH13" s="8">
        <v>0</v>
      </c>
      <c r="AFI13" s="8">
        <v>0</v>
      </c>
      <c r="AFJ13" s="8">
        <v>0</v>
      </c>
      <c r="AFK13" s="8">
        <v>0</v>
      </c>
      <c r="AFL13" s="8">
        <v>0</v>
      </c>
      <c r="AFM13" s="8">
        <v>0</v>
      </c>
      <c r="AFN13" s="8">
        <v>0</v>
      </c>
      <c r="AFO13" s="8">
        <v>0</v>
      </c>
      <c r="AFP13" s="8">
        <v>0</v>
      </c>
      <c r="AFQ13" s="8">
        <v>0</v>
      </c>
      <c r="AFR13" s="8">
        <v>0</v>
      </c>
      <c r="AFS13" s="8">
        <v>0</v>
      </c>
      <c r="AFT13" s="8">
        <v>0</v>
      </c>
      <c r="AFU13" s="8">
        <v>0</v>
      </c>
      <c r="AFV13" s="8">
        <v>0</v>
      </c>
      <c r="AFW13" s="8">
        <v>0</v>
      </c>
      <c r="AFX13" s="8">
        <v>0</v>
      </c>
      <c r="AFY13" s="8">
        <v>0</v>
      </c>
      <c r="AFZ13" s="8">
        <v>0</v>
      </c>
      <c r="AGA13" s="8">
        <v>0</v>
      </c>
      <c r="AGB13" s="8">
        <v>0</v>
      </c>
      <c r="AGC13" s="8">
        <v>0</v>
      </c>
      <c r="AGD13" s="8">
        <v>0</v>
      </c>
      <c r="AGE13" s="8">
        <v>0</v>
      </c>
      <c r="AGF13" s="8">
        <v>0</v>
      </c>
      <c r="AGG13" s="8">
        <v>0</v>
      </c>
      <c r="AGH13" s="8">
        <v>0</v>
      </c>
      <c r="AGI13" s="8">
        <v>0</v>
      </c>
      <c r="AGJ13" s="8">
        <v>0</v>
      </c>
      <c r="AGK13" s="8">
        <v>0</v>
      </c>
      <c r="AGL13" s="8">
        <v>0</v>
      </c>
      <c r="AGM13" s="8">
        <v>0</v>
      </c>
      <c r="AGN13" s="8">
        <v>0</v>
      </c>
      <c r="AGO13" s="8">
        <v>0</v>
      </c>
      <c r="AGP13" s="8">
        <v>0</v>
      </c>
      <c r="AGQ13" s="8">
        <v>0</v>
      </c>
      <c r="AGR13" s="8">
        <v>0</v>
      </c>
      <c r="AGS13" s="8">
        <v>0</v>
      </c>
      <c r="AGT13" s="8">
        <v>0</v>
      </c>
      <c r="AGU13" s="8">
        <v>0</v>
      </c>
      <c r="AGV13" s="8">
        <v>0</v>
      </c>
      <c r="AGW13" s="8">
        <v>0</v>
      </c>
      <c r="AGX13" s="8">
        <v>0</v>
      </c>
      <c r="AGY13" s="8">
        <v>0</v>
      </c>
      <c r="AGZ13" s="8">
        <v>0</v>
      </c>
      <c r="AHA13" s="8">
        <v>0</v>
      </c>
      <c r="AHB13" s="8">
        <v>0</v>
      </c>
      <c r="AHC13" s="8">
        <v>0</v>
      </c>
      <c r="AHD13" s="8">
        <v>0</v>
      </c>
      <c r="AHE13" s="8">
        <v>0</v>
      </c>
      <c r="AHF13" s="8">
        <v>0</v>
      </c>
      <c r="AHG13" s="8">
        <v>0</v>
      </c>
      <c r="AHH13" s="8">
        <v>0</v>
      </c>
      <c r="AHI13" s="8">
        <v>0</v>
      </c>
      <c r="AHJ13" s="8">
        <v>0</v>
      </c>
      <c r="AHK13" s="8">
        <v>0</v>
      </c>
      <c r="AHL13" s="8">
        <v>0</v>
      </c>
      <c r="AHM13" s="8">
        <v>0</v>
      </c>
      <c r="AHN13" s="8">
        <v>0</v>
      </c>
      <c r="AHO13" s="8">
        <v>0</v>
      </c>
      <c r="AHP13" s="8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 t="e">
        <v>#N/A</v>
      </c>
      <c r="AIJ13" t="e">
        <v>#N/A</v>
      </c>
      <c r="AIK13" t="e">
        <v>#N/A</v>
      </c>
      <c r="AIL13" t="e">
        <v>#N/A</v>
      </c>
      <c r="AIM13" t="e">
        <v>#N/A</v>
      </c>
      <c r="AIN13" t="e">
        <v>#N/A</v>
      </c>
      <c r="AIO13" t="e">
        <v>#N/A</v>
      </c>
      <c r="AIP13" t="e">
        <v>#N/A</v>
      </c>
      <c r="AIQ13" t="e">
        <v>#N/A</v>
      </c>
      <c r="AIR13" t="e">
        <v>#N/A</v>
      </c>
      <c r="AIS13" t="e">
        <v>#N/A</v>
      </c>
      <c r="AIT13" t="e">
        <v>#N/A</v>
      </c>
      <c r="AIU13" t="e">
        <v>#N/A</v>
      </c>
      <c r="AIV13" t="e">
        <v>#N/A</v>
      </c>
      <c r="AIW13" t="e">
        <v>#N/A</v>
      </c>
      <c r="AIX13" t="e">
        <v>#N/A</v>
      </c>
      <c r="AIY13" t="e">
        <v>#N/A</v>
      </c>
      <c r="AIZ13" t="e">
        <v>#N/A</v>
      </c>
      <c r="AJA13" t="e">
        <v>#N/A</v>
      </c>
      <c r="AJB13" t="e">
        <v>#N/A</v>
      </c>
      <c r="AJC13" t="e">
        <v>#N/A</v>
      </c>
      <c r="AJD13" t="e">
        <v>#N/A</v>
      </c>
      <c r="AJE13" t="e">
        <v>#N/A</v>
      </c>
      <c r="AJF13" t="e">
        <v>#N/A</v>
      </c>
      <c r="AJG13" t="e">
        <v>#N/A</v>
      </c>
      <c r="AJH13" t="e">
        <v>#N/A</v>
      </c>
      <c r="AJI13" t="e">
        <v>#N/A</v>
      </c>
      <c r="AJJ13" t="e">
        <v>#N/A</v>
      </c>
      <c r="AJK13" t="e">
        <v>#N/A</v>
      </c>
      <c r="AJL13" t="e">
        <v>#N/A</v>
      </c>
      <c r="AJM13" t="e">
        <v>#N/A</v>
      </c>
      <c r="AJN13" t="e">
        <v>#N/A</v>
      </c>
      <c r="AJO13" t="e">
        <v>#N/A</v>
      </c>
      <c r="AJP13" t="e">
        <v>#N/A</v>
      </c>
      <c r="AJQ13" t="e">
        <v>#N/A</v>
      </c>
      <c r="AJR13" t="e">
        <v>#N/A</v>
      </c>
      <c r="AJS13" t="e">
        <v>#N/A</v>
      </c>
      <c r="AJT13" t="e">
        <v>#N/A</v>
      </c>
      <c r="AJU13" t="e">
        <v>#N/A</v>
      </c>
      <c r="AJV13" t="e">
        <v>#N/A</v>
      </c>
      <c r="AJW13" t="e">
        <v>#N/A</v>
      </c>
      <c r="AJX13" t="e">
        <v>#N/A</v>
      </c>
      <c r="AJY13" t="e">
        <v>#N/A</v>
      </c>
      <c r="AJZ13" t="e">
        <v>#N/A</v>
      </c>
      <c r="AKA13" t="e">
        <v>#N/A</v>
      </c>
      <c r="AKB13" t="e">
        <v>#N/A</v>
      </c>
      <c r="AKC13" t="e">
        <v>#N/A</v>
      </c>
      <c r="AKD13" t="e">
        <v>#N/A</v>
      </c>
      <c r="AKE13" t="e">
        <v>#N/A</v>
      </c>
      <c r="AKF13" t="e">
        <v>#N/A</v>
      </c>
      <c r="AKG13" t="e">
        <v>#N/A</v>
      </c>
      <c r="AKH13" t="e">
        <v>#N/A</v>
      </c>
      <c r="AKI13" t="e">
        <v>#N/A</v>
      </c>
      <c r="AKJ13" t="e">
        <v>#N/A</v>
      </c>
      <c r="AKK13" t="e">
        <v>#N/A</v>
      </c>
      <c r="AKL13" t="e">
        <v>#N/A</v>
      </c>
      <c r="AKM13" t="e">
        <v>#N/A</v>
      </c>
      <c r="AKN13" t="e">
        <v>#N/A</v>
      </c>
      <c r="AKO13" t="e">
        <v>#N/A</v>
      </c>
      <c r="AKP13" t="e">
        <v>#N/A</v>
      </c>
      <c r="AKQ13" t="e">
        <v>#N/A</v>
      </c>
      <c r="AKR13" t="e">
        <v>#N/A</v>
      </c>
      <c r="AKS13" t="e">
        <v>#N/A</v>
      </c>
      <c r="AKT13" t="e">
        <v>#N/A</v>
      </c>
      <c r="AKU13" t="e">
        <v>#N/A</v>
      </c>
      <c r="AKV13" t="e">
        <v>#N/A</v>
      </c>
      <c r="AKW13" t="e">
        <v>#N/A</v>
      </c>
      <c r="AKX13" t="e">
        <v>#N/A</v>
      </c>
      <c r="AKY13" t="e">
        <v>#N/A</v>
      </c>
      <c r="AKZ13" t="e">
        <v>#N/A</v>
      </c>
      <c r="ALA13" t="e">
        <v>#N/A</v>
      </c>
      <c r="ALB13" t="e">
        <v>#N/A</v>
      </c>
      <c r="ALC13" t="e">
        <v>#N/A</v>
      </c>
      <c r="ALD13" t="e">
        <v>#N/A</v>
      </c>
      <c r="ALE13" t="e">
        <v>#N/A</v>
      </c>
      <c r="ALF13" t="e">
        <v>#N/A</v>
      </c>
      <c r="ALG13" t="e">
        <v>#N/A</v>
      </c>
      <c r="ALH13" t="e">
        <v>#N/A</v>
      </c>
      <c r="ALI13" t="e">
        <v>#N/A</v>
      </c>
      <c r="ALJ13" t="e">
        <v>#N/A</v>
      </c>
      <c r="ALK13" t="e">
        <v>#N/A</v>
      </c>
      <c r="ALL13" t="e">
        <v>#N/A</v>
      </c>
      <c r="ALM13" t="e">
        <v>#N/A</v>
      </c>
      <c r="ALN13" t="e">
        <v>#N/A</v>
      </c>
      <c r="ALO13" t="e">
        <v>#N/A</v>
      </c>
      <c r="ALP13" t="e">
        <v>#N/A</v>
      </c>
      <c r="ALQ13" t="e">
        <v>#N/A</v>
      </c>
      <c r="ALR13" t="e">
        <v>#N/A</v>
      </c>
      <c r="ALS13" t="e">
        <v>#N/A</v>
      </c>
      <c r="ALT13" t="e">
        <v>#N/A</v>
      </c>
      <c r="ALU13" t="e">
        <v>#N/A</v>
      </c>
      <c r="ALV13" t="e">
        <v>#N/A</v>
      </c>
      <c r="ALW13" t="e">
        <v>#N/A</v>
      </c>
      <c r="ALX13" t="e">
        <v>#N/A</v>
      </c>
      <c r="ALY13" t="e">
        <v>#N/A</v>
      </c>
      <c r="ALZ13" t="e">
        <v>#N/A</v>
      </c>
      <c r="AMA13" t="e">
        <v>#N/A</v>
      </c>
      <c r="AMB13" t="e">
        <v>#N/A</v>
      </c>
      <c r="AMC13" t="e">
        <v>#N/A</v>
      </c>
      <c r="AMD13" t="e">
        <v>#N/A</v>
      </c>
      <c r="AME13" t="e">
        <v>#N/A</v>
      </c>
      <c r="AMF13" t="e">
        <v>#N/A</v>
      </c>
      <c r="AMG13" t="e">
        <v>#N/A</v>
      </c>
      <c r="AMH13" t="e">
        <v>#N/A</v>
      </c>
    </row>
    <row r="14" spans="1:1022" ht="15.75" customHeight="1">
      <c r="A14" s="8" t="str">
        <v>Min</v>
      </c>
      <c r="B14" s="8">
        <v>520</v>
      </c>
      <c r="C14" s="8">
        <v>300</v>
      </c>
      <c r="D14" s="8">
        <v>195</v>
      </c>
      <c r="E14" s="8">
        <v>65</v>
      </c>
      <c r="F14" s="8">
        <v>280</v>
      </c>
      <c r="G14" s="8">
        <v>225</v>
      </c>
      <c r="H14" s="8">
        <v>190</v>
      </c>
      <c r="I14" s="8">
        <v>235</v>
      </c>
      <c r="J14" s="8">
        <v>165</v>
      </c>
      <c r="K14" s="8">
        <v>370</v>
      </c>
      <c r="L14" s="8">
        <v>330</v>
      </c>
      <c r="M14" s="8">
        <v>380</v>
      </c>
      <c r="N14" s="8">
        <v>250</v>
      </c>
      <c r="O14" s="8">
        <v>95</v>
      </c>
      <c r="P14" s="8">
        <v>380</v>
      </c>
      <c r="Q14" s="8">
        <v>75</v>
      </c>
      <c r="R14" s="8">
        <v>260</v>
      </c>
      <c r="S14" s="8">
        <v>400</v>
      </c>
      <c r="T14" s="8">
        <v>95</v>
      </c>
      <c r="U14" s="8">
        <v>100</v>
      </c>
      <c r="V14" s="8">
        <v>120</v>
      </c>
      <c r="W14" s="8">
        <v>155</v>
      </c>
      <c r="X14" s="8">
        <v>145</v>
      </c>
      <c r="Y14" s="8">
        <v>125</v>
      </c>
      <c r="Z14" s="8">
        <v>175</v>
      </c>
      <c r="AA14" s="8">
        <v>455</v>
      </c>
      <c r="AB14" s="8">
        <v>480</v>
      </c>
      <c r="AC14" s="8">
        <v>150</v>
      </c>
      <c r="AD14" s="8">
        <v>500</v>
      </c>
      <c r="AE14" s="8">
        <v>110</v>
      </c>
      <c r="AF14" s="8">
        <v>285</v>
      </c>
      <c r="AG14" s="8">
        <v>125</v>
      </c>
      <c r="AH14" s="8">
        <v>180</v>
      </c>
      <c r="AI14" s="8">
        <v>270</v>
      </c>
      <c r="AJ14" s="8">
        <v>100</v>
      </c>
      <c r="AK14" s="8">
        <v>250</v>
      </c>
      <c r="AL14" s="8">
        <v>105</v>
      </c>
      <c r="AM14" s="8">
        <v>315</v>
      </c>
      <c r="AN14" s="8">
        <v>195</v>
      </c>
      <c r="AO14" s="8">
        <v>405</v>
      </c>
      <c r="AP14" s="8">
        <v>110</v>
      </c>
      <c r="AQ14" s="8">
        <v>420</v>
      </c>
      <c r="AR14" s="8">
        <v>165</v>
      </c>
      <c r="AS14" s="8">
        <v>125</v>
      </c>
      <c r="AT14" s="8">
        <v>235</v>
      </c>
      <c r="AU14" s="8">
        <v>385</v>
      </c>
      <c r="AV14" s="8">
        <v>465</v>
      </c>
      <c r="AW14" s="8">
        <v>40</v>
      </c>
      <c r="AX14" s="8">
        <v>315</v>
      </c>
      <c r="AY14" s="8">
        <v>70</v>
      </c>
      <c r="AZ14" s="8">
        <v>175</v>
      </c>
      <c r="BA14" s="8">
        <v>235</v>
      </c>
      <c r="BB14" s="8">
        <v>190</v>
      </c>
      <c r="BC14" s="8">
        <v>255</v>
      </c>
      <c r="BD14" s="8">
        <v>90</v>
      </c>
      <c r="BE14" s="8">
        <v>520</v>
      </c>
      <c r="BF14" s="8">
        <v>235</v>
      </c>
      <c r="BG14" s="8">
        <v>295</v>
      </c>
      <c r="BH14" s="8">
        <v>170</v>
      </c>
      <c r="BI14" s="8">
        <v>180</v>
      </c>
      <c r="BJ14" s="8">
        <v>105</v>
      </c>
      <c r="BK14" s="8">
        <v>310</v>
      </c>
      <c r="BL14" s="8">
        <v>280</v>
      </c>
      <c r="BM14" s="8">
        <v>240</v>
      </c>
      <c r="BN14" s="8">
        <v>310</v>
      </c>
      <c r="BO14" s="8">
        <v>380</v>
      </c>
      <c r="BP14" s="8">
        <v>385</v>
      </c>
      <c r="BQ14" s="8">
        <v>105</v>
      </c>
      <c r="BR14" s="8">
        <v>415</v>
      </c>
      <c r="BS14" s="8">
        <v>300</v>
      </c>
      <c r="BT14" s="8">
        <v>40</v>
      </c>
      <c r="BU14" s="8">
        <v>270</v>
      </c>
      <c r="BV14" s="8">
        <v>310</v>
      </c>
      <c r="BW14" s="8">
        <v>295</v>
      </c>
      <c r="BX14" s="8">
        <v>150</v>
      </c>
      <c r="BY14" s="8">
        <v>70</v>
      </c>
      <c r="BZ14" s="8">
        <v>395</v>
      </c>
      <c r="CA14" s="8">
        <v>295</v>
      </c>
      <c r="CB14" s="8">
        <v>130</v>
      </c>
      <c r="CC14" s="8">
        <v>310</v>
      </c>
      <c r="CD14" s="8">
        <v>250</v>
      </c>
      <c r="CE14" s="8">
        <v>290</v>
      </c>
      <c r="CF14" s="8">
        <v>475</v>
      </c>
      <c r="CG14" s="8">
        <v>225</v>
      </c>
      <c r="CH14" s="8">
        <v>370</v>
      </c>
      <c r="CI14" s="8">
        <v>365</v>
      </c>
      <c r="CJ14" s="8">
        <v>540</v>
      </c>
      <c r="CK14" s="8">
        <v>200</v>
      </c>
      <c r="CL14" s="8">
        <v>215</v>
      </c>
      <c r="CM14" s="8">
        <v>210</v>
      </c>
      <c r="CN14" s="8">
        <v>15</v>
      </c>
      <c r="CO14" s="8">
        <v>200</v>
      </c>
      <c r="CP14" s="8">
        <v>210</v>
      </c>
      <c r="CQ14" s="8">
        <v>245</v>
      </c>
      <c r="CR14" s="8">
        <v>155</v>
      </c>
      <c r="CS14" s="8">
        <v>240</v>
      </c>
      <c r="CT14" s="8">
        <v>320</v>
      </c>
      <c r="CU14" s="8">
        <v>270</v>
      </c>
      <c r="CV14" s="8">
        <v>230</v>
      </c>
      <c r="CW14" s="8">
        <v>185</v>
      </c>
      <c r="CX14" s="8">
        <v>255</v>
      </c>
      <c r="CY14" s="8">
        <v>170</v>
      </c>
      <c r="CZ14" s="8">
        <v>190</v>
      </c>
      <c r="DA14" s="8">
        <v>235</v>
      </c>
      <c r="DB14" s="8">
        <v>310</v>
      </c>
      <c r="DC14" s="8">
        <v>150</v>
      </c>
      <c r="DD14" s="8">
        <v>250</v>
      </c>
      <c r="DE14" s="8">
        <v>375</v>
      </c>
      <c r="DF14" s="8">
        <v>5</v>
      </c>
      <c r="DG14" s="8">
        <v>335</v>
      </c>
      <c r="DH14" s="8">
        <v>260</v>
      </c>
      <c r="DI14" s="8">
        <v>250</v>
      </c>
      <c r="DJ14" s="8">
        <v>175</v>
      </c>
      <c r="DK14" s="8">
        <v>355</v>
      </c>
      <c r="DL14" s="8">
        <v>165</v>
      </c>
      <c r="DM14" s="8">
        <v>255</v>
      </c>
      <c r="DN14" s="8">
        <v>15</v>
      </c>
      <c r="DO14" s="8">
        <v>80</v>
      </c>
      <c r="DP14" s="8">
        <v>75</v>
      </c>
      <c r="DQ14" s="8">
        <v>40</v>
      </c>
      <c r="DR14" s="8">
        <v>245</v>
      </c>
      <c r="DS14" s="8">
        <v>310</v>
      </c>
      <c r="DT14" s="8">
        <v>170</v>
      </c>
      <c r="DU14" s="8">
        <v>295</v>
      </c>
      <c r="DV14" s="8">
        <v>205</v>
      </c>
      <c r="DW14" s="8">
        <v>420</v>
      </c>
      <c r="DX14" s="8">
        <v>215</v>
      </c>
      <c r="DY14" s="8">
        <v>140</v>
      </c>
      <c r="DZ14" s="8">
        <v>220</v>
      </c>
      <c r="EA14" s="8">
        <v>425</v>
      </c>
      <c r="EB14" s="8">
        <v>475</v>
      </c>
      <c r="EC14" s="8">
        <v>390</v>
      </c>
      <c r="ED14" s="8">
        <v>70</v>
      </c>
      <c r="EE14" s="8">
        <v>445</v>
      </c>
      <c r="EF14" s="8">
        <v>270</v>
      </c>
      <c r="EG14" s="8">
        <v>100</v>
      </c>
      <c r="EH14" s="8">
        <v>310</v>
      </c>
      <c r="EI14" s="8">
        <v>185</v>
      </c>
      <c r="EJ14" s="8">
        <v>215</v>
      </c>
      <c r="EK14" s="8">
        <v>210</v>
      </c>
      <c r="EL14" s="8">
        <v>290</v>
      </c>
      <c r="EM14" s="8">
        <v>335</v>
      </c>
      <c r="EN14" s="8">
        <v>310</v>
      </c>
      <c r="EO14" s="8">
        <v>400</v>
      </c>
      <c r="EP14" s="8">
        <v>290</v>
      </c>
      <c r="EQ14" s="8">
        <v>335</v>
      </c>
      <c r="ER14" s="8">
        <v>310</v>
      </c>
      <c r="ES14" s="8">
        <v>280</v>
      </c>
      <c r="ET14" s="8">
        <v>270</v>
      </c>
      <c r="EU14" s="8">
        <v>250</v>
      </c>
      <c r="EV14" s="8">
        <v>470</v>
      </c>
      <c r="EW14" s="8">
        <v>240</v>
      </c>
      <c r="EX14" s="8">
        <v>240</v>
      </c>
      <c r="EY14" s="8">
        <v>205</v>
      </c>
      <c r="EZ14" s="8">
        <v>320</v>
      </c>
      <c r="FA14" s="8">
        <v>400</v>
      </c>
      <c r="FB14" s="8">
        <v>250</v>
      </c>
      <c r="FC14" s="8">
        <v>350</v>
      </c>
      <c r="FD14" s="8">
        <v>265</v>
      </c>
      <c r="FE14" s="8">
        <v>265</v>
      </c>
      <c r="FF14" s="8">
        <v>185</v>
      </c>
      <c r="FG14" s="8">
        <v>120</v>
      </c>
      <c r="FH14" s="8">
        <v>225</v>
      </c>
      <c r="FI14" s="8">
        <v>300</v>
      </c>
      <c r="FJ14" s="8">
        <v>235</v>
      </c>
      <c r="FK14" s="8">
        <v>140</v>
      </c>
      <c r="FL14" s="8">
        <v>255</v>
      </c>
      <c r="FM14" s="8">
        <v>340</v>
      </c>
      <c r="FN14" s="8">
        <v>310</v>
      </c>
      <c r="FO14" s="8">
        <v>115</v>
      </c>
      <c r="FP14" s="8">
        <v>280</v>
      </c>
      <c r="FQ14" s="8">
        <v>300</v>
      </c>
      <c r="FR14" s="8">
        <v>195</v>
      </c>
      <c r="FS14" s="8">
        <v>300</v>
      </c>
      <c r="FT14" s="8">
        <v>200</v>
      </c>
      <c r="FU14" s="8">
        <v>20</v>
      </c>
      <c r="FV14" s="8">
        <v>345</v>
      </c>
      <c r="FW14" s="8">
        <v>450</v>
      </c>
      <c r="FX14" s="8">
        <v>330</v>
      </c>
      <c r="FY14" s="8">
        <v>140</v>
      </c>
      <c r="FZ14" s="8">
        <v>250</v>
      </c>
      <c r="GA14" s="8">
        <v>500</v>
      </c>
      <c r="GB14" s="8">
        <v>165</v>
      </c>
      <c r="GC14" s="8">
        <v>190</v>
      </c>
      <c r="GD14" s="8">
        <v>110</v>
      </c>
      <c r="GE14" s="8">
        <v>355</v>
      </c>
      <c r="GF14" s="8">
        <v>340</v>
      </c>
      <c r="GG14" s="8">
        <v>150</v>
      </c>
      <c r="GH14" s="8">
        <v>230</v>
      </c>
      <c r="GI14" s="8">
        <v>110</v>
      </c>
      <c r="GJ14" s="8">
        <v>185</v>
      </c>
      <c r="GK14" s="8">
        <v>165</v>
      </c>
      <c r="GL14" s="8">
        <v>25</v>
      </c>
      <c r="GM14" s="8">
        <v>345</v>
      </c>
      <c r="GN14" s="8">
        <v>220</v>
      </c>
      <c r="GO14" s="8">
        <v>105</v>
      </c>
      <c r="GP14" s="8">
        <v>365</v>
      </c>
      <c r="GQ14" s="8">
        <v>220</v>
      </c>
      <c r="GR14" s="8">
        <v>105</v>
      </c>
      <c r="GS14" s="8">
        <v>300</v>
      </c>
      <c r="GT14" s="8">
        <v>340</v>
      </c>
      <c r="GU14" s="8">
        <v>90</v>
      </c>
      <c r="GV14" s="8">
        <v>210</v>
      </c>
      <c r="GW14" s="8">
        <v>200</v>
      </c>
      <c r="GX14" s="8">
        <v>45</v>
      </c>
      <c r="GY14" s="8">
        <v>390</v>
      </c>
      <c r="GZ14" s="8">
        <v>305</v>
      </c>
      <c r="HA14" s="8">
        <v>155</v>
      </c>
      <c r="HB14" s="8">
        <v>270</v>
      </c>
      <c r="HC14" s="8">
        <v>440</v>
      </c>
      <c r="HD14" s="8">
        <v>310</v>
      </c>
      <c r="HE14" s="8">
        <v>175</v>
      </c>
      <c r="HF14" s="8">
        <v>240</v>
      </c>
      <c r="HG14" s="8">
        <v>395</v>
      </c>
      <c r="HH14" s="8">
        <v>130</v>
      </c>
      <c r="HI14" s="8">
        <v>225</v>
      </c>
      <c r="HJ14" s="8">
        <v>160</v>
      </c>
      <c r="HK14" s="8">
        <v>195</v>
      </c>
      <c r="HL14" s="8">
        <v>345</v>
      </c>
      <c r="HM14" s="8">
        <v>175</v>
      </c>
      <c r="HN14" s="8">
        <v>205</v>
      </c>
      <c r="HO14" s="8">
        <v>290</v>
      </c>
      <c r="HP14" s="8">
        <v>440</v>
      </c>
      <c r="HQ14" s="8">
        <v>290</v>
      </c>
      <c r="HR14" s="8">
        <v>85</v>
      </c>
      <c r="HS14" s="8">
        <v>235</v>
      </c>
      <c r="HT14" s="8">
        <v>495</v>
      </c>
      <c r="HU14" s="8">
        <v>150</v>
      </c>
      <c r="HV14" s="8">
        <v>170</v>
      </c>
      <c r="HW14" s="8">
        <v>230</v>
      </c>
      <c r="HX14" s="8">
        <v>170</v>
      </c>
      <c r="HY14" s="8">
        <v>225</v>
      </c>
      <c r="HZ14" s="8">
        <v>335</v>
      </c>
      <c r="IA14" s="8">
        <v>115</v>
      </c>
      <c r="IB14" s="8">
        <v>230</v>
      </c>
      <c r="IC14" s="8">
        <v>290</v>
      </c>
      <c r="ID14" s="8">
        <v>295</v>
      </c>
      <c r="IE14" s="8">
        <v>190</v>
      </c>
      <c r="IF14" s="8">
        <v>225</v>
      </c>
      <c r="IG14" s="8">
        <v>225</v>
      </c>
      <c r="IH14" s="8">
        <v>140</v>
      </c>
      <c r="II14" s="8">
        <v>215</v>
      </c>
      <c r="IJ14" s="8">
        <v>250</v>
      </c>
      <c r="IK14" s="8">
        <v>220</v>
      </c>
      <c r="IL14" s="8">
        <v>340</v>
      </c>
      <c r="IM14" s="8">
        <v>135</v>
      </c>
      <c r="IN14" s="8">
        <v>310</v>
      </c>
      <c r="IO14" s="8">
        <v>325</v>
      </c>
      <c r="IP14" s="8">
        <v>135</v>
      </c>
      <c r="IQ14" s="8">
        <v>165</v>
      </c>
      <c r="IR14" s="8">
        <v>440</v>
      </c>
      <c r="IS14" s="8">
        <v>215</v>
      </c>
      <c r="IT14" s="8">
        <v>270</v>
      </c>
      <c r="IU14" s="8">
        <v>130</v>
      </c>
      <c r="IV14" s="8">
        <v>280</v>
      </c>
      <c r="IW14" s="8">
        <v>345</v>
      </c>
      <c r="IX14" s="8">
        <v>345</v>
      </c>
      <c r="IY14" s="8">
        <v>260</v>
      </c>
      <c r="IZ14" s="8">
        <v>220</v>
      </c>
      <c r="JA14" s="8">
        <v>115</v>
      </c>
      <c r="JB14" s="8">
        <v>30</v>
      </c>
      <c r="JC14" s="8">
        <v>380</v>
      </c>
      <c r="JD14" s="8">
        <v>275</v>
      </c>
      <c r="JE14" s="8">
        <v>245</v>
      </c>
      <c r="JF14" s="8">
        <v>355</v>
      </c>
      <c r="JG14" s="8">
        <v>510</v>
      </c>
      <c r="JH14" s="8">
        <v>220</v>
      </c>
      <c r="JI14" s="8">
        <v>435</v>
      </c>
      <c r="JJ14" s="8">
        <v>240</v>
      </c>
      <c r="JK14" s="8">
        <v>75</v>
      </c>
      <c r="JL14" s="8">
        <v>265</v>
      </c>
      <c r="JM14" s="8">
        <v>365</v>
      </c>
      <c r="JN14" s="8">
        <v>370</v>
      </c>
      <c r="JO14" s="8">
        <v>240</v>
      </c>
      <c r="JP14" s="8">
        <v>305</v>
      </c>
      <c r="JQ14" s="8">
        <v>250</v>
      </c>
      <c r="JR14" s="8">
        <v>305</v>
      </c>
      <c r="JS14" s="8">
        <v>280</v>
      </c>
      <c r="JT14" s="8">
        <v>150</v>
      </c>
      <c r="JU14" s="8">
        <v>190</v>
      </c>
      <c r="JV14" s="8">
        <v>95</v>
      </c>
      <c r="JW14" s="8">
        <v>165</v>
      </c>
      <c r="JX14" s="8">
        <v>165</v>
      </c>
      <c r="JY14" s="8">
        <v>325</v>
      </c>
      <c r="JZ14" s="8">
        <v>250</v>
      </c>
      <c r="KA14" s="8">
        <v>100</v>
      </c>
      <c r="KB14" s="8">
        <v>465</v>
      </c>
      <c r="KC14" s="8">
        <v>265</v>
      </c>
      <c r="KD14" s="8">
        <v>155</v>
      </c>
      <c r="KE14" s="8">
        <v>195</v>
      </c>
      <c r="KF14" s="8">
        <v>445</v>
      </c>
      <c r="KG14" s="8">
        <v>440</v>
      </c>
      <c r="KH14" s="8">
        <v>165</v>
      </c>
      <c r="KI14" s="8">
        <v>240</v>
      </c>
      <c r="KJ14" s="8">
        <v>260</v>
      </c>
      <c r="KK14" s="8">
        <v>165</v>
      </c>
      <c r="KL14" s="8">
        <v>250</v>
      </c>
      <c r="KM14" s="8">
        <v>165</v>
      </c>
      <c r="KN14" s="8">
        <v>290</v>
      </c>
      <c r="KO14" s="8">
        <v>290</v>
      </c>
      <c r="KP14" s="8">
        <v>135</v>
      </c>
      <c r="KQ14" s="8">
        <v>280</v>
      </c>
      <c r="KR14" s="8">
        <v>325</v>
      </c>
      <c r="KS14" s="8">
        <v>460</v>
      </c>
      <c r="KT14" s="8">
        <v>260</v>
      </c>
      <c r="KU14" s="8">
        <v>325</v>
      </c>
      <c r="KV14" s="8">
        <v>190</v>
      </c>
      <c r="KW14" s="8">
        <v>320</v>
      </c>
      <c r="KX14" s="8">
        <v>370</v>
      </c>
      <c r="KY14" s="8">
        <v>180</v>
      </c>
      <c r="KZ14" s="8">
        <v>315</v>
      </c>
      <c r="LA14" s="8">
        <v>240</v>
      </c>
      <c r="LB14" s="8">
        <v>150</v>
      </c>
      <c r="LC14" s="8">
        <v>245</v>
      </c>
      <c r="LD14" s="8">
        <v>160</v>
      </c>
      <c r="LE14" s="8">
        <v>165</v>
      </c>
      <c r="LF14" s="8">
        <v>305</v>
      </c>
      <c r="LG14" s="8">
        <v>110</v>
      </c>
      <c r="LH14" s="8">
        <v>170</v>
      </c>
      <c r="LI14" s="8">
        <v>220</v>
      </c>
      <c r="LJ14" s="8">
        <v>400</v>
      </c>
      <c r="LK14" s="8">
        <v>335</v>
      </c>
      <c r="LL14" s="8">
        <v>200</v>
      </c>
      <c r="LM14" s="8">
        <v>420</v>
      </c>
      <c r="LN14" s="8">
        <v>205</v>
      </c>
      <c r="LO14" s="8">
        <v>380</v>
      </c>
      <c r="LP14" s="8">
        <v>255</v>
      </c>
      <c r="LQ14" s="8">
        <v>210</v>
      </c>
      <c r="LR14" s="8">
        <v>265</v>
      </c>
      <c r="LS14" s="8">
        <v>330</v>
      </c>
      <c r="LT14" s="8">
        <v>75</v>
      </c>
      <c r="LU14" s="8">
        <v>170</v>
      </c>
      <c r="LV14" s="8">
        <v>170</v>
      </c>
      <c r="LW14" s="8">
        <v>240</v>
      </c>
      <c r="LX14" s="8">
        <v>215</v>
      </c>
      <c r="LY14" s="8">
        <v>225</v>
      </c>
      <c r="LZ14" s="8">
        <v>480</v>
      </c>
      <c r="MA14" s="8">
        <v>150</v>
      </c>
      <c r="MB14" s="8">
        <v>340</v>
      </c>
      <c r="MC14" s="8">
        <v>260</v>
      </c>
      <c r="MD14" s="8">
        <v>320</v>
      </c>
      <c r="ME14" s="8">
        <v>375</v>
      </c>
      <c r="MF14" s="8">
        <v>180</v>
      </c>
      <c r="MG14" s="8">
        <v>365</v>
      </c>
      <c r="MH14" s="8">
        <v>440</v>
      </c>
      <c r="MI14" s="8">
        <v>110</v>
      </c>
      <c r="MJ14" s="8">
        <v>135</v>
      </c>
      <c r="MK14" s="8">
        <v>370</v>
      </c>
      <c r="ML14" s="8">
        <v>275</v>
      </c>
      <c r="MM14" s="8">
        <v>200</v>
      </c>
      <c r="MN14" s="8">
        <v>85</v>
      </c>
      <c r="MO14" s="8">
        <v>310</v>
      </c>
      <c r="MP14" s="8">
        <v>245</v>
      </c>
      <c r="MQ14" s="8">
        <v>260</v>
      </c>
      <c r="MR14" s="8">
        <v>295</v>
      </c>
      <c r="MS14" s="8">
        <v>200</v>
      </c>
      <c r="MT14" s="8">
        <v>265</v>
      </c>
      <c r="MU14" s="8">
        <v>110</v>
      </c>
      <c r="MV14" s="8">
        <v>380</v>
      </c>
      <c r="MW14" s="8">
        <v>325</v>
      </c>
      <c r="MX14" s="8">
        <v>210</v>
      </c>
      <c r="MY14" s="8">
        <v>360</v>
      </c>
      <c r="MZ14" s="8">
        <v>225</v>
      </c>
      <c r="NA14" s="8">
        <v>320</v>
      </c>
      <c r="NB14" s="8">
        <v>220</v>
      </c>
      <c r="NC14" s="8">
        <v>575</v>
      </c>
      <c r="ND14" s="8">
        <v>150</v>
      </c>
      <c r="NE14" s="8">
        <v>160</v>
      </c>
      <c r="NF14" s="8">
        <v>100</v>
      </c>
      <c r="NG14" s="8">
        <v>345</v>
      </c>
      <c r="NH14" s="8">
        <v>315</v>
      </c>
      <c r="NI14" s="8">
        <v>280</v>
      </c>
      <c r="NJ14" s="8">
        <v>90</v>
      </c>
      <c r="NK14" s="8">
        <v>80</v>
      </c>
      <c r="NL14" s="8">
        <v>340</v>
      </c>
      <c r="NM14" s="8">
        <v>250</v>
      </c>
      <c r="NN14" s="8">
        <v>120</v>
      </c>
      <c r="NO14" s="8">
        <v>220</v>
      </c>
      <c r="NP14" s="8">
        <v>205</v>
      </c>
      <c r="NQ14" s="8">
        <v>325</v>
      </c>
      <c r="NR14" s="8">
        <v>200</v>
      </c>
      <c r="NS14" s="8">
        <v>495</v>
      </c>
      <c r="NT14" s="8">
        <v>230</v>
      </c>
      <c r="NU14" s="8">
        <v>340</v>
      </c>
      <c r="NV14" s="8">
        <v>450</v>
      </c>
      <c r="NW14" s="8">
        <v>350</v>
      </c>
      <c r="NX14" s="8">
        <v>110</v>
      </c>
      <c r="NY14" s="8">
        <v>200</v>
      </c>
      <c r="NZ14" s="8">
        <v>130</v>
      </c>
      <c r="OA14" s="8">
        <v>420</v>
      </c>
      <c r="OB14" s="8">
        <v>300</v>
      </c>
      <c r="OC14" s="8">
        <v>175</v>
      </c>
      <c r="OD14" s="8">
        <v>180</v>
      </c>
      <c r="OE14" s="8">
        <v>350</v>
      </c>
      <c r="OF14" s="8">
        <v>210</v>
      </c>
      <c r="OG14" s="8">
        <v>285</v>
      </c>
      <c r="OH14" s="8">
        <v>220</v>
      </c>
      <c r="OI14" s="8">
        <v>205</v>
      </c>
      <c r="OJ14" s="8">
        <v>135</v>
      </c>
      <c r="OK14" s="8">
        <v>260</v>
      </c>
      <c r="OL14" s="8">
        <v>255</v>
      </c>
      <c r="OM14" s="8">
        <v>270</v>
      </c>
      <c r="ON14" s="8">
        <v>320</v>
      </c>
      <c r="OO14" s="8">
        <v>165</v>
      </c>
      <c r="OP14" s="8">
        <v>300</v>
      </c>
      <c r="OQ14" s="8">
        <v>215</v>
      </c>
      <c r="OR14" s="8">
        <v>230</v>
      </c>
      <c r="OS14" s="8">
        <v>260</v>
      </c>
      <c r="OT14" s="8">
        <v>285</v>
      </c>
      <c r="OU14" s="8">
        <v>415</v>
      </c>
      <c r="OV14" s="8">
        <v>360</v>
      </c>
      <c r="OW14" s="8">
        <v>150</v>
      </c>
      <c r="OX14" s="8">
        <v>265</v>
      </c>
      <c r="OY14" s="8">
        <v>300</v>
      </c>
      <c r="OZ14" s="8">
        <v>185</v>
      </c>
      <c r="PA14" s="8">
        <v>160</v>
      </c>
      <c r="PB14" s="8">
        <v>245</v>
      </c>
      <c r="PC14" s="8">
        <v>455</v>
      </c>
      <c r="PD14" s="8">
        <v>290</v>
      </c>
      <c r="PE14" s="8">
        <v>235</v>
      </c>
      <c r="PF14" s="8">
        <v>435</v>
      </c>
      <c r="PG14" s="8">
        <v>345</v>
      </c>
      <c r="PH14" s="8">
        <v>160</v>
      </c>
      <c r="PI14" s="8">
        <v>230</v>
      </c>
      <c r="PJ14" s="8">
        <v>195</v>
      </c>
      <c r="PK14" s="8">
        <v>190</v>
      </c>
      <c r="PL14" s="8">
        <v>345</v>
      </c>
      <c r="PM14" s="8">
        <v>135</v>
      </c>
      <c r="PN14" s="8">
        <v>235</v>
      </c>
      <c r="PO14" s="8">
        <v>190</v>
      </c>
      <c r="PP14" s="8">
        <v>330</v>
      </c>
      <c r="PQ14" s="8">
        <v>50</v>
      </c>
      <c r="PR14" s="8">
        <v>90</v>
      </c>
      <c r="PS14" s="8">
        <v>185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0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</v>
      </c>
      <c r="SV14" s="8">
        <v>0</v>
      </c>
      <c r="SW14" s="8">
        <v>0</v>
      </c>
      <c r="SX14" s="8">
        <v>0</v>
      </c>
      <c r="SY14" s="8">
        <v>0</v>
      </c>
      <c r="SZ14" s="8">
        <v>0</v>
      </c>
      <c r="TA14" s="8">
        <v>0</v>
      </c>
      <c r="TB14" s="8">
        <v>0</v>
      </c>
      <c r="TC14" s="8">
        <v>0</v>
      </c>
      <c r="TD14" s="8">
        <v>0</v>
      </c>
      <c r="TE14" s="8">
        <v>0</v>
      </c>
      <c r="TF14" s="8">
        <v>0</v>
      </c>
      <c r="TG14" s="8">
        <v>0</v>
      </c>
      <c r="TH14" s="8">
        <v>0</v>
      </c>
      <c r="TI14" s="8">
        <v>0</v>
      </c>
      <c r="TJ14" s="8">
        <v>0</v>
      </c>
      <c r="TK14" s="8">
        <v>0</v>
      </c>
      <c r="TL14" s="8">
        <v>0</v>
      </c>
      <c r="TM14" s="8">
        <v>0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0</v>
      </c>
      <c r="TT14" s="8">
        <v>0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0</v>
      </c>
      <c r="UK14" s="8">
        <v>0</v>
      </c>
      <c r="UL14" s="8">
        <v>0</v>
      </c>
      <c r="UM14" s="8">
        <v>0</v>
      </c>
      <c r="UN14" s="8">
        <v>0</v>
      </c>
      <c r="UO14" s="8">
        <v>0</v>
      </c>
      <c r="UP14" s="8">
        <v>0</v>
      </c>
      <c r="UQ14" s="8">
        <v>0</v>
      </c>
      <c r="UR14" s="8">
        <v>0</v>
      </c>
      <c r="US14" s="8">
        <v>0</v>
      </c>
      <c r="UT14" s="8">
        <v>0</v>
      </c>
      <c r="UU14" s="8">
        <v>0</v>
      </c>
      <c r="UV14" s="8">
        <v>0</v>
      </c>
      <c r="UW14" s="8">
        <v>0</v>
      </c>
      <c r="UX14" s="8">
        <v>0</v>
      </c>
      <c r="UY14" s="8">
        <v>0</v>
      </c>
      <c r="UZ14" s="8">
        <v>0</v>
      </c>
      <c r="VA14" s="8">
        <v>0</v>
      </c>
      <c r="VB14" s="8">
        <v>0</v>
      </c>
      <c r="VC14" s="8">
        <v>0</v>
      </c>
      <c r="VD14" s="8">
        <v>0</v>
      </c>
      <c r="VE14" s="8">
        <v>0</v>
      </c>
      <c r="VF14" s="8">
        <v>0</v>
      </c>
      <c r="VG14" s="8">
        <v>0</v>
      </c>
      <c r="VH14" s="8">
        <v>0</v>
      </c>
      <c r="VI14" s="8">
        <v>0</v>
      </c>
      <c r="VJ14" s="8">
        <v>0</v>
      </c>
      <c r="VK14" s="8">
        <v>0</v>
      </c>
      <c r="VL14" s="8">
        <v>0</v>
      </c>
      <c r="VM14" s="8">
        <v>0</v>
      </c>
      <c r="VN14" s="8">
        <v>0</v>
      </c>
      <c r="VO14" s="8">
        <v>0</v>
      </c>
      <c r="VP14" s="8">
        <v>0</v>
      </c>
      <c r="VQ14" s="8">
        <v>0</v>
      </c>
      <c r="VR14" s="8">
        <v>0</v>
      </c>
      <c r="VS14" s="8">
        <v>0</v>
      </c>
      <c r="VT14" s="8">
        <v>0</v>
      </c>
      <c r="VU14" s="8">
        <v>0</v>
      </c>
      <c r="VV14" s="8">
        <v>0</v>
      </c>
      <c r="VW14" s="8">
        <v>0</v>
      </c>
      <c r="VX14" s="8">
        <v>0</v>
      </c>
      <c r="VY14" s="8">
        <v>0</v>
      </c>
      <c r="VZ14" s="8">
        <v>0</v>
      </c>
      <c r="WA14" s="8">
        <v>0</v>
      </c>
      <c r="WB14" s="8">
        <v>0</v>
      </c>
      <c r="WC14" s="8">
        <v>0</v>
      </c>
      <c r="WD14" s="8">
        <v>0</v>
      </c>
      <c r="WE14" s="8">
        <v>0</v>
      </c>
      <c r="WF14" s="8">
        <v>0</v>
      </c>
      <c r="WG14" s="8">
        <v>0</v>
      </c>
      <c r="WH14" s="8">
        <v>0</v>
      </c>
      <c r="WI14" s="8">
        <v>0</v>
      </c>
      <c r="WJ14" s="8">
        <v>0</v>
      </c>
      <c r="WK14" s="8">
        <v>0</v>
      </c>
      <c r="WL14" s="8">
        <v>0</v>
      </c>
      <c r="WM14" s="8">
        <v>0</v>
      </c>
      <c r="WN14" s="8">
        <v>0</v>
      </c>
      <c r="WO14" s="8">
        <v>0</v>
      </c>
      <c r="WP14" s="8">
        <v>0</v>
      </c>
      <c r="WQ14" s="8">
        <v>0</v>
      </c>
      <c r="WR14" s="8">
        <v>0</v>
      </c>
      <c r="WS14" s="8">
        <v>0</v>
      </c>
      <c r="WT14" s="8">
        <v>0</v>
      </c>
      <c r="WU14" s="8">
        <v>0</v>
      </c>
      <c r="WV14" s="8">
        <v>0</v>
      </c>
      <c r="WW14" s="8">
        <v>0</v>
      </c>
      <c r="WX14" s="8">
        <v>0</v>
      </c>
      <c r="WY14" s="8">
        <v>0</v>
      </c>
      <c r="WZ14" s="8">
        <v>0</v>
      </c>
      <c r="XA14" s="8">
        <v>0</v>
      </c>
      <c r="XB14" s="8">
        <v>0</v>
      </c>
      <c r="XC14" s="8">
        <v>0</v>
      </c>
      <c r="XD14" s="8">
        <v>0</v>
      </c>
      <c r="XE14" s="8">
        <v>0</v>
      </c>
      <c r="XF14" s="8">
        <v>0</v>
      </c>
      <c r="XG14" s="8">
        <v>0</v>
      </c>
      <c r="XH14" s="8">
        <v>0</v>
      </c>
      <c r="XI14" s="8">
        <v>0</v>
      </c>
      <c r="XJ14" s="8">
        <v>0</v>
      </c>
      <c r="XK14" s="8">
        <v>0</v>
      </c>
      <c r="XL14" s="8">
        <v>0</v>
      </c>
      <c r="XM14" s="8">
        <v>0</v>
      </c>
      <c r="XN14" s="8">
        <v>0</v>
      </c>
      <c r="XO14" s="8">
        <v>0</v>
      </c>
      <c r="XP14" s="8">
        <v>0</v>
      </c>
      <c r="XQ14" s="8">
        <v>0</v>
      </c>
      <c r="XR14" s="8">
        <v>0</v>
      </c>
      <c r="XS14" s="8">
        <v>0</v>
      </c>
      <c r="XT14" s="8">
        <v>0</v>
      </c>
      <c r="XU14" s="8">
        <v>0</v>
      </c>
      <c r="XV14" s="8">
        <v>0</v>
      </c>
      <c r="XW14" s="8">
        <v>0</v>
      </c>
      <c r="XX14" s="8">
        <v>0</v>
      </c>
      <c r="XY14" s="8">
        <v>0</v>
      </c>
      <c r="XZ14" s="8">
        <v>0</v>
      </c>
      <c r="YA14" s="8">
        <v>0</v>
      </c>
      <c r="YB14" s="8">
        <v>0</v>
      </c>
      <c r="YC14" s="8">
        <v>0</v>
      </c>
      <c r="YD14" s="8">
        <v>0</v>
      </c>
      <c r="YE14" s="8">
        <v>0</v>
      </c>
      <c r="YF14" s="8">
        <v>0</v>
      </c>
      <c r="YG14" s="8">
        <v>0</v>
      </c>
      <c r="YH14" s="8">
        <v>0</v>
      </c>
      <c r="YI14" s="8">
        <v>0</v>
      </c>
      <c r="YJ14" s="8">
        <v>0</v>
      </c>
      <c r="YK14" s="8">
        <v>0</v>
      </c>
      <c r="YL14" s="8">
        <v>0</v>
      </c>
      <c r="YM14" s="8">
        <v>0</v>
      </c>
      <c r="YN14" s="8">
        <v>0</v>
      </c>
      <c r="YO14" s="8">
        <v>0</v>
      </c>
      <c r="YP14" s="8">
        <v>0</v>
      </c>
      <c r="YQ14" s="8">
        <v>0</v>
      </c>
      <c r="YR14" s="8">
        <v>0</v>
      </c>
      <c r="YS14" s="8">
        <v>0</v>
      </c>
      <c r="YT14" s="8">
        <v>0</v>
      </c>
      <c r="YU14" s="8">
        <v>0</v>
      </c>
      <c r="YV14" s="8">
        <v>0</v>
      </c>
      <c r="YW14" s="8">
        <v>0</v>
      </c>
      <c r="YX14" s="8">
        <v>0</v>
      </c>
      <c r="YY14" s="8">
        <v>0</v>
      </c>
      <c r="YZ14" s="8">
        <v>0</v>
      </c>
      <c r="ZA14" s="8">
        <v>0</v>
      </c>
      <c r="ZB14" s="8">
        <v>0</v>
      </c>
      <c r="ZC14" s="8">
        <v>0</v>
      </c>
      <c r="ZD14" s="8">
        <v>0</v>
      </c>
      <c r="ZE14" s="8">
        <v>0</v>
      </c>
      <c r="ZF14" s="8">
        <v>0</v>
      </c>
      <c r="ZG14" s="8">
        <v>0</v>
      </c>
      <c r="ZH14" s="8">
        <v>0</v>
      </c>
      <c r="ZI14" s="8">
        <v>0</v>
      </c>
      <c r="ZJ14" s="8">
        <v>0</v>
      </c>
      <c r="ZK14" s="8">
        <v>0</v>
      </c>
      <c r="ZL14" s="8">
        <v>0</v>
      </c>
      <c r="ZM14" s="8">
        <v>0</v>
      </c>
      <c r="ZN14" s="8">
        <v>0</v>
      </c>
      <c r="ZO14" s="8">
        <v>0</v>
      </c>
      <c r="ZP14" s="8">
        <v>0</v>
      </c>
      <c r="ZQ14" s="8">
        <v>0</v>
      </c>
      <c r="ZR14" s="8">
        <v>0</v>
      </c>
      <c r="ZS14" s="8">
        <v>0</v>
      </c>
      <c r="ZT14" s="8">
        <v>0</v>
      </c>
      <c r="ZU14" s="8">
        <v>0</v>
      </c>
      <c r="ZV14" s="8">
        <v>0</v>
      </c>
      <c r="ZW14" s="8">
        <v>0</v>
      </c>
      <c r="ZX14" s="8">
        <v>0</v>
      </c>
      <c r="ZY14" s="8">
        <v>0</v>
      </c>
      <c r="ZZ14" s="8">
        <v>0</v>
      </c>
      <c r="AAA14" s="8">
        <v>0</v>
      </c>
      <c r="AAB14" s="8">
        <v>0</v>
      </c>
      <c r="AAC14" s="8">
        <v>0</v>
      </c>
      <c r="AAD14" s="8">
        <v>0</v>
      </c>
      <c r="AAE14" s="8">
        <v>0</v>
      </c>
      <c r="AAF14" s="8">
        <v>0</v>
      </c>
      <c r="AAG14" s="8">
        <v>0</v>
      </c>
      <c r="AAH14" s="8">
        <v>0</v>
      </c>
      <c r="AAI14" s="8">
        <v>0</v>
      </c>
      <c r="AAJ14" s="8">
        <v>0</v>
      </c>
      <c r="AAK14" s="8">
        <v>0</v>
      </c>
      <c r="AAL14" s="8">
        <v>0</v>
      </c>
      <c r="AAM14" s="8">
        <v>0</v>
      </c>
      <c r="AAN14" s="8">
        <v>0</v>
      </c>
      <c r="AAO14" s="8">
        <v>0</v>
      </c>
      <c r="AAP14" s="8">
        <v>0</v>
      </c>
      <c r="AAQ14" s="8">
        <v>0</v>
      </c>
      <c r="AAR14" s="8">
        <v>0</v>
      </c>
      <c r="AAS14" s="8">
        <v>0</v>
      </c>
      <c r="AAT14" s="8">
        <v>0</v>
      </c>
      <c r="AAU14" s="8">
        <v>0</v>
      </c>
      <c r="AAV14" s="8">
        <v>0</v>
      </c>
      <c r="AAW14" s="8">
        <v>0</v>
      </c>
      <c r="AAX14" s="8">
        <v>0</v>
      </c>
      <c r="AAY14" s="8">
        <v>0</v>
      </c>
      <c r="AAZ14" s="8">
        <v>0</v>
      </c>
      <c r="ABA14" s="8">
        <v>0</v>
      </c>
      <c r="ABB14" s="8">
        <v>0</v>
      </c>
      <c r="ABC14" s="8">
        <v>0</v>
      </c>
      <c r="ABD14" s="8">
        <v>0</v>
      </c>
      <c r="ABE14" s="8">
        <v>0</v>
      </c>
      <c r="ABF14" s="8">
        <v>0</v>
      </c>
      <c r="ABG14" s="8">
        <v>0</v>
      </c>
      <c r="ABH14" s="8">
        <v>0</v>
      </c>
      <c r="ABI14" s="8">
        <v>0</v>
      </c>
      <c r="ABJ14" s="8">
        <v>0</v>
      </c>
      <c r="ABK14" s="8">
        <v>0</v>
      </c>
      <c r="ABL14" s="8">
        <v>0</v>
      </c>
      <c r="ABM14" s="8">
        <v>0</v>
      </c>
      <c r="ABN14" s="8">
        <v>0</v>
      </c>
      <c r="ABO14" s="8">
        <v>0</v>
      </c>
      <c r="ABP14" s="8">
        <v>0</v>
      </c>
      <c r="ABQ14" s="8">
        <v>0</v>
      </c>
      <c r="ABR14" s="8">
        <v>0</v>
      </c>
      <c r="ABS14" s="8">
        <v>0</v>
      </c>
      <c r="ABT14" s="8">
        <v>0</v>
      </c>
      <c r="ABU14" s="8">
        <v>0</v>
      </c>
      <c r="ABV14" s="8">
        <v>0</v>
      </c>
      <c r="ABW14" s="8">
        <v>0</v>
      </c>
      <c r="ABX14" s="8">
        <v>0</v>
      </c>
      <c r="ABY14" s="8">
        <v>0</v>
      </c>
      <c r="ABZ14" s="8">
        <v>0</v>
      </c>
      <c r="ACA14" s="8">
        <v>0</v>
      </c>
      <c r="ACB14" s="8">
        <v>0</v>
      </c>
      <c r="ACC14" s="8">
        <v>0</v>
      </c>
      <c r="ACD14" s="8">
        <v>0</v>
      </c>
      <c r="ACE14" s="8">
        <v>0</v>
      </c>
      <c r="ACF14" s="8">
        <v>0</v>
      </c>
      <c r="ACG14" s="8">
        <v>0</v>
      </c>
      <c r="ACH14" s="8">
        <v>0</v>
      </c>
      <c r="ACI14" s="8">
        <v>0</v>
      </c>
      <c r="ACJ14" s="8">
        <v>0</v>
      </c>
      <c r="ACK14" s="8">
        <v>0</v>
      </c>
      <c r="ACL14" s="8">
        <v>0</v>
      </c>
      <c r="ACM14" s="8">
        <v>0</v>
      </c>
      <c r="ACN14" s="8">
        <v>0</v>
      </c>
      <c r="ACO14" s="8">
        <v>0</v>
      </c>
      <c r="ACP14" s="8">
        <v>0</v>
      </c>
      <c r="ACQ14" s="8">
        <v>0</v>
      </c>
      <c r="ACR14" s="8">
        <v>0</v>
      </c>
      <c r="ACS14" s="8">
        <v>0</v>
      </c>
      <c r="ACT14" s="8">
        <v>0</v>
      </c>
      <c r="ACU14" s="8">
        <v>0</v>
      </c>
      <c r="ACV14" s="8">
        <v>0</v>
      </c>
      <c r="ACW14" s="8">
        <v>0</v>
      </c>
      <c r="ACX14" s="8">
        <v>0</v>
      </c>
      <c r="ACY14" s="8">
        <v>0</v>
      </c>
      <c r="ACZ14" s="8">
        <v>0</v>
      </c>
      <c r="ADA14" s="8">
        <v>0</v>
      </c>
      <c r="ADB14" s="8">
        <v>0</v>
      </c>
      <c r="ADC14" s="8">
        <v>0</v>
      </c>
      <c r="ADD14" s="8">
        <v>0</v>
      </c>
      <c r="ADE14" s="8">
        <v>0</v>
      </c>
      <c r="ADF14" s="8">
        <v>0</v>
      </c>
      <c r="ADG14" s="8">
        <v>0</v>
      </c>
      <c r="ADH14" s="8">
        <v>0</v>
      </c>
      <c r="ADI14" s="8">
        <v>0</v>
      </c>
      <c r="ADJ14" s="8">
        <v>0</v>
      </c>
      <c r="ADK14" s="8">
        <v>0</v>
      </c>
      <c r="ADL14" s="8">
        <v>0</v>
      </c>
      <c r="ADM14" s="8">
        <v>0</v>
      </c>
      <c r="ADN14" s="8">
        <v>0</v>
      </c>
      <c r="ADO14" s="8">
        <v>0</v>
      </c>
      <c r="ADP14" s="8">
        <v>0</v>
      </c>
      <c r="ADQ14" s="8">
        <v>0</v>
      </c>
      <c r="ADR14" s="8">
        <v>0</v>
      </c>
      <c r="ADS14" s="8">
        <v>0</v>
      </c>
      <c r="ADT14" s="8">
        <v>0</v>
      </c>
      <c r="ADU14" s="8">
        <v>0</v>
      </c>
      <c r="ADV14" s="8">
        <v>0</v>
      </c>
      <c r="ADW14" s="8">
        <v>0</v>
      </c>
      <c r="ADX14" s="8">
        <v>0</v>
      </c>
      <c r="ADY14" s="8">
        <v>0</v>
      </c>
      <c r="ADZ14" s="8">
        <v>0</v>
      </c>
      <c r="AEA14" s="8">
        <v>0</v>
      </c>
      <c r="AEB14" s="8">
        <v>0</v>
      </c>
      <c r="AEC14" s="8">
        <v>0</v>
      </c>
      <c r="AED14" s="8">
        <v>0</v>
      </c>
      <c r="AEE14" s="8">
        <v>0</v>
      </c>
      <c r="AEF14" s="8">
        <v>0</v>
      </c>
      <c r="AEG14" s="8">
        <v>0</v>
      </c>
      <c r="AEH14" s="8">
        <v>0</v>
      </c>
      <c r="AEI14" s="8">
        <v>0</v>
      </c>
      <c r="AEJ14" s="8">
        <v>0</v>
      </c>
      <c r="AEK14" s="8">
        <v>0</v>
      </c>
      <c r="AEL14" s="8">
        <v>0</v>
      </c>
      <c r="AEM14" s="8">
        <v>0</v>
      </c>
      <c r="AEN14" s="8">
        <v>0</v>
      </c>
      <c r="AEO14" s="8">
        <v>0</v>
      </c>
      <c r="AEP14" s="8">
        <v>0</v>
      </c>
      <c r="AEQ14" s="8">
        <v>0</v>
      </c>
      <c r="AER14" s="8">
        <v>0</v>
      </c>
      <c r="AES14" s="8">
        <v>0</v>
      </c>
      <c r="AET14" s="8">
        <v>0</v>
      </c>
      <c r="AEU14" s="8">
        <v>0</v>
      </c>
      <c r="AEV14" s="8">
        <v>0</v>
      </c>
      <c r="AEW14" s="8">
        <v>0</v>
      </c>
      <c r="AEX14" s="8">
        <v>0</v>
      </c>
      <c r="AEY14" s="8">
        <v>0</v>
      </c>
      <c r="AEZ14" s="8">
        <v>0</v>
      </c>
      <c r="AFA14" s="8">
        <v>0</v>
      </c>
      <c r="AFB14" s="8">
        <v>0</v>
      </c>
      <c r="AFC14" s="8">
        <v>0</v>
      </c>
      <c r="AFD14" s="8">
        <v>0</v>
      </c>
      <c r="AFE14" s="8">
        <v>0</v>
      </c>
      <c r="AFF14" s="8">
        <v>0</v>
      </c>
      <c r="AFG14" s="8">
        <v>0</v>
      </c>
      <c r="AFH14" s="8">
        <v>0</v>
      </c>
      <c r="AFI14" s="8">
        <v>0</v>
      </c>
      <c r="AFJ14" s="8">
        <v>0</v>
      </c>
      <c r="AFK14" s="8">
        <v>0</v>
      </c>
      <c r="AFL14" s="8">
        <v>0</v>
      </c>
      <c r="AFM14" s="8">
        <v>0</v>
      </c>
      <c r="AFN14" s="8">
        <v>0</v>
      </c>
      <c r="AFO14" s="8">
        <v>0</v>
      </c>
      <c r="AFP14" s="8">
        <v>0</v>
      </c>
      <c r="AFQ14" s="8">
        <v>0</v>
      </c>
      <c r="AFR14" s="8">
        <v>0</v>
      </c>
      <c r="AFS14" s="8">
        <v>0</v>
      </c>
      <c r="AFT14" s="8">
        <v>0</v>
      </c>
      <c r="AFU14" s="8">
        <v>0</v>
      </c>
      <c r="AFV14" s="8">
        <v>0</v>
      </c>
      <c r="AFW14" s="8">
        <v>0</v>
      </c>
      <c r="AFX14" s="8">
        <v>0</v>
      </c>
      <c r="AFY14" s="8">
        <v>0</v>
      </c>
      <c r="AFZ14" s="8">
        <v>0</v>
      </c>
      <c r="AGA14" s="8">
        <v>0</v>
      </c>
      <c r="AGB14" s="8">
        <v>0</v>
      </c>
      <c r="AGC14" s="8">
        <v>0</v>
      </c>
      <c r="AGD14" s="8">
        <v>0</v>
      </c>
      <c r="AGE14" s="8">
        <v>0</v>
      </c>
      <c r="AGF14" s="8">
        <v>0</v>
      </c>
      <c r="AGG14" s="8">
        <v>0</v>
      </c>
      <c r="AGH14" s="8">
        <v>0</v>
      </c>
      <c r="AGI14" s="8">
        <v>0</v>
      </c>
      <c r="AGJ14" s="8">
        <v>0</v>
      </c>
      <c r="AGK14" s="8">
        <v>0</v>
      </c>
      <c r="AGL14" s="8">
        <v>0</v>
      </c>
      <c r="AGM14" s="8">
        <v>0</v>
      </c>
      <c r="AGN14" s="8">
        <v>0</v>
      </c>
      <c r="AGO14" s="8">
        <v>0</v>
      </c>
      <c r="AGP14" s="8">
        <v>0</v>
      </c>
      <c r="AGQ14" s="8">
        <v>0</v>
      </c>
      <c r="AGR14" s="8">
        <v>0</v>
      </c>
      <c r="AGS14" s="8">
        <v>0</v>
      </c>
      <c r="AGT14" s="8">
        <v>0</v>
      </c>
      <c r="AGU14" s="8">
        <v>0</v>
      </c>
      <c r="AGV14" s="8">
        <v>0</v>
      </c>
      <c r="AGW14" s="8">
        <v>0</v>
      </c>
      <c r="AGX14" s="8">
        <v>0</v>
      </c>
      <c r="AGY14" s="8">
        <v>0</v>
      </c>
      <c r="AGZ14" s="8">
        <v>0</v>
      </c>
      <c r="AHA14" s="8">
        <v>0</v>
      </c>
      <c r="AHB14" s="8">
        <v>0</v>
      </c>
      <c r="AHC14" s="8">
        <v>0</v>
      </c>
      <c r="AHD14" s="8">
        <v>0</v>
      </c>
      <c r="AHE14" s="8">
        <v>0</v>
      </c>
      <c r="AHF14" s="8">
        <v>0</v>
      </c>
      <c r="AHG14" s="8">
        <v>0</v>
      </c>
      <c r="AHH14" s="8">
        <v>0</v>
      </c>
      <c r="AHI14" s="8">
        <v>0</v>
      </c>
      <c r="AHJ14" s="8">
        <v>0</v>
      </c>
      <c r="AHK14" s="8">
        <v>0</v>
      </c>
      <c r="AHL14" s="8">
        <v>0</v>
      </c>
      <c r="AHM14" s="8">
        <v>0</v>
      </c>
      <c r="AHN14" s="8">
        <v>0</v>
      </c>
      <c r="AHO14" s="8">
        <v>0</v>
      </c>
      <c r="AHP14" s="8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 t="e">
        <v>#N/A</v>
      </c>
      <c r="AIJ14" t="e">
        <v>#N/A</v>
      </c>
      <c r="AIK14" t="e">
        <v>#N/A</v>
      </c>
      <c r="AIL14" t="e">
        <v>#N/A</v>
      </c>
      <c r="AIM14" t="e">
        <v>#N/A</v>
      </c>
      <c r="AIN14" t="e">
        <v>#N/A</v>
      </c>
      <c r="AIO14" t="e">
        <v>#N/A</v>
      </c>
      <c r="AIP14" t="e">
        <v>#N/A</v>
      </c>
      <c r="AIQ14" t="e">
        <v>#N/A</v>
      </c>
      <c r="AIR14" t="e">
        <v>#N/A</v>
      </c>
      <c r="AIS14" t="e">
        <v>#N/A</v>
      </c>
      <c r="AIT14" t="e">
        <v>#N/A</v>
      </c>
      <c r="AIU14" t="e">
        <v>#N/A</v>
      </c>
      <c r="AIV14" t="e">
        <v>#N/A</v>
      </c>
      <c r="AIW14" t="e">
        <v>#N/A</v>
      </c>
      <c r="AIX14" t="e">
        <v>#N/A</v>
      </c>
      <c r="AIY14" t="e">
        <v>#N/A</v>
      </c>
      <c r="AIZ14" t="e">
        <v>#N/A</v>
      </c>
      <c r="AJA14" t="e">
        <v>#N/A</v>
      </c>
      <c r="AJB14" t="e">
        <v>#N/A</v>
      </c>
      <c r="AJC14" t="e">
        <v>#N/A</v>
      </c>
      <c r="AJD14" t="e">
        <v>#N/A</v>
      </c>
      <c r="AJE14" t="e">
        <v>#N/A</v>
      </c>
      <c r="AJF14" t="e">
        <v>#N/A</v>
      </c>
      <c r="AJG14" t="e">
        <v>#N/A</v>
      </c>
      <c r="AJH14" t="e">
        <v>#N/A</v>
      </c>
      <c r="AJI14" t="e">
        <v>#N/A</v>
      </c>
      <c r="AJJ14" t="e">
        <v>#N/A</v>
      </c>
      <c r="AJK14" t="e">
        <v>#N/A</v>
      </c>
      <c r="AJL14" t="e">
        <v>#N/A</v>
      </c>
      <c r="AJM14" t="e">
        <v>#N/A</v>
      </c>
      <c r="AJN14" t="e">
        <v>#N/A</v>
      </c>
      <c r="AJO14" t="e">
        <v>#N/A</v>
      </c>
      <c r="AJP14" t="e">
        <v>#N/A</v>
      </c>
      <c r="AJQ14" t="e">
        <v>#N/A</v>
      </c>
      <c r="AJR14" t="e">
        <v>#N/A</v>
      </c>
      <c r="AJS14" t="e">
        <v>#N/A</v>
      </c>
      <c r="AJT14" t="e">
        <v>#N/A</v>
      </c>
      <c r="AJU14" t="e">
        <v>#N/A</v>
      </c>
      <c r="AJV14" t="e">
        <v>#N/A</v>
      </c>
      <c r="AJW14" t="e">
        <v>#N/A</v>
      </c>
      <c r="AJX14" t="e">
        <v>#N/A</v>
      </c>
      <c r="AJY14" t="e">
        <v>#N/A</v>
      </c>
      <c r="AJZ14" t="e">
        <v>#N/A</v>
      </c>
      <c r="AKA14" t="e">
        <v>#N/A</v>
      </c>
      <c r="AKB14" t="e">
        <v>#N/A</v>
      </c>
      <c r="AKC14" t="e">
        <v>#N/A</v>
      </c>
      <c r="AKD14" t="e">
        <v>#N/A</v>
      </c>
      <c r="AKE14" t="e">
        <v>#N/A</v>
      </c>
      <c r="AKF14" t="e">
        <v>#N/A</v>
      </c>
      <c r="AKG14" t="e">
        <v>#N/A</v>
      </c>
      <c r="AKH14" t="e">
        <v>#N/A</v>
      </c>
      <c r="AKI14" t="e">
        <v>#N/A</v>
      </c>
      <c r="AKJ14" t="e">
        <v>#N/A</v>
      </c>
      <c r="AKK14" t="e">
        <v>#N/A</v>
      </c>
      <c r="AKL14" t="e">
        <v>#N/A</v>
      </c>
      <c r="AKM14" t="e">
        <v>#N/A</v>
      </c>
      <c r="AKN14" t="e">
        <v>#N/A</v>
      </c>
      <c r="AKO14" t="e">
        <v>#N/A</v>
      </c>
      <c r="AKP14" t="e">
        <v>#N/A</v>
      </c>
      <c r="AKQ14" t="e">
        <v>#N/A</v>
      </c>
      <c r="AKR14" t="e">
        <v>#N/A</v>
      </c>
      <c r="AKS14" t="e">
        <v>#N/A</v>
      </c>
      <c r="AKT14" t="e">
        <v>#N/A</v>
      </c>
      <c r="AKU14" t="e">
        <v>#N/A</v>
      </c>
      <c r="AKV14" t="e">
        <v>#N/A</v>
      </c>
      <c r="AKW14" t="e">
        <v>#N/A</v>
      </c>
      <c r="AKX14" t="e">
        <v>#N/A</v>
      </c>
      <c r="AKY14" t="e">
        <v>#N/A</v>
      </c>
      <c r="AKZ14" t="e">
        <v>#N/A</v>
      </c>
      <c r="ALA14" t="e">
        <v>#N/A</v>
      </c>
      <c r="ALB14" t="e">
        <v>#N/A</v>
      </c>
      <c r="ALC14" t="e">
        <v>#N/A</v>
      </c>
      <c r="ALD14" t="e">
        <v>#N/A</v>
      </c>
      <c r="ALE14" t="e">
        <v>#N/A</v>
      </c>
      <c r="ALF14" t="e">
        <v>#N/A</v>
      </c>
      <c r="ALG14" t="e">
        <v>#N/A</v>
      </c>
      <c r="ALH14" t="e">
        <v>#N/A</v>
      </c>
      <c r="ALI14" t="e">
        <v>#N/A</v>
      </c>
      <c r="ALJ14" t="e">
        <v>#N/A</v>
      </c>
      <c r="ALK14" t="e">
        <v>#N/A</v>
      </c>
      <c r="ALL14" t="e">
        <v>#N/A</v>
      </c>
      <c r="ALM14" t="e">
        <v>#N/A</v>
      </c>
      <c r="ALN14" t="e">
        <v>#N/A</v>
      </c>
      <c r="ALO14" t="e">
        <v>#N/A</v>
      </c>
      <c r="ALP14" t="e">
        <v>#N/A</v>
      </c>
      <c r="ALQ14" t="e">
        <v>#N/A</v>
      </c>
      <c r="ALR14" t="e">
        <v>#N/A</v>
      </c>
      <c r="ALS14" t="e">
        <v>#N/A</v>
      </c>
      <c r="ALT14" t="e">
        <v>#N/A</v>
      </c>
      <c r="ALU14" t="e">
        <v>#N/A</v>
      </c>
      <c r="ALV14" t="e">
        <v>#N/A</v>
      </c>
      <c r="ALW14" t="e">
        <v>#N/A</v>
      </c>
      <c r="ALX14" t="e">
        <v>#N/A</v>
      </c>
      <c r="ALY14" t="e">
        <v>#N/A</v>
      </c>
      <c r="ALZ14" t="e">
        <v>#N/A</v>
      </c>
      <c r="AMA14" t="e">
        <v>#N/A</v>
      </c>
      <c r="AMB14" t="e">
        <v>#N/A</v>
      </c>
      <c r="AMC14" t="e">
        <v>#N/A</v>
      </c>
      <c r="AMD14" t="e">
        <v>#N/A</v>
      </c>
      <c r="AME14" t="e">
        <v>#N/A</v>
      </c>
      <c r="AMF14" t="e">
        <v>#N/A</v>
      </c>
      <c r="AMG14" t="e">
        <v>#N/A</v>
      </c>
      <c r="AMH14" t="e">
        <v>#N/A</v>
      </c>
    </row>
    <row r="15" spans="1:1022" ht="15.75" customHeight="1">
      <c r="A15" s="8" t="str">
        <v>Max</v>
      </c>
      <c r="B15" s="8">
        <v>765</v>
      </c>
      <c r="C15" s="8">
        <v>510</v>
      </c>
      <c r="D15" s="8">
        <v>795</v>
      </c>
      <c r="E15" s="8">
        <v>895</v>
      </c>
      <c r="F15" s="8">
        <v>900</v>
      </c>
      <c r="G15" s="8">
        <v>675</v>
      </c>
      <c r="H15" s="8">
        <v>550</v>
      </c>
      <c r="I15" s="8">
        <v>400</v>
      </c>
      <c r="J15" s="8">
        <v>400</v>
      </c>
      <c r="K15" s="8">
        <v>465</v>
      </c>
      <c r="L15" s="8">
        <v>675</v>
      </c>
      <c r="M15" s="8">
        <v>630</v>
      </c>
      <c r="N15" s="8">
        <v>800</v>
      </c>
      <c r="O15" s="8">
        <v>265</v>
      </c>
      <c r="P15" s="8">
        <v>650</v>
      </c>
      <c r="Q15" s="8">
        <v>465</v>
      </c>
      <c r="R15" s="8">
        <v>780</v>
      </c>
      <c r="S15" s="8">
        <v>575</v>
      </c>
      <c r="T15" s="8">
        <v>775</v>
      </c>
      <c r="U15" s="8">
        <v>495</v>
      </c>
      <c r="V15" s="8">
        <v>375</v>
      </c>
      <c r="W15" s="8">
        <v>655</v>
      </c>
      <c r="X15" s="8">
        <v>335</v>
      </c>
      <c r="Y15" s="8">
        <v>720</v>
      </c>
      <c r="Z15" s="8">
        <v>625</v>
      </c>
      <c r="AA15" s="8">
        <v>595</v>
      </c>
      <c r="AB15" s="8">
        <v>905</v>
      </c>
      <c r="AC15" s="8">
        <v>950</v>
      </c>
      <c r="AD15" s="8">
        <v>665</v>
      </c>
      <c r="AE15" s="8">
        <v>360</v>
      </c>
      <c r="AF15" s="8">
        <v>705</v>
      </c>
      <c r="AG15" s="8">
        <v>520</v>
      </c>
      <c r="AH15" s="8">
        <v>485</v>
      </c>
      <c r="AI15" s="8">
        <v>480</v>
      </c>
      <c r="AJ15" s="8">
        <v>800</v>
      </c>
      <c r="AK15" s="8">
        <v>460</v>
      </c>
      <c r="AL15" s="8">
        <v>455</v>
      </c>
      <c r="AM15" s="8">
        <v>710</v>
      </c>
      <c r="AN15" s="8">
        <v>560</v>
      </c>
      <c r="AO15" s="8">
        <v>725</v>
      </c>
      <c r="AP15" s="8">
        <v>310</v>
      </c>
      <c r="AQ15" s="8">
        <v>1165</v>
      </c>
      <c r="AR15" s="8">
        <v>310</v>
      </c>
      <c r="AS15" s="8">
        <v>255</v>
      </c>
      <c r="AT15" s="8">
        <v>595</v>
      </c>
      <c r="AU15" s="8">
        <v>600</v>
      </c>
      <c r="AV15" s="8">
        <v>1080</v>
      </c>
      <c r="AW15" s="8">
        <v>525</v>
      </c>
      <c r="AX15" s="8">
        <v>640</v>
      </c>
      <c r="AY15" s="8">
        <v>210</v>
      </c>
      <c r="AZ15" s="8">
        <v>360</v>
      </c>
      <c r="BA15" s="8">
        <v>525</v>
      </c>
      <c r="BB15" s="8">
        <v>390</v>
      </c>
      <c r="BC15" s="8">
        <v>1020</v>
      </c>
      <c r="BD15" s="8">
        <v>530</v>
      </c>
      <c r="BE15" s="8">
        <v>735</v>
      </c>
      <c r="BF15" s="8">
        <v>390</v>
      </c>
      <c r="BG15" s="8">
        <v>380</v>
      </c>
      <c r="BH15" s="8">
        <v>245</v>
      </c>
      <c r="BI15" s="8">
        <v>580</v>
      </c>
      <c r="BJ15" s="8">
        <v>405</v>
      </c>
      <c r="BK15" s="8">
        <v>550</v>
      </c>
      <c r="BL15" s="8">
        <v>540</v>
      </c>
      <c r="BM15" s="8">
        <v>445</v>
      </c>
      <c r="BN15" s="8">
        <v>765</v>
      </c>
      <c r="BO15" s="8">
        <v>840</v>
      </c>
      <c r="BP15" s="8">
        <v>830</v>
      </c>
      <c r="BQ15" s="8">
        <v>330</v>
      </c>
      <c r="BR15" s="8">
        <v>765</v>
      </c>
      <c r="BS15" s="8">
        <v>760</v>
      </c>
      <c r="BT15" s="8">
        <v>350</v>
      </c>
      <c r="BU15" s="8">
        <v>870</v>
      </c>
      <c r="BV15" s="8">
        <v>520</v>
      </c>
      <c r="BW15" s="8">
        <v>620</v>
      </c>
      <c r="BX15" s="8">
        <v>380</v>
      </c>
      <c r="BY15" s="8">
        <v>315</v>
      </c>
      <c r="BZ15" s="8">
        <v>510</v>
      </c>
      <c r="CA15" s="8">
        <v>660</v>
      </c>
      <c r="CB15" s="8">
        <v>565</v>
      </c>
      <c r="CC15" s="8">
        <v>700</v>
      </c>
      <c r="CD15" s="8">
        <v>805</v>
      </c>
      <c r="CE15" s="8">
        <v>615</v>
      </c>
      <c r="CF15" s="8">
        <v>895</v>
      </c>
      <c r="CG15" s="8">
        <v>790</v>
      </c>
      <c r="CH15" s="8">
        <v>585</v>
      </c>
      <c r="CI15" s="8">
        <v>790</v>
      </c>
      <c r="CJ15" s="8">
        <v>885</v>
      </c>
      <c r="CK15" s="8">
        <v>470</v>
      </c>
      <c r="CL15" s="8">
        <v>630</v>
      </c>
      <c r="CM15" s="8">
        <v>825</v>
      </c>
      <c r="CN15" s="8">
        <v>170</v>
      </c>
      <c r="CO15" s="8">
        <v>430</v>
      </c>
      <c r="CP15" s="8">
        <v>590</v>
      </c>
      <c r="CQ15" s="8">
        <v>555</v>
      </c>
      <c r="CR15" s="8">
        <v>485</v>
      </c>
      <c r="CS15" s="8">
        <v>850</v>
      </c>
      <c r="CT15" s="8">
        <v>795</v>
      </c>
      <c r="CU15" s="8">
        <v>705</v>
      </c>
      <c r="CV15" s="8">
        <v>555</v>
      </c>
      <c r="CW15" s="8">
        <v>845</v>
      </c>
      <c r="CX15" s="8">
        <v>670</v>
      </c>
      <c r="CY15" s="8">
        <v>515</v>
      </c>
      <c r="CZ15" s="8">
        <v>590</v>
      </c>
      <c r="DA15" s="8">
        <v>385</v>
      </c>
      <c r="DB15" s="8">
        <v>560</v>
      </c>
      <c r="DC15" s="8">
        <v>690</v>
      </c>
      <c r="DD15" s="8">
        <v>455</v>
      </c>
      <c r="DE15" s="8">
        <v>670</v>
      </c>
      <c r="DF15" s="8">
        <v>460</v>
      </c>
      <c r="DG15" s="8">
        <v>605</v>
      </c>
      <c r="DH15" s="8">
        <v>675</v>
      </c>
      <c r="DI15" s="8">
        <v>555</v>
      </c>
      <c r="DJ15" s="8">
        <v>520</v>
      </c>
      <c r="DK15" s="8">
        <v>430</v>
      </c>
      <c r="DL15" s="8">
        <v>435</v>
      </c>
      <c r="DM15" s="8">
        <v>360</v>
      </c>
      <c r="DN15" s="8">
        <v>350</v>
      </c>
      <c r="DO15" s="8">
        <v>590</v>
      </c>
      <c r="DP15" s="8">
        <v>335</v>
      </c>
      <c r="DQ15" s="8">
        <v>515</v>
      </c>
      <c r="DR15" s="8">
        <v>615</v>
      </c>
      <c r="DS15" s="8">
        <v>705</v>
      </c>
      <c r="DT15" s="8">
        <v>375</v>
      </c>
      <c r="DU15" s="8">
        <v>565</v>
      </c>
      <c r="DV15" s="8">
        <v>675</v>
      </c>
      <c r="DW15" s="8">
        <v>945</v>
      </c>
      <c r="DX15" s="8">
        <v>360</v>
      </c>
      <c r="DY15" s="8">
        <v>295</v>
      </c>
      <c r="DZ15" s="8">
        <v>665</v>
      </c>
      <c r="EA15" s="8">
        <v>895</v>
      </c>
      <c r="EB15" s="8">
        <v>925</v>
      </c>
      <c r="EC15" s="8">
        <v>695</v>
      </c>
      <c r="ED15" s="8">
        <v>145</v>
      </c>
      <c r="EE15" s="8">
        <v>820</v>
      </c>
      <c r="EF15" s="8">
        <v>420</v>
      </c>
      <c r="EG15" s="8">
        <v>240</v>
      </c>
      <c r="EH15" s="8">
        <v>820</v>
      </c>
      <c r="EI15" s="8">
        <v>740</v>
      </c>
      <c r="EJ15" s="8">
        <v>405</v>
      </c>
      <c r="EK15" s="8">
        <v>580</v>
      </c>
      <c r="EL15" s="8">
        <v>725</v>
      </c>
      <c r="EM15" s="8">
        <v>680</v>
      </c>
      <c r="EN15" s="8">
        <v>460</v>
      </c>
      <c r="EO15" s="8">
        <v>565</v>
      </c>
      <c r="EP15" s="8">
        <v>390</v>
      </c>
      <c r="EQ15" s="8">
        <v>540</v>
      </c>
      <c r="ER15" s="8">
        <v>435</v>
      </c>
      <c r="ES15" s="8">
        <v>475</v>
      </c>
      <c r="ET15" s="8">
        <v>390</v>
      </c>
      <c r="EU15" s="8">
        <v>390</v>
      </c>
      <c r="EV15" s="8">
        <v>720</v>
      </c>
      <c r="EW15" s="8">
        <v>745</v>
      </c>
      <c r="EX15" s="8">
        <v>925</v>
      </c>
      <c r="EY15" s="8">
        <v>615</v>
      </c>
      <c r="EZ15" s="8">
        <v>520</v>
      </c>
      <c r="FA15" s="8">
        <v>595</v>
      </c>
      <c r="FB15" s="8">
        <v>655</v>
      </c>
      <c r="FC15" s="8">
        <v>455</v>
      </c>
      <c r="FD15" s="8">
        <v>585</v>
      </c>
      <c r="FE15" s="8">
        <v>765</v>
      </c>
      <c r="FF15" s="8">
        <v>1085</v>
      </c>
      <c r="FG15" s="8">
        <v>320</v>
      </c>
      <c r="FH15" s="8">
        <v>420</v>
      </c>
      <c r="FI15" s="8">
        <v>680</v>
      </c>
      <c r="FJ15" s="8">
        <v>1010</v>
      </c>
      <c r="FK15" s="8">
        <v>810</v>
      </c>
      <c r="FL15" s="8">
        <v>745</v>
      </c>
      <c r="FM15" s="8">
        <v>705</v>
      </c>
      <c r="FN15" s="8">
        <v>745</v>
      </c>
      <c r="FO15" s="8">
        <v>465</v>
      </c>
      <c r="FP15" s="8">
        <v>850</v>
      </c>
      <c r="FQ15" s="8">
        <v>720</v>
      </c>
      <c r="FR15" s="8">
        <v>615</v>
      </c>
      <c r="FS15" s="8">
        <v>495</v>
      </c>
      <c r="FT15" s="8">
        <v>630</v>
      </c>
      <c r="FU15" s="8">
        <v>270</v>
      </c>
      <c r="FV15" s="8">
        <v>555</v>
      </c>
      <c r="FW15" s="8">
        <v>705</v>
      </c>
      <c r="FX15" s="8">
        <v>605</v>
      </c>
      <c r="FY15" s="8">
        <v>465</v>
      </c>
      <c r="FZ15" s="8">
        <v>645</v>
      </c>
      <c r="GA15" s="8">
        <v>715</v>
      </c>
      <c r="GB15" s="8">
        <v>645</v>
      </c>
      <c r="GC15" s="8">
        <v>715</v>
      </c>
      <c r="GD15" s="8">
        <v>610</v>
      </c>
      <c r="GE15" s="8">
        <v>655</v>
      </c>
      <c r="GF15" s="8">
        <v>525</v>
      </c>
      <c r="GG15" s="8">
        <v>435</v>
      </c>
      <c r="GH15" s="8">
        <v>720</v>
      </c>
      <c r="GI15" s="8">
        <v>595</v>
      </c>
      <c r="GJ15" s="8">
        <v>665</v>
      </c>
      <c r="GK15" s="8">
        <v>490</v>
      </c>
      <c r="GL15" s="8">
        <v>340</v>
      </c>
      <c r="GM15" s="8">
        <v>590</v>
      </c>
      <c r="GN15" s="8">
        <v>620</v>
      </c>
      <c r="GO15" s="8">
        <v>260</v>
      </c>
      <c r="GP15" s="8">
        <v>465</v>
      </c>
      <c r="GQ15" s="8">
        <v>495</v>
      </c>
      <c r="GR15" s="8">
        <v>580</v>
      </c>
      <c r="GS15" s="8">
        <v>605</v>
      </c>
      <c r="GT15" s="8">
        <v>885</v>
      </c>
      <c r="GU15" s="8">
        <v>285</v>
      </c>
      <c r="GV15" s="8">
        <v>615</v>
      </c>
      <c r="GW15" s="8">
        <v>570</v>
      </c>
      <c r="GX15" s="8">
        <v>125</v>
      </c>
      <c r="GY15" s="8">
        <v>625</v>
      </c>
      <c r="GZ15" s="8">
        <v>600</v>
      </c>
      <c r="HA15" s="8">
        <v>615</v>
      </c>
      <c r="HB15" s="8">
        <v>505</v>
      </c>
      <c r="HC15" s="8">
        <v>660</v>
      </c>
      <c r="HD15" s="8">
        <v>750</v>
      </c>
      <c r="HE15" s="8">
        <v>495</v>
      </c>
      <c r="HF15" s="8">
        <v>270</v>
      </c>
      <c r="HG15" s="8">
        <v>840</v>
      </c>
      <c r="HH15" s="8">
        <v>380</v>
      </c>
      <c r="HI15" s="8">
        <v>650</v>
      </c>
      <c r="HJ15" s="8">
        <v>740</v>
      </c>
      <c r="HK15" s="8">
        <v>705</v>
      </c>
      <c r="HL15" s="8">
        <v>840</v>
      </c>
      <c r="HM15" s="8">
        <v>425</v>
      </c>
      <c r="HN15" s="8">
        <v>465</v>
      </c>
      <c r="HO15" s="8">
        <v>370</v>
      </c>
      <c r="HP15" s="8">
        <v>645</v>
      </c>
      <c r="HQ15" s="8">
        <v>370</v>
      </c>
      <c r="HR15" s="8">
        <v>585</v>
      </c>
      <c r="HS15" s="8">
        <v>690</v>
      </c>
      <c r="HT15" s="8">
        <v>660</v>
      </c>
      <c r="HU15" s="8">
        <v>530</v>
      </c>
      <c r="HV15" s="8">
        <v>680</v>
      </c>
      <c r="HW15" s="8">
        <v>630</v>
      </c>
      <c r="HX15" s="8">
        <v>595</v>
      </c>
      <c r="HY15" s="8">
        <v>290</v>
      </c>
      <c r="HZ15" s="8">
        <v>635</v>
      </c>
      <c r="IA15" s="8">
        <v>680</v>
      </c>
      <c r="IB15" s="8">
        <v>505</v>
      </c>
      <c r="IC15" s="8">
        <v>710</v>
      </c>
      <c r="ID15" s="8">
        <v>665</v>
      </c>
      <c r="IE15" s="8">
        <v>335</v>
      </c>
      <c r="IF15" s="8">
        <v>465</v>
      </c>
      <c r="IG15" s="8">
        <v>1030</v>
      </c>
      <c r="IH15" s="8">
        <v>835</v>
      </c>
      <c r="II15" s="8">
        <v>420</v>
      </c>
      <c r="IJ15" s="8">
        <v>405</v>
      </c>
      <c r="IK15" s="8">
        <v>695</v>
      </c>
      <c r="IL15" s="8">
        <v>685</v>
      </c>
      <c r="IM15" s="8">
        <v>560</v>
      </c>
      <c r="IN15" s="8">
        <v>615</v>
      </c>
      <c r="IO15" s="8">
        <v>360</v>
      </c>
      <c r="IP15" s="8">
        <v>475</v>
      </c>
      <c r="IQ15" s="8">
        <v>460</v>
      </c>
      <c r="IR15" s="8">
        <v>810</v>
      </c>
      <c r="IS15" s="8">
        <v>680</v>
      </c>
      <c r="IT15" s="8">
        <v>845</v>
      </c>
      <c r="IU15" s="8">
        <v>360</v>
      </c>
      <c r="IV15" s="8">
        <v>1310</v>
      </c>
      <c r="IW15" s="8">
        <v>880</v>
      </c>
      <c r="IX15" s="8">
        <v>735</v>
      </c>
      <c r="IY15" s="8">
        <v>435</v>
      </c>
      <c r="IZ15" s="8">
        <v>715</v>
      </c>
      <c r="JA15" s="8">
        <v>490</v>
      </c>
      <c r="JB15" s="8">
        <v>750</v>
      </c>
      <c r="JC15" s="8">
        <v>620</v>
      </c>
      <c r="JD15" s="8">
        <v>725</v>
      </c>
      <c r="JE15" s="8">
        <v>530</v>
      </c>
      <c r="JF15" s="8">
        <v>1185</v>
      </c>
      <c r="JG15" s="8">
        <v>610</v>
      </c>
      <c r="JH15" s="8">
        <v>480</v>
      </c>
      <c r="JI15" s="8">
        <v>640</v>
      </c>
      <c r="JJ15" s="8">
        <v>555</v>
      </c>
      <c r="JK15" s="8">
        <v>260</v>
      </c>
      <c r="JL15" s="8">
        <v>720</v>
      </c>
      <c r="JM15" s="8">
        <v>525</v>
      </c>
      <c r="JN15" s="8">
        <v>530</v>
      </c>
      <c r="JO15" s="8">
        <v>345</v>
      </c>
      <c r="JP15" s="8">
        <v>785</v>
      </c>
      <c r="JQ15" s="8">
        <v>895</v>
      </c>
      <c r="JR15" s="8">
        <v>600</v>
      </c>
      <c r="JS15" s="8">
        <v>450</v>
      </c>
      <c r="JT15" s="8">
        <v>480</v>
      </c>
      <c r="JU15" s="8">
        <v>590</v>
      </c>
      <c r="JV15" s="8">
        <v>510</v>
      </c>
      <c r="JW15" s="8">
        <v>335</v>
      </c>
      <c r="JX15" s="8">
        <v>455</v>
      </c>
      <c r="JY15" s="8">
        <v>610</v>
      </c>
      <c r="JZ15" s="8">
        <v>715</v>
      </c>
      <c r="KA15" s="8">
        <v>1070</v>
      </c>
      <c r="KB15" s="8">
        <v>755</v>
      </c>
      <c r="KC15" s="8">
        <v>595</v>
      </c>
      <c r="KD15" s="8">
        <v>585</v>
      </c>
      <c r="KE15" s="8">
        <v>575</v>
      </c>
      <c r="KF15" s="8">
        <v>745</v>
      </c>
      <c r="KG15" s="8">
        <v>505</v>
      </c>
      <c r="KH15" s="8">
        <v>500</v>
      </c>
      <c r="KI15" s="8">
        <v>885</v>
      </c>
      <c r="KJ15" s="8">
        <v>450</v>
      </c>
      <c r="KK15" s="8">
        <v>675</v>
      </c>
      <c r="KL15" s="8">
        <v>560</v>
      </c>
      <c r="KM15" s="8">
        <v>940</v>
      </c>
      <c r="KN15" s="8">
        <v>615</v>
      </c>
      <c r="KO15" s="8">
        <v>775</v>
      </c>
      <c r="KP15" s="8">
        <v>595</v>
      </c>
      <c r="KQ15" s="8">
        <v>695</v>
      </c>
      <c r="KR15" s="8">
        <v>540</v>
      </c>
      <c r="KS15" s="8">
        <v>685</v>
      </c>
      <c r="KT15" s="8">
        <v>790</v>
      </c>
      <c r="KU15" s="8">
        <v>460</v>
      </c>
      <c r="KV15" s="8">
        <v>705</v>
      </c>
      <c r="KW15" s="8">
        <v>520</v>
      </c>
      <c r="KX15" s="8">
        <v>425</v>
      </c>
      <c r="KY15" s="8">
        <v>570</v>
      </c>
      <c r="KZ15" s="8">
        <v>630</v>
      </c>
      <c r="LA15" s="8">
        <v>445</v>
      </c>
      <c r="LB15" s="8">
        <v>245</v>
      </c>
      <c r="LC15" s="8">
        <v>535</v>
      </c>
      <c r="LD15" s="8">
        <v>655</v>
      </c>
      <c r="LE15" s="8">
        <v>470</v>
      </c>
      <c r="LF15" s="8">
        <v>515</v>
      </c>
      <c r="LG15" s="8">
        <v>390</v>
      </c>
      <c r="LH15" s="8">
        <v>490</v>
      </c>
      <c r="LI15" s="8">
        <v>485</v>
      </c>
      <c r="LJ15" s="8">
        <v>525</v>
      </c>
      <c r="LK15" s="8">
        <v>1100</v>
      </c>
      <c r="LL15" s="8">
        <v>680</v>
      </c>
      <c r="LM15" s="8">
        <v>1140</v>
      </c>
      <c r="LN15" s="8">
        <v>415</v>
      </c>
      <c r="LO15" s="8">
        <v>505</v>
      </c>
      <c r="LP15" s="8">
        <v>595</v>
      </c>
      <c r="LQ15" s="8">
        <v>435</v>
      </c>
      <c r="LR15" s="8">
        <v>640</v>
      </c>
      <c r="LS15" s="8">
        <v>410</v>
      </c>
      <c r="LT15" s="8">
        <v>405</v>
      </c>
      <c r="LU15" s="8">
        <v>675</v>
      </c>
      <c r="LV15" s="8">
        <v>870</v>
      </c>
      <c r="LW15" s="8">
        <v>740</v>
      </c>
      <c r="LX15" s="8">
        <v>840</v>
      </c>
      <c r="LY15" s="8">
        <v>550</v>
      </c>
      <c r="LZ15" s="8">
        <v>1050</v>
      </c>
      <c r="MA15" s="8">
        <v>560</v>
      </c>
      <c r="MB15" s="8">
        <v>620</v>
      </c>
      <c r="MC15" s="8">
        <v>535</v>
      </c>
      <c r="MD15" s="8">
        <v>690</v>
      </c>
      <c r="ME15" s="8">
        <v>665</v>
      </c>
      <c r="MF15" s="8">
        <v>545</v>
      </c>
      <c r="MG15" s="8">
        <v>815</v>
      </c>
      <c r="MH15" s="8">
        <v>870</v>
      </c>
      <c r="MI15" s="8">
        <v>435</v>
      </c>
      <c r="MJ15" s="8">
        <v>585</v>
      </c>
      <c r="MK15" s="8">
        <v>780</v>
      </c>
      <c r="ML15" s="8">
        <v>625</v>
      </c>
      <c r="MM15" s="8">
        <v>735</v>
      </c>
      <c r="MN15" s="8">
        <v>330</v>
      </c>
      <c r="MO15" s="8">
        <v>630</v>
      </c>
      <c r="MP15" s="8">
        <v>615</v>
      </c>
      <c r="MQ15" s="8">
        <v>455</v>
      </c>
      <c r="MR15" s="8">
        <v>675</v>
      </c>
      <c r="MS15" s="8">
        <v>500</v>
      </c>
      <c r="MT15" s="8">
        <v>615</v>
      </c>
      <c r="MU15" s="8">
        <v>945</v>
      </c>
      <c r="MV15" s="8">
        <v>700</v>
      </c>
      <c r="MW15" s="8">
        <v>505</v>
      </c>
      <c r="MX15" s="8">
        <v>690</v>
      </c>
      <c r="MY15" s="8">
        <v>615</v>
      </c>
      <c r="MZ15" s="8">
        <v>570</v>
      </c>
      <c r="NA15" s="8">
        <v>440</v>
      </c>
      <c r="NB15" s="8">
        <v>425</v>
      </c>
      <c r="NC15" s="8">
        <v>755</v>
      </c>
      <c r="ND15" s="8">
        <v>385</v>
      </c>
      <c r="NE15" s="8">
        <v>255</v>
      </c>
      <c r="NF15" s="8">
        <v>380</v>
      </c>
      <c r="NG15" s="8">
        <v>830</v>
      </c>
      <c r="NH15" s="8">
        <v>620</v>
      </c>
      <c r="NI15" s="8">
        <v>1025</v>
      </c>
      <c r="NJ15" s="8">
        <v>655</v>
      </c>
      <c r="NK15" s="8">
        <v>690</v>
      </c>
      <c r="NL15" s="8">
        <v>545</v>
      </c>
      <c r="NM15" s="8">
        <v>535</v>
      </c>
      <c r="NN15" s="8">
        <v>585</v>
      </c>
      <c r="NO15" s="8">
        <v>450</v>
      </c>
      <c r="NP15" s="8">
        <v>555</v>
      </c>
      <c r="NQ15" s="8">
        <v>840</v>
      </c>
      <c r="NR15" s="8">
        <v>455</v>
      </c>
      <c r="NS15" s="8">
        <v>505</v>
      </c>
      <c r="NT15" s="8">
        <v>435</v>
      </c>
      <c r="NU15" s="8">
        <v>590</v>
      </c>
      <c r="NV15" s="8">
        <v>1025</v>
      </c>
      <c r="NW15" s="8">
        <v>590</v>
      </c>
      <c r="NX15" s="8">
        <v>505</v>
      </c>
      <c r="NY15" s="8">
        <v>635</v>
      </c>
      <c r="NZ15" s="8">
        <v>820</v>
      </c>
      <c r="OA15" s="8">
        <v>645</v>
      </c>
      <c r="OB15" s="8">
        <v>515</v>
      </c>
      <c r="OC15" s="8">
        <v>525</v>
      </c>
      <c r="OD15" s="8">
        <v>835</v>
      </c>
      <c r="OE15" s="8">
        <v>850</v>
      </c>
      <c r="OF15" s="8">
        <v>455</v>
      </c>
      <c r="OG15" s="8">
        <v>805</v>
      </c>
      <c r="OH15" s="8">
        <v>635</v>
      </c>
      <c r="OI15" s="8">
        <v>305</v>
      </c>
      <c r="OJ15" s="8">
        <v>735</v>
      </c>
      <c r="OK15" s="8">
        <v>545</v>
      </c>
      <c r="OL15" s="8">
        <v>555</v>
      </c>
      <c r="OM15" s="8">
        <v>1055</v>
      </c>
      <c r="ON15" s="8">
        <v>950</v>
      </c>
      <c r="OO15" s="8">
        <v>420</v>
      </c>
      <c r="OP15" s="8">
        <v>480</v>
      </c>
      <c r="OQ15" s="8">
        <v>720</v>
      </c>
      <c r="OR15" s="8">
        <v>640</v>
      </c>
      <c r="OS15" s="8">
        <v>535</v>
      </c>
      <c r="OT15" s="8">
        <v>640</v>
      </c>
      <c r="OU15" s="8">
        <v>815</v>
      </c>
      <c r="OV15" s="8">
        <v>620</v>
      </c>
      <c r="OW15" s="8">
        <v>710</v>
      </c>
      <c r="OX15" s="8">
        <v>395</v>
      </c>
      <c r="OY15" s="8">
        <v>470</v>
      </c>
      <c r="OZ15" s="8">
        <v>495</v>
      </c>
      <c r="PA15" s="8">
        <v>885</v>
      </c>
      <c r="PB15" s="8">
        <v>1055</v>
      </c>
      <c r="PC15" s="8">
        <v>1120</v>
      </c>
      <c r="PD15" s="8">
        <v>950</v>
      </c>
      <c r="PE15" s="8">
        <v>755</v>
      </c>
      <c r="PF15" s="8">
        <v>795</v>
      </c>
      <c r="PG15" s="8">
        <v>695</v>
      </c>
      <c r="PH15" s="8">
        <v>355</v>
      </c>
      <c r="PI15" s="8">
        <v>410</v>
      </c>
      <c r="PJ15" s="8">
        <v>860</v>
      </c>
      <c r="PK15" s="8">
        <v>325</v>
      </c>
      <c r="PL15" s="8">
        <v>385</v>
      </c>
      <c r="PM15" s="8">
        <v>695</v>
      </c>
      <c r="PN15" s="8">
        <v>525</v>
      </c>
      <c r="PO15" s="8">
        <v>365</v>
      </c>
      <c r="PP15" s="8">
        <v>495</v>
      </c>
      <c r="PQ15" s="8">
        <v>615</v>
      </c>
      <c r="PR15" s="8">
        <v>325</v>
      </c>
      <c r="PS15" s="8">
        <v>700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</v>
      </c>
      <c r="SV15" s="8">
        <v>0</v>
      </c>
      <c r="SW15" s="8">
        <v>0</v>
      </c>
      <c r="SX15" s="8">
        <v>0</v>
      </c>
      <c r="SY15" s="8">
        <v>0</v>
      </c>
      <c r="SZ15" s="8">
        <v>0</v>
      </c>
      <c r="TA15" s="8">
        <v>0</v>
      </c>
      <c r="TB15" s="8">
        <v>0</v>
      </c>
      <c r="TC15" s="8">
        <v>0</v>
      </c>
      <c r="TD15" s="8">
        <v>0</v>
      </c>
      <c r="TE15" s="8">
        <v>0</v>
      </c>
      <c r="TF15" s="8">
        <v>0</v>
      </c>
      <c r="TG15" s="8">
        <v>0</v>
      </c>
      <c r="TH15" s="8">
        <v>0</v>
      </c>
      <c r="TI15" s="8">
        <v>0</v>
      </c>
      <c r="TJ15" s="8">
        <v>0</v>
      </c>
      <c r="TK15" s="8">
        <v>0</v>
      </c>
      <c r="TL15" s="8">
        <v>0</v>
      </c>
      <c r="TM15" s="8">
        <v>0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0</v>
      </c>
      <c r="TT15" s="8">
        <v>0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0</v>
      </c>
      <c r="UC15" s="8">
        <v>0</v>
      </c>
      <c r="UD15" s="8">
        <v>0</v>
      </c>
      <c r="UE15" s="8">
        <v>0</v>
      </c>
      <c r="UF15" s="8">
        <v>0</v>
      </c>
      <c r="UG15" s="8">
        <v>0</v>
      </c>
      <c r="UH15" s="8">
        <v>0</v>
      </c>
      <c r="UI15" s="8">
        <v>0</v>
      </c>
      <c r="UJ15" s="8">
        <v>0</v>
      </c>
      <c r="UK15" s="8">
        <v>0</v>
      </c>
      <c r="UL15" s="8">
        <v>0</v>
      </c>
      <c r="UM15" s="8">
        <v>0</v>
      </c>
      <c r="UN15" s="8">
        <v>0</v>
      </c>
      <c r="UO15" s="8">
        <v>0</v>
      </c>
      <c r="UP15" s="8">
        <v>0</v>
      </c>
      <c r="UQ15" s="8">
        <v>0</v>
      </c>
      <c r="UR15" s="8">
        <v>0</v>
      </c>
      <c r="US15" s="8">
        <v>0</v>
      </c>
      <c r="UT15" s="8">
        <v>0</v>
      </c>
      <c r="UU15" s="8">
        <v>0</v>
      </c>
      <c r="UV15" s="8">
        <v>0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0</v>
      </c>
      <c r="VD15" s="8">
        <v>0</v>
      </c>
      <c r="VE15" s="8">
        <v>0</v>
      </c>
      <c r="VF15" s="8">
        <v>0</v>
      </c>
      <c r="VG15" s="8">
        <v>0</v>
      </c>
      <c r="VH15" s="8">
        <v>0</v>
      </c>
      <c r="VI15" s="8">
        <v>0</v>
      </c>
      <c r="VJ15" s="8">
        <v>0</v>
      </c>
      <c r="VK15" s="8">
        <v>0</v>
      </c>
      <c r="VL15" s="8">
        <v>0</v>
      </c>
      <c r="VM15" s="8">
        <v>0</v>
      </c>
      <c r="VN15" s="8">
        <v>0</v>
      </c>
      <c r="VO15" s="8">
        <v>0</v>
      </c>
      <c r="VP15" s="8">
        <v>0</v>
      </c>
      <c r="VQ15" s="8">
        <v>0</v>
      </c>
      <c r="VR15" s="8">
        <v>0</v>
      </c>
      <c r="VS15" s="8">
        <v>0</v>
      </c>
      <c r="VT15" s="8">
        <v>0</v>
      </c>
      <c r="VU15" s="8">
        <v>0</v>
      </c>
      <c r="VV15" s="8">
        <v>0</v>
      </c>
      <c r="VW15" s="8">
        <v>0</v>
      </c>
      <c r="VX15" s="8">
        <v>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0</v>
      </c>
      <c r="WM15" s="8">
        <v>0</v>
      </c>
      <c r="WN15" s="8">
        <v>0</v>
      </c>
      <c r="WO15" s="8">
        <v>0</v>
      </c>
      <c r="WP15" s="8">
        <v>0</v>
      </c>
      <c r="WQ15" s="8">
        <v>0</v>
      </c>
      <c r="WR15" s="8">
        <v>0</v>
      </c>
      <c r="WS15" s="8">
        <v>0</v>
      </c>
      <c r="WT15" s="8">
        <v>0</v>
      </c>
      <c r="WU15" s="8">
        <v>0</v>
      </c>
      <c r="WV15" s="8">
        <v>0</v>
      </c>
      <c r="WW15" s="8">
        <v>0</v>
      </c>
      <c r="WX15" s="8">
        <v>0</v>
      </c>
      <c r="WY15" s="8">
        <v>0</v>
      </c>
      <c r="WZ15" s="8">
        <v>0</v>
      </c>
      <c r="XA15" s="8">
        <v>0</v>
      </c>
      <c r="XB15" s="8">
        <v>0</v>
      </c>
      <c r="XC15" s="8">
        <v>0</v>
      </c>
      <c r="XD15" s="8">
        <v>0</v>
      </c>
      <c r="XE15" s="8">
        <v>0</v>
      </c>
      <c r="XF15" s="8">
        <v>0</v>
      </c>
      <c r="XG15" s="8">
        <v>0</v>
      </c>
      <c r="XH15" s="8">
        <v>0</v>
      </c>
      <c r="XI15" s="8">
        <v>0</v>
      </c>
      <c r="XJ15" s="8">
        <v>0</v>
      </c>
      <c r="XK15" s="8">
        <v>0</v>
      </c>
      <c r="XL15" s="8">
        <v>0</v>
      </c>
      <c r="XM15" s="8">
        <v>0</v>
      </c>
      <c r="XN15" s="8">
        <v>0</v>
      </c>
      <c r="XO15" s="8">
        <v>0</v>
      </c>
      <c r="XP15" s="8">
        <v>0</v>
      </c>
      <c r="XQ15" s="8">
        <v>0</v>
      </c>
      <c r="XR15" s="8">
        <v>0</v>
      </c>
      <c r="XS15" s="8">
        <v>0</v>
      </c>
      <c r="XT15" s="8">
        <v>0</v>
      </c>
      <c r="XU15" s="8">
        <v>0</v>
      </c>
      <c r="XV15" s="8">
        <v>0</v>
      </c>
      <c r="XW15" s="8">
        <v>0</v>
      </c>
      <c r="XX15" s="8">
        <v>0</v>
      </c>
      <c r="XY15" s="8">
        <v>0</v>
      </c>
      <c r="XZ15" s="8">
        <v>0</v>
      </c>
      <c r="YA15" s="8">
        <v>0</v>
      </c>
      <c r="YB15" s="8">
        <v>0</v>
      </c>
      <c r="YC15" s="8">
        <v>0</v>
      </c>
      <c r="YD15" s="8">
        <v>0</v>
      </c>
      <c r="YE15" s="8">
        <v>0</v>
      </c>
      <c r="YF15" s="8">
        <v>0</v>
      </c>
      <c r="YG15" s="8">
        <v>0</v>
      </c>
      <c r="YH15" s="8">
        <v>0</v>
      </c>
      <c r="YI15" s="8">
        <v>0</v>
      </c>
      <c r="YJ15" s="8">
        <v>0</v>
      </c>
      <c r="YK15" s="8">
        <v>0</v>
      </c>
      <c r="YL15" s="8">
        <v>0</v>
      </c>
      <c r="YM15" s="8">
        <v>0</v>
      </c>
      <c r="YN15" s="8">
        <v>0</v>
      </c>
      <c r="YO15" s="8">
        <v>0</v>
      </c>
      <c r="YP15" s="8">
        <v>0</v>
      </c>
      <c r="YQ15" s="8">
        <v>0</v>
      </c>
      <c r="YR15" s="8">
        <v>0</v>
      </c>
      <c r="YS15" s="8">
        <v>0</v>
      </c>
      <c r="YT15" s="8">
        <v>0</v>
      </c>
      <c r="YU15" s="8">
        <v>0</v>
      </c>
      <c r="YV15" s="8">
        <v>0</v>
      </c>
      <c r="YW15" s="8">
        <v>0</v>
      </c>
      <c r="YX15" s="8">
        <v>0</v>
      </c>
      <c r="YY15" s="8">
        <v>0</v>
      </c>
      <c r="YZ15" s="8">
        <v>0</v>
      </c>
      <c r="ZA15" s="8">
        <v>0</v>
      </c>
      <c r="ZB15" s="8">
        <v>0</v>
      </c>
      <c r="ZC15" s="8">
        <v>0</v>
      </c>
      <c r="ZD15" s="8">
        <v>0</v>
      </c>
      <c r="ZE15" s="8">
        <v>0</v>
      </c>
      <c r="ZF15" s="8">
        <v>0</v>
      </c>
      <c r="ZG15" s="8">
        <v>0</v>
      </c>
      <c r="ZH15" s="8">
        <v>0</v>
      </c>
      <c r="ZI15" s="8">
        <v>0</v>
      </c>
      <c r="ZJ15" s="8">
        <v>0</v>
      </c>
      <c r="ZK15" s="8">
        <v>0</v>
      </c>
      <c r="ZL15" s="8">
        <v>0</v>
      </c>
      <c r="ZM15" s="8">
        <v>0</v>
      </c>
      <c r="ZN15" s="8">
        <v>0</v>
      </c>
      <c r="ZO15" s="8">
        <v>0</v>
      </c>
      <c r="ZP15" s="8">
        <v>0</v>
      </c>
      <c r="ZQ15" s="8">
        <v>0</v>
      </c>
      <c r="ZR15" s="8">
        <v>0</v>
      </c>
      <c r="ZS15" s="8">
        <v>0</v>
      </c>
      <c r="ZT15" s="8">
        <v>0</v>
      </c>
      <c r="ZU15" s="8">
        <v>0</v>
      </c>
      <c r="ZV15" s="8">
        <v>0</v>
      </c>
      <c r="ZW15" s="8">
        <v>0</v>
      </c>
      <c r="ZX15" s="8">
        <v>0</v>
      </c>
      <c r="ZY15" s="8">
        <v>0</v>
      </c>
      <c r="ZZ15" s="8">
        <v>0</v>
      </c>
      <c r="AAA15" s="8">
        <v>0</v>
      </c>
      <c r="AAB15" s="8">
        <v>0</v>
      </c>
      <c r="AAC15" s="8">
        <v>0</v>
      </c>
      <c r="AAD15" s="8">
        <v>0</v>
      </c>
      <c r="AAE15" s="8">
        <v>0</v>
      </c>
      <c r="AAF15" s="8">
        <v>0</v>
      </c>
      <c r="AAG15" s="8">
        <v>0</v>
      </c>
      <c r="AAH15" s="8">
        <v>0</v>
      </c>
      <c r="AAI15" s="8">
        <v>0</v>
      </c>
      <c r="AAJ15" s="8">
        <v>0</v>
      </c>
      <c r="AAK15" s="8">
        <v>0</v>
      </c>
      <c r="AAL15" s="8">
        <v>0</v>
      </c>
      <c r="AAM15" s="8">
        <v>0</v>
      </c>
      <c r="AAN15" s="8">
        <v>0</v>
      </c>
      <c r="AAO15" s="8">
        <v>0</v>
      </c>
      <c r="AAP15" s="8">
        <v>0</v>
      </c>
      <c r="AAQ15" s="8">
        <v>0</v>
      </c>
      <c r="AAR15" s="8">
        <v>0</v>
      </c>
      <c r="AAS15" s="8">
        <v>0</v>
      </c>
      <c r="AAT15" s="8">
        <v>0</v>
      </c>
      <c r="AAU15" s="8">
        <v>0</v>
      </c>
      <c r="AAV15" s="8">
        <v>0</v>
      </c>
      <c r="AAW15" s="8">
        <v>0</v>
      </c>
      <c r="AAX15" s="8">
        <v>0</v>
      </c>
      <c r="AAY15" s="8">
        <v>0</v>
      </c>
      <c r="AAZ15" s="8">
        <v>0</v>
      </c>
      <c r="ABA15" s="8">
        <v>0</v>
      </c>
      <c r="ABB15" s="8">
        <v>0</v>
      </c>
      <c r="ABC15" s="8">
        <v>0</v>
      </c>
      <c r="ABD15" s="8">
        <v>0</v>
      </c>
      <c r="ABE15" s="8">
        <v>0</v>
      </c>
      <c r="ABF15" s="8">
        <v>0</v>
      </c>
      <c r="ABG15" s="8">
        <v>0</v>
      </c>
      <c r="ABH15" s="8">
        <v>0</v>
      </c>
      <c r="ABI15" s="8">
        <v>0</v>
      </c>
      <c r="ABJ15" s="8">
        <v>0</v>
      </c>
      <c r="ABK15" s="8">
        <v>0</v>
      </c>
      <c r="ABL15" s="8">
        <v>0</v>
      </c>
      <c r="ABM15" s="8">
        <v>0</v>
      </c>
      <c r="ABN15" s="8">
        <v>0</v>
      </c>
      <c r="ABO15" s="8">
        <v>0</v>
      </c>
      <c r="ABP15" s="8">
        <v>0</v>
      </c>
      <c r="ABQ15" s="8">
        <v>0</v>
      </c>
      <c r="ABR15" s="8">
        <v>0</v>
      </c>
      <c r="ABS15" s="8">
        <v>0</v>
      </c>
      <c r="ABT15" s="8">
        <v>0</v>
      </c>
      <c r="ABU15" s="8">
        <v>0</v>
      </c>
      <c r="ABV15" s="8">
        <v>0</v>
      </c>
      <c r="ABW15" s="8">
        <v>0</v>
      </c>
      <c r="ABX15" s="8">
        <v>0</v>
      </c>
      <c r="ABY15" s="8">
        <v>0</v>
      </c>
      <c r="ABZ15" s="8">
        <v>0</v>
      </c>
      <c r="ACA15" s="8">
        <v>0</v>
      </c>
      <c r="ACB15" s="8">
        <v>0</v>
      </c>
      <c r="ACC15" s="8">
        <v>0</v>
      </c>
      <c r="ACD15" s="8">
        <v>0</v>
      </c>
      <c r="ACE15" s="8">
        <v>0</v>
      </c>
      <c r="ACF15" s="8">
        <v>0</v>
      </c>
      <c r="ACG15" s="8">
        <v>0</v>
      </c>
      <c r="ACH15" s="8">
        <v>0</v>
      </c>
      <c r="ACI15" s="8">
        <v>0</v>
      </c>
      <c r="ACJ15" s="8">
        <v>0</v>
      </c>
      <c r="ACK15" s="8">
        <v>0</v>
      </c>
      <c r="ACL15" s="8">
        <v>0</v>
      </c>
      <c r="ACM15" s="8">
        <v>0</v>
      </c>
      <c r="ACN15" s="8">
        <v>0</v>
      </c>
      <c r="ACO15" s="8">
        <v>0</v>
      </c>
      <c r="ACP15" s="8">
        <v>0</v>
      </c>
      <c r="ACQ15" s="8">
        <v>0</v>
      </c>
      <c r="ACR15" s="8">
        <v>0</v>
      </c>
      <c r="ACS15" s="8">
        <v>0</v>
      </c>
      <c r="ACT15" s="8">
        <v>0</v>
      </c>
      <c r="ACU15" s="8">
        <v>0</v>
      </c>
      <c r="ACV15" s="8">
        <v>0</v>
      </c>
      <c r="ACW15" s="8">
        <v>0</v>
      </c>
      <c r="ACX15" s="8">
        <v>0</v>
      </c>
      <c r="ACY15" s="8">
        <v>0</v>
      </c>
      <c r="ACZ15" s="8">
        <v>0</v>
      </c>
      <c r="ADA15" s="8">
        <v>0</v>
      </c>
      <c r="ADB15" s="8">
        <v>0</v>
      </c>
      <c r="ADC15" s="8">
        <v>0</v>
      </c>
      <c r="ADD15" s="8">
        <v>0</v>
      </c>
      <c r="ADE15" s="8">
        <v>0</v>
      </c>
      <c r="ADF15" s="8">
        <v>0</v>
      </c>
      <c r="ADG15" s="8">
        <v>0</v>
      </c>
      <c r="ADH15" s="8">
        <v>0</v>
      </c>
      <c r="ADI15" s="8">
        <v>0</v>
      </c>
      <c r="ADJ15" s="8">
        <v>0</v>
      </c>
      <c r="ADK15" s="8">
        <v>0</v>
      </c>
      <c r="ADL15" s="8">
        <v>0</v>
      </c>
      <c r="ADM15" s="8">
        <v>0</v>
      </c>
      <c r="ADN15" s="8">
        <v>0</v>
      </c>
      <c r="ADO15" s="8">
        <v>0</v>
      </c>
      <c r="ADP15" s="8">
        <v>0</v>
      </c>
      <c r="ADQ15" s="8">
        <v>0</v>
      </c>
      <c r="ADR15" s="8">
        <v>0</v>
      </c>
      <c r="ADS15" s="8">
        <v>0</v>
      </c>
      <c r="ADT15" s="8">
        <v>0</v>
      </c>
      <c r="ADU15" s="8">
        <v>0</v>
      </c>
      <c r="ADV15" s="8">
        <v>0</v>
      </c>
      <c r="ADW15" s="8">
        <v>0</v>
      </c>
      <c r="ADX15" s="8">
        <v>0</v>
      </c>
      <c r="ADY15" s="8">
        <v>0</v>
      </c>
      <c r="ADZ15" s="8">
        <v>0</v>
      </c>
      <c r="AEA15" s="8">
        <v>0</v>
      </c>
      <c r="AEB15" s="8">
        <v>0</v>
      </c>
      <c r="AEC15" s="8">
        <v>0</v>
      </c>
      <c r="AED15" s="8">
        <v>0</v>
      </c>
      <c r="AEE15" s="8">
        <v>0</v>
      </c>
      <c r="AEF15" s="8">
        <v>0</v>
      </c>
      <c r="AEG15" s="8">
        <v>0</v>
      </c>
      <c r="AEH15" s="8">
        <v>0</v>
      </c>
      <c r="AEI15" s="8">
        <v>0</v>
      </c>
      <c r="AEJ15" s="8">
        <v>0</v>
      </c>
      <c r="AEK15" s="8">
        <v>0</v>
      </c>
      <c r="AEL15" s="8">
        <v>0</v>
      </c>
      <c r="AEM15" s="8">
        <v>0</v>
      </c>
      <c r="AEN15" s="8">
        <v>0</v>
      </c>
      <c r="AEO15" s="8">
        <v>0</v>
      </c>
      <c r="AEP15" s="8">
        <v>0</v>
      </c>
      <c r="AEQ15" s="8">
        <v>0</v>
      </c>
      <c r="AER15" s="8">
        <v>0</v>
      </c>
      <c r="AES15" s="8">
        <v>0</v>
      </c>
      <c r="AET15" s="8">
        <v>0</v>
      </c>
      <c r="AEU15" s="8">
        <v>0</v>
      </c>
      <c r="AEV15" s="8">
        <v>0</v>
      </c>
      <c r="AEW15" s="8">
        <v>0</v>
      </c>
      <c r="AEX15" s="8">
        <v>0</v>
      </c>
      <c r="AEY15" s="8">
        <v>0</v>
      </c>
      <c r="AEZ15" s="8">
        <v>0</v>
      </c>
      <c r="AFA15" s="8">
        <v>0</v>
      </c>
      <c r="AFB15" s="8">
        <v>0</v>
      </c>
      <c r="AFC15" s="8">
        <v>0</v>
      </c>
      <c r="AFD15" s="8">
        <v>0</v>
      </c>
      <c r="AFE15" s="8">
        <v>0</v>
      </c>
      <c r="AFF15" s="8">
        <v>0</v>
      </c>
      <c r="AFG15" s="8">
        <v>0</v>
      </c>
      <c r="AFH15" s="8">
        <v>0</v>
      </c>
      <c r="AFI15" s="8">
        <v>0</v>
      </c>
      <c r="AFJ15" s="8">
        <v>0</v>
      </c>
      <c r="AFK15" s="8">
        <v>0</v>
      </c>
      <c r="AFL15" s="8">
        <v>0</v>
      </c>
      <c r="AFM15" s="8">
        <v>0</v>
      </c>
      <c r="AFN15" s="8">
        <v>0</v>
      </c>
      <c r="AFO15" s="8">
        <v>0</v>
      </c>
      <c r="AFP15" s="8">
        <v>0</v>
      </c>
      <c r="AFQ15" s="8">
        <v>0</v>
      </c>
      <c r="AFR15" s="8">
        <v>0</v>
      </c>
      <c r="AFS15" s="8">
        <v>0</v>
      </c>
      <c r="AFT15" s="8">
        <v>0</v>
      </c>
      <c r="AFU15" s="8">
        <v>0</v>
      </c>
      <c r="AFV15" s="8">
        <v>0</v>
      </c>
      <c r="AFW15" s="8">
        <v>0</v>
      </c>
      <c r="AFX15" s="8">
        <v>0</v>
      </c>
      <c r="AFY15" s="8">
        <v>0</v>
      </c>
      <c r="AFZ15" s="8">
        <v>0</v>
      </c>
      <c r="AGA15" s="8">
        <v>0</v>
      </c>
      <c r="AGB15" s="8">
        <v>0</v>
      </c>
      <c r="AGC15" s="8">
        <v>0</v>
      </c>
      <c r="AGD15" s="8">
        <v>0</v>
      </c>
      <c r="AGE15" s="8">
        <v>0</v>
      </c>
      <c r="AGF15" s="8">
        <v>0</v>
      </c>
      <c r="AGG15" s="8">
        <v>0</v>
      </c>
      <c r="AGH15" s="8">
        <v>0</v>
      </c>
      <c r="AGI15" s="8">
        <v>0</v>
      </c>
      <c r="AGJ15" s="8">
        <v>0</v>
      </c>
      <c r="AGK15" s="8">
        <v>0</v>
      </c>
      <c r="AGL15" s="8">
        <v>0</v>
      </c>
      <c r="AGM15" s="8">
        <v>0</v>
      </c>
      <c r="AGN15" s="8">
        <v>0</v>
      </c>
      <c r="AGO15" s="8">
        <v>0</v>
      </c>
      <c r="AGP15" s="8">
        <v>0</v>
      </c>
      <c r="AGQ15" s="8">
        <v>0</v>
      </c>
      <c r="AGR15" s="8">
        <v>0</v>
      </c>
      <c r="AGS15" s="8">
        <v>0</v>
      </c>
      <c r="AGT15" s="8">
        <v>0</v>
      </c>
      <c r="AGU15" s="8">
        <v>0</v>
      </c>
      <c r="AGV15" s="8">
        <v>0</v>
      </c>
      <c r="AGW15" s="8">
        <v>0</v>
      </c>
      <c r="AGX15" s="8">
        <v>0</v>
      </c>
      <c r="AGY15" s="8">
        <v>0</v>
      </c>
      <c r="AGZ15" s="8">
        <v>0</v>
      </c>
      <c r="AHA15" s="8">
        <v>0</v>
      </c>
      <c r="AHB15" s="8">
        <v>0</v>
      </c>
      <c r="AHC15" s="8">
        <v>0</v>
      </c>
      <c r="AHD15" s="8">
        <v>0</v>
      </c>
      <c r="AHE15" s="8">
        <v>0</v>
      </c>
      <c r="AHF15" s="8">
        <v>0</v>
      </c>
      <c r="AHG15" s="8">
        <v>0</v>
      </c>
      <c r="AHH15" s="8">
        <v>0</v>
      </c>
      <c r="AHI15" s="8">
        <v>0</v>
      </c>
      <c r="AHJ15" s="8">
        <v>0</v>
      </c>
      <c r="AHK15" s="8">
        <v>0</v>
      </c>
      <c r="AHL15" s="8">
        <v>0</v>
      </c>
      <c r="AHM15" s="8">
        <v>0</v>
      </c>
      <c r="AHN15" s="8">
        <v>0</v>
      </c>
      <c r="AHO15" s="8">
        <v>0</v>
      </c>
      <c r="AHP15" s="8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 t="e">
        <v>#N/A</v>
      </c>
      <c r="AIJ15" t="e">
        <v>#N/A</v>
      </c>
      <c r="AIK15" t="e">
        <v>#N/A</v>
      </c>
      <c r="AIL15" t="e">
        <v>#N/A</v>
      </c>
      <c r="AIM15" t="e">
        <v>#N/A</v>
      </c>
      <c r="AIN15" t="e">
        <v>#N/A</v>
      </c>
      <c r="AIO15" t="e">
        <v>#N/A</v>
      </c>
      <c r="AIP15" t="e">
        <v>#N/A</v>
      </c>
      <c r="AIQ15" t="e">
        <v>#N/A</v>
      </c>
      <c r="AIR15" t="e">
        <v>#N/A</v>
      </c>
      <c r="AIS15" t="e">
        <v>#N/A</v>
      </c>
      <c r="AIT15" t="e">
        <v>#N/A</v>
      </c>
      <c r="AIU15" t="e">
        <v>#N/A</v>
      </c>
      <c r="AIV15" t="e">
        <v>#N/A</v>
      </c>
      <c r="AIW15" t="e">
        <v>#N/A</v>
      </c>
      <c r="AIX15" t="e">
        <v>#N/A</v>
      </c>
      <c r="AIY15" t="e">
        <v>#N/A</v>
      </c>
      <c r="AIZ15" t="e">
        <v>#N/A</v>
      </c>
      <c r="AJA15" t="e">
        <v>#N/A</v>
      </c>
      <c r="AJB15" t="e">
        <v>#N/A</v>
      </c>
      <c r="AJC15" t="e">
        <v>#N/A</v>
      </c>
      <c r="AJD15" t="e">
        <v>#N/A</v>
      </c>
      <c r="AJE15" t="e">
        <v>#N/A</v>
      </c>
      <c r="AJF15" t="e">
        <v>#N/A</v>
      </c>
      <c r="AJG15" t="e">
        <v>#N/A</v>
      </c>
      <c r="AJH15" t="e">
        <v>#N/A</v>
      </c>
      <c r="AJI15" t="e">
        <v>#N/A</v>
      </c>
      <c r="AJJ15" t="e">
        <v>#N/A</v>
      </c>
      <c r="AJK15" t="e">
        <v>#N/A</v>
      </c>
      <c r="AJL15" t="e">
        <v>#N/A</v>
      </c>
      <c r="AJM15" t="e">
        <v>#N/A</v>
      </c>
      <c r="AJN15" t="e">
        <v>#N/A</v>
      </c>
      <c r="AJO15" t="e">
        <v>#N/A</v>
      </c>
      <c r="AJP15" t="e">
        <v>#N/A</v>
      </c>
      <c r="AJQ15" t="e">
        <v>#N/A</v>
      </c>
      <c r="AJR15" t="e">
        <v>#N/A</v>
      </c>
      <c r="AJS15" t="e">
        <v>#N/A</v>
      </c>
      <c r="AJT15" t="e">
        <v>#N/A</v>
      </c>
      <c r="AJU15" t="e">
        <v>#N/A</v>
      </c>
      <c r="AJV15" t="e">
        <v>#N/A</v>
      </c>
      <c r="AJW15" t="e">
        <v>#N/A</v>
      </c>
      <c r="AJX15" t="e">
        <v>#N/A</v>
      </c>
      <c r="AJY15" t="e">
        <v>#N/A</v>
      </c>
      <c r="AJZ15" t="e">
        <v>#N/A</v>
      </c>
      <c r="AKA15" t="e">
        <v>#N/A</v>
      </c>
      <c r="AKB15" t="e">
        <v>#N/A</v>
      </c>
      <c r="AKC15" t="e">
        <v>#N/A</v>
      </c>
      <c r="AKD15" t="e">
        <v>#N/A</v>
      </c>
      <c r="AKE15" t="e">
        <v>#N/A</v>
      </c>
      <c r="AKF15" t="e">
        <v>#N/A</v>
      </c>
      <c r="AKG15" t="e">
        <v>#N/A</v>
      </c>
      <c r="AKH15" t="e">
        <v>#N/A</v>
      </c>
      <c r="AKI15" t="e">
        <v>#N/A</v>
      </c>
      <c r="AKJ15" t="e">
        <v>#N/A</v>
      </c>
      <c r="AKK15" t="e">
        <v>#N/A</v>
      </c>
      <c r="AKL15" t="e">
        <v>#N/A</v>
      </c>
      <c r="AKM15" t="e">
        <v>#N/A</v>
      </c>
      <c r="AKN15" t="e">
        <v>#N/A</v>
      </c>
      <c r="AKO15" t="e">
        <v>#N/A</v>
      </c>
      <c r="AKP15" t="e">
        <v>#N/A</v>
      </c>
      <c r="AKQ15" t="e">
        <v>#N/A</v>
      </c>
      <c r="AKR15" t="e">
        <v>#N/A</v>
      </c>
      <c r="AKS15" t="e">
        <v>#N/A</v>
      </c>
      <c r="AKT15" t="e">
        <v>#N/A</v>
      </c>
      <c r="AKU15" t="e">
        <v>#N/A</v>
      </c>
      <c r="AKV15" t="e">
        <v>#N/A</v>
      </c>
      <c r="AKW15" t="e">
        <v>#N/A</v>
      </c>
      <c r="AKX15" t="e">
        <v>#N/A</v>
      </c>
      <c r="AKY15" t="e">
        <v>#N/A</v>
      </c>
      <c r="AKZ15" t="e">
        <v>#N/A</v>
      </c>
      <c r="ALA15" t="e">
        <v>#N/A</v>
      </c>
      <c r="ALB15" t="e">
        <v>#N/A</v>
      </c>
      <c r="ALC15" t="e">
        <v>#N/A</v>
      </c>
      <c r="ALD15" t="e">
        <v>#N/A</v>
      </c>
      <c r="ALE15" t="e">
        <v>#N/A</v>
      </c>
      <c r="ALF15" t="e">
        <v>#N/A</v>
      </c>
      <c r="ALG15" t="e">
        <v>#N/A</v>
      </c>
      <c r="ALH15" t="e">
        <v>#N/A</v>
      </c>
      <c r="ALI15" t="e">
        <v>#N/A</v>
      </c>
      <c r="ALJ15" t="e">
        <v>#N/A</v>
      </c>
      <c r="ALK15" t="e">
        <v>#N/A</v>
      </c>
      <c r="ALL15" t="e">
        <v>#N/A</v>
      </c>
      <c r="ALM15" t="e">
        <v>#N/A</v>
      </c>
      <c r="ALN15" t="e">
        <v>#N/A</v>
      </c>
      <c r="ALO15" t="e">
        <v>#N/A</v>
      </c>
      <c r="ALP15" t="e">
        <v>#N/A</v>
      </c>
      <c r="ALQ15" t="e">
        <v>#N/A</v>
      </c>
      <c r="ALR15" t="e">
        <v>#N/A</v>
      </c>
      <c r="ALS15" t="e">
        <v>#N/A</v>
      </c>
      <c r="ALT15" t="e">
        <v>#N/A</v>
      </c>
      <c r="ALU15" t="e">
        <v>#N/A</v>
      </c>
      <c r="ALV15" t="e">
        <v>#N/A</v>
      </c>
      <c r="ALW15" t="e">
        <v>#N/A</v>
      </c>
      <c r="ALX15" t="e">
        <v>#N/A</v>
      </c>
      <c r="ALY15" t="e">
        <v>#N/A</v>
      </c>
      <c r="ALZ15" t="e">
        <v>#N/A</v>
      </c>
      <c r="AMA15" t="e">
        <v>#N/A</v>
      </c>
      <c r="AMB15" t="e">
        <v>#N/A</v>
      </c>
      <c r="AMC15" t="e">
        <v>#N/A</v>
      </c>
      <c r="AMD15" t="e">
        <v>#N/A</v>
      </c>
      <c r="AME15" t="e">
        <v>#N/A</v>
      </c>
      <c r="AMF15" t="e">
        <v>#N/A</v>
      </c>
      <c r="AMG15" t="e">
        <v>#N/A</v>
      </c>
      <c r="AMH15" t="e">
        <v>#N/A</v>
      </c>
    </row>
    <row r="16" spans="1:1022" ht="15.75" customHeight="1">
      <c r="A16" s="8" t="str">
        <v>Winner</v>
      </c>
      <c r="B16" s="8" t="str">
        <v>Debby</v>
      </c>
      <c r="C16" s="8" t="str">
        <v>Jeff M</v>
      </c>
      <c r="D16" s="8" t="str">
        <v>David</v>
      </c>
      <c r="E16" s="8" t="str">
        <v>David</v>
      </c>
      <c r="F16" s="8" t="str">
        <v>Charlene</v>
      </c>
      <c r="G16" s="8" t="str">
        <v>David</v>
      </c>
      <c r="H16" s="8" t="str">
        <v>Charlene</v>
      </c>
      <c r="I16" s="8" t="str">
        <v>Debby</v>
      </c>
      <c r="J16" s="8" t="str">
        <v>Charlene</v>
      </c>
      <c r="K16" s="8" t="str">
        <v>Debby</v>
      </c>
      <c r="L16" s="8" t="str">
        <v>David</v>
      </c>
      <c r="M16" s="8" t="str">
        <v>Sally</v>
      </c>
      <c r="N16" s="8" t="str">
        <v>Charlene</v>
      </c>
      <c r="O16" s="8" t="str">
        <v>Charlene</v>
      </c>
      <c r="P16" s="8" t="str">
        <v>Nancy</v>
      </c>
      <c r="Q16" s="8" t="str">
        <v>Nancy</v>
      </c>
      <c r="R16" s="8" t="str">
        <v>Charlene</v>
      </c>
      <c r="S16" s="8" t="str">
        <v>Sally</v>
      </c>
      <c r="T16" s="8" t="str">
        <v>Charlene</v>
      </c>
      <c r="U16" s="8" t="str">
        <v>David</v>
      </c>
      <c r="V16" s="8" t="str">
        <v>Sally</v>
      </c>
      <c r="W16" s="8" t="str">
        <v>Debby</v>
      </c>
      <c r="X16" s="8" t="str">
        <v>Nancy</v>
      </c>
      <c r="Y16" s="8" t="str">
        <v>Charlene</v>
      </c>
      <c r="Z16" s="8" t="str">
        <v>Charlene</v>
      </c>
      <c r="AA16" s="8" t="str">
        <v>David</v>
      </c>
      <c r="AB16" s="8" t="str">
        <v>Nancy</v>
      </c>
      <c r="AC16" s="8" t="str">
        <v>Nancy</v>
      </c>
      <c r="AD16" s="8" t="str">
        <v>Debby</v>
      </c>
      <c r="AE16" s="8" t="str">
        <v>Jeff M</v>
      </c>
      <c r="AF16" s="8" t="str">
        <v>Nancy</v>
      </c>
      <c r="AG16" s="8" t="str">
        <v>Charlene</v>
      </c>
      <c r="AH16" s="8" t="str">
        <v>David</v>
      </c>
      <c r="AI16" s="8" t="str">
        <v>Debby</v>
      </c>
      <c r="AJ16" s="8" t="str">
        <v>Charlene</v>
      </c>
      <c r="AK16" s="8" t="str">
        <v>Sally</v>
      </c>
      <c r="AL16" s="8" t="str">
        <v>David</v>
      </c>
      <c r="AM16" s="8" t="str">
        <v>Debby</v>
      </c>
      <c r="AN16" s="8" t="str">
        <v>Nancy</v>
      </c>
      <c r="AO16" s="8" t="str">
        <v>Nancy</v>
      </c>
      <c r="AP16" s="8" t="str">
        <v>David</v>
      </c>
      <c r="AQ16" s="8" t="str">
        <v>David</v>
      </c>
      <c r="AR16" s="8" t="str">
        <v>Nancy</v>
      </c>
      <c r="AS16" s="8" t="str">
        <v>Jeff M</v>
      </c>
      <c r="AT16" s="8" t="str">
        <v>Charlene</v>
      </c>
      <c r="AU16" s="8" t="str">
        <v>Charlene</v>
      </c>
      <c r="AV16" s="8" t="str">
        <v>Charlene</v>
      </c>
      <c r="AW16" s="8" t="str">
        <v>David</v>
      </c>
      <c r="AX16" s="8" t="str">
        <v>David</v>
      </c>
      <c r="AY16" s="8" t="str">
        <v>David</v>
      </c>
      <c r="AZ16" s="8" t="str">
        <v>David</v>
      </c>
      <c r="BA16" s="8" t="str">
        <v>Debby</v>
      </c>
      <c r="BB16" s="8" t="str">
        <v>Nancy</v>
      </c>
      <c r="BC16" s="8" t="str">
        <v>Nancy</v>
      </c>
      <c r="BD16" s="8" t="str">
        <v>Nancy</v>
      </c>
      <c r="BE16" s="8" t="str">
        <v>Nancy</v>
      </c>
      <c r="BF16" s="8" t="str">
        <v>Nancy</v>
      </c>
      <c r="BG16" s="8" t="str">
        <v>David</v>
      </c>
      <c r="BH16" s="8" t="str">
        <v>Sally</v>
      </c>
      <c r="BI16" s="8" t="str">
        <v>David</v>
      </c>
      <c r="BJ16" s="8" t="str">
        <v>Sally</v>
      </c>
      <c r="BK16" s="8" t="str">
        <v>Sally</v>
      </c>
      <c r="BL16" s="8" t="str">
        <v>Sally</v>
      </c>
      <c r="BM16" s="8" t="str">
        <v>Nancy</v>
      </c>
      <c r="BN16" s="8" t="str">
        <v>Nancy</v>
      </c>
      <c r="BO16" s="8" t="str">
        <v>Charlene</v>
      </c>
      <c r="BP16" s="8" t="str">
        <v>Nancy</v>
      </c>
      <c r="BQ16" s="8" t="str">
        <v>Charlene</v>
      </c>
      <c r="BR16" s="8" t="str">
        <v>Jeff M</v>
      </c>
      <c r="BS16" s="8" t="str">
        <v>Jeff M</v>
      </c>
      <c r="BT16" s="8" t="str">
        <v>Sandy</v>
      </c>
      <c r="BU16" s="8" t="str">
        <v>Nancy</v>
      </c>
      <c r="BV16" s="8" t="str">
        <v>David</v>
      </c>
      <c r="BW16" s="8" t="str">
        <v>Nancy</v>
      </c>
      <c r="BX16" s="8" t="str">
        <v>David</v>
      </c>
      <c r="BY16" s="8" t="str">
        <v>David</v>
      </c>
      <c r="BZ16" s="8" t="str">
        <v>Charlene</v>
      </c>
      <c r="CA16" s="8" t="str">
        <v>Sandy</v>
      </c>
      <c r="CB16" s="8" t="str">
        <v>Nancy</v>
      </c>
      <c r="CC16" s="8" t="str">
        <v>Sandy</v>
      </c>
      <c r="CD16" s="8" t="str">
        <v>Charlene</v>
      </c>
      <c r="CE16" s="8" t="str">
        <v>David</v>
      </c>
      <c r="CF16" s="8" t="str">
        <v>Debby</v>
      </c>
      <c r="CG16" s="8" t="str">
        <v>Nancy</v>
      </c>
      <c r="CH16" s="8" t="str">
        <v>Charlene</v>
      </c>
      <c r="CI16" s="8" t="str">
        <v>Charlene</v>
      </c>
      <c r="CJ16" s="8" t="str">
        <v>Sandy</v>
      </c>
      <c r="CK16" s="8" t="str">
        <v>Sandy</v>
      </c>
      <c r="CL16" s="8" t="str">
        <v>Sally</v>
      </c>
      <c r="CM16" s="8" t="str">
        <v>Charlene</v>
      </c>
      <c r="CN16" s="8" t="str">
        <v>Jeff M</v>
      </c>
      <c r="CO16" s="8" t="str">
        <v>David</v>
      </c>
      <c r="CP16" s="8" t="str">
        <v>Charlene</v>
      </c>
      <c r="CQ16" s="8" t="str">
        <v>Charlene</v>
      </c>
      <c r="CR16" s="8" t="str">
        <v>Charlene</v>
      </c>
      <c r="CS16" s="8" t="str">
        <v>Sandy</v>
      </c>
      <c r="CT16" s="8" t="str">
        <v>Nancy</v>
      </c>
      <c r="CU16" s="8" t="str">
        <v>Charlene</v>
      </c>
      <c r="CV16" s="8" t="str">
        <v>Nancy</v>
      </c>
      <c r="CW16" s="8" t="str">
        <v>David</v>
      </c>
      <c r="CX16" s="8" t="str">
        <v>Sandy</v>
      </c>
      <c r="CY16" s="8" t="str">
        <v>Debby</v>
      </c>
      <c r="CZ16" s="8" t="str">
        <v>David</v>
      </c>
      <c r="DA16" s="8" t="str">
        <v>Charlene</v>
      </c>
      <c r="DB16" s="8" t="str">
        <v>Jeff M</v>
      </c>
      <c r="DC16" s="8" t="str">
        <v>Debby</v>
      </c>
      <c r="DD16" s="8" t="str">
        <v>Sally</v>
      </c>
      <c r="DE16" s="8" t="str">
        <v>David</v>
      </c>
      <c r="DF16" s="8" t="str">
        <v>David</v>
      </c>
      <c r="DG16" s="8" t="str">
        <v>David</v>
      </c>
      <c r="DH16" s="8" t="str">
        <v>Charlene</v>
      </c>
      <c r="DI16" s="8" t="str">
        <v>Nancy</v>
      </c>
      <c r="DJ16" s="8" t="str">
        <v>Sandy</v>
      </c>
      <c r="DK16" s="8" t="str">
        <v>David</v>
      </c>
      <c r="DL16" s="8" t="str">
        <v>David</v>
      </c>
      <c r="DM16" s="8" t="str">
        <v>David</v>
      </c>
      <c r="DN16" s="8" t="str">
        <v>David</v>
      </c>
      <c r="DO16" s="8" t="str">
        <v>Sandy</v>
      </c>
      <c r="DP16" s="8" t="str">
        <v>David</v>
      </c>
      <c r="DQ16" s="8" t="str">
        <v>Sally</v>
      </c>
      <c r="DR16" s="8" t="str">
        <v>Charlene</v>
      </c>
      <c r="DS16" s="8" t="str">
        <v>Charlene</v>
      </c>
      <c r="DT16" s="8" t="str">
        <v>Charlene</v>
      </c>
      <c r="DU16" s="8" t="str">
        <v>Charlene</v>
      </c>
      <c r="DV16" s="8" t="str">
        <v>Charlene</v>
      </c>
      <c r="DW16" s="8" t="str">
        <v>Nancy</v>
      </c>
      <c r="DX16" s="8" t="str">
        <v>David</v>
      </c>
      <c r="DY16" s="8" t="str">
        <v>David</v>
      </c>
      <c r="DZ16" s="8" t="str">
        <v>Charlene</v>
      </c>
      <c r="EA16" s="8" t="str">
        <v>Jeff M</v>
      </c>
      <c r="EB16" s="8" t="str">
        <v>David</v>
      </c>
      <c r="EC16" s="8" t="str">
        <v>Sara</v>
      </c>
      <c r="ED16" s="8" t="str">
        <v>David</v>
      </c>
      <c r="EE16" s="8" t="str">
        <v>Nancy</v>
      </c>
      <c r="EF16" s="8" t="str">
        <v>Sally</v>
      </c>
      <c r="EG16" s="8" t="str">
        <v>Nancy</v>
      </c>
      <c r="EH16" s="8" t="str">
        <v>Charlene</v>
      </c>
      <c r="EI16" s="8" t="str">
        <v>Jeff M</v>
      </c>
      <c r="EJ16" s="8" t="str">
        <v>David</v>
      </c>
      <c r="EK16" s="8" t="str">
        <v>David</v>
      </c>
      <c r="EL16" s="8" t="str">
        <v>Nancy</v>
      </c>
      <c r="EM16" s="8" t="str">
        <v>Charlene</v>
      </c>
      <c r="EN16" s="8" t="str">
        <v>Jeff M</v>
      </c>
      <c r="EO16" s="8" t="str">
        <v>Sally</v>
      </c>
      <c r="EP16" s="8" t="str">
        <v>Nancy</v>
      </c>
      <c r="EQ16" s="8" t="str">
        <v>Sandy</v>
      </c>
      <c r="ER16" s="8" t="str">
        <v>Sally</v>
      </c>
      <c r="ES16" s="8" t="str">
        <v>Sally</v>
      </c>
      <c r="ET16" s="8" t="str">
        <v>Sally</v>
      </c>
      <c r="EU16" s="8" t="str">
        <v>Sally</v>
      </c>
      <c r="EV16" s="8" t="str">
        <v>David</v>
      </c>
      <c r="EW16" s="8" t="str">
        <v>Nancy</v>
      </c>
      <c r="EX16" s="8" t="str">
        <v>Nancy</v>
      </c>
      <c r="EY16" s="8" t="str">
        <v>Nancy</v>
      </c>
      <c r="EZ16" s="8" t="str">
        <v>David</v>
      </c>
      <c r="FA16" s="8" t="str">
        <v>Nancy</v>
      </c>
      <c r="FB16" s="8" t="str">
        <v>David</v>
      </c>
      <c r="FC16" s="8" t="str">
        <v>David</v>
      </c>
      <c r="FD16" s="8" t="str">
        <v>Nancy</v>
      </c>
      <c r="FE16" s="8" t="str">
        <v>Nancy</v>
      </c>
      <c r="FF16" s="8" t="str">
        <v>David</v>
      </c>
      <c r="FG16" s="8" t="str">
        <v>Jeff M</v>
      </c>
      <c r="FH16" s="8" t="str">
        <v>David</v>
      </c>
      <c r="FI16" s="8" t="str">
        <v>Charlene</v>
      </c>
      <c r="FJ16" s="8" t="str">
        <v>Nancy</v>
      </c>
      <c r="FK16" s="8" t="str">
        <v>Jeff M</v>
      </c>
      <c r="FL16" s="8" t="str">
        <v>Nancy</v>
      </c>
      <c r="FM16" s="8" t="str">
        <v>Debby</v>
      </c>
      <c r="FN16" s="8" t="str">
        <v>Candace</v>
      </c>
      <c r="FO16" s="8" t="str">
        <v>Sally</v>
      </c>
      <c r="FP16" s="8" t="str">
        <v>Nancy</v>
      </c>
      <c r="FQ16" s="8" t="str">
        <v>Nancy</v>
      </c>
      <c r="FR16" s="8" t="str">
        <v>Nancy</v>
      </c>
      <c r="FS16" s="8" t="str">
        <v>David</v>
      </c>
      <c r="FT16" s="8" t="str">
        <v>David</v>
      </c>
      <c r="FU16" s="8" t="str">
        <v>David</v>
      </c>
      <c r="FV16" s="8" t="str">
        <v>Nancy</v>
      </c>
      <c r="FW16" s="8" t="str">
        <v>Nancy</v>
      </c>
      <c r="FX16" s="8" t="str">
        <v>Jeff M</v>
      </c>
      <c r="FY16" s="8" t="str">
        <v>Jeff M</v>
      </c>
      <c r="FZ16" s="8" t="str">
        <v>David</v>
      </c>
      <c r="GA16" s="8" t="str">
        <v>Nancy</v>
      </c>
      <c r="GB16" s="8" t="str">
        <v>Nancy</v>
      </c>
      <c r="GC16" s="8" t="str">
        <v>David</v>
      </c>
      <c r="GD16" s="8" t="str">
        <v>Sally</v>
      </c>
      <c r="GE16" s="8" t="str">
        <v>David</v>
      </c>
      <c r="GF16" s="8" t="str">
        <v>Debby</v>
      </c>
      <c r="GG16" s="8" t="str">
        <v>David</v>
      </c>
      <c r="GH16" s="8" t="str">
        <v>Charlene</v>
      </c>
      <c r="GI16" s="8" t="str">
        <v>Nancy</v>
      </c>
      <c r="GJ16" s="8" t="str">
        <v>David</v>
      </c>
      <c r="GK16" s="8" t="str">
        <v>Nancy</v>
      </c>
      <c r="GL16" s="8" t="str">
        <v>Debby</v>
      </c>
      <c r="GM16" s="8" t="str">
        <v>David</v>
      </c>
      <c r="GN16" s="8" t="str">
        <v>Debby</v>
      </c>
      <c r="GO16" s="8" t="str">
        <v>David</v>
      </c>
      <c r="GP16" s="8" t="str">
        <v>Charlene</v>
      </c>
      <c r="GQ16" s="8" t="str">
        <v>Nancy</v>
      </c>
      <c r="GR16" s="8" t="str">
        <v>David</v>
      </c>
      <c r="GS16" s="8" t="str">
        <v>Debby</v>
      </c>
      <c r="GT16" s="8" t="str">
        <v>Debby</v>
      </c>
      <c r="GU16" s="8" t="str">
        <v>Sally</v>
      </c>
      <c r="GV16" s="8" t="str">
        <v>Nancy</v>
      </c>
      <c r="GW16" s="8" t="str">
        <v>David</v>
      </c>
      <c r="GX16" s="8" t="str">
        <v>Charlene</v>
      </c>
      <c r="GY16" s="8" t="str">
        <v>Sandy</v>
      </c>
      <c r="GZ16" s="8" t="str">
        <v>Charlene</v>
      </c>
      <c r="HA16" s="8" t="str">
        <v>Nancy</v>
      </c>
      <c r="HB16" s="8" t="str">
        <v>Jeff M</v>
      </c>
      <c r="HC16" s="8" t="str">
        <v>Nancy</v>
      </c>
      <c r="HD16" s="8" t="str">
        <v>David</v>
      </c>
      <c r="HE16" s="8" t="str">
        <v>David</v>
      </c>
      <c r="HF16" s="8" t="str">
        <v>David</v>
      </c>
      <c r="HG16" s="8" t="str">
        <v>Debby</v>
      </c>
      <c r="HH16" s="8" t="str">
        <v>Nancy</v>
      </c>
      <c r="HI16" s="8" t="str">
        <v>Debby</v>
      </c>
      <c r="HJ16" s="8" t="str">
        <v>Charlene</v>
      </c>
      <c r="HK16" s="8" t="str">
        <v>David</v>
      </c>
      <c r="HL16" s="8" t="str">
        <v>David</v>
      </c>
      <c r="HM16" s="8" t="str">
        <v>Charlene</v>
      </c>
      <c r="HN16" s="8" t="str">
        <v>Nancy</v>
      </c>
      <c r="HO16" s="8" t="str">
        <v>Nancy</v>
      </c>
      <c r="HP16" s="8" t="str">
        <v>David</v>
      </c>
      <c r="HQ16" s="8" t="str">
        <v>David</v>
      </c>
      <c r="HR16" s="8" t="str">
        <v>Nancy</v>
      </c>
      <c r="HS16" s="8" t="str">
        <v>Charlene</v>
      </c>
      <c r="HT16" s="8" t="str">
        <v>Nancy</v>
      </c>
      <c r="HU16" s="8" t="str">
        <v>David</v>
      </c>
      <c r="HV16" s="8" t="str">
        <v>Sandy</v>
      </c>
      <c r="HW16" s="8" t="str">
        <v>Nancy</v>
      </c>
      <c r="HX16" s="8" t="str">
        <v>David</v>
      </c>
      <c r="HY16" s="8" t="str">
        <v>Charlene</v>
      </c>
      <c r="HZ16" s="8" t="str">
        <v>Charlene</v>
      </c>
      <c r="IA16" s="8" t="str">
        <v>David</v>
      </c>
      <c r="IB16" s="8" t="str">
        <v>Nancy</v>
      </c>
      <c r="IC16" s="8" t="str">
        <v>Nancy</v>
      </c>
      <c r="ID16" s="8" t="str">
        <v>Charlene</v>
      </c>
      <c r="IE16" s="8" t="str">
        <v>David</v>
      </c>
      <c r="IF16" s="8" t="str">
        <v>Charlene</v>
      </c>
      <c r="IG16" s="8" t="str">
        <v>Nancy</v>
      </c>
      <c r="IH16" s="8" t="str">
        <v>Nancy</v>
      </c>
      <c r="II16" s="8" t="str">
        <v>David</v>
      </c>
      <c r="IJ16" s="8" t="str">
        <v>Sally</v>
      </c>
      <c r="IK16" s="8" t="str">
        <v>Sally</v>
      </c>
      <c r="IL16" s="8" t="str">
        <v>Sally</v>
      </c>
      <c r="IM16" s="8" t="str">
        <v>David</v>
      </c>
      <c r="IN16" s="8" t="str">
        <v>David</v>
      </c>
      <c r="IO16" s="8" t="str">
        <v>Charlene</v>
      </c>
      <c r="IP16" s="8" t="str">
        <v>Nancy</v>
      </c>
      <c r="IQ16" s="8" t="str">
        <v>Charlene</v>
      </c>
      <c r="IR16" s="8" t="str">
        <v>David</v>
      </c>
      <c r="IS16" s="8" t="str">
        <v>Sandy</v>
      </c>
      <c r="IT16" s="8" t="str">
        <v>Charlene</v>
      </c>
      <c r="IU16" s="8" t="str">
        <v>Nancy</v>
      </c>
      <c r="IV16" s="8" t="str">
        <v>Nancy</v>
      </c>
      <c r="IW16" s="8" t="str">
        <v>Sandy</v>
      </c>
      <c r="IX16" s="8" t="str">
        <v>Nancy</v>
      </c>
      <c r="IY16" s="8" t="str">
        <v>David</v>
      </c>
      <c r="IZ16" s="8" t="str">
        <v>Sandy</v>
      </c>
      <c r="JA16" s="8" t="str">
        <v>Sally</v>
      </c>
      <c r="JB16" s="8" t="str">
        <v>Nancy</v>
      </c>
      <c r="JC16" s="8" t="str">
        <v>Sally</v>
      </c>
      <c r="JD16" s="8" t="str">
        <v>Sally</v>
      </c>
      <c r="JE16" s="8" t="str">
        <v>David</v>
      </c>
      <c r="JF16" s="8" t="str">
        <v>Nancy</v>
      </c>
      <c r="JG16" s="8" t="str">
        <v>Nancy</v>
      </c>
      <c r="JH16" s="8" t="str">
        <v>David</v>
      </c>
      <c r="JI16" s="8" t="str">
        <v>David</v>
      </c>
      <c r="JJ16" s="8" t="str">
        <v>Debby</v>
      </c>
      <c r="JK16" s="8" t="str">
        <v>David</v>
      </c>
      <c r="JL16" s="8" t="str">
        <v>Charlene</v>
      </c>
      <c r="JM16" s="8" t="str">
        <v>Charlene</v>
      </c>
      <c r="JN16" s="8" t="str">
        <v>Nancy</v>
      </c>
      <c r="JO16" s="8" t="str">
        <v>Nancy</v>
      </c>
      <c r="JP16" s="8" t="str">
        <v>Nancy</v>
      </c>
      <c r="JQ16" s="8" t="str">
        <v>David</v>
      </c>
      <c r="JR16" s="8" t="str">
        <v>David</v>
      </c>
      <c r="JS16" s="8" t="str">
        <v>Nancy</v>
      </c>
      <c r="JT16" s="8" t="str">
        <v>Nancy</v>
      </c>
      <c r="JU16" s="8" t="str">
        <v>David</v>
      </c>
      <c r="JV16" s="8" t="str">
        <v>David</v>
      </c>
      <c r="JW16" s="8" t="str">
        <v>Sally</v>
      </c>
      <c r="JX16" s="8" t="str">
        <v>Nancy</v>
      </c>
      <c r="JY16" s="8" t="str">
        <v>David</v>
      </c>
      <c r="JZ16" s="8" t="str">
        <v>Sally</v>
      </c>
      <c r="KA16" s="8" t="str">
        <v>Charlene</v>
      </c>
      <c r="KB16" s="8" t="str">
        <v>David</v>
      </c>
      <c r="KC16" s="8" t="str">
        <v>Nancy</v>
      </c>
      <c r="KD16" s="8" t="str">
        <v>Debby</v>
      </c>
      <c r="KE16" s="8" t="str">
        <v>Charlene</v>
      </c>
      <c r="KF16" s="8" t="str">
        <v>Debby</v>
      </c>
      <c r="KG16" s="8" t="str">
        <v>Debby</v>
      </c>
      <c r="KH16" s="8" t="str">
        <v>Nancy</v>
      </c>
      <c r="KI16" s="8" t="str">
        <v>Charlene</v>
      </c>
      <c r="KJ16" s="8" t="str">
        <v>Charlene</v>
      </c>
      <c r="KK16" s="8" t="str">
        <v>David</v>
      </c>
      <c r="KL16" s="8" t="str">
        <v>Debby</v>
      </c>
      <c r="KM16" s="8" t="str">
        <v>Nancy</v>
      </c>
      <c r="KN16" s="8" t="str">
        <v>Nancy</v>
      </c>
      <c r="KO16" s="8" t="str">
        <v>Nancy</v>
      </c>
      <c r="KP16" s="8" t="str">
        <v>Debby</v>
      </c>
      <c r="KQ16" s="8" t="str">
        <v>Charlene</v>
      </c>
      <c r="KR16" s="8" t="str">
        <v>Charlene</v>
      </c>
      <c r="KS16" s="8" t="str">
        <v>Sally</v>
      </c>
      <c r="KT16" s="8" t="str">
        <v>David</v>
      </c>
      <c r="KU16" s="8" t="str">
        <v>David</v>
      </c>
      <c r="KV16" s="8" t="str">
        <v>David</v>
      </c>
      <c r="KW16" s="8" t="str">
        <v>David</v>
      </c>
      <c r="KX16" s="8" t="str">
        <v>Nancy</v>
      </c>
      <c r="KY16" s="8" t="str">
        <v>David</v>
      </c>
      <c r="KZ16" s="8" t="str">
        <v>Nancy</v>
      </c>
      <c r="LA16" s="8" t="str">
        <v>Sally</v>
      </c>
      <c r="LB16" s="8" t="str">
        <v>Sally</v>
      </c>
      <c r="LC16" s="8" t="str">
        <v>Charlene</v>
      </c>
      <c r="LD16" s="8" t="str">
        <v>David</v>
      </c>
      <c r="LE16" s="8" t="str">
        <v>David</v>
      </c>
      <c r="LF16" s="8" t="str">
        <v>David</v>
      </c>
      <c r="LG16" s="8" t="str">
        <v>Nancy</v>
      </c>
      <c r="LH16" s="8" t="str">
        <v>David</v>
      </c>
      <c r="LI16" s="8" t="str">
        <v>Karen</v>
      </c>
      <c r="LJ16" s="8" t="str">
        <v>Nancy</v>
      </c>
      <c r="LK16" s="8" t="str">
        <v>Charlene</v>
      </c>
      <c r="LL16" s="8" t="str">
        <v>Nancy</v>
      </c>
      <c r="LM16" s="8" t="str">
        <v>Nancy</v>
      </c>
      <c r="LN16" s="8" t="str">
        <v>Charlene</v>
      </c>
      <c r="LO16" s="8" t="str">
        <v>David</v>
      </c>
      <c r="LP16" s="8" t="str">
        <v>Sally</v>
      </c>
      <c r="LQ16" s="8" t="str">
        <v>Charlene</v>
      </c>
      <c r="LR16" s="8" t="str">
        <v>Debby</v>
      </c>
      <c r="LS16" s="8" t="str">
        <v>Charlene</v>
      </c>
      <c r="LT16" s="8" t="str">
        <v>Jeff M</v>
      </c>
      <c r="LU16" s="8" t="str">
        <v>Charlene</v>
      </c>
      <c r="LV16" s="8" t="str">
        <v>Nancy</v>
      </c>
      <c r="LW16" s="8" t="str">
        <v>Nancy</v>
      </c>
      <c r="LX16" s="8" t="str">
        <v>David</v>
      </c>
      <c r="LY16" s="8" t="str">
        <v>Jeff M</v>
      </c>
      <c r="LZ16" s="8" t="str">
        <v>Nancy</v>
      </c>
      <c r="MA16" s="8" t="str">
        <v>Nancy</v>
      </c>
      <c r="MB16" s="8" t="str">
        <v>David</v>
      </c>
      <c r="MC16" s="8" t="str">
        <v>Debby</v>
      </c>
      <c r="MD16" s="8" t="str">
        <v>David</v>
      </c>
      <c r="ME16" s="8" t="str">
        <v>Charlene</v>
      </c>
      <c r="MF16" s="8" t="str">
        <v>Nancy</v>
      </c>
      <c r="MG16" s="8" t="str">
        <v>Karen</v>
      </c>
      <c r="MH16" s="8" t="str">
        <v>Nancy</v>
      </c>
      <c r="MI16" s="8" t="str">
        <v>Charlene</v>
      </c>
      <c r="MJ16" s="8" t="str">
        <v>Nancy</v>
      </c>
      <c r="MK16" s="8" t="str">
        <v>Nancy</v>
      </c>
      <c r="ML16" s="8" t="str">
        <v>Nancy</v>
      </c>
      <c r="MM16" s="8" t="str">
        <v>Debby</v>
      </c>
      <c r="MN16" s="8" t="str">
        <v>Nancy</v>
      </c>
      <c r="MO16" s="8" t="str">
        <v>Debby</v>
      </c>
      <c r="MP16" s="8" t="str">
        <v>David</v>
      </c>
      <c r="MQ16" s="8" t="str">
        <v>David</v>
      </c>
      <c r="MR16" s="8" t="str">
        <v>David</v>
      </c>
      <c r="MS16" s="8" t="str">
        <v>David</v>
      </c>
      <c r="MT16" s="8" t="str">
        <v>David</v>
      </c>
      <c r="MU16" s="8" t="str">
        <v>Sandy</v>
      </c>
      <c r="MV16" s="8" t="str">
        <v>Charlene</v>
      </c>
      <c r="MW16" s="8" t="str">
        <v>David</v>
      </c>
      <c r="MX16" s="8" t="str">
        <v>Sally</v>
      </c>
      <c r="MY16" s="8" t="str">
        <v>David</v>
      </c>
      <c r="MZ16" s="8" t="str">
        <v>Nancy</v>
      </c>
      <c r="NA16" s="8" t="str">
        <v>Sally</v>
      </c>
      <c r="NB16" s="8" t="str">
        <v>David</v>
      </c>
      <c r="NC16" s="8" t="str">
        <v>Nancy</v>
      </c>
      <c r="ND16" s="8" t="str">
        <v>Nancy</v>
      </c>
      <c r="NE16" s="8" t="str">
        <v>Nancy</v>
      </c>
      <c r="NF16" s="8" t="str">
        <v>Nancy</v>
      </c>
      <c r="NG16" s="8" t="str">
        <v>Debby</v>
      </c>
      <c r="NH16" s="8" t="str">
        <v>Charlene</v>
      </c>
      <c r="NI16" s="8" t="str">
        <v>David</v>
      </c>
      <c r="NJ16" s="8" t="str">
        <v>Charlene</v>
      </c>
      <c r="NK16" s="8" t="str">
        <v>Charlene</v>
      </c>
      <c r="NL16" s="8" t="str">
        <v>Sandy</v>
      </c>
      <c r="NM16" s="8" t="str">
        <v>Nancy</v>
      </c>
      <c r="NN16" s="8" t="str">
        <v>Nancy</v>
      </c>
      <c r="NO16" s="8" t="str">
        <v>Nancy</v>
      </c>
      <c r="NP16" s="8" t="str">
        <v>David</v>
      </c>
      <c r="NQ16" s="8" t="str">
        <v>Charlene</v>
      </c>
      <c r="NR16" s="8" t="str">
        <v>David</v>
      </c>
      <c r="NS16" s="8" t="str">
        <v>Nancy</v>
      </c>
      <c r="NT16" s="8" t="str">
        <v>Sally</v>
      </c>
      <c r="NU16" s="8" t="str">
        <v>Charlene</v>
      </c>
      <c r="NV16" s="8" t="str">
        <v>Charlene</v>
      </c>
      <c r="NW16" s="8" t="str">
        <v>Charlene</v>
      </c>
      <c r="NX16" s="8" t="str">
        <v>Nancy</v>
      </c>
      <c r="NY16" s="8" t="str">
        <v>David</v>
      </c>
      <c r="NZ16" s="8" t="str">
        <v>Nancy</v>
      </c>
      <c r="OA16" s="8" t="str">
        <v>Nancy</v>
      </c>
      <c r="OB16" s="8" t="str">
        <v>Charlene</v>
      </c>
      <c r="OC16" s="8" t="str">
        <v>Nancy</v>
      </c>
      <c r="OD16" s="8" t="str">
        <v>Nancy</v>
      </c>
      <c r="OE16" s="8" t="str">
        <v>Nancy</v>
      </c>
      <c r="OF16" s="8" t="str">
        <v>David</v>
      </c>
      <c r="OG16" s="8" t="str">
        <v>Charlene</v>
      </c>
      <c r="OH16" s="8" t="str">
        <v>Jeff M</v>
      </c>
      <c r="OI16" s="8" t="str">
        <v>Nancy</v>
      </c>
      <c r="OJ16" s="8" t="str">
        <v>David</v>
      </c>
      <c r="OK16" s="8" t="str">
        <v>David</v>
      </c>
      <c r="OL16" s="8" t="str">
        <v>David</v>
      </c>
      <c r="OM16" s="8" t="str">
        <v>Charlene</v>
      </c>
      <c r="ON16" s="8" t="str">
        <v>Charlene</v>
      </c>
      <c r="OO16" s="8" t="str">
        <v>Sally</v>
      </c>
      <c r="OP16" s="8" t="str">
        <v>Nancy</v>
      </c>
      <c r="OQ16" s="8" t="str">
        <v>David</v>
      </c>
      <c r="OR16" s="8" t="str">
        <v>Sally</v>
      </c>
      <c r="OS16" s="8" t="str">
        <v>Jeff M</v>
      </c>
      <c r="OT16" s="8" t="str">
        <v>Jeff M</v>
      </c>
      <c r="OU16" s="8" t="str">
        <v>Nancy</v>
      </c>
      <c r="OV16" s="8" t="str">
        <v>David</v>
      </c>
      <c r="OW16" s="8" t="str">
        <v>David</v>
      </c>
      <c r="OX16" s="8" t="str">
        <v>David</v>
      </c>
      <c r="OY16" s="8" t="str">
        <v>Nancy</v>
      </c>
      <c r="OZ16" s="8" t="str">
        <v>Debby</v>
      </c>
      <c r="PA16" s="8" t="str">
        <v>Nancy</v>
      </c>
      <c r="PB16" s="8" t="str">
        <v>Charlene</v>
      </c>
      <c r="PC16" s="8" t="str">
        <v>Debby</v>
      </c>
      <c r="PD16" s="8" t="str">
        <v>Nancy</v>
      </c>
      <c r="PE16" s="8" t="str">
        <v>David</v>
      </c>
      <c r="PF16" s="8" t="str">
        <v>Charlene</v>
      </c>
      <c r="PG16" s="8" t="str">
        <v>Debby</v>
      </c>
      <c r="PH16" s="8" t="str">
        <v>David</v>
      </c>
      <c r="PI16" s="8" t="str">
        <v>Sally</v>
      </c>
      <c r="PJ16" s="8" t="str">
        <v>David</v>
      </c>
      <c r="PK16" s="8" t="str">
        <v>David</v>
      </c>
      <c r="PL16" s="8" t="str">
        <v>Nancy</v>
      </c>
      <c r="PM16" s="8" t="str">
        <v>Debby</v>
      </c>
      <c r="PN16" s="8" t="str">
        <v>Sally</v>
      </c>
      <c r="PO16" s="8" t="str">
        <v>David</v>
      </c>
      <c r="PP16" s="8" t="str">
        <v>David</v>
      </c>
      <c r="PQ16" s="8" t="str">
        <v>David</v>
      </c>
      <c r="PR16" s="8" t="str">
        <v>Sally</v>
      </c>
      <c r="PS16" s="8" t="str">
        <v>David</v>
      </c>
      <c r="PT16" s="8">
        <v>0</v>
      </c>
      <c r="PU16" s="8">
        <v>0</v>
      </c>
      <c r="PV16" s="8">
        <v>0</v>
      </c>
      <c r="PW16" s="8">
        <v>0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0</v>
      </c>
      <c r="TA16" s="8">
        <v>0</v>
      </c>
      <c r="TB16" s="8">
        <v>0</v>
      </c>
      <c r="TC16" s="8">
        <v>0</v>
      </c>
      <c r="TD16" s="8">
        <v>0</v>
      </c>
      <c r="TE16" s="8">
        <v>0</v>
      </c>
      <c r="TF16" s="8">
        <v>0</v>
      </c>
      <c r="TG16" s="8">
        <v>0</v>
      </c>
      <c r="TH16" s="8">
        <v>0</v>
      </c>
      <c r="TI16" s="8">
        <v>0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0</v>
      </c>
      <c r="TT16" s="8">
        <v>0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0</v>
      </c>
      <c r="UC16" s="8">
        <v>0</v>
      </c>
      <c r="UD16" s="8">
        <v>0</v>
      </c>
      <c r="UE16" s="8">
        <v>0</v>
      </c>
      <c r="UF16" s="8">
        <v>0</v>
      </c>
      <c r="UG16" s="8">
        <v>0</v>
      </c>
      <c r="UH16" s="8">
        <v>0</v>
      </c>
      <c r="UI16" s="8">
        <v>0</v>
      </c>
      <c r="UJ16" s="8">
        <v>0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0</v>
      </c>
      <c r="UQ16" s="8">
        <v>0</v>
      </c>
      <c r="UR16" s="8">
        <v>0</v>
      </c>
      <c r="US16" s="8">
        <v>0</v>
      </c>
      <c r="UT16" s="8">
        <v>0</v>
      </c>
      <c r="UU16" s="8">
        <v>0</v>
      </c>
      <c r="UV16" s="8">
        <v>0</v>
      </c>
      <c r="UW16" s="8">
        <v>0</v>
      </c>
      <c r="UX16" s="8">
        <v>0</v>
      </c>
      <c r="UY16" s="8">
        <v>0</v>
      </c>
      <c r="UZ16" s="8">
        <v>0</v>
      </c>
      <c r="VA16" s="8">
        <v>0</v>
      </c>
      <c r="VB16" s="8">
        <v>0</v>
      </c>
      <c r="VC16" s="8">
        <v>0</v>
      </c>
      <c r="VD16" s="8">
        <v>0</v>
      </c>
      <c r="VE16" s="8">
        <v>0</v>
      </c>
      <c r="VF16" s="8">
        <v>0</v>
      </c>
      <c r="VG16" s="8">
        <v>0</v>
      </c>
      <c r="VH16" s="8">
        <v>0</v>
      </c>
      <c r="VI16" s="8">
        <v>0</v>
      </c>
      <c r="VJ16" s="8">
        <v>0</v>
      </c>
      <c r="VK16" s="8">
        <v>0</v>
      </c>
      <c r="VL16" s="8">
        <v>0</v>
      </c>
      <c r="VM16" s="8">
        <v>0</v>
      </c>
      <c r="VN16" s="8">
        <v>0</v>
      </c>
      <c r="VO16" s="8">
        <v>0</v>
      </c>
      <c r="VP16" s="8">
        <v>0</v>
      </c>
      <c r="VQ16" s="8">
        <v>0</v>
      </c>
      <c r="VR16" s="8">
        <v>0</v>
      </c>
      <c r="VS16" s="8">
        <v>0</v>
      </c>
      <c r="VT16" s="8">
        <v>0</v>
      </c>
      <c r="VU16" s="8">
        <v>0</v>
      </c>
      <c r="VV16" s="8">
        <v>0</v>
      </c>
      <c r="VW16" s="8">
        <v>0</v>
      </c>
      <c r="VX16" s="8">
        <v>0</v>
      </c>
      <c r="VY16" s="8">
        <v>0</v>
      </c>
      <c r="VZ16" s="8">
        <v>0</v>
      </c>
      <c r="WA16" s="8">
        <v>0</v>
      </c>
      <c r="WB16" s="8">
        <v>0</v>
      </c>
      <c r="WC16" s="8">
        <v>0</v>
      </c>
      <c r="WD16" s="8">
        <v>0</v>
      </c>
      <c r="WE16" s="8">
        <v>0</v>
      </c>
      <c r="WF16" s="8">
        <v>0</v>
      </c>
      <c r="WG16" s="8">
        <v>0</v>
      </c>
      <c r="WH16" s="8">
        <v>0</v>
      </c>
      <c r="WI16" s="8">
        <v>0</v>
      </c>
      <c r="WJ16" s="8">
        <v>0</v>
      </c>
      <c r="WK16" s="8">
        <v>0</v>
      </c>
      <c r="WL16" s="8">
        <v>0</v>
      </c>
      <c r="WM16" s="8">
        <v>0</v>
      </c>
      <c r="WN16" s="8">
        <v>0</v>
      </c>
      <c r="WO16" s="8">
        <v>0</v>
      </c>
      <c r="WP16" s="8">
        <v>0</v>
      </c>
      <c r="WQ16" s="8">
        <v>0</v>
      </c>
      <c r="WR16" s="8">
        <v>0</v>
      </c>
      <c r="WS16" s="8">
        <v>0</v>
      </c>
      <c r="WT16" s="8">
        <v>0</v>
      </c>
      <c r="WU16" s="8">
        <v>0</v>
      </c>
      <c r="WV16" s="8">
        <v>0</v>
      </c>
      <c r="WW16" s="8">
        <v>0</v>
      </c>
      <c r="WX16" s="8">
        <v>0</v>
      </c>
      <c r="WY16" s="8">
        <v>0</v>
      </c>
      <c r="WZ16" s="8">
        <v>0</v>
      </c>
      <c r="XA16" s="8">
        <v>0</v>
      </c>
      <c r="XB16" s="8">
        <v>0</v>
      </c>
      <c r="XC16" s="8">
        <v>0</v>
      </c>
      <c r="XD16" s="8">
        <v>0</v>
      </c>
      <c r="XE16" s="8">
        <v>0</v>
      </c>
      <c r="XF16" s="8">
        <v>0</v>
      </c>
      <c r="XG16" s="8">
        <v>0</v>
      </c>
      <c r="XH16" s="8">
        <v>0</v>
      </c>
      <c r="XI16" s="8">
        <v>0</v>
      </c>
      <c r="XJ16" s="8">
        <v>0</v>
      </c>
      <c r="XK16" s="8">
        <v>0</v>
      </c>
      <c r="XL16" s="8">
        <v>0</v>
      </c>
      <c r="XM16" s="8">
        <v>0</v>
      </c>
      <c r="XN16" s="8">
        <v>0</v>
      </c>
      <c r="XO16" s="8">
        <v>0</v>
      </c>
      <c r="XP16" s="8">
        <v>0</v>
      </c>
      <c r="XQ16" s="8">
        <v>0</v>
      </c>
      <c r="XR16" s="8">
        <v>0</v>
      </c>
      <c r="XS16" s="8">
        <v>0</v>
      </c>
      <c r="XT16" s="8">
        <v>0</v>
      </c>
      <c r="XU16" s="8">
        <v>0</v>
      </c>
      <c r="XV16" s="8">
        <v>0</v>
      </c>
      <c r="XW16" s="8">
        <v>0</v>
      </c>
      <c r="XX16" s="8">
        <v>0</v>
      </c>
      <c r="XY16" s="8">
        <v>0</v>
      </c>
      <c r="XZ16" s="8">
        <v>0</v>
      </c>
      <c r="YA16" s="8">
        <v>0</v>
      </c>
      <c r="YB16" s="8">
        <v>0</v>
      </c>
      <c r="YC16" s="8">
        <v>0</v>
      </c>
      <c r="YD16" s="8">
        <v>0</v>
      </c>
      <c r="YE16" s="8">
        <v>0</v>
      </c>
      <c r="YF16" s="8">
        <v>0</v>
      </c>
      <c r="YG16" s="8">
        <v>0</v>
      </c>
      <c r="YH16" s="8">
        <v>0</v>
      </c>
      <c r="YI16" s="8">
        <v>0</v>
      </c>
      <c r="YJ16" s="8">
        <v>0</v>
      </c>
      <c r="YK16" s="8">
        <v>0</v>
      </c>
      <c r="YL16" s="8">
        <v>0</v>
      </c>
      <c r="YM16" s="8">
        <v>0</v>
      </c>
      <c r="YN16" s="8">
        <v>0</v>
      </c>
      <c r="YO16" s="8">
        <v>0</v>
      </c>
      <c r="YP16" s="8">
        <v>0</v>
      </c>
      <c r="YQ16" s="8">
        <v>0</v>
      </c>
      <c r="YR16" s="8">
        <v>0</v>
      </c>
      <c r="YS16" s="8">
        <v>0</v>
      </c>
      <c r="YT16" s="8">
        <v>0</v>
      </c>
      <c r="YU16" s="8">
        <v>0</v>
      </c>
      <c r="YV16" s="8">
        <v>0</v>
      </c>
      <c r="YW16" s="8">
        <v>0</v>
      </c>
      <c r="YX16" s="8">
        <v>0</v>
      </c>
      <c r="YY16" s="8">
        <v>0</v>
      </c>
      <c r="YZ16" s="8">
        <v>0</v>
      </c>
      <c r="ZA16" s="8">
        <v>0</v>
      </c>
      <c r="ZB16" s="8">
        <v>0</v>
      </c>
      <c r="ZC16" s="8">
        <v>0</v>
      </c>
      <c r="ZD16" s="8">
        <v>0</v>
      </c>
      <c r="ZE16" s="8">
        <v>0</v>
      </c>
      <c r="ZF16" s="8">
        <v>0</v>
      </c>
      <c r="ZG16" s="8">
        <v>0</v>
      </c>
      <c r="ZH16" s="8">
        <v>0</v>
      </c>
      <c r="ZI16" s="8">
        <v>0</v>
      </c>
      <c r="ZJ16" s="8">
        <v>0</v>
      </c>
      <c r="ZK16" s="8">
        <v>0</v>
      </c>
      <c r="ZL16" s="8">
        <v>0</v>
      </c>
      <c r="ZM16" s="8">
        <v>0</v>
      </c>
      <c r="ZN16" s="8">
        <v>0</v>
      </c>
      <c r="ZO16" s="8">
        <v>0</v>
      </c>
      <c r="ZP16" s="8">
        <v>0</v>
      </c>
      <c r="ZQ16" s="8">
        <v>0</v>
      </c>
      <c r="ZR16" s="8">
        <v>0</v>
      </c>
      <c r="ZS16" s="8">
        <v>0</v>
      </c>
      <c r="ZT16" s="8">
        <v>0</v>
      </c>
      <c r="ZU16" s="8">
        <v>0</v>
      </c>
      <c r="ZV16" s="8">
        <v>0</v>
      </c>
      <c r="ZW16" s="8">
        <v>0</v>
      </c>
      <c r="ZX16" s="8">
        <v>0</v>
      </c>
      <c r="ZY16" s="8">
        <v>0</v>
      </c>
      <c r="ZZ16" s="8">
        <v>0</v>
      </c>
      <c r="AAA16" s="8">
        <v>0</v>
      </c>
      <c r="AAB16" s="8">
        <v>0</v>
      </c>
      <c r="AAC16" s="8">
        <v>0</v>
      </c>
      <c r="AAD16" s="8">
        <v>0</v>
      </c>
      <c r="AAE16" s="8">
        <v>0</v>
      </c>
      <c r="AAF16" s="8">
        <v>0</v>
      </c>
      <c r="AAG16" s="8">
        <v>0</v>
      </c>
      <c r="AAH16" s="8">
        <v>0</v>
      </c>
      <c r="AAI16" s="8">
        <v>0</v>
      </c>
      <c r="AAJ16" s="8">
        <v>0</v>
      </c>
      <c r="AAK16" s="8">
        <v>0</v>
      </c>
      <c r="AAL16" s="8">
        <v>0</v>
      </c>
      <c r="AAM16" s="8">
        <v>0</v>
      </c>
      <c r="AAN16" s="8">
        <v>0</v>
      </c>
      <c r="AAO16" s="8">
        <v>0</v>
      </c>
      <c r="AAP16" s="8">
        <v>0</v>
      </c>
      <c r="AAQ16" s="8">
        <v>0</v>
      </c>
      <c r="AAR16" s="8">
        <v>0</v>
      </c>
      <c r="AAS16" s="8">
        <v>0</v>
      </c>
      <c r="AAT16" s="8">
        <v>0</v>
      </c>
      <c r="AAU16" s="8">
        <v>0</v>
      </c>
      <c r="AAV16" s="8">
        <v>0</v>
      </c>
      <c r="AAW16" s="8">
        <v>0</v>
      </c>
      <c r="AAX16" s="8">
        <v>0</v>
      </c>
      <c r="AAY16" s="8">
        <v>0</v>
      </c>
      <c r="AAZ16" s="8">
        <v>0</v>
      </c>
      <c r="ABA16" s="8">
        <v>0</v>
      </c>
      <c r="ABB16" s="8">
        <v>0</v>
      </c>
      <c r="ABC16" s="8">
        <v>0</v>
      </c>
      <c r="ABD16" s="8">
        <v>0</v>
      </c>
      <c r="ABE16" s="8">
        <v>0</v>
      </c>
      <c r="ABF16" s="8">
        <v>0</v>
      </c>
      <c r="ABG16" s="8">
        <v>0</v>
      </c>
      <c r="ABH16" s="8">
        <v>0</v>
      </c>
      <c r="ABI16" s="8">
        <v>0</v>
      </c>
      <c r="ABJ16" s="8">
        <v>0</v>
      </c>
      <c r="ABK16" s="8">
        <v>0</v>
      </c>
      <c r="ABL16" s="8">
        <v>0</v>
      </c>
      <c r="ABM16" s="8">
        <v>0</v>
      </c>
      <c r="ABN16" s="8">
        <v>0</v>
      </c>
      <c r="ABO16" s="8">
        <v>0</v>
      </c>
      <c r="ABP16" s="8">
        <v>0</v>
      </c>
      <c r="ABQ16" s="8">
        <v>0</v>
      </c>
      <c r="ABR16" s="8">
        <v>0</v>
      </c>
      <c r="ABS16" s="8">
        <v>0</v>
      </c>
      <c r="ABT16" s="8">
        <v>0</v>
      </c>
      <c r="ABU16" s="8">
        <v>0</v>
      </c>
      <c r="ABV16" s="8">
        <v>0</v>
      </c>
      <c r="ABW16" s="8">
        <v>0</v>
      </c>
      <c r="ABX16" s="8">
        <v>0</v>
      </c>
      <c r="ABY16" s="8">
        <v>0</v>
      </c>
      <c r="ABZ16" s="8">
        <v>0</v>
      </c>
      <c r="ACA16" s="8">
        <v>0</v>
      </c>
      <c r="ACB16" s="8">
        <v>0</v>
      </c>
      <c r="ACC16" s="8">
        <v>0</v>
      </c>
      <c r="ACD16" s="8">
        <v>0</v>
      </c>
      <c r="ACE16" s="8">
        <v>0</v>
      </c>
      <c r="ACF16" s="8">
        <v>0</v>
      </c>
      <c r="ACG16" s="8">
        <v>0</v>
      </c>
      <c r="ACH16" s="8">
        <v>0</v>
      </c>
      <c r="ACI16" s="8">
        <v>0</v>
      </c>
      <c r="ACJ16" s="8">
        <v>0</v>
      </c>
      <c r="ACK16" s="8">
        <v>0</v>
      </c>
      <c r="ACL16" s="8">
        <v>0</v>
      </c>
      <c r="ACM16" s="8">
        <v>0</v>
      </c>
      <c r="ACN16" s="8">
        <v>0</v>
      </c>
      <c r="ACO16" s="8">
        <v>0</v>
      </c>
      <c r="ACP16" s="8">
        <v>0</v>
      </c>
      <c r="ACQ16" s="8">
        <v>0</v>
      </c>
      <c r="ACR16" s="8">
        <v>0</v>
      </c>
      <c r="ACS16" s="8">
        <v>0</v>
      </c>
      <c r="ACT16" s="8">
        <v>0</v>
      </c>
      <c r="ACU16" s="8">
        <v>0</v>
      </c>
      <c r="ACV16" s="8">
        <v>0</v>
      </c>
      <c r="ACW16" s="8">
        <v>0</v>
      </c>
      <c r="ACX16" s="8">
        <v>0</v>
      </c>
      <c r="ACY16" s="8">
        <v>0</v>
      </c>
      <c r="ACZ16" s="8">
        <v>0</v>
      </c>
      <c r="ADA16" s="8">
        <v>0</v>
      </c>
      <c r="ADB16" s="8">
        <v>0</v>
      </c>
      <c r="ADC16" s="8">
        <v>0</v>
      </c>
      <c r="ADD16" s="8">
        <v>0</v>
      </c>
      <c r="ADE16" s="8">
        <v>0</v>
      </c>
      <c r="ADF16" s="8">
        <v>0</v>
      </c>
      <c r="ADG16" s="8">
        <v>0</v>
      </c>
      <c r="ADH16" s="8">
        <v>0</v>
      </c>
      <c r="ADI16" s="8">
        <v>0</v>
      </c>
      <c r="ADJ16" s="8">
        <v>0</v>
      </c>
      <c r="ADK16" s="8">
        <v>0</v>
      </c>
      <c r="ADL16" s="8">
        <v>0</v>
      </c>
      <c r="ADM16" s="8">
        <v>0</v>
      </c>
      <c r="ADN16" s="8">
        <v>0</v>
      </c>
      <c r="ADO16" s="8">
        <v>0</v>
      </c>
      <c r="ADP16" s="8">
        <v>0</v>
      </c>
      <c r="ADQ16" s="8">
        <v>0</v>
      </c>
      <c r="ADR16" s="8">
        <v>0</v>
      </c>
      <c r="ADS16" s="8">
        <v>0</v>
      </c>
      <c r="ADT16" s="8">
        <v>0</v>
      </c>
      <c r="ADU16" s="8">
        <v>0</v>
      </c>
      <c r="ADV16" s="8">
        <v>0</v>
      </c>
      <c r="ADW16" s="8">
        <v>0</v>
      </c>
      <c r="ADX16" s="8">
        <v>0</v>
      </c>
      <c r="ADY16" s="8">
        <v>0</v>
      </c>
      <c r="ADZ16" s="8">
        <v>0</v>
      </c>
      <c r="AEA16" s="8">
        <v>0</v>
      </c>
      <c r="AEB16" s="8">
        <v>0</v>
      </c>
      <c r="AEC16" s="8">
        <v>0</v>
      </c>
      <c r="AED16" s="8">
        <v>0</v>
      </c>
      <c r="AEE16" s="8">
        <v>0</v>
      </c>
      <c r="AEF16" s="8">
        <v>0</v>
      </c>
      <c r="AEG16" s="8">
        <v>0</v>
      </c>
      <c r="AEH16" s="8">
        <v>0</v>
      </c>
      <c r="AEI16" s="8">
        <v>0</v>
      </c>
      <c r="AEJ16" s="8">
        <v>0</v>
      </c>
      <c r="AEK16" s="8">
        <v>0</v>
      </c>
      <c r="AEL16" s="8">
        <v>0</v>
      </c>
      <c r="AEM16" s="8">
        <v>0</v>
      </c>
      <c r="AEN16" s="8">
        <v>0</v>
      </c>
      <c r="AEO16" s="8">
        <v>0</v>
      </c>
      <c r="AEP16" s="8">
        <v>0</v>
      </c>
      <c r="AEQ16" s="8">
        <v>0</v>
      </c>
      <c r="AER16" s="8">
        <v>0</v>
      </c>
      <c r="AES16" s="8">
        <v>0</v>
      </c>
      <c r="AET16" s="8">
        <v>0</v>
      </c>
      <c r="AEU16" s="8">
        <v>0</v>
      </c>
      <c r="AEV16" s="8">
        <v>0</v>
      </c>
      <c r="AEW16" s="8">
        <v>0</v>
      </c>
      <c r="AEX16" s="8">
        <v>0</v>
      </c>
      <c r="AEY16" s="8">
        <v>0</v>
      </c>
      <c r="AEZ16" s="8">
        <v>0</v>
      </c>
      <c r="AFA16" s="8">
        <v>0</v>
      </c>
      <c r="AFB16" s="8">
        <v>0</v>
      </c>
      <c r="AFC16" s="8">
        <v>0</v>
      </c>
      <c r="AFD16" s="8">
        <v>0</v>
      </c>
      <c r="AFE16" s="8">
        <v>0</v>
      </c>
      <c r="AFF16" s="8">
        <v>0</v>
      </c>
      <c r="AFG16" s="8">
        <v>0</v>
      </c>
      <c r="AFH16" s="8">
        <v>0</v>
      </c>
      <c r="AFI16" s="8">
        <v>0</v>
      </c>
      <c r="AFJ16" s="8">
        <v>0</v>
      </c>
      <c r="AFK16" s="8">
        <v>0</v>
      </c>
      <c r="AFL16" s="8">
        <v>0</v>
      </c>
      <c r="AFM16" s="8">
        <v>0</v>
      </c>
      <c r="AFN16" s="8">
        <v>0</v>
      </c>
      <c r="AFO16" s="8">
        <v>0</v>
      </c>
      <c r="AFP16" s="8">
        <v>0</v>
      </c>
      <c r="AFQ16" s="8">
        <v>0</v>
      </c>
      <c r="AFR16" s="8">
        <v>0</v>
      </c>
      <c r="AFS16" s="8">
        <v>0</v>
      </c>
      <c r="AFT16" s="8">
        <v>0</v>
      </c>
      <c r="AFU16" s="8">
        <v>0</v>
      </c>
      <c r="AFV16" s="8">
        <v>0</v>
      </c>
      <c r="AFW16" s="8">
        <v>0</v>
      </c>
      <c r="AFX16" s="8">
        <v>0</v>
      </c>
      <c r="AFY16" s="8">
        <v>0</v>
      </c>
      <c r="AFZ16" s="8">
        <v>0</v>
      </c>
      <c r="AGA16" s="8">
        <v>0</v>
      </c>
      <c r="AGB16" s="8">
        <v>0</v>
      </c>
      <c r="AGC16" s="8">
        <v>0</v>
      </c>
      <c r="AGD16" s="8">
        <v>0</v>
      </c>
      <c r="AGE16" s="8">
        <v>0</v>
      </c>
      <c r="AGF16" s="8">
        <v>0</v>
      </c>
      <c r="AGG16" s="8">
        <v>0</v>
      </c>
      <c r="AGH16" s="8">
        <v>0</v>
      </c>
      <c r="AGI16" s="8">
        <v>0</v>
      </c>
      <c r="AGJ16" s="8">
        <v>0</v>
      </c>
      <c r="AGK16" s="8">
        <v>0</v>
      </c>
      <c r="AGL16" s="8">
        <v>0</v>
      </c>
      <c r="AGM16" s="8">
        <v>0</v>
      </c>
      <c r="AGN16" s="8">
        <v>0</v>
      </c>
      <c r="AGO16" s="8">
        <v>0</v>
      </c>
      <c r="AGP16" s="8">
        <v>0</v>
      </c>
      <c r="AGQ16" s="8">
        <v>0</v>
      </c>
      <c r="AGR16" s="8">
        <v>0</v>
      </c>
      <c r="AGS16" s="8">
        <v>0</v>
      </c>
      <c r="AGT16" s="8">
        <v>0</v>
      </c>
      <c r="AGU16" s="8">
        <v>0</v>
      </c>
      <c r="AGV16" s="8">
        <v>0</v>
      </c>
      <c r="AGW16" s="8">
        <v>0</v>
      </c>
      <c r="AGX16" s="8">
        <v>0</v>
      </c>
      <c r="AGY16" s="8">
        <v>0</v>
      </c>
      <c r="AGZ16" s="8">
        <v>0</v>
      </c>
      <c r="AHA16" s="8">
        <v>0</v>
      </c>
      <c r="AHB16" s="8">
        <v>0</v>
      </c>
      <c r="AHC16" s="8">
        <v>0</v>
      </c>
      <c r="AHD16" s="8">
        <v>0</v>
      </c>
      <c r="AHE16" s="8">
        <v>0</v>
      </c>
      <c r="AHF16" s="8">
        <v>0</v>
      </c>
      <c r="AHG16" s="8">
        <v>0</v>
      </c>
      <c r="AHH16" s="8">
        <v>0</v>
      </c>
      <c r="AHI16" s="8">
        <v>0</v>
      </c>
      <c r="AHJ16" s="8">
        <v>0</v>
      </c>
      <c r="AHK16" s="8">
        <v>0</v>
      </c>
      <c r="AHL16" s="8">
        <v>0</v>
      </c>
      <c r="AHM16" s="8">
        <v>0</v>
      </c>
      <c r="AHN16" s="8">
        <v>0</v>
      </c>
      <c r="AHO16" s="8">
        <v>0</v>
      </c>
      <c r="AHP16" s="8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 t="e">
        <v>#N/A</v>
      </c>
      <c r="AIJ16" t="e">
        <v>#N/A</v>
      </c>
      <c r="AIK16" t="e">
        <v>#N/A</v>
      </c>
      <c r="AIL16" t="e">
        <v>#N/A</v>
      </c>
      <c r="AIM16" t="e">
        <v>#N/A</v>
      </c>
      <c r="AIN16" t="e">
        <v>#N/A</v>
      </c>
      <c r="AIO16" t="e">
        <v>#N/A</v>
      </c>
      <c r="AIP16" t="e">
        <v>#N/A</v>
      </c>
      <c r="AIQ16" t="e">
        <v>#N/A</v>
      </c>
      <c r="AIR16" t="e">
        <v>#N/A</v>
      </c>
      <c r="AIS16" t="e">
        <v>#N/A</v>
      </c>
      <c r="AIT16" t="e">
        <v>#N/A</v>
      </c>
      <c r="AIU16" t="e">
        <v>#N/A</v>
      </c>
      <c r="AIV16" t="e">
        <v>#N/A</v>
      </c>
      <c r="AIW16" t="e">
        <v>#N/A</v>
      </c>
      <c r="AIX16" t="e">
        <v>#N/A</v>
      </c>
      <c r="AIY16" t="e">
        <v>#N/A</v>
      </c>
      <c r="AIZ16" t="e">
        <v>#N/A</v>
      </c>
      <c r="AJA16" t="e">
        <v>#N/A</v>
      </c>
      <c r="AJB16" t="e">
        <v>#N/A</v>
      </c>
      <c r="AJC16" t="e">
        <v>#N/A</v>
      </c>
      <c r="AJD16" t="e">
        <v>#N/A</v>
      </c>
      <c r="AJE16" t="e">
        <v>#N/A</v>
      </c>
      <c r="AJF16" t="e">
        <v>#N/A</v>
      </c>
      <c r="AJG16" t="e">
        <v>#N/A</v>
      </c>
      <c r="AJH16" t="e">
        <v>#N/A</v>
      </c>
      <c r="AJI16" t="e">
        <v>#N/A</v>
      </c>
      <c r="AJJ16" t="e">
        <v>#N/A</v>
      </c>
      <c r="AJK16" t="e">
        <v>#N/A</v>
      </c>
      <c r="AJL16" t="e">
        <v>#N/A</v>
      </c>
      <c r="AJM16" t="e">
        <v>#N/A</v>
      </c>
      <c r="AJN16" t="e">
        <v>#N/A</v>
      </c>
      <c r="AJO16" t="e">
        <v>#N/A</v>
      </c>
      <c r="AJP16" t="e">
        <v>#N/A</v>
      </c>
      <c r="AJQ16" t="e">
        <v>#N/A</v>
      </c>
      <c r="AJR16" t="e">
        <v>#N/A</v>
      </c>
      <c r="AJS16" t="e">
        <v>#N/A</v>
      </c>
      <c r="AJT16" t="e">
        <v>#N/A</v>
      </c>
      <c r="AJU16" t="e">
        <v>#N/A</v>
      </c>
      <c r="AJV16" t="e">
        <v>#N/A</v>
      </c>
      <c r="AJW16" t="e">
        <v>#N/A</v>
      </c>
      <c r="AJX16" t="e">
        <v>#N/A</v>
      </c>
      <c r="AJY16" t="e">
        <v>#N/A</v>
      </c>
      <c r="AJZ16" t="e">
        <v>#N/A</v>
      </c>
      <c r="AKA16" t="e">
        <v>#N/A</v>
      </c>
      <c r="AKB16" t="e">
        <v>#N/A</v>
      </c>
      <c r="AKC16" t="e">
        <v>#N/A</v>
      </c>
      <c r="AKD16" t="e">
        <v>#N/A</v>
      </c>
      <c r="AKE16" t="e">
        <v>#N/A</v>
      </c>
      <c r="AKF16" t="e">
        <v>#N/A</v>
      </c>
      <c r="AKG16" t="e">
        <v>#N/A</v>
      </c>
      <c r="AKH16" t="e">
        <v>#N/A</v>
      </c>
      <c r="AKI16" t="e">
        <v>#N/A</v>
      </c>
      <c r="AKJ16" t="e">
        <v>#N/A</v>
      </c>
      <c r="AKK16" t="e">
        <v>#N/A</v>
      </c>
      <c r="AKL16" t="e">
        <v>#N/A</v>
      </c>
      <c r="AKM16" t="e">
        <v>#N/A</v>
      </c>
      <c r="AKN16" t="e">
        <v>#N/A</v>
      </c>
      <c r="AKO16" t="e">
        <v>#N/A</v>
      </c>
      <c r="AKP16" t="e">
        <v>#N/A</v>
      </c>
      <c r="AKQ16" t="e">
        <v>#N/A</v>
      </c>
      <c r="AKR16" t="e">
        <v>#N/A</v>
      </c>
      <c r="AKS16" t="e">
        <v>#N/A</v>
      </c>
      <c r="AKT16" t="e">
        <v>#N/A</v>
      </c>
      <c r="AKU16" t="e">
        <v>#N/A</v>
      </c>
      <c r="AKV16" t="e">
        <v>#N/A</v>
      </c>
      <c r="AKW16" t="e">
        <v>#N/A</v>
      </c>
      <c r="AKX16" t="e">
        <v>#N/A</v>
      </c>
      <c r="AKY16" t="e">
        <v>#N/A</v>
      </c>
      <c r="AKZ16" t="e">
        <v>#N/A</v>
      </c>
      <c r="ALA16" t="e">
        <v>#N/A</v>
      </c>
      <c r="ALB16" t="e">
        <v>#N/A</v>
      </c>
      <c r="ALC16" t="e">
        <v>#N/A</v>
      </c>
      <c r="ALD16" t="e">
        <v>#N/A</v>
      </c>
      <c r="ALE16" t="e">
        <v>#N/A</v>
      </c>
      <c r="ALF16" t="e">
        <v>#N/A</v>
      </c>
      <c r="ALG16" t="e">
        <v>#N/A</v>
      </c>
      <c r="ALH16" t="e">
        <v>#N/A</v>
      </c>
      <c r="ALI16" t="e">
        <v>#N/A</v>
      </c>
      <c r="ALJ16" t="e">
        <v>#N/A</v>
      </c>
      <c r="ALK16" t="e">
        <v>#N/A</v>
      </c>
      <c r="ALL16" t="e">
        <v>#N/A</v>
      </c>
      <c r="ALM16" t="e">
        <v>#N/A</v>
      </c>
      <c r="ALN16" t="e">
        <v>#N/A</v>
      </c>
      <c r="ALO16" t="e">
        <v>#N/A</v>
      </c>
      <c r="ALP16" t="e">
        <v>#N/A</v>
      </c>
      <c r="ALQ16" t="e">
        <v>#N/A</v>
      </c>
      <c r="ALR16" t="e">
        <v>#N/A</v>
      </c>
      <c r="ALS16" t="e">
        <v>#N/A</v>
      </c>
      <c r="ALT16" t="e">
        <v>#N/A</v>
      </c>
      <c r="ALU16" t="e">
        <v>#N/A</v>
      </c>
      <c r="ALV16" t="e">
        <v>#N/A</v>
      </c>
      <c r="ALW16" t="e">
        <v>#N/A</v>
      </c>
      <c r="ALX16" t="e">
        <v>#N/A</v>
      </c>
      <c r="ALY16" t="e">
        <v>#N/A</v>
      </c>
      <c r="ALZ16" t="e">
        <v>#N/A</v>
      </c>
      <c r="AMA16" t="e">
        <v>#N/A</v>
      </c>
      <c r="AMB16" t="e">
        <v>#N/A</v>
      </c>
      <c r="AMC16" t="e">
        <v>#N/A</v>
      </c>
      <c r="AMD16" t="e">
        <v>#N/A</v>
      </c>
      <c r="AME16" t="e">
        <v>#N/A</v>
      </c>
      <c r="AMF16" t="e">
        <v>#N/A</v>
      </c>
      <c r="AMG16" t="e">
        <v>#N/A</v>
      </c>
      <c r="AMH16" t="e">
        <v>#N/A</v>
      </c>
    </row>
    <row r="17" spans="1:1022" ht="15.75" customHeight="1">
      <c r="A17" s="8" t="str">
        <v>Loser</v>
      </c>
      <c r="B17" s="8" t="str">
        <v>David</v>
      </c>
      <c r="C17" s="8" t="str">
        <v>David</v>
      </c>
      <c r="D17" s="8" t="str">
        <v>Debby</v>
      </c>
      <c r="E17" s="8" t="str">
        <v>Nancy</v>
      </c>
      <c r="F17" s="8" t="str">
        <v>Nancy</v>
      </c>
      <c r="G17" s="8" t="str">
        <v>Nancy</v>
      </c>
      <c r="H17" s="8" t="str">
        <v>Nancy</v>
      </c>
      <c r="I17" s="8" t="str">
        <v>Charlene</v>
      </c>
      <c r="J17" s="8" t="str">
        <v>David</v>
      </c>
      <c r="K17" s="8" t="str">
        <v>Jeff M</v>
      </c>
      <c r="L17" s="8" t="str">
        <v>Nancy</v>
      </c>
      <c r="M17" s="8" t="str">
        <v>Debby</v>
      </c>
      <c r="N17" s="8" t="str">
        <v>Sally</v>
      </c>
      <c r="O17" s="8" t="str">
        <v>Nancy</v>
      </c>
      <c r="P17" s="8" t="str">
        <v>Sally</v>
      </c>
      <c r="Q17" s="8" t="str">
        <v>David</v>
      </c>
      <c r="R17" s="8" t="str">
        <v>Sandy</v>
      </c>
      <c r="S17" s="8" t="str">
        <v>Charlene</v>
      </c>
      <c r="T17" s="8" t="str">
        <v>Jeff M</v>
      </c>
      <c r="U17" s="8" t="str">
        <v>Debby</v>
      </c>
      <c r="V17" s="8" t="str">
        <v>Debby</v>
      </c>
      <c r="W17" s="8" t="str">
        <v>Jeff M</v>
      </c>
      <c r="X17" s="8" t="str">
        <v>Debby</v>
      </c>
      <c r="Y17" s="8" t="str">
        <v>Debby</v>
      </c>
      <c r="Z17" s="8" t="str">
        <v>David</v>
      </c>
      <c r="AA17" s="8" t="str">
        <v>Charlene</v>
      </c>
      <c r="AB17" s="8" t="str">
        <v>Jeff M</v>
      </c>
      <c r="AC17" s="8" t="str">
        <v>Debby</v>
      </c>
      <c r="AD17" s="8" t="str">
        <v>David</v>
      </c>
      <c r="AE17" s="8" t="str">
        <v>Nancy</v>
      </c>
      <c r="AF17" s="8" t="str">
        <v>Karen</v>
      </c>
      <c r="AG17" s="8" t="str">
        <v>Nancy</v>
      </c>
      <c r="AH17" s="8" t="str">
        <v>Charlene</v>
      </c>
      <c r="AI17" s="8" t="str">
        <v>David</v>
      </c>
      <c r="AJ17" s="8" t="str">
        <v>Sandy</v>
      </c>
      <c r="AK17" s="8" t="str">
        <v>Nancy</v>
      </c>
      <c r="AL17" s="8" t="str">
        <v>Debby</v>
      </c>
      <c r="AM17" s="8" t="str">
        <v>Sandy</v>
      </c>
      <c r="AN17" s="8" t="str">
        <v>Charlene</v>
      </c>
      <c r="AO17" s="8" t="str">
        <v>Jeff M</v>
      </c>
      <c r="AP17" s="8" t="str">
        <v>Nancy</v>
      </c>
      <c r="AQ17" s="8" t="str">
        <v>Sally</v>
      </c>
      <c r="AR17" s="8" t="str">
        <v>Sally</v>
      </c>
      <c r="AS17" s="8" t="str">
        <v>Sandy</v>
      </c>
      <c r="AT17" s="8" t="str">
        <v>David</v>
      </c>
      <c r="AU17" s="8" t="str">
        <v>Debby</v>
      </c>
      <c r="AV17" s="8" t="str">
        <v>David</v>
      </c>
      <c r="AW17" s="8" t="str">
        <v>Debby</v>
      </c>
      <c r="AX17" s="8" t="str">
        <v>Jeff M</v>
      </c>
      <c r="AY17" s="8" t="str">
        <v>Jeff M</v>
      </c>
      <c r="AZ17" s="8" t="str">
        <v>Jeff M</v>
      </c>
      <c r="BA17" s="8" t="str">
        <v>David</v>
      </c>
      <c r="BB17" s="8" t="str">
        <v>Debby</v>
      </c>
      <c r="BC17" s="8" t="str">
        <v>Charlene</v>
      </c>
      <c r="BD17" s="8" t="str">
        <v>David</v>
      </c>
      <c r="BE17" s="8" t="str">
        <v>Jeff M</v>
      </c>
      <c r="BF17" s="8" t="str">
        <v>David</v>
      </c>
      <c r="BG17" s="8" t="str">
        <v>Debby</v>
      </c>
      <c r="BH17" s="8" t="str">
        <v>David</v>
      </c>
      <c r="BI17" s="8" t="str">
        <v>Sally</v>
      </c>
      <c r="BJ17" s="8" t="str">
        <v>Nancy</v>
      </c>
      <c r="BK17" s="8" t="str">
        <v>David</v>
      </c>
      <c r="BL17" s="8" t="str">
        <v>Nancy</v>
      </c>
      <c r="BM17" s="8" t="str">
        <v>David</v>
      </c>
      <c r="BN17" s="8" t="str">
        <v>Sally</v>
      </c>
      <c r="BO17" s="8" t="str">
        <v>Jeff M</v>
      </c>
      <c r="BP17" s="8" t="str">
        <v>Sally</v>
      </c>
      <c r="BQ17" s="8" t="str">
        <v>Sandy</v>
      </c>
      <c r="BR17" s="8" t="str">
        <v>Charlene</v>
      </c>
      <c r="BS17" s="8" t="str">
        <v>Charlene</v>
      </c>
      <c r="BT17" s="8" t="str">
        <v>Jeff M</v>
      </c>
      <c r="BU17" s="8" t="str">
        <v>Sandy</v>
      </c>
      <c r="BV17" s="8" t="str">
        <v>Jeff M</v>
      </c>
      <c r="BW17" s="8" t="str">
        <v>Charlene</v>
      </c>
      <c r="BX17" s="8" t="str">
        <v>Charlene</v>
      </c>
      <c r="BY17" s="8" t="str">
        <v>Nancy</v>
      </c>
      <c r="BZ17" s="8" t="str">
        <v>Nancy</v>
      </c>
      <c r="CA17" s="8" t="str">
        <v>David</v>
      </c>
      <c r="CB17" s="8" t="str">
        <v>Charlene</v>
      </c>
      <c r="CC17" s="8" t="str">
        <v>Nancy</v>
      </c>
      <c r="CD17" s="8" t="str">
        <v>Debby</v>
      </c>
      <c r="CE17" s="8" t="str">
        <v>Nancy</v>
      </c>
      <c r="CF17" s="8" t="str">
        <v>David</v>
      </c>
      <c r="CG17" s="8" t="str">
        <v>Charlene</v>
      </c>
      <c r="CH17" s="8" t="str">
        <v>David</v>
      </c>
      <c r="CI17" s="8" t="str">
        <v>Sandy</v>
      </c>
      <c r="CJ17" s="8" t="str">
        <v>Nancy</v>
      </c>
      <c r="CK17" s="8" t="str">
        <v>Nancy</v>
      </c>
      <c r="CL17" s="8" t="str">
        <v>Charlene</v>
      </c>
      <c r="CM17" s="8" t="str">
        <v>Sally</v>
      </c>
      <c r="CN17" s="8" t="str">
        <v>Charlene</v>
      </c>
      <c r="CO17" s="8" t="str">
        <v>Sandy</v>
      </c>
      <c r="CP17" s="8" t="str">
        <v>Nancy</v>
      </c>
      <c r="CQ17" s="8" t="str">
        <v>Jeff M</v>
      </c>
      <c r="CR17" s="8" t="str">
        <v>Sandy</v>
      </c>
      <c r="CS17" s="8" t="str">
        <v>David</v>
      </c>
      <c r="CT17" s="8" t="str">
        <v>Charlene</v>
      </c>
      <c r="CU17" s="8" t="str">
        <v>Nancy</v>
      </c>
      <c r="CV17" s="8" t="str">
        <v>David</v>
      </c>
      <c r="CW17" s="8" t="str">
        <v>Jeff M</v>
      </c>
      <c r="CX17" s="8" t="str">
        <v>David</v>
      </c>
      <c r="CY17" s="8" t="str">
        <v>Jeff M</v>
      </c>
      <c r="CZ17" s="8" t="str">
        <v>Charlene</v>
      </c>
      <c r="DA17" s="8" t="str">
        <v>David</v>
      </c>
      <c r="DB17" s="8" t="str">
        <v>Nancy</v>
      </c>
      <c r="DC17" s="8" t="str">
        <v>Sandy</v>
      </c>
      <c r="DD17" s="8" t="str">
        <v>Nancy</v>
      </c>
      <c r="DE17" s="8" t="str">
        <v>Charlene</v>
      </c>
      <c r="DF17" s="8" t="str">
        <v>Sally</v>
      </c>
      <c r="DG17" s="8" t="str">
        <v>Sandy</v>
      </c>
      <c r="DH17" s="8" t="str">
        <v>David</v>
      </c>
      <c r="DI17" s="8" t="str">
        <v>Charlene</v>
      </c>
      <c r="DJ17" s="8" t="str">
        <v>Charlene</v>
      </c>
      <c r="DK17" s="8" t="str">
        <v>Charlene</v>
      </c>
      <c r="DL17" s="8" t="str">
        <v>Charlene</v>
      </c>
      <c r="DM17" s="8" t="str">
        <v>Jeff M</v>
      </c>
      <c r="DN17" s="8" t="str">
        <v>Nancy</v>
      </c>
      <c r="DO17" s="8" t="str">
        <v>Charlene</v>
      </c>
      <c r="DP17" s="8" t="str">
        <v>Jeff M</v>
      </c>
      <c r="DQ17" s="8" t="str">
        <v>David</v>
      </c>
      <c r="DR17" s="8" t="str">
        <v>David</v>
      </c>
      <c r="DS17" s="8" t="str">
        <v>Jeff M</v>
      </c>
      <c r="DT17" s="8" t="str">
        <v>Sandy</v>
      </c>
      <c r="DU17" s="8" t="str">
        <v>Sandy</v>
      </c>
      <c r="DV17" s="8" t="str">
        <v>David</v>
      </c>
      <c r="DW17" s="8" t="str">
        <v>David</v>
      </c>
      <c r="DX17" s="8" t="str">
        <v>Charlene</v>
      </c>
      <c r="DY17" s="8" t="str">
        <v>Debby</v>
      </c>
      <c r="DZ17" s="8" t="str">
        <v>Jeff M</v>
      </c>
      <c r="EA17" s="8" t="str">
        <v>Charlene</v>
      </c>
      <c r="EB17" s="8" t="str">
        <v>Nancy</v>
      </c>
      <c r="EC17" s="8" t="str">
        <v>Nancy</v>
      </c>
      <c r="ED17" s="8" t="str">
        <v>Sara</v>
      </c>
      <c r="EE17" s="8" t="str">
        <v>David</v>
      </c>
      <c r="EF17" s="8" t="str">
        <v>Nancy</v>
      </c>
      <c r="EG17" s="8" t="str">
        <v>Sally</v>
      </c>
      <c r="EH17" s="8" t="str">
        <v>Sandy</v>
      </c>
      <c r="EI17" s="8" t="str">
        <v>David</v>
      </c>
      <c r="EJ17" s="8" t="str">
        <v>Charlene</v>
      </c>
      <c r="EK17" s="8" t="str">
        <v>Charlene</v>
      </c>
      <c r="EL17" s="8" t="str">
        <v>Charlene</v>
      </c>
      <c r="EM17" s="8" t="str">
        <v>Nancy</v>
      </c>
      <c r="EN17" s="8" t="str">
        <v>Nancy</v>
      </c>
      <c r="EO17" s="8" t="str">
        <v>Nancy</v>
      </c>
      <c r="EP17" s="8" t="str">
        <v>Sally</v>
      </c>
      <c r="EQ17" s="8" t="str">
        <v>Charlene</v>
      </c>
      <c r="ER17" s="8" t="str">
        <v>Nancy</v>
      </c>
      <c r="ES17" s="8" t="str">
        <v>Nancy</v>
      </c>
      <c r="ET17" s="8" t="str">
        <v>Nancy</v>
      </c>
      <c r="EU17" s="8" t="str">
        <v>Nancy</v>
      </c>
      <c r="EV17" s="8" t="str">
        <v>Nancy</v>
      </c>
      <c r="EW17" s="8" t="str">
        <v>Debby</v>
      </c>
      <c r="EX17" s="8" t="str">
        <v>Debby</v>
      </c>
      <c r="EY17" s="8" t="str">
        <v>Sally</v>
      </c>
      <c r="EZ17" s="8" t="str">
        <v>Nancy</v>
      </c>
      <c r="FA17" s="8" t="str">
        <v>Sally</v>
      </c>
      <c r="FB17" s="8" t="str">
        <v>Charlene</v>
      </c>
      <c r="FC17" s="8" t="str">
        <v>Nancy</v>
      </c>
      <c r="FD17" s="8" t="str">
        <v>Jeff M</v>
      </c>
      <c r="FE17" s="8" t="str">
        <v>Jeff M</v>
      </c>
      <c r="FF17" s="8" t="str">
        <v>Sandy</v>
      </c>
      <c r="FG17" s="8" t="str">
        <v>Charlene</v>
      </c>
      <c r="FH17" s="8" t="str">
        <v>Sandy</v>
      </c>
      <c r="FI17" s="8" t="str">
        <v>Sandy</v>
      </c>
      <c r="FJ17" s="8" t="str">
        <v>David</v>
      </c>
      <c r="FK17" s="8" t="str">
        <v>Nancy</v>
      </c>
      <c r="FL17" s="8" t="str">
        <v>Debby</v>
      </c>
      <c r="FM17" s="8" t="str">
        <v>Sandy</v>
      </c>
      <c r="FN17" s="8" t="str">
        <v>Sally</v>
      </c>
      <c r="FO17" s="8" t="str">
        <v>David</v>
      </c>
      <c r="FP17" s="8" t="str">
        <v>Charlene</v>
      </c>
      <c r="FQ17" s="8" t="str">
        <v>Charlene</v>
      </c>
      <c r="FR17" s="8" t="str">
        <v>Debby</v>
      </c>
      <c r="FS17" s="8" t="str">
        <v>Debby</v>
      </c>
      <c r="FT17" s="8" t="str">
        <v>Debby</v>
      </c>
      <c r="FU17" s="8" t="str">
        <v>Sally</v>
      </c>
      <c r="FV17" s="8" t="str">
        <v>Charlene</v>
      </c>
      <c r="FW17" s="8" t="str">
        <v>Debby</v>
      </c>
      <c r="FX17" s="8" t="str">
        <v>Debby</v>
      </c>
      <c r="FY17" s="8" t="str">
        <v>Nancy</v>
      </c>
      <c r="FZ17" s="8" t="str">
        <v>Sandy</v>
      </c>
      <c r="GA17" s="8" t="str">
        <v>Debby</v>
      </c>
      <c r="GB17" s="8" t="str">
        <v>Debby</v>
      </c>
      <c r="GC17" s="8" t="str">
        <v>Sally</v>
      </c>
      <c r="GD17" s="8" t="str">
        <v>David</v>
      </c>
      <c r="GE17" s="8" t="str">
        <v>Nancy</v>
      </c>
      <c r="GF17" s="8" t="str">
        <v>David</v>
      </c>
      <c r="GG17" s="8" t="str">
        <v>Debby</v>
      </c>
      <c r="GH17" s="8" t="str">
        <v>David</v>
      </c>
      <c r="GI17" s="8" t="str">
        <v>Charlene</v>
      </c>
      <c r="GJ17" s="8" t="str">
        <v>Charlene</v>
      </c>
      <c r="GK17" s="8" t="str">
        <v>Debby</v>
      </c>
      <c r="GL17" s="8" t="str">
        <v>Nancy</v>
      </c>
      <c r="GM17" s="8" t="str">
        <v>Nancy</v>
      </c>
      <c r="GN17" s="8" t="str">
        <v>Charlene</v>
      </c>
      <c r="GO17" s="8" t="str">
        <v>Nancy</v>
      </c>
      <c r="GP17" s="8" t="str">
        <v>Sandy</v>
      </c>
      <c r="GQ17" s="8" t="str">
        <v>Sally</v>
      </c>
      <c r="GR17" s="8" t="str">
        <v>Nancy</v>
      </c>
      <c r="GS17" s="8" t="str">
        <v>Nancy</v>
      </c>
      <c r="GT17" s="8" t="str">
        <v>David</v>
      </c>
      <c r="GU17" s="8" t="str">
        <v>Nancy</v>
      </c>
      <c r="GV17" s="8" t="str">
        <v>David</v>
      </c>
      <c r="GW17" s="8" t="str">
        <v>Debby</v>
      </c>
      <c r="GX17" s="8" t="str">
        <v>Nancy</v>
      </c>
      <c r="GY17" s="8" t="str">
        <v>Debby</v>
      </c>
      <c r="GZ17" s="8" t="str">
        <v>Nancy</v>
      </c>
      <c r="HA17" s="8" t="str">
        <v>Debby</v>
      </c>
      <c r="HB17" s="8" t="str">
        <v>David</v>
      </c>
      <c r="HC17" s="8" t="str">
        <v>Sandy</v>
      </c>
      <c r="HD17" s="8" t="str">
        <v>Charlene</v>
      </c>
      <c r="HE17" s="8" t="str">
        <v>Sandy</v>
      </c>
      <c r="HF17" s="8" t="str">
        <v>Nancy</v>
      </c>
      <c r="HG17" s="8" t="str">
        <v>Sandy</v>
      </c>
      <c r="HH17" s="8" t="str">
        <v>Debby</v>
      </c>
      <c r="HI17" s="8" t="str">
        <v>Charlene</v>
      </c>
      <c r="HJ17" s="8" t="str">
        <v>Nancy</v>
      </c>
      <c r="HK17" s="8" t="str">
        <v>Sally</v>
      </c>
      <c r="HL17" s="8" t="str">
        <v>Nancy</v>
      </c>
      <c r="HM17" s="8" t="str">
        <v>Debby</v>
      </c>
      <c r="HN17" s="8" t="str">
        <v>Charlene</v>
      </c>
      <c r="HO17" s="8" t="str">
        <v>Debby</v>
      </c>
      <c r="HP17" s="8" t="str">
        <v>Nancy</v>
      </c>
      <c r="HQ17" s="8" t="str">
        <v>Jeff M</v>
      </c>
      <c r="HR17" s="8" t="str">
        <v>Debby</v>
      </c>
      <c r="HS17" s="8" t="str">
        <v>Nancy</v>
      </c>
      <c r="HT17" s="8" t="str">
        <v>Sandy</v>
      </c>
      <c r="HU17" s="8" t="str">
        <v>Charlene</v>
      </c>
      <c r="HV17" s="8" t="str">
        <v>Charlene</v>
      </c>
      <c r="HW17" s="8" t="str">
        <v>Sandy</v>
      </c>
      <c r="HX17" s="8" t="str">
        <v>Debby</v>
      </c>
      <c r="HY17" s="8" t="str">
        <v>David</v>
      </c>
      <c r="HZ17" s="8" t="str">
        <v>David</v>
      </c>
      <c r="IA17" s="8" t="str">
        <v>Sally</v>
      </c>
      <c r="IB17" s="8" t="str">
        <v>Sally</v>
      </c>
      <c r="IC17" s="8" t="str">
        <v>Debby</v>
      </c>
      <c r="ID17" s="8" t="str">
        <v>Nancy</v>
      </c>
      <c r="IE17" s="8" t="str">
        <v>Jeff M</v>
      </c>
      <c r="IF17" s="8" t="str">
        <v>Jeff P</v>
      </c>
      <c r="IG17" s="8" t="str">
        <v>Sally</v>
      </c>
      <c r="IH17" s="8" t="str">
        <v>Charlene</v>
      </c>
      <c r="II17" s="8" t="str">
        <v>Sally</v>
      </c>
      <c r="IJ17" s="8" t="str">
        <v>David</v>
      </c>
      <c r="IK17" s="8" t="str">
        <v>David</v>
      </c>
      <c r="IL17" s="8" t="str">
        <v>Debby</v>
      </c>
      <c r="IM17" s="8" t="str">
        <v>Sally</v>
      </c>
      <c r="IN17" s="8" t="str">
        <v>Debby</v>
      </c>
      <c r="IO17" s="8" t="str">
        <v>David</v>
      </c>
      <c r="IP17" s="8" t="str">
        <v>Sandy</v>
      </c>
      <c r="IQ17" s="8" t="str">
        <v>David</v>
      </c>
      <c r="IR17" s="8" t="str">
        <v>Sally</v>
      </c>
      <c r="IS17" s="8" t="str">
        <v>Charlene</v>
      </c>
      <c r="IT17" s="8" t="str">
        <v>Debby</v>
      </c>
      <c r="IU17" s="8" t="str">
        <v>Sally</v>
      </c>
      <c r="IV17" s="8" t="str">
        <v>Jeff M</v>
      </c>
      <c r="IW17" s="8" t="str">
        <v>Sally</v>
      </c>
      <c r="IX17" s="8" t="str">
        <v>Charlene</v>
      </c>
      <c r="IY17" s="8" t="str">
        <v>Nancy</v>
      </c>
      <c r="IZ17" s="8" t="str">
        <v>Nancy</v>
      </c>
      <c r="JA17" s="8" t="str">
        <v>David</v>
      </c>
      <c r="JB17" s="8" t="str">
        <v>David</v>
      </c>
      <c r="JC17" s="8" t="str">
        <v>David</v>
      </c>
      <c r="JD17" s="8" t="str">
        <v>Nancy</v>
      </c>
      <c r="JE17" s="8" t="str">
        <v>Sally</v>
      </c>
      <c r="JF17" s="8" t="str">
        <v>Sally</v>
      </c>
      <c r="JG17" s="8" t="str">
        <v>Sally</v>
      </c>
      <c r="JH17" s="8" t="str">
        <v>Sally</v>
      </c>
      <c r="JI17" s="8" t="str">
        <v>Charlene</v>
      </c>
      <c r="JJ17" s="8" t="str">
        <v>Charlene</v>
      </c>
      <c r="JK17" s="8" t="str">
        <v>Charlene</v>
      </c>
      <c r="JL17" s="8" t="str">
        <v>David</v>
      </c>
      <c r="JM17" s="8" t="str">
        <v>David</v>
      </c>
      <c r="JN17" s="8" t="str">
        <v>Debby</v>
      </c>
      <c r="JO17" s="8" t="str">
        <v>David</v>
      </c>
      <c r="JP17" s="8" t="str">
        <v>Sally</v>
      </c>
      <c r="JQ17" s="8" t="str">
        <v>Nancy</v>
      </c>
      <c r="JR17" s="8" t="str">
        <v>Sally</v>
      </c>
      <c r="JS17" s="8" t="str">
        <v>Sally</v>
      </c>
      <c r="JT17" s="8" t="str">
        <v>David</v>
      </c>
      <c r="JU17" s="8" t="str">
        <v>Sally</v>
      </c>
      <c r="JV17" s="8" t="str">
        <v>Sally</v>
      </c>
      <c r="JW17" s="8" t="str">
        <v>David</v>
      </c>
      <c r="JX17" s="8" t="str">
        <v>David</v>
      </c>
      <c r="JY17" s="8" t="str">
        <v>Sally</v>
      </c>
      <c r="JZ17" s="8" t="str">
        <v>David</v>
      </c>
      <c r="KA17" s="8" t="str">
        <v>Sally</v>
      </c>
      <c r="KB17" s="8" t="str">
        <v>Sally</v>
      </c>
      <c r="KC17" s="8" t="str">
        <v>Charlene</v>
      </c>
      <c r="KD17" s="8" t="str">
        <v>Nancy</v>
      </c>
      <c r="KE17" s="8" t="str">
        <v>David</v>
      </c>
      <c r="KF17" s="8" t="str">
        <v>David</v>
      </c>
      <c r="KG17" s="8" t="str">
        <v>Nancy</v>
      </c>
      <c r="KH17" s="8" t="str">
        <v>Debby</v>
      </c>
      <c r="KI17" s="8" t="str">
        <v>Debby</v>
      </c>
      <c r="KJ17" s="8" t="str">
        <v>Debby</v>
      </c>
      <c r="KK17" s="8" t="str">
        <v>Charlene</v>
      </c>
      <c r="KL17" s="8" t="str">
        <v>David</v>
      </c>
      <c r="KM17" s="8" t="str">
        <v>Sandy</v>
      </c>
      <c r="KN17" s="8" t="str">
        <v>David</v>
      </c>
      <c r="KO17" s="8" t="str">
        <v>Sandy</v>
      </c>
      <c r="KP17" s="8" t="str">
        <v>Nancy</v>
      </c>
      <c r="KQ17" s="8" t="str">
        <v>Debby</v>
      </c>
      <c r="KR17" s="8" t="str">
        <v>Sally</v>
      </c>
      <c r="KS17" s="8" t="str">
        <v>Charlene</v>
      </c>
      <c r="KT17" s="8" t="str">
        <v>Nancy</v>
      </c>
      <c r="KU17" s="8" t="str">
        <v>Nancy</v>
      </c>
      <c r="KV17" s="8" t="str">
        <v>Sally</v>
      </c>
      <c r="KW17" s="8" t="str">
        <v>Sally</v>
      </c>
      <c r="KX17" s="8" t="str">
        <v>Sally</v>
      </c>
      <c r="KY17" s="8" t="str">
        <v>Nancy</v>
      </c>
      <c r="KZ17" s="8" t="str">
        <v>Sally</v>
      </c>
      <c r="LA17" s="8" t="str">
        <v>David</v>
      </c>
      <c r="LB17" s="8" t="str">
        <v>David</v>
      </c>
      <c r="LC17" s="8" t="str">
        <v>Nancy</v>
      </c>
      <c r="LD17" s="8" t="str">
        <v>Nancy</v>
      </c>
      <c r="LE17" s="8" t="str">
        <v>Nancy</v>
      </c>
      <c r="LF17" s="8" t="str">
        <v>Charlene</v>
      </c>
      <c r="LG17" s="8" t="str">
        <v>David</v>
      </c>
      <c r="LH17" s="8" t="str">
        <v>Nancy</v>
      </c>
      <c r="LI17" s="8" t="str">
        <v>Nancy</v>
      </c>
      <c r="LJ17" s="8" t="str">
        <v>David</v>
      </c>
      <c r="LK17" s="8" t="str">
        <v>Nancy</v>
      </c>
      <c r="LL17" s="8" t="str">
        <v>Charlene</v>
      </c>
      <c r="LM17" s="8" t="str">
        <v>Jeff M</v>
      </c>
      <c r="LN17" s="8" t="str">
        <v>David</v>
      </c>
      <c r="LO17" s="8" t="str">
        <v>Sally</v>
      </c>
      <c r="LP17" s="8" t="str">
        <v>David</v>
      </c>
      <c r="LQ17" s="8" t="str">
        <v>David</v>
      </c>
      <c r="LR17" s="8" t="str">
        <v>David</v>
      </c>
      <c r="LS17" s="8" t="str">
        <v>Nancy</v>
      </c>
      <c r="LT17" s="8" t="str">
        <v>Charlene</v>
      </c>
      <c r="LU17" s="8" t="str">
        <v>Nancy</v>
      </c>
      <c r="LV17" s="8" t="str">
        <v>Karen</v>
      </c>
      <c r="LW17" s="8" t="str">
        <v>Charlene</v>
      </c>
      <c r="LX17" s="8" t="str">
        <v>Nancy</v>
      </c>
      <c r="LY17" s="8" t="str">
        <v>David</v>
      </c>
      <c r="LZ17" s="8" t="str">
        <v>Sandy</v>
      </c>
      <c r="MA17" s="8" t="str">
        <v>David</v>
      </c>
      <c r="MB17" s="8" t="str">
        <v>Nancy</v>
      </c>
      <c r="MC17" s="8" t="str">
        <v>Charlene</v>
      </c>
      <c r="MD17" s="8" t="str">
        <v>Nancy</v>
      </c>
      <c r="ME17" s="8" t="str">
        <v>Debby</v>
      </c>
      <c r="MF17" s="8" t="str">
        <v>Charlene</v>
      </c>
      <c r="MG17" s="8" t="str">
        <v>Nancy</v>
      </c>
      <c r="MH17" s="8" t="str">
        <v>Charlene</v>
      </c>
      <c r="MI17" s="8" t="str">
        <v>Sandy</v>
      </c>
      <c r="MJ17" s="8" t="str">
        <v>Sally</v>
      </c>
      <c r="MK17" s="8" t="str">
        <v>David</v>
      </c>
      <c r="ML17" s="8" t="str">
        <v>Debby</v>
      </c>
      <c r="MM17" s="8" t="str">
        <v>Nancy</v>
      </c>
      <c r="MN17" s="8" t="str">
        <v>Sally</v>
      </c>
      <c r="MO17" s="8" t="str">
        <v>Nancy</v>
      </c>
      <c r="MP17" s="8" t="str">
        <v>Nancy</v>
      </c>
      <c r="MQ17" s="8" t="str">
        <v>Sally</v>
      </c>
      <c r="MR17" s="8" t="str">
        <v>Sandy</v>
      </c>
      <c r="MS17" s="8" t="str">
        <v>Charlene</v>
      </c>
      <c r="MT17" s="8" t="str">
        <v>Nancy</v>
      </c>
      <c r="MU17" s="8" t="str">
        <v>Nancy</v>
      </c>
      <c r="MV17" s="8" t="str">
        <v>Nancy</v>
      </c>
      <c r="MW17" s="8" t="str">
        <v>Sally</v>
      </c>
      <c r="MX17" s="8" t="str">
        <v>David</v>
      </c>
      <c r="MY17" s="8" t="str">
        <v>Nancy</v>
      </c>
      <c r="MZ17" s="8" t="str">
        <v>David</v>
      </c>
      <c r="NA17" s="8" t="str">
        <v>David</v>
      </c>
      <c r="NB17" s="8" t="str">
        <v>Sally</v>
      </c>
      <c r="NC17" s="8" t="str">
        <v>David</v>
      </c>
      <c r="ND17" s="8" t="str">
        <v>David</v>
      </c>
      <c r="NE17" s="8" t="str">
        <v>Debby</v>
      </c>
      <c r="NF17" s="8" t="str">
        <v>Sandy</v>
      </c>
      <c r="NG17" s="8" t="str">
        <v>Nancy</v>
      </c>
      <c r="NH17" s="8" t="str">
        <v>Sandy</v>
      </c>
      <c r="NI17" s="8" t="str">
        <v>Debby</v>
      </c>
      <c r="NJ17" s="8" t="str">
        <v>David</v>
      </c>
      <c r="NK17" s="8" t="str">
        <v>Jeff M</v>
      </c>
      <c r="NL17" s="8" t="str">
        <v>David</v>
      </c>
      <c r="NM17" s="8" t="str">
        <v>Debby</v>
      </c>
      <c r="NN17" s="8" t="str">
        <v>Sally</v>
      </c>
      <c r="NO17" s="8" t="str">
        <v>David</v>
      </c>
      <c r="NP17" s="8" t="str">
        <v>Nancy</v>
      </c>
      <c r="NQ17" s="8" t="str">
        <v>Sally</v>
      </c>
      <c r="NR17" s="8" t="str">
        <v>Sally</v>
      </c>
      <c r="NS17" s="8" t="str">
        <v>Charlene</v>
      </c>
      <c r="NT17" s="8" t="str">
        <v>Charlene</v>
      </c>
      <c r="NU17" s="8" t="str">
        <v>David</v>
      </c>
      <c r="NV17" s="8" t="str">
        <v>Sally</v>
      </c>
      <c r="NW17" s="8" t="str">
        <v>Nancy</v>
      </c>
      <c r="NX17" s="8" t="str">
        <v>David</v>
      </c>
      <c r="NY17" s="8" t="str">
        <v>Sally</v>
      </c>
      <c r="NZ17" s="8" t="str">
        <v>David</v>
      </c>
      <c r="OA17" s="8" t="str">
        <v>Sally</v>
      </c>
      <c r="OB17" s="8" t="str">
        <v>Nancy</v>
      </c>
      <c r="OC17" s="8" t="str">
        <v>Sally</v>
      </c>
      <c r="OD17" s="8" t="str">
        <v>Karen</v>
      </c>
      <c r="OE17" s="8" t="str">
        <v>Karen</v>
      </c>
      <c r="OF17" s="8" t="str">
        <v>Charlene</v>
      </c>
      <c r="OG17" s="8" t="str">
        <v>Debby</v>
      </c>
      <c r="OH17" s="8" t="str">
        <v>Charlene</v>
      </c>
      <c r="OI17" s="8" t="str">
        <v>Charlene</v>
      </c>
      <c r="OJ17" s="8" t="str">
        <v>Nancy</v>
      </c>
      <c r="OK17" s="8" t="str">
        <v>Nancy</v>
      </c>
      <c r="OL17" s="8" t="str">
        <v>Nancy</v>
      </c>
      <c r="OM17" s="8" t="str">
        <v>David</v>
      </c>
      <c r="ON17" s="8" t="str">
        <v>Debby</v>
      </c>
      <c r="OO17" s="8" t="str">
        <v>Nancy</v>
      </c>
      <c r="OP17" s="8" t="str">
        <v>David</v>
      </c>
      <c r="OQ17" s="8" t="str">
        <v>Sally</v>
      </c>
      <c r="OR17" s="8" t="str">
        <v>Nancy</v>
      </c>
      <c r="OS17" s="8" t="str">
        <v>Nancy</v>
      </c>
      <c r="OT17" s="8" t="str">
        <v>Charlene</v>
      </c>
      <c r="OU17" s="8" t="str">
        <v>Debby</v>
      </c>
      <c r="OV17" s="8" t="str">
        <v>Karen</v>
      </c>
      <c r="OW17" s="8" t="str">
        <v>Nancy</v>
      </c>
      <c r="OX17" s="8" t="str">
        <v>Sally</v>
      </c>
      <c r="OY17" s="8" t="str">
        <v>Charlene</v>
      </c>
      <c r="OZ17" s="8" t="str">
        <v>Charlene</v>
      </c>
      <c r="PA17" s="8" t="str">
        <v>Debby</v>
      </c>
      <c r="PB17" s="8" t="str">
        <v>Nancy</v>
      </c>
      <c r="PC17" s="8" t="str">
        <v>Sandy</v>
      </c>
      <c r="PD17" s="8" t="str">
        <v>David</v>
      </c>
      <c r="PE17" s="8" t="str">
        <v>Nancy</v>
      </c>
      <c r="PF17" s="8" t="str">
        <v>Sandy</v>
      </c>
      <c r="PG17" s="8" t="str">
        <v>Nancy</v>
      </c>
      <c r="PH17" s="8" t="str">
        <v>Sally</v>
      </c>
      <c r="PI17" s="8" t="str">
        <v>David</v>
      </c>
      <c r="PJ17" s="8" t="str">
        <v>Sally</v>
      </c>
      <c r="PK17" s="8" t="str">
        <v>Nancy</v>
      </c>
      <c r="PL17" s="8" t="str">
        <v>Charlene</v>
      </c>
      <c r="PM17" s="8" t="str">
        <v>Charlene</v>
      </c>
      <c r="PN17" s="8" t="str">
        <v>Nancy</v>
      </c>
      <c r="PO17" s="8" t="str">
        <v>Sally</v>
      </c>
      <c r="PP17" s="8" t="str">
        <v>Sally</v>
      </c>
      <c r="PQ17" s="8" t="str">
        <v>Nancy</v>
      </c>
      <c r="PR17" s="8" t="str">
        <v>Karen</v>
      </c>
      <c r="PS17" s="8" t="str">
        <v>Karen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0</v>
      </c>
      <c r="TA17" s="8">
        <v>0</v>
      </c>
      <c r="TB17" s="8">
        <v>0</v>
      </c>
      <c r="TC17" s="8">
        <v>0</v>
      </c>
      <c r="TD17" s="8">
        <v>0</v>
      </c>
      <c r="TE17" s="8">
        <v>0</v>
      </c>
      <c r="TF17" s="8">
        <v>0</v>
      </c>
      <c r="TG17" s="8">
        <v>0</v>
      </c>
      <c r="TH17" s="8">
        <v>0</v>
      </c>
      <c r="TI17" s="8">
        <v>0</v>
      </c>
      <c r="TJ17" s="8">
        <v>0</v>
      </c>
      <c r="TK17" s="8">
        <v>0</v>
      </c>
      <c r="TL17" s="8">
        <v>0</v>
      </c>
      <c r="TM17" s="8">
        <v>0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0</v>
      </c>
      <c r="TT17" s="8">
        <v>0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0</v>
      </c>
      <c r="UC17" s="8">
        <v>0</v>
      </c>
      <c r="UD17" s="8">
        <v>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0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0</v>
      </c>
      <c r="UQ17" s="8">
        <v>0</v>
      </c>
      <c r="UR17" s="8">
        <v>0</v>
      </c>
      <c r="US17" s="8">
        <v>0</v>
      </c>
      <c r="UT17" s="8">
        <v>0</v>
      </c>
      <c r="UU17" s="8">
        <v>0</v>
      </c>
      <c r="UV17" s="8">
        <v>0</v>
      </c>
      <c r="UW17" s="8">
        <v>0</v>
      </c>
      <c r="UX17" s="8">
        <v>0</v>
      </c>
      <c r="UY17" s="8">
        <v>0</v>
      </c>
      <c r="UZ17" s="8">
        <v>0</v>
      </c>
      <c r="VA17" s="8">
        <v>0</v>
      </c>
      <c r="VB17" s="8">
        <v>0</v>
      </c>
      <c r="VC17" s="8">
        <v>0</v>
      </c>
      <c r="VD17" s="8">
        <v>0</v>
      </c>
      <c r="VE17" s="8">
        <v>0</v>
      </c>
      <c r="VF17" s="8">
        <v>0</v>
      </c>
      <c r="VG17" s="8">
        <v>0</v>
      </c>
      <c r="VH17" s="8">
        <v>0</v>
      </c>
      <c r="VI17" s="8">
        <v>0</v>
      </c>
      <c r="VJ17" s="8">
        <v>0</v>
      </c>
      <c r="VK17" s="8">
        <v>0</v>
      </c>
      <c r="VL17" s="8">
        <v>0</v>
      </c>
      <c r="VM17" s="8">
        <v>0</v>
      </c>
      <c r="VN17" s="8">
        <v>0</v>
      </c>
      <c r="VO17" s="8">
        <v>0</v>
      </c>
      <c r="VP17" s="8">
        <v>0</v>
      </c>
      <c r="VQ17" s="8">
        <v>0</v>
      </c>
      <c r="VR17" s="8">
        <v>0</v>
      </c>
      <c r="VS17" s="8">
        <v>0</v>
      </c>
      <c r="VT17" s="8">
        <v>0</v>
      </c>
      <c r="VU17" s="8">
        <v>0</v>
      </c>
      <c r="VV17" s="8">
        <v>0</v>
      </c>
      <c r="VW17" s="8">
        <v>0</v>
      </c>
      <c r="VX17" s="8">
        <v>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0</v>
      </c>
      <c r="WE17" s="8">
        <v>0</v>
      </c>
      <c r="WF17" s="8">
        <v>0</v>
      </c>
      <c r="WG17" s="8">
        <v>0</v>
      </c>
      <c r="WH17" s="8">
        <v>0</v>
      </c>
      <c r="WI17" s="8">
        <v>0</v>
      </c>
      <c r="WJ17" s="8">
        <v>0</v>
      </c>
      <c r="WK17" s="8">
        <v>0</v>
      </c>
      <c r="WL17" s="8">
        <v>0</v>
      </c>
      <c r="WM17" s="8">
        <v>0</v>
      </c>
      <c r="WN17" s="8">
        <v>0</v>
      </c>
      <c r="WO17" s="8">
        <v>0</v>
      </c>
      <c r="WP17" s="8">
        <v>0</v>
      </c>
      <c r="WQ17" s="8">
        <v>0</v>
      </c>
      <c r="WR17" s="8">
        <v>0</v>
      </c>
      <c r="WS17" s="8">
        <v>0</v>
      </c>
      <c r="WT17" s="8">
        <v>0</v>
      </c>
      <c r="WU17" s="8">
        <v>0</v>
      </c>
      <c r="WV17" s="8">
        <v>0</v>
      </c>
      <c r="WW17" s="8">
        <v>0</v>
      </c>
      <c r="WX17" s="8">
        <v>0</v>
      </c>
      <c r="WY17" s="8">
        <v>0</v>
      </c>
      <c r="WZ17" s="8">
        <v>0</v>
      </c>
      <c r="XA17" s="8">
        <v>0</v>
      </c>
      <c r="XB17" s="8">
        <v>0</v>
      </c>
      <c r="XC17" s="8">
        <v>0</v>
      </c>
      <c r="XD17" s="8">
        <v>0</v>
      </c>
      <c r="XE17" s="8">
        <v>0</v>
      </c>
      <c r="XF17" s="8">
        <v>0</v>
      </c>
      <c r="XG17" s="8">
        <v>0</v>
      </c>
      <c r="XH17" s="8">
        <v>0</v>
      </c>
      <c r="XI17" s="8">
        <v>0</v>
      </c>
      <c r="XJ17" s="8">
        <v>0</v>
      </c>
      <c r="XK17" s="8">
        <v>0</v>
      </c>
      <c r="XL17" s="8">
        <v>0</v>
      </c>
      <c r="XM17" s="8">
        <v>0</v>
      </c>
      <c r="XN17" s="8">
        <v>0</v>
      </c>
      <c r="XO17" s="8">
        <v>0</v>
      </c>
      <c r="XP17" s="8">
        <v>0</v>
      </c>
      <c r="XQ17" s="8">
        <v>0</v>
      </c>
      <c r="XR17" s="8">
        <v>0</v>
      </c>
      <c r="XS17" s="8">
        <v>0</v>
      </c>
      <c r="XT17" s="8">
        <v>0</v>
      </c>
      <c r="XU17" s="8">
        <v>0</v>
      </c>
      <c r="XV17" s="8">
        <v>0</v>
      </c>
      <c r="XW17" s="8">
        <v>0</v>
      </c>
      <c r="XX17" s="8">
        <v>0</v>
      </c>
      <c r="XY17" s="8">
        <v>0</v>
      </c>
      <c r="XZ17" s="8">
        <v>0</v>
      </c>
      <c r="YA17" s="8">
        <v>0</v>
      </c>
      <c r="YB17" s="8">
        <v>0</v>
      </c>
      <c r="YC17" s="8">
        <v>0</v>
      </c>
      <c r="YD17" s="8">
        <v>0</v>
      </c>
      <c r="YE17" s="8">
        <v>0</v>
      </c>
      <c r="YF17" s="8">
        <v>0</v>
      </c>
      <c r="YG17" s="8">
        <v>0</v>
      </c>
      <c r="YH17" s="8">
        <v>0</v>
      </c>
      <c r="YI17" s="8">
        <v>0</v>
      </c>
      <c r="YJ17" s="8">
        <v>0</v>
      </c>
      <c r="YK17" s="8">
        <v>0</v>
      </c>
      <c r="YL17" s="8">
        <v>0</v>
      </c>
      <c r="YM17" s="8">
        <v>0</v>
      </c>
      <c r="YN17" s="8">
        <v>0</v>
      </c>
      <c r="YO17" s="8">
        <v>0</v>
      </c>
      <c r="YP17" s="8">
        <v>0</v>
      </c>
      <c r="YQ17" s="8">
        <v>0</v>
      </c>
      <c r="YR17" s="8">
        <v>0</v>
      </c>
      <c r="YS17" s="8">
        <v>0</v>
      </c>
      <c r="YT17" s="8">
        <v>0</v>
      </c>
      <c r="YU17" s="8">
        <v>0</v>
      </c>
      <c r="YV17" s="8">
        <v>0</v>
      </c>
      <c r="YW17" s="8">
        <v>0</v>
      </c>
      <c r="YX17" s="8">
        <v>0</v>
      </c>
      <c r="YY17" s="8">
        <v>0</v>
      </c>
      <c r="YZ17" s="8">
        <v>0</v>
      </c>
      <c r="ZA17" s="8">
        <v>0</v>
      </c>
      <c r="ZB17" s="8">
        <v>0</v>
      </c>
      <c r="ZC17" s="8">
        <v>0</v>
      </c>
      <c r="ZD17" s="8">
        <v>0</v>
      </c>
      <c r="ZE17" s="8">
        <v>0</v>
      </c>
      <c r="ZF17" s="8">
        <v>0</v>
      </c>
      <c r="ZG17" s="8">
        <v>0</v>
      </c>
      <c r="ZH17" s="8">
        <v>0</v>
      </c>
      <c r="ZI17" s="8">
        <v>0</v>
      </c>
      <c r="ZJ17" s="8">
        <v>0</v>
      </c>
      <c r="ZK17" s="8">
        <v>0</v>
      </c>
      <c r="ZL17" s="8">
        <v>0</v>
      </c>
      <c r="ZM17" s="8">
        <v>0</v>
      </c>
      <c r="ZN17" s="8">
        <v>0</v>
      </c>
      <c r="ZO17" s="8">
        <v>0</v>
      </c>
      <c r="ZP17" s="8">
        <v>0</v>
      </c>
      <c r="ZQ17" s="8">
        <v>0</v>
      </c>
      <c r="ZR17" s="8">
        <v>0</v>
      </c>
      <c r="ZS17" s="8">
        <v>0</v>
      </c>
      <c r="ZT17" s="8">
        <v>0</v>
      </c>
      <c r="ZU17" s="8">
        <v>0</v>
      </c>
      <c r="ZV17" s="8">
        <v>0</v>
      </c>
      <c r="ZW17" s="8">
        <v>0</v>
      </c>
      <c r="ZX17" s="8">
        <v>0</v>
      </c>
      <c r="ZY17" s="8">
        <v>0</v>
      </c>
      <c r="ZZ17" s="8">
        <v>0</v>
      </c>
      <c r="AAA17" s="8">
        <v>0</v>
      </c>
      <c r="AAB17" s="8">
        <v>0</v>
      </c>
      <c r="AAC17" s="8">
        <v>0</v>
      </c>
      <c r="AAD17" s="8">
        <v>0</v>
      </c>
      <c r="AAE17" s="8">
        <v>0</v>
      </c>
      <c r="AAF17" s="8">
        <v>0</v>
      </c>
      <c r="AAG17" s="8">
        <v>0</v>
      </c>
      <c r="AAH17" s="8">
        <v>0</v>
      </c>
      <c r="AAI17" s="8">
        <v>0</v>
      </c>
      <c r="AAJ17" s="8">
        <v>0</v>
      </c>
      <c r="AAK17" s="8">
        <v>0</v>
      </c>
      <c r="AAL17" s="8">
        <v>0</v>
      </c>
      <c r="AAM17" s="8">
        <v>0</v>
      </c>
      <c r="AAN17" s="8">
        <v>0</v>
      </c>
      <c r="AAO17" s="8">
        <v>0</v>
      </c>
      <c r="AAP17" s="8">
        <v>0</v>
      </c>
      <c r="AAQ17" s="8">
        <v>0</v>
      </c>
      <c r="AAR17" s="8">
        <v>0</v>
      </c>
      <c r="AAS17" s="8">
        <v>0</v>
      </c>
      <c r="AAT17" s="8">
        <v>0</v>
      </c>
      <c r="AAU17" s="8">
        <v>0</v>
      </c>
      <c r="AAV17" s="8">
        <v>0</v>
      </c>
      <c r="AAW17" s="8">
        <v>0</v>
      </c>
      <c r="AAX17" s="8">
        <v>0</v>
      </c>
      <c r="AAY17" s="8">
        <v>0</v>
      </c>
      <c r="AAZ17" s="8">
        <v>0</v>
      </c>
      <c r="ABA17" s="8">
        <v>0</v>
      </c>
      <c r="ABB17" s="8">
        <v>0</v>
      </c>
      <c r="ABC17" s="8">
        <v>0</v>
      </c>
      <c r="ABD17" s="8">
        <v>0</v>
      </c>
      <c r="ABE17" s="8">
        <v>0</v>
      </c>
      <c r="ABF17" s="8">
        <v>0</v>
      </c>
      <c r="ABG17" s="8">
        <v>0</v>
      </c>
      <c r="ABH17" s="8">
        <v>0</v>
      </c>
      <c r="ABI17" s="8">
        <v>0</v>
      </c>
      <c r="ABJ17" s="8">
        <v>0</v>
      </c>
      <c r="ABK17" s="8">
        <v>0</v>
      </c>
      <c r="ABL17" s="8">
        <v>0</v>
      </c>
      <c r="ABM17" s="8">
        <v>0</v>
      </c>
      <c r="ABN17" s="8">
        <v>0</v>
      </c>
      <c r="ABO17" s="8">
        <v>0</v>
      </c>
      <c r="ABP17" s="8">
        <v>0</v>
      </c>
      <c r="ABQ17" s="8">
        <v>0</v>
      </c>
      <c r="ABR17" s="8">
        <v>0</v>
      </c>
      <c r="ABS17" s="8">
        <v>0</v>
      </c>
      <c r="ABT17" s="8">
        <v>0</v>
      </c>
      <c r="ABU17" s="8">
        <v>0</v>
      </c>
      <c r="ABV17" s="8">
        <v>0</v>
      </c>
      <c r="ABW17" s="8">
        <v>0</v>
      </c>
      <c r="ABX17" s="8">
        <v>0</v>
      </c>
      <c r="ABY17" s="8">
        <v>0</v>
      </c>
      <c r="ABZ17" s="8">
        <v>0</v>
      </c>
      <c r="ACA17" s="8">
        <v>0</v>
      </c>
      <c r="ACB17" s="8">
        <v>0</v>
      </c>
      <c r="ACC17" s="8">
        <v>0</v>
      </c>
      <c r="ACD17" s="8">
        <v>0</v>
      </c>
      <c r="ACE17" s="8">
        <v>0</v>
      </c>
      <c r="ACF17" s="8">
        <v>0</v>
      </c>
      <c r="ACG17" s="8">
        <v>0</v>
      </c>
      <c r="ACH17" s="8">
        <v>0</v>
      </c>
      <c r="ACI17" s="8">
        <v>0</v>
      </c>
      <c r="ACJ17" s="8">
        <v>0</v>
      </c>
      <c r="ACK17" s="8">
        <v>0</v>
      </c>
      <c r="ACL17" s="8">
        <v>0</v>
      </c>
      <c r="ACM17" s="8">
        <v>0</v>
      </c>
      <c r="ACN17" s="8">
        <v>0</v>
      </c>
      <c r="ACO17" s="8">
        <v>0</v>
      </c>
      <c r="ACP17" s="8">
        <v>0</v>
      </c>
      <c r="ACQ17" s="8">
        <v>0</v>
      </c>
      <c r="ACR17" s="8">
        <v>0</v>
      </c>
      <c r="ACS17" s="8">
        <v>0</v>
      </c>
      <c r="ACT17" s="8">
        <v>0</v>
      </c>
      <c r="ACU17" s="8">
        <v>0</v>
      </c>
      <c r="ACV17" s="8">
        <v>0</v>
      </c>
      <c r="ACW17" s="8">
        <v>0</v>
      </c>
      <c r="ACX17" s="8">
        <v>0</v>
      </c>
      <c r="ACY17" s="8">
        <v>0</v>
      </c>
      <c r="ACZ17" s="8">
        <v>0</v>
      </c>
      <c r="ADA17" s="8">
        <v>0</v>
      </c>
      <c r="ADB17" s="8">
        <v>0</v>
      </c>
      <c r="ADC17" s="8">
        <v>0</v>
      </c>
      <c r="ADD17" s="8">
        <v>0</v>
      </c>
      <c r="ADE17" s="8">
        <v>0</v>
      </c>
      <c r="ADF17" s="8">
        <v>0</v>
      </c>
      <c r="ADG17" s="8">
        <v>0</v>
      </c>
      <c r="ADH17" s="8">
        <v>0</v>
      </c>
      <c r="ADI17" s="8">
        <v>0</v>
      </c>
      <c r="ADJ17" s="8">
        <v>0</v>
      </c>
      <c r="ADK17" s="8">
        <v>0</v>
      </c>
      <c r="ADL17" s="8">
        <v>0</v>
      </c>
      <c r="ADM17" s="8">
        <v>0</v>
      </c>
      <c r="ADN17" s="8">
        <v>0</v>
      </c>
      <c r="ADO17" s="8">
        <v>0</v>
      </c>
      <c r="ADP17" s="8">
        <v>0</v>
      </c>
      <c r="ADQ17" s="8">
        <v>0</v>
      </c>
      <c r="ADR17" s="8">
        <v>0</v>
      </c>
      <c r="ADS17" s="8">
        <v>0</v>
      </c>
      <c r="ADT17" s="8">
        <v>0</v>
      </c>
      <c r="ADU17" s="8">
        <v>0</v>
      </c>
      <c r="ADV17" s="8">
        <v>0</v>
      </c>
      <c r="ADW17" s="8">
        <v>0</v>
      </c>
      <c r="ADX17" s="8">
        <v>0</v>
      </c>
      <c r="ADY17" s="8">
        <v>0</v>
      </c>
      <c r="ADZ17" s="8">
        <v>0</v>
      </c>
      <c r="AEA17" s="8">
        <v>0</v>
      </c>
      <c r="AEB17" s="8">
        <v>0</v>
      </c>
      <c r="AEC17" s="8">
        <v>0</v>
      </c>
      <c r="AED17" s="8">
        <v>0</v>
      </c>
      <c r="AEE17" s="8">
        <v>0</v>
      </c>
      <c r="AEF17" s="8">
        <v>0</v>
      </c>
      <c r="AEG17" s="8">
        <v>0</v>
      </c>
      <c r="AEH17" s="8">
        <v>0</v>
      </c>
      <c r="AEI17" s="8">
        <v>0</v>
      </c>
      <c r="AEJ17" s="8">
        <v>0</v>
      </c>
      <c r="AEK17" s="8">
        <v>0</v>
      </c>
      <c r="AEL17" s="8">
        <v>0</v>
      </c>
      <c r="AEM17" s="8">
        <v>0</v>
      </c>
      <c r="AEN17" s="8">
        <v>0</v>
      </c>
      <c r="AEO17" s="8">
        <v>0</v>
      </c>
      <c r="AEP17" s="8">
        <v>0</v>
      </c>
      <c r="AEQ17" s="8">
        <v>0</v>
      </c>
      <c r="AER17" s="8">
        <v>0</v>
      </c>
      <c r="AES17" s="8">
        <v>0</v>
      </c>
      <c r="AET17" s="8">
        <v>0</v>
      </c>
      <c r="AEU17" s="8">
        <v>0</v>
      </c>
      <c r="AEV17" s="8">
        <v>0</v>
      </c>
      <c r="AEW17" s="8">
        <v>0</v>
      </c>
      <c r="AEX17" s="8">
        <v>0</v>
      </c>
      <c r="AEY17" s="8">
        <v>0</v>
      </c>
      <c r="AEZ17" s="8">
        <v>0</v>
      </c>
      <c r="AFA17" s="8">
        <v>0</v>
      </c>
      <c r="AFB17" s="8">
        <v>0</v>
      </c>
      <c r="AFC17" s="8">
        <v>0</v>
      </c>
      <c r="AFD17" s="8">
        <v>0</v>
      </c>
      <c r="AFE17" s="8">
        <v>0</v>
      </c>
      <c r="AFF17" s="8">
        <v>0</v>
      </c>
      <c r="AFG17" s="8">
        <v>0</v>
      </c>
      <c r="AFH17" s="8">
        <v>0</v>
      </c>
      <c r="AFI17" s="8">
        <v>0</v>
      </c>
      <c r="AFJ17" s="8">
        <v>0</v>
      </c>
      <c r="AFK17" s="8">
        <v>0</v>
      </c>
      <c r="AFL17" s="8">
        <v>0</v>
      </c>
      <c r="AFM17" s="8">
        <v>0</v>
      </c>
      <c r="AFN17" s="8">
        <v>0</v>
      </c>
      <c r="AFO17" s="8">
        <v>0</v>
      </c>
      <c r="AFP17" s="8">
        <v>0</v>
      </c>
      <c r="AFQ17" s="8">
        <v>0</v>
      </c>
      <c r="AFR17" s="8">
        <v>0</v>
      </c>
      <c r="AFS17" s="8">
        <v>0</v>
      </c>
      <c r="AFT17" s="8">
        <v>0</v>
      </c>
      <c r="AFU17" s="8">
        <v>0</v>
      </c>
      <c r="AFV17" s="8">
        <v>0</v>
      </c>
      <c r="AFW17" s="8">
        <v>0</v>
      </c>
      <c r="AFX17" s="8">
        <v>0</v>
      </c>
      <c r="AFY17" s="8">
        <v>0</v>
      </c>
      <c r="AFZ17" s="8">
        <v>0</v>
      </c>
      <c r="AGA17" s="8">
        <v>0</v>
      </c>
      <c r="AGB17" s="8">
        <v>0</v>
      </c>
      <c r="AGC17" s="8">
        <v>0</v>
      </c>
      <c r="AGD17" s="8">
        <v>0</v>
      </c>
      <c r="AGE17" s="8">
        <v>0</v>
      </c>
      <c r="AGF17" s="8">
        <v>0</v>
      </c>
      <c r="AGG17" s="8">
        <v>0</v>
      </c>
      <c r="AGH17" s="8">
        <v>0</v>
      </c>
      <c r="AGI17" s="8">
        <v>0</v>
      </c>
      <c r="AGJ17" s="8">
        <v>0</v>
      </c>
      <c r="AGK17" s="8">
        <v>0</v>
      </c>
      <c r="AGL17" s="8">
        <v>0</v>
      </c>
      <c r="AGM17" s="8">
        <v>0</v>
      </c>
      <c r="AGN17" s="8">
        <v>0</v>
      </c>
      <c r="AGO17" s="8">
        <v>0</v>
      </c>
      <c r="AGP17" s="8">
        <v>0</v>
      </c>
      <c r="AGQ17" s="8">
        <v>0</v>
      </c>
      <c r="AGR17" s="8">
        <v>0</v>
      </c>
      <c r="AGS17" s="8">
        <v>0</v>
      </c>
      <c r="AGT17" s="8">
        <v>0</v>
      </c>
      <c r="AGU17" s="8">
        <v>0</v>
      </c>
      <c r="AGV17" s="8">
        <v>0</v>
      </c>
      <c r="AGW17" s="8">
        <v>0</v>
      </c>
      <c r="AGX17" s="8">
        <v>0</v>
      </c>
      <c r="AGY17" s="8">
        <v>0</v>
      </c>
      <c r="AGZ17" s="8">
        <v>0</v>
      </c>
      <c r="AHA17" s="8">
        <v>0</v>
      </c>
      <c r="AHB17" s="8">
        <v>0</v>
      </c>
      <c r="AHC17" s="8">
        <v>0</v>
      </c>
      <c r="AHD17" s="8">
        <v>0</v>
      </c>
      <c r="AHE17" s="8">
        <v>0</v>
      </c>
      <c r="AHF17" s="8">
        <v>0</v>
      </c>
      <c r="AHG17" s="8">
        <v>0</v>
      </c>
      <c r="AHH17" s="8">
        <v>0</v>
      </c>
      <c r="AHI17" s="8">
        <v>0</v>
      </c>
      <c r="AHJ17" s="8">
        <v>0</v>
      </c>
      <c r="AHK17" s="8">
        <v>0</v>
      </c>
      <c r="AHL17" s="8">
        <v>0</v>
      </c>
      <c r="AHM17" s="8">
        <v>0</v>
      </c>
      <c r="AHN17" s="8">
        <v>0</v>
      </c>
      <c r="AHO17" s="8">
        <v>0</v>
      </c>
      <c r="AHP17" s="8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 t="e">
        <v>#N/A</v>
      </c>
      <c r="AIJ17" t="e">
        <v>#N/A</v>
      </c>
      <c r="AIK17" t="e">
        <v>#N/A</v>
      </c>
      <c r="AIL17" t="e">
        <v>#N/A</v>
      </c>
      <c r="AIM17" t="e">
        <v>#N/A</v>
      </c>
      <c r="AIN17" t="e">
        <v>#N/A</v>
      </c>
      <c r="AIO17" t="e">
        <v>#N/A</v>
      </c>
      <c r="AIP17" t="e">
        <v>#N/A</v>
      </c>
      <c r="AIQ17" t="e">
        <v>#N/A</v>
      </c>
      <c r="AIR17" t="e">
        <v>#N/A</v>
      </c>
      <c r="AIS17" t="e">
        <v>#N/A</v>
      </c>
      <c r="AIT17" t="e">
        <v>#N/A</v>
      </c>
      <c r="AIU17" t="e">
        <v>#N/A</v>
      </c>
      <c r="AIV17" t="e">
        <v>#N/A</v>
      </c>
      <c r="AIW17" t="e">
        <v>#N/A</v>
      </c>
      <c r="AIX17" t="e">
        <v>#N/A</v>
      </c>
      <c r="AIY17" t="e">
        <v>#N/A</v>
      </c>
      <c r="AIZ17" t="e">
        <v>#N/A</v>
      </c>
      <c r="AJA17" t="e">
        <v>#N/A</v>
      </c>
      <c r="AJB17" t="e">
        <v>#N/A</v>
      </c>
      <c r="AJC17" t="e">
        <v>#N/A</v>
      </c>
      <c r="AJD17" t="e">
        <v>#N/A</v>
      </c>
      <c r="AJE17" t="e">
        <v>#N/A</v>
      </c>
      <c r="AJF17" t="e">
        <v>#N/A</v>
      </c>
      <c r="AJG17" t="e">
        <v>#N/A</v>
      </c>
      <c r="AJH17" t="e">
        <v>#N/A</v>
      </c>
      <c r="AJI17" t="e">
        <v>#N/A</v>
      </c>
      <c r="AJJ17" t="e">
        <v>#N/A</v>
      </c>
      <c r="AJK17" t="e">
        <v>#N/A</v>
      </c>
      <c r="AJL17" t="e">
        <v>#N/A</v>
      </c>
      <c r="AJM17" t="e">
        <v>#N/A</v>
      </c>
      <c r="AJN17" t="e">
        <v>#N/A</v>
      </c>
      <c r="AJO17" t="e">
        <v>#N/A</v>
      </c>
      <c r="AJP17" t="e">
        <v>#N/A</v>
      </c>
      <c r="AJQ17" t="e">
        <v>#N/A</v>
      </c>
      <c r="AJR17" t="e">
        <v>#N/A</v>
      </c>
      <c r="AJS17" t="e">
        <v>#N/A</v>
      </c>
      <c r="AJT17" t="e">
        <v>#N/A</v>
      </c>
      <c r="AJU17" t="e">
        <v>#N/A</v>
      </c>
      <c r="AJV17" t="e">
        <v>#N/A</v>
      </c>
      <c r="AJW17" t="e">
        <v>#N/A</v>
      </c>
      <c r="AJX17" t="e">
        <v>#N/A</v>
      </c>
      <c r="AJY17" t="e">
        <v>#N/A</v>
      </c>
      <c r="AJZ17" t="e">
        <v>#N/A</v>
      </c>
      <c r="AKA17" t="e">
        <v>#N/A</v>
      </c>
      <c r="AKB17" t="e">
        <v>#N/A</v>
      </c>
      <c r="AKC17" t="e">
        <v>#N/A</v>
      </c>
      <c r="AKD17" t="e">
        <v>#N/A</v>
      </c>
      <c r="AKE17" t="e">
        <v>#N/A</v>
      </c>
      <c r="AKF17" t="e">
        <v>#N/A</v>
      </c>
      <c r="AKG17" t="e">
        <v>#N/A</v>
      </c>
      <c r="AKH17" t="e">
        <v>#N/A</v>
      </c>
      <c r="AKI17" t="e">
        <v>#N/A</v>
      </c>
      <c r="AKJ17" t="e">
        <v>#N/A</v>
      </c>
      <c r="AKK17" t="e">
        <v>#N/A</v>
      </c>
      <c r="AKL17" t="e">
        <v>#N/A</v>
      </c>
      <c r="AKM17" t="e">
        <v>#N/A</v>
      </c>
      <c r="AKN17" t="e">
        <v>#N/A</v>
      </c>
      <c r="AKO17" t="e">
        <v>#N/A</v>
      </c>
      <c r="AKP17" t="e">
        <v>#N/A</v>
      </c>
      <c r="AKQ17" t="e">
        <v>#N/A</v>
      </c>
      <c r="AKR17" t="e">
        <v>#N/A</v>
      </c>
      <c r="AKS17" t="e">
        <v>#N/A</v>
      </c>
      <c r="AKT17" t="e">
        <v>#N/A</v>
      </c>
      <c r="AKU17" t="e">
        <v>#N/A</v>
      </c>
      <c r="AKV17" t="e">
        <v>#N/A</v>
      </c>
      <c r="AKW17" t="e">
        <v>#N/A</v>
      </c>
      <c r="AKX17" t="e">
        <v>#N/A</v>
      </c>
      <c r="AKY17" t="e">
        <v>#N/A</v>
      </c>
      <c r="AKZ17" t="e">
        <v>#N/A</v>
      </c>
      <c r="ALA17" t="e">
        <v>#N/A</v>
      </c>
      <c r="ALB17" t="e">
        <v>#N/A</v>
      </c>
      <c r="ALC17" t="e">
        <v>#N/A</v>
      </c>
      <c r="ALD17" t="e">
        <v>#N/A</v>
      </c>
      <c r="ALE17" t="e">
        <v>#N/A</v>
      </c>
      <c r="ALF17" t="e">
        <v>#N/A</v>
      </c>
      <c r="ALG17" t="e">
        <v>#N/A</v>
      </c>
      <c r="ALH17" t="e">
        <v>#N/A</v>
      </c>
      <c r="ALI17" t="e">
        <v>#N/A</v>
      </c>
      <c r="ALJ17" t="e">
        <v>#N/A</v>
      </c>
      <c r="ALK17" t="e">
        <v>#N/A</v>
      </c>
      <c r="ALL17" t="e">
        <v>#N/A</v>
      </c>
      <c r="ALM17" t="e">
        <v>#N/A</v>
      </c>
      <c r="ALN17" t="e">
        <v>#N/A</v>
      </c>
      <c r="ALO17" t="e">
        <v>#N/A</v>
      </c>
      <c r="ALP17" t="e">
        <v>#N/A</v>
      </c>
      <c r="ALQ17" t="e">
        <v>#N/A</v>
      </c>
      <c r="ALR17" t="e">
        <v>#N/A</v>
      </c>
      <c r="ALS17" t="e">
        <v>#N/A</v>
      </c>
      <c r="ALT17" t="e">
        <v>#N/A</v>
      </c>
      <c r="ALU17" t="e">
        <v>#N/A</v>
      </c>
      <c r="ALV17" t="e">
        <v>#N/A</v>
      </c>
      <c r="ALW17" t="e">
        <v>#N/A</v>
      </c>
      <c r="ALX17" t="e">
        <v>#N/A</v>
      </c>
      <c r="ALY17" t="e">
        <v>#N/A</v>
      </c>
      <c r="ALZ17" t="e">
        <v>#N/A</v>
      </c>
      <c r="AMA17" t="e">
        <v>#N/A</v>
      </c>
      <c r="AMB17" t="e">
        <v>#N/A</v>
      </c>
      <c r="AMC17" t="e">
        <v>#N/A</v>
      </c>
      <c r="AMD17" t="e">
        <v>#N/A</v>
      </c>
      <c r="AME17" t="e">
        <v>#N/A</v>
      </c>
      <c r="AMF17" t="e">
        <v>#N/A</v>
      </c>
      <c r="AMG17" t="e">
        <v>#N/A</v>
      </c>
      <c r="AMH17" t="e">
        <v>#N/A</v>
      </c>
    </row>
    <row r="18" spans="1:1022" ht="15.75" customHeight="1">
      <c r="A18" s="8" t="str">
        <v>Players</v>
      </c>
      <c r="B18" s="8">
        <v>5</v>
      </c>
      <c r="C18" s="8">
        <v>4</v>
      </c>
      <c r="D18" s="8">
        <v>4</v>
      </c>
      <c r="E18" s="8">
        <v>4</v>
      </c>
      <c r="F18" s="8">
        <v>4</v>
      </c>
      <c r="G18" s="8">
        <v>4</v>
      </c>
      <c r="H18" s="8">
        <v>4</v>
      </c>
      <c r="I18" s="8">
        <v>4</v>
      </c>
      <c r="J18" s="8">
        <v>4</v>
      </c>
      <c r="K18" s="8">
        <v>4</v>
      </c>
      <c r="L18" s="8">
        <v>4</v>
      </c>
      <c r="M18" s="8">
        <v>5</v>
      </c>
      <c r="N18" s="8">
        <v>4</v>
      </c>
      <c r="O18" s="8">
        <v>4</v>
      </c>
      <c r="P18" s="8">
        <v>5</v>
      </c>
      <c r="Q18" s="8">
        <v>4</v>
      </c>
      <c r="R18" s="8">
        <v>5</v>
      </c>
      <c r="S18" s="8">
        <v>4</v>
      </c>
      <c r="T18" s="8">
        <v>4</v>
      </c>
      <c r="U18" s="8">
        <v>5</v>
      </c>
      <c r="V18" s="8">
        <v>5</v>
      </c>
      <c r="W18" s="8">
        <v>3</v>
      </c>
      <c r="X18" s="8">
        <v>4</v>
      </c>
      <c r="Y18" s="8">
        <v>4</v>
      </c>
      <c r="Z18" s="8">
        <v>4</v>
      </c>
      <c r="AA18" s="8">
        <v>4</v>
      </c>
      <c r="AB18" s="8">
        <v>5</v>
      </c>
      <c r="AC18" s="8">
        <v>5</v>
      </c>
      <c r="AD18" s="8">
        <v>4</v>
      </c>
      <c r="AE18" s="8">
        <v>5</v>
      </c>
      <c r="AF18" s="8">
        <v>4</v>
      </c>
      <c r="AG18" s="8">
        <v>4</v>
      </c>
      <c r="AH18" s="8">
        <v>4</v>
      </c>
      <c r="AI18" s="8">
        <v>4</v>
      </c>
      <c r="AJ18" s="8">
        <v>4</v>
      </c>
      <c r="AK18" s="8">
        <v>4</v>
      </c>
      <c r="AL18" s="8">
        <v>4</v>
      </c>
      <c r="AM18" s="8">
        <v>4</v>
      </c>
      <c r="AN18" s="8">
        <v>4</v>
      </c>
      <c r="AO18" s="8">
        <v>4</v>
      </c>
      <c r="AP18" s="8">
        <v>3</v>
      </c>
      <c r="AQ18" s="8">
        <v>5</v>
      </c>
      <c r="AR18" s="8">
        <v>3</v>
      </c>
      <c r="AS18" s="8">
        <v>3</v>
      </c>
      <c r="AT18" s="8">
        <v>4</v>
      </c>
      <c r="AU18" s="8">
        <v>4</v>
      </c>
      <c r="AV18" s="8">
        <v>4</v>
      </c>
      <c r="AW18" s="8">
        <v>3</v>
      </c>
      <c r="AX18" s="8">
        <v>4</v>
      </c>
      <c r="AY18" s="8">
        <v>4</v>
      </c>
      <c r="AZ18" s="8">
        <v>4</v>
      </c>
      <c r="BA18" s="8">
        <v>4</v>
      </c>
      <c r="BB18" s="8">
        <v>4</v>
      </c>
      <c r="BC18" s="8">
        <v>4</v>
      </c>
      <c r="BD18" s="8">
        <v>3</v>
      </c>
      <c r="BE18" s="8">
        <v>4</v>
      </c>
      <c r="BF18" s="8">
        <v>4</v>
      </c>
      <c r="BG18" s="8">
        <v>3</v>
      </c>
      <c r="BH18" s="8">
        <v>3</v>
      </c>
      <c r="BI18" s="8">
        <v>3</v>
      </c>
      <c r="BJ18" s="8">
        <v>3</v>
      </c>
      <c r="BK18" s="8">
        <v>3</v>
      </c>
      <c r="BL18" s="8">
        <v>3</v>
      </c>
      <c r="BM18" s="8">
        <v>3</v>
      </c>
      <c r="BN18" s="8">
        <v>3</v>
      </c>
      <c r="BO18" s="8">
        <v>5</v>
      </c>
      <c r="BP18" s="8">
        <v>5</v>
      </c>
      <c r="BQ18" s="8">
        <v>3</v>
      </c>
      <c r="BR18" s="8">
        <v>4</v>
      </c>
      <c r="BS18" s="8">
        <v>4</v>
      </c>
      <c r="BT18" s="8">
        <v>4</v>
      </c>
      <c r="BU18" s="8">
        <v>5</v>
      </c>
      <c r="BV18" s="8">
        <v>4</v>
      </c>
      <c r="BW18" s="8">
        <v>4</v>
      </c>
      <c r="BX18" s="8">
        <v>4</v>
      </c>
      <c r="BY18" s="8">
        <v>5</v>
      </c>
      <c r="BZ18" s="8">
        <v>4</v>
      </c>
      <c r="CA18" s="8">
        <v>5</v>
      </c>
      <c r="CB18" s="8">
        <v>4</v>
      </c>
      <c r="CC18" s="8">
        <v>4</v>
      </c>
      <c r="CD18" s="8">
        <v>4</v>
      </c>
      <c r="CE18" s="8">
        <v>4</v>
      </c>
      <c r="CF18" s="8">
        <v>5</v>
      </c>
      <c r="CG18" s="8">
        <v>4</v>
      </c>
      <c r="CH18" s="8">
        <v>4</v>
      </c>
      <c r="CI18" s="8">
        <v>4</v>
      </c>
      <c r="CJ18" s="8">
        <v>5</v>
      </c>
      <c r="CK18" s="8">
        <v>4</v>
      </c>
      <c r="CL18" s="8">
        <v>5</v>
      </c>
      <c r="CM18" s="8">
        <v>5</v>
      </c>
      <c r="CN18" s="8">
        <v>3</v>
      </c>
      <c r="CO18" s="8">
        <v>4</v>
      </c>
      <c r="CP18" s="8">
        <v>5</v>
      </c>
      <c r="CQ18" s="8">
        <v>4</v>
      </c>
      <c r="CR18" s="8">
        <v>3</v>
      </c>
      <c r="CS18" s="8">
        <v>4</v>
      </c>
      <c r="CT18" s="8">
        <v>4</v>
      </c>
      <c r="CU18" s="8">
        <v>4</v>
      </c>
      <c r="CV18" s="8">
        <v>5</v>
      </c>
      <c r="CW18" s="8">
        <v>4</v>
      </c>
      <c r="CX18" s="8">
        <v>6</v>
      </c>
      <c r="CY18" s="8">
        <v>5</v>
      </c>
      <c r="CZ18" s="8">
        <v>4</v>
      </c>
      <c r="DA18" s="8">
        <v>4</v>
      </c>
      <c r="DB18" s="8">
        <v>4</v>
      </c>
      <c r="DC18" s="8">
        <v>5</v>
      </c>
      <c r="DD18" s="8">
        <v>3</v>
      </c>
      <c r="DE18" s="8">
        <v>4</v>
      </c>
      <c r="DF18" s="8">
        <v>4</v>
      </c>
      <c r="DG18" s="8">
        <v>5</v>
      </c>
      <c r="DH18" s="8">
        <v>4</v>
      </c>
      <c r="DI18" s="8">
        <v>4</v>
      </c>
      <c r="DJ18" s="8">
        <v>4</v>
      </c>
      <c r="DK18" s="8">
        <v>3</v>
      </c>
      <c r="DL18" s="8">
        <v>4</v>
      </c>
      <c r="DM18" s="8">
        <v>4</v>
      </c>
      <c r="DN18" s="8">
        <v>4</v>
      </c>
      <c r="DO18" s="8">
        <v>4</v>
      </c>
      <c r="DP18" s="8">
        <v>4</v>
      </c>
      <c r="DQ18" s="8">
        <v>4</v>
      </c>
      <c r="DR18" s="8">
        <v>4</v>
      </c>
      <c r="DS18" s="8">
        <v>4</v>
      </c>
      <c r="DT18" s="8">
        <v>3</v>
      </c>
      <c r="DU18" s="8">
        <v>4</v>
      </c>
      <c r="DV18" s="8">
        <v>5</v>
      </c>
      <c r="DW18" s="8">
        <v>3</v>
      </c>
      <c r="DX18" s="8">
        <v>3</v>
      </c>
      <c r="DY18" s="8">
        <v>3</v>
      </c>
      <c r="DZ18" s="8">
        <v>4</v>
      </c>
      <c r="EA18" s="8">
        <v>4</v>
      </c>
      <c r="EB18" s="8">
        <v>4</v>
      </c>
      <c r="EC18" s="8">
        <v>2</v>
      </c>
      <c r="ED18" s="8">
        <v>2</v>
      </c>
      <c r="EE18" s="8">
        <v>5</v>
      </c>
      <c r="EF18" s="8">
        <v>3</v>
      </c>
      <c r="EG18" s="8">
        <v>3</v>
      </c>
      <c r="EH18" s="8">
        <v>4</v>
      </c>
      <c r="EI18" s="8">
        <v>5</v>
      </c>
      <c r="EJ18" s="8">
        <v>4</v>
      </c>
      <c r="EK18" s="8">
        <v>4</v>
      </c>
      <c r="EL18" s="8">
        <v>4</v>
      </c>
      <c r="EM18" s="8">
        <v>4</v>
      </c>
      <c r="EN18" s="8">
        <v>4</v>
      </c>
      <c r="EO18" s="8">
        <v>3</v>
      </c>
      <c r="EP18" s="8">
        <v>3</v>
      </c>
      <c r="EQ18" s="8">
        <v>3</v>
      </c>
      <c r="ER18" s="8">
        <v>3</v>
      </c>
      <c r="ES18" s="8">
        <v>3</v>
      </c>
      <c r="ET18" s="8">
        <v>3</v>
      </c>
      <c r="EU18" s="8">
        <v>3</v>
      </c>
      <c r="EV18" s="8">
        <v>3</v>
      </c>
      <c r="EW18" s="8">
        <v>3</v>
      </c>
      <c r="EX18" s="8">
        <v>3</v>
      </c>
      <c r="EY18" s="8">
        <v>3</v>
      </c>
      <c r="EZ18" s="8">
        <v>3</v>
      </c>
      <c r="FA18" s="8">
        <v>3</v>
      </c>
      <c r="FB18" s="8">
        <v>5</v>
      </c>
      <c r="FC18" s="8">
        <v>3</v>
      </c>
      <c r="FD18" s="8">
        <v>4</v>
      </c>
      <c r="FE18" s="8">
        <v>4</v>
      </c>
      <c r="FF18" s="8">
        <v>4</v>
      </c>
      <c r="FG18" s="8">
        <v>4</v>
      </c>
      <c r="FH18" s="8">
        <v>3</v>
      </c>
      <c r="FI18" s="8">
        <v>4</v>
      </c>
      <c r="FJ18" s="8">
        <v>5</v>
      </c>
      <c r="FK18" s="8">
        <v>4</v>
      </c>
      <c r="FL18" s="8">
        <v>4</v>
      </c>
      <c r="FM18" s="8">
        <v>5</v>
      </c>
      <c r="FN18" s="8">
        <v>3</v>
      </c>
      <c r="FO18" s="8">
        <v>3</v>
      </c>
      <c r="FP18" s="8">
        <v>5</v>
      </c>
      <c r="FQ18" s="8">
        <v>4</v>
      </c>
      <c r="FR18" s="8">
        <v>4</v>
      </c>
      <c r="FS18" s="8">
        <v>4</v>
      </c>
      <c r="FT18" s="8">
        <v>4</v>
      </c>
      <c r="FU18" s="8">
        <v>4</v>
      </c>
      <c r="FV18" s="8">
        <v>4</v>
      </c>
      <c r="FW18" s="8">
        <v>4</v>
      </c>
      <c r="FX18" s="8">
        <v>4</v>
      </c>
      <c r="FY18" s="8">
        <v>4</v>
      </c>
      <c r="FZ18" s="8">
        <v>4</v>
      </c>
      <c r="GA18" s="8">
        <v>4</v>
      </c>
      <c r="GB18" s="8">
        <v>4</v>
      </c>
      <c r="GC18" s="8">
        <v>4</v>
      </c>
      <c r="GD18" s="8">
        <v>3</v>
      </c>
      <c r="GE18" s="8">
        <v>4</v>
      </c>
      <c r="GF18" s="8">
        <v>3</v>
      </c>
      <c r="GG18" s="8">
        <v>5</v>
      </c>
      <c r="GH18" s="8">
        <v>4</v>
      </c>
      <c r="GI18" s="8">
        <v>4</v>
      </c>
      <c r="GJ18" s="8">
        <v>4</v>
      </c>
      <c r="GK18" s="8">
        <v>4</v>
      </c>
      <c r="GL18" s="8">
        <v>3</v>
      </c>
      <c r="GM18" s="8">
        <v>4</v>
      </c>
      <c r="GN18" s="8">
        <v>5</v>
      </c>
      <c r="GO18" s="8">
        <v>4</v>
      </c>
      <c r="GP18" s="8">
        <v>4</v>
      </c>
      <c r="GQ18" s="8">
        <v>4</v>
      </c>
      <c r="GR18" s="8">
        <v>3</v>
      </c>
      <c r="GS18" s="8">
        <v>4</v>
      </c>
      <c r="GT18" s="8">
        <v>5</v>
      </c>
      <c r="GU18" s="8">
        <v>3</v>
      </c>
      <c r="GV18" s="8">
        <v>4</v>
      </c>
      <c r="GW18" s="8">
        <v>4</v>
      </c>
      <c r="GX18" s="8">
        <v>4</v>
      </c>
      <c r="GY18" s="8">
        <v>4</v>
      </c>
      <c r="GZ18" s="8">
        <v>4</v>
      </c>
      <c r="HA18" s="8">
        <v>4</v>
      </c>
      <c r="HB18" s="8">
        <v>4</v>
      </c>
      <c r="HC18" s="8">
        <v>4</v>
      </c>
      <c r="HD18" s="8">
        <v>4</v>
      </c>
      <c r="HE18" s="8">
        <v>4</v>
      </c>
      <c r="HF18" s="8">
        <v>3</v>
      </c>
      <c r="HG18" s="8">
        <v>5</v>
      </c>
      <c r="HH18" s="8">
        <v>4</v>
      </c>
      <c r="HI18" s="8">
        <v>4</v>
      </c>
      <c r="HJ18" s="8">
        <v>4</v>
      </c>
      <c r="HK18" s="8">
        <v>5</v>
      </c>
      <c r="HL18" s="8">
        <v>5</v>
      </c>
      <c r="HM18" s="8">
        <v>4</v>
      </c>
      <c r="HN18" s="8">
        <v>3</v>
      </c>
      <c r="HO18" s="8">
        <v>4</v>
      </c>
      <c r="HP18" s="8">
        <v>3</v>
      </c>
      <c r="HQ18" s="8">
        <v>3</v>
      </c>
      <c r="HR18" s="8">
        <v>4</v>
      </c>
      <c r="HS18" s="8">
        <v>5</v>
      </c>
      <c r="HT18" s="8">
        <v>5</v>
      </c>
      <c r="HU18" s="8">
        <v>4</v>
      </c>
      <c r="HV18" s="8">
        <v>4</v>
      </c>
      <c r="HW18" s="8">
        <v>4</v>
      </c>
      <c r="HX18" s="8">
        <v>4</v>
      </c>
      <c r="HY18" s="8">
        <v>4</v>
      </c>
      <c r="HZ18" s="8">
        <v>5</v>
      </c>
      <c r="IA18" s="8">
        <v>3</v>
      </c>
      <c r="IB18" s="8">
        <v>3</v>
      </c>
      <c r="IC18" s="8">
        <v>4</v>
      </c>
      <c r="ID18" s="8">
        <v>3</v>
      </c>
      <c r="IE18" s="8">
        <v>4</v>
      </c>
      <c r="IF18" s="8">
        <v>4</v>
      </c>
      <c r="IG18" s="8">
        <v>6</v>
      </c>
      <c r="IH18" s="8">
        <v>4</v>
      </c>
      <c r="II18" s="8">
        <v>3</v>
      </c>
      <c r="IJ18" s="8">
        <v>3</v>
      </c>
      <c r="IK18" s="8">
        <v>3</v>
      </c>
      <c r="IL18" s="8">
        <v>5</v>
      </c>
      <c r="IM18" s="8">
        <v>3</v>
      </c>
      <c r="IN18" s="8">
        <v>4</v>
      </c>
      <c r="IO18" s="8">
        <v>3</v>
      </c>
      <c r="IP18" s="8">
        <v>3</v>
      </c>
      <c r="IQ18" s="8">
        <v>4</v>
      </c>
      <c r="IR18" s="8">
        <v>5</v>
      </c>
      <c r="IS18" s="8">
        <v>5</v>
      </c>
      <c r="IT18" s="8">
        <v>5</v>
      </c>
      <c r="IU18" s="8">
        <v>3</v>
      </c>
      <c r="IV18" s="8">
        <v>5</v>
      </c>
      <c r="IW18" s="8">
        <v>6</v>
      </c>
      <c r="IX18" s="8">
        <v>5</v>
      </c>
      <c r="IY18" s="8">
        <v>3</v>
      </c>
      <c r="IZ18" s="8">
        <v>5</v>
      </c>
      <c r="JA18" s="8">
        <v>4</v>
      </c>
      <c r="JB18" s="8">
        <v>3</v>
      </c>
      <c r="JC18" s="8">
        <v>3</v>
      </c>
      <c r="JD18" s="8">
        <v>3</v>
      </c>
      <c r="JE18" s="8">
        <v>3</v>
      </c>
      <c r="JF18" s="8">
        <v>3</v>
      </c>
      <c r="JG18" s="8">
        <v>3</v>
      </c>
      <c r="JH18" s="8">
        <v>3</v>
      </c>
      <c r="JI18" s="8">
        <v>4</v>
      </c>
      <c r="JJ18" s="8">
        <v>4</v>
      </c>
      <c r="JK18" s="8">
        <v>4</v>
      </c>
      <c r="JL18" s="8">
        <v>4</v>
      </c>
      <c r="JM18" s="8">
        <v>4</v>
      </c>
      <c r="JN18" s="8">
        <v>4</v>
      </c>
      <c r="JO18" s="8">
        <v>3</v>
      </c>
      <c r="JP18" s="8">
        <v>3</v>
      </c>
      <c r="JQ18" s="8">
        <v>3</v>
      </c>
      <c r="JR18" s="8">
        <v>3</v>
      </c>
      <c r="JS18" s="8">
        <v>3</v>
      </c>
      <c r="JT18" s="8">
        <v>3</v>
      </c>
      <c r="JU18" s="8">
        <v>3</v>
      </c>
      <c r="JV18" s="8">
        <v>3</v>
      </c>
      <c r="JW18" s="8">
        <v>3</v>
      </c>
      <c r="JX18" s="8">
        <v>3</v>
      </c>
      <c r="JY18" s="8">
        <v>4</v>
      </c>
      <c r="JZ18" s="8">
        <v>5</v>
      </c>
      <c r="KA18" s="8">
        <v>4</v>
      </c>
      <c r="KB18" s="8">
        <v>5</v>
      </c>
      <c r="KC18" s="8">
        <v>3</v>
      </c>
      <c r="KD18" s="8">
        <v>4</v>
      </c>
      <c r="KE18" s="8">
        <v>3</v>
      </c>
      <c r="KF18" s="8">
        <v>4</v>
      </c>
      <c r="KG18" s="8">
        <v>5</v>
      </c>
      <c r="KH18" s="8">
        <v>4</v>
      </c>
      <c r="KI18" s="8">
        <v>4</v>
      </c>
      <c r="KJ18" s="8">
        <v>4</v>
      </c>
      <c r="KK18" s="8">
        <v>5</v>
      </c>
      <c r="KL18" s="8">
        <v>4</v>
      </c>
      <c r="KM18" s="8">
        <v>4</v>
      </c>
      <c r="KN18" s="8">
        <v>4</v>
      </c>
      <c r="KO18" s="8">
        <v>4</v>
      </c>
      <c r="KP18" s="8">
        <v>3</v>
      </c>
      <c r="KQ18" s="8">
        <v>5</v>
      </c>
      <c r="KR18" s="8">
        <v>4</v>
      </c>
      <c r="KS18" s="8">
        <v>5</v>
      </c>
      <c r="KT18" s="8">
        <v>4</v>
      </c>
      <c r="KU18" s="8">
        <v>3</v>
      </c>
      <c r="KV18" s="8">
        <v>3</v>
      </c>
      <c r="KW18" s="8">
        <v>3</v>
      </c>
      <c r="KX18" s="8">
        <v>3</v>
      </c>
      <c r="KY18" s="8">
        <v>3</v>
      </c>
      <c r="KZ18" s="8">
        <v>3</v>
      </c>
      <c r="LA18" s="8">
        <v>3</v>
      </c>
      <c r="LB18" s="8">
        <v>3</v>
      </c>
      <c r="LC18" s="8">
        <v>3</v>
      </c>
      <c r="LD18" s="8">
        <v>4</v>
      </c>
      <c r="LE18" s="8">
        <v>3</v>
      </c>
      <c r="LF18" s="8">
        <v>4</v>
      </c>
      <c r="LG18" s="8">
        <v>4</v>
      </c>
      <c r="LH18" s="8">
        <v>4</v>
      </c>
      <c r="LI18" s="8">
        <v>4</v>
      </c>
      <c r="LJ18" s="8">
        <v>3</v>
      </c>
      <c r="LK18" s="8">
        <v>4</v>
      </c>
      <c r="LL18" s="8">
        <v>3</v>
      </c>
      <c r="LM18" s="8">
        <v>4</v>
      </c>
      <c r="LN18" s="8">
        <v>3</v>
      </c>
      <c r="LO18" s="8">
        <v>4</v>
      </c>
      <c r="LP18" s="8">
        <v>5</v>
      </c>
      <c r="LQ18" s="8">
        <v>4</v>
      </c>
      <c r="LR18" s="8">
        <v>4</v>
      </c>
      <c r="LS18" s="8">
        <v>4</v>
      </c>
      <c r="LT18" s="8">
        <v>4</v>
      </c>
      <c r="LU18" s="8">
        <v>5</v>
      </c>
      <c r="LV18" s="8">
        <v>3</v>
      </c>
      <c r="LW18" s="8">
        <v>4</v>
      </c>
      <c r="LX18" s="8">
        <v>4</v>
      </c>
      <c r="LY18" s="8">
        <v>4</v>
      </c>
      <c r="LZ18" s="8">
        <v>5</v>
      </c>
      <c r="MA18" s="8">
        <v>4</v>
      </c>
      <c r="MB18" s="8">
        <v>4</v>
      </c>
      <c r="MC18" s="8">
        <v>4</v>
      </c>
      <c r="MD18" s="8">
        <v>4</v>
      </c>
      <c r="ME18" s="8">
        <v>4</v>
      </c>
      <c r="MF18" s="8">
        <v>5</v>
      </c>
      <c r="MG18" s="8">
        <v>4</v>
      </c>
      <c r="MH18" s="8">
        <v>4</v>
      </c>
      <c r="MI18" s="8">
        <v>4</v>
      </c>
      <c r="MJ18" s="8">
        <v>3</v>
      </c>
      <c r="MK18" s="8">
        <v>4</v>
      </c>
      <c r="ML18" s="8">
        <v>4</v>
      </c>
      <c r="MM18" s="8">
        <v>4</v>
      </c>
      <c r="MN18" s="8">
        <v>3</v>
      </c>
      <c r="MO18" s="8">
        <v>4</v>
      </c>
      <c r="MP18" s="8">
        <v>3</v>
      </c>
      <c r="MQ18" s="8">
        <v>3</v>
      </c>
      <c r="MR18" s="8">
        <v>5</v>
      </c>
      <c r="MS18" s="8">
        <v>3</v>
      </c>
      <c r="MT18" s="8">
        <v>4</v>
      </c>
      <c r="MU18" s="8">
        <v>4</v>
      </c>
      <c r="MV18" s="8">
        <v>3</v>
      </c>
      <c r="MW18" s="8">
        <v>3</v>
      </c>
      <c r="MX18" s="8">
        <v>3</v>
      </c>
      <c r="MY18" s="8">
        <v>3</v>
      </c>
      <c r="MZ18" s="8">
        <v>5</v>
      </c>
      <c r="NA18" s="8">
        <v>3</v>
      </c>
      <c r="NB18" s="8">
        <v>3</v>
      </c>
      <c r="NC18" s="8">
        <v>3</v>
      </c>
      <c r="ND18" s="8">
        <v>3</v>
      </c>
      <c r="NE18" s="8">
        <v>3</v>
      </c>
      <c r="NF18" s="8">
        <v>4</v>
      </c>
      <c r="NG18" s="8">
        <v>4</v>
      </c>
      <c r="NH18" s="8">
        <v>4</v>
      </c>
      <c r="NI18" s="8">
        <v>4</v>
      </c>
      <c r="NJ18" s="8">
        <v>4</v>
      </c>
      <c r="NK18" s="8">
        <v>4</v>
      </c>
      <c r="NL18" s="8">
        <v>4</v>
      </c>
      <c r="NM18" s="8">
        <v>3</v>
      </c>
      <c r="NN18" s="8">
        <v>3</v>
      </c>
      <c r="NO18" s="8">
        <v>3</v>
      </c>
      <c r="NP18" s="8">
        <v>4</v>
      </c>
      <c r="NQ18" s="8">
        <v>5</v>
      </c>
      <c r="NR18" s="8">
        <v>4</v>
      </c>
      <c r="NS18" s="8">
        <v>4</v>
      </c>
      <c r="NT18" s="8">
        <v>3</v>
      </c>
      <c r="NU18" s="8">
        <v>4</v>
      </c>
      <c r="NV18" s="8">
        <v>5</v>
      </c>
      <c r="NW18" s="8">
        <v>4</v>
      </c>
      <c r="NX18" s="8">
        <v>3</v>
      </c>
      <c r="NY18" s="8">
        <v>3</v>
      </c>
      <c r="NZ18" s="8">
        <v>4</v>
      </c>
      <c r="OA18" s="8">
        <v>5</v>
      </c>
      <c r="OB18" s="8">
        <v>4</v>
      </c>
      <c r="OC18" s="8">
        <v>4</v>
      </c>
      <c r="OD18" s="8">
        <v>4</v>
      </c>
      <c r="OE18" s="8">
        <v>4</v>
      </c>
      <c r="OF18" s="8">
        <v>3</v>
      </c>
      <c r="OG18" s="8">
        <v>5</v>
      </c>
      <c r="OH18" s="8">
        <v>4</v>
      </c>
      <c r="OI18" s="8">
        <v>3</v>
      </c>
      <c r="OJ18" s="8">
        <v>4</v>
      </c>
      <c r="OK18" s="8">
        <v>3</v>
      </c>
      <c r="OL18" s="8">
        <v>3</v>
      </c>
      <c r="OM18" s="8">
        <v>4</v>
      </c>
      <c r="ON18" s="8">
        <v>5</v>
      </c>
      <c r="OO18" s="8">
        <v>3</v>
      </c>
      <c r="OP18" s="8">
        <v>3</v>
      </c>
      <c r="OQ18" s="8">
        <v>3</v>
      </c>
      <c r="OR18" s="8">
        <v>3</v>
      </c>
      <c r="OS18" s="8">
        <v>4</v>
      </c>
      <c r="OT18" s="8">
        <v>3</v>
      </c>
      <c r="OU18" s="8">
        <v>3</v>
      </c>
      <c r="OV18" s="8">
        <v>4</v>
      </c>
      <c r="OW18" s="8">
        <v>3</v>
      </c>
      <c r="OX18" s="8">
        <v>3</v>
      </c>
      <c r="OY18" s="8">
        <v>3</v>
      </c>
      <c r="OZ18" s="8">
        <v>4</v>
      </c>
      <c r="PA18" s="8">
        <v>4</v>
      </c>
      <c r="PB18" s="8">
        <v>4</v>
      </c>
      <c r="PC18" s="8">
        <v>5</v>
      </c>
      <c r="PD18" s="8">
        <v>5</v>
      </c>
      <c r="PE18" s="8">
        <v>3</v>
      </c>
      <c r="PF18" s="8">
        <v>5</v>
      </c>
      <c r="PG18" s="8">
        <v>4</v>
      </c>
      <c r="PH18" s="8">
        <v>3</v>
      </c>
      <c r="PI18" s="8">
        <v>3</v>
      </c>
      <c r="PJ18" s="8">
        <v>3</v>
      </c>
      <c r="PK18" s="8">
        <v>3</v>
      </c>
      <c r="PL18" s="8">
        <v>3</v>
      </c>
      <c r="PM18" s="8">
        <v>4</v>
      </c>
      <c r="PN18" s="8">
        <v>3</v>
      </c>
      <c r="PO18" s="8">
        <v>4</v>
      </c>
      <c r="PP18" s="8">
        <v>3</v>
      </c>
      <c r="PQ18" s="8">
        <v>3</v>
      </c>
      <c r="PR18" s="8">
        <v>4</v>
      </c>
      <c r="PS18" s="8">
        <v>4</v>
      </c>
      <c r="PT18" s="8">
        <v>0</v>
      </c>
      <c r="PU18" s="8">
        <v>0</v>
      </c>
      <c r="PV18" s="8">
        <v>0</v>
      </c>
      <c r="PW18" s="8">
        <v>0</v>
      </c>
      <c r="PX18" s="8">
        <v>0</v>
      </c>
      <c r="PY18" s="8">
        <v>0</v>
      </c>
      <c r="PZ18" s="8">
        <v>0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0</v>
      </c>
      <c r="QI18" s="8">
        <v>0</v>
      </c>
      <c r="QJ18" s="8">
        <v>0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0</v>
      </c>
      <c r="RA18" s="8">
        <v>0</v>
      </c>
      <c r="RB18" s="8">
        <v>0</v>
      </c>
      <c r="RC18" s="8">
        <v>0</v>
      </c>
      <c r="RD18" s="8">
        <v>0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</v>
      </c>
      <c r="RN18" s="8">
        <v>0</v>
      </c>
      <c r="RO18" s="8">
        <v>0</v>
      </c>
      <c r="RP18" s="8">
        <v>0</v>
      </c>
      <c r="RQ18" s="8">
        <v>0</v>
      </c>
      <c r="RR18" s="8">
        <v>0</v>
      </c>
      <c r="RS18" s="8">
        <v>0</v>
      </c>
      <c r="RT18" s="8">
        <v>0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0</v>
      </c>
      <c r="SA18" s="8">
        <v>0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0</v>
      </c>
      <c r="ST18" s="8">
        <v>0</v>
      </c>
      <c r="SU18" s="8">
        <v>0</v>
      </c>
      <c r="SV18" s="8">
        <v>0</v>
      </c>
      <c r="SW18" s="8">
        <v>0</v>
      </c>
      <c r="SX18" s="8">
        <v>0</v>
      </c>
      <c r="SY18" s="8">
        <v>0</v>
      </c>
      <c r="SZ18" s="8">
        <v>0</v>
      </c>
      <c r="TA18" s="8">
        <v>0</v>
      </c>
      <c r="TB18" s="8">
        <v>0</v>
      </c>
      <c r="TC18" s="8">
        <v>0</v>
      </c>
      <c r="TD18" s="8">
        <v>0</v>
      </c>
      <c r="TE18" s="8">
        <v>0</v>
      </c>
      <c r="TF18" s="8">
        <v>0</v>
      </c>
      <c r="TG18" s="8">
        <v>0</v>
      </c>
      <c r="TH18" s="8">
        <v>0</v>
      </c>
      <c r="TI18" s="8">
        <v>0</v>
      </c>
      <c r="TJ18" s="8">
        <v>0</v>
      </c>
      <c r="TK18" s="8">
        <v>0</v>
      </c>
      <c r="TL18" s="8">
        <v>0</v>
      </c>
      <c r="TM18" s="8">
        <v>0</v>
      </c>
      <c r="TN18" s="8">
        <v>0</v>
      </c>
      <c r="TO18" s="8">
        <v>0</v>
      </c>
      <c r="TP18" s="8">
        <v>0</v>
      </c>
      <c r="TQ18" s="8">
        <v>0</v>
      </c>
      <c r="TR18" s="8">
        <v>0</v>
      </c>
      <c r="TS18" s="8">
        <v>0</v>
      </c>
      <c r="TT18" s="8">
        <v>0</v>
      </c>
      <c r="TU18" s="8">
        <v>0</v>
      </c>
      <c r="TV18" s="8">
        <v>0</v>
      </c>
      <c r="TW18" s="8">
        <v>0</v>
      </c>
      <c r="TX18" s="8">
        <v>0</v>
      </c>
      <c r="TY18" s="8">
        <v>0</v>
      </c>
      <c r="TZ18" s="8">
        <v>0</v>
      </c>
      <c r="UA18" s="8">
        <v>0</v>
      </c>
      <c r="UB18" s="8">
        <v>0</v>
      </c>
      <c r="UC18" s="8">
        <v>0</v>
      </c>
      <c r="UD18" s="8">
        <v>0</v>
      </c>
      <c r="UE18" s="8">
        <v>0</v>
      </c>
      <c r="UF18" s="8">
        <v>0</v>
      </c>
      <c r="UG18" s="8">
        <v>0</v>
      </c>
      <c r="UH18" s="8">
        <v>0</v>
      </c>
      <c r="UI18" s="8">
        <v>0</v>
      </c>
      <c r="UJ18" s="8">
        <v>0</v>
      </c>
      <c r="UK18" s="8">
        <v>0</v>
      </c>
      <c r="UL18" s="8">
        <v>0</v>
      </c>
      <c r="UM18" s="8">
        <v>0</v>
      </c>
      <c r="UN18" s="8">
        <v>0</v>
      </c>
      <c r="UO18" s="8">
        <v>0</v>
      </c>
      <c r="UP18" s="8">
        <v>0</v>
      </c>
      <c r="UQ18" s="8">
        <v>0</v>
      </c>
      <c r="UR18" s="8">
        <v>0</v>
      </c>
      <c r="US18" s="8">
        <v>0</v>
      </c>
      <c r="UT18" s="8">
        <v>0</v>
      </c>
      <c r="UU18" s="8">
        <v>0</v>
      </c>
      <c r="UV18" s="8">
        <v>0</v>
      </c>
      <c r="UW18" s="8">
        <v>0</v>
      </c>
      <c r="UX18" s="8">
        <v>0</v>
      </c>
      <c r="UY18" s="8">
        <v>0</v>
      </c>
      <c r="UZ18" s="8">
        <v>0</v>
      </c>
      <c r="VA18" s="8">
        <v>0</v>
      </c>
      <c r="VB18" s="8">
        <v>0</v>
      </c>
      <c r="VC18" s="8">
        <v>0</v>
      </c>
      <c r="VD18" s="8">
        <v>0</v>
      </c>
      <c r="VE18" s="8">
        <v>0</v>
      </c>
      <c r="VF18" s="8">
        <v>0</v>
      </c>
      <c r="VG18" s="8">
        <v>0</v>
      </c>
      <c r="VH18" s="8">
        <v>0</v>
      </c>
      <c r="VI18" s="8">
        <v>0</v>
      </c>
      <c r="VJ18" s="8">
        <v>0</v>
      </c>
      <c r="VK18" s="8">
        <v>0</v>
      </c>
      <c r="VL18" s="8">
        <v>0</v>
      </c>
      <c r="VM18" s="8">
        <v>0</v>
      </c>
      <c r="VN18" s="8">
        <v>0</v>
      </c>
      <c r="VO18" s="8">
        <v>0</v>
      </c>
      <c r="VP18" s="8">
        <v>0</v>
      </c>
      <c r="VQ18" s="8">
        <v>0</v>
      </c>
      <c r="VR18" s="8">
        <v>0</v>
      </c>
      <c r="VS18" s="8">
        <v>0</v>
      </c>
      <c r="VT18" s="8">
        <v>0</v>
      </c>
      <c r="VU18" s="8">
        <v>0</v>
      </c>
      <c r="VV18" s="8">
        <v>0</v>
      </c>
      <c r="VW18" s="8">
        <v>0</v>
      </c>
      <c r="VX18" s="8">
        <v>0</v>
      </c>
      <c r="VY18" s="8">
        <v>0</v>
      </c>
      <c r="VZ18" s="8">
        <v>0</v>
      </c>
      <c r="WA18" s="8">
        <v>0</v>
      </c>
      <c r="WB18" s="8">
        <v>0</v>
      </c>
      <c r="WC18" s="8">
        <v>0</v>
      </c>
      <c r="WD18" s="8">
        <v>0</v>
      </c>
      <c r="WE18" s="8">
        <v>0</v>
      </c>
      <c r="WF18" s="8">
        <v>0</v>
      </c>
      <c r="WG18" s="8">
        <v>0</v>
      </c>
      <c r="WH18" s="8">
        <v>0</v>
      </c>
      <c r="WI18" s="8">
        <v>0</v>
      </c>
      <c r="WJ18" s="8">
        <v>0</v>
      </c>
      <c r="WK18" s="8">
        <v>0</v>
      </c>
      <c r="WL18" s="8">
        <v>0</v>
      </c>
      <c r="WM18" s="8">
        <v>0</v>
      </c>
      <c r="WN18" s="8">
        <v>0</v>
      </c>
      <c r="WO18" s="8">
        <v>0</v>
      </c>
      <c r="WP18" s="8">
        <v>0</v>
      </c>
      <c r="WQ18" s="8">
        <v>0</v>
      </c>
      <c r="WR18" s="8">
        <v>0</v>
      </c>
      <c r="WS18" s="8">
        <v>0</v>
      </c>
      <c r="WT18" s="8">
        <v>0</v>
      </c>
      <c r="WU18" s="8">
        <v>0</v>
      </c>
      <c r="WV18" s="8">
        <v>0</v>
      </c>
      <c r="WW18" s="8">
        <v>0</v>
      </c>
      <c r="WX18" s="8">
        <v>0</v>
      </c>
      <c r="WY18" s="8">
        <v>0</v>
      </c>
      <c r="WZ18" s="8">
        <v>0</v>
      </c>
      <c r="XA18" s="8">
        <v>0</v>
      </c>
      <c r="XB18" s="8">
        <v>0</v>
      </c>
      <c r="XC18" s="8">
        <v>0</v>
      </c>
      <c r="XD18" s="8">
        <v>0</v>
      </c>
      <c r="XE18" s="8">
        <v>0</v>
      </c>
      <c r="XF18" s="8">
        <v>0</v>
      </c>
      <c r="XG18" s="8">
        <v>0</v>
      </c>
      <c r="XH18" s="8">
        <v>0</v>
      </c>
      <c r="XI18" s="8">
        <v>0</v>
      </c>
      <c r="XJ18" s="8">
        <v>0</v>
      </c>
      <c r="XK18" s="8">
        <v>0</v>
      </c>
      <c r="XL18" s="8">
        <v>0</v>
      </c>
      <c r="XM18" s="8">
        <v>0</v>
      </c>
      <c r="XN18" s="8">
        <v>0</v>
      </c>
      <c r="XO18" s="8">
        <v>0</v>
      </c>
      <c r="XP18" s="8">
        <v>0</v>
      </c>
      <c r="XQ18" s="8">
        <v>0</v>
      </c>
      <c r="XR18" s="8">
        <v>0</v>
      </c>
      <c r="XS18" s="8">
        <v>0</v>
      </c>
      <c r="XT18" s="8">
        <v>0</v>
      </c>
      <c r="XU18" s="8">
        <v>0</v>
      </c>
      <c r="XV18" s="8">
        <v>0</v>
      </c>
      <c r="XW18" s="8">
        <v>0</v>
      </c>
      <c r="XX18" s="8">
        <v>0</v>
      </c>
      <c r="XY18" s="8">
        <v>0</v>
      </c>
      <c r="XZ18" s="8">
        <v>0</v>
      </c>
      <c r="YA18" s="8">
        <v>0</v>
      </c>
      <c r="YB18" s="8">
        <v>0</v>
      </c>
      <c r="YC18" s="8">
        <v>0</v>
      </c>
      <c r="YD18" s="8">
        <v>0</v>
      </c>
      <c r="YE18" s="8">
        <v>0</v>
      </c>
      <c r="YF18" s="8">
        <v>0</v>
      </c>
      <c r="YG18" s="8">
        <v>0</v>
      </c>
      <c r="YH18" s="8">
        <v>0</v>
      </c>
      <c r="YI18" s="8">
        <v>0</v>
      </c>
      <c r="YJ18" s="8">
        <v>0</v>
      </c>
      <c r="YK18" s="8">
        <v>0</v>
      </c>
      <c r="YL18" s="8">
        <v>0</v>
      </c>
      <c r="YM18" s="8">
        <v>0</v>
      </c>
      <c r="YN18" s="8">
        <v>0</v>
      </c>
      <c r="YO18" s="8">
        <v>0</v>
      </c>
      <c r="YP18" s="8">
        <v>0</v>
      </c>
      <c r="YQ18" s="8">
        <v>0</v>
      </c>
      <c r="YR18" s="8">
        <v>0</v>
      </c>
      <c r="YS18" s="8">
        <v>0</v>
      </c>
      <c r="YT18" s="8">
        <v>0</v>
      </c>
      <c r="YU18" s="8">
        <v>0</v>
      </c>
      <c r="YV18" s="8">
        <v>0</v>
      </c>
      <c r="YW18" s="8">
        <v>0</v>
      </c>
      <c r="YX18" s="8">
        <v>0</v>
      </c>
      <c r="YY18" s="8">
        <v>0</v>
      </c>
      <c r="YZ18" s="8">
        <v>0</v>
      </c>
      <c r="ZA18" s="8">
        <v>0</v>
      </c>
      <c r="ZB18" s="8">
        <v>0</v>
      </c>
      <c r="ZC18" s="8">
        <v>0</v>
      </c>
      <c r="ZD18" s="8">
        <v>0</v>
      </c>
      <c r="ZE18" s="8">
        <v>0</v>
      </c>
      <c r="ZF18" s="8">
        <v>0</v>
      </c>
      <c r="ZG18" s="8">
        <v>0</v>
      </c>
      <c r="ZH18" s="8">
        <v>0</v>
      </c>
      <c r="ZI18" s="8">
        <v>0</v>
      </c>
      <c r="ZJ18" s="8">
        <v>0</v>
      </c>
      <c r="ZK18" s="8">
        <v>0</v>
      </c>
      <c r="ZL18" s="8">
        <v>0</v>
      </c>
      <c r="ZM18" s="8">
        <v>0</v>
      </c>
      <c r="ZN18" s="8">
        <v>0</v>
      </c>
      <c r="ZO18" s="8">
        <v>0</v>
      </c>
      <c r="ZP18" s="8">
        <v>0</v>
      </c>
      <c r="ZQ18" s="8">
        <v>0</v>
      </c>
      <c r="ZR18" s="8">
        <v>0</v>
      </c>
      <c r="ZS18" s="8">
        <v>0</v>
      </c>
      <c r="ZT18" s="8">
        <v>0</v>
      </c>
      <c r="ZU18" s="8">
        <v>0</v>
      </c>
      <c r="ZV18" s="8">
        <v>0</v>
      </c>
      <c r="ZW18" s="8">
        <v>0</v>
      </c>
      <c r="ZX18" s="8">
        <v>0</v>
      </c>
      <c r="ZY18" s="8">
        <v>0</v>
      </c>
      <c r="ZZ18" s="8">
        <v>0</v>
      </c>
      <c r="AAA18" s="8">
        <v>0</v>
      </c>
      <c r="AAB18" s="8">
        <v>0</v>
      </c>
      <c r="AAC18" s="8">
        <v>0</v>
      </c>
      <c r="AAD18" s="8">
        <v>0</v>
      </c>
      <c r="AAE18" s="8">
        <v>0</v>
      </c>
      <c r="AAF18" s="8">
        <v>0</v>
      </c>
      <c r="AAG18" s="8">
        <v>0</v>
      </c>
      <c r="AAH18" s="8">
        <v>0</v>
      </c>
      <c r="AAI18" s="8">
        <v>0</v>
      </c>
      <c r="AAJ18" s="8">
        <v>0</v>
      </c>
      <c r="AAK18" s="8">
        <v>0</v>
      </c>
      <c r="AAL18" s="8">
        <v>0</v>
      </c>
      <c r="AAM18" s="8">
        <v>0</v>
      </c>
      <c r="AAN18" s="8">
        <v>0</v>
      </c>
      <c r="AAO18" s="8">
        <v>0</v>
      </c>
      <c r="AAP18" s="8">
        <v>0</v>
      </c>
      <c r="AAQ18" s="8">
        <v>0</v>
      </c>
      <c r="AAR18" s="8">
        <v>0</v>
      </c>
      <c r="AAS18" s="8">
        <v>0</v>
      </c>
      <c r="AAT18" s="8">
        <v>0</v>
      </c>
      <c r="AAU18" s="8">
        <v>0</v>
      </c>
      <c r="AAV18" s="8">
        <v>0</v>
      </c>
      <c r="AAW18" s="8">
        <v>0</v>
      </c>
      <c r="AAX18" s="8">
        <v>0</v>
      </c>
      <c r="AAY18" s="8">
        <v>0</v>
      </c>
      <c r="AAZ18" s="8">
        <v>0</v>
      </c>
      <c r="ABA18" s="8">
        <v>0</v>
      </c>
      <c r="ABB18" s="8">
        <v>0</v>
      </c>
      <c r="ABC18" s="8">
        <v>0</v>
      </c>
      <c r="ABD18" s="8">
        <v>0</v>
      </c>
      <c r="ABE18" s="8">
        <v>0</v>
      </c>
      <c r="ABF18" s="8">
        <v>0</v>
      </c>
      <c r="ABG18" s="8">
        <v>0</v>
      </c>
      <c r="ABH18" s="8">
        <v>0</v>
      </c>
      <c r="ABI18" s="8">
        <v>0</v>
      </c>
      <c r="ABJ18" s="8">
        <v>0</v>
      </c>
      <c r="ABK18" s="8">
        <v>0</v>
      </c>
      <c r="ABL18" s="8">
        <v>0</v>
      </c>
      <c r="ABM18" s="8">
        <v>0</v>
      </c>
      <c r="ABN18" s="8">
        <v>0</v>
      </c>
      <c r="ABO18" s="8">
        <v>0</v>
      </c>
      <c r="ABP18" s="8">
        <v>0</v>
      </c>
      <c r="ABQ18" s="8">
        <v>0</v>
      </c>
      <c r="ABR18" s="8">
        <v>0</v>
      </c>
      <c r="ABS18" s="8">
        <v>0</v>
      </c>
      <c r="ABT18" s="8">
        <v>0</v>
      </c>
      <c r="ABU18" s="8">
        <v>0</v>
      </c>
      <c r="ABV18" s="8">
        <v>0</v>
      </c>
      <c r="ABW18" s="8">
        <v>0</v>
      </c>
      <c r="ABX18" s="8">
        <v>0</v>
      </c>
      <c r="ABY18" s="8">
        <v>0</v>
      </c>
      <c r="ABZ18" s="8">
        <v>0</v>
      </c>
      <c r="ACA18" s="8">
        <v>0</v>
      </c>
      <c r="ACB18" s="8">
        <v>0</v>
      </c>
      <c r="ACC18" s="8">
        <v>0</v>
      </c>
      <c r="ACD18" s="8">
        <v>0</v>
      </c>
      <c r="ACE18" s="8">
        <v>0</v>
      </c>
      <c r="ACF18" s="8">
        <v>0</v>
      </c>
      <c r="ACG18" s="8">
        <v>0</v>
      </c>
      <c r="ACH18" s="8">
        <v>0</v>
      </c>
      <c r="ACI18" s="8">
        <v>0</v>
      </c>
      <c r="ACJ18" s="8">
        <v>0</v>
      </c>
      <c r="ACK18" s="8">
        <v>0</v>
      </c>
      <c r="ACL18" s="8">
        <v>0</v>
      </c>
      <c r="ACM18" s="8">
        <v>0</v>
      </c>
      <c r="ACN18" s="8">
        <v>0</v>
      </c>
      <c r="ACO18" s="8">
        <v>0</v>
      </c>
      <c r="ACP18" s="8">
        <v>0</v>
      </c>
      <c r="ACQ18" s="8">
        <v>0</v>
      </c>
      <c r="ACR18" s="8">
        <v>0</v>
      </c>
      <c r="ACS18" s="8">
        <v>0</v>
      </c>
      <c r="ACT18" s="8">
        <v>0</v>
      </c>
      <c r="ACU18" s="8">
        <v>0</v>
      </c>
      <c r="ACV18" s="8">
        <v>0</v>
      </c>
      <c r="ACW18" s="8">
        <v>0</v>
      </c>
      <c r="ACX18" s="8">
        <v>0</v>
      </c>
      <c r="ACY18" s="8">
        <v>0</v>
      </c>
      <c r="ACZ18" s="8">
        <v>0</v>
      </c>
      <c r="ADA18" s="8">
        <v>0</v>
      </c>
      <c r="ADB18" s="8">
        <v>0</v>
      </c>
      <c r="ADC18" s="8">
        <v>0</v>
      </c>
      <c r="ADD18" s="8">
        <v>0</v>
      </c>
      <c r="ADE18" s="8">
        <v>0</v>
      </c>
      <c r="ADF18" s="8">
        <v>0</v>
      </c>
      <c r="ADG18" s="8">
        <v>0</v>
      </c>
      <c r="ADH18" s="8">
        <v>0</v>
      </c>
      <c r="ADI18" s="8">
        <v>0</v>
      </c>
      <c r="ADJ18" s="8">
        <v>0</v>
      </c>
      <c r="ADK18" s="8">
        <v>0</v>
      </c>
      <c r="ADL18" s="8">
        <v>0</v>
      </c>
      <c r="ADM18" s="8">
        <v>0</v>
      </c>
      <c r="ADN18" s="8">
        <v>0</v>
      </c>
      <c r="ADO18" s="8">
        <v>0</v>
      </c>
      <c r="ADP18" s="8">
        <v>0</v>
      </c>
      <c r="ADQ18" s="8">
        <v>0</v>
      </c>
      <c r="ADR18" s="8">
        <v>0</v>
      </c>
      <c r="ADS18" s="8">
        <v>0</v>
      </c>
      <c r="ADT18" s="8">
        <v>0</v>
      </c>
      <c r="ADU18" s="8">
        <v>0</v>
      </c>
      <c r="ADV18" s="8">
        <v>0</v>
      </c>
      <c r="ADW18" s="8">
        <v>0</v>
      </c>
      <c r="ADX18" s="8">
        <v>0</v>
      </c>
      <c r="ADY18" s="8">
        <v>0</v>
      </c>
      <c r="ADZ18" s="8">
        <v>0</v>
      </c>
      <c r="AEA18" s="8">
        <v>0</v>
      </c>
      <c r="AEB18" s="8">
        <v>0</v>
      </c>
      <c r="AEC18" s="8">
        <v>0</v>
      </c>
      <c r="AED18" s="8">
        <v>0</v>
      </c>
      <c r="AEE18" s="8">
        <v>0</v>
      </c>
      <c r="AEF18" s="8">
        <v>0</v>
      </c>
      <c r="AEG18" s="8">
        <v>0</v>
      </c>
      <c r="AEH18" s="8">
        <v>0</v>
      </c>
      <c r="AEI18" s="8">
        <v>0</v>
      </c>
      <c r="AEJ18" s="8">
        <v>0</v>
      </c>
      <c r="AEK18" s="8">
        <v>0</v>
      </c>
      <c r="AEL18" s="8">
        <v>0</v>
      </c>
      <c r="AEM18" s="8">
        <v>0</v>
      </c>
      <c r="AEN18" s="8">
        <v>0</v>
      </c>
      <c r="AEO18" s="8">
        <v>0</v>
      </c>
      <c r="AEP18" s="8">
        <v>0</v>
      </c>
      <c r="AEQ18" s="8">
        <v>0</v>
      </c>
      <c r="AER18" s="8">
        <v>0</v>
      </c>
      <c r="AES18" s="8">
        <v>0</v>
      </c>
      <c r="AET18" s="8">
        <v>0</v>
      </c>
      <c r="AEU18" s="8">
        <v>0</v>
      </c>
      <c r="AEV18" s="8">
        <v>0</v>
      </c>
      <c r="AEW18" s="8">
        <v>0</v>
      </c>
      <c r="AEX18" s="8">
        <v>0</v>
      </c>
      <c r="AEY18" s="8">
        <v>0</v>
      </c>
      <c r="AEZ18" s="8">
        <v>0</v>
      </c>
      <c r="AFA18" s="8">
        <v>0</v>
      </c>
      <c r="AFB18" s="8">
        <v>0</v>
      </c>
      <c r="AFC18" s="8">
        <v>0</v>
      </c>
      <c r="AFD18" s="8">
        <v>0</v>
      </c>
      <c r="AFE18" s="8">
        <v>0</v>
      </c>
      <c r="AFF18" s="8">
        <v>0</v>
      </c>
      <c r="AFG18" s="8">
        <v>0</v>
      </c>
      <c r="AFH18" s="8">
        <v>0</v>
      </c>
      <c r="AFI18" s="8">
        <v>0</v>
      </c>
      <c r="AFJ18" s="8">
        <v>0</v>
      </c>
      <c r="AFK18" s="8">
        <v>0</v>
      </c>
      <c r="AFL18" s="8">
        <v>0</v>
      </c>
      <c r="AFM18" s="8">
        <v>0</v>
      </c>
      <c r="AFN18" s="8">
        <v>0</v>
      </c>
      <c r="AFO18" s="8">
        <v>0</v>
      </c>
      <c r="AFP18" s="8">
        <v>0</v>
      </c>
      <c r="AFQ18" s="8">
        <v>0</v>
      </c>
      <c r="AFR18" s="8">
        <v>0</v>
      </c>
      <c r="AFS18" s="8">
        <v>0</v>
      </c>
      <c r="AFT18" s="8">
        <v>0</v>
      </c>
      <c r="AFU18" s="8">
        <v>0</v>
      </c>
      <c r="AFV18" s="8">
        <v>0</v>
      </c>
      <c r="AFW18" s="8">
        <v>0</v>
      </c>
      <c r="AFX18" s="8">
        <v>0</v>
      </c>
      <c r="AFY18" s="8">
        <v>0</v>
      </c>
      <c r="AFZ18" s="8">
        <v>0</v>
      </c>
      <c r="AGA18" s="8">
        <v>0</v>
      </c>
      <c r="AGB18" s="8">
        <v>0</v>
      </c>
      <c r="AGC18" s="8">
        <v>0</v>
      </c>
      <c r="AGD18" s="8">
        <v>0</v>
      </c>
      <c r="AGE18" s="8">
        <v>0</v>
      </c>
      <c r="AGF18" s="8">
        <v>0</v>
      </c>
      <c r="AGG18" s="8">
        <v>0</v>
      </c>
      <c r="AGH18" s="8">
        <v>0</v>
      </c>
      <c r="AGI18" s="8">
        <v>0</v>
      </c>
      <c r="AGJ18" s="8">
        <v>0</v>
      </c>
      <c r="AGK18" s="8">
        <v>0</v>
      </c>
      <c r="AGL18" s="8">
        <v>0</v>
      </c>
      <c r="AGM18" s="8">
        <v>0</v>
      </c>
      <c r="AGN18" s="8">
        <v>0</v>
      </c>
      <c r="AGO18" s="8">
        <v>0</v>
      </c>
      <c r="AGP18" s="8">
        <v>0</v>
      </c>
      <c r="AGQ18" s="8">
        <v>0</v>
      </c>
      <c r="AGR18" s="8">
        <v>0</v>
      </c>
      <c r="AGS18" s="8">
        <v>0</v>
      </c>
      <c r="AGT18" s="8">
        <v>0</v>
      </c>
      <c r="AGU18" s="8">
        <v>0</v>
      </c>
      <c r="AGV18" s="8">
        <v>0</v>
      </c>
      <c r="AGW18" s="8">
        <v>0</v>
      </c>
      <c r="AGX18" s="8">
        <v>0</v>
      </c>
      <c r="AGY18" s="8">
        <v>0</v>
      </c>
      <c r="AGZ18" s="8">
        <v>0</v>
      </c>
      <c r="AHA18" s="8">
        <v>0</v>
      </c>
      <c r="AHB18" s="8">
        <v>0</v>
      </c>
      <c r="AHC18" s="8">
        <v>0</v>
      </c>
      <c r="AHD18" s="8">
        <v>0</v>
      </c>
      <c r="AHE18" s="8">
        <v>0</v>
      </c>
      <c r="AHF18" s="8">
        <v>0</v>
      </c>
      <c r="AHG18" s="8">
        <v>0</v>
      </c>
      <c r="AHH18" s="8">
        <v>0</v>
      </c>
      <c r="AHI18" s="8">
        <v>0</v>
      </c>
      <c r="AHJ18" s="8">
        <v>0</v>
      </c>
      <c r="AHK18" s="8">
        <v>0</v>
      </c>
      <c r="AHL18" s="8">
        <v>0</v>
      </c>
      <c r="AHM18" s="8">
        <v>0</v>
      </c>
      <c r="AHN18" s="8">
        <v>0</v>
      </c>
      <c r="AHO18" s="8">
        <v>0</v>
      </c>
      <c r="AHP18" s="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 t="e">
        <v>#N/A</v>
      </c>
      <c r="AIJ18" t="e">
        <v>#N/A</v>
      </c>
      <c r="AIK18" t="e">
        <v>#N/A</v>
      </c>
      <c r="AIL18" t="e">
        <v>#N/A</v>
      </c>
      <c r="AIM18" t="e">
        <v>#N/A</v>
      </c>
      <c r="AIN18" t="e">
        <v>#N/A</v>
      </c>
      <c r="AIO18" t="e">
        <v>#N/A</v>
      </c>
      <c r="AIP18" t="e">
        <v>#N/A</v>
      </c>
      <c r="AIQ18" t="e">
        <v>#N/A</v>
      </c>
      <c r="AIR18" t="e">
        <v>#N/A</v>
      </c>
      <c r="AIS18" t="e">
        <v>#N/A</v>
      </c>
      <c r="AIT18" t="e">
        <v>#N/A</v>
      </c>
      <c r="AIU18" t="e">
        <v>#N/A</v>
      </c>
      <c r="AIV18" t="e">
        <v>#N/A</v>
      </c>
      <c r="AIW18" t="e">
        <v>#N/A</v>
      </c>
      <c r="AIX18" t="e">
        <v>#N/A</v>
      </c>
      <c r="AIY18" t="e">
        <v>#N/A</v>
      </c>
      <c r="AIZ18" t="e">
        <v>#N/A</v>
      </c>
      <c r="AJA18" t="e">
        <v>#N/A</v>
      </c>
      <c r="AJB18" t="e">
        <v>#N/A</v>
      </c>
      <c r="AJC18" t="e">
        <v>#N/A</v>
      </c>
      <c r="AJD18" t="e">
        <v>#N/A</v>
      </c>
      <c r="AJE18" t="e">
        <v>#N/A</v>
      </c>
      <c r="AJF18" t="e">
        <v>#N/A</v>
      </c>
      <c r="AJG18" t="e">
        <v>#N/A</v>
      </c>
      <c r="AJH18" t="e">
        <v>#N/A</v>
      </c>
      <c r="AJI18" t="e">
        <v>#N/A</v>
      </c>
      <c r="AJJ18" t="e">
        <v>#N/A</v>
      </c>
      <c r="AJK18" t="e">
        <v>#N/A</v>
      </c>
      <c r="AJL18" t="e">
        <v>#N/A</v>
      </c>
      <c r="AJM18" t="e">
        <v>#N/A</v>
      </c>
      <c r="AJN18" t="e">
        <v>#N/A</v>
      </c>
      <c r="AJO18" t="e">
        <v>#N/A</v>
      </c>
      <c r="AJP18" t="e">
        <v>#N/A</v>
      </c>
      <c r="AJQ18" t="e">
        <v>#N/A</v>
      </c>
      <c r="AJR18" t="e">
        <v>#N/A</v>
      </c>
      <c r="AJS18" t="e">
        <v>#N/A</v>
      </c>
      <c r="AJT18" t="e">
        <v>#N/A</v>
      </c>
      <c r="AJU18" t="e">
        <v>#N/A</v>
      </c>
      <c r="AJV18" t="e">
        <v>#N/A</v>
      </c>
      <c r="AJW18" t="e">
        <v>#N/A</v>
      </c>
      <c r="AJX18" t="e">
        <v>#N/A</v>
      </c>
      <c r="AJY18" t="e">
        <v>#N/A</v>
      </c>
      <c r="AJZ18" t="e">
        <v>#N/A</v>
      </c>
      <c r="AKA18" t="e">
        <v>#N/A</v>
      </c>
      <c r="AKB18" t="e">
        <v>#N/A</v>
      </c>
      <c r="AKC18" t="e">
        <v>#N/A</v>
      </c>
      <c r="AKD18" t="e">
        <v>#N/A</v>
      </c>
      <c r="AKE18" t="e">
        <v>#N/A</v>
      </c>
      <c r="AKF18" t="e">
        <v>#N/A</v>
      </c>
      <c r="AKG18" t="e">
        <v>#N/A</v>
      </c>
      <c r="AKH18" t="e">
        <v>#N/A</v>
      </c>
      <c r="AKI18" t="e">
        <v>#N/A</v>
      </c>
      <c r="AKJ18" t="e">
        <v>#N/A</v>
      </c>
      <c r="AKK18" t="e">
        <v>#N/A</v>
      </c>
      <c r="AKL18" t="e">
        <v>#N/A</v>
      </c>
      <c r="AKM18" t="e">
        <v>#N/A</v>
      </c>
      <c r="AKN18" t="e">
        <v>#N/A</v>
      </c>
      <c r="AKO18" t="e">
        <v>#N/A</v>
      </c>
      <c r="AKP18" t="e">
        <v>#N/A</v>
      </c>
      <c r="AKQ18" t="e">
        <v>#N/A</v>
      </c>
      <c r="AKR18" t="e">
        <v>#N/A</v>
      </c>
      <c r="AKS18" t="e">
        <v>#N/A</v>
      </c>
      <c r="AKT18" t="e">
        <v>#N/A</v>
      </c>
      <c r="AKU18" t="e">
        <v>#N/A</v>
      </c>
      <c r="AKV18" t="e">
        <v>#N/A</v>
      </c>
      <c r="AKW18" t="e">
        <v>#N/A</v>
      </c>
      <c r="AKX18" t="e">
        <v>#N/A</v>
      </c>
      <c r="AKY18" t="e">
        <v>#N/A</v>
      </c>
      <c r="AKZ18" t="e">
        <v>#N/A</v>
      </c>
      <c r="ALA18" t="e">
        <v>#N/A</v>
      </c>
      <c r="ALB18" t="e">
        <v>#N/A</v>
      </c>
      <c r="ALC18" t="e">
        <v>#N/A</v>
      </c>
      <c r="ALD18" t="e">
        <v>#N/A</v>
      </c>
      <c r="ALE18" t="e">
        <v>#N/A</v>
      </c>
      <c r="ALF18" t="e">
        <v>#N/A</v>
      </c>
      <c r="ALG18" t="e">
        <v>#N/A</v>
      </c>
      <c r="ALH18" t="e">
        <v>#N/A</v>
      </c>
      <c r="ALI18" t="e">
        <v>#N/A</v>
      </c>
      <c r="ALJ18" t="e">
        <v>#N/A</v>
      </c>
      <c r="ALK18" t="e">
        <v>#N/A</v>
      </c>
      <c r="ALL18" t="e">
        <v>#N/A</v>
      </c>
      <c r="ALM18" t="e">
        <v>#N/A</v>
      </c>
      <c r="ALN18" t="e">
        <v>#N/A</v>
      </c>
      <c r="ALO18" t="e">
        <v>#N/A</v>
      </c>
      <c r="ALP18" t="e">
        <v>#N/A</v>
      </c>
      <c r="ALQ18" t="e">
        <v>#N/A</v>
      </c>
      <c r="ALR18" t="e">
        <v>#N/A</v>
      </c>
      <c r="ALS18" t="e">
        <v>#N/A</v>
      </c>
      <c r="ALT18" t="e">
        <v>#N/A</v>
      </c>
      <c r="ALU18" t="e">
        <v>#N/A</v>
      </c>
      <c r="ALV18" t="e">
        <v>#N/A</v>
      </c>
      <c r="ALW18" t="e">
        <v>#N/A</v>
      </c>
      <c r="ALX18" t="e">
        <v>#N/A</v>
      </c>
      <c r="ALY18" t="e">
        <v>#N/A</v>
      </c>
      <c r="ALZ18" t="e">
        <v>#N/A</v>
      </c>
      <c r="AMA18" t="e">
        <v>#N/A</v>
      </c>
      <c r="AMB18" t="e">
        <v>#N/A</v>
      </c>
      <c r="AMC18" t="e">
        <v>#N/A</v>
      </c>
      <c r="AMD18" t="e">
        <v>#N/A</v>
      </c>
      <c r="AME18" t="e">
        <v>#N/A</v>
      </c>
      <c r="AMF18" t="e">
        <v>#N/A</v>
      </c>
      <c r="AMG18" t="e">
        <v>#N/A</v>
      </c>
      <c r="AMH18" t="e">
        <v>#N/A</v>
      </c>
    </row>
    <row r="19" spans="1:1022" ht="15.75" customHeight="1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0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0</v>
      </c>
      <c r="IJ19" s="8">
        <v>0</v>
      </c>
      <c r="IK19" s="8">
        <v>0</v>
      </c>
      <c r="IL19" s="8">
        <v>0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0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0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0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0</v>
      </c>
      <c r="LU19" s="8">
        <v>0</v>
      </c>
      <c r="LV19" s="8">
        <v>0</v>
      </c>
      <c r="LW19" s="8">
        <v>0</v>
      </c>
      <c r="LX19" s="8">
        <v>0</v>
      </c>
      <c r="LY19" s="8">
        <v>0</v>
      </c>
      <c r="LZ19" s="8">
        <v>0</v>
      </c>
      <c r="MA19" s="8">
        <v>0</v>
      </c>
      <c r="MB19" s="8">
        <v>0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0</v>
      </c>
      <c r="NN19" s="8">
        <v>0</v>
      </c>
      <c r="NO19" s="8">
        <v>0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0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0</v>
      </c>
      <c r="OR19" s="8">
        <v>0</v>
      </c>
      <c r="OS19" s="8">
        <v>0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0</v>
      </c>
      <c r="PG19" s="8">
        <v>0</v>
      </c>
      <c r="PH19" s="8">
        <v>0</v>
      </c>
      <c r="PI19" s="8">
        <v>0</v>
      </c>
      <c r="PJ19" s="8">
        <v>0</v>
      </c>
      <c r="PK19" s="8">
        <v>0</v>
      </c>
      <c r="PL19" s="8">
        <v>0</v>
      </c>
      <c r="PM19" s="8">
        <v>0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</v>
      </c>
      <c r="PU19" s="8">
        <v>0</v>
      </c>
      <c r="PV19" s="8">
        <v>0</v>
      </c>
      <c r="PW19" s="8">
        <v>0</v>
      </c>
      <c r="PX19" s="8">
        <v>0</v>
      </c>
      <c r="PY19" s="8">
        <v>0</v>
      </c>
      <c r="PZ19" s="8">
        <v>0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0</v>
      </c>
      <c r="QJ19" s="8">
        <v>0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</v>
      </c>
      <c r="RN19" s="8">
        <v>0</v>
      </c>
      <c r="RO19" s="8">
        <v>0</v>
      </c>
      <c r="RP19" s="8">
        <v>0</v>
      </c>
      <c r="RQ19" s="8">
        <v>0</v>
      </c>
      <c r="RR19" s="8">
        <v>0</v>
      </c>
      <c r="RS19" s="8">
        <v>0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0</v>
      </c>
      <c r="SV19" s="8">
        <v>0</v>
      </c>
      <c r="SW19" s="8">
        <v>0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0</v>
      </c>
      <c r="TF19" s="8">
        <v>0</v>
      </c>
      <c r="TG19" s="8">
        <v>0</v>
      </c>
      <c r="TH19" s="8">
        <v>0</v>
      </c>
      <c r="TI19" s="8">
        <v>0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0</v>
      </c>
      <c r="TP19" s="8">
        <v>0</v>
      </c>
      <c r="TQ19" s="8">
        <v>0</v>
      </c>
      <c r="TR19" s="8">
        <v>0</v>
      </c>
      <c r="TS19" s="8">
        <v>0</v>
      </c>
      <c r="TT19" s="8">
        <v>0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</v>
      </c>
      <c r="UK19" s="8">
        <v>0</v>
      </c>
      <c r="UL19" s="8">
        <v>0</v>
      </c>
      <c r="UM19" s="8">
        <v>0</v>
      </c>
      <c r="UN19" s="8">
        <v>0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0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0</v>
      </c>
      <c r="VG19" s="8">
        <v>0</v>
      </c>
      <c r="VH19" s="8">
        <v>0</v>
      </c>
      <c r="VI19" s="8">
        <v>0</v>
      </c>
      <c r="VJ19" s="8">
        <v>0</v>
      </c>
      <c r="VK19" s="8">
        <v>0</v>
      </c>
      <c r="VL19" s="8">
        <v>0</v>
      </c>
      <c r="VM19" s="8">
        <v>0</v>
      </c>
      <c r="VN19" s="8">
        <v>0</v>
      </c>
      <c r="VO19" s="8">
        <v>0</v>
      </c>
      <c r="VP19" s="8">
        <v>0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0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0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  <c r="XB19" s="8">
        <v>0</v>
      </c>
      <c r="XC19" s="8">
        <v>0</v>
      </c>
      <c r="XD19" s="8">
        <v>0</v>
      </c>
      <c r="XE19" s="8">
        <v>0</v>
      </c>
      <c r="XF19" s="8">
        <v>0</v>
      </c>
      <c r="XG19" s="8">
        <v>0</v>
      </c>
      <c r="XH19" s="8">
        <v>0</v>
      </c>
      <c r="XI19" s="8">
        <v>0</v>
      </c>
      <c r="XJ19" s="8">
        <v>0</v>
      </c>
      <c r="XK19" s="8">
        <v>0</v>
      </c>
      <c r="XL19" s="8">
        <v>0</v>
      </c>
      <c r="XM19" s="8">
        <v>0</v>
      </c>
      <c r="XN19" s="8">
        <v>0</v>
      </c>
      <c r="XO19" s="8">
        <v>0</v>
      </c>
      <c r="XP19" s="8">
        <v>0</v>
      </c>
      <c r="XQ19" s="8">
        <v>0</v>
      </c>
      <c r="XR19" s="8">
        <v>0</v>
      </c>
      <c r="XS19" s="8">
        <v>0</v>
      </c>
      <c r="XT19" s="8">
        <v>0</v>
      </c>
      <c r="XU19" s="8">
        <v>0</v>
      </c>
      <c r="XV19" s="8">
        <v>0</v>
      </c>
      <c r="XW19" s="8">
        <v>0</v>
      </c>
      <c r="XX19" s="8">
        <v>0</v>
      </c>
      <c r="XY19" s="8">
        <v>0</v>
      </c>
      <c r="XZ19" s="8">
        <v>0</v>
      </c>
      <c r="YA19" s="8">
        <v>0</v>
      </c>
      <c r="YB19" s="8">
        <v>0</v>
      </c>
      <c r="YC19" s="8">
        <v>0</v>
      </c>
      <c r="YD19" s="8">
        <v>0</v>
      </c>
      <c r="YE19" s="8">
        <v>0</v>
      </c>
      <c r="YF19" s="8">
        <v>0</v>
      </c>
      <c r="YG19" s="8">
        <v>0</v>
      </c>
      <c r="YH19" s="8">
        <v>0</v>
      </c>
      <c r="YI19" s="8">
        <v>0</v>
      </c>
      <c r="YJ19" s="8">
        <v>0</v>
      </c>
      <c r="YK19" s="8">
        <v>0</v>
      </c>
      <c r="YL19" s="8">
        <v>0</v>
      </c>
      <c r="YM19" s="8">
        <v>0</v>
      </c>
      <c r="YN19" s="8">
        <v>0</v>
      </c>
      <c r="YO19" s="8">
        <v>0</v>
      </c>
      <c r="YP19" s="8">
        <v>0</v>
      </c>
      <c r="YQ19" s="8">
        <v>0</v>
      </c>
      <c r="YR19" s="8">
        <v>0</v>
      </c>
      <c r="YS19" s="8">
        <v>0</v>
      </c>
      <c r="YT19" s="8">
        <v>0</v>
      </c>
      <c r="YU19" s="8">
        <v>0</v>
      </c>
      <c r="YV19" s="8">
        <v>0</v>
      </c>
      <c r="YW19" s="8">
        <v>0</v>
      </c>
      <c r="YX19" s="8">
        <v>0</v>
      </c>
      <c r="YY19" s="8">
        <v>0</v>
      </c>
      <c r="YZ19" s="8">
        <v>0</v>
      </c>
      <c r="ZA19" s="8">
        <v>0</v>
      </c>
      <c r="ZB19" s="8">
        <v>0</v>
      </c>
      <c r="ZC19" s="8">
        <v>0</v>
      </c>
      <c r="ZD19" s="8">
        <v>0</v>
      </c>
      <c r="ZE19" s="8">
        <v>0</v>
      </c>
      <c r="ZF19" s="8">
        <v>0</v>
      </c>
      <c r="ZG19" s="8">
        <v>0</v>
      </c>
      <c r="ZH19" s="8">
        <v>0</v>
      </c>
      <c r="ZI19" s="8">
        <v>0</v>
      </c>
      <c r="ZJ19" s="8">
        <v>0</v>
      </c>
      <c r="ZK19" s="8">
        <v>0</v>
      </c>
      <c r="ZL19" s="8">
        <v>0</v>
      </c>
      <c r="ZM19" s="8">
        <v>0</v>
      </c>
      <c r="ZN19" s="8">
        <v>0</v>
      </c>
      <c r="ZO19" s="8">
        <v>0</v>
      </c>
      <c r="ZP19" s="8">
        <v>0</v>
      </c>
      <c r="ZQ19" s="8">
        <v>0</v>
      </c>
      <c r="ZR19" s="8">
        <v>0</v>
      </c>
      <c r="ZS19" s="8">
        <v>0</v>
      </c>
      <c r="ZT19" s="8">
        <v>0</v>
      </c>
      <c r="ZU19" s="8">
        <v>0</v>
      </c>
      <c r="ZV19" s="8">
        <v>0</v>
      </c>
      <c r="ZW19" s="8">
        <v>0</v>
      </c>
      <c r="ZX19" s="8">
        <v>0</v>
      </c>
      <c r="ZY19" s="8">
        <v>0</v>
      </c>
      <c r="ZZ19" s="8">
        <v>0</v>
      </c>
      <c r="AAA19" s="8">
        <v>0</v>
      </c>
      <c r="AAB19" s="8">
        <v>0</v>
      </c>
      <c r="AAC19" s="8">
        <v>0</v>
      </c>
      <c r="AAD19" s="8">
        <v>0</v>
      </c>
      <c r="AAE19" s="8">
        <v>0</v>
      </c>
      <c r="AAF19" s="8">
        <v>0</v>
      </c>
      <c r="AAG19" s="8">
        <v>0</v>
      </c>
      <c r="AAH19" s="8">
        <v>0</v>
      </c>
      <c r="AAI19" s="8">
        <v>0</v>
      </c>
      <c r="AAJ19" s="8">
        <v>0</v>
      </c>
      <c r="AAK19" s="8">
        <v>0</v>
      </c>
      <c r="AAL19" s="8">
        <v>0</v>
      </c>
      <c r="AAM19" s="8">
        <v>0</v>
      </c>
      <c r="AAN19" s="8">
        <v>0</v>
      </c>
      <c r="AAO19" s="8">
        <v>0</v>
      </c>
      <c r="AAP19" s="8">
        <v>0</v>
      </c>
      <c r="AAQ19" s="8">
        <v>0</v>
      </c>
      <c r="AAR19" s="8">
        <v>0</v>
      </c>
      <c r="AAS19" s="8">
        <v>0</v>
      </c>
      <c r="AAT19" s="8">
        <v>0</v>
      </c>
      <c r="AAU19" s="8">
        <v>0</v>
      </c>
      <c r="AAV19" s="8">
        <v>0</v>
      </c>
      <c r="AAW19" s="8">
        <v>0</v>
      </c>
      <c r="AAX19" s="8">
        <v>0</v>
      </c>
      <c r="AAY19" s="8">
        <v>0</v>
      </c>
      <c r="AAZ19" s="8">
        <v>0</v>
      </c>
      <c r="ABA19" s="8">
        <v>0</v>
      </c>
      <c r="ABB19" s="8">
        <v>0</v>
      </c>
      <c r="ABC19" s="8">
        <v>0</v>
      </c>
      <c r="ABD19" s="8">
        <v>0</v>
      </c>
      <c r="ABE19" s="8">
        <v>0</v>
      </c>
      <c r="ABF19" s="8">
        <v>0</v>
      </c>
      <c r="ABG19" s="8">
        <v>0</v>
      </c>
      <c r="ABH19" s="8">
        <v>0</v>
      </c>
      <c r="ABI19" s="8">
        <v>0</v>
      </c>
      <c r="ABJ19" s="8">
        <v>0</v>
      </c>
      <c r="ABK19" s="8">
        <v>0</v>
      </c>
      <c r="ABL19" s="8">
        <v>0</v>
      </c>
      <c r="ABM19" s="8">
        <v>0</v>
      </c>
      <c r="ABN19" s="8">
        <v>0</v>
      </c>
      <c r="ABO19" s="8">
        <v>0</v>
      </c>
      <c r="ABP19" s="8">
        <v>0</v>
      </c>
      <c r="ABQ19" s="8">
        <v>0</v>
      </c>
      <c r="ABR19" s="8">
        <v>0</v>
      </c>
      <c r="ABS19" s="8">
        <v>0</v>
      </c>
      <c r="ABT19" s="8">
        <v>0</v>
      </c>
      <c r="ABU19" s="8">
        <v>0</v>
      </c>
      <c r="ABV19" s="8">
        <v>0</v>
      </c>
      <c r="ABW19" s="8">
        <v>0</v>
      </c>
      <c r="ABX19" s="8">
        <v>0</v>
      </c>
      <c r="ABY19" s="8">
        <v>0</v>
      </c>
      <c r="ABZ19" s="8">
        <v>0</v>
      </c>
      <c r="ACA19" s="8">
        <v>0</v>
      </c>
      <c r="ACB19" s="8">
        <v>0</v>
      </c>
      <c r="ACC19" s="8">
        <v>0</v>
      </c>
      <c r="ACD19" s="8">
        <v>0</v>
      </c>
      <c r="ACE19" s="8">
        <v>0</v>
      </c>
      <c r="ACF19" s="8">
        <v>0</v>
      </c>
      <c r="ACG19" s="8">
        <v>0</v>
      </c>
      <c r="ACH19" s="8">
        <v>0</v>
      </c>
      <c r="ACI19" s="8">
        <v>0</v>
      </c>
      <c r="ACJ19" s="8">
        <v>0</v>
      </c>
      <c r="ACK19" s="8">
        <v>0</v>
      </c>
      <c r="ACL19" s="8">
        <v>0</v>
      </c>
      <c r="ACM19" s="8">
        <v>0</v>
      </c>
      <c r="ACN19" s="8">
        <v>0</v>
      </c>
      <c r="ACO19" s="8">
        <v>0</v>
      </c>
      <c r="ACP19" s="8">
        <v>0</v>
      </c>
      <c r="ACQ19" s="8">
        <v>0</v>
      </c>
      <c r="ACR19" s="8">
        <v>0</v>
      </c>
      <c r="ACS19" s="8">
        <v>0</v>
      </c>
      <c r="ACT19" s="8">
        <v>0</v>
      </c>
      <c r="ACU19" s="8">
        <v>0</v>
      </c>
      <c r="ACV19" s="8">
        <v>0</v>
      </c>
      <c r="ACW19" s="8">
        <v>0</v>
      </c>
      <c r="ACX19" s="8">
        <v>0</v>
      </c>
      <c r="ACY19" s="8">
        <v>0</v>
      </c>
      <c r="ACZ19" s="8">
        <v>0</v>
      </c>
      <c r="ADA19" s="8">
        <v>0</v>
      </c>
      <c r="ADB19" s="8">
        <v>0</v>
      </c>
      <c r="ADC19" s="8">
        <v>0</v>
      </c>
      <c r="ADD19" s="8">
        <v>0</v>
      </c>
      <c r="ADE19" s="8">
        <v>0</v>
      </c>
      <c r="ADF19" s="8">
        <v>0</v>
      </c>
      <c r="ADG19" s="8">
        <v>0</v>
      </c>
      <c r="ADH19" s="8">
        <v>0</v>
      </c>
      <c r="ADI19" s="8">
        <v>0</v>
      </c>
      <c r="ADJ19" s="8">
        <v>0</v>
      </c>
      <c r="ADK19" s="8">
        <v>0</v>
      </c>
      <c r="ADL19" s="8">
        <v>0</v>
      </c>
      <c r="ADM19" s="8">
        <v>0</v>
      </c>
      <c r="ADN19" s="8">
        <v>0</v>
      </c>
      <c r="ADO19" s="8">
        <v>0</v>
      </c>
      <c r="ADP19" s="8">
        <v>0</v>
      </c>
      <c r="ADQ19" s="8">
        <v>0</v>
      </c>
      <c r="ADR19" s="8">
        <v>0</v>
      </c>
      <c r="ADS19" s="8">
        <v>0</v>
      </c>
      <c r="ADT19" s="8">
        <v>0</v>
      </c>
      <c r="ADU19" s="8">
        <v>0</v>
      </c>
      <c r="ADV19" s="8">
        <v>0</v>
      </c>
      <c r="ADW19" s="8">
        <v>0</v>
      </c>
      <c r="ADX19" s="8">
        <v>0</v>
      </c>
      <c r="ADY19" s="8">
        <v>0</v>
      </c>
      <c r="ADZ19" s="8">
        <v>0</v>
      </c>
      <c r="AEA19" s="8">
        <v>0</v>
      </c>
      <c r="AEB19" s="8">
        <v>0</v>
      </c>
      <c r="AEC19" s="8">
        <v>0</v>
      </c>
      <c r="AED19" s="8">
        <v>0</v>
      </c>
      <c r="AEE19" s="8">
        <v>0</v>
      </c>
      <c r="AEF19" s="8">
        <v>0</v>
      </c>
      <c r="AEG19" s="8">
        <v>0</v>
      </c>
      <c r="AEH19" s="8">
        <v>0</v>
      </c>
      <c r="AEI19" s="8">
        <v>0</v>
      </c>
      <c r="AEJ19" s="8">
        <v>0</v>
      </c>
      <c r="AEK19" s="8">
        <v>0</v>
      </c>
      <c r="AEL19" s="8">
        <v>0</v>
      </c>
      <c r="AEM19" s="8">
        <v>0</v>
      </c>
      <c r="AEN19" s="8">
        <v>0</v>
      </c>
      <c r="AEO19" s="8">
        <v>0</v>
      </c>
      <c r="AEP19" s="8">
        <v>0</v>
      </c>
      <c r="AEQ19" s="8">
        <v>0</v>
      </c>
      <c r="AER19" s="8">
        <v>0</v>
      </c>
      <c r="AES19" s="8">
        <v>0</v>
      </c>
      <c r="AET19" s="8">
        <v>0</v>
      </c>
      <c r="AEU19" s="8">
        <v>0</v>
      </c>
      <c r="AEV19" s="8">
        <v>0</v>
      </c>
      <c r="AEW19" s="8">
        <v>0</v>
      </c>
      <c r="AEX19" s="8">
        <v>0</v>
      </c>
      <c r="AEY19" s="8">
        <v>0</v>
      </c>
      <c r="AEZ19" s="8">
        <v>0</v>
      </c>
      <c r="AFA19" s="8">
        <v>0</v>
      </c>
      <c r="AFB19" s="8">
        <v>0</v>
      </c>
      <c r="AFC19" s="8">
        <v>0</v>
      </c>
      <c r="AFD19" s="8">
        <v>0</v>
      </c>
      <c r="AFE19" s="8">
        <v>0</v>
      </c>
      <c r="AFF19" s="8">
        <v>0</v>
      </c>
      <c r="AFG19" s="8">
        <v>0</v>
      </c>
      <c r="AFH19" s="8">
        <v>0</v>
      </c>
      <c r="AFI19" s="8">
        <v>0</v>
      </c>
      <c r="AFJ19" s="8">
        <v>0</v>
      </c>
      <c r="AFK19" s="8">
        <v>0</v>
      </c>
      <c r="AFL19" s="8">
        <v>0</v>
      </c>
      <c r="AFM19" s="8">
        <v>0</v>
      </c>
      <c r="AFN19" s="8">
        <v>0</v>
      </c>
      <c r="AFO19" s="8">
        <v>0</v>
      </c>
      <c r="AFP19" s="8">
        <v>0</v>
      </c>
      <c r="AFQ19" s="8">
        <v>0</v>
      </c>
      <c r="AFR19" s="8">
        <v>0</v>
      </c>
      <c r="AFS19" s="8">
        <v>0</v>
      </c>
      <c r="AFT19" s="8">
        <v>0</v>
      </c>
      <c r="AFU19" s="8">
        <v>0</v>
      </c>
      <c r="AFV19" s="8">
        <v>0</v>
      </c>
      <c r="AFW19" s="8">
        <v>0</v>
      </c>
      <c r="AFX19" s="8">
        <v>0</v>
      </c>
      <c r="AFY19" s="8">
        <v>0</v>
      </c>
      <c r="AFZ19" s="8">
        <v>0</v>
      </c>
      <c r="AGA19" s="8">
        <v>0</v>
      </c>
      <c r="AGB19" s="8">
        <v>0</v>
      </c>
      <c r="AGC19" s="8">
        <v>0</v>
      </c>
      <c r="AGD19" s="8">
        <v>0</v>
      </c>
      <c r="AGE19" s="8">
        <v>0</v>
      </c>
      <c r="AGF19" s="8">
        <v>0</v>
      </c>
      <c r="AGG19" s="8">
        <v>0</v>
      </c>
      <c r="AGH19" s="8">
        <v>0</v>
      </c>
      <c r="AGI19" s="8">
        <v>0</v>
      </c>
      <c r="AGJ19" s="8">
        <v>0</v>
      </c>
      <c r="AGK19" s="8">
        <v>0</v>
      </c>
      <c r="AGL19" s="8">
        <v>0</v>
      </c>
      <c r="AGM19" s="8">
        <v>0</v>
      </c>
      <c r="AGN19" s="8">
        <v>0</v>
      </c>
      <c r="AGO19" s="8">
        <v>0</v>
      </c>
      <c r="AGP19" s="8">
        <v>0</v>
      </c>
      <c r="AGQ19" s="8">
        <v>0</v>
      </c>
      <c r="AGR19" s="8">
        <v>0</v>
      </c>
      <c r="AGS19" s="8">
        <v>0</v>
      </c>
      <c r="AGT19" s="8">
        <v>0</v>
      </c>
      <c r="AGU19" s="8">
        <v>0</v>
      </c>
      <c r="AGV19" s="8">
        <v>0</v>
      </c>
      <c r="AGW19" s="8">
        <v>0</v>
      </c>
      <c r="AGX19" s="8">
        <v>0</v>
      </c>
      <c r="AGY19" s="8">
        <v>0</v>
      </c>
      <c r="AGZ19" s="8">
        <v>0</v>
      </c>
      <c r="AHA19" s="8">
        <v>0</v>
      </c>
      <c r="AHB19" s="8">
        <v>0</v>
      </c>
      <c r="AHC19" s="8">
        <v>0</v>
      </c>
      <c r="AHD19" s="8">
        <v>0</v>
      </c>
      <c r="AHE19" s="8">
        <v>0</v>
      </c>
      <c r="AHF19" s="8">
        <v>0</v>
      </c>
      <c r="AHG19" s="8">
        <v>0</v>
      </c>
      <c r="AHH19" s="8">
        <v>0</v>
      </c>
      <c r="AHI19" s="8">
        <v>0</v>
      </c>
      <c r="AHJ19" s="8">
        <v>0</v>
      </c>
      <c r="AHK19" s="8">
        <v>0</v>
      </c>
      <c r="AHL19" s="8">
        <v>0</v>
      </c>
      <c r="AHM19" s="8">
        <v>0</v>
      </c>
      <c r="AHN19" s="8">
        <v>0</v>
      </c>
      <c r="AHO19" s="8">
        <v>0</v>
      </c>
      <c r="AHP19" s="8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 t="e">
        <v>#N/A</v>
      </c>
      <c r="AIJ19" t="e">
        <v>#N/A</v>
      </c>
      <c r="AIK19" t="e">
        <v>#N/A</v>
      </c>
      <c r="AIL19" t="e">
        <v>#N/A</v>
      </c>
      <c r="AIM19" t="e">
        <v>#N/A</v>
      </c>
      <c r="AIN19" t="e">
        <v>#N/A</v>
      </c>
      <c r="AIO19" t="e">
        <v>#N/A</v>
      </c>
      <c r="AIP19" t="e">
        <v>#N/A</v>
      </c>
      <c r="AIQ19" t="e">
        <v>#N/A</v>
      </c>
      <c r="AIR19" t="e">
        <v>#N/A</v>
      </c>
      <c r="AIS19" t="e">
        <v>#N/A</v>
      </c>
      <c r="AIT19" t="e">
        <v>#N/A</v>
      </c>
      <c r="AIU19" t="e">
        <v>#N/A</v>
      </c>
      <c r="AIV19" t="e">
        <v>#N/A</v>
      </c>
      <c r="AIW19" t="e">
        <v>#N/A</v>
      </c>
      <c r="AIX19" t="e">
        <v>#N/A</v>
      </c>
      <c r="AIY19" t="e">
        <v>#N/A</v>
      </c>
      <c r="AIZ19" t="e">
        <v>#N/A</v>
      </c>
      <c r="AJA19" t="e">
        <v>#N/A</v>
      </c>
      <c r="AJB19" t="e">
        <v>#N/A</v>
      </c>
      <c r="AJC19" t="e">
        <v>#N/A</v>
      </c>
      <c r="AJD19" t="e">
        <v>#N/A</v>
      </c>
      <c r="AJE19" t="e">
        <v>#N/A</v>
      </c>
      <c r="AJF19" t="e">
        <v>#N/A</v>
      </c>
      <c r="AJG19" t="e">
        <v>#N/A</v>
      </c>
      <c r="AJH19" t="e">
        <v>#N/A</v>
      </c>
      <c r="AJI19" t="e">
        <v>#N/A</v>
      </c>
      <c r="AJJ19" t="e">
        <v>#N/A</v>
      </c>
      <c r="AJK19" t="e">
        <v>#N/A</v>
      </c>
      <c r="AJL19" t="e">
        <v>#N/A</v>
      </c>
      <c r="AJM19" t="e">
        <v>#N/A</v>
      </c>
      <c r="AJN19" t="e">
        <v>#N/A</v>
      </c>
      <c r="AJO19" t="e">
        <v>#N/A</v>
      </c>
      <c r="AJP19" t="e">
        <v>#N/A</v>
      </c>
      <c r="AJQ19" t="e">
        <v>#N/A</v>
      </c>
      <c r="AJR19" t="e">
        <v>#N/A</v>
      </c>
      <c r="AJS19" t="e">
        <v>#N/A</v>
      </c>
      <c r="AJT19" t="e">
        <v>#N/A</v>
      </c>
      <c r="AJU19" t="e">
        <v>#N/A</v>
      </c>
      <c r="AJV19" t="e">
        <v>#N/A</v>
      </c>
      <c r="AJW19" t="e">
        <v>#N/A</v>
      </c>
      <c r="AJX19" t="e">
        <v>#N/A</v>
      </c>
      <c r="AJY19" t="e">
        <v>#N/A</v>
      </c>
      <c r="AJZ19" t="e">
        <v>#N/A</v>
      </c>
      <c r="AKA19" t="e">
        <v>#N/A</v>
      </c>
      <c r="AKB19" t="e">
        <v>#N/A</v>
      </c>
      <c r="AKC19" t="e">
        <v>#N/A</v>
      </c>
      <c r="AKD19" t="e">
        <v>#N/A</v>
      </c>
      <c r="AKE19" t="e">
        <v>#N/A</v>
      </c>
      <c r="AKF19" t="e">
        <v>#N/A</v>
      </c>
      <c r="AKG19" t="e">
        <v>#N/A</v>
      </c>
      <c r="AKH19" t="e">
        <v>#N/A</v>
      </c>
      <c r="AKI19" t="e">
        <v>#N/A</v>
      </c>
      <c r="AKJ19" t="e">
        <v>#N/A</v>
      </c>
      <c r="AKK19" t="e">
        <v>#N/A</v>
      </c>
      <c r="AKL19" t="e">
        <v>#N/A</v>
      </c>
      <c r="AKM19" t="e">
        <v>#N/A</v>
      </c>
      <c r="AKN19" t="e">
        <v>#N/A</v>
      </c>
      <c r="AKO19" t="e">
        <v>#N/A</v>
      </c>
      <c r="AKP19" t="e">
        <v>#N/A</v>
      </c>
      <c r="AKQ19" t="e">
        <v>#N/A</v>
      </c>
      <c r="AKR19" t="e">
        <v>#N/A</v>
      </c>
      <c r="AKS19" t="e">
        <v>#N/A</v>
      </c>
      <c r="AKT19" t="e">
        <v>#N/A</v>
      </c>
      <c r="AKU19" t="e">
        <v>#N/A</v>
      </c>
      <c r="AKV19" t="e">
        <v>#N/A</v>
      </c>
      <c r="AKW19" t="e">
        <v>#N/A</v>
      </c>
      <c r="AKX19" t="e">
        <v>#N/A</v>
      </c>
      <c r="AKY19" t="e">
        <v>#N/A</v>
      </c>
      <c r="AKZ19" t="e">
        <v>#N/A</v>
      </c>
      <c r="ALA19" t="e">
        <v>#N/A</v>
      </c>
      <c r="ALB19" t="e">
        <v>#N/A</v>
      </c>
      <c r="ALC19" t="e">
        <v>#N/A</v>
      </c>
      <c r="ALD19" t="e">
        <v>#N/A</v>
      </c>
      <c r="ALE19" t="e">
        <v>#N/A</v>
      </c>
      <c r="ALF19" t="e">
        <v>#N/A</v>
      </c>
      <c r="ALG19" t="e">
        <v>#N/A</v>
      </c>
      <c r="ALH19" t="e">
        <v>#N/A</v>
      </c>
      <c r="ALI19" t="e">
        <v>#N/A</v>
      </c>
      <c r="ALJ19" t="e">
        <v>#N/A</v>
      </c>
      <c r="ALK19" t="e">
        <v>#N/A</v>
      </c>
      <c r="ALL19" t="e">
        <v>#N/A</v>
      </c>
      <c r="ALM19" t="e">
        <v>#N/A</v>
      </c>
      <c r="ALN19" t="e">
        <v>#N/A</v>
      </c>
      <c r="ALO19" t="e">
        <v>#N/A</v>
      </c>
      <c r="ALP19" t="e">
        <v>#N/A</v>
      </c>
      <c r="ALQ19" t="e">
        <v>#N/A</v>
      </c>
      <c r="ALR19" t="e">
        <v>#N/A</v>
      </c>
      <c r="ALS19" t="e">
        <v>#N/A</v>
      </c>
      <c r="ALT19" t="e">
        <v>#N/A</v>
      </c>
      <c r="ALU19" t="e">
        <v>#N/A</v>
      </c>
      <c r="ALV19" t="e">
        <v>#N/A</v>
      </c>
      <c r="ALW19" t="e">
        <v>#N/A</v>
      </c>
      <c r="ALX19" t="e">
        <v>#N/A</v>
      </c>
      <c r="ALY19" t="e">
        <v>#N/A</v>
      </c>
      <c r="ALZ19" t="e">
        <v>#N/A</v>
      </c>
      <c r="AMA19" t="e">
        <v>#N/A</v>
      </c>
      <c r="AMB19" t="e">
        <v>#N/A</v>
      </c>
      <c r="AMC19" t="e">
        <v>#N/A</v>
      </c>
      <c r="AMD19" t="e">
        <v>#N/A</v>
      </c>
      <c r="AME19" t="e">
        <v>#N/A</v>
      </c>
      <c r="AMF19" t="e">
        <v>#N/A</v>
      </c>
      <c r="AMG19" t="e">
        <v>#N/A</v>
      </c>
      <c r="AMH19" t="e">
        <v>#N/A</v>
      </c>
    </row>
    <row r="20" spans="1:1022" ht="15.75" customHeight="1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0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  <c r="XB20" s="8">
        <v>0</v>
      </c>
      <c r="XC20" s="8">
        <v>0</v>
      </c>
      <c r="XD20" s="8">
        <v>0</v>
      </c>
      <c r="XE20" s="8">
        <v>0</v>
      </c>
      <c r="XF20" s="8">
        <v>0</v>
      </c>
      <c r="XG20" s="8">
        <v>0</v>
      </c>
      <c r="XH20" s="8">
        <v>0</v>
      </c>
      <c r="XI20" s="8">
        <v>0</v>
      </c>
      <c r="XJ20" s="8">
        <v>0</v>
      </c>
      <c r="XK20" s="8">
        <v>0</v>
      </c>
      <c r="XL20" s="8">
        <v>0</v>
      </c>
      <c r="XM20" s="8">
        <v>0</v>
      </c>
      <c r="XN20" s="8">
        <v>0</v>
      </c>
      <c r="XO20" s="8">
        <v>0</v>
      </c>
      <c r="XP20" s="8">
        <v>0</v>
      </c>
      <c r="XQ20" s="8">
        <v>0</v>
      </c>
      <c r="XR20" s="8">
        <v>0</v>
      </c>
      <c r="XS20" s="8">
        <v>0</v>
      </c>
      <c r="XT20" s="8">
        <v>0</v>
      </c>
      <c r="XU20" s="8">
        <v>0</v>
      </c>
      <c r="XV20" s="8">
        <v>0</v>
      </c>
      <c r="XW20" s="8">
        <v>0</v>
      </c>
      <c r="XX20" s="8">
        <v>0</v>
      </c>
      <c r="XY20" s="8">
        <v>0</v>
      </c>
      <c r="XZ20" s="8">
        <v>0</v>
      </c>
      <c r="YA20" s="8">
        <v>0</v>
      </c>
      <c r="YB20" s="8">
        <v>0</v>
      </c>
      <c r="YC20" s="8">
        <v>0</v>
      </c>
      <c r="YD20" s="8">
        <v>0</v>
      </c>
      <c r="YE20" s="8">
        <v>0</v>
      </c>
      <c r="YF20" s="8">
        <v>0</v>
      </c>
      <c r="YG20" s="8">
        <v>0</v>
      </c>
      <c r="YH20" s="8">
        <v>0</v>
      </c>
      <c r="YI20" s="8">
        <v>0</v>
      </c>
      <c r="YJ20" s="8">
        <v>0</v>
      </c>
      <c r="YK20" s="8">
        <v>0</v>
      </c>
      <c r="YL20" s="8">
        <v>0</v>
      </c>
      <c r="YM20" s="8">
        <v>0</v>
      </c>
      <c r="YN20" s="8">
        <v>0</v>
      </c>
      <c r="YO20" s="8">
        <v>0</v>
      </c>
      <c r="YP20" s="8">
        <v>0</v>
      </c>
      <c r="YQ20" s="8">
        <v>0</v>
      </c>
      <c r="YR20" s="8">
        <v>0</v>
      </c>
      <c r="YS20" s="8">
        <v>0</v>
      </c>
      <c r="YT20" s="8">
        <v>0</v>
      </c>
      <c r="YU20" s="8">
        <v>0</v>
      </c>
      <c r="YV20" s="8">
        <v>0</v>
      </c>
      <c r="YW20" s="8">
        <v>0</v>
      </c>
      <c r="YX20" s="8">
        <v>0</v>
      </c>
      <c r="YY20" s="8">
        <v>0</v>
      </c>
      <c r="YZ20" s="8">
        <v>0</v>
      </c>
      <c r="ZA20" s="8">
        <v>0</v>
      </c>
      <c r="ZB20" s="8">
        <v>0</v>
      </c>
      <c r="ZC20" s="8">
        <v>0</v>
      </c>
      <c r="ZD20" s="8">
        <v>0</v>
      </c>
      <c r="ZE20" s="8">
        <v>0</v>
      </c>
      <c r="ZF20" s="8">
        <v>0</v>
      </c>
      <c r="ZG20" s="8">
        <v>0</v>
      </c>
      <c r="ZH20" s="8">
        <v>0</v>
      </c>
      <c r="ZI20" s="8">
        <v>0</v>
      </c>
      <c r="ZJ20" s="8">
        <v>0</v>
      </c>
      <c r="ZK20" s="8">
        <v>0</v>
      </c>
      <c r="ZL20" s="8">
        <v>0</v>
      </c>
      <c r="ZM20" s="8">
        <v>0</v>
      </c>
      <c r="ZN20" s="8">
        <v>0</v>
      </c>
      <c r="ZO20" s="8">
        <v>0</v>
      </c>
      <c r="ZP20" s="8">
        <v>0</v>
      </c>
      <c r="ZQ20" s="8">
        <v>0</v>
      </c>
      <c r="ZR20" s="8">
        <v>0</v>
      </c>
      <c r="ZS20" s="8">
        <v>0</v>
      </c>
      <c r="ZT20" s="8">
        <v>0</v>
      </c>
      <c r="ZU20" s="8">
        <v>0</v>
      </c>
      <c r="ZV20" s="8">
        <v>0</v>
      </c>
      <c r="ZW20" s="8">
        <v>0</v>
      </c>
      <c r="ZX20" s="8">
        <v>0</v>
      </c>
      <c r="ZY20" s="8">
        <v>0</v>
      </c>
      <c r="ZZ20" s="8">
        <v>0</v>
      </c>
      <c r="AAA20" s="8">
        <v>0</v>
      </c>
      <c r="AAB20" s="8">
        <v>0</v>
      </c>
      <c r="AAC20" s="8">
        <v>0</v>
      </c>
      <c r="AAD20" s="8">
        <v>0</v>
      </c>
      <c r="AAE20" s="8">
        <v>0</v>
      </c>
      <c r="AAF20" s="8">
        <v>0</v>
      </c>
      <c r="AAG20" s="8">
        <v>0</v>
      </c>
      <c r="AAH20" s="8">
        <v>0</v>
      </c>
      <c r="AAI20" s="8">
        <v>0</v>
      </c>
      <c r="AAJ20" s="8">
        <v>0</v>
      </c>
      <c r="AAK20" s="8">
        <v>0</v>
      </c>
      <c r="AAL20" s="8">
        <v>0</v>
      </c>
      <c r="AAM20" s="8">
        <v>0</v>
      </c>
      <c r="AAN20" s="8">
        <v>0</v>
      </c>
      <c r="AAO20" s="8">
        <v>0</v>
      </c>
      <c r="AAP20" s="8">
        <v>0</v>
      </c>
      <c r="AAQ20" s="8">
        <v>0</v>
      </c>
      <c r="AAR20" s="8">
        <v>0</v>
      </c>
      <c r="AAS20" s="8">
        <v>0</v>
      </c>
      <c r="AAT20" s="8">
        <v>0</v>
      </c>
      <c r="AAU20" s="8">
        <v>0</v>
      </c>
      <c r="AAV20" s="8">
        <v>0</v>
      </c>
      <c r="AAW20" s="8">
        <v>0</v>
      </c>
      <c r="AAX20" s="8">
        <v>0</v>
      </c>
      <c r="AAY20" s="8">
        <v>0</v>
      </c>
      <c r="AAZ20" s="8">
        <v>0</v>
      </c>
      <c r="ABA20" s="8">
        <v>0</v>
      </c>
      <c r="ABB20" s="8">
        <v>0</v>
      </c>
      <c r="ABC20" s="8">
        <v>0</v>
      </c>
      <c r="ABD20" s="8">
        <v>0</v>
      </c>
      <c r="ABE20" s="8">
        <v>0</v>
      </c>
      <c r="ABF20" s="8">
        <v>0</v>
      </c>
      <c r="ABG20" s="8">
        <v>0</v>
      </c>
      <c r="ABH20" s="8">
        <v>0</v>
      </c>
      <c r="ABI20" s="8">
        <v>0</v>
      </c>
      <c r="ABJ20" s="8">
        <v>0</v>
      </c>
      <c r="ABK20" s="8">
        <v>0</v>
      </c>
      <c r="ABL20" s="8">
        <v>0</v>
      </c>
      <c r="ABM20" s="8">
        <v>0</v>
      </c>
      <c r="ABN20" s="8">
        <v>0</v>
      </c>
      <c r="ABO20" s="8">
        <v>0</v>
      </c>
      <c r="ABP20" s="8">
        <v>0</v>
      </c>
      <c r="ABQ20" s="8">
        <v>0</v>
      </c>
      <c r="ABR20" s="8">
        <v>0</v>
      </c>
      <c r="ABS20" s="8">
        <v>0</v>
      </c>
      <c r="ABT20" s="8">
        <v>0</v>
      </c>
      <c r="ABU20" s="8">
        <v>0</v>
      </c>
      <c r="ABV20" s="8">
        <v>0</v>
      </c>
      <c r="ABW20" s="8">
        <v>0</v>
      </c>
      <c r="ABX20" s="8">
        <v>0</v>
      </c>
      <c r="ABY20" s="8">
        <v>0</v>
      </c>
      <c r="ABZ20" s="8">
        <v>0</v>
      </c>
      <c r="ACA20" s="8">
        <v>0</v>
      </c>
      <c r="ACB20" s="8">
        <v>0</v>
      </c>
      <c r="ACC20" s="8">
        <v>0</v>
      </c>
      <c r="ACD20" s="8">
        <v>0</v>
      </c>
      <c r="ACE20" s="8">
        <v>0</v>
      </c>
      <c r="ACF20" s="8">
        <v>0</v>
      </c>
      <c r="ACG20" s="8">
        <v>0</v>
      </c>
      <c r="ACH20" s="8">
        <v>0</v>
      </c>
      <c r="ACI20" s="8">
        <v>0</v>
      </c>
      <c r="ACJ20" s="8">
        <v>0</v>
      </c>
      <c r="ACK20" s="8">
        <v>0</v>
      </c>
      <c r="ACL20" s="8">
        <v>0</v>
      </c>
      <c r="ACM20" s="8">
        <v>0</v>
      </c>
      <c r="ACN20" s="8">
        <v>0</v>
      </c>
      <c r="ACO20" s="8">
        <v>0</v>
      </c>
      <c r="ACP20" s="8">
        <v>0</v>
      </c>
      <c r="ACQ20" s="8">
        <v>0</v>
      </c>
      <c r="ACR20" s="8">
        <v>0</v>
      </c>
      <c r="ACS20" s="8">
        <v>0</v>
      </c>
      <c r="ACT20" s="8">
        <v>0</v>
      </c>
      <c r="ACU20" s="8">
        <v>0</v>
      </c>
      <c r="ACV20" s="8">
        <v>0</v>
      </c>
      <c r="ACW20" s="8">
        <v>0</v>
      </c>
      <c r="ACX20" s="8">
        <v>0</v>
      </c>
      <c r="ACY20" s="8">
        <v>0</v>
      </c>
      <c r="ACZ20" s="8">
        <v>0</v>
      </c>
      <c r="ADA20" s="8">
        <v>0</v>
      </c>
      <c r="ADB20" s="8">
        <v>0</v>
      </c>
      <c r="ADC20" s="8">
        <v>0</v>
      </c>
      <c r="ADD20" s="8">
        <v>0</v>
      </c>
      <c r="ADE20" s="8">
        <v>0</v>
      </c>
      <c r="ADF20" s="8">
        <v>0</v>
      </c>
      <c r="ADG20" s="8">
        <v>0</v>
      </c>
      <c r="ADH20" s="8">
        <v>0</v>
      </c>
      <c r="ADI20" s="8">
        <v>0</v>
      </c>
      <c r="ADJ20" s="8">
        <v>0</v>
      </c>
      <c r="ADK20" s="8">
        <v>0</v>
      </c>
      <c r="ADL20" s="8">
        <v>0</v>
      </c>
      <c r="ADM20" s="8">
        <v>0</v>
      </c>
      <c r="ADN20" s="8">
        <v>0</v>
      </c>
      <c r="ADO20" s="8">
        <v>0</v>
      </c>
      <c r="ADP20" s="8">
        <v>0</v>
      </c>
      <c r="ADQ20" s="8">
        <v>0</v>
      </c>
      <c r="ADR20" s="8">
        <v>0</v>
      </c>
      <c r="ADS20" s="8">
        <v>0</v>
      </c>
      <c r="ADT20" s="8">
        <v>0</v>
      </c>
      <c r="ADU20" s="8">
        <v>0</v>
      </c>
      <c r="ADV20" s="8">
        <v>0</v>
      </c>
      <c r="ADW20" s="8">
        <v>0</v>
      </c>
      <c r="ADX20" s="8">
        <v>0</v>
      </c>
      <c r="ADY20" s="8">
        <v>0</v>
      </c>
      <c r="ADZ20" s="8">
        <v>0</v>
      </c>
      <c r="AEA20" s="8">
        <v>0</v>
      </c>
      <c r="AEB20" s="8">
        <v>0</v>
      </c>
      <c r="AEC20" s="8">
        <v>0</v>
      </c>
      <c r="AED20" s="8">
        <v>0</v>
      </c>
      <c r="AEE20" s="8">
        <v>0</v>
      </c>
      <c r="AEF20" s="8">
        <v>0</v>
      </c>
      <c r="AEG20" s="8">
        <v>0</v>
      </c>
      <c r="AEH20" s="8">
        <v>0</v>
      </c>
      <c r="AEI20" s="8">
        <v>0</v>
      </c>
      <c r="AEJ20" s="8">
        <v>0</v>
      </c>
      <c r="AEK20" s="8">
        <v>0</v>
      </c>
      <c r="AEL20" s="8">
        <v>0</v>
      </c>
      <c r="AEM20" s="8">
        <v>0</v>
      </c>
      <c r="AEN20" s="8">
        <v>0</v>
      </c>
      <c r="AEO20" s="8">
        <v>0</v>
      </c>
      <c r="AEP20" s="8">
        <v>0</v>
      </c>
      <c r="AEQ20" s="8">
        <v>0</v>
      </c>
      <c r="AER20" s="8">
        <v>0</v>
      </c>
      <c r="AES20" s="8">
        <v>0</v>
      </c>
      <c r="AET20" s="8">
        <v>0</v>
      </c>
      <c r="AEU20" s="8">
        <v>0</v>
      </c>
      <c r="AEV20" s="8">
        <v>0</v>
      </c>
      <c r="AEW20" s="8">
        <v>0</v>
      </c>
      <c r="AEX20" s="8">
        <v>0</v>
      </c>
      <c r="AEY20" s="8">
        <v>0</v>
      </c>
      <c r="AEZ20" s="8">
        <v>0</v>
      </c>
      <c r="AFA20" s="8">
        <v>0</v>
      </c>
      <c r="AFB20" s="8">
        <v>0</v>
      </c>
      <c r="AFC20" s="8">
        <v>0</v>
      </c>
      <c r="AFD20" s="8">
        <v>0</v>
      </c>
      <c r="AFE20" s="8">
        <v>0</v>
      </c>
      <c r="AFF20" s="8">
        <v>0</v>
      </c>
      <c r="AFG20" s="8">
        <v>0</v>
      </c>
      <c r="AFH20" s="8">
        <v>0</v>
      </c>
      <c r="AFI20" s="8">
        <v>0</v>
      </c>
      <c r="AFJ20" s="8">
        <v>0</v>
      </c>
      <c r="AFK20" s="8">
        <v>0</v>
      </c>
      <c r="AFL20" s="8">
        <v>0</v>
      </c>
      <c r="AFM20" s="8">
        <v>0</v>
      </c>
      <c r="AFN20" s="8">
        <v>0</v>
      </c>
      <c r="AFO20" s="8">
        <v>0</v>
      </c>
      <c r="AFP20" s="8">
        <v>0</v>
      </c>
      <c r="AFQ20" s="8">
        <v>0</v>
      </c>
      <c r="AFR20" s="8">
        <v>0</v>
      </c>
      <c r="AFS20" s="8">
        <v>0</v>
      </c>
      <c r="AFT20" s="8">
        <v>0</v>
      </c>
      <c r="AFU20" s="8">
        <v>0</v>
      </c>
      <c r="AFV20" s="8">
        <v>0</v>
      </c>
      <c r="AFW20" s="8">
        <v>0</v>
      </c>
      <c r="AFX20" s="8">
        <v>0</v>
      </c>
      <c r="AFY20" s="8">
        <v>0</v>
      </c>
      <c r="AFZ20" s="8">
        <v>0</v>
      </c>
      <c r="AGA20" s="8">
        <v>0</v>
      </c>
      <c r="AGB20" s="8">
        <v>0</v>
      </c>
      <c r="AGC20" s="8">
        <v>0</v>
      </c>
      <c r="AGD20" s="8">
        <v>0</v>
      </c>
      <c r="AGE20" s="8">
        <v>0</v>
      </c>
      <c r="AGF20" s="8">
        <v>0</v>
      </c>
      <c r="AGG20" s="8">
        <v>0</v>
      </c>
      <c r="AGH20" s="8">
        <v>0</v>
      </c>
      <c r="AGI20" s="8">
        <v>0</v>
      </c>
      <c r="AGJ20" s="8">
        <v>0</v>
      </c>
      <c r="AGK20" s="8">
        <v>0</v>
      </c>
      <c r="AGL20" s="8">
        <v>0</v>
      </c>
      <c r="AGM20" s="8">
        <v>0</v>
      </c>
      <c r="AGN20" s="8">
        <v>0</v>
      </c>
      <c r="AGO20" s="8">
        <v>0</v>
      </c>
      <c r="AGP20" s="8">
        <v>0</v>
      </c>
      <c r="AGQ20" s="8">
        <v>0</v>
      </c>
      <c r="AGR20" s="8">
        <v>0</v>
      </c>
      <c r="AGS20" s="8">
        <v>0</v>
      </c>
      <c r="AGT20" s="8">
        <v>0</v>
      </c>
      <c r="AGU20" s="8">
        <v>0</v>
      </c>
      <c r="AGV20" s="8">
        <v>0</v>
      </c>
      <c r="AGW20" s="8">
        <v>0</v>
      </c>
      <c r="AGX20" s="8">
        <v>0</v>
      </c>
      <c r="AGY20" s="8">
        <v>0</v>
      </c>
      <c r="AGZ20" s="8">
        <v>0</v>
      </c>
      <c r="AHA20" s="8">
        <v>0</v>
      </c>
      <c r="AHB20" s="8">
        <v>0</v>
      </c>
      <c r="AHC20" s="8">
        <v>0</v>
      </c>
      <c r="AHD20" s="8">
        <v>0</v>
      </c>
      <c r="AHE20" s="8">
        <v>0</v>
      </c>
      <c r="AHF20" s="8">
        <v>0</v>
      </c>
      <c r="AHG20" s="8">
        <v>0</v>
      </c>
      <c r="AHH20" s="8">
        <v>0</v>
      </c>
      <c r="AHI20" s="8">
        <v>0</v>
      </c>
      <c r="AHJ20" s="8">
        <v>0</v>
      </c>
      <c r="AHK20" s="8">
        <v>0</v>
      </c>
      <c r="AHL20" s="8">
        <v>0</v>
      </c>
      <c r="AHM20" s="8">
        <v>0</v>
      </c>
      <c r="AHN20" s="8">
        <v>0</v>
      </c>
      <c r="AHO20" s="8">
        <v>0</v>
      </c>
      <c r="AHP20" s="8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 t="e">
        <v>#N/A</v>
      </c>
      <c r="AIJ20" t="e">
        <v>#N/A</v>
      </c>
      <c r="AIK20" t="e">
        <v>#N/A</v>
      </c>
      <c r="AIL20" t="e">
        <v>#N/A</v>
      </c>
      <c r="AIM20" t="e">
        <v>#N/A</v>
      </c>
      <c r="AIN20" t="e">
        <v>#N/A</v>
      </c>
      <c r="AIO20" t="e">
        <v>#N/A</v>
      </c>
      <c r="AIP20" t="e">
        <v>#N/A</v>
      </c>
      <c r="AIQ20" t="e">
        <v>#N/A</v>
      </c>
      <c r="AIR20" t="e">
        <v>#N/A</v>
      </c>
      <c r="AIS20" t="e">
        <v>#N/A</v>
      </c>
      <c r="AIT20" t="e">
        <v>#N/A</v>
      </c>
      <c r="AIU20" t="e">
        <v>#N/A</v>
      </c>
      <c r="AIV20" t="e">
        <v>#N/A</v>
      </c>
      <c r="AIW20" t="e">
        <v>#N/A</v>
      </c>
      <c r="AIX20" t="e">
        <v>#N/A</v>
      </c>
      <c r="AIY20" t="e">
        <v>#N/A</v>
      </c>
      <c r="AIZ20" t="e">
        <v>#N/A</v>
      </c>
      <c r="AJA20" t="e">
        <v>#N/A</v>
      </c>
      <c r="AJB20" t="e">
        <v>#N/A</v>
      </c>
      <c r="AJC20" t="e">
        <v>#N/A</v>
      </c>
      <c r="AJD20" t="e">
        <v>#N/A</v>
      </c>
      <c r="AJE20" t="e">
        <v>#N/A</v>
      </c>
      <c r="AJF20" t="e">
        <v>#N/A</v>
      </c>
      <c r="AJG20" t="e">
        <v>#N/A</v>
      </c>
      <c r="AJH20" t="e">
        <v>#N/A</v>
      </c>
      <c r="AJI20" t="e">
        <v>#N/A</v>
      </c>
      <c r="AJJ20" t="e">
        <v>#N/A</v>
      </c>
      <c r="AJK20" t="e">
        <v>#N/A</v>
      </c>
      <c r="AJL20" t="e">
        <v>#N/A</v>
      </c>
      <c r="AJM20" t="e">
        <v>#N/A</v>
      </c>
      <c r="AJN20" t="e">
        <v>#N/A</v>
      </c>
      <c r="AJO20" t="e">
        <v>#N/A</v>
      </c>
      <c r="AJP20" t="e">
        <v>#N/A</v>
      </c>
      <c r="AJQ20" t="e">
        <v>#N/A</v>
      </c>
      <c r="AJR20" t="e">
        <v>#N/A</v>
      </c>
      <c r="AJS20" t="e">
        <v>#N/A</v>
      </c>
      <c r="AJT20" t="e">
        <v>#N/A</v>
      </c>
      <c r="AJU20" t="e">
        <v>#N/A</v>
      </c>
      <c r="AJV20" t="e">
        <v>#N/A</v>
      </c>
      <c r="AJW20" t="e">
        <v>#N/A</v>
      </c>
      <c r="AJX20" t="e">
        <v>#N/A</v>
      </c>
      <c r="AJY20" t="e">
        <v>#N/A</v>
      </c>
      <c r="AJZ20" t="e">
        <v>#N/A</v>
      </c>
      <c r="AKA20" t="e">
        <v>#N/A</v>
      </c>
      <c r="AKB20" t="e">
        <v>#N/A</v>
      </c>
      <c r="AKC20" t="e">
        <v>#N/A</v>
      </c>
      <c r="AKD20" t="e">
        <v>#N/A</v>
      </c>
      <c r="AKE20" t="e">
        <v>#N/A</v>
      </c>
      <c r="AKF20" t="e">
        <v>#N/A</v>
      </c>
      <c r="AKG20" t="e">
        <v>#N/A</v>
      </c>
      <c r="AKH20" t="e">
        <v>#N/A</v>
      </c>
      <c r="AKI20" t="e">
        <v>#N/A</v>
      </c>
      <c r="AKJ20" t="e">
        <v>#N/A</v>
      </c>
      <c r="AKK20" t="e">
        <v>#N/A</v>
      </c>
      <c r="AKL20" t="e">
        <v>#N/A</v>
      </c>
      <c r="AKM20" t="e">
        <v>#N/A</v>
      </c>
      <c r="AKN20" t="e">
        <v>#N/A</v>
      </c>
      <c r="AKO20" t="e">
        <v>#N/A</v>
      </c>
      <c r="AKP20" t="e">
        <v>#N/A</v>
      </c>
      <c r="AKQ20" t="e">
        <v>#N/A</v>
      </c>
      <c r="AKR20" t="e">
        <v>#N/A</v>
      </c>
      <c r="AKS20" t="e">
        <v>#N/A</v>
      </c>
      <c r="AKT20" t="e">
        <v>#N/A</v>
      </c>
      <c r="AKU20" t="e">
        <v>#N/A</v>
      </c>
      <c r="AKV20" t="e">
        <v>#N/A</v>
      </c>
      <c r="AKW20" t="e">
        <v>#N/A</v>
      </c>
      <c r="AKX20" t="e">
        <v>#N/A</v>
      </c>
      <c r="AKY20" t="e">
        <v>#N/A</v>
      </c>
      <c r="AKZ20" t="e">
        <v>#N/A</v>
      </c>
      <c r="ALA20" t="e">
        <v>#N/A</v>
      </c>
      <c r="ALB20" t="e">
        <v>#N/A</v>
      </c>
      <c r="ALC20" t="e">
        <v>#N/A</v>
      </c>
      <c r="ALD20" t="e">
        <v>#N/A</v>
      </c>
      <c r="ALE20" t="e">
        <v>#N/A</v>
      </c>
      <c r="ALF20" t="e">
        <v>#N/A</v>
      </c>
      <c r="ALG20" t="e">
        <v>#N/A</v>
      </c>
      <c r="ALH20" t="e">
        <v>#N/A</v>
      </c>
      <c r="ALI20" t="e">
        <v>#N/A</v>
      </c>
      <c r="ALJ20" t="e">
        <v>#N/A</v>
      </c>
      <c r="ALK20" t="e">
        <v>#N/A</v>
      </c>
      <c r="ALL20" t="e">
        <v>#N/A</v>
      </c>
      <c r="ALM20" t="e">
        <v>#N/A</v>
      </c>
      <c r="ALN20" t="e">
        <v>#N/A</v>
      </c>
      <c r="ALO20" t="e">
        <v>#N/A</v>
      </c>
      <c r="ALP20" t="e">
        <v>#N/A</v>
      </c>
      <c r="ALQ20" t="e">
        <v>#N/A</v>
      </c>
      <c r="ALR20" t="e">
        <v>#N/A</v>
      </c>
      <c r="ALS20" t="e">
        <v>#N/A</v>
      </c>
      <c r="ALT20" t="e">
        <v>#N/A</v>
      </c>
      <c r="ALU20" t="e">
        <v>#N/A</v>
      </c>
      <c r="ALV20" t="e">
        <v>#N/A</v>
      </c>
      <c r="ALW20" t="e">
        <v>#N/A</v>
      </c>
      <c r="ALX20" t="e">
        <v>#N/A</v>
      </c>
      <c r="ALY20" t="e">
        <v>#N/A</v>
      </c>
      <c r="ALZ20" t="e">
        <v>#N/A</v>
      </c>
      <c r="AMA20" t="e">
        <v>#N/A</v>
      </c>
      <c r="AMB20" t="e">
        <v>#N/A</v>
      </c>
      <c r="AMC20" t="e">
        <v>#N/A</v>
      </c>
      <c r="AMD20" t="e">
        <v>#N/A</v>
      </c>
      <c r="AME20" t="e">
        <v>#N/A</v>
      </c>
      <c r="AMF20" t="e">
        <v>#N/A</v>
      </c>
      <c r="AMG20" t="e">
        <v>#N/A</v>
      </c>
      <c r="AMH20" t="e">
        <v>#N/A</v>
      </c>
    </row>
    <row r="21" spans="1:1022" ht="15.75" customHeight="1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0</v>
      </c>
      <c r="IW21" s="8">
        <v>0</v>
      </c>
      <c r="IX21" s="8">
        <v>0</v>
      </c>
      <c r="IY21" s="8">
        <v>0</v>
      </c>
      <c r="IZ21" s="8">
        <v>0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0</v>
      </c>
      <c r="JR21" s="8">
        <v>0</v>
      </c>
      <c r="JS21" s="8">
        <v>0</v>
      </c>
      <c r="JT21" s="8">
        <v>0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</v>
      </c>
      <c r="KH21" s="8">
        <v>0</v>
      </c>
      <c r="KI21" s="8">
        <v>0</v>
      </c>
      <c r="KJ21" s="8">
        <v>0</v>
      </c>
      <c r="KK21" s="8">
        <v>0</v>
      </c>
      <c r="KL21" s="8">
        <v>0</v>
      </c>
      <c r="KM21" s="8">
        <v>0</v>
      </c>
      <c r="KN21" s="8">
        <v>0</v>
      </c>
      <c r="KO21" s="8">
        <v>0</v>
      </c>
      <c r="KP21" s="8">
        <v>0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</v>
      </c>
      <c r="LY21" s="8">
        <v>0</v>
      </c>
      <c r="LZ21" s="8">
        <v>0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0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0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0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0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0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0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0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0</v>
      </c>
      <c r="TT21" s="8">
        <v>0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0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0</v>
      </c>
      <c r="VE21" s="8">
        <v>0</v>
      </c>
      <c r="VF21" s="8">
        <v>0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0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0</v>
      </c>
      <c r="WR21" s="8">
        <v>0</v>
      </c>
      <c r="WS21" s="8">
        <v>0</v>
      </c>
      <c r="WT21" s="8">
        <v>0</v>
      </c>
      <c r="WU21" s="8">
        <v>0</v>
      </c>
      <c r="WV21" s="8">
        <v>0</v>
      </c>
      <c r="WW21" s="8">
        <v>0</v>
      </c>
      <c r="WX21" s="8">
        <v>0</v>
      </c>
      <c r="WY21" s="8">
        <v>0</v>
      </c>
      <c r="WZ21" s="8">
        <v>0</v>
      </c>
      <c r="XA21" s="8">
        <v>0</v>
      </c>
      <c r="XB21" s="8">
        <v>0</v>
      </c>
      <c r="XC21" s="8">
        <v>0</v>
      </c>
      <c r="XD21" s="8">
        <v>0</v>
      </c>
      <c r="XE21" s="8">
        <v>0</v>
      </c>
      <c r="XF21" s="8">
        <v>0</v>
      </c>
      <c r="XG21" s="8">
        <v>0</v>
      </c>
      <c r="XH21" s="8">
        <v>0</v>
      </c>
      <c r="XI21" s="8">
        <v>0</v>
      </c>
      <c r="XJ21" s="8">
        <v>0</v>
      </c>
      <c r="XK21" s="8">
        <v>0</v>
      </c>
      <c r="XL21" s="8">
        <v>0</v>
      </c>
      <c r="XM21" s="8">
        <v>0</v>
      </c>
      <c r="XN21" s="8">
        <v>0</v>
      </c>
      <c r="XO21" s="8">
        <v>0</v>
      </c>
      <c r="XP21" s="8">
        <v>0</v>
      </c>
      <c r="XQ21" s="8">
        <v>0</v>
      </c>
      <c r="XR21" s="8">
        <v>0</v>
      </c>
      <c r="XS21" s="8">
        <v>0</v>
      </c>
      <c r="XT21" s="8">
        <v>0</v>
      </c>
      <c r="XU21" s="8">
        <v>0</v>
      </c>
      <c r="XV21" s="8">
        <v>0</v>
      </c>
      <c r="XW21" s="8">
        <v>0</v>
      </c>
      <c r="XX21" s="8">
        <v>0</v>
      </c>
      <c r="XY21" s="8">
        <v>0</v>
      </c>
      <c r="XZ21" s="8">
        <v>0</v>
      </c>
      <c r="YA21" s="8">
        <v>0</v>
      </c>
      <c r="YB21" s="8">
        <v>0</v>
      </c>
      <c r="YC21" s="8">
        <v>0</v>
      </c>
      <c r="YD21" s="8">
        <v>0</v>
      </c>
      <c r="YE21" s="8">
        <v>0</v>
      </c>
      <c r="YF21" s="8">
        <v>0</v>
      </c>
      <c r="YG21" s="8">
        <v>0</v>
      </c>
      <c r="YH21" s="8">
        <v>0</v>
      </c>
      <c r="YI21" s="8">
        <v>0</v>
      </c>
      <c r="YJ21" s="8">
        <v>0</v>
      </c>
      <c r="YK21" s="8">
        <v>0</v>
      </c>
      <c r="YL21" s="8">
        <v>0</v>
      </c>
      <c r="YM21" s="8">
        <v>0</v>
      </c>
      <c r="YN21" s="8">
        <v>0</v>
      </c>
      <c r="YO21" s="8">
        <v>0</v>
      </c>
      <c r="YP21" s="8">
        <v>0</v>
      </c>
      <c r="YQ21" s="8">
        <v>0</v>
      </c>
      <c r="YR21" s="8">
        <v>0</v>
      </c>
      <c r="YS21" s="8">
        <v>0</v>
      </c>
      <c r="YT21" s="8">
        <v>0</v>
      </c>
      <c r="YU21" s="8">
        <v>0</v>
      </c>
      <c r="YV21" s="8">
        <v>0</v>
      </c>
      <c r="YW21" s="8">
        <v>0</v>
      </c>
      <c r="YX21" s="8">
        <v>0</v>
      </c>
      <c r="YY21" s="8">
        <v>0</v>
      </c>
      <c r="YZ21" s="8">
        <v>0</v>
      </c>
      <c r="ZA21" s="8">
        <v>0</v>
      </c>
      <c r="ZB21" s="8">
        <v>0</v>
      </c>
      <c r="ZC21" s="8">
        <v>0</v>
      </c>
      <c r="ZD21" s="8">
        <v>0</v>
      </c>
      <c r="ZE21" s="8">
        <v>0</v>
      </c>
      <c r="ZF21" s="8">
        <v>0</v>
      </c>
      <c r="ZG21" s="8">
        <v>0</v>
      </c>
      <c r="ZH21" s="8">
        <v>0</v>
      </c>
      <c r="ZI21" s="8">
        <v>0</v>
      </c>
      <c r="ZJ21" s="8">
        <v>0</v>
      </c>
      <c r="ZK21" s="8">
        <v>0</v>
      </c>
      <c r="ZL21" s="8">
        <v>0</v>
      </c>
      <c r="ZM21" s="8">
        <v>0</v>
      </c>
      <c r="ZN21" s="8">
        <v>0</v>
      </c>
      <c r="ZO21" s="8">
        <v>0</v>
      </c>
      <c r="ZP21" s="8">
        <v>0</v>
      </c>
      <c r="ZQ21" s="8">
        <v>0</v>
      </c>
      <c r="ZR21" s="8">
        <v>0</v>
      </c>
      <c r="ZS21" s="8">
        <v>0</v>
      </c>
      <c r="ZT21" s="8">
        <v>0</v>
      </c>
      <c r="ZU21" s="8">
        <v>0</v>
      </c>
      <c r="ZV21" s="8">
        <v>0</v>
      </c>
      <c r="ZW21" s="8">
        <v>0</v>
      </c>
      <c r="ZX21" s="8">
        <v>0</v>
      </c>
      <c r="ZY21" s="8">
        <v>0</v>
      </c>
      <c r="ZZ21" s="8">
        <v>0</v>
      </c>
      <c r="AAA21" s="8">
        <v>0</v>
      </c>
      <c r="AAB21" s="8">
        <v>0</v>
      </c>
      <c r="AAC21" s="8">
        <v>0</v>
      </c>
      <c r="AAD21" s="8">
        <v>0</v>
      </c>
      <c r="AAE21" s="8">
        <v>0</v>
      </c>
      <c r="AAF21" s="8">
        <v>0</v>
      </c>
      <c r="AAG21" s="8">
        <v>0</v>
      </c>
      <c r="AAH21" s="8">
        <v>0</v>
      </c>
      <c r="AAI21" s="8">
        <v>0</v>
      </c>
      <c r="AAJ21" s="8">
        <v>0</v>
      </c>
      <c r="AAK21" s="8">
        <v>0</v>
      </c>
      <c r="AAL21" s="8">
        <v>0</v>
      </c>
      <c r="AAM21" s="8">
        <v>0</v>
      </c>
      <c r="AAN21" s="8">
        <v>0</v>
      </c>
      <c r="AAO21" s="8">
        <v>0</v>
      </c>
      <c r="AAP21" s="8">
        <v>0</v>
      </c>
      <c r="AAQ21" s="8">
        <v>0</v>
      </c>
      <c r="AAR21" s="8">
        <v>0</v>
      </c>
      <c r="AAS21" s="8">
        <v>0</v>
      </c>
      <c r="AAT21" s="8">
        <v>0</v>
      </c>
      <c r="AAU21" s="8">
        <v>0</v>
      </c>
      <c r="AAV21" s="8">
        <v>0</v>
      </c>
      <c r="AAW21" s="8">
        <v>0</v>
      </c>
      <c r="AAX21" s="8">
        <v>0</v>
      </c>
      <c r="AAY21" s="8">
        <v>0</v>
      </c>
      <c r="AAZ21" s="8">
        <v>0</v>
      </c>
      <c r="ABA21" s="8">
        <v>0</v>
      </c>
      <c r="ABB21" s="8">
        <v>0</v>
      </c>
      <c r="ABC21" s="8">
        <v>0</v>
      </c>
      <c r="ABD21" s="8">
        <v>0</v>
      </c>
      <c r="ABE21" s="8">
        <v>0</v>
      </c>
      <c r="ABF21" s="8">
        <v>0</v>
      </c>
      <c r="ABG21" s="8">
        <v>0</v>
      </c>
      <c r="ABH21" s="8">
        <v>0</v>
      </c>
      <c r="ABI21" s="8">
        <v>0</v>
      </c>
      <c r="ABJ21" s="8">
        <v>0</v>
      </c>
      <c r="ABK21" s="8">
        <v>0</v>
      </c>
      <c r="ABL21" s="8">
        <v>0</v>
      </c>
      <c r="ABM21" s="8">
        <v>0</v>
      </c>
      <c r="ABN21" s="8">
        <v>0</v>
      </c>
      <c r="ABO21" s="8">
        <v>0</v>
      </c>
      <c r="ABP21" s="8">
        <v>0</v>
      </c>
      <c r="ABQ21" s="8">
        <v>0</v>
      </c>
      <c r="ABR21" s="8">
        <v>0</v>
      </c>
      <c r="ABS21" s="8">
        <v>0</v>
      </c>
      <c r="ABT21" s="8">
        <v>0</v>
      </c>
      <c r="ABU21" s="8">
        <v>0</v>
      </c>
      <c r="ABV21" s="8">
        <v>0</v>
      </c>
      <c r="ABW21" s="8">
        <v>0</v>
      </c>
      <c r="ABX21" s="8">
        <v>0</v>
      </c>
      <c r="ABY21" s="8">
        <v>0</v>
      </c>
      <c r="ABZ21" s="8">
        <v>0</v>
      </c>
      <c r="ACA21" s="8">
        <v>0</v>
      </c>
      <c r="ACB21" s="8">
        <v>0</v>
      </c>
      <c r="ACC21" s="8">
        <v>0</v>
      </c>
      <c r="ACD21" s="8">
        <v>0</v>
      </c>
      <c r="ACE21" s="8">
        <v>0</v>
      </c>
      <c r="ACF21" s="8">
        <v>0</v>
      </c>
      <c r="ACG21" s="8">
        <v>0</v>
      </c>
      <c r="ACH21" s="8">
        <v>0</v>
      </c>
      <c r="ACI21" s="8">
        <v>0</v>
      </c>
      <c r="ACJ21" s="8">
        <v>0</v>
      </c>
      <c r="ACK21" s="8">
        <v>0</v>
      </c>
      <c r="ACL21" s="8">
        <v>0</v>
      </c>
      <c r="ACM21" s="8">
        <v>0</v>
      </c>
      <c r="ACN21" s="8">
        <v>0</v>
      </c>
      <c r="ACO21" s="8">
        <v>0</v>
      </c>
      <c r="ACP21" s="8">
        <v>0</v>
      </c>
      <c r="ACQ21" s="8">
        <v>0</v>
      </c>
      <c r="ACR21" s="8">
        <v>0</v>
      </c>
      <c r="ACS21" s="8">
        <v>0</v>
      </c>
      <c r="ACT21" s="8">
        <v>0</v>
      </c>
      <c r="ACU21" s="8">
        <v>0</v>
      </c>
      <c r="ACV21" s="8">
        <v>0</v>
      </c>
      <c r="ACW21" s="8">
        <v>0</v>
      </c>
      <c r="ACX21" s="8">
        <v>0</v>
      </c>
      <c r="ACY21" s="8">
        <v>0</v>
      </c>
      <c r="ACZ21" s="8">
        <v>0</v>
      </c>
      <c r="ADA21" s="8">
        <v>0</v>
      </c>
      <c r="ADB21" s="8">
        <v>0</v>
      </c>
      <c r="ADC21" s="8">
        <v>0</v>
      </c>
      <c r="ADD21" s="8">
        <v>0</v>
      </c>
      <c r="ADE21" s="8">
        <v>0</v>
      </c>
      <c r="ADF21" s="8">
        <v>0</v>
      </c>
      <c r="ADG21" s="8">
        <v>0</v>
      </c>
      <c r="ADH21" s="8">
        <v>0</v>
      </c>
      <c r="ADI21" s="8">
        <v>0</v>
      </c>
      <c r="ADJ21" s="8">
        <v>0</v>
      </c>
      <c r="ADK21" s="8">
        <v>0</v>
      </c>
      <c r="ADL21" s="8">
        <v>0</v>
      </c>
      <c r="ADM21" s="8">
        <v>0</v>
      </c>
      <c r="ADN21" s="8">
        <v>0</v>
      </c>
      <c r="ADO21" s="8">
        <v>0</v>
      </c>
      <c r="ADP21" s="8">
        <v>0</v>
      </c>
      <c r="ADQ21" s="8">
        <v>0</v>
      </c>
      <c r="ADR21" s="8">
        <v>0</v>
      </c>
      <c r="ADS21" s="8">
        <v>0</v>
      </c>
      <c r="ADT21" s="8">
        <v>0</v>
      </c>
      <c r="ADU21" s="8">
        <v>0</v>
      </c>
      <c r="ADV21" s="8">
        <v>0</v>
      </c>
      <c r="ADW21" s="8">
        <v>0</v>
      </c>
      <c r="ADX21" s="8">
        <v>0</v>
      </c>
      <c r="ADY21" s="8">
        <v>0</v>
      </c>
      <c r="ADZ21" s="8">
        <v>0</v>
      </c>
      <c r="AEA21" s="8">
        <v>0</v>
      </c>
      <c r="AEB21" s="8">
        <v>0</v>
      </c>
      <c r="AEC21" s="8">
        <v>0</v>
      </c>
      <c r="AED21" s="8">
        <v>0</v>
      </c>
      <c r="AEE21" s="8">
        <v>0</v>
      </c>
      <c r="AEF21" s="8">
        <v>0</v>
      </c>
      <c r="AEG21" s="8">
        <v>0</v>
      </c>
      <c r="AEH21" s="8">
        <v>0</v>
      </c>
      <c r="AEI21" s="8">
        <v>0</v>
      </c>
      <c r="AEJ21" s="8">
        <v>0</v>
      </c>
      <c r="AEK21" s="8">
        <v>0</v>
      </c>
      <c r="AEL21" s="8">
        <v>0</v>
      </c>
      <c r="AEM21" s="8">
        <v>0</v>
      </c>
      <c r="AEN21" s="8">
        <v>0</v>
      </c>
      <c r="AEO21" s="8">
        <v>0</v>
      </c>
      <c r="AEP21" s="8">
        <v>0</v>
      </c>
      <c r="AEQ21" s="8">
        <v>0</v>
      </c>
      <c r="AER21" s="8">
        <v>0</v>
      </c>
      <c r="AES21" s="8">
        <v>0</v>
      </c>
      <c r="AET21" s="8">
        <v>0</v>
      </c>
      <c r="AEU21" s="8">
        <v>0</v>
      </c>
      <c r="AEV21" s="8">
        <v>0</v>
      </c>
      <c r="AEW21" s="8">
        <v>0</v>
      </c>
      <c r="AEX21" s="8">
        <v>0</v>
      </c>
      <c r="AEY21" s="8">
        <v>0</v>
      </c>
      <c r="AEZ21" s="8">
        <v>0</v>
      </c>
      <c r="AFA21" s="8">
        <v>0</v>
      </c>
      <c r="AFB21" s="8">
        <v>0</v>
      </c>
      <c r="AFC21" s="8">
        <v>0</v>
      </c>
      <c r="AFD21" s="8">
        <v>0</v>
      </c>
      <c r="AFE21" s="8">
        <v>0</v>
      </c>
      <c r="AFF21" s="8">
        <v>0</v>
      </c>
      <c r="AFG21" s="8">
        <v>0</v>
      </c>
      <c r="AFH21" s="8">
        <v>0</v>
      </c>
      <c r="AFI21" s="8">
        <v>0</v>
      </c>
      <c r="AFJ21" s="8">
        <v>0</v>
      </c>
      <c r="AFK21" s="8">
        <v>0</v>
      </c>
      <c r="AFL21" s="8">
        <v>0</v>
      </c>
      <c r="AFM21" s="8">
        <v>0</v>
      </c>
      <c r="AFN21" s="8">
        <v>0</v>
      </c>
      <c r="AFO21" s="8">
        <v>0</v>
      </c>
      <c r="AFP21" s="8">
        <v>0</v>
      </c>
      <c r="AFQ21" s="8">
        <v>0</v>
      </c>
      <c r="AFR21" s="8">
        <v>0</v>
      </c>
      <c r="AFS21" s="8">
        <v>0</v>
      </c>
      <c r="AFT21" s="8">
        <v>0</v>
      </c>
      <c r="AFU21" s="8">
        <v>0</v>
      </c>
      <c r="AFV21" s="8">
        <v>0</v>
      </c>
      <c r="AFW21" s="8">
        <v>0</v>
      </c>
      <c r="AFX21" s="8">
        <v>0</v>
      </c>
      <c r="AFY21" s="8">
        <v>0</v>
      </c>
      <c r="AFZ21" s="8">
        <v>0</v>
      </c>
      <c r="AGA21" s="8">
        <v>0</v>
      </c>
      <c r="AGB21" s="8">
        <v>0</v>
      </c>
      <c r="AGC21" s="8">
        <v>0</v>
      </c>
      <c r="AGD21" s="8">
        <v>0</v>
      </c>
      <c r="AGE21" s="8">
        <v>0</v>
      </c>
      <c r="AGF21" s="8">
        <v>0</v>
      </c>
      <c r="AGG21" s="8">
        <v>0</v>
      </c>
      <c r="AGH21" s="8">
        <v>0</v>
      </c>
      <c r="AGI21" s="8">
        <v>0</v>
      </c>
      <c r="AGJ21" s="8">
        <v>0</v>
      </c>
      <c r="AGK21" s="8">
        <v>0</v>
      </c>
      <c r="AGL21" s="8">
        <v>0</v>
      </c>
      <c r="AGM21" s="8">
        <v>0</v>
      </c>
      <c r="AGN21" s="8">
        <v>0</v>
      </c>
      <c r="AGO21" s="8">
        <v>0</v>
      </c>
      <c r="AGP21" s="8">
        <v>0</v>
      </c>
      <c r="AGQ21" s="8">
        <v>0</v>
      </c>
      <c r="AGR21" s="8">
        <v>0</v>
      </c>
      <c r="AGS21" s="8">
        <v>0</v>
      </c>
      <c r="AGT21" s="8">
        <v>0</v>
      </c>
      <c r="AGU21" s="8">
        <v>0</v>
      </c>
      <c r="AGV21" s="8">
        <v>0</v>
      </c>
      <c r="AGW21" s="8">
        <v>0</v>
      </c>
      <c r="AGX21" s="8">
        <v>0</v>
      </c>
      <c r="AGY21" s="8">
        <v>0</v>
      </c>
      <c r="AGZ21" s="8">
        <v>0</v>
      </c>
      <c r="AHA21" s="8">
        <v>0</v>
      </c>
      <c r="AHB21" s="8">
        <v>0</v>
      </c>
      <c r="AHC21" s="8">
        <v>0</v>
      </c>
      <c r="AHD21" s="8">
        <v>0</v>
      </c>
      <c r="AHE21" s="8">
        <v>0</v>
      </c>
      <c r="AHF21" s="8">
        <v>0</v>
      </c>
      <c r="AHG21" s="8">
        <v>0</v>
      </c>
      <c r="AHH21" s="8">
        <v>0</v>
      </c>
      <c r="AHI21" s="8">
        <v>0</v>
      </c>
      <c r="AHJ21" s="8">
        <v>0</v>
      </c>
      <c r="AHK21" s="8">
        <v>0</v>
      </c>
      <c r="AHL21" s="8">
        <v>0</v>
      </c>
      <c r="AHM21" s="8">
        <v>0</v>
      </c>
      <c r="AHN21" s="8">
        <v>0</v>
      </c>
      <c r="AHO21" s="8">
        <v>0</v>
      </c>
      <c r="AHP21" s="8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 t="e">
        <v>#N/A</v>
      </c>
      <c r="AIJ21" t="e">
        <v>#N/A</v>
      </c>
      <c r="AIK21" t="e">
        <v>#N/A</v>
      </c>
      <c r="AIL21" t="e">
        <v>#N/A</v>
      </c>
      <c r="AIM21" t="e">
        <v>#N/A</v>
      </c>
      <c r="AIN21" t="e">
        <v>#N/A</v>
      </c>
      <c r="AIO21" t="e">
        <v>#N/A</v>
      </c>
      <c r="AIP21" t="e">
        <v>#N/A</v>
      </c>
      <c r="AIQ21" t="e">
        <v>#N/A</v>
      </c>
      <c r="AIR21" t="e">
        <v>#N/A</v>
      </c>
      <c r="AIS21" t="e">
        <v>#N/A</v>
      </c>
      <c r="AIT21" t="e">
        <v>#N/A</v>
      </c>
      <c r="AIU21" t="e">
        <v>#N/A</v>
      </c>
      <c r="AIV21" t="e">
        <v>#N/A</v>
      </c>
      <c r="AIW21" t="e">
        <v>#N/A</v>
      </c>
      <c r="AIX21" t="e">
        <v>#N/A</v>
      </c>
      <c r="AIY21" t="e">
        <v>#N/A</v>
      </c>
      <c r="AIZ21" t="e">
        <v>#N/A</v>
      </c>
      <c r="AJA21" t="e">
        <v>#N/A</v>
      </c>
      <c r="AJB21" t="e">
        <v>#N/A</v>
      </c>
      <c r="AJC21" t="e">
        <v>#N/A</v>
      </c>
      <c r="AJD21" t="e">
        <v>#N/A</v>
      </c>
      <c r="AJE21" t="e">
        <v>#N/A</v>
      </c>
      <c r="AJF21" t="e">
        <v>#N/A</v>
      </c>
      <c r="AJG21" t="e">
        <v>#N/A</v>
      </c>
      <c r="AJH21" t="e">
        <v>#N/A</v>
      </c>
      <c r="AJI21" t="e">
        <v>#N/A</v>
      </c>
      <c r="AJJ21" t="e">
        <v>#N/A</v>
      </c>
      <c r="AJK21" t="e">
        <v>#N/A</v>
      </c>
      <c r="AJL21" t="e">
        <v>#N/A</v>
      </c>
      <c r="AJM21" t="e">
        <v>#N/A</v>
      </c>
      <c r="AJN21" t="e">
        <v>#N/A</v>
      </c>
      <c r="AJO21" t="e">
        <v>#N/A</v>
      </c>
      <c r="AJP21" t="e">
        <v>#N/A</v>
      </c>
      <c r="AJQ21" t="e">
        <v>#N/A</v>
      </c>
      <c r="AJR21" t="e">
        <v>#N/A</v>
      </c>
      <c r="AJS21" t="e">
        <v>#N/A</v>
      </c>
      <c r="AJT21" t="e">
        <v>#N/A</v>
      </c>
      <c r="AJU21" t="e">
        <v>#N/A</v>
      </c>
      <c r="AJV21" t="e">
        <v>#N/A</v>
      </c>
      <c r="AJW21" t="e">
        <v>#N/A</v>
      </c>
      <c r="AJX21" t="e">
        <v>#N/A</v>
      </c>
      <c r="AJY21" t="e">
        <v>#N/A</v>
      </c>
      <c r="AJZ21" t="e">
        <v>#N/A</v>
      </c>
      <c r="AKA21" t="e">
        <v>#N/A</v>
      </c>
      <c r="AKB21" t="e">
        <v>#N/A</v>
      </c>
      <c r="AKC21" t="e">
        <v>#N/A</v>
      </c>
      <c r="AKD21" t="e">
        <v>#N/A</v>
      </c>
      <c r="AKE21" t="e">
        <v>#N/A</v>
      </c>
      <c r="AKF21" t="e">
        <v>#N/A</v>
      </c>
      <c r="AKG21" t="e">
        <v>#N/A</v>
      </c>
      <c r="AKH21" t="e">
        <v>#N/A</v>
      </c>
      <c r="AKI21" t="e">
        <v>#N/A</v>
      </c>
      <c r="AKJ21" t="e">
        <v>#N/A</v>
      </c>
      <c r="AKK21" t="e">
        <v>#N/A</v>
      </c>
      <c r="AKL21" t="e">
        <v>#N/A</v>
      </c>
      <c r="AKM21" t="e">
        <v>#N/A</v>
      </c>
      <c r="AKN21" t="e">
        <v>#N/A</v>
      </c>
      <c r="AKO21" t="e">
        <v>#N/A</v>
      </c>
      <c r="AKP21" t="e">
        <v>#N/A</v>
      </c>
      <c r="AKQ21" t="e">
        <v>#N/A</v>
      </c>
      <c r="AKR21" t="e">
        <v>#N/A</v>
      </c>
      <c r="AKS21" t="e">
        <v>#N/A</v>
      </c>
      <c r="AKT21" t="e">
        <v>#N/A</v>
      </c>
      <c r="AKU21" t="e">
        <v>#N/A</v>
      </c>
      <c r="AKV21" t="e">
        <v>#N/A</v>
      </c>
      <c r="AKW21" t="e">
        <v>#N/A</v>
      </c>
      <c r="AKX21" t="e">
        <v>#N/A</v>
      </c>
      <c r="AKY21" t="e">
        <v>#N/A</v>
      </c>
      <c r="AKZ21" t="e">
        <v>#N/A</v>
      </c>
      <c r="ALA21" t="e">
        <v>#N/A</v>
      </c>
      <c r="ALB21" t="e">
        <v>#N/A</v>
      </c>
      <c r="ALC21" t="e">
        <v>#N/A</v>
      </c>
      <c r="ALD21" t="e">
        <v>#N/A</v>
      </c>
      <c r="ALE21" t="e">
        <v>#N/A</v>
      </c>
      <c r="ALF21" t="e">
        <v>#N/A</v>
      </c>
      <c r="ALG21" t="e">
        <v>#N/A</v>
      </c>
      <c r="ALH21" t="e">
        <v>#N/A</v>
      </c>
      <c r="ALI21" t="e">
        <v>#N/A</v>
      </c>
      <c r="ALJ21" t="e">
        <v>#N/A</v>
      </c>
      <c r="ALK21" t="e">
        <v>#N/A</v>
      </c>
      <c r="ALL21" t="e">
        <v>#N/A</v>
      </c>
      <c r="ALM21" t="e">
        <v>#N/A</v>
      </c>
      <c r="ALN21" t="e">
        <v>#N/A</v>
      </c>
      <c r="ALO21" t="e">
        <v>#N/A</v>
      </c>
      <c r="ALP21" t="e">
        <v>#N/A</v>
      </c>
      <c r="ALQ21" t="e">
        <v>#N/A</v>
      </c>
      <c r="ALR21" t="e">
        <v>#N/A</v>
      </c>
      <c r="ALS21" t="e">
        <v>#N/A</v>
      </c>
      <c r="ALT21" t="e">
        <v>#N/A</v>
      </c>
      <c r="ALU21" t="e">
        <v>#N/A</v>
      </c>
      <c r="ALV21" t="e">
        <v>#N/A</v>
      </c>
      <c r="ALW21" t="e">
        <v>#N/A</v>
      </c>
      <c r="ALX21" t="e">
        <v>#N/A</v>
      </c>
      <c r="ALY21" t="e">
        <v>#N/A</v>
      </c>
      <c r="ALZ21" t="e">
        <v>#N/A</v>
      </c>
      <c r="AMA21" t="e">
        <v>#N/A</v>
      </c>
      <c r="AMB21" t="e">
        <v>#N/A</v>
      </c>
      <c r="AMC21" t="e">
        <v>#N/A</v>
      </c>
      <c r="AMD21" t="e">
        <v>#N/A</v>
      </c>
      <c r="AME21" t="e">
        <v>#N/A</v>
      </c>
      <c r="AMF21" t="e">
        <v>#N/A</v>
      </c>
      <c r="AMG21" t="e">
        <v>#N/A</v>
      </c>
      <c r="AMH21" t="e">
        <v>#N/A</v>
      </c>
    </row>
    <row r="22" spans="1:1022" ht="15.75" customHeight="1">
      <c r="A22" s="8">
        <v>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0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0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0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0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  <c r="XB22" s="8">
        <v>0</v>
      </c>
      <c r="XC22" s="8">
        <v>0</v>
      </c>
      <c r="XD22" s="8">
        <v>0</v>
      </c>
      <c r="XE22" s="8">
        <v>0</v>
      </c>
      <c r="XF22" s="8">
        <v>0</v>
      </c>
      <c r="XG22" s="8">
        <v>0</v>
      </c>
      <c r="XH22" s="8">
        <v>0</v>
      </c>
      <c r="XI22" s="8">
        <v>0</v>
      </c>
      <c r="XJ22" s="8">
        <v>0</v>
      </c>
      <c r="XK22" s="8">
        <v>0</v>
      </c>
      <c r="XL22" s="8">
        <v>0</v>
      </c>
      <c r="XM22" s="8">
        <v>0</v>
      </c>
      <c r="XN22" s="8">
        <v>0</v>
      </c>
      <c r="XO22" s="8">
        <v>0</v>
      </c>
      <c r="XP22" s="8">
        <v>0</v>
      </c>
      <c r="XQ22" s="8">
        <v>0</v>
      </c>
      <c r="XR22" s="8">
        <v>0</v>
      </c>
      <c r="XS22" s="8">
        <v>0</v>
      </c>
      <c r="XT22" s="8">
        <v>0</v>
      </c>
      <c r="XU22" s="8">
        <v>0</v>
      </c>
      <c r="XV22" s="8">
        <v>0</v>
      </c>
      <c r="XW22" s="8">
        <v>0</v>
      </c>
      <c r="XX22" s="8">
        <v>0</v>
      </c>
      <c r="XY22" s="8">
        <v>0</v>
      </c>
      <c r="XZ22" s="8">
        <v>0</v>
      </c>
      <c r="YA22" s="8">
        <v>0</v>
      </c>
      <c r="YB22" s="8">
        <v>0</v>
      </c>
      <c r="YC22" s="8">
        <v>0</v>
      </c>
      <c r="YD22" s="8">
        <v>0</v>
      </c>
      <c r="YE22" s="8">
        <v>0</v>
      </c>
      <c r="YF22" s="8">
        <v>0</v>
      </c>
      <c r="YG22" s="8">
        <v>0</v>
      </c>
      <c r="YH22" s="8">
        <v>0</v>
      </c>
      <c r="YI22" s="8">
        <v>0</v>
      </c>
      <c r="YJ22" s="8">
        <v>0</v>
      </c>
      <c r="YK22" s="8">
        <v>0</v>
      </c>
      <c r="YL22" s="8">
        <v>0</v>
      </c>
      <c r="YM22" s="8">
        <v>0</v>
      </c>
      <c r="YN22" s="8">
        <v>0</v>
      </c>
      <c r="YO22" s="8">
        <v>0</v>
      </c>
      <c r="YP22" s="8">
        <v>0</v>
      </c>
      <c r="YQ22" s="8">
        <v>0</v>
      </c>
      <c r="YR22" s="8">
        <v>0</v>
      </c>
      <c r="YS22" s="8">
        <v>0</v>
      </c>
      <c r="YT22" s="8">
        <v>0</v>
      </c>
      <c r="YU22" s="8">
        <v>0</v>
      </c>
      <c r="YV22" s="8">
        <v>0</v>
      </c>
      <c r="YW22" s="8">
        <v>0</v>
      </c>
      <c r="YX22" s="8">
        <v>0</v>
      </c>
      <c r="YY22" s="8">
        <v>0</v>
      </c>
      <c r="YZ22" s="8">
        <v>0</v>
      </c>
      <c r="ZA22" s="8">
        <v>0</v>
      </c>
      <c r="ZB22" s="8">
        <v>0</v>
      </c>
      <c r="ZC22" s="8">
        <v>0</v>
      </c>
      <c r="ZD22" s="8">
        <v>0</v>
      </c>
      <c r="ZE22" s="8">
        <v>0</v>
      </c>
      <c r="ZF22" s="8">
        <v>0</v>
      </c>
      <c r="ZG22" s="8">
        <v>0</v>
      </c>
      <c r="ZH22" s="8">
        <v>0</v>
      </c>
      <c r="ZI22" s="8">
        <v>0</v>
      </c>
      <c r="ZJ22" s="8">
        <v>0</v>
      </c>
      <c r="ZK22" s="8">
        <v>0</v>
      </c>
      <c r="ZL22" s="8">
        <v>0</v>
      </c>
      <c r="ZM22" s="8">
        <v>0</v>
      </c>
      <c r="ZN22" s="8">
        <v>0</v>
      </c>
      <c r="ZO22" s="8">
        <v>0</v>
      </c>
      <c r="ZP22" s="8">
        <v>0</v>
      </c>
      <c r="ZQ22" s="8">
        <v>0</v>
      </c>
      <c r="ZR22" s="8">
        <v>0</v>
      </c>
      <c r="ZS22" s="8">
        <v>0</v>
      </c>
      <c r="ZT22" s="8">
        <v>0</v>
      </c>
      <c r="ZU22" s="8">
        <v>0</v>
      </c>
      <c r="ZV22" s="8">
        <v>0</v>
      </c>
      <c r="ZW22" s="8">
        <v>0</v>
      </c>
      <c r="ZX22" s="8">
        <v>0</v>
      </c>
      <c r="ZY22" s="8">
        <v>0</v>
      </c>
      <c r="ZZ22" s="8">
        <v>0</v>
      </c>
      <c r="AAA22" s="8">
        <v>0</v>
      </c>
      <c r="AAB22" s="8">
        <v>0</v>
      </c>
      <c r="AAC22" s="8">
        <v>0</v>
      </c>
      <c r="AAD22" s="8">
        <v>0</v>
      </c>
      <c r="AAE22" s="8">
        <v>0</v>
      </c>
      <c r="AAF22" s="8">
        <v>0</v>
      </c>
      <c r="AAG22" s="8">
        <v>0</v>
      </c>
      <c r="AAH22" s="8">
        <v>0</v>
      </c>
      <c r="AAI22" s="8">
        <v>0</v>
      </c>
      <c r="AAJ22" s="8">
        <v>0</v>
      </c>
      <c r="AAK22" s="8">
        <v>0</v>
      </c>
      <c r="AAL22" s="8">
        <v>0</v>
      </c>
      <c r="AAM22" s="8">
        <v>0</v>
      </c>
      <c r="AAN22" s="8">
        <v>0</v>
      </c>
      <c r="AAO22" s="8">
        <v>0</v>
      </c>
      <c r="AAP22" s="8">
        <v>0</v>
      </c>
      <c r="AAQ22" s="8">
        <v>0</v>
      </c>
      <c r="AAR22" s="8">
        <v>0</v>
      </c>
      <c r="AAS22" s="8">
        <v>0</v>
      </c>
      <c r="AAT22" s="8">
        <v>0</v>
      </c>
      <c r="AAU22" s="8">
        <v>0</v>
      </c>
      <c r="AAV22" s="8">
        <v>0</v>
      </c>
      <c r="AAW22" s="8">
        <v>0</v>
      </c>
      <c r="AAX22" s="8">
        <v>0</v>
      </c>
      <c r="AAY22" s="8">
        <v>0</v>
      </c>
      <c r="AAZ22" s="8">
        <v>0</v>
      </c>
      <c r="ABA22" s="8">
        <v>0</v>
      </c>
      <c r="ABB22" s="8">
        <v>0</v>
      </c>
      <c r="ABC22" s="8">
        <v>0</v>
      </c>
      <c r="ABD22" s="8">
        <v>0</v>
      </c>
      <c r="ABE22" s="8">
        <v>0</v>
      </c>
      <c r="ABF22" s="8">
        <v>0</v>
      </c>
      <c r="ABG22" s="8">
        <v>0</v>
      </c>
      <c r="ABH22" s="8">
        <v>0</v>
      </c>
      <c r="ABI22" s="8">
        <v>0</v>
      </c>
      <c r="ABJ22" s="8">
        <v>0</v>
      </c>
      <c r="ABK22" s="8">
        <v>0</v>
      </c>
      <c r="ABL22" s="8">
        <v>0</v>
      </c>
      <c r="ABM22" s="8">
        <v>0</v>
      </c>
      <c r="ABN22" s="8">
        <v>0</v>
      </c>
      <c r="ABO22" s="8">
        <v>0</v>
      </c>
      <c r="ABP22" s="8">
        <v>0</v>
      </c>
      <c r="ABQ22" s="8">
        <v>0</v>
      </c>
      <c r="ABR22" s="8">
        <v>0</v>
      </c>
      <c r="ABS22" s="8">
        <v>0</v>
      </c>
      <c r="ABT22" s="8">
        <v>0</v>
      </c>
      <c r="ABU22" s="8">
        <v>0</v>
      </c>
      <c r="ABV22" s="8">
        <v>0</v>
      </c>
      <c r="ABW22" s="8">
        <v>0</v>
      </c>
      <c r="ABX22" s="8">
        <v>0</v>
      </c>
      <c r="ABY22" s="8">
        <v>0</v>
      </c>
      <c r="ABZ22" s="8">
        <v>0</v>
      </c>
      <c r="ACA22" s="8">
        <v>0</v>
      </c>
      <c r="ACB22" s="8">
        <v>0</v>
      </c>
      <c r="ACC22" s="8">
        <v>0</v>
      </c>
      <c r="ACD22" s="8">
        <v>0</v>
      </c>
      <c r="ACE22" s="8">
        <v>0</v>
      </c>
      <c r="ACF22" s="8">
        <v>0</v>
      </c>
      <c r="ACG22" s="8">
        <v>0</v>
      </c>
      <c r="ACH22" s="8">
        <v>0</v>
      </c>
      <c r="ACI22" s="8">
        <v>0</v>
      </c>
      <c r="ACJ22" s="8">
        <v>0</v>
      </c>
      <c r="ACK22" s="8">
        <v>0</v>
      </c>
      <c r="ACL22" s="8">
        <v>0</v>
      </c>
      <c r="ACM22" s="8">
        <v>0</v>
      </c>
      <c r="ACN22" s="8">
        <v>0</v>
      </c>
      <c r="ACO22" s="8">
        <v>0</v>
      </c>
      <c r="ACP22" s="8">
        <v>0</v>
      </c>
      <c r="ACQ22" s="8">
        <v>0</v>
      </c>
      <c r="ACR22" s="8">
        <v>0</v>
      </c>
      <c r="ACS22" s="8">
        <v>0</v>
      </c>
      <c r="ACT22" s="8">
        <v>0</v>
      </c>
      <c r="ACU22" s="8">
        <v>0</v>
      </c>
      <c r="ACV22" s="8">
        <v>0</v>
      </c>
      <c r="ACW22" s="8">
        <v>0</v>
      </c>
      <c r="ACX22" s="8">
        <v>0</v>
      </c>
      <c r="ACY22" s="8">
        <v>0</v>
      </c>
      <c r="ACZ22" s="8">
        <v>0</v>
      </c>
      <c r="ADA22" s="8">
        <v>0</v>
      </c>
      <c r="ADB22" s="8">
        <v>0</v>
      </c>
      <c r="ADC22" s="8">
        <v>0</v>
      </c>
      <c r="ADD22" s="8">
        <v>0</v>
      </c>
      <c r="ADE22" s="8">
        <v>0</v>
      </c>
      <c r="ADF22" s="8">
        <v>0</v>
      </c>
      <c r="ADG22" s="8">
        <v>0</v>
      </c>
      <c r="ADH22" s="8">
        <v>0</v>
      </c>
      <c r="ADI22" s="8">
        <v>0</v>
      </c>
      <c r="ADJ22" s="8">
        <v>0</v>
      </c>
      <c r="ADK22" s="8">
        <v>0</v>
      </c>
      <c r="ADL22" s="8">
        <v>0</v>
      </c>
      <c r="ADM22" s="8">
        <v>0</v>
      </c>
      <c r="ADN22" s="8">
        <v>0</v>
      </c>
      <c r="ADO22" s="8">
        <v>0</v>
      </c>
      <c r="ADP22" s="8">
        <v>0</v>
      </c>
      <c r="ADQ22" s="8">
        <v>0</v>
      </c>
      <c r="ADR22" s="8">
        <v>0</v>
      </c>
      <c r="ADS22" s="8">
        <v>0</v>
      </c>
      <c r="ADT22" s="8">
        <v>0</v>
      </c>
      <c r="ADU22" s="8">
        <v>0</v>
      </c>
      <c r="ADV22" s="8">
        <v>0</v>
      </c>
      <c r="ADW22" s="8">
        <v>0</v>
      </c>
      <c r="ADX22" s="8">
        <v>0</v>
      </c>
      <c r="ADY22" s="8">
        <v>0</v>
      </c>
      <c r="ADZ22" s="8">
        <v>0</v>
      </c>
      <c r="AEA22" s="8">
        <v>0</v>
      </c>
      <c r="AEB22" s="8">
        <v>0</v>
      </c>
      <c r="AEC22" s="8">
        <v>0</v>
      </c>
      <c r="AED22" s="8">
        <v>0</v>
      </c>
      <c r="AEE22" s="8">
        <v>0</v>
      </c>
      <c r="AEF22" s="8">
        <v>0</v>
      </c>
      <c r="AEG22" s="8">
        <v>0</v>
      </c>
      <c r="AEH22" s="8">
        <v>0</v>
      </c>
      <c r="AEI22" s="8">
        <v>0</v>
      </c>
      <c r="AEJ22" s="8">
        <v>0</v>
      </c>
      <c r="AEK22" s="8">
        <v>0</v>
      </c>
      <c r="AEL22" s="8">
        <v>0</v>
      </c>
      <c r="AEM22" s="8">
        <v>0</v>
      </c>
      <c r="AEN22" s="8">
        <v>0</v>
      </c>
      <c r="AEO22" s="8">
        <v>0</v>
      </c>
      <c r="AEP22" s="8">
        <v>0</v>
      </c>
      <c r="AEQ22" s="8">
        <v>0</v>
      </c>
      <c r="AER22" s="8">
        <v>0</v>
      </c>
      <c r="AES22" s="8">
        <v>0</v>
      </c>
      <c r="AET22" s="8">
        <v>0</v>
      </c>
      <c r="AEU22" s="8">
        <v>0</v>
      </c>
      <c r="AEV22" s="8">
        <v>0</v>
      </c>
      <c r="AEW22" s="8">
        <v>0</v>
      </c>
      <c r="AEX22" s="8">
        <v>0</v>
      </c>
      <c r="AEY22" s="8">
        <v>0</v>
      </c>
      <c r="AEZ22" s="8">
        <v>0</v>
      </c>
      <c r="AFA22" s="8">
        <v>0</v>
      </c>
      <c r="AFB22" s="8">
        <v>0</v>
      </c>
      <c r="AFC22" s="8">
        <v>0</v>
      </c>
      <c r="AFD22" s="8">
        <v>0</v>
      </c>
      <c r="AFE22" s="8">
        <v>0</v>
      </c>
      <c r="AFF22" s="8">
        <v>0</v>
      </c>
      <c r="AFG22" s="8">
        <v>0</v>
      </c>
      <c r="AFH22" s="8">
        <v>0</v>
      </c>
      <c r="AFI22" s="8">
        <v>0</v>
      </c>
      <c r="AFJ22" s="8">
        <v>0</v>
      </c>
      <c r="AFK22" s="8">
        <v>0</v>
      </c>
      <c r="AFL22" s="8">
        <v>0</v>
      </c>
      <c r="AFM22" s="8">
        <v>0</v>
      </c>
      <c r="AFN22" s="8">
        <v>0</v>
      </c>
      <c r="AFO22" s="8">
        <v>0</v>
      </c>
      <c r="AFP22" s="8">
        <v>0</v>
      </c>
      <c r="AFQ22" s="8">
        <v>0</v>
      </c>
      <c r="AFR22" s="8">
        <v>0</v>
      </c>
      <c r="AFS22" s="8">
        <v>0</v>
      </c>
      <c r="AFT22" s="8">
        <v>0</v>
      </c>
      <c r="AFU22" s="8">
        <v>0</v>
      </c>
      <c r="AFV22" s="8">
        <v>0</v>
      </c>
      <c r="AFW22" s="8">
        <v>0</v>
      </c>
      <c r="AFX22" s="8">
        <v>0</v>
      </c>
      <c r="AFY22" s="8">
        <v>0</v>
      </c>
      <c r="AFZ22" s="8">
        <v>0</v>
      </c>
      <c r="AGA22" s="8">
        <v>0</v>
      </c>
      <c r="AGB22" s="8">
        <v>0</v>
      </c>
      <c r="AGC22" s="8">
        <v>0</v>
      </c>
      <c r="AGD22" s="8">
        <v>0</v>
      </c>
      <c r="AGE22" s="8">
        <v>0</v>
      </c>
      <c r="AGF22" s="8">
        <v>0</v>
      </c>
      <c r="AGG22" s="8">
        <v>0</v>
      </c>
      <c r="AGH22" s="8">
        <v>0</v>
      </c>
      <c r="AGI22" s="8">
        <v>0</v>
      </c>
      <c r="AGJ22" s="8">
        <v>0</v>
      </c>
      <c r="AGK22" s="8">
        <v>0</v>
      </c>
      <c r="AGL22" s="8">
        <v>0</v>
      </c>
      <c r="AGM22" s="8">
        <v>0</v>
      </c>
      <c r="AGN22" s="8">
        <v>0</v>
      </c>
      <c r="AGO22" s="8">
        <v>0</v>
      </c>
      <c r="AGP22" s="8">
        <v>0</v>
      </c>
      <c r="AGQ22" s="8">
        <v>0</v>
      </c>
      <c r="AGR22" s="8">
        <v>0</v>
      </c>
      <c r="AGS22" s="8">
        <v>0</v>
      </c>
      <c r="AGT22" s="8">
        <v>0</v>
      </c>
      <c r="AGU22" s="8">
        <v>0</v>
      </c>
      <c r="AGV22" s="8">
        <v>0</v>
      </c>
      <c r="AGW22" s="8">
        <v>0</v>
      </c>
      <c r="AGX22" s="8">
        <v>0</v>
      </c>
      <c r="AGY22" s="8">
        <v>0</v>
      </c>
      <c r="AGZ22" s="8">
        <v>0</v>
      </c>
      <c r="AHA22" s="8">
        <v>0</v>
      </c>
      <c r="AHB22" s="8">
        <v>0</v>
      </c>
      <c r="AHC22" s="8">
        <v>0</v>
      </c>
      <c r="AHD22" s="8">
        <v>0</v>
      </c>
      <c r="AHE22" s="8">
        <v>0</v>
      </c>
      <c r="AHF22" s="8">
        <v>0</v>
      </c>
      <c r="AHG22" s="8">
        <v>0</v>
      </c>
      <c r="AHH22" s="8">
        <v>0</v>
      </c>
      <c r="AHI22" s="8">
        <v>0</v>
      </c>
      <c r="AHJ22" s="8">
        <v>0</v>
      </c>
      <c r="AHK22" s="8">
        <v>0</v>
      </c>
      <c r="AHL22" s="8">
        <v>0</v>
      </c>
      <c r="AHM22" s="8">
        <v>0</v>
      </c>
      <c r="AHN22" s="8">
        <v>0</v>
      </c>
      <c r="AHO22" s="8">
        <v>0</v>
      </c>
      <c r="AHP22" s="8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 t="e">
        <v>#N/A</v>
      </c>
      <c r="AIJ22" t="e">
        <v>#N/A</v>
      </c>
      <c r="AIK22" t="e">
        <v>#N/A</v>
      </c>
      <c r="AIL22" t="e">
        <v>#N/A</v>
      </c>
      <c r="AIM22" t="e">
        <v>#N/A</v>
      </c>
      <c r="AIN22" t="e">
        <v>#N/A</v>
      </c>
      <c r="AIO22" t="e">
        <v>#N/A</v>
      </c>
      <c r="AIP22" t="e">
        <v>#N/A</v>
      </c>
      <c r="AIQ22" t="e">
        <v>#N/A</v>
      </c>
      <c r="AIR22" t="e">
        <v>#N/A</v>
      </c>
      <c r="AIS22" t="e">
        <v>#N/A</v>
      </c>
      <c r="AIT22" t="e">
        <v>#N/A</v>
      </c>
      <c r="AIU22" t="e">
        <v>#N/A</v>
      </c>
      <c r="AIV22" t="e">
        <v>#N/A</v>
      </c>
      <c r="AIW22" t="e">
        <v>#N/A</v>
      </c>
      <c r="AIX22" t="e">
        <v>#N/A</v>
      </c>
      <c r="AIY22" t="e">
        <v>#N/A</v>
      </c>
      <c r="AIZ22" t="e">
        <v>#N/A</v>
      </c>
      <c r="AJA22" t="e">
        <v>#N/A</v>
      </c>
      <c r="AJB22" t="e">
        <v>#N/A</v>
      </c>
      <c r="AJC22" t="e">
        <v>#N/A</v>
      </c>
      <c r="AJD22" t="e">
        <v>#N/A</v>
      </c>
      <c r="AJE22" t="e">
        <v>#N/A</v>
      </c>
      <c r="AJF22" t="e">
        <v>#N/A</v>
      </c>
      <c r="AJG22" t="e">
        <v>#N/A</v>
      </c>
      <c r="AJH22" t="e">
        <v>#N/A</v>
      </c>
      <c r="AJI22" t="e">
        <v>#N/A</v>
      </c>
      <c r="AJJ22" t="e">
        <v>#N/A</v>
      </c>
      <c r="AJK22" t="e">
        <v>#N/A</v>
      </c>
      <c r="AJL22" t="e">
        <v>#N/A</v>
      </c>
      <c r="AJM22" t="e">
        <v>#N/A</v>
      </c>
      <c r="AJN22" t="e">
        <v>#N/A</v>
      </c>
      <c r="AJO22" t="e">
        <v>#N/A</v>
      </c>
      <c r="AJP22" t="e">
        <v>#N/A</v>
      </c>
      <c r="AJQ22" t="e">
        <v>#N/A</v>
      </c>
      <c r="AJR22" t="e">
        <v>#N/A</v>
      </c>
      <c r="AJS22" t="e">
        <v>#N/A</v>
      </c>
      <c r="AJT22" t="e">
        <v>#N/A</v>
      </c>
      <c r="AJU22" t="e">
        <v>#N/A</v>
      </c>
      <c r="AJV22" t="e">
        <v>#N/A</v>
      </c>
      <c r="AJW22" t="e">
        <v>#N/A</v>
      </c>
      <c r="AJX22" t="e">
        <v>#N/A</v>
      </c>
      <c r="AJY22" t="e">
        <v>#N/A</v>
      </c>
      <c r="AJZ22" t="e">
        <v>#N/A</v>
      </c>
      <c r="AKA22" t="e">
        <v>#N/A</v>
      </c>
      <c r="AKB22" t="e">
        <v>#N/A</v>
      </c>
      <c r="AKC22" t="e">
        <v>#N/A</v>
      </c>
      <c r="AKD22" t="e">
        <v>#N/A</v>
      </c>
      <c r="AKE22" t="e">
        <v>#N/A</v>
      </c>
      <c r="AKF22" t="e">
        <v>#N/A</v>
      </c>
      <c r="AKG22" t="e">
        <v>#N/A</v>
      </c>
      <c r="AKH22" t="e">
        <v>#N/A</v>
      </c>
      <c r="AKI22" t="e">
        <v>#N/A</v>
      </c>
      <c r="AKJ22" t="e">
        <v>#N/A</v>
      </c>
      <c r="AKK22" t="e">
        <v>#N/A</v>
      </c>
      <c r="AKL22" t="e">
        <v>#N/A</v>
      </c>
      <c r="AKM22" t="e">
        <v>#N/A</v>
      </c>
      <c r="AKN22" t="e">
        <v>#N/A</v>
      </c>
      <c r="AKO22" t="e">
        <v>#N/A</v>
      </c>
      <c r="AKP22" t="e">
        <v>#N/A</v>
      </c>
      <c r="AKQ22" t="e">
        <v>#N/A</v>
      </c>
      <c r="AKR22" t="e">
        <v>#N/A</v>
      </c>
      <c r="AKS22" t="e">
        <v>#N/A</v>
      </c>
      <c r="AKT22" t="e">
        <v>#N/A</v>
      </c>
      <c r="AKU22" t="e">
        <v>#N/A</v>
      </c>
      <c r="AKV22" t="e">
        <v>#N/A</v>
      </c>
      <c r="AKW22" t="e">
        <v>#N/A</v>
      </c>
      <c r="AKX22" t="e">
        <v>#N/A</v>
      </c>
      <c r="AKY22" t="e">
        <v>#N/A</v>
      </c>
      <c r="AKZ22" t="e">
        <v>#N/A</v>
      </c>
      <c r="ALA22" t="e">
        <v>#N/A</v>
      </c>
      <c r="ALB22" t="e">
        <v>#N/A</v>
      </c>
      <c r="ALC22" t="e">
        <v>#N/A</v>
      </c>
      <c r="ALD22" t="e">
        <v>#N/A</v>
      </c>
      <c r="ALE22" t="e">
        <v>#N/A</v>
      </c>
      <c r="ALF22" t="e">
        <v>#N/A</v>
      </c>
      <c r="ALG22" t="e">
        <v>#N/A</v>
      </c>
      <c r="ALH22" t="e">
        <v>#N/A</v>
      </c>
      <c r="ALI22" t="e">
        <v>#N/A</v>
      </c>
      <c r="ALJ22" t="e">
        <v>#N/A</v>
      </c>
      <c r="ALK22" t="e">
        <v>#N/A</v>
      </c>
      <c r="ALL22" t="e">
        <v>#N/A</v>
      </c>
      <c r="ALM22" t="e">
        <v>#N/A</v>
      </c>
      <c r="ALN22" t="e">
        <v>#N/A</v>
      </c>
      <c r="ALO22" t="e">
        <v>#N/A</v>
      </c>
      <c r="ALP22" t="e">
        <v>#N/A</v>
      </c>
      <c r="ALQ22" t="e">
        <v>#N/A</v>
      </c>
      <c r="ALR22" t="e">
        <v>#N/A</v>
      </c>
      <c r="ALS22" t="e">
        <v>#N/A</v>
      </c>
      <c r="ALT22" t="e">
        <v>#N/A</v>
      </c>
      <c r="ALU22" t="e">
        <v>#N/A</v>
      </c>
      <c r="ALV22" t="e">
        <v>#N/A</v>
      </c>
      <c r="ALW22" t="e">
        <v>#N/A</v>
      </c>
      <c r="ALX22" t="e">
        <v>#N/A</v>
      </c>
      <c r="ALY22" t="e">
        <v>#N/A</v>
      </c>
      <c r="ALZ22" t="e">
        <v>#N/A</v>
      </c>
      <c r="AMA22" t="e">
        <v>#N/A</v>
      </c>
      <c r="AMB22" t="e">
        <v>#N/A</v>
      </c>
      <c r="AMC22" t="e">
        <v>#N/A</v>
      </c>
      <c r="AMD22" t="e">
        <v>#N/A</v>
      </c>
      <c r="AME22" t="e">
        <v>#N/A</v>
      </c>
      <c r="AMF22" t="e">
        <v>#N/A</v>
      </c>
      <c r="AMG22" t="e">
        <v>#N/A</v>
      </c>
      <c r="AMH22" t="e">
        <v>#N/A</v>
      </c>
    </row>
    <row r="23" spans="1:1022" ht="15.75" customHeight="1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0</v>
      </c>
      <c r="OO23" s="8">
        <v>0</v>
      </c>
      <c r="OP23" s="8">
        <v>0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8">
        <v>0</v>
      </c>
      <c r="SW23" s="8">
        <v>0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8">
        <v>0</v>
      </c>
      <c r="TK23" s="8">
        <v>0</v>
      </c>
      <c r="TL23" s="8">
        <v>0</v>
      </c>
      <c r="TM23" s="8">
        <v>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8">
        <v>0</v>
      </c>
      <c r="UF23" s="8">
        <v>0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0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0</v>
      </c>
      <c r="VZ23" s="8">
        <v>0</v>
      </c>
      <c r="WA23" s="8">
        <v>0</v>
      </c>
      <c r="WB23" s="8">
        <v>0</v>
      </c>
      <c r="WC23" s="8">
        <v>0</v>
      </c>
      <c r="WD23" s="8">
        <v>0</v>
      </c>
      <c r="WE23" s="8">
        <v>0</v>
      </c>
      <c r="WF23" s="8">
        <v>0</v>
      </c>
      <c r="WG23" s="8">
        <v>0</v>
      </c>
      <c r="WH23" s="8">
        <v>0</v>
      </c>
      <c r="WI23" s="8">
        <v>0</v>
      </c>
      <c r="WJ23" s="8">
        <v>0</v>
      </c>
      <c r="WK23" s="8">
        <v>0</v>
      </c>
      <c r="WL23" s="8">
        <v>0</v>
      </c>
      <c r="WM23" s="8">
        <v>0</v>
      </c>
      <c r="WN23" s="8">
        <v>0</v>
      </c>
      <c r="WO23" s="8">
        <v>0</v>
      </c>
      <c r="WP23" s="8">
        <v>0</v>
      </c>
      <c r="WQ23" s="8">
        <v>0</v>
      </c>
      <c r="WR23" s="8">
        <v>0</v>
      </c>
      <c r="WS23" s="8">
        <v>0</v>
      </c>
      <c r="WT23" s="8">
        <v>0</v>
      </c>
      <c r="WU23" s="8">
        <v>0</v>
      </c>
      <c r="WV23" s="8">
        <v>0</v>
      </c>
      <c r="WW23" s="8">
        <v>0</v>
      </c>
      <c r="WX23" s="8">
        <v>0</v>
      </c>
      <c r="WY23" s="8">
        <v>0</v>
      </c>
      <c r="WZ23" s="8">
        <v>0</v>
      </c>
      <c r="XA23" s="8">
        <v>0</v>
      </c>
      <c r="XB23" s="8">
        <v>0</v>
      </c>
      <c r="XC23" s="8">
        <v>0</v>
      </c>
      <c r="XD23" s="8">
        <v>0</v>
      </c>
      <c r="XE23" s="8">
        <v>0</v>
      </c>
      <c r="XF23" s="8">
        <v>0</v>
      </c>
      <c r="XG23" s="8">
        <v>0</v>
      </c>
      <c r="XH23" s="8">
        <v>0</v>
      </c>
      <c r="XI23" s="8">
        <v>0</v>
      </c>
      <c r="XJ23" s="8">
        <v>0</v>
      </c>
      <c r="XK23" s="8">
        <v>0</v>
      </c>
      <c r="XL23" s="8">
        <v>0</v>
      </c>
      <c r="XM23" s="8">
        <v>0</v>
      </c>
      <c r="XN23" s="8">
        <v>0</v>
      </c>
      <c r="XO23" s="8">
        <v>0</v>
      </c>
      <c r="XP23" s="8">
        <v>0</v>
      </c>
      <c r="XQ23" s="8">
        <v>0</v>
      </c>
      <c r="XR23" s="8">
        <v>0</v>
      </c>
      <c r="XS23" s="8">
        <v>0</v>
      </c>
      <c r="XT23" s="8">
        <v>0</v>
      </c>
      <c r="XU23" s="8">
        <v>0</v>
      </c>
      <c r="XV23" s="8">
        <v>0</v>
      </c>
      <c r="XW23" s="8">
        <v>0</v>
      </c>
      <c r="XX23" s="8">
        <v>0</v>
      </c>
      <c r="XY23" s="8">
        <v>0</v>
      </c>
      <c r="XZ23" s="8">
        <v>0</v>
      </c>
      <c r="YA23" s="8">
        <v>0</v>
      </c>
      <c r="YB23" s="8">
        <v>0</v>
      </c>
      <c r="YC23" s="8">
        <v>0</v>
      </c>
      <c r="YD23" s="8">
        <v>0</v>
      </c>
      <c r="YE23" s="8">
        <v>0</v>
      </c>
      <c r="YF23" s="8">
        <v>0</v>
      </c>
      <c r="YG23" s="8">
        <v>0</v>
      </c>
      <c r="YH23" s="8">
        <v>0</v>
      </c>
      <c r="YI23" s="8">
        <v>0</v>
      </c>
      <c r="YJ23" s="8">
        <v>0</v>
      </c>
      <c r="YK23" s="8">
        <v>0</v>
      </c>
      <c r="YL23" s="8">
        <v>0</v>
      </c>
      <c r="YM23" s="8">
        <v>0</v>
      </c>
      <c r="YN23" s="8">
        <v>0</v>
      </c>
      <c r="YO23" s="8">
        <v>0</v>
      </c>
      <c r="YP23" s="8">
        <v>0</v>
      </c>
      <c r="YQ23" s="8">
        <v>0</v>
      </c>
      <c r="YR23" s="8">
        <v>0</v>
      </c>
      <c r="YS23" s="8">
        <v>0</v>
      </c>
      <c r="YT23" s="8">
        <v>0</v>
      </c>
      <c r="YU23" s="8">
        <v>0</v>
      </c>
      <c r="YV23" s="8">
        <v>0</v>
      </c>
      <c r="YW23" s="8">
        <v>0</v>
      </c>
      <c r="YX23" s="8">
        <v>0</v>
      </c>
      <c r="YY23" s="8">
        <v>0</v>
      </c>
      <c r="YZ23" s="8">
        <v>0</v>
      </c>
      <c r="ZA23" s="8">
        <v>0</v>
      </c>
      <c r="ZB23" s="8">
        <v>0</v>
      </c>
      <c r="ZC23" s="8">
        <v>0</v>
      </c>
      <c r="ZD23" s="8">
        <v>0</v>
      </c>
      <c r="ZE23" s="8">
        <v>0</v>
      </c>
      <c r="ZF23" s="8">
        <v>0</v>
      </c>
      <c r="ZG23" s="8">
        <v>0</v>
      </c>
      <c r="ZH23" s="8">
        <v>0</v>
      </c>
      <c r="ZI23" s="8">
        <v>0</v>
      </c>
      <c r="ZJ23" s="8">
        <v>0</v>
      </c>
      <c r="ZK23" s="8">
        <v>0</v>
      </c>
      <c r="ZL23" s="8">
        <v>0</v>
      </c>
      <c r="ZM23" s="8">
        <v>0</v>
      </c>
      <c r="ZN23" s="8">
        <v>0</v>
      </c>
      <c r="ZO23" s="8">
        <v>0</v>
      </c>
      <c r="ZP23" s="8">
        <v>0</v>
      </c>
      <c r="ZQ23" s="8">
        <v>0</v>
      </c>
      <c r="ZR23" s="8">
        <v>0</v>
      </c>
      <c r="ZS23" s="8">
        <v>0</v>
      </c>
      <c r="ZT23" s="8">
        <v>0</v>
      </c>
      <c r="ZU23" s="8">
        <v>0</v>
      </c>
      <c r="ZV23" s="8">
        <v>0</v>
      </c>
      <c r="ZW23" s="8">
        <v>0</v>
      </c>
      <c r="ZX23" s="8">
        <v>0</v>
      </c>
      <c r="ZY23" s="8">
        <v>0</v>
      </c>
      <c r="ZZ23" s="8">
        <v>0</v>
      </c>
      <c r="AAA23" s="8">
        <v>0</v>
      </c>
      <c r="AAB23" s="8">
        <v>0</v>
      </c>
      <c r="AAC23" s="8">
        <v>0</v>
      </c>
      <c r="AAD23" s="8">
        <v>0</v>
      </c>
      <c r="AAE23" s="8">
        <v>0</v>
      </c>
      <c r="AAF23" s="8">
        <v>0</v>
      </c>
      <c r="AAG23" s="8">
        <v>0</v>
      </c>
      <c r="AAH23" s="8">
        <v>0</v>
      </c>
      <c r="AAI23" s="8">
        <v>0</v>
      </c>
      <c r="AAJ23" s="8">
        <v>0</v>
      </c>
      <c r="AAK23" s="8">
        <v>0</v>
      </c>
      <c r="AAL23" s="8">
        <v>0</v>
      </c>
      <c r="AAM23" s="8">
        <v>0</v>
      </c>
      <c r="AAN23" s="8">
        <v>0</v>
      </c>
      <c r="AAO23" s="8">
        <v>0</v>
      </c>
      <c r="AAP23" s="8">
        <v>0</v>
      </c>
      <c r="AAQ23" s="8">
        <v>0</v>
      </c>
      <c r="AAR23" s="8">
        <v>0</v>
      </c>
      <c r="AAS23" s="8">
        <v>0</v>
      </c>
      <c r="AAT23" s="8">
        <v>0</v>
      </c>
      <c r="AAU23" s="8">
        <v>0</v>
      </c>
      <c r="AAV23" s="8">
        <v>0</v>
      </c>
      <c r="AAW23" s="8">
        <v>0</v>
      </c>
      <c r="AAX23" s="8">
        <v>0</v>
      </c>
      <c r="AAY23" s="8">
        <v>0</v>
      </c>
      <c r="AAZ23" s="8">
        <v>0</v>
      </c>
      <c r="ABA23" s="8">
        <v>0</v>
      </c>
      <c r="ABB23" s="8">
        <v>0</v>
      </c>
      <c r="ABC23" s="8">
        <v>0</v>
      </c>
      <c r="ABD23" s="8">
        <v>0</v>
      </c>
      <c r="ABE23" s="8">
        <v>0</v>
      </c>
      <c r="ABF23" s="8">
        <v>0</v>
      </c>
      <c r="ABG23" s="8">
        <v>0</v>
      </c>
      <c r="ABH23" s="8">
        <v>0</v>
      </c>
      <c r="ABI23" s="8">
        <v>0</v>
      </c>
      <c r="ABJ23" s="8">
        <v>0</v>
      </c>
      <c r="ABK23" s="8">
        <v>0</v>
      </c>
      <c r="ABL23" s="8">
        <v>0</v>
      </c>
      <c r="ABM23" s="8">
        <v>0</v>
      </c>
      <c r="ABN23" s="8">
        <v>0</v>
      </c>
      <c r="ABO23" s="8">
        <v>0</v>
      </c>
      <c r="ABP23" s="8">
        <v>0</v>
      </c>
      <c r="ABQ23" s="8">
        <v>0</v>
      </c>
      <c r="ABR23" s="8">
        <v>0</v>
      </c>
      <c r="ABS23" s="8">
        <v>0</v>
      </c>
      <c r="ABT23" s="8">
        <v>0</v>
      </c>
      <c r="ABU23" s="8">
        <v>0</v>
      </c>
      <c r="ABV23" s="8">
        <v>0</v>
      </c>
      <c r="ABW23" s="8">
        <v>0</v>
      </c>
      <c r="ABX23" s="8">
        <v>0</v>
      </c>
      <c r="ABY23" s="8">
        <v>0</v>
      </c>
      <c r="ABZ23" s="8">
        <v>0</v>
      </c>
      <c r="ACA23" s="8">
        <v>0</v>
      </c>
      <c r="ACB23" s="8">
        <v>0</v>
      </c>
      <c r="ACC23" s="8">
        <v>0</v>
      </c>
      <c r="ACD23" s="8">
        <v>0</v>
      </c>
      <c r="ACE23" s="8">
        <v>0</v>
      </c>
      <c r="ACF23" s="8">
        <v>0</v>
      </c>
      <c r="ACG23" s="8">
        <v>0</v>
      </c>
      <c r="ACH23" s="8">
        <v>0</v>
      </c>
      <c r="ACI23" s="8">
        <v>0</v>
      </c>
      <c r="ACJ23" s="8">
        <v>0</v>
      </c>
      <c r="ACK23" s="8">
        <v>0</v>
      </c>
      <c r="ACL23" s="8">
        <v>0</v>
      </c>
      <c r="ACM23" s="8">
        <v>0</v>
      </c>
      <c r="ACN23" s="8">
        <v>0</v>
      </c>
      <c r="ACO23" s="8">
        <v>0</v>
      </c>
      <c r="ACP23" s="8">
        <v>0</v>
      </c>
      <c r="ACQ23" s="8">
        <v>0</v>
      </c>
      <c r="ACR23" s="8">
        <v>0</v>
      </c>
      <c r="ACS23" s="8">
        <v>0</v>
      </c>
      <c r="ACT23" s="8">
        <v>0</v>
      </c>
      <c r="ACU23" s="8">
        <v>0</v>
      </c>
      <c r="ACV23" s="8">
        <v>0</v>
      </c>
      <c r="ACW23" s="8">
        <v>0</v>
      </c>
      <c r="ACX23" s="8">
        <v>0</v>
      </c>
      <c r="ACY23" s="8">
        <v>0</v>
      </c>
      <c r="ACZ23" s="8">
        <v>0</v>
      </c>
      <c r="ADA23" s="8">
        <v>0</v>
      </c>
      <c r="ADB23" s="8">
        <v>0</v>
      </c>
      <c r="ADC23" s="8">
        <v>0</v>
      </c>
      <c r="ADD23" s="8">
        <v>0</v>
      </c>
      <c r="ADE23" s="8">
        <v>0</v>
      </c>
      <c r="ADF23" s="8">
        <v>0</v>
      </c>
      <c r="ADG23" s="8">
        <v>0</v>
      </c>
      <c r="ADH23" s="8">
        <v>0</v>
      </c>
      <c r="ADI23" s="8">
        <v>0</v>
      </c>
      <c r="ADJ23" s="8">
        <v>0</v>
      </c>
      <c r="ADK23" s="8">
        <v>0</v>
      </c>
      <c r="ADL23" s="8">
        <v>0</v>
      </c>
      <c r="ADM23" s="8">
        <v>0</v>
      </c>
      <c r="ADN23" s="8">
        <v>0</v>
      </c>
      <c r="ADO23" s="8">
        <v>0</v>
      </c>
      <c r="ADP23" s="8">
        <v>0</v>
      </c>
      <c r="ADQ23" s="8">
        <v>0</v>
      </c>
      <c r="ADR23" s="8">
        <v>0</v>
      </c>
      <c r="ADS23" s="8">
        <v>0</v>
      </c>
      <c r="ADT23" s="8">
        <v>0</v>
      </c>
      <c r="ADU23" s="8">
        <v>0</v>
      </c>
      <c r="ADV23" s="8">
        <v>0</v>
      </c>
      <c r="ADW23" s="8">
        <v>0</v>
      </c>
      <c r="ADX23" s="8">
        <v>0</v>
      </c>
      <c r="ADY23" s="8">
        <v>0</v>
      </c>
      <c r="ADZ23" s="8">
        <v>0</v>
      </c>
      <c r="AEA23" s="8">
        <v>0</v>
      </c>
      <c r="AEB23" s="8">
        <v>0</v>
      </c>
      <c r="AEC23" s="8">
        <v>0</v>
      </c>
      <c r="AED23" s="8">
        <v>0</v>
      </c>
      <c r="AEE23" s="8">
        <v>0</v>
      </c>
      <c r="AEF23" s="8">
        <v>0</v>
      </c>
      <c r="AEG23" s="8">
        <v>0</v>
      </c>
      <c r="AEH23" s="8">
        <v>0</v>
      </c>
      <c r="AEI23" s="8">
        <v>0</v>
      </c>
      <c r="AEJ23" s="8">
        <v>0</v>
      </c>
      <c r="AEK23" s="8">
        <v>0</v>
      </c>
      <c r="AEL23" s="8">
        <v>0</v>
      </c>
      <c r="AEM23" s="8">
        <v>0</v>
      </c>
      <c r="AEN23" s="8">
        <v>0</v>
      </c>
      <c r="AEO23" s="8">
        <v>0</v>
      </c>
      <c r="AEP23" s="8">
        <v>0</v>
      </c>
      <c r="AEQ23" s="8">
        <v>0</v>
      </c>
      <c r="AER23" s="8">
        <v>0</v>
      </c>
      <c r="AES23" s="8">
        <v>0</v>
      </c>
      <c r="AET23" s="8">
        <v>0</v>
      </c>
      <c r="AEU23" s="8">
        <v>0</v>
      </c>
      <c r="AEV23" s="8">
        <v>0</v>
      </c>
      <c r="AEW23" s="8">
        <v>0</v>
      </c>
      <c r="AEX23" s="8">
        <v>0</v>
      </c>
      <c r="AEY23" s="8">
        <v>0</v>
      </c>
      <c r="AEZ23" s="8">
        <v>0</v>
      </c>
      <c r="AFA23" s="8">
        <v>0</v>
      </c>
      <c r="AFB23" s="8">
        <v>0</v>
      </c>
      <c r="AFC23" s="8">
        <v>0</v>
      </c>
      <c r="AFD23" s="8">
        <v>0</v>
      </c>
      <c r="AFE23" s="8">
        <v>0</v>
      </c>
      <c r="AFF23" s="8">
        <v>0</v>
      </c>
      <c r="AFG23" s="8">
        <v>0</v>
      </c>
      <c r="AFH23" s="8">
        <v>0</v>
      </c>
      <c r="AFI23" s="8">
        <v>0</v>
      </c>
      <c r="AFJ23" s="8">
        <v>0</v>
      </c>
      <c r="AFK23" s="8">
        <v>0</v>
      </c>
      <c r="AFL23" s="8">
        <v>0</v>
      </c>
      <c r="AFM23" s="8">
        <v>0</v>
      </c>
      <c r="AFN23" s="8">
        <v>0</v>
      </c>
      <c r="AFO23" s="8">
        <v>0</v>
      </c>
      <c r="AFP23" s="8">
        <v>0</v>
      </c>
      <c r="AFQ23" s="8">
        <v>0</v>
      </c>
      <c r="AFR23" s="8">
        <v>0</v>
      </c>
      <c r="AFS23" s="8">
        <v>0</v>
      </c>
      <c r="AFT23" s="8">
        <v>0</v>
      </c>
      <c r="AFU23" s="8">
        <v>0</v>
      </c>
      <c r="AFV23" s="8">
        <v>0</v>
      </c>
      <c r="AFW23" s="8">
        <v>0</v>
      </c>
      <c r="AFX23" s="8">
        <v>0</v>
      </c>
      <c r="AFY23" s="8">
        <v>0</v>
      </c>
      <c r="AFZ23" s="8">
        <v>0</v>
      </c>
      <c r="AGA23" s="8">
        <v>0</v>
      </c>
      <c r="AGB23" s="8">
        <v>0</v>
      </c>
      <c r="AGC23" s="8">
        <v>0</v>
      </c>
      <c r="AGD23" s="8">
        <v>0</v>
      </c>
      <c r="AGE23" s="8">
        <v>0</v>
      </c>
      <c r="AGF23" s="8">
        <v>0</v>
      </c>
      <c r="AGG23" s="8">
        <v>0</v>
      </c>
      <c r="AGH23" s="8">
        <v>0</v>
      </c>
      <c r="AGI23" s="8">
        <v>0</v>
      </c>
      <c r="AGJ23" s="8">
        <v>0</v>
      </c>
      <c r="AGK23" s="8">
        <v>0</v>
      </c>
      <c r="AGL23" s="8">
        <v>0</v>
      </c>
      <c r="AGM23" s="8">
        <v>0</v>
      </c>
      <c r="AGN23" s="8">
        <v>0</v>
      </c>
      <c r="AGO23" s="8">
        <v>0</v>
      </c>
      <c r="AGP23" s="8">
        <v>0</v>
      </c>
      <c r="AGQ23" s="8">
        <v>0</v>
      </c>
      <c r="AGR23" s="8">
        <v>0</v>
      </c>
      <c r="AGS23" s="8">
        <v>0</v>
      </c>
      <c r="AGT23" s="8">
        <v>0</v>
      </c>
      <c r="AGU23" s="8">
        <v>0</v>
      </c>
      <c r="AGV23" s="8">
        <v>0</v>
      </c>
      <c r="AGW23" s="8">
        <v>0</v>
      </c>
      <c r="AGX23" s="8">
        <v>0</v>
      </c>
      <c r="AGY23" s="8">
        <v>0</v>
      </c>
      <c r="AGZ23" s="8">
        <v>0</v>
      </c>
      <c r="AHA23" s="8">
        <v>0</v>
      </c>
      <c r="AHB23" s="8">
        <v>0</v>
      </c>
      <c r="AHC23" s="8">
        <v>0</v>
      </c>
      <c r="AHD23" s="8">
        <v>0</v>
      </c>
      <c r="AHE23" s="8">
        <v>0</v>
      </c>
      <c r="AHF23" s="8">
        <v>0</v>
      </c>
      <c r="AHG23" s="8">
        <v>0</v>
      </c>
      <c r="AHH23" s="8">
        <v>0</v>
      </c>
      <c r="AHI23" s="8">
        <v>0</v>
      </c>
      <c r="AHJ23" s="8">
        <v>0</v>
      </c>
      <c r="AHK23" s="8">
        <v>0</v>
      </c>
      <c r="AHL23" s="8">
        <v>0</v>
      </c>
      <c r="AHM23" s="8">
        <v>0</v>
      </c>
      <c r="AHN23" s="8">
        <v>0</v>
      </c>
      <c r="AHO23" s="8">
        <v>0</v>
      </c>
      <c r="AHP23" s="8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 t="e">
        <v>#N/A</v>
      </c>
      <c r="AIJ23" t="e">
        <v>#N/A</v>
      </c>
      <c r="AIK23" t="e">
        <v>#N/A</v>
      </c>
      <c r="AIL23" t="e">
        <v>#N/A</v>
      </c>
      <c r="AIM23" t="e">
        <v>#N/A</v>
      </c>
      <c r="AIN23" t="e">
        <v>#N/A</v>
      </c>
      <c r="AIO23" t="e">
        <v>#N/A</v>
      </c>
      <c r="AIP23" t="e">
        <v>#N/A</v>
      </c>
      <c r="AIQ23" t="e">
        <v>#N/A</v>
      </c>
      <c r="AIR23" t="e">
        <v>#N/A</v>
      </c>
      <c r="AIS23" t="e">
        <v>#N/A</v>
      </c>
      <c r="AIT23" t="e">
        <v>#N/A</v>
      </c>
      <c r="AIU23" t="e">
        <v>#N/A</v>
      </c>
      <c r="AIV23" t="e">
        <v>#N/A</v>
      </c>
      <c r="AIW23" t="e">
        <v>#N/A</v>
      </c>
      <c r="AIX23" t="e">
        <v>#N/A</v>
      </c>
      <c r="AIY23" t="e">
        <v>#N/A</v>
      </c>
      <c r="AIZ23" t="e">
        <v>#N/A</v>
      </c>
      <c r="AJA23" t="e">
        <v>#N/A</v>
      </c>
      <c r="AJB23" t="e">
        <v>#N/A</v>
      </c>
      <c r="AJC23" t="e">
        <v>#N/A</v>
      </c>
      <c r="AJD23" t="e">
        <v>#N/A</v>
      </c>
      <c r="AJE23" t="e">
        <v>#N/A</v>
      </c>
      <c r="AJF23" t="e">
        <v>#N/A</v>
      </c>
      <c r="AJG23" t="e">
        <v>#N/A</v>
      </c>
      <c r="AJH23" t="e">
        <v>#N/A</v>
      </c>
      <c r="AJI23" t="e">
        <v>#N/A</v>
      </c>
      <c r="AJJ23" t="e">
        <v>#N/A</v>
      </c>
      <c r="AJK23" t="e">
        <v>#N/A</v>
      </c>
      <c r="AJL23" t="e">
        <v>#N/A</v>
      </c>
      <c r="AJM23" t="e">
        <v>#N/A</v>
      </c>
      <c r="AJN23" t="e">
        <v>#N/A</v>
      </c>
      <c r="AJO23" t="e">
        <v>#N/A</v>
      </c>
      <c r="AJP23" t="e">
        <v>#N/A</v>
      </c>
      <c r="AJQ23" t="e">
        <v>#N/A</v>
      </c>
      <c r="AJR23" t="e">
        <v>#N/A</v>
      </c>
      <c r="AJS23" t="e">
        <v>#N/A</v>
      </c>
      <c r="AJT23" t="e">
        <v>#N/A</v>
      </c>
      <c r="AJU23" t="e">
        <v>#N/A</v>
      </c>
      <c r="AJV23" t="e">
        <v>#N/A</v>
      </c>
      <c r="AJW23" t="e">
        <v>#N/A</v>
      </c>
      <c r="AJX23" t="e">
        <v>#N/A</v>
      </c>
      <c r="AJY23" t="e">
        <v>#N/A</v>
      </c>
      <c r="AJZ23" t="e">
        <v>#N/A</v>
      </c>
      <c r="AKA23" t="e">
        <v>#N/A</v>
      </c>
      <c r="AKB23" t="e">
        <v>#N/A</v>
      </c>
      <c r="AKC23" t="e">
        <v>#N/A</v>
      </c>
      <c r="AKD23" t="e">
        <v>#N/A</v>
      </c>
      <c r="AKE23" t="e">
        <v>#N/A</v>
      </c>
      <c r="AKF23" t="e">
        <v>#N/A</v>
      </c>
      <c r="AKG23" t="e">
        <v>#N/A</v>
      </c>
      <c r="AKH23" t="e">
        <v>#N/A</v>
      </c>
      <c r="AKI23" t="e">
        <v>#N/A</v>
      </c>
      <c r="AKJ23" t="e">
        <v>#N/A</v>
      </c>
      <c r="AKK23" t="e">
        <v>#N/A</v>
      </c>
      <c r="AKL23" t="e">
        <v>#N/A</v>
      </c>
      <c r="AKM23" t="e">
        <v>#N/A</v>
      </c>
      <c r="AKN23" t="e">
        <v>#N/A</v>
      </c>
      <c r="AKO23" t="e">
        <v>#N/A</v>
      </c>
      <c r="AKP23" t="e">
        <v>#N/A</v>
      </c>
      <c r="AKQ23" t="e">
        <v>#N/A</v>
      </c>
      <c r="AKR23" t="e">
        <v>#N/A</v>
      </c>
      <c r="AKS23" t="e">
        <v>#N/A</v>
      </c>
      <c r="AKT23" t="e">
        <v>#N/A</v>
      </c>
      <c r="AKU23" t="e">
        <v>#N/A</v>
      </c>
      <c r="AKV23" t="e">
        <v>#N/A</v>
      </c>
      <c r="AKW23" t="e">
        <v>#N/A</v>
      </c>
      <c r="AKX23" t="e">
        <v>#N/A</v>
      </c>
      <c r="AKY23" t="e">
        <v>#N/A</v>
      </c>
      <c r="AKZ23" t="e">
        <v>#N/A</v>
      </c>
      <c r="ALA23" t="e">
        <v>#N/A</v>
      </c>
      <c r="ALB23" t="e">
        <v>#N/A</v>
      </c>
      <c r="ALC23" t="e">
        <v>#N/A</v>
      </c>
      <c r="ALD23" t="e">
        <v>#N/A</v>
      </c>
      <c r="ALE23" t="e">
        <v>#N/A</v>
      </c>
      <c r="ALF23" t="e">
        <v>#N/A</v>
      </c>
      <c r="ALG23" t="e">
        <v>#N/A</v>
      </c>
      <c r="ALH23" t="e">
        <v>#N/A</v>
      </c>
      <c r="ALI23" t="e">
        <v>#N/A</v>
      </c>
      <c r="ALJ23" t="e">
        <v>#N/A</v>
      </c>
      <c r="ALK23" t="e">
        <v>#N/A</v>
      </c>
      <c r="ALL23" t="e">
        <v>#N/A</v>
      </c>
      <c r="ALM23" t="e">
        <v>#N/A</v>
      </c>
      <c r="ALN23" t="e">
        <v>#N/A</v>
      </c>
      <c r="ALO23" t="e">
        <v>#N/A</v>
      </c>
      <c r="ALP23" t="e">
        <v>#N/A</v>
      </c>
      <c r="ALQ23" t="e">
        <v>#N/A</v>
      </c>
      <c r="ALR23" t="e">
        <v>#N/A</v>
      </c>
      <c r="ALS23" t="e">
        <v>#N/A</v>
      </c>
      <c r="ALT23" t="e">
        <v>#N/A</v>
      </c>
      <c r="ALU23" t="e">
        <v>#N/A</v>
      </c>
      <c r="ALV23" t="e">
        <v>#N/A</v>
      </c>
      <c r="ALW23" t="e">
        <v>#N/A</v>
      </c>
      <c r="ALX23" t="e">
        <v>#N/A</v>
      </c>
      <c r="ALY23" t="e">
        <v>#N/A</v>
      </c>
      <c r="ALZ23" t="e">
        <v>#N/A</v>
      </c>
      <c r="AMA23" t="e">
        <v>#N/A</v>
      </c>
      <c r="AMB23" t="e">
        <v>#N/A</v>
      </c>
      <c r="AMC23" t="e">
        <v>#N/A</v>
      </c>
      <c r="AMD23" t="e">
        <v>#N/A</v>
      </c>
      <c r="AME23" t="e">
        <v>#N/A</v>
      </c>
      <c r="AMF23" t="e">
        <v>#N/A</v>
      </c>
      <c r="AMG23" t="e">
        <v>#N/A</v>
      </c>
      <c r="AMH23" t="e">
        <v>#N/A</v>
      </c>
    </row>
    <row r="24" spans="1:1022" ht="15.75" customHeight="1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0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0</v>
      </c>
      <c r="OO24" s="8">
        <v>0</v>
      </c>
      <c r="OP24" s="8">
        <v>0</v>
      </c>
      <c r="OQ24" s="8">
        <v>0</v>
      </c>
      <c r="OR24" s="8">
        <v>0</v>
      </c>
      <c r="OS24" s="8">
        <v>0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0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0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8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8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8">
        <v>0</v>
      </c>
      <c r="TK24" s="8">
        <v>0</v>
      </c>
      <c r="TL24" s="8">
        <v>0</v>
      </c>
      <c r="TM24" s="8">
        <v>0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8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8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8">
        <v>0</v>
      </c>
      <c r="VA24" s="8">
        <v>0</v>
      </c>
      <c r="VB24" s="8">
        <v>0</v>
      </c>
      <c r="VC24" s="8">
        <v>0</v>
      </c>
      <c r="VD24" s="8">
        <v>0</v>
      </c>
      <c r="VE24" s="8">
        <v>0</v>
      </c>
      <c r="VF24" s="8">
        <v>0</v>
      </c>
      <c r="VG24" s="8">
        <v>0</v>
      </c>
      <c r="VH24" s="8">
        <v>0</v>
      </c>
      <c r="VI24" s="8">
        <v>0</v>
      </c>
      <c r="VJ24" s="8">
        <v>0</v>
      </c>
      <c r="VK24" s="8">
        <v>0</v>
      </c>
      <c r="VL24" s="8">
        <v>0</v>
      </c>
      <c r="VM24" s="8">
        <v>0</v>
      </c>
      <c r="VN24" s="8">
        <v>0</v>
      </c>
      <c r="VO24" s="8">
        <v>0</v>
      </c>
      <c r="VP24" s="8">
        <v>0</v>
      </c>
      <c r="VQ24" s="8">
        <v>0</v>
      </c>
      <c r="VR24" s="8">
        <v>0</v>
      </c>
      <c r="VS24" s="8">
        <v>0</v>
      </c>
      <c r="VT24" s="8">
        <v>0</v>
      </c>
      <c r="VU24" s="8">
        <v>0</v>
      </c>
      <c r="VV24" s="8">
        <v>0</v>
      </c>
      <c r="VW24" s="8">
        <v>0</v>
      </c>
      <c r="VX24" s="8">
        <v>0</v>
      </c>
      <c r="VY24" s="8">
        <v>0</v>
      </c>
      <c r="VZ24" s="8">
        <v>0</v>
      </c>
      <c r="WA24" s="8">
        <v>0</v>
      </c>
      <c r="WB24" s="8">
        <v>0</v>
      </c>
      <c r="WC24" s="8">
        <v>0</v>
      </c>
      <c r="WD24" s="8">
        <v>0</v>
      </c>
      <c r="WE24" s="8">
        <v>0</v>
      </c>
      <c r="WF24" s="8">
        <v>0</v>
      </c>
      <c r="WG24" s="8">
        <v>0</v>
      </c>
      <c r="WH24" s="8">
        <v>0</v>
      </c>
      <c r="WI24" s="8">
        <v>0</v>
      </c>
      <c r="WJ24" s="8">
        <v>0</v>
      </c>
      <c r="WK24" s="8">
        <v>0</v>
      </c>
      <c r="WL24" s="8">
        <v>0</v>
      </c>
      <c r="WM24" s="8">
        <v>0</v>
      </c>
      <c r="WN24" s="8">
        <v>0</v>
      </c>
      <c r="WO24" s="8">
        <v>0</v>
      </c>
      <c r="WP24" s="8">
        <v>0</v>
      </c>
      <c r="WQ24" s="8">
        <v>0</v>
      </c>
      <c r="WR24" s="8">
        <v>0</v>
      </c>
      <c r="WS24" s="8">
        <v>0</v>
      </c>
      <c r="WT24" s="8">
        <v>0</v>
      </c>
      <c r="WU24" s="8">
        <v>0</v>
      </c>
      <c r="WV24" s="8">
        <v>0</v>
      </c>
      <c r="WW24" s="8">
        <v>0</v>
      </c>
      <c r="WX24" s="8">
        <v>0</v>
      </c>
      <c r="WY24" s="8">
        <v>0</v>
      </c>
      <c r="WZ24" s="8">
        <v>0</v>
      </c>
      <c r="XA24" s="8">
        <v>0</v>
      </c>
      <c r="XB24" s="8">
        <v>0</v>
      </c>
      <c r="XC24" s="8">
        <v>0</v>
      </c>
      <c r="XD24" s="8">
        <v>0</v>
      </c>
      <c r="XE24" s="8">
        <v>0</v>
      </c>
      <c r="XF24" s="8">
        <v>0</v>
      </c>
      <c r="XG24" s="8">
        <v>0</v>
      </c>
      <c r="XH24" s="8">
        <v>0</v>
      </c>
      <c r="XI24" s="8">
        <v>0</v>
      </c>
      <c r="XJ24" s="8">
        <v>0</v>
      </c>
      <c r="XK24" s="8">
        <v>0</v>
      </c>
      <c r="XL24" s="8">
        <v>0</v>
      </c>
      <c r="XM24" s="8">
        <v>0</v>
      </c>
      <c r="XN24" s="8">
        <v>0</v>
      </c>
      <c r="XO24" s="8">
        <v>0</v>
      </c>
      <c r="XP24" s="8">
        <v>0</v>
      </c>
      <c r="XQ24" s="8">
        <v>0</v>
      </c>
      <c r="XR24" s="8">
        <v>0</v>
      </c>
      <c r="XS24" s="8">
        <v>0</v>
      </c>
      <c r="XT24" s="8">
        <v>0</v>
      </c>
      <c r="XU24" s="8">
        <v>0</v>
      </c>
      <c r="XV24" s="8">
        <v>0</v>
      </c>
      <c r="XW24" s="8">
        <v>0</v>
      </c>
      <c r="XX24" s="8">
        <v>0</v>
      </c>
      <c r="XY24" s="8">
        <v>0</v>
      </c>
      <c r="XZ24" s="8">
        <v>0</v>
      </c>
      <c r="YA24" s="8">
        <v>0</v>
      </c>
      <c r="YB24" s="8">
        <v>0</v>
      </c>
      <c r="YC24" s="8">
        <v>0</v>
      </c>
      <c r="YD24" s="8">
        <v>0</v>
      </c>
      <c r="YE24" s="8">
        <v>0</v>
      </c>
      <c r="YF24" s="8">
        <v>0</v>
      </c>
      <c r="YG24" s="8">
        <v>0</v>
      </c>
      <c r="YH24" s="8">
        <v>0</v>
      </c>
      <c r="YI24" s="8">
        <v>0</v>
      </c>
      <c r="YJ24" s="8">
        <v>0</v>
      </c>
      <c r="YK24" s="8">
        <v>0</v>
      </c>
      <c r="YL24" s="8">
        <v>0</v>
      </c>
      <c r="YM24" s="8">
        <v>0</v>
      </c>
      <c r="YN24" s="8">
        <v>0</v>
      </c>
      <c r="YO24" s="8">
        <v>0</v>
      </c>
      <c r="YP24" s="8">
        <v>0</v>
      </c>
      <c r="YQ24" s="8">
        <v>0</v>
      </c>
      <c r="YR24" s="8">
        <v>0</v>
      </c>
      <c r="YS24" s="8">
        <v>0</v>
      </c>
      <c r="YT24" s="8">
        <v>0</v>
      </c>
      <c r="YU24" s="8">
        <v>0</v>
      </c>
      <c r="YV24" s="8">
        <v>0</v>
      </c>
      <c r="YW24" s="8">
        <v>0</v>
      </c>
      <c r="YX24" s="8">
        <v>0</v>
      </c>
      <c r="YY24" s="8">
        <v>0</v>
      </c>
      <c r="YZ24" s="8">
        <v>0</v>
      </c>
      <c r="ZA24" s="8">
        <v>0</v>
      </c>
      <c r="ZB24" s="8">
        <v>0</v>
      </c>
      <c r="ZC24" s="8">
        <v>0</v>
      </c>
      <c r="ZD24" s="8">
        <v>0</v>
      </c>
      <c r="ZE24" s="8">
        <v>0</v>
      </c>
      <c r="ZF24" s="8">
        <v>0</v>
      </c>
      <c r="ZG24" s="8">
        <v>0</v>
      </c>
      <c r="ZH24" s="8">
        <v>0</v>
      </c>
      <c r="ZI24" s="8">
        <v>0</v>
      </c>
      <c r="ZJ24" s="8">
        <v>0</v>
      </c>
      <c r="ZK24" s="8">
        <v>0</v>
      </c>
      <c r="ZL24" s="8">
        <v>0</v>
      </c>
      <c r="ZM24" s="8">
        <v>0</v>
      </c>
      <c r="ZN24" s="8">
        <v>0</v>
      </c>
      <c r="ZO24" s="8">
        <v>0</v>
      </c>
      <c r="ZP24" s="8">
        <v>0</v>
      </c>
      <c r="ZQ24" s="8">
        <v>0</v>
      </c>
      <c r="ZR24" s="8">
        <v>0</v>
      </c>
      <c r="ZS24" s="8">
        <v>0</v>
      </c>
      <c r="ZT24" s="8">
        <v>0</v>
      </c>
      <c r="ZU24" s="8">
        <v>0</v>
      </c>
      <c r="ZV24" s="8">
        <v>0</v>
      </c>
      <c r="ZW24" s="8">
        <v>0</v>
      </c>
      <c r="ZX24" s="8">
        <v>0</v>
      </c>
      <c r="ZY24" s="8">
        <v>0</v>
      </c>
      <c r="ZZ24" s="8">
        <v>0</v>
      </c>
      <c r="AAA24" s="8">
        <v>0</v>
      </c>
      <c r="AAB24" s="8">
        <v>0</v>
      </c>
      <c r="AAC24" s="8">
        <v>0</v>
      </c>
      <c r="AAD24" s="8">
        <v>0</v>
      </c>
      <c r="AAE24" s="8">
        <v>0</v>
      </c>
      <c r="AAF24" s="8">
        <v>0</v>
      </c>
      <c r="AAG24" s="8">
        <v>0</v>
      </c>
      <c r="AAH24" s="8">
        <v>0</v>
      </c>
      <c r="AAI24" s="8">
        <v>0</v>
      </c>
      <c r="AAJ24" s="8">
        <v>0</v>
      </c>
      <c r="AAK24" s="8">
        <v>0</v>
      </c>
      <c r="AAL24" s="8">
        <v>0</v>
      </c>
      <c r="AAM24" s="8">
        <v>0</v>
      </c>
      <c r="AAN24" s="8">
        <v>0</v>
      </c>
      <c r="AAO24" s="8">
        <v>0</v>
      </c>
      <c r="AAP24" s="8">
        <v>0</v>
      </c>
      <c r="AAQ24" s="8">
        <v>0</v>
      </c>
      <c r="AAR24" s="8">
        <v>0</v>
      </c>
      <c r="AAS24" s="8">
        <v>0</v>
      </c>
      <c r="AAT24" s="8">
        <v>0</v>
      </c>
      <c r="AAU24" s="8">
        <v>0</v>
      </c>
      <c r="AAV24" s="8">
        <v>0</v>
      </c>
      <c r="AAW24" s="8">
        <v>0</v>
      </c>
      <c r="AAX24" s="8">
        <v>0</v>
      </c>
      <c r="AAY24" s="8">
        <v>0</v>
      </c>
      <c r="AAZ24" s="8">
        <v>0</v>
      </c>
      <c r="ABA24" s="8">
        <v>0</v>
      </c>
      <c r="ABB24" s="8">
        <v>0</v>
      </c>
      <c r="ABC24" s="8">
        <v>0</v>
      </c>
      <c r="ABD24" s="8">
        <v>0</v>
      </c>
      <c r="ABE24" s="8">
        <v>0</v>
      </c>
      <c r="ABF24" s="8">
        <v>0</v>
      </c>
      <c r="ABG24" s="8">
        <v>0</v>
      </c>
      <c r="ABH24" s="8">
        <v>0</v>
      </c>
      <c r="ABI24" s="8">
        <v>0</v>
      </c>
      <c r="ABJ24" s="8">
        <v>0</v>
      </c>
      <c r="ABK24" s="8">
        <v>0</v>
      </c>
      <c r="ABL24" s="8">
        <v>0</v>
      </c>
      <c r="ABM24" s="8">
        <v>0</v>
      </c>
      <c r="ABN24" s="8">
        <v>0</v>
      </c>
      <c r="ABO24" s="8">
        <v>0</v>
      </c>
      <c r="ABP24" s="8">
        <v>0</v>
      </c>
      <c r="ABQ24" s="8">
        <v>0</v>
      </c>
      <c r="ABR24" s="8">
        <v>0</v>
      </c>
      <c r="ABS24" s="8">
        <v>0</v>
      </c>
      <c r="ABT24" s="8">
        <v>0</v>
      </c>
      <c r="ABU24" s="8">
        <v>0</v>
      </c>
      <c r="ABV24" s="8">
        <v>0</v>
      </c>
      <c r="ABW24" s="8">
        <v>0</v>
      </c>
      <c r="ABX24" s="8">
        <v>0</v>
      </c>
      <c r="ABY24" s="8">
        <v>0</v>
      </c>
      <c r="ABZ24" s="8">
        <v>0</v>
      </c>
      <c r="ACA24" s="8">
        <v>0</v>
      </c>
      <c r="ACB24" s="8">
        <v>0</v>
      </c>
      <c r="ACC24" s="8">
        <v>0</v>
      </c>
      <c r="ACD24" s="8">
        <v>0</v>
      </c>
      <c r="ACE24" s="8">
        <v>0</v>
      </c>
      <c r="ACF24" s="8">
        <v>0</v>
      </c>
      <c r="ACG24" s="8">
        <v>0</v>
      </c>
      <c r="ACH24" s="8">
        <v>0</v>
      </c>
      <c r="ACI24" s="8">
        <v>0</v>
      </c>
      <c r="ACJ24" s="8">
        <v>0</v>
      </c>
      <c r="ACK24" s="8">
        <v>0</v>
      </c>
      <c r="ACL24" s="8">
        <v>0</v>
      </c>
      <c r="ACM24" s="8">
        <v>0</v>
      </c>
      <c r="ACN24" s="8">
        <v>0</v>
      </c>
      <c r="ACO24" s="8">
        <v>0</v>
      </c>
      <c r="ACP24" s="8">
        <v>0</v>
      </c>
      <c r="ACQ24" s="8">
        <v>0</v>
      </c>
      <c r="ACR24" s="8">
        <v>0</v>
      </c>
      <c r="ACS24" s="8">
        <v>0</v>
      </c>
      <c r="ACT24" s="8">
        <v>0</v>
      </c>
      <c r="ACU24" s="8">
        <v>0</v>
      </c>
      <c r="ACV24" s="8">
        <v>0</v>
      </c>
      <c r="ACW24" s="8">
        <v>0</v>
      </c>
      <c r="ACX24" s="8">
        <v>0</v>
      </c>
      <c r="ACY24" s="8">
        <v>0</v>
      </c>
      <c r="ACZ24" s="8">
        <v>0</v>
      </c>
      <c r="ADA24" s="8">
        <v>0</v>
      </c>
      <c r="ADB24" s="8">
        <v>0</v>
      </c>
      <c r="ADC24" s="8">
        <v>0</v>
      </c>
      <c r="ADD24" s="8">
        <v>0</v>
      </c>
      <c r="ADE24" s="8">
        <v>0</v>
      </c>
      <c r="ADF24" s="8">
        <v>0</v>
      </c>
      <c r="ADG24" s="8">
        <v>0</v>
      </c>
      <c r="ADH24" s="8">
        <v>0</v>
      </c>
      <c r="ADI24" s="8">
        <v>0</v>
      </c>
      <c r="ADJ24" s="8">
        <v>0</v>
      </c>
      <c r="ADK24" s="8">
        <v>0</v>
      </c>
      <c r="ADL24" s="8">
        <v>0</v>
      </c>
      <c r="ADM24" s="8">
        <v>0</v>
      </c>
      <c r="ADN24" s="8">
        <v>0</v>
      </c>
      <c r="ADO24" s="8">
        <v>0</v>
      </c>
      <c r="ADP24" s="8">
        <v>0</v>
      </c>
      <c r="ADQ24" s="8">
        <v>0</v>
      </c>
      <c r="ADR24" s="8">
        <v>0</v>
      </c>
      <c r="ADS24" s="8">
        <v>0</v>
      </c>
      <c r="ADT24" s="8">
        <v>0</v>
      </c>
      <c r="ADU24" s="8">
        <v>0</v>
      </c>
      <c r="ADV24" s="8">
        <v>0</v>
      </c>
      <c r="ADW24" s="8">
        <v>0</v>
      </c>
      <c r="ADX24" s="8">
        <v>0</v>
      </c>
      <c r="ADY24" s="8">
        <v>0</v>
      </c>
      <c r="ADZ24" s="8">
        <v>0</v>
      </c>
      <c r="AEA24" s="8">
        <v>0</v>
      </c>
      <c r="AEB24" s="8">
        <v>0</v>
      </c>
      <c r="AEC24" s="8">
        <v>0</v>
      </c>
      <c r="AED24" s="8">
        <v>0</v>
      </c>
      <c r="AEE24" s="8">
        <v>0</v>
      </c>
      <c r="AEF24" s="8">
        <v>0</v>
      </c>
      <c r="AEG24" s="8">
        <v>0</v>
      </c>
      <c r="AEH24" s="8">
        <v>0</v>
      </c>
      <c r="AEI24" s="8">
        <v>0</v>
      </c>
      <c r="AEJ24" s="8">
        <v>0</v>
      </c>
      <c r="AEK24" s="8">
        <v>0</v>
      </c>
      <c r="AEL24" s="8">
        <v>0</v>
      </c>
      <c r="AEM24" s="8">
        <v>0</v>
      </c>
      <c r="AEN24" s="8">
        <v>0</v>
      </c>
      <c r="AEO24" s="8">
        <v>0</v>
      </c>
      <c r="AEP24" s="8">
        <v>0</v>
      </c>
      <c r="AEQ24" s="8">
        <v>0</v>
      </c>
      <c r="AER24" s="8">
        <v>0</v>
      </c>
      <c r="AES24" s="8">
        <v>0</v>
      </c>
      <c r="AET24" s="8">
        <v>0</v>
      </c>
      <c r="AEU24" s="8">
        <v>0</v>
      </c>
      <c r="AEV24" s="8">
        <v>0</v>
      </c>
      <c r="AEW24" s="8">
        <v>0</v>
      </c>
      <c r="AEX24" s="8">
        <v>0</v>
      </c>
      <c r="AEY24" s="8">
        <v>0</v>
      </c>
      <c r="AEZ24" s="8">
        <v>0</v>
      </c>
      <c r="AFA24" s="8">
        <v>0</v>
      </c>
      <c r="AFB24" s="8">
        <v>0</v>
      </c>
      <c r="AFC24" s="8">
        <v>0</v>
      </c>
      <c r="AFD24" s="8">
        <v>0</v>
      </c>
      <c r="AFE24" s="8">
        <v>0</v>
      </c>
      <c r="AFF24" s="8">
        <v>0</v>
      </c>
      <c r="AFG24" s="8">
        <v>0</v>
      </c>
      <c r="AFH24" s="8">
        <v>0</v>
      </c>
      <c r="AFI24" s="8">
        <v>0</v>
      </c>
      <c r="AFJ24" s="8">
        <v>0</v>
      </c>
      <c r="AFK24" s="8">
        <v>0</v>
      </c>
      <c r="AFL24" s="8">
        <v>0</v>
      </c>
      <c r="AFM24" s="8">
        <v>0</v>
      </c>
      <c r="AFN24" s="8">
        <v>0</v>
      </c>
      <c r="AFO24" s="8">
        <v>0</v>
      </c>
      <c r="AFP24" s="8">
        <v>0</v>
      </c>
      <c r="AFQ24" s="8">
        <v>0</v>
      </c>
      <c r="AFR24" s="8">
        <v>0</v>
      </c>
      <c r="AFS24" s="8">
        <v>0</v>
      </c>
      <c r="AFT24" s="8">
        <v>0</v>
      </c>
      <c r="AFU24" s="8">
        <v>0</v>
      </c>
      <c r="AFV24" s="8">
        <v>0</v>
      </c>
      <c r="AFW24" s="8">
        <v>0</v>
      </c>
      <c r="AFX24" s="8">
        <v>0</v>
      </c>
      <c r="AFY24" s="8">
        <v>0</v>
      </c>
      <c r="AFZ24" s="8">
        <v>0</v>
      </c>
      <c r="AGA24" s="8">
        <v>0</v>
      </c>
      <c r="AGB24" s="8">
        <v>0</v>
      </c>
      <c r="AGC24" s="8">
        <v>0</v>
      </c>
      <c r="AGD24" s="8">
        <v>0</v>
      </c>
      <c r="AGE24" s="8">
        <v>0</v>
      </c>
      <c r="AGF24" s="8">
        <v>0</v>
      </c>
      <c r="AGG24" s="8">
        <v>0</v>
      </c>
      <c r="AGH24" s="8">
        <v>0</v>
      </c>
      <c r="AGI24" s="8">
        <v>0</v>
      </c>
      <c r="AGJ24" s="8">
        <v>0</v>
      </c>
      <c r="AGK24" s="8">
        <v>0</v>
      </c>
      <c r="AGL24" s="8">
        <v>0</v>
      </c>
      <c r="AGM24" s="8">
        <v>0</v>
      </c>
      <c r="AGN24" s="8">
        <v>0</v>
      </c>
      <c r="AGO24" s="8">
        <v>0</v>
      </c>
      <c r="AGP24" s="8">
        <v>0</v>
      </c>
      <c r="AGQ24" s="8">
        <v>0</v>
      </c>
      <c r="AGR24" s="8">
        <v>0</v>
      </c>
      <c r="AGS24" s="8">
        <v>0</v>
      </c>
      <c r="AGT24" s="8">
        <v>0</v>
      </c>
      <c r="AGU24" s="8">
        <v>0</v>
      </c>
      <c r="AGV24" s="8">
        <v>0</v>
      </c>
      <c r="AGW24" s="8">
        <v>0</v>
      </c>
      <c r="AGX24" s="8">
        <v>0</v>
      </c>
      <c r="AGY24" s="8">
        <v>0</v>
      </c>
      <c r="AGZ24" s="8">
        <v>0</v>
      </c>
      <c r="AHA24" s="8">
        <v>0</v>
      </c>
      <c r="AHB24" s="8">
        <v>0</v>
      </c>
      <c r="AHC24" s="8">
        <v>0</v>
      </c>
      <c r="AHD24" s="8">
        <v>0</v>
      </c>
      <c r="AHE24" s="8">
        <v>0</v>
      </c>
      <c r="AHF24" s="8">
        <v>0</v>
      </c>
      <c r="AHG24" s="8">
        <v>0</v>
      </c>
      <c r="AHH24" s="8">
        <v>0</v>
      </c>
      <c r="AHI24" s="8">
        <v>0</v>
      </c>
      <c r="AHJ24" s="8">
        <v>0</v>
      </c>
      <c r="AHK24" s="8">
        <v>0</v>
      </c>
      <c r="AHL24" s="8">
        <v>0</v>
      </c>
      <c r="AHM24" s="8">
        <v>0</v>
      </c>
      <c r="AHN24" s="8">
        <v>0</v>
      </c>
      <c r="AHO24" s="8">
        <v>0</v>
      </c>
      <c r="AHP24" s="8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 t="e">
        <v>#N/A</v>
      </c>
      <c r="AIJ24" t="e">
        <v>#N/A</v>
      </c>
      <c r="AIK24" t="e">
        <v>#N/A</v>
      </c>
      <c r="AIL24" t="e">
        <v>#N/A</v>
      </c>
      <c r="AIM24" t="e">
        <v>#N/A</v>
      </c>
      <c r="AIN24" t="e">
        <v>#N/A</v>
      </c>
      <c r="AIO24" t="e">
        <v>#N/A</v>
      </c>
      <c r="AIP24" t="e">
        <v>#N/A</v>
      </c>
      <c r="AIQ24" t="e">
        <v>#N/A</v>
      </c>
      <c r="AIR24" t="e">
        <v>#N/A</v>
      </c>
      <c r="AIS24" t="e">
        <v>#N/A</v>
      </c>
      <c r="AIT24" t="e">
        <v>#N/A</v>
      </c>
      <c r="AIU24" t="e">
        <v>#N/A</v>
      </c>
      <c r="AIV24" t="e">
        <v>#N/A</v>
      </c>
      <c r="AIW24" t="e">
        <v>#N/A</v>
      </c>
      <c r="AIX24" t="e">
        <v>#N/A</v>
      </c>
      <c r="AIY24" t="e">
        <v>#N/A</v>
      </c>
      <c r="AIZ24" t="e">
        <v>#N/A</v>
      </c>
      <c r="AJA24" t="e">
        <v>#N/A</v>
      </c>
      <c r="AJB24" t="e">
        <v>#N/A</v>
      </c>
      <c r="AJC24" t="e">
        <v>#N/A</v>
      </c>
      <c r="AJD24" t="e">
        <v>#N/A</v>
      </c>
      <c r="AJE24" t="e">
        <v>#N/A</v>
      </c>
      <c r="AJF24" t="e">
        <v>#N/A</v>
      </c>
      <c r="AJG24" t="e">
        <v>#N/A</v>
      </c>
      <c r="AJH24" t="e">
        <v>#N/A</v>
      </c>
      <c r="AJI24" t="e">
        <v>#N/A</v>
      </c>
      <c r="AJJ24" t="e">
        <v>#N/A</v>
      </c>
      <c r="AJK24" t="e">
        <v>#N/A</v>
      </c>
      <c r="AJL24" t="e">
        <v>#N/A</v>
      </c>
      <c r="AJM24" t="e">
        <v>#N/A</v>
      </c>
      <c r="AJN24" t="e">
        <v>#N/A</v>
      </c>
      <c r="AJO24" t="e">
        <v>#N/A</v>
      </c>
      <c r="AJP24" t="e">
        <v>#N/A</v>
      </c>
      <c r="AJQ24" t="e">
        <v>#N/A</v>
      </c>
      <c r="AJR24" t="e">
        <v>#N/A</v>
      </c>
      <c r="AJS24" t="e">
        <v>#N/A</v>
      </c>
      <c r="AJT24" t="e">
        <v>#N/A</v>
      </c>
      <c r="AJU24" t="e">
        <v>#N/A</v>
      </c>
      <c r="AJV24" t="e">
        <v>#N/A</v>
      </c>
      <c r="AJW24" t="e">
        <v>#N/A</v>
      </c>
      <c r="AJX24" t="e">
        <v>#N/A</v>
      </c>
      <c r="AJY24" t="e">
        <v>#N/A</v>
      </c>
      <c r="AJZ24" t="e">
        <v>#N/A</v>
      </c>
      <c r="AKA24" t="e">
        <v>#N/A</v>
      </c>
      <c r="AKB24" t="e">
        <v>#N/A</v>
      </c>
      <c r="AKC24" t="e">
        <v>#N/A</v>
      </c>
      <c r="AKD24" t="e">
        <v>#N/A</v>
      </c>
      <c r="AKE24" t="e">
        <v>#N/A</v>
      </c>
      <c r="AKF24" t="e">
        <v>#N/A</v>
      </c>
      <c r="AKG24" t="e">
        <v>#N/A</v>
      </c>
      <c r="AKH24" t="e">
        <v>#N/A</v>
      </c>
      <c r="AKI24" t="e">
        <v>#N/A</v>
      </c>
      <c r="AKJ24" t="e">
        <v>#N/A</v>
      </c>
      <c r="AKK24" t="e">
        <v>#N/A</v>
      </c>
      <c r="AKL24" t="e">
        <v>#N/A</v>
      </c>
      <c r="AKM24" t="e">
        <v>#N/A</v>
      </c>
      <c r="AKN24" t="e">
        <v>#N/A</v>
      </c>
      <c r="AKO24" t="e">
        <v>#N/A</v>
      </c>
      <c r="AKP24" t="e">
        <v>#N/A</v>
      </c>
      <c r="AKQ24" t="e">
        <v>#N/A</v>
      </c>
      <c r="AKR24" t="e">
        <v>#N/A</v>
      </c>
      <c r="AKS24" t="e">
        <v>#N/A</v>
      </c>
      <c r="AKT24" t="e">
        <v>#N/A</v>
      </c>
      <c r="AKU24" t="e">
        <v>#N/A</v>
      </c>
      <c r="AKV24" t="e">
        <v>#N/A</v>
      </c>
      <c r="AKW24" t="e">
        <v>#N/A</v>
      </c>
      <c r="AKX24" t="e">
        <v>#N/A</v>
      </c>
      <c r="AKY24" t="e">
        <v>#N/A</v>
      </c>
      <c r="AKZ24" t="e">
        <v>#N/A</v>
      </c>
      <c r="ALA24" t="e">
        <v>#N/A</v>
      </c>
      <c r="ALB24" t="e">
        <v>#N/A</v>
      </c>
      <c r="ALC24" t="e">
        <v>#N/A</v>
      </c>
      <c r="ALD24" t="e">
        <v>#N/A</v>
      </c>
      <c r="ALE24" t="e">
        <v>#N/A</v>
      </c>
      <c r="ALF24" t="e">
        <v>#N/A</v>
      </c>
      <c r="ALG24" t="e">
        <v>#N/A</v>
      </c>
      <c r="ALH24" t="e">
        <v>#N/A</v>
      </c>
      <c r="ALI24" t="e">
        <v>#N/A</v>
      </c>
      <c r="ALJ24" t="e">
        <v>#N/A</v>
      </c>
      <c r="ALK24" t="e">
        <v>#N/A</v>
      </c>
      <c r="ALL24" t="e">
        <v>#N/A</v>
      </c>
      <c r="ALM24" t="e">
        <v>#N/A</v>
      </c>
      <c r="ALN24" t="e">
        <v>#N/A</v>
      </c>
      <c r="ALO24" t="e">
        <v>#N/A</v>
      </c>
      <c r="ALP24" t="e">
        <v>#N/A</v>
      </c>
      <c r="ALQ24" t="e">
        <v>#N/A</v>
      </c>
      <c r="ALR24" t="e">
        <v>#N/A</v>
      </c>
      <c r="ALS24" t="e">
        <v>#N/A</v>
      </c>
      <c r="ALT24" t="e">
        <v>#N/A</v>
      </c>
      <c r="ALU24" t="e">
        <v>#N/A</v>
      </c>
      <c r="ALV24" t="e">
        <v>#N/A</v>
      </c>
      <c r="ALW24" t="e">
        <v>#N/A</v>
      </c>
      <c r="ALX24" t="e">
        <v>#N/A</v>
      </c>
      <c r="ALY24" t="e">
        <v>#N/A</v>
      </c>
      <c r="ALZ24" t="e">
        <v>#N/A</v>
      </c>
      <c r="AMA24" t="e">
        <v>#N/A</v>
      </c>
      <c r="AMB24" t="e">
        <v>#N/A</v>
      </c>
      <c r="AMC24" t="e">
        <v>#N/A</v>
      </c>
      <c r="AMD24" t="e">
        <v>#N/A</v>
      </c>
      <c r="AME24" t="e">
        <v>#N/A</v>
      </c>
      <c r="AMF24" t="e">
        <v>#N/A</v>
      </c>
      <c r="AMG24" t="e">
        <v>#N/A</v>
      </c>
      <c r="AMH24" t="e">
        <v>#N/A</v>
      </c>
    </row>
    <row r="25" spans="1:1022" ht="15.75" customHeight="1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0</v>
      </c>
      <c r="OO25" s="8">
        <v>0</v>
      </c>
      <c r="OP25" s="8">
        <v>0</v>
      </c>
      <c r="OQ25" s="8">
        <v>0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0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0</v>
      </c>
      <c r="RA25" s="8">
        <v>0</v>
      </c>
      <c r="RB25" s="8">
        <v>0</v>
      </c>
      <c r="RC25" s="8">
        <v>0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0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0</v>
      </c>
      <c r="SN25" s="8">
        <v>0</v>
      </c>
      <c r="SO25" s="8">
        <v>0</v>
      </c>
      <c r="SP25" s="8">
        <v>0</v>
      </c>
      <c r="SQ25" s="8">
        <v>0</v>
      </c>
      <c r="SR25" s="8">
        <v>0</v>
      </c>
      <c r="SS25" s="8">
        <v>0</v>
      </c>
      <c r="ST25" s="8">
        <v>0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0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0</v>
      </c>
      <c r="TK25" s="8">
        <v>0</v>
      </c>
      <c r="TL25" s="8">
        <v>0</v>
      </c>
      <c r="TM25" s="8">
        <v>0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0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0</v>
      </c>
      <c r="VO25" s="8">
        <v>0</v>
      </c>
      <c r="VP25" s="8">
        <v>0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0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0</v>
      </c>
      <c r="WI25" s="8">
        <v>0</v>
      </c>
      <c r="WJ25" s="8">
        <v>0</v>
      </c>
      <c r="WK25" s="8">
        <v>0</v>
      </c>
      <c r="WL25" s="8">
        <v>0</v>
      </c>
      <c r="WM25" s="8">
        <v>0</v>
      </c>
      <c r="WN25" s="8">
        <v>0</v>
      </c>
      <c r="WO25" s="8">
        <v>0</v>
      </c>
      <c r="WP25" s="8">
        <v>0</v>
      </c>
      <c r="WQ25" s="8">
        <v>0</v>
      </c>
      <c r="WR25" s="8">
        <v>0</v>
      </c>
      <c r="WS25" s="8">
        <v>0</v>
      </c>
      <c r="WT25" s="8">
        <v>0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0</v>
      </c>
      <c r="XB25" s="8">
        <v>0</v>
      </c>
      <c r="XC25" s="8">
        <v>0</v>
      </c>
      <c r="XD25" s="8">
        <v>0</v>
      </c>
      <c r="XE25" s="8">
        <v>0</v>
      </c>
      <c r="XF25" s="8">
        <v>0</v>
      </c>
      <c r="XG25" s="8">
        <v>0</v>
      </c>
      <c r="XH25" s="8">
        <v>0</v>
      </c>
      <c r="XI25" s="8">
        <v>0</v>
      </c>
      <c r="XJ25" s="8">
        <v>0</v>
      </c>
      <c r="XK25" s="8">
        <v>0</v>
      </c>
      <c r="XL25" s="8">
        <v>0</v>
      </c>
      <c r="XM25" s="8">
        <v>0</v>
      </c>
      <c r="XN25" s="8">
        <v>0</v>
      </c>
      <c r="XO25" s="8">
        <v>0</v>
      </c>
      <c r="XP25" s="8">
        <v>0</v>
      </c>
      <c r="XQ25" s="8">
        <v>0</v>
      </c>
      <c r="XR25" s="8">
        <v>0</v>
      </c>
      <c r="XS25" s="8">
        <v>0</v>
      </c>
      <c r="XT25" s="8">
        <v>0</v>
      </c>
      <c r="XU25" s="8">
        <v>0</v>
      </c>
      <c r="XV25" s="8">
        <v>0</v>
      </c>
      <c r="XW25" s="8">
        <v>0</v>
      </c>
      <c r="XX25" s="8">
        <v>0</v>
      </c>
      <c r="XY25" s="8">
        <v>0</v>
      </c>
      <c r="XZ25" s="8">
        <v>0</v>
      </c>
      <c r="YA25" s="8">
        <v>0</v>
      </c>
      <c r="YB25" s="8">
        <v>0</v>
      </c>
      <c r="YC25" s="8">
        <v>0</v>
      </c>
      <c r="YD25" s="8">
        <v>0</v>
      </c>
      <c r="YE25" s="8">
        <v>0</v>
      </c>
      <c r="YF25" s="8">
        <v>0</v>
      </c>
      <c r="YG25" s="8">
        <v>0</v>
      </c>
      <c r="YH25" s="8">
        <v>0</v>
      </c>
      <c r="YI25" s="8">
        <v>0</v>
      </c>
      <c r="YJ25" s="8">
        <v>0</v>
      </c>
      <c r="YK25" s="8">
        <v>0</v>
      </c>
      <c r="YL25" s="8">
        <v>0</v>
      </c>
      <c r="YM25" s="8">
        <v>0</v>
      </c>
      <c r="YN25" s="8">
        <v>0</v>
      </c>
      <c r="YO25" s="8">
        <v>0</v>
      </c>
      <c r="YP25" s="8">
        <v>0</v>
      </c>
      <c r="YQ25" s="8">
        <v>0</v>
      </c>
      <c r="YR25" s="8">
        <v>0</v>
      </c>
      <c r="YS25" s="8">
        <v>0</v>
      </c>
      <c r="YT25" s="8">
        <v>0</v>
      </c>
      <c r="YU25" s="8">
        <v>0</v>
      </c>
      <c r="YV25" s="8">
        <v>0</v>
      </c>
      <c r="YW25" s="8">
        <v>0</v>
      </c>
      <c r="YX25" s="8">
        <v>0</v>
      </c>
      <c r="YY25" s="8">
        <v>0</v>
      </c>
      <c r="YZ25" s="8">
        <v>0</v>
      </c>
      <c r="ZA25" s="8">
        <v>0</v>
      </c>
      <c r="ZB25" s="8">
        <v>0</v>
      </c>
      <c r="ZC25" s="8">
        <v>0</v>
      </c>
      <c r="ZD25" s="8">
        <v>0</v>
      </c>
      <c r="ZE25" s="8">
        <v>0</v>
      </c>
      <c r="ZF25" s="8">
        <v>0</v>
      </c>
      <c r="ZG25" s="8">
        <v>0</v>
      </c>
      <c r="ZH25" s="8">
        <v>0</v>
      </c>
      <c r="ZI25" s="8">
        <v>0</v>
      </c>
      <c r="ZJ25" s="8">
        <v>0</v>
      </c>
      <c r="ZK25" s="8">
        <v>0</v>
      </c>
      <c r="ZL25" s="8">
        <v>0</v>
      </c>
      <c r="ZM25" s="8">
        <v>0</v>
      </c>
      <c r="ZN25" s="8">
        <v>0</v>
      </c>
      <c r="ZO25" s="8">
        <v>0</v>
      </c>
      <c r="ZP25" s="8">
        <v>0</v>
      </c>
      <c r="ZQ25" s="8">
        <v>0</v>
      </c>
      <c r="ZR25" s="8">
        <v>0</v>
      </c>
      <c r="ZS25" s="8">
        <v>0</v>
      </c>
      <c r="ZT25" s="8">
        <v>0</v>
      </c>
      <c r="ZU25" s="8">
        <v>0</v>
      </c>
      <c r="ZV25" s="8">
        <v>0</v>
      </c>
      <c r="ZW25" s="8">
        <v>0</v>
      </c>
      <c r="ZX25" s="8">
        <v>0</v>
      </c>
      <c r="ZY25" s="8">
        <v>0</v>
      </c>
      <c r="ZZ25" s="8">
        <v>0</v>
      </c>
      <c r="AAA25" s="8">
        <v>0</v>
      </c>
      <c r="AAB25" s="8">
        <v>0</v>
      </c>
      <c r="AAC25" s="8">
        <v>0</v>
      </c>
      <c r="AAD25" s="8">
        <v>0</v>
      </c>
      <c r="AAE25" s="8">
        <v>0</v>
      </c>
      <c r="AAF25" s="8">
        <v>0</v>
      </c>
      <c r="AAG25" s="8">
        <v>0</v>
      </c>
      <c r="AAH25" s="8">
        <v>0</v>
      </c>
      <c r="AAI25" s="8">
        <v>0</v>
      </c>
      <c r="AAJ25" s="8">
        <v>0</v>
      </c>
      <c r="AAK25" s="8">
        <v>0</v>
      </c>
      <c r="AAL25" s="8">
        <v>0</v>
      </c>
      <c r="AAM25" s="8">
        <v>0</v>
      </c>
      <c r="AAN25" s="8">
        <v>0</v>
      </c>
      <c r="AAO25" s="8">
        <v>0</v>
      </c>
      <c r="AAP25" s="8">
        <v>0</v>
      </c>
      <c r="AAQ25" s="8">
        <v>0</v>
      </c>
      <c r="AAR25" s="8">
        <v>0</v>
      </c>
      <c r="AAS25" s="8">
        <v>0</v>
      </c>
      <c r="AAT25" s="8">
        <v>0</v>
      </c>
      <c r="AAU25" s="8">
        <v>0</v>
      </c>
      <c r="AAV25" s="8">
        <v>0</v>
      </c>
      <c r="AAW25" s="8">
        <v>0</v>
      </c>
      <c r="AAX25" s="8">
        <v>0</v>
      </c>
      <c r="AAY25" s="8">
        <v>0</v>
      </c>
      <c r="AAZ25" s="8">
        <v>0</v>
      </c>
      <c r="ABA25" s="8">
        <v>0</v>
      </c>
      <c r="ABB25" s="8">
        <v>0</v>
      </c>
      <c r="ABC25" s="8">
        <v>0</v>
      </c>
      <c r="ABD25" s="8">
        <v>0</v>
      </c>
      <c r="ABE25" s="8">
        <v>0</v>
      </c>
      <c r="ABF25" s="8">
        <v>0</v>
      </c>
      <c r="ABG25" s="8">
        <v>0</v>
      </c>
      <c r="ABH25" s="8">
        <v>0</v>
      </c>
      <c r="ABI25" s="8">
        <v>0</v>
      </c>
      <c r="ABJ25" s="8">
        <v>0</v>
      </c>
      <c r="ABK25" s="8">
        <v>0</v>
      </c>
      <c r="ABL25" s="8">
        <v>0</v>
      </c>
      <c r="ABM25" s="8">
        <v>0</v>
      </c>
      <c r="ABN25" s="8">
        <v>0</v>
      </c>
      <c r="ABO25" s="8">
        <v>0</v>
      </c>
      <c r="ABP25" s="8">
        <v>0</v>
      </c>
      <c r="ABQ25" s="8">
        <v>0</v>
      </c>
      <c r="ABR25" s="8">
        <v>0</v>
      </c>
      <c r="ABS25" s="8">
        <v>0</v>
      </c>
      <c r="ABT25" s="8">
        <v>0</v>
      </c>
      <c r="ABU25" s="8">
        <v>0</v>
      </c>
      <c r="ABV25" s="8">
        <v>0</v>
      </c>
      <c r="ABW25" s="8">
        <v>0</v>
      </c>
      <c r="ABX25" s="8">
        <v>0</v>
      </c>
      <c r="ABY25" s="8">
        <v>0</v>
      </c>
      <c r="ABZ25" s="8">
        <v>0</v>
      </c>
      <c r="ACA25" s="8">
        <v>0</v>
      </c>
      <c r="ACB25" s="8">
        <v>0</v>
      </c>
      <c r="ACC25" s="8">
        <v>0</v>
      </c>
      <c r="ACD25" s="8">
        <v>0</v>
      </c>
      <c r="ACE25" s="8">
        <v>0</v>
      </c>
      <c r="ACF25" s="8">
        <v>0</v>
      </c>
      <c r="ACG25" s="8">
        <v>0</v>
      </c>
      <c r="ACH25" s="8">
        <v>0</v>
      </c>
      <c r="ACI25" s="8">
        <v>0</v>
      </c>
      <c r="ACJ25" s="8">
        <v>0</v>
      </c>
      <c r="ACK25" s="8">
        <v>0</v>
      </c>
      <c r="ACL25" s="8">
        <v>0</v>
      </c>
      <c r="ACM25" s="8">
        <v>0</v>
      </c>
      <c r="ACN25" s="8">
        <v>0</v>
      </c>
      <c r="ACO25" s="8">
        <v>0</v>
      </c>
      <c r="ACP25" s="8">
        <v>0</v>
      </c>
      <c r="ACQ25" s="8">
        <v>0</v>
      </c>
      <c r="ACR25" s="8">
        <v>0</v>
      </c>
      <c r="ACS25" s="8">
        <v>0</v>
      </c>
      <c r="ACT25" s="8">
        <v>0</v>
      </c>
      <c r="ACU25" s="8">
        <v>0</v>
      </c>
      <c r="ACV25" s="8">
        <v>0</v>
      </c>
      <c r="ACW25" s="8">
        <v>0</v>
      </c>
      <c r="ACX25" s="8">
        <v>0</v>
      </c>
      <c r="ACY25" s="8">
        <v>0</v>
      </c>
      <c r="ACZ25" s="8">
        <v>0</v>
      </c>
      <c r="ADA25" s="8">
        <v>0</v>
      </c>
      <c r="ADB25" s="8">
        <v>0</v>
      </c>
      <c r="ADC25" s="8">
        <v>0</v>
      </c>
      <c r="ADD25" s="8">
        <v>0</v>
      </c>
      <c r="ADE25" s="8">
        <v>0</v>
      </c>
      <c r="ADF25" s="8">
        <v>0</v>
      </c>
      <c r="ADG25" s="8">
        <v>0</v>
      </c>
      <c r="ADH25" s="8">
        <v>0</v>
      </c>
      <c r="ADI25" s="8">
        <v>0</v>
      </c>
      <c r="ADJ25" s="8">
        <v>0</v>
      </c>
      <c r="ADK25" s="8">
        <v>0</v>
      </c>
      <c r="ADL25" s="8">
        <v>0</v>
      </c>
      <c r="ADM25" s="8">
        <v>0</v>
      </c>
      <c r="ADN25" s="8">
        <v>0</v>
      </c>
      <c r="ADO25" s="8">
        <v>0</v>
      </c>
      <c r="ADP25" s="8">
        <v>0</v>
      </c>
      <c r="ADQ25" s="8">
        <v>0</v>
      </c>
      <c r="ADR25" s="8">
        <v>0</v>
      </c>
      <c r="ADS25" s="8">
        <v>0</v>
      </c>
      <c r="ADT25" s="8">
        <v>0</v>
      </c>
      <c r="ADU25" s="8">
        <v>0</v>
      </c>
      <c r="ADV25" s="8">
        <v>0</v>
      </c>
      <c r="ADW25" s="8">
        <v>0</v>
      </c>
      <c r="ADX25" s="8">
        <v>0</v>
      </c>
      <c r="ADY25" s="8">
        <v>0</v>
      </c>
      <c r="ADZ25" s="8">
        <v>0</v>
      </c>
      <c r="AEA25" s="8">
        <v>0</v>
      </c>
      <c r="AEB25" s="8">
        <v>0</v>
      </c>
      <c r="AEC25" s="8">
        <v>0</v>
      </c>
      <c r="AED25" s="8">
        <v>0</v>
      </c>
      <c r="AEE25" s="8">
        <v>0</v>
      </c>
      <c r="AEF25" s="8">
        <v>0</v>
      </c>
      <c r="AEG25" s="8">
        <v>0</v>
      </c>
      <c r="AEH25" s="8">
        <v>0</v>
      </c>
      <c r="AEI25" s="8">
        <v>0</v>
      </c>
      <c r="AEJ25" s="8">
        <v>0</v>
      </c>
      <c r="AEK25" s="8">
        <v>0</v>
      </c>
      <c r="AEL25" s="8">
        <v>0</v>
      </c>
      <c r="AEM25" s="8">
        <v>0</v>
      </c>
      <c r="AEN25" s="8">
        <v>0</v>
      </c>
      <c r="AEO25" s="8">
        <v>0</v>
      </c>
      <c r="AEP25" s="8">
        <v>0</v>
      </c>
      <c r="AEQ25" s="8">
        <v>0</v>
      </c>
      <c r="AER25" s="8">
        <v>0</v>
      </c>
      <c r="AES25" s="8">
        <v>0</v>
      </c>
      <c r="AET25" s="8">
        <v>0</v>
      </c>
      <c r="AEU25" s="8">
        <v>0</v>
      </c>
      <c r="AEV25" s="8">
        <v>0</v>
      </c>
      <c r="AEW25" s="8">
        <v>0</v>
      </c>
      <c r="AEX25" s="8">
        <v>0</v>
      </c>
      <c r="AEY25" s="8">
        <v>0</v>
      </c>
      <c r="AEZ25" s="8">
        <v>0</v>
      </c>
      <c r="AFA25" s="8">
        <v>0</v>
      </c>
      <c r="AFB25" s="8">
        <v>0</v>
      </c>
      <c r="AFC25" s="8">
        <v>0</v>
      </c>
      <c r="AFD25" s="8">
        <v>0</v>
      </c>
      <c r="AFE25" s="8">
        <v>0</v>
      </c>
      <c r="AFF25" s="8">
        <v>0</v>
      </c>
      <c r="AFG25" s="8">
        <v>0</v>
      </c>
      <c r="AFH25" s="8">
        <v>0</v>
      </c>
      <c r="AFI25" s="8">
        <v>0</v>
      </c>
      <c r="AFJ25" s="8">
        <v>0</v>
      </c>
      <c r="AFK25" s="8">
        <v>0</v>
      </c>
      <c r="AFL25" s="8">
        <v>0</v>
      </c>
      <c r="AFM25" s="8">
        <v>0</v>
      </c>
      <c r="AFN25" s="8">
        <v>0</v>
      </c>
      <c r="AFO25" s="8">
        <v>0</v>
      </c>
      <c r="AFP25" s="8">
        <v>0</v>
      </c>
      <c r="AFQ25" s="8">
        <v>0</v>
      </c>
      <c r="AFR25" s="8">
        <v>0</v>
      </c>
      <c r="AFS25" s="8">
        <v>0</v>
      </c>
      <c r="AFT25" s="8">
        <v>0</v>
      </c>
      <c r="AFU25" s="8">
        <v>0</v>
      </c>
      <c r="AFV25" s="8">
        <v>0</v>
      </c>
      <c r="AFW25" s="8">
        <v>0</v>
      </c>
      <c r="AFX25" s="8">
        <v>0</v>
      </c>
      <c r="AFY25" s="8">
        <v>0</v>
      </c>
      <c r="AFZ25" s="8">
        <v>0</v>
      </c>
      <c r="AGA25" s="8">
        <v>0</v>
      </c>
      <c r="AGB25" s="8">
        <v>0</v>
      </c>
      <c r="AGC25" s="8">
        <v>0</v>
      </c>
      <c r="AGD25" s="8">
        <v>0</v>
      </c>
      <c r="AGE25" s="8">
        <v>0</v>
      </c>
      <c r="AGF25" s="8">
        <v>0</v>
      </c>
      <c r="AGG25" s="8">
        <v>0</v>
      </c>
      <c r="AGH25" s="8">
        <v>0</v>
      </c>
      <c r="AGI25" s="8">
        <v>0</v>
      </c>
      <c r="AGJ25" s="8">
        <v>0</v>
      </c>
      <c r="AGK25" s="8">
        <v>0</v>
      </c>
      <c r="AGL25" s="8">
        <v>0</v>
      </c>
      <c r="AGM25" s="8">
        <v>0</v>
      </c>
      <c r="AGN25" s="8">
        <v>0</v>
      </c>
      <c r="AGO25" s="8">
        <v>0</v>
      </c>
      <c r="AGP25" s="8">
        <v>0</v>
      </c>
      <c r="AGQ25" s="8">
        <v>0</v>
      </c>
      <c r="AGR25" s="8">
        <v>0</v>
      </c>
      <c r="AGS25" s="8">
        <v>0</v>
      </c>
      <c r="AGT25" s="8">
        <v>0</v>
      </c>
      <c r="AGU25" s="8">
        <v>0</v>
      </c>
      <c r="AGV25" s="8">
        <v>0</v>
      </c>
      <c r="AGW25" s="8">
        <v>0</v>
      </c>
      <c r="AGX25" s="8">
        <v>0</v>
      </c>
      <c r="AGY25" s="8">
        <v>0</v>
      </c>
      <c r="AGZ25" s="8">
        <v>0</v>
      </c>
      <c r="AHA25" s="8">
        <v>0</v>
      </c>
      <c r="AHB25" s="8">
        <v>0</v>
      </c>
      <c r="AHC25" s="8">
        <v>0</v>
      </c>
      <c r="AHD25" s="8">
        <v>0</v>
      </c>
      <c r="AHE25" s="8">
        <v>0</v>
      </c>
      <c r="AHF25" s="8">
        <v>0</v>
      </c>
      <c r="AHG25" s="8">
        <v>0</v>
      </c>
      <c r="AHH25" s="8">
        <v>0</v>
      </c>
      <c r="AHI25" s="8">
        <v>0</v>
      </c>
      <c r="AHJ25" s="8">
        <v>0</v>
      </c>
      <c r="AHK25" s="8">
        <v>0</v>
      </c>
      <c r="AHL25" s="8">
        <v>0</v>
      </c>
      <c r="AHM25" s="8">
        <v>0</v>
      </c>
      <c r="AHN25" s="8">
        <v>0</v>
      </c>
      <c r="AHO25" s="8">
        <v>0</v>
      </c>
      <c r="AHP25" s="8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 t="e">
        <v>#N/A</v>
      </c>
      <c r="AIJ25" t="e">
        <v>#N/A</v>
      </c>
      <c r="AIK25" t="e">
        <v>#N/A</v>
      </c>
      <c r="AIL25" t="e">
        <v>#N/A</v>
      </c>
      <c r="AIM25" t="e">
        <v>#N/A</v>
      </c>
      <c r="AIN25" t="e">
        <v>#N/A</v>
      </c>
      <c r="AIO25" t="e">
        <v>#N/A</v>
      </c>
      <c r="AIP25" t="e">
        <v>#N/A</v>
      </c>
      <c r="AIQ25" t="e">
        <v>#N/A</v>
      </c>
      <c r="AIR25" t="e">
        <v>#N/A</v>
      </c>
      <c r="AIS25" t="e">
        <v>#N/A</v>
      </c>
      <c r="AIT25" t="e">
        <v>#N/A</v>
      </c>
      <c r="AIU25" t="e">
        <v>#N/A</v>
      </c>
      <c r="AIV25" t="e">
        <v>#N/A</v>
      </c>
      <c r="AIW25" t="e">
        <v>#N/A</v>
      </c>
      <c r="AIX25" t="e">
        <v>#N/A</v>
      </c>
      <c r="AIY25" t="e">
        <v>#N/A</v>
      </c>
      <c r="AIZ25" t="e">
        <v>#N/A</v>
      </c>
      <c r="AJA25" t="e">
        <v>#N/A</v>
      </c>
      <c r="AJB25" t="e">
        <v>#N/A</v>
      </c>
      <c r="AJC25" t="e">
        <v>#N/A</v>
      </c>
      <c r="AJD25" t="e">
        <v>#N/A</v>
      </c>
      <c r="AJE25" t="e">
        <v>#N/A</v>
      </c>
      <c r="AJF25" t="e">
        <v>#N/A</v>
      </c>
      <c r="AJG25" t="e">
        <v>#N/A</v>
      </c>
      <c r="AJH25" t="e">
        <v>#N/A</v>
      </c>
      <c r="AJI25" t="e">
        <v>#N/A</v>
      </c>
      <c r="AJJ25" t="e">
        <v>#N/A</v>
      </c>
      <c r="AJK25" t="e">
        <v>#N/A</v>
      </c>
      <c r="AJL25" t="e">
        <v>#N/A</v>
      </c>
      <c r="AJM25" t="e">
        <v>#N/A</v>
      </c>
      <c r="AJN25" t="e">
        <v>#N/A</v>
      </c>
      <c r="AJO25" t="e">
        <v>#N/A</v>
      </c>
      <c r="AJP25" t="e">
        <v>#N/A</v>
      </c>
      <c r="AJQ25" t="e">
        <v>#N/A</v>
      </c>
      <c r="AJR25" t="e">
        <v>#N/A</v>
      </c>
      <c r="AJS25" t="e">
        <v>#N/A</v>
      </c>
      <c r="AJT25" t="e">
        <v>#N/A</v>
      </c>
      <c r="AJU25" t="e">
        <v>#N/A</v>
      </c>
      <c r="AJV25" t="e">
        <v>#N/A</v>
      </c>
      <c r="AJW25" t="e">
        <v>#N/A</v>
      </c>
      <c r="AJX25" t="e">
        <v>#N/A</v>
      </c>
      <c r="AJY25" t="e">
        <v>#N/A</v>
      </c>
      <c r="AJZ25" t="e">
        <v>#N/A</v>
      </c>
      <c r="AKA25" t="e">
        <v>#N/A</v>
      </c>
      <c r="AKB25" t="e">
        <v>#N/A</v>
      </c>
      <c r="AKC25" t="e">
        <v>#N/A</v>
      </c>
      <c r="AKD25" t="e">
        <v>#N/A</v>
      </c>
      <c r="AKE25" t="e">
        <v>#N/A</v>
      </c>
      <c r="AKF25" t="e">
        <v>#N/A</v>
      </c>
      <c r="AKG25" t="e">
        <v>#N/A</v>
      </c>
      <c r="AKH25" t="e">
        <v>#N/A</v>
      </c>
      <c r="AKI25" t="e">
        <v>#N/A</v>
      </c>
      <c r="AKJ25" t="e">
        <v>#N/A</v>
      </c>
      <c r="AKK25" t="e">
        <v>#N/A</v>
      </c>
      <c r="AKL25" t="e">
        <v>#N/A</v>
      </c>
      <c r="AKM25" t="e">
        <v>#N/A</v>
      </c>
      <c r="AKN25" t="e">
        <v>#N/A</v>
      </c>
      <c r="AKO25" t="e">
        <v>#N/A</v>
      </c>
      <c r="AKP25" t="e">
        <v>#N/A</v>
      </c>
      <c r="AKQ25" t="e">
        <v>#N/A</v>
      </c>
      <c r="AKR25" t="e">
        <v>#N/A</v>
      </c>
      <c r="AKS25" t="e">
        <v>#N/A</v>
      </c>
      <c r="AKT25" t="e">
        <v>#N/A</v>
      </c>
      <c r="AKU25" t="e">
        <v>#N/A</v>
      </c>
      <c r="AKV25" t="e">
        <v>#N/A</v>
      </c>
      <c r="AKW25" t="e">
        <v>#N/A</v>
      </c>
      <c r="AKX25" t="e">
        <v>#N/A</v>
      </c>
      <c r="AKY25" t="e">
        <v>#N/A</v>
      </c>
      <c r="AKZ25" t="e">
        <v>#N/A</v>
      </c>
      <c r="ALA25" t="e">
        <v>#N/A</v>
      </c>
      <c r="ALB25" t="e">
        <v>#N/A</v>
      </c>
      <c r="ALC25" t="e">
        <v>#N/A</v>
      </c>
      <c r="ALD25" t="e">
        <v>#N/A</v>
      </c>
      <c r="ALE25" t="e">
        <v>#N/A</v>
      </c>
      <c r="ALF25" t="e">
        <v>#N/A</v>
      </c>
      <c r="ALG25" t="e">
        <v>#N/A</v>
      </c>
      <c r="ALH25" t="e">
        <v>#N/A</v>
      </c>
      <c r="ALI25" t="e">
        <v>#N/A</v>
      </c>
      <c r="ALJ25" t="e">
        <v>#N/A</v>
      </c>
      <c r="ALK25" t="e">
        <v>#N/A</v>
      </c>
      <c r="ALL25" t="e">
        <v>#N/A</v>
      </c>
      <c r="ALM25" t="e">
        <v>#N/A</v>
      </c>
      <c r="ALN25" t="e">
        <v>#N/A</v>
      </c>
      <c r="ALO25" t="e">
        <v>#N/A</v>
      </c>
      <c r="ALP25" t="e">
        <v>#N/A</v>
      </c>
      <c r="ALQ25" t="e">
        <v>#N/A</v>
      </c>
      <c r="ALR25" t="e">
        <v>#N/A</v>
      </c>
      <c r="ALS25" t="e">
        <v>#N/A</v>
      </c>
      <c r="ALT25" t="e">
        <v>#N/A</v>
      </c>
      <c r="ALU25" t="e">
        <v>#N/A</v>
      </c>
      <c r="ALV25" t="e">
        <v>#N/A</v>
      </c>
      <c r="ALW25" t="e">
        <v>#N/A</v>
      </c>
      <c r="ALX25" t="e">
        <v>#N/A</v>
      </c>
      <c r="ALY25" t="e">
        <v>#N/A</v>
      </c>
      <c r="ALZ25" t="e">
        <v>#N/A</v>
      </c>
      <c r="AMA25" t="e">
        <v>#N/A</v>
      </c>
      <c r="AMB25" t="e">
        <v>#N/A</v>
      </c>
      <c r="AMC25" t="e">
        <v>#N/A</v>
      </c>
      <c r="AMD25" t="e">
        <v>#N/A</v>
      </c>
      <c r="AME25" t="e">
        <v>#N/A</v>
      </c>
      <c r="AMF25" t="e">
        <v>#N/A</v>
      </c>
      <c r="AMG25" t="e">
        <v>#N/A</v>
      </c>
      <c r="AMH25" t="e">
        <v>#N/A</v>
      </c>
    </row>
    <row r="26" spans="1:1022" ht="15.75" customHeight="1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  <c r="XB26" s="8">
        <v>0</v>
      </c>
      <c r="XC26" s="8">
        <v>0</v>
      </c>
      <c r="XD26" s="8">
        <v>0</v>
      </c>
      <c r="XE26" s="8">
        <v>0</v>
      </c>
      <c r="XF26" s="8">
        <v>0</v>
      </c>
      <c r="XG26" s="8">
        <v>0</v>
      </c>
      <c r="XH26" s="8">
        <v>0</v>
      </c>
      <c r="XI26" s="8">
        <v>0</v>
      </c>
      <c r="XJ26" s="8">
        <v>0</v>
      </c>
      <c r="XK26" s="8">
        <v>0</v>
      </c>
      <c r="XL26" s="8">
        <v>0</v>
      </c>
      <c r="XM26" s="8">
        <v>0</v>
      </c>
      <c r="XN26" s="8">
        <v>0</v>
      </c>
      <c r="XO26" s="8">
        <v>0</v>
      </c>
      <c r="XP26" s="8">
        <v>0</v>
      </c>
      <c r="XQ26" s="8">
        <v>0</v>
      </c>
      <c r="XR26" s="8">
        <v>0</v>
      </c>
      <c r="XS26" s="8">
        <v>0</v>
      </c>
      <c r="XT26" s="8">
        <v>0</v>
      </c>
      <c r="XU26" s="8">
        <v>0</v>
      </c>
      <c r="XV26" s="8">
        <v>0</v>
      </c>
      <c r="XW26" s="8">
        <v>0</v>
      </c>
      <c r="XX26" s="8">
        <v>0</v>
      </c>
      <c r="XY26" s="8">
        <v>0</v>
      </c>
      <c r="XZ26" s="8">
        <v>0</v>
      </c>
      <c r="YA26" s="8">
        <v>0</v>
      </c>
      <c r="YB26" s="8">
        <v>0</v>
      </c>
      <c r="YC26" s="8">
        <v>0</v>
      </c>
      <c r="YD26" s="8">
        <v>0</v>
      </c>
      <c r="YE26" s="8">
        <v>0</v>
      </c>
      <c r="YF26" s="8">
        <v>0</v>
      </c>
      <c r="YG26" s="8">
        <v>0</v>
      </c>
      <c r="YH26" s="8">
        <v>0</v>
      </c>
      <c r="YI26" s="8">
        <v>0</v>
      </c>
      <c r="YJ26" s="8">
        <v>0</v>
      </c>
      <c r="YK26" s="8">
        <v>0</v>
      </c>
      <c r="YL26" s="8">
        <v>0</v>
      </c>
      <c r="YM26" s="8">
        <v>0</v>
      </c>
      <c r="YN26" s="8">
        <v>0</v>
      </c>
      <c r="YO26" s="8">
        <v>0</v>
      </c>
      <c r="YP26" s="8">
        <v>0</v>
      </c>
      <c r="YQ26" s="8">
        <v>0</v>
      </c>
      <c r="YR26" s="8">
        <v>0</v>
      </c>
      <c r="YS26" s="8">
        <v>0</v>
      </c>
      <c r="YT26" s="8">
        <v>0</v>
      </c>
      <c r="YU26" s="8">
        <v>0</v>
      </c>
      <c r="YV26" s="8">
        <v>0</v>
      </c>
      <c r="YW26" s="8">
        <v>0</v>
      </c>
      <c r="YX26" s="8">
        <v>0</v>
      </c>
      <c r="YY26" s="8">
        <v>0</v>
      </c>
      <c r="YZ26" s="8">
        <v>0</v>
      </c>
      <c r="ZA26" s="8">
        <v>0</v>
      </c>
      <c r="ZB26" s="8">
        <v>0</v>
      </c>
      <c r="ZC26" s="8">
        <v>0</v>
      </c>
      <c r="ZD26" s="8">
        <v>0</v>
      </c>
      <c r="ZE26" s="8">
        <v>0</v>
      </c>
      <c r="ZF26" s="8">
        <v>0</v>
      </c>
      <c r="ZG26" s="8">
        <v>0</v>
      </c>
      <c r="ZH26" s="8">
        <v>0</v>
      </c>
      <c r="ZI26" s="8">
        <v>0</v>
      </c>
      <c r="ZJ26" s="8">
        <v>0</v>
      </c>
      <c r="ZK26" s="8">
        <v>0</v>
      </c>
      <c r="ZL26" s="8">
        <v>0</v>
      </c>
      <c r="ZM26" s="8">
        <v>0</v>
      </c>
      <c r="ZN26" s="8">
        <v>0</v>
      </c>
      <c r="ZO26" s="8">
        <v>0</v>
      </c>
      <c r="ZP26" s="8">
        <v>0</v>
      </c>
      <c r="ZQ26" s="8">
        <v>0</v>
      </c>
      <c r="ZR26" s="8">
        <v>0</v>
      </c>
      <c r="ZS26" s="8">
        <v>0</v>
      </c>
      <c r="ZT26" s="8">
        <v>0</v>
      </c>
      <c r="ZU26" s="8">
        <v>0</v>
      </c>
      <c r="ZV26" s="8">
        <v>0</v>
      </c>
      <c r="ZW26" s="8">
        <v>0</v>
      </c>
      <c r="ZX26" s="8">
        <v>0</v>
      </c>
      <c r="ZY26" s="8">
        <v>0</v>
      </c>
      <c r="ZZ26" s="8">
        <v>0</v>
      </c>
      <c r="AAA26" s="8">
        <v>0</v>
      </c>
      <c r="AAB26" s="8">
        <v>0</v>
      </c>
      <c r="AAC26" s="8">
        <v>0</v>
      </c>
      <c r="AAD26" s="8">
        <v>0</v>
      </c>
      <c r="AAE26" s="8">
        <v>0</v>
      </c>
      <c r="AAF26" s="8">
        <v>0</v>
      </c>
      <c r="AAG26" s="8">
        <v>0</v>
      </c>
      <c r="AAH26" s="8">
        <v>0</v>
      </c>
      <c r="AAI26" s="8">
        <v>0</v>
      </c>
      <c r="AAJ26" s="8">
        <v>0</v>
      </c>
      <c r="AAK26" s="8">
        <v>0</v>
      </c>
      <c r="AAL26" s="8">
        <v>0</v>
      </c>
      <c r="AAM26" s="8">
        <v>0</v>
      </c>
      <c r="AAN26" s="8">
        <v>0</v>
      </c>
      <c r="AAO26" s="8">
        <v>0</v>
      </c>
      <c r="AAP26" s="8">
        <v>0</v>
      </c>
      <c r="AAQ26" s="8">
        <v>0</v>
      </c>
      <c r="AAR26" s="8">
        <v>0</v>
      </c>
      <c r="AAS26" s="8">
        <v>0</v>
      </c>
      <c r="AAT26" s="8">
        <v>0</v>
      </c>
      <c r="AAU26" s="8">
        <v>0</v>
      </c>
      <c r="AAV26" s="8">
        <v>0</v>
      </c>
      <c r="AAW26" s="8">
        <v>0</v>
      </c>
      <c r="AAX26" s="8">
        <v>0</v>
      </c>
      <c r="AAY26" s="8">
        <v>0</v>
      </c>
      <c r="AAZ26" s="8">
        <v>0</v>
      </c>
      <c r="ABA26" s="8">
        <v>0</v>
      </c>
      <c r="ABB26" s="8">
        <v>0</v>
      </c>
      <c r="ABC26" s="8">
        <v>0</v>
      </c>
      <c r="ABD26" s="8">
        <v>0</v>
      </c>
      <c r="ABE26" s="8">
        <v>0</v>
      </c>
      <c r="ABF26" s="8">
        <v>0</v>
      </c>
      <c r="ABG26" s="8">
        <v>0</v>
      </c>
      <c r="ABH26" s="8">
        <v>0</v>
      </c>
      <c r="ABI26" s="8">
        <v>0</v>
      </c>
      <c r="ABJ26" s="8">
        <v>0</v>
      </c>
      <c r="ABK26" s="8">
        <v>0</v>
      </c>
      <c r="ABL26" s="8">
        <v>0</v>
      </c>
      <c r="ABM26" s="8">
        <v>0</v>
      </c>
      <c r="ABN26" s="8">
        <v>0</v>
      </c>
      <c r="ABO26" s="8">
        <v>0</v>
      </c>
      <c r="ABP26" s="8">
        <v>0</v>
      </c>
      <c r="ABQ26" s="8">
        <v>0</v>
      </c>
      <c r="ABR26" s="8">
        <v>0</v>
      </c>
      <c r="ABS26" s="8">
        <v>0</v>
      </c>
      <c r="ABT26" s="8">
        <v>0</v>
      </c>
      <c r="ABU26" s="8">
        <v>0</v>
      </c>
      <c r="ABV26" s="8">
        <v>0</v>
      </c>
      <c r="ABW26" s="8">
        <v>0</v>
      </c>
      <c r="ABX26" s="8">
        <v>0</v>
      </c>
      <c r="ABY26" s="8">
        <v>0</v>
      </c>
      <c r="ABZ26" s="8">
        <v>0</v>
      </c>
      <c r="ACA26" s="8">
        <v>0</v>
      </c>
      <c r="ACB26" s="8">
        <v>0</v>
      </c>
      <c r="ACC26" s="8">
        <v>0</v>
      </c>
      <c r="ACD26" s="8">
        <v>0</v>
      </c>
      <c r="ACE26" s="8">
        <v>0</v>
      </c>
      <c r="ACF26" s="8">
        <v>0</v>
      </c>
      <c r="ACG26" s="8">
        <v>0</v>
      </c>
      <c r="ACH26" s="8">
        <v>0</v>
      </c>
      <c r="ACI26" s="8">
        <v>0</v>
      </c>
      <c r="ACJ26" s="8">
        <v>0</v>
      </c>
      <c r="ACK26" s="8">
        <v>0</v>
      </c>
      <c r="ACL26" s="8">
        <v>0</v>
      </c>
      <c r="ACM26" s="8">
        <v>0</v>
      </c>
      <c r="ACN26" s="8">
        <v>0</v>
      </c>
      <c r="ACO26" s="8">
        <v>0</v>
      </c>
      <c r="ACP26" s="8">
        <v>0</v>
      </c>
      <c r="ACQ26" s="8">
        <v>0</v>
      </c>
      <c r="ACR26" s="8">
        <v>0</v>
      </c>
      <c r="ACS26" s="8">
        <v>0</v>
      </c>
      <c r="ACT26" s="8">
        <v>0</v>
      </c>
      <c r="ACU26" s="8">
        <v>0</v>
      </c>
      <c r="ACV26" s="8">
        <v>0</v>
      </c>
      <c r="ACW26" s="8">
        <v>0</v>
      </c>
      <c r="ACX26" s="8">
        <v>0</v>
      </c>
      <c r="ACY26" s="8">
        <v>0</v>
      </c>
      <c r="ACZ26" s="8">
        <v>0</v>
      </c>
      <c r="ADA26" s="8">
        <v>0</v>
      </c>
      <c r="ADB26" s="8">
        <v>0</v>
      </c>
      <c r="ADC26" s="8">
        <v>0</v>
      </c>
      <c r="ADD26" s="8">
        <v>0</v>
      </c>
      <c r="ADE26" s="8">
        <v>0</v>
      </c>
      <c r="ADF26" s="8">
        <v>0</v>
      </c>
      <c r="ADG26" s="8">
        <v>0</v>
      </c>
      <c r="ADH26" s="8">
        <v>0</v>
      </c>
      <c r="ADI26" s="8">
        <v>0</v>
      </c>
      <c r="ADJ26" s="8">
        <v>0</v>
      </c>
      <c r="ADK26" s="8">
        <v>0</v>
      </c>
      <c r="ADL26" s="8">
        <v>0</v>
      </c>
      <c r="ADM26" s="8">
        <v>0</v>
      </c>
      <c r="ADN26" s="8">
        <v>0</v>
      </c>
      <c r="ADO26" s="8">
        <v>0</v>
      </c>
      <c r="ADP26" s="8">
        <v>0</v>
      </c>
      <c r="ADQ26" s="8">
        <v>0</v>
      </c>
      <c r="ADR26" s="8">
        <v>0</v>
      </c>
      <c r="ADS26" s="8">
        <v>0</v>
      </c>
      <c r="ADT26" s="8">
        <v>0</v>
      </c>
      <c r="ADU26" s="8">
        <v>0</v>
      </c>
      <c r="ADV26" s="8">
        <v>0</v>
      </c>
      <c r="ADW26" s="8">
        <v>0</v>
      </c>
      <c r="ADX26" s="8">
        <v>0</v>
      </c>
      <c r="ADY26" s="8">
        <v>0</v>
      </c>
      <c r="ADZ26" s="8">
        <v>0</v>
      </c>
      <c r="AEA26" s="8">
        <v>0</v>
      </c>
      <c r="AEB26" s="8">
        <v>0</v>
      </c>
      <c r="AEC26" s="8">
        <v>0</v>
      </c>
      <c r="AED26" s="8">
        <v>0</v>
      </c>
      <c r="AEE26" s="8">
        <v>0</v>
      </c>
      <c r="AEF26" s="8">
        <v>0</v>
      </c>
      <c r="AEG26" s="8">
        <v>0</v>
      </c>
      <c r="AEH26" s="8">
        <v>0</v>
      </c>
      <c r="AEI26" s="8">
        <v>0</v>
      </c>
      <c r="AEJ26" s="8">
        <v>0</v>
      </c>
      <c r="AEK26" s="8">
        <v>0</v>
      </c>
      <c r="AEL26" s="8">
        <v>0</v>
      </c>
      <c r="AEM26" s="8">
        <v>0</v>
      </c>
      <c r="AEN26" s="8">
        <v>0</v>
      </c>
      <c r="AEO26" s="8">
        <v>0</v>
      </c>
      <c r="AEP26" s="8">
        <v>0</v>
      </c>
      <c r="AEQ26" s="8">
        <v>0</v>
      </c>
      <c r="AER26" s="8">
        <v>0</v>
      </c>
      <c r="AES26" s="8">
        <v>0</v>
      </c>
      <c r="AET26" s="8">
        <v>0</v>
      </c>
      <c r="AEU26" s="8">
        <v>0</v>
      </c>
      <c r="AEV26" s="8">
        <v>0</v>
      </c>
      <c r="AEW26" s="8">
        <v>0</v>
      </c>
      <c r="AEX26" s="8">
        <v>0</v>
      </c>
      <c r="AEY26" s="8">
        <v>0</v>
      </c>
      <c r="AEZ26" s="8">
        <v>0</v>
      </c>
      <c r="AFA26" s="8">
        <v>0</v>
      </c>
      <c r="AFB26" s="8">
        <v>0</v>
      </c>
      <c r="AFC26" s="8">
        <v>0</v>
      </c>
      <c r="AFD26" s="8">
        <v>0</v>
      </c>
      <c r="AFE26" s="8">
        <v>0</v>
      </c>
      <c r="AFF26" s="8">
        <v>0</v>
      </c>
      <c r="AFG26" s="8">
        <v>0</v>
      </c>
      <c r="AFH26" s="8">
        <v>0</v>
      </c>
      <c r="AFI26" s="8">
        <v>0</v>
      </c>
      <c r="AFJ26" s="8">
        <v>0</v>
      </c>
      <c r="AFK26" s="8">
        <v>0</v>
      </c>
      <c r="AFL26" s="8">
        <v>0</v>
      </c>
      <c r="AFM26" s="8">
        <v>0</v>
      </c>
      <c r="AFN26" s="8">
        <v>0</v>
      </c>
      <c r="AFO26" s="8">
        <v>0</v>
      </c>
      <c r="AFP26" s="8">
        <v>0</v>
      </c>
      <c r="AFQ26" s="8">
        <v>0</v>
      </c>
      <c r="AFR26" s="8">
        <v>0</v>
      </c>
      <c r="AFS26" s="8">
        <v>0</v>
      </c>
      <c r="AFT26" s="8">
        <v>0</v>
      </c>
      <c r="AFU26" s="8">
        <v>0</v>
      </c>
      <c r="AFV26" s="8">
        <v>0</v>
      </c>
      <c r="AFW26" s="8">
        <v>0</v>
      </c>
      <c r="AFX26" s="8">
        <v>0</v>
      </c>
      <c r="AFY26" s="8">
        <v>0</v>
      </c>
      <c r="AFZ26" s="8">
        <v>0</v>
      </c>
      <c r="AGA26" s="8">
        <v>0</v>
      </c>
      <c r="AGB26" s="8">
        <v>0</v>
      </c>
      <c r="AGC26" s="8">
        <v>0</v>
      </c>
      <c r="AGD26" s="8">
        <v>0</v>
      </c>
      <c r="AGE26" s="8">
        <v>0</v>
      </c>
      <c r="AGF26" s="8">
        <v>0</v>
      </c>
      <c r="AGG26" s="8">
        <v>0</v>
      </c>
      <c r="AGH26" s="8">
        <v>0</v>
      </c>
      <c r="AGI26" s="8">
        <v>0</v>
      </c>
      <c r="AGJ26" s="8">
        <v>0</v>
      </c>
      <c r="AGK26" s="8">
        <v>0</v>
      </c>
      <c r="AGL26" s="8">
        <v>0</v>
      </c>
      <c r="AGM26" s="8">
        <v>0</v>
      </c>
      <c r="AGN26" s="8">
        <v>0</v>
      </c>
      <c r="AGO26" s="8">
        <v>0</v>
      </c>
      <c r="AGP26" s="8">
        <v>0</v>
      </c>
      <c r="AGQ26" s="8">
        <v>0</v>
      </c>
      <c r="AGR26" s="8">
        <v>0</v>
      </c>
      <c r="AGS26" s="8">
        <v>0</v>
      </c>
      <c r="AGT26" s="8">
        <v>0</v>
      </c>
      <c r="AGU26" s="8">
        <v>0</v>
      </c>
      <c r="AGV26" s="8">
        <v>0</v>
      </c>
      <c r="AGW26" s="8">
        <v>0</v>
      </c>
      <c r="AGX26" s="8">
        <v>0</v>
      </c>
      <c r="AGY26" s="8">
        <v>0</v>
      </c>
      <c r="AGZ26" s="8">
        <v>0</v>
      </c>
      <c r="AHA26" s="8">
        <v>0</v>
      </c>
      <c r="AHB26" s="8">
        <v>0</v>
      </c>
      <c r="AHC26" s="8">
        <v>0</v>
      </c>
      <c r="AHD26" s="8">
        <v>0</v>
      </c>
      <c r="AHE26" s="8">
        <v>0</v>
      </c>
      <c r="AHF26" s="8">
        <v>0</v>
      </c>
      <c r="AHG26" s="8">
        <v>0</v>
      </c>
      <c r="AHH26" s="8">
        <v>0</v>
      </c>
      <c r="AHI26" s="8">
        <v>0</v>
      </c>
      <c r="AHJ26" s="8">
        <v>0</v>
      </c>
      <c r="AHK26" s="8">
        <v>0</v>
      </c>
      <c r="AHL26" s="8">
        <v>0</v>
      </c>
      <c r="AHM26" s="8">
        <v>0</v>
      </c>
      <c r="AHN26" s="8">
        <v>0</v>
      </c>
      <c r="AHO26" s="8">
        <v>0</v>
      </c>
      <c r="AHP26" s="8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 t="e">
        <v>#N/A</v>
      </c>
      <c r="AIJ26" t="e">
        <v>#N/A</v>
      </c>
      <c r="AIK26" t="e">
        <v>#N/A</v>
      </c>
      <c r="AIL26" t="e">
        <v>#N/A</v>
      </c>
      <c r="AIM26" t="e">
        <v>#N/A</v>
      </c>
      <c r="AIN26" t="e">
        <v>#N/A</v>
      </c>
      <c r="AIO26" t="e">
        <v>#N/A</v>
      </c>
      <c r="AIP26" t="e">
        <v>#N/A</v>
      </c>
      <c r="AIQ26" t="e">
        <v>#N/A</v>
      </c>
      <c r="AIR26" t="e">
        <v>#N/A</v>
      </c>
      <c r="AIS26" t="e">
        <v>#N/A</v>
      </c>
      <c r="AIT26" t="e">
        <v>#N/A</v>
      </c>
      <c r="AIU26" t="e">
        <v>#N/A</v>
      </c>
      <c r="AIV26" t="e">
        <v>#N/A</v>
      </c>
      <c r="AIW26" t="e">
        <v>#N/A</v>
      </c>
      <c r="AIX26" t="e">
        <v>#N/A</v>
      </c>
      <c r="AIY26" t="e">
        <v>#N/A</v>
      </c>
      <c r="AIZ26" t="e">
        <v>#N/A</v>
      </c>
      <c r="AJA26" t="e">
        <v>#N/A</v>
      </c>
      <c r="AJB26" t="e">
        <v>#N/A</v>
      </c>
      <c r="AJC26" t="e">
        <v>#N/A</v>
      </c>
      <c r="AJD26" t="e">
        <v>#N/A</v>
      </c>
      <c r="AJE26" t="e">
        <v>#N/A</v>
      </c>
      <c r="AJF26" t="e">
        <v>#N/A</v>
      </c>
      <c r="AJG26" t="e">
        <v>#N/A</v>
      </c>
      <c r="AJH26" t="e">
        <v>#N/A</v>
      </c>
      <c r="AJI26" t="e">
        <v>#N/A</v>
      </c>
      <c r="AJJ26" t="e">
        <v>#N/A</v>
      </c>
      <c r="AJK26" t="e">
        <v>#N/A</v>
      </c>
      <c r="AJL26" t="e">
        <v>#N/A</v>
      </c>
      <c r="AJM26" t="e">
        <v>#N/A</v>
      </c>
      <c r="AJN26" t="e">
        <v>#N/A</v>
      </c>
      <c r="AJO26" t="e">
        <v>#N/A</v>
      </c>
      <c r="AJP26" t="e">
        <v>#N/A</v>
      </c>
      <c r="AJQ26" t="e">
        <v>#N/A</v>
      </c>
      <c r="AJR26" t="e">
        <v>#N/A</v>
      </c>
      <c r="AJS26" t="e">
        <v>#N/A</v>
      </c>
      <c r="AJT26" t="e">
        <v>#N/A</v>
      </c>
      <c r="AJU26" t="e">
        <v>#N/A</v>
      </c>
      <c r="AJV26" t="e">
        <v>#N/A</v>
      </c>
      <c r="AJW26" t="e">
        <v>#N/A</v>
      </c>
      <c r="AJX26" t="e">
        <v>#N/A</v>
      </c>
      <c r="AJY26" t="e">
        <v>#N/A</v>
      </c>
      <c r="AJZ26" t="e">
        <v>#N/A</v>
      </c>
      <c r="AKA26" t="e">
        <v>#N/A</v>
      </c>
      <c r="AKB26" t="e">
        <v>#N/A</v>
      </c>
      <c r="AKC26" t="e">
        <v>#N/A</v>
      </c>
      <c r="AKD26" t="e">
        <v>#N/A</v>
      </c>
      <c r="AKE26" t="e">
        <v>#N/A</v>
      </c>
      <c r="AKF26" t="e">
        <v>#N/A</v>
      </c>
      <c r="AKG26" t="e">
        <v>#N/A</v>
      </c>
      <c r="AKH26" t="e">
        <v>#N/A</v>
      </c>
      <c r="AKI26" t="e">
        <v>#N/A</v>
      </c>
      <c r="AKJ26" t="e">
        <v>#N/A</v>
      </c>
      <c r="AKK26" t="e">
        <v>#N/A</v>
      </c>
      <c r="AKL26" t="e">
        <v>#N/A</v>
      </c>
      <c r="AKM26" t="e">
        <v>#N/A</v>
      </c>
      <c r="AKN26" t="e">
        <v>#N/A</v>
      </c>
      <c r="AKO26" t="e">
        <v>#N/A</v>
      </c>
      <c r="AKP26" t="e">
        <v>#N/A</v>
      </c>
      <c r="AKQ26" t="e">
        <v>#N/A</v>
      </c>
      <c r="AKR26" t="e">
        <v>#N/A</v>
      </c>
      <c r="AKS26" t="e">
        <v>#N/A</v>
      </c>
      <c r="AKT26" t="e">
        <v>#N/A</v>
      </c>
      <c r="AKU26" t="e">
        <v>#N/A</v>
      </c>
      <c r="AKV26" t="e">
        <v>#N/A</v>
      </c>
      <c r="AKW26" t="e">
        <v>#N/A</v>
      </c>
      <c r="AKX26" t="e">
        <v>#N/A</v>
      </c>
      <c r="AKY26" t="e">
        <v>#N/A</v>
      </c>
      <c r="AKZ26" t="e">
        <v>#N/A</v>
      </c>
      <c r="ALA26" t="e">
        <v>#N/A</v>
      </c>
      <c r="ALB26" t="e">
        <v>#N/A</v>
      </c>
      <c r="ALC26" t="e">
        <v>#N/A</v>
      </c>
      <c r="ALD26" t="e">
        <v>#N/A</v>
      </c>
      <c r="ALE26" t="e">
        <v>#N/A</v>
      </c>
      <c r="ALF26" t="e">
        <v>#N/A</v>
      </c>
      <c r="ALG26" t="e">
        <v>#N/A</v>
      </c>
      <c r="ALH26" t="e">
        <v>#N/A</v>
      </c>
      <c r="ALI26" t="e">
        <v>#N/A</v>
      </c>
      <c r="ALJ26" t="e">
        <v>#N/A</v>
      </c>
      <c r="ALK26" t="e">
        <v>#N/A</v>
      </c>
      <c r="ALL26" t="e">
        <v>#N/A</v>
      </c>
      <c r="ALM26" t="e">
        <v>#N/A</v>
      </c>
      <c r="ALN26" t="e">
        <v>#N/A</v>
      </c>
      <c r="ALO26" t="e">
        <v>#N/A</v>
      </c>
      <c r="ALP26" t="e">
        <v>#N/A</v>
      </c>
      <c r="ALQ26" t="e">
        <v>#N/A</v>
      </c>
      <c r="ALR26" t="e">
        <v>#N/A</v>
      </c>
      <c r="ALS26" t="e">
        <v>#N/A</v>
      </c>
      <c r="ALT26" t="e">
        <v>#N/A</v>
      </c>
      <c r="ALU26" t="e">
        <v>#N/A</v>
      </c>
      <c r="ALV26" t="e">
        <v>#N/A</v>
      </c>
      <c r="ALW26" t="e">
        <v>#N/A</v>
      </c>
      <c r="ALX26" t="e">
        <v>#N/A</v>
      </c>
      <c r="ALY26" t="e">
        <v>#N/A</v>
      </c>
      <c r="ALZ26" t="e">
        <v>#N/A</v>
      </c>
      <c r="AMA26" t="e">
        <v>#N/A</v>
      </c>
      <c r="AMB26" t="e">
        <v>#N/A</v>
      </c>
      <c r="AMC26" t="e">
        <v>#N/A</v>
      </c>
      <c r="AMD26" t="e">
        <v>#N/A</v>
      </c>
      <c r="AME26" t="e">
        <v>#N/A</v>
      </c>
      <c r="AMF26" t="e">
        <v>#N/A</v>
      </c>
      <c r="AMG26" t="e">
        <v>#N/A</v>
      </c>
      <c r="AMH26" t="e">
        <v>#N/A</v>
      </c>
    </row>
    <row r="27" spans="1:1022" ht="15.75" customHeight="1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0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0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0</v>
      </c>
      <c r="VR27" s="8">
        <v>0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0</v>
      </c>
      <c r="WJ27" s="8">
        <v>0</v>
      </c>
      <c r="WK27" s="8">
        <v>0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  <c r="XB27" s="8">
        <v>0</v>
      </c>
      <c r="XC27" s="8">
        <v>0</v>
      </c>
      <c r="XD27" s="8">
        <v>0</v>
      </c>
      <c r="XE27" s="8">
        <v>0</v>
      </c>
      <c r="XF27" s="8">
        <v>0</v>
      </c>
      <c r="XG27" s="8">
        <v>0</v>
      </c>
      <c r="XH27" s="8">
        <v>0</v>
      </c>
      <c r="XI27" s="8">
        <v>0</v>
      </c>
      <c r="XJ27" s="8">
        <v>0</v>
      </c>
      <c r="XK27" s="8">
        <v>0</v>
      </c>
      <c r="XL27" s="8">
        <v>0</v>
      </c>
      <c r="XM27" s="8">
        <v>0</v>
      </c>
      <c r="XN27" s="8">
        <v>0</v>
      </c>
      <c r="XO27" s="8">
        <v>0</v>
      </c>
      <c r="XP27" s="8">
        <v>0</v>
      </c>
      <c r="XQ27" s="8">
        <v>0</v>
      </c>
      <c r="XR27" s="8">
        <v>0</v>
      </c>
      <c r="XS27" s="8">
        <v>0</v>
      </c>
      <c r="XT27" s="8">
        <v>0</v>
      </c>
      <c r="XU27" s="8">
        <v>0</v>
      </c>
      <c r="XV27" s="8">
        <v>0</v>
      </c>
      <c r="XW27" s="8">
        <v>0</v>
      </c>
      <c r="XX27" s="8">
        <v>0</v>
      </c>
      <c r="XY27" s="8">
        <v>0</v>
      </c>
      <c r="XZ27" s="8">
        <v>0</v>
      </c>
      <c r="YA27" s="8">
        <v>0</v>
      </c>
      <c r="YB27" s="8">
        <v>0</v>
      </c>
      <c r="YC27" s="8">
        <v>0</v>
      </c>
      <c r="YD27" s="8">
        <v>0</v>
      </c>
      <c r="YE27" s="8">
        <v>0</v>
      </c>
      <c r="YF27" s="8">
        <v>0</v>
      </c>
      <c r="YG27" s="8">
        <v>0</v>
      </c>
      <c r="YH27" s="8">
        <v>0</v>
      </c>
      <c r="YI27" s="8">
        <v>0</v>
      </c>
      <c r="YJ27" s="8">
        <v>0</v>
      </c>
      <c r="YK27" s="8">
        <v>0</v>
      </c>
      <c r="YL27" s="8">
        <v>0</v>
      </c>
      <c r="YM27" s="8">
        <v>0</v>
      </c>
      <c r="YN27" s="8">
        <v>0</v>
      </c>
      <c r="YO27" s="8">
        <v>0</v>
      </c>
      <c r="YP27" s="8">
        <v>0</v>
      </c>
      <c r="YQ27" s="8">
        <v>0</v>
      </c>
      <c r="YR27" s="8">
        <v>0</v>
      </c>
      <c r="YS27" s="8">
        <v>0</v>
      </c>
      <c r="YT27" s="8">
        <v>0</v>
      </c>
      <c r="YU27" s="8">
        <v>0</v>
      </c>
      <c r="YV27" s="8">
        <v>0</v>
      </c>
      <c r="YW27" s="8">
        <v>0</v>
      </c>
      <c r="YX27" s="8">
        <v>0</v>
      </c>
      <c r="YY27" s="8">
        <v>0</v>
      </c>
      <c r="YZ27" s="8">
        <v>0</v>
      </c>
      <c r="ZA27" s="8">
        <v>0</v>
      </c>
      <c r="ZB27" s="8">
        <v>0</v>
      </c>
      <c r="ZC27" s="8">
        <v>0</v>
      </c>
      <c r="ZD27" s="8">
        <v>0</v>
      </c>
      <c r="ZE27" s="8">
        <v>0</v>
      </c>
      <c r="ZF27" s="8">
        <v>0</v>
      </c>
      <c r="ZG27" s="8">
        <v>0</v>
      </c>
      <c r="ZH27" s="8">
        <v>0</v>
      </c>
      <c r="ZI27" s="8">
        <v>0</v>
      </c>
      <c r="ZJ27" s="8">
        <v>0</v>
      </c>
      <c r="ZK27" s="8">
        <v>0</v>
      </c>
      <c r="ZL27" s="8">
        <v>0</v>
      </c>
      <c r="ZM27" s="8">
        <v>0</v>
      </c>
      <c r="ZN27" s="8">
        <v>0</v>
      </c>
      <c r="ZO27" s="8">
        <v>0</v>
      </c>
      <c r="ZP27" s="8">
        <v>0</v>
      </c>
      <c r="ZQ27" s="8">
        <v>0</v>
      </c>
      <c r="ZR27" s="8">
        <v>0</v>
      </c>
      <c r="ZS27" s="8">
        <v>0</v>
      </c>
      <c r="ZT27" s="8">
        <v>0</v>
      </c>
      <c r="ZU27" s="8">
        <v>0</v>
      </c>
      <c r="ZV27" s="8">
        <v>0</v>
      </c>
      <c r="ZW27" s="8">
        <v>0</v>
      </c>
      <c r="ZX27" s="8">
        <v>0</v>
      </c>
      <c r="ZY27" s="8">
        <v>0</v>
      </c>
      <c r="ZZ27" s="8">
        <v>0</v>
      </c>
      <c r="AAA27" s="8">
        <v>0</v>
      </c>
      <c r="AAB27" s="8">
        <v>0</v>
      </c>
      <c r="AAC27" s="8">
        <v>0</v>
      </c>
      <c r="AAD27" s="8">
        <v>0</v>
      </c>
      <c r="AAE27" s="8">
        <v>0</v>
      </c>
      <c r="AAF27" s="8">
        <v>0</v>
      </c>
      <c r="AAG27" s="8">
        <v>0</v>
      </c>
      <c r="AAH27" s="8">
        <v>0</v>
      </c>
      <c r="AAI27" s="8">
        <v>0</v>
      </c>
      <c r="AAJ27" s="8">
        <v>0</v>
      </c>
      <c r="AAK27" s="8">
        <v>0</v>
      </c>
      <c r="AAL27" s="8">
        <v>0</v>
      </c>
      <c r="AAM27" s="8">
        <v>0</v>
      </c>
      <c r="AAN27" s="8">
        <v>0</v>
      </c>
      <c r="AAO27" s="8">
        <v>0</v>
      </c>
      <c r="AAP27" s="8">
        <v>0</v>
      </c>
      <c r="AAQ27" s="8">
        <v>0</v>
      </c>
      <c r="AAR27" s="8">
        <v>0</v>
      </c>
      <c r="AAS27" s="8">
        <v>0</v>
      </c>
      <c r="AAT27" s="8">
        <v>0</v>
      </c>
      <c r="AAU27" s="8">
        <v>0</v>
      </c>
      <c r="AAV27" s="8">
        <v>0</v>
      </c>
      <c r="AAW27" s="8">
        <v>0</v>
      </c>
      <c r="AAX27" s="8">
        <v>0</v>
      </c>
      <c r="AAY27" s="8">
        <v>0</v>
      </c>
      <c r="AAZ27" s="8">
        <v>0</v>
      </c>
      <c r="ABA27" s="8">
        <v>0</v>
      </c>
      <c r="ABB27" s="8">
        <v>0</v>
      </c>
      <c r="ABC27" s="8">
        <v>0</v>
      </c>
      <c r="ABD27" s="8">
        <v>0</v>
      </c>
      <c r="ABE27" s="8">
        <v>0</v>
      </c>
      <c r="ABF27" s="8">
        <v>0</v>
      </c>
      <c r="ABG27" s="8">
        <v>0</v>
      </c>
      <c r="ABH27" s="8">
        <v>0</v>
      </c>
      <c r="ABI27" s="8">
        <v>0</v>
      </c>
      <c r="ABJ27" s="8">
        <v>0</v>
      </c>
      <c r="ABK27" s="8">
        <v>0</v>
      </c>
      <c r="ABL27" s="8">
        <v>0</v>
      </c>
      <c r="ABM27" s="8">
        <v>0</v>
      </c>
      <c r="ABN27" s="8">
        <v>0</v>
      </c>
      <c r="ABO27" s="8">
        <v>0</v>
      </c>
      <c r="ABP27" s="8">
        <v>0</v>
      </c>
      <c r="ABQ27" s="8">
        <v>0</v>
      </c>
      <c r="ABR27" s="8">
        <v>0</v>
      </c>
      <c r="ABS27" s="8">
        <v>0</v>
      </c>
      <c r="ABT27" s="8">
        <v>0</v>
      </c>
      <c r="ABU27" s="8">
        <v>0</v>
      </c>
      <c r="ABV27" s="8">
        <v>0</v>
      </c>
      <c r="ABW27" s="8">
        <v>0</v>
      </c>
      <c r="ABX27" s="8">
        <v>0</v>
      </c>
      <c r="ABY27" s="8">
        <v>0</v>
      </c>
      <c r="ABZ27" s="8">
        <v>0</v>
      </c>
      <c r="ACA27" s="8">
        <v>0</v>
      </c>
      <c r="ACB27" s="8">
        <v>0</v>
      </c>
      <c r="ACC27" s="8">
        <v>0</v>
      </c>
      <c r="ACD27" s="8">
        <v>0</v>
      </c>
      <c r="ACE27" s="8">
        <v>0</v>
      </c>
      <c r="ACF27" s="8">
        <v>0</v>
      </c>
      <c r="ACG27" s="8">
        <v>0</v>
      </c>
      <c r="ACH27" s="8">
        <v>0</v>
      </c>
      <c r="ACI27" s="8">
        <v>0</v>
      </c>
      <c r="ACJ27" s="8">
        <v>0</v>
      </c>
      <c r="ACK27" s="8">
        <v>0</v>
      </c>
      <c r="ACL27" s="8">
        <v>0</v>
      </c>
      <c r="ACM27" s="8">
        <v>0</v>
      </c>
      <c r="ACN27" s="8">
        <v>0</v>
      </c>
      <c r="ACO27" s="8">
        <v>0</v>
      </c>
      <c r="ACP27" s="8">
        <v>0</v>
      </c>
      <c r="ACQ27" s="8">
        <v>0</v>
      </c>
      <c r="ACR27" s="8">
        <v>0</v>
      </c>
      <c r="ACS27" s="8">
        <v>0</v>
      </c>
      <c r="ACT27" s="8">
        <v>0</v>
      </c>
      <c r="ACU27" s="8">
        <v>0</v>
      </c>
      <c r="ACV27" s="8">
        <v>0</v>
      </c>
      <c r="ACW27" s="8">
        <v>0</v>
      </c>
      <c r="ACX27" s="8">
        <v>0</v>
      </c>
      <c r="ACY27" s="8">
        <v>0</v>
      </c>
      <c r="ACZ27" s="8">
        <v>0</v>
      </c>
      <c r="ADA27" s="8">
        <v>0</v>
      </c>
      <c r="ADB27" s="8">
        <v>0</v>
      </c>
      <c r="ADC27" s="8">
        <v>0</v>
      </c>
      <c r="ADD27" s="8">
        <v>0</v>
      </c>
      <c r="ADE27" s="8">
        <v>0</v>
      </c>
      <c r="ADF27" s="8">
        <v>0</v>
      </c>
      <c r="ADG27" s="8">
        <v>0</v>
      </c>
      <c r="ADH27" s="8">
        <v>0</v>
      </c>
      <c r="ADI27" s="8">
        <v>0</v>
      </c>
      <c r="ADJ27" s="8">
        <v>0</v>
      </c>
      <c r="ADK27" s="8">
        <v>0</v>
      </c>
      <c r="ADL27" s="8">
        <v>0</v>
      </c>
      <c r="ADM27" s="8">
        <v>0</v>
      </c>
      <c r="ADN27" s="8">
        <v>0</v>
      </c>
      <c r="ADO27" s="8">
        <v>0</v>
      </c>
      <c r="ADP27" s="8">
        <v>0</v>
      </c>
      <c r="ADQ27" s="8">
        <v>0</v>
      </c>
      <c r="ADR27" s="8">
        <v>0</v>
      </c>
      <c r="ADS27" s="8">
        <v>0</v>
      </c>
      <c r="ADT27" s="8">
        <v>0</v>
      </c>
      <c r="ADU27" s="8">
        <v>0</v>
      </c>
      <c r="ADV27" s="8">
        <v>0</v>
      </c>
      <c r="ADW27" s="8">
        <v>0</v>
      </c>
      <c r="ADX27" s="8">
        <v>0</v>
      </c>
      <c r="ADY27" s="8">
        <v>0</v>
      </c>
      <c r="ADZ27" s="8">
        <v>0</v>
      </c>
      <c r="AEA27" s="8">
        <v>0</v>
      </c>
      <c r="AEB27" s="8">
        <v>0</v>
      </c>
      <c r="AEC27" s="8">
        <v>0</v>
      </c>
      <c r="AED27" s="8">
        <v>0</v>
      </c>
      <c r="AEE27" s="8">
        <v>0</v>
      </c>
      <c r="AEF27" s="8">
        <v>0</v>
      </c>
      <c r="AEG27" s="8">
        <v>0</v>
      </c>
      <c r="AEH27" s="8">
        <v>0</v>
      </c>
      <c r="AEI27" s="8">
        <v>0</v>
      </c>
      <c r="AEJ27" s="8">
        <v>0</v>
      </c>
      <c r="AEK27" s="8">
        <v>0</v>
      </c>
      <c r="AEL27" s="8">
        <v>0</v>
      </c>
      <c r="AEM27" s="8">
        <v>0</v>
      </c>
      <c r="AEN27" s="8">
        <v>0</v>
      </c>
      <c r="AEO27" s="8">
        <v>0</v>
      </c>
      <c r="AEP27" s="8">
        <v>0</v>
      </c>
      <c r="AEQ27" s="8">
        <v>0</v>
      </c>
      <c r="AER27" s="8">
        <v>0</v>
      </c>
      <c r="AES27" s="8">
        <v>0</v>
      </c>
      <c r="AET27" s="8">
        <v>0</v>
      </c>
      <c r="AEU27" s="8">
        <v>0</v>
      </c>
      <c r="AEV27" s="8">
        <v>0</v>
      </c>
      <c r="AEW27" s="8">
        <v>0</v>
      </c>
      <c r="AEX27" s="8">
        <v>0</v>
      </c>
      <c r="AEY27" s="8">
        <v>0</v>
      </c>
      <c r="AEZ27" s="8">
        <v>0</v>
      </c>
      <c r="AFA27" s="8">
        <v>0</v>
      </c>
      <c r="AFB27" s="8">
        <v>0</v>
      </c>
      <c r="AFC27" s="8">
        <v>0</v>
      </c>
      <c r="AFD27" s="8">
        <v>0</v>
      </c>
      <c r="AFE27" s="8">
        <v>0</v>
      </c>
      <c r="AFF27" s="8">
        <v>0</v>
      </c>
      <c r="AFG27" s="8">
        <v>0</v>
      </c>
      <c r="AFH27" s="8">
        <v>0</v>
      </c>
      <c r="AFI27" s="8">
        <v>0</v>
      </c>
      <c r="AFJ27" s="8">
        <v>0</v>
      </c>
      <c r="AFK27" s="8">
        <v>0</v>
      </c>
      <c r="AFL27" s="8">
        <v>0</v>
      </c>
      <c r="AFM27" s="8">
        <v>0</v>
      </c>
      <c r="AFN27" s="8">
        <v>0</v>
      </c>
      <c r="AFO27" s="8">
        <v>0</v>
      </c>
      <c r="AFP27" s="8">
        <v>0</v>
      </c>
      <c r="AFQ27" s="8">
        <v>0</v>
      </c>
      <c r="AFR27" s="8">
        <v>0</v>
      </c>
      <c r="AFS27" s="8">
        <v>0</v>
      </c>
      <c r="AFT27" s="8">
        <v>0</v>
      </c>
      <c r="AFU27" s="8">
        <v>0</v>
      </c>
      <c r="AFV27" s="8">
        <v>0</v>
      </c>
      <c r="AFW27" s="8">
        <v>0</v>
      </c>
      <c r="AFX27" s="8">
        <v>0</v>
      </c>
      <c r="AFY27" s="8">
        <v>0</v>
      </c>
      <c r="AFZ27" s="8">
        <v>0</v>
      </c>
      <c r="AGA27" s="8">
        <v>0</v>
      </c>
      <c r="AGB27" s="8">
        <v>0</v>
      </c>
      <c r="AGC27" s="8">
        <v>0</v>
      </c>
      <c r="AGD27" s="8">
        <v>0</v>
      </c>
      <c r="AGE27" s="8">
        <v>0</v>
      </c>
      <c r="AGF27" s="8">
        <v>0</v>
      </c>
      <c r="AGG27" s="8">
        <v>0</v>
      </c>
      <c r="AGH27" s="8">
        <v>0</v>
      </c>
      <c r="AGI27" s="8">
        <v>0</v>
      </c>
      <c r="AGJ27" s="8">
        <v>0</v>
      </c>
      <c r="AGK27" s="8">
        <v>0</v>
      </c>
      <c r="AGL27" s="8">
        <v>0</v>
      </c>
      <c r="AGM27" s="8">
        <v>0</v>
      </c>
      <c r="AGN27" s="8">
        <v>0</v>
      </c>
      <c r="AGO27" s="8">
        <v>0</v>
      </c>
      <c r="AGP27" s="8">
        <v>0</v>
      </c>
      <c r="AGQ27" s="8">
        <v>0</v>
      </c>
      <c r="AGR27" s="8">
        <v>0</v>
      </c>
      <c r="AGS27" s="8">
        <v>0</v>
      </c>
      <c r="AGT27" s="8">
        <v>0</v>
      </c>
      <c r="AGU27" s="8">
        <v>0</v>
      </c>
      <c r="AGV27" s="8">
        <v>0</v>
      </c>
      <c r="AGW27" s="8">
        <v>0</v>
      </c>
      <c r="AGX27" s="8">
        <v>0</v>
      </c>
      <c r="AGY27" s="8">
        <v>0</v>
      </c>
      <c r="AGZ27" s="8">
        <v>0</v>
      </c>
      <c r="AHA27" s="8">
        <v>0</v>
      </c>
      <c r="AHB27" s="8">
        <v>0</v>
      </c>
      <c r="AHC27" s="8">
        <v>0</v>
      </c>
      <c r="AHD27" s="8">
        <v>0</v>
      </c>
      <c r="AHE27" s="8">
        <v>0</v>
      </c>
      <c r="AHF27" s="8">
        <v>0</v>
      </c>
      <c r="AHG27" s="8">
        <v>0</v>
      </c>
      <c r="AHH27" s="8">
        <v>0</v>
      </c>
      <c r="AHI27" s="8">
        <v>0</v>
      </c>
      <c r="AHJ27" s="8">
        <v>0</v>
      </c>
      <c r="AHK27" s="8">
        <v>0</v>
      </c>
      <c r="AHL27" s="8">
        <v>0</v>
      </c>
      <c r="AHM27" s="8">
        <v>0</v>
      </c>
      <c r="AHN27" s="8">
        <v>0</v>
      </c>
      <c r="AHO27" s="8">
        <v>0</v>
      </c>
      <c r="AHP27" s="8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 t="e">
        <v>#N/A</v>
      </c>
      <c r="AIJ27" t="e">
        <v>#N/A</v>
      </c>
      <c r="AIK27" t="e">
        <v>#N/A</v>
      </c>
      <c r="AIL27" t="e">
        <v>#N/A</v>
      </c>
      <c r="AIM27" t="e">
        <v>#N/A</v>
      </c>
      <c r="AIN27" t="e">
        <v>#N/A</v>
      </c>
      <c r="AIO27" t="e">
        <v>#N/A</v>
      </c>
      <c r="AIP27" t="e">
        <v>#N/A</v>
      </c>
      <c r="AIQ27" t="e">
        <v>#N/A</v>
      </c>
      <c r="AIR27" t="e">
        <v>#N/A</v>
      </c>
      <c r="AIS27" t="e">
        <v>#N/A</v>
      </c>
      <c r="AIT27" t="e">
        <v>#N/A</v>
      </c>
      <c r="AIU27" t="e">
        <v>#N/A</v>
      </c>
      <c r="AIV27" t="e">
        <v>#N/A</v>
      </c>
      <c r="AIW27" t="e">
        <v>#N/A</v>
      </c>
      <c r="AIX27" t="e">
        <v>#N/A</v>
      </c>
      <c r="AIY27" t="e">
        <v>#N/A</v>
      </c>
      <c r="AIZ27" t="e">
        <v>#N/A</v>
      </c>
      <c r="AJA27" t="e">
        <v>#N/A</v>
      </c>
      <c r="AJB27" t="e">
        <v>#N/A</v>
      </c>
      <c r="AJC27" t="e">
        <v>#N/A</v>
      </c>
      <c r="AJD27" t="e">
        <v>#N/A</v>
      </c>
      <c r="AJE27" t="e">
        <v>#N/A</v>
      </c>
      <c r="AJF27" t="e">
        <v>#N/A</v>
      </c>
      <c r="AJG27" t="e">
        <v>#N/A</v>
      </c>
      <c r="AJH27" t="e">
        <v>#N/A</v>
      </c>
      <c r="AJI27" t="e">
        <v>#N/A</v>
      </c>
      <c r="AJJ27" t="e">
        <v>#N/A</v>
      </c>
      <c r="AJK27" t="e">
        <v>#N/A</v>
      </c>
      <c r="AJL27" t="e">
        <v>#N/A</v>
      </c>
      <c r="AJM27" t="e">
        <v>#N/A</v>
      </c>
      <c r="AJN27" t="e">
        <v>#N/A</v>
      </c>
      <c r="AJO27" t="e">
        <v>#N/A</v>
      </c>
      <c r="AJP27" t="e">
        <v>#N/A</v>
      </c>
      <c r="AJQ27" t="e">
        <v>#N/A</v>
      </c>
      <c r="AJR27" t="e">
        <v>#N/A</v>
      </c>
      <c r="AJS27" t="e">
        <v>#N/A</v>
      </c>
      <c r="AJT27" t="e">
        <v>#N/A</v>
      </c>
      <c r="AJU27" t="e">
        <v>#N/A</v>
      </c>
      <c r="AJV27" t="e">
        <v>#N/A</v>
      </c>
      <c r="AJW27" t="e">
        <v>#N/A</v>
      </c>
      <c r="AJX27" t="e">
        <v>#N/A</v>
      </c>
      <c r="AJY27" t="e">
        <v>#N/A</v>
      </c>
      <c r="AJZ27" t="e">
        <v>#N/A</v>
      </c>
      <c r="AKA27" t="e">
        <v>#N/A</v>
      </c>
      <c r="AKB27" t="e">
        <v>#N/A</v>
      </c>
      <c r="AKC27" t="e">
        <v>#N/A</v>
      </c>
      <c r="AKD27" t="e">
        <v>#N/A</v>
      </c>
      <c r="AKE27" t="e">
        <v>#N/A</v>
      </c>
      <c r="AKF27" t="e">
        <v>#N/A</v>
      </c>
      <c r="AKG27" t="e">
        <v>#N/A</v>
      </c>
      <c r="AKH27" t="e">
        <v>#N/A</v>
      </c>
      <c r="AKI27" t="e">
        <v>#N/A</v>
      </c>
      <c r="AKJ27" t="e">
        <v>#N/A</v>
      </c>
      <c r="AKK27" t="e">
        <v>#N/A</v>
      </c>
      <c r="AKL27" t="e">
        <v>#N/A</v>
      </c>
      <c r="AKM27" t="e">
        <v>#N/A</v>
      </c>
      <c r="AKN27" t="e">
        <v>#N/A</v>
      </c>
      <c r="AKO27" t="e">
        <v>#N/A</v>
      </c>
      <c r="AKP27" t="e">
        <v>#N/A</v>
      </c>
      <c r="AKQ27" t="e">
        <v>#N/A</v>
      </c>
      <c r="AKR27" t="e">
        <v>#N/A</v>
      </c>
      <c r="AKS27" t="e">
        <v>#N/A</v>
      </c>
      <c r="AKT27" t="e">
        <v>#N/A</v>
      </c>
      <c r="AKU27" t="e">
        <v>#N/A</v>
      </c>
      <c r="AKV27" t="e">
        <v>#N/A</v>
      </c>
      <c r="AKW27" t="e">
        <v>#N/A</v>
      </c>
      <c r="AKX27" t="e">
        <v>#N/A</v>
      </c>
      <c r="AKY27" t="e">
        <v>#N/A</v>
      </c>
      <c r="AKZ27" t="e">
        <v>#N/A</v>
      </c>
      <c r="ALA27" t="e">
        <v>#N/A</v>
      </c>
      <c r="ALB27" t="e">
        <v>#N/A</v>
      </c>
      <c r="ALC27" t="e">
        <v>#N/A</v>
      </c>
      <c r="ALD27" t="e">
        <v>#N/A</v>
      </c>
      <c r="ALE27" t="e">
        <v>#N/A</v>
      </c>
      <c r="ALF27" t="e">
        <v>#N/A</v>
      </c>
      <c r="ALG27" t="e">
        <v>#N/A</v>
      </c>
      <c r="ALH27" t="e">
        <v>#N/A</v>
      </c>
      <c r="ALI27" t="e">
        <v>#N/A</v>
      </c>
      <c r="ALJ27" t="e">
        <v>#N/A</v>
      </c>
      <c r="ALK27" t="e">
        <v>#N/A</v>
      </c>
      <c r="ALL27" t="e">
        <v>#N/A</v>
      </c>
      <c r="ALM27" t="e">
        <v>#N/A</v>
      </c>
      <c r="ALN27" t="e">
        <v>#N/A</v>
      </c>
      <c r="ALO27" t="e">
        <v>#N/A</v>
      </c>
      <c r="ALP27" t="e">
        <v>#N/A</v>
      </c>
      <c r="ALQ27" t="e">
        <v>#N/A</v>
      </c>
      <c r="ALR27" t="e">
        <v>#N/A</v>
      </c>
      <c r="ALS27" t="e">
        <v>#N/A</v>
      </c>
      <c r="ALT27" t="e">
        <v>#N/A</v>
      </c>
      <c r="ALU27" t="e">
        <v>#N/A</v>
      </c>
      <c r="ALV27" t="e">
        <v>#N/A</v>
      </c>
      <c r="ALW27" t="e">
        <v>#N/A</v>
      </c>
      <c r="ALX27" t="e">
        <v>#N/A</v>
      </c>
      <c r="ALY27" t="e">
        <v>#N/A</v>
      </c>
      <c r="ALZ27" t="e">
        <v>#N/A</v>
      </c>
      <c r="AMA27" t="e">
        <v>#N/A</v>
      </c>
      <c r="AMB27" t="e">
        <v>#N/A</v>
      </c>
      <c r="AMC27" t="e">
        <v>#N/A</v>
      </c>
      <c r="AMD27" t="e">
        <v>#N/A</v>
      </c>
      <c r="AME27" t="e">
        <v>#N/A</v>
      </c>
      <c r="AMF27" t="e">
        <v>#N/A</v>
      </c>
      <c r="AMG27" t="e">
        <v>#N/A</v>
      </c>
      <c r="AMH27" t="e">
        <v>#N/A</v>
      </c>
    </row>
    <row r="28" spans="1:1022" ht="15.75" customHeight="1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0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0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0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8">
        <v>0</v>
      </c>
      <c r="UF28" s="8">
        <v>0</v>
      </c>
      <c r="UG28" s="8">
        <v>0</v>
      </c>
      <c r="UH28" s="8">
        <v>0</v>
      </c>
      <c r="UI28" s="8">
        <v>0</v>
      </c>
      <c r="UJ28" s="8">
        <v>0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0</v>
      </c>
      <c r="VA28" s="8">
        <v>0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0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0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0</v>
      </c>
      <c r="WV28" s="8">
        <v>0</v>
      </c>
      <c r="WW28" s="8">
        <v>0</v>
      </c>
      <c r="WX28" s="8">
        <v>0</v>
      </c>
      <c r="WY28" s="8">
        <v>0</v>
      </c>
      <c r="WZ28" s="8">
        <v>0</v>
      </c>
      <c r="XA28" s="8">
        <v>0</v>
      </c>
      <c r="XB28" s="8">
        <v>0</v>
      </c>
      <c r="XC28" s="8">
        <v>0</v>
      </c>
      <c r="XD28" s="8">
        <v>0</v>
      </c>
      <c r="XE28" s="8">
        <v>0</v>
      </c>
      <c r="XF28" s="8">
        <v>0</v>
      </c>
      <c r="XG28" s="8">
        <v>0</v>
      </c>
      <c r="XH28" s="8">
        <v>0</v>
      </c>
      <c r="XI28" s="8">
        <v>0</v>
      </c>
      <c r="XJ28" s="8">
        <v>0</v>
      </c>
      <c r="XK28" s="8">
        <v>0</v>
      </c>
      <c r="XL28" s="8">
        <v>0</v>
      </c>
      <c r="XM28" s="8">
        <v>0</v>
      </c>
      <c r="XN28" s="8">
        <v>0</v>
      </c>
      <c r="XO28" s="8">
        <v>0</v>
      </c>
      <c r="XP28" s="8">
        <v>0</v>
      </c>
      <c r="XQ28" s="8">
        <v>0</v>
      </c>
      <c r="XR28" s="8">
        <v>0</v>
      </c>
      <c r="XS28" s="8">
        <v>0</v>
      </c>
      <c r="XT28" s="8">
        <v>0</v>
      </c>
      <c r="XU28" s="8">
        <v>0</v>
      </c>
      <c r="XV28" s="8">
        <v>0</v>
      </c>
      <c r="XW28" s="8">
        <v>0</v>
      </c>
      <c r="XX28" s="8">
        <v>0</v>
      </c>
      <c r="XY28" s="8">
        <v>0</v>
      </c>
      <c r="XZ28" s="8">
        <v>0</v>
      </c>
      <c r="YA28" s="8">
        <v>0</v>
      </c>
      <c r="YB28" s="8">
        <v>0</v>
      </c>
      <c r="YC28" s="8">
        <v>0</v>
      </c>
      <c r="YD28" s="8">
        <v>0</v>
      </c>
      <c r="YE28" s="8">
        <v>0</v>
      </c>
      <c r="YF28" s="8">
        <v>0</v>
      </c>
      <c r="YG28" s="8">
        <v>0</v>
      </c>
      <c r="YH28" s="8">
        <v>0</v>
      </c>
      <c r="YI28" s="8">
        <v>0</v>
      </c>
      <c r="YJ28" s="8">
        <v>0</v>
      </c>
      <c r="YK28" s="8">
        <v>0</v>
      </c>
      <c r="YL28" s="8">
        <v>0</v>
      </c>
      <c r="YM28" s="8">
        <v>0</v>
      </c>
      <c r="YN28" s="8">
        <v>0</v>
      </c>
      <c r="YO28" s="8">
        <v>0</v>
      </c>
      <c r="YP28" s="8">
        <v>0</v>
      </c>
      <c r="YQ28" s="8">
        <v>0</v>
      </c>
      <c r="YR28" s="8">
        <v>0</v>
      </c>
      <c r="YS28" s="8">
        <v>0</v>
      </c>
      <c r="YT28" s="8">
        <v>0</v>
      </c>
      <c r="YU28" s="8">
        <v>0</v>
      </c>
      <c r="YV28" s="8">
        <v>0</v>
      </c>
      <c r="YW28" s="8">
        <v>0</v>
      </c>
      <c r="YX28" s="8">
        <v>0</v>
      </c>
      <c r="YY28" s="8">
        <v>0</v>
      </c>
      <c r="YZ28" s="8">
        <v>0</v>
      </c>
      <c r="ZA28" s="8">
        <v>0</v>
      </c>
      <c r="ZB28" s="8">
        <v>0</v>
      </c>
      <c r="ZC28" s="8">
        <v>0</v>
      </c>
      <c r="ZD28" s="8">
        <v>0</v>
      </c>
      <c r="ZE28" s="8">
        <v>0</v>
      </c>
      <c r="ZF28" s="8">
        <v>0</v>
      </c>
      <c r="ZG28" s="8">
        <v>0</v>
      </c>
      <c r="ZH28" s="8">
        <v>0</v>
      </c>
      <c r="ZI28" s="8">
        <v>0</v>
      </c>
      <c r="ZJ28" s="8">
        <v>0</v>
      </c>
      <c r="ZK28" s="8">
        <v>0</v>
      </c>
      <c r="ZL28" s="8">
        <v>0</v>
      </c>
      <c r="ZM28" s="8">
        <v>0</v>
      </c>
      <c r="ZN28" s="8">
        <v>0</v>
      </c>
      <c r="ZO28" s="8">
        <v>0</v>
      </c>
      <c r="ZP28" s="8">
        <v>0</v>
      </c>
      <c r="ZQ28" s="8">
        <v>0</v>
      </c>
      <c r="ZR28" s="8">
        <v>0</v>
      </c>
      <c r="ZS28" s="8">
        <v>0</v>
      </c>
      <c r="ZT28" s="8">
        <v>0</v>
      </c>
      <c r="ZU28" s="8">
        <v>0</v>
      </c>
      <c r="ZV28" s="8">
        <v>0</v>
      </c>
      <c r="ZW28" s="8">
        <v>0</v>
      </c>
      <c r="ZX28" s="8">
        <v>0</v>
      </c>
      <c r="ZY28" s="8">
        <v>0</v>
      </c>
      <c r="ZZ28" s="8">
        <v>0</v>
      </c>
      <c r="AAA28" s="8">
        <v>0</v>
      </c>
      <c r="AAB28" s="8">
        <v>0</v>
      </c>
      <c r="AAC28" s="8">
        <v>0</v>
      </c>
      <c r="AAD28" s="8">
        <v>0</v>
      </c>
      <c r="AAE28" s="8">
        <v>0</v>
      </c>
      <c r="AAF28" s="8">
        <v>0</v>
      </c>
      <c r="AAG28" s="8">
        <v>0</v>
      </c>
      <c r="AAH28" s="8">
        <v>0</v>
      </c>
      <c r="AAI28" s="8">
        <v>0</v>
      </c>
      <c r="AAJ28" s="8">
        <v>0</v>
      </c>
      <c r="AAK28" s="8">
        <v>0</v>
      </c>
      <c r="AAL28" s="8">
        <v>0</v>
      </c>
      <c r="AAM28" s="8">
        <v>0</v>
      </c>
      <c r="AAN28" s="8">
        <v>0</v>
      </c>
      <c r="AAO28" s="8">
        <v>0</v>
      </c>
      <c r="AAP28" s="8">
        <v>0</v>
      </c>
      <c r="AAQ28" s="8">
        <v>0</v>
      </c>
      <c r="AAR28" s="8">
        <v>0</v>
      </c>
      <c r="AAS28" s="8">
        <v>0</v>
      </c>
      <c r="AAT28" s="8">
        <v>0</v>
      </c>
      <c r="AAU28" s="8">
        <v>0</v>
      </c>
      <c r="AAV28" s="8">
        <v>0</v>
      </c>
      <c r="AAW28" s="8">
        <v>0</v>
      </c>
      <c r="AAX28" s="8">
        <v>0</v>
      </c>
      <c r="AAY28" s="8">
        <v>0</v>
      </c>
      <c r="AAZ28" s="8">
        <v>0</v>
      </c>
      <c r="ABA28" s="8">
        <v>0</v>
      </c>
      <c r="ABB28" s="8">
        <v>0</v>
      </c>
      <c r="ABC28" s="8">
        <v>0</v>
      </c>
      <c r="ABD28" s="8">
        <v>0</v>
      </c>
      <c r="ABE28" s="8">
        <v>0</v>
      </c>
      <c r="ABF28" s="8">
        <v>0</v>
      </c>
      <c r="ABG28" s="8">
        <v>0</v>
      </c>
      <c r="ABH28" s="8">
        <v>0</v>
      </c>
      <c r="ABI28" s="8">
        <v>0</v>
      </c>
      <c r="ABJ28" s="8">
        <v>0</v>
      </c>
      <c r="ABK28" s="8">
        <v>0</v>
      </c>
      <c r="ABL28" s="8">
        <v>0</v>
      </c>
      <c r="ABM28" s="8">
        <v>0</v>
      </c>
      <c r="ABN28" s="8">
        <v>0</v>
      </c>
      <c r="ABO28" s="8">
        <v>0</v>
      </c>
      <c r="ABP28" s="8">
        <v>0</v>
      </c>
      <c r="ABQ28" s="8">
        <v>0</v>
      </c>
      <c r="ABR28" s="8">
        <v>0</v>
      </c>
      <c r="ABS28" s="8">
        <v>0</v>
      </c>
      <c r="ABT28" s="8">
        <v>0</v>
      </c>
      <c r="ABU28" s="8">
        <v>0</v>
      </c>
      <c r="ABV28" s="8">
        <v>0</v>
      </c>
      <c r="ABW28" s="8">
        <v>0</v>
      </c>
      <c r="ABX28" s="8">
        <v>0</v>
      </c>
      <c r="ABY28" s="8">
        <v>0</v>
      </c>
      <c r="ABZ28" s="8">
        <v>0</v>
      </c>
      <c r="ACA28" s="8">
        <v>0</v>
      </c>
      <c r="ACB28" s="8">
        <v>0</v>
      </c>
      <c r="ACC28" s="8">
        <v>0</v>
      </c>
      <c r="ACD28" s="8">
        <v>0</v>
      </c>
      <c r="ACE28" s="8">
        <v>0</v>
      </c>
      <c r="ACF28" s="8">
        <v>0</v>
      </c>
      <c r="ACG28" s="8">
        <v>0</v>
      </c>
      <c r="ACH28" s="8">
        <v>0</v>
      </c>
      <c r="ACI28" s="8">
        <v>0</v>
      </c>
      <c r="ACJ28" s="8">
        <v>0</v>
      </c>
      <c r="ACK28" s="8">
        <v>0</v>
      </c>
      <c r="ACL28" s="8">
        <v>0</v>
      </c>
      <c r="ACM28" s="8">
        <v>0</v>
      </c>
      <c r="ACN28" s="8">
        <v>0</v>
      </c>
      <c r="ACO28" s="8">
        <v>0</v>
      </c>
      <c r="ACP28" s="8">
        <v>0</v>
      </c>
      <c r="ACQ28" s="8">
        <v>0</v>
      </c>
      <c r="ACR28" s="8">
        <v>0</v>
      </c>
      <c r="ACS28" s="8">
        <v>0</v>
      </c>
      <c r="ACT28" s="8">
        <v>0</v>
      </c>
      <c r="ACU28" s="8">
        <v>0</v>
      </c>
      <c r="ACV28" s="8">
        <v>0</v>
      </c>
      <c r="ACW28" s="8">
        <v>0</v>
      </c>
      <c r="ACX28" s="8">
        <v>0</v>
      </c>
      <c r="ACY28" s="8">
        <v>0</v>
      </c>
      <c r="ACZ28" s="8">
        <v>0</v>
      </c>
      <c r="ADA28" s="8">
        <v>0</v>
      </c>
      <c r="ADB28" s="8">
        <v>0</v>
      </c>
      <c r="ADC28" s="8">
        <v>0</v>
      </c>
      <c r="ADD28" s="8">
        <v>0</v>
      </c>
      <c r="ADE28" s="8">
        <v>0</v>
      </c>
      <c r="ADF28" s="8">
        <v>0</v>
      </c>
      <c r="ADG28" s="8">
        <v>0</v>
      </c>
      <c r="ADH28" s="8">
        <v>0</v>
      </c>
      <c r="ADI28" s="8">
        <v>0</v>
      </c>
      <c r="ADJ28" s="8">
        <v>0</v>
      </c>
      <c r="ADK28" s="8">
        <v>0</v>
      </c>
      <c r="ADL28" s="8">
        <v>0</v>
      </c>
      <c r="ADM28" s="8">
        <v>0</v>
      </c>
      <c r="ADN28" s="8">
        <v>0</v>
      </c>
      <c r="ADO28" s="8">
        <v>0</v>
      </c>
      <c r="ADP28" s="8">
        <v>0</v>
      </c>
      <c r="ADQ28" s="8">
        <v>0</v>
      </c>
      <c r="ADR28" s="8">
        <v>0</v>
      </c>
      <c r="ADS28" s="8">
        <v>0</v>
      </c>
      <c r="ADT28" s="8">
        <v>0</v>
      </c>
      <c r="ADU28" s="8">
        <v>0</v>
      </c>
      <c r="ADV28" s="8">
        <v>0</v>
      </c>
      <c r="ADW28" s="8">
        <v>0</v>
      </c>
      <c r="ADX28" s="8">
        <v>0</v>
      </c>
      <c r="ADY28" s="8">
        <v>0</v>
      </c>
      <c r="ADZ28" s="8">
        <v>0</v>
      </c>
      <c r="AEA28" s="8">
        <v>0</v>
      </c>
      <c r="AEB28" s="8">
        <v>0</v>
      </c>
      <c r="AEC28" s="8">
        <v>0</v>
      </c>
      <c r="AED28" s="8">
        <v>0</v>
      </c>
      <c r="AEE28" s="8">
        <v>0</v>
      </c>
      <c r="AEF28" s="8">
        <v>0</v>
      </c>
      <c r="AEG28" s="8">
        <v>0</v>
      </c>
      <c r="AEH28" s="8">
        <v>0</v>
      </c>
      <c r="AEI28" s="8">
        <v>0</v>
      </c>
      <c r="AEJ28" s="8">
        <v>0</v>
      </c>
      <c r="AEK28" s="8">
        <v>0</v>
      </c>
      <c r="AEL28" s="8">
        <v>0</v>
      </c>
      <c r="AEM28" s="8">
        <v>0</v>
      </c>
      <c r="AEN28" s="8">
        <v>0</v>
      </c>
      <c r="AEO28" s="8">
        <v>0</v>
      </c>
      <c r="AEP28" s="8">
        <v>0</v>
      </c>
      <c r="AEQ28" s="8">
        <v>0</v>
      </c>
      <c r="AER28" s="8">
        <v>0</v>
      </c>
      <c r="AES28" s="8">
        <v>0</v>
      </c>
      <c r="AET28" s="8">
        <v>0</v>
      </c>
      <c r="AEU28" s="8">
        <v>0</v>
      </c>
      <c r="AEV28" s="8">
        <v>0</v>
      </c>
      <c r="AEW28" s="8">
        <v>0</v>
      </c>
      <c r="AEX28" s="8">
        <v>0</v>
      </c>
      <c r="AEY28" s="8">
        <v>0</v>
      </c>
      <c r="AEZ28" s="8">
        <v>0</v>
      </c>
      <c r="AFA28" s="8">
        <v>0</v>
      </c>
      <c r="AFB28" s="8">
        <v>0</v>
      </c>
      <c r="AFC28" s="8">
        <v>0</v>
      </c>
      <c r="AFD28" s="8">
        <v>0</v>
      </c>
      <c r="AFE28" s="8">
        <v>0</v>
      </c>
      <c r="AFF28" s="8">
        <v>0</v>
      </c>
      <c r="AFG28" s="8">
        <v>0</v>
      </c>
      <c r="AFH28" s="8">
        <v>0</v>
      </c>
      <c r="AFI28" s="8">
        <v>0</v>
      </c>
      <c r="AFJ28" s="8">
        <v>0</v>
      </c>
      <c r="AFK28" s="8">
        <v>0</v>
      </c>
      <c r="AFL28" s="8">
        <v>0</v>
      </c>
      <c r="AFM28" s="8">
        <v>0</v>
      </c>
      <c r="AFN28" s="8">
        <v>0</v>
      </c>
      <c r="AFO28" s="8">
        <v>0</v>
      </c>
      <c r="AFP28" s="8">
        <v>0</v>
      </c>
      <c r="AFQ28" s="8">
        <v>0</v>
      </c>
      <c r="AFR28" s="8">
        <v>0</v>
      </c>
      <c r="AFS28" s="8">
        <v>0</v>
      </c>
      <c r="AFT28" s="8">
        <v>0</v>
      </c>
      <c r="AFU28" s="8">
        <v>0</v>
      </c>
      <c r="AFV28" s="8">
        <v>0</v>
      </c>
      <c r="AFW28" s="8">
        <v>0</v>
      </c>
      <c r="AFX28" s="8">
        <v>0</v>
      </c>
      <c r="AFY28" s="8">
        <v>0</v>
      </c>
      <c r="AFZ28" s="8">
        <v>0</v>
      </c>
      <c r="AGA28" s="8">
        <v>0</v>
      </c>
      <c r="AGB28" s="8">
        <v>0</v>
      </c>
      <c r="AGC28" s="8">
        <v>0</v>
      </c>
      <c r="AGD28" s="8">
        <v>0</v>
      </c>
      <c r="AGE28" s="8">
        <v>0</v>
      </c>
      <c r="AGF28" s="8">
        <v>0</v>
      </c>
      <c r="AGG28" s="8">
        <v>0</v>
      </c>
      <c r="AGH28" s="8">
        <v>0</v>
      </c>
      <c r="AGI28" s="8">
        <v>0</v>
      </c>
      <c r="AGJ28" s="8">
        <v>0</v>
      </c>
      <c r="AGK28" s="8">
        <v>0</v>
      </c>
      <c r="AGL28" s="8">
        <v>0</v>
      </c>
      <c r="AGM28" s="8">
        <v>0</v>
      </c>
      <c r="AGN28" s="8">
        <v>0</v>
      </c>
      <c r="AGO28" s="8">
        <v>0</v>
      </c>
      <c r="AGP28" s="8">
        <v>0</v>
      </c>
      <c r="AGQ28" s="8">
        <v>0</v>
      </c>
      <c r="AGR28" s="8">
        <v>0</v>
      </c>
      <c r="AGS28" s="8">
        <v>0</v>
      </c>
      <c r="AGT28" s="8">
        <v>0</v>
      </c>
      <c r="AGU28" s="8">
        <v>0</v>
      </c>
      <c r="AGV28" s="8">
        <v>0</v>
      </c>
      <c r="AGW28" s="8">
        <v>0</v>
      </c>
      <c r="AGX28" s="8">
        <v>0</v>
      </c>
      <c r="AGY28" s="8">
        <v>0</v>
      </c>
      <c r="AGZ28" s="8">
        <v>0</v>
      </c>
      <c r="AHA28" s="8">
        <v>0</v>
      </c>
      <c r="AHB28" s="8">
        <v>0</v>
      </c>
      <c r="AHC28" s="8">
        <v>0</v>
      </c>
      <c r="AHD28" s="8">
        <v>0</v>
      </c>
      <c r="AHE28" s="8">
        <v>0</v>
      </c>
      <c r="AHF28" s="8">
        <v>0</v>
      </c>
      <c r="AHG28" s="8">
        <v>0</v>
      </c>
      <c r="AHH28" s="8">
        <v>0</v>
      </c>
      <c r="AHI28" s="8">
        <v>0</v>
      </c>
      <c r="AHJ28" s="8">
        <v>0</v>
      </c>
      <c r="AHK28" s="8">
        <v>0</v>
      </c>
      <c r="AHL28" s="8">
        <v>0</v>
      </c>
      <c r="AHM28" s="8">
        <v>0</v>
      </c>
      <c r="AHN28" s="8">
        <v>0</v>
      </c>
      <c r="AHO28" s="8">
        <v>0</v>
      </c>
      <c r="AHP28" s="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 t="e">
        <v>#N/A</v>
      </c>
      <c r="AIJ28" t="e">
        <v>#N/A</v>
      </c>
      <c r="AIK28" t="e">
        <v>#N/A</v>
      </c>
      <c r="AIL28" t="e">
        <v>#N/A</v>
      </c>
      <c r="AIM28" t="e">
        <v>#N/A</v>
      </c>
      <c r="AIN28" t="e">
        <v>#N/A</v>
      </c>
      <c r="AIO28" t="e">
        <v>#N/A</v>
      </c>
      <c r="AIP28" t="e">
        <v>#N/A</v>
      </c>
      <c r="AIQ28" t="e">
        <v>#N/A</v>
      </c>
      <c r="AIR28" t="e">
        <v>#N/A</v>
      </c>
      <c r="AIS28" t="e">
        <v>#N/A</v>
      </c>
      <c r="AIT28" t="e">
        <v>#N/A</v>
      </c>
      <c r="AIU28" t="e">
        <v>#N/A</v>
      </c>
      <c r="AIV28" t="e">
        <v>#N/A</v>
      </c>
      <c r="AIW28" t="e">
        <v>#N/A</v>
      </c>
      <c r="AIX28" t="e">
        <v>#N/A</v>
      </c>
      <c r="AIY28" t="e">
        <v>#N/A</v>
      </c>
      <c r="AIZ28" t="e">
        <v>#N/A</v>
      </c>
      <c r="AJA28" t="e">
        <v>#N/A</v>
      </c>
      <c r="AJB28" t="e">
        <v>#N/A</v>
      </c>
      <c r="AJC28" t="e">
        <v>#N/A</v>
      </c>
      <c r="AJD28" t="e">
        <v>#N/A</v>
      </c>
      <c r="AJE28" t="e">
        <v>#N/A</v>
      </c>
      <c r="AJF28" t="e">
        <v>#N/A</v>
      </c>
      <c r="AJG28" t="e">
        <v>#N/A</v>
      </c>
      <c r="AJH28" t="e">
        <v>#N/A</v>
      </c>
      <c r="AJI28" t="e">
        <v>#N/A</v>
      </c>
      <c r="AJJ28" t="e">
        <v>#N/A</v>
      </c>
      <c r="AJK28" t="e">
        <v>#N/A</v>
      </c>
      <c r="AJL28" t="e">
        <v>#N/A</v>
      </c>
      <c r="AJM28" t="e">
        <v>#N/A</v>
      </c>
      <c r="AJN28" t="e">
        <v>#N/A</v>
      </c>
      <c r="AJO28" t="e">
        <v>#N/A</v>
      </c>
      <c r="AJP28" t="e">
        <v>#N/A</v>
      </c>
      <c r="AJQ28" t="e">
        <v>#N/A</v>
      </c>
      <c r="AJR28" t="e">
        <v>#N/A</v>
      </c>
      <c r="AJS28" t="e">
        <v>#N/A</v>
      </c>
      <c r="AJT28" t="e">
        <v>#N/A</v>
      </c>
      <c r="AJU28" t="e">
        <v>#N/A</v>
      </c>
      <c r="AJV28" t="e">
        <v>#N/A</v>
      </c>
      <c r="AJW28" t="e">
        <v>#N/A</v>
      </c>
      <c r="AJX28" t="e">
        <v>#N/A</v>
      </c>
      <c r="AJY28" t="e">
        <v>#N/A</v>
      </c>
      <c r="AJZ28" t="e">
        <v>#N/A</v>
      </c>
      <c r="AKA28" t="e">
        <v>#N/A</v>
      </c>
      <c r="AKB28" t="e">
        <v>#N/A</v>
      </c>
      <c r="AKC28" t="e">
        <v>#N/A</v>
      </c>
      <c r="AKD28" t="e">
        <v>#N/A</v>
      </c>
      <c r="AKE28" t="e">
        <v>#N/A</v>
      </c>
      <c r="AKF28" t="e">
        <v>#N/A</v>
      </c>
      <c r="AKG28" t="e">
        <v>#N/A</v>
      </c>
      <c r="AKH28" t="e">
        <v>#N/A</v>
      </c>
      <c r="AKI28" t="e">
        <v>#N/A</v>
      </c>
      <c r="AKJ28" t="e">
        <v>#N/A</v>
      </c>
      <c r="AKK28" t="e">
        <v>#N/A</v>
      </c>
      <c r="AKL28" t="e">
        <v>#N/A</v>
      </c>
      <c r="AKM28" t="e">
        <v>#N/A</v>
      </c>
      <c r="AKN28" t="e">
        <v>#N/A</v>
      </c>
      <c r="AKO28" t="e">
        <v>#N/A</v>
      </c>
      <c r="AKP28" t="e">
        <v>#N/A</v>
      </c>
      <c r="AKQ28" t="e">
        <v>#N/A</v>
      </c>
      <c r="AKR28" t="e">
        <v>#N/A</v>
      </c>
      <c r="AKS28" t="e">
        <v>#N/A</v>
      </c>
      <c r="AKT28" t="e">
        <v>#N/A</v>
      </c>
      <c r="AKU28" t="e">
        <v>#N/A</v>
      </c>
      <c r="AKV28" t="e">
        <v>#N/A</v>
      </c>
      <c r="AKW28" t="e">
        <v>#N/A</v>
      </c>
      <c r="AKX28" t="e">
        <v>#N/A</v>
      </c>
      <c r="AKY28" t="e">
        <v>#N/A</v>
      </c>
      <c r="AKZ28" t="e">
        <v>#N/A</v>
      </c>
      <c r="ALA28" t="e">
        <v>#N/A</v>
      </c>
      <c r="ALB28" t="e">
        <v>#N/A</v>
      </c>
      <c r="ALC28" t="e">
        <v>#N/A</v>
      </c>
      <c r="ALD28" t="e">
        <v>#N/A</v>
      </c>
      <c r="ALE28" t="e">
        <v>#N/A</v>
      </c>
      <c r="ALF28" t="e">
        <v>#N/A</v>
      </c>
      <c r="ALG28" t="e">
        <v>#N/A</v>
      </c>
      <c r="ALH28" t="e">
        <v>#N/A</v>
      </c>
      <c r="ALI28" t="e">
        <v>#N/A</v>
      </c>
      <c r="ALJ28" t="e">
        <v>#N/A</v>
      </c>
      <c r="ALK28" t="e">
        <v>#N/A</v>
      </c>
      <c r="ALL28" t="e">
        <v>#N/A</v>
      </c>
      <c r="ALM28" t="e">
        <v>#N/A</v>
      </c>
      <c r="ALN28" t="e">
        <v>#N/A</v>
      </c>
      <c r="ALO28" t="e">
        <v>#N/A</v>
      </c>
      <c r="ALP28" t="e">
        <v>#N/A</v>
      </c>
      <c r="ALQ28" t="e">
        <v>#N/A</v>
      </c>
      <c r="ALR28" t="e">
        <v>#N/A</v>
      </c>
      <c r="ALS28" t="e">
        <v>#N/A</v>
      </c>
      <c r="ALT28" t="e">
        <v>#N/A</v>
      </c>
      <c r="ALU28" t="e">
        <v>#N/A</v>
      </c>
      <c r="ALV28" t="e">
        <v>#N/A</v>
      </c>
      <c r="ALW28" t="e">
        <v>#N/A</v>
      </c>
      <c r="ALX28" t="e">
        <v>#N/A</v>
      </c>
      <c r="ALY28" t="e">
        <v>#N/A</v>
      </c>
      <c r="ALZ28" t="e">
        <v>#N/A</v>
      </c>
      <c r="AMA28" t="e">
        <v>#N/A</v>
      </c>
      <c r="AMB28" t="e">
        <v>#N/A</v>
      </c>
      <c r="AMC28" t="e">
        <v>#N/A</v>
      </c>
      <c r="AMD28" t="e">
        <v>#N/A</v>
      </c>
      <c r="AME28" t="e">
        <v>#N/A</v>
      </c>
      <c r="AMF28" t="e">
        <v>#N/A</v>
      </c>
      <c r="AMG28" t="e">
        <v>#N/A</v>
      </c>
      <c r="AMH28" t="e">
        <v>#N/A</v>
      </c>
    </row>
    <row r="29" spans="1:1022" ht="15.75" customHeight="1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0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0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0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8">
        <v>0</v>
      </c>
      <c r="TD29" s="8">
        <v>0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8">
        <v>0</v>
      </c>
      <c r="UT29" s="8">
        <v>0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8">
        <v>0</v>
      </c>
      <c r="VA29" s="8">
        <v>0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8">
        <v>0</v>
      </c>
      <c r="VH29" s="8">
        <v>0</v>
      </c>
      <c r="VI29" s="8">
        <v>0</v>
      </c>
      <c r="VJ29" s="8">
        <v>0</v>
      </c>
      <c r="VK29" s="8">
        <v>0</v>
      </c>
      <c r="VL29" s="8">
        <v>0</v>
      </c>
      <c r="VM29" s="8">
        <v>0</v>
      </c>
      <c r="VN29" s="8">
        <v>0</v>
      </c>
      <c r="VO29" s="8">
        <v>0</v>
      </c>
      <c r="VP29" s="8">
        <v>0</v>
      </c>
      <c r="VQ29" s="8">
        <v>0</v>
      </c>
      <c r="VR29" s="8">
        <v>0</v>
      </c>
      <c r="VS29" s="8">
        <v>0</v>
      </c>
      <c r="VT29" s="8">
        <v>0</v>
      </c>
      <c r="VU29" s="8">
        <v>0</v>
      </c>
      <c r="VV29" s="8">
        <v>0</v>
      </c>
      <c r="VW29" s="8">
        <v>0</v>
      </c>
      <c r="VX29" s="8">
        <v>0</v>
      </c>
      <c r="VY29" s="8">
        <v>0</v>
      </c>
      <c r="VZ29" s="8">
        <v>0</v>
      </c>
      <c r="WA29" s="8">
        <v>0</v>
      </c>
      <c r="WB29" s="8">
        <v>0</v>
      </c>
      <c r="WC29" s="8">
        <v>0</v>
      </c>
      <c r="WD29" s="8">
        <v>0</v>
      </c>
      <c r="WE29" s="8">
        <v>0</v>
      </c>
      <c r="WF29" s="8">
        <v>0</v>
      </c>
      <c r="WG29" s="8">
        <v>0</v>
      </c>
      <c r="WH29" s="8">
        <v>0</v>
      </c>
      <c r="WI29" s="8">
        <v>0</v>
      </c>
      <c r="WJ29" s="8">
        <v>0</v>
      </c>
      <c r="WK29" s="8">
        <v>0</v>
      </c>
      <c r="WL29" s="8">
        <v>0</v>
      </c>
      <c r="WM29" s="8">
        <v>0</v>
      </c>
      <c r="WN29" s="8">
        <v>0</v>
      </c>
      <c r="WO29" s="8">
        <v>0</v>
      </c>
      <c r="WP29" s="8">
        <v>0</v>
      </c>
      <c r="WQ29" s="8">
        <v>0</v>
      </c>
      <c r="WR29" s="8">
        <v>0</v>
      </c>
      <c r="WS29" s="8">
        <v>0</v>
      </c>
      <c r="WT29" s="8">
        <v>0</v>
      </c>
      <c r="WU29" s="8">
        <v>0</v>
      </c>
      <c r="WV29" s="8">
        <v>0</v>
      </c>
      <c r="WW29" s="8">
        <v>0</v>
      </c>
      <c r="WX29" s="8">
        <v>0</v>
      </c>
      <c r="WY29" s="8">
        <v>0</v>
      </c>
      <c r="WZ29" s="8">
        <v>0</v>
      </c>
      <c r="XA29" s="8">
        <v>0</v>
      </c>
      <c r="XB29" s="8">
        <v>0</v>
      </c>
      <c r="XC29" s="8">
        <v>0</v>
      </c>
      <c r="XD29" s="8">
        <v>0</v>
      </c>
      <c r="XE29" s="8">
        <v>0</v>
      </c>
      <c r="XF29" s="8">
        <v>0</v>
      </c>
      <c r="XG29" s="8">
        <v>0</v>
      </c>
      <c r="XH29" s="8">
        <v>0</v>
      </c>
      <c r="XI29" s="8">
        <v>0</v>
      </c>
      <c r="XJ29" s="8">
        <v>0</v>
      </c>
      <c r="XK29" s="8">
        <v>0</v>
      </c>
      <c r="XL29" s="8">
        <v>0</v>
      </c>
      <c r="XM29" s="8">
        <v>0</v>
      </c>
      <c r="XN29" s="8">
        <v>0</v>
      </c>
      <c r="XO29" s="8">
        <v>0</v>
      </c>
      <c r="XP29" s="8">
        <v>0</v>
      </c>
      <c r="XQ29" s="8">
        <v>0</v>
      </c>
      <c r="XR29" s="8">
        <v>0</v>
      </c>
      <c r="XS29" s="8">
        <v>0</v>
      </c>
      <c r="XT29" s="8">
        <v>0</v>
      </c>
      <c r="XU29" s="8">
        <v>0</v>
      </c>
      <c r="XV29" s="8">
        <v>0</v>
      </c>
      <c r="XW29" s="8">
        <v>0</v>
      </c>
      <c r="XX29" s="8">
        <v>0</v>
      </c>
      <c r="XY29" s="8">
        <v>0</v>
      </c>
      <c r="XZ29" s="8">
        <v>0</v>
      </c>
      <c r="YA29" s="8">
        <v>0</v>
      </c>
      <c r="YB29" s="8">
        <v>0</v>
      </c>
      <c r="YC29" s="8">
        <v>0</v>
      </c>
      <c r="YD29" s="8">
        <v>0</v>
      </c>
      <c r="YE29" s="8">
        <v>0</v>
      </c>
      <c r="YF29" s="8">
        <v>0</v>
      </c>
      <c r="YG29" s="8">
        <v>0</v>
      </c>
      <c r="YH29" s="8">
        <v>0</v>
      </c>
      <c r="YI29" s="8">
        <v>0</v>
      </c>
      <c r="YJ29" s="8">
        <v>0</v>
      </c>
      <c r="YK29" s="8">
        <v>0</v>
      </c>
      <c r="YL29" s="8">
        <v>0</v>
      </c>
      <c r="YM29" s="8">
        <v>0</v>
      </c>
      <c r="YN29" s="8">
        <v>0</v>
      </c>
      <c r="YO29" s="8">
        <v>0</v>
      </c>
      <c r="YP29" s="8">
        <v>0</v>
      </c>
      <c r="YQ29" s="8">
        <v>0</v>
      </c>
      <c r="YR29" s="8">
        <v>0</v>
      </c>
      <c r="YS29" s="8">
        <v>0</v>
      </c>
      <c r="YT29" s="8">
        <v>0</v>
      </c>
      <c r="YU29" s="8">
        <v>0</v>
      </c>
      <c r="YV29" s="8">
        <v>0</v>
      </c>
      <c r="YW29" s="8">
        <v>0</v>
      </c>
      <c r="YX29" s="8">
        <v>0</v>
      </c>
      <c r="YY29" s="8">
        <v>0</v>
      </c>
      <c r="YZ29" s="8">
        <v>0</v>
      </c>
      <c r="ZA29" s="8">
        <v>0</v>
      </c>
      <c r="ZB29" s="8">
        <v>0</v>
      </c>
      <c r="ZC29" s="8">
        <v>0</v>
      </c>
      <c r="ZD29" s="8">
        <v>0</v>
      </c>
      <c r="ZE29" s="8">
        <v>0</v>
      </c>
      <c r="ZF29" s="8">
        <v>0</v>
      </c>
      <c r="ZG29" s="8">
        <v>0</v>
      </c>
      <c r="ZH29" s="8">
        <v>0</v>
      </c>
      <c r="ZI29" s="8">
        <v>0</v>
      </c>
      <c r="ZJ29" s="8">
        <v>0</v>
      </c>
      <c r="ZK29" s="8">
        <v>0</v>
      </c>
      <c r="ZL29" s="8">
        <v>0</v>
      </c>
      <c r="ZM29" s="8">
        <v>0</v>
      </c>
      <c r="ZN29" s="8">
        <v>0</v>
      </c>
      <c r="ZO29" s="8">
        <v>0</v>
      </c>
      <c r="ZP29" s="8">
        <v>0</v>
      </c>
      <c r="ZQ29" s="8">
        <v>0</v>
      </c>
      <c r="ZR29" s="8">
        <v>0</v>
      </c>
      <c r="ZS29" s="8">
        <v>0</v>
      </c>
      <c r="ZT29" s="8">
        <v>0</v>
      </c>
      <c r="ZU29" s="8">
        <v>0</v>
      </c>
      <c r="ZV29" s="8">
        <v>0</v>
      </c>
      <c r="ZW29" s="8">
        <v>0</v>
      </c>
      <c r="ZX29" s="8">
        <v>0</v>
      </c>
      <c r="ZY29" s="8">
        <v>0</v>
      </c>
      <c r="ZZ29" s="8">
        <v>0</v>
      </c>
      <c r="AAA29" s="8">
        <v>0</v>
      </c>
      <c r="AAB29" s="8">
        <v>0</v>
      </c>
      <c r="AAC29" s="8">
        <v>0</v>
      </c>
      <c r="AAD29" s="8">
        <v>0</v>
      </c>
      <c r="AAE29" s="8">
        <v>0</v>
      </c>
      <c r="AAF29" s="8">
        <v>0</v>
      </c>
      <c r="AAG29" s="8">
        <v>0</v>
      </c>
      <c r="AAH29" s="8">
        <v>0</v>
      </c>
      <c r="AAI29" s="8">
        <v>0</v>
      </c>
      <c r="AAJ29" s="8">
        <v>0</v>
      </c>
      <c r="AAK29" s="8">
        <v>0</v>
      </c>
      <c r="AAL29" s="8">
        <v>0</v>
      </c>
      <c r="AAM29" s="8">
        <v>0</v>
      </c>
      <c r="AAN29" s="8">
        <v>0</v>
      </c>
      <c r="AAO29" s="8">
        <v>0</v>
      </c>
      <c r="AAP29" s="8">
        <v>0</v>
      </c>
      <c r="AAQ29" s="8">
        <v>0</v>
      </c>
      <c r="AAR29" s="8">
        <v>0</v>
      </c>
      <c r="AAS29" s="8">
        <v>0</v>
      </c>
      <c r="AAT29" s="8">
        <v>0</v>
      </c>
      <c r="AAU29" s="8">
        <v>0</v>
      </c>
      <c r="AAV29" s="8">
        <v>0</v>
      </c>
      <c r="AAW29" s="8">
        <v>0</v>
      </c>
      <c r="AAX29" s="8">
        <v>0</v>
      </c>
      <c r="AAY29" s="8">
        <v>0</v>
      </c>
      <c r="AAZ29" s="8">
        <v>0</v>
      </c>
      <c r="ABA29" s="8">
        <v>0</v>
      </c>
      <c r="ABB29" s="8">
        <v>0</v>
      </c>
      <c r="ABC29" s="8">
        <v>0</v>
      </c>
      <c r="ABD29" s="8">
        <v>0</v>
      </c>
      <c r="ABE29" s="8">
        <v>0</v>
      </c>
      <c r="ABF29" s="8">
        <v>0</v>
      </c>
      <c r="ABG29" s="8">
        <v>0</v>
      </c>
      <c r="ABH29" s="8">
        <v>0</v>
      </c>
      <c r="ABI29" s="8">
        <v>0</v>
      </c>
      <c r="ABJ29" s="8">
        <v>0</v>
      </c>
      <c r="ABK29" s="8">
        <v>0</v>
      </c>
      <c r="ABL29" s="8">
        <v>0</v>
      </c>
      <c r="ABM29" s="8">
        <v>0</v>
      </c>
      <c r="ABN29" s="8">
        <v>0</v>
      </c>
      <c r="ABO29" s="8">
        <v>0</v>
      </c>
      <c r="ABP29" s="8">
        <v>0</v>
      </c>
      <c r="ABQ29" s="8">
        <v>0</v>
      </c>
      <c r="ABR29" s="8">
        <v>0</v>
      </c>
      <c r="ABS29" s="8">
        <v>0</v>
      </c>
      <c r="ABT29" s="8">
        <v>0</v>
      </c>
      <c r="ABU29" s="8">
        <v>0</v>
      </c>
      <c r="ABV29" s="8">
        <v>0</v>
      </c>
      <c r="ABW29" s="8">
        <v>0</v>
      </c>
      <c r="ABX29" s="8">
        <v>0</v>
      </c>
      <c r="ABY29" s="8">
        <v>0</v>
      </c>
      <c r="ABZ29" s="8">
        <v>0</v>
      </c>
      <c r="ACA29" s="8">
        <v>0</v>
      </c>
      <c r="ACB29" s="8">
        <v>0</v>
      </c>
      <c r="ACC29" s="8">
        <v>0</v>
      </c>
      <c r="ACD29" s="8">
        <v>0</v>
      </c>
      <c r="ACE29" s="8">
        <v>0</v>
      </c>
      <c r="ACF29" s="8">
        <v>0</v>
      </c>
      <c r="ACG29" s="8">
        <v>0</v>
      </c>
      <c r="ACH29" s="8">
        <v>0</v>
      </c>
      <c r="ACI29" s="8">
        <v>0</v>
      </c>
      <c r="ACJ29" s="8">
        <v>0</v>
      </c>
      <c r="ACK29" s="8">
        <v>0</v>
      </c>
      <c r="ACL29" s="8">
        <v>0</v>
      </c>
      <c r="ACM29" s="8">
        <v>0</v>
      </c>
      <c r="ACN29" s="8">
        <v>0</v>
      </c>
      <c r="ACO29" s="8">
        <v>0</v>
      </c>
      <c r="ACP29" s="8">
        <v>0</v>
      </c>
      <c r="ACQ29" s="8">
        <v>0</v>
      </c>
      <c r="ACR29" s="8">
        <v>0</v>
      </c>
      <c r="ACS29" s="8">
        <v>0</v>
      </c>
      <c r="ACT29" s="8">
        <v>0</v>
      </c>
      <c r="ACU29" s="8">
        <v>0</v>
      </c>
      <c r="ACV29" s="8">
        <v>0</v>
      </c>
      <c r="ACW29" s="8">
        <v>0</v>
      </c>
      <c r="ACX29" s="8">
        <v>0</v>
      </c>
      <c r="ACY29" s="8">
        <v>0</v>
      </c>
      <c r="ACZ29" s="8">
        <v>0</v>
      </c>
      <c r="ADA29" s="8">
        <v>0</v>
      </c>
      <c r="ADB29" s="8">
        <v>0</v>
      </c>
      <c r="ADC29" s="8">
        <v>0</v>
      </c>
      <c r="ADD29" s="8">
        <v>0</v>
      </c>
      <c r="ADE29" s="8">
        <v>0</v>
      </c>
      <c r="ADF29" s="8">
        <v>0</v>
      </c>
      <c r="ADG29" s="8">
        <v>0</v>
      </c>
      <c r="ADH29" s="8">
        <v>0</v>
      </c>
      <c r="ADI29" s="8">
        <v>0</v>
      </c>
      <c r="ADJ29" s="8">
        <v>0</v>
      </c>
      <c r="ADK29" s="8">
        <v>0</v>
      </c>
      <c r="ADL29" s="8">
        <v>0</v>
      </c>
      <c r="ADM29" s="8">
        <v>0</v>
      </c>
      <c r="ADN29" s="8">
        <v>0</v>
      </c>
      <c r="ADO29" s="8">
        <v>0</v>
      </c>
      <c r="ADP29" s="8">
        <v>0</v>
      </c>
      <c r="ADQ29" s="8">
        <v>0</v>
      </c>
      <c r="ADR29" s="8">
        <v>0</v>
      </c>
      <c r="ADS29" s="8">
        <v>0</v>
      </c>
      <c r="ADT29" s="8">
        <v>0</v>
      </c>
      <c r="ADU29" s="8">
        <v>0</v>
      </c>
      <c r="ADV29" s="8">
        <v>0</v>
      </c>
      <c r="ADW29" s="8">
        <v>0</v>
      </c>
      <c r="ADX29" s="8">
        <v>0</v>
      </c>
      <c r="ADY29" s="8">
        <v>0</v>
      </c>
      <c r="ADZ29" s="8">
        <v>0</v>
      </c>
      <c r="AEA29" s="8">
        <v>0</v>
      </c>
      <c r="AEB29" s="8">
        <v>0</v>
      </c>
      <c r="AEC29" s="8">
        <v>0</v>
      </c>
      <c r="AED29" s="8">
        <v>0</v>
      </c>
      <c r="AEE29" s="8">
        <v>0</v>
      </c>
      <c r="AEF29" s="8">
        <v>0</v>
      </c>
      <c r="AEG29" s="8">
        <v>0</v>
      </c>
      <c r="AEH29" s="8">
        <v>0</v>
      </c>
      <c r="AEI29" s="8">
        <v>0</v>
      </c>
      <c r="AEJ29" s="8">
        <v>0</v>
      </c>
      <c r="AEK29" s="8">
        <v>0</v>
      </c>
      <c r="AEL29" s="8">
        <v>0</v>
      </c>
      <c r="AEM29" s="8">
        <v>0</v>
      </c>
      <c r="AEN29" s="8">
        <v>0</v>
      </c>
      <c r="AEO29" s="8">
        <v>0</v>
      </c>
      <c r="AEP29" s="8">
        <v>0</v>
      </c>
      <c r="AEQ29" s="8">
        <v>0</v>
      </c>
      <c r="AER29" s="8">
        <v>0</v>
      </c>
      <c r="AES29" s="8">
        <v>0</v>
      </c>
      <c r="AET29" s="8">
        <v>0</v>
      </c>
      <c r="AEU29" s="8">
        <v>0</v>
      </c>
      <c r="AEV29" s="8">
        <v>0</v>
      </c>
      <c r="AEW29" s="8">
        <v>0</v>
      </c>
      <c r="AEX29" s="8">
        <v>0</v>
      </c>
      <c r="AEY29" s="8">
        <v>0</v>
      </c>
      <c r="AEZ29" s="8">
        <v>0</v>
      </c>
      <c r="AFA29" s="8">
        <v>0</v>
      </c>
      <c r="AFB29" s="8">
        <v>0</v>
      </c>
      <c r="AFC29" s="8">
        <v>0</v>
      </c>
      <c r="AFD29" s="8">
        <v>0</v>
      </c>
      <c r="AFE29" s="8">
        <v>0</v>
      </c>
      <c r="AFF29" s="8">
        <v>0</v>
      </c>
      <c r="AFG29" s="8">
        <v>0</v>
      </c>
      <c r="AFH29" s="8">
        <v>0</v>
      </c>
      <c r="AFI29" s="8">
        <v>0</v>
      </c>
      <c r="AFJ29" s="8">
        <v>0</v>
      </c>
      <c r="AFK29" s="8">
        <v>0</v>
      </c>
      <c r="AFL29" s="8">
        <v>0</v>
      </c>
      <c r="AFM29" s="8">
        <v>0</v>
      </c>
      <c r="AFN29" s="8">
        <v>0</v>
      </c>
      <c r="AFO29" s="8">
        <v>0</v>
      </c>
      <c r="AFP29" s="8">
        <v>0</v>
      </c>
      <c r="AFQ29" s="8">
        <v>0</v>
      </c>
      <c r="AFR29" s="8">
        <v>0</v>
      </c>
      <c r="AFS29" s="8">
        <v>0</v>
      </c>
      <c r="AFT29" s="8">
        <v>0</v>
      </c>
      <c r="AFU29" s="8">
        <v>0</v>
      </c>
      <c r="AFV29" s="8">
        <v>0</v>
      </c>
      <c r="AFW29" s="8">
        <v>0</v>
      </c>
      <c r="AFX29" s="8">
        <v>0</v>
      </c>
      <c r="AFY29" s="8">
        <v>0</v>
      </c>
      <c r="AFZ29" s="8">
        <v>0</v>
      </c>
      <c r="AGA29" s="8">
        <v>0</v>
      </c>
      <c r="AGB29" s="8">
        <v>0</v>
      </c>
      <c r="AGC29" s="8">
        <v>0</v>
      </c>
      <c r="AGD29" s="8">
        <v>0</v>
      </c>
      <c r="AGE29" s="8">
        <v>0</v>
      </c>
      <c r="AGF29" s="8">
        <v>0</v>
      </c>
      <c r="AGG29" s="8">
        <v>0</v>
      </c>
      <c r="AGH29" s="8">
        <v>0</v>
      </c>
      <c r="AGI29" s="8">
        <v>0</v>
      </c>
      <c r="AGJ29" s="8">
        <v>0</v>
      </c>
      <c r="AGK29" s="8">
        <v>0</v>
      </c>
      <c r="AGL29" s="8">
        <v>0</v>
      </c>
      <c r="AGM29" s="8">
        <v>0</v>
      </c>
      <c r="AGN29" s="8">
        <v>0</v>
      </c>
      <c r="AGO29" s="8">
        <v>0</v>
      </c>
      <c r="AGP29" s="8">
        <v>0</v>
      </c>
      <c r="AGQ29" s="8">
        <v>0</v>
      </c>
      <c r="AGR29" s="8">
        <v>0</v>
      </c>
      <c r="AGS29" s="8">
        <v>0</v>
      </c>
      <c r="AGT29" s="8">
        <v>0</v>
      </c>
      <c r="AGU29" s="8">
        <v>0</v>
      </c>
      <c r="AGV29" s="8">
        <v>0</v>
      </c>
      <c r="AGW29" s="8">
        <v>0</v>
      </c>
      <c r="AGX29" s="8">
        <v>0</v>
      </c>
      <c r="AGY29" s="8">
        <v>0</v>
      </c>
      <c r="AGZ29" s="8">
        <v>0</v>
      </c>
      <c r="AHA29" s="8">
        <v>0</v>
      </c>
      <c r="AHB29" s="8">
        <v>0</v>
      </c>
      <c r="AHC29" s="8">
        <v>0</v>
      </c>
      <c r="AHD29" s="8">
        <v>0</v>
      </c>
      <c r="AHE29" s="8">
        <v>0</v>
      </c>
      <c r="AHF29" s="8">
        <v>0</v>
      </c>
      <c r="AHG29" s="8">
        <v>0</v>
      </c>
      <c r="AHH29" s="8">
        <v>0</v>
      </c>
      <c r="AHI29" s="8">
        <v>0</v>
      </c>
      <c r="AHJ29" s="8">
        <v>0</v>
      </c>
      <c r="AHK29" s="8">
        <v>0</v>
      </c>
      <c r="AHL29" s="8">
        <v>0</v>
      </c>
      <c r="AHM29" s="8">
        <v>0</v>
      </c>
      <c r="AHN29" s="8">
        <v>0</v>
      </c>
      <c r="AHO29" s="8">
        <v>0</v>
      </c>
      <c r="AHP29" s="8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 t="e">
        <v>#N/A</v>
      </c>
      <c r="AIJ29" t="e">
        <v>#N/A</v>
      </c>
      <c r="AIK29" t="e">
        <v>#N/A</v>
      </c>
      <c r="AIL29" t="e">
        <v>#N/A</v>
      </c>
      <c r="AIM29" t="e">
        <v>#N/A</v>
      </c>
      <c r="AIN29" t="e">
        <v>#N/A</v>
      </c>
      <c r="AIO29" t="e">
        <v>#N/A</v>
      </c>
      <c r="AIP29" t="e">
        <v>#N/A</v>
      </c>
      <c r="AIQ29" t="e">
        <v>#N/A</v>
      </c>
      <c r="AIR29" t="e">
        <v>#N/A</v>
      </c>
      <c r="AIS29" t="e">
        <v>#N/A</v>
      </c>
      <c r="AIT29" t="e">
        <v>#N/A</v>
      </c>
      <c r="AIU29" t="e">
        <v>#N/A</v>
      </c>
      <c r="AIV29" t="e">
        <v>#N/A</v>
      </c>
      <c r="AIW29" t="e">
        <v>#N/A</v>
      </c>
      <c r="AIX29" t="e">
        <v>#N/A</v>
      </c>
      <c r="AIY29" t="e">
        <v>#N/A</v>
      </c>
      <c r="AIZ29" t="e">
        <v>#N/A</v>
      </c>
      <c r="AJA29" t="e">
        <v>#N/A</v>
      </c>
      <c r="AJB29" t="e">
        <v>#N/A</v>
      </c>
      <c r="AJC29" t="e">
        <v>#N/A</v>
      </c>
      <c r="AJD29" t="e">
        <v>#N/A</v>
      </c>
      <c r="AJE29" t="e">
        <v>#N/A</v>
      </c>
      <c r="AJF29" t="e">
        <v>#N/A</v>
      </c>
      <c r="AJG29" t="e">
        <v>#N/A</v>
      </c>
      <c r="AJH29" t="e">
        <v>#N/A</v>
      </c>
      <c r="AJI29" t="e">
        <v>#N/A</v>
      </c>
      <c r="AJJ29" t="e">
        <v>#N/A</v>
      </c>
      <c r="AJK29" t="e">
        <v>#N/A</v>
      </c>
      <c r="AJL29" t="e">
        <v>#N/A</v>
      </c>
      <c r="AJM29" t="e">
        <v>#N/A</v>
      </c>
      <c r="AJN29" t="e">
        <v>#N/A</v>
      </c>
      <c r="AJO29" t="e">
        <v>#N/A</v>
      </c>
      <c r="AJP29" t="e">
        <v>#N/A</v>
      </c>
      <c r="AJQ29" t="e">
        <v>#N/A</v>
      </c>
      <c r="AJR29" t="e">
        <v>#N/A</v>
      </c>
      <c r="AJS29" t="e">
        <v>#N/A</v>
      </c>
      <c r="AJT29" t="e">
        <v>#N/A</v>
      </c>
      <c r="AJU29" t="e">
        <v>#N/A</v>
      </c>
      <c r="AJV29" t="e">
        <v>#N/A</v>
      </c>
      <c r="AJW29" t="e">
        <v>#N/A</v>
      </c>
      <c r="AJX29" t="e">
        <v>#N/A</v>
      </c>
      <c r="AJY29" t="e">
        <v>#N/A</v>
      </c>
      <c r="AJZ29" t="e">
        <v>#N/A</v>
      </c>
      <c r="AKA29" t="e">
        <v>#N/A</v>
      </c>
      <c r="AKB29" t="e">
        <v>#N/A</v>
      </c>
      <c r="AKC29" t="e">
        <v>#N/A</v>
      </c>
      <c r="AKD29" t="e">
        <v>#N/A</v>
      </c>
      <c r="AKE29" t="e">
        <v>#N/A</v>
      </c>
      <c r="AKF29" t="e">
        <v>#N/A</v>
      </c>
      <c r="AKG29" t="e">
        <v>#N/A</v>
      </c>
      <c r="AKH29" t="e">
        <v>#N/A</v>
      </c>
      <c r="AKI29" t="e">
        <v>#N/A</v>
      </c>
      <c r="AKJ29" t="e">
        <v>#N/A</v>
      </c>
      <c r="AKK29" t="e">
        <v>#N/A</v>
      </c>
      <c r="AKL29" t="e">
        <v>#N/A</v>
      </c>
      <c r="AKM29" t="e">
        <v>#N/A</v>
      </c>
      <c r="AKN29" t="e">
        <v>#N/A</v>
      </c>
      <c r="AKO29" t="e">
        <v>#N/A</v>
      </c>
      <c r="AKP29" t="e">
        <v>#N/A</v>
      </c>
      <c r="AKQ29" t="e">
        <v>#N/A</v>
      </c>
      <c r="AKR29" t="e">
        <v>#N/A</v>
      </c>
      <c r="AKS29" t="e">
        <v>#N/A</v>
      </c>
      <c r="AKT29" t="e">
        <v>#N/A</v>
      </c>
      <c r="AKU29" t="e">
        <v>#N/A</v>
      </c>
      <c r="AKV29" t="e">
        <v>#N/A</v>
      </c>
      <c r="AKW29" t="e">
        <v>#N/A</v>
      </c>
      <c r="AKX29" t="e">
        <v>#N/A</v>
      </c>
      <c r="AKY29" t="e">
        <v>#N/A</v>
      </c>
      <c r="AKZ29" t="e">
        <v>#N/A</v>
      </c>
      <c r="ALA29" t="e">
        <v>#N/A</v>
      </c>
      <c r="ALB29" t="e">
        <v>#N/A</v>
      </c>
      <c r="ALC29" t="e">
        <v>#N/A</v>
      </c>
      <c r="ALD29" t="e">
        <v>#N/A</v>
      </c>
      <c r="ALE29" t="e">
        <v>#N/A</v>
      </c>
      <c r="ALF29" t="e">
        <v>#N/A</v>
      </c>
      <c r="ALG29" t="e">
        <v>#N/A</v>
      </c>
      <c r="ALH29" t="e">
        <v>#N/A</v>
      </c>
      <c r="ALI29" t="e">
        <v>#N/A</v>
      </c>
      <c r="ALJ29" t="e">
        <v>#N/A</v>
      </c>
      <c r="ALK29" t="e">
        <v>#N/A</v>
      </c>
      <c r="ALL29" t="e">
        <v>#N/A</v>
      </c>
      <c r="ALM29" t="e">
        <v>#N/A</v>
      </c>
      <c r="ALN29" t="e">
        <v>#N/A</v>
      </c>
      <c r="ALO29" t="e">
        <v>#N/A</v>
      </c>
      <c r="ALP29" t="e">
        <v>#N/A</v>
      </c>
      <c r="ALQ29" t="e">
        <v>#N/A</v>
      </c>
      <c r="ALR29" t="e">
        <v>#N/A</v>
      </c>
      <c r="ALS29" t="e">
        <v>#N/A</v>
      </c>
      <c r="ALT29" t="e">
        <v>#N/A</v>
      </c>
      <c r="ALU29" t="e">
        <v>#N/A</v>
      </c>
      <c r="ALV29" t="e">
        <v>#N/A</v>
      </c>
      <c r="ALW29" t="e">
        <v>#N/A</v>
      </c>
      <c r="ALX29" t="e">
        <v>#N/A</v>
      </c>
      <c r="ALY29" t="e">
        <v>#N/A</v>
      </c>
      <c r="ALZ29" t="e">
        <v>#N/A</v>
      </c>
      <c r="AMA29" t="e">
        <v>#N/A</v>
      </c>
      <c r="AMB29" t="e">
        <v>#N/A</v>
      </c>
      <c r="AMC29" t="e">
        <v>#N/A</v>
      </c>
      <c r="AMD29" t="e">
        <v>#N/A</v>
      </c>
      <c r="AME29" t="e">
        <v>#N/A</v>
      </c>
      <c r="AMF29" t="e">
        <v>#N/A</v>
      </c>
      <c r="AMG29" t="e">
        <v>#N/A</v>
      </c>
      <c r="AMH29" t="e">
        <v>#N/A</v>
      </c>
    </row>
    <row r="30" spans="1:1022" ht="15.75" customHeight="1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IS30" s="8">
        <v>0</v>
      </c>
      <c r="IT30" s="8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0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0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0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0</v>
      </c>
      <c r="TA30" s="8">
        <v>0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0</v>
      </c>
      <c r="UC30" s="8">
        <v>0</v>
      </c>
      <c r="UD30" s="8">
        <v>0</v>
      </c>
      <c r="UE30" s="8">
        <v>0</v>
      </c>
      <c r="UF30" s="8">
        <v>0</v>
      </c>
      <c r="UG30" s="8">
        <v>0</v>
      </c>
      <c r="UH30" s="8">
        <v>0</v>
      </c>
      <c r="UI30" s="8">
        <v>0</v>
      </c>
      <c r="UJ30" s="8">
        <v>0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0</v>
      </c>
      <c r="UQ30" s="8">
        <v>0</v>
      </c>
      <c r="UR30" s="8">
        <v>0</v>
      </c>
      <c r="US30" s="8">
        <v>0</v>
      </c>
      <c r="UT30" s="8">
        <v>0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0</v>
      </c>
      <c r="WM30" s="8">
        <v>0</v>
      </c>
      <c r="WN30" s="8">
        <v>0</v>
      </c>
      <c r="WO30" s="8">
        <v>0</v>
      </c>
      <c r="WP30" s="8">
        <v>0</v>
      </c>
      <c r="WQ30" s="8">
        <v>0</v>
      </c>
      <c r="WR30" s="8">
        <v>0</v>
      </c>
      <c r="WS30" s="8">
        <v>0</v>
      </c>
      <c r="WT30" s="8">
        <v>0</v>
      </c>
      <c r="WU30" s="8">
        <v>0</v>
      </c>
      <c r="WV30" s="8">
        <v>0</v>
      </c>
      <c r="WW30" s="8">
        <v>0</v>
      </c>
      <c r="WX30" s="8">
        <v>0</v>
      </c>
      <c r="WY30" s="8">
        <v>0</v>
      </c>
      <c r="WZ30" s="8">
        <v>0</v>
      </c>
      <c r="XA30" s="8">
        <v>0</v>
      </c>
      <c r="XB30" s="8">
        <v>0</v>
      </c>
      <c r="XC30" s="8">
        <v>0</v>
      </c>
      <c r="XD30" s="8">
        <v>0</v>
      </c>
      <c r="XE30" s="8">
        <v>0</v>
      </c>
      <c r="XF30" s="8">
        <v>0</v>
      </c>
      <c r="XG30" s="8">
        <v>0</v>
      </c>
      <c r="XH30" s="8">
        <v>0</v>
      </c>
      <c r="XI30" s="8">
        <v>0</v>
      </c>
      <c r="XJ30" s="8">
        <v>0</v>
      </c>
      <c r="XK30" s="8">
        <v>0</v>
      </c>
      <c r="XL30" s="8">
        <v>0</v>
      </c>
      <c r="XM30" s="8">
        <v>0</v>
      </c>
      <c r="XN30" s="8">
        <v>0</v>
      </c>
      <c r="XO30" s="8">
        <v>0</v>
      </c>
      <c r="XP30" s="8">
        <v>0</v>
      </c>
      <c r="XQ30" s="8">
        <v>0</v>
      </c>
      <c r="XR30" s="8">
        <v>0</v>
      </c>
      <c r="XS30" s="8">
        <v>0</v>
      </c>
      <c r="XT30" s="8">
        <v>0</v>
      </c>
      <c r="XU30" s="8">
        <v>0</v>
      </c>
      <c r="XV30" s="8">
        <v>0</v>
      </c>
      <c r="XW30" s="8">
        <v>0</v>
      </c>
      <c r="XX30" s="8">
        <v>0</v>
      </c>
      <c r="XY30" s="8">
        <v>0</v>
      </c>
      <c r="XZ30" s="8">
        <v>0</v>
      </c>
      <c r="YA30" s="8">
        <v>0</v>
      </c>
      <c r="YB30" s="8">
        <v>0</v>
      </c>
      <c r="YC30" s="8">
        <v>0</v>
      </c>
      <c r="YD30" s="8">
        <v>0</v>
      </c>
      <c r="YE30" s="8">
        <v>0</v>
      </c>
      <c r="YF30" s="8">
        <v>0</v>
      </c>
      <c r="YG30" s="8">
        <v>0</v>
      </c>
      <c r="YH30" s="8">
        <v>0</v>
      </c>
      <c r="YI30" s="8">
        <v>0</v>
      </c>
      <c r="YJ30" s="8">
        <v>0</v>
      </c>
      <c r="YK30" s="8">
        <v>0</v>
      </c>
      <c r="YL30" s="8">
        <v>0</v>
      </c>
      <c r="YM30" s="8">
        <v>0</v>
      </c>
      <c r="YN30" s="8">
        <v>0</v>
      </c>
      <c r="YO30" s="8">
        <v>0</v>
      </c>
      <c r="YP30" s="8">
        <v>0</v>
      </c>
      <c r="YQ30" s="8">
        <v>0</v>
      </c>
      <c r="YR30" s="8">
        <v>0</v>
      </c>
      <c r="YS30" s="8">
        <v>0</v>
      </c>
      <c r="YT30" s="8">
        <v>0</v>
      </c>
      <c r="YU30" s="8">
        <v>0</v>
      </c>
      <c r="YV30" s="8">
        <v>0</v>
      </c>
      <c r="YW30" s="8">
        <v>0</v>
      </c>
      <c r="YX30" s="8">
        <v>0</v>
      </c>
      <c r="YY30" s="8">
        <v>0</v>
      </c>
      <c r="YZ30" s="8">
        <v>0</v>
      </c>
      <c r="ZA30" s="8">
        <v>0</v>
      </c>
      <c r="ZB30" s="8">
        <v>0</v>
      </c>
      <c r="ZC30" s="8">
        <v>0</v>
      </c>
      <c r="ZD30" s="8">
        <v>0</v>
      </c>
      <c r="ZE30" s="8">
        <v>0</v>
      </c>
      <c r="ZF30" s="8">
        <v>0</v>
      </c>
      <c r="ZG30" s="8">
        <v>0</v>
      </c>
      <c r="ZH30" s="8">
        <v>0</v>
      </c>
      <c r="ZI30" s="8">
        <v>0</v>
      </c>
      <c r="ZJ30" s="8">
        <v>0</v>
      </c>
      <c r="ZK30" s="8">
        <v>0</v>
      </c>
      <c r="ZL30" s="8">
        <v>0</v>
      </c>
      <c r="ZM30" s="8">
        <v>0</v>
      </c>
      <c r="ZN30" s="8">
        <v>0</v>
      </c>
      <c r="ZO30" s="8">
        <v>0</v>
      </c>
      <c r="ZP30" s="8">
        <v>0</v>
      </c>
      <c r="ZQ30" s="8">
        <v>0</v>
      </c>
      <c r="ZR30" s="8">
        <v>0</v>
      </c>
      <c r="ZS30" s="8">
        <v>0</v>
      </c>
      <c r="ZT30" s="8">
        <v>0</v>
      </c>
      <c r="ZU30" s="8">
        <v>0</v>
      </c>
      <c r="ZV30" s="8">
        <v>0</v>
      </c>
      <c r="ZW30" s="8">
        <v>0</v>
      </c>
      <c r="ZX30" s="8">
        <v>0</v>
      </c>
      <c r="ZY30" s="8">
        <v>0</v>
      </c>
      <c r="ZZ30" s="8">
        <v>0</v>
      </c>
      <c r="AAA30" s="8">
        <v>0</v>
      </c>
      <c r="AAB30" s="8">
        <v>0</v>
      </c>
      <c r="AAC30" s="8">
        <v>0</v>
      </c>
      <c r="AAD30" s="8">
        <v>0</v>
      </c>
      <c r="AAE30" s="8">
        <v>0</v>
      </c>
      <c r="AAF30" s="8">
        <v>0</v>
      </c>
      <c r="AAG30" s="8">
        <v>0</v>
      </c>
      <c r="AAH30" s="8">
        <v>0</v>
      </c>
      <c r="AAI30" s="8">
        <v>0</v>
      </c>
      <c r="AAJ30" s="8">
        <v>0</v>
      </c>
      <c r="AAK30" s="8">
        <v>0</v>
      </c>
      <c r="AAL30" s="8">
        <v>0</v>
      </c>
      <c r="AAM30" s="8">
        <v>0</v>
      </c>
      <c r="AAN30" s="8">
        <v>0</v>
      </c>
      <c r="AAO30" s="8">
        <v>0</v>
      </c>
      <c r="AAP30" s="8">
        <v>0</v>
      </c>
      <c r="AAQ30" s="8">
        <v>0</v>
      </c>
      <c r="AAR30" s="8">
        <v>0</v>
      </c>
      <c r="AAS30" s="8">
        <v>0</v>
      </c>
      <c r="AAT30" s="8">
        <v>0</v>
      </c>
      <c r="AAU30" s="8">
        <v>0</v>
      </c>
      <c r="AAV30" s="8">
        <v>0</v>
      </c>
      <c r="AAW30" s="8">
        <v>0</v>
      </c>
      <c r="AAX30" s="8">
        <v>0</v>
      </c>
      <c r="AAY30" s="8">
        <v>0</v>
      </c>
      <c r="AAZ30" s="8">
        <v>0</v>
      </c>
      <c r="ABA30" s="8">
        <v>0</v>
      </c>
      <c r="ABB30" s="8">
        <v>0</v>
      </c>
      <c r="ABC30" s="8">
        <v>0</v>
      </c>
      <c r="ABD30" s="8">
        <v>0</v>
      </c>
      <c r="ABE30" s="8">
        <v>0</v>
      </c>
      <c r="ABF30" s="8">
        <v>0</v>
      </c>
      <c r="ABG30" s="8">
        <v>0</v>
      </c>
      <c r="ABH30" s="8">
        <v>0</v>
      </c>
      <c r="ABI30" s="8">
        <v>0</v>
      </c>
      <c r="ABJ30" s="8">
        <v>0</v>
      </c>
      <c r="ABK30" s="8">
        <v>0</v>
      </c>
      <c r="ABL30" s="8">
        <v>0</v>
      </c>
      <c r="ABM30" s="8">
        <v>0</v>
      </c>
      <c r="ABN30" s="8">
        <v>0</v>
      </c>
      <c r="ABO30" s="8">
        <v>0</v>
      </c>
      <c r="ABP30" s="8">
        <v>0</v>
      </c>
      <c r="ABQ30" s="8">
        <v>0</v>
      </c>
      <c r="ABR30" s="8">
        <v>0</v>
      </c>
      <c r="ABS30" s="8">
        <v>0</v>
      </c>
      <c r="ABT30" s="8">
        <v>0</v>
      </c>
      <c r="ABU30" s="8">
        <v>0</v>
      </c>
      <c r="ABV30" s="8">
        <v>0</v>
      </c>
      <c r="ABW30" s="8">
        <v>0</v>
      </c>
      <c r="ABX30" s="8">
        <v>0</v>
      </c>
      <c r="ABY30" s="8">
        <v>0</v>
      </c>
      <c r="ABZ30" s="8">
        <v>0</v>
      </c>
      <c r="ACA30" s="8">
        <v>0</v>
      </c>
      <c r="ACB30" s="8">
        <v>0</v>
      </c>
      <c r="ACC30" s="8">
        <v>0</v>
      </c>
      <c r="ACD30" s="8">
        <v>0</v>
      </c>
      <c r="ACE30" s="8">
        <v>0</v>
      </c>
      <c r="ACF30" s="8">
        <v>0</v>
      </c>
      <c r="ACG30" s="8">
        <v>0</v>
      </c>
      <c r="ACH30" s="8">
        <v>0</v>
      </c>
      <c r="ACI30" s="8">
        <v>0</v>
      </c>
      <c r="ACJ30" s="8">
        <v>0</v>
      </c>
      <c r="ACK30" s="8">
        <v>0</v>
      </c>
      <c r="ACL30" s="8">
        <v>0</v>
      </c>
      <c r="ACM30" s="8">
        <v>0</v>
      </c>
      <c r="ACN30" s="8">
        <v>0</v>
      </c>
      <c r="ACO30" s="8">
        <v>0</v>
      </c>
      <c r="ACP30" s="8">
        <v>0</v>
      </c>
      <c r="ACQ30" s="8">
        <v>0</v>
      </c>
      <c r="ACR30" s="8">
        <v>0</v>
      </c>
      <c r="ACS30" s="8">
        <v>0</v>
      </c>
      <c r="ACT30" s="8">
        <v>0</v>
      </c>
      <c r="ACU30" s="8">
        <v>0</v>
      </c>
      <c r="ACV30" s="8">
        <v>0</v>
      </c>
      <c r="ACW30" s="8">
        <v>0</v>
      </c>
      <c r="ACX30" s="8">
        <v>0</v>
      </c>
      <c r="ACY30" s="8">
        <v>0</v>
      </c>
      <c r="ACZ30" s="8">
        <v>0</v>
      </c>
      <c r="ADA30" s="8">
        <v>0</v>
      </c>
      <c r="ADB30" s="8">
        <v>0</v>
      </c>
      <c r="ADC30" s="8">
        <v>0</v>
      </c>
      <c r="ADD30" s="8">
        <v>0</v>
      </c>
      <c r="ADE30" s="8">
        <v>0</v>
      </c>
      <c r="ADF30" s="8">
        <v>0</v>
      </c>
      <c r="ADG30" s="8">
        <v>0</v>
      </c>
      <c r="ADH30" s="8">
        <v>0</v>
      </c>
      <c r="ADI30" s="8">
        <v>0</v>
      </c>
      <c r="ADJ30" s="8">
        <v>0</v>
      </c>
      <c r="ADK30" s="8">
        <v>0</v>
      </c>
      <c r="ADL30" s="8">
        <v>0</v>
      </c>
      <c r="ADM30" s="8">
        <v>0</v>
      </c>
      <c r="ADN30" s="8">
        <v>0</v>
      </c>
      <c r="ADO30" s="8">
        <v>0</v>
      </c>
      <c r="ADP30" s="8">
        <v>0</v>
      </c>
      <c r="ADQ30" s="8">
        <v>0</v>
      </c>
      <c r="ADR30" s="8">
        <v>0</v>
      </c>
      <c r="ADS30" s="8">
        <v>0</v>
      </c>
      <c r="ADT30" s="8">
        <v>0</v>
      </c>
      <c r="ADU30" s="8">
        <v>0</v>
      </c>
      <c r="ADV30" s="8">
        <v>0</v>
      </c>
      <c r="ADW30" s="8">
        <v>0</v>
      </c>
      <c r="ADX30" s="8">
        <v>0</v>
      </c>
      <c r="ADY30" s="8">
        <v>0</v>
      </c>
      <c r="ADZ30" s="8">
        <v>0</v>
      </c>
      <c r="AEA30" s="8">
        <v>0</v>
      </c>
      <c r="AEB30" s="8">
        <v>0</v>
      </c>
      <c r="AEC30" s="8">
        <v>0</v>
      </c>
      <c r="AED30" s="8">
        <v>0</v>
      </c>
      <c r="AEE30" s="8">
        <v>0</v>
      </c>
      <c r="AEF30" s="8">
        <v>0</v>
      </c>
      <c r="AEG30" s="8">
        <v>0</v>
      </c>
      <c r="AEH30" s="8">
        <v>0</v>
      </c>
      <c r="AEI30" s="8">
        <v>0</v>
      </c>
      <c r="AEJ30" s="8">
        <v>0</v>
      </c>
      <c r="AEK30" s="8">
        <v>0</v>
      </c>
      <c r="AEL30" s="8">
        <v>0</v>
      </c>
      <c r="AEM30" s="8">
        <v>0</v>
      </c>
      <c r="AEN30" s="8">
        <v>0</v>
      </c>
      <c r="AEO30" s="8">
        <v>0</v>
      </c>
      <c r="AEP30" s="8">
        <v>0</v>
      </c>
      <c r="AEQ30" s="8">
        <v>0</v>
      </c>
      <c r="AER30" s="8">
        <v>0</v>
      </c>
      <c r="AES30" s="8">
        <v>0</v>
      </c>
      <c r="AET30" s="8">
        <v>0</v>
      </c>
      <c r="AEU30" s="8">
        <v>0</v>
      </c>
      <c r="AEV30" s="8">
        <v>0</v>
      </c>
      <c r="AEW30" s="8">
        <v>0</v>
      </c>
      <c r="AEX30" s="8">
        <v>0</v>
      </c>
      <c r="AEY30" s="8">
        <v>0</v>
      </c>
      <c r="AEZ30" s="8">
        <v>0</v>
      </c>
      <c r="AFA30" s="8">
        <v>0</v>
      </c>
      <c r="AFB30" s="8">
        <v>0</v>
      </c>
      <c r="AFC30" s="8">
        <v>0</v>
      </c>
      <c r="AFD30" s="8">
        <v>0</v>
      </c>
      <c r="AFE30" s="8">
        <v>0</v>
      </c>
      <c r="AFF30" s="8">
        <v>0</v>
      </c>
      <c r="AFG30" s="8">
        <v>0</v>
      </c>
      <c r="AFH30" s="8">
        <v>0</v>
      </c>
      <c r="AFI30" s="8">
        <v>0</v>
      </c>
      <c r="AFJ30" s="8">
        <v>0</v>
      </c>
      <c r="AFK30" s="8">
        <v>0</v>
      </c>
      <c r="AFL30" s="8">
        <v>0</v>
      </c>
      <c r="AFM30" s="8">
        <v>0</v>
      </c>
      <c r="AFN30" s="8">
        <v>0</v>
      </c>
      <c r="AFO30" s="8">
        <v>0</v>
      </c>
      <c r="AFP30" s="8">
        <v>0</v>
      </c>
      <c r="AFQ30" s="8">
        <v>0</v>
      </c>
      <c r="AFR30" s="8">
        <v>0</v>
      </c>
      <c r="AFS30" s="8">
        <v>0</v>
      </c>
      <c r="AFT30" s="8">
        <v>0</v>
      </c>
      <c r="AFU30" s="8">
        <v>0</v>
      </c>
      <c r="AFV30" s="8">
        <v>0</v>
      </c>
      <c r="AFW30" s="8">
        <v>0</v>
      </c>
      <c r="AFX30" s="8">
        <v>0</v>
      </c>
      <c r="AFY30" s="8">
        <v>0</v>
      </c>
      <c r="AFZ30" s="8">
        <v>0</v>
      </c>
      <c r="AGA30" s="8">
        <v>0</v>
      </c>
      <c r="AGB30" s="8">
        <v>0</v>
      </c>
      <c r="AGC30" s="8">
        <v>0</v>
      </c>
      <c r="AGD30" s="8">
        <v>0</v>
      </c>
      <c r="AGE30" s="8">
        <v>0</v>
      </c>
      <c r="AGF30" s="8">
        <v>0</v>
      </c>
      <c r="AGG30" s="8">
        <v>0</v>
      </c>
      <c r="AGH30" s="8">
        <v>0</v>
      </c>
      <c r="AGI30" s="8">
        <v>0</v>
      </c>
      <c r="AGJ30" s="8">
        <v>0</v>
      </c>
      <c r="AGK30" s="8">
        <v>0</v>
      </c>
      <c r="AGL30" s="8">
        <v>0</v>
      </c>
      <c r="AGM30" s="8">
        <v>0</v>
      </c>
      <c r="AGN30" s="8">
        <v>0</v>
      </c>
      <c r="AGO30" s="8">
        <v>0</v>
      </c>
      <c r="AGP30" s="8">
        <v>0</v>
      </c>
      <c r="AGQ30" s="8">
        <v>0</v>
      </c>
      <c r="AGR30" s="8">
        <v>0</v>
      </c>
      <c r="AGS30" s="8">
        <v>0</v>
      </c>
      <c r="AGT30" s="8">
        <v>0</v>
      </c>
      <c r="AGU30" s="8">
        <v>0</v>
      </c>
      <c r="AGV30" s="8">
        <v>0</v>
      </c>
      <c r="AGW30" s="8">
        <v>0</v>
      </c>
      <c r="AGX30" s="8">
        <v>0</v>
      </c>
      <c r="AGY30" s="8">
        <v>0</v>
      </c>
      <c r="AGZ30" s="8">
        <v>0</v>
      </c>
      <c r="AHA30" s="8">
        <v>0</v>
      </c>
      <c r="AHB30" s="8">
        <v>0</v>
      </c>
      <c r="AHC30" s="8">
        <v>0</v>
      </c>
      <c r="AHD30" s="8">
        <v>0</v>
      </c>
      <c r="AHE30" s="8">
        <v>0</v>
      </c>
      <c r="AHF30" s="8">
        <v>0</v>
      </c>
      <c r="AHG30" s="8">
        <v>0</v>
      </c>
      <c r="AHH30" s="8">
        <v>0</v>
      </c>
      <c r="AHI30" s="8">
        <v>0</v>
      </c>
      <c r="AHJ30" s="8">
        <v>0</v>
      </c>
      <c r="AHK30" s="8">
        <v>0</v>
      </c>
      <c r="AHL30" s="8">
        <v>0</v>
      </c>
      <c r="AHM30" s="8">
        <v>0</v>
      </c>
      <c r="AHN30" s="8">
        <v>0</v>
      </c>
      <c r="AHO30" s="8">
        <v>0</v>
      </c>
      <c r="AHP30" s="8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 t="e">
        <v>#N/A</v>
      </c>
      <c r="AIJ30" t="e">
        <v>#N/A</v>
      </c>
      <c r="AIK30" t="e">
        <v>#N/A</v>
      </c>
      <c r="AIL30" t="e">
        <v>#N/A</v>
      </c>
      <c r="AIM30" t="e">
        <v>#N/A</v>
      </c>
      <c r="AIN30" t="e">
        <v>#N/A</v>
      </c>
      <c r="AIO30" t="e">
        <v>#N/A</v>
      </c>
      <c r="AIP30" t="e">
        <v>#N/A</v>
      </c>
      <c r="AIQ30" t="e">
        <v>#N/A</v>
      </c>
      <c r="AIR30" t="e">
        <v>#N/A</v>
      </c>
      <c r="AIS30" t="e">
        <v>#N/A</v>
      </c>
      <c r="AIT30" t="e">
        <v>#N/A</v>
      </c>
      <c r="AIU30" t="e">
        <v>#N/A</v>
      </c>
      <c r="AIV30" t="e">
        <v>#N/A</v>
      </c>
      <c r="AIW30" t="e">
        <v>#N/A</v>
      </c>
      <c r="AIX30" t="e">
        <v>#N/A</v>
      </c>
      <c r="AIY30" t="e">
        <v>#N/A</v>
      </c>
      <c r="AIZ30" t="e">
        <v>#N/A</v>
      </c>
      <c r="AJA30" t="e">
        <v>#N/A</v>
      </c>
      <c r="AJB30" t="e">
        <v>#N/A</v>
      </c>
      <c r="AJC30" t="e">
        <v>#N/A</v>
      </c>
      <c r="AJD30" t="e">
        <v>#N/A</v>
      </c>
      <c r="AJE30" t="e">
        <v>#N/A</v>
      </c>
      <c r="AJF30" t="e">
        <v>#N/A</v>
      </c>
      <c r="AJG30" t="e">
        <v>#N/A</v>
      </c>
      <c r="AJH30" t="e">
        <v>#N/A</v>
      </c>
      <c r="AJI30" t="e">
        <v>#N/A</v>
      </c>
      <c r="AJJ30" t="e">
        <v>#N/A</v>
      </c>
      <c r="AJK30" t="e">
        <v>#N/A</v>
      </c>
      <c r="AJL30" t="e">
        <v>#N/A</v>
      </c>
      <c r="AJM30" t="e">
        <v>#N/A</v>
      </c>
      <c r="AJN30" t="e">
        <v>#N/A</v>
      </c>
      <c r="AJO30" t="e">
        <v>#N/A</v>
      </c>
      <c r="AJP30" t="e">
        <v>#N/A</v>
      </c>
      <c r="AJQ30" t="e">
        <v>#N/A</v>
      </c>
      <c r="AJR30" t="e">
        <v>#N/A</v>
      </c>
      <c r="AJS30" t="e">
        <v>#N/A</v>
      </c>
      <c r="AJT30" t="e">
        <v>#N/A</v>
      </c>
      <c r="AJU30" t="e">
        <v>#N/A</v>
      </c>
      <c r="AJV30" t="e">
        <v>#N/A</v>
      </c>
      <c r="AJW30" t="e">
        <v>#N/A</v>
      </c>
      <c r="AJX30" t="e">
        <v>#N/A</v>
      </c>
      <c r="AJY30" t="e">
        <v>#N/A</v>
      </c>
      <c r="AJZ30" t="e">
        <v>#N/A</v>
      </c>
      <c r="AKA30" t="e">
        <v>#N/A</v>
      </c>
      <c r="AKB30" t="e">
        <v>#N/A</v>
      </c>
      <c r="AKC30" t="e">
        <v>#N/A</v>
      </c>
      <c r="AKD30" t="e">
        <v>#N/A</v>
      </c>
      <c r="AKE30" t="e">
        <v>#N/A</v>
      </c>
      <c r="AKF30" t="e">
        <v>#N/A</v>
      </c>
      <c r="AKG30" t="e">
        <v>#N/A</v>
      </c>
      <c r="AKH30" t="e">
        <v>#N/A</v>
      </c>
      <c r="AKI30" t="e">
        <v>#N/A</v>
      </c>
      <c r="AKJ30" t="e">
        <v>#N/A</v>
      </c>
      <c r="AKK30" t="e">
        <v>#N/A</v>
      </c>
      <c r="AKL30" t="e">
        <v>#N/A</v>
      </c>
      <c r="AKM30" t="e">
        <v>#N/A</v>
      </c>
      <c r="AKN30" t="e">
        <v>#N/A</v>
      </c>
      <c r="AKO30" t="e">
        <v>#N/A</v>
      </c>
      <c r="AKP30" t="e">
        <v>#N/A</v>
      </c>
      <c r="AKQ30" t="e">
        <v>#N/A</v>
      </c>
      <c r="AKR30" t="e">
        <v>#N/A</v>
      </c>
      <c r="AKS30" t="e">
        <v>#N/A</v>
      </c>
      <c r="AKT30" t="e">
        <v>#N/A</v>
      </c>
      <c r="AKU30" t="e">
        <v>#N/A</v>
      </c>
      <c r="AKV30" t="e">
        <v>#N/A</v>
      </c>
      <c r="AKW30" t="e">
        <v>#N/A</v>
      </c>
      <c r="AKX30" t="e">
        <v>#N/A</v>
      </c>
      <c r="AKY30" t="e">
        <v>#N/A</v>
      </c>
      <c r="AKZ30" t="e">
        <v>#N/A</v>
      </c>
      <c r="ALA30" t="e">
        <v>#N/A</v>
      </c>
      <c r="ALB30" t="e">
        <v>#N/A</v>
      </c>
      <c r="ALC30" t="e">
        <v>#N/A</v>
      </c>
      <c r="ALD30" t="e">
        <v>#N/A</v>
      </c>
      <c r="ALE30" t="e">
        <v>#N/A</v>
      </c>
      <c r="ALF30" t="e">
        <v>#N/A</v>
      </c>
      <c r="ALG30" t="e">
        <v>#N/A</v>
      </c>
      <c r="ALH30" t="e">
        <v>#N/A</v>
      </c>
      <c r="ALI30" t="e">
        <v>#N/A</v>
      </c>
      <c r="ALJ30" t="e">
        <v>#N/A</v>
      </c>
      <c r="ALK30" t="e">
        <v>#N/A</v>
      </c>
      <c r="ALL30" t="e">
        <v>#N/A</v>
      </c>
      <c r="ALM30" t="e">
        <v>#N/A</v>
      </c>
      <c r="ALN30" t="e">
        <v>#N/A</v>
      </c>
      <c r="ALO30" t="e">
        <v>#N/A</v>
      </c>
      <c r="ALP30" t="e">
        <v>#N/A</v>
      </c>
      <c r="ALQ30" t="e">
        <v>#N/A</v>
      </c>
      <c r="ALR30" t="e">
        <v>#N/A</v>
      </c>
      <c r="ALS30" t="e">
        <v>#N/A</v>
      </c>
      <c r="ALT30" t="e">
        <v>#N/A</v>
      </c>
      <c r="ALU30" t="e">
        <v>#N/A</v>
      </c>
      <c r="ALV30" t="e">
        <v>#N/A</v>
      </c>
      <c r="ALW30" t="e">
        <v>#N/A</v>
      </c>
      <c r="ALX30" t="e">
        <v>#N/A</v>
      </c>
      <c r="ALY30" t="e">
        <v>#N/A</v>
      </c>
      <c r="ALZ30" t="e">
        <v>#N/A</v>
      </c>
      <c r="AMA30" t="e">
        <v>#N/A</v>
      </c>
      <c r="AMB30" t="e">
        <v>#N/A</v>
      </c>
      <c r="AMC30" t="e">
        <v>#N/A</v>
      </c>
      <c r="AMD30" t="e">
        <v>#N/A</v>
      </c>
      <c r="AME30" t="e">
        <v>#N/A</v>
      </c>
      <c r="AMF30" t="e">
        <v>#N/A</v>
      </c>
      <c r="AMG30" t="e">
        <v>#N/A</v>
      </c>
      <c r="AMH30" t="e">
        <v>#N/A</v>
      </c>
    </row>
    <row r="31" spans="1:1022" ht="15.75" customHeight="1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0</v>
      </c>
      <c r="WL31" s="8">
        <v>0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0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0</v>
      </c>
      <c r="XB31" s="8">
        <v>0</v>
      </c>
      <c r="XC31" s="8">
        <v>0</v>
      </c>
      <c r="XD31" s="8">
        <v>0</v>
      </c>
      <c r="XE31" s="8">
        <v>0</v>
      </c>
      <c r="XF31" s="8">
        <v>0</v>
      </c>
      <c r="XG31" s="8">
        <v>0</v>
      </c>
      <c r="XH31" s="8">
        <v>0</v>
      </c>
      <c r="XI31" s="8">
        <v>0</v>
      </c>
      <c r="XJ31" s="8">
        <v>0</v>
      </c>
      <c r="XK31" s="8">
        <v>0</v>
      </c>
      <c r="XL31" s="8">
        <v>0</v>
      </c>
      <c r="XM31" s="8">
        <v>0</v>
      </c>
      <c r="XN31" s="8">
        <v>0</v>
      </c>
      <c r="XO31" s="8">
        <v>0</v>
      </c>
      <c r="XP31" s="8">
        <v>0</v>
      </c>
      <c r="XQ31" s="8">
        <v>0</v>
      </c>
      <c r="XR31" s="8">
        <v>0</v>
      </c>
      <c r="XS31" s="8">
        <v>0</v>
      </c>
      <c r="XT31" s="8">
        <v>0</v>
      </c>
      <c r="XU31" s="8">
        <v>0</v>
      </c>
      <c r="XV31" s="8">
        <v>0</v>
      </c>
      <c r="XW31" s="8">
        <v>0</v>
      </c>
      <c r="XX31" s="8">
        <v>0</v>
      </c>
      <c r="XY31" s="8">
        <v>0</v>
      </c>
      <c r="XZ31" s="8">
        <v>0</v>
      </c>
      <c r="YA31" s="8">
        <v>0</v>
      </c>
      <c r="YB31" s="8">
        <v>0</v>
      </c>
      <c r="YC31" s="8">
        <v>0</v>
      </c>
      <c r="YD31" s="8">
        <v>0</v>
      </c>
      <c r="YE31" s="8">
        <v>0</v>
      </c>
      <c r="YF31" s="8">
        <v>0</v>
      </c>
      <c r="YG31" s="8">
        <v>0</v>
      </c>
      <c r="YH31" s="8">
        <v>0</v>
      </c>
      <c r="YI31" s="8">
        <v>0</v>
      </c>
      <c r="YJ31" s="8">
        <v>0</v>
      </c>
      <c r="YK31" s="8">
        <v>0</v>
      </c>
      <c r="YL31" s="8">
        <v>0</v>
      </c>
      <c r="YM31" s="8">
        <v>0</v>
      </c>
      <c r="YN31" s="8">
        <v>0</v>
      </c>
      <c r="YO31" s="8">
        <v>0</v>
      </c>
      <c r="YP31" s="8">
        <v>0</v>
      </c>
      <c r="YQ31" s="8">
        <v>0</v>
      </c>
      <c r="YR31" s="8">
        <v>0</v>
      </c>
      <c r="YS31" s="8">
        <v>0</v>
      </c>
      <c r="YT31" s="8">
        <v>0</v>
      </c>
      <c r="YU31" s="8">
        <v>0</v>
      </c>
      <c r="YV31" s="8">
        <v>0</v>
      </c>
      <c r="YW31" s="8">
        <v>0</v>
      </c>
      <c r="YX31" s="8">
        <v>0</v>
      </c>
      <c r="YY31" s="8">
        <v>0</v>
      </c>
      <c r="YZ31" s="8">
        <v>0</v>
      </c>
      <c r="ZA31" s="8">
        <v>0</v>
      </c>
      <c r="ZB31" s="8">
        <v>0</v>
      </c>
      <c r="ZC31" s="8">
        <v>0</v>
      </c>
      <c r="ZD31" s="8">
        <v>0</v>
      </c>
      <c r="ZE31" s="8">
        <v>0</v>
      </c>
      <c r="ZF31" s="8">
        <v>0</v>
      </c>
      <c r="ZG31" s="8">
        <v>0</v>
      </c>
      <c r="ZH31" s="8">
        <v>0</v>
      </c>
      <c r="ZI31" s="8">
        <v>0</v>
      </c>
      <c r="ZJ31" s="8">
        <v>0</v>
      </c>
      <c r="ZK31" s="8">
        <v>0</v>
      </c>
      <c r="ZL31" s="8">
        <v>0</v>
      </c>
      <c r="ZM31" s="8">
        <v>0</v>
      </c>
      <c r="ZN31" s="8">
        <v>0</v>
      </c>
      <c r="ZO31" s="8">
        <v>0</v>
      </c>
      <c r="ZP31" s="8">
        <v>0</v>
      </c>
      <c r="ZQ31" s="8">
        <v>0</v>
      </c>
      <c r="ZR31" s="8">
        <v>0</v>
      </c>
      <c r="ZS31" s="8">
        <v>0</v>
      </c>
      <c r="ZT31" s="8">
        <v>0</v>
      </c>
      <c r="ZU31" s="8">
        <v>0</v>
      </c>
      <c r="ZV31" s="8">
        <v>0</v>
      </c>
      <c r="ZW31" s="8">
        <v>0</v>
      </c>
      <c r="ZX31" s="8">
        <v>0</v>
      </c>
      <c r="ZY31" s="8">
        <v>0</v>
      </c>
      <c r="ZZ31" s="8">
        <v>0</v>
      </c>
      <c r="AAA31" s="8">
        <v>0</v>
      </c>
      <c r="AAB31" s="8">
        <v>0</v>
      </c>
      <c r="AAC31" s="8">
        <v>0</v>
      </c>
      <c r="AAD31" s="8">
        <v>0</v>
      </c>
      <c r="AAE31" s="8">
        <v>0</v>
      </c>
      <c r="AAF31" s="8">
        <v>0</v>
      </c>
      <c r="AAG31" s="8">
        <v>0</v>
      </c>
      <c r="AAH31" s="8">
        <v>0</v>
      </c>
      <c r="AAI31" s="8">
        <v>0</v>
      </c>
      <c r="AAJ31" s="8">
        <v>0</v>
      </c>
      <c r="AAK31" s="8">
        <v>0</v>
      </c>
      <c r="AAL31" s="8">
        <v>0</v>
      </c>
      <c r="AAM31" s="8">
        <v>0</v>
      </c>
      <c r="AAN31" s="8">
        <v>0</v>
      </c>
      <c r="AAO31" s="8">
        <v>0</v>
      </c>
      <c r="AAP31" s="8">
        <v>0</v>
      </c>
      <c r="AAQ31" s="8">
        <v>0</v>
      </c>
      <c r="AAR31" s="8">
        <v>0</v>
      </c>
      <c r="AAS31" s="8">
        <v>0</v>
      </c>
      <c r="AAT31" s="8">
        <v>0</v>
      </c>
      <c r="AAU31" s="8">
        <v>0</v>
      </c>
      <c r="AAV31" s="8">
        <v>0</v>
      </c>
      <c r="AAW31" s="8">
        <v>0</v>
      </c>
      <c r="AAX31" s="8">
        <v>0</v>
      </c>
      <c r="AAY31" s="8">
        <v>0</v>
      </c>
      <c r="AAZ31" s="8">
        <v>0</v>
      </c>
      <c r="ABA31" s="8">
        <v>0</v>
      </c>
      <c r="ABB31" s="8">
        <v>0</v>
      </c>
      <c r="ABC31" s="8">
        <v>0</v>
      </c>
      <c r="ABD31" s="8">
        <v>0</v>
      </c>
      <c r="ABE31" s="8">
        <v>0</v>
      </c>
      <c r="ABF31" s="8">
        <v>0</v>
      </c>
      <c r="ABG31" s="8">
        <v>0</v>
      </c>
      <c r="ABH31" s="8">
        <v>0</v>
      </c>
      <c r="ABI31" s="8">
        <v>0</v>
      </c>
      <c r="ABJ31" s="8">
        <v>0</v>
      </c>
      <c r="ABK31" s="8">
        <v>0</v>
      </c>
      <c r="ABL31" s="8">
        <v>0</v>
      </c>
      <c r="ABM31" s="8">
        <v>0</v>
      </c>
      <c r="ABN31" s="8">
        <v>0</v>
      </c>
      <c r="ABO31" s="8">
        <v>0</v>
      </c>
      <c r="ABP31" s="8">
        <v>0</v>
      </c>
      <c r="ABQ31" s="8">
        <v>0</v>
      </c>
      <c r="ABR31" s="8">
        <v>0</v>
      </c>
      <c r="ABS31" s="8">
        <v>0</v>
      </c>
      <c r="ABT31" s="8">
        <v>0</v>
      </c>
      <c r="ABU31" s="8">
        <v>0</v>
      </c>
      <c r="ABV31" s="8">
        <v>0</v>
      </c>
      <c r="ABW31" s="8">
        <v>0</v>
      </c>
      <c r="ABX31" s="8">
        <v>0</v>
      </c>
      <c r="ABY31" s="8">
        <v>0</v>
      </c>
      <c r="ABZ31" s="8">
        <v>0</v>
      </c>
      <c r="ACA31" s="8">
        <v>0</v>
      </c>
      <c r="ACB31" s="8">
        <v>0</v>
      </c>
      <c r="ACC31" s="8">
        <v>0</v>
      </c>
      <c r="ACD31" s="8">
        <v>0</v>
      </c>
      <c r="ACE31" s="8">
        <v>0</v>
      </c>
      <c r="ACF31" s="8">
        <v>0</v>
      </c>
      <c r="ACG31" s="8">
        <v>0</v>
      </c>
      <c r="ACH31" s="8">
        <v>0</v>
      </c>
      <c r="ACI31" s="8">
        <v>0</v>
      </c>
      <c r="ACJ31" s="8">
        <v>0</v>
      </c>
      <c r="ACK31" s="8">
        <v>0</v>
      </c>
      <c r="ACL31" s="8">
        <v>0</v>
      </c>
      <c r="ACM31" s="8">
        <v>0</v>
      </c>
      <c r="ACN31" s="8">
        <v>0</v>
      </c>
      <c r="ACO31" s="8">
        <v>0</v>
      </c>
      <c r="ACP31" s="8">
        <v>0</v>
      </c>
      <c r="ACQ31" s="8">
        <v>0</v>
      </c>
      <c r="ACR31" s="8">
        <v>0</v>
      </c>
      <c r="ACS31" s="8">
        <v>0</v>
      </c>
      <c r="ACT31" s="8">
        <v>0</v>
      </c>
      <c r="ACU31" s="8">
        <v>0</v>
      </c>
      <c r="ACV31" s="8">
        <v>0</v>
      </c>
      <c r="ACW31" s="8">
        <v>0</v>
      </c>
      <c r="ACX31" s="8">
        <v>0</v>
      </c>
      <c r="ACY31" s="8">
        <v>0</v>
      </c>
      <c r="ACZ31" s="8">
        <v>0</v>
      </c>
      <c r="ADA31" s="8">
        <v>0</v>
      </c>
      <c r="ADB31" s="8">
        <v>0</v>
      </c>
      <c r="ADC31" s="8">
        <v>0</v>
      </c>
      <c r="ADD31" s="8">
        <v>0</v>
      </c>
      <c r="ADE31" s="8">
        <v>0</v>
      </c>
      <c r="ADF31" s="8">
        <v>0</v>
      </c>
      <c r="ADG31" s="8">
        <v>0</v>
      </c>
      <c r="ADH31" s="8">
        <v>0</v>
      </c>
      <c r="ADI31" s="8">
        <v>0</v>
      </c>
      <c r="ADJ31" s="8">
        <v>0</v>
      </c>
      <c r="ADK31" s="8">
        <v>0</v>
      </c>
      <c r="ADL31" s="8">
        <v>0</v>
      </c>
      <c r="ADM31" s="8">
        <v>0</v>
      </c>
      <c r="ADN31" s="8">
        <v>0</v>
      </c>
      <c r="ADO31" s="8">
        <v>0</v>
      </c>
      <c r="ADP31" s="8">
        <v>0</v>
      </c>
      <c r="ADQ31" s="8">
        <v>0</v>
      </c>
      <c r="ADR31" s="8">
        <v>0</v>
      </c>
      <c r="ADS31" s="8">
        <v>0</v>
      </c>
      <c r="ADT31" s="8">
        <v>0</v>
      </c>
      <c r="ADU31" s="8">
        <v>0</v>
      </c>
      <c r="ADV31" s="8">
        <v>0</v>
      </c>
      <c r="ADW31" s="8">
        <v>0</v>
      </c>
      <c r="ADX31" s="8">
        <v>0</v>
      </c>
      <c r="ADY31" s="8">
        <v>0</v>
      </c>
      <c r="ADZ31" s="8">
        <v>0</v>
      </c>
      <c r="AEA31" s="8">
        <v>0</v>
      </c>
      <c r="AEB31" s="8">
        <v>0</v>
      </c>
      <c r="AEC31" s="8">
        <v>0</v>
      </c>
      <c r="AED31" s="8">
        <v>0</v>
      </c>
      <c r="AEE31" s="8">
        <v>0</v>
      </c>
      <c r="AEF31" s="8">
        <v>0</v>
      </c>
      <c r="AEG31" s="8">
        <v>0</v>
      </c>
      <c r="AEH31" s="8">
        <v>0</v>
      </c>
      <c r="AEI31" s="8">
        <v>0</v>
      </c>
      <c r="AEJ31" s="8">
        <v>0</v>
      </c>
      <c r="AEK31" s="8">
        <v>0</v>
      </c>
      <c r="AEL31" s="8">
        <v>0</v>
      </c>
      <c r="AEM31" s="8">
        <v>0</v>
      </c>
      <c r="AEN31" s="8">
        <v>0</v>
      </c>
      <c r="AEO31" s="8">
        <v>0</v>
      </c>
      <c r="AEP31" s="8">
        <v>0</v>
      </c>
      <c r="AEQ31" s="8">
        <v>0</v>
      </c>
      <c r="AER31" s="8">
        <v>0</v>
      </c>
      <c r="AES31" s="8">
        <v>0</v>
      </c>
      <c r="AET31" s="8">
        <v>0</v>
      </c>
      <c r="AEU31" s="8">
        <v>0</v>
      </c>
      <c r="AEV31" s="8">
        <v>0</v>
      </c>
      <c r="AEW31" s="8">
        <v>0</v>
      </c>
      <c r="AEX31" s="8">
        <v>0</v>
      </c>
      <c r="AEY31" s="8">
        <v>0</v>
      </c>
      <c r="AEZ31" s="8">
        <v>0</v>
      </c>
      <c r="AFA31" s="8">
        <v>0</v>
      </c>
      <c r="AFB31" s="8">
        <v>0</v>
      </c>
      <c r="AFC31" s="8">
        <v>0</v>
      </c>
      <c r="AFD31" s="8">
        <v>0</v>
      </c>
      <c r="AFE31" s="8">
        <v>0</v>
      </c>
      <c r="AFF31" s="8">
        <v>0</v>
      </c>
      <c r="AFG31" s="8">
        <v>0</v>
      </c>
      <c r="AFH31" s="8">
        <v>0</v>
      </c>
      <c r="AFI31" s="8">
        <v>0</v>
      </c>
      <c r="AFJ31" s="8">
        <v>0</v>
      </c>
      <c r="AFK31" s="8">
        <v>0</v>
      </c>
      <c r="AFL31" s="8">
        <v>0</v>
      </c>
      <c r="AFM31" s="8">
        <v>0</v>
      </c>
      <c r="AFN31" s="8">
        <v>0</v>
      </c>
      <c r="AFO31" s="8">
        <v>0</v>
      </c>
      <c r="AFP31" s="8">
        <v>0</v>
      </c>
      <c r="AFQ31" s="8">
        <v>0</v>
      </c>
      <c r="AFR31" s="8">
        <v>0</v>
      </c>
      <c r="AFS31" s="8">
        <v>0</v>
      </c>
      <c r="AFT31" s="8">
        <v>0</v>
      </c>
      <c r="AFU31" s="8">
        <v>0</v>
      </c>
      <c r="AFV31" s="8">
        <v>0</v>
      </c>
      <c r="AFW31" s="8">
        <v>0</v>
      </c>
      <c r="AFX31" s="8">
        <v>0</v>
      </c>
      <c r="AFY31" s="8">
        <v>0</v>
      </c>
      <c r="AFZ31" s="8">
        <v>0</v>
      </c>
      <c r="AGA31" s="8">
        <v>0</v>
      </c>
      <c r="AGB31" s="8">
        <v>0</v>
      </c>
      <c r="AGC31" s="8">
        <v>0</v>
      </c>
      <c r="AGD31" s="8">
        <v>0</v>
      </c>
      <c r="AGE31" s="8">
        <v>0</v>
      </c>
      <c r="AGF31" s="8">
        <v>0</v>
      </c>
      <c r="AGG31" s="8">
        <v>0</v>
      </c>
      <c r="AGH31" s="8">
        <v>0</v>
      </c>
      <c r="AGI31" s="8">
        <v>0</v>
      </c>
      <c r="AGJ31" s="8">
        <v>0</v>
      </c>
      <c r="AGK31" s="8">
        <v>0</v>
      </c>
      <c r="AGL31" s="8">
        <v>0</v>
      </c>
      <c r="AGM31" s="8">
        <v>0</v>
      </c>
      <c r="AGN31" s="8">
        <v>0</v>
      </c>
      <c r="AGO31" s="8">
        <v>0</v>
      </c>
      <c r="AGP31" s="8">
        <v>0</v>
      </c>
      <c r="AGQ31" s="8">
        <v>0</v>
      </c>
      <c r="AGR31" s="8">
        <v>0</v>
      </c>
      <c r="AGS31" s="8">
        <v>0</v>
      </c>
      <c r="AGT31" s="8">
        <v>0</v>
      </c>
      <c r="AGU31" s="8">
        <v>0</v>
      </c>
      <c r="AGV31" s="8">
        <v>0</v>
      </c>
      <c r="AGW31" s="8">
        <v>0</v>
      </c>
      <c r="AGX31" s="8">
        <v>0</v>
      </c>
      <c r="AGY31" s="8">
        <v>0</v>
      </c>
      <c r="AGZ31" s="8">
        <v>0</v>
      </c>
      <c r="AHA31" s="8">
        <v>0</v>
      </c>
      <c r="AHB31" s="8">
        <v>0</v>
      </c>
      <c r="AHC31" s="8">
        <v>0</v>
      </c>
      <c r="AHD31" s="8">
        <v>0</v>
      </c>
      <c r="AHE31" s="8">
        <v>0</v>
      </c>
      <c r="AHF31" s="8">
        <v>0</v>
      </c>
      <c r="AHG31" s="8">
        <v>0</v>
      </c>
      <c r="AHH31" s="8">
        <v>0</v>
      </c>
      <c r="AHI31" s="8">
        <v>0</v>
      </c>
      <c r="AHJ31" s="8">
        <v>0</v>
      </c>
      <c r="AHK31" s="8">
        <v>0</v>
      </c>
      <c r="AHL31" s="8">
        <v>0</v>
      </c>
      <c r="AHM31" s="8">
        <v>0</v>
      </c>
      <c r="AHN31" s="8">
        <v>0</v>
      </c>
      <c r="AHO31" s="8">
        <v>0</v>
      </c>
      <c r="AHP31" s="8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 t="e">
        <v>#N/A</v>
      </c>
      <c r="AIJ31" t="e">
        <v>#N/A</v>
      </c>
      <c r="AIK31" t="e">
        <v>#N/A</v>
      </c>
      <c r="AIL31" t="e">
        <v>#N/A</v>
      </c>
      <c r="AIM31" t="e">
        <v>#N/A</v>
      </c>
      <c r="AIN31" t="e">
        <v>#N/A</v>
      </c>
      <c r="AIO31" t="e">
        <v>#N/A</v>
      </c>
      <c r="AIP31" t="e">
        <v>#N/A</v>
      </c>
      <c r="AIQ31" t="e">
        <v>#N/A</v>
      </c>
      <c r="AIR31" t="e">
        <v>#N/A</v>
      </c>
      <c r="AIS31" t="e">
        <v>#N/A</v>
      </c>
      <c r="AIT31" t="e">
        <v>#N/A</v>
      </c>
      <c r="AIU31" t="e">
        <v>#N/A</v>
      </c>
      <c r="AIV31" t="e">
        <v>#N/A</v>
      </c>
      <c r="AIW31" t="e">
        <v>#N/A</v>
      </c>
      <c r="AIX31" t="e">
        <v>#N/A</v>
      </c>
      <c r="AIY31" t="e">
        <v>#N/A</v>
      </c>
      <c r="AIZ31" t="e">
        <v>#N/A</v>
      </c>
      <c r="AJA31" t="e">
        <v>#N/A</v>
      </c>
      <c r="AJB31" t="e">
        <v>#N/A</v>
      </c>
      <c r="AJC31" t="e">
        <v>#N/A</v>
      </c>
      <c r="AJD31" t="e">
        <v>#N/A</v>
      </c>
      <c r="AJE31" t="e">
        <v>#N/A</v>
      </c>
      <c r="AJF31" t="e">
        <v>#N/A</v>
      </c>
      <c r="AJG31" t="e">
        <v>#N/A</v>
      </c>
      <c r="AJH31" t="e">
        <v>#N/A</v>
      </c>
      <c r="AJI31" t="e">
        <v>#N/A</v>
      </c>
      <c r="AJJ31" t="e">
        <v>#N/A</v>
      </c>
      <c r="AJK31" t="e">
        <v>#N/A</v>
      </c>
      <c r="AJL31" t="e">
        <v>#N/A</v>
      </c>
      <c r="AJM31" t="e">
        <v>#N/A</v>
      </c>
      <c r="AJN31" t="e">
        <v>#N/A</v>
      </c>
      <c r="AJO31" t="e">
        <v>#N/A</v>
      </c>
      <c r="AJP31" t="e">
        <v>#N/A</v>
      </c>
      <c r="AJQ31" t="e">
        <v>#N/A</v>
      </c>
      <c r="AJR31" t="e">
        <v>#N/A</v>
      </c>
      <c r="AJS31" t="e">
        <v>#N/A</v>
      </c>
      <c r="AJT31" t="e">
        <v>#N/A</v>
      </c>
      <c r="AJU31" t="e">
        <v>#N/A</v>
      </c>
      <c r="AJV31" t="e">
        <v>#N/A</v>
      </c>
      <c r="AJW31" t="e">
        <v>#N/A</v>
      </c>
      <c r="AJX31" t="e">
        <v>#N/A</v>
      </c>
      <c r="AJY31" t="e">
        <v>#N/A</v>
      </c>
      <c r="AJZ31" t="e">
        <v>#N/A</v>
      </c>
      <c r="AKA31" t="e">
        <v>#N/A</v>
      </c>
      <c r="AKB31" t="e">
        <v>#N/A</v>
      </c>
      <c r="AKC31" t="e">
        <v>#N/A</v>
      </c>
      <c r="AKD31" t="e">
        <v>#N/A</v>
      </c>
      <c r="AKE31" t="e">
        <v>#N/A</v>
      </c>
      <c r="AKF31" t="e">
        <v>#N/A</v>
      </c>
      <c r="AKG31" t="e">
        <v>#N/A</v>
      </c>
      <c r="AKH31" t="e">
        <v>#N/A</v>
      </c>
      <c r="AKI31" t="e">
        <v>#N/A</v>
      </c>
      <c r="AKJ31" t="e">
        <v>#N/A</v>
      </c>
      <c r="AKK31" t="e">
        <v>#N/A</v>
      </c>
      <c r="AKL31" t="e">
        <v>#N/A</v>
      </c>
      <c r="AKM31" t="e">
        <v>#N/A</v>
      </c>
      <c r="AKN31" t="e">
        <v>#N/A</v>
      </c>
      <c r="AKO31" t="e">
        <v>#N/A</v>
      </c>
      <c r="AKP31" t="e">
        <v>#N/A</v>
      </c>
      <c r="AKQ31" t="e">
        <v>#N/A</v>
      </c>
      <c r="AKR31" t="e">
        <v>#N/A</v>
      </c>
      <c r="AKS31" t="e">
        <v>#N/A</v>
      </c>
      <c r="AKT31" t="e">
        <v>#N/A</v>
      </c>
      <c r="AKU31" t="e">
        <v>#N/A</v>
      </c>
      <c r="AKV31" t="e">
        <v>#N/A</v>
      </c>
      <c r="AKW31" t="e">
        <v>#N/A</v>
      </c>
      <c r="AKX31" t="e">
        <v>#N/A</v>
      </c>
      <c r="AKY31" t="e">
        <v>#N/A</v>
      </c>
      <c r="AKZ31" t="e">
        <v>#N/A</v>
      </c>
      <c r="ALA31" t="e">
        <v>#N/A</v>
      </c>
      <c r="ALB31" t="e">
        <v>#N/A</v>
      </c>
      <c r="ALC31" t="e">
        <v>#N/A</v>
      </c>
      <c r="ALD31" t="e">
        <v>#N/A</v>
      </c>
      <c r="ALE31" t="e">
        <v>#N/A</v>
      </c>
      <c r="ALF31" t="e">
        <v>#N/A</v>
      </c>
      <c r="ALG31" t="e">
        <v>#N/A</v>
      </c>
      <c r="ALH31" t="e">
        <v>#N/A</v>
      </c>
      <c r="ALI31" t="e">
        <v>#N/A</v>
      </c>
      <c r="ALJ31" t="e">
        <v>#N/A</v>
      </c>
      <c r="ALK31" t="e">
        <v>#N/A</v>
      </c>
      <c r="ALL31" t="e">
        <v>#N/A</v>
      </c>
      <c r="ALM31" t="e">
        <v>#N/A</v>
      </c>
      <c r="ALN31" t="e">
        <v>#N/A</v>
      </c>
      <c r="ALO31" t="e">
        <v>#N/A</v>
      </c>
      <c r="ALP31" t="e">
        <v>#N/A</v>
      </c>
      <c r="ALQ31" t="e">
        <v>#N/A</v>
      </c>
      <c r="ALR31" t="e">
        <v>#N/A</v>
      </c>
      <c r="ALS31" t="e">
        <v>#N/A</v>
      </c>
      <c r="ALT31" t="e">
        <v>#N/A</v>
      </c>
      <c r="ALU31" t="e">
        <v>#N/A</v>
      </c>
      <c r="ALV31" t="e">
        <v>#N/A</v>
      </c>
      <c r="ALW31" t="e">
        <v>#N/A</v>
      </c>
      <c r="ALX31" t="e">
        <v>#N/A</v>
      </c>
      <c r="ALY31" t="e">
        <v>#N/A</v>
      </c>
      <c r="ALZ31" t="e">
        <v>#N/A</v>
      </c>
      <c r="AMA31" t="e">
        <v>#N/A</v>
      </c>
      <c r="AMB31" t="e">
        <v>#N/A</v>
      </c>
      <c r="AMC31" t="e">
        <v>#N/A</v>
      </c>
      <c r="AMD31" t="e">
        <v>#N/A</v>
      </c>
      <c r="AME31" t="e">
        <v>#N/A</v>
      </c>
      <c r="AMF31" t="e">
        <v>#N/A</v>
      </c>
      <c r="AMG31" t="e">
        <v>#N/A</v>
      </c>
      <c r="AMH31" t="e">
        <v>#N/A</v>
      </c>
    </row>
    <row r="32" spans="1:1022" ht="15.75" customHeight="1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0</v>
      </c>
      <c r="JU32" s="8">
        <v>0</v>
      </c>
      <c r="JV32" s="8">
        <v>0</v>
      </c>
      <c r="JW32" s="8">
        <v>0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0</v>
      </c>
      <c r="KH32" s="8">
        <v>0</v>
      </c>
      <c r="KI32" s="8">
        <v>0</v>
      </c>
      <c r="KJ32" s="8">
        <v>0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0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0</v>
      </c>
      <c r="MA32" s="8">
        <v>0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0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0</v>
      </c>
      <c r="SQ32" s="8">
        <v>0</v>
      </c>
      <c r="SR32" s="8">
        <v>0</v>
      </c>
      <c r="SS32" s="8">
        <v>0</v>
      </c>
      <c r="ST32" s="8">
        <v>0</v>
      </c>
      <c r="SU32" s="8">
        <v>0</v>
      </c>
      <c r="SV32" s="8">
        <v>0</v>
      </c>
      <c r="SW32" s="8">
        <v>0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0</v>
      </c>
      <c r="UK32" s="8">
        <v>0</v>
      </c>
      <c r="UL32" s="8">
        <v>0</v>
      </c>
      <c r="UM32" s="8">
        <v>0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8">
        <v>0</v>
      </c>
      <c r="UT32" s="8">
        <v>0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0</v>
      </c>
      <c r="VO32" s="8">
        <v>0</v>
      </c>
      <c r="VP32" s="8">
        <v>0</v>
      </c>
      <c r="VQ32" s="8">
        <v>0</v>
      </c>
      <c r="VR32" s="8">
        <v>0</v>
      </c>
      <c r="VS32" s="8">
        <v>0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0</v>
      </c>
      <c r="WL32" s="8">
        <v>0</v>
      </c>
      <c r="WM32" s="8">
        <v>0</v>
      </c>
      <c r="WN32" s="8">
        <v>0</v>
      </c>
      <c r="WO32" s="8">
        <v>0</v>
      </c>
      <c r="WP32" s="8">
        <v>0</v>
      </c>
      <c r="WQ32" s="8">
        <v>0</v>
      </c>
      <c r="WR32" s="8">
        <v>0</v>
      </c>
      <c r="WS32" s="8">
        <v>0</v>
      </c>
      <c r="WT32" s="8">
        <v>0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0</v>
      </c>
      <c r="XA32" s="8">
        <v>0</v>
      </c>
      <c r="XB32" s="8">
        <v>0</v>
      </c>
      <c r="XC32" s="8">
        <v>0</v>
      </c>
      <c r="XD32" s="8">
        <v>0</v>
      </c>
      <c r="XE32" s="8">
        <v>0</v>
      </c>
      <c r="XF32" s="8">
        <v>0</v>
      </c>
      <c r="XG32" s="8">
        <v>0</v>
      </c>
      <c r="XH32" s="8">
        <v>0</v>
      </c>
      <c r="XI32" s="8">
        <v>0</v>
      </c>
      <c r="XJ32" s="8">
        <v>0</v>
      </c>
      <c r="XK32" s="8">
        <v>0</v>
      </c>
      <c r="XL32" s="8">
        <v>0</v>
      </c>
      <c r="XM32" s="8">
        <v>0</v>
      </c>
      <c r="XN32" s="8">
        <v>0</v>
      </c>
      <c r="XO32" s="8">
        <v>0</v>
      </c>
      <c r="XP32" s="8">
        <v>0</v>
      </c>
      <c r="XQ32" s="8">
        <v>0</v>
      </c>
      <c r="XR32" s="8">
        <v>0</v>
      </c>
      <c r="XS32" s="8">
        <v>0</v>
      </c>
      <c r="XT32" s="8">
        <v>0</v>
      </c>
      <c r="XU32" s="8">
        <v>0</v>
      </c>
      <c r="XV32" s="8">
        <v>0</v>
      </c>
      <c r="XW32" s="8">
        <v>0</v>
      </c>
      <c r="XX32" s="8">
        <v>0</v>
      </c>
      <c r="XY32" s="8">
        <v>0</v>
      </c>
      <c r="XZ32" s="8">
        <v>0</v>
      </c>
      <c r="YA32" s="8">
        <v>0</v>
      </c>
      <c r="YB32" s="8">
        <v>0</v>
      </c>
      <c r="YC32" s="8">
        <v>0</v>
      </c>
      <c r="YD32" s="8">
        <v>0</v>
      </c>
      <c r="YE32" s="8">
        <v>0</v>
      </c>
      <c r="YF32" s="8">
        <v>0</v>
      </c>
      <c r="YG32" s="8">
        <v>0</v>
      </c>
      <c r="YH32" s="8">
        <v>0</v>
      </c>
      <c r="YI32" s="8">
        <v>0</v>
      </c>
      <c r="YJ32" s="8">
        <v>0</v>
      </c>
      <c r="YK32" s="8">
        <v>0</v>
      </c>
      <c r="YL32" s="8">
        <v>0</v>
      </c>
      <c r="YM32" s="8">
        <v>0</v>
      </c>
      <c r="YN32" s="8">
        <v>0</v>
      </c>
      <c r="YO32" s="8">
        <v>0</v>
      </c>
      <c r="YP32" s="8">
        <v>0</v>
      </c>
      <c r="YQ32" s="8">
        <v>0</v>
      </c>
      <c r="YR32" s="8">
        <v>0</v>
      </c>
      <c r="YS32" s="8">
        <v>0</v>
      </c>
      <c r="YT32" s="8">
        <v>0</v>
      </c>
      <c r="YU32" s="8">
        <v>0</v>
      </c>
      <c r="YV32" s="8">
        <v>0</v>
      </c>
      <c r="YW32" s="8">
        <v>0</v>
      </c>
      <c r="YX32" s="8">
        <v>0</v>
      </c>
      <c r="YY32" s="8">
        <v>0</v>
      </c>
      <c r="YZ32" s="8">
        <v>0</v>
      </c>
      <c r="ZA32" s="8">
        <v>0</v>
      </c>
      <c r="ZB32" s="8">
        <v>0</v>
      </c>
      <c r="ZC32" s="8">
        <v>0</v>
      </c>
      <c r="ZD32" s="8">
        <v>0</v>
      </c>
      <c r="ZE32" s="8">
        <v>0</v>
      </c>
      <c r="ZF32" s="8">
        <v>0</v>
      </c>
      <c r="ZG32" s="8">
        <v>0</v>
      </c>
      <c r="ZH32" s="8">
        <v>0</v>
      </c>
      <c r="ZI32" s="8">
        <v>0</v>
      </c>
      <c r="ZJ32" s="8">
        <v>0</v>
      </c>
      <c r="ZK32" s="8">
        <v>0</v>
      </c>
      <c r="ZL32" s="8">
        <v>0</v>
      </c>
      <c r="ZM32" s="8">
        <v>0</v>
      </c>
      <c r="ZN32" s="8">
        <v>0</v>
      </c>
      <c r="ZO32" s="8">
        <v>0</v>
      </c>
      <c r="ZP32" s="8">
        <v>0</v>
      </c>
      <c r="ZQ32" s="8">
        <v>0</v>
      </c>
      <c r="ZR32" s="8">
        <v>0</v>
      </c>
      <c r="ZS32" s="8">
        <v>0</v>
      </c>
      <c r="ZT32" s="8">
        <v>0</v>
      </c>
      <c r="ZU32" s="8">
        <v>0</v>
      </c>
      <c r="ZV32" s="8">
        <v>0</v>
      </c>
      <c r="ZW32" s="8">
        <v>0</v>
      </c>
      <c r="ZX32" s="8">
        <v>0</v>
      </c>
      <c r="ZY32" s="8">
        <v>0</v>
      </c>
      <c r="ZZ32" s="8">
        <v>0</v>
      </c>
      <c r="AAA32" s="8">
        <v>0</v>
      </c>
      <c r="AAB32" s="8">
        <v>0</v>
      </c>
      <c r="AAC32" s="8">
        <v>0</v>
      </c>
      <c r="AAD32" s="8">
        <v>0</v>
      </c>
      <c r="AAE32" s="8">
        <v>0</v>
      </c>
      <c r="AAF32" s="8">
        <v>0</v>
      </c>
      <c r="AAG32" s="8">
        <v>0</v>
      </c>
      <c r="AAH32" s="8">
        <v>0</v>
      </c>
      <c r="AAI32" s="8">
        <v>0</v>
      </c>
      <c r="AAJ32" s="8">
        <v>0</v>
      </c>
      <c r="AAK32" s="8">
        <v>0</v>
      </c>
      <c r="AAL32" s="8">
        <v>0</v>
      </c>
      <c r="AAM32" s="8">
        <v>0</v>
      </c>
      <c r="AAN32" s="8">
        <v>0</v>
      </c>
      <c r="AAO32" s="8">
        <v>0</v>
      </c>
      <c r="AAP32" s="8">
        <v>0</v>
      </c>
      <c r="AAQ32" s="8">
        <v>0</v>
      </c>
      <c r="AAR32" s="8">
        <v>0</v>
      </c>
      <c r="AAS32" s="8">
        <v>0</v>
      </c>
      <c r="AAT32" s="8">
        <v>0</v>
      </c>
      <c r="AAU32" s="8">
        <v>0</v>
      </c>
      <c r="AAV32" s="8">
        <v>0</v>
      </c>
      <c r="AAW32" s="8">
        <v>0</v>
      </c>
      <c r="AAX32" s="8">
        <v>0</v>
      </c>
      <c r="AAY32" s="8">
        <v>0</v>
      </c>
      <c r="AAZ32" s="8">
        <v>0</v>
      </c>
      <c r="ABA32" s="8">
        <v>0</v>
      </c>
      <c r="ABB32" s="8">
        <v>0</v>
      </c>
      <c r="ABC32" s="8">
        <v>0</v>
      </c>
      <c r="ABD32" s="8">
        <v>0</v>
      </c>
      <c r="ABE32" s="8">
        <v>0</v>
      </c>
      <c r="ABF32" s="8">
        <v>0</v>
      </c>
      <c r="ABG32" s="8">
        <v>0</v>
      </c>
      <c r="ABH32" s="8">
        <v>0</v>
      </c>
      <c r="ABI32" s="8">
        <v>0</v>
      </c>
      <c r="ABJ32" s="8">
        <v>0</v>
      </c>
      <c r="ABK32" s="8">
        <v>0</v>
      </c>
      <c r="ABL32" s="8">
        <v>0</v>
      </c>
      <c r="ABM32" s="8">
        <v>0</v>
      </c>
      <c r="ABN32" s="8">
        <v>0</v>
      </c>
      <c r="ABO32" s="8">
        <v>0</v>
      </c>
      <c r="ABP32" s="8">
        <v>0</v>
      </c>
      <c r="ABQ32" s="8">
        <v>0</v>
      </c>
      <c r="ABR32" s="8">
        <v>0</v>
      </c>
      <c r="ABS32" s="8">
        <v>0</v>
      </c>
      <c r="ABT32" s="8">
        <v>0</v>
      </c>
      <c r="ABU32" s="8">
        <v>0</v>
      </c>
      <c r="ABV32" s="8">
        <v>0</v>
      </c>
      <c r="ABW32" s="8">
        <v>0</v>
      </c>
      <c r="ABX32" s="8">
        <v>0</v>
      </c>
      <c r="ABY32" s="8">
        <v>0</v>
      </c>
      <c r="ABZ32" s="8">
        <v>0</v>
      </c>
      <c r="ACA32" s="8">
        <v>0</v>
      </c>
      <c r="ACB32" s="8">
        <v>0</v>
      </c>
      <c r="ACC32" s="8">
        <v>0</v>
      </c>
      <c r="ACD32" s="8">
        <v>0</v>
      </c>
      <c r="ACE32" s="8">
        <v>0</v>
      </c>
      <c r="ACF32" s="8">
        <v>0</v>
      </c>
      <c r="ACG32" s="8">
        <v>0</v>
      </c>
      <c r="ACH32" s="8">
        <v>0</v>
      </c>
      <c r="ACI32" s="8">
        <v>0</v>
      </c>
      <c r="ACJ32" s="8">
        <v>0</v>
      </c>
      <c r="ACK32" s="8">
        <v>0</v>
      </c>
      <c r="ACL32" s="8">
        <v>0</v>
      </c>
      <c r="ACM32" s="8">
        <v>0</v>
      </c>
      <c r="ACN32" s="8">
        <v>0</v>
      </c>
      <c r="ACO32" s="8">
        <v>0</v>
      </c>
      <c r="ACP32" s="8">
        <v>0</v>
      </c>
      <c r="ACQ32" s="8">
        <v>0</v>
      </c>
      <c r="ACR32" s="8">
        <v>0</v>
      </c>
      <c r="ACS32" s="8">
        <v>0</v>
      </c>
      <c r="ACT32" s="8">
        <v>0</v>
      </c>
      <c r="ACU32" s="8">
        <v>0</v>
      </c>
      <c r="ACV32" s="8">
        <v>0</v>
      </c>
      <c r="ACW32" s="8">
        <v>0</v>
      </c>
      <c r="ACX32" s="8">
        <v>0</v>
      </c>
      <c r="ACY32" s="8">
        <v>0</v>
      </c>
      <c r="ACZ32" s="8">
        <v>0</v>
      </c>
      <c r="ADA32" s="8">
        <v>0</v>
      </c>
      <c r="ADB32" s="8">
        <v>0</v>
      </c>
      <c r="ADC32" s="8">
        <v>0</v>
      </c>
      <c r="ADD32" s="8">
        <v>0</v>
      </c>
      <c r="ADE32" s="8">
        <v>0</v>
      </c>
      <c r="ADF32" s="8">
        <v>0</v>
      </c>
      <c r="ADG32" s="8">
        <v>0</v>
      </c>
      <c r="ADH32" s="8">
        <v>0</v>
      </c>
      <c r="ADI32" s="8">
        <v>0</v>
      </c>
      <c r="ADJ32" s="8">
        <v>0</v>
      </c>
      <c r="ADK32" s="8">
        <v>0</v>
      </c>
      <c r="ADL32" s="8">
        <v>0</v>
      </c>
      <c r="ADM32" s="8">
        <v>0</v>
      </c>
      <c r="ADN32" s="8">
        <v>0</v>
      </c>
      <c r="ADO32" s="8">
        <v>0</v>
      </c>
      <c r="ADP32" s="8">
        <v>0</v>
      </c>
      <c r="ADQ32" s="8">
        <v>0</v>
      </c>
      <c r="ADR32" s="8">
        <v>0</v>
      </c>
      <c r="ADS32" s="8">
        <v>0</v>
      </c>
      <c r="ADT32" s="8">
        <v>0</v>
      </c>
      <c r="ADU32" s="8">
        <v>0</v>
      </c>
      <c r="ADV32" s="8">
        <v>0</v>
      </c>
      <c r="ADW32" s="8">
        <v>0</v>
      </c>
      <c r="ADX32" s="8">
        <v>0</v>
      </c>
      <c r="ADY32" s="8">
        <v>0</v>
      </c>
      <c r="ADZ32" s="8">
        <v>0</v>
      </c>
      <c r="AEA32" s="8">
        <v>0</v>
      </c>
      <c r="AEB32" s="8">
        <v>0</v>
      </c>
      <c r="AEC32" s="8">
        <v>0</v>
      </c>
      <c r="AED32" s="8">
        <v>0</v>
      </c>
      <c r="AEE32" s="8">
        <v>0</v>
      </c>
      <c r="AEF32" s="8">
        <v>0</v>
      </c>
      <c r="AEG32" s="8">
        <v>0</v>
      </c>
      <c r="AEH32" s="8">
        <v>0</v>
      </c>
      <c r="AEI32" s="8">
        <v>0</v>
      </c>
      <c r="AEJ32" s="8">
        <v>0</v>
      </c>
      <c r="AEK32" s="8">
        <v>0</v>
      </c>
      <c r="AEL32" s="8">
        <v>0</v>
      </c>
      <c r="AEM32" s="8">
        <v>0</v>
      </c>
      <c r="AEN32" s="8">
        <v>0</v>
      </c>
      <c r="AEO32" s="8">
        <v>0</v>
      </c>
      <c r="AEP32" s="8">
        <v>0</v>
      </c>
      <c r="AEQ32" s="8">
        <v>0</v>
      </c>
      <c r="AER32" s="8">
        <v>0</v>
      </c>
      <c r="AES32" s="8">
        <v>0</v>
      </c>
      <c r="AET32" s="8">
        <v>0</v>
      </c>
      <c r="AEU32" s="8">
        <v>0</v>
      </c>
      <c r="AEV32" s="8">
        <v>0</v>
      </c>
      <c r="AEW32" s="8">
        <v>0</v>
      </c>
      <c r="AEX32" s="8">
        <v>0</v>
      </c>
      <c r="AEY32" s="8">
        <v>0</v>
      </c>
      <c r="AEZ32" s="8">
        <v>0</v>
      </c>
      <c r="AFA32" s="8">
        <v>0</v>
      </c>
      <c r="AFB32" s="8">
        <v>0</v>
      </c>
      <c r="AFC32" s="8">
        <v>0</v>
      </c>
      <c r="AFD32" s="8">
        <v>0</v>
      </c>
      <c r="AFE32" s="8">
        <v>0</v>
      </c>
      <c r="AFF32" s="8">
        <v>0</v>
      </c>
      <c r="AFG32" s="8">
        <v>0</v>
      </c>
      <c r="AFH32" s="8">
        <v>0</v>
      </c>
      <c r="AFI32" s="8">
        <v>0</v>
      </c>
      <c r="AFJ32" s="8">
        <v>0</v>
      </c>
      <c r="AFK32" s="8">
        <v>0</v>
      </c>
      <c r="AFL32" s="8">
        <v>0</v>
      </c>
      <c r="AFM32" s="8">
        <v>0</v>
      </c>
      <c r="AFN32" s="8">
        <v>0</v>
      </c>
      <c r="AFO32" s="8">
        <v>0</v>
      </c>
      <c r="AFP32" s="8">
        <v>0</v>
      </c>
      <c r="AFQ32" s="8">
        <v>0</v>
      </c>
      <c r="AFR32" s="8">
        <v>0</v>
      </c>
      <c r="AFS32" s="8">
        <v>0</v>
      </c>
      <c r="AFT32" s="8">
        <v>0</v>
      </c>
      <c r="AFU32" s="8">
        <v>0</v>
      </c>
      <c r="AFV32" s="8">
        <v>0</v>
      </c>
      <c r="AFW32" s="8">
        <v>0</v>
      </c>
      <c r="AFX32" s="8">
        <v>0</v>
      </c>
      <c r="AFY32" s="8">
        <v>0</v>
      </c>
      <c r="AFZ32" s="8">
        <v>0</v>
      </c>
      <c r="AGA32" s="8">
        <v>0</v>
      </c>
      <c r="AGB32" s="8">
        <v>0</v>
      </c>
      <c r="AGC32" s="8">
        <v>0</v>
      </c>
      <c r="AGD32" s="8">
        <v>0</v>
      </c>
      <c r="AGE32" s="8">
        <v>0</v>
      </c>
      <c r="AGF32" s="8">
        <v>0</v>
      </c>
      <c r="AGG32" s="8">
        <v>0</v>
      </c>
      <c r="AGH32" s="8">
        <v>0</v>
      </c>
      <c r="AGI32" s="8">
        <v>0</v>
      </c>
      <c r="AGJ32" s="8">
        <v>0</v>
      </c>
      <c r="AGK32" s="8">
        <v>0</v>
      </c>
      <c r="AGL32" s="8">
        <v>0</v>
      </c>
      <c r="AGM32" s="8">
        <v>0</v>
      </c>
      <c r="AGN32" s="8">
        <v>0</v>
      </c>
      <c r="AGO32" s="8">
        <v>0</v>
      </c>
      <c r="AGP32" s="8">
        <v>0</v>
      </c>
      <c r="AGQ32" s="8">
        <v>0</v>
      </c>
      <c r="AGR32" s="8">
        <v>0</v>
      </c>
      <c r="AGS32" s="8">
        <v>0</v>
      </c>
      <c r="AGT32" s="8">
        <v>0</v>
      </c>
      <c r="AGU32" s="8">
        <v>0</v>
      </c>
      <c r="AGV32" s="8">
        <v>0</v>
      </c>
      <c r="AGW32" s="8">
        <v>0</v>
      </c>
      <c r="AGX32" s="8">
        <v>0</v>
      </c>
      <c r="AGY32" s="8">
        <v>0</v>
      </c>
      <c r="AGZ32" s="8">
        <v>0</v>
      </c>
      <c r="AHA32" s="8">
        <v>0</v>
      </c>
      <c r="AHB32" s="8">
        <v>0</v>
      </c>
      <c r="AHC32" s="8">
        <v>0</v>
      </c>
      <c r="AHD32" s="8">
        <v>0</v>
      </c>
      <c r="AHE32" s="8">
        <v>0</v>
      </c>
      <c r="AHF32" s="8">
        <v>0</v>
      </c>
      <c r="AHG32" s="8">
        <v>0</v>
      </c>
      <c r="AHH32" s="8">
        <v>0</v>
      </c>
      <c r="AHI32" s="8">
        <v>0</v>
      </c>
      <c r="AHJ32" s="8">
        <v>0</v>
      </c>
      <c r="AHK32" s="8">
        <v>0</v>
      </c>
      <c r="AHL32" s="8">
        <v>0</v>
      </c>
      <c r="AHM32" s="8">
        <v>0</v>
      </c>
      <c r="AHN32" s="8">
        <v>0</v>
      </c>
      <c r="AHO32" s="8">
        <v>0</v>
      </c>
      <c r="AHP32" s="8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 t="e">
        <v>#N/A</v>
      </c>
      <c r="AIJ32" t="e">
        <v>#N/A</v>
      </c>
      <c r="AIK32" t="e">
        <v>#N/A</v>
      </c>
      <c r="AIL32" t="e">
        <v>#N/A</v>
      </c>
      <c r="AIM32" t="e">
        <v>#N/A</v>
      </c>
      <c r="AIN32" t="e">
        <v>#N/A</v>
      </c>
      <c r="AIO32" t="e">
        <v>#N/A</v>
      </c>
      <c r="AIP32" t="e">
        <v>#N/A</v>
      </c>
      <c r="AIQ32" t="e">
        <v>#N/A</v>
      </c>
      <c r="AIR32" t="e">
        <v>#N/A</v>
      </c>
      <c r="AIS32" t="e">
        <v>#N/A</v>
      </c>
      <c r="AIT32" t="e">
        <v>#N/A</v>
      </c>
      <c r="AIU32" t="e">
        <v>#N/A</v>
      </c>
      <c r="AIV32" t="e">
        <v>#N/A</v>
      </c>
      <c r="AIW32" t="e">
        <v>#N/A</v>
      </c>
      <c r="AIX32" t="e">
        <v>#N/A</v>
      </c>
      <c r="AIY32" t="e">
        <v>#N/A</v>
      </c>
      <c r="AIZ32" t="e">
        <v>#N/A</v>
      </c>
      <c r="AJA32" t="e">
        <v>#N/A</v>
      </c>
      <c r="AJB32" t="e">
        <v>#N/A</v>
      </c>
      <c r="AJC32" t="e">
        <v>#N/A</v>
      </c>
      <c r="AJD32" t="e">
        <v>#N/A</v>
      </c>
      <c r="AJE32" t="e">
        <v>#N/A</v>
      </c>
      <c r="AJF32" t="e">
        <v>#N/A</v>
      </c>
      <c r="AJG32" t="e">
        <v>#N/A</v>
      </c>
      <c r="AJH32" t="e">
        <v>#N/A</v>
      </c>
      <c r="AJI32" t="e">
        <v>#N/A</v>
      </c>
      <c r="AJJ32" t="e">
        <v>#N/A</v>
      </c>
      <c r="AJK32" t="e">
        <v>#N/A</v>
      </c>
      <c r="AJL32" t="e">
        <v>#N/A</v>
      </c>
      <c r="AJM32" t="e">
        <v>#N/A</v>
      </c>
      <c r="AJN32" t="e">
        <v>#N/A</v>
      </c>
      <c r="AJO32" t="e">
        <v>#N/A</v>
      </c>
      <c r="AJP32" t="e">
        <v>#N/A</v>
      </c>
      <c r="AJQ32" t="e">
        <v>#N/A</v>
      </c>
      <c r="AJR32" t="e">
        <v>#N/A</v>
      </c>
      <c r="AJS32" t="e">
        <v>#N/A</v>
      </c>
      <c r="AJT32" t="e">
        <v>#N/A</v>
      </c>
      <c r="AJU32" t="e">
        <v>#N/A</v>
      </c>
      <c r="AJV32" t="e">
        <v>#N/A</v>
      </c>
      <c r="AJW32" t="e">
        <v>#N/A</v>
      </c>
      <c r="AJX32" t="e">
        <v>#N/A</v>
      </c>
      <c r="AJY32" t="e">
        <v>#N/A</v>
      </c>
      <c r="AJZ32" t="e">
        <v>#N/A</v>
      </c>
      <c r="AKA32" t="e">
        <v>#N/A</v>
      </c>
      <c r="AKB32" t="e">
        <v>#N/A</v>
      </c>
      <c r="AKC32" t="e">
        <v>#N/A</v>
      </c>
      <c r="AKD32" t="e">
        <v>#N/A</v>
      </c>
      <c r="AKE32" t="e">
        <v>#N/A</v>
      </c>
      <c r="AKF32" t="e">
        <v>#N/A</v>
      </c>
      <c r="AKG32" t="e">
        <v>#N/A</v>
      </c>
      <c r="AKH32" t="e">
        <v>#N/A</v>
      </c>
      <c r="AKI32" t="e">
        <v>#N/A</v>
      </c>
      <c r="AKJ32" t="e">
        <v>#N/A</v>
      </c>
      <c r="AKK32" t="e">
        <v>#N/A</v>
      </c>
      <c r="AKL32" t="e">
        <v>#N/A</v>
      </c>
      <c r="AKM32" t="e">
        <v>#N/A</v>
      </c>
      <c r="AKN32" t="e">
        <v>#N/A</v>
      </c>
      <c r="AKO32" t="e">
        <v>#N/A</v>
      </c>
      <c r="AKP32" t="e">
        <v>#N/A</v>
      </c>
      <c r="AKQ32" t="e">
        <v>#N/A</v>
      </c>
      <c r="AKR32" t="e">
        <v>#N/A</v>
      </c>
      <c r="AKS32" t="e">
        <v>#N/A</v>
      </c>
      <c r="AKT32" t="e">
        <v>#N/A</v>
      </c>
      <c r="AKU32" t="e">
        <v>#N/A</v>
      </c>
      <c r="AKV32" t="e">
        <v>#N/A</v>
      </c>
      <c r="AKW32" t="e">
        <v>#N/A</v>
      </c>
      <c r="AKX32" t="e">
        <v>#N/A</v>
      </c>
      <c r="AKY32" t="e">
        <v>#N/A</v>
      </c>
      <c r="AKZ32" t="e">
        <v>#N/A</v>
      </c>
      <c r="ALA32" t="e">
        <v>#N/A</v>
      </c>
      <c r="ALB32" t="e">
        <v>#N/A</v>
      </c>
      <c r="ALC32" t="e">
        <v>#N/A</v>
      </c>
      <c r="ALD32" t="e">
        <v>#N/A</v>
      </c>
      <c r="ALE32" t="e">
        <v>#N/A</v>
      </c>
      <c r="ALF32" t="e">
        <v>#N/A</v>
      </c>
      <c r="ALG32" t="e">
        <v>#N/A</v>
      </c>
      <c r="ALH32" t="e">
        <v>#N/A</v>
      </c>
      <c r="ALI32" t="e">
        <v>#N/A</v>
      </c>
      <c r="ALJ32" t="e">
        <v>#N/A</v>
      </c>
      <c r="ALK32" t="e">
        <v>#N/A</v>
      </c>
      <c r="ALL32" t="e">
        <v>#N/A</v>
      </c>
      <c r="ALM32" t="e">
        <v>#N/A</v>
      </c>
      <c r="ALN32" t="e">
        <v>#N/A</v>
      </c>
      <c r="ALO32" t="e">
        <v>#N/A</v>
      </c>
      <c r="ALP32" t="e">
        <v>#N/A</v>
      </c>
      <c r="ALQ32" t="e">
        <v>#N/A</v>
      </c>
      <c r="ALR32" t="e">
        <v>#N/A</v>
      </c>
      <c r="ALS32" t="e">
        <v>#N/A</v>
      </c>
      <c r="ALT32" t="e">
        <v>#N/A</v>
      </c>
      <c r="ALU32" t="e">
        <v>#N/A</v>
      </c>
      <c r="ALV32" t="e">
        <v>#N/A</v>
      </c>
      <c r="ALW32" t="e">
        <v>#N/A</v>
      </c>
      <c r="ALX32" t="e">
        <v>#N/A</v>
      </c>
      <c r="ALY32" t="e">
        <v>#N/A</v>
      </c>
      <c r="ALZ32" t="e">
        <v>#N/A</v>
      </c>
      <c r="AMA32" t="e">
        <v>#N/A</v>
      </c>
      <c r="AMB32" t="e">
        <v>#N/A</v>
      </c>
      <c r="AMC32" t="e">
        <v>#N/A</v>
      </c>
      <c r="AMD32" t="e">
        <v>#N/A</v>
      </c>
      <c r="AME32" t="e">
        <v>#N/A</v>
      </c>
      <c r="AMF32" t="e">
        <v>#N/A</v>
      </c>
      <c r="AMG32" t="e">
        <v>#N/A</v>
      </c>
      <c r="AMH32" t="e">
        <v>#N/A</v>
      </c>
    </row>
    <row r="33" spans="1:1022" ht="15.75" customHeight="1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</v>
      </c>
      <c r="JC33" s="8">
        <v>0</v>
      </c>
      <c r="JD33" s="8">
        <v>0</v>
      </c>
      <c r="JE33" s="8">
        <v>0</v>
      </c>
      <c r="JF33" s="8">
        <v>0</v>
      </c>
      <c r="JG33" s="8">
        <v>0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0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0</v>
      </c>
      <c r="KH33" s="8">
        <v>0</v>
      </c>
      <c r="KI33" s="8">
        <v>0</v>
      </c>
      <c r="KJ33" s="8">
        <v>0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</v>
      </c>
      <c r="KT33" s="8">
        <v>0</v>
      </c>
      <c r="KU33" s="8">
        <v>0</v>
      </c>
      <c r="KV33" s="8">
        <v>0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0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0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0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0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0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0</v>
      </c>
      <c r="SQ33" s="8">
        <v>0</v>
      </c>
      <c r="SR33" s="8">
        <v>0</v>
      </c>
      <c r="SS33" s="8">
        <v>0</v>
      </c>
      <c r="ST33" s="8">
        <v>0</v>
      </c>
      <c r="SU33" s="8">
        <v>0</v>
      </c>
      <c r="SV33" s="8">
        <v>0</v>
      </c>
      <c r="SW33" s="8">
        <v>0</v>
      </c>
      <c r="SX33" s="8">
        <v>0</v>
      </c>
      <c r="SY33" s="8">
        <v>0</v>
      </c>
      <c r="SZ33" s="8">
        <v>0</v>
      </c>
      <c r="TA33" s="8">
        <v>0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</v>
      </c>
      <c r="TM33" s="8">
        <v>0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0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0</v>
      </c>
      <c r="UK33" s="8">
        <v>0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0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0</v>
      </c>
      <c r="VB33" s="8">
        <v>0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0</v>
      </c>
      <c r="VO33" s="8">
        <v>0</v>
      </c>
      <c r="VP33" s="8">
        <v>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0</v>
      </c>
      <c r="WH33" s="8">
        <v>0</v>
      </c>
      <c r="WI33" s="8">
        <v>0</v>
      </c>
      <c r="WJ33" s="8">
        <v>0</v>
      </c>
      <c r="WK33" s="8">
        <v>0</v>
      </c>
      <c r="WL33" s="8">
        <v>0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0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  <c r="XB33" s="8">
        <v>0</v>
      </c>
      <c r="XC33" s="8">
        <v>0</v>
      </c>
      <c r="XD33" s="8">
        <v>0</v>
      </c>
      <c r="XE33" s="8">
        <v>0</v>
      </c>
      <c r="XF33" s="8">
        <v>0</v>
      </c>
      <c r="XG33" s="8">
        <v>0</v>
      </c>
      <c r="XH33" s="8">
        <v>0</v>
      </c>
      <c r="XI33" s="8">
        <v>0</v>
      </c>
      <c r="XJ33" s="8">
        <v>0</v>
      </c>
      <c r="XK33" s="8">
        <v>0</v>
      </c>
      <c r="XL33" s="8">
        <v>0</v>
      </c>
      <c r="XM33" s="8">
        <v>0</v>
      </c>
      <c r="XN33" s="8">
        <v>0</v>
      </c>
      <c r="XO33" s="8">
        <v>0</v>
      </c>
      <c r="XP33" s="8">
        <v>0</v>
      </c>
      <c r="XQ33" s="8">
        <v>0</v>
      </c>
      <c r="XR33" s="8">
        <v>0</v>
      </c>
      <c r="XS33" s="8">
        <v>0</v>
      </c>
      <c r="XT33" s="8">
        <v>0</v>
      </c>
      <c r="XU33" s="8">
        <v>0</v>
      </c>
      <c r="XV33" s="8">
        <v>0</v>
      </c>
      <c r="XW33" s="8">
        <v>0</v>
      </c>
      <c r="XX33" s="8">
        <v>0</v>
      </c>
      <c r="XY33" s="8">
        <v>0</v>
      </c>
      <c r="XZ33" s="8">
        <v>0</v>
      </c>
      <c r="YA33" s="8">
        <v>0</v>
      </c>
      <c r="YB33" s="8">
        <v>0</v>
      </c>
      <c r="YC33" s="8">
        <v>0</v>
      </c>
      <c r="YD33" s="8">
        <v>0</v>
      </c>
      <c r="YE33" s="8">
        <v>0</v>
      </c>
      <c r="YF33" s="8">
        <v>0</v>
      </c>
      <c r="YG33" s="8">
        <v>0</v>
      </c>
      <c r="YH33" s="8">
        <v>0</v>
      </c>
      <c r="YI33" s="8">
        <v>0</v>
      </c>
      <c r="YJ33" s="8">
        <v>0</v>
      </c>
      <c r="YK33" s="8">
        <v>0</v>
      </c>
      <c r="YL33" s="8">
        <v>0</v>
      </c>
      <c r="YM33" s="8">
        <v>0</v>
      </c>
      <c r="YN33" s="8">
        <v>0</v>
      </c>
      <c r="YO33" s="8">
        <v>0</v>
      </c>
      <c r="YP33" s="8">
        <v>0</v>
      </c>
      <c r="YQ33" s="8">
        <v>0</v>
      </c>
      <c r="YR33" s="8">
        <v>0</v>
      </c>
      <c r="YS33" s="8">
        <v>0</v>
      </c>
      <c r="YT33" s="8">
        <v>0</v>
      </c>
      <c r="YU33" s="8">
        <v>0</v>
      </c>
      <c r="YV33" s="8">
        <v>0</v>
      </c>
      <c r="YW33" s="8">
        <v>0</v>
      </c>
      <c r="YX33" s="8">
        <v>0</v>
      </c>
      <c r="YY33" s="8">
        <v>0</v>
      </c>
      <c r="YZ33" s="8">
        <v>0</v>
      </c>
      <c r="ZA33" s="8">
        <v>0</v>
      </c>
      <c r="ZB33" s="8">
        <v>0</v>
      </c>
      <c r="ZC33" s="8">
        <v>0</v>
      </c>
      <c r="ZD33" s="8">
        <v>0</v>
      </c>
      <c r="ZE33" s="8">
        <v>0</v>
      </c>
      <c r="ZF33" s="8">
        <v>0</v>
      </c>
      <c r="ZG33" s="8">
        <v>0</v>
      </c>
      <c r="ZH33" s="8">
        <v>0</v>
      </c>
      <c r="ZI33" s="8">
        <v>0</v>
      </c>
      <c r="ZJ33" s="8">
        <v>0</v>
      </c>
      <c r="ZK33" s="8">
        <v>0</v>
      </c>
      <c r="ZL33" s="8">
        <v>0</v>
      </c>
      <c r="ZM33" s="8">
        <v>0</v>
      </c>
      <c r="ZN33" s="8">
        <v>0</v>
      </c>
      <c r="ZO33" s="8">
        <v>0</v>
      </c>
      <c r="ZP33" s="8">
        <v>0</v>
      </c>
      <c r="ZQ33" s="8">
        <v>0</v>
      </c>
      <c r="ZR33" s="8">
        <v>0</v>
      </c>
      <c r="ZS33" s="8">
        <v>0</v>
      </c>
      <c r="ZT33" s="8">
        <v>0</v>
      </c>
      <c r="ZU33" s="8">
        <v>0</v>
      </c>
      <c r="ZV33" s="8">
        <v>0</v>
      </c>
      <c r="ZW33" s="8">
        <v>0</v>
      </c>
      <c r="ZX33" s="8">
        <v>0</v>
      </c>
      <c r="ZY33" s="8">
        <v>0</v>
      </c>
      <c r="ZZ33" s="8">
        <v>0</v>
      </c>
      <c r="AAA33" s="8">
        <v>0</v>
      </c>
      <c r="AAB33" s="8">
        <v>0</v>
      </c>
      <c r="AAC33" s="8">
        <v>0</v>
      </c>
      <c r="AAD33" s="8">
        <v>0</v>
      </c>
      <c r="AAE33" s="8">
        <v>0</v>
      </c>
      <c r="AAF33" s="8">
        <v>0</v>
      </c>
      <c r="AAG33" s="8">
        <v>0</v>
      </c>
      <c r="AAH33" s="8">
        <v>0</v>
      </c>
      <c r="AAI33" s="8">
        <v>0</v>
      </c>
      <c r="AAJ33" s="8">
        <v>0</v>
      </c>
      <c r="AAK33" s="8">
        <v>0</v>
      </c>
      <c r="AAL33" s="8">
        <v>0</v>
      </c>
      <c r="AAM33" s="8">
        <v>0</v>
      </c>
      <c r="AAN33" s="8">
        <v>0</v>
      </c>
      <c r="AAO33" s="8">
        <v>0</v>
      </c>
      <c r="AAP33" s="8">
        <v>0</v>
      </c>
      <c r="AAQ33" s="8">
        <v>0</v>
      </c>
      <c r="AAR33" s="8">
        <v>0</v>
      </c>
      <c r="AAS33" s="8">
        <v>0</v>
      </c>
      <c r="AAT33" s="8">
        <v>0</v>
      </c>
      <c r="AAU33" s="8">
        <v>0</v>
      </c>
      <c r="AAV33" s="8">
        <v>0</v>
      </c>
      <c r="AAW33" s="8">
        <v>0</v>
      </c>
      <c r="AAX33" s="8">
        <v>0</v>
      </c>
      <c r="AAY33" s="8">
        <v>0</v>
      </c>
      <c r="AAZ33" s="8">
        <v>0</v>
      </c>
      <c r="ABA33" s="8">
        <v>0</v>
      </c>
      <c r="ABB33" s="8">
        <v>0</v>
      </c>
      <c r="ABC33" s="8">
        <v>0</v>
      </c>
      <c r="ABD33" s="8">
        <v>0</v>
      </c>
      <c r="ABE33" s="8">
        <v>0</v>
      </c>
      <c r="ABF33" s="8">
        <v>0</v>
      </c>
      <c r="ABG33" s="8">
        <v>0</v>
      </c>
      <c r="ABH33" s="8">
        <v>0</v>
      </c>
      <c r="ABI33" s="8">
        <v>0</v>
      </c>
      <c r="ABJ33" s="8">
        <v>0</v>
      </c>
      <c r="ABK33" s="8">
        <v>0</v>
      </c>
      <c r="ABL33" s="8">
        <v>0</v>
      </c>
      <c r="ABM33" s="8">
        <v>0</v>
      </c>
      <c r="ABN33" s="8">
        <v>0</v>
      </c>
      <c r="ABO33" s="8">
        <v>0</v>
      </c>
      <c r="ABP33" s="8">
        <v>0</v>
      </c>
      <c r="ABQ33" s="8">
        <v>0</v>
      </c>
      <c r="ABR33" s="8">
        <v>0</v>
      </c>
      <c r="ABS33" s="8">
        <v>0</v>
      </c>
      <c r="ABT33" s="8">
        <v>0</v>
      </c>
      <c r="ABU33" s="8">
        <v>0</v>
      </c>
      <c r="ABV33" s="8">
        <v>0</v>
      </c>
      <c r="ABW33" s="8">
        <v>0</v>
      </c>
      <c r="ABX33" s="8">
        <v>0</v>
      </c>
      <c r="ABY33" s="8">
        <v>0</v>
      </c>
      <c r="ABZ33" s="8">
        <v>0</v>
      </c>
      <c r="ACA33" s="8">
        <v>0</v>
      </c>
      <c r="ACB33" s="8">
        <v>0</v>
      </c>
      <c r="ACC33" s="8">
        <v>0</v>
      </c>
      <c r="ACD33" s="8">
        <v>0</v>
      </c>
      <c r="ACE33" s="8">
        <v>0</v>
      </c>
      <c r="ACF33" s="8">
        <v>0</v>
      </c>
      <c r="ACG33" s="8">
        <v>0</v>
      </c>
      <c r="ACH33" s="8">
        <v>0</v>
      </c>
      <c r="ACI33" s="8">
        <v>0</v>
      </c>
      <c r="ACJ33" s="8">
        <v>0</v>
      </c>
      <c r="ACK33" s="8">
        <v>0</v>
      </c>
      <c r="ACL33" s="8">
        <v>0</v>
      </c>
      <c r="ACM33" s="8">
        <v>0</v>
      </c>
      <c r="ACN33" s="8">
        <v>0</v>
      </c>
      <c r="ACO33" s="8">
        <v>0</v>
      </c>
      <c r="ACP33" s="8">
        <v>0</v>
      </c>
      <c r="ACQ33" s="8">
        <v>0</v>
      </c>
      <c r="ACR33" s="8">
        <v>0</v>
      </c>
      <c r="ACS33" s="8">
        <v>0</v>
      </c>
      <c r="ACT33" s="8">
        <v>0</v>
      </c>
      <c r="ACU33" s="8">
        <v>0</v>
      </c>
      <c r="ACV33" s="8">
        <v>0</v>
      </c>
      <c r="ACW33" s="8">
        <v>0</v>
      </c>
      <c r="ACX33" s="8">
        <v>0</v>
      </c>
      <c r="ACY33" s="8">
        <v>0</v>
      </c>
      <c r="ACZ33" s="8">
        <v>0</v>
      </c>
      <c r="ADA33" s="8">
        <v>0</v>
      </c>
      <c r="ADB33" s="8">
        <v>0</v>
      </c>
      <c r="ADC33" s="8">
        <v>0</v>
      </c>
      <c r="ADD33" s="8">
        <v>0</v>
      </c>
      <c r="ADE33" s="8">
        <v>0</v>
      </c>
      <c r="ADF33" s="8">
        <v>0</v>
      </c>
      <c r="ADG33" s="8">
        <v>0</v>
      </c>
      <c r="ADH33" s="8">
        <v>0</v>
      </c>
      <c r="ADI33" s="8">
        <v>0</v>
      </c>
      <c r="ADJ33" s="8">
        <v>0</v>
      </c>
      <c r="ADK33" s="8">
        <v>0</v>
      </c>
      <c r="ADL33" s="8">
        <v>0</v>
      </c>
      <c r="ADM33" s="8">
        <v>0</v>
      </c>
      <c r="ADN33" s="8">
        <v>0</v>
      </c>
      <c r="ADO33" s="8">
        <v>0</v>
      </c>
      <c r="ADP33" s="8">
        <v>0</v>
      </c>
      <c r="ADQ33" s="8">
        <v>0</v>
      </c>
      <c r="ADR33" s="8">
        <v>0</v>
      </c>
      <c r="ADS33" s="8">
        <v>0</v>
      </c>
      <c r="ADT33" s="8">
        <v>0</v>
      </c>
      <c r="ADU33" s="8">
        <v>0</v>
      </c>
      <c r="ADV33" s="8">
        <v>0</v>
      </c>
      <c r="ADW33" s="8">
        <v>0</v>
      </c>
      <c r="ADX33" s="8">
        <v>0</v>
      </c>
      <c r="ADY33" s="8">
        <v>0</v>
      </c>
      <c r="ADZ33" s="8">
        <v>0</v>
      </c>
      <c r="AEA33" s="8">
        <v>0</v>
      </c>
      <c r="AEB33" s="8">
        <v>0</v>
      </c>
      <c r="AEC33" s="8">
        <v>0</v>
      </c>
      <c r="AED33" s="8">
        <v>0</v>
      </c>
      <c r="AEE33" s="8">
        <v>0</v>
      </c>
      <c r="AEF33" s="8">
        <v>0</v>
      </c>
      <c r="AEG33" s="8">
        <v>0</v>
      </c>
      <c r="AEH33" s="8">
        <v>0</v>
      </c>
      <c r="AEI33" s="8">
        <v>0</v>
      </c>
      <c r="AEJ33" s="8">
        <v>0</v>
      </c>
      <c r="AEK33" s="8">
        <v>0</v>
      </c>
      <c r="AEL33" s="8">
        <v>0</v>
      </c>
      <c r="AEM33" s="8">
        <v>0</v>
      </c>
      <c r="AEN33" s="8">
        <v>0</v>
      </c>
      <c r="AEO33" s="8">
        <v>0</v>
      </c>
      <c r="AEP33" s="8">
        <v>0</v>
      </c>
      <c r="AEQ33" s="8">
        <v>0</v>
      </c>
      <c r="AER33" s="8">
        <v>0</v>
      </c>
      <c r="AES33" s="8">
        <v>0</v>
      </c>
      <c r="AET33" s="8">
        <v>0</v>
      </c>
      <c r="AEU33" s="8">
        <v>0</v>
      </c>
      <c r="AEV33" s="8">
        <v>0</v>
      </c>
      <c r="AEW33" s="8">
        <v>0</v>
      </c>
      <c r="AEX33" s="8">
        <v>0</v>
      </c>
      <c r="AEY33" s="8">
        <v>0</v>
      </c>
      <c r="AEZ33" s="8">
        <v>0</v>
      </c>
      <c r="AFA33" s="8">
        <v>0</v>
      </c>
      <c r="AFB33" s="8">
        <v>0</v>
      </c>
      <c r="AFC33" s="8">
        <v>0</v>
      </c>
      <c r="AFD33" s="8">
        <v>0</v>
      </c>
      <c r="AFE33" s="8">
        <v>0</v>
      </c>
      <c r="AFF33" s="8">
        <v>0</v>
      </c>
      <c r="AFG33" s="8">
        <v>0</v>
      </c>
      <c r="AFH33" s="8">
        <v>0</v>
      </c>
      <c r="AFI33" s="8">
        <v>0</v>
      </c>
      <c r="AFJ33" s="8">
        <v>0</v>
      </c>
      <c r="AFK33" s="8">
        <v>0</v>
      </c>
      <c r="AFL33" s="8">
        <v>0</v>
      </c>
      <c r="AFM33" s="8">
        <v>0</v>
      </c>
      <c r="AFN33" s="8">
        <v>0</v>
      </c>
      <c r="AFO33" s="8">
        <v>0</v>
      </c>
      <c r="AFP33" s="8">
        <v>0</v>
      </c>
      <c r="AFQ33" s="8">
        <v>0</v>
      </c>
      <c r="AFR33" s="8">
        <v>0</v>
      </c>
      <c r="AFS33" s="8">
        <v>0</v>
      </c>
      <c r="AFT33" s="8">
        <v>0</v>
      </c>
      <c r="AFU33" s="8">
        <v>0</v>
      </c>
      <c r="AFV33" s="8">
        <v>0</v>
      </c>
      <c r="AFW33" s="8">
        <v>0</v>
      </c>
      <c r="AFX33" s="8">
        <v>0</v>
      </c>
      <c r="AFY33" s="8">
        <v>0</v>
      </c>
      <c r="AFZ33" s="8">
        <v>0</v>
      </c>
      <c r="AGA33" s="8">
        <v>0</v>
      </c>
      <c r="AGB33" s="8">
        <v>0</v>
      </c>
      <c r="AGC33" s="8">
        <v>0</v>
      </c>
      <c r="AGD33" s="8">
        <v>0</v>
      </c>
      <c r="AGE33" s="8">
        <v>0</v>
      </c>
      <c r="AGF33" s="8">
        <v>0</v>
      </c>
      <c r="AGG33" s="8">
        <v>0</v>
      </c>
      <c r="AGH33" s="8">
        <v>0</v>
      </c>
      <c r="AGI33" s="8">
        <v>0</v>
      </c>
      <c r="AGJ33" s="8">
        <v>0</v>
      </c>
      <c r="AGK33" s="8">
        <v>0</v>
      </c>
      <c r="AGL33" s="8">
        <v>0</v>
      </c>
      <c r="AGM33" s="8">
        <v>0</v>
      </c>
      <c r="AGN33" s="8">
        <v>0</v>
      </c>
      <c r="AGO33" s="8">
        <v>0</v>
      </c>
      <c r="AGP33" s="8">
        <v>0</v>
      </c>
      <c r="AGQ33" s="8">
        <v>0</v>
      </c>
      <c r="AGR33" s="8">
        <v>0</v>
      </c>
      <c r="AGS33" s="8">
        <v>0</v>
      </c>
      <c r="AGT33" s="8">
        <v>0</v>
      </c>
      <c r="AGU33" s="8">
        <v>0</v>
      </c>
      <c r="AGV33" s="8">
        <v>0</v>
      </c>
      <c r="AGW33" s="8">
        <v>0</v>
      </c>
      <c r="AGX33" s="8">
        <v>0</v>
      </c>
      <c r="AGY33" s="8">
        <v>0</v>
      </c>
      <c r="AGZ33" s="8">
        <v>0</v>
      </c>
      <c r="AHA33" s="8">
        <v>0</v>
      </c>
      <c r="AHB33" s="8">
        <v>0</v>
      </c>
      <c r="AHC33" s="8">
        <v>0</v>
      </c>
      <c r="AHD33" s="8">
        <v>0</v>
      </c>
      <c r="AHE33" s="8">
        <v>0</v>
      </c>
      <c r="AHF33" s="8">
        <v>0</v>
      </c>
      <c r="AHG33" s="8">
        <v>0</v>
      </c>
      <c r="AHH33" s="8">
        <v>0</v>
      </c>
      <c r="AHI33" s="8">
        <v>0</v>
      </c>
      <c r="AHJ33" s="8">
        <v>0</v>
      </c>
      <c r="AHK33" s="8">
        <v>0</v>
      </c>
      <c r="AHL33" s="8">
        <v>0</v>
      </c>
      <c r="AHM33" s="8">
        <v>0</v>
      </c>
      <c r="AHN33" s="8">
        <v>0</v>
      </c>
      <c r="AHO33" s="8">
        <v>0</v>
      </c>
      <c r="AHP33" s="8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 t="e">
        <v>#N/A</v>
      </c>
      <c r="AIJ33" t="e">
        <v>#N/A</v>
      </c>
      <c r="AIK33" t="e">
        <v>#N/A</v>
      </c>
      <c r="AIL33" t="e">
        <v>#N/A</v>
      </c>
      <c r="AIM33" t="e">
        <v>#N/A</v>
      </c>
      <c r="AIN33" t="e">
        <v>#N/A</v>
      </c>
      <c r="AIO33" t="e">
        <v>#N/A</v>
      </c>
      <c r="AIP33" t="e">
        <v>#N/A</v>
      </c>
      <c r="AIQ33" t="e">
        <v>#N/A</v>
      </c>
      <c r="AIR33" t="e">
        <v>#N/A</v>
      </c>
      <c r="AIS33" t="e">
        <v>#N/A</v>
      </c>
      <c r="AIT33" t="e">
        <v>#N/A</v>
      </c>
      <c r="AIU33" t="e">
        <v>#N/A</v>
      </c>
      <c r="AIV33" t="e">
        <v>#N/A</v>
      </c>
      <c r="AIW33" t="e">
        <v>#N/A</v>
      </c>
      <c r="AIX33" t="e">
        <v>#N/A</v>
      </c>
      <c r="AIY33" t="e">
        <v>#N/A</v>
      </c>
      <c r="AIZ33" t="e">
        <v>#N/A</v>
      </c>
      <c r="AJA33" t="e">
        <v>#N/A</v>
      </c>
      <c r="AJB33" t="e">
        <v>#N/A</v>
      </c>
      <c r="AJC33" t="e">
        <v>#N/A</v>
      </c>
      <c r="AJD33" t="e">
        <v>#N/A</v>
      </c>
      <c r="AJE33" t="e">
        <v>#N/A</v>
      </c>
      <c r="AJF33" t="e">
        <v>#N/A</v>
      </c>
      <c r="AJG33" t="e">
        <v>#N/A</v>
      </c>
      <c r="AJH33" t="e">
        <v>#N/A</v>
      </c>
      <c r="AJI33" t="e">
        <v>#N/A</v>
      </c>
      <c r="AJJ33" t="e">
        <v>#N/A</v>
      </c>
      <c r="AJK33" t="e">
        <v>#N/A</v>
      </c>
      <c r="AJL33" t="e">
        <v>#N/A</v>
      </c>
      <c r="AJM33" t="e">
        <v>#N/A</v>
      </c>
      <c r="AJN33" t="e">
        <v>#N/A</v>
      </c>
      <c r="AJO33" t="e">
        <v>#N/A</v>
      </c>
      <c r="AJP33" t="e">
        <v>#N/A</v>
      </c>
      <c r="AJQ33" t="e">
        <v>#N/A</v>
      </c>
      <c r="AJR33" t="e">
        <v>#N/A</v>
      </c>
      <c r="AJS33" t="e">
        <v>#N/A</v>
      </c>
      <c r="AJT33" t="e">
        <v>#N/A</v>
      </c>
      <c r="AJU33" t="e">
        <v>#N/A</v>
      </c>
      <c r="AJV33" t="e">
        <v>#N/A</v>
      </c>
      <c r="AJW33" t="e">
        <v>#N/A</v>
      </c>
      <c r="AJX33" t="e">
        <v>#N/A</v>
      </c>
      <c r="AJY33" t="e">
        <v>#N/A</v>
      </c>
      <c r="AJZ33" t="e">
        <v>#N/A</v>
      </c>
      <c r="AKA33" t="e">
        <v>#N/A</v>
      </c>
      <c r="AKB33" t="e">
        <v>#N/A</v>
      </c>
      <c r="AKC33" t="e">
        <v>#N/A</v>
      </c>
      <c r="AKD33" t="e">
        <v>#N/A</v>
      </c>
      <c r="AKE33" t="e">
        <v>#N/A</v>
      </c>
      <c r="AKF33" t="e">
        <v>#N/A</v>
      </c>
      <c r="AKG33" t="e">
        <v>#N/A</v>
      </c>
      <c r="AKH33" t="e">
        <v>#N/A</v>
      </c>
      <c r="AKI33" t="e">
        <v>#N/A</v>
      </c>
      <c r="AKJ33" t="e">
        <v>#N/A</v>
      </c>
      <c r="AKK33" t="e">
        <v>#N/A</v>
      </c>
      <c r="AKL33" t="e">
        <v>#N/A</v>
      </c>
      <c r="AKM33" t="e">
        <v>#N/A</v>
      </c>
      <c r="AKN33" t="e">
        <v>#N/A</v>
      </c>
      <c r="AKO33" t="e">
        <v>#N/A</v>
      </c>
      <c r="AKP33" t="e">
        <v>#N/A</v>
      </c>
      <c r="AKQ33" t="e">
        <v>#N/A</v>
      </c>
      <c r="AKR33" t="e">
        <v>#N/A</v>
      </c>
      <c r="AKS33" t="e">
        <v>#N/A</v>
      </c>
      <c r="AKT33" t="e">
        <v>#N/A</v>
      </c>
      <c r="AKU33" t="e">
        <v>#N/A</v>
      </c>
      <c r="AKV33" t="e">
        <v>#N/A</v>
      </c>
      <c r="AKW33" t="e">
        <v>#N/A</v>
      </c>
      <c r="AKX33" t="e">
        <v>#N/A</v>
      </c>
      <c r="AKY33" t="e">
        <v>#N/A</v>
      </c>
      <c r="AKZ33" t="e">
        <v>#N/A</v>
      </c>
      <c r="ALA33" t="e">
        <v>#N/A</v>
      </c>
      <c r="ALB33" t="e">
        <v>#N/A</v>
      </c>
      <c r="ALC33" t="e">
        <v>#N/A</v>
      </c>
      <c r="ALD33" t="e">
        <v>#N/A</v>
      </c>
      <c r="ALE33" t="e">
        <v>#N/A</v>
      </c>
      <c r="ALF33" t="e">
        <v>#N/A</v>
      </c>
      <c r="ALG33" t="e">
        <v>#N/A</v>
      </c>
      <c r="ALH33" t="e">
        <v>#N/A</v>
      </c>
      <c r="ALI33" t="e">
        <v>#N/A</v>
      </c>
      <c r="ALJ33" t="e">
        <v>#N/A</v>
      </c>
      <c r="ALK33" t="e">
        <v>#N/A</v>
      </c>
      <c r="ALL33" t="e">
        <v>#N/A</v>
      </c>
      <c r="ALM33" t="e">
        <v>#N/A</v>
      </c>
      <c r="ALN33" t="e">
        <v>#N/A</v>
      </c>
      <c r="ALO33" t="e">
        <v>#N/A</v>
      </c>
      <c r="ALP33" t="e">
        <v>#N/A</v>
      </c>
      <c r="ALQ33" t="e">
        <v>#N/A</v>
      </c>
      <c r="ALR33" t="e">
        <v>#N/A</v>
      </c>
      <c r="ALS33" t="e">
        <v>#N/A</v>
      </c>
      <c r="ALT33" t="e">
        <v>#N/A</v>
      </c>
      <c r="ALU33" t="e">
        <v>#N/A</v>
      </c>
      <c r="ALV33" t="e">
        <v>#N/A</v>
      </c>
      <c r="ALW33" t="e">
        <v>#N/A</v>
      </c>
      <c r="ALX33" t="e">
        <v>#N/A</v>
      </c>
      <c r="ALY33" t="e">
        <v>#N/A</v>
      </c>
      <c r="ALZ33" t="e">
        <v>#N/A</v>
      </c>
      <c r="AMA33" t="e">
        <v>#N/A</v>
      </c>
      <c r="AMB33" t="e">
        <v>#N/A</v>
      </c>
      <c r="AMC33" t="e">
        <v>#N/A</v>
      </c>
      <c r="AMD33" t="e">
        <v>#N/A</v>
      </c>
      <c r="AME33" t="e">
        <v>#N/A</v>
      </c>
      <c r="AMF33" t="e">
        <v>#N/A</v>
      </c>
      <c r="AMG33" t="e">
        <v>#N/A</v>
      </c>
      <c r="AMH33" t="e">
        <v>#N/A</v>
      </c>
    </row>
    <row r="34" spans="1:1022" ht="15.75" customHeight="1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0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0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0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0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0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0</v>
      </c>
      <c r="RK34" s="8">
        <v>0</v>
      </c>
      <c r="RL34" s="8">
        <v>0</v>
      </c>
      <c r="RM34" s="8">
        <v>0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0</v>
      </c>
      <c r="SP34" s="8">
        <v>0</v>
      </c>
      <c r="SQ34" s="8">
        <v>0</v>
      </c>
      <c r="SR34" s="8">
        <v>0</v>
      </c>
      <c r="SS34" s="8">
        <v>0</v>
      </c>
      <c r="ST34" s="8">
        <v>0</v>
      </c>
      <c r="SU34" s="8">
        <v>0</v>
      </c>
      <c r="SV34" s="8">
        <v>0</v>
      </c>
      <c r="SW34" s="8">
        <v>0</v>
      </c>
      <c r="SX34" s="8">
        <v>0</v>
      </c>
      <c r="SY34" s="8">
        <v>0</v>
      </c>
      <c r="SZ34" s="8">
        <v>0</v>
      </c>
      <c r="TA34" s="8">
        <v>0</v>
      </c>
      <c r="TB34" s="8">
        <v>0</v>
      </c>
      <c r="TC34" s="8">
        <v>0</v>
      </c>
      <c r="TD34" s="8">
        <v>0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8">
        <v>0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8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8">
        <v>0</v>
      </c>
      <c r="UF34" s="8">
        <v>0</v>
      </c>
      <c r="UG34" s="8">
        <v>0</v>
      </c>
      <c r="UH34" s="8">
        <v>0</v>
      </c>
      <c r="UI34" s="8">
        <v>0</v>
      </c>
      <c r="UJ34" s="8">
        <v>0</v>
      </c>
      <c r="UK34" s="8">
        <v>0</v>
      </c>
      <c r="UL34" s="8">
        <v>0</v>
      </c>
      <c r="UM34" s="8">
        <v>0</v>
      </c>
      <c r="UN34" s="8">
        <v>0</v>
      </c>
      <c r="UO34" s="8">
        <v>0</v>
      </c>
      <c r="UP34" s="8">
        <v>0</v>
      </c>
      <c r="UQ34" s="8">
        <v>0</v>
      </c>
      <c r="UR34" s="8">
        <v>0</v>
      </c>
      <c r="US34" s="8">
        <v>0</v>
      </c>
      <c r="UT34" s="8">
        <v>0</v>
      </c>
      <c r="UU34" s="8">
        <v>0</v>
      </c>
      <c r="UV34" s="8">
        <v>0</v>
      </c>
      <c r="UW34" s="8">
        <v>0</v>
      </c>
      <c r="UX34" s="8">
        <v>0</v>
      </c>
      <c r="UY34" s="8">
        <v>0</v>
      </c>
      <c r="UZ34" s="8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8">
        <v>0</v>
      </c>
      <c r="VH34" s="8">
        <v>0</v>
      </c>
      <c r="VI34" s="8">
        <v>0</v>
      </c>
      <c r="VJ34" s="8">
        <v>0</v>
      </c>
      <c r="VK34" s="8">
        <v>0</v>
      </c>
      <c r="VL34" s="8">
        <v>0</v>
      </c>
      <c r="VM34" s="8">
        <v>0</v>
      </c>
      <c r="VN34" s="8">
        <v>0</v>
      </c>
      <c r="VO34" s="8">
        <v>0</v>
      </c>
      <c r="VP34" s="8">
        <v>0</v>
      </c>
      <c r="VQ34" s="8">
        <v>0</v>
      </c>
      <c r="VR34" s="8">
        <v>0</v>
      </c>
      <c r="VS34" s="8">
        <v>0</v>
      </c>
      <c r="VT34" s="8">
        <v>0</v>
      </c>
      <c r="VU34" s="8">
        <v>0</v>
      </c>
      <c r="VV34" s="8">
        <v>0</v>
      </c>
      <c r="VW34" s="8">
        <v>0</v>
      </c>
      <c r="VX34" s="8">
        <v>0</v>
      </c>
      <c r="VY34" s="8">
        <v>0</v>
      </c>
      <c r="VZ34" s="8">
        <v>0</v>
      </c>
      <c r="WA34" s="8">
        <v>0</v>
      </c>
      <c r="WB34" s="8">
        <v>0</v>
      </c>
      <c r="WC34" s="8">
        <v>0</v>
      </c>
      <c r="WD34" s="8">
        <v>0</v>
      </c>
      <c r="WE34" s="8">
        <v>0</v>
      </c>
      <c r="WF34" s="8">
        <v>0</v>
      </c>
      <c r="WG34" s="8">
        <v>0</v>
      </c>
      <c r="WH34" s="8">
        <v>0</v>
      </c>
      <c r="WI34" s="8">
        <v>0</v>
      </c>
      <c r="WJ34" s="8">
        <v>0</v>
      </c>
      <c r="WK34" s="8">
        <v>0</v>
      </c>
      <c r="WL34" s="8">
        <v>0</v>
      </c>
      <c r="WM34" s="8">
        <v>0</v>
      </c>
      <c r="WN34" s="8">
        <v>0</v>
      </c>
      <c r="WO34" s="8">
        <v>0</v>
      </c>
      <c r="WP34" s="8">
        <v>0</v>
      </c>
      <c r="WQ34" s="8">
        <v>0</v>
      </c>
      <c r="WR34" s="8">
        <v>0</v>
      </c>
      <c r="WS34" s="8">
        <v>0</v>
      </c>
      <c r="WT34" s="8">
        <v>0</v>
      </c>
      <c r="WU34" s="8">
        <v>0</v>
      </c>
      <c r="WV34" s="8">
        <v>0</v>
      </c>
      <c r="WW34" s="8">
        <v>0</v>
      </c>
      <c r="WX34" s="8">
        <v>0</v>
      </c>
      <c r="WY34" s="8">
        <v>0</v>
      </c>
      <c r="WZ34" s="8">
        <v>0</v>
      </c>
      <c r="XA34" s="8">
        <v>0</v>
      </c>
      <c r="XB34" s="8">
        <v>0</v>
      </c>
      <c r="XC34" s="8">
        <v>0</v>
      </c>
      <c r="XD34" s="8">
        <v>0</v>
      </c>
      <c r="XE34" s="8">
        <v>0</v>
      </c>
      <c r="XF34" s="8">
        <v>0</v>
      </c>
      <c r="XG34" s="8">
        <v>0</v>
      </c>
      <c r="XH34" s="8">
        <v>0</v>
      </c>
      <c r="XI34" s="8">
        <v>0</v>
      </c>
      <c r="XJ34" s="8">
        <v>0</v>
      </c>
      <c r="XK34" s="8">
        <v>0</v>
      </c>
      <c r="XL34" s="8">
        <v>0</v>
      </c>
      <c r="XM34" s="8">
        <v>0</v>
      </c>
      <c r="XN34" s="8">
        <v>0</v>
      </c>
      <c r="XO34" s="8">
        <v>0</v>
      </c>
      <c r="XP34" s="8">
        <v>0</v>
      </c>
      <c r="XQ34" s="8">
        <v>0</v>
      </c>
      <c r="XR34" s="8">
        <v>0</v>
      </c>
      <c r="XS34" s="8">
        <v>0</v>
      </c>
      <c r="XT34" s="8">
        <v>0</v>
      </c>
      <c r="XU34" s="8">
        <v>0</v>
      </c>
      <c r="XV34" s="8">
        <v>0</v>
      </c>
      <c r="XW34" s="8">
        <v>0</v>
      </c>
      <c r="XX34" s="8">
        <v>0</v>
      </c>
      <c r="XY34" s="8">
        <v>0</v>
      </c>
      <c r="XZ34" s="8">
        <v>0</v>
      </c>
      <c r="YA34" s="8">
        <v>0</v>
      </c>
      <c r="YB34" s="8">
        <v>0</v>
      </c>
      <c r="YC34" s="8">
        <v>0</v>
      </c>
      <c r="YD34" s="8">
        <v>0</v>
      </c>
      <c r="YE34" s="8">
        <v>0</v>
      </c>
      <c r="YF34" s="8">
        <v>0</v>
      </c>
      <c r="YG34" s="8">
        <v>0</v>
      </c>
      <c r="YH34" s="8">
        <v>0</v>
      </c>
      <c r="YI34" s="8">
        <v>0</v>
      </c>
      <c r="YJ34" s="8">
        <v>0</v>
      </c>
      <c r="YK34" s="8">
        <v>0</v>
      </c>
      <c r="YL34" s="8">
        <v>0</v>
      </c>
      <c r="YM34" s="8">
        <v>0</v>
      </c>
      <c r="YN34" s="8">
        <v>0</v>
      </c>
      <c r="YO34" s="8">
        <v>0</v>
      </c>
      <c r="YP34" s="8">
        <v>0</v>
      </c>
      <c r="YQ34" s="8">
        <v>0</v>
      </c>
      <c r="YR34" s="8">
        <v>0</v>
      </c>
      <c r="YS34" s="8">
        <v>0</v>
      </c>
      <c r="YT34" s="8">
        <v>0</v>
      </c>
      <c r="YU34" s="8">
        <v>0</v>
      </c>
      <c r="YV34" s="8">
        <v>0</v>
      </c>
      <c r="YW34" s="8">
        <v>0</v>
      </c>
      <c r="YX34" s="8">
        <v>0</v>
      </c>
      <c r="YY34" s="8">
        <v>0</v>
      </c>
      <c r="YZ34" s="8">
        <v>0</v>
      </c>
      <c r="ZA34" s="8">
        <v>0</v>
      </c>
      <c r="ZB34" s="8">
        <v>0</v>
      </c>
      <c r="ZC34" s="8">
        <v>0</v>
      </c>
      <c r="ZD34" s="8">
        <v>0</v>
      </c>
      <c r="ZE34" s="8">
        <v>0</v>
      </c>
      <c r="ZF34" s="8">
        <v>0</v>
      </c>
      <c r="ZG34" s="8">
        <v>0</v>
      </c>
      <c r="ZH34" s="8">
        <v>0</v>
      </c>
      <c r="ZI34" s="8">
        <v>0</v>
      </c>
      <c r="ZJ34" s="8">
        <v>0</v>
      </c>
      <c r="ZK34" s="8">
        <v>0</v>
      </c>
      <c r="ZL34" s="8">
        <v>0</v>
      </c>
      <c r="ZM34" s="8">
        <v>0</v>
      </c>
      <c r="ZN34" s="8">
        <v>0</v>
      </c>
      <c r="ZO34" s="8">
        <v>0</v>
      </c>
      <c r="ZP34" s="8">
        <v>0</v>
      </c>
      <c r="ZQ34" s="8">
        <v>0</v>
      </c>
      <c r="ZR34" s="8">
        <v>0</v>
      </c>
      <c r="ZS34" s="8">
        <v>0</v>
      </c>
      <c r="ZT34" s="8">
        <v>0</v>
      </c>
      <c r="ZU34" s="8">
        <v>0</v>
      </c>
      <c r="ZV34" s="8">
        <v>0</v>
      </c>
      <c r="ZW34" s="8">
        <v>0</v>
      </c>
      <c r="ZX34" s="8">
        <v>0</v>
      </c>
      <c r="ZY34" s="8">
        <v>0</v>
      </c>
      <c r="ZZ34" s="8">
        <v>0</v>
      </c>
      <c r="AAA34" s="8">
        <v>0</v>
      </c>
      <c r="AAB34" s="8">
        <v>0</v>
      </c>
      <c r="AAC34" s="8">
        <v>0</v>
      </c>
      <c r="AAD34" s="8">
        <v>0</v>
      </c>
      <c r="AAE34" s="8">
        <v>0</v>
      </c>
      <c r="AAF34" s="8">
        <v>0</v>
      </c>
      <c r="AAG34" s="8">
        <v>0</v>
      </c>
      <c r="AAH34" s="8">
        <v>0</v>
      </c>
      <c r="AAI34" s="8">
        <v>0</v>
      </c>
      <c r="AAJ34" s="8">
        <v>0</v>
      </c>
      <c r="AAK34" s="8">
        <v>0</v>
      </c>
      <c r="AAL34" s="8">
        <v>0</v>
      </c>
      <c r="AAM34" s="8">
        <v>0</v>
      </c>
      <c r="AAN34" s="8">
        <v>0</v>
      </c>
      <c r="AAO34" s="8">
        <v>0</v>
      </c>
      <c r="AAP34" s="8">
        <v>0</v>
      </c>
      <c r="AAQ34" s="8">
        <v>0</v>
      </c>
      <c r="AAR34" s="8">
        <v>0</v>
      </c>
      <c r="AAS34" s="8">
        <v>0</v>
      </c>
      <c r="AAT34" s="8">
        <v>0</v>
      </c>
      <c r="AAU34" s="8">
        <v>0</v>
      </c>
      <c r="AAV34" s="8">
        <v>0</v>
      </c>
      <c r="AAW34" s="8">
        <v>0</v>
      </c>
      <c r="AAX34" s="8">
        <v>0</v>
      </c>
      <c r="AAY34" s="8">
        <v>0</v>
      </c>
      <c r="AAZ34" s="8">
        <v>0</v>
      </c>
      <c r="ABA34" s="8">
        <v>0</v>
      </c>
      <c r="ABB34" s="8">
        <v>0</v>
      </c>
      <c r="ABC34" s="8">
        <v>0</v>
      </c>
      <c r="ABD34" s="8">
        <v>0</v>
      </c>
      <c r="ABE34" s="8">
        <v>0</v>
      </c>
      <c r="ABF34" s="8">
        <v>0</v>
      </c>
      <c r="ABG34" s="8">
        <v>0</v>
      </c>
      <c r="ABH34" s="8">
        <v>0</v>
      </c>
      <c r="ABI34" s="8">
        <v>0</v>
      </c>
      <c r="ABJ34" s="8">
        <v>0</v>
      </c>
      <c r="ABK34" s="8">
        <v>0</v>
      </c>
      <c r="ABL34" s="8">
        <v>0</v>
      </c>
      <c r="ABM34" s="8">
        <v>0</v>
      </c>
      <c r="ABN34" s="8">
        <v>0</v>
      </c>
      <c r="ABO34" s="8">
        <v>0</v>
      </c>
      <c r="ABP34" s="8">
        <v>0</v>
      </c>
      <c r="ABQ34" s="8">
        <v>0</v>
      </c>
      <c r="ABR34" s="8">
        <v>0</v>
      </c>
      <c r="ABS34" s="8">
        <v>0</v>
      </c>
      <c r="ABT34" s="8">
        <v>0</v>
      </c>
      <c r="ABU34" s="8">
        <v>0</v>
      </c>
      <c r="ABV34" s="8">
        <v>0</v>
      </c>
      <c r="ABW34" s="8">
        <v>0</v>
      </c>
      <c r="ABX34" s="8">
        <v>0</v>
      </c>
      <c r="ABY34" s="8">
        <v>0</v>
      </c>
      <c r="ABZ34" s="8">
        <v>0</v>
      </c>
      <c r="ACA34" s="8">
        <v>0</v>
      </c>
      <c r="ACB34" s="8">
        <v>0</v>
      </c>
      <c r="ACC34" s="8">
        <v>0</v>
      </c>
      <c r="ACD34" s="8">
        <v>0</v>
      </c>
      <c r="ACE34" s="8">
        <v>0</v>
      </c>
      <c r="ACF34" s="8">
        <v>0</v>
      </c>
      <c r="ACG34" s="8">
        <v>0</v>
      </c>
      <c r="ACH34" s="8">
        <v>0</v>
      </c>
      <c r="ACI34" s="8">
        <v>0</v>
      </c>
      <c r="ACJ34" s="8">
        <v>0</v>
      </c>
      <c r="ACK34" s="8">
        <v>0</v>
      </c>
      <c r="ACL34" s="8">
        <v>0</v>
      </c>
      <c r="ACM34" s="8">
        <v>0</v>
      </c>
      <c r="ACN34" s="8">
        <v>0</v>
      </c>
      <c r="ACO34" s="8">
        <v>0</v>
      </c>
      <c r="ACP34" s="8">
        <v>0</v>
      </c>
      <c r="ACQ34" s="8">
        <v>0</v>
      </c>
      <c r="ACR34" s="8">
        <v>0</v>
      </c>
      <c r="ACS34" s="8">
        <v>0</v>
      </c>
      <c r="ACT34" s="8">
        <v>0</v>
      </c>
      <c r="ACU34" s="8">
        <v>0</v>
      </c>
      <c r="ACV34" s="8">
        <v>0</v>
      </c>
      <c r="ACW34" s="8">
        <v>0</v>
      </c>
      <c r="ACX34" s="8">
        <v>0</v>
      </c>
      <c r="ACY34" s="8">
        <v>0</v>
      </c>
      <c r="ACZ34" s="8">
        <v>0</v>
      </c>
      <c r="ADA34" s="8">
        <v>0</v>
      </c>
      <c r="ADB34" s="8">
        <v>0</v>
      </c>
      <c r="ADC34" s="8">
        <v>0</v>
      </c>
      <c r="ADD34" s="8">
        <v>0</v>
      </c>
      <c r="ADE34" s="8">
        <v>0</v>
      </c>
      <c r="ADF34" s="8">
        <v>0</v>
      </c>
      <c r="ADG34" s="8">
        <v>0</v>
      </c>
      <c r="ADH34" s="8">
        <v>0</v>
      </c>
      <c r="ADI34" s="8">
        <v>0</v>
      </c>
      <c r="ADJ34" s="8">
        <v>0</v>
      </c>
      <c r="ADK34" s="8">
        <v>0</v>
      </c>
      <c r="ADL34" s="8">
        <v>0</v>
      </c>
      <c r="ADM34" s="8">
        <v>0</v>
      </c>
      <c r="ADN34" s="8">
        <v>0</v>
      </c>
      <c r="ADO34" s="8">
        <v>0</v>
      </c>
      <c r="ADP34" s="8">
        <v>0</v>
      </c>
      <c r="ADQ34" s="8">
        <v>0</v>
      </c>
      <c r="ADR34" s="8">
        <v>0</v>
      </c>
      <c r="ADS34" s="8">
        <v>0</v>
      </c>
      <c r="ADT34" s="8">
        <v>0</v>
      </c>
      <c r="ADU34" s="8">
        <v>0</v>
      </c>
      <c r="ADV34" s="8">
        <v>0</v>
      </c>
      <c r="ADW34" s="8">
        <v>0</v>
      </c>
      <c r="ADX34" s="8">
        <v>0</v>
      </c>
      <c r="ADY34" s="8">
        <v>0</v>
      </c>
      <c r="ADZ34" s="8">
        <v>0</v>
      </c>
      <c r="AEA34" s="8">
        <v>0</v>
      </c>
      <c r="AEB34" s="8">
        <v>0</v>
      </c>
      <c r="AEC34" s="8">
        <v>0</v>
      </c>
      <c r="AED34" s="8">
        <v>0</v>
      </c>
      <c r="AEE34" s="8">
        <v>0</v>
      </c>
      <c r="AEF34" s="8">
        <v>0</v>
      </c>
      <c r="AEG34" s="8">
        <v>0</v>
      </c>
      <c r="AEH34" s="8">
        <v>0</v>
      </c>
      <c r="AEI34" s="8">
        <v>0</v>
      </c>
      <c r="AEJ34" s="8">
        <v>0</v>
      </c>
      <c r="AEK34" s="8">
        <v>0</v>
      </c>
      <c r="AEL34" s="8">
        <v>0</v>
      </c>
      <c r="AEM34" s="8">
        <v>0</v>
      </c>
      <c r="AEN34" s="8">
        <v>0</v>
      </c>
      <c r="AEO34" s="8">
        <v>0</v>
      </c>
      <c r="AEP34" s="8">
        <v>0</v>
      </c>
      <c r="AEQ34" s="8">
        <v>0</v>
      </c>
      <c r="AER34" s="8">
        <v>0</v>
      </c>
      <c r="AES34" s="8">
        <v>0</v>
      </c>
      <c r="AET34" s="8">
        <v>0</v>
      </c>
      <c r="AEU34" s="8">
        <v>0</v>
      </c>
      <c r="AEV34" s="8">
        <v>0</v>
      </c>
      <c r="AEW34" s="8">
        <v>0</v>
      </c>
      <c r="AEX34" s="8">
        <v>0</v>
      </c>
      <c r="AEY34" s="8">
        <v>0</v>
      </c>
      <c r="AEZ34" s="8">
        <v>0</v>
      </c>
      <c r="AFA34" s="8">
        <v>0</v>
      </c>
      <c r="AFB34" s="8">
        <v>0</v>
      </c>
      <c r="AFC34" s="8">
        <v>0</v>
      </c>
      <c r="AFD34" s="8">
        <v>0</v>
      </c>
      <c r="AFE34" s="8">
        <v>0</v>
      </c>
      <c r="AFF34" s="8">
        <v>0</v>
      </c>
      <c r="AFG34" s="8">
        <v>0</v>
      </c>
      <c r="AFH34" s="8">
        <v>0</v>
      </c>
      <c r="AFI34" s="8">
        <v>0</v>
      </c>
      <c r="AFJ34" s="8">
        <v>0</v>
      </c>
      <c r="AFK34" s="8">
        <v>0</v>
      </c>
      <c r="AFL34" s="8">
        <v>0</v>
      </c>
      <c r="AFM34" s="8">
        <v>0</v>
      </c>
      <c r="AFN34" s="8">
        <v>0</v>
      </c>
      <c r="AFO34" s="8">
        <v>0</v>
      </c>
      <c r="AFP34" s="8">
        <v>0</v>
      </c>
      <c r="AFQ34" s="8">
        <v>0</v>
      </c>
      <c r="AFR34" s="8">
        <v>0</v>
      </c>
      <c r="AFS34" s="8">
        <v>0</v>
      </c>
      <c r="AFT34" s="8">
        <v>0</v>
      </c>
      <c r="AFU34" s="8">
        <v>0</v>
      </c>
      <c r="AFV34" s="8">
        <v>0</v>
      </c>
      <c r="AFW34" s="8">
        <v>0</v>
      </c>
      <c r="AFX34" s="8">
        <v>0</v>
      </c>
      <c r="AFY34" s="8">
        <v>0</v>
      </c>
      <c r="AFZ34" s="8">
        <v>0</v>
      </c>
      <c r="AGA34" s="8">
        <v>0</v>
      </c>
      <c r="AGB34" s="8">
        <v>0</v>
      </c>
      <c r="AGC34" s="8">
        <v>0</v>
      </c>
      <c r="AGD34" s="8">
        <v>0</v>
      </c>
      <c r="AGE34" s="8">
        <v>0</v>
      </c>
      <c r="AGF34" s="8">
        <v>0</v>
      </c>
      <c r="AGG34" s="8">
        <v>0</v>
      </c>
      <c r="AGH34" s="8">
        <v>0</v>
      </c>
      <c r="AGI34" s="8">
        <v>0</v>
      </c>
      <c r="AGJ34" s="8">
        <v>0</v>
      </c>
      <c r="AGK34" s="8">
        <v>0</v>
      </c>
      <c r="AGL34" s="8">
        <v>0</v>
      </c>
      <c r="AGM34" s="8">
        <v>0</v>
      </c>
      <c r="AGN34" s="8">
        <v>0</v>
      </c>
      <c r="AGO34" s="8">
        <v>0</v>
      </c>
      <c r="AGP34" s="8">
        <v>0</v>
      </c>
      <c r="AGQ34" s="8">
        <v>0</v>
      </c>
      <c r="AGR34" s="8">
        <v>0</v>
      </c>
      <c r="AGS34" s="8">
        <v>0</v>
      </c>
      <c r="AGT34" s="8">
        <v>0</v>
      </c>
      <c r="AGU34" s="8">
        <v>0</v>
      </c>
      <c r="AGV34" s="8">
        <v>0</v>
      </c>
      <c r="AGW34" s="8">
        <v>0</v>
      </c>
      <c r="AGX34" s="8">
        <v>0</v>
      </c>
      <c r="AGY34" s="8">
        <v>0</v>
      </c>
      <c r="AGZ34" s="8">
        <v>0</v>
      </c>
      <c r="AHA34" s="8">
        <v>0</v>
      </c>
      <c r="AHB34" s="8">
        <v>0</v>
      </c>
      <c r="AHC34" s="8">
        <v>0</v>
      </c>
      <c r="AHD34" s="8">
        <v>0</v>
      </c>
      <c r="AHE34" s="8">
        <v>0</v>
      </c>
      <c r="AHF34" s="8">
        <v>0</v>
      </c>
      <c r="AHG34" s="8">
        <v>0</v>
      </c>
      <c r="AHH34" s="8">
        <v>0</v>
      </c>
      <c r="AHI34" s="8">
        <v>0</v>
      </c>
      <c r="AHJ34" s="8">
        <v>0</v>
      </c>
      <c r="AHK34" s="8">
        <v>0</v>
      </c>
      <c r="AHL34" s="8">
        <v>0</v>
      </c>
      <c r="AHM34" s="8">
        <v>0</v>
      </c>
      <c r="AHN34" s="8">
        <v>0</v>
      </c>
      <c r="AHO34" s="8">
        <v>0</v>
      </c>
      <c r="AHP34" s="8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 t="e">
        <v>#N/A</v>
      </c>
      <c r="AIJ34" t="e">
        <v>#N/A</v>
      </c>
      <c r="AIK34" t="e">
        <v>#N/A</v>
      </c>
      <c r="AIL34" t="e">
        <v>#N/A</v>
      </c>
      <c r="AIM34" t="e">
        <v>#N/A</v>
      </c>
      <c r="AIN34" t="e">
        <v>#N/A</v>
      </c>
      <c r="AIO34" t="e">
        <v>#N/A</v>
      </c>
      <c r="AIP34" t="e">
        <v>#N/A</v>
      </c>
      <c r="AIQ34" t="e">
        <v>#N/A</v>
      </c>
      <c r="AIR34" t="e">
        <v>#N/A</v>
      </c>
      <c r="AIS34" t="e">
        <v>#N/A</v>
      </c>
      <c r="AIT34" t="e">
        <v>#N/A</v>
      </c>
      <c r="AIU34" t="e">
        <v>#N/A</v>
      </c>
      <c r="AIV34" t="e">
        <v>#N/A</v>
      </c>
      <c r="AIW34" t="e">
        <v>#N/A</v>
      </c>
      <c r="AIX34" t="e">
        <v>#N/A</v>
      </c>
      <c r="AIY34" t="e">
        <v>#N/A</v>
      </c>
      <c r="AIZ34" t="e">
        <v>#N/A</v>
      </c>
      <c r="AJA34" t="e">
        <v>#N/A</v>
      </c>
      <c r="AJB34" t="e">
        <v>#N/A</v>
      </c>
      <c r="AJC34" t="e">
        <v>#N/A</v>
      </c>
      <c r="AJD34" t="e">
        <v>#N/A</v>
      </c>
      <c r="AJE34" t="e">
        <v>#N/A</v>
      </c>
      <c r="AJF34" t="e">
        <v>#N/A</v>
      </c>
      <c r="AJG34" t="e">
        <v>#N/A</v>
      </c>
      <c r="AJH34" t="e">
        <v>#N/A</v>
      </c>
      <c r="AJI34" t="e">
        <v>#N/A</v>
      </c>
      <c r="AJJ34" t="e">
        <v>#N/A</v>
      </c>
      <c r="AJK34" t="e">
        <v>#N/A</v>
      </c>
      <c r="AJL34" t="e">
        <v>#N/A</v>
      </c>
      <c r="AJM34" t="e">
        <v>#N/A</v>
      </c>
      <c r="AJN34" t="e">
        <v>#N/A</v>
      </c>
      <c r="AJO34" t="e">
        <v>#N/A</v>
      </c>
      <c r="AJP34" t="e">
        <v>#N/A</v>
      </c>
      <c r="AJQ34" t="e">
        <v>#N/A</v>
      </c>
      <c r="AJR34" t="e">
        <v>#N/A</v>
      </c>
      <c r="AJS34" t="e">
        <v>#N/A</v>
      </c>
      <c r="AJT34" t="e">
        <v>#N/A</v>
      </c>
      <c r="AJU34" t="e">
        <v>#N/A</v>
      </c>
      <c r="AJV34" t="e">
        <v>#N/A</v>
      </c>
      <c r="AJW34" t="e">
        <v>#N/A</v>
      </c>
      <c r="AJX34" t="e">
        <v>#N/A</v>
      </c>
      <c r="AJY34" t="e">
        <v>#N/A</v>
      </c>
      <c r="AJZ34" t="e">
        <v>#N/A</v>
      </c>
      <c r="AKA34" t="e">
        <v>#N/A</v>
      </c>
      <c r="AKB34" t="e">
        <v>#N/A</v>
      </c>
      <c r="AKC34" t="e">
        <v>#N/A</v>
      </c>
      <c r="AKD34" t="e">
        <v>#N/A</v>
      </c>
      <c r="AKE34" t="e">
        <v>#N/A</v>
      </c>
      <c r="AKF34" t="e">
        <v>#N/A</v>
      </c>
      <c r="AKG34" t="e">
        <v>#N/A</v>
      </c>
      <c r="AKH34" t="e">
        <v>#N/A</v>
      </c>
      <c r="AKI34" t="e">
        <v>#N/A</v>
      </c>
      <c r="AKJ34" t="e">
        <v>#N/A</v>
      </c>
      <c r="AKK34" t="e">
        <v>#N/A</v>
      </c>
      <c r="AKL34" t="e">
        <v>#N/A</v>
      </c>
      <c r="AKM34" t="e">
        <v>#N/A</v>
      </c>
      <c r="AKN34" t="e">
        <v>#N/A</v>
      </c>
      <c r="AKO34" t="e">
        <v>#N/A</v>
      </c>
      <c r="AKP34" t="e">
        <v>#N/A</v>
      </c>
      <c r="AKQ34" t="e">
        <v>#N/A</v>
      </c>
      <c r="AKR34" t="e">
        <v>#N/A</v>
      </c>
      <c r="AKS34" t="e">
        <v>#N/A</v>
      </c>
      <c r="AKT34" t="e">
        <v>#N/A</v>
      </c>
      <c r="AKU34" t="e">
        <v>#N/A</v>
      </c>
      <c r="AKV34" t="e">
        <v>#N/A</v>
      </c>
      <c r="AKW34" t="e">
        <v>#N/A</v>
      </c>
      <c r="AKX34" t="e">
        <v>#N/A</v>
      </c>
      <c r="AKY34" t="e">
        <v>#N/A</v>
      </c>
      <c r="AKZ34" t="e">
        <v>#N/A</v>
      </c>
      <c r="ALA34" t="e">
        <v>#N/A</v>
      </c>
      <c r="ALB34" t="e">
        <v>#N/A</v>
      </c>
      <c r="ALC34" t="e">
        <v>#N/A</v>
      </c>
      <c r="ALD34" t="e">
        <v>#N/A</v>
      </c>
      <c r="ALE34" t="e">
        <v>#N/A</v>
      </c>
      <c r="ALF34" t="e">
        <v>#N/A</v>
      </c>
      <c r="ALG34" t="e">
        <v>#N/A</v>
      </c>
      <c r="ALH34" t="e">
        <v>#N/A</v>
      </c>
      <c r="ALI34" t="e">
        <v>#N/A</v>
      </c>
      <c r="ALJ34" t="e">
        <v>#N/A</v>
      </c>
      <c r="ALK34" t="e">
        <v>#N/A</v>
      </c>
      <c r="ALL34" t="e">
        <v>#N/A</v>
      </c>
      <c r="ALM34" t="e">
        <v>#N/A</v>
      </c>
      <c r="ALN34" t="e">
        <v>#N/A</v>
      </c>
      <c r="ALO34" t="e">
        <v>#N/A</v>
      </c>
      <c r="ALP34" t="e">
        <v>#N/A</v>
      </c>
      <c r="ALQ34" t="e">
        <v>#N/A</v>
      </c>
      <c r="ALR34" t="e">
        <v>#N/A</v>
      </c>
      <c r="ALS34" t="e">
        <v>#N/A</v>
      </c>
      <c r="ALT34" t="e">
        <v>#N/A</v>
      </c>
      <c r="ALU34" t="e">
        <v>#N/A</v>
      </c>
      <c r="ALV34" t="e">
        <v>#N/A</v>
      </c>
      <c r="ALW34" t="e">
        <v>#N/A</v>
      </c>
      <c r="ALX34" t="e">
        <v>#N/A</v>
      </c>
      <c r="ALY34" t="e">
        <v>#N/A</v>
      </c>
      <c r="ALZ34" t="e">
        <v>#N/A</v>
      </c>
      <c r="AMA34" t="e">
        <v>#N/A</v>
      </c>
      <c r="AMB34" t="e">
        <v>#N/A</v>
      </c>
      <c r="AMC34" t="e">
        <v>#N/A</v>
      </c>
      <c r="AMD34" t="e">
        <v>#N/A</v>
      </c>
      <c r="AME34" t="e">
        <v>#N/A</v>
      </c>
      <c r="AMF34" t="e">
        <v>#N/A</v>
      </c>
      <c r="AMG34" t="e">
        <v>#N/A</v>
      </c>
      <c r="AMH34" t="e">
        <v>#N/A</v>
      </c>
    </row>
    <row r="35" spans="1:1022" ht="15.75" customHeight="1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  <c r="NC35" s="8">
        <v>0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0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0</v>
      </c>
      <c r="NT35" s="8">
        <v>0</v>
      </c>
      <c r="NU35" s="8">
        <v>0</v>
      </c>
      <c r="NV35" s="8">
        <v>0</v>
      </c>
      <c r="NW35" s="8">
        <v>0</v>
      </c>
      <c r="NX35" s="8">
        <v>0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0</v>
      </c>
      <c r="OI35" s="8">
        <v>0</v>
      </c>
      <c r="OJ35" s="8">
        <v>0</v>
      </c>
      <c r="OK35" s="8">
        <v>0</v>
      </c>
      <c r="OL35" s="8">
        <v>0</v>
      </c>
      <c r="OM35" s="8">
        <v>0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0</v>
      </c>
      <c r="OT35" s="8">
        <v>0</v>
      </c>
      <c r="OU35" s="8">
        <v>0</v>
      </c>
      <c r="OV35" s="8">
        <v>0</v>
      </c>
      <c r="OW35" s="8">
        <v>0</v>
      </c>
      <c r="OX35" s="8">
        <v>0</v>
      </c>
      <c r="OY35" s="8">
        <v>0</v>
      </c>
      <c r="OZ35" s="8">
        <v>0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0</v>
      </c>
      <c r="PG35" s="8">
        <v>0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0</v>
      </c>
      <c r="PN35" s="8">
        <v>0</v>
      </c>
      <c r="PO35" s="8">
        <v>0</v>
      </c>
      <c r="PP35" s="8">
        <v>0</v>
      </c>
      <c r="PQ35" s="8">
        <v>0</v>
      </c>
      <c r="PR35" s="8">
        <v>0</v>
      </c>
      <c r="PS35" s="8">
        <v>0</v>
      </c>
      <c r="PT35" s="8">
        <v>0</v>
      </c>
      <c r="PU35" s="8">
        <v>0</v>
      </c>
      <c r="PV35" s="8">
        <v>0</v>
      </c>
      <c r="PW35" s="8">
        <v>0</v>
      </c>
      <c r="PX35" s="8">
        <v>0</v>
      </c>
      <c r="PY35" s="8">
        <v>0</v>
      </c>
      <c r="PZ35" s="8">
        <v>0</v>
      </c>
      <c r="QA35" s="8">
        <v>0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0</v>
      </c>
      <c r="QL35" s="8">
        <v>0</v>
      </c>
      <c r="QM35" s="8">
        <v>0</v>
      </c>
      <c r="QN35" s="8">
        <v>0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0</v>
      </c>
      <c r="QU35" s="8">
        <v>0</v>
      </c>
      <c r="QV35" s="8">
        <v>0</v>
      </c>
      <c r="QW35" s="8">
        <v>0</v>
      </c>
      <c r="QX35" s="8">
        <v>0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0</v>
      </c>
      <c r="RK35" s="8">
        <v>0</v>
      </c>
      <c r="RL35" s="8">
        <v>0</v>
      </c>
      <c r="RM35" s="8">
        <v>0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0</v>
      </c>
      <c r="ST35" s="8">
        <v>0</v>
      </c>
      <c r="SU35" s="8">
        <v>0</v>
      </c>
      <c r="SV35" s="8">
        <v>0</v>
      </c>
      <c r="SW35" s="8">
        <v>0</v>
      </c>
      <c r="SX35" s="8">
        <v>0</v>
      </c>
      <c r="SY35" s="8">
        <v>0</v>
      </c>
      <c r="SZ35" s="8">
        <v>0</v>
      </c>
      <c r="TA35" s="8">
        <v>0</v>
      </c>
      <c r="TB35" s="8">
        <v>0</v>
      </c>
      <c r="TC35" s="8">
        <v>0</v>
      </c>
      <c r="TD35" s="8">
        <v>0</v>
      </c>
      <c r="TE35" s="8">
        <v>0</v>
      </c>
      <c r="TF35" s="8">
        <v>0</v>
      </c>
      <c r="TG35" s="8">
        <v>0</v>
      </c>
      <c r="TH35" s="8">
        <v>0</v>
      </c>
      <c r="TI35" s="8">
        <v>0</v>
      </c>
      <c r="TJ35" s="8">
        <v>0</v>
      </c>
      <c r="TK35" s="8">
        <v>0</v>
      </c>
      <c r="TL35" s="8">
        <v>0</v>
      </c>
      <c r="TM35" s="8">
        <v>0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0</v>
      </c>
      <c r="TT35" s="8">
        <v>0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0</v>
      </c>
      <c r="UF35" s="8">
        <v>0</v>
      </c>
      <c r="UG35" s="8">
        <v>0</v>
      </c>
      <c r="UH35" s="8">
        <v>0</v>
      </c>
      <c r="UI35" s="8">
        <v>0</v>
      </c>
      <c r="UJ35" s="8">
        <v>0</v>
      </c>
      <c r="UK35" s="8">
        <v>0</v>
      </c>
      <c r="UL35" s="8">
        <v>0</v>
      </c>
      <c r="UM35" s="8">
        <v>0</v>
      </c>
      <c r="UN35" s="8">
        <v>0</v>
      </c>
      <c r="UO35" s="8">
        <v>0</v>
      </c>
      <c r="UP35" s="8">
        <v>0</v>
      </c>
      <c r="UQ35" s="8">
        <v>0</v>
      </c>
      <c r="UR35" s="8">
        <v>0</v>
      </c>
      <c r="US35" s="8">
        <v>0</v>
      </c>
      <c r="UT35" s="8">
        <v>0</v>
      </c>
      <c r="UU35" s="8">
        <v>0</v>
      </c>
      <c r="UV35" s="8">
        <v>0</v>
      </c>
      <c r="UW35" s="8">
        <v>0</v>
      </c>
      <c r="UX35" s="8">
        <v>0</v>
      </c>
      <c r="UY35" s="8">
        <v>0</v>
      </c>
      <c r="UZ35" s="8">
        <v>0</v>
      </c>
      <c r="VA35" s="8">
        <v>0</v>
      </c>
      <c r="VB35" s="8">
        <v>0</v>
      </c>
      <c r="VC35" s="8">
        <v>0</v>
      </c>
      <c r="VD35" s="8">
        <v>0</v>
      </c>
      <c r="VE35" s="8">
        <v>0</v>
      </c>
      <c r="VF35" s="8">
        <v>0</v>
      </c>
      <c r="VG35" s="8">
        <v>0</v>
      </c>
      <c r="VH35" s="8">
        <v>0</v>
      </c>
      <c r="VI35" s="8">
        <v>0</v>
      </c>
      <c r="VJ35" s="8">
        <v>0</v>
      </c>
      <c r="VK35" s="8">
        <v>0</v>
      </c>
      <c r="VL35" s="8">
        <v>0</v>
      </c>
      <c r="VM35" s="8">
        <v>0</v>
      </c>
      <c r="VN35" s="8">
        <v>0</v>
      </c>
      <c r="VO35" s="8">
        <v>0</v>
      </c>
      <c r="VP35" s="8">
        <v>0</v>
      </c>
      <c r="VQ35" s="8">
        <v>0</v>
      </c>
      <c r="VR35" s="8">
        <v>0</v>
      </c>
      <c r="VS35" s="8">
        <v>0</v>
      </c>
      <c r="VT35" s="8">
        <v>0</v>
      </c>
      <c r="VU35" s="8">
        <v>0</v>
      </c>
      <c r="VV35" s="8">
        <v>0</v>
      </c>
      <c r="VW35" s="8">
        <v>0</v>
      </c>
      <c r="VX35" s="8">
        <v>0</v>
      </c>
      <c r="VY35" s="8">
        <v>0</v>
      </c>
      <c r="VZ35" s="8">
        <v>0</v>
      </c>
      <c r="WA35" s="8">
        <v>0</v>
      </c>
      <c r="WB35" s="8">
        <v>0</v>
      </c>
      <c r="WC35" s="8">
        <v>0</v>
      </c>
      <c r="WD35" s="8">
        <v>0</v>
      </c>
      <c r="WE35" s="8">
        <v>0</v>
      </c>
      <c r="WF35" s="8">
        <v>0</v>
      </c>
      <c r="WG35" s="8">
        <v>0</v>
      </c>
      <c r="WH35" s="8">
        <v>0</v>
      </c>
      <c r="WI35" s="8">
        <v>0</v>
      </c>
      <c r="WJ35" s="8">
        <v>0</v>
      </c>
      <c r="WK35" s="8">
        <v>0</v>
      </c>
      <c r="WL35" s="8">
        <v>0</v>
      </c>
      <c r="WM35" s="8">
        <v>0</v>
      </c>
      <c r="WN35" s="8">
        <v>0</v>
      </c>
      <c r="WO35" s="8">
        <v>0</v>
      </c>
      <c r="WP35" s="8">
        <v>0</v>
      </c>
      <c r="WQ35" s="8">
        <v>0</v>
      </c>
      <c r="WR35" s="8">
        <v>0</v>
      </c>
      <c r="WS35" s="8">
        <v>0</v>
      </c>
      <c r="WT35" s="8">
        <v>0</v>
      </c>
      <c r="WU35" s="8">
        <v>0</v>
      </c>
      <c r="WV35" s="8">
        <v>0</v>
      </c>
      <c r="WW35" s="8">
        <v>0</v>
      </c>
      <c r="WX35" s="8">
        <v>0</v>
      </c>
      <c r="WY35" s="8">
        <v>0</v>
      </c>
      <c r="WZ35" s="8">
        <v>0</v>
      </c>
      <c r="XA35" s="8">
        <v>0</v>
      </c>
      <c r="XB35" s="8">
        <v>0</v>
      </c>
      <c r="XC35" s="8">
        <v>0</v>
      </c>
      <c r="XD35" s="8">
        <v>0</v>
      </c>
      <c r="XE35" s="8">
        <v>0</v>
      </c>
      <c r="XF35" s="8">
        <v>0</v>
      </c>
      <c r="XG35" s="8">
        <v>0</v>
      </c>
      <c r="XH35" s="8">
        <v>0</v>
      </c>
      <c r="XI35" s="8">
        <v>0</v>
      </c>
      <c r="XJ35" s="8">
        <v>0</v>
      </c>
      <c r="XK35" s="8">
        <v>0</v>
      </c>
      <c r="XL35" s="8">
        <v>0</v>
      </c>
      <c r="XM35" s="8">
        <v>0</v>
      </c>
      <c r="XN35" s="8">
        <v>0</v>
      </c>
      <c r="XO35" s="8">
        <v>0</v>
      </c>
      <c r="XP35" s="8">
        <v>0</v>
      </c>
      <c r="XQ35" s="8">
        <v>0</v>
      </c>
      <c r="XR35" s="8">
        <v>0</v>
      </c>
      <c r="XS35" s="8">
        <v>0</v>
      </c>
      <c r="XT35" s="8">
        <v>0</v>
      </c>
      <c r="XU35" s="8">
        <v>0</v>
      </c>
      <c r="XV35" s="8">
        <v>0</v>
      </c>
      <c r="XW35" s="8">
        <v>0</v>
      </c>
      <c r="XX35" s="8">
        <v>0</v>
      </c>
      <c r="XY35" s="8">
        <v>0</v>
      </c>
      <c r="XZ35" s="8">
        <v>0</v>
      </c>
      <c r="YA35" s="8">
        <v>0</v>
      </c>
      <c r="YB35" s="8">
        <v>0</v>
      </c>
      <c r="YC35" s="8">
        <v>0</v>
      </c>
      <c r="YD35" s="8">
        <v>0</v>
      </c>
      <c r="YE35" s="8">
        <v>0</v>
      </c>
      <c r="YF35" s="8">
        <v>0</v>
      </c>
      <c r="YG35" s="8">
        <v>0</v>
      </c>
      <c r="YH35" s="8">
        <v>0</v>
      </c>
      <c r="YI35" s="8">
        <v>0</v>
      </c>
      <c r="YJ35" s="8">
        <v>0</v>
      </c>
      <c r="YK35" s="8">
        <v>0</v>
      </c>
      <c r="YL35" s="8">
        <v>0</v>
      </c>
      <c r="YM35" s="8">
        <v>0</v>
      </c>
      <c r="YN35" s="8">
        <v>0</v>
      </c>
      <c r="YO35" s="8">
        <v>0</v>
      </c>
      <c r="YP35" s="8">
        <v>0</v>
      </c>
      <c r="YQ35" s="8">
        <v>0</v>
      </c>
      <c r="YR35" s="8">
        <v>0</v>
      </c>
      <c r="YS35" s="8">
        <v>0</v>
      </c>
      <c r="YT35" s="8">
        <v>0</v>
      </c>
      <c r="YU35" s="8">
        <v>0</v>
      </c>
      <c r="YV35" s="8">
        <v>0</v>
      </c>
      <c r="YW35" s="8">
        <v>0</v>
      </c>
      <c r="YX35" s="8">
        <v>0</v>
      </c>
      <c r="YY35" s="8">
        <v>0</v>
      </c>
      <c r="YZ35" s="8">
        <v>0</v>
      </c>
      <c r="ZA35" s="8">
        <v>0</v>
      </c>
      <c r="ZB35" s="8">
        <v>0</v>
      </c>
      <c r="ZC35" s="8">
        <v>0</v>
      </c>
      <c r="ZD35" s="8">
        <v>0</v>
      </c>
      <c r="ZE35" s="8">
        <v>0</v>
      </c>
      <c r="ZF35" s="8">
        <v>0</v>
      </c>
      <c r="ZG35" s="8">
        <v>0</v>
      </c>
      <c r="ZH35" s="8">
        <v>0</v>
      </c>
      <c r="ZI35" s="8">
        <v>0</v>
      </c>
      <c r="ZJ35" s="8">
        <v>0</v>
      </c>
      <c r="ZK35" s="8">
        <v>0</v>
      </c>
      <c r="ZL35" s="8">
        <v>0</v>
      </c>
      <c r="ZM35" s="8">
        <v>0</v>
      </c>
      <c r="ZN35" s="8">
        <v>0</v>
      </c>
      <c r="ZO35" s="8">
        <v>0</v>
      </c>
      <c r="ZP35" s="8">
        <v>0</v>
      </c>
      <c r="ZQ35" s="8">
        <v>0</v>
      </c>
      <c r="ZR35" s="8">
        <v>0</v>
      </c>
      <c r="ZS35" s="8">
        <v>0</v>
      </c>
      <c r="ZT35" s="8">
        <v>0</v>
      </c>
      <c r="ZU35" s="8">
        <v>0</v>
      </c>
      <c r="ZV35" s="8">
        <v>0</v>
      </c>
      <c r="ZW35" s="8">
        <v>0</v>
      </c>
      <c r="ZX35" s="8">
        <v>0</v>
      </c>
      <c r="ZY35" s="8">
        <v>0</v>
      </c>
      <c r="ZZ35" s="8">
        <v>0</v>
      </c>
      <c r="AAA35" s="8">
        <v>0</v>
      </c>
      <c r="AAB35" s="8">
        <v>0</v>
      </c>
      <c r="AAC35" s="8">
        <v>0</v>
      </c>
      <c r="AAD35" s="8">
        <v>0</v>
      </c>
      <c r="AAE35" s="8">
        <v>0</v>
      </c>
      <c r="AAF35" s="8">
        <v>0</v>
      </c>
      <c r="AAG35" s="8">
        <v>0</v>
      </c>
      <c r="AAH35" s="8">
        <v>0</v>
      </c>
      <c r="AAI35" s="8">
        <v>0</v>
      </c>
      <c r="AAJ35" s="8">
        <v>0</v>
      </c>
      <c r="AAK35" s="8">
        <v>0</v>
      </c>
      <c r="AAL35" s="8">
        <v>0</v>
      </c>
      <c r="AAM35" s="8">
        <v>0</v>
      </c>
      <c r="AAN35" s="8">
        <v>0</v>
      </c>
      <c r="AAO35" s="8">
        <v>0</v>
      </c>
      <c r="AAP35" s="8">
        <v>0</v>
      </c>
      <c r="AAQ35" s="8">
        <v>0</v>
      </c>
      <c r="AAR35" s="8">
        <v>0</v>
      </c>
      <c r="AAS35" s="8">
        <v>0</v>
      </c>
      <c r="AAT35" s="8">
        <v>0</v>
      </c>
      <c r="AAU35" s="8">
        <v>0</v>
      </c>
      <c r="AAV35" s="8">
        <v>0</v>
      </c>
      <c r="AAW35" s="8">
        <v>0</v>
      </c>
      <c r="AAX35" s="8">
        <v>0</v>
      </c>
      <c r="AAY35" s="8">
        <v>0</v>
      </c>
      <c r="AAZ35" s="8">
        <v>0</v>
      </c>
      <c r="ABA35" s="8">
        <v>0</v>
      </c>
      <c r="ABB35" s="8">
        <v>0</v>
      </c>
      <c r="ABC35" s="8">
        <v>0</v>
      </c>
      <c r="ABD35" s="8">
        <v>0</v>
      </c>
      <c r="ABE35" s="8">
        <v>0</v>
      </c>
      <c r="ABF35" s="8">
        <v>0</v>
      </c>
      <c r="ABG35" s="8">
        <v>0</v>
      </c>
      <c r="ABH35" s="8">
        <v>0</v>
      </c>
      <c r="ABI35" s="8">
        <v>0</v>
      </c>
      <c r="ABJ35" s="8">
        <v>0</v>
      </c>
      <c r="ABK35" s="8">
        <v>0</v>
      </c>
      <c r="ABL35" s="8">
        <v>0</v>
      </c>
      <c r="ABM35" s="8">
        <v>0</v>
      </c>
      <c r="ABN35" s="8">
        <v>0</v>
      </c>
      <c r="ABO35" s="8">
        <v>0</v>
      </c>
      <c r="ABP35" s="8">
        <v>0</v>
      </c>
      <c r="ABQ35" s="8">
        <v>0</v>
      </c>
      <c r="ABR35" s="8">
        <v>0</v>
      </c>
      <c r="ABS35" s="8">
        <v>0</v>
      </c>
      <c r="ABT35" s="8">
        <v>0</v>
      </c>
      <c r="ABU35" s="8">
        <v>0</v>
      </c>
      <c r="ABV35" s="8">
        <v>0</v>
      </c>
      <c r="ABW35" s="8">
        <v>0</v>
      </c>
      <c r="ABX35" s="8">
        <v>0</v>
      </c>
      <c r="ABY35" s="8">
        <v>0</v>
      </c>
      <c r="ABZ35" s="8">
        <v>0</v>
      </c>
      <c r="ACA35" s="8">
        <v>0</v>
      </c>
      <c r="ACB35" s="8">
        <v>0</v>
      </c>
      <c r="ACC35" s="8">
        <v>0</v>
      </c>
      <c r="ACD35" s="8">
        <v>0</v>
      </c>
      <c r="ACE35" s="8">
        <v>0</v>
      </c>
      <c r="ACF35" s="8">
        <v>0</v>
      </c>
      <c r="ACG35" s="8">
        <v>0</v>
      </c>
      <c r="ACH35" s="8">
        <v>0</v>
      </c>
      <c r="ACI35" s="8">
        <v>0</v>
      </c>
      <c r="ACJ35" s="8">
        <v>0</v>
      </c>
      <c r="ACK35" s="8">
        <v>0</v>
      </c>
      <c r="ACL35" s="8">
        <v>0</v>
      </c>
      <c r="ACM35" s="8">
        <v>0</v>
      </c>
      <c r="ACN35" s="8">
        <v>0</v>
      </c>
      <c r="ACO35" s="8">
        <v>0</v>
      </c>
      <c r="ACP35" s="8">
        <v>0</v>
      </c>
      <c r="ACQ35" s="8">
        <v>0</v>
      </c>
      <c r="ACR35" s="8">
        <v>0</v>
      </c>
      <c r="ACS35" s="8">
        <v>0</v>
      </c>
      <c r="ACT35" s="8">
        <v>0</v>
      </c>
      <c r="ACU35" s="8">
        <v>0</v>
      </c>
      <c r="ACV35" s="8">
        <v>0</v>
      </c>
      <c r="ACW35" s="8">
        <v>0</v>
      </c>
      <c r="ACX35" s="8">
        <v>0</v>
      </c>
      <c r="ACY35" s="8">
        <v>0</v>
      </c>
      <c r="ACZ35" s="8">
        <v>0</v>
      </c>
      <c r="ADA35" s="8">
        <v>0</v>
      </c>
      <c r="ADB35" s="8">
        <v>0</v>
      </c>
      <c r="ADC35" s="8">
        <v>0</v>
      </c>
      <c r="ADD35" s="8">
        <v>0</v>
      </c>
      <c r="ADE35" s="8">
        <v>0</v>
      </c>
      <c r="ADF35" s="8">
        <v>0</v>
      </c>
      <c r="ADG35" s="8">
        <v>0</v>
      </c>
      <c r="ADH35" s="8">
        <v>0</v>
      </c>
      <c r="ADI35" s="8">
        <v>0</v>
      </c>
      <c r="ADJ35" s="8">
        <v>0</v>
      </c>
      <c r="ADK35" s="8">
        <v>0</v>
      </c>
      <c r="ADL35" s="8">
        <v>0</v>
      </c>
      <c r="ADM35" s="8">
        <v>0</v>
      </c>
      <c r="ADN35" s="8">
        <v>0</v>
      </c>
      <c r="ADO35" s="8">
        <v>0</v>
      </c>
      <c r="ADP35" s="8">
        <v>0</v>
      </c>
      <c r="ADQ35" s="8">
        <v>0</v>
      </c>
      <c r="ADR35" s="8">
        <v>0</v>
      </c>
      <c r="ADS35" s="8">
        <v>0</v>
      </c>
      <c r="ADT35" s="8">
        <v>0</v>
      </c>
      <c r="ADU35" s="8">
        <v>0</v>
      </c>
      <c r="ADV35" s="8">
        <v>0</v>
      </c>
      <c r="ADW35" s="8">
        <v>0</v>
      </c>
      <c r="ADX35" s="8">
        <v>0</v>
      </c>
      <c r="ADY35" s="8">
        <v>0</v>
      </c>
      <c r="ADZ35" s="8">
        <v>0</v>
      </c>
      <c r="AEA35" s="8">
        <v>0</v>
      </c>
      <c r="AEB35" s="8">
        <v>0</v>
      </c>
      <c r="AEC35" s="8">
        <v>0</v>
      </c>
      <c r="AED35" s="8">
        <v>0</v>
      </c>
      <c r="AEE35" s="8">
        <v>0</v>
      </c>
      <c r="AEF35" s="8">
        <v>0</v>
      </c>
      <c r="AEG35" s="8">
        <v>0</v>
      </c>
      <c r="AEH35" s="8">
        <v>0</v>
      </c>
      <c r="AEI35" s="8">
        <v>0</v>
      </c>
      <c r="AEJ35" s="8">
        <v>0</v>
      </c>
      <c r="AEK35" s="8">
        <v>0</v>
      </c>
      <c r="AEL35" s="8">
        <v>0</v>
      </c>
      <c r="AEM35" s="8">
        <v>0</v>
      </c>
      <c r="AEN35" s="8">
        <v>0</v>
      </c>
      <c r="AEO35" s="8">
        <v>0</v>
      </c>
      <c r="AEP35" s="8">
        <v>0</v>
      </c>
      <c r="AEQ35" s="8">
        <v>0</v>
      </c>
      <c r="AER35" s="8">
        <v>0</v>
      </c>
      <c r="AES35" s="8">
        <v>0</v>
      </c>
      <c r="AET35" s="8">
        <v>0</v>
      </c>
      <c r="AEU35" s="8">
        <v>0</v>
      </c>
      <c r="AEV35" s="8">
        <v>0</v>
      </c>
      <c r="AEW35" s="8">
        <v>0</v>
      </c>
      <c r="AEX35" s="8">
        <v>0</v>
      </c>
      <c r="AEY35" s="8">
        <v>0</v>
      </c>
      <c r="AEZ35" s="8">
        <v>0</v>
      </c>
      <c r="AFA35" s="8">
        <v>0</v>
      </c>
      <c r="AFB35" s="8">
        <v>0</v>
      </c>
      <c r="AFC35" s="8">
        <v>0</v>
      </c>
      <c r="AFD35" s="8">
        <v>0</v>
      </c>
      <c r="AFE35" s="8">
        <v>0</v>
      </c>
      <c r="AFF35" s="8">
        <v>0</v>
      </c>
      <c r="AFG35" s="8">
        <v>0</v>
      </c>
      <c r="AFH35" s="8">
        <v>0</v>
      </c>
      <c r="AFI35" s="8">
        <v>0</v>
      </c>
      <c r="AFJ35" s="8">
        <v>0</v>
      </c>
      <c r="AFK35" s="8">
        <v>0</v>
      </c>
      <c r="AFL35" s="8">
        <v>0</v>
      </c>
      <c r="AFM35" s="8">
        <v>0</v>
      </c>
      <c r="AFN35" s="8">
        <v>0</v>
      </c>
      <c r="AFO35" s="8">
        <v>0</v>
      </c>
      <c r="AFP35" s="8">
        <v>0</v>
      </c>
      <c r="AFQ35" s="8">
        <v>0</v>
      </c>
      <c r="AFR35" s="8">
        <v>0</v>
      </c>
      <c r="AFS35" s="8">
        <v>0</v>
      </c>
      <c r="AFT35" s="8">
        <v>0</v>
      </c>
      <c r="AFU35" s="8">
        <v>0</v>
      </c>
      <c r="AFV35" s="8">
        <v>0</v>
      </c>
      <c r="AFW35" s="8">
        <v>0</v>
      </c>
      <c r="AFX35" s="8">
        <v>0</v>
      </c>
      <c r="AFY35" s="8">
        <v>0</v>
      </c>
      <c r="AFZ35" s="8">
        <v>0</v>
      </c>
      <c r="AGA35" s="8">
        <v>0</v>
      </c>
      <c r="AGB35" s="8">
        <v>0</v>
      </c>
      <c r="AGC35" s="8">
        <v>0</v>
      </c>
      <c r="AGD35" s="8">
        <v>0</v>
      </c>
      <c r="AGE35" s="8">
        <v>0</v>
      </c>
      <c r="AGF35" s="8">
        <v>0</v>
      </c>
      <c r="AGG35" s="8">
        <v>0</v>
      </c>
      <c r="AGH35" s="8">
        <v>0</v>
      </c>
      <c r="AGI35" s="8">
        <v>0</v>
      </c>
      <c r="AGJ35" s="8">
        <v>0</v>
      </c>
      <c r="AGK35" s="8">
        <v>0</v>
      </c>
      <c r="AGL35" s="8">
        <v>0</v>
      </c>
      <c r="AGM35" s="8">
        <v>0</v>
      </c>
      <c r="AGN35" s="8">
        <v>0</v>
      </c>
      <c r="AGO35" s="8">
        <v>0</v>
      </c>
      <c r="AGP35" s="8">
        <v>0</v>
      </c>
      <c r="AGQ35" s="8">
        <v>0</v>
      </c>
      <c r="AGR35" s="8">
        <v>0</v>
      </c>
      <c r="AGS35" s="8">
        <v>0</v>
      </c>
      <c r="AGT35" s="8">
        <v>0</v>
      </c>
      <c r="AGU35" s="8">
        <v>0</v>
      </c>
      <c r="AGV35" s="8">
        <v>0</v>
      </c>
      <c r="AGW35" s="8">
        <v>0</v>
      </c>
      <c r="AGX35" s="8">
        <v>0</v>
      </c>
      <c r="AGY35" s="8">
        <v>0</v>
      </c>
      <c r="AGZ35" s="8">
        <v>0</v>
      </c>
      <c r="AHA35" s="8">
        <v>0</v>
      </c>
      <c r="AHB35" s="8">
        <v>0</v>
      </c>
      <c r="AHC35" s="8">
        <v>0</v>
      </c>
      <c r="AHD35" s="8">
        <v>0</v>
      </c>
      <c r="AHE35" s="8">
        <v>0</v>
      </c>
      <c r="AHF35" s="8">
        <v>0</v>
      </c>
      <c r="AHG35" s="8">
        <v>0</v>
      </c>
      <c r="AHH35" s="8">
        <v>0</v>
      </c>
      <c r="AHI35" s="8">
        <v>0</v>
      </c>
      <c r="AHJ35" s="8">
        <v>0</v>
      </c>
      <c r="AHK35" s="8">
        <v>0</v>
      </c>
      <c r="AHL35" s="8">
        <v>0</v>
      </c>
      <c r="AHM35" s="8">
        <v>0</v>
      </c>
      <c r="AHN35" s="8">
        <v>0</v>
      </c>
      <c r="AHO35" s="8">
        <v>0</v>
      </c>
      <c r="AHP35" s="8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 t="e">
        <v>#N/A</v>
      </c>
      <c r="AIJ35" t="e">
        <v>#N/A</v>
      </c>
      <c r="AIK35" t="e">
        <v>#N/A</v>
      </c>
      <c r="AIL35" t="e">
        <v>#N/A</v>
      </c>
      <c r="AIM35" t="e">
        <v>#N/A</v>
      </c>
      <c r="AIN35" t="e">
        <v>#N/A</v>
      </c>
      <c r="AIO35" t="e">
        <v>#N/A</v>
      </c>
      <c r="AIP35" t="e">
        <v>#N/A</v>
      </c>
      <c r="AIQ35" t="e">
        <v>#N/A</v>
      </c>
      <c r="AIR35" t="e">
        <v>#N/A</v>
      </c>
      <c r="AIS35" t="e">
        <v>#N/A</v>
      </c>
      <c r="AIT35" t="e">
        <v>#N/A</v>
      </c>
      <c r="AIU35" t="e">
        <v>#N/A</v>
      </c>
      <c r="AIV35" t="e">
        <v>#N/A</v>
      </c>
      <c r="AIW35" t="e">
        <v>#N/A</v>
      </c>
      <c r="AIX35" t="e">
        <v>#N/A</v>
      </c>
      <c r="AIY35" t="e">
        <v>#N/A</v>
      </c>
      <c r="AIZ35" t="e">
        <v>#N/A</v>
      </c>
      <c r="AJA35" t="e">
        <v>#N/A</v>
      </c>
      <c r="AJB35" t="e">
        <v>#N/A</v>
      </c>
      <c r="AJC35" t="e">
        <v>#N/A</v>
      </c>
      <c r="AJD35" t="e">
        <v>#N/A</v>
      </c>
      <c r="AJE35" t="e">
        <v>#N/A</v>
      </c>
      <c r="AJF35" t="e">
        <v>#N/A</v>
      </c>
      <c r="AJG35" t="e">
        <v>#N/A</v>
      </c>
      <c r="AJH35" t="e">
        <v>#N/A</v>
      </c>
      <c r="AJI35" t="e">
        <v>#N/A</v>
      </c>
      <c r="AJJ35" t="e">
        <v>#N/A</v>
      </c>
      <c r="AJK35" t="e">
        <v>#N/A</v>
      </c>
      <c r="AJL35" t="e">
        <v>#N/A</v>
      </c>
      <c r="AJM35" t="e">
        <v>#N/A</v>
      </c>
      <c r="AJN35" t="e">
        <v>#N/A</v>
      </c>
      <c r="AJO35" t="e">
        <v>#N/A</v>
      </c>
      <c r="AJP35" t="e">
        <v>#N/A</v>
      </c>
      <c r="AJQ35" t="e">
        <v>#N/A</v>
      </c>
      <c r="AJR35" t="e">
        <v>#N/A</v>
      </c>
      <c r="AJS35" t="e">
        <v>#N/A</v>
      </c>
      <c r="AJT35" t="e">
        <v>#N/A</v>
      </c>
      <c r="AJU35" t="e">
        <v>#N/A</v>
      </c>
      <c r="AJV35" t="e">
        <v>#N/A</v>
      </c>
      <c r="AJW35" t="e">
        <v>#N/A</v>
      </c>
      <c r="AJX35" t="e">
        <v>#N/A</v>
      </c>
      <c r="AJY35" t="e">
        <v>#N/A</v>
      </c>
      <c r="AJZ35" t="e">
        <v>#N/A</v>
      </c>
      <c r="AKA35" t="e">
        <v>#N/A</v>
      </c>
      <c r="AKB35" t="e">
        <v>#N/A</v>
      </c>
      <c r="AKC35" t="e">
        <v>#N/A</v>
      </c>
      <c r="AKD35" t="e">
        <v>#N/A</v>
      </c>
      <c r="AKE35" t="e">
        <v>#N/A</v>
      </c>
      <c r="AKF35" t="e">
        <v>#N/A</v>
      </c>
      <c r="AKG35" t="e">
        <v>#N/A</v>
      </c>
      <c r="AKH35" t="e">
        <v>#N/A</v>
      </c>
      <c r="AKI35" t="e">
        <v>#N/A</v>
      </c>
      <c r="AKJ35" t="e">
        <v>#N/A</v>
      </c>
      <c r="AKK35" t="e">
        <v>#N/A</v>
      </c>
      <c r="AKL35" t="e">
        <v>#N/A</v>
      </c>
      <c r="AKM35" t="e">
        <v>#N/A</v>
      </c>
      <c r="AKN35" t="e">
        <v>#N/A</v>
      </c>
      <c r="AKO35" t="e">
        <v>#N/A</v>
      </c>
      <c r="AKP35" t="e">
        <v>#N/A</v>
      </c>
      <c r="AKQ35" t="e">
        <v>#N/A</v>
      </c>
      <c r="AKR35" t="e">
        <v>#N/A</v>
      </c>
      <c r="AKS35" t="e">
        <v>#N/A</v>
      </c>
      <c r="AKT35" t="e">
        <v>#N/A</v>
      </c>
      <c r="AKU35" t="e">
        <v>#N/A</v>
      </c>
      <c r="AKV35" t="e">
        <v>#N/A</v>
      </c>
      <c r="AKW35" t="e">
        <v>#N/A</v>
      </c>
      <c r="AKX35" t="e">
        <v>#N/A</v>
      </c>
      <c r="AKY35" t="e">
        <v>#N/A</v>
      </c>
      <c r="AKZ35" t="e">
        <v>#N/A</v>
      </c>
      <c r="ALA35" t="e">
        <v>#N/A</v>
      </c>
      <c r="ALB35" t="e">
        <v>#N/A</v>
      </c>
      <c r="ALC35" t="e">
        <v>#N/A</v>
      </c>
      <c r="ALD35" t="e">
        <v>#N/A</v>
      </c>
      <c r="ALE35" t="e">
        <v>#N/A</v>
      </c>
      <c r="ALF35" t="e">
        <v>#N/A</v>
      </c>
      <c r="ALG35" t="e">
        <v>#N/A</v>
      </c>
      <c r="ALH35" t="e">
        <v>#N/A</v>
      </c>
      <c r="ALI35" t="e">
        <v>#N/A</v>
      </c>
      <c r="ALJ35" t="e">
        <v>#N/A</v>
      </c>
      <c r="ALK35" t="e">
        <v>#N/A</v>
      </c>
      <c r="ALL35" t="e">
        <v>#N/A</v>
      </c>
      <c r="ALM35" t="e">
        <v>#N/A</v>
      </c>
      <c r="ALN35" t="e">
        <v>#N/A</v>
      </c>
      <c r="ALO35" t="e">
        <v>#N/A</v>
      </c>
      <c r="ALP35" t="e">
        <v>#N/A</v>
      </c>
      <c r="ALQ35" t="e">
        <v>#N/A</v>
      </c>
      <c r="ALR35" t="e">
        <v>#N/A</v>
      </c>
      <c r="ALS35" t="e">
        <v>#N/A</v>
      </c>
      <c r="ALT35" t="e">
        <v>#N/A</v>
      </c>
      <c r="ALU35" t="e">
        <v>#N/A</v>
      </c>
      <c r="ALV35" t="e">
        <v>#N/A</v>
      </c>
      <c r="ALW35" t="e">
        <v>#N/A</v>
      </c>
      <c r="ALX35" t="e">
        <v>#N/A</v>
      </c>
      <c r="ALY35" t="e">
        <v>#N/A</v>
      </c>
      <c r="ALZ35" t="e">
        <v>#N/A</v>
      </c>
      <c r="AMA35" t="e">
        <v>#N/A</v>
      </c>
      <c r="AMB35" t="e">
        <v>#N/A</v>
      </c>
      <c r="AMC35" t="e">
        <v>#N/A</v>
      </c>
      <c r="AMD35" t="e">
        <v>#N/A</v>
      </c>
      <c r="AME35" t="e">
        <v>#N/A</v>
      </c>
      <c r="AMF35" t="e">
        <v>#N/A</v>
      </c>
      <c r="AMG35" t="e">
        <v>#N/A</v>
      </c>
      <c r="AMH35" t="e">
        <v>#N/A</v>
      </c>
    </row>
    <row r="36" spans="1:1022" ht="15.75" customHeight="1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0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0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0</v>
      </c>
      <c r="PX36" s="8">
        <v>0</v>
      </c>
      <c r="PY36" s="8">
        <v>0</v>
      </c>
      <c r="PZ36" s="8">
        <v>0</v>
      </c>
      <c r="QA36" s="8">
        <v>0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0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0</v>
      </c>
      <c r="SP36" s="8">
        <v>0</v>
      </c>
      <c r="SQ36" s="8">
        <v>0</v>
      </c>
      <c r="SR36" s="8">
        <v>0</v>
      </c>
      <c r="SS36" s="8">
        <v>0</v>
      </c>
      <c r="ST36" s="8">
        <v>0</v>
      </c>
      <c r="SU36" s="8">
        <v>0</v>
      </c>
      <c r="SV36" s="8">
        <v>0</v>
      </c>
      <c r="SW36" s="8">
        <v>0</v>
      </c>
      <c r="SX36" s="8">
        <v>0</v>
      </c>
      <c r="SY36" s="8">
        <v>0</v>
      </c>
      <c r="SZ36" s="8">
        <v>0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0</v>
      </c>
      <c r="TN36" s="8">
        <v>0</v>
      </c>
      <c r="TO36" s="8">
        <v>0</v>
      </c>
      <c r="TP36" s="8">
        <v>0</v>
      </c>
      <c r="TQ36" s="8">
        <v>0</v>
      </c>
      <c r="TR36" s="8">
        <v>0</v>
      </c>
      <c r="TS36" s="8">
        <v>0</v>
      </c>
      <c r="TT36" s="8">
        <v>0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0</v>
      </c>
      <c r="UK36" s="8">
        <v>0</v>
      </c>
      <c r="UL36" s="8">
        <v>0</v>
      </c>
      <c r="UM36" s="8">
        <v>0</v>
      </c>
      <c r="UN36" s="8">
        <v>0</v>
      </c>
      <c r="UO36" s="8">
        <v>0</v>
      </c>
      <c r="UP36" s="8">
        <v>0</v>
      </c>
      <c r="UQ36" s="8">
        <v>0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0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0</v>
      </c>
      <c r="VO36" s="8">
        <v>0</v>
      </c>
      <c r="VP36" s="8">
        <v>0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0</v>
      </c>
      <c r="WM36" s="8">
        <v>0</v>
      </c>
      <c r="WN36" s="8">
        <v>0</v>
      </c>
      <c r="WO36" s="8">
        <v>0</v>
      </c>
      <c r="WP36" s="8">
        <v>0</v>
      </c>
      <c r="WQ36" s="8">
        <v>0</v>
      </c>
      <c r="WR36" s="8">
        <v>0</v>
      </c>
      <c r="WS36" s="8">
        <v>0</v>
      </c>
      <c r="WT36" s="8">
        <v>0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0</v>
      </c>
      <c r="XB36" s="8">
        <v>0</v>
      </c>
      <c r="XC36" s="8">
        <v>0</v>
      </c>
      <c r="XD36" s="8">
        <v>0</v>
      </c>
      <c r="XE36" s="8">
        <v>0</v>
      </c>
      <c r="XF36" s="8">
        <v>0</v>
      </c>
      <c r="XG36" s="8">
        <v>0</v>
      </c>
      <c r="XH36" s="8">
        <v>0</v>
      </c>
      <c r="XI36" s="8">
        <v>0</v>
      </c>
      <c r="XJ36" s="8">
        <v>0</v>
      </c>
      <c r="XK36" s="8">
        <v>0</v>
      </c>
      <c r="XL36" s="8">
        <v>0</v>
      </c>
      <c r="XM36" s="8">
        <v>0</v>
      </c>
      <c r="XN36" s="8">
        <v>0</v>
      </c>
      <c r="XO36" s="8">
        <v>0</v>
      </c>
      <c r="XP36" s="8">
        <v>0</v>
      </c>
      <c r="XQ36" s="8">
        <v>0</v>
      </c>
      <c r="XR36" s="8">
        <v>0</v>
      </c>
      <c r="XS36" s="8">
        <v>0</v>
      </c>
      <c r="XT36" s="8">
        <v>0</v>
      </c>
      <c r="XU36" s="8">
        <v>0</v>
      </c>
      <c r="XV36" s="8">
        <v>0</v>
      </c>
      <c r="XW36" s="8">
        <v>0</v>
      </c>
      <c r="XX36" s="8">
        <v>0</v>
      </c>
      <c r="XY36" s="8">
        <v>0</v>
      </c>
      <c r="XZ36" s="8">
        <v>0</v>
      </c>
      <c r="YA36" s="8">
        <v>0</v>
      </c>
      <c r="YB36" s="8">
        <v>0</v>
      </c>
      <c r="YC36" s="8">
        <v>0</v>
      </c>
      <c r="YD36" s="8">
        <v>0</v>
      </c>
      <c r="YE36" s="8">
        <v>0</v>
      </c>
      <c r="YF36" s="8">
        <v>0</v>
      </c>
      <c r="YG36" s="8">
        <v>0</v>
      </c>
      <c r="YH36" s="8">
        <v>0</v>
      </c>
      <c r="YI36" s="8">
        <v>0</v>
      </c>
      <c r="YJ36" s="8">
        <v>0</v>
      </c>
      <c r="YK36" s="8">
        <v>0</v>
      </c>
      <c r="YL36" s="8">
        <v>0</v>
      </c>
      <c r="YM36" s="8">
        <v>0</v>
      </c>
      <c r="YN36" s="8">
        <v>0</v>
      </c>
      <c r="YO36" s="8">
        <v>0</v>
      </c>
      <c r="YP36" s="8">
        <v>0</v>
      </c>
      <c r="YQ36" s="8">
        <v>0</v>
      </c>
      <c r="YR36" s="8">
        <v>0</v>
      </c>
      <c r="YS36" s="8">
        <v>0</v>
      </c>
      <c r="YT36" s="8">
        <v>0</v>
      </c>
      <c r="YU36" s="8">
        <v>0</v>
      </c>
      <c r="YV36" s="8">
        <v>0</v>
      </c>
      <c r="YW36" s="8">
        <v>0</v>
      </c>
      <c r="YX36" s="8">
        <v>0</v>
      </c>
      <c r="YY36" s="8">
        <v>0</v>
      </c>
      <c r="YZ36" s="8">
        <v>0</v>
      </c>
      <c r="ZA36" s="8">
        <v>0</v>
      </c>
      <c r="ZB36" s="8">
        <v>0</v>
      </c>
      <c r="ZC36" s="8">
        <v>0</v>
      </c>
      <c r="ZD36" s="8">
        <v>0</v>
      </c>
      <c r="ZE36" s="8">
        <v>0</v>
      </c>
      <c r="ZF36" s="8">
        <v>0</v>
      </c>
      <c r="ZG36" s="8">
        <v>0</v>
      </c>
      <c r="ZH36" s="8">
        <v>0</v>
      </c>
      <c r="ZI36" s="8">
        <v>0</v>
      </c>
      <c r="ZJ36" s="8">
        <v>0</v>
      </c>
      <c r="ZK36" s="8">
        <v>0</v>
      </c>
      <c r="ZL36" s="8">
        <v>0</v>
      </c>
      <c r="ZM36" s="8">
        <v>0</v>
      </c>
      <c r="ZN36" s="8">
        <v>0</v>
      </c>
      <c r="ZO36" s="8">
        <v>0</v>
      </c>
      <c r="ZP36" s="8">
        <v>0</v>
      </c>
      <c r="ZQ36" s="8">
        <v>0</v>
      </c>
      <c r="ZR36" s="8">
        <v>0</v>
      </c>
      <c r="ZS36" s="8">
        <v>0</v>
      </c>
      <c r="ZT36" s="8">
        <v>0</v>
      </c>
      <c r="ZU36" s="8">
        <v>0</v>
      </c>
      <c r="ZV36" s="8">
        <v>0</v>
      </c>
      <c r="ZW36" s="8">
        <v>0</v>
      </c>
      <c r="ZX36" s="8">
        <v>0</v>
      </c>
      <c r="ZY36" s="8">
        <v>0</v>
      </c>
      <c r="ZZ36" s="8">
        <v>0</v>
      </c>
      <c r="AAA36" s="8">
        <v>0</v>
      </c>
      <c r="AAB36" s="8">
        <v>0</v>
      </c>
      <c r="AAC36" s="8">
        <v>0</v>
      </c>
      <c r="AAD36" s="8">
        <v>0</v>
      </c>
      <c r="AAE36" s="8">
        <v>0</v>
      </c>
      <c r="AAF36" s="8">
        <v>0</v>
      </c>
      <c r="AAG36" s="8">
        <v>0</v>
      </c>
      <c r="AAH36" s="8">
        <v>0</v>
      </c>
      <c r="AAI36" s="8">
        <v>0</v>
      </c>
      <c r="AAJ36" s="8">
        <v>0</v>
      </c>
      <c r="AAK36" s="8">
        <v>0</v>
      </c>
      <c r="AAL36" s="8">
        <v>0</v>
      </c>
      <c r="AAM36" s="8">
        <v>0</v>
      </c>
      <c r="AAN36" s="8">
        <v>0</v>
      </c>
      <c r="AAO36" s="8">
        <v>0</v>
      </c>
      <c r="AAP36" s="8">
        <v>0</v>
      </c>
      <c r="AAQ36" s="8">
        <v>0</v>
      </c>
      <c r="AAR36" s="8">
        <v>0</v>
      </c>
      <c r="AAS36" s="8">
        <v>0</v>
      </c>
      <c r="AAT36" s="8">
        <v>0</v>
      </c>
      <c r="AAU36" s="8">
        <v>0</v>
      </c>
      <c r="AAV36" s="8">
        <v>0</v>
      </c>
      <c r="AAW36" s="8">
        <v>0</v>
      </c>
      <c r="AAX36" s="8">
        <v>0</v>
      </c>
      <c r="AAY36" s="8">
        <v>0</v>
      </c>
      <c r="AAZ36" s="8">
        <v>0</v>
      </c>
      <c r="ABA36" s="8">
        <v>0</v>
      </c>
      <c r="ABB36" s="8">
        <v>0</v>
      </c>
      <c r="ABC36" s="8">
        <v>0</v>
      </c>
      <c r="ABD36" s="8">
        <v>0</v>
      </c>
      <c r="ABE36" s="8">
        <v>0</v>
      </c>
      <c r="ABF36" s="8">
        <v>0</v>
      </c>
      <c r="ABG36" s="8">
        <v>0</v>
      </c>
      <c r="ABH36" s="8">
        <v>0</v>
      </c>
      <c r="ABI36" s="8">
        <v>0</v>
      </c>
      <c r="ABJ36" s="8">
        <v>0</v>
      </c>
      <c r="ABK36" s="8">
        <v>0</v>
      </c>
      <c r="ABL36" s="8">
        <v>0</v>
      </c>
      <c r="ABM36" s="8">
        <v>0</v>
      </c>
      <c r="ABN36" s="8">
        <v>0</v>
      </c>
      <c r="ABO36" s="8">
        <v>0</v>
      </c>
      <c r="ABP36" s="8">
        <v>0</v>
      </c>
      <c r="ABQ36" s="8">
        <v>0</v>
      </c>
      <c r="ABR36" s="8">
        <v>0</v>
      </c>
      <c r="ABS36" s="8">
        <v>0</v>
      </c>
      <c r="ABT36" s="8">
        <v>0</v>
      </c>
      <c r="ABU36" s="8">
        <v>0</v>
      </c>
      <c r="ABV36" s="8">
        <v>0</v>
      </c>
      <c r="ABW36" s="8">
        <v>0</v>
      </c>
      <c r="ABX36" s="8">
        <v>0</v>
      </c>
      <c r="ABY36" s="8">
        <v>0</v>
      </c>
      <c r="ABZ36" s="8">
        <v>0</v>
      </c>
      <c r="ACA36" s="8">
        <v>0</v>
      </c>
      <c r="ACB36" s="8">
        <v>0</v>
      </c>
      <c r="ACC36" s="8">
        <v>0</v>
      </c>
      <c r="ACD36" s="8">
        <v>0</v>
      </c>
      <c r="ACE36" s="8">
        <v>0</v>
      </c>
      <c r="ACF36" s="8">
        <v>0</v>
      </c>
      <c r="ACG36" s="8">
        <v>0</v>
      </c>
      <c r="ACH36" s="8">
        <v>0</v>
      </c>
      <c r="ACI36" s="8">
        <v>0</v>
      </c>
      <c r="ACJ36" s="8">
        <v>0</v>
      </c>
      <c r="ACK36" s="8">
        <v>0</v>
      </c>
      <c r="ACL36" s="8">
        <v>0</v>
      </c>
      <c r="ACM36" s="8">
        <v>0</v>
      </c>
      <c r="ACN36" s="8">
        <v>0</v>
      </c>
      <c r="ACO36" s="8">
        <v>0</v>
      </c>
      <c r="ACP36" s="8">
        <v>0</v>
      </c>
      <c r="ACQ36" s="8">
        <v>0</v>
      </c>
      <c r="ACR36" s="8">
        <v>0</v>
      </c>
      <c r="ACS36" s="8">
        <v>0</v>
      </c>
      <c r="ACT36" s="8">
        <v>0</v>
      </c>
      <c r="ACU36" s="8">
        <v>0</v>
      </c>
      <c r="ACV36" s="8">
        <v>0</v>
      </c>
      <c r="ACW36" s="8">
        <v>0</v>
      </c>
      <c r="ACX36" s="8">
        <v>0</v>
      </c>
      <c r="ACY36" s="8">
        <v>0</v>
      </c>
      <c r="ACZ36" s="8">
        <v>0</v>
      </c>
      <c r="ADA36" s="8">
        <v>0</v>
      </c>
      <c r="ADB36" s="8">
        <v>0</v>
      </c>
      <c r="ADC36" s="8">
        <v>0</v>
      </c>
      <c r="ADD36" s="8">
        <v>0</v>
      </c>
      <c r="ADE36" s="8">
        <v>0</v>
      </c>
      <c r="ADF36" s="8">
        <v>0</v>
      </c>
      <c r="ADG36" s="8">
        <v>0</v>
      </c>
      <c r="ADH36" s="8">
        <v>0</v>
      </c>
      <c r="ADI36" s="8">
        <v>0</v>
      </c>
      <c r="ADJ36" s="8">
        <v>0</v>
      </c>
      <c r="ADK36" s="8">
        <v>0</v>
      </c>
      <c r="ADL36" s="8">
        <v>0</v>
      </c>
      <c r="ADM36" s="8">
        <v>0</v>
      </c>
      <c r="ADN36" s="8">
        <v>0</v>
      </c>
      <c r="ADO36" s="8">
        <v>0</v>
      </c>
      <c r="ADP36" s="8">
        <v>0</v>
      </c>
      <c r="ADQ36" s="8">
        <v>0</v>
      </c>
      <c r="ADR36" s="8">
        <v>0</v>
      </c>
      <c r="ADS36" s="8">
        <v>0</v>
      </c>
      <c r="ADT36" s="8">
        <v>0</v>
      </c>
      <c r="ADU36" s="8">
        <v>0</v>
      </c>
      <c r="ADV36" s="8">
        <v>0</v>
      </c>
      <c r="ADW36" s="8">
        <v>0</v>
      </c>
      <c r="ADX36" s="8">
        <v>0</v>
      </c>
      <c r="ADY36" s="8">
        <v>0</v>
      </c>
      <c r="ADZ36" s="8">
        <v>0</v>
      </c>
      <c r="AEA36" s="8">
        <v>0</v>
      </c>
      <c r="AEB36" s="8">
        <v>0</v>
      </c>
      <c r="AEC36" s="8">
        <v>0</v>
      </c>
      <c r="AED36" s="8">
        <v>0</v>
      </c>
      <c r="AEE36" s="8">
        <v>0</v>
      </c>
      <c r="AEF36" s="8">
        <v>0</v>
      </c>
      <c r="AEG36" s="8">
        <v>0</v>
      </c>
      <c r="AEH36" s="8">
        <v>0</v>
      </c>
      <c r="AEI36" s="8">
        <v>0</v>
      </c>
      <c r="AEJ36" s="8">
        <v>0</v>
      </c>
      <c r="AEK36" s="8">
        <v>0</v>
      </c>
      <c r="AEL36" s="8">
        <v>0</v>
      </c>
      <c r="AEM36" s="8">
        <v>0</v>
      </c>
      <c r="AEN36" s="8">
        <v>0</v>
      </c>
      <c r="AEO36" s="8">
        <v>0</v>
      </c>
      <c r="AEP36" s="8">
        <v>0</v>
      </c>
      <c r="AEQ36" s="8">
        <v>0</v>
      </c>
      <c r="AER36" s="8">
        <v>0</v>
      </c>
      <c r="AES36" s="8">
        <v>0</v>
      </c>
      <c r="AET36" s="8">
        <v>0</v>
      </c>
      <c r="AEU36" s="8">
        <v>0</v>
      </c>
      <c r="AEV36" s="8">
        <v>0</v>
      </c>
      <c r="AEW36" s="8">
        <v>0</v>
      </c>
      <c r="AEX36" s="8">
        <v>0</v>
      </c>
      <c r="AEY36" s="8">
        <v>0</v>
      </c>
      <c r="AEZ36" s="8">
        <v>0</v>
      </c>
      <c r="AFA36" s="8">
        <v>0</v>
      </c>
      <c r="AFB36" s="8">
        <v>0</v>
      </c>
      <c r="AFC36" s="8">
        <v>0</v>
      </c>
      <c r="AFD36" s="8">
        <v>0</v>
      </c>
      <c r="AFE36" s="8">
        <v>0</v>
      </c>
      <c r="AFF36" s="8">
        <v>0</v>
      </c>
      <c r="AFG36" s="8">
        <v>0</v>
      </c>
      <c r="AFH36" s="8">
        <v>0</v>
      </c>
      <c r="AFI36" s="8">
        <v>0</v>
      </c>
      <c r="AFJ36" s="8">
        <v>0</v>
      </c>
      <c r="AFK36" s="8">
        <v>0</v>
      </c>
      <c r="AFL36" s="8">
        <v>0</v>
      </c>
      <c r="AFM36" s="8">
        <v>0</v>
      </c>
      <c r="AFN36" s="8">
        <v>0</v>
      </c>
      <c r="AFO36" s="8">
        <v>0</v>
      </c>
      <c r="AFP36" s="8">
        <v>0</v>
      </c>
      <c r="AFQ36" s="8">
        <v>0</v>
      </c>
      <c r="AFR36" s="8">
        <v>0</v>
      </c>
      <c r="AFS36" s="8">
        <v>0</v>
      </c>
      <c r="AFT36" s="8">
        <v>0</v>
      </c>
      <c r="AFU36" s="8">
        <v>0</v>
      </c>
      <c r="AFV36" s="8">
        <v>0</v>
      </c>
      <c r="AFW36" s="8">
        <v>0</v>
      </c>
      <c r="AFX36" s="8">
        <v>0</v>
      </c>
      <c r="AFY36" s="8">
        <v>0</v>
      </c>
      <c r="AFZ36" s="8">
        <v>0</v>
      </c>
      <c r="AGA36" s="8">
        <v>0</v>
      </c>
      <c r="AGB36" s="8">
        <v>0</v>
      </c>
      <c r="AGC36" s="8">
        <v>0</v>
      </c>
      <c r="AGD36" s="8">
        <v>0</v>
      </c>
      <c r="AGE36" s="8">
        <v>0</v>
      </c>
      <c r="AGF36" s="8">
        <v>0</v>
      </c>
      <c r="AGG36" s="8">
        <v>0</v>
      </c>
      <c r="AGH36" s="8">
        <v>0</v>
      </c>
      <c r="AGI36" s="8">
        <v>0</v>
      </c>
      <c r="AGJ36" s="8">
        <v>0</v>
      </c>
      <c r="AGK36" s="8">
        <v>0</v>
      </c>
      <c r="AGL36" s="8">
        <v>0</v>
      </c>
      <c r="AGM36" s="8">
        <v>0</v>
      </c>
      <c r="AGN36" s="8">
        <v>0</v>
      </c>
      <c r="AGO36" s="8">
        <v>0</v>
      </c>
      <c r="AGP36" s="8">
        <v>0</v>
      </c>
      <c r="AGQ36" s="8">
        <v>0</v>
      </c>
      <c r="AGR36" s="8">
        <v>0</v>
      </c>
      <c r="AGS36" s="8">
        <v>0</v>
      </c>
      <c r="AGT36" s="8">
        <v>0</v>
      </c>
      <c r="AGU36" s="8">
        <v>0</v>
      </c>
      <c r="AGV36" s="8">
        <v>0</v>
      </c>
      <c r="AGW36" s="8">
        <v>0</v>
      </c>
      <c r="AGX36" s="8">
        <v>0</v>
      </c>
      <c r="AGY36" s="8">
        <v>0</v>
      </c>
      <c r="AGZ36" s="8">
        <v>0</v>
      </c>
      <c r="AHA36" s="8">
        <v>0</v>
      </c>
      <c r="AHB36" s="8">
        <v>0</v>
      </c>
      <c r="AHC36" s="8">
        <v>0</v>
      </c>
      <c r="AHD36" s="8">
        <v>0</v>
      </c>
      <c r="AHE36" s="8">
        <v>0</v>
      </c>
      <c r="AHF36" s="8">
        <v>0</v>
      </c>
      <c r="AHG36" s="8">
        <v>0</v>
      </c>
      <c r="AHH36" s="8">
        <v>0</v>
      </c>
      <c r="AHI36" s="8">
        <v>0</v>
      </c>
      <c r="AHJ36" s="8">
        <v>0</v>
      </c>
      <c r="AHK36" s="8">
        <v>0</v>
      </c>
      <c r="AHL36" s="8">
        <v>0</v>
      </c>
      <c r="AHM36" s="8">
        <v>0</v>
      </c>
      <c r="AHN36" s="8">
        <v>0</v>
      </c>
      <c r="AHO36" s="8">
        <v>0</v>
      </c>
      <c r="AHP36" s="8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 t="e">
        <v>#N/A</v>
      </c>
      <c r="AIJ36" t="e">
        <v>#N/A</v>
      </c>
      <c r="AIK36" t="e">
        <v>#N/A</v>
      </c>
      <c r="AIL36" t="e">
        <v>#N/A</v>
      </c>
      <c r="AIM36" t="e">
        <v>#N/A</v>
      </c>
      <c r="AIN36" t="e">
        <v>#N/A</v>
      </c>
      <c r="AIO36" t="e">
        <v>#N/A</v>
      </c>
      <c r="AIP36" t="e">
        <v>#N/A</v>
      </c>
      <c r="AIQ36" t="e">
        <v>#N/A</v>
      </c>
      <c r="AIR36" t="e">
        <v>#N/A</v>
      </c>
      <c r="AIS36" t="e">
        <v>#N/A</v>
      </c>
      <c r="AIT36" t="e">
        <v>#N/A</v>
      </c>
      <c r="AIU36" t="e">
        <v>#N/A</v>
      </c>
      <c r="AIV36" t="e">
        <v>#N/A</v>
      </c>
      <c r="AIW36" t="e">
        <v>#N/A</v>
      </c>
      <c r="AIX36" t="e">
        <v>#N/A</v>
      </c>
      <c r="AIY36" t="e">
        <v>#N/A</v>
      </c>
      <c r="AIZ36" t="e">
        <v>#N/A</v>
      </c>
      <c r="AJA36" t="e">
        <v>#N/A</v>
      </c>
      <c r="AJB36" t="e">
        <v>#N/A</v>
      </c>
      <c r="AJC36" t="e">
        <v>#N/A</v>
      </c>
      <c r="AJD36" t="e">
        <v>#N/A</v>
      </c>
      <c r="AJE36" t="e">
        <v>#N/A</v>
      </c>
      <c r="AJF36" t="e">
        <v>#N/A</v>
      </c>
      <c r="AJG36" t="e">
        <v>#N/A</v>
      </c>
      <c r="AJH36" t="e">
        <v>#N/A</v>
      </c>
      <c r="AJI36" t="e">
        <v>#N/A</v>
      </c>
      <c r="AJJ36" t="e">
        <v>#N/A</v>
      </c>
      <c r="AJK36" t="e">
        <v>#N/A</v>
      </c>
      <c r="AJL36" t="e">
        <v>#N/A</v>
      </c>
      <c r="AJM36" t="e">
        <v>#N/A</v>
      </c>
      <c r="AJN36" t="e">
        <v>#N/A</v>
      </c>
      <c r="AJO36" t="e">
        <v>#N/A</v>
      </c>
      <c r="AJP36" t="e">
        <v>#N/A</v>
      </c>
      <c r="AJQ36" t="e">
        <v>#N/A</v>
      </c>
      <c r="AJR36" t="e">
        <v>#N/A</v>
      </c>
      <c r="AJS36" t="e">
        <v>#N/A</v>
      </c>
      <c r="AJT36" t="e">
        <v>#N/A</v>
      </c>
      <c r="AJU36" t="e">
        <v>#N/A</v>
      </c>
      <c r="AJV36" t="e">
        <v>#N/A</v>
      </c>
      <c r="AJW36" t="e">
        <v>#N/A</v>
      </c>
      <c r="AJX36" t="e">
        <v>#N/A</v>
      </c>
      <c r="AJY36" t="e">
        <v>#N/A</v>
      </c>
      <c r="AJZ36" t="e">
        <v>#N/A</v>
      </c>
      <c r="AKA36" t="e">
        <v>#N/A</v>
      </c>
      <c r="AKB36" t="e">
        <v>#N/A</v>
      </c>
      <c r="AKC36" t="e">
        <v>#N/A</v>
      </c>
      <c r="AKD36" t="e">
        <v>#N/A</v>
      </c>
      <c r="AKE36" t="e">
        <v>#N/A</v>
      </c>
      <c r="AKF36" t="e">
        <v>#N/A</v>
      </c>
      <c r="AKG36" t="e">
        <v>#N/A</v>
      </c>
      <c r="AKH36" t="e">
        <v>#N/A</v>
      </c>
      <c r="AKI36" t="e">
        <v>#N/A</v>
      </c>
      <c r="AKJ36" t="e">
        <v>#N/A</v>
      </c>
      <c r="AKK36" t="e">
        <v>#N/A</v>
      </c>
      <c r="AKL36" t="e">
        <v>#N/A</v>
      </c>
      <c r="AKM36" t="e">
        <v>#N/A</v>
      </c>
      <c r="AKN36" t="e">
        <v>#N/A</v>
      </c>
      <c r="AKO36" t="e">
        <v>#N/A</v>
      </c>
      <c r="AKP36" t="e">
        <v>#N/A</v>
      </c>
      <c r="AKQ36" t="e">
        <v>#N/A</v>
      </c>
      <c r="AKR36" t="e">
        <v>#N/A</v>
      </c>
      <c r="AKS36" t="e">
        <v>#N/A</v>
      </c>
      <c r="AKT36" t="e">
        <v>#N/A</v>
      </c>
      <c r="AKU36" t="e">
        <v>#N/A</v>
      </c>
      <c r="AKV36" t="e">
        <v>#N/A</v>
      </c>
      <c r="AKW36" t="e">
        <v>#N/A</v>
      </c>
      <c r="AKX36" t="e">
        <v>#N/A</v>
      </c>
      <c r="AKY36" t="e">
        <v>#N/A</v>
      </c>
      <c r="AKZ36" t="e">
        <v>#N/A</v>
      </c>
      <c r="ALA36" t="e">
        <v>#N/A</v>
      </c>
      <c r="ALB36" t="e">
        <v>#N/A</v>
      </c>
      <c r="ALC36" t="e">
        <v>#N/A</v>
      </c>
      <c r="ALD36" t="e">
        <v>#N/A</v>
      </c>
      <c r="ALE36" t="e">
        <v>#N/A</v>
      </c>
      <c r="ALF36" t="e">
        <v>#N/A</v>
      </c>
      <c r="ALG36" t="e">
        <v>#N/A</v>
      </c>
      <c r="ALH36" t="e">
        <v>#N/A</v>
      </c>
      <c r="ALI36" t="e">
        <v>#N/A</v>
      </c>
      <c r="ALJ36" t="e">
        <v>#N/A</v>
      </c>
      <c r="ALK36" t="e">
        <v>#N/A</v>
      </c>
      <c r="ALL36" t="e">
        <v>#N/A</v>
      </c>
      <c r="ALM36" t="e">
        <v>#N/A</v>
      </c>
      <c r="ALN36" t="e">
        <v>#N/A</v>
      </c>
      <c r="ALO36" t="e">
        <v>#N/A</v>
      </c>
      <c r="ALP36" t="e">
        <v>#N/A</v>
      </c>
      <c r="ALQ36" t="e">
        <v>#N/A</v>
      </c>
      <c r="ALR36" t="e">
        <v>#N/A</v>
      </c>
      <c r="ALS36" t="e">
        <v>#N/A</v>
      </c>
      <c r="ALT36" t="e">
        <v>#N/A</v>
      </c>
      <c r="ALU36" t="e">
        <v>#N/A</v>
      </c>
      <c r="ALV36" t="e">
        <v>#N/A</v>
      </c>
      <c r="ALW36" t="e">
        <v>#N/A</v>
      </c>
      <c r="ALX36" t="e">
        <v>#N/A</v>
      </c>
      <c r="ALY36" t="e">
        <v>#N/A</v>
      </c>
      <c r="ALZ36" t="e">
        <v>#N/A</v>
      </c>
      <c r="AMA36" t="e">
        <v>#N/A</v>
      </c>
      <c r="AMB36" t="e">
        <v>#N/A</v>
      </c>
      <c r="AMC36" t="e">
        <v>#N/A</v>
      </c>
      <c r="AMD36" t="e">
        <v>#N/A</v>
      </c>
      <c r="AME36" t="e">
        <v>#N/A</v>
      </c>
      <c r="AMF36" t="e">
        <v>#N/A</v>
      </c>
      <c r="AMG36" t="e">
        <v>#N/A</v>
      </c>
      <c r="AMH36" t="e">
        <v>#N/A</v>
      </c>
    </row>
    <row r="37" spans="1:1022" ht="15.75" customHeight="1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0</v>
      </c>
      <c r="NT37" s="8">
        <v>0</v>
      </c>
      <c r="NU37" s="8">
        <v>0</v>
      </c>
      <c r="NV37" s="8">
        <v>0</v>
      </c>
      <c r="NW37" s="8">
        <v>0</v>
      </c>
      <c r="NX37" s="8">
        <v>0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0</v>
      </c>
      <c r="OX37" s="8">
        <v>0</v>
      </c>
      <c r="OY37" s="8">
        <v>0</v>
      </c>
      <c r="OZ37" s="8">
        <v>0</v>
      </c>
      <c r="PA37" s="8">
        <v>0</v>
      </c>
      <c r="PB37" s="8">
        <v>0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0</v>
      </c>
      <c r="PN37" s="8">
        <v>0</v>
      </c>
      <c r="PO37" s="8">
        <v>0</v>
      </c>
      <c r="PP37" s="8">
        <v>0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0</v>
      </c>
      <c r="PX37" s="8">
        <v>0</v>
      </c>
      <c r="PY37" s="8">
        <v>0</v>
      </c>
      <c r="PZ37" s="8">
        <v>0</v>
      </c>
      <c r="QA37" s="8">
        <v>0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0</v>
      </c>
      <c r="QU37" s="8">
        <v>0</v>
      </c>
      <c r="QV37" s="8">
        <v>0</v>
      </c>
      <c r="QW37" s="8">
        <v>0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0</v>
      </c>
      <c r="RQ37" s="8">
        <v>0</v>
      </c>
      <c r="RR37" s="8">
        <v>0</v>
      </c>
      <c r="RS37" s="8">
        <v>0</v>
      </c>
      <c r="RT37" s="8">
        <v>0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</v>
      </c>
      <c r="SA37" s="8">
        <v>0</v>
      </c>
      <c r="SB37" s="8">
        <v>0</v>
      </c>
      <c r="SC37" s="8">
        <v>0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  <c r="SL37" s="8">
        <v>0</v>
      </c>
      <c r="SM37" s="8">
        <v>0</v>
      </c>
      <c r="SN37" s="8">
        <v>0</v>
      </c>
      <c r="SO37" s="8">
        <v>0</v>
      </c>
      <c r="SP37" s="8">
        <v>0</v>
      </c>
      <c r="SQ37" s="8">
        <v>0</v>
      </c>
      <c r="SR37" s="8">
        <v>0</v>
      </c>
      <c r="SS37" s="8">
        <v>0</v>
      </c>
      <c r="ST37" s="8">
        <v>0</v>
      </c>
      <c r="SU37" s="8">
        <v>0</v>
      </c>
      <c r="SV37" s="8">
        <v>0</v>
      </c>
      <c r="SW37" s="8">
        <v>0</v>
      </c>
      <c r="SX37" s="8">
        <v>0</v>
      </c>
      <c r="SY37" s="8">
        <v>0</v>
      </c>
      <c r="SZ37" s="8">
        <v>0</v>
      </c>
      <c r="TA37" s="8">
        <v>0</v>
      </c>
      <c r="TB37" s="8">
        <v>0</v>
      </c>
      <c r="TC37" s="8">
        <v>0</v>
      </c>
      <c r="TD37" s="8">
        <v>0</v>
      </c>
      <c r="TE37" s="8">
        <v>0</v>
      </c>
      <c r="TF37" s="8">
        <v>0</v>
      </c>
      <c r="TG37" s="8">
        <v>0</v>
      </c>
      <c r="TH37" s="8">
        <v>0</v>
      </c>
      <c r="TI37" s="8">
        <v>0</v>
      </c>
      <c r="TJ37" s="8">
        <v>0</v>
      </c>
      <c r="TK37" s="8">
        <v>0</v>
      </c>
      <c r="TL37" s="8">
        <v>0</v>
      </c>
      <c r="TM37" s="8">
        <v>0</v>
      </c>
      <c r="TN37" s="8">
        <v>0</v>
      </c>
      <c r="TO37" s="8">
        <v>0</v>
      </c>
      <c r="TP37" s="8">
        <v>0</v>
      </c>
      <c r="TQ37" s="8">
        <v>0</v>
      </c>
      <c r="TR37" s="8">
        <v>0</v>
      </c>
      <c r="TS37" s="8">
        <v>0</v>
      </c>
      <c r="TT37" s="8">
        <v>0</v>
      </c>
      <c r="TU37" s="8">
        <v>0</v>
      </c>
      <c r="TV37" s="8">
        <v>0</v>
      </c>
      <c r="TW37" s="8">
        <v>0</v>
      </c>
      <c r="TX37" s="8">
        <v>0</v>
      </c>
      <c r="TY37" s="8">
        <v>0</v>
      </c>
      <c r="TZ37" s="8">
        <v>0</v>
      </c>
      <c r="UA37" s="8">
        <v>0</v>
      </c>
      <c r="UB37" s="8">
        <v>0</v>
      </c>
      <c r="UC37" s="8">
        <v>0</v>
      </c>
      <c r="UD37" s="8">
        <v>0</v>
      </c>
      <c r="UE37" s="8">
        <v>0</v>
      </c>
      <c r="UF37" s="8">
        <v>0</v>
      </c>
      <c r="UG37" s="8">
        <v>0</v>
      </c>
      <c r="UH37" s="8">
        <v>0</v>
      </c>
      <c r="UI37" s="8">
        <v>0</v>
      </c>
      <c r="UJ37" s="8">
        <v>0</v>
      </c>
      <c r="UK37" s="8">
        <v>0</v>
      </c>
      <c r="UL37" s="8">
        <v>0</v>
      </c>
      <c r="UM37" s="8">
        <v>0</v>
      </c>
      <c r="UN37" s="8">
        <v>0</v>
      </c>
      <c r="UO37" s="8">
        <v>0</v>
      </c>
      <c r="UP37" s="8">
        <v>0</v>
      </c>
      <c r="UQ37" s="8">
        <v>0</v>
      </c>
      <c r="UR37" s="8">
        <v>0</v>
      </c>
      <c r="US37" s="8">
        <v>0</v>
      </c>
      <c r="UT37" s="8">
        <v>0</v>
      </c>
      <c r="UU37" s="8">
        <v>0</v>
      </c>
      <c r="UV37" s="8">
        <v>0</v>
      </c>
      <c r="UW37" s="8">
        <v>0</v>
      </c>
      <c r="UX37" s="8">
        <v>0</v>
      </c>
      <c r="UY37" s="8">
        <v>0</v>
      </c>
      <c r="UZ37" s="8">
        <v>0</v>
      </c>
      <c r="VA37" s="8">
        <v>0</v>
      </c>
      <c r="VB37" s="8">
        <v>0</v>
      </c>
      <c r="VC37" s="8">
        <v>0</v>
      </c>
      <c r="VD37" s="8">
        <v>0</v>
      </c>
      <c r="VE37" s="8">
        <v>0</v>
      </c>
      <c r="VF37" s="8">
        <v>0</v>
      </c>
      <c r="VG37" s="8">
        <v>0</v>
      </c>
      <c r="VH37" s="8">
        <v>0</v>
      </c>
      <c r="VI37" s="8">
        <v>0</v>
      </c>
      <c r="VJ37" s="8">
        <v>0</v>
      </c>
      <c r="VK37" s="8">
        <v>0</v>
      </c>
      <c r="VL37" s="8">
        <v>0</v>
      </c>
      <c r="VM37" s="8">
        <v>0</v>
      </c>
      <c r="VN37" s="8">
        <v>0</v>
      </c>
      <c r="VO37" s="8">
        <v>0</v>
      </c>
      <c r="VP37" s="8">
        <v>0</v>
      </c>
      <c r="VQ37" s="8">
        <v>0</v>
      </c>
      <c r="VR37" s="8">
        <v>0</v>
      </c>
      <c r="VS37" s="8">
        <v>0</v>
      </c>
      <c r="VT37" s="8">
        <v>0</v>
      </c>
      <c r="VU37" s="8">
        <v>0</v>
      </c>
      <c r="VV37" s="8">
        <v>0</v>
      </c>
      <c r="VW37" s="8">
        <v>0</v>
      </c>
      <c r="VX37" s="8">
        <v>0</v>
      </c>
      <c r="VY37" s="8">
        <v>0</v>
      </c>
      <c r="VZ37" s="8">
        <v>0</v>
      </c>
      <c r="WA37" s="8">
        <v>0</v>
      </c>
      <c r="WB37" s="8">
        <v>0</v>
      </c>
      <c r="WC37" s="8">
        <v>0</v>
      </c>
      <c r="WD37" s="8">
        <v>0</v>
      </c>
      <c r="WE37" s="8">
        <v>0</v>
      </c>
      <c r="WF37" s="8">
        <v>0</v>
      </c>
      <c r="WG37" s="8">
        <v>0</v>
      </c>
      <c r="WH37" s="8">
        <v>0</v>
      </c>
      <c r="WI37" s="8">
        <v>0</v>
      </c>
      <c r="WJ37" s="8">
        <v>0</v>
      </c>
      <c r="WK37" s="8">
        <v>0</v>
      </c>
      <c r="WL37" s="8">
        <v>0</v>
      </c>
      <c r="WM37" s="8">
        <v>0</v>
      </c>
      <c r="WN37" s="8">
        <v>0</v>
      </c>
      <c r="WO37" s="8">
        <v>0</v>
      </c>
      <c r="WP37" s="8">
        <v>0</v>
      </c>
      <c r="WQ37" s="8">
        <v>0</v>
      </c>
      <c r="WR37" s="8">
        <v>0</v>
      </c>
      <c r="WS37" s="8">
        <v>0</v>
      </c>
      <c r="WT37" s="8">
        <v>0</v>
      </c>
      <c r="WU37" s="8">
        <v>0</v>
      </c>
      <c r="WV37" s="8">
        <v>0</v>
      </c>
      <c r="WW37" s="8">
        <v>0</v>
      </c>
      <c r="WX37" s="8">
        <v>0</v>
      </c>
      <c r="WY37" s="8">
        <v>0</v>
      </c>
      <c r="WZ37" s="8">
        <v>0</v>
      </c>
      <c r="XA37" s="8">
        <v>0</v>
      </c>
      <c r="XB37" s="8">
        <v>0</v>
      </c>
      <c r="XC37" s="8">
        <v>0</v>
      </c>
      <c r="XD37" s="8">
        <v>0</v>
      </c>
      <c r="XE37" s="8">
        <v>0</v>
      </c>
      <c r="XF37" s="8">
        <v>0</v>
      </c>
      <c r="XG37" s="8">
        <v>0</v>
      </c>
      <c r="XH37" s="8">
        <v>0</v>
      </c>
      <c r="XI37" s="8">
        <v>0</v>
      </c>
      <c r="XJ37" s="8">
        <v>0</v>
      </c>
      <c r="XK37" s="8">
        <v>0</v>
      </c>
      <c r="XL37" s="8">
        <v>0</v>
      </c>
      <c r="XM37" s="8">
        <v>0</v>
      </c>
      <c r="XN37" s="8">
        <v>0</v>
      </c>
      <c r="XO37" s="8">
        <v>0</v>
      </c>
      <c r="XP37" s="8">
        <v>0</v>
      </c>
      <c r="XQ37" s="8">
        <v>0</v>
      </c>
      <c r="XR37" s="8">
        <v>0</v>
      </c>
      <c r="XS37" s="8">
        <v>0</v>
      </c>
      <c r="XT37" s="8">
        <v>0</v>
      </c>
      <c r="XU37" s="8">
        <v>0</v>
      </c>
      <c r="XV37" s="8">
        <v>0</v>
      </c>
      <c r="XW37" s="8">
        <v>0</v>
      </c>
      <c r="XX37" s="8">
        <v>0</v>
      </c>
      <c r="XY37" s="8">
        <v>0</v>
      </c>
      <c r="XZ37" s="8">
        <v>0</v>
      </c>
      <c r="YA37" s="8">
        <v>0</v>
      </c>
      <c r="YB37" s="8">
        <v>0</v>
      </c>
      <c r="YC37" s="8">
        <v>0</v>
      </c>
      <c r="YD37" s="8">
        <v>0</v>
      </c>
      <c r="YE37" s="8">
        <v>0</v>
      </c>
      <c r="YF37" s="8">
        <v>0</v>
      </c>
      <c r="YG37" s="8">
        <v>0</v>
      </c>
      <c r="YH37" s="8">
        <v>0</v>
      </c>
      <c r="YI37" s="8">
        <v>0</v>
      </c>
      <c r="YJ37" s="8">
        <v>0</v>
      </c>
      <c r="YK37" s="8">
        <v>0</v>
      </c>
      <c r="YL37" s="8">
        <v>0</v>
      </c>
      <c r="YM37" s="8">
        <v>0</v>
      </c>
      <c r="YN37" s="8">
        <v>0</v>
      </c>
      <c r="YO37" s="8">
        <v>0</v>
      </c>
      <c r="YP37" s="8">
        <v>0</v>
      </c>
      <c r="YQ37" s="8">
        <v>0</v>
      </c>
      <c r="YR37" s="8">
        <v>0</v>
      </c>
      <c r="YS37" s="8">
        <v>0</v>
      </c>
      <c r="YT37" s="8">
        <v>0</v>
      </c>
      <c r="YU37" s="8">
        <v>0</v>
      </c>
      <c r="YV37" s="8">
        <v>0</v>
      </c>
      <c r="YW37" s="8">
        <v>0</v>
      </c>
      <c r="YX37" s="8">
        <v>0</v>
      </c>
      <c r="YY37" s="8">
        <v>0</v>
      </c>
      <c r="YZ37" s="8">
        <v>0</v>
      </c>
      <c r="ZA37" s="8">
        <v>0</v>
      </c>
      <c r="ZB37" s="8">
        <v>0</v>
      </c>
      <c r="ZC37" s="8">
        <v>0</v>
      </c>
      <c r="ZD37" s="8">
        <v>0</v>
      </c>
      <c r="ZE37" s="8">
        <v>0</v>
      </c>
      <c r="ZF37" s="8">
        <v>0</v>
      </c>
      <c r="ZG37" s="8">
        <v>0</v>
      </c>
      <c r="ZH37" s="8">
        <v>0</v>
      </c>
      <c r="ZI37" s="8">
        <v>0</v>
      </c>
      <c r="ZJ37" s="8">
        <v>0</v>
      </c>
      <c r="ZK37" s="8">
        <v>0</v>
      </c>
      <c r="ZL37" s="8">
        <v>0</v>
      </c>
      <c r="ZM37" s="8">
        <v>0</v>
      </c>
      <c r="ZN37" s="8">
        <v>0</v>
      </c>
      <c r="ZO37" s="8">
        <v>0</v>
      </c>
      <c r="ZP37" s="8">
        <v>0</v>
      </c>
      <c r="ZQ37" s="8">
        <v>0</v>
      </c>
      <c r="ZR37" s="8">
        <v>0</v>
      </c>
      <c r="ZS37" s="8">
        <v>0</v>
      </c>
      <c r="ZT37" s="8">
        <v>0</v>
      </c>
      <c r="ZU37" s="8">
        <v>0</v>
      </c>
      <c r="ZV37" s="8">
        <v>0</v>
      </c>
      <c r="ZW37" s="8">
        <v>0</v>
      </c>
      <c r="ZX37" s="8">
        <v>0</v>
      </c>
      <c r="ZY37" s="8">
        <v>0</v>
      </c>
      <c r="ZZ37" s="8">
        <v>0</v>
      </c>
      <c r="AAA37" s="8">
        <v>0</v>
      </c>
      <c r="AAB37" s="8">
        <v>0</v>
      </c>
      <c r="AAC37" s="8">
        <v>0</v>
      </c>
      <c r="AAD37" s="8">
        <v>0</v>
      </c>
      <c r="AAE37" s="8">
        <v>0</v>
      </c>
      <c r="AAF37" s="8">
        <v>0</v>
      </c>
      <c r="AAG37" s="8">
        <v>0</v>
      </c>
      <c r="AAH37" s="8">
        <v>0</v>
      </c>
      <c r="AAI37" s="8">
        <v>0</v>
      </c>
      <c r="AAJ37" s="8">
        <v>0</v>
      </c>
      <c r="AAK37" s="8">
        <v>0</v>
      </c>
      <c r="AAL37" s="8">
        <v>0</v>
      </c>
      <c r="AAM37" s="8">
        <v>0</v>
      </c>
      <c r="AAN37" s="8">
        <v>0</v>
      </c>
      <c r="AAO37" s="8">
        <v>0</v>
      </c>
      <c r="AAP37" s="8">
        <v>0</v>
      </c>
      <c r="AAQ37" s="8">
        <v>0</v>
      </c>
      <c r="AAR37" s="8">
        <v>0</v>
      </c>
      <c r="AAS37" s="8">
        <v>0</v>
      </c>
      <c r="AAT37" s="8">
        <v>0</v>
      </c>
      <c r="AAU37" s="8">
        <v>0</v>
      </c>
      <c r="AAV37" s="8">
        <v>0</v>
      </c>
      <c r="AAW37" s="8">
        <v>0</v>
      </c>
      <c r="AAX37" s="8">
        <v>0</v>
      </c>
      <c r="AAY37" s="8">
        <v>0</v>
      </c>
      <c r="AAZ37" s="8">
        <v>0</v>
      </c>
      <c r="ABA37" s="8">
        <v>0</v>
      </c>
      <c r="ABB37" s="8">
        <v>0</v>
      </c>
      <c r="ABC37" s="8">
        <v>0</v>
      </c>
      <c r="ABD37" s="8">
        <v>0</v>
      </c>
      <c r="ABE37" s="8">
        <v>0</v>
      </c>
      <c r="ABF37" s="8">
        <v>0</v>
      </c>
      <c r="ABG37" s="8">
        <v>0</v>
      </c>
      <c r="ABH37" s="8">
        <v>0</v>
      </c>
      <c r="ABI37" s="8">
        <v>0</v>
      </c>
      <c r="ABJ37" s="8">
        <v>0</v>
      </c>
      <c r="ABK37" s="8">
        <v>0</v>
      </c>
      <c r="ABL37" s="8">
        <v>0</v>
      </c>
      <c r="ABM37" s="8">
        <v>0</v>
      </c>
      <c r="ABN37" s="8">
        <v>0</v>
      </c>
      <c r="ABO37" s="8">
        <v>0</v>
      </c>
      <c r="ABP37" s="8">
        <v>0</v>
      </c>
      <c r="ABQ37" s="8">
        <v>0</v>
      </c>
      <c r="ABR37" s="8">
        <v>0</v>
      </c>
      <c r="ABS37" s="8">
        <v>0</v>
      </c>
      <c r="ABT37" s="8">
        <v>0</v>
      </c>
      <c r="ABU37" s="8">
        <v>0</v>
      </c>
      <c r="ABV37" s="8">
        <v>0</v>
      </c>
      <c r="ABW37" s="8">
        <v>0</v>
      </c>
      <c r="ABX37" s="8">
        <v>0</v>
      </c>
      <c r="ABY37" s="8">
        <v>0</v>
      </c>
      <c r="ABZ37" s="8">
        <v>0</v>
      </c>
      <c r="ACA37" s="8">
        <v>0</v>
      </c>
      <c r="ACB37" s="8">
        <v>0</v>
      </c>
      <c r="ACC37" s="8">
        <v>0</v>
      </c>
      <c r="ACD37" s="8">
        <v>0</v>
      </c>
      <c r="ACE37" s="8">
        <v>0</v>
      </c>
      <c r="ACF37" s="8">
        <v>0</v>
      </c>
      <c r="ACG37" s="8">
        <v>0</v>
      </c>
      <c r="ACH37" s="8">
        <v>0</v>
      </c>
      <c r="ACI37" s="8">
        <v>0</v>
      </c>
      <c r="ACJ37" s="8">
        <v>0</v>
      </c>
      <c r="ACK37" s="8">
        <v>0</v>
      </c>
      <c r="ACL37" s="8">
        <v>0</v>
      </c>
      <c r="ACM37" s="8">
        <v>0</v>
      </c>
      <c r="ACN37" s="8">
        <v>0</v>
      </c>
      <c r="ACO37" s="8">
        <v>0</v>
      </c>
      <c r="ACP37" s="8">
        <v>0</v>
      </c>
      <c r="ACQ37" s="8">
        <v>0</v>
      </c>
      <c r="ACR37" s="8">
        <v>0</v>
      </c>
      <c r="ACS37" s="8">
        <v>0</v>
      </c>
      <c r="ACT37" s="8">
        <v>0</v>
      </c>
      <c r="ACU37" s="8">
        <v>0</v>
      </c>
      <c r="ACV37" s="8">
        <v>0</v>
      </c>
      <c r="ACW37" s="8">
        <v>0</v>
      </c>
      <c r="ACX37" s="8">
        <v>0</v>
      </c>
      <c r="ACY37" s="8">
        <v>0</v>
      </c>
      <c r="ACZ37" s="8">
        <v>0</v>
      </c>
      <c r="ADA37" s="8">
        <v>0</v>
      </c>
      <c r="ADB37" s="8">
        <v>0</v>
      </c>
      <c r="ADC37" s="8">
        <v>0</v>
      </c>
      <c r="ADD37" s="8">
        <v>0</v>
      </c>
      <c r="ADE37" s="8">
        <v>0</v>
      </c>
      <c r="ADF37" s="8">
        <v>0</v>
      </c>
      <c r="ADG37" s="8">
        <v>0</v>
      </c>
      <c r="ADH37" s="8">
        <v>0</v>
      </c>
      <c r="ADI37" s="8">
        <v>0</v>
      </c>
      <c r="ADJ37" s="8">
        <v>0</v>
      </c>
      <c r="ADK37" s="8">
        <v>0</v>
      </c>
      <c r="ADL37" s="8">
        <v>0</v>
      </c>
      <c r="ADM37" s="8">
        <v>0</v>
      </c>
      <c r="ADN37" s="8">
        <v>0</v>
      </c>
      <c r="ADO37" s="8">
        <v>0</v>
      </c>
      <c r="ADP37" s="8">
        <v>0</v>
      </c>
      <c r="ADQ37" s="8">
        <v>0</v>
      </c>
      <c r="ADR37" s="8">
        <v>0</v>
      </c>
      <c r="ADS37" s="8">
        <v>0</v>
      </c>
      <c r="ADT37" s="8">
        <v>0</v>
      </c>
      <c r="ADU37" s="8">
        <v>0</v>
      </c>
      <c r="ADV37" s="8">
        <v>0</v>
      </c>
      <c r="ADW37" s="8">
        <v>0</v>
      </c>
      <c r="ADX37" s="8">
        <v>0</v>
      </c>
      <c r="ADY37" s="8">
        <v>0</v>
      </c>
      <c r="ADZ37" s="8">
        <v>0</v>
      </c>
      <c r="AEA37" s="8">
        <v>0</v>
      </c>
      <c r="AEB37" s="8">
        <v>0</v>
      </c>
      <c r="AEC37" s="8">
        <v>0</v>
      </c>
      <c r="AED37" s="8">
        <v>0</v>
      </c>
      <c r="AEE37" s="8">
        <v>0</v>
      </c>
      <c r="AEF37" s="8">
        <v>0</v>
      </c>
      <c r="AEG37" s="8">
        <v>0</v>
      </c>
      <c r="AEH37" s="8">
        <v>0</v>
      </c>
      <c r="AEI37" s="8">
        <v>0</v>
      </c>
      <c r="AEJ37" s="8">
        <v>0</v>
      </c>
      <c r="AEK37" s="8">
        <v>0</v>
      </c>
      <c r="AEL37" s="8">
        <v>0</v>
      </c>
      <c r="AEM37" s="8">
        <v>0</v>
      </c>
      <c r="AEN37" s="8">
        <v>0</v>
      </c>
      <c r="AEO37" s="8">
        <v>0</v>
      </c>
      <c r="AEP37" s="8">
        <v>0</v>
      </c>
      <c r="AEQ37" s="8">
        <v>0</v>
      </c>
      <c r="AER37" s="8">
        <v>0</v>
      </c>
      <c r="AES37" s="8">
        <v>0</v>
      </c>
      <c r="AET37" s="8">
        <v>0</v>
      </c>
      <c r="AEU37" s="8">
        <v>0</v>
      </c>
      <c r="AEV37" s="8">
        <v>0</v>
      </c>
      <c r="AEW37" s="8">
        <v>0</v>
      </c>
      <c r="AEX37" s="8">
        <v>0</v>
      </c>
      <c r="AEY37" s="8">
        <v>0</v>
      </c>
      <c r="AEZ37" s="8">
        <v>0</v>
      </c>
      <c r="AFA37" s="8">
        <v>0</v>
      </c>
      <c r="AFB37" s="8">
        <v>0</v>
      </c>
      <c r="AFC37" s="8">
        <v>0</v>
      </c>
      <c r="AFD37" s="8">
        <v>0</v>
      </c>
      <c r="AFE37" s="8">
        <v>0</v>
      </c>
      <c r="AFF37" s="8">
        <v>0</v>
      </c>
      <c r="AFG37" s="8">
        <v>0</v>
      </c>
      <c r="AFH37" s="8">
        <v>0</v>
      </c>
      <c r="AFI37" s="8">
        <v>0</v>
      </c>
      <c r="AFJ37" s="8">
        <v>0</v>
      </c>
      <c r="AFK37" s="8">
        <v>0</v>
      </c>
      <c r="AFL37" s="8">
        <v>0</v>
      </c>
      <c r="AFM37" s="8">
        <v>0</v>
      </c>
      <c r="AFN37" s="8">
        <v>0</v>
      </c>
      <c r="AFO37" s="8">
        <v>0</v>
      </c>
      <c r="AFP37" s="8">
        <v>0</v>
      </c>
      <c r="AFQ37" s="8">
        <v>0</v>
      </c>
      <c r="AFR37" s="8">
        <v>0</v>
      </c>
      <c r="AFS37" s="8">
        <v>0</v>
      </c>
      <c r="AFT37" s="8">
        <v>0</v>
      </c>
      <c r="AFU37" s="8">
        <v>0</v>
      </c>
      <c r="AFV37" s="8">
        <v>0</v>
      </c>
      <c r="AFW37" s="8">
        <v>0</v>
      </c>
      <c r="AFX37" s="8">
        <v>0</v>
      </c>
      <c r="AFY37" s="8">
        <v>0</v>
      </c>
      <c r="AFZ37" s="8">
        <v>0</v>
      </c>
      <c r="AGA37" s="8">
        <v>0</v>
      </c>
      <c r="AGB37" s="8">
        <v>0</v>
      </c>
      <c r="AGC37" s="8">
        <v>0</v>
      </c>
      <c r="AGD37" s="8">
        <v>0</v>
      </c>
      <c r="AGE37" s="8">
        <v>0</v>
      </c>
      <c r="AGF37" s="8">
        <v>0</v>
      </c>
      <c r="AGG37" s="8">
        <v>0</v>
      </c>
      <c r="AGH37" s="8">
        <v>0</v>
      </c>
      <c r="AGI37" s="8">
        <v>0</v>
      </c>
      <c r="AGJ37" s="8">
        <v>0</v>
      </c>
      <c r="AGK37" s="8">
        <v>0</v>
      </c>
      <c r="AGL37" s="8">
        <v>0</v>
      </c>
      <c r="AGM37" s="8">
        <v>0</v>
      </c>
      <c r="AGN37" s="8">
        <v>0</v>
      </c>
      <c r="AGO37" s="8">
        <v>0</v>
      </c>
      <c r="AGP37" s="8">
        <v>0</v>
      </c>
      <c r="AGQ37" s="8">
        <v>0</v>
      </c>
      <c r="AGR37" s="8">
        <v>0</v>
      </c>
      <c r="AGS37" s="8">
        <v>0</v>
      </c>
      <c r="AGT37" s="8">
        <v>0</v>
      </c>
      <c r="AGU37" s="8">
        <v>0</v>
      </c>
      <c r="AGV37" s="8">
        <v>0</v>
      </c>
      <c r="AGW37" s="8">
        <v>0</v>
      </c>
      <c r="AGX37" s="8">
        <v>0</v>
      </c>
      <c r="AGY37" s="8">
        <v>0</v>
      </c>
      <c r="AGZ37" s="8">
        <v>0</v>
      </c>
      <c r="AHA37" s="8">
        <v>0</v>
      </c>
      <c r="AHB37" s="8">
        <v>0</v>
      </c>
      <c r="AHC37" s="8">
        <v>0</v>
      </c>
      <c r="AHD37" s="8">
        <v>0</v>
      </c>
      <c r="AHE37" s="8">
        <v>0</v>
      </c>
      <c r="AHF37" s="8">
        <v>0</v>
      </c>
      <c r="AHG37" s="8">
        <v>0</v>
      </c>
      <c r="AHH37" s="8">
        <v>0</v>
      </c>
      <c r="AHI37" s="8">
        <v>0</v>
      </c>
      <c r="AHJ37" s="8">
        <v>0</v>
      </c>
      <c r="AHK37" s="8">
        <v>0</v>
      </c>
      <c r="AHL37" s="8">
        <v>0</v>
      </c>
      <c r="AHM37" s="8">
        <v>0</v>
      </c>
      <c r="AHN37" s="8">
        <v>0</v>
      </c>
      <c r="AHO37" s="8">
        <v>0</v>
      </c>
      <c r="AHP37" s="8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 t="e">
        <v>#N/A</v>
      </c>
      <c r="AIJ37" t="e">
        <v>#N/A</v>
      </c>
      <c r="AIK37" t="e">
        <v>#N/A</v>
      </c>
      <c r="AIL37" t="e">
        <v>#N/A</v>
      </c>
      <c r="AIM37" t="e">
        <v>#N/A</v>
      </c>
      <c r="AIN37" t="e">
        <v>#N/A</v>
      </c>
      <c r="AIO37" t="e">
        <v>#N/A</v>
      </c>
      <c r="AIP37" t="e">
        <v>#N/A</v>
      </c>
      <c r="AIQ37" t="e">
        <v>#N/A</v>
      </c>
      <c r="AIR37" t="e">
        <v>#N/A</v>
      </c>
      <c r="AIS37" t="e">
        <v>#N/A</v>
      </c>
      <c r="AIT37" t="e">
        <v>#N/A</v>
      </c>
      <c r="AIU37" t="e">
        <v>#N/A</v>
      </c>
      <c r="AIV37" t="e">
        <v>#N/A</v>
      </c>
      <c r="AIW37" t="e">
        <v>#N/A</v>
      </c>
      <c r="AIX37" t="e">
        <v>#N/A</v>
      </c>
      <c r="AIY37" t="e">
        <v>#N/A</v>
      </c>
      <c r="AIZ37" t="e">
        <v>#N/A</v>
      </c>
      <c r="AJA37" t="e">
        <v>#N/A</v>
      </c>
      <c r="AJB37" t="e">
        <v>#N/A</v>
      </c>
      <c r="AJC37" t="e">
        <v>#N/A</v>
      </c>
      <c r="AJD37" t="e">
        <v>#N/A</v>
      </c>
      <c r="AJE37" t="e">
        <v>#N/A</v>
      </c>
      <c r="AJF37" t="e">
        <v>#N/A</v>
      </c>
      <c r="AJG37" t="e">
        <v>#N/A</v>
      </c>
      <c r="AJH37" t="e">
        <v>#N/A</v>
      </c>
      <c r="AJI37" t="e">
        <v>#N/A</v>
      </c>
      <c r="AJJ37" t="e">
        <v>#N/A</v>
      </c>
      <c r="AJK37" t="e">
        <v>#N/A</v>
      </c>
      <c r="AJL37" t="e">
        <v>#N/A</v>
      </c>
      <c r="AJM37" t="e">
        <v>#N/A</v>
      </c>
      <c r="AJN37" t="e">
        <v>#N/A</v>
      </c>
      <c r="AJO37" t="e">
        <v>#N/A</v>
      </c>
      <c r="AJP37" t="e">
        <v>#N/A</v>
      </c>
      <c r="AJQ37" t="e">
        <v>#N/A</v>
      </c>
      <c r="AJR37" t="e">
        <v>#N/A</v>
      </c>
      <c r="AJS37" t="e">
        <v>#N/A</v>
      </c>
      <c r="AJT37" t="e">
        <v>#N/A</v>
      </c>
      <c r="AJU37" t="e">
        <v>#N/A</v>
      </c>
      <c r="AJV37" t="e">
        <v>#N/A</v>
      </c>
      <c r="AJW37" t="e">
        <v>#N/A</v>
      </c>
      <c r="AJX37" t="e">
        <v>#N/A</v>
      </c>
      <c r="AJY37" t="e">
        <v>#N/A</v>
      </c>
      <c r="AJZ37" t="e">
        <v>#N/A</v>
      </c>
      <c r="AKA37" t="e">
        <v>#N/A</v>
      </c>
      <c r="AKB37" t="e">
        <v>#N/A</v>
      </c>
      <c r="AKC37" t="e">
        <v>#N/A</v>
      </c>
      <c r="AKD37" t="e">
        <v>#N/A</v>
      </c>
      <c r="AKE37" t="e">
        <v>#N/A</v>
      </c>
      <c r="AKF37" t="e">
        <v>#N/A</v>
      </c>
      <c r="AKG37" t="e">
        <v>#N/A</v>
      </c>
      <c r="AKH37" t="e">
        <v>#N/A</v>
      </c>
      <c r="AKI37" t="e">
        <v>#N/A</v>
      </c>
      <c r="AKJ37" t="e">
        <v>#N/A</v>
      </c>
      <c r="AKK37" t="e">
        <v>#N/A</v>
      </c>
      <c r="AKL37" t="e">
        <v>#N/A</v>
      </c>
      <c r="AKM37" t="e">
        <v>#N/A</v>
      </c>
      <c r="AKN37" t="e">
        <v>#N/A</v>
      </c>
      <c r="AKO37" t="e">
        <v>#N/A</v>
      </c>
      <c r="AKP37" t="e">
        <v>#N/A</v>
      </c>
      <c r="AKQ37" t="e">
        <v>#N/A</v>
      </c>
      <c r="AKR37" t="e">
        <v>#N/A</v>
      </c>
      <c r="AKS37" t="e">
        <v>#N/A</v>
      </c>
      <c r="AKT37" t="e">
        <v>#N/A</v>
      </c>
      <c r="AKU37" t="e">
        <v>#N/A</v>
      </c>
      <c r="AKV37" t="e">
        <v>#N/A</v>
      </c>
      <c r="AKW37" t="e">
        <v>#N/A</v>
      </c>
      <c r="AKX37" t="e">
        <v>#N/A</v>
      </c>
      <c r="AKY37" t="e">
        <v>#N/A</v>
      </c>
      <c r="AKZ37" t="e">
        <v>#N/A</v>
      </c>
      <c r="ALA37" t="e">
        <v>#N/A</v>
      </c>
      <c r="ALB37" t="e">
        <v>#N/A</v>
      </c>
      <c r="ALC37" t="e">
        <v>#N/A</v>
      </c>
      <c r="ALD37" t="e">
        <v>#N/A</v>
      </c>
      <c r="ALE37" t="e">
        <v>#N/A</v>
      </c>
      <c r="ALF37" t="e">
        <v>#N/A</v>
      </c>
      <c r="ALG37" t="e">
        <v>#N/A</v>
      </c>
      <c r="ALH37" t="e">
        <v>#N/A</v>
      </c>
      <c r="ALI37" t="e">
        <v>#N/A</v>
      </c>
      <c r="ALJ37" t="e">
        <v>#N/A</v>
      </c>
      <c r="ALK37" t="e">
        <v>#N/A</v>
      </c>
      <c r="ALL37" t="e">
        <v>#N/A</v>
      </c>
      <c r="ALM37" t="e">
        <v>#N/A</v>
      </c>
      <c r="ALN37" t="e">
        <v>#N/A</v>
      </c>
      <c r="ALO37" t="e">
        <v>#N/A</v>
      </c>
      <c r="ALP37" t="e">
        <v>#N/A</v>
      </c>
      <c r="ALQ37" t="e">
        <v>#N/A</v>
      </c>
      <c r="ALR37" t="e">
        <v>#N/A</v>
      </c>
      <c r="ALS37" t="e">
        <v>#N/A</v>
      </c>
      <c r="ALT37" t="e">
        <v>#N/A</v>
      </c>
      <c r="ALU37" t="e">
        <v>#N/A</v>
      </c>
      <c r="ALV37" t="e">
        <v>#N/A</v>
      </c>
      <c r="ALW37" t="e">
        <v>#N/A</v>
      </c>
      <c r="ALX37" t="e">
        <v>#N/A</v>
      </c>
      <c r="ALY37" t="e">
        <v>#N/A</v>
      </c>
      <c r="ALZ37" t="e">
        <v>#N/A</v>
      </c>
      <c r="AMA37" t="e">
        <v>#N/A</v>
      </c>
      <c r="AMB37" t="e">
        <v>#N/A</v>
      </c>
      <c r="AMC37" t="e">
        <v>#N/A</v>
      </c>
      <c r="AMD37" t="e">
        <v>#N/A</v>
      </c>
      <c r="AME37" t="e">
        <v>#N/A</v>
      </c>
      <c r="AMF37" t="e">
        <v>#N/A</v>
      </c>
      <c r="AMG37" t="e">
        <v>#N/A</v>
      </c>
      <c r="AMH37" t="e">
        <v>#N/A</v>
      </c>
    </row>
    <row r="38" spans="1:1022" ht="15.75" customHeight="1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</v>
      </c>
      <c r="KT38" s="8">
        <v>0</v>
      </c>
      <c r="KU38" s="8">
        <v>0</v>
      </c>
      <c r="KV38" s="8">
        <v>0</v>
      </c>
      <c r="KW38" s="8">
        <v>0</v>
      </c>
      <c r="KX38" s="8">
        <v>0</v>
      </c>
      <c r="KY38" s="8">
        <v>0</v>
      </c>
      <c r="KZ38" s="8">
        <v>0</v>
      </c>
      <c r="LA38" s="8">
        <v>0</v>
      </c>
      <c r="LB38" s="8">
        <v>0</v>
      </c>
      <c r="LC38" s="8">
        <v>0</v>
      </c>
      <c r="LD38" s="8">
        <v>0</v>
      </c>
      <c r="LE38" s="8">
        <v>0</v>
      </c>
      <c r="LF38" s="8">
        <v>0</v>
      </c>
      <c r="LG38" s="8">
        <v>0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0</v>
      </c>
      <c r="LS38" s="8">
        <v>0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  <c r="NN38" s="8">
        <v>0</v>
      </c>
      <c r="NO38" s="8">
        <v>0</v>
      </c>
      <c r="NP38" s="8">
        <v>0</v>
      </c>
      <c r="NQ38" s="8">
        <v>0</v>
      </c>
      <c r="NR38" s="8">
        <v>0</v>
      </c>
      <c r="NS38" s="8">
        <v>0</v>
      </c>
      <c r="NT38" s="8">
        <v>0</v>
      </c>
      <c r="NU38" s="8">
        <v>0</v>
      </c>
      <c r="NV38" s="8">
        <v>0</v>
      </c>
      <c r="NW38" s="8">
        <v>0</v>
      </c>
      <c r="NX38" s="8">
        <v>0</v>
      </c>
      <c r="NY38" s="8">
        <v>0</v>
      </c>
      <c r="NZ38" s="8">
        <v>0</v>
      </c>
      <c r="OA38" s="8">
        <v>0</v>
      </c>
      <c r="OB38" s="8">
        <v>0</v>
      </c>
      <c r="OC38" s="8">
        <v>0</v>
      </c>
      <c r="OD38" s="8">
        <v>0</v>
      </c>
      <c r="OE38" s="8">
        <v>0</v>
      </c>
      <c r="OF38" s="8">
        <v>0</v>
      </c>
      <c r="OG38" s="8">
        <v>0</v>
      </c>
      <c r="OH38" s="8">
        <v>0</v>
      </c>
      <c r="OI38" s="8">
        <v>0</v>
      </c>
      <c r="OJ38" s="8">
        <v>0</v>
      </c>
      <c r="OK38" s="8">
        <v>0</v>
      </c>
      <c r="OL38" s="8">
        <v>0</v>
      </c>
      <c r="OM38" s="8">
        <v>0</v>
      </c>
      <c r="ON38" s="8">
        <v>0</v>
      </c>
      <c r="OO38" s="8">
        <v>0</v>
      </c>
      <c r="OP38" s="8">
        <v>0</v>
      </c>
      <c r="OQ38" s="8">
        <v>0</v>
      </c>
      <c r="OR38" s="8">
        <v>0</v>
      </c>
      <c r="OS38" s="8">
        <v>0</v>
      </c>
      <c r="OT38" s="8">
        <v>0</v>
      </c>
      <c r="OU38" s="8">
        <v>0</v>
      </c>
      <c r="OV38" s="8">
        <v>0</v>
      </c>
      <c r="OW38" s="8">
        <v>0</v>
      </c>
      <c r="OX38" s="8">
        <v>0</v>
      </c>
      <c r="OY38" s="8">
        <v>0</v>
      </c>
      <c r="OZ38" s="8">
        <v>0</v>
      </c>
      <c r="PA38" s="8">
        <v>0</v>
      </c>
      <c r="PB38" s="8">
        <v>0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</v>
      </c>
      <c r="PJ38" s="8">
        <v>0</v>
      </c>
      <c r="PK38" s="8">
        <v>0</v>
      </c>
      <c r="PL38" s="8">
        <v>0</v>
      </c>
      <c r="PM38" s="8">
        <v>0</v>
      </c>
      <c r="PN38" s="8">
        <v>0</v>
      </c>
      <c r="PO38" s="8">
        <v>0</v>
      </c>
      <c r="PP38" s="8">
        <v>0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0</v>
      </c>
      <c r="PX38" s="8">
        <v>0</v>
      </c>
      <c r="PY38" s="8">
        <v>0</v>
      </c>
      <c r="PZ38" s="8">
        <v>0</v>
      </c>
      <c r="QA38" s="8">
        <v>0</v>
      </c>
      <c r="QB38" s="8">
        <v>0</v>
      </c>
      <c r="QC38" s="8">
        <v>0</v>
      </c>
      <c r="QD38" s="8">
        <v>0</v>
      </c>
      <c r="QE38" s="8">
        <v>0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0</v>
      </c>
      <c r="QP38" s="8">
        <v>0</v>
      </c>
      <c r="QQ38" s="8">
        <v>0</v>
      </c>
      <c r="QR38" s="8">
        <v>0</v>
      </c>
      <c r="QS38" s="8">
        <v>0</v>
      </c>
      <c r="QT38" s="8">
        <v>0</v>
      </c>
      <c r="QU38" s="8">
        <v>0</v>
      </c>
      <c r="QV38" s="8">
        <v>0</v>
      </c>
      <c r="QW38" s="8">
        <v>0</v>
      </c>
      <c r="QX38" s="8">
        <v>0</v>
      </c>
      <c r="QY38" s="8">
        <v>0</v>
      </c>
      <c r="QZ38" s="8">
        <v>0</v>
      </c>
      <c r="RA38" s="8">
        <v>0</v>
      </c>
      <c r="RB38" s="8">
        <v>0</v>
      </c>
      <c r="RC38" s="8">
        <v>0</v>
      </c>
      <c r="RD38" s="8">
        <v>0</v>
      </c>
      <c r="RE38" s="8">
        <v>0</v>
      </c>
      <c r="RF38" s="8">
        <v>0</v>
      </c>
      <c r="RG38" s="8">
        <v>0</v>
      </c>
      <c r="RH38" s="8">
        <v>0</v>
      </c>
      <c r="RI38" s="8">
        <v>0</v>
      </c>
      <c r="RJ38" s="8">
        <v>0</v>
      </c>
      <c r="RK38" s="8">
        <v>0</v>
      </c>
      <c r="RL38" s="8">
        <v>0</v>
      </c>
      <c r="RM38" s="8">
        <v>0</v>
      </c>
      <c r="RN38" s="8">
        <v>0</v>
      </c>
      <c r="RO38" s="8">
        <v>0</v>
      </c>
      <c r="RP38" s="8">
        <v>0</v>
      </c>
      <c r="RQ38" s="8">
        <v>0</v>
      </c>
      <c r="RR38" s="8">
        <v>0</v>
      </c>
      <c r="RS38" s="8">
        <v>0</v>
      </c>
      <c r="RT38" s="8">
        <v>0</v>
      </c>
      <c r="RU38" s="8">
        <v>0</v>
      </c>
      <c r="RV38" s="8">
        <v>0</v>
      </c>
      <c r="RW38" s="8">
        <v>0</v>
      </c>
      <c r="RX38" s="8">
        <v>0</v>
      </c>
      <c r="RY38" s="8">
        <v>0</v>
      </c>
      <c r="RZ38" s="8">
        <v>0</v>
      </c>
      <c r="SA38" s="8">
        <v>0</v>
      </c>
      <c r="SB38" s="8">
        <v>0</v>
      </c>
      <c r="SC38" s="8">
        <v>0</v>
      </c>
      <c r="SD38" s="8">
        <v>0</v>
      </c>
      <c r="SE38" s="8">
        <v>0</v>
      </c>
      <c r="SF38" s="8">
        <v>0</v>
      </c>
      <c r="SG38" s="8">
        <v>0</v>
      </c>
      <c r="SH38" s="8">
        <v>0</v>
      </c>
      <c r="SI38" s="8">
        <v>0</v>
      </c>
      <c r="SJ38" s="8">
        <v>0</v>
      </c>
      <c r="SK38" s="8">
        <v>0</v>
      </c>
      <c r="SL38" s="8">
        <v>0</v>
      </c>
      <c r="SM38" s="8">
        <v>0</v>
      </c>
      <c r="SN38" s="8">
        <v>0</v>
      </c>
      <c r="SO38" s="8">
        <v>0</v>
      </c>
      <c r="SP38" s="8">
        <v>0</v>
      </c>
      <c r="SQ38" s="8">
        <v>0</v>
      </c>
      <c r="SR38" s="8">
        <v>0</v>
      </c>
      <c r="SS38" s="8">
        <v>0</v>
      </c>
      <c r="ST38" s="8">
        <v>0</v>
      </c>
      <c r="SU38" s="8">
        <v>0</v>
      </c>
      <c r="SV38" s="8">
        <v>0</v>
      </c>
      <c r="SW38" s="8">
        <v>0</v>
      </c>
      <c r="SX38" s="8">
        <v>0</v>
      </c>
      <c r="SY38" s="8">
        <v>0</v>
      </c>
      <c r="SZ38" s="8">
        <v>0</v>
      </c>
      <c r="TA38" s="8">
        <v>0</v>
      </c>
      <c r="TB38" s="8">
        <v>0</v>
      </c>
      <c r="TC38" s="8">
        <v>0</v>
      </c>
      <c r="TD38" s="8">
        <v>0</v>
      </c>
      <c r="TE38" s="8">
        <v>0</v>
      </c>
      <c r="TF38" s="8">
        <v>0</v>
      </c>
      <c r="TG38" s="8">
        <v>0</v>
      </c>
      <c r="TH38" s="8">
        <v>0</v>
      </c>
      <c r="TI38" s="8">
        <v>0</v>
      </c>
      <c r="TJ38" s="8">
        <v>0</v>
      </c>
      <c r="TK38" s="8">
        <v>0</v>
      </c>
      <c r="TL38" s="8">
        <v>0</v>
      </c>
      <c r="TM38" s="8">
        <v>0</v>
      </c>
      <c r="TN38" s="8">
        <v>0</v>
      </c>
      <c r="TO38" s="8">
        <v>0</v>
      </c>
      <c r="TP38" s="8">
        <v>0</v>
      </c>
      <c r="TQ38" s="8">
        <v>0</v>
      </c>
      <c r="TR38" s="8">
        <v>0</v>
      </c>
      <c r="TS38" s="8">
        <v>0</v>
      </c>
      <c r="TT38" s="8">
        <v>0</v>
      </c>
      <c r="TU38" s="8">
        <v>0</v>
      </c>
      <c r="TV38" s="8">
        <v>0</v>
      </c>
      <c r="TW38" s="8">
        <v>0</v>
      </c>
      <c r="TX38" s="8">
        <v>0</v>
      </c>
      <c r="TY38" s="8">
        <v>0</v>
      </c>
      <c r="TZ38" s="8">
        <v>0</v>
      </c>
      <c r="UA38" s="8">
        <v>0</v>
      </c>
      <c r="UB38" s="8">
        <v>0</v>
      </c>
      <c r="UC38" s="8">
        <v>0</v>
      </c>
      <c r="UD38" s="8">
        <v>0</v>
      </c>
      <c r="UE38" s="8">
        <v>0</v>
      </c>
      <c r="UF38" s="8">
        <v>0</v>
      </c>
      <c r="UG38" s="8">
        <v>0</v>
      </c>
      <c r="UH38" s="8">
        <v>0</v>
      </c>
      <c r="UI38" s="8">
        <v>0</v>
      </c>
      <c r="UJ38" s="8">
        <v>0</v>
      </c>
      <c r="UK38" s="8">
        <v>0</v>
      </c>
      <c r="UL38" s="8">
        <v>0</v>
      </c>
      <c r="UM38" s="8">
        <v>0</v>
      </c>
      <c r="UN38" s="8">
        <v>0</v>
      </c>
      <c r="UO38" s="8">
        <v>0</v>
      </c>
      <c r="UP38" s="8">
        <v>0</v>
      </c>
      <c r="UQ38" s="8">
        <v>0</v>
      </c>
      <c r="UR38" s="8">
        <v>0</v>
      </c>
      <c r="US38" s="8">
        <v>0</v>
      </c>
      <c r="UT38" s="8">
        <v>0</v>
      </c>
      <c r="UU38" s="8">
        <v>0</v>
      </c>
      <c r="UV38" s="8">
        <v>0</v>
      </c>
      <c r="UW38" s="8">
        <v>0</v>
      </c>
      <c r="UX38" s="8">
        <v>0</v>
      </c>
      <c r="UY38" s="8">
        <v>0</v>
      </c>
      <c r="UZ38" s="8">
        <v>0</v>
      </c>
      <c r="VA38" s="8">
        <v>0</v>
      </c>
      <c r="VB38" s="8">
        <v>0</v>
      </c>
      <c r="VC38" s="8">
        <v>0</v>
      </c>
      <c r="VD38" s="8">
        <v>0</v>
      </c>
      <c r="VE38" s="8">
        <v>0</v>
      </c>
      <c r="VF38" s="8">
        <v>0</v>
      </c>
      <c r="VG38" s="8">
        <v>0</v>
      </c>
      <c r="VH38" s="8">
        <v>0</v>
      </c>
      <c r="VI38" s="8">
        <v>0</v>
      </c>
      <c r="VJ38" s="8">
        <v>0</v>
      </c>
      <c r="VK38" s="8">
        <v>0</v>
      </c>
      <c r="VL38" s="8">
        <v>0</v>
      </c>
      <c r="VM38" s="8">
        <v>0</v>
      </c>
      <c r="VN38" s="8">
        <v>0</v>
      </c>
      <c r="VO38" s="8">
        <v>0</v>
      </c>
      <c r="VP38" s="8">
        <v>0</v>
      </c>
      <c r="VQ38" s="8">
        <v>0</v>
      </c>
      <c r="VR38" s="8">
        <v>0</v>
      </c>
      <c r="VS38" s="8">
        <v>0</v>
      </c>
      <c r="VT38" s="8">
        <v>0</v>
      </c>
      <c r="VU38" s="8">
        <v>0</v>
      </c>
      <c r="VV38" s="8">
        <v>0</v>
      </c>
      <c r="VW38" s="8">
        <v>0</v>
      </c>
      <c r="VX38" s="8">
        <v>0</v>
      </c>
      <c r="VY38" s="8">
        <v>0</v>
      </c>
      <c r="VZ38" s="8">
        <v>0</v>
      </c>
      <c r="WA38" s="8">
        <v>0</v>
      </c>
      <c r="WB38" s="8">
        <v>0</v>
      </c>
      <c r="WC38" s="8">
        <v>0</v>
      </c>
      <c r="WD38" s="8">
        <v>0</v>
      </c>
      <c r="WE38" s="8">
        <v>0</v>
      </c>
      <c r="WF38" s="8">
        <v>0</v>
      </c>
      <c r="WG38" s="8">
        <v>0</v>
      </c>
      <c r="WH38" s="8">
        <v>0</v>
      </c>
      <c r="WI38" s="8">
        <v>0</v>
      </c>
      <c r="WJ38" s="8">
        <v>0</v>
      </c>
      <c r="WK38" s="8">
        <v>0</v>
      </c>
      <c r="WL38" s="8">
        <v>0</v>
      </c>
      <c r="WM38" s="8">
        <v>0</v>
      </c>
      <c r="WN38" s="8">
        <v>0</v>
      </c>
      <c r="WO38" s="8">
        <v>0</v>
      </c>
      <c r="WP38" s="8">
        <v>0</v>
      </c>
      <c r="WQ38" s="8">
        <v>0</v>
      </c>
      <c r="WR38" s="8">
        <v>0</v>
      </c>
      <c r="WS38" s="8">
        <v>0</v>
      </c>
      <c r="WT38" s="8">
        <v>0</v>
      </c>
      <c r="WU38" s="8">
        <v>0</v>
      </c>
      <c r="WV38" s="8">
        <v>0</v>
      </c>
      <c r="WW38" s="8">
        <v>0</v>
      </c>
      <c r="WX38" s="8">
        <v>0</v>
      </c>
      <c r="WY38" s="8">
        <v>0</v>
      </c>
      <c r="WZ38" s="8">
        <v>0</v>
      </c>
      <c r="XA38" s="8">
        <v>0</v>
      </c>
      <c r="XB38" s="8">
        <v>0</v>
      </c>
      <c r="XC38" s="8">
        <v>0</v>
      </c>
      <c r="XD38" s="8">
        <v>0</v>
      </c>
      <c r="XE38" s="8">
        <v>0</v>
      </c>
      <c r="XF38" s="8">
        <v>0</v>
      </c>
      <c r="XG38" s="8">
        <v>0</v>
      </c>
      <c r="XH38" s="8">
        <v>0</v>
      </c>
      <c r="XI38" s="8">
        <v>0</v>
      </c>
      <c r="XJ38" s="8">
        <v>0</v>
      </c>
      <c r="XK38" s="8">
        <v>0</v>
      </c>
      <c r="XL38" s="8">
        <v>0</v>
      </c>
      <c r="XM38" s="8">
        <v>0</v>
      </c>
      <c r="XN38" s="8">
        <v>0</v>
      </c>
      <c r="XO38" s="8">
        <v>0</v>
      </c>
      <c r="XP38" s="8">
        <v>0</v>
      </c>
      <c r="XQ38" s="8">
        <v>0</v>
      </c>
      <c r="XR38" s="8">
        <v>0</v>
      </c>
      <c r="XS38" s="8">
        <v>0</v>
      </c>
      <c r="XT38" s="8">
        <v>0</v>
      </c>
      <c r="XU38" s="8">
        <v>0</v>
      </c>
      <c r="XV38" s="8">
        <v>0</v>
      </c>
      <c r="XW38" s="8">
        <v>0</v>
      </c>
      <c r="XX38" s="8">
        <v>0</v>
      </c>
      <c r="XY38" s="8">
        <v>0</v>
      </c>
      <c r="XZ38" s="8">
        <v>0</v>
      </c>
      <c r="YA38" s="8">
        <v>0</v>
      </c>
      <c r="YB38" s="8">
        <v>0</v>
      </c>
      <c r="YC38" s="8">
        <v>0</v>
      </c>
      <c r="YD38" s="8">
        <v>0</v>
      </c>
      <c r="YE38" s="8">
        <v>0</v>
      </c>
      <c r="YF38" s="8">
        <v>0</v>
      </c>
      <c r="YG38" s="8">
        <v>0</v>
      </c>
      <c r="YH38" s="8">
        <v>0</v>
      </c>
      <c r="YI38" s="8">
        <v>0</v>
      </c>
      <c r="YJ38" s="8">
        <v>0</v>
      </c>
      <c r="YK38" s="8">
        <v>0</v>
      </c>
      <c r="YL38" s="8">
        <v>0</v>
      </c>
      <c r="YM38" s="8">
        <v>0</v>
      </c>
      <c r="YN38" s="8">
        <v>0</v>
      </c>
      <c r="YO38" s="8">
        <v>0</v>
      </c>
      <c r="YP38" s="8">
        <v>0</v>
      </c>
      <c r="YQ38" s="8">
        <v>0</v>
      </c>
      <c r="YR38" s="8">
        <v>0</v>
      </c>
      <c r="YS38" s="8">
        <v>0</v>
      </c>
      <c r="YT38" s="8">
        <v>0</v>
      </c>
      <c r="YU38" s="8">
        <v>0</v>
      </c>
      <c r="YV38" s="8">
        <v>0</v>
      </c>
      <c r="YW38" s="8">
        <v>0</v>
      </c>
      <c r="YX38" s="8">
        <v>0</v>
      </c>
      <c r="YY38" s="8">
        <v>0</v>
      </c>
      <c r="YZ38" s="8">
        <v>0</v>
      </c>
      <c r="ZA38" s="8">
        <v>0</v>
      </c>
      <c r="ZB38" s="8">
        <v>0</v>
      </c>
      <c r="ZC38" s="8">
        <v>0</v>
      </c>
      <c r="ZD38" s="8">
        <v>0</v>
      </c>
      <c r="ZE38" s="8">
        <v>0</v>
      </c>
      <c r="ZF38" s="8">
        <v>0</v>
      </c>
      <c r="ZG38" s="8">
        <v>0</v>
      </c>
      <c r="ZH38" s="8">
        <v>0</v>
      </c>
      <c r="ZI38" s="8">
        <v>0</v>
      </c>
      <c r="ZJ38" s="8">
        <v>0</v>
      </c>
      <c r="ZK38" s="8">
        <v>0</v>
      </c>
      <c r="ZL38" s="8">
        <v>0</v>
      </c>
      <c r="ZM38" s="8">
        <v>0</v>
      </c>
      <c r="ZN38" s="8">
        <v>0</v>
      </c>
      <c r="ZO38" s="8">
        <v>0</v>
      </c>
      <c r="ZP38" s="8">
        <v>0</v>
      </c>
      <c r="ZQ38" s="8">
        <v>0</v>
      </c>
      <c r="ZR38" s="8">
        <v>0</v>
      </c>
      <c r="ZS38" s="8">
        <v>0</v>
      </c>
      <c r="ZT38" s="8">
        <v>0</v>
      </c>
      <c r="ZU38" s="8">
        <v>0</v>
      </c>
      <c r="ZV38" s="8">
        <v>0</v>
      </c>
      <c r="ZW38" s="8">
        <v>0</v>
      </c>
      <c r="ZX38" s="8">
        <v>0</v>
      </c>
      <c r="ZY38" s="8">
        <v>0</v>
      </c>
      <c r="ZZ38" s="8">
        <v>0</v>
      </c>
      <c r="AAA38" s="8">
        <v>0</v>
      </c>
      <c r="AAB38" s="8">
        <v>0</v>
      </c>
      <c r="AAC38" s="8">
        <v>0</v>
      </c>
      <c r="AAD38" s="8">
        <v>0</v>
      </c>
      <c r="AAE38" s="8">
        <v>0</v>
      </c>
      <c r="AAF38" s="8">
        <v>0</v>
      </c>
      <c r="AAG38" s="8">
        <v>0</v>
      </c>
      <c r="AAH38" s="8">
        <v>0</v>
      </c>
      <c r="AAI38" s="8">
        <v>0</v>
      </c>
      <c r="AAJ38" s="8">
        <v>0</v>
      </c>
      <c r="AAK38" s="8">
        <v>0</v>
      </c>
      <c r="AAL38" s="8">
        <v>0</v>
      </c>
      <c r="AAM38" s="8">
        <v>0</v>
      </c>
      <c r="AAN38" s="8">
        <v>0</v>
      </c>
      <c r="AAO38" s="8">
        <v>0</v>
      </c>
      <c r="AAP38" s="8">
        <v>0</v>
      </c>
      <c r="AAQ38" s="8">
        <v>0</v>
      </c>
      <c r="AAR38" s="8">
        <v>0</v>
      </c>
      <c r="AAS38" s="8">
        <v>0</v>
      </c>
      <c r="AAT38" s="8">
        <v>0</v>
      </c>
      <c r="AAU38" s="8">
        <v>0</v>
      </c>
      <c r="AAV38" s="8">
        <v>0</v>
      </c>
      <c r="AAW38" s="8">
        <v>0</v>
      </c>
      <c r="AAX38" s="8">
        <v>0</v>
      </c>
      <c r="AAY38" s="8">
        <v>0</v>
      </c>
      <c r="AAZ38" s="8">
        <v>0</v>
      </c>
      <c r="ABA38" s="8">
        <v>0</v>
      </c>
      <c r="ABB38" s="8">
        <v>0</v>
      </c>
      <c r="ABC38" s="8">
        <v>0</v>
      </c>
      <c r="ABD38" s="8">
        <v>0</v>
      </c>
      <c r="ABE38" s="8">
        <v>0</v>
      </c>
      <c r="ABF38" s="8">
        <v>0</v>
      </c>
      <c r="ABG38" s="8">
        <v>0</v>
      </c>
      <c r="ABH38" s="8">
        <v>0</v>
      </c>
      <c r="ABI38" s="8">
        <v>0</v>
      </c>
      <c r="ABJ38" s="8">
        <v>0</v>
      </c>
      <c r="ABK38" s="8">
        <v>0</v>
      </c>
      <c r="ABL38" s="8">
        <v>0</v>
      </c>
      <c r="ABM38" s="8">
        <v>0</v>
      </c>
      <c r="ABN38" s="8">
        <v>0</v>
      </c>
      <c r="ABO38" s="8">
        <v>0</v>
      </c>
      <c r="ABP38" s="8">
        <v>0</v>
      </c>
      <c r="ABQ38" s="8">
        <v>0</v>
      </c>
      <c r="ABR38" s="8">
        <v>0</v>
      </c>
      <c r="ABS38" s="8">
        <v>0</v>
      </c>
      <c r="ABT38" s="8">
        <v>0</v>
      </c>
      <c r="ABU38" s="8">
        <v>0</v>
      </c>
      <c r="ABV38" s="8">
        <v>0</v>
      </c>
      <c r="ABW38" s="8">
        <v>0</v>
      </c>
      <c r="ABX38" s="8">
        <v>0</v>
      </c>
      <c r="ABY38" s="8">
        <v>0</v>
      </c>
      <c r="ABZ38" s="8">
        <v>0</v>
      </c>
      <c r="ACA38" s="8">
        <v>0</v>
      </c>
      <c r="ACB38" s="8">
        <v>0</v>
      </c>
      <c r="ACC38" s="8">
        <v>0</v>
      </c>
      <c r="ACD38" s="8">
        <v>0</v>
      </c>
      <c r="ACE38" s="8">
        <v>0</v>
      </c>
      <c r="ACF38" s="8">
        <v>0</v>
      </c>
      <c r="ACG38" s="8">
        <v>0</v>
      </c>
      <c r="ACH38" s="8">
        <v>0</v>
      </c>
      <c r="ACI38" s="8">
        <v>0</v>
      </c>
      <c r="ACJ38" s="8">
        <v>0</v>
      </c>
      <c r="ACK38" s="8">
        <v>0</v>
      </c>
      <c r="ACL38" s="8">
        <v>0</v>
      </c>
      <c r="ACM38" s="8">
        <v>0</v>
      </c>
      <c r="ACN38" s="8">
        <v>0</v>
      </c>
      <c r="ACO38" s="8">
        <v>0</v>
      </c>
      <c r="ACP38" s="8">
        <v>0</v>
      </c>
      <c r="ACQ38" s="8">
        <v>0</v>
      </c>
      <c r="ACR38" s="8">
        <v>0</v>
      </c>
      <c r="ACS38" s="8">
        <v>0</v>
      </c>
      <c r="ACT38" s="8">
        <v>0</v>
      </c>
      <c r="ACU38" s="8">
        <v>0</v>
      </c>
      <c r="ACV38" s="8">
        <v>0</v>
      </c>
      <c r="ACW38" s="8">
        <v>0</v>
      </c>
      <c r="ACX38" s="8">
        <v>0</v>
      </c>
      <c r="ACY38" s="8">
        <v>0</v>
      </c>
      <c r="ACZ38" s="8">
        <v>0</v>
      </c>
      <c r="ADA38" s="8">
        <v>0</v>
      </c>
      <c r="ADB38" s="8">
        <v>0</v>
      </c>
      <c r="ADC38" s="8">
        <v>0</v>
      </c>
      <c r="ADD38" s="8">
        <v>0</v>
      </c>
      <c r="ADE38" s="8">
        <v>0</v>
      </c>
      <c r="ADF38" s="8">
        <v>0</v>
      </c>
      <c r="ADG38" s="8">
        <v>0</v>
      </c>
      <c r="ADH38" s="8">
        <v>0</v>
      </c>
      <c r="ADI38" s="8">
        <v>0</v>
      </c>
      <c r="ADJ38" s="8">
        <v>0</v>
      </c>
      <c r="ADK38" s="8">
        <v>0</v>
      </c>
      <c r="ADL38" s="8">
        <v>0</v>
      </c>
      <c r="ADM38" s="8">
        <v>0</v>
      </c>
      <c r="ADN38" s="8">
        <v>0</v>
      </c>
      <c r="ADO38" s="8">
        <v>0</v>
      </c>
      <c r="ADP38" s="8">
        <v>0</v>
      </c>
      <c r="ADQ38" s="8">
        <v>0</v>
      </c>
      <c r="ADR38" s="8">
        <v>0</v>
      </c>
      <c r="ADS38" s="8">
        <v>0</v>
      </c>
      <c r="ADT38" s="8">
        <v>0</v>
      </c>
      <c r="ADU38" s="8">
        <v>0</v>
      </c>
      <c r="ADV38" s="8">
        <v>0</v>
      </c>
      <c r="ADW38" s="8">
        <v>0</v>
      </c>
      <c r="ADX38" s="8">
        <v>0</v>
      </c>
      <c r="ADY38" s="8">
        <v>0</v>
      </c>
      <c r="ADZ38" s="8">
        <v>0</v>
      </c>
      <c r="AEA38" s="8">
        <v>0</v>
      </c>
      <c r="AEB38" s="8">
        <v>0</v>
      </c>
      <c r="AEC38" s="8">
        <v>0</v>
      </c>
      <c r="AED38" s="8">
        <v>0</v>
      </c>
      <c r="AEE38" s="8">
        <v>0</v>
      </c>
      <c r="AEF38" s="8">
        <v>0</v>
      </c>
      <c r="AEG38" s="8">
        <v>0</v>
      </c>
      <c r="AEH38" s="8">
        <v>0</v>
      </c>
      <c r="AEI38" s="8">
        <v>0</v>
      </c>
      <c r="AEJ38" s="8">
        <v>0</v>
      </c>
      <c r="AEK38" s="8">
        <v>0</v>
      </c>
      <c r="AEL38" s="8">
        <v>0</v>
      </c>
      <c r="AEM38" s="8">
        <v>0</v>
      </c>
      <c r="AEN38" s="8">
        <v>0</v>
      </c>
      <c r="AEO38" s="8">
        <v>0</v>
      </c>
      <c r="AEP38" s="8">
        <v>0</v>
      </c>
      <c r="AEQ38" s="8">
        <v>0</v>
      </c>
      <c r="AER38" s="8">
        <v>0</v>
      </c>
      <c r="AES38" s="8">
        <v>0</v>
      </c>
      <c r="AET38" s="8">
        <v>0</v>
      </c>
      <c r="AEU38" s="8">
        <v>0</v>
      </c>
      <c r="AEV38" s="8">
        <v>0</v>
      </c>
      <c r="AEW38" s="8">
        <v>0</v>
      </c>
      <c r="AEX38" s="8">
        <v>0</v>
      </c>
      <c r="AEY38" s="8">
        <v>0</v>
      </c>
      <c r="AEZ38" s="8">
        <v>0</v>
      </c>
      <c r="AFA38" s="8">
        <v>0</v>
      </c>
      <c r="AFB38" s="8">
        <v>0</v>
      </c>
      <c r="AFC38" s="8">
        <v>0</v>
      </c>
      <c r="AFD38" s="8">
        <v>0</v>
      </c>
      <c r="AFE38" s="8">
        <v>0</v>
      </c>
      <c r="AFF38" s="8">
        <v>0</v>
      </c>
      <c r="AFG38" s="8">
        <v>0</v>
      </c>
      <c r="AFH38" s="8">
        <v>0</v>
      </c>
      <c r="AFI38" s="8">
        <v>0</v>
      </c>
      <c r="AFJ38" s="8">
        <v>0</v>
      </c>
      <c r="AFK38" s="8">
        <v>0</v>
      </c>
      <c r="AFL38" s="8">
        <v>0</v>
      </c>
      <c r="AFM38" s="8">
        <v>0</v>
      </c>
      <c r="AFN38" s="8">
        <v>0</v>
      </c>
      <c r="AFO38" s="8">
        <v>0</v>
      </c>
      <c r="AFP38" s="8">
        <v>0</v>
      </c>
      <c r="AFQ38" s="8">
        <v>0</v>
      </c>
      <c r="AFR38" s="8">
        <v>0</v>
      </c>
      <c r="AFS38" s="8">
        <v>0</v>
      </c>
      <c r="AFT38" s="8">
        <v>0</v>
      </c>
      <c r="AFU38" s="8">
        <v>0</v>
      </c>
      <c r="AFV38" s="8">
        <v>0</v>
      </c>
      <c r="AFW38" s="8">
        <v>0</v>
      </c>
      <c r="AFX38" s="8">
        <v>0</v>
      </c>
      <c r="AFY38" s="8">
        <v>0</v>
      </c>
      <c r="AFZ38" s="8">
        <v>0</v>
      </c>
      <c r="AGA38" s="8">
        <v>0</v>
      </c>
      <c r="AGB38" s="8">
        <v>0</v>
      </c>
      <c r="AGC38" s="8">
        <v>0</v>
      </c>
      <c r="AGD38" s="8">
        <v>0</v>
      </c>
      <c r="AGE38" s="8">
        <v>0</v>
      </c>
      <c r="AGF38" s="8">
        <v>0</v>
      </c>
      <c r="AGG38" s="8">
        <v>0</v>
      </c>
      <c r="AGH38" s="8">
        <v>0</v>
      </c>
      <c r="AGI38" s="8">
        <v>0</v>
      </c>
      <c r="AGJ38" s="8">
        <v>0</v>
      </c>
      <c r="AGK38" s="8">
        <v>0</v>
      </c>
      <c r="AGL38" s="8">
        <v>0</v>
      </c>
      <c r="AGM38" s="8">
        <v>0</v>
      </c>
      <c r="AGN38" s="8">
        <v>0</v>
      </c>
      <c r="AGO38" s="8">
        <v>0</v>
      </c>
      <c r="AGP38" s="8">
        <v>0</v>
      </c>
      <c r="AGQ38" s="8">
        <v>0</v>
      </c>
      <c r="AGR38" s="8">
        <v>0</v>
      </c>
      <c r="AGS38" s="8">
        <v>0</v>
      </c>
      <c r="AGT38" s="8">
        <v>0</v>
      </c>
      <c r="AGU38" s="8">
        <v>0</v>
      </c>
      <c r="AGV38" s="8">
        <v>0</v>
      </c>
      <c r="AGW38" s="8">
        <v>0</v>
      </c>
      <c r="AGX38" s="8">
        <v>0</v>
      </c>
      <c r="AGY38" s="8">
        <v>0</v>
      </c>
      <c r="AGZ38" s="8">
        <v>0</v>
      </c>
      <c r="AHA38" s="8">
        <v>0</v>
      </c>
      <c r="AHB38" s="8">
        <v>0</v>
      </c>
      <c r="AHC38" s="8">
        <v>0</v>
      </c>
      <c r="AHD38" s="8">
        <v>0</v>
      </c>
      <c r="AHE38" s="8">
        <v>0</v>
      </c>
      <c r="AHF38" s="8">
        <v>0</v>
      </c>
      <c r="AHG38" s="8">
        <v>0</v>
      </c>
      <c r="AHH38" s="8">
        <v>0</v>
      </c>
      <c r="AHI38" s="8">
        <v>0</v>
      </c>
      <c r="AHJ38" s="8">
        <v>0</v>
      </c>
      <c r="AHK38" s="8">
        <v>0</v>
      </c>
      <c r="AHL38" s="8">
        <v>0</v>
      </c>
      <c r="AHM38" s="8">
        <v>0</v>
      </c>
      <c r="AHN38" s="8">
        <v>0</v>
      </c>
      <c r="AHO38" s="8">
        <v>0</v>
      </c>
      <c r="AHP38" s="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 t="e">
        <v>#N/A</v>
      </c>
      <c r="AIJ38" t="e">
        <v>#N/A</v>
      </c>
      <c r="AIK38" t="e">
        <v>#N/A</v>
      </c>
      <c r="AIL38" t="e">
        <v>#N/A</v>
      </c>
      <c r="AIM38" t="e">
        <v>#N/A</v>
      </c>
      <c r="AIN38" t="e">
        <v>#N/A</v>
      </c>
      <c r="AIO38" t="e">
        <v>#N/A</v>
      </c>
      <c r="AIP38" t="e">
        <v>#N/A</v>
      </c>
      <c r="AIQ38" t="e">
        <v>#N/A</v>
      </c>
      <c r="AIR38" t="e">
        <v>#N/A</v>
      </c>
      <c r="AIS38" t="e">
        <v>#N/A</v>
      </c>
      <c r="AIT38" t="e">
        <v>#N/A</v>
      </c>
      <c r="AIU38" t="e">
        <v>#N/A</v>
      </c>
      <c r="AIV38" t="e">
        <v>#N/A</v>
      </c>
      <c r="AIW38" t="e">
        <v>#N/A</v>
      </c>
      <c r="AIX38" t="e">
        <v>#N/A</v>
      </c>
      <c r="AIY38" t="e">
        <v>#N/A</v>
      </c>
      <c r="AIZ38" t="e">
        <v>#N/A</v>
      </c>
      <c r="AJA38" t="e">
        <v>#N/A</v>
      </c>
      <c r="AJB38" t="e">
        <v>#N/A</v>
      </c>
      <c r="AJC38" t="e">
        <v>#N/A</v>
      </c>
      <c r="AJD38" t="e">
        <v>#N/A</v>
      </c>
      <c r="AJE38" t="e">
        <v>#N/A</v>
      </c>
      <c r="AJF38" t="e">
        <v>#N/A</v>
      </c>
      <c r="AJG38" t="e">
        <v>#N/A</v>
      </c>
      <c r="AJH38" t="e">
        <v>#N/A</v>
      </c>
      <c r="AJI38" t="e">
        <v>#N/A</v>
      </c>
      <c r="AJJ38" t="e">
        <v>#N/A</v>
      </c>
      <c r="AJK38" t="e">
        <v>#N/A</v>
      </c>
      <c r="AJL38" t="e">
        <v>#N/A</v>
      </c>
      <c r="AJM38" t="e">
        <v>#N/A</v>
      </c>
      <c r="AJN38" t="e">
        <v>#N/A</v>
      </c>
      <c r="AJO38" t="e">
        <v>#N/A</v>
      </c>
      <c r="AJP38" t="e">
        <v>#N/A</v>
      </c>
      <c r="AJQ38" t="e">
        <v>#N/A</v>
      </c>
      <c r="AJR38" t="e">
        <v>#N/A</v>
      </c>
      <c r="AJS38" t="e">
        <v>#N/A</v>
      </c>
      <c r="AJT38" t="e">
        <v>#N/A</v>
      </c>
      <c r="AJU38" t="e">
        <v>#N/A</v>
      </c>
      <c r="AJV38" t="e">
        <v>#N/A</v>
      </c>
      <c r="AJW38" t="e">
        <v>#N/A</v>
      </c>
      <c r="AJX38" t="e">
        <v>#N/A</v>
      </c>
      <c r="AJY38" t="e">
        <v>#N/A</v>
      </c>
      <c r="AJZ38" t="e">
        <v>#N/A</v>
      </c>
      <c r="AKA38" t="e">
        <v>#N/A</v>
      </c>
      <c r="AKB38" t="e">
        <v>#N/A</v>
      </c>
      <c r="AKC38" t="e">
        <v>#N/A</v>
      </c>
      <c r="AKD38" t="e">
        <v>#N/A</v>
      </c>
      <c r="AKE38" t="e">
        <v>#N/A</v>
      </c>
      <c r="AKF38" t="e">
        <v>#N/A</v>
      </c>
      <c r="AKG38" t="e">
        <v>#N/A</v>
      </c>
      <c r="AKH38" t="e">
        <v>#N/A</v>
      </c>
      <c r="AKI38" t="e">
        <v>#N/A</v>
      </c>
      <c r="AKJ38" t="e">
        <v>#N/A</v>
      </c>
      <c r="AKK38" t="e">
        <v>#N/A</v>
      </c>
      <c r="AKL38" t="e">
        <v>#N/A</v>
      </c>
      <c r="AKM38" t="e">
        <v>#N/A</v>
      </c>
      <c r="AKN38" t="e">
        <v>#N/A</v>
      </c>
      <c r="AKO38" t="e">
        <v>#N/A</v>
      </c>
      <c r="AKP38" t="e">
        <v>#N/A</v>
      </c>
      <c r="AKQ38" t="e">
        <v>#N/A</v>
      </c>
      <c r="AKR38" t="e">
        <v>#N/A</v>
      </c>
      <c r="AKS38" t="e">
        <v>#N/A</v>
      </c>
      <c r="AKT38" t="e">
        <v>#N/A</v>
      </c>
      <c r="AKU38" t="e">
        <v>#N/A</v>
      </c>
      <c r="AKV38" t="e">
        <v>#N/A</v>
      </c>
      <c r="AKW38" t="e">
        <v>#N/A</v>
      </c>
      <c r="AKX38" t="e">
        <v>#N/A</v>
      </c>
      <c r="AKY38" t="e">
        <v>#N/A</v>
      </c>
      <c r="AKZ38" t="e">
        <v>#N/A</v>
      </c>
      <c r="ALA38" t="e">
        <v>#N/A</v>
      </c>
      <c r="ALB38" t="e">
        <v>#N/A</v>
      </c>
      <c r="ALC38" t="e">
        <v>#N/A</v>
      </c>
      <c r="ALD38" t="e">
        <v>#N/A</v>
      </c>
      <c r="ALE38" t="e">
        <v>#N/A</v>
      </c>
      <c r="ALF38" t="e">
        <v>#N/A</v>
      </c>
      <c r="ALG38" t="e">
        <v>#N/A</v>
      </c>
      <c r="ALH38" t="e">
        <v>#N/A</v>
      </c>
      <c r="ALI38" t="e">
        <v>#N/A</v>
      </c>
      <c r="ALJ38" t="e">
        <v>#N/A</v>
      </c>
      <c r="ALK38" t="e">
        <v>#N/A</v>
      </c>
      <c r="ALL38" t="e">
        <v>#N/A</v>
      </c>
      <c r="ALM38" t="e">
        <v>#N/A</v>
      </c>
      <c r="ALN38" t="e">
        <v>#N/A</v>
      </c>
      <c r="ALO38" t="e">
        <v>#N/A</v>
      </c>
      <c r="ALP38" t="e">
        <v>#N/A</v>
      </c>
      <c r="ALQ38" t="e">
        <v>#N/A</v>
      </c>
      <c r="ALR38" t="e">
        <v>#N/A</v>
      </c>
      <c r="ALS38" t="e">
        <v>#N/A</v>
      </c>
      <c r="ALT38" t="e">
        <v>#N/A</v>
      </c>
      <c r="ALU38" t="e">
        <v>#N/A</v>
      </c>
      <c r="ALV38" t="e">
        <v>#N/A</v>
      </c>
      <c r="ALW38" t="e">
        <v>#N/A</v>
      </c>
      <c r="ALX38" t="e">
        <v>#N/A</v>
      </c>
      <c r="ALY38" t="e">
        <v>#N/A</v>
      </c>
      <c r="ALZ38" t="e">
        <v>#N/A</v>
      </c>
      <c r="AMA38" t="e">
        <v>#N/A</v>
      </c>
      <c r="AMB38" t="e">
        <v>#N/A</v>
      </c>
      <c r="AMC38" t="e">
        <v>#N/A</v>
      </c>
      <c r="AMD38" t="e">
        <v>#N/A</v>
      </c>
      <c r="AME38" t="e">
        <v>#N/A</v>
      </c>
      <c r="AMF38" t="e">
        <v>#N/A</v>
      </c>
      <c r="AMG38" t="e">
        <v>#N/A</v>
      </c>
      <c r="AMH38" t="e">
        <v>#N/A</v>
      </c>
    </row>
    <row r="39" spans="1:1022" ht="15.75" customHeight="1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0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R39" s="8">
        <v>0</v>
      </c>
      <c r="JS39" s="8">
        <v>0</v>
      </c>
      <c r="JT39" s="8">
        <v>0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0</v>
      </c>
      <c r="KH39" s="8">
        <v>0</v>
      </c>
      <c r="KI39" s="8">
        <v>0</v>
      </c>
      <c r="KJ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</v>
      </c>
      <c r="KT39" s="8">
        <v>0</v>
      </c>
      <c r="KU39" s="8">
        <v>0</v>
      </c>
      <c r="KV39" s="8">
        <v>0</v>
      </c>
      <c r="KW39" s="8">
        <v>0</v>
      </c>
      <c r="KX39" s="8">
        <v>0</v>
      </c>
      <c r="KY39" s="8">
        <v>0</v>
      </c>
      <c r="KZ39" s="8">
        <v>0</v>
      </c>
      <c r="LA39" s="8">
        <v>0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0</v>
      </c>
      <c r="MQ39" s="8">
        <v>0</v>
      </c>
      <c r="MR39" s="8">
        <v>0</v>
      </c>
      <c r="MS39" s="8">
        <v>0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0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  <c r="NN39" s="8">
        <v>0</v>
      </c>
      <c r="NO39" s="8">
        <v>0</v>
      </c>
      <c r="NP39" s="8">
        <v>0</v>
      </c>
      <c r="NQ39" s="8">
        <v>0</v>
      </c>
      <c r="NR39" s="8">
        <v>0</v>
      </c>
      <c r="NS39" s="8">
        <v>0</v>
      </c>
      <c r="NT39" s="8">
        <v>0</v>
      </c>
      <c r="NU39" s="8">
        <v>0</v>
      </c>
      <c r="NV39" s="8">
        <v>0</v>
      </c>
      <c r="NW39" s="8">
        <v>0</v>
      </c>
      <c r="NX39" s="8">
        <v>0</v>
      </c>
      <c r="NY39" s="8">
        <v>0</v>
      </c>
      <c r="NZ39" s="8">
        <v>0</v>
      </c>
      <c r="OA39" s="8">
        <v>0</v>
      </c>
      <c r="OB39" s="8">
        <v>0</v>
      </c>
      <c r="OC39" s="8">
        <v>0</v>
      </c>
      <c r="OD39" s="8">
        <v>0</v>
      </c>
      <c r="OE39" s="8">
        <v>0</v>
      </c>
      <c r="OF39" s="8">
        <v>0</v>
      </c>
      <c r="OG39" s="8">
        <v>0</v>
      </c>
      <c r="OH39" s="8">
        <v>0</v>
      </c>
      <c r="OI39" s="8">
        <v>0</v>
      </c>
      <c r="OJ39" s="8">
        <v>0</v>
      </c>
      <c r="OK39" s="8">
        <v>0</v>
      </c>
      <c r="OL39" s="8">
        <v>0</v>
      </c>
      <c r="OM39" s="8">
        <v>0</v>
      </c>
      <c r="ON39" s="8">
        <v>0</v>
      </c>
      <c r="OO39" s="8">
        <v>0</v>
      </c>
      <c r="OP39" s="8">
        <v>0</v>
      </c>
      <c r="OQ39" s="8">
        <v>0</v>
      </c>
      <c r="OR39" s="8">
        <v>0</v>
      </c>
      <c r="OS39" s="8">
        <v>0</v>
      </c>
      <c r="OT39" s="8">
        <v>0</v>
      </c>
      <c r="OU39" s="8">
        <v>0</v>
      </c>
      <c r="OV39" s="8">
        <v>0</v>
      </c>
      <c r="OW39" s="8">
        <v>0</v>
      </c>
      <c r="OX39" s="8">
        <v>0</v>
      </c>
      <c r="OY39" s="8">
        <v>0</v>
      </c>
      <c r="OZ39" s="8">
        <v>0</v>
      </c>
      <c r="PA39" s="8">
        <v>0</v>
      </c>
      <c r="PB39" s="8">
        <v>0</v>
      </c>
      <c r="PC39" s="8">
        <v>0</v>
      </c>
      <c r="PD39" s="8">
        <v>0</v>
      </c>
      <c r="PE39" s="8">
        <v>0</v>
      </c>
      <c r="PF39" s="8">
        <v>0</v>
      </c>
      <c r="PG39" s="8">
        <v>0</v>
      </c>
      <c r="PH39" s="8">
        <v>0</v>
      </c>
      <c r="PI39" s="8">
        <v>0</v>
      </c>
      <c r="PJ39" s="8">
        <v>0</v>
      </c>
      <c r="PK39" s="8">
        <v>0</v>
      </c>
      <c r="PL39" s="8">
        <v>0</v>
      </c>
      <c r="PM39" s="8">
        <v>0</v>
      </c>
      <c r="PN39" s="8">
        <v>0</v>
      </c>
      <c r="PO39" s="8">
        <v>0</v>
      </c>
      <c r="PP39" s="8">
        <v>0</v>
      </c>
      <c r="PQ39" s="8">
        <v>0</v>
      </c>
      <c r="PR39" s="8">
        <v>0</v>
      </c>
      <c r="PS39" s="8">
        <v>0</v>
      </c>
      <c r="PT39" s="8">
        <v>0</v>
      </c>
      <c r="PU39" s="8">
        <v>0</v>
      </c>
      <c r="PV39" s="8">
        <v>0</v>
      </c>
      <c r="PW39" s="8">
        <v>0</v>
      </c>
      <c r="PX39" s="8">
        <v>0</v>
      </c>
      <c r="PY39" s="8">
        <v>0</v>
      </c>
      <c r="PZ39" s="8">
        <v>0</v>
      </c>
      <c r="QA39" s="8">
        <v>0</v>
      </c>
      <c r="QB39" s="8">
        <v>0</v>
      </c>
      <c r="QC39" s="8">
        <v>0</v>
      </c>
      <c r="QD39" s="8">
        <v>0</v>
      </c>
      <c r="QE39" s="8">
        <v>0</v>
      </c>
      <c r="QF39" s="8">
        <v>0</v>
      </c>
      <c r="QG39" s="8">
        <v>0</v>
      </c>
      <c r="QH39" s="8">
        <v>0</v>
      </c>
      <c r="QI39" s="8">
        <v>0</v>
      </c>
      <c r="QJ39" s="8">
        <v>0</v>
      </c>
      <c r="QK39" s="8">
        <v>0</v>
      </c>
      <c r="QL39" s="8">
        <v>0</v>
      </c>
      <c r="QM39" s="8">
        <v>0</v>
      </c>
      <c r="QN39" s="8">
        <v>0</v>
      </c>
      <c r="QO39" s="8">
        <v>0</v>
      </c>
      <c r="QP39" s="8">
        <v>0</v>
      </c>
      <c r="QQ39" s="8">
        <v>0</v>
      </c>
      <c r="QR39" s="8">
        <v>0</v>
      </c>
      <c r="QS39" s="8">
        <v>0</v>
      </c>
      <c r="QT39" s="8">
        <v>0</v>
      </c>
      <c r="QU39" s="8">
        <v>0</v>
      </c>
      <c r="QV39" s="8">
        <v>0</v>
      </c>
      <c r="QW39" s="8">
        <v>0</v>
      </c>
      <c r="QX39" s="8">
        <v>0</v>
      </c>
      <c r="QY39" s="8">
        <v>0</v>
      </c>
      <c r="QZ39" s="8">
        <v>0</v>
      </c>
      <c r="RA39" s="8">
        <v>0</v>
      </c>
      <c r="RB39" s="8">
        <v>0</v>
      </c>
      <c r="RC39" s="8">
        <v>0</v>
      </c>
      <c r="RD39" s="8">
        <v>0</v>
      </c>
      <c r="RE39" s="8">
        <v>0</v>
      </c>
      <c r="RF39" s="8">
        <v>0</v>
      </c>
      <c r="RG39" s="8">
        <v>0</v>
      </c>
      <c r="RH39" s="8">
        <v>0</v>
      </c>
      <c r="RI39" s="8">
        <v>0</v>
      </c>
      <c r="RJ39" s="8">
        <v>0</v>
      </c>
      <c r="RK39" s="8">
        <v>0</v>
      </c>
      <c r="RL39" s="8">
        <v>0</v>
      </c>
      <c r="RM39" s="8">
        <v>0</v>
      </c>
      <c r="RN39" s="8">
        <v>0</v>
      </c>
      <c r="RO39" s="8">
        <v>0</v>
      </c>
      <c r="RP39" s="8">
        <v>0</v>
      </c>
      <c r="RQ39" s="8">
        <v>0</v>
      </c>
      <c r="RR39" s="8">
        <v>0</v>
      </c>
      <c r="RS39" s="8">
        <v>0</v>
      </c>
      <c r="RT39" s="8">
        <v>0</v>
      </c>
      <c r="RU39" s="8">
        <v>0</v>
      </c>
      <c r="RV39" s="8">
        <v>0</v>
      </c>
      <c r="RW39" s="8">
        <v>0</v>
      </c>
      <c r="RX39" s="8">
        <v>0</v>
      </c>
      <c r="RY39" s="8">
        <v>0</v>
      </c>
      <c r="RZ39" s="8">
        <v>0</v>
      </c>
      <c r="SA39" s="8">
        <v>0</v>
      </c>
      <c r="SB39" s="8">
        <v>0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0</v>
      </c>
      <c r="SJ39" s="8">
        <v>0</v>
      </c>
      <c r="SK39" s="8">
        <v>0</v>
      </c>
      <c r="SL39" s="8">
        <v>0</v>
      </c>
      <c r="SM39" s="8">
        <v>0</v>
      </c>
      <c r="SN39" s="8">
        <v>0</v>
      </c>
      <c r="SO39" s="8">
        <v>0</v>
      </c>
      <c r="SP39" s="8">
        <v>0</v>
      </c>
      <c r="SQ39" s="8">
        <v>0</v>
      </c>
      <c r="SR39" s="8">
        <v>0</v>
      </c>
      <c r="SS39" s="8">
        <v>0</v>
      </c>
      <c r="ST39" s="8">
        <v>0</v>
      </c>
      <c r="SU39" s="8">
        <v>0</v>
      </c>
      <c r="SV39" s="8">
        <v>0</v>
      </c>
      <c r="SW39" s="8">
        <v>0</v>
      </c>
      <c r="SX39" s="8">
        <v>0</v>
      </c>
      <c r="SY39" s="8">
        <v>0</v>
      </c>
      <c r="SZ39" s="8">
        <v>0</v>
      </c>
      <c r="TA39" s="8">
        <v>0</v>
      </c>
      <c r="TB39" s="8">
        <v>0</v>
      </c>
      <c r="TC39" s="8">
        <v>0</v>
      </c>
      <c r="TD39" s="8">
        <v>0</v>
      </c>
      <c r="TE39" s="8">
        <v>0</v>
      </c>
      <c r="TF39" s="8">
        <v>0</v>
      </c>
      <c r="TG39" s="8">
        <v>0</v>
      </c>
      <c r="TH39" s="8">
        <v>0</v>
      </c>
      <c r="TI39" s="8">
        <v>0</v>
      </c>
      <c r="TJ39" s="8">
        <v>0</v>
      </c>
      <c r="TK39" s="8">
        <v>0</v>
      </c>
      <c r="TL39" s="8">
        <v>0</v>
      </c>
      <c r="TM39" s="8">
        <v>0</v>
      </c>
      <c r="TN39" s="8">
        <v>0</v>
      </c>
      <c r="TO39" s="8">
        <v>0</v>
      </c>
      <c r="TP39" s="8">
        <v>0</v>
      </c>
      <c r="TQ39" s="8">
        <v>0</v>
      </c>
      <c r="TR39" s="8">
        <v>0</v>
      </c>
      <c r="TS39" s="8">
        <v>0</v>
      </c>
      <c r="TT39" s="8">
        <v>0</v>
      </c>
      <c r="TU39" s="8">
        <v>0</v>
      </c>
      <c r="TV39" s="8">
        <v>0</v>
      </c>
      <c r="TW39" s="8">
        <v>0</v>
      </c>
      <c r="TX39" s="8">
        <v>0</v>
      </c>
      <c r="TY39" s="8">
        <v>0</v>
      </c>
      <c r="TZ39" s="8">
        <v>0</v>
      </c>
      <c r="UA39" s="8">
        <v>0</v>
      </c>
      <c r="UB39" s="8">
        <v>0</v>
      </c>
      <c r="UC39" s="8">
        <v>0</v>
      </c>
      <c r="UD39" s="8">
        <v>0</v>
      </c>
      <c r="UE39" s="8">
        <v>0</v>
      </c>
      <c r="UF39" s="8">
        <v>0</v>
      </c>
      <c r="UG39" s="8">
        <v>0</v>
      </c>
      <c r="UH39" s="8">
        <v>0</v>
      </c>
      <c r="UI39" s="8">
        <v>0</v>
      </c>
      <c r="UJ39" s="8">
        <v>0</v>
      </c>
      <c r="UK39" s="8">
        <v>0</v>
      </c>
      <c r="UL39" s="8">
        <v>0</v>
      </c>
      <c r="UM39" s="8">
        <v>0</v>
      </c>
      <c r="UN39" s="8">
        <v>0</v>
      </c>
      <c r="UO39" s="8">
        <v>0</v>
      </c>
      <c r="UP39" s="8">
        <v>0</v>
      </c>
      <c r="UQ39" s="8">
        <v>0</v>
      </c>
      <c r="UR39" s="8">
        <v>0</v>
      </c>
      <c r="US39" s="8">
        <v>0</v>
      </c>
      <c r="UT39" s="8">
        <v>0</v>
      </c>
      <c r="UU39" s="8">
        <v>0</v>
      </c>
      <c r="UV39" s="8">
        <v>0</v>
      </c>
      <c r="UW39" s="8">
        <v>0</v>
      </c>
      <c r="UX39" s="8">
        <v>0</v>
      </c>
      <c r="UY39" s="8">
        <v>0</v>
      </c>
      <c r="UZ39" s="8">
        <v>0</v>
      </c>
      <c r="VA39" s="8">
        <v>0</v>
      </c>
      <c r="VB39" s="8">
        <v>0</v>
      </c>
      <c r="VC39" s="8">
        <v>0</v>
      </c>
      <c r="VD39" s="8">
        <v>0</v>
      </c>
      <c r="VE39" s="8">
        <v>0</v>
      </c>
      <c r="VF39" s="8">
        <v>0</v>
      </c>
      <c r="VG39" s="8">
        <v>0</v>
      </c>
      <c r="VH39" s="8">
        <v>0</v>
      </c>
      <c r="VI39" s="8">
        <v>0</v>
      </c>
      <c r="VJ39" s="8">
        <v>0</v>
      </c>
      <c r="VK39" s="8">
        <v>0</v>
      </c>
      <c r="VL39" s="8">
        <v>0</v>
      </c>
      <c r="VM39" s="8">
        <v>0</v>
      </c>
      <c r="VN39" s="8">
        <v>0</v>
      </c>
      <c r="VO39" s="8">
        <v>0</v>
      </c>
      <c r="VP39" s="8">
        <v>0</v>
      </c>
      <c r="VQ39" s="8">
        <v>0</v>
      </c>
      <c r="VR39" s="8">
        <v>0</v>
      </c>
      <c r="VS39" s="8">
        <v>0</v>
      </c>
      <c r="VT39" s="8">
        <v>0</v>
      </c>
      <c r="VU39" s="8">
        <v>0</v>
      </c>
      <c r="VV39" s="8">
        <v>0</v>
      </c>
      <c r="VW39" s="8">
        <v>0</v>
      </c>
      <c r="VX39" s="8">
        <v>0</v>
      </c>
      <c r="VY39" s="8">
        <v>0</v>
      </c>
      <c r="VZ39" s="8">
        <v>0</v>
      </c>
      <c r="WA39" s="8">
        <v>0</v>
      </c>
      <c r="WB39" s="8">
        <v>0</v>
      </c>
      <c r="WC39" s="8">
        <v>0</v>
      </c>
      <c r="WD39" s="8">
        <v>0</v>
      </c>
      <c r="WE39" s="8">
        <v>0</v>
      </c>
      <c r="WF39" s="8">
        <v>0</v>
      </c>
      <c r="WG39" s="8">
        <v>0</v>
      </c>
      <c r="WH39" s="8">
        <v>0</v>
      </c>
      <c r="WI39" s="8">
        <v>0</v>
      </c>
      <c r="WJ39" s="8">
        <v>0</v>
      </c>
      <c r="WK39" s="8">
        <v>0</v>
      </c>
      <c r="WL39" s="8">
        <v>0</v>
      </c>
      <c r="WM39" s="8">
        <v>0</v>
      </c>
      <c r="WN39" s="8">
        <v>0</v>
      </c>
      <c r="WO39" s="8">
        <v>0</v>
      </c>
      <c r="WP39" s="8">
        <v>0</v>
      </c>
      <c r="WQ39" s="8">
        <v>0</v>
      </c>
      <c r="WR39" s="8">
        <v>0</v>
      </c>
      <c r="WS39" s="8">
        <v>0</v>
      </c>
      <c r="WT39" s="8">
        <v>0</v>
      </c>
      <c r="WU39" s="8">
        <v>0</v>
      </c>
      <c r="WV39" s="8">
        <v>0</v>
      </c>
      <c r="WW39" s="8">
        <v>0</v>
      </c>
      <c r="WX39" s="8">
        <v>0</v>
      </c>
      <c r="WY39" s="8">
        <v>0</v>
      </c>
      <c r="WZ39" s="8">
        <v>0</v>
      </c>
      <c r="XA39" s="8">
        <v>0</v>
      </c>
      <c r="XB39" s="8">
        <v>0</v>
      </c>
      <c r="XC39" s="8">
        <v>0</v>
      </c>
      <c r="XD39" s="8">
        <v>0</v>
      </c>
      <c r="XE39" s="8">
        <v>0</v>
      </c>
      <c r="XF39" s="8">
        <v>0</v>
      </c>
      <c r="XG39" s="8">
        <v>0</v>
      </c>
      <c r="XH39" s="8">
        <v>0</v>
      </c>
      <c r="XI39" s="8">
        <v>0</v>
      </c>
      <c r="XJ39" s="8">
        <v>0</v>
      </c>
      <c r="XK39" s="8">
        <v>0</v>
      </c>
      <c r="XL39" s="8">
        <v>0</v>
      </c>
      <c r="XM39" s="8">
        <v>0</v>
      </c>
      <c r="XN39" s="8">
        <v>0</v>
      </c>
      <c r="XO39" s="8">
        <v>0</v>
      </c>
      <c r="XP39" s="8">
        <v>0</v>
      </c>
      <c r="XQ39" s="8">
        <v>0</v>
      </c>
      <c r="XR39" s="8">
        <v>0</v>
      </c>
      <c r="XS39" s="8">
        <v>0</v>
      </c>
      <c r="XT39" s="8">
        <v>0</v>
      </c>
      <c r="XU39" s="8">
        <v>0</v>
      </c>
      <c r="XV39" s="8">
        <v>0</v>
      </c>
      <c r="XW39" s="8">
        <v>0</v>
      </c>
      <c r="XX39" s="8">
        <v>0</v>
      </c>
      <c r="XY39" s="8">
        <v>0</v>
      </c>
      <c r="XZ39" s="8">
        <v>0</v>
      </c>
      <c r="YA39" s="8">
        <v>0</v>
      </c>
      <c r="YB39" s="8">
        <v>0</v>
      </c>
      <c r="YC39" s="8">
        <v>0</v>
      </c>
      <c r="YD39" s="8">
        <v>0</v>
      </c>
      <c r="YE39" s="8">
        <v>0</v>
      </c>
      <c r="YF39" s="8">
        <v>0</v>
      </c>
      <c r="YG39" s="8">
        <v>0</v>
      </c>
      <c r="YH39" s="8">
        <v>0</v>
      </c>
      <c r="YI39" s="8">
        <v>0</v>
      </c>
      <c r="YJ39" s="8">
        <v>0</v>
      </c>
      <c r="YK39" s="8">
        <v>0</v>
      </c>
      <c r="YL39" s="8">
        <v>0</v>
      </c>
      <c r="YM39" s="8">
        <v>0</v>
      </c>
      <c r="YN39" s="8">
        <v>0</v>
      </c>
      <c r="YO39" s="8">
        <v>0</v>
      </c>
      <c r="YP39" s="8">
        <v>0</v>
      </c>
      <c r="YQ39" s="8">
        <v>0</v>
      </c>
      <c r="YR39" s="8">
        <v>0</v>
      </c>
      <c r="YS39" s="8">
        <v>0</v>
      </c>
      <c r="YT39" s="8">
        <v>0</v>
      </c>
      <c r="YU39" s="8">
        <v>0</v>
      </c>
      <c r="YV39" s="8">
        <v>0</v>
      </c>
      <c r="YW39" s="8">
        <v>0</v>
      </c>
      <c r="YX39" s="8">
        <v>0</v>
      </c>
      <c r="YY39" s="8">
        <v>0</v>
      </c>
      <c r="YZ39" s="8">
        <v>0</v>
      </c>
      <c r="ZA39" s="8">
        <v>0</v>
      </c>
      <c r="ZB39" s="8">
        <v>0</v>
      </c>
      <c r="ZC39" s="8">
        <v>0</v>
      </c>
      <c r="ZD39" s="8">
        <v>0</v>
      </c>
      <c r="ZE39" s="8">
        <v>0</v>
      </c>
      <c r="ZF39" s="8">
        <v>0</v>
      </c>
      <c r="ZG39" s="8">
        <v>0</v>
      </c>
      <c r="ZH39" s="8">
        <v>0</v>
      </c>
      <c r="ZI39" s="8">
        <v>0</v>
      </c>
      <c r="ZJ39" s="8">
        <v>0</v>
      </c>
      <c r="ZK39" s="8">
        <v>0</v>
      </c>
      <c r="ZL39" s="8">
        <v>0</v>
      </c>
      <c r="ZM39" s="8">
        <v>0</v>
      </c>
      <c r="ZN39" s="8">
        <v>0</v>
      </c>
      <c r="ZO39" s="8">
        <v>0</v>
      </c>
      <c r="ZP39" s="8">
        <v>0</v>
      </c>
      <c r="ZQ39" s="8">
        <v>0</v>
      </c>
      <c r="ZR39" s="8">
        <v>0</v>
      </c>
      <c r="ZS39" s="8">
        <v>0</v>
      </c>
      <c r="ZT39" s="8">
        <v>0</v>
      </c>
      <c r="ZU39" s="8">
        <v>0</v>
      </c>
      <c r="ZV39" s="8">
        <v>0</v>
      </c>
      <c r="ZW39" s="8">
        <v>0</v>
      </c>
      <c r="ZX39" s="8">
        <v>0</v>
      </c>
      <c r="ZY39" s="8">
        <v>0</v>
      </c>
      <c r="ZZ39" s="8">
        <v>0</v>
      </c>
      <c r="AAA39" s="8">
        <v>0</v>
      </c>
      <c r="AAB39" s="8">
        <v>0</v>
      </c>
      <c r="AAC39" s="8">
        <v>0</v>
      </c>
      <c r="AAD39" s="8">
        <v>0</v>
      </c>
      <c r="AAE39" s="8">
        <v>0</v>
      </c>
      <c r="AAF39" s="8">
        <v>0</v>
      </c>
      <c r="AAG39" s="8">
        <v>0</v>
      </c>
      <c r="AAH39" s="8">
        <v>0</v>
      </c>
      <c r="AAI39" s="8">
        <v>0</v>
      </c>
      <c r="AAJ39" s="8">
        <v>0</v>
      </c>
      <c r="AAK39" s="8">
        <v>0</v>
      </c>
      <c r="AAL39" s="8">
        <v>0</v>
      </c>
      <c r="AAM39" s="8">
        <v>0</v>
      </c>
      <c r="AAN39" s="8">
        <v>0</v>
      </c>
      <c r="AAO39" s="8">
        <v>0</v>
      </c>
      <c r="AAP39" s="8">
        <v>0</v>
      </c>
      <c r="AAQ39" s="8">
        <v>0</v>
      </c>
      <c r="AAR39" s="8">
        <v>0</v>
      </c>
      <c r="AAS39" s="8">
        <v>0</v>
      </c>
      <c r="AAT39" s="8">
        <v>0</v>
      </c>
      <c r="AAU39" s="8">
        <v>0</v>
      </c>
      <c r="AAV39" s="8">
        <v>0</v>
      </c>
      <c r="AAW39" s="8">
        <v>0</v>
      </c>
      <c r="AAX39" s="8">
        <v>0</v>
      </c>
      <c r="AAY39" s="8">
        <v>0</v>
      </c>
      <c r="AAZ39" s="8">
        <v>0</v>
      </c>
      <c r="ABA39" s="8">
        <v>0</v>
      </c>
      <c r="ABB39" s="8">
        <v>0</v>
      </c>
      <c r="ABC39" s="8">
        <v>0</v>
      </c>
      <c r="ABD39" s="8">
        <v>0</v>
      </c>
      <c r="ABE39" s="8">
        <v>0</v>
      </c>
      <c r="ABF39" s="8">
        <v>0</v>
      </c>
      <c r="ABG39" s="8">
        <v>0</v>
      </c>
      <c r="ABH39" s="8">
        <v>0</v>
      </c>
      <c r="ABI39" s="8">
        <v>0</v>
      </c>
      <c r="ABJ39" s="8">
        <v>0</v>
      </c>
      <c r="ABK39" s="8">
        <v>0</v>
      </c>
      <c r="ABL39" s="8">
        <v>0</v>
      </c>
      <c r="ABM39" s="8">
        <v>0</v>
      </c>
      <c r="ABN39" s="8">
        <v>0</v>
      </c>
      <c r="ABO39" s="8">
        <v>0</v>
      </c>
      <c r="ABP39" s="8">
        <v>0</v>
      </c>
      <c r="ABQ39" s="8">
        <v>0</v>
      </c>
      <c r="ABR39" s="8">
        <v>0</v>
      </c>
      <c r="ABS39" s="8">
        <v>0</v>
      </c>
      <c r="ABT39" s="8">
        <v>0</v>
      </c>
      <c r="ABU39" s="8">
        <v>0</v>
      </c>
      <c r="ABV39" s="8">
        <v>0</v>
      </c>
      <c r="ABW39" s="8">
        <v>0</v>
      </c>
      <c r="ABX39" s="8">
        <v>0</v>
      </c>
      <c r="ABY39" s="8">
        <v>0</v>
      </c>
      <c r="ABZ39" s="8">
        <v>0</v>
      </c>
      <c r="ACA39" s="8">
        <v>0</v>
      </c>
      <c r="ACB39" s="8">
        <v>0</v>
      </c>
      <c r="ACC39" s="8">
        <v>0</v>
      </c>
      <c r="ACD39" s="8">
        <v>0</v>
      </c>
      <c r="ACE39" s="8">
        <v>0</v>
      </c>
      <c r="ACF39" s="8">
        <v>0</v>
      </c>
      <c r="ACG39" s="8">
        <v>0</v>
      </c>
      <c r="ACH39" s="8">
        <v>0</v>
      </c>
      <c r="ACI39" s="8">
        <v>0</v>
      </c>
      <c r="ACJ39" s="8">
        <v>0</v>
      </c>
      <c r="ACK39" s="8">
        <v>0</v>
      </c>
      <c r="ACL39" s="8">
        <v>0</v>
      </c>
      <c r="ACM39" s="8">
        <v>0</v>
      </c>
      <c r="ACN39" s="8">
        <v>0</v>
      </c>
      <c r="ACO39" s="8">
        <v>0</v>
      </c>
      <c r="ACP39" s="8">
        <v>0</v>
      </c>
      <c r="ACQ39" s="8">
        <v>0</v>
      </c>
      <c r="ACR39" s="8">
        <v>0</v>
      </c>
      <c r="ACS39" s="8">
        <v>0</v>
      </c>
      <c r="ACT39" s="8">
        <v>0</v>
      </c>
      <c r="ACU39" s="8">
        <v>0</v>
      </c>
      <c r="ACV39" s="8">
        <v>0</v>
      </c>
      <c r="ACW39" s="8">
        <v>0</v>
      </c>
      <c r="ACX39" s="8">
        <v>0</v>
      </c>
      <c r="ACY39" s="8">
        <v>0</v>
      </c>
      <c r="ACZ39" s="8">
        <v>0</v>
      </c>
      <c r="ADA39" s="8">
        <v>0</v>
      </c>
      <c r="ADB39" s="8">
        <v>0</v>
      </c>
      <c r="ADC39" s="8">
        <v>0</v>
      </c>
      <c r="ADD39" s="8">
        <v>0</v>
      </c>
      <c r="ADE39" s="8">
        <v>0</v>
      </c>
      <c r="ADF39" s="8">
        <v>0</v>
      </c>
      <c r="ADG39" s="8">
        <v>0</v>
      </c>
      <c r="ADH39" s="8">
        <v>0</v>
      </c>
      <c r="ADI39" s="8">
        <v>0</v>
      </c>
      <c r="ADJ39" s="8">
        <v>0</v>
      </c>
      <c r="ADK39" s="8">
        <v>0</v>
      </c>
      <c r="ADL39" s="8">
        <v>0</v>
      </c>
      <c r="ADM39" s="8">
        <v>0</v>
      </c>
      <c r="ADN39" s="8">
        <v>0</v>
      </c>
      <c r="ADO39" s="8">
        <v>0</v>
      </c>
      <c r="ADP39" s="8">
        <v>0</v>
      </c>
      <c r="ADQ39" s="8">
        <v>0</v>
      </c>
      <c r="ADR39" s="8">
        <v>0</v>
      </c>
      <c r="ADS39" s="8">
        <v>0</v>
      </c>
      <c r="ADT39" s="8">
        <v>0</v>
      </c>
      <c r="ADU39" s="8">
        <v>0</v>
      </c>
      <c r="ADV39" s="8">
        <v>0</v>
      </c>
      <c r="ADW39" s="8">
        <v>0</v>
      </c>
      <c r="ADX39" s="8">
        <v>0</v>
      </c>
      <c r="ADY39" s="8">
        <v>0</v>
      </c>
      <c r="ADZ39" s="8">
        <v>0</v>
      </c>
      <c r="AEA39" s="8">
        <v>0</v>
      </c>
      <c r="AEB39" s="8">
        <v>0</v>
      </c>
      <c r="AEC39" s="8">
        <v>0</v>
      </c>
      <c r="AED39" s="8">
        <v>0</v>
      </c>
      <c r="AEE39" s="8">
        <v>0</v>
      </c>
      <c r="AEF39" s="8">
        <v>0</v>
      </c>
      <c r="AEG39" s="8">
        <v>0</v>
      </c>
      <c r="AEH39" s="8">
        <v>0</v>
      </c>
      <c r="AEI39" s="8">
        <v>0</v>
      </c>
      <c r="AEJ39" s="8">
        <v>0</v>
      </c>
      <c r="AEK39" s="8">
        <v>0</v>
      </c>
      <c r="AEL39" s="8">
        <v>0</v>
      </c>
      <c r="AEM39" s="8">
        <v>0</v>
      </c>
      <c r="AEN39" s="8">
        <v>0</v>
      </c>
      <c r="AEO39" s="8">
        <v>0</v>
      </c>
      <c r="AEP39" s="8">
        <v>0</v>
      </c>
      <c r="AEQ39" s="8">
        <v>0</v>
      </c>
      <c r="AER39" s="8">
        <v>0</v>
      </c>
      <c r="AES39" s="8">
        <v>0</v>
      </c>
      <c r="AET39" s="8">
        <v>0</v>
      </c>
      <c r="AEU39" s="8">
        <v>0</v>
      </c>
      <c r="AEV39" s="8">
        <v>0</v>
      </c>
      <c r="AEW39" s="8">
        <v>0</v>
      </c>
      <c r="AEX39" s="8">
        <v>0</v>
      </c>
      <c r="AEY39" s="8">
        <v>0</v>
      </c>
      <c r="AEZ39" s="8">
        <v>0</v>
      </c>
      <c r="AFA39" s="8">
        <v>0</v>
      </c>
      <c r="AFB39" s="8">
        <v>0</v>
      </c>
      <c r="AFC39" s="8">
        <v>0</v>
      </c>
      <c r="AFD39" s="8">
        <v>0</v>
      </c>
      <c r="AFE39" s="8">
        <v>0</v>
      </c>
      <c r="AFF39" s="8">
        <v>0</v>
      </c>
      <c r="AFG39" s="8">
        <v>0</v>
      </c>
      <c r="AFH39" s="8">
        <v>0</v>
      </c>
      <c r="AFI39" s="8">
        <v>0</v>
      </c>
      <c r="AFJ39" s="8">
        <v>0</v>
      </c>
      <c r="AFK39" s="8">
        <v>0</v>
      </c>
      <c r="AFL39" s="8">
        <v>0</v>
      </c>
      <c r="AFM39" s="8">
        <v>0</v>
      </c>
      <c r="AFN39" s="8">
        <v>0</v>
      </c>
      <c r="AFO39" s="8">
        <v>0</v>
      </c>
      <c r="AFP39" s="8">
        <v>0</v>
      </c>
      <c r="AFQ39" s="8">
        <v>0</v>
      </c>
      <c r="AFR39" s="8">
        <v>0</v>
      </c>
      <c r="AFS39" s="8">
        <v>0</v>
      </c>
      <c r="AFT39" s="8">
        <v>0</v>
      </c>
      <c r="AFU39" s="8">
        <v>0</v>
      </c>
      <c r="AFV39" s="8">
        <v>0</v>
      </c>
      <c r="AFW39" s="8">
        <v>0</v>
      </c>
      <c r="AFX39" s="8">
        <v>0</v>
      </c>
      <c r="AFY39" s="8">
        <v>0</v>
      </c>
      <c r="AFZ39" s="8">
        <v>0</v>
      </c>
      <c r="AGA39" s="8">
        <v>0</v>
      </c>
      <c r="AGB39" s="8">
        <v>0</v>
      </c>
      <c r="AGC39" s="8">
        <v>0</v>
      </c>
      <c r="AGD39" s="8">
        <v>0</v>
      </c>
      <c r="AGE39" s="8">
        <v>0</v>
      </c>
      <c r="AGF39" s="8">
        <v>0</v>
      </c>
      <c r="AGG39" s="8">
        <v>0</v>
      </c>
      <c r="AGH39" s="8">
        <v>0</v>
      </c>
      <c r="AGI39" s="8">
        <v>0</v>
      </c>
      <c r="AGJ39" s="8">
        <v>0</v>
      </c>
      <c r="AGK39" s="8">
        <v>0</v>
      </c>
      <c r="AGL39" s="8">
        <v>0</v>
      </c>
      <c r="AGM39" s="8">
        <v>0</v>
      </c>
      <c r="AGN39" s="8">
        <v>0</v>
      </c>
      <c r="AGO39" s="8">
        <v>0</v>
      </c>
      <c r="AGP39" s="8">
        <v>0</v>
      </c>
      <c r="AGQ39" s="8">
        <v>0</v>
      </c>
      <c r="AGR39" s="8">
        <v>0</v>
      </c>
      <c r="AGS39" s="8">
        <v>0</v>
      </c>
      <c r="AGT39" s="8">
        <v>0</v>
      </c>
      <c r="AGU39" s="8">
        <v>0</v>
      </c>
      <c r="AGV39" s="8">
        <v>0</v>
      </c>
      <c r="AGW39" s="8">
        <v>0</v>
      </c>
      <c r="AGX39" s="8">
        <v>0</v>
      </c>
      <c r="AGY39" s="8">
        <v>0</v>
      </c>
      <c r="AGZ39" s="8">
        <v>0</v>
      </c>
      <c r="AHA39" s="8">
        <v>0</v>
      </c>
      <c r="AHB39" s="8">
        <v>0</v>
      </c>
      <c r="AHC39" s="8">
        <v>0</v>
      </c>
      <c r="AHD39" s="8">
        <v>0</v>
      </c>
      <c r="AHE39" s="8">
        <v>0</v>
      </c>
      <c r="AHF39" s="8">
        <v>0</v>
      </c>
      <c r="AHG39" s="8">
        <v>0</v>
      </c>
      <c r="AHH39" s="8">
        <v>0</v>
      </c>
      <c r="AHI39" s="8">
        <v>0</v>
      </c>
      <c r="AHJ39" s="8">
        <v>0</v>
      </c>
      <c r="AHK39" s="8">
        <v>0</v>
      </c>
      <c r="AHL39" s="8">
        <v>0</v>
      </c>
      <c r="AHM39" s="8">
        <v>0</v>
      </c>
      <c r="AHN39" s="8">
        <v>0</v>
      </c>
      <c r="AHO39" s="8">
        <v>0</v>
      </c>
      <c r="AHP39" s="8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 t="e">
        <v>#N/A</v>
      </c>
      <c r="AIJ39" t="e">
        <v>#N/A</v>
      </c>
      <c r="AIK39" t="e">
        <v>#N/A</v>
      </c>
      <c r="AIL39" t="e">
        <v>#N/A</v>
      </c>
      <c r="AIM39" t="e">
        <v>#N/A</v>
      </c>
      <c r="AIN39" t="e">
        <v>#N/A</v>
      </c>
      <c r="AIO39" t="e">
        <v>#N/A</v>
      </c>
      <c r="AIP39" t="e">
        <v>#N/A</v>
      </c>
      <c r="AIQ39" t="e">
        <v>#N/A</v>
      </c>
      <c r="AIR39" t="e">
        <v>#N/A</v>
      </c>
      <c r="AIS39" t="e">
        <v>#N/A</v>
      </c>
      <c r="AIT39" t="e">
        <v>#N/A</v>
      </c>
      <c r="AIU39" t="e">
        <v>#N/A</v>
      </c>
      <c r="AIV39" t="e">
        <v>#N/A</v>
      </c>
      <c r="AIW39" t="e">
        <v>#N/A</v>
      </c>
      <c r="AIX39" t="e">
        <v>#N/A</v>
      </c>
      <c r="AIY39" t="e">
        <v>#N/A</v>
      </c>
      <c r="AIZ39" t="e">
        <v>#N/A</v>
      </c>
      <c r="AJA39" t="e">
        <v>#N/A</v>
      </c>
      <c r="AJB39" t="e">
        <v>#N/A</v>
      </c>
      <c r="AJC39" t="e">
        <v>#N/A</v>
      </c>
      <c r="AJD39" t="e">
        <v>#N/A</v>
      </c>
      <c r="AJE39" t="e">
        <v>#N/A</v>
      </c>
      <c r="AJF39" t="e">
        <v>#N/A</v>
      </c>
      <c r="AJG39" t="e">
        <v>#N/A</v>
      </c>
      <c r="AJH39" t="e">
        <v>#N/A</v>
      </c>
      <c r="AJI39" t="e">
        <v>#N/A</v>
      </c>
      <c r="AJJ39" t="e">
        <v>#N/A</v>
      </c>
      <c r="AJK39" t="e">
        <v>#N/A</v>
      </c>
      <c r="AJL39" t="e">
        <v>#N/A</v>
      </c>
      <c r="AJM39" t="e">
        <v>#N/A</v>
      </c>
      <c r="AJN39" t="e">
        <v>#N/A</v>
      </c>
      <c r="AJO39" t="e">
        <v>#N/A</v>
      </c>
      <c r="AJP39" t="e">
        <v>#N/A</v>
      </c>
      <c r="AJQ39" t="e">
        <v>#N/A</v>
      </c>
      <c r="AJR39" t="e">
        <v>#N/A</v>
      </c>
      <c r="AJS39" t="e">
        <v>#N/A</v>
      </c>
      <c r="AJT39" t="e">
        <v>#N/A</v>
      </c>
      <c r="AJU39" t="e">
        <v>#N/A</v>
      </c>
      <c r="AJV39" t="e">
        <v>#N/A</v>
      </c>
      <c r="AJW39" t="e">
        <v>#N/A</v>
      </c>
      <c r="AJX39" t="e">
        <v>#N/A</v>
      </c>
      <c r="AJY39" t="e">
        <v>#N/A</v>
      </c>
      <c r="AJZ39" t="e">
        <v>#N/A</v>
      </c>
      <c r="AKA39" t="e">
        <v>#N/A</v>
      </c>
      <c r="AKB39" t="e">
        <v>#N/A</v>
      </c>
      <c r="AKC39" t="e">
        <v>#N/A</v>
      </c>
      <c r="AKD39" t="e">
        <v>#N/A</v>
      </c>
      <c r="AKE39" t="e">
        <v>#N/A</v>
      </c>
      <c r="AKF39" t="e">
        <v>#N/A</v>
      </c>
      <c r="AKG39" t="e">
        <v>#N/A</v>
      </c>
      <c r="AKH39" t="e">
        <v>#N/A</v>
      </c>
      <c r="AKI39" t="e">
        <v>#N/A</v>
      </c>
      <c r="AKJ39" t="e">
        <v>#N/A</v>
      </c>
      <c r="AKK39" t="e">
        <v>#N/A</v>
      </c>
      <c r="AKL39" t="e">
        <v>#N/A</v>
      </c>
      <c r="AKM39" t="e">
        <v>#N/A</v>
      </c>
      <c r="AKN39" t="e">
        <v>#N/A</v>
      </c>
      <c r="AKO39" t="e">
        <v>#N/A</v>
      </c>
      <c r="AKP39" t="e">
        <v>#N/A</v>
      </c>
      <c r="AKQ39" t="e">
        <v>#N/A</v>
      </c>
      <c r="AKR39" t="e">
        <v>#N/A</v>
      </c>
      <c r="AKS39" t="e">
        <v>#N/A</v>
      </c>
      <c r="AKT39" t="e">
        <v>#N/A</v>
      </c>
      <c r="AKU39" t="e">
        <v>#N/A</v>
      </c>
      <c r="AKV39" t="e">
        <v>#N/A</v>
      </c>
      <c r="AKW39" t="e">
        <v>#N/A</v>
      </c>
      <c r="AKX39" t="e">
        <v>#N/A</v>
      </c>
      <c r="AKY39" t="e">
        <v>#N/A</v>
      </c>
      <c r="AKZ39" t="e">
        <v>#N/A</v>
      </c>
      <c r="ALA39" t="e">
        <v>#N/A</v>
      </c>
      <c r="ALB39" t="e">
        <v>#N/A</v>
      </c>
      <c r="ALC39" t="e">
        <v>#N/A</v>
      </c>
      <c r="ALD39" t="e">
        <v>#N/A</v>
      </c>
      <c r="ALE39" t="e">
        <v>#N/A</v>
      </c>
      <c r="ALF39" t="e">
        <v>#N/A</v>
      </c>
      <c r="ALG39" t="e">
        <v>#N/A</v>
      </c>
      <c r="ALH39" t="e">
        <v>#N/A</v>
      </c>
      <c r="ALI39" t="e">
        <v>#N/A</v>
      </c>
      <c r="ALJ39" t="e">
        <v>#N/A</v>
      </c>
      <c r="ALK39" t="e">
        <v>#N/A</v>
      </c>
      <c r="ALL39" t="e">
        <v>#N/A</v>
      </c>
      <c r="ALM39" t="e">
        <v>#N/A</v>
      </c>
      <c r="ALN39" t="e">
        <v>#N/A</v>
      </c>
      <c r="ALO39" t="e">
        <v>#N/A</v>
      </c>
      <c r="ALP39" t="e">
        <v>#N/A</v>
      </c>
      <c r="ALQ39" t="e">
        <v>#N/A</v>
      </c>
      <c r="ALR39" t="e">
        <v>#N/A</v>
      </c>
      <c r="ALS39" t="e">
        <v>#N/A</v>
      </c>
      <c r="ALT39" t="e">
        <v>#N/A</v>
      </c>
      <c r="ALU39" t="e">
        <v>#N/A</v>
      </c>
      <c r="ALV39" t="e">
        <v>#N/A</v>
      </c>
      <c r="ALW39" t="e">
        <v>#N/A</v>
      </c>
      <c r="ALX39" t="e">
        <v>#N/A</v>
      </c>
      <c r="ALY39" t="e">
        <v>#N/A</v>
      </c>
      <c r="ALZ39" t="e">
        <v>#N/A</v>
      </c>
      <c r="AMA39" t="e">
        <v>#N/A</v>
      </c>
      <c r="AMB39" t="e">
        <v>#N/A</v>
      </c>
      <c r="AMC39" t="e">
        <v>#N/A</v>
      </c>
      <c r="AMD39" t="e">
        <v>#N/A</v>
      </c>
      <c r="AME39" t="e">
        <v>#N/A</v>
      </c>
      <c r="AMF39" t="e">
        <v>#N/A</v>
      </c>
      <c r="AMG39" t="e">
        <v>#N/A</v>
      </c>
      <c r="AMH39" t="e">
        <v>#N/A</v>
      </c>
    </row>
    <row r="40" spans="1:1022" ht="15.75" customHeight="1">
      <c r="A40" s="8">
        <v>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0</v>
      </c>
      <c r="HY40" s="8">
        <v>0</v>
      </c>
      <c r="HZ40" s="8">
        <v>0</v>
      </c>
      <c r="IA40" s="8">
        <v>0</v>
      </c>
      <c r="IB40" s="8">
        <v>0</v>
      </c>
      <c r="IC40" s="8">
        <v>0</v>
      </c>
      <c r="ID40" s="8">
        <v>0</v>
      </c>
      <c r="IE40" s="8">
        <v>0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0</v>
      </c>
      <c r="IL40" s="8">
        <v>0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IS40" s="8">
        <v>0</v>
      </c>
      <c r="IT40" s="8">
        <v>0</v>
      </c>
      <c r="IU40" s="8">
        <v>0</v>
      </c>
      <c r="IV40" s="8">
        <v>0</v>
      </c>
      <c r="IW40" s="8">
        <v>0</v>
      </c>
      <c r="IX40" s="8">
        <v>0</v>
      </c>
      <c r="IY40" s="8">
        <v>0</v>
      </c>
      <c r="IZ40" s="8">
        <v>0</v>
      </c>
      <c r="JA40" s="8">
        <v>0</v>
      </c>
      <c r="JB40" s="8">
        <v>0</v>
      </c>
      <c r="JC40" s="8">
        <v>0</v>
      </c>
      <c r="JD40" s="8">
        <v>0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0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0</v>
      </c>
      <c r="JV40" s="8">
        <v>0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0</v>
      </c>
      <c r="KG40" s="8">
        <v>0</v>
      </c>
      <c r="KH40" s="8">
        <v>0</v>
      </c>
      <c r="KI40" s="8">
        <v>0</v>
      </c>
      <c r="KJ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Q40" s="8">
        <v>0</v>
      </c>
      <c r="KR40" s="8">
        <v>0</v>
      </c>
      <c r="KS40" s="8">
        <v>0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0</v>
      </c>
      <c r="LB40" s="8">
        <v>0</v>
      </c>
      <c r="LC40" s="8">
        <v>0</v>
      </c>
      <c r="LD40" s="8">
        <v>0</v>
      </c>
      <c r="LE40" s="8">
        <v>0</v>
      </c>
      <c r="LF40" s="8">
        <v>0</v>
      </c>
      <c r="LG40" s="8">
        <v>0</v>
      </c>
      <c r="LH40" s="8">
        <v>0</v>
      </c>
      <c r="LI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0</v>
      </c>
      <c r="LX40" s="8">
        <v>0</v>
      </c>
      <c r="LY40" s="8">
        <v>0</v>
      </c>
      <c r="LZ40" s="8">
        <v>0</v>
      </c>
      <c r="MA40" s="8">
        <v>0</v>
      </c>
      <c r="MB40" s="8">
        <v>0</v>
      </c>
      <c r="MC40" s="8">
        <v>0</v>
      </c>
      <c r="MD40" s="8">
        <v>0</v>
      </c>
      <c r="ME40" s="8">
        <v>0</v>
      </c>
      <c r="MF40" s="8">
        <v>0</v>
      </c>
      <c r="MG40" s="8">
        <v>0</v>
      </c>
      <c r="MH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0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0</v>
      </c>
      <c r="NJ40" s="8">
        <v>0</v>
      </c>
      <c r="NK40" s="8">
        <v>0</v>
      </c>
      <c r="NL40" s="8">
        <v>0</v>
      </c>
      <c r="NM40" s="8">
        <v>0</v>
      </c>
      <c r="NN40" s="8">
        <v>0</v>
      </c>
      <c r="NO40" s="8">
        <v>0</v>
      </c>
      <c r="NP40" s="8">
        <v>0</v>
      </c>
      <c r="NQ40" s="8">
        <v>0</v>
      </c>
      <c r="NR40" s="8">
        <v>0</v>
      </c>
      <c r="NS40" s="8">
        <v>0</v>
      </c>
      <c r="NT40" s="8">
        <v>0</v>
      </c>
      <c r="NU40" s="8">
        <v>0</v>
      </c>
      <c r="NV40" s="8">
        <v>0</v>
      </c>
      <c r="NW40" s="8">
        <v>0</v>
      </c>
      <c r="NX40" s="8">
        <v>0</v>
      </c>
      <c r="NY40" s="8">
        <v>0</v>
      </c>
      <c r="NZ40" s="8">
        <v>0</v>
      </c>
      <c r="OA40" s="8">
        <v>0</v>
      </c>
      <c r="OB40" s="8">
        <v>0</v>
      </c>
      <c r="OC40" s="8">
        <v>0</v>
      </c>
      <c r="OD40" s="8">
        <v>0</v>
      </c>
      <c r="OE40" s="8">
        <v>0</v>
      </c>
      <c r="OF40" s="8">
        <v>0</v>
      </c>
      <c r="OG40" s="8">
        <v>0</v>
      </c>
      <c r="OH40" s="8">
        <v>0</v>
      </c>
      <c r="OI40" s="8">
        <v>0</v>
      </c>
      <c r="OJ40" s="8">
        <v>0</v>
      </c>
      <c r="OK40" s="8">
        <v>0</v>
      </c>
      <c r="OL40" s="8">
        <v>0</v>
      </c>
      <c r="OM40" s="8">
        <v>0</v>
      </c>
      <c r="ON40" s="8">
        <v>0</v>
      </c>
      <c r="OO40" s="8">
        <v>0</v>
      </c>
      <c r="OP40" s="8">
        <v>0</v>
      </c>
      <c r="OQ40" s="8">
        <v>0</v>
      </c>
      <c r="OR40" s="8">
        <v>0</v>
      </c>
      <c r="OS40" s="8">
        <v>0</v>
      </c>
      <c r="OT40" s="8">
        <v>0</v>
      </c>
      <c r="OU40" s="8">
        <v>0</v>
      </c>
      <c r="OV40" s="8">
        <v>0</v>
      </c>
      <c r="OW40" s="8">
        <v>0</v>
      </c>
      <c r="OX40" s="8">
        <v>0</v>
      </c>
      <c r="OY40" s="8">
        <v>0</v>
      </c>
      <c r="OZ40" s="8">
        <v>0</v>
      </c>
      <c r="PA40" s="8">
        <v>0</v>
      </c>
      <c r="PB40" s="8">
        <v>0</v>
      </c>
      <c r="PC40" s="8">
        <v>0</v>
      </c>
      <c r="PD40" s="8">
        <v>0</v>
      </c>
      <c r="PE40" s="8">
        <v>0</v>
      </c>
      <c r="PF40" s="8">
        <v>0</v>
      </c>
      <c r="PG40" s="8">
        <v>0</v>
      </c>
      <c r="PH40" s="8">
        <v>0</v>
      </c>
      <c r="PI40" s="8">
        <v>0</v>
      </c>
      <c r="PJ40" s="8">
        <v>0</v>
      </c>
      <c r="PK40" s="8">
        <v>0</v>
      </c>
      <c r="PL40" s="8">
        <v>0</v>
      </c>
      <c r="PM40" s="8">
        <v>0</v>
      </c>
      <c r="PN40" s="8">
        <v>0</v>
      </c>
      <c r="PO40" s="8">
        <v>0</v>
      </c>
      <c r="PP40" s="8">
        <v>0</v>
      </c>
      <c r="PQ40" s="8">
        <v>0</v>
      </c>
      <c r="PR40" s="8">
        <v>0</v>
      </c>
      <c r="PS40" s="8">
        <v>0</v>
      </c>
      <c r="PT40" s="8">
        <v>0</v>
      </c>
      <c r="PU40" s="8">
        <v>0</v>
      </c>
      <c r="PV40" s="8">
        <v>0</v>
      </c>
      <c r="PW40" s="8">
        <v>0</v>
      </c>
      <c r="PX40" s="8">
        <v>0</v>
      </c>
      <c r="PY40" s="8">
        <v>0</v>
      </c>
      <c r="PZ40" s="8">
        <v>0</v>
      </c>
      <c r="QA40" s="8">
        <v>0</v>
      </c>
      <c r="QB40" s="8">
        <v>0</v>
      </c>
      <c r="QC40" s="8">
        <v>0</v>
      </c>
      <c r="QD40" s="8">
        <v>0</v>
      </c>
      <c r="QE40" s="8">
        <v>0</v>
      </c>
      <c r="QF40" s="8">
        <v>0</v>
      </c>
      <c r="QG40" s="8">
        <v>0</v>
      </c>
      <c r="QH40" s="8">
        <v>0</v>
      </c>
      <c r="QI40" s="8">
        <v>0</v>
      </c>
      <c r="QJ40" s="8">
        <v>0</v>
      </c>
      <c r="QK40" s="8">
        <v>0</v>
      </c>
      <c r="QL40" s="8">
        <v>0</v>
      </c>
      <c r="QM40" s="8">
        <v>0</v>
      </c>
      <c r="QN40" s="8">
        <v>0</v>
      </c>
      <c r="QO40" s="8">
        <v>0</v>
      </c>
      <c r="QP40" s="8">
        <v>0</v>
      </c>
      <c r="QQ40" s="8">
        <v>0</v>
      </c>
      <c r="QR40" s="8">
        <v>0</v>
      </c>
      <c r="QS40" s="8">
        <v>0</v>
      </c>
      <c r="QT40" s="8">
        <v>0</v>
      </c>
      <c r="QU40" s="8">
        <v>0</v>
      </c>
      <c r="QV40" s="8">
        <v>0</v>
      </c>
      <c r="QW40" s="8">
        <v>0</v>
      </c>
      <c r="QX40" s="8">
        <v>0</v>
      </c>
      <c r="QY40" s="8">
        <v>0</v>
      </c>
      <c r="QZ40" s="8">
        <v>0</v>
      </c>
      <c r="RA40" s="8">
        <v>0</v>
      </c>
      <c r="RB40" s="8">
        <v>0</v>
      </c>
      <c r="RC40" s="8">
        <v>0</v>
      </c>
      <c r="RD40" s="8">
        <v>0</v>
      </c>
      <c r="RE40" s="8">
        <v>0</v>
      </c>
      <c r="RF40" s="8">
        <v>0</v>
      </c>
      <c r="RG40" s="8">
        <v>0</v>
      </c>
      <c r="RH40" s="8">
        <v>0</v>
      </c>
      <c r="RI40" s="8">
        <v>0</v>
      </c>
      <c r="RJ40" s="8">
        <v>0</v>
      </c>
      <c r="RK40" s="8">
        <v>0</v>
      </c>
      <c r="RL40" s="8">
        <v>0</v>
      </c>
      <c r="RM40" s="8">
        <v>0</v>
      </c>
      <c r="RN40" s="8">
        <v>0</v>
      </c>
      <c r="RO40" s="8">
        <v>0</v>
      </c>
      <c r="RP40" s="8">
        <v>0</v>
      </c>
      <c r="RQ40" s="8">
        <v>0</v>
      </c>
      <c r="RR40" s="8">
        <v>0</v>
      </c>
      <c r="RS40" s="8">
        <v>0</v>
      </c>
      <c r="RT40" s="8">
        <v>0</v>
      </c>
      <c r="RU40" s="8">
        <v>0</v>
      </c>
      <c r="RV40" s="8">
        <v>0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0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  <c r="SL40" s="8">
        <v>0</v>
      </c>
      <c r="SM40" s="8">
        <v>0</v>
      </c>
      <c r="SN40" s="8">
        <v>0</v>
      </c>
      <c r="SO40" s="8">
        <v>0</v>
      </c>
      <c r="SP40" s="8">
        <v>0</v>
      </c>
      <c r="SQ40" s="8">
        <v>0</v>
      </c>
      <c r="SR40" s="8">
        <v>0</v>
      </c>
      <c r="SS40" s="8">
        <v>0</v>
      </c>
      <c r="ST40" s="8">
        <v>0</v>
      </c>
      <c r="SU40" s="8">
        <v>0</v>
      </c>
      <c r="SV40" s="8">
        <v>0</v>
      </c>
      <c r="SW40" s="8">
        <v>0</v>
      </c>
      <c r="SX40" s="8">
        <v>0</v>
      </c>
      <c r="SY40" s="8">
        <v>0</v>
      </c>
      <c r="SZ40" s="8">
        <v>0</v>
      </c>
      <c r="TA40" s="8">
        <v>0</v>
      </c>
      <c r="TB40" s="8">
        <v>0</v>
      </c>
      <c r="TC40" s="8">
        <v>0</v>
      </c>
      <c r="TD40" s="8">
        <v>0</v>
      </c>
      <c r="TE40" s="8">
        <v>0</v>
      </c>
      <c r="TF40" s="8">
        <v>0</v>
      </c>
      <c r="TG40" s="8">
        <v>0</v>
      </c>
      <c r="TH40" s="8">
        <v>0</v>
      </c>
      <c r="TI40" s="8">
        <v>0</v>
      </c>
      <c r="TJ40" s="8">
        <v>0</v>
      </c>
      <c r="TK40" s="8">
        <v>0</v>
      </c>
      <c r="TL40" s="8">
        <v>0</v>
      </c>
      <c r="TM40" s="8">
        <v>0</v>
      </c>
      <c r="TN40" s="8">
        <v>0</v>
      </c>
      <c r="TO40" s="8">
        <v>0</v>
      </c>
      <c r="TP40" s="8">
        <v>0</v>
      </c>
      <c r="TQ40" s="8">
        <v>0</v>
      </c>
      <c r="TR40" s="8">
        <v>0</v>
      </c>
      <c r="TS40" s="8">
        <v>0</v>
      </c>
      <c r="TT40" s="8">
        <v>0</v>
      </c>
      <c r="TU40" s="8">
        <v>0</v>
      </c>
      <c r="TV40" s="8">
        <v>0</v>
      </c>
      <c r="TW40" s="8">
        <v>0</v>
      </c>
      <c r="TX40" s="8">
        <v>0</v>
      </c>
      <c r="TY40" s="8">
        <v>0</v>
      </c>
      <c r="TZ40" s="8">
        <v>0</v>
      </c>
      <c r="UA40" s="8">
        <v>0</v>
      </c>
      <c r="UB40" s="8">
        <v>0</v>
      </c>
      <c r="UC40" s="8">
        <v>0</v>
      </c>
      <c r="UD40" s="8">
        <v>0</v>
      </c>
      <c r="UE40" s="8">
        <v>0</v>
      </c>
      <c r="UF40" s="8">
        <v>0</v>
      </c>
      <c r="UG40" s="8">
        <v>0</v>
      </c>
      <c r="UH40" s="8">
        <v>0</v>
      </c>
      <c r="UI40" s="8">
        <v>0</v>
      </c>
      <c r="UJ40" s="8">
        <v>0</v>
      </c>
      <c r="UK40" s="8">
        <v>0</v>
      </c>
      <c r="UL40" s="8">
        <v>0</v>
      </c>
      <c r="UM40" s="8">
        <v>0</v>
      </c>
      <c r="UN40" s="8">
        <v>0</v>
      </c>
      <c r="UO40" s="8">
        <v>0</v>
      </c>
      <c r="UP40" s="8">
        <v>0</v>
      </c>
      <c r="UQ40" s="8">
        <v>0</v>
      </c>
      <c r="UR40" s="8">
        <v>0</v>
      </c>
      <c r="US40" s="8">
        <v>0</v>
      </c>
      <c r="UT40" s="8">
        <v>0</v>
      </c>
      <c r="UU40" s="8">
        <v>0</v>
      </c>
      <c r="UV40" s="8">
        <v>0</v>
      </c>
      <c r="UW40" s="8">
        <v>0</v>
      </c>
      <c r="UX40" s="8">
        <v>0</v>
      </c>
      <c r="UY40" s="8">
        <v>0</v>
      </c>
      <c r="UZ40" s="8">
        <v>0</v>
      </c>
      <c r="VA40" s="8">
        <v>0</v>
      </c>
      <c r="VB40" s="8">
        <v>0</v>
      </c>
      <c r="VC40" s="8">
        <v>0</v>
      </c>
      <c r="VD40" s="8">
        <v>0</v>
      </c>
      <c r="VE40" s="8">
        <v>0</v>
      </c>
      <c r="VF40" s="8">
        <v>0</v>
      </c>
      <c r="VG40" s="8">
        <v>0</v>
      </c>
      <c r="VH40" s="8">
        <v>0</v>
      </c>
      <c r="VI40" s="8">
        <v>0</v>
      </c>
      <c r="VJ40" s="8">
        <v>0</v>
      </c>
      <c r="VK40" s="8">
        <v>0</v>
      </c>
      <c r="VL40" s="8">
        <v>0</v>
      </c>
      <c r="VM40" s="8">
        <v>0</v>
      </c>
      <c r="VN40" s="8">
        <v>0</v>
      </c>
      <c r="VO40" s="8">
        <v>0</v>
      </c>
      <c r="VP40" s="8">
        <v>0</v>
      </c>
      <c r="VQ40" s="8">
        <v>0</v>
      </c>
      <c r="VR40" s="8">
        <v>0</v>
      </c>
      <c r="VS40" s="8">
        <v>0</v>
      </c>
      <c r="VT40" s="8">
        <v>0</v>
      </c>
      <c r="VU40" s="8">
        <v>0</v>
      </c>
      <c r="VV40" s="8">
        <v>0</v>
      </c>
      <c r="VW40" s="8">
        <v>0</v>
      </c>
      <c r="VX40" s="8">
        <v>0</v>
      </c>
      <c r="VY40" s="8">
        <v>0</v>
      </c>
      <c r="VZ40" s="8">
        <v>0</v>
      </c>
      <c r="WA40" s="8">
        <v>0</v>
      </c>
      <c r="WB40" s="8">
        <v>0</v>
      </c>
      <c r="WC40" s="8">
        <v>0</v>
      </c>
      <c r="WD40" s="8">
        <v>0</v>
      </c>
      <c r="WE40" s="8">
        <v>0</v>
      </c>
      <c r="WF40" s="8">
        <v>0</v>
      </c>
      <c r="WG40" s="8">
        <v>0</v>
      </c>
      <c r="WH40" s="8">
        <v>0</v>
      </c>
      <c r="WI40" s="8">
        <v>0</v>
      </c>
      <c r="WJ40" s="8">
        <v>0</v>
      </c>
      <c r="WK40" s="8">
        <v>0</v>
      </c>
      <c r="WL40" s="8">
        <v>0</v>
      </c>
      <c r="WM40" s="8">
        <v>0</v>
      </c>
      <c r="WN40" s="8">
        <v>0</v>
      </c>
      <c r="WO40" s="8">
        <v>0</v>
      </c>
      <c r="WP40" s="8">
        <v>0</v>
      </c>
      <c r="WQ40" s="8">
        <v>0</v>
      </c>
      <c r="WR40" s="8">
        <v>0</v>
      </c>
      <c r="WS40" s="8">
        <v>0</v>
      </c>
      <c r="WT40" s="8">
        <v>0</v>
      </c>
      <c r="WU40" s="8">
        <v>0</v>
      </c>
      <c r="WV40" s="8">
        <v>0</v>
      </c>
      <c r="WW40" s="8">
        <v>0</v>
      </c>
      <c r="WX40" s="8">
        <v>0</v>
      </c>
      <c r="WY40" s="8">
        <v>0</v>
      </c>
      <c r="WZ40" s="8">
        <v>0</v>
      </c>
      <c r="XA40" s="8">
        <v>0</v>
      </c>
      <c r="XB40" s="8">
        <v>0</v>
      </c>
      <c r="XC40" s="8">
        <v>0</v>
      </c>
      <c r="XD40" s="8">
        <v>0</v>
      </c>
      <c r="XE40" s="8">
        <v>0</v>
      </c>
      <c r="XF40" s="8">
        <v>0</v>
      </c>
      <c r="XG40" s="8">
        <v>0</v>
      </c>
      <c r="XH40" s="8">
        <v>0</v>
      </c>
      <c r="XI40" s="8">
        <v>0</v>
      </c>
      <c r="XJ40" s="8">
        <v>0</v>
      </c>
      <c r="XK40" s="8">
        <v>0</v>
      </c>
      <c r="XL40" s="8">
        <v>0</v>
      </c>
      <c r="XM40" s="8">
        <v>0</v>
      </c>
      <c r="XN40" s="8">
        <v>0</v>
      </c>
      <c r="XO40" s="8">
        <v>0</v>
      </c>
      <c r="XP40" s="8">
        <v>0</v>
      </c>
      <c r="XQ40" s="8">
        <v>0</v>
      </c>
      <c r="XR40" s="8">
        <v>0</v>
      </c>
      <c r="XS40" s="8">
        <v>0</v>
      </c>
      <c r="XT40" s="8">
        <v>0</v>
      </c>
      <c r="XU40" s="8">
        <v>0</v>
      </c>
      <c r="XV40" s="8">
        <v>0</v>
      </c>
      <c r="XW40" s="8">
        <v>0</v>
      </c>
      <c r="XX40" s="8">
        <v>0</v>
      </c>
      <c r="XY40" s="8">
        <v>0</v>
      </c>
      <c r="XZ40" s="8">
        <v>0</v>
      </c>
      <c r="YA40" s="8">
        <v>0</v>
      </c>
      <c r="YB40" s="8">
        <v>0</v>
      </c>
      <c r="YC40" s="8">
        <v>0</v>
      </c>
      <c r="YD40" s="8">
        <v>0</v>
      </c>
      <c r="YE40" s="8">
        <v>0</v>
      </c>
      <c r="YF40" s="8">
        <v>0</v>
      </c>
      <c r="YG40" s="8">
        <v>0</v>
      </c>
      <c r="YH40" s="8">
        <v>0</v>
      </c>
      <c r="YI40" s="8">
        <v>0</v>
      </c>
      <c r="YJ40" s="8">
        <v>0</v>
      </c>
      <c r="YK40" s="8">
        <v>0</v>
      </c>
      <c r="YL40" s="8">
        <v>0</v>
      </c>
      <c r="YM40" s="8">
        <v>0</v>
      </c>
      <c r="YN40" s="8">
        <v>0</v>
      </c>
      <c r="YO40" s="8">
        <v>0</v>
      </c>
      <c r="YP40" s="8">
        <v>0</v>
      </c>
      <c r="YQ40" s="8">
        <v>0</v>
      </c>
      <c r="YR40" s="8">
        <v>0</v>
      </c>
      <c r="YS40" s="8">
        <v>0</v>
      </c>
      <c r="YT40" s="8">
        <v>0</v>
      </c>
      <c r="YU40" s="8">
        <v>0</v>
      </c>
      <c r="YV40" s="8">
        <v>0</v>
      </c>
      <c r="YW40" s="8">
        <v>0</v>
      </c>
      <c r="YX40" s="8">
        <v>0</v>
      </c>
      <c r="YY40" s="8">
        <v>0</v>
      </c>
      <c r="YZ40" s="8">
        <v>0</v>
      </c>
      <c r="ZA40" s="8">
        <v>0</v>
      </c>
      <c r="ZB40" s="8">
        <v>0</v>
      </c>
      <c r="ZC40" s="8">
        <v>0</v>
      </c>
      <c r="ZD40" s="8">
        <v>0</v>
      </c>
      <c r="ZE40" s="8">
        <v>0</v>
      </c>
      <c r="ZF40" s="8">
        <v>0</v>
      </c>
      <c r="ZG40" s="8">
        <v>0</v>
      </c>
      <c r="ZH40" s="8">
        <v>0</v>
      </c>
      <c r="ZI40" s="8">
        <v>0</v>
      </c>
      <c r="ZJ40" s="8">
        <v>0</v>
      </c>
      <c r="ZK40" s="8">
        <v>0</v>
      </c>
      <c r="ZL40" s="8">
        <v>0</v>
      </c>
      <c r="ZM40" s="8">
        <v>0</v>
      </c>
      <c r="ZN40" s="8">
        <v>0</v>
      </c>
      <c r="ZO40" s="8">
        <v>0</v>
      </c>
      <c r="ZP40" s="8">
        <v>0</v>
      </c>
      <c r="ZQ40" s="8">
        <v>0</v>
      </c>
      <c r="ZR40" s="8">
        <v>0</v>
      </c>
      <c r="ZS40" s="8">
        <v>0</v>
      </c>
      <c r="ZT40" s="8">
        <v>0</v>
      </c>
      <c r="ZU40" s="8">
        <v>0</v>
      </c>
      <c r="ZV40" s="8">
        <v>0</v>
      </c>
      <c r="ZW40" s="8">
        <v>0</v>
      </c>
      <c r="ZX40" s="8">
        <v>0</v>
      </c>
      <c r="ZY40" s="8">
        <v>0</v>
      </c>
      <c r="ZZ40" s="8">
        <v>0</v>
      </c>
      <c r="AAA40" s="8">
        <v>0</v>
      </c>
      <c r="AAB40" s="8">
        <v>0</v>
      </c>
      <c r="AAC40" s="8">
        <v>0</v>
      </c>
      <c r="AAD40" s="8">
        <v>0</v>
      </c>
      <c r="AAE40" s="8">
        <v>0</v>
      </c>
      <c r="AAF40" s="8">
        <v>0</v>
      </c>
      <c r="AAG40" s="8">
        <v>0</v>
      </c>
      <c r="AAH40" s="8">
        <v>0</v>
      </c>
      <c r="AAI40" s="8">
        <v>0</v>
      </c>
      <c r="AAJ40" s="8">
        <v>0</v>
      </c>
      <c r="AAK40" s="8">
        <v>0</v>
      </c>
      <c r="AAL40" s="8">
        <v>0</v>
      </c>
      <c r="AAM40" s="8">
        <v>0</v>
      </c>
      <c r="AAN40" s="8">
        <v>0</v>
      </c>
      <c r="AAO40" s="8">
        <v>0</v>
      </c>
      <c r="AAP40" s="8">
        <v>0</v>
      </c>
      <c r="AAQ40" s="8">
        <v>0</v>
      </c>
      <c r="AAR40" s="8">
        <v>0</v>
      </c>
      <c r="AAS40" s="8">
        <v>0</v>
      </c>
      <c r="AAT40" s="8">
        <v>0</v>
      </c>
      <c r="AAU40" s="8">
        <v>0</v>
      </c>
      <c r="AAV40" s="8">
        <v>0</v>
      </c>
      <c r="AAW40" s="8">
        <v>0</v>
      </c>
      <c r="AAX40" s="8">
        <v>0</v>
      </c>
      <c r="AAY40" s="8">
        <v>0</v>
      </c>
      <c r="AAZ40" s="8">
        <v>0</v>
      </c>
      <c r="ABA40" s="8">
        <v>0</v>
      </c>
      <c r="ABB40" s="8">
        <v>0</v>
      </c>
      <c r="ABC40" s="8">
        <v>0</v>
      </c>
      <c r="ABD40" s="8">
        <v>0</v>
      </c>
      <c r="ABE40" s="8">
        <v>0</v>
      </c>
      <c r="ABF40" s="8">
        <v>0</v>
      </c>
      <c r="ABG40" s="8">
        <v>0</v>
      </c>
      <c r="ABH40" s="8">
        <v>0</v>
      </c>
      <c r="ABI40" s="8">
        <v>0</v>
      </c>
      <c r="ABJ40" s="8">
        <v>0</v>
      </c>
      <c r="ABK40" s="8">
        <v>0</v>
      </c>
      <c r="ABL40" s="8">
        <v>0</v>
      </c>
      <c r="ABM40" s="8">
        <v>0</v>
      </c>
      <c r="ABN40" s="8">
        <v>0</v>
      </c>
      <c r="ABO40" s="8">
        <v>0</v>
      </c>
      <c r="ABP40" s="8">
        <v>0</v>
      </c>
      <c r="ABQ40" s="8">
        <v>0</v>
      </c>
      <c r="ABR40" s="8">
        <v>0</v>
      </c>
      <c r="ABS40" s="8">
        <v>0</v>
      </c>
      <c r="ABT40" s="8">
        <v>0</v>
      </c>
      <c r="ABU40" s="8">
        <v>0</v>
      </c>
      <c r="ABV40" s="8">
        <v>0</v>
      </c>
      <c r="ABW40" s="8">
        <v>0</v>
      </c>
      <c r="ABX40" s="8">
        <v>0</v>
      </c>
      <c r="ABY40" s="8">
        <v>0</v>
      </c>
      <c r="ABZ40" s="8">
        <v>0</v>
      </c>
      <c r="ACA40" s="8">
        <v>0</v>
      </c>
      <c r="ACB40" s="8">
        <v>0</v>
      </c>
      <c r="ACC40" s="8">
        <v>0</v>
      </c>
      <c r="ACD40" s="8">
        <v>0</v>
      </c>
      <c r="ACE40" s="8">
        <v>0</v>
      </c>
      <c r="ACF40" s="8">
        <v>0</v>
      </c>
      <c r="ACG40" s="8">
        <v>0</v>
      </c>
      <c r="ACH40" s="8">
        <v>0</v>
      </c>
      <c r="ACI40" s="8">
        <v>0</v>
      </c>
      <c r="ACJ40" s="8">
        <v>0</v>
      </c>
      <c r="ACK40" s="8">
        <v>0</v>
      </c>
      <c r="ACL40" s="8">
        <v>0</v>
      </c>
      <c r="ACM40" s="8">
        <v>0</v>
      </c>
      <c r="ACN40" s="8">
        <v>0</v>
      </c>
      <c r="ACO40" s="8">
        <v>0</v>
      </c>
      <c r="ACP40" s="8">
        <v>0</v>
      </c>
      <c r="ACQ40" s="8">
        <v>0</v>
      </c>
      <c r="ACR40" s="8">
        <v>0</v>
      </c>
      <c r="ACS40" s="8">
        <v>0</v>
      </c>
      <c r="ACT40" s="8">
        <v>0</v>
      </c>
      <c r="ACU40" s="8">
        <v>0</v>
      </c>
      <c r="ACV40" s="8">
        <v>0</v>
      </c>
      <c r="ACW40" s="8">
        <v>0</v>
      </c>
      <c r="ACX40" s="8">
        <v>0</v>
      </c>
      <c r="ACY40" s="8">
        <v>0</v>
      </c>
      <c r="ACZ40" s="8">
        <v>0</v>
      </c>
      <c r="ADA40" s="8">
        <v>0</v>
      </c>
      <c r="ADB40" s="8">
        <v>0</v>
      </c>
      <c r="ADC40" s="8">
        <v>0</v>
      </c>
      <c r="ADD40" s="8">
        <v>0</v>
      </c>
      <c r="ADE40" s="8">
        <v>0</v>
      </c>
      <c r="ADF40" s="8">
        <v>0</v>
      </c>
      <c r="ADG40" s="8">
        <v>0</v>
      </c>
      <c r="ADH40" s="8">
        <v>0</v>
      </c>
      <c r="ADI40" s="8">
        <v>0</v>
      </c>
      <c r="ADJ40" s="8">
        <v>0</v>
      </c>
      <c r="ADK40" s="8">
        <v>0</v>
      </c>
      <c r="ADL40" s="8">
        <v>0</v>
      </c>
      <c r="ADM40" s="8">
        <v>0</v>
      </c>
      <c r="ADN40" s="8">
        <v>0</v>
      </c>
      <c r="ADO40" s="8">
        <v>0</v>
      </c>
      <c r="ADP40" s="8">
        <v>0</v>
      </c>
      <c r="ADQ40" s="8">
        <v>0</v>
      </c>
      <c r="ADR40" s="8">
        <v>0</v>
      </c>
      <c r="ADS40" s="8">
        <v>0</v>
      </c>
      <c r="ADT40" s="8">
        <v>0</v>
      </c>
      <c r="ADU40" s="8">
        <v>0</v>
      </c>
      <c r="ADV40" s="8">
        <v>0</v>
      </c>
      <c r="ADW40" s="8">
        <v>0</v>
      </c>
      <c r="ADX40" s="8">
        <v>0</v>
      </c>
      <c r="ADY40" s="8">
        <v>0</v>
      </c>
      <c r="ADZ40" s="8">
        <v>0</v>
      </c>
      <c r="AEA40" s="8">
        <v>0</v>
      </c>
      <c r="AEB40" s="8">
        <v>0</v>
      </c>
      <c r="AEC40" s="8">
        <v>0</v>
      </c>
      <c r="AED40" s="8">
        <v>0</v>
      </c>
      <c r="AEE40" s="8">
        <v>0</v>
      </c>
      <c r="AEF40" s="8">
        <v>0</v>
      </c>
      <c r="AEG40" s="8">
        <v>0</v>
      </c>
      <c r="AEH40" s="8">
        <v>0</v>
      </c>
      <c r="AEI40" s="8">
        <v>0</v>
      </c>
      <c r="AEJ40" s="8">
        <v>0</v>
      </c>
      <c r="AEK40" s="8">
        <v>0</v>
      </c>
      <c r="AEL40" s="8">
        <v>0</v>
      </c>
      <c r="AEM40" s="8">
        <v>0</v>
      </c>
      <c r="AEN40" s="8">
        <v>0</v>
      </c>
      <c r="AEO40" s="8">
        <v>0</v>
      </c>
      <c r="AEP40" s="8">
        <v>0</v>
      </c>
      <c r="AEQ40" s="8">
        <v>0</v>
      </c>
      <c r="AER40" s="8">
        <v>0</v>
      </c>
      <c r="AES40" s="8">
        <v>0</v>
      </c>
      <c r="AET40" s="8">
        <v>0</v>
      </c>
      <c r="AEU40" s="8">
        <v>0</v>
      </c>
      <c r="AEV40" s="8">
        <v>0</v>
      </c>
      <c r="AEW40" s="8">
        <v>0</v>
      </c>
      <c r="AEX40" s="8">
        <v>0</v>
      </c>
      <c r="AEY40" s="8">
        <v>0</v>
      </c>
      <c r="AEZ40" s="8">
        <v>0</v>
      </c>
      <c r="AFA40" s="8">
        <v>0</v>
      </c>
      <c r="AFB40" s="8">
        <v>0</v>
      </c>
      <c r="AFC40" s="8">
        <v>0</v>
      </c>
      <c r="AFD40" s="8">
        <v>0</v>
      </c>
      <c r="AFE40" s="8">
        <v>0</v>
      </c>
      <c r="AFF40" s="8">
        <v>0</v>
      </c>
      <c r="AFG40" s="8">
        <v>0</v>
      </c>
      <c r="AFH40" s="8">
        <v>0</v>
      </c>
      <c r="AFI40" s="8">
        <v>0</v>
      </c>
      <c r="AFJ40" s="8">
        <v>0</v>
      </c>
      <c r="AFK40" s="8">
        <v>0</v>
      </c>
      <c r="AFL40" s="8">
        <v>0</v>
      </c>
      <c r="AFM40" s="8">
        <v>0</v>
      </c>
      <c r="AFN40" s="8">
        <v>0</v>
      </c>
      <c r="AFO40" s="8">
        <v>0</v>
      </c>
      <c r="AFP40" s="8">
        <v>0</v>
      </c>
      <c r="AFQ40" s="8">
        <v>0</v>
      </c>
      <c r="AFR40" s="8">
        <v>0</v>
      </c>
      <c r="AFS40" s="8">
        <v>0</v>
      </c>
      <c r="AFT40" s="8">
        <v>0</v>
      </c>
      <c r="AFU40" s="8">
        <v>0</v>
      </c>
      <c r="AFV40" s="8">
        <v>0</v>
      </c>
      <c r="AFW40" s="8">
        <v>0</v>
      </c>
      <c r="AFX40" s="8">
        <v>0</v>
      </c>
      <c r="AFY40" s="8">
        <v>0</v>
      </c>
      <c r="AFZ40" s="8">
        <v>0</v>
      </c>
      <c r="AGA40" s="8">
        <v>0</v>
      </c>
      <c r="AGB40" s="8">
        <v>0</v>
      </c>
      <c r="AGC40" s="8">
        <v>0</v>
      </c>
      <c r="AGD40" s="8">
        <v>0</v>
      </c>
      <c r="AGE40" s="8">
        <v>0</v>
      </c>
      <c r="AGF40" s="8">
        <v>0</v>
      </c>
      <c r="AGG40" s="8">
        <v>0</v>
      </c>
      <c r="AGH40" s="8">
        <v>0</v>
      </c>
      <c r="AGI40" s="8">
        <v>0</v>
      </c>
      <c r="AGJ40" s="8">
        <v>0</v>
      </c>
      <c r="AGK40" s="8">
        <v>0</v>
      </c>
      <c r="AGL40" s="8">
        <v>0</v>
      </c>
      <c r="AGM40" s="8">
        <v>0</v>
      </c>
      <c r="AGN40" s="8">
        <v>0</v>
      </c>
      <c r="AGO40" s="8">
        <v>0</v>
      </c>
      <c r="AGP40" s="8">
        <v>0</v>
      </c>
      <c r="AGQ40" s="8">
        <v>0</v>
      </c>
      <c r="AGR40" s="8">
        <v>0</v>
      </c>
      <c r="AGS40" s="8">
        <v>0</v>
      </c>
      <c r="AGT40" s="8">
        <v>0</v>
      </c>
      <c r="AGU40" s="8">
        <v>0</v>
      </c>
      <c r="AGV40" s="8">
        <v>0</v>
      </c>
      <c r="AGW40" s="8">
        <v>0</v>
      </c>
      <c r="AGX40" s="8">
        <v>0</v>
      </c>
      <c r="AGY40" s="8">
        <v>0</v>
      </c>
      <c r="AGZ40" s="8">
        <v>0</v>
      </c>
      <c r="AHA40" s="8">
        <v>0</v>
      </c>
      <c r="AHB40" s="8">
        <v>0</v>
      </c>
      <c r="AHC40" s="8">
        <v>0</v>
      </c>
      <c r="AHD40" s="8">
        <v>0</v>
      </c>
      <c r="AHE40" s="8">
        <v>0</v>
      </c>
      <c r="AHF40" s="8">
        <v>0</v>
      </c>
      <c r="AHG40" s="8">
        <v>0</v>
      </c>
      <c r="AHH40" s="8">
        <v>0</v>
      </c>
      <c r="AHI40" s="8">
        <v>0</v>
      </c>
      <c r="AHJ40" s="8">
        <v>0</v>
      </c>
      <c r="AHK40" s="8">
        <v>0</v>
      </c>
      <c r="AHL40" s="8">
        <v>0</v>
      </c>
      <c r="AHM40" s="8">
        <v>0</v>
      </c>
      <c r="AHN40" s="8">
        <v>0</v>
      </c>
      <c r="AHO40" s="8">
        <v>0</v>
      </c>
      <c r="AHP40" s="8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 t="e">
        <v>#N/A</v>
      </c>
      <c r="AIJ40" t="e">
        <v>#N/A</v>
      </c>
      <c r="AIK40" t="e">
        <v>#N/A</v>
      </c>
      <c r="AIL40" t="e">
        <v>#N/A</v>
      </c>
      <c r="AIM40" t="e">
        <v>#N/A</v>
      </c>
      <c r="AIN40" t="e">
        <v>#N/A</v>
      </c>
      <c r="AIO40" t="e">
        <v>#N/A</v>
      </c>
      <c r="AIP40" t="e">
        <v>#N/A</v>
      </c>
      <c r="AIQ40" t="e">
        <v>#N/A</v>
      </c>
      <c r="AIR40" t="e">
        <v>#N/A</v>
      </c>
      <c r="AIS40" t="e">
        <v>#N/A</v>
      </c>
      <c r="AIT40" t="e">
        <v>#N/A</v>
      </c>
      <c r="AIU40" t="e">
        <v>#N/A</v>
      </c>
      <c r="AIV40" t="e">
        <v>#N/A</v>
      </c>
      <c r="AIW40" t="e">
        <v>#N/A</v>
      </c>
      <c r="AIX40" t="e">
        <v>#N/A</v>
      </c>
      <c r="AIY40" t="e">
        <v>#N/A</v>
      </c>
      <c r="AIZ40" t="e">
        <v>#N/A</v>
      </c>
      <c r="AJA40" t="e">
        <v>#N/A</v>
      </c>
      <c r="AJB40" t="e">
        <v>#N/A</v>
      </c>
      <c r="AJC40" t="e">
        <v>#N/A</v>
      </c>
      <c r="AJD40" t="e">
        <v>#N/A</v>
      </c>
      <c r="AJE40" t="e">
        <v>#N/A</v>
      </c>
      <c r="AJF40" t="e">
        <v>#N/A</v>
      </c>
      <c r="AJG40" t="e">
        <v>#N/A</v>
      </c>
      <c r="AJH40" t="e">
        <v>#N/A</v>
      </c>
      <c r="AJI40" t="e">
        <v>#N/A</v>
      </c>
      <c r="AJJ40" t="e">
        <v>#N/A</v>
      </c>
      <c r="AJK40" t="e">
        <v>#N/A</v>
      </c>
      <c r="AJL40" t="e">
        <v>#N/A</v>
      </c>
      <c r="AJM40" t="e">
        <v>#N/A</v>
      </c>
      <c r="AJN40" t="e">
        <v>#N/A</v>
      </c>
      <c r="AJO40" t="e">
        <v>#N/A</v>
      </c>
      <c r="AJP40" t="e">
        <v>#N/A</v>
      </c>
      <c r="AJQ40" t="e">
        <v>#N/A</v>
      </c>
      <c r="AJR40" t="e">
        <v>#N/A</v>
      </c>
      <c r="AJS40" t="e">
        <v>#N/A</v>
      </c>
      <c r="AJT40" t="e">
        <v>#N/A</v>
      </c>
      <c r="AJU40" t="e">
        <v>#N/A</v>
      </c>
      <c r="AJV40" t="e">
        <v>#N/A</v>
      </c>
      <c r="AJW40" t="e">
        <v>#N/A</v>
      </c>
      <c r="AJX40" t="e">
        <v>#N/A</v>
      </c>
      <c r="AJY40" t="e">
        <v>#N/A</v>
      </c>
      <c r="AJZ40" t="e">
        <v>#N/A</v>
      </c>
      <c r="AKA40" t="e">
        <v>#N/A</v>
      </c>
      <c r="AKB40" t="e">
        <v>#N/A</v>
      </c>
      <c r="AKC40" t="e">
        <v>#N/A</v>
      </c>
      <c r="AKD40" t="e">
        <v>#N/A</v>
      </c>
      <c r="AKE40" t="e">
        <v>#N/A</v>
      </c>
      <c r="AKF40" t="e">
        <v>#N/A</v>
      </c>
      <c r="AKG40" t="e">
        <v>#N/A</v>
      </c>
      <c r="AKH40" t="e">
        <v>#N/A</v>
      </c>
      <c r="AKI40" t="e">
        <v>#N/A</v>
      </c>
      <c r="AKJ40" t="e">
        <v>#N/A</v>
      </c>
      <c r="AKK40" t="e">
        <v>#N/A</v>
      </c>
      <c r="AKL40" t="e">
        <v>#N/A</v>
      </c>
      <c r="AKM40" t="e">
        <v>#N/A</v>
      </c>
      <c r="AKN40" t="e">
        <v>#N/A</v>
      </c>
      <c r="AKO40" t="e">
        <v>#N/A</v>
      </c>
      <c r="AKP40" t="e">
        <v>#N/A</v>
      </c>
      <c r="AKQ40" t="e">
        <v>#N/A</v>
      </c>
      <c r="AKR40" t="e">
        <v>#N/A</v>
      </c>
      <c r="AKS40" t="e">
        <v>#N/A</v>
      </c>
      <c r="AKT40" t="e">
        <v>#N/A</v>
      </c>
      <c r="AKU40" t="e">
        <v>#N/A</v>
      </c>
      <c r="AKV40" t="e">
        <v>#N/A</v>
      </c>
      <c r="AKW40" t="e">
        <v>#N/A</v>
      </c>
      <c r="AKX40" t="e">
        <v>#N/A</v>
      </c>
      <c r="AKY40" t="e">
        <v>#N/A</v>
      </c>
      <c r="AKZ40" t="e">
        <v>#N/A</v>
      </c>
      <c r="ALA40" t="e">
        <v>#N/A</v>
      </c>
      <c r="ALB40" t="e">
        <v>#N/A</v>
      </c>
      <c r="ALC40" t="e">
        <v>#N/A</v>
      </c>
      <c r="ALD40" t="e">
        <v>#N/A</v>
      </c>
      <c r="ALE40" t="e">
        <v>#N/A</v>
      </c>
      <c r="ALF40" t="e">
        <v>#N/A</v>
      </c>
      <c r="ALG40" t="e">
        <v>#N/A</v>
      </c>
      <c r="ALH40" t="e">
        <v>#N/A</v>
      </c>
      <c r="ALI40" t="e">
        <v>#N/A</v>
      </c>
      <c r="ALJ40" t="e">
        <v>#N/A</v>
      </c>
      <c r="ALK40" t="e">
        <v>#N/A</v>
      </c>
      <c r="ALL40" t="e">
        <v>#N/A</v>
      </c>
      <c r="ALM40" t="e">
        <v>#N/A</v>
      </c>
      <c r="ALN40" t="e">
        <v>#N/A</v>
      </c>
      <c r="ALO40" t="e">
        <v>#N/A</v>
      </c>
      <c r="ALP40" t="e">
        <v>#N/A</v>
      </c>
      <c r="ALQ40" t="e">
        <v>#N/A</v>
      </c>
      <c r="ALR40" t="e">
        <v>#N/A</v>
      </c>
      <c r="ALS40" t="e">
        <v>#N/A</v>
      </c>
      <c r="ALT40" t="e">
        <v>#N/A</v>
      </c>
      <c r="ALU40" t="e">
        <v>#N/A</v>
      </c>
      <c r="ALV40" t="e">
        <v>#N/A</v>
      </c>
      <c r="ALW40" t="e">
        <v>#N/A</v>
      </c>
      <c r="ALX40" t="e">
        <v>#N/A</v>
      </c>
      <c r="ALY40" t="e">
        <v>#N/A</v>
      </c>
      <c r="ALZ40" t="e">
        <v>#N/A</v>
      </c>
      <c r="AMA40" t="e">
        <v>#N/A</v>
      </c>
      <c r="AMB40" t="e">
        <v>#N/A</v>
      </c>
      <c r="AMC40" t="e">
        <v>#N/A</v>
      </c>
      <c r="AMD40" t="e">
        <v>#N/A</v>
      </c>
      <c r="AME40" t="e">
        <v>#N/A</v>
      </c>
      <c r="AMF40" t="e">
        <v>#N/A</v>
      </c>
      <c r="AMG40" t="e">
        <v>#N/A</v>
      </c>
      <c r="AMH40" t="e">
        <v>#N/A</v>
      </c>
    </row>
    <row r="41" spans="1:1022" ht="15.75" customHeight="1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0</v>
      </c>
      <c r="JC41" s="8">
        <v>0</v>
      </c>
      <c r="JD41" s="8">
        <v>0</v>
      </c>
      <c r="JE41" s="8">
        <v>0</v>
      </c>
      <c r="JF41" s="8">
        <v>0</v>
      </c>
      <c r="JG41" s="8">
        <v>0</v>
      </c>
      <c r="JH41" s="8">
        <v>0</v>
      </c>
      <c r="JI41" s="8">
        <v>0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0</v>
      </c>
      <c r="JT41" s="8">
        <v>0</v>
      </c>
      <c r="JU41" s="8">
        <v>0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0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0</v>
      </c>
      <c r="PE41" s="8">
        <v>0</v>
      </c>
      <c r="PF41" s="8">
        <v>0</v>
      </c>
      <c r="PG41" s="8">
        <v>0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0</v>
      </c>
      <c r="PS41" s="8">
        <v>0</v>
      </c>
      <c r="PT41" s="8">
        <v>0</v>
      </c>
      <c r="PU41" s="8">
        <v>0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0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</v>
      </c>
      <c r="RK41" s="8">
        <v>0</v>
      </c>
      <c r="RL41" s="8">
        <v>0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0</v>
      </c>
      <c r="SU41" s="8">
        <v>0</v>
      </c>
      <c r="SV41" s="8">
        <v>0</v>
      </c>
      <c r="SW41" s="8">
        <v>0</v>
      </c>
      <c r="SX41" s="8">
        <v>0</v>
      </c>
      <c r="SY41" s="8">
        <v>0</v>
      </c>
      <c r="SZ41" s="8">
        <v>0</v>
      </c>
      <c r="TA41" s="8">
        <v>0</v>
      </c>
      <c r="TB41" s="8">
        <v>0</v>
      </c>
      <c r="TC41" s="8">
        <v>0</v>
      </c>
      <c r="TD41" s="8">
        <v>0</v>
      </c>
      <c r="TE41" s="8">
        <v>0</v>
      </c>
      <c r="TF41" s="8">
        <v>0</v>
      </c>
      <c r="TG41" s="8">
        <v>0</v>
      </c>
      <c r="TH41" s="8">
        <v>0</v>
      </c>
      <c r="TI41" s="8">
        <v>0</v>
      </c>
      <c r="TJ41" s="8">
        <v>0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0</v>
      </c>
      <c r="TT41" s="8">
        <v>0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0</v>
      </c>
      <c r="UC41" s="8">
        <v>0</v>
      </c>
      <c r="UD41" s="8">
        <v>0</v>
      </c>
      <c r="UE41" s="8">
        <v>0</v>
      </c>
      <c r="UF41" s="8">
        <v>0</v>
      </c>
      <c r="UG41" s="8">
        <v>0</v>
      </c>
      <c r="UH41" s="8">
        <v>0</v>
      </c>
      <c r="UI41" s="8">
        <v>0</v>
      </c>
      <c r="UJ41" s="8">
        <v>0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0</v>
      </c>
      <c r="UQ41" s="8">
        <v>0</v>
      </c>
      <c r="UR41" s="8">
        <v>0</v>
      </c>
      <c r="US41" s="8">
        <v>0</v>
      </c>
      <c r="UT41" s="8">
        <v>0</v>
      </c>
      <c r="UU41" s="8">
        <v>0</v>
      </c>
      <c r="UV41" s="8">
        <v>0</v>
      </c>
      <c r="UW41" s="8">
        <v>0</v>
      </c>
      <c r="UX41" s="8">
        <v>0</v>
      </c>
      <c r="UY41" s="8">
        <v>0</v>
      </c>
      <c r="UZ41" s="8">
        <v>0</v>
      </c>
      <c r="VA41" s="8">
        <v>0</v>
      </c>
      <c r="VB41" s="8">
        <v>0</v>
      </c>
      <c r="VC41" s="8">
        <v>0</v>
      </c>
      <c r="VD41" s="8">
        <v>0</v>
      </c>
      <c r="VE41" s="8">
        <v>0</v>
      </c>
      <c r="VF41" s="8">
        <v>0</v>
      </c>
      <c r="VG41" s="8">
        <v>0</v>
      </c>
      <c r="VH41" s="8">
        <v>0</v>
      </c>
      <c r="VI41" s="8">
        <v>0</v>
      </c>
      <c r="VJ41" s="8">
        <v>0</v>
      </c>
      <c r="VK41" s="8">
        <v>0</v>
      </c>
      <c r="VL41" s="8">
        <v>0</v>
      </c>
      <c r="VM41" s="8">
        <v>0</v>
      </c>
      <c r="VN41" s="8">
        <v>0</v>
      </c>
      <c r="VO41" s="8">
        <v>0</v>
      </c>
      <c r="VP41" s="8">
        <v>0</v>
      </c>
      <c r="VQ41" s="8">
        <v>0</v>
      </c>
      <c r="VR41" s="8">
        <v>0</v>
      </c>
      <c r="VS41" s="8">
        <v>0</v>
      </c>
      <c r="VT41" s="8">
        <v>0</v>
      </c>
      <c r="VU41" s="8">
        <v>0</v>
      </c>
      <c r="VV41" s="8">
        <v>0</v>
      </c>
      <c r="VW41" s="8">
        <v>0</v>
      </c>
      <c r="VX41" s="8">
        <v>0</v>
      </c>
      <c r="VY41" s="8">
        <v>0</v>
      </c>
      <c r="VZ41" s="8">
        <v>0</v>
      </c>
      <c r="WA41" s="8">
        <v>0</v>
      </c>
      <c r="WB41" s="8">
        <v>0</v>
      </c>
      <c r="WC41" s="8">
        <v>0</v>
      </c>
      <c r="WD41" s="8">
        <v>0</v>
      </c>
      <c r="WE41" s="8">
        <v>0</v>
      </c>
      <c r="WF41" s="8">
        <v>0</v>
      </c>
      <c r="WG41" s="8">
        <v>0</v>
      </c>
      <c r="WH41" s="8">
        <v>0</v>
      </c>
      <c r="WI41" s="8">
        <v>0</v>
      </c>
      <c r="WJ41" s="8">
        <v>0</v>
      </c>
      <c r="WK41" s="8">
        <v>0</v>
      </c>
      <c r="WL41" s="8">
        <v>0</v>
      </c>
      <c r="WM41" s="8">
        <v>0</v>
      </c>
      <c r="WN41" s="8">
        <v>0</v>
      </c>
      <c r="WO41" s="8">
        <v>0</v>
      </c>
      <c r="WP41" s="8">
        <v>0</v>
      </c>
      <c r="WQ41" s="8">
        <v>0</v>
      </c>
      <c r="WR41" s="8">
        <v>0</v>
      </c>
      <c r="WS41" s="8">
        <v>0</v>
      </c>
      <c r="WT41" s="8">
        <v>0</v>
      </c>
      <c r="WU41" s="8">
        <v>0</v>
      </c>
      <c r="WV41" s="8">
        <v>0</v>
      </c>
      <c r="WW41" s="8">
        <v>0</v>
      </c>
      <c r="WX41" s="8">
        <v>0</v>
      </c>
      <c r="WY41" s="8">
        <v>0</v>
      </c>
      <c r="WZ41" s="8">
        <v>0</v>
      </c>
      <c r="XA41" s="8">
        <v>0</v>
      </c>
      <c r="XB41" s="8">
        <v>0</v>
      </c>
      <c r="XC41" s="8">
        <v>0</v>
      </c>
      <c r="XD41" s="8">
        <v>0</v>
      </c>
      <c r="XE41" s="8">
        <v>0</v>
      </c>
      <c r="XF41" s="8">
        <v>0</v>
      </c>
      <c r="XG41" s="8">
        <v>0</v>
      </c>
      <c r="XH41" s="8">
        <v>0</v>
      </c>
      <c r="XI41" s="8">
        <v>0</v>
      </c>
      <c r="XJ41" s="8">
        <v>0</v>
      </c>
      <c r="XK41" s="8">
        <v>0</v>
      </c>
      <c r="XL41" s="8">
        <v>0</v>
      </c>
      <c r="XM41" s="8">
        <v>0</v>
      </c>
      <c r="XN41" s="8">
        <v>0</v>
      </c>
      <c r="XO41" s="8">
        <v>0</v>
      </c>
      <c r="XP41" s="8">
        <v>0</v>
      </c>
      <c r="XQ41" s="8">
        <v>0</v>
      </c>
      <c r="XR41" s="8">
        <v>0</v>
      </c>
      <c r="XS41" s="8">
        <v>0</v>
      </c>
      <c r="XT41" s="8">
        <v>0</v>
      </c>
      <c r="XU41" s="8">
        <v>0</v>
      </c>
      <c r="XV41" s="8">
        <v>0</v>
      </c>
      <c r="XW41" s="8">
        <v>0</v>
      </c>
      <c r="XX41" s="8">
        <v>0</v>
      </c>
      <c r="XY41" s="8">
        <v>0</v>
      </c>
      <c r="XZ41" s="8">
        <v>0</v>
      </c>
      <c r="YA41" s="8">
        <v>0</v>
      </c>
      <c r="YB41" s="8">
        <v>0</v>
      </c>
      <c r="YC41" s="8">
        <v>0</v>
      </c>
      <c r="YD41" s="8">
        <v>0</v>
      </c>
      <c r="YE41" s="8">
        <v>0</v>
      </c>
      <c r="YF41" s="8">
        <v>0</v>
      </c>
      <c r="YG41" s="8">
        <v>0</v>
      </c>
      <c r="YH41" s="8">
        <v>0</v>
      </c>
      <c r="YI41" s="8">
        <v>0</v>
      </c>
      <c r="YJ41" s="8">
        <v>0</v>
      </c>
      <c r="YK41" s="8">
        <v>0</v>
      </c>
      <c r="YL41" s="8">
        <v>0</v>
      </c>
      <c r="YM41" s="8">
        <v>0</v>
      </c>
      <c r="YN41" s="8">
        <v>0</v>
      </c>
      <c r="YO41" s="8">
        <v>0</v>
      </c>
      <c r="YP41" s="8">
        <v>0</v>
      </c>
      <c r="YQ41" s="8">
        <v>0</v>
      </c>
      <c r="YR41" s="8">
        <v>0</v>
      </c>
      <c r="YS41" s="8">
        <v>0</v>
      </c>
      <c r="YT41" s="8">
        <v>0</v>
      </c>
      <c r="YU41" s="8">
        <v>0</v>
      </c>
      <c r="YV41" s="8">
        <v>0</v>
      </c>
      <c r="YW41" s="8">
        <v>0</v>
      </c>
      <c r="YX41" s="8">
        <v>0</v>
      </c>
      <c r="YY41" s="8">
        <v>0</v>
      </c>
      <c r="YZ41" s="8">
        <v>0</v>
      </c>
      <c r="ZA41" s="8">
        <v>0</v>
      </c>
      <c r="ZB41" s="8">
        <v>0</v>
      </c>
      <c r="ZC41" s="8">
        <v>0</v>
      </c>
      <c r="ZD41" s="8">
        <v>0</v>
      </c>
      <c r="ZE41" s="8">
        <v>0</v>
      </c>
      <c r="ZF41" s="8">
        <v>0</v>
      </c>
      <c r="ZG41" s="8">
        <v>0</v>
      </c>
      <c r="ZH41" s="8">
        <v>0</v>
      </c>
      <c r="ZI41" s="8">
        <v>0</v>
      </c>
      <c r="ZJ41" s="8">
        <v>0</v>
      </c>
      <c r="ZK41" s="8">
        <v>0</v>
      </c>
      <c r="ZL41" s="8">
        <v>0</v>
      </c>
      <c r="ZM41" s="8">
        <v>0</v>
      </c>
      <c r="ZN41" s="8">
        <v>0</v>
      </c>
      <c r="ZO41" s="8">
        <v>0</v>
      </c>
      <c r="ZP41" s="8">
        <v>0</v>
      </c>
      <c r="ZQ41" s="8">
        <v>0</v>
      </c>
      <c r="ZR41" s="8">
        <v>0</v>
      </c>
      <c r="ZS41" s="8">
        <v>0</v>
      </c>
      <c r="ZT41" s="8">
        <v>0</v>
      </c>
      <c r="ZU41" s="8">
        <v>0</v>
      </c>
      <c r="ZV41" s="8">
        <v>0</v>
      </c>
      <c r="ZW41" s="8">
        <v>0</v>
      </c>
      <c r="ZX41" s="8">
        <v>0</v>
      </c>
      <c r="ZY41" s="8">
        <v>0</v>
      </c>
      <c r="ZZ41" s="8">
        <v>0</v>
      </c>
      <c r="AAA41" s="8">
        <v>0</v>
      </c>
      <c r="AAB41" s="8">
        <v>0</v>
      </c>
      <c r="AAC41" s="8">
        <v>0</v>
      </c>
      <c r="AAD41" s="8">
        <v>0</v>
      </c>
      <c r="AAE41" s="8">
        <v>0</v>
      </c>
      <c r="AAF41" s="8">
        <v>0</v>
      </c>
      <c r="AAG41" s="8">
        <v>0</v>
      </c>
      <c r="AAH41" s="8">
        <v>0</v>
      </c>
      <c r="AAI41" s="8">
        <v>0</v>
      </c>
      <c r="AAJ41" s="8">
        <v>0</v>
      </c>
      <c r="AAK41" s="8">
        <v>0</v>
      </c>
      <c r="AAL41" s="8">
        <v>0</v>
      </c>
      <c r="AAM41" s="8">
        <v>0</v>
      </c>
      <c r="AAN41" s="8">
        <v>0</v>
      </c>
      <c r="AAO41" s="8">
        <v>0</v>
      </c>
      <c r="AAP41" s="8">
        <v>0</v>
      </c>
      <c r="AAQ41" s="8">
        <v>0</v>
      </c>
      <c r="AAR41" s="8">
        <v>0</v>
      </c>
      <c r="AAS41" s="8">
        <v>0</v>
      </c>
      <c r="AAT41" s="8">
        <v>0</v>
      </c>
      <c r="AAU41" s="8">
        <v>0</v>
      </c>
      <c r="AAV41" s="8">
        <v>0</v>
      </c>
      <c r="AAW41" s="8">
        <v>0</v>
      </c>
      <c r="AAX41" s="8">
        <v>0</v>
      </c>
      <c r="AAY41" s="8">
        <v>0</v>
      </c>
      <c r="AAZ41" s="8">
        <v>0</v>
      </c>
      <c r="ABA41" s="8">
        <v>0</v>
      </c>
      <c r="ABB41" s="8">
        <v>0</v>
      </c>
      <c r="ABC41" s="8">
        <v>0</v>
      </c>
      <c r="ABD41" s="8">
        <v>0</v>
      </c>
      <c r="ABE41" s="8">
        <v>0</v>
      </c>
      <c r="ABF41" s="8">
        <v>0</v>
      </c>
      <c r="ABG41" s="8">
        <v>0</v>
      </c>
      <c r="ABH41" s="8">
        <v>0</v>
      </c>
      <c r="ABI41" s="8">
        <v>0</v>
      </c>
      <c r="ABJ41" s="8">
        <v>0</v>
      </c>
      <c r="ABK41" s="8">
        <v>0</v>
      </c>
      <c r="ABL41" s="8">
        <v>0</v>
      </c>
      <c r="ABM41" s="8">
        <v>0</v>
      </c>
      <c r="ABN41" s="8">
        <v>0</v>
      </c>
      <c r="ABO41" s="8">
        <v>0</v>
      </c>
      <c r="ABP41" s="8">
        <v>0</v>
      </c>
      <c r="ABQ41" s="8">
        <v>0</v>
      </c>
      <c r="ABR41" s="8">
        <v>0</v>
      </c>
      <c r="ABS41" s="8">
        <v>0</v>
      </c>
      <c r="ABT41" s="8">
        <v>0</v>
      </c>
      <c r="ABU41" s="8">
        <v>0</v>
      </c>
      <c r="ABV41" s="8">
        <v>0</v>
      </c>
      <c r="ABW41" s="8">
        <v>0</v>
      </c>
      <c r="ABX41" s="8">
        <v>0</v>
      </c>
      <c r="ABY41" s="8">
        <v>0</v>
      </c>
      <c r="ABZ41" s="8">
        <v>0</v>
      </c>
      <c r="ACA41" s="8">
        <v>0</v>
      </c>
      <c r="ACB41" s="8">
        <v>0</v>
      </c>
      <c r="ACC41" s="8">
        <v>0</v>
      </c>
      <c r="ACD41" s="8">
        <v>0</v>
      </c>
      <c r="ACE41" s="8">
        <v>0</v>
      </c>
      <c r="ACF41" s="8">
        <v>0</v>
      </c>
      <c r="ACG41" s="8">
        <v>0</v>
      </c>
      <c r="ACH41" s="8">
        <v>0</v>
      </c>
      <c r="ACI41" s="8">
        <v>0</v>
      </c>
      <c r="ACJ41" s="8">
        <v>0</v>
      </c>
      <c r="ACK41" s="8">
        <v>0</v>
      </c>
      <c r="ACL41" s="8">
        <v>0</v>
      </c>
      <c r="ACM41" s="8">
        <v>0</v>
      </c>
      <c r="ACN41" s="8">
        <v>0</v>
      </c>
      <c r="ACO41" s="8">
        <v>0</v>
      </c>
      <c r="ACP41" s="8">
        <v>0</v>
      </c>
      <c r="ACQ41" s="8">
        <v>0</v>
      </c>
      <c r="ACR41" s="8">
        <v>0</v>
      </c>
      <c r="ACS41" s="8">
        <v>0</v>
      </c>
      <c r="ACT41" s="8">
        <v>0</v>
      </c>
      <c r="ACU41" s="8">
        <v>0</v>
      </c>
      <c r="ACV41" s="8">
        <v>0</v>
      </c>
      <c r="ACW41" s="8">
        <v>0</v>
      </c>
      <c r="ACX41" s="8">
        <v>0</v>
      </c>
      <c r="ACY41" s="8">
        <v>0</v>
      </c>
      <c r="ACZ41" s="8">
        <v>0</v>
      </c>
      <c r="ADA41" s="8">
        <v>0</v>
      </c>
      <c r="ADB41" s="8">
        <v>0</v>
      </c>
      <c r="ADC41" s="8">
        <v>0</v>
      </c>
      <c r="ADD41" s="8">
        <v>0</v>
      </c>
      <c r="ADE41" s="8">
        <v>0</v>
      </c>
      <c r="ADF41" s="8">
        <v>0</v>
      </c>
      <c r="ADG41" s="8">
        <v>0</v>
      </c>
      <c r="ADH41" s="8">
        <v>0</v>
      </c>
      <c r="ADI41" s="8">
        <v>0</v>
      </c>
      <c r="ADJ41" s="8">
        <v>0</v>
      </c>
      <c r="ADK41" s="8">
        <v>0</v>
      </c>
      <c r="ADL41" s="8">
        <v>0</v>
      </c>
      <c r="ADM41" s="8">
        <v>0</v>
      </c>
      <c r="ADN41" s="8">
        <v>0</v>
      </c>
      <c r="ADO41" s="8">
        <v>0</v>
      </c>
      <c r="ADP41" s="8">
        <v>0</v>
      </c>
      <c r="ADQ41" s="8">
        <v>0</v>
      </c>
      <c r="ADR41" s="8">
        <v>0</v>
      </c>
      <c r="ADS41" s="8">
        <v>0</v>
      </c>
      <c r="ADT41" s="8">
        <v>0</v>
      </c>
      <c r="ADU41" s="8">
        <v>0</v>
      </c>
      <c r="ADV41" s="8">
        <v>0</v>
      </c>
      <c r="ADW41" s="8">
        <v>0</v>
      </c>
      <c r="ADX41" s="8">
        <v>0</v>
      </c>
      <c r="ADY41" s="8">
        <v>0</v>
      </c>
      <c r="ADZ41" s="8">
        <v>0</v>
      </c>
      <c r="AEA41" s="8">
        <v>0</v>
      </c>
      <c r="AEB41" s="8">
        <v>0</v>
      </c>
      <c r="AEC41" s="8">
        <v>0</v>
      </c>
      <c r="AED41" s="8">
        <v>0</v>
      </c>
      <c r="AEE41" s="8">
        <v>0</v>
      </c>
      <c r="AEF41" s="8">
        <v>0</v>
      </c>
      <c r="AEG41" s="8">
        <v>0</v>
      </c>
      <c r="AEH41" s="8">
        <v>0</v>
      </c>
      <c r="AEI41" s="8">
        <v>0</v>
      </c>
      <c r="AEJ41" s="8">
        <v>0</v>
      </c>
      <c r="AEK41" s="8">
        <v>0</v>
      </c>
      <c r="AEL41" s="8">
        <v>0</v>
      </c>
      <c r="AEM41" s="8">
        <v>0</v>
      </c>
      <c r="AEN41" s="8">
        <v>0</v>
      </c>
      <c r="AEO41" s="8">
        <v>0</v>
      </c>
      <c r="AEP41" s="8">
        <v>0</v>
      </c>
      <c r="AEQ41" s="8">
        <v>0</v>
      </c>
      <c r="AER41" s="8">
        <v>0</v>
      </c>
      <c r="AES41" s="8">
        <v>0</v>
      </c>
      <c r="AET41" s="8">
        <v>0</v>
      </c>
      <c r="AEU41" s="8">
        <v>0</v>
      </c>
      <c r="AEV41" s="8">
        <v>0</v>
      </c>
      <c r="AEW41" s="8">
        <v>0</v>
      </c>
      <c r="AEX41" s="8">
        <v>0</v>
      </c>
      <c r="AEY41" s="8">
        <v>0</v>
      </c>
      <c r="AEZ41" s="8">
        <v>0</v>
      </c>
      <c r="AFA41" s="8">
        <v>0</v>
      </c>
      <c r="AFB41" s="8">
        <v>0</v>
      </c>
      <c r="AFC41" s="8">
        <v>0</v>
      </c>
      <c r="AFD41" s="8">
        <v>0</v>
      </c>
      <c r="AFE41" s="8">
        <v>0</v>
      </c>
      <c r="AFF41" s="8">
        <v>0</v>
      </c>
      <c r="AFG41" s="8">
        <v>0</v>
      </c>
      <c r="AFH41" s="8">
        <v>0</v>
      </c>
      <c r="AFI41" s="8">
        <v>0</v>
      </c>
      <c r="AFJ41" s="8">
        <v>0</v>
      </c>
      <c r="AFK41" s="8">
        <v>0</v>
      </c>
      <c r="AFL41" s="8">
        <v>0</v>
      </c>
      <c r="AFM41" s="8">
        <v>0</v>
      </c>
      <c r="AFN41" s="8">
        <v>0</v>
      </c>
      <c r="AFO41" s="8">
        <v>0</v>
      </c>
      <c r="AFP41" s="8">
        <v>0</v>
      </c>
      <c r="AFQ41" s="8">
        <v>0</v>
      </c>
      <c r="AFR41" s="8">
        <v>0</v>
      </c>
      <c r="AFS41" s="8">
        <v>0</v>
      </c>
      <c r="AFT41" s="8">
        <v>0</v>
      </c>
      <c r="AFU41" s="8">
        <v>0</v>
      </c>
      <c r="AFV41" s="8">
        <v>0</v>
      </c>
      <c r="AFW41" s="8">
        <v>0</v>
      </c>
      <c r="AFX41" s="8">
        <v>0</v>
      </c>
      <c r="AFY41" s="8">
        <v>0</v>
      </c>
      <c r="AFZ41" s="8">
        <v>0</v>
      </c>
      <c r="AGA41" s="8">
        <v>0</v>
      </c>
      <c r="AGB41" s="8">
        <v>0</v>
      </c>
      <c r="AGC41" s="8">
        <v>0</v>
      </c>
      <c r="AGD41" s="8">
        <v>0</v>
      </c>
      <c r="AGE41" s="8">
        <v>0</v>
      </c>
      <c r="AGF41" s="8">
        <v>0</v>
      </c>
      <c r="AGG41" s="8">
        <v>0</v>
      </c>
      <c r="AGH41" s="8">
        <v>0</v>
      </c>
      <c r="AGI41" s="8">
        <v>0</v>
      </c>
      <c r="AGJ41" s="8">
        <v>0</v>
      </c>
      <c r="AGK41" s="8">
        <v>0</v>
      </c>
      <c r="AGL41" s="8">
        <v>0</v>
      </c>
      <c r="AGM41" s="8">
        <v>0</v>
      </c>
      <c r="AGN41" s="8">
        <v>0</v>
      </c>
      <c r="AGO41" s="8">
        <v>0</v>
      </c>
      <c r="AGP41" s="8">
        <v>0</v>
      </c>
      <c r="AGQ41" s="8">
        <v>0</v>
      </c>
      <c r="AGR41" s="8">
        <v>0</v>
      </c>
      <c r="AGS41" s="8">
        <v>0</v>
      </c>
      <c r="AGT41" s="8">
        <v>0</v>
      </c>
      <c r="AGU41" s="8">
        <v>0</v>
      </c>
      <c r="AGV41" s="8">
        <v>0</v>
      </c>
      <c r="AGW41" s="8">
        <v>0</v>
      </c>
      <c r="AGX41" s="8">
        <v>0</v>
      </c>
      <c r="AGY41" s="8">
        <v>0</v>
      </c>
      <c r="AGZ41" s="8">
        <v>0</v>
      </c>
      <c r="AHA41" s="8">
        <v>0</v>
      </c>
      <c r="AHB41" s="8">
        <v>0</v>
      </c>
      <c r="AHC41" s="8">
        <v>0</v>
      </c>
      <c r="AHD41" s="8">
        <v>0</v>
      </c>
      <c r="AHE41" s="8">
        <v>0</v>
      </c>
      <c r="AHF41" s="8">
        <v>0</v>
      </c>
      <c r="AHG41" s="8">
        <v>0</v>
      </c>
      <c r="AHH41" s="8">
        <v>0</v>
      </c>
      <c r="AHI41" s="8">
        <v>0</v>
      </c>
      <c r="AHJ41" s="8">
        <v>0</v>
      </c>
      <c r="AHK41" s="8">
        <v>0</v>
      </c>
      <c r="AHL41" s="8">
        <v>0</v>
      </c>
      <c r="AHM41" s="8">
        <v>0</v>
      </c>
      <c r="AHN41" s="8">
        <v>0</v>
      </c>
      <c r="AHO41" s="8">
        <v>0</v>
      </c>
      <c r="AHP41" s="8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 t="e">
        <v>#N/A</v>
      </c>
      <c r="AIJ41" t="e">
        <v>#N/A</v>
      </c>
      <c r="AIK41" t="e">
        <v>#N/A</v>
      </c>
      <c r="AIL41" t="e">
        <v>#N/A</v>
      </c>
      <c r="AIM41" t="e">
        <v>#N/A</v>
      </c>
      <c r="AIN41" t="e">
        <v>#N/A</v>
      </c>
      <c r="AIO41" t="e">
        <v>#N/A</v>
      </c>
      <c r="AIP41" t="e">
        <v>#N/A</v>
      </c>
      <c r="AIQ41" t="e">
        <v>#N/A</v>
      </c>
      <c r="AIR41" t="e">
        <v>#N/A</v>
      </c>
      <c r="AIS41" t="e">
        <v>#N/A</v>
      </c>
      <c r="AIT41" t="e">
        <v>#N/A</v>
      </c>
      <c r="AIU41" t="e">
        <v>#N/A</v>
      </c>
      <c r="AIV41" t="e">
        <v>#N/A</v>
      </c>
      <c r="AIW41" t="e">
        <v>#N/A</v>
      </c>
      <c r="AIX41" t="e">
        <v>#N/A</v>
      </c>
      <c r="AIY41" t="e">
        <v>#N/A</v>
      </c>
      <c r="AIZ41" t="e">
        <v>#N/A</v>
      </c>
      <c r="AJA41" t="e">
        <v>#N/A</v>
      </c>
      <c r="AJB41" t="e">
        <v>#N/A</v>
      </c>
      <c r="AJC41" t="e">
        <v>#N/A</v>
      </c>
      <c r="AJD41" t="e">
        <v>#N/A</v>
      </c>
      <c r="AJE41" t="e">
        <v>#N/A</v>
      </c>
      <c r="AJF41" t="e">
        <v>#N/A</v>
      </c>
      <c r="AJG41" t="e">
        <v>#N/A</v>
      </c>
      <c r="AJH41" t="e">
        <v>#N/A</v>
      </c>
      <c r="AJI41" t="e">
        <v>#N/A</v>
      </c>
      <c r="AJJ41" t="e">
        <v>#N/A</v>
      </c>
      <c r="AJK41" t="e">
        <v>#N/A</v>
      </c>
      <c r="AJL41" t="e">
        <v>#N/A</v>
      </c>
      <c r="AJM41" t="e">
        <v>#N/A</v>
      </c>
      <c r="AJN41" t="e">
        <v>#N/A</v>
      </c>
      <c r="AJO41" t="e">
        <v>#N/A</v>
      </c>
      <c r="AJP41" t="e">
        <v>#N/A</v>
      </c>
      <c r="AJQ41" t="e">
        <v>#N/A</v>
      </c>
      <c r="AJR41" t="e">
        <v>#N/A</v>
      </c>
      <c r="AJS41" t="e">
        <v>#N/A</v>
      </c>
      <c r="AJT41" t="e">
        <v>#N/A</v>
      </c>
      <c r="AJU41" t="e">
        <v>#N/A</v>
      </c>
      <c r="AJV41" t="e">
        <v>#N/A</v>
      </c>
      <c r="AJW41" t="e">
        <v>#N/A</v>
      </c>
      <c r="AJX41" t="e">
        <v>#N/A</v>
      </c>
      <c r="AJY41" t="e">
        <v>#N/A</v>
      </c>
      <c r="AJZ41" t="e">
        <v>#N/A</v>
      </c>
      <c r="AKA41" t="e">
        <v>#N/A</v>
      </c>
      <c r="AKB41" t="e">
        <v>#N/A</v>
      </c>
      <c r="AKC41" t="e">
        <v>#N/A</v>
      </c>
      <c r="AKD41" t="e">
        <v>#N/A</v>
      </c>
      <c r="AKE41" t="e">
        <v>#N/A</v>
      </c>
      <c r="AKF41" t="e">
        <v>#N/A</v>
      </c>
      <c r="AKG41" t="e">
        <v>#N/A</v>
      </c>
      <c r="AKH41" t="e">
        <v>#N/A</v>
      </c>
      <c r="AKI41" t="e">
        <v>#N/A</v>
      </c>
      <c r="AKJ41" t="e">
        <v>#N/A</v>
      </c>
      <c r="AKK41" t="e">
        <v>#N/A</v>
      </c>
      <c r="AKL41" t="e">
        <v>#N/A</v>
      </c>
      <c r="AKM41" t="e">
        <v>#N/A</v>
      </c>
      <c r="AKN41" t="e">
        <v>#N/A</v>
      </c>
      <c r="AKO41" t="e">
        <v>#N/A</v>
      </c>
      <c r="AKP41" t="e">
        <v>#N/A</v>
      </c>
      <c r="AKQ41" t="e">
        <v>#N/A</v>
      </c>
      <c r="AKR41" t="e">
        <v>#N/A</v>
      </c>
      <c r="AKS41" t="e">
        <v>#N/A</v>
      </c>
      <c r="AKT41" t="e">
        <v>#N/A</v>
      </c>
      <c r="AKU41" t="e">
        <v>#N/A</v>
      </c>
      <c r="AKV41" t="e">
        <v>#N/A</v>
      </c>
      <c r="AKW41" t="e">
        <v>#N/A</v>
      </c>
      <c r="AKX41" t="e">
        <v>#N/A</v>
      </c>
      <c r="AKY41" t="e">
        <v>#N/A</v>
      </c>
      <c r="AKZ41" t="e">
        <v>#N/A</v>
      </c>
      <c r="ALA41" t="e">
        <v>#N/A</v>
      </c>
      <c r="ALB41" t="e">
        <v>#N/A</v>
      </c>
      <c r="ALC41" t="e">
        <v>#N/A</v>
      </c>
      <c r="ALD41" t="e">
        <v>#N/A</v>
      </c>
      <c r="ALE41" t="e">
        <v>#N/A</v>
      </c>
      <c r="ALF41" t="e">
        <v>#N/A</v>
      </c>
      <c r="ALG41" t="e">
        <v>#N/A</v>
      </c>
      <c r="ALH41" t="e">
        <v>#N/A</v>
      </c>
      <c r="ALI41" t="e">
        <v>#N/A</v>
      </c>
      <c r="ALJ41" t="e">
        <v>#N/A</v>
      </c>
      <c r="ALK41" t="e">
        <v>#N/A</v>
      </c>
      <c r="ALL41" t="e">
        <v>#N/A</v>
      </c>
      <c r="ALM41" t="e">
        <v>#N/A</v>
      </c>
      <c r="ALN41" t="e">
        <v>#N/A</v>
      </c>
      <c r="ALO41" t="e">
        <v>#N/A</v>
      </c>
      <c r="ALP41" t="e">
        <v>#N/A</v>
      </c>
      <c r="ALQ41" t="e">
        <v>#N/A</v>
      </c>
      <c r="ALR41" t="e">
        <v>#N/A</v>
      </c>
      <c r="ALS41" t="e">
        <v>#N/A</v>
      </c>
      <c r="ALT41" t="e">
        <v>#N/A</v>
      </c>
      <c r="ALU41" t="e">
        <v>#N/A</v>
      </c>
      <c r="ALV41" t="e">
        <v>#N/A</v>
      </c>
      <c r="ALW41" t="e">
        <v>#N/A</v>
      </c>
      <c r="ALX41" t="e">
        <v>#N/A</v>
      </c>
      <c r="ALY41" t="e">
        <v>#N/A</v>
      </c>
      <c r="ALZ41" t="e">
        <v>#N/A</v>
      </c>
      <c r="AMA41" t="e">
        <v>#N/A</v>
      </c>
      <c r="AMB41" t="e">
        <v>#N/A</v>
      </c>
      <c r="AMC41" t="e">
        <v>#N/A</v>
      </c>
      <c r="AMD41" t="e">
        <v>#N/A</v>
      </c>
      <c r="AME41" t="e">
        <v>#N/A</v>
      </c>
      <c r="AMF41" t="e">
        <v>#N/A</v>
      </c>
      <c r="AMG41" t="e">
        <v>#N/A</v>
      </c>
      <c r="AMH41" t="e">
        <v>#N/A</v>
      </c>
    </row>
    <row r="42" spans="1:1022" ht="15.75" customHeight="1">
      <c r="A42" s="8">
        <v>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</v>
      </c>
      <c r="KT42" s="8">
        <v>0</v>
      </c>
      <c r="KU42" s="8">
        <v>0</v>
      </c>
      <c r="KV42" s="8">
        <v>0</v>
      </c>
      <c r="KW42" s="8">
        <v>0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0</v>
      </c>
      <c r="NS42" s="8">
        <v>0</v>
      </c>
      <c r="NT42" s="8">
        <v>0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0</v>
      </c>
      <c r="OQ42" s="8">
        <v>0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0</v>
      </c>
      <c r="PI42" s="8">
        <v>0</v>
      </c>
      <c r="PJ42" s="8">
        <v>0</v>
      </c>
      <c r="PK42" s="8">
        <v>0</v>
      </c>
      <c r="PL42" s="8">
        <v>0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0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0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0</v>
      </c>
      <c r="SW42" s="8">
        <v>0</v>
      </c>
      <c r="SX42" s="8">
        <v>0</v>
      </c>
      <c r="SY42" s="8">
        <v>0</v>
      </c>
      <c r="SZ42" s="8">
        <v>0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0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0</v>
      </c>
      <c r="TT42" s="8">
        <v>0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0</v>
      </c>
      <c r="UG42" s="8">
        <v>0</v>
      </c>
      <c r="UH42" s="8">
        <v>0</v>
      </c>
      <c r="UI42" s="8">
        <v>0</v>
      </c>
      <c r="UJ42" s="8">
        <v>0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0</v>
      </c>
      <c r="UQ42" s="8">
        <v>0</v>
      </c>
      <c r="UR42" s="8">
        <v>0</v>
      </c>
      <c r="US42" s="8">
        <v>0</v>
      </c>
      <c r="UT42" s="8">
        <v>0</v>
      </c>
      <c r="UU42" s="8">
        <v>0</v>
      </c>
      <c r="UV42" s="8">
        <v>0</v>
      </c>
      <c r="UW42" s="8">
        <v>0</v>
      </c>
      <c r="UX42" s="8">
        <v>0</v>
      </c>
      <c r="UY42" s="8">
        <v>0</v>
      </c>
      <c r="UZ42" s="8">
        <v>0</v>
      </c>
      <c r="VA42" s="8">
        <v>0</v>
      </c>
      <c r="VB42" s="8">
        <v>0</v>
      </c>
      <c r="VC42" s="8">
        <v>0</v>
      </c>
      <c r="VD42" s="8">
        <v>0</v>
      </c>
      <c r="VE42" s="8">
        <v>0</v>
      </c>
      <c r="VF42" s="8">
        <v>0</v>
      </c>
      <c r="VG42" s="8">
        <v>0</v>
      </c>
      <c r="VH42" s="8">
        <v>0</v>
      </c>
      <c r="VI42" s="8">
        <v>0</v>
      </c>
      <c r="VJ42" s="8">
        <v>0</v>
      </c>
      <c r="VK42" s="8">
        <v>0</v>
      </c>
      <c r="VL42" s="8">
        <v>0</v>
      </c>
      <c r="VM42" s="8">
        <v>0</v>
      </c>
      <c r="VN42" s="8">
        <v>0</v>
      </c>
      <c r="VO42" s="8">
        <v>0</v>
      </c>
      <c r="VP42" s="8">
        <v>0</v>
      </c>
      <c r="VQ42" s="8">
        <v>0</v>
      </c>
      <c r="VR42" s="8">
        <v>0</v>
      </c>
      <c r="VS42" s="8">
        <v>0</v>
      </c>
      <c r="VT42" s="8">
        <v>0</v>
      </c>
      <c r="VU42" s="8">
        <v>0</v>
      </c>
      <c r="VV42" s="8">
        <v>0</v>
      </c>
      <c r="VW42" s="8">
        <v>0</v>
      </c>
      <c r="VX42" s="8">
        <v>0</v>
      </c>
      <c r="VY42" s="8">
        <v>0</v>
      </c>
      <c r="VZ42" s="8">
        <v>0</v>
      </c>
      <c r="WA42" s="8">
        <v>0</v>
      </c>
      <c r="WB42" s="8">
        <v>0</v>
      </c>
      <c r="WC42" s="8">
        <v>0</v>
      </c>
      <c r="WD42" s="8">
        <v>0</v>
      </c>
      <c r="WE42" s="8">
        <v>0</v>
      </c>
      <c r="WF42" s="8">
        <v>0</v>
      </c>
      <c r="WG42" s="8">
        <v>0</v>
      </c>
      <c r="WH42" s="8">
        <v>0</v>
      </c>
      <c r="WI42" s="8">
        <v>0</v>
      </c>
      <c r="WJ42" s="8">
        <v>0</v>
      </c>
      <c r="WK42" s="8">
        <v>0</v>
      </c>
      <c r="WL42" s="8">
        <v>0</v>
      </c>
      <c r="WM42" s="8">
        <v>0</v>
      </c>
      <c r="WN42" s="8">
        <v>0</v>
      </c>
      <c r="WO42" s="8">
        <v>0</v>
      </c>
      <c r="WP42" s="8">
        <v>0</v>
      </c>
      <c r="WQ42" s="8">
        <v>0</v>
      </c>
      <c r="WR42" s="8">
        <v>0</v>
      </c>
      <c r="WS42" s="8">
        <v>0</v>
      </c>
      <c r="WT42" s="8">
        <v>0</v>
      </c>
      <c r="WU42" s="8">
        <v>0</v>
      </c>
      <c r="WV42" s="8">
        <v>0</v>
      </c>
      <c r="WW42" s="8">
        <v>0</v>
      </c>
      <c r="WX42" s="8">
        <v>0</v>
      </c>
      <c r="WY42" s="8">
        <v>0</v>
      </c>
      <c r="WZ42" s="8">
        <v>0</v>
      </c>
      <c r="XA42" s="8">
        <v>0</v>
      </c>
      <c r="XB42" s="8">
        <v>0</v>
      </c>
      <c r="XC42" s="8">
        <v>0</v>
      </c>
      <c r="XD42" s="8">
        <v>0</v>
      </c>
      <c r="XE42" s="8">
        <v>0</v>
      </c>
      <c r="XF42" s="8">
        <v>0</v>
      </c>
      <c r="XG42" s="8">
        <v>0</v>
      </c>
      <c r="XH42" s="8">
        <v>0</v>
      </c>
      <c r="XI42" s="8">
        <v>0</v>
      </c>
      <c r="XJ42" s="8">
        <v>0</v>
      </c>
      <c r="XK42" s="8">
        <v>0</v>
      </c>
      <c r="XL42" s="8">
        <v>0</v>
      </c>
      <c r="XM42" s="8">
        <v>0</v>
      </c>
      <c r="XN42" s="8">
        <v>0</v>
      </c>
      <c r="XO42" s="8">
        <v>0</v>
      </c>
      <c r="XP42" s="8">
        <v>0</v>
      </c>
      <c r="XQ42" s="8">
        <v>0</v>
      </c>
      <c r="XR42" s="8">
        <v>0</v>
      </c>
      <c r="XS42" s="8">
        <v>0</v>
      </c>
      <c r="XT42" s="8">
        <v>0</v>
      </c>
      <c r="XU42" s="8">
        <v>0</v>
      </c>
      <c r="XV42" s="8">
        <v>0</v>
      </c>
      <c r="XW42" s="8">
        <v>0</v>
      </c>
      <c r="XX42" s="8">
        <v>0</v>
      </c>
      <c r="XY42" s="8">
        <v>0</v>
      </c>
      <c r="XZ42" s="8">
        <v>0</v>
      </c>
      <c r="YA42" s="8">
        <v>0</v>
      </c>
      <c r="YB42" s="8">
        <v>0</v>
      </c>
      <c r="YC42" s="8">
        <v>0</v>
      </c>
      <c r="YD42" s="8">
        <v>0</v>
      </c>
      <c r="YE42" s="8">
        <v>0</v>
      </c>
      <c r="YF42" s="8">
        <v>0</v>
      </c>
      <c r="YG42" s="8">
        <v>0</v>
      </c>
      <c r="YH42" s="8">
        <v>0</v>
      </c>
      <c r="YI42" s="8">
        <v>0</v>
      </c>
      <c r="YJ42" s="8">
        <v>0</v>
      </c>
      <c r="YK42" s="8">
        <v>0</v>
      </c>
      <c r="YL42" s="8">
        <v>0</v>
      </c>
      <c r="YM42" s="8">
        <v>0</v>
      </c>
      <c r="YN42" s="8">
        <v>0</v>
      </c>
      <c r="YO42" s="8">
        <v>0</v>
      </c>
      <c r="YP42" s="8">
        <v>0</v>
      </c>
      <c r="YQ42" s="8">
        <v>0</v>
      </c>
      <c r="YR42" s="8">
        <v>0</v>
      </c>
      <c r="YS42" s="8">
        <v>0</v>
      </c>
      <c r="YT42" s="8">
        <v>0</v>
      </c>
      <c r="YU42" s="8">
        <v>0</v>
      </c>
      <c r="YV42" s="8">
        <v>0</v>
      </c>
      <c r="YW42" s="8">
        <v>0</v>
      </c>
      <c r="YX42" s="8">
        <v>0</v>
      </c>
      <c r="YY42" s="8">
        <v>0</v>
      </c>
      <c r="YZ42" s="8">
        <v>0</v>
      </c>
      <c r="ZA42" s="8">
        <v>0</v>
      </c>
      <c r="ZB42" s="8">
        <v>0</v>
      </c>
      <c r="ZC42" s="8">
        <v>0</v>
      </c>
      <c r="ZD42" s="8">
        <v>0</v>
      </c>
      <c r="ZE42" s="8">
        <v>0</v>
      </c>
      <c r="ZF42" s="8">
        <v>0</v>
      </c>
      <c r="ZG42" s="8">
        <v>0</v>
      </c>
      <c r="ZH42" s="8">
        <v>0</v>
      </c>
      <c r="ZI42" s="8">
        <v>0</v>
      </c>
      <c r="ZJ42" s="8">
        <v>0</v>
      </c>
      <c r="ZK42" s="8">
        <v>0</v>
      </c>
      <c r="ZL42" s="8">
        <v>0</v>
      </c>
      <c r="ZM42" s="8">
        <v>0</v>
      </c>
      <c r="ZN42" s="8">
        <v>0</v>
      </c>
      <c r="ZO42" s="8">
        <v>0</v>
      </c>
      <c r="ZP42" s="8">
        <v>0</v>
      </c>
      <c r="ZQ42" s="8">
        <v>0</v>
      </c>
      <c r="ZR42" s="8">
        <v>0</v>
      </c>
      <c r="ZS42" s="8">
        <v>0</v>
      </c>
      <c r="ZT42" s="8">
        <v>0</v>
      </c>
      <c r="ZU42" s="8">
        <v>0</v>
      </c>
      <c r="ZV42" s="8">
        <v>0</v>
      </c>
      <c r="ZW42" s="8">
        <v>0</v>
      </c>
      <c r="ZX42" s="8">
        <v>0</v>
      </c>
      <c r="ZY42" s="8">
        <v>0</v>
      </c>
      <c r="ZZ42" s="8">
        <v>0</v>
      </c>
      <c r="AAA42" s="8">
        <v>0</v>
      </c>
      <c r="AAB42" s="8">
        <v>0</v>
      </c>
      <c r="AAC42" s="8">
        <v>0</v>
      </c>
      <c r="AAD42" s="8">
        <v>0</v>
      </c>
      <c r="AAE42" s="8">
        <v>0</v>
      </c>
      <c r="AAF42" s="8">
        <v>0</v>
      </c>
      <c r="AAG42" s="8">
        <v>0</v>
      </c>
      <c r="AAH42" s="8">
        <v>0</v>
      </c>
      <c r="AAI42" s="8">
        <v>0</v>
      </c>
      <c r="AAJ42" s="8">
        <v>0</v>
      </c>
      <c r="AAK42" s="8">
        <v>0</v>
      </c>
      <c r="AAL42" s="8">
        <v>0</v>
      </c>
      <c r="AAM42" s="8">
        <v>0</v>
      </c>
      <c r="AAN42" s="8">
        <v>0</v>
      </c>
      <c r="AAO42" s="8">
        <v>0</v>
      </c>
      <c r="AAP42" s="8">
        <v>0</v>
      </c>
      <c r="AAQ42" s="8">
        <v>0</v>
      </c>
      <c r="AAR42" s="8">
        <v>0</v>
      </c>
      <c r="AAS42" s="8">
        <v>0</v>
      </c>
      <c r="AAT42" s="8">
        <v>0</v>
      </c>
      <c r="AAU42" s="8">
        <v>0</v>
      </c>
      <c r="AAV42" s="8">
        <v>0</v>
      </c>
      <c r="AAW42" s="8">
        <v>0</v>
      </c>
      <c r="AAX42" s="8">
        <v>0</v>
      </c>
      <c r="AAY42" s="8">
        <v>0</v>
      </c>
      <c r="AAZ42" s="8">
        <v>0</v>
      </c>
      <c r="ABA42" s="8">
        <v>0</v>
      </c>
      <c r="ABB42" s="8">
        <v>0</v>
      </c>
      <c r="ABC42" s="8">
        <v>0</v>
      </c>
      <c r="ABD42" s="8">
        <v>0</v>
      </c>
      <c r="ABE42" s="8">
        <v>0</v>
      </c>
      <c r="ABF42" s="8">
        <v>0</v>
      </c>
      <c r="ABG42" s="8">
        <v>0</v>
      </c>
      <c r="ABH42" s="8">
        <v>0</v>
      </c>
      <c r="ABI42" s="8">
        <v>0</v>
      </c>
      <c r="ABJ42" s="8">
        <v>0</v>
      </c>
      <c r="ABK42" s="8">
        <v>0</v>
      </c>
      <c r="ABL42" s="8">
        <v>0</v>
      </c>
      <c r="ABM42" s="8">
        <v>0</v>
      </c>
      <c r="ABN42" s="8">
        <v>0</v>
      </c>
      <c r="ABO42" s="8">
        <v>0</v>
      </c>
      <c r="ABP42" s="8">
        <v>0</v>
      </c>
      <c r="ABQ42" s="8">
        <v>0</v>
      </c>
      <c r="ABR42" s="8">
        <v>0</v>
      </c>
      <c r="ABS42" s="8">
        <v>0</v>
      </c>
      <c r="ABT42" s="8">
        <v>0</v>
      </c>
      <c r="ABU42" s="8">
        <v>0</v>
      </c>
      <c r="ABV42" s="8">
        <v>0</v>
      </c>
      <c r="ABW42" s="8">
        <v>0</v>
      </c>
      <c r="ABX42" s="8">
        <v>0</v>
      </c>
      <c r="ABY42" s="8">
        <v>0</v>
      </c>
      <c r="ABZ42" s="8">
        <v>0</v>
      </c>
      <c r="ACA42" s="8">
        <v>0</v>
      </c>
      <c r="ACB42" s="8">
        <v>0</v>
      </c>
      <c r="ACC42" s="8">
        <v>0</v>
      </c>
      <c r="ACD42" s="8">
        <v>0</v>
      </c>
      <c r="ACE42" s="8">
        <v>0</v>
      </c>
      <c r="ACF42" s="8">
        <v>0</v>
      </c>
      <c r="ACG42" s="8">
        <v>0</v>
      </c>
      <c r="ACH42" s="8">
        <v>0</v>
      </c>
      <c r="ACI42" s="8">
        <v>0</v>
      </c>
      <c r="ACJ42" s="8">
        <v>0</v>
      </c>
      <c r="ACK42" s="8">
        <v>0</v>
      </c>
      <c r="ACL42" s="8">
        <v>0</v>
      </c>
      <c r="ACM42" s="8">
        <v>0</v>
      </c>
      <c r="ACN42" s="8">
        <v>0</v>
      </c>
      <c r="ACO42" s="8">
        <v>0</v>
      </c>
      <c r="ACP42" s="8">
        <v>0</v>
      </c>
      <c r="ACQ42" s="8">
        <v>0</v>
      </c>
      <c r="ACR42" s="8">
        <v>0</v>
      </c>
      <c r="ACS42" s="8">
        <v>0</v>
      </c>
      <c r="ACT42" s="8">
        <v>0</v>
      </c>
      <c r="ACU42" s="8">
        <v>0</v>
      </c>
      <c r="ACV42" s="8">
        <v>0</v>
      </c>
      <c r="ACW42" s="8">
        <v>0</v>
      </c>
      <c r="ACX42" s="8">
        <v>0</v>
      </c>
      <c r="ACY42" s="8">
        <v>0</v>
      </c>
      <c r="ACZ42" s="8">
        <v>0</v>
      </c>
      <c r="ADA42" s="8">
        <v>0</v>
      </c>
      <c r="ADB42" s="8">
        <v>0</v>
      </c>
      <c r="ADC42" s="8">
        <v>0</v>
      </c>
      <c r="ADD42" s="8">
        <v>0</v>
      </c>
      <c r="ADE42" s="8">
        <v>0</v>
      </c>
      <c r="ADF42" s="8">
        <v>0</v>
      </c>
      <c r="ADG42" s="8">
        <v>0</v>
      </c>
      <c r="ADH42" s="8">
        <v>0</v>
      </c>
      <c r="ADI42" s="8">
        <v>0</v>
      </c>
      <c r="ADJ42" s="8">
        <v>0</v>
      </c>
      <c r="ADK42" s="8">
        <v>0</v>
      </c>
      <c r="ADL42" s="8">
        <v>0</v>
      </c>
      <c r="ADM42" s="8">
        <v>0</v>
      </c>
      <c r="ADN42" s="8">
        <v>0</v>
      </c>
      <c r="ADO42" s="8">
        <v>0</v>
      </c>
      <c r="ADP42" s="8">
        <v>0</v>
      </c>
      <c r="ADQ42" s="8">
        <v>0</v>
      </c>
      <c r="ADR42" s="8">
        <v>0</v>
      </c>
      <c r="ADS42" s="8">
        <v>0</v>
      </c>
      <c r="ADT42" s="8">
        <v>0</v>
      </c>
      <c r="ADU42" s="8">
        <v>0</v>
      </c>
      <c r="ADV42" s="8">
        <v>0</v>
      </c>
      <c r="ADW42" s="8">
        <v>0</v>
      </c>
      <c r="ADX42" s="8">
        <v>0</v>
      </c>
      <c r="ADY42" s="8">
        <v>0</v>
      </c>
      <c r="ADZ42" s="8">
        <v>0</v>
      </c>
      <c r="AEA42" s="8">
        <v>0</v>
      </c>
      <c r="AEB42" s="8">
        <v>0</v>
      </c>
      <c r="AEC42" s="8">
        <v>0</v>
      </c>
      <c r="AED42" s="8">
        <v>0</v>
      </c>
      <c r="AEE42" s="8">
        <v>0</v>
      </c>
      <c r="AEF42" s="8">
        <v>0</v>
      </c>
      <c r="AEG42" s="8">
        <v>0</v>
      </c>
      <c r="AEH42" s="8">
        <v>0</v>
      </c>
      <c r="AEI42" s="8">
        <v>0</v>
      </c>
      <c r="AEJ42" s="8">
        <v>0</v>
      </c>
      <c r="AEK42" s="8">
        <v>0</v>
      </c>
      <c r="AEL42" s="8">
        <v>0</v>
      </c>
      <c r="AEM42" s="8">
        <v>0</v>
      </c>
      <c r="AEN42" s="8">
        <v>0</v>
      </c>
      <c r="AEO42" s="8">
        <v>0</v>
      </c>
      <c r="AEP42" s="8">
        <v>0</v>
      </c>
      <c r="AEQ42" s="8">
        <v>0</v>
      </c>
      <c r="AER42" s="8">
        <v>0</v>
      </c>
      <c r="AES42" s="8">
        <v>0</v>
      </c>
      <c r="AET42" s="8">
        <v>0</v>
      </c>
      <c r="AEU42" s="8">
        <v>0</v>
      </c>
      <c r="AEV42" s="8">
        <v>0</v>
      </c>
      <c r="AEW42" s="8">
        <v>0</v>
      </c>
      <c r="AEX42" s="8">
        <v>0</v>
      </c>
      <c r="AEY42" s="8">
        <v>0</v>
      </c>
      <c r="AEZ42" s="8">
        <v>0</v>
      </c>
      <c r="AFA42" s="8">
        <v>0</v>
      </c>
      <c r="AFB42" s="8">
        <v>0</v>
      </c>
      <c r="AFC42" s="8">
        <v>0</v>
      </c>
      <c r="AFD42" s="8">
        <v>0</v>
      </c>
      <c r="AFE42" s="8">
        <v>0</v>
      </c>
      <c r="AFF42" s="8">
        <v>0</v>
      </c>
      <c r="AFG42" s="8">
        <v>0</v>
      </c>
      <c r="AFH42" s="8">
        <v>0</v>
      </c>
      <c r="AFI42" s="8">
        <v>0</v>
      </c>
      <c r="AFJ42" s="8">
        <v>0</v>
      </c>
      <c r="AFK42" s="8">
        <v>0</v>
      </c>
      <c r="AFL42" s="8">
        <v>0</v>
      </c>
      <c r="AFM42" s="8">
        <v>0</v>
      </c>
      <c r="AFN42" s="8">
        <v>0</v>
      </c>
      <c r="AFO42" s="8">
        <v>0</v>
      </c>
      <c r="AFP42" s="8">
        <v>0</v>
      </c>
      <c r="AFQ42" s="8">
        <v>0</v>
      </c>
      <c r="AFR42" s="8">
        <v>0</v>
      </c>
      <c r="AFS42" s="8">
        <v>0</v>
      </c>
      <c r="AFT42" s="8">
        <v>0</v>
      </c>
      <c r="AFU42" s="8">
        <v>0</v>
      </c>
      <c r="AFV42" s="8">
        <v>0</v>
      </c>
      <c r="AFW42" s="8">
        <v>0</v>
      </c>
      <c r="AFX42" s="8">
        <v>0</v>
      </c>
      <c r="AFY42" s="8">
        <v>0</v>
      </c>
      <c r="AFZ42" s="8">
        <v>0</v>
      </c>
      <c r="AGA42" s="8">
        <v>0</v>
      </c>
      <c r="AGB42" s="8">
        <v>0</v>
      </c>
      <c r="AGC42" s="8">
        <v>0</v>
      </c>
      <c r="AGD42" s="8">
        <v>0</v>
      </c>
      <c r="AGE42" s="8">
        <v>0</v>
      </c>
      <c r="AGF42" s="8">
        <v>0</v>
      </c>
      <c r="AGG42" s="8">
        <v>0</v>
      </c>
      <c r="AGH42" s="8">
        <v>0</v>
      </c>
      <c r="AGI42" s="8">
        <v>0</v>
      </c>
      <c r="AGJ42" s="8">
        <v>0</v>
      </c>
      <c r="AGK42" s="8">
        <v>0</v>
      </c>
      <c r="AGL42" s="8">
        <v>0</v>
      </c>
      <c r="AGM42" s="8">
        <v>0</v>
      </c>
      <c r="AGN42" s="8">
        <v>0</v>
      </c>
      <c r="AGO42" s="8">
        <v>0</v>
      </c>
      <c r="AGP42" s="8">
        <v>0</v>
      </c>
      <c r="AGQ42" s="8">
        <v>0</v>
      </c>
      <c r="AGR42" s="8">
        <v>0</v>
      </c>
      <c r="AGS42" s="8">
        <v>0</v>
      </c>
      <c r="AGT42" s="8">
        <v>0</v>
      </c>
      <c r="AGU42" s="8">
        <v>0</v>
      </c>
      <c r="AGV42" s="8">
        <v>0</v>
      </c>
      <c r="AGW42" s="8">
        <v>0</v>
      </c>
      <c r="AGX42" s="8">
        <v>0</v>
      </c>
      <c r="AGY42" s="8">
        <v>0</v>
      </c>
      <c r="AGZ42" s="8">
        <v>0</v>
      </c>
      <c r="AHA42" s="8">
        <v>0</v>
      </c>
      <c r="AHB42" s="8">
        <v>0</v>
      </c>
      <c r="AHC42" s="8">
        <v>0</v>
      </c>
      <c r="AHD42" s="8">
        <v>0</v>
      </c>
      <c r="AHE42" s="8">
        <v>0</v>
      </c>
      <c r="AHF42" s="8">
        <v>0</v>
      </c>
      <c r="AHG42" s="8">
        <v>0</v>
      </c>
      <c r="AHH42" s="8">
        <v>0</v>
      </c>
      <c r="AHI42" s="8">
        <v>0</v>
      </c>
      <c r="AHJ42" s="8">
        <v>0</v>
      </c>
      <c r="AHK42" s="8">
        <v>0</v>
      </c>
      <c r="AHL42" s="8">
        <v>0</v>
      </c>
      <c r="AHM42" s="8">
        <v>0</v>
      </c>
      <c r="AHN42" s="8">
        <v>0</v>
      </c>
      <c r="AHO42" s="8">
        <v>0</v>
      </c>
      <c r="AHP42" s="8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 t="e">
        <v>#N/A</v>
      </c>
      <c r="AIJ42" t="e">
        <v>#N/A</v>
      </c>
      <c r="AIK42" t="e">
        <v>#N/A</v>
      </c>
      <c r="AIL42" t="e">
        <v>#N/A</v>
      </c>
      <c r="AIM42" t="e">
        <v>#N/A</v>
      </c>
      <c r="AIN42" t="e">
        <v>#N/A</v>
      </c>
      <c r="AIO42" t="e">
        <v>#N/A</v>
      </c>
      <c r="AIP42" t="e">
        <v>#N/A</v>
      </c>
      <c r="AIQ42" t="e">
        <v>#N/A</v>
      </c>
      <c r="AIR42" t="e">
        <v>#N/A</v>
      </c>
      <c r="AIS42" t="e">
        <v>#N/A</v>
      </c>
      <c r="AIT42" t="e">
        <v>#N/A</v>
      </c>
      <c r="AIU42" t="e">
        <v>#N/A</v>
      </c>
      <c r="AIV42" t="e">
        <v>#N/A</v>
      </c>
      <c r="AIW42" t="e">
        <v>#N/A</v>
      </c>
      <c r="AIX42" t="e">
        <v>#N/A</v>
      </c>
      <c r="AIY42" t="e">
        <v>#N/A</v>
      </c>
      <c r="AIZ42" t="e">
        <v>#N/A</v>
      </c>
      <c r="AJA42" t="e">
        <v>#N/A</v>
      </c>
      <c r="AJB42" t="e">
        <v>#N/A</v>
      </c>
      <c r="AJC42" t="e">
        <v>#N/A</v>
      </c>
      <c r="AJD42" t="e">
        <v>#N/A</v>
      </c>
      <c r="AJE42" t="e">
        <v>#N/A</v>
      </c>
      <c r="AJF42" t="e">
        <v>#N/A</v>
      </c>
      <c r="AJG42" t="e">
        <v>#N/A</v>
      </c>
      <c r="AJH42" t="e">
        <v>#N/A</v>
      </c>
      <c r="AJI42" t="e">
        <v>#N/A</v>
      </c>
      <c r="AJJ42" t="e">
        <v>#N/A</v>
      </c>
      <c r="AJK42" t="e">
        <v>#N/A</v>
      </c>
      <c r="AJL42" t="e">
        <v>#N/A</v>
      </c>
      <c r="AJM42" t="e">
        <v>#N/A</v>
      </c>
      <c r="AJN42" t="e">
        <v>#N/A</v>
      </c>
      <c r="AJO42" t="e">
        <v>#N/A</v>
      </c>
      <c r="AJP42" t="e">
        <v>#N/A</v>
      </c>
      <c r="AJQ42" t="e">
        <v>#N/A</v>
      </c>
      <c r="AJR42" t="e">
        <v>#N/A</v>
      </c>
      <c r="AJS42" t="e">
        <v>#N/A</v>
      </c>
      <c r="AJT42" t="e">
        <v>#N/A</v>
      </c>
      <c r="AJU42" t="e">
        <v>#N/A</v>
      </c>
      <c r="AJV42" t="e">
        <v>#N/A</v>
      </c>
      <c r="AJW42" t="e">
        <v>#N/A</v>
      </c>
      <c r="AJX42" t="e">
        <v>#N/A</v>
      </c>
      <c r="AJY42" t="e">
        <v>#N/A</v>
      </c>
      <c r="AJZ42" t="e">
        <v>#N/A</v>
      </c>
      <c r="AKA42" t="e">
        <v>#N/A</v>
      </c>
      <c r="AKB42" t="e">
        <v>#N/A</v>
      </c>
      <c r="AKC42" t="e">
        <v>#N/A</v>
      </c>
      <c r="AKD42" t="e">
        <v>#N/A</v>
      </c>
      <c r="AKE42" t="e">
        <v>#N/A</v>
      </c>
      <c r="AKF42" t="e">
        <v>#N/A</v>
      </c>
      <c r="AKG42" t="e">
        <v>#N/A</v>
      </c>
      <c r="AKH42" t="e">
        <v>#N/A</v>
      </c>
      <c r="AKI42" t="e">
        <v>#N/A</v>
      </c>
      <c r="AKJ42" t="e">
        <v>#N/A</v>
      </c>
      <c r="AKK42" t="e">
        <v>#N/A</v>
      </c>
      <c r="AKL42" t="e">
        <v>#N/A</v>
      </c>
      <c r="AKM42" t="e">
        <v>#N/A</v>
      </c>
      <c r="AKN42" t="e">
        <v>#N/A</v>
      </c>
      <c r="AKO42" t="e">
        <v>#N/A</v>
      </c>
      <c r="AKP42" t="e">
        <v>#N/A</v>
      </c>
      <c r="AKQ42" t="e">
        <v>#N/A</v>
      </c>
      <c r="AKR42" t="e">
        <v>#N/A</v>
      </c>
      <c r="AKS42" t="e">
        <v>#N/A</v>
      </c>
      <c r="AKT42" t="e">
        <v>#N/A</v>
      </c>
      <c r="AKU42" t="e">
        <v>#N/A</v>
      </c>
      <c r="AKV42" t="e">
        <v>#N/A</v>
      </c>
      <c r="AKW42" t="e">
        <v>#N/A</v>
      </c>
      <c r="AKX42" t="e">
        <v>#N/A</v>
      </c>
      <c r="AKY42" t="e">
        <v>#N/A</v>
      </c>
      <c r="AKZ42" t="e">
        <v>#N/A</v>
      </c>
      <c r="ALA42" t="e">
        <v>#N/A</v>
      </c>
      <c r="ALB42" t="e">
        <v>#N/A</v>
      </c>
      <c r="ALC42" t="e">
        <v>#N/A</v>
      </c>
      <c r="ALD42" t="e">
        <v>#N/A</v>
      </c>
      <c r="ALE42" t="e">
        <v>#N/A</v>
      </c>
      <c r="ALF42" t="e">
        <v>#N/A</v>
      </c>
      <c r="ALG42" t="e">
        <v>#N/A</v>
      </c>
      <c r="ALH42" t="e">
        <v>#N/A</v>
      </c>
      <c r="ALI42" t="e">
        <v>#N/A</v>
      </c>
      <c r="ALJ42" t="e">
        <v>#N/A</v>
      </c>
      <c r="ALK42" t="e">
        <v>#N/A</v>
      </c>
      <c r="ALL42" t="e">
        <v>#N/A</v>
      </c>
      <c r="ALM42" t="e">
        <v>#N/A</v>
      </c>
      <c r="ALN42" t="e">
        <v>#N/A</v>
      </c>
      <c r="ALO42" t="e">
        <v>#N/A</v>
      </c>
      <c r="ALP42" t="e">
        <v>#N/A</v>
      </c>
      <c r="ALQ42" t="e">
        <v>#N/A</v>
      </c>
      <c r="ALR42" t="e">
        <v>#N/A</v>
      </c>
      <c r="ALS42" t="e">
        <v>#N/A</v>
      </c>
      <c r="ALT42" t="e">
        <v>#N/A</v>
      </c>
      <c r="ALU42" t="e">
        <v>#N/A</v>
      </c>
      <c r="ALV42" t="e">
        <v>#N/A</v>
      </c>
      <c r="ALW42" t="e">
        <v>#N/A</v>
      </c>
      <c r="ALX42" t="e">
        <v>#N/A</v>
      </c>
      <c r="ALY42" t="e">
        <v>#N/A</v>
      </c>
      <c r="ALZ42" t="e">
        <v>#N/A</v>
      </c>
      <c r="AMA42" t="e">
        <v>#N/A</v>
      </c>
      <c r="AMB42" t="e">
        <v>#N/A</v>
      </c>
      <c r="AMC42" t="e">
        <v>#N/A</v>
      </c>
      <c r="AMD42" t="e">
        <v>#N/A</v>
      </c>
      <c r="AME42" t="e">
        <v>#N/A</v>
      </c>
      <c r="AMF42" t="e">
        <v>#N/A</v>
      </c>
      <c r="AMG42" t="e">
        <v>#N/A</v>
      </c>
      <c r="AMH42" t="e">
        <v>#N/A</v>
      </c>
    </row>
    <row r="43" spans="1:1022" ht="15.75" customHeight="1">
      <c r="A43" s="8">
        <v>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0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</v>
      </c>
      <c r="JC43" s="8">
        <v>0</v>
      </c>
      <c r="JD43" s="8">
        <v>0</v>
      </c>
      <c r="JE43" s="8">
        <v>0</v>
      </c>
      <c r="JF43" s="8">
        <v>0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0</v>
      </c>
      <c r="KT43" s="8">
        <v>0</v>
      </c>
      <c r="KU43" s="8">
        <v>0</v>
      </c>
      <c r="KV43" s="8">
        <v>0</v>
      </c>
      <c r="KW43" s="8">
        <v>0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0</v>
      </c>
      <c r="NS43" s="8">
        <v>0</v>
      </c>
      <c r="NT43" s="8">
        <v>0</v>
      </c>
      <c r="NU43" s="8">
        <v>0</v>
      </c>
      <c r="NV43" s="8">
        <v>0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0</v>
      </c>
      <c r="OG43" s="8">
        <v>0</v>
      </c>
      <c r="OH43" s="8">
        <v>0</v>
      </c>
      <c r="OI43" s="8">
        <v>0</v>
      </c>
      <c r="OJ43" s="8">
        <v>0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0</v>
      </c>
      <c r="PH43" s="8">
        <v>0</v>
      </c>
      <c r="PI43" s="8">
        <v>0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0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0</v>
      </c>
      <c r="QJ43" s="8">
        <v>0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0</v>
      </c>
      <c r="QR43" s="8">
        <v>0</v>
      </c>
      <c r="QS43" s="8">
        <v>0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0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  <c r="SL43" s="8">
        <v>0</v>
      </c>
      <c r="SM43" s="8">
        <v>0</v>
      </c>
      <c r="SN43" s="8">
        <v>0</v>
      </c>
      <c r="SO43" s="8">
        <v>0</v>
      </c>
      <c r="SP43" s="8">
        <v>0</v>
      </c>
      <c r="SQ43" s="8">
        <v>0</v>
      </c>
      <c r="SR43" s="8">
        <v>0</v>
      </c>
      <c r="SS43" s="8">
        <v>0</v>
      </c>
      <c r="ST43" s="8">
        <v>0</v>
      </c>
      <c r="SU43" s="8">
        <v>0</v>
      </c>
      <c r="SV43" s="8">
        <v>0</v>
      </c>
      <c r="SW43" s="8">
        <v>0</v>
      </c>
      <c r="SX43" s="8">
        <v>0</v>
      </c>
      <c r="SY43" s="8">
        <v>0</v>
      </c>
      <c r="SZ43" s="8">
        <v>0</v>
      </c>
      <c r="TA43" s="8">
        <v>0</v>
      </c>
      <c r="TB43" s="8">
        <v>0</v>
      </c>
      <c r="TC43" s="8">
        <v>0</v>
      </c>
      <c r="TD43" s="8">
        <v>0</v>
      </c>
      <c r="TE43" s="8">
        <v>0</v>
      </c>
      <c r="TF43" s="8">
        <v>0</v>
      </c>
      <c r="TG43" s="8">
        <v>0</v>
      </c>
      <c r="TH43" s="8">
        <v>0</v>
      </c>
      <c r="TI43" s="8">
        <v>0</v>
      </c>
      <c r="TJ43" s="8">
        <v>0</v>
      </c>
      <c r="TK43" s="8">
        <v>0</v>
      </c>
      <c r="TL43" s="8">
        <v>0</v>
      </c>
      <c r="TM43" s="8">
        <v>0</v>
      </c>
      <c r="TN43" s="8">
        <v>0</v>
      </c>
      <c r="TO43" s="8">
        <v>0</v>
      </c>
      <c r="TP43" s="8">
        <v>0</v>
      </c>
      <c r="TQ43" s="8">
        <v>0</v>
      </c>
      <c r="TR43" s="8">
        <v>0</v>
      </c>
      <c r="TS43" s="8">
        <v>0</v>
      </c>
      <c r="TT43" s="8">
        <v>0</v>
      </c>
      <c r="TU43" s="8">
        <v>0</v>
      </c>
      <c r="TV43" s="8">
        <v>0</v>
      </c>
      <c r="TW43" s="8">
        <v>0</v>
      </c>
      <c r="TX43" s="8">
        <v>0</v>
      </c>
      <c r="TY43" s="8">
        <v>0</v>
      </c>
      <c r="TZ43" s="8">
        <v>0</v>
      </c>
      <c r="UA43" s="8">
        <v>0</v>
      </c>
      <c r="UB43" s="8">
        <v>0</v>
      </c>
      <c r="UC43" s="8">
        <v>0</v>
      </c>
      <c r="UD43" s="8">
        <v>0</v>
      </c>
      <c r="UE43" s="8">
        <v>0</v>
      </c>
      <c r="UF43" s="8">
        <v>0</v>
      </c>
      <c r="UG43" s="8">
        <v>0</v>
      </c>
      <c r="UH43" s="8">
        <v>0</v>
      </c>
      <c r="UI43" s="8">
        <v>0</v>
      </c>
      <c r="UJ43" s="8">
        <v>0</v>
      </c>
      <c r="UK43" s="8">
        <v>0</v>
      </c>
      <c r="UL43" s="8">
        <v>0</v>
      </c>
      <c r="UM43" s="8">
        <v>0</v>
      </c>
      <c r="UN43" s="8">
        <v>0</v>
      </c>
      <c r="UO43" s="8">
        <v>0</v>
      </c>
      <c r="UP43" s="8">
        <v>0</v>
      </c>
      <c r="UQ43" s="8">
        <v>0</v>
      </c>
      <c r="UR43" s="8">
        <v>0</v>
      </c>
      <c r="US43" s="8">
        <v>0</v>
      </c>
      <c r="UT43" s="8">
        <v>0</v>
      </c>
      <c r="UU43" s="8">
        <v>0</v>
      </c>
      <c r="UV43" s="8">
        <v>0</v>
      </c>
      <c r="UW43" s="8">
        <v>0</v>
      </c>
      <c r="UX43" s="8">
        <v>0</v>
      </c>
      <c r="UY43" s="8">
        <v>0</v>
      </c>
      <c r="UZ43" s="8">
        <v>0</v>
      </c>
      <c r="VA43" s="8">
        <v>0</v>
      </c>
      <c r="VB43" s="8">
        <v>0</v>
      </c>
      <c r="VC43" s="8">
        <v>0</v>
      </c>
      <c r="VD43" s="8">
        <v>0</v>
      </c>
      <c r="VE43" s="8">
        <v>0</v>
      </c>
      <c r="VF43" s="8">
        <v>0</v>
      </c>
      <c r="VG43" s="8">
        <v>0</v>
      </c>
      <c r="VH43" s="8">
        <v>0</v>
      </c>
      <c r="VI43" s="8">
        <v>0</v>
      </c>
      <c r="VJ43" s="8">
        <v>0</v>
      </c>
      <c r="VK43" s="8">
        <v>0</v>
      </c>
      <c r="VL43" s="8">
        <v>0</v>
      </c>
      <c r="VM43" s="8">
        <v>0</v>
      </c>
      <c r="VN43" s="8">
        <v>0</v>
      </c>
      <c r="VO43" s="8">
        <v>0</v>
      </c>
      <c r="VP43" s="8">
        <v>0</v>
      </c>
      <c r="VQ43" s="8">
        <v>0</v>
      </c>
      <c r="VR43" s="8">
        <v>0</v>
      </c>
      <c r="VS43" s="8">
        <v>0</v>
      </c>
      <c r="VT43" s="8">
        <v>0</v>
      </c>
      <c r="VU43" s="8">
        <v>0</v>
      </c>
      <c r="VV43" s="8">
        <v>0</v>
      </c>
      <c r="VW43" s="8">
        <v>0</v>
      </c>
      <c r="VX43" s="8">
        <v>0</v>
      </c>
      <c r="VY43" s="8">
        <v>0</v>
      </c>
      <c r="VZ43" s="8">
        <v>0</v>
      </c>
      <c r="WA43" s="8">
        <v>0</v>
      </c>
      <c r="WB43" s="8">
        <v>0</v>
      </c>
      <c r="WC43" s="8">
        <v>0</v>
      </c>
      <c r="WD43" s="8">
        <v>0</v>
      </c>
      <c r="WE43" s="8">
        <v>0</v>
      </c>
      <c r="WF43" s="8">
        <v>0</v>
      </c>
      <c r="WG43" s="8">
        <v>0</v>
      </c>
      <c r="WH43" s="8">
        <v>0</v>
      </c>
      <c r="WI43" s="8">
        <v>0</v>
      </c>
      <c r="WJ43" s="8">
        <v>0</v>
      </c>
      <c r="WK43" s="8">
        <v>0</v>
      </c>
      <c r="WL43" s="8">
        <v>0</v>
      </c>
      <c r="WM43" s="8">
        <v>0</v>
      </c>
      <c r="WN43" s="8">
        <v>0</v>
      </c>
      <c r="WO43" s="8">
        <v>0</v>
      </c>
      <c r="WP43" s="8">
        <v>0</v>
      </c>
      <c r="WQ43" s="8">
        <v>0</v>
      </c>
      <c r="WR43" s="8">
        <v>0</v>
      </c>
      <c r="WS43" s="8">
        <v>0</v>
      </c>
      <c r="WT43" s="8">
        <v>0</v>
      </c>
      <c r="WU43" s="8">
        <v>0</v>
      </c>
      <c r="WV43" s="8">
        <v>0</v>
      </c>
      <c r="WW43" s="8">
        <v>0</v>
      </c>
      <c r="WX43" s="8">
        <v>0</v>
      </c>
      <c r="WY43" s="8">
        <v>0</v>
      </c>
      <c r="WZ43" s="8">
        <v>0</v>
      </c>
      <c r="XA43" s="8">
        <v>0</v>
      </c>
      <c r="XB43" s="8">
        <v>0</v>
      </c>
      <c r="XC43" s="8">
        <v>0</v>
      </c>
      <c r="XD43" s="8">
        <v>0</v>
      </c>
      <c r="XE43" s="8">
        <v>0</v>
      </c>
      <c r="XF43" s="8">
        <v>0</v>
      </c>
      <c r="XG43" s="8">
        <v>0</v>
      </c>
      <c r="XH43" s="8">
        <v>0</v>
      </c>
      <c r="XI43" s="8">
        <v>0</v>
      </c>
      <c r="XJ43" s="8">
        <v>0</v>
      </c>
      <c r="XK43" s="8">
        <v>0</v>
      </c>
      <c r="XL43" s="8">
        <v>0</v>
      </c>
      <c r="XM43" s="8">
        <v>0</v>
      </c>
      <c r="XN43" s="8">
        <v>0</v>
      </c>
      <c r="XO43" s="8">
        <v>0</v>
      </c>
      <c r="XP43" s="8">
        <v>0</v>
      </c>
      <c r="XQ43" s="8">
        <v>0</v>
      </c>
      <c r="XR43" s="8">
        <v>0</v>
      </c>
      <c r="XS43" s="8">
        <v>0</v>
      </c>
      <c r="XT43" s="8">
        <v>0</v>
      </c>
      <c r="XU43" s="8">
        <v>0</v>
      </c>
      <c r="XV43" s="8">
        <v>0</v>
      </c>
      <c r="XW43" s="8">
        <v>0</v>
      </c>
      <c r="XX43" s="8">
        <v>0</v>
      </c>
      <c r="XY43" s="8">
        <v>0</v>
      </c>
      <c r="XZ43" s="8">
        <v>0</v>
      </c>
      <c r="YA43" s="8">
        <v>0</v>
      </c>
      <c r="YB43" s="8">
        <v>0</v>
      </c>
      <c r="YC43" s="8">
        <v>0</v>
      </c>
      <c r="YD43" s="8">
        <v>0</v>
      </c>
      <c r="YE43" s="8">
        <v>0</v>
      </c>
      <c r="YF43" s="8">
        <v>0</v>
      </c>
      <c r="YG43" s="8">
        <v>0</v>
      </c>
      <c r="YH43" s="8">
        <v>0</v>
      </c>
      <c r="YI43" s="8">
        <v>0</v>
      </c>
      <c r="YJ43" s="8">
        <v>0</v>
      </c>
      <c r="YK43" s="8">
        <v>0</v>
      </c>
      <c r="YL43" s="8">
        <v>0</v>
      </c>
      <c r="YM43" s="8">
        <v>0</v>
      </c>
      <c r="YN43" s="8">
        <v>0</v>
      </c>
      <c r="YO43" s="8">
        <v>0</v>
      </c>
      <c r="YP43" s="8">
        <v>0</v>
      </c>
      <c r="YQ43" s="8">
        <v>0</v>
      </c>
      <c r="YR43" s="8">
        <v>0</v>
      </c>
      <c r="YS43" s="8">
        <v>0</v>
      </c>
      <c r="YT43" s="8">
        <v>0</v>
      </c>
      <c r="YU43" s="8">
        <v>0</v>
      </c>
      <c r="YV43" s="8">
        <v>0</v>
      </c>
      <c r="YW43" s="8">
        <v>0</v>
      </c>
      <c r="YX43" s="8">
        <v>0</v>
      </c>
      <c r="YY43" s="8">
        <v>0</v>
      </c>
      <c r="YZ43" s="8">
        <v>0</v>
      </c>
      <c r="ZA43" s="8">
        <v>0</v>
      </c>
      <c r="ZB43" s="8">
        <v>0</v>
      </c>
      <c r="ZC43" s="8">
        <v>0</v>
      </c>
      <c r="ZD43" s="8">
        <v>0</v>
      </c>
      <c r="ZE43" s="8">
        <v>0</v>
      </c>
      <c r="ZF43" s="8">
        <v>0</v>
      </c>
      <c r="ZG43" s="8">
        <v>0</v>
      </c>
      <c r="ZH43" s="8">
        <v>0</v>
      </c>
      <c r="ZI43" s="8">
        <v>0</v>
      </c>
      <c r="ZJ43" s="8">
        <v>0</v>
      </c>
      <c r="ZK43" s="8">
        <v>0</v>
      </c>
      <c r="ZL43" s="8">
        <v>0</v>
      </c>
      <c r="ZM43" s="8">
        <v>0</v>
      </c>
      <c r="ZN43" s="8">
        <v>0</v>
      </c>
      <c r="ZO43" s="8">
        <v>0</v>
      </c>
      <c r="ZP43" s="8">
        <v>0</v>
      </c>
      <c r="ZQ43" s="8">
        <v>0</v>
      </c>
      <c r="ZR43" s="8">
        <v>0</v>
      </c>
      <c r="ZS43" s="8">
        <v>0</v>
      </c>
      <c r="ZT43" s="8">
        <v>0</v>
      </c>
      <c r="ZU43" s="8">
        <v>0</v>
      </c>
      <c r="ZV43" s="8">
        <v>0</v>
      </c>
      <c r="ZW43" s="8">
        <v>0</v>
      </c>
      <c r="ZX43" s="8">
        <v>0</v>
      </c>
      <c r="ZY43" s="8">
        <v>0</v>
      </c>
      <c r="ZZ43" s="8">
        <v>0</v>
      </c>
      <c r="AAA43" s="8">
        <v>0</v>
      </c>
      <c r="AAB43" s="8">
        <v>0</v>
      </c>
      <c r="AAC43" s="8">
        <v>0</v>
      </c>
      <c r="AAD43" s="8">
        <v>0</v>
      </c>
      <c r="AAE43" s="8">
        <v>0</v>
      </c>
      <c r="AAF43" s="8">
        <v>0</v>
      </c>
      <c r="AAG43" s="8">
        <v>0</v>
      </c>
      <c r="AAH43" s="8">
        <v>0</v>
      </c>
      <c r="AAI43" s="8">
        <v>0</v>
      </c>
      <c r="AAJ43" s="8">
        <v>0</v>
      </c>
      <c r="AAK43" s="8">
        <v>0</v>
      </c>
      <c r="AAL43" s="8">
        <v>0</v>
      </c>
      <c r="AAM43" s="8">
        <v>0</v>
      </c>
      <c r="AAN43" s="8">
        <v>0</v>
      </c>
      <c r="AAO43" s="8">
        <v>0</v>
      </c>
      <c r="AAP43" s="8">
        <v>0</v>
      </c>
      <c r="AAQ43" s="8">
        <v>0</v>
      </c>
      <c r="AAR43" s="8">
        <v>0</v>
      </c>
      <c r="AAS43" s="8">
        <v>0</v>
      </c>
      <c r="AAT43" s="8">
        <v>0</v>
      </c>
      <c r="AAU43" s="8">
        <v>0</v>
      </c>
      <c r="AAV43" s="8">
        <v>0</v>
      </c>
      <c r="AAW43" s="8">
        <v>0</v>
      </c>
      <c r="AAX43" s="8">
        <v>0</v>
      </c>
      <c r="AAY43" s="8">
        <v>0</v>
      </c>
      <c r="AAZ43" s="8">
        <v>0</v>
      </c>
      <c r="ABA43" s="8">
        <v>0</v>
      </c>
      <c r="ABB43" s="8">
        <v>0</v>
      </c>
      <c r="ABC43" s="8">
        <v>0</v>
      </c>
      <c r="ABD43" s="8">
        <v>0</v>
      </c>
      <c r="ABE43" s="8">
        <v>0</v>
      </c>
      <c r="ABF43" s="8">
        <v>0</v>
      </c>
      <c r="ABG43" s="8">
        <v>0</v>
      </c>
      <c r="ABH43" s="8">
        <v>0</v>
      </c>
      <c r="ABI43" s="8">
        <v>0</v>
      </c>
      <c r="ABJ43" s="8">
        <v>0</v>
      </c>
      <c r="ABK43" s="8">
        <v>0</v>
      </c>
      <c r="ABL43" s="8">
        <v>0</v>
      </c>
      <c r="ABM43" s="8">
        <v>0</v>
      </c>
      <c r="ABN43" s="8">
        <v>0</v>
      </c>
      <c r="ABO43" s="8">
        <v>0</v>
      </c>
      <c r="ABP43" s="8">
        <v>0</v>
      </c>
      <c r="ABQ43" s="8">
        <v>0</v>
      </c>
      <c r="ABR43" s="8">
        <v>0</v>
      </c>
      <c r="ABS43" s="8">
        <v>0</v>
      </c>
      <c r="ABT43" s="8">
        <v>0</v>
      </c>
      <c r="ABU43" s="8">
        <v>0</v>
      </c>
      <c r="ABV43" s="8">
        <v>0</v>
      </c>
      <c r="ABW43" s="8">
        <v>0</v>
      </c>
      <c r="ABX43" s="8">
        <v>0</v>
      </c>
      <c r="ABY43" s="8">
        <v>0</v>
      </c>
      <c r="ABZ43" s="8">
        <v>0</v>
      </c>
      <c r="ACA43" s="8">
        <v>0</v>
      </c>
      <c r="ACB43" s="8">
        <v>0</v>
      </c>
      <c r="ACC43" s="8">
        <v>0</v>
      </c>
      <c r="ACD43" s="8">
        <v>0</v>
      </c>
      <c r="ACE43" s="8">
        <v>0</v>
      </c>
      <c r="ACF43" s="8">
        <v>0</v>
      </c>
      <c r="ACG43" s="8">
        <v>0</v>
      </c>
      <c r="ACH43" s="8">
        <v>0</v>
      </c>
      <c r="ACI43" s="8">
        <v>0</v>
      </c>
      <c r="ACJ43" s="8">
        <v>0</v>
      </c>
      <c r="ACK43" s="8">
        <v>0</v>
      </c>
      <c r="ACL43" s="8">
        <v>0</v>
      </c>
      <c r="ACM43" s="8">
        <v>0</v>
      </c>
      <c r="ACN43" s="8">
        <v>0</v>
      </c>
      <c r="ACO43" s="8">
        <v>0</v>
      </c>
      <c r="ACP43" s="8">
        <v>0</v>
      </c>
      <c r="ACQ43" s="8">
        <v>0</v>
      </c>
      <c r="ACR43" s="8">
        <v>0</v>
      </c>
      <c r="ACS43" s="8">
        <v>0</v>
      </c>
      <c r="ACT43" s="8">
        <v>0</v>
      </c>
      <c r="ACU43" s="8">
        <v>0</v>
      </c>
      <c r="ACV43" s="8">
        <v>0</v>
      </c>
      <c r="ACW43" s="8">
        <v>0</v>
      </c>
      <c r="ACX43" s="8">
        <v>0</v>
      </c>
      <c r="ACY43" s="8">
        <v>0</v>
      </c>
      <c r="ACZ43" s="8">
        <v>0</v>
      </c>
      <c r="ADA43" s="8">
        <v>0</v>
      </c>
      <c r="ADB43" s="8">
        <v>0</v>
      </c>
      <c r="ADC43" s="8">
        <v>0</v>
      </c>
      <c r="ADD43" s="8">
        <v>0</v>
      </c>
      <c r="ADE43" s="8">
        <v>0</v>
      </c>
      <c r="ADF43" s="8">
        <v>0</v>
      </c>
      <c r="ADG43" s="8">
        <v>0</v>
      </c>
      <c r="ADH43" s="8">
        <v>0</v>
      </c>
      <c r="ADI43" s="8">
        <v>0</v>
      </c>
      <c r="ADJ43" s="8">
        <v>0</v>
      </c>
      <c r="ADK43" s="8">
        <v>0</v>
      </c>
      <c r="ADL43" s="8">
        <v>0</v>
      </c>
      <c r="ADM43" s="8">
        <v>0</v>
      </c>
      <c r="ADN43" s="8">
        <v>0</v>
      </c>
      <c r="ADO43" s="8">
        <v>0</v>
      </c>
      <c r="ADP43" s="8">
        <v>0</v>
      </c>
      <c r="ADQ43" s="8">
        <v>0</v>
      </c>
      <c r="ADR43" s="8">
        <v>0</v>
      </c>
      <c r="ADS43" s="8">
        <v>0</v>
      </c>
      <c r="ADT43" s="8">
        <v>0</v>
      </c>
      <c r="ADU43" s="8">
        <v>0</v>
      </c>
      <c r="ADV43" s="8">
        <v>0</v>
      </c>
      <c r="ADW43" s="8">
        <v>0</v>
      </c>
      <c r="ADX43" s="8">
        <v>0</v>
      </c>
      <c r="ADY43" s="8">
        <v>0</v>
      </c>
      <c r="ADZ43" s="8">
        <v>0</v>
      </c>
      <c r="AEA43" s="8">
        <v>0</v>
      </c>
      <c r="AEB43" s="8">
        <v>0</v>
      </c>
      <c r="AEC43" s="8">
        <v>0</v>
      </c>
      <c r="AED43" s="8">
        <v>0</v>
      </c>
      <c r="AEE43" s="8">
        <v>0</v>
      </c>
      <c r="AEF43" s="8">
        <v>0</v>
      </c>
      <c r="AEG43" s="8">
        <v>0</v>
      </c>
      <c r="AEH43" s="8">
        <v>0</v>
      </c>
      <c r="AEI43" s="8">
        <v>0</v>
      </c>
      <c r="AEJ43" s="8">
        <v>0</v>
      </c>
      <c r="AEK43" s="8">
        <v>0</v>
      </c>
      <c r="AEL43" s="8">
        <v>0</v>
      </c>
      <c r="AEM43" s="8">
        <v>0</v>
      </c>
      <c r="AEN43" s="8">
        <v>0</v>
      </c>
      <c r="AEO43" s="8">
        <v>0</v>
      </c>
      <c r="AEP43" s="8">
        <v>0</v>
      </c>
      <c r="AEQ43" s="8">
        <v>0</v>
      </c>
      <c r="AER43" s="8">
        <v>0</v>
      </c>
      <c r="AES43" s="8">
        <v>0</v>
      </c>
      <c r="AET43" s="8">
        <v>0</v>
      </c>
      <c r="AEU43" s="8">
        <v>0</v>
      </c>
      <c r="AEV43" s="8">
        <v>0</v>
      </c>
      <c r="AEW43" s="8">
        <v>0</v>
      </c>
      <c r="AEX43" s="8">
        <v>0</v>
      </c>
      <c r="AEY43" s="8">
        <v>0</v>
      </c>
      <c r="AEZ43" s="8">
        <v>0</v>
      </c>
      <c r="AFA43" s="8">
        <v>0</v>
      </c>
      <c r="AFB43" s="8">
        <v>0</v>
      </c>
      <c r="AFC43" s="8">
        <v>0</v>
      </c>
      <c r="AFD43" s="8">
        <v>0</v>
      </c>
      <c r="AFE43" s="8">
        <v>0</v>
      </c>
      <c r="AFF43" s="8">
        <v>0</v>
      </c>
      <c r="AFG43" s="8">
        <v>0</v>
      </c>
      <c r="AFH43" s="8">
        <v>0</v>
      </c>
      <c r="AFI43" s="8">
        <v>0</v>
      </c>
      <c r="AFJ43" s="8">
        <v>0</v>
      </c>
      <c r="AFK43" s="8">
        <v>0</v>
      </c>
      <c r="AFL43" s="8">
        <v>0</v>
      </c>
      <c r="AFM43" s="8">
        <v>0</v>
      </c>
      <c r="AFN43" s="8">
        <v>0</v>
      </c>
      <c r="AFO43" s="8">
        <v>0</v>
      </c>
      <c r="AFP43" s="8">
        <v>0</v>
      </c>
      <c r="AFQ43" s="8">
        <v>0</v>
      </c>
      <c r="AFR43" s="8">
        <v>0</v>
      </c>
      <c r="AFS43" s="8">
        <v>0</v>
      </c>
      <c r="AFT43" s="8">
        <v>0</v>
      </c>
      <c r="AFU43" s="8">
        <v>0</v>
      </c>
      <c r="AFV43" s="8">
        <v>0</v>
      </c>
      <c r="AFW43" s="8">
        <v>0</v>
      </c>
      <c r="AFX43" s="8">
        <v>0</v>
      </c>
      <c r="AFY43" s="8">
        <v>0</v>
      </c>
      <c r="AFZ43" s="8">
        <v>0</v>
      </c>
      <c r="AGA43" s="8">
        <v>0</v>
      </c>
      <c r="AGB43" s="8">
        <v>0</v>
      </c>
      <c r="AGC43" s="8">
        <v>0</v>
      </c>
      <c r="AGD43" s="8">
        <v>0</v>
      </c>
      <c r="AGE43" s="8">
        <v>0</v>
      </c>
      <c r="AGF43" s="8">
        <v>0</v>
      </c>
      <c r="AGG43" s="8">
        <v>0</v>
      </c>
      <c r="AGH43" s="8">
        <v>0</v>
      </c>
      <c r="AGI43" s="8">
        <v>0</v>
      </c>
      <c r="AGJ43" s="8">
        <v>0</v>
      </c>
      <c r="AGK43" s="8">
        <v>0</v>
      </c>
      <c r="AGL43" s="8">
        <v>0</v>
      </c>
      <c r="AGM43" s="8">
        <v>0</v>
      </c>
      <c r="AGN43" s="8">
        <v>0</v>
      </c>
      <c r="AGO43" s="8">
        <v>0</v>
      </c>
      <c r="AGP43" s="8">
        <v>0</v>
      </c>
      <c r="AGQ43" s="8">
        <v>0</v>
      </c>
      <c r="AGR43" s="8">
        <v>0</v>
      </c>
      <c r="AGS43" s="8">
        <v>0</v>
      </c>
      <c r="AGT43" s="8">
        <v>0</v>
      </c>
      <c r="AGU43" s="8">
        <v>0</v>
      </c>
      <c r="AGV43" s="8">
        <v>0</v>
      </c>
      <c r="AGW43" s="8">
        <v>0</v>
      </c>
      <c r="AGX43" s="8">
        <v>0</v>
      </c>
      <c r="AGY43" s="8">
        <v>0</v>
      </c>
      <c r="AGZ43" s="8">
        <v>0</v>
      </c>
      <c r="AHA43" s="8">
        <v>0</v>
      </c>
      <c r="AHB43" s="8">
        <v>0</v>
      </c>
      <c r="AHC43" s="8">
        <v>0</v>
      </c>
      <c r="AHD43" s="8">
        <v>0</v>
      </c>
      <c r="AHE43" s="8">
        <v>0</v>
      </c>
      <c r="AHF43" s="8">
        <v>0</v>
      </c>
      <c r="AHG43" s="8">
        <v>0</v>
      </c>
      <c r="AHH43" s="8">
        <v>0</v>
      </c>
      <c r="AHI43" s="8">
        <v>0</v>
      </c>
      <c r="AHJ43" s="8">
        <v>0</v>
      </c>
      <c r="AHK43" s="8">
        <v>0</v>
      </c>
      <c r="AHL43" s="8">
        <v>0</v>
      </c>
      <c r="AHM43" s="8">
        <v>0</v>
      </c>
      <c r="AHN43" s="8">
        <v>0</v>
      </c>
      <c r="AHO43" s="8">
        <v>0</v>
      </c>
      <c r="AHP43" s="8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 t="e">
        <v>#N/A</v>
      </c>
      <c r="AIJ43" t="e">
        <v>#N/A</v>
      </c>
      <c r="AIK43" t="e">
        <v>#N/A</v>
      </c>
      <c r="AIL43" t="e">
        <v>#N/A</v>
      </c>
      <c r="AIM43" t="e">
        <v>#N/A</v>
      </c>
      <c r="AIN43" t="e">
        <v>#N/A</v>
      </c>
      <c r="AIO43" t="e">
        <v>#N/A</v>
      </c>
      <c r="AIP43" t="e">
        <v>#N/A</v>
      </c>
      <c r="AIQ43" t="e">
        <v>#N/A</v>
      </c>
      <c r="AIR43" t="e">
        <v>#N/A</v>
      </c>
      <c r="AIS43" t="e">
        <v>#N/A</v>
      </c>
      <c r="AIT43" t="e">
        <v>#N/A</v>
      </c>
      <c r="AIU43" t="e">
        <v>#N/A</v>
      </c>
      <c r="AIV43" t="e">
        <v>#N/A</v>
      </c>
      <c r="AIW43" t="e">
        <v>#N/A</v>
      </c>
      <c r="AIX43" t="e">
        <v>#N/A</v>
      </c>
      <c r="AIY43" t="e">
        <v>#N/A</v>
      </c>
      <c r="AIZ43" t="e">
        <v>#N/A</v>
      </c>
      <c r="AJA43" t="e">
        <v>#N/A</v>
      </c>
      <c r="AJB43" t="e">
        <v>#N/A</v>
      </c>
      <c r="AJC43" t="e">
        <v>#N/A</v>
      </c>
      <c r="AJD43" t="e">
        <v>#N/A</v>
      </c>
      <c r="AJE43" t="e">
        <v>#N/A</v>
      </c>
      <c r="AJF43" t="e">
        <v>#N/A</v>
      </c>
      <c r="AJG43" t="e">
        <v>#N/A</v>
      </c>
      <c r="AJH43" t="e">
        <v>#N/A</v>
      </c>
      <c r="AJI43" t="e">
        <v>#N/A</v>
      </c>
      <c r="AJJ43" t="e">
        <v>#N/A</v>
      </c>
      <c r="AJK43" t="e">
        <v>#N/A</v>
      </c>
      <c r="AJL43" t="e">
        <v>#N/A</v>
      </c>
      <c r="AJM43" t="e">
        <v>#N/A</v>
      </c>
      <c r="AJN43" t="e">
        <v>#N/A</v>
      </c>
      <c r="AJO43" t="e">
        <v>#N/A</v>
      </c>
      <c r="AJP43" t="e">
        <v>#N/A</v>
      </c>
      <c r="AJQ43" t="e">
        <v>#N/A</v>
      </c>
      <c r="AJR43" t="e">
        <v>#N/A</v>
      </c>
      <c r="AJS43" t="e">
        <v>#N/A</v>
      </c>
      <c r="AJT43" t="e">
        <v>#N/A</v>
      </c>
      <c r="AJU43" t="e">
        <v>#N/A</v>
      </c>
      <c r="AJV43" t="e">
        <v>#N/A</v>
      </c>
      <c r="AJW43" t="e">
        <v>#N/A</v>
      </c>
      <c r="AJX43" t="e">
        <v>#N/A</v>
      </c>
      <c r="AJY43" t="e">
        <v>#N/A</v>
      </c>
      <c r="AJZ43" t="e">
        <v>#N/A</v>
      </c>
      <c r="AKA43" t="e">
        <v>#N/A</v>
      </c>
      <c r="AKB43" t="e">
        <v>#N/A</v>
      </c>
      <c r="AKC43" t="e">
        <v>#N/A</v>
      </c>
      <c r="AKD43" t="e">
        <v>#N/A</v>
      </c>
      <c r="AKE43" t="e">
        <v>#N/A</v>
      </c>
      <c r="AKF43" t="e">
        <v>#N/A</v>
      </c>
      <c r="AKG43" t="e">
        <v>#N/A</v>
      </c>
      <c r="AKH43" t="e">
        <v>#N/A</v>
      </c>
      <c r="AKI43" t="e">
        <v>#N/A</v>
      </c>
      <c r="AKJ43" t="e">
        <v>#N/A</v>
      </c>
      <c r="AKK43" t="e">
        <v>#N/A</v>
      </c>
      <c r="AKL43" t="e">
        <v>#N/A</v>
      </c>
      <c r="AKM43" t="e">
        <v>#N/A</v>
      </c>
      <c r="AKN43" t="e">
        <v>#N/A</v>
      </c>
      <c r="AKO43" t="e">
        <v>#N/A</v>
      </c>
      <c r="AKP43" t="e">
        <v>#N/A</v>
      </c>
      <c r="AKQ43" t="e">
        <v>#N/A</v>
      </c>
      <c r="AKR43" t="e">
        <v>#N/A</v>
      </c>
      <c r="AKS43" t="e">
        <v>#N/A</v>
      </c>
      <c r="AKT43" t="e">
        <v>#N/A</v>
      </c>
      <c r="AKU43" t="e">
        <v>#N/A</v>
      </c>
      <c r="AKV43" t="e">
        <v>#N/A</v>
      </c>
      <c r="AKW43" t="e">
        <v>#N/A</v>
      </c>
      <c r="AKX43" t="e">
        <v>#N/A</v>
      </c>
      <c r="AKY43" t="e">
        <v>#N/A</v>
      </c>
      <c r="AKZ43" t="e">
        <v>#N/A</v>
      </c>
      <c r="ALA43" t="e">
        <v>#N/A</v>
      </c>
      <c r="ALB43" t="e">
        <v>#N/A</v>
      </c>
      <c r="ALC43" t="e">
        <v>#N/A</v>
      </c>
      <c r="ALD43" t="e">
        <v>#N/A</v>
      </c>
      <c r="ALE43" t="e">
        <v>#N/A</v>
      </c>
      <c r="ALF43" t="e">
        <v>#N/A</v>
      </c>
      <c r="ALG43" t="e">
        <v>#N/A</v>
      </c>
      <c r="ALH43" t="e">
        <v>#N/A</v>
      </c>
      <c r="ALI43" t="e">
        <v>#N/A</v>
      </c>
      <c r="ALJ43" t="e">
        <v>#N/A</v>
      </c>
      <c r="ALK43" t="e">
        <v>#N/A</v>
      </c>
      <c r="ALL43" t="e">
        <v>#N/A</v>
      </c>
      <c r="ALM43" t="e">
        <v>#N/A</v>
      </c>
      <c r="ALN43" t="e">
        <v>#N/A</v>
      </c>
      <c r="ALO43" t="e">
        <v>#N/A</v>
      </c>
      <c r="ALP43" t="e">
        <v>#N/A</v>
      </c>
      <c r="ALQ43" t="e">
        <v>#N/A</v>
      </c>
      <c r="ALR43" t="e">
        <v>#N/A</v>
      </c>
      <c r="ALS43" t="e">
        <v>#N/A</v>
      </c>
      <c r="ALT43" t="e">
        <v>#N/A</v>
      </c>
      <c r="ALU43" t="e">
        <v>#N/A</v>
      </c>
      <c r="ALV43" t="e">
        <v>#N/A</v>
      </c>
      <c r="ALW43" t="e">
        <v>#N/A</v>
      </c>
      <c r="ALX43" t="e">
        <v>#N/A</v>
      </c>
      <c r="ALY43" t="e">
        <v>#N/A</v>
      </c>
      <c r="ALZ43" t="e">
        <v>#N/A</v>
      </c>
      <c r="AMA43" t="e">
        <v>#N/A</v>
      </c>
      <c r="AMB43" t="e">
        <v>#N/A</v>
      </c>
      <c r="AMC43" t="e">
        <v>#N/A</v>
      </c>
      <c r="AMD43" t="e">
        <v>#N/A</v>
      </c>
      <c r="AME43" t="e">
        <v>#N/A</v>
      </c>
      <c r="AMF43" t="e">
        <v>#N/A</v>
      </c>
      <c r="AMG43" t="e">
        <v>#N/A</v>
      </c>
      <c r="AMH43" t="e">
        <v>#N/A</v>
      </c>
    </row>
    <row r="44" spans="1:1022" ht="15.75" customHeight="1">
      <c r="A44" s="8">
        <v>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0</v>
      </c>
      <c r="IX44" s="8">
        <v>0</v>
      </c>
      <c r="IY44" s="8">
        <v>0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</v>
      </c>
      <c r="KQ44" s="8">
        <v>0</v>
      </c>
      <c r="KR44" s="8">
        <v>0</v>
      </c>
      <c r="KS44" s="8">
        <v>0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0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0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0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0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0</v>
      </c>
      <c r="QN44" s="8">
        <v>0</v>
      </c>
      <c r="QO44" s="8">
        <v>0</v>
      </c>
      <c r="QP44" s="8">
        <v>0</v>
      </c>
      <c r="QQ44" s="8">
        <v>0</v>
      </c>
      <c r="QR44" s="8">
        <v>0</v>
      </c>
      <c r="QS44" s="8">
        <v>0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0</v>
      </c>
      <c r="RI44" s="8">
        <v>0</v>
      </c>
      <c r="RJ44" s="8">
        <v>0</v>
      </c>
      <c r="RK44" s="8">
        <v>0</v>
      </c>
      <c r="RL44" s="8">
        <v>0</v>
      </c>
      <c r="RM44" s="8">
        <v>0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0</v>
      </c>
      <c r="RW44" s="8">
        <v>0</v>
      </c>
      <c r="RX44" s="8">
        <v>0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0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  <c r="SL44" s="8">
        <v>0</v>
      </c>
      <c r="SM44" s="8">
        <v>0</v>
      </c>
      <c r="SN44" s="8">
        <v>0</v>
      </c>
      <c r="SO44" s="8">
        <v>0</v>
      </c>
      <c r="SP44" s="8">
        <v>0</v>
      </c>
      <c r="SQ44" s="8">
        <v>0</v>
      </c>
      <c r="SR44" s="8">
        <v>0</v>
      </c>
      <c r="SS44" s="8">
        <v>0</v>
      </c>
      <c r="ST44" s="8">
        <v>0</v>
      </c>
      <c r="SU44" s="8">
        <v>0</v>
      </c>
      <c r="SV44" s="8">
        <v>0</v>
      </c>
      <c r="SW44" s="8">
        <v>0</v>
      </c>
      <c r="SX44" s="8">
        <v>0</v>
      </c>
      <c r="SY44" s="8">
        <v>0</v>
      </c>
      <c r="SZ44" s="8">
        <v>0</v>
      </c>
      <c r="TA44" s="8">
        <v>0</v>
      </c>
      <c r="TB44" s="8">
        <v>0</v>
      </c>
      <c r="TC44" s="8">
        <v>0</v>
      </c>
      <c r="TD44" s="8">
        <v>0</v>
      </c>
      <c r="TE44" s="8">
        <v>0</v>
      </c>
      <c r="TF44" s="8">
        <v>0</v>
      </c>
      <c r="TG44" s="8">
        <v>0</v>
      </c>
      <c r="TH44" s="8">
        <v>0</v>
      </c>
      <c r="TI44" s="8">
        <v>0</v>
      </c>
      <c r="TJ44" s="8">
        <v>0</v>
      </c>
      <c r="TK44" s="8">
        <v>0</v>
      </c>
      <c r="TL44" s="8">
        <v>0</v>
      </c>
      <c r="TM44" s="8">
        <v>0</v>
      </c>
      <c r="TN44" s="8">
        <v>0</v>
      </c>
      <c r="TO44" s="8">
        <v>0</v>
      </c>
      <c r="TP44" s="8">
        <v>0</v>
      </c>
      <c r="TQ44" s="8">
        <v>0</v>
      </c>
      <c r="TR44" s="8">
        <v>0</v>
      </c>
      <c r="TS44" s="8">
        <v>0</v>
      </c>
      <c r="TT44" s="8">
        <v>0</v>
      </c>
      <c r="TU44" s="8">
        <v>0</v>
      </c>
      <c r="TV44" s="8">
        <v>0</v>
      </c>
      <c r="TW44" s="8">
        <v>0</v>
      </c>
      <c r="TX44" s="8">
        <v>0</v>
      </c>
      <c r="TY44" s="8">
        <v>0</v>
      </c>
      <c r="TZ44" s="8">
        <v>0</v>
      </c>
      <c r="UA44" s="8">
        <v>0</v>
      </c>
      <c r="UB44" s="8">
        <v>0</v>
      </c>
      <c r="UC44" s="8">
        <v>0</v>
      </c>
      <c r="UD44" s="8">
        <v>0</v>
      </c>
      <c r="UE44" s="8">
        <v>0</v>
      </c>
      <c r="UF44" s="8">
        <v>0</v>
      </c>
      <c r="UG44" s="8">
        <v>0</v>
      </c>
      <c r="UH44" s="8">
        <v>0</v>
      </c>
      <c r="UI44" s="8">
        <v>0</v>
      </c>
      <c r="UJ44" s="8">
        <v>0</v>
      </c>
      <c r="UK44" s="8">
        <v>0</v>
      </c>
      <c r="UL44" s="8">
        <v>0</v>
      </c>
      <c r="UM44" s="8">
        <v>0</v>
      </c>
      <c r="UN44" s="8">
        <v>0</v>
      </c>
      <c r="UO44" s="8">
        <v>0</v>
      </c>
      <c r="UP44" s="8">
        <v>0</v>
      </c>
      <c r="UQ44" s="8">
        <v>0</v>
      </c>
      <c r="UR44" s="8">
        <v>0</v>
      </c>
      <c r="US44" s="8">
        <v>0</v>
      </c>
      <c r="UT44" s="8">
        <v>0</v>
      </c>
      <c r="UU44" s="8">
        <v>0</v>
      </c>
      <c r="UV44" s="8">
        <v>0</v>
      </c>
      <c r="UW44" s="8">
        <v>0</v>
      </c>
      <c r="UX44" s="8">
        <v>0</v>
      </c>
      <c r="UY44" s="8">
        <v>0</v>
      </c>
      <c r="UZ44" s="8">
        <v>0</v>
      </c>
      <c r="VA44" s="8">
        <v>0</v>
      </c>
      <c r="VB44" s="8">
        <v>0</v>
      </c>
      <c r="VC44" s="8">
        <v>0</v>
      </c>
      <c r="VD44" s="8">
        <v>0</v>
      </c>
      <c r="VE44" s="8">
        <v>0</v>
      </c>
      <c r="VF44" s="8">
        <v>0</v>
      </c>
      <c r="VG44" s="8">
        <v>0</v>
      </c>
      <c r="VH44" s="8">
        <v>0</v>
      </c>
      <c r="VI44" s="8">
        <v>0</v>
      </c>
      <c r="VJ44" s="8">
        <v>0</v>
      </c>
      <c r="VK44" s="8">
        <v>0</v>
      </c>
      <c r="VL44" s="8">
        <v>0</v>
      </c>
      <c r="VM44" s="8">
        <v>0</v>
      </c>
      <c r="VN44" s="8">
        <v>0</v>
      </c>
      <c r="VO44" s="8">
        <v>0</v>
      </c>
      <c r="VP44" s="8">
        <v>0</v>
      </c>
      <c r="VQ44" s="8">
        <v>0</v>
      </c>
      <c r="VR44" s="8">
        <v>0</v>
      </c>
      <c r="VS44" s="8">
        <v>0</v>
      </c>
      <c r="VT44" s="8">
        <v>0</v>
      </c>
      <c r="VU44" s="8">
        <v>0</v>
      </c>
      <c r="VV44" s="8">
        <v>0</v>
      </c>
      <c r="VW44" s="8">
        <v>0</v>
      </c>
      <c r="VX44" s="8">
        <v>0</v>
      </c>
      <c r="VY44" s="8">
        <v>0</v>
      </c>
      <c r="VZ44" s="8">
        <v>0</v>
      </c>
      <c r="WA44" s="8">
        <v>0</v>
      </c>
      <c r="WB44" s="8">
        <v>0</v>
      </c>
      <c r="WC44" s="8">
        <v>0</v>
      </c>
      <c r="WD44" s="8">
        <v>0</v>
      </c>
      <c r="WE44" s="8">
        <v>0</v>
      </c>
      <c r="WF44" s="8">
        <v>0</v>
      </c>
      <c r="WG44" s="8">
        <v>0</v>
      </c>
      <c r="WH44" s="8">
        <v>0</v>
      </c>
      <c r="WI44" s="8">
        <v>0</v>
      </c>
      <c r="WJ44" s="8">
        <v>0</v>
      </c>
      <c r="WK44" s="8">
        <v>0</v>
      </c>
      <c r="WL44" s="8">
        <v>0</v>
      </c>
      <c r="WM44" s="8">
        <v>0</v>
      </c>
      <c r="WN44" s="8">
        <v>0</v>
      </c>
      <c r="WO44" s="8">
        <v>0</v>
      </c>
      <c r="WP44" s="8">
        <v>0</v>
      </c>
      <c r="WQ44" s="8">
        <v>0</v>
      </c>
      <c r="WR44" s="8">
        <v>0</v>
      </c>
      <c r="WS44" s="8">
        <v>0</v>
      </c>
      <c r="WT44" s="8">
        <v>0</v>
      </c>
      <c r="WU44" s="8">
        <v>0</v>
      </c>
      <c r="WV44" s="8">
        <v>0</v>
      </c>
      <c r="WW44" s="8">
        <v>0</v>
      </c>
      <c r="WX44" s="8">
        <v>0</v>
      </c>
      <c r="WY44" s="8">
        <v>0</v>
      </c>
      <c r="WZ44" s="8">
        <v>0</v>
      </c>
      <c r="XA44" s="8">
        <v>0</v>
      </c>
      <c r="XB44" s="8">
        <v>0</v>
      </c>
      <c r="XC44" s="8">
        <v>0</v>
      </c>
      <c r="XD44" s="8">
        <v>0</v>
      </c>
      <c r="XE44" s="8">
        <v>0</v>
      </c>
      <c r="XF44" s="8">
        <v>0</v>
      </c>
      <c r="XG44" s="8">
        <v>0</v>
      </c>
      <c r="XH44" s="8">
        <v>0</v>
      </c>
      <c r="XI44" s="8">
        <v>0</v>
      </c>
      <c r="XJ44" s="8">
        <v>0</v>
      </c>
      <c r="XK44" s="8">
        <v>0</v>
      </c>
      <c r="XL44" s="8">
        <v>0</v>
      </c>
      <c r="XM44" s="8">
        <v>0</v>
      </c>
      <c r="XN44" s="8">
        <v>0</v>
      </c>
      <c r="XO44" s="8">
        <v>0</v>
      </c>
      <c r="XP44" s="8">
        <v>0</v>
      </c>
      <c r="XQ44" s="8">
        <v>0</v>
      </c>
      <c r="XR44" s="8">
        <v>0</v>
      </c>
      <c r="XS44" s="8">
        <v>0</v>
      </c>
      <c r="XT44" s="8">
        <v>0</v>
      </c>
      <c r="XU44" s="8">
        <v>0</v>
      </c>
      <c r="XV44" s="8">
        <v>0</v>
      </c>
      <c r="XW44" s="8">
        <v>0</v>
      </c>
      <c r="XX44" s="8">
        <v>0</v>
      </c>
      <c r="XY44" s="8">
        <v>0</v>
      </c>
      <c r="XZ44" s="8">
        <v>0</v>
      </c>
      <c r="YA44" s="8">
        <v>0</v>
      </c>
      <c r="YB44" s="8">
        <v>0</v>
      </c>
      <c r="YC44" s="8">
        <v>0</v>
      </c>
      <c r="YD44" s="8">
        <v>0</v>
      </c>
      <c r="YE44" s="8">
        <v>0</v>
      </c>
      <c r="YF44" s="8">
        <v>0</v>
      </c>
      <c r="YG44" s="8">
        <v>0</v>
      </c>
      <c r="YH44" s="8">
        <v>0</v>
      </c>
      <c r="YI44" s="8">
        <v>0</v>
      </c>
      <c r="YJ44" s="8">
        <v>0</v>
      </c>
      <c r="YK44" s="8">
        <v>0</v>
      </c>
      <c r="YL44" s="8">
        <v>0</v>
      </c>
      <c r="YM44" s="8">
        <v>0</v>
      </c>
      <c r="YN44" s="8">
        <v>0</v>
      </c>
      <c r="YO44" s="8">
        <v>0</v>
      </c>
      <c r="YP44" s="8">
        <v>0</v>
      </c>
      <c r="YQ44" s="8">
        <v>0</v>
      </c>
      <c r="YR44" s="8">
        <v>0</v>
      </c>
      <c r="YS44" s="8">
        <v>0</v>
      </c>
      <c r="YT44" s="8">
        <v>0</v>
      </c>
      <c r="YU44" s="8">
        <v>0</v>
      </c>
      <c r="YV44" s="8">
        <v>0</v>
      </c>
      <c r="YW44" s="8">
        <v>0</v>
      </c>
      <c r="YX44" s="8">
        <v>0</v>
      </c>
      <c r="YY44" s="8">
        <v>0</v>
      </c>
      <c r="YZ44" s="8">
        <v>0</v>
      </c>
      <c r="ZA44" s="8">
        <v>0</v>
      </c>
      <c r="ZB44" s="8">
        <v>0</v>
      </c>
      <c r="ZC44" s="8">
        <v>0</v>
      </c>
      <c r="ZD44" s="8">
        <v>0</v>
      </c>
      <c r="ZE44" s="8">
        <v>0</v>
      </c>
      <c r="ZF44" s="8">
        <v>0</v>
      </c>
      <c r="ZG44" s="8">
        <v>0</v>
      </c>
      <c r="ZH44" s="8">
        <v>0</v>
      </c>
      <c r="ZI44" s="8">
        <v>0</v>
      </c>
      <c r="ZJ44" s="8">
        <v>0</v>
      </c>
      <c r="ZK44" s="8">
        <v>0</v>
      </c>
      <c r="ZL44" s="8">
        <v>0</v>
      </c>
      <c r="ZM44" s="8">
        <v>0</v>
      </c>
      <c r="ZN44" s="8">
        <v>0</v>
      </c>
      <c r="ZO44" s="8">
        <v>0</v>
      </c>
      <c r="ZP44" s="8">
        <v>0</v>
      </c>
      <c r="ZQ44" s="8">
        <v>0</v>
      </c>
      <c r="ZR44" s="8">
        <v>0</v>
      </c>
      <c r="ZS44" s="8">
        <v>0</v>
      </c>
      <c r="ZT44" s="8">
        <v>0</v>
      </c>
      <c r="ZU44" s="8">
        <v>0</v>
      </c>
      <c r="ZV44" s="8">
        <v>0</v>
      </c>
      <c r="ZW44" s="8">
        <v>0</v>
      </c>
      <c r="ZX44" s="8">
        <v>0</v>
      </c>
      <c r="ZY44" s="8">
        <v>0</v>
      </c>
      <c r="ZZ44" s="8">
        <v>0</v>
      </c>
      <c r="AAA44" s="8">
        <v>0</v>
      </c>
      <c r="AAB44" s="8">
        <v>0</v>
      </c>
      <c r="AAC44" s="8">
        <v>0</v>
      </c>
      <c r="AAD44" s="8">
        <v>0</v>
      </c>
      <c r="AAE44" s="8">
        <v>0</v>
      </c>
      <c r="AAF44" s="8">
        <v>0</v>
      </c>
      <c r="AAG44" s="8">
        <v>0</v>
      </c>
      <c r="AAH44" s="8">
        <v>0</v>
      </c>
      <c r="AAI44" s="8">
        <v>0</v>
      </c>
      <c r="AAJ44" s="8">
        <v>0</v>
      </c>
      <c r="AAK44" s="8">
        <v>0</v>
      </c>
      <c r="AAL44" s="8">
        <v>0</v>
      </c>
      <c r="AAM44" s="8">
        <v>0</v>
      </c>
      <c r="AAN44" s="8">
        <v>0</v>
      </c>
      <c r="AAO44" s="8">
        <v>0</v>
      </c>
      <c r="AAP44" s="8">
        <v>0</v>
      </c>
      <c r="AAQ44" s="8">
        <v>0</v>
      </c>
      <c r="AAR44" s="8">
        <v>0</v>
      </c>
      <c r="AAS44" s="8">
        <v>0</v>
      </c>
      <c r="AAT44" s="8">
        <v>0</v>
      </c>
      <c r="AAU44" s="8">
        <v>0</v>
      </c>
      <c r="AAV44" s="8">
        <v>0</v>
      </c>
      <c r="AAW44" s="8">
        <v>0</v>
      </c>
      <c r="AAX44" s="8">
        <v>0</v>
      </c>
      <c r="AAY44" s="8">
        <v>0</v>
      </c>
      <c r="AAZ44" s="8">
        <v>0</v>
      </c>
      <c r="ABA44" s="8">
        <v>0</v>
      </c>
      <c r="ABB44" s="8">
        <v>0</v>
      </c>
      <c r="ABC44" s="8">
        <v>0</v>
      </c>
      <c r="ABD44" s="8">
        <v>0</v>
      </c>
      <c r="ABE44" s="8">
        <v>0</v>
      </c>
      <c r="ABF44" s="8">
        <v>0</v>
      </c>
      <c r="ABG44" s="8">
        <v>0</v>
      </c>
      <c r="ABH44" s="8">
        <v>0</v>
      </c>
      <c r="ABI44" s="8">
        <v>0</v>
      </c>
      <c r="ABJ44" s="8">
        <v>0</v>
      </c>
      <c r="ABK44" s="8">
        <v>0</v>
      </c>
      <c r="ABL44" s="8">
        <v>0</v>
      </c>
      <c r="ABM44" s="8">
        <v>0</v>
      </c>
      <c r="ABN44" s="8">
        <v>0</v>
      </c>
      <c r="ABO44" s="8">
        <v>0</v>
      </c>
      <c r="ABP44" s="8">
        <v>0</v>
      </c>
      <c r="ABQ44" s="8">
        <v>0</v>
      </c>
      <c r="ABR44" s="8">
        <v>0</v>
      </c>
      <c r="ABS44" s="8">
        <v>0</v>
      </c>
      <c r="ABT44" s="8">
        <v>0</v>
      </c>
      <c r="ABU44" s="8">
        <v>0</v>
      </c>
      <c r="ABV44" s="8">
        <v>0</v>
      </c>
      <c r="ABW44" s="8">
        <v>0</v>
      </c>
      <c r="ABX44" s="8">
        <v>0</v>
      </c>
      <c r="ABY44" s="8">
        <v>0</v>
      </c>
      <c r="ABZ44" s="8">
        <v>0</v>
      </c>
      <c r="ACA44" s="8">
        <v>0</v>
      </c>
      <c r="ACB44" s="8">
        <v>0</v>
      </c>
      <c r="ACC44" s="8">
        <v>0</v>
      </c>
      <c r="ACD44" s="8">
        <v>0</v>
      </c>
      <c r="ACE44" s="8">
        <v>0</v>
      </c>
      <c r="ACF44" s="8">
        <v>0</v>
      </c>
      <c r="ACG44" s="8">
        <v>0</v>
      </c>
      <c r="ACH44" s="8">
        <v>0</v>
      </c>
      <c r="ACI44" s="8">
        <v>0</v>
      </c>
      <c r="ACJ44" s="8">
        <v>0</v>
      </c>
      <c r="ACK44" s="8">
        <v>0</v>
      </c>
      <c r="ACL44" s="8">
        <v>0</v>
      </c>
      <c r="ACM44" s="8">
        <v>0</v>
      </c>
      <c r="ACN44" s="8">
        <v>0</v>
      </c>
      <c r="ACO44" s="8">
        <v>0</v>
      </c>
      <c r="ACP44" s="8">
        <v>0</v>
      </c>
      <c r="ACQ44" s="8">
        <v>0</v>
      </c>
      <c r="ACR44" s="8">
        <v>0</v>
      </c>
      <c r="ACS44" s="8">
        <v>0</v>
      </c>
      <c r="ACT44" s="8">
        <v>0</v>
      </c>
      <c r="ACU44" s="8">
        <v>0</v>
      </c>
      <c r="ACV44" s="8">
        <v>0</v>
      </c>
      <c r="ACW44" s="8">
        <v>0</v>
      </c>
      <c r="ACX44" s="8">
        <v>0</v>
      </c>
      <c r="ACY44" s="8">
        <v>0</v>
      </c>
      <c r="ACZ44" s="8">
        <v>0</v>
      </c>
      <c r="ADA44" s="8">
        <v>0</v>
      </c>
      <c r="ADB44" s="8">
        <v>0</v>
      </c>
      <c r="ADC44" s="8">
        <v>0</v>
      </c>
      <c r="ADD44" s="8">
        <v>0</v>
      </c>
      <c r="ADE44" s="8">
        <v>0</v>
      </c>
      <c r="ADF44" s="8">
        <v>0</v>
      </c>
      <c r="ADG44" s="8">
        <v>0</v>
      </c>
      <c r="ADH44" s="8">
        <v>0</v>
      </c>
      <c r="ADI44" s="8">
        <v>0</v>
      </c>
      <c r="ADJ44" s="8">
        <v>0</v>
      </c>
      <c r="ADK44" s="8">
        <v>0</v>
      </c>
      <c r="ADL44" s="8">
        <v>0</v>
      </c>
      <c r="ADM44" s="8">
        <v>0</v>
      </c>
      <c r="ADN44" s="8">
        <v>0</v>
      </c>
      <c r="ADO44" s="8">
        <v>0</v>
      </c>
      <c r="ADP44" s="8">
        <v>0</v>
      </c>
      <c r="ADQ44" s="8">
        <v>0</v>
      </c>
      <c r="ADR44" s="8">
        <v>0</v>
      </c>
      <c r="ADS44" s="8">
        <v>0</v>
      </c>
      <c r="ADT44" s="8">
        <v>0</v>
      </c>
      <c r="ADU44" s="8">
        <v>0</v>
      </c>
      <c r="ADV44" s="8">
        <v>0</v>
      </c>
      <c r="ADW44" s="8">
        <v>0</v>
      </c>
      <c r="ADX44" s="8">
        <v>0</v>
      </c>
      <c r="ADY44" s="8">
        <v>0</v>
      </c>
      <c r="ADZ44" s="8">
        <v>0</v>
      </c>
      <c r="AEA44" s="8">
        <v>0</v>
      </c>
      <c r="AEB44" s="8">
        <v>0</v>
      </c>
      <c r="AEC44" s="8">
        <v>0</v>
      </c>
      <c r="AED44" s="8">
        <v>0</v>
      </c>
      <c r="AEE44" s="8">
        <v>0</v>
      </c>
      <c r="AEF44" s="8">
        <v>0</v>
      </c>
      <c r="AEG44" s="8">
        <v>0</v>
      </c>
      <c r="AEH44" s="8">
        <v>0</v>
      </c>
      <c r="AEI44" s="8">
        <v>0</v>
      </c>
      <c r="AEJ44" s="8">
        <v>0</v>
      </c>
      <c r="AEK44" s="8">
        <v>0</v>
      </c>
      <c r="AEL44" s="8">
        <v>0</v>
      </c>
      <c r="AEM44" s="8">
        <v>0</v>
      </c>
      <c r="AEN44" s="8">
        <v>0</v>
      </c>
      <c r="AEO44" s="8">
        <v>0</v>
      </c>
      <c r="AEP44" s="8">
        <v>0</v>
      </c>
      <c r="AEQ44" s="8">
        <v>0</v>
      </c>
      <c r="AER44" s="8">
        <v>0</v>
      </c>
      <c r="AES44" s="8">
        <v>0</v>
      </c>
      <c r="AET44" s="8">
        <v>0</v>
      </c>
      <c r="AEU44" s="8">
        <v>0</v>
      </c>
      <c r="AEV44" s="8">
        <v>0</v>
      </c>
      <c r="AEW44" s="8">
        <v>0</v>
      </c>
      <c r="AEX44" s="8">
        <v>0</v>
      </c>
      <c r="AEY44" s="8">
        <v>0</v>
      </c>
      <c r="AEZ44" s="8">
        <v>0</v>
      </c>
      <c r="AFA44" s="8">
        <v>0</v>
      </c>
      <c r="AFB44" s="8">
        <v>0</v>
      </c>
      <c r="AFC44" s="8">
        <v>0</v>
      </c>
      <c r="AFD44" s="8">
        <v>0</v>
      </c>
      <c r="AFE44" s="8">
        <v>0</v>
      </c>
      <c r="AFF44" s="8">
        <v>0</v>
      </c>
      <c r="AFG44" s="8">
        <v>0</v>
      </c>
      <c r="AFH44" s="8">
        <v>0</v>
      </c>
      <c r="AFI44" s="8">
        <v>0</v>
      </c>
      <c r="AFJ44" s="8">
        <v>0</v>
      </c>
      <c r="AFK44" s="8">
        <v>0</v>
      </c>
      <c r="AFL44" s="8">
        <v>0</v>
      </c>
      <c r="AFM44" s="8">
        <v>0</v>
      </c>
      <c r="AFN44" s="8">
        <v>0</v>
      </c>
      <c r="AFO44" s="8">
        <v>0</v>
      </c>
      <c r="AFP44" s="8">
        <v>0</v>
      </c>
      <c r="AFQ44" s="8">
        <v>0</v>
      </c>
      <c r="AFR44" s="8">
        <v>0</v>
      </c>
      <c r="AFS44" s="8">
        <v>0</v>
      </c>
      <c r="AFT44" s="8">
        <v>0</v>
      </c>
      <c r="AFU44" s="8">
        <v>0</v>
      </c>
      <c r="AFV44" s="8">
        <v>0</v>
      </c>
      <c r="AFW44" s="8">
        <v>0</v>
      </c>
      <c r="AFX44" s="8">
        <v>0</v>
      </c>
      <c r="AFY44" s="8">
        <v>0</v>
      </c>
      <c r="AFZ44" s="8">
        <v>0</v>
      </c>
      <c r="AGA44" s="8">
        <v>0</v>
      </c>
      <c r="AGB44" s="8">
        <v>0</v>
      </c>
      <c r="AGC44" s="8">
        <v>0</v>
      </c>
      <c r="AGD44" s="8">
        <v>0</v>
      </c>
      <c r="AGE44" s="8">
        <v>0</v>
      </c>
      <c r="AGF44" s="8">
        <v>0</v>
      </c>
      <c r="AGG44" s="8">
        <v>0</v>
      </c>
      <c r="AGH44" s="8">
        <v>0</v>
      </c>
      <c r="AGI44" s="8">
        <v>0</v>
      </c>
      <c r="AGJ44" s="8">
        <v>0</v>
      </c>
      <c r="AGK44" s="8">
        <v>0</v>
      </c>
      <c r="AGL44" s="8">
        <v>0</v>
      </c>
      <c r="AGM44" s="8">
        <v>0</v>
      </c>
      <c r="AGN44" s="8">
        <v>0</v>
      </c>
      <c r="AGO44" s="8">
        <v>0</v>
      </c>
      <c r="AGP44" s="8">
        <v>0</v>
      </c>
      <c r="AGQ44" s="8">
        <v>0</v>
      </c>
      <c r="AGR44" s="8">
        <v>0</v>
      </c>
      <c r="AGS44" s="8">
        <v>0</v>
      </c>
      <c r="AGT44" s="8">
        <v>0</v>
      </c>
      <c r="AGU44" s="8">
        <v>0</v>
      </c>
      <c r="AGV44" s="8">
        <v>0</v>
      </c>
      <c r="AGW44" s="8">
        <v>0</v>
      </c>
      <c r="AGX44" s="8">
        <v>0</v>
      </c>
      <c r="AGY44" s="8">
        <v>0</v>
      </c>
      <c r="AGZ44" s="8">
        <v>0</v>
      </c>
      <c r="AHA44" s="8">
        <v>0</v>
      </c>
      <c r="AHB44" s="8">
        <v>0</v>
      </c>
      <c r="AHC44" s="8">
        <v>0</v>
      </c>
      <c r="AHD44" s="8">
        <v>0</v>
      </c>
      <c r="AHE44" s="8">
        <v>0</v>
      </c>
      <c r="AHF44" s="8">
        <v>0</v>
      </c>
      <c r="AHG44" s="8">
        <v>0</v>
      </c>
      <c r="AHH44" s="8">
        <v>0</v>
      </c>
      <c r="AHI44" s="8">
        <v>0</v>
      </c>
      <c r="AHJ44" s="8">
        <v>0</v>
      </c>
      <c r="AHK44" s="8">
        <v>0</v>
      </c>
      <c r="AHL44" s="8">
        <v>0</v>
      </c>
      <c r="AHM44" s="8">
        <v>0</v>
      </c>
      <c r="AHN44" s="8">
        <v>0</v>
      </c>
      <c r="AHO44" s="8">
        <v>0</v>
      </c>
      <c r="AHP44" s="8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 t="e">
        <v>#N/A</v>
      </c>
      <c r="AIJ44" t="e">
        <v>#N/A</v>
      </c>
      <c r="AIK44" t="e">
        <v>#N/A</v>
      </c>
      <c r="AIL44" t="e">
        <v>#N/A</v>
      </c>
      <c r="AIM44" t="e">
        <v>#N/A</v>
      </c>
      <c r="AIN44" t="e">
        <v>#N/A</v>
      </c>
      <c r="AIO44" t="e">
        <v>#N/A</v>
      </c>
      <c r="AIP44" t="e">
        <v>#N/A</v>
      </c>
      <c r="AIQ44" t="e">
        <v>#N/A</v>
      </c>
      <c r="AIR44" t="e">
        <v>#N/A</v>
      </c>
      <c r="AIS44" t="e">
        <v>#N/A</v>
      </c>
      <c r="AIT44" t="e">
        <v>#N/A</v>
      </c>
      <c r="AIU44" t="e">
        <v>#N/A</v>
      </c>
      <c r="AIV44" t="e">
        <v>#N/A</v>
      </c>
      <c r="AIW44" t="e">
        <v>#N/A</v>
      </c>
      <c r="AIX44" t="e">
        <v>#N/A</v>
      </c>
      <c r="AIY44" t="e">
        <v>#N/A</v>
      </c>
      <c r="AIZ44" t="e">
        <v>#N/A</v>
      </c>
      <c r="AJA44" t="e">
        <v>#N/A</v>
      </c>
      <c r="AJB44" t="e">
        <v>#N/A</v>
      </c>
      <c r="AJC44" t="e">
        <v>#N/A</v>
      </c>
      <c r="AJD44" t="e">
        <v>#N/A</v>
      </c>
      <c r="AJE44" t="e">
        <v>#N/A</v>
      </c>
      <c r="AJF44" t="e">
        <v>#N/A</v>
      </c>
      <c r="AJG44" t="e">
        <v>#N/A</v>
      </c>
      <c r="AJH44" t="e">
        <v>#N/A</v>
      </c>
      <c r="AJI44" t="e">
        <v>#N/A</v>
      </c>
      <c r="AJJ44" t="e">
        <v>#N/A</v>
      </c>
      <c r="AJK44" t="e">
        <v>#N/A</v>
      </c>
      <c r="AJL44" t="e">
        <v>#N/A</v>
      </c>
      <c r="AJM44" t="e">
        <v>#N/A</v>
      </c>
      <c r="AJN44" t="e">
        <v>#N/A</v>
      </c>
      <c r="AJO44" t="e">
        <v>#N/A</v>
      </c>
      <c r="AJP44" t="e">
        <v>#N/A</v>
      </c>
      <c r="AJQ44" t="e">
        <v>#N/A</v>
      </c>
      <c r="AJR44" t="e">
        <v>#N/A</v>
      </c>
      <c r="AJS44" t="e">
        <v>#N/A</v>
      </c>
      <c r="AJT44" t="e">
        <v>#N/A</v>
      </c>
      <c r="AJU44" t="e">
        <v>#N/A</v>
      </c>
      <c r="AJV44" t="e">
        <v>#N/A</v>
      </c>
      <c r="AJW44" t="e">
        <v>#N/A</v>
      </c>
      <c r="AJX44" t="e">
        <v>#N/A</v>
      </c>
      <c r="AJY44" t="e">
        <v>#N/A</v>
      </c>
      <c r="AJZ44" t="e">
        <v>#N/A</v>
      </c>
      <c r="AKA44" t="e">
        <v>#N/A</v>
      </c>
      <c r="AKB44" t="e">
        <v>#N/A</v>
      </c>
      <c r="AKC44" t="e">
        <v>#N/A</v>
      </c>
      <c r="AKD44" t="e">
        <v>#N/A</v>
      </c>
      <c r="AKE44" t="e">
        <v>#N/A</v>
      </c>
      <c r="AKF44" t="e">
        <v>#N/A</v>
      </c>
      <c r="AKG44" t="e">
        <v>#N/A</v>
      </c>
      <c r="AKH44" t="e">
        <v>#N/A</v>
      </c>
      <c r="AKI44" t="e">
        <v>#N/A</v>
      </c>
      <c r="AKJ44" t="e">
        <v>#N/A</v>
      </c>
      <c r="AKK44" t="e">
        <v>#N/A</v>
      </c>
      <c r="AKL44" t="e">
        <v>#N/A</v>
      </c>
      <c r="AKM44" t="e">
        <v>#N/A</v>
      </c>
      <c r="AKN44" t="e">
        <v>#N/A</v>
      </c>
      <c r="AKO44" t="e">
        <v>#N/A</v>
      </c>
      <c r="AKP44" t="e">
        <v>#N/A</v>
      </c>
      <c r="AKQ44" t="e">
        <v>#N/A</v>
      </c>
      <c r="AKR44" t="e">
        <v>#N/A</v>
      </c>
      <c r="AKS44" t="e">
        <v>#N/A</v>
      </c>
      <c r="AKT44" t="e">
        <v>#N/A</v>
      </c>
      <c r="AKU44" t="e">
        <v>#N/A</v>
      </c>
      <c r="AKV44" t="e">
        <v>#N/A</v>
      </c>
      <c r="AKW44" t="e">
        <v>#N/A</v>
      </c>
      <c r="AKX44" t="e">
        <v>#N/A</v>
      </c>
      <c r="AKY44" t="e">
        <v>#N/A</v>
      </c>
      <c r="AKZ44" t="e">
        <v>#N/A</v>
      </c>
      <c r="ALA44" t="e">
        <v>#N/A</v>
      </c>
      <c r="ALB44" t="e">
        <v>#N/A</v>
      </c>
      <c r="ALC44" t="e">
        <v>#N/A</v>
      </c>
      <c r="ALD44" t="e">
        <v>#N/A</v>
      </c>
      <c r="ALE44" t="e">
        <v>#N/A</v>
      </c>
      <c r="ALF44" t="e">
        <v>#N/A</v>
      </c>
      <c r="ALG44" t="e">
        <v>#N/A</v>
      </c>
      <c r="ALH44" t="e">
        <v>#N/A</v>
      </c>
      <c r="ALI44" t="e">
        <v>#N/A</v>
      </c>
      <c r="ALJ44" t="e">
        <v>#N/A</v>
      </c>
      <c r="ALK44" t="e">
        <v>#N/A</v>
      </c>
      <c r="ALL44" t="e">
        <v>#N/A</v>
      </c>
      <c r="ALM44" t="e">
        <v>#N/A</v>
      </c>
      <c r="ALN44" t="e">
        <v>#N/A</v>
      </c>
      <c r="ALO44" t="e">
        <v>#N/A</v>
      </c>
      <c r="ALP44" t="e">
        <v>#N/A</v>
      </c>
      <c r="ALQ44" t="e">
        <v>#N/A</v>
      </c>
      <c r="ALR44" t="e">
        <v>#N/A</v>
      </c>
      <c r="ALS44" t="e">
        <v>#N/A</v>
      </c>
      <c r="ALT44" t="e">
        <v>#N/A</v>
      </c>
      <c r="ALU44" t="e">
        <v>#N/A</v>
      </c>
      <c r="ALV44" t="e">
        <v>#N/A</v>
      </c>
      <c r="ALW44" t="e">
        <v>#N/A</v>
      </c>
      <c r="ALX44" t="e">
        <v>#N/A</v>
      </c>
      <c r="ALY44" t="e">
        <v>#N/A</v>
      </c>
      <c r="ALZ44" t="e">
        <v>#N/A</v>
      </c>
      <c r="AMA44" t="e">
        <v>#N/A</v>
      </c>
      <c r="AMB44" t="e">
        <v>#N/A</v>
      </c>
      <c r="AMC44" t="e">
        <v>#N/A</v>
      </c>
      <c r="AMD44" t="e">
        <v>#N/A</v>
      </c>
      <c r="AME44" t="e">
        <v>#N/A</v>
      </c>
      <c r="AMF44" t="e">
        <v>#N/A</v>
      </c>
      <c r="AMG44" t="e">
        <v>#N/A</v>
      </c>
      <c r="AMH44" t="e">
        <v>#N/A</v>
      </c>
    </row>
    <row r="45" spans="1:1022" ht="15.75" customHeight="1">
      <c r="A45" s="8">
        <v>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0</v>
      </c>
      <c r="IW45" s="8">
        <v>0</v>
      </c>
      <c r="IX45" s="8">
        <v>0</v>
      </c>
      <c r="IY45" s="8">
        <v>0</v>
      </c>
      <c r="IZ45" s="8">
        <v>0</v>
      </c>
      <c r="JA45" s="8">
        <v>0</v>
      </c>
      <c r="JB45" s="8">
        <v>0</v>
      </c>
      <c r="JC45" s="8">
        <v>0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</v>
      </c>
      <c r="KQ45" s="8">
        <v>0</v>
      </c>
      <c r="KR45" s="8">
        <v>0</v>
      </c>
      <c r="KS45" s="8">
        <v>0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0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0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0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0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0</v>
      </c>
      <c r="QO45" s="8">
        <v>0</v>
      </c>
      <c r="QP45" s="8">
        <v>0</v>
      </c>
      <c r="QQ45" s="8">
        <v>0</v>
      </c>
      <c r="QR45" s="8">
        <v>0</v>
      </c>
      <c r="QS45" s="8">
        <v>0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0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  <c r="SL45" s="8">
        <v>0</v>
      </c>
      <c r="SM45" s="8">
        <v>0</v>
      </c>
      <c r="SN45" s="8">
        <v>0</v>
      </c>
      <c r="SO45" s="8">
        <v>0</v>
      </c>
      <c r="SP45" s="8">
        <v>0</v>
      </c>
      <c r="SQ45" s="8">
        <v>0</v>
      </c>
      <c r="SR45" s="8">
        <v>0</v>
      </c>
      <c r="SS45" s="8">
        <v>0</v>
      </c>
      <c r="ST45" s="8">
        <v>0</v>
      </c>
      <c r="SU45" s="8">
        <v>0</v>
      </c>
      <c r="SV45" s="8">
        <v>0</v>
      </c>
      <c r="SW45" s="8">
        <v>0</v>
      </c>
      <c r="SX45" s="8">
        <v>0</v>
      </c>
      <c r="SY45" s="8">
        <v>0</v>
      </c>
      <c r="SZ45" s="8">
        <v>0</v>
      </c>
      <c r="TA45" s="8">
        <v>0</v>
      </c>
      <c r="TB45" s="8">
        <v>0</v>
      </c>
      <c r="TC45" s="8">
        <v>0</v>
      </c>
      <c r="TD45" s="8">
        <v>0</v>
      </c>
      <c r="TE45" s="8">
        <v>0</v>
      </c>
      <c r="TF45" s="8">
        <v>0</v>
      </c>
      <c r="TG45" s="8">
        <v>0</v>
      </c>
      <c r="TH45" s="8">
        <v>0</v>
      </c>
      <c r="TI45" s="8">
        <v>0</v>
      </c>
      <c r="TJ45" s="8">
        <v>0</v>
      </c>
      <c r="TK45" s="8">
        <v>0</v>
      </c>
      <c r="TL45" s="8">
        <v>0</v>
      </c>
      <c r="TM45" s="8">
        <v>0</v>
      </c>
      <c r="TN45" s="8">
        <v>0</v>
      </c>
      <c r="TO45" s="8">
        <v>0</v>
      </c>
      <c r="TP45" s="8">
        <v>0</v>
      </c>
      <c r="TQ45" s="8">
        <v>0</v>
      </c>
      <c r="TR45" s="8">
        <v>0</v>
      </c>
      <c r="TS45" s="8">
        <v>0</v>
      </c>
      <c r="TT45" s="8">
        <v>0</v>
      </c>
      <c r="TU45" s="8">
        <v>0</v>
      </c>
      <c r="TV45" s="8">
        <v>0</v>
      </c>
      <c r="TW45" s="8">
        <v>0</v>
      </c>
      <c r="TX45" s="8">
        <v>0</v>
      </c>
      <c r="TY45" s="8">
        <v>0</v>
      </c>
      <c r="TZ45" s="8">
        <v>0</v>
      </c>
      <c r="UA45" s="8">
        <v>0</v>
      </c>
      <c r="UB45" s="8">
        <v>0</v>
      </c>
      <c r="UC45" s="8">
        <v>0</v>
      </c>
      <c r="UD45" s="8">
        <v>0</v>
      </c>
      <c r="UE45" s="8">
        <v>0</v>
      </c>
      <c r="UF45" s="8">
        <v>0</v>
      </c>
      <c r="UG45" s="8">
        <v>0</v>
      </c>
      <c r="UH45" s="8">
        <v>0</v>
      </c>
      <c r="UI45" s="8">
        <v>0</v>
      </c>
      <c r="UJ45" s="8">
        <v>0</v>
      </c>
      <c r="UK45" s="8">
        <v>0</v>
      </c>
      <c r="UL45" s="8">
        <v>0</v>
      </c>
      <c r="UM45" s="8">
        <v>0</v>
      </c>
      <c r="UN45" s="8">
        <v>0</v>
      </c>
      <c r="UO45" s="8">
        <v>0</v>
      </c>
      <c r="UP45" s="8">
        <v>0</v>
      </c>
      <c r="UQ45" s="8">
        <v>0</v>
      </c>
      <c r="UR45" s="8">
        <v>0</v>
      </c>
      <c r="US45" s="8">
        <v>0</v>
      </c>
      <c r="UT45" s="8">
        <v>0</v>
      </c>
      <c r="UU45" s="8">
        <v>0</v>
      </c>
      <c r="UV45" s="8">
        <v>0</v>
      </c>
      <c r="UW45" s="8">
        <v>0</v>
      </c>
      <c r="UX45" s="8">
        <v>0</v>
      </c>
      <c r="UY45" s="8">
        <v>0</v>
      </c>
      <c r="UZ45" s="8">
        <v>0</v>
      </c>
      <c r="VA45" s="8">
        <v>0</v>
      </c>
      <c r="VB45" s="8">
        <v>0</v>
      </c>
      <c r="VC45" s="8">
        <v>0</v>
      </c>
      <c r="VD45" s="8">
        <v>0</v>
      </c>
      <c r="VE45" s="8">
        <v>0</v>
      </c>
      <c r="VF45" s="8">
        <v>0</v>
      </c>
      <c r="VG45" s="8">
        <v>0</v>
      </c>
      <c r="VH45" s="8">
        <v>0</v>
      </c>
      <c r="VI45" s="8">
        <v>0</v>
      </c>
      <c r="VJ45" s="8">
        <v>0</v>
      </c>
      <c r="VK45" s="8">
        <v>0</v>
      </c>
      <c r="VL45" s="8">
        <v>0</v>
      </c>
      <c r="VM45" s="8">
        <v>0</v>
      </c>
      <c r="VN45" s="8">
        <v>0</v>
      </c>
      <c r="VO45" s="8">
        <v>0</v>
      </c>
      <c r="VP45" s="8">
        <v>0</v>
      </c>
      <c r="VQ45" s="8">
        <v>0</v>
      </c>
      <c r="VR45" s="8">
        <v>0</v>
      </c>
      <c r="VS45" s="8">
        <v>0</v>
      </c>
      <c r="VT45" s="8">
        <v>0</v>
      </c>
      <c r="VU45" s="8">
        <v>0</v>
      </c>
      <c r="VV45" s="8">
        <v>0</v>
      </c>
      <c r="VW45" s="8">
        <v>0</v>
      </c>
      <c r="VX45" s="8">
        <v>0</v>
      </c>
      <c r="VY45" s="8">
        <v>0</v>
      </c>
      <c r="VZ45" s="8">
        <v>0</v>
      </c>
      <c r="WA45" s="8">
        <v>0</v>
      </c>
      <c r="WB45" s="8">
        <v>0</v>
      </c>
      <c r="WC45" s="8">
        <v>0</v>
      </c>
      <c r="WD45" s="8">
        <v>0</v>
      </c>
      <c r="WE45" s="8">
        <v>0</v>
      </c>
      <c r="WF45" s="8">
        <v>0</v>
      </c>
      <c r="WG45" s="8">
        <v>0</v>
      </c>
      <c r="WH45" s="8">
        <v>0</v>
      </c>
      <c r="WI45" s="8">
        <v>0</v>
      </c>
      <c r="WJ45" s="8">
        <v>0</v>
      </c>
      <c r="WK45" s="8">
        <v>0</v>
      </c>
      <c r="WL45" s="8">
        <v>0</v>
      </c>
      <c r="WM45" s="8">
        <v>0</v>
      </c>
      <c r="WN45" s="8">
        <v>0</v>
      </c>
      <c r="WO45" s="8">
        <v>0</v>
      </c>
      <c r="WP45" s="8">
        <v>0</v>
      </c>
      <c r="WQ45" s="8">
        <v>0</v>
      </c>
      <c r="WR45" s="8">
        <v>0</v>
      </c>
      <c r="WS45" s="8">
        <v>0</v>
      </c>
      <c r="WT45" s="8">
        <v>0</v>
      </c>
      <c r="WU45" s="8">
        <v>0</v>
      </c>
      <c r="WV45" s="8">
        <v>0</v>
      </c>
      <c r="WW45" s="8">
        <v>0</v>
      </c>
      <c r="WX45" s="8">
        <v>0</v>
      </c>
      <c r="WY45" s="8">
        <v>0</v>
      </c>
      <c r="WZ45" s="8">
        <v>0</v>
      </c>
      <c r="XA45" s="8">
        <v>0</v>
      </c>
      <c r="XB45" s="8">
        <v>0</v>
      </c>
      <c r="XC45" s="8">
        <v>0</v>
      </c>
      <c r="XD45" s="8">
        <v>0</v>
      </c>
      <c r="XE45" s="8">
        <v>0</v>
      </c>
      <c r="XF45" s="8">
        <v>0</v>
      </c>
      <c r="XG45" s="8">
        <v>0</v>
      </c>
      <c r="XH45" s="8">
        <v>0</v>
      </c>
      <c r="XI45" s="8">
        <v>0</v>
      </c>
      <c r="XJ45" s="8">
        <v>0</v>
      </c>
      <c r="XK45" s="8">
        <v>0</v>
      </c>
      <c r="XL45" s="8">
        <v>0</v>
      </c>
      <c r="XM45" s="8">
        <v>0</v>
      </c>
      <c r="XN45" s="8">
        <v>0</v>
      </c>
      <c r="XO45" s="8">
        <v>0</v>
      </c>
      <c r="XP45" s="8">
        <v>0</v>
      </c>
      <c r="XQ45" s="8">
        <v>0</v>
      </c>
      <c r="XR45" s="8">
        <v>0</v>
      </c>
      <c r="XS45" s="8">
        <v>0</v>
      </c>
      <c r="XT45" s="8">
        <v>0</v>
      </c>
      <c r="XU45" s="8">
        <v>0</v>
      </c>
      <c r="XV45" s="8">
        <v>0</v>
      </c>
      <c r="XW45" s="8">
        <v>0</v>
      </c>
      <c r="XX45" s="8">
        <v>0</v>
      </c>
      <c r="XY45" s="8">
        <v>0</v>
      </c>
      <c r="XZ45" s="8">
        <v>0</v>
      </c>
      <c r="YA45" s="8">
        <v>0</v>
      </c>
      <c r="YB45" s="8">
        <v>0</v>
      </c>
      <c r="YC45" s="8">
        <v>0</v>
      </c>
      <c r="YD45" s="8">
        <v>0</v>
      </c>
      <c r="YE45" s="8">
        <v>0</v>
      </c>
      <c r="YF45" s="8">
        <v>0</v>
      </c>
      <c r="YG45" s="8">
        <v>0</v>
      </c>
      <c r="YH45" s="8">
        <v>0</v>
      </c>
      <c r="YI45" s="8">
        <v>0</v>
      </c>
      <c r="YJ45" s="8">
        <v>0</v>
      </c>
      <c r="YK45" s="8">
        <v>0</v>
      </c>
      <c r="YL45" s="8">
        <v>0</v>
      </c>
      <c r="YM45" s="8">
        <v>0</v>
      </c>
      <c r="YN45" s="8">
        <v>0</v>
      </c>
      <c r="YO45" s="8">
        <v>0</v>
      </c>
      <c r="YP45" s="8">
        <v>0</v>
      </c>
      <c r="YQ45" s="8">
        <v>0</v>
      </c>
      <c r="YR45" s="8">
        <v>0</v>
      </c>
      <c r="YS45" s="8">
        <v>0</v>
      </c>
      <c r="YT45" s="8">
        <v>0</v>
      </c>
      <c r="YU45" s="8">
        <v>0</v>
      </c>
      <c r="YV45" s="8">
        <v>0</v>
      </c>
      <c r="YW45" s="8">
        <v>0</v>
      </c>
      <c r="YX45" s="8">
        <v>0</v>
      </c>
      <c r="YY45" s="8">
        <v>0</v>
      </c>
      <c r="YZ45" s="8">
        <v>0</v>
      </c>
      <c r="ZA45" s="8">
        <v>0</v>
      </c>
      <c r="ZB45" s="8">
        <v>0</v>
      </c>
      <c r="ZC45" s="8">
        <v>0</v>
      </c>
      <c r="ZD45" s="8">
        <v>0</v>
      </c>
      <c r="ZE45" s="8">
        <v>0</v>
      </c>
      <c r="ZF45" s="8">
        <v>0</v>
      </c>
      <c r="ZG45" s="8">
        <v>0</v>
      </c>
      <c r="ZH45" s="8">
        <v>0</v>
      </c>
      <c r="ZI45" s="8">
        <v>0</v>
      </c>
      <c r="ZJ45" s="8">
        <v>0</v>
      </c>
      <c r="ZK45" s="8">
        <v>0</v>
      </c>
      <c r="ZL45" s="8">
        <v>0</v>
      </c>
      <c r="ZM45" s="8">
        <v>0</v>
      </c>
      <c r="ZN45" s="8">
        <v>0</v>
      </c>
      <c r="ZO45" s="8">
        <v>0</v>
      </c>
      <c r="ZP45" s="8">
        <v>0</v>
      </c>
      <c r="ZQ45" s="8">
        <v>0</v>
      </c>
      <c r="ZR45" s="8">
        <v>0</v>
      </c>
      <c r="ZS45" s="8">
        <v>0</v>
      </c>
      <c r="ZT45" s="8">
        <v>0</v>
      </c>
      <c r="ZU45" s="8">
        <v>0</v>
      </c>
      <c r="ZV45" s="8">
        <v>0</v>
      </c>
      <c r="ZW45" s="8">
        <v>0</v>
      </c>
      <c r="ZX45" s="8">
        <v>0</v>
      </c>
      <c r="ZY45" s="8">
        <v>0</v>
      </c>
      <c r="ZZ45" s="8">
        <v>0</v>
      </c>
      <c r="AAA45" s="8">
        <v>0</v>
      </c>
      <c r="AAB45" s="8">
        <v>0</v>
      </c>
      <c r="AAC45" s="8">
        <v>0</v>
      </c>
      <c r="AAD45" s="8">
        <v>0</v>
      </c>
      <c r="AAE45" s="8">
        <v>0</v>
      </c>
      <c r="AAF45" s="8">
        <v>0</v>
      </c>
      <c r="AAG45" s="8">
        <v>0</v>
      </c>
      <c r="AAH45" s="8">
        <v>0</v>
      </c>
      <c r="AAI45" s="8">
        <v>0</v>
      </c>
      <c r="AAJ45" s="8">
        <v>0</v>
      </c>
      <c r="AAK45" s="8">
        <v>0</v>
      </c>
      <c r="AAL45" s="8">
        <v>0</v>
      </c>
      <c r="AAM45" s="8">
        <v>0</v>
      </c>
      <c r="AAN45" s="8">
        <v>0</v>
      </c>
      <c r="AAO45" s="8">
        <v>0</v>
      </c>
      <c r="AAP45" s="8">
        <v>0</v>
      </c>
      <c r="AAQ45" s="8">
        <v>0</v>
      </c>
      <c r="AAR45" s="8">
        <v>0</v>
      </c>
      <c r="AAS45" s="8">
        <v>0</v>
      </c>
      <c r="AAT45" s="8">
        <v>0</v>
      </c>
      <c r="AAU45" s="8">
        <v>0</v>
      </c>
      <c r="AAV45" s="8">
        <v>0</v>
      </c>
      <c r="AAW45" s="8">
        <v>0</v>
      </c>
      <c r="AAX45" s="8">
        <v>0</v>
      </c>
      <c r="AAY45" s="8">
        <v>0</v>
      </c>
      <c r="AAZ45" s="8">
        <v>0</v>
      </c>
      <c r="ABA45" s="8">
        <v>0</v>
      </c>
      <c r="ABB45" s="8">
        <v>0</v>
      </c>
      <c r="ABC45" s="8">
        <v>0</v>
      </c>
      <c r="ABD45" s="8">
        <v>0</v>
      </c>
      <c r="ABE45" s="8">
        <v>0</v>
      </c>
      <c r="ABF45" s="8">
        <v>0</v>
      </c>
      <c r="ABG45" s="8">
        <v>0</v>
      </c>
      <c r="ABH45" s="8">
        <v>0</v>
      </c>
      <c r="ABI45" s="8">
        <v>0</v>
      </c>
      <c r="ABJ45" s="8">
        <v>0</v>
      </c>
      <c r="ABK45" s="8">
        <v>0</v>
      </c>
      <c r="ABL45" s="8">
        <v>0</v>
      </c>
      <c r="ABM45" s="8">
        <v>0</v>
      </c>
      <c r="ABN45" s="8">
        <v>0</v>
      </c>
      <c r="ABO45" s="8">
        <v>0</v>
      </c>
      <c r="ABP45" s="8">
        <v>0</v>
      </c>
      <c r="ABQ45" s="8">
        <v>0</v>
      </c>
      <c r="ABR45" s="8">
        <v>0</v>
      </c>
      <c r="ABS45" s="8">
        <v>0</v>
      </c>
      <c r="ABT45" s="8">
        <v>0</v>
      </c>
      <c r="ABU45" s="8">
        <v>0</v>
      </c>
      <c r="ABV45" s="8">
        <v>0</v>
      </c>
      <c r="ABW45" s="8">
        <v>0</v>
      </c>
      <c r="ABX45" s="8">
        <v>0</v>
      </c>
      <c r="ABY45" s="8">
        <v>0</v>
      </c>
      <c r="ABZ45" s="8">
        <v>0</v>
      </c>
      <c r="ACA45" s="8">
        <v>0</v>
      </c>
      <c r="ACB45" s="8">
        <v>0</v>
      </c>
      <c r="ACC45" s="8">
        <v>0</v>
      </c>
      <c r="ACD45" s="8">
        <v>0</v>
      </c>
      <c r="ACE45" s="8">
        <v>0</v>
      </c>
      <c r="ACF45" s="8">
        <v>0</v>
      </c>
      <c r="ACG45" s="8">
        <v>0</v>
      </c>
      <c r="ACH45" s="8">
        <v>0</v>
      </c>
      <c r="ACI45" s="8">
        <v>0</v>
      </c>
      <c r="ACJ45" s="8">
        <v>0</v>
      </c>
      <c r="ACK45" s="8">
        <v>0</v>
      </c>
      <c r="ACL45" s="8">
        <v>0</v>
      </c>
      <c r="ACM45" s="8">
        <v>0</v>
      </c>
      <c r="ACN45" s="8">
        <v>0</v>
      </c>
      <c r="ACO45" s="8">
        <v>0</v>
      </c>
      <c r="ACP45" s="8">
        <v>0</v>
      </c>
      <c r="ACQ45" s="8">
        <v>0</v>
      </c>
      <c r="ACR45" s="8">
        <v>0</v>
      </c>
      <c r="ACS45" s="8">
        <v>0</v>
      </c>
      <c r="ACT45" s="8">
        <v>0</v>
      </c>
      <c r="ACU45" s="8">
        <v>0</v>
      </c>
      <c r="ACV45" s="8">
        <v>0</v>
      </c>
      <c r="ACW45" s="8">
        <v>0</v>
      </c>
      <c r="ACX45" s="8">
        <v>0</v>
      </c>
      <c r="ACY45" s="8">
        <v>0</v>
      </c>
      <c r="ACZ45" s="8">
        <v>0</v>
      </c>
      <c r="ADA45" s="8">
        <v>0</v>
      </c>
      <c r="ADB45" s="8">
        <v>0</v>
      </c>
      <c r="ADC45" s="8">
        <v>0</v>
      </c>
      <c r="ADD45" s="8">
        <v>0</v>
      </c>
      <c r="ADE45" s="8">
        <v>0</v>
      </c>
      <c r="ADF45" s="8">
        <v>0</v>
      </c>
      <c r="ADG45" s="8">
        <v>0</v>
      </c>
      <c r="ADH45" s="8">
        <v>0</v>
      </c>
      <c r="ADI45" s="8">
        <v>0</v>
      </c>
      <c r="ADJ45" s="8">
        <v>0</v>
      </c>
      <c r="ADK45" s="8">
        <v>0</v>
      </c>
      <c r="ADL45" s="8">
        <v>0</v>
      </c>
      <c r="ADM45" s="8">
        <v>0</v>
      </c>
      <c r="ADN45" s="8">
        <v>0</v>
      </c>
      <c r="ADO45" s="8">
        <v>0</v>
      </c>
      <c r="ADP45" s="8">
        <v>0</v>
      </c>
      <c r="ADQ45" s="8">
        <v>0</v>
      </c>
      <c r="ADR45" s="8">
        <v>0</v>
      </c>
      <c r="ADS45" s="8">
        <v>0</v>
      </c>
      <c r="ADT45" s="8">
        <v>0</v>
      </c>
      <c r="ADU45" s="8">
        <v>0</v>
      </c>
      <c r="ADV45" s="8">
        <v>0</v>
      </c>
      <c r="ADW45" s="8">
        <v>0</v>
      </c>
      <c r="ADX45" s="8">
        <v>0</v>
      </c>
      <c r="ADY45" s="8">
        <v>0</v>
      </c>
      <c r="ADZ45" s="8">
        <v>0</v>
      </c>
      <c r="AEA45" s="8">
        <v>0</v>
      </c>
      <c r="AEB45" s="8">
        <v>0</v>
      </c>
      <c r="AEC45" s="8">
        <v>0</v>
      </c>
      <c r="AED45" s="8">
        <v>0</v>
      </c>
      <c r="AEE45" s="8">
        <v>0</v>
      </c>
      <c r="AEF45" s="8">
        <v>0</v>
      </c>
      <c r="AEG45" s="8">
        <v>0</v>
      </c>
      <c r="AEH45" s="8">
        <v>0</v>
      </c>
      <c r="AEI45" s="8">
        <v>0</v>
      </c>
      <c r="AEJ45" s="8">
        <v>0</v>
      </c>
      <c r="AEK45" s="8">
        <v>0</v>
      </c>
      <c r="AEL45" s="8">
        <v>0</v>
      </c>
      <c r="AEM45" s="8">
        <v>0</v>
      </c>
      <c r="AEN45" s="8">
        <v>0</v>
      </c>
      <c r="AEO45" s="8">
        <v>0</v>
      </c>
      <c r="AEP45" s="8">
        <v>0</v>
      </c>
      <c r="AEQ45" s="8">
        <v>0</v>
      </c>
      <c r="AER45" s="8">
        <v>0</v>
      </c>
      <c r="AES45" s="8">
        <v>0</v>
      </c>
      <c r="AET45" s="8">
        <v>0</v>
      </c>
      <c r="AEU45" s="8">
        <v>0</v>
      </c>
      <c r="AEV45" s="8">
        <v>0</v>
      </c>
      <c r="AEW45" s="8">
        <v>0</v>
      </c>
      <c r="AEX45" s="8">
        <v>0</v>
      </c>
      <c r="AEY45" s="8">
        <v>0</v>
      </c>
      <c r="AEZ45" s="8">
        <v>0</v>
      </c>
      <c r="AFA45" s="8">
        <v>0</v>
      </c>
      <c r="AFB45" s="8">
        <v>0</v>
      </c>
      <c r="AFC45" s="8">
        <v>0</v>
      </c>
      <c r="AFD45" s="8">
        <v>0</v>
      </c>
      <c r="AFE45" s="8">
        <v>0</v>
      </c>
      <c r="AFF45" s="8">
        <v>0</v>
      </c>
      <c r="AFG45" s="8">
        <v>0</v>
      </c>
      <c r="AFH45" s="8">
        <v>0</v>
      </c>
      <c r="AFI45" s="8">
        <v>0</v>
      </c>
      <c r="AFJ45" s="8">
        <v>0</v>
      </c>
      <c r="AFK45" s="8">
        <v>0</v>
      </c>
      <c r="AFL45" s="8">
        <v>0</v>
      </c>
      <c r="AFM45" s="8">
        <v>0</v>
      </c>
      <c r="AFN45" s="8">
        <v>0</v>
      </c>
      <c r="AFO45" s="8">
        <v>0</v>
      </c>
      <c r="AFP45" s="8">
        <v>0</v>
      </c>
      <c r="AFQ45" s="8">
        <v>0</v>
      </c>
      <c r="AFR45" s="8">
        <v>0</v>
      </c>
      <c r="AFS45" s="8">
        <v>0</v>
      </c>
      <c r="AFT45" s="8">
        <v>0</v>
      </c>
      <c r="AFU45" s="8">
        <v>0</v>
      </c>
      <c r="AFV45" s="8">
        <v>0</v>
      </c>
      <c r="AFW45" s="8">
        <v>0</v>
      </c>
      <c r="AFX45" s="8">
        <v>0</v>
      </c>
      <c r="AFY45" s="8">
        <v>0</v>
      </c>
      <c r="AFZ45" s="8">
        <v>0</v>
      </c>
      <c r="AGA45" s="8">
        <v>0</v>
      </c>
      <c r="AGB45" s="8">
        <v>0</v>
      </c>
      <c r="AGC45" s="8">
        <v>0</v>
      </c>
      <c r="AGD45" s="8">
        <v>0</v>
      </c>
      <c r="AGE45" s="8">
        <v>0</v>
      </c>
      <c r="AGF45" s="8">
        <v>0</v>
      </c>
      <c r="AGG45" s="8">
        <v>0</v>
      </c>
      <c r="AGH45" s="8">
        <v>0</v>
      </c>
      <c r="AGI45" s="8">
        <v>0</v>
      </c>
      <c r="AGJ45" s="8">
        <v>0</v>
      </c>
      <c r="AGK45" s="8">
        <v>0</v>
      </c>
      <c r="AGL45" s="8">
        <v>0</v>
      </c>
      <c r="AGM45" s="8">
        <v>0</v>
      </c>
      <c r="AGN45" s="8">
        <v>0</v>
      </c>
      <c r="AGO45" s="8">
        <v>0</v>
      </c>
      <c r="AGP45" s="8">
        <v>0</v>
      </c>
      <c r="AGQ45" s="8">
        <v>0</v>
      </c>
      <c r="AGR45" s="8">
        <v>0</v>
      </c>
      <c r="AGS45" s="8">
        <v>0</v>
      </c>
      <c r="AGT45" s="8">
        <v>0</v>
      </c>
      <c r="AGU45" s="8">
        <v>0</v>
      </c>
      <c r="AGV45" s="8">
        <v>0</v>
      </c>
      <c r="AGW45" s="8">
        <v>0</v>
      </c>
      <c r="AGX45" s="8">
        <v>0</v>
      </c>
      <c r="AGY45" s="8">
        <v>0</v>
      </c>
      <c r="AGZ45" s="8">
        <v>0</v>
      </c>
      <c r="AHA45" s="8">
        <v>0</v>
      </c>
      <c r="AHB45" s="8">
        <v>0</v>
      </c>
      <c r="AHC45" s="8">
        <v>0</v>
      </c>
      <c r="AHD45" s="8">
        <v>0</v>
      </c>
      <c r="AHE45" s="8">
        <v>0</v>
      </c>
      <c r="AHF45" s="8">
        <v>0</v>
      </c>
      <c r="AHG45" s="8">
        <v>0</v>
      </c>
      <c r="AHH45" s="8">
        <v>0</v>
      </c>
      <c r="AHI45" s="8">
        <v>0</v>
      </c>
      <c r="AHJ45" s="8">
        <v>0</v>
      </c>
      <c r="AHK45" s="8">
        <v>0</v>
      </c>
      <c r="AHL45" s="8">
        <v>0</v>
      </c>
      <c r="AHM45" s="8">
        <v>0</v>
      </c>
      <c r="AHN45" s="8">
        <v>0</v>
      </c>
      <c r="AHO45" s="8">
        <v>0</v>
      </c>
      <c r="AHP45" s="8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 t="e">
        <v>#N/A</v>
      </c>
      <c r="AIJ45" t="e">
        <v>#N/A</v>
      </c>
      <c r="AIK45" t="e">
        <v>#N/A</v>
      </c>
      <c r="AIL45" t="e">
        <v>#N/A</v>
      </c>
      <c r="AIM45" t="e">
        <v>#N/A</v>
      </c>
      <c r="AIN45" t="e">
        <v>#N/A</v>
      </c>
      <c r="AIO45" t="e">
        <v>#N/A</v>
      </c>
      <c r="AIP45" t="e">
        <v>#N/A</v>
      </c>
      <c r="AIQ45" t="e">
        <v>#N/A</v>
      </c>
      <c r="AIR45" t="e">
        <v>#N/A</v>
      </c>
      <c r="AIS45" t="e">
        <v>#N/A</v>
      </c>
      <c r="AIT45" t="e">
        <v>#N/A</v>
      </c>
      <c r="AIU45" t="e">
        <v>#N/A</v>
      </c>
      <c r="AIV45" t="e">
        <v>#N/A</v>
      </c>
      <c r="AIW45" t="e">
        <v>#N/A</v>
      </c>
      <c r="AIX45" t="e">
        <v>#N/A</v>
      </c>
      <c r="AIY45" t="e">
        <v>#N/A</v>
      </c>
      <c r="AIZ45" t="e">
        <v>#N/A</v>
      </c>
      <c r="AJA45" t="e">
        <v>#N/A</v>
      </c>
      <c r="AJB45" t="e">
        <v>#N/A</v>
      </c>
      <c r="AJC45" t="e">
        <v>#N/A</v>
      </c>
      <c r="AJD45" t="e">
        <v>#N/A</v>
      </c>
      <c r="AJE45" t="e">
        <v>#N/A</v>
      </c>
      <c r="AJF45" t="e">
        <v>#N/A</v>
      </c>
      <c r="AJG45" t="e">
        <v>#N/A</v>
      </c>
      <c r="AJH45" t="e">
        <v>#N/A</v>
      </c>
      <c r="AJI45" t="e">
        <v>#N/A</v>
      </c>
      <c r="AJJ45" t="e">
        <v>#N/A</v>
      </c>
      <c r="AJK45" t="e">
        <v>#N/A</v>
      </c>
      <c r="AJL45" t="e">
        <v>#N/A</v>
      </c>
      <c r="AJM45" t="e">
        <v>#N/A</v>
      </c>
      <c r="AJN45" t="e">
        <v>#N/A</v>
      </c>
      <c r="AJO45" t="e">
        <v>#N/A</v>
      </c>
      <c r="AJP45" t="e">
        <v>#N/A</v>
      </c>
      <c r="AJQ45" t="e">
        <v>#N/A</v>
      </c>
      <c r="AJR45" t="e">
        <v>#N/A</v>
      </c>
      <c r="AJS45" t="e">
        <v>#N/A</v>
      </c>
      <c r="AJT45" t="e">
        <v>#N/A</v>
      </c>
      <c r="AJU45" t="e">
        <v>#N/A</v>
      </c>
      <c r="AJV45" t="e">
        <v>#N/A</v>
      </c>
      <c r="AJW45" t="e">
        <v>#N/A</v>
      </c>
      <c r="AJX45" t="e">
        <v>#N/A</v>
      </c>
      <c r="AJY45" t="e">
        <v>#N/A</v>
      </c>
      <c r="AJZ45" t="e">
        <v>#N/A</v>
      </c>
      <c r="AKA45" t="e">
        <v>#N/A</v>
      </c>
      <c r="AKB45" t="e">
        <v>#N/A</v>
      </c>
      <c r="AKC45" t="e">
        <v>#N/A</v>
      </c>
      <c r="AKD45" t="e">
        <v>#N/A</v>
      </c>
      <c r="AKE45" t="e">
        <v>#N/A</v>
      </c>
      <c r="AKF45" t="e">
        <v>#N/A</v>
      </c>
      <c r="AKG45" t="e">
        <v>#N/A</v>
      </c>
      <c r="AKH45" t="e">
        <v>#N/A</v>
      </c>
      <c r="AKI45" t="e">
        <v>#N/A</v>
      </c>
      <c r="AKJ45" t="e">
        <v>#N/A</v>
      </c>
      <c r="AKK45" t="e">
        <v>#N/A</v>
      </c>
      <c r="AKL45" t="e">
        <v>#N/A</v>
      </c>
      <c r="AKM45" t="e">
        <v>#N/A</v>
      </c>
      <c r="AKN45" t="e">
        <v>#N/A</v>
      </c>
      <c r="AKO45" t="e">
        <v>#N/A</v>
      </c>
      <c r="AKP45" t="e">
        <v>#N/A</v>
      </c>
      <c r="AKQ45" t="e">
        <v>#N/A</v>
      </c>
      <c r="AKR45" t="e">
        <v>#N/A</v>
      </c>
      <c r="AKS45" t="e">
        <v>#N/A</v>
      </c>
      <c r="AKT45" t="e">
        <v>#N/A</v>
      </c>
      <c r="AKU45" t="e">
        <v>#N/A</v>
      </c>
      <c r="AKV45" t="e">
        <v>#N/A</v>
      </c>
      <c r="AKW45" t="e">
        <v>#N/A</v>
      </c>
      <c r="AKX45" t="e">
        <v>#N/A</v>
      </c>
      <c r="AKY45" t="e">
        <v>#N/A</v>
      </c>
      <c r="AKZ45" t="e">
        <v>#N/A</v>
      </c>
      <c r="ALA45" t="e">
        <v>#N/A</v>
      </c>
      <c r="ALB45" t="e">
        <v>#N/A</v>
      </c>
      <c r="ALC45" t="e">
        <v>#N/A</v>
      </c>
      <c r="ALD45" t="e">
        <v>#N/A</v>
      </c>
      <c r="ALE45" t="e">
        <v>#N/A</v>
      </c>
      <c r="ALF45" t="e">
        <v>#N/A</v>
      </c>
      <c r="ALG45" t="e">
        <v>#N/A</v>
      </c>
      <c r="ALH45" t="e">
        <v>#N/A</v>
      </c>
      <c r="ALI45" t="e">
        <v>#N/A</v>
      </c>
      <c r="ALJ45" t="e">
        <v>#N/A</v>
      </c>
      <c r="ALK45" t="e">
        <v>#N/A</v>
      </c>
      <c r="ALL45" t="e">
        <v>#N/A</v>
      </c>
      <c r="ALM45" t="e">
        <v>#N/A</v>
      </c>
      <c r="ALN45" t="e">
        <v>#N/A</v>
      </c>
      <c r="ALO45" t="e">
        <v>#N/A</v>
      </c>
      <c r="ALP45" t="e">
        <v>#N/A</v>
      </c>
      <c r="ALQ45" t="e">
        <v>#N/A</v>
      </c>
      <c r="ALR45" t="e">
        <v>#N/A</v>
      </c>
      <c r="ALS45" t="e">
        <v>#N/A</v>
      </c>
      <c r="ALT45" t="e">
        <v>#N/A</v>
      </c>
      <c r="ALU45" t="e">
        <v>#N/A</v>
      </c>
      <c r="ALV45" t="e">
        <v>#N/A</v>
      </c>
      <c r="ALW45" t="e">
        <v>#N/A</v>
      </c>
      <c r="ALX45" t="e">
        <v>#N/A</v>
      </c>
      <c r="ALY45" t="e">
        <v>#N/A</v>
      </c>
      <c r="ALZ45" t="e">
        <v>#N/A</v>
      </c>
      <c r="AMA45" t="e">
        <v>#N/A</v>
      </c>
      <c r="AMB45" t="e">
        <v>#N/A</v>
      </c>
      <c r="AMC45" t="e">
        <v>#N/A</v>
      </c>
      <c r="AMD45" t="e">
        <v>#N/A</v>
      </c>
      <c r="AME45" t="e">
        <v>#N/A</v>
      </c>
      <c r="AMF45" t="e">
        <v>#N/A</v>
      </c>
      <c r="AMG45" t="e">
        <v>#N/A</v>
      </c>
      <c r="AMH45" t="e">
        <v>#N/A</v>
      </c>
    </row>
    <row r="46" spans="1:1022" ht="15.75" customHeight="1">
      <c r="A46" s="8">
        <v>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0</v>
      </c>
      <c r="TA46" s="8">
        <v>0</v>
      </c>
      <c r="TB46" s="8">
        <v>0</v>
      </c>
      <c r="TC46" s="8">
        <v>0</v>
      </c>
      <c r="TD46" s="8">
        <v>0</v>
      </c>
      <c r="TE46" s="8">
        <v>0</v>
      </c>
      <c r="TF46" s="8">
        <v>0</v>
      </c>
      <c r="TG46" s="8">
        <v>0</v>
      </c>
      <c r="TH46" s="8">
        <v>0</v>
      </c>
      <c r="TI46" s="8">
        <v>0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0</v>
      </c>
      <c r="TP46" s="8">
        <v>0</v>
      </c>
      <c r="TQ46" s="8">
        <v>0</v>
      </c>
      <c r="TR46" s="8">
        <v>0</v>
      </c>
      <c r="TS46" s="8">
        <v>0</v>
      </c>
      <c r="TT46" s="8">
        <v>0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0</v>
      </c>
      <c r="UC46" s="8">
        <v>0</v>
      </c>
      <c r="UD46" s="8">
        <v>0</v>
      </c>
      <c r="UE46" s="8">
        <v>0</v>
      </c>
      <c r="UF46" s="8">
        <v>0</v>
      </c>
      <c r="UG46" s="8">
        <v>0</v>
      </c>
      <c r="UH46" s="8">
        <v>0</v>
      </c>
      <c r="UI46" s="8">
        <v>0</v>
      </c>
      <c r="UJ46" s="8">
        <v>0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0</v>
      </c>
      <c r="UQ46" s="8">
        <v>0</v>
      </c>
      <c r="UR46" s="8">
        <v>0</v>
      </c>
      <c r="US46" s="8">
        <v>0</v>
      </c>
      <c r="UT46" s="8">
        <v>0</v>
      </c>
      <c r="UU46" s="8">
        <v>0</v>
      </c>
      <c r="UV46" s="8">
        <v>0</v>
      </c>
      <c r="UW46" s="8">
        <v>0</v>
      </c>
      <c r="UX46" s="8">
        <v>0</v>
      </c>
      <c r="UY46" s="8">
        <v>0</v>
      </c>
      <c r="UZ46" s="8">
        <v>0</v>
      </c>
      <c r="VA46" s="8">
        <v>0</v>
      </c>
      <c r="VB46" s="8">
        <v>0</v>
      </c>
      <c r="VC46" s="8">
        <v>0</v>
      </c>
      <c r="VD46" s="8">
        <v>0</v>
      </c>
      <c r="VE46" s="8">
        <v>0</v>
      </c>
      <c r="VF46" s="8">
        <v>0</v>
      </c>
      <c r="VG46" s="8">
        <v>0</v>
      </c>
      <c r="VH46" s="8">
        <v>0</v>
      </c>
      <c r="VI46" s="8">
        <v>0</v>
      </c>
      <c r="VJ46" s="8">
        <v>0</v>
      </c>
      <c r="VK46" s="8">
        <v>0</v>
      </c>
      <c r="VL46" s="8">
        <v>0</v>
      </c>
      <c r="VM46" s="8">
        <v>0</v>
      </c>
      <c r="VN46" s="8">
        <v>0</v>
      </c>
      <c r="VO46" s="8">
        <v>0</v>
      </c>
      <c r="VP46" s="8">
        <v>0</v>
      </c>
      <c r="VQ46" s="8">
        <v>0</v>
      </c>
      <c r="VR46" s="8">
        <v>0</v>
      </c>
      <c r="VS46" s="8">
        <v>0</v>
      </c>
      <c r="VT46" s="8">
        <v>0</v>
      </c>
      <c r="VU46" s="8">
        <v>0</v>
      </c>
      <c r="VV46" s="8">
        <v>0</v>
      </c>
      <c r="VW46" s="8">
        <v>0</v>
      </c>
      <c r="VX46" s="8">
        <v>0</v>
      </c>
      <c r="VY46" s="8">
        <v>0</v>
      </c>
      <c r="VZ46" s="8">
        <v>0</v>
      </c>
      <c r="WA46" s="8">
        <v>0</v>
      </c>
      <c r="WB46" s="8">
        <v>0</v>
      </c>
      <c r="WC46" s="8">
        <v>0</v>
      </c>
      <c r="WD46" s="8">
        <v>0</v>
      </c>
      <c r="WE46" s="8">
        <v>0</v>
      </c>
      <c r="WF46" s="8">
        <v>0</v>
      </c>
      <c r="WG46" s="8">
        <v>0</v>
      </c>
      <c r="WH46" s="8">
        <v>0</v>
      </c>
      <c r="WI46" s="8">
        <v>0</v>
      </c>
      <c r="WJ46" s="8">
        <v>0</v>
      </c>
      <c r="WK46" s="8">
        <v>0</v>
      </c>
      <c r="WL46" s="8">
        <v>0</v>
      </c>
      <c r="WM46" s="8">
        <v>0</v>
      </c>
      <c r="WN46" s="8">
        <v>0</v>
      </c>
      <c r="WO46" s="8">
        <v>0</v>
      </c>
      <c r="WP46" s="8">
        <v>0</v>
      </c>
      <c r="WQ46" s="8">
        <v>0</v>
      </c>
      <c r="WR46" s="8">
        <v>0</v>
      </c>
      <c r="WS46" s="8">
        <v>0</v>
      </c>
      <c r="WT46" s="8">
        <v>0</v>
      </c>
      <c r="WU46" s="8">
        <v>0</v>
      </c>
      <c r="WV46" s="8">
        <v>0</v>
      </c>
      <c r="WW46" s="8">
        <v>0</v>
      </c>
      <c r="WX46" s="8">
        <v>0</v>
      </c>
      <c r="WY46" s="8">
        <v>0</v>
      </c>
      <c r="WZ46" s="8">
        <v>0</v>
      </c>
      <c r="XA46" s="8">
        <v>0</v>
      </c>
      <c r="XB46" s="8">
        <v>0</v>
      </c>
      <c r="XC46" s="8">
        <v>0</v>
      </c>
      <c r="XD46" s="8">
        <v>0</v>
      </c>
      <c r="XE46" s="8">
        <v>0</v>
      </c>
      <c r="XF46" s="8">
        <v>0</v>
      </c>
      <c r="XG46" s="8">
        <v>0</v>
      </c>
      <c r="XH46" s="8">
        <v>0</v>
      </c>
      <c r="XI46" s="8">
        <v>0</v>
      </c>
      <c r="XJ46" s="8">
        <v>0</v>
      </c>
      <c r="XK46" s="8">
        <v>0</v>
      </c>
      <c r="XL46" s="8">
        <v>0</v>
      </c>
      <c r="XM46" s="8">
        <v>0</v>
      </c>
      <c r="XN46" s="8">
        <v>0</v>
      </c>
      <c r="XO46" s="8">
        <v>0</v>
      </c>
      <c r="XP46" s="8">
        <v>0</v>
      </c>
      <c r="XQ46" s="8">
        <v>0</v>
      </c>
      <c r="XR46" s="8">
        <v>0</v>
      </c>
      <c r="XS46" s="8">
        <v>0</v>
      </c>
      <c r="XT46" s="8">
        <v>0</v>
      </c>
      <c r="XU46" s="8">
        <v>0</v>
      </c>
      <c r="XV46" s="8">
        <v>0</v>
      </c>
      <c r="XW46" s="8">
        <v>0</v>
      </c>
      <c r="XX46" s="8">
        <v>0</v>
      </c>
      <c r="XY46" s="8">
        <v>0</v>
      </c>
      <c r="XZ46" s="8">
        <v>0</v>
      </c>
      <c r="YA46" s="8">
        <v>0</v>
      </c>
      <c r="YB46" s="8">
        <v>0</v>
      </c>
      <c r="YC46" s="8">
        <v>0</v>
      </c>
      <c r="YD46" s="8">
        <v>0</v>
      </c>
      <c r="YE46" s="8">
        <v>0</v>
      </c>
      <c r="YF46" s="8">
        <v>0</v>
      </c>
      <c r="YG46" s="8">
        <v>0</v>
      </c>
      <c r="YH46" s="8">
        <v>0</v>
      </c>
      <c r="YI46" s="8">
        <v>0</v>
      </c>
      <c r="YJ46" s="8">
        <v>0</v>
      </c>
      <c r="YK46" s="8">
        <v>0</v>
      </c>
      <c r="YL46" s="8">
        <v>0</v>
      </c>
      <c r="YM46" s="8">
        <v>0</v>
      </c>
      <c r="YN46" s="8">
        <v>0</v>
      </c>
      <c r="YO46" s="8">
        <v>0</v>
      </c>
      <c r="YP46" s="8">
        <v>0</v>
      </c>
      <c r="YQ46" s="8">
        <v>0</v>
      </c>
      <c r="YR46" s="8">
        <v>0</v>
      </c>
      <c r="YS46" s="8">
        <v>0</v>
      </c>
      <c r="YT46" s="8">
        <v>0</v>
      </c>
      <c r="YU46" s="8">
        <v>0</v>
      </c>
      <c r="YV46" s="8">
        <v>0</v>
      </c>
      <c r="YW46" s="8">
        <v>0</v>
      </c>
      <c r="YX46" s="8">
        <v>0</v>
      </c>
      <c r="YY46" s="8">
        <v>0</v>
      </c>
      <c r="YZ46" s="8">
        <v>0</v>
      </c>
      <c r="ZA46" s="8">
        <v>0</v>
      </c>
      <c r="ZB46" s="8">
        <v>0</v>
      </c>
      <c r="ZC46" s="8">
        <v>0</v>
      </c>
      <c r="ZD46" s="8">
        <v>0</v>
      </c>
      <c r="ZE46" s="8">
        <v>0</v>
      </c>
      <c r="ZF46" s="8">
        <v>0</v>
      </c>
      <c r="ZG46" s="8">
        <v>0</v>
      </c>
      <c r="ZH46" s="8">
        <v>0</v>
      </c>
      <c r="ZI46" s="8">
        <v>0</v>
      </c>
      <c r="ZJ46" s="8">
        <v>0</v>
      </c>
      <c r="ZK46" s="8">
        <v>0</v>
      </c>
      <c r="ZL46" s="8">
        <v>0</v>
      </c>
      <c r="ZM46" s="8">
        <v>0</v>
      </c>
      <c r="ZN46" s="8">
        <v>0</v>
      </c>
      <c r="ZO46" s="8">
        <v>0</v>
      </c>
      <c r="ZP46" s="8">
        <v>0</v>
      </c>
      <c r="ZQ46" s="8">
        <v>0</v>
      </c>
      <c r="ZR46" s="8">
        <v>0</v>
      </c>
      <c r="ZS46" s="8">
        <v>0</v>
      </c>
      <c r="ZT46" s="8">
        <v>0</v>
      </c>
      <c r="ZU46" s="8">
        <v>0</v>
      </c>
      <c r="ZV46" s="8">
        <v>0</v>
      </c>
      <c r="ZW46" s="8">
        <v>0</v>
      </c>
      <c r="ZX46" s="8">
        <v>0</v>
      </c>
      <c r="ZY46" s="8">
        <v>0</v>
      </c>
      <c r="ZZ46" s="8">
        <v>0</v>
      </c>
      <c r="AAA46" s="8">
        <v>0</v>
      </c>
      <c r="AAB46" s="8">
        <v>0</v>
      </c>
      <c r="AAC46" s="8">
        <v>0</v>
      </c>
      <c r="AAD46" s="8">
        <v>0</v>
      </c>
      <c r="AAE46" s="8">
        <v>0</v>
      </c>
      <c r="AAF46" s="8">
        <v>0</v>
      </c>
      <c r="AAG46" s="8">
        <v>0</v>
      </c>
      <c r="AAH46" s="8">
        <v>0</v>
      </c>
      <c r="AAI46" s="8">
        <v>0</v>
      </c>
      <c r="AAJ46" s="8">
        <v>0</v>
      </c>
      <c r="AAK46" s="8">
        <v>0</v>
      </c>
      <c r="AAL46" s="8">
        <v>0</v>
      </c>
      <c r="AAM46" s="8">
        <v>0</v>
      </c>
      <c r="AAN46" s="8">
        <v>0</v>
      </c>
      <c r="AAO46" s="8">
        <v>0</v>
      </c>
      <c r="AAP46" s="8">
        <v>0</v>
      </c>
      <c r="AAQ46" s="8">
        <v>0</v>
      </c>
      <c r="AAR46" s="8">
        <v>0</v>
      </c>
      <c r="AAS46" s="8">
        <v>0</v>
      </c>
      <c r="AAT46" s="8">
        <v>0</v>
      </c>
      <c r="AAU46" s="8">
        <v>0</v>
      </c>
      <c r="AAV46" s="8">
        <v>0</v>
      </c>
      <c r="AAW46" s="8">
        <v>0</v>
      </c>
      <c r="AAX46" s="8">
        <v>0</v>
      </c>
      <c r="AAY46" s="8">
        <v>0</v>
      </c>
      <c r="AAZ46" s="8">
        <v>0</v>
      </c>
      <c r="ABA46" s="8">
        <v>0</v>
      </c>
      <c r="ABB46" s="8">
        <v>0</v>
      </c>
      <c r="ABC46" s="8">
        <v>0</v>
      </c>
      <c r="ABD46" s="8">
        <v>0</v>
      </c>
      <c r="ABE46" s="8">
        <v>0</v>
      </c>
      <c r="ABF46" s="8">
        <v>0</v>
      </c>
      <c r="ABG46" s="8">
        <v>0</v>
      </c>
      <c r="ABH46" s="8">
        <v>0</v>
      </c>
      <c r="ABI46" s="8">
        <v>0</v>
      </c>
      <c r="ABJ46" s="8">
        <v>0</v>
      </c>
      <c r="ABK46" s="8">
        <v>0</v>
      </c>
      <c r="ABL46" s="8">
        <v>0</v>
      </c>
      <c r="ABM46" s="8">
        <v>0</v>
      </c>
      <c r="ABN46" s="8">
        <v>0</v>
      </c>
      <c r="ABO46" s="8">
        <v>0</v>
      </c>
      <c r="ABP46" s="8">
        <v>0</v>
      </c>
      <c r="ABQ46" s="8">
        <v>0</v>
      </c>
      <c r="ABR46" s="8">
        <v>0</v>
      </c>
      <c r="ABS46" s="8">
        <v>0</v>
      </c>
      <c r="ABT46" s="8">
        <v>0</v>
      </c>
      <c r="ABU46" s="8">
        <v>0</v>
      </c>
      <c r="ABV46" s="8">
        <v>0</v>
      </c>
      <c r="ABW46" s="8">
        <v>0</v>
      </c>
      <c r="ABX46" s="8">
        <v>0</v>
      </c>
      <c r="ABY46" s="8">
        <v>0</v>
      </c>
      <c r="ABZ46" s="8">
        <v>0</v>
      </c>
      <c r="ACA46" s="8">
        <v>0</v>
      </c>
      <c r="ACB46" s="8">
        <v>0</v>
      </c>
      <c r="ACC46" s="8">
        <v>0</v>
      </c>
      <c r="ACD46" s="8">
        <v>0</v>
      </c>
      <c r="ACE46" s="8">
        <v>0</v>
      </c>
      <c r="ACF46" s="8">
        <v>0</v>
      </c>
      <c r="ACG46" s="8">
        <v>0</v>
      </c>
      <c r="ACH46" s="8">
        <v>0</v>
      </c>
      <c r="ACI46" s="8">
        <v>0</v>
      </c>
      <c r="ACJ46" s="8">
        <v>0</v>
      </c>
      <c r="ACK46" s="8">
        <v>0</v>
      </c>
      <c r="ACL46" s="8">
        <v>0</v>
      </c>
      <c r="ACM46" s="8">
        <v>0</v>
      </c>
      <c r="ACN46" s="8">
        <v>0</v>
      </c>
      <c r="ACO46" s="8">
        <v>0</v>
      </c>
      <c r="ACP46" s="8">
        <v>0</v>
      </c>
      <c r="ACQ46" s="8">
        <v>0</v>
      </c>
      <c r="ACR46" s="8">
        <v>0</v>
      </c>
      <c r="ACS46" s="8">
        <v>0</v>
      </c>
      <c r="ACT46" s="8">
        <v>0</v>
      </c>
      <c r="ACU46" s="8">
        <v>0</v>
      </c>
      <c r="ACV46" s="8">
        <v>0</v>
      </c>
      <c r="ACW46" s="8">
        <v>0</v>
      </c>
      <c r="ACX46" s="8">
        <v>0</v>
      </c>
      <c r="ACY46" s="8">
        <v>0</v>
      </c>
      <c r="ACZ46" s="8">
        <v>0</v>
      </c>
      <c r="ADA46" s="8">
        <v>0</v>
      </c>
      <c r="ADB46" s="8">
        <v>0</v>
      </c>
      <c r="ADC46" s="8">
        <v>0</v>
      </c>
      <c r="ADD46" s="8">
        <v>0</v>
      </c>
      <c r="ADE46" s="8">
        <v>0</v>
      </c>
      <c r="ADF46" s="8">
        <v>0</v>
      </c>
      <c r="ADG46" s="8">
        <v>0</v>
      </c>
      <c r="ADH46" s="8">
        <v>0</v>
      </c>
      <c r="ADI46" s="8">
        <v>0</v>
      </c>
      <c r="ADJ46" s="8">
        <v>0</v>
      </c>
      <c r="ADK46" s="8">
        <v>0</v>
      </c>
      <c r="ADL46" s="8">
        <v>0</v>
      </c>
      <c r="ADM46" s="8">
        <v>0</v>
      </c>
      <c r="ADN46" s="8">
        <v>0</v>
      </c>
      <c r="ADO46" s="8">
        <v>0</v>
      </c>
      <c r="ADP46" s="8">
        <v>0</v>
      </c>
      <c r="ADQ46" s="8">
        <v>0</v>
      </c>
      <c r="ADR46" s="8">
        <v>0</v>
      </c>
      <c r="ADS46" s="8">
        <v>0</v>
      </c>
      <c r="ADT46" s="8">
        <v>0</v>
      </c>
      <c r="ADU46" s="8">
        <v>0</v>
      </c>
      <c r="ADV46" s="8">
        <v>0</v>
      </c>
      <c r="ADW46" s="8">
        <v>0</v>
      </c>
      <c r="ADX46" s="8">
        <v>0</v>
      </c>
      <c r="ADY46" s="8">
        <v>0</v>
      </c>
      <c r="ADZ46" s="8">
        <v>0</v>
      </c>
      <c r="AEA46" s="8">
        <v>0</v>
      </c>
      <c r="AEB46" s="8">
        <v>0</v>
      </c>
      <c r="AEC46" s="8">
        <v>0</v>
      </c>
      <c r="AED46" s="8">
        <v>0</v>
      </c>
      <c r="AEE46" s="8">
        <v>0</v>
      </c>
      <c r="AEF46" s="8">
        <v>0</v>
      </c>
      <c r="AEG46" s="8">
        <v>0</v>
      </c>
      <c r="AEH46" s="8">
        <v>0</v>
      </c>
      <c r="AEI46" s="8">
        <v>0</v>
      </c>
      <c r="AEJ46" s="8">
        <v>0</v>
      </c>
      <c r="AEK46" s="8">
        <v>0</v>
      </c>
      <c r="AEL46" s="8">
        <v>0</v>
      </c>
      <c r="AEM46" s="8">
        <v>0</v>
      </c>
      <c r="AEN46" s="8">
        <v>0</v>
      </c>
      <c r="AEO46" s="8">
        <v>0</v>
      </c>
      <c r="AEP46" s="8">
        <v>0</v>
      </c>
      <c r="AEQ46" s="8">
        <v>0</v>
      </c>
      <c r="AER46" s="8">
        <v>0</v>
      </c>
      <c r="AES46" s="8">
        <v>0</v>
      </c>
      <c r="AET46" s="8">
        <v>0</v>
      </c>
      <c r="AEU46" s="8">
        <v>0</v>
      </c>
      <c r="AEV46" s="8">
        <v>0</v>
      </c>
      <c r="AEW46" s="8">
        <v>0</v>
      </c>
      <c r="AEX46" s="8">
        <v>0</v>
      </c>
      <c r="AEY46" s="8">
        <v>0</v>
      </c>
      <c r="AEZ46" s="8">
        <v>0</v>
      </c>
      <c r="AFA46" s="8">
        <v>0</v>
      </c>
      <c r="AFB46" s="8">
        <v>0</v>
      </c>
      <c r="AFC46" s="8">
        <v>0</v>
      </c>
      <c r="AFD46" s="8">
        <v>0</v>
      </c>
      <c r="AFE46" s="8">
        <v>0</v>
      </c>
      <c r="AFF46" s="8">
        <v>0</v>
      </c>
      <c r="AFG46" s="8">
        <v>0</v>
      </c>
      <c r="AFH46" s="8">
        <v>0</v>
      </c>
      <c r="AFI46" s="8">
        <v>0</v>
      </c>
      <c r="AFJ46" s="8">
        <v>0</v>
      </c>
      <c r="AFK46" s="8">
        <v>0</v>
      </c>
      <c r="AFL46" s="8">
        <v>0</v>
      </c>
      <c r="AFM46" s="8">
        <v>0</v>
      </c>
      <c r="AFN46" s="8">
        <v>0</v>
      </c>
      <c r="AFO46" s="8">
        <v>0</v>
      </c>
      <c r="AFP46" s="8">
        <v>0</v>
      </c>
      <c r="AFQ46" s="8">
        <v>0</v>
      </c>
      <c r="AFR46" s="8">
        <v>0</v>
      </c>
      <c r="AFS46" s="8">
        <v>0</v>
      </c>
      <c r="AFT46" s="8">
        <v>0</v>
      </c>
      <c r="AFU46" s="8">
        <v>0</v>
      </c>
      <c r="AFV46" s="8">
        <v>0</v>
      </c>
      <c r="AFW46" s="8">
        <v>0</v>
      </c>
      <c r="AFX46" s="8">
        <v>0</v>
      </c>
      <c r="AFY46" s="8">
        <v>0</v>
      </c>
      <c r="AFZ46" s="8">
        <v>0</v>
      </c>
      <c r="AGA46" s="8">
        <v>0</v>
      </c>
      <c r="AGB46" s="8">
        <v>0</v>
      </c>
      <c r="AGC46" s="8">
        <v>0</v>
      </c>
      <c r="AGD46" s="8">
        <v>0</v>
      </c>
      <c r="AGE46" s="8">
        <v>0</v>
      </c>
      <c r="AGF46" s="8">
        <v>0</v>
      </c>
      <c r="AGG46" s="8">
        <v>0</v>
      </c>
      <c r="AGH46" s="8">
        <v>0</v>
      </c>
      <c r="AGI46" s="8">
        <v>0</v>
      </c>
      <c r="AGJ46" s="8">
        <v>0</v>
      </c>
      <c r="AGK46" s="8">
        <v>0</v>
      </c>
      <c r="AGL46" s="8">
        <v>0</v>
      </c>
      <c r="AGM46" s="8">
        <v>0</v>
      </c>
      <c r="AGN46" s="8">
        <v>0</v>
      </c>
      <c r="AGO46" s="8">
        <v>0</v>
      </c>
      <c r="AGP46" s="8">
        <v>0</v>
      </c>
      <c r="AGQ46" s="8">
        <v>0</v>
      </c>
      <c r="AGR46" s="8">
        <v>0</v>
      </c>
      <c r="AGS46" s="8">
        <v>0</v>
      </c>
      <c r="AGT46" s="8">
        <v>0</v>
      </c>
      <c r="AGU46" s="8">
        <v>0</v>
      </c>
      <c r="AGV46" s="8">
        <v>0</v>
      </c>
      <c r="AGW46" s="8">
        <v>0</v>
      </c>
      <c r="AGX46" s="8">
        <v>0</v>
      </c>
      <c r="AGY46" s="8">
        <v>0</v>
      </c>
      <c r="AGZ46" s="8">
        <v>0</v>
      </c>
      <c r="AHA46" s="8">
        <v>0</v>
      </c>
      <c r="AHB46" s="8">
        <v>0</v>
      </c>
      <c r="AHC46" s="8">
        <v>0</v>
      </c>
      <c r="AHD46" s="8">
        <v>0</v>
      </c>
      <c r="AHE46" s="8">
        <v>0</v>
      </c>
      <c r="AHF46" s="8">
        <v>0</v>
      </c>
      <c r="AHG46" s="8">
        <v>0</v>
      </c>
      <c r="AHH46" s="8">
        <v>0</v>
      </c>
      <c r="AHI46" s="8">
        <v>0</v>
      </c>
      <c r="AHJ46" s="8">
        <v>0</v>
      </c>
      <c r="AHK46" s="8">
        <v>0</v>
      </c>
      <c r="AHL46" s="8">
        <v>0</v>
      </c>
      <c r="AHM46" s="8">
        <v>0</v>
      </c>
      <c r="AHN46" s="8">
        <v>0</v>
      </c>
      <c r="AHO46" s="8">
        <v>0</v>
      </c>
      <c r="AHP46" s="8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 t="e">
        <v>#N/A</v>
      </c>
      <c r="AIJ46" t="e">
        <v>#N/A</v>
      </c>
      <c r="AIK46" t="e">
        <v>#N/A</v>
      </c>
      <c r="AIL46" t="e">
        <v>#N/A</v>
      </c>
      <c r="AIM46" t="e">
        <v>#N/A</v>
      </c>
      <c r="AIN46" t="e">
        <v>#N/A</v>
      </c>
      <c r="AIO46" t="e">
        <v>#N/A</v>
      </c>
      <c r="AIP46" t="e">
        <v>#N/A</v>
      </c>
      <c r="AIQ46" t="e">
        <v>#N/A</v>
      </c>
      <c r="AIR46" t="e">
        <v>#N/A</v>
      </c>
      <c r="AIS46" t="e">
        <v>#N/A</v>
      </c>
      <c r="AIT46" t="e">
        <v>#N/A</v>
      </c>
      <c r="AIU46" t="e">
        <v>#N/A</v>
      </c>
      <c r="AIV46" t="e">
        <v>#N/A</v>
      </c>
      <c r="AIW46" t="e">
        <v>#N/A</v>
      </c>
      <c r="AIX46" t="e">
        <v>#N/A</v>
      </c>
      <c r="AIY46" t="e">
        <v>#N/A</v>
      </c>
      <c r="AIZ46" t="e">
        <v>#N/A</v>
      </c>
      <c r="AJA46" t="e">
        <v>#N/A</v>
      </c>
      <c r="AJB46" t="e">
        <v>#N/A</v>
      </c>
      <c r="AJC46" t="e">
        <v>#N/A</v>
      </c>
      <c r="AJD46" t="e">
        <v>#N/A</v>
      </c>
      <c r="AJE46" t="e">
        <v>#N/A</v>
      </c>
      <c r="AJF46" t="e">
        <v>#N/A</v>
      </c>
      <c r="AJG46" t="e">
        <v>#N/A</v>
      </c>
      <c r="AJH46" t="e">
        <v>#N/A</v>
      </c>
      <c r="AJI46" t="e">
        <v>#N/A</v>
      </c>
      <c r="AJJ46" t="e">
        <v>#N/A</v>
      </c>
      <c r="AJK46" t="e">
        <v>#N/A</v>
      </c>
      <c r="AJL46" t="e">
        <v>#N/A</v>
      </c>
      <c r="AJM46" t="e">
        <v>#N/A</v>
      </c>
      <c r="AJN46" t="e">
        <v>#N/A</v>
      </c>
      <c r="AJO46" t="e">
        <v>#N/A</v>
      </c>
      <c r="AJP46" t="e">
        <v>#N/A</v>
      </c>
      <c r="AJQ46" t="e">
        <v>#N/A</v>
      </c>
      <c r="AJR46" t="e">
        <v>#N/A</v>
      </c>
      <c r="AJS46" t="e">
        <v>#N/A</v>
      </c>
      <c r="AJT46" t="e">
        <v>#N/A</v>
      </c>
      <c r="AJU46" t="e">
        <v>#N/A</v>
      </c>
      <c r="AJV46" t="e">
        <v>#N/A</v>
      </c>
      <c r="AJW46" t="e">
        <v>#N/A</v>
      </c>
      <c r="AJX46" t="e">
        <v>#N/A</v>
      </c>
      <c r="AJY46" t="e">
        <v>#N/A</v>
      </c>
      <c r="AJZ46" t="e">
        <v>#N/A</v>
      </c>
      <c r="AKA46" t="e">
        <v>#N/A</v>
      </c>
      <c r="AKB46" t="e">
        <v>#N/A</v>
      </c>
      <c r="AKC46" t="e">
        <v>#N/A</v>
      </c>
      <c r="AKD46" t="e">
        <v>#N/A</v>
      </c>
      <c r="AKE46" t="e">
        <v>#N/A</v>
      </c>
      <c r="AKF46" t="e">
        <v>#N/A</v>
      </c>
      <c r="AKG46" t="e">
        <v>#N/A</v>
      </c>
      <c r="AKH46" t="e">
        <v>#N/A</v>
      </c>
      <c r="AKI46" t="e">
        <v>#N/A</v>
      </c>
      <c r="AKJ46" t="e">
        <v>#N/A</v>
      </c>
      <c r="AKK46" t="e">
        <v>#N/A</v>
      </c>
      <c r="AKL46" t="e">
        <v>#N/A</v>
      </c>
      <c r="AKM46" t="e">
        <v>#N/A</v>
      </c>
      <c r="AKN46" t="e">
        <v>#N/A</v>
      </c>
      <c r="AKO46" t="e">
        <v>#N/A</v>
      </c>
      <c r="AKP46" t="e">
        <v>#N/A</v>
      </c>
      <c r="AKQ46" t="e">
        <v>#N/A</v>
      </c>
      <c r="AKR46" t="e">
        <v>#N/A</v>
      </c>
      <c r="AKS46" t="e">
        <v>#N/A</v>
      </c>
      <c r="AKT46" t="e">
        <v>#N/A</v>
      </c>
      <c r="AKU46" t="e">
        <v>#N/A</v>
      </c>
      <c r="AKV46" t="e">
        <v>#N/A</v>
      </c>
      <c r="AKW46" t="e">
        <v>#N/A</v>
      </c>
      <c r="AKX46" t="e">
        <v>#N/A</v>
      </c>
      <c r="AKY46" t="e">
        <v>#N/A</v>
      </c>
      <c r="AKZ46" t="e">
        <v>#N/A</v>
      </c>
      <c r="ALA46" t="e">
        <v>#N/A</v>
      </c>
      <c r="ALB46" t="e">
        <v>#N/A</v>
      </c>
      <c r="ALC46" t="e">
        <v>#N/A</v>
      </c>
      <c r="ALD46" t="e">
        <v>#N/A</v>
      </c>
      <c r="ALE46" t="e">
        <v>#N/A</v>
      </c>
      <c r="ALF46" t="e">
        <v>#N/A</v>
      </c>
      <c r="ALG46" t="e">
        <v>#N/A</v>
      </c>
      <c r="ALH46" t="e">
        <v>#N/A</v>
      </c>
      <c r="ALI46" t="e">
        <v>#N/A</v>
      </c>
      <c r="ALJ46" t="e">
        <v>#N/A</v>
      </c>
      <c r="ALK46" t="e">
        <v>#N/A</v>
      </c>
      <c r="ALL46" t="e">
        <v>#N/A</v>
      </c>
      <c r="ALM46" t="e">
        <v>#N/A</v>
      </c>
      <c r="ALN46" t="e">
        <v>#N/A</v>
      </c>
      <c r="ALO46" t="e">
        <v>#N/A</v>
      </c>
      <c r="ALP46" t="e">
        <v>#N/A</v>
      </c>
      <c r="ALQ46" t="e">
        <v>#N/A</v>
      </c>
      <c r="ALR46" t="e">
        <v>#N/A</v>
      </c>
      <c r="ALS46" t="e">
        <v>#N/A</v>
      </c>
      <c r="ALT46" t="e">
        <v>#N/A</v>
      </c>
      <c r="ALU46" t="e">
        <v>#N/A</v>
      </c>
      <c r="ALV46" t="e">
        <v>#N/A</v>
      </c>
      <c r="ALW46" t="e">
        <v>#N/A</v>
      </c>
      <c r="ALX46" t="e">
        <v>#N/A</v>
      </c>
      <c r="ALY46" t="e">
        <v>#N/A</v>
      </c>
      <c r="ALZ46" t="e">
        <v>#N/A</v>
      </c>
      <c r="AMA46" t="e">
        <v>#N/A</v>
      </c>
      <c r="AMB46" t="e">
        <v>#N/A</v>
      </c>
      <c r="AMC46" t="e">
        <v>#N/A</v>
      </c>
      <c r="AMD46" t="e">
        <v>#N/A</v>
      </c>
      <c r="AME46" t="e">
        <v>#N/A</v>
      </c>
      <c r="AMF46" t="e">
        <v>#N/A</v>
      </c>
      <c r="AMG46" t="e">
        <v>#N/A</v>
      </c>
      <c r="AMH46" t="e">
        <v>#N/A</v>
      </c>
    </row>
    <row r="47" spans="1:1022" ht="15.75" customHeight="1">
      <c r="A47" s="8">
        <v>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0</v>
      </c>
      <c r="QI47" s="8">
        <v>0</v>
      </c>
      <c r="QJ47" s="8">
        <v>0</v>
      </c>
      <c r="QK47" s="8">
        <v>0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0</v>
      </c>
      <c r="TA47" s="8">
        <v>0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0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0</v>
      </c>
      <c r="VQ47" s="8">
        <v>0</v>
      </c>
      <c r="VR47" s="8">
        <v>0</v>
      </c>
      <c r="VS47" s="8">
        <v>0</v>
      </c>
      <c r="VT47" s="8">
        <v>0</v>
      </c>
      <c r="VU47" s="8">
        <v>0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0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0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  <c r="XB47" s="8">
        <v>0</v>
      </c>
      <c r="XC47" s="8">
        <v>0</v>
      </c>
      <c r="XD47" s="8">
        <v>0</v>
      </c>
      <c r="XE47" s="8">
        <v>0</v>
      </c>
      <c r="XF47" s="8">
        <v>0</v>
      </c>
      <c r="XG47" s="8">
        <v>0</v>
      </c>
      <c r="XH47" s="8">
        <v>0</v>
      </c>
      <c r="XI47" s="8">
        <v>0</v>
      </c>
      <c r="XJ47" s="8">
        <v>0</v>
      </c>
      <c r="XK47" s="8">
        <v>0</v>
      </c>
      <c r="XL47" s="8">
        <v>0</v>
      </c>
      <c r="XM47" s="8">
        <v>0</v>
      </c>
      <c r="XN47" s="8">
        <v>0</v>
      </c>
      <c r="XO47" s="8">
        <v>0</v>
      </c>
      <c r="XP47" s="8">
        <v>0</v>
      </c>
      <c r="XQ47" s="8">
        <v>0</v>
      </c>
      <c r="XR47" s="8">
        <v>0</v>
      </c>
      <c r="XS47" s="8">
        <v>0</v>
      </c>
      <c r="XT47" s="8">
        <v>0</v>
      </c>
      <c r="XU47" s="8">
        <v>0</v>
      </c>
      <c r="XV47" s="8">
        <v>0</v>
      </c>
      <c r="XW47" s="8">
        <v>0</v>
      </c>
      <c r="XX47" s="8">
        <v>0</v>
      </c>
      <c r="XY47" s="8">
        <v>0</v>
      </c>
      <c r="XZ47" s="8">
        <v>0</v>
      </c>
      <c r="YA47" s="8">
        <v>0</v>
      </c>
      <c r="YB47" s="8">
        <v>0</v>
      </c>
      <c r="YC47" s="8">
        <v>0</v>
      </c>
      <c r="YD47" s="8">
        <v>0</v>
      </c>
      <c r="YE47" s="8">
        <v>0</v>
      </c>
      <c r="YF47" s="8">
        <v>0</v>
      </c>
      <c r="YG47" s="8">
        <v>0</v>
      </c>
      <c r="YH47" s="8">
        <v>0</v>
      </c>
      <c r="YI47" s="8">
        <v>0</v>
      </c>
      <c r="YJ47" s="8">
        <v>0</v>
      </c>
      <c r="YK47" s="8">
        <v>0</v>
      </c>
      <c r="YL47" s="8">
        <v>0</v>
      </c>
      <c r="YM47" s="8">
        <v>0</v>
      </c>
      <c r="YN47" s="8">
        <v>0</v>
      </c>
      <c r="YO47" s="8">
        <v>0</v>
      </c>
      <c r="YP47" s="8">
        <v>0</v>
      </c>
      <c r="YQ47" s="8">
        <v>0</v>
      </c>
      <c r="YR47" s="8">
        <v>0</v>
      </c>
      <c r="YS47" s="8">
        <v>0</v>
      </c>
      <c r="YT47" s="8">
        <v>0</v>
      </c>
      <c r="YU47" s="8">
        <v>0</v>
      </c>
      <c r="YV47" s="8">
        <v>0</v>
      </c>
      <c r="YW47" s="8">
        <v>0</v>
      </c>
      <c r="YX47" s="8">
        <v>0</v>
      </c>
      <c r="YY47" s="8">
        <v>0</v>
      </c>
      <c r="YZ47" s="8">
        <v>0</v>
      </c>
      <c r="ZA47" s="8">
        <v>0</v>
      </c>
      <c r="ZB47" s="8">
        <v>0</v>
      </c>
      <c r="ZC47" s="8">
        <v>0</v>
      </c>
      <c r="ZD47" s="8">
        <v>0</v>
      </c>
      <c r="ZE47" s="8">
        <v>0</v>
      </c>
      <c r="ZF47" s="8">
        <v>0</v>
      </c>
      <c r="ZG47" s="8">
        <v>0</v>
      </c>
      <c r="ZH47" s="8">
        <v>0</v>
      </c>
      <c r="ZI47" s="8">
        <v>0</v>
      </c>
      <c r="ZJ47" s="8">
        <v>0</v>
      </c>
      <c r="ZK47" s="8">
        <v>0</v>
      </c>
      <c r="ZL47" s="8">
        <v>0</v>
      </c>
      <c r="ZM47" s="8">
        <v>0</v>
      </c>
      <c r="ZN47" s="8">
        <v>0</v>
      </c>
      <c r="ZO47" s="8">
        <v>0</v>
      </c>
      <c r="ZP47" s="8">
        <v>0</v>
      </c>
      <c r="ZQ47" s="8">
        <v>0</v>
      </c>
      <c r="ZR47" s="8">
        <v>0</v>
      </c>
      <c r="ZS47" s="8">
        <v>0</v>
      </c>
      <c r="ZT47" s="8">
        <v>0</v>
      </c>
      <c r="ZU47" s="8">
        <v>0</v>
      </c>
      <c r="ZV47" s="8">
        <v>0</v>
      </c>
      <c r="ZW47" s="8">
        <v>0</v>
      </c>
      <c r="ZX47" s="8">
        <v>0</v>
      </c>
      <c r="ZY47" s="8">
        <v>0</v>
      </c>
      <c r="ZZ47" s="8">
        <v>0</v>
      </c>
      <c r="AAA47" s="8">
        <v>0</v>
      </c>
      <c r="AAB47" s="8">
        <v>0</v>
      </c>
      <c r="AAC47" s="8">
        <v>0</v>
      </c>
      <c r="AAD47" s="8">
        <v>0</v>
      </c>
      <c r="AAE47" s="8">
        <v>0</v>
      </c>
      <c r="AAF47" s="8">
        <v>0</v>
      </c>
      <c r="AAG47" s="8">
        <v>0</v>
      </c>
      <c r="AAH47" s="8">
        <v>0</v>
      </c>
      <c r="AAI47" s="8">
        <v>0</v>
      </c>
      <c r="AAJ47" s="8">
        <v>0</v>
      </c>
      <c r="AAK47" s="8">
        <v>0</v>
      </c>
      <c r="AAL47" s="8">
        <v>0</v>
      </c>
      <c r="AAM47" s="8">
        <v>0</v>
      </c>
      <c r="AAN47" s="8">
        <v>0</v>
      </c>
      <c r="AAO47" s="8">
        <v>0</v>
      </c>
      <c r="AAP47" s="8">
        <v>0</v>
      </c>
      <c r="AAQ47" s="8">
        <v>0</v>
      </c>
      <c r="AAR47" s="8">
        <v>0</v>
      </c>
      <c r="AAS47" s="8">
        <v>0</v>
      </c>
      <c r="AAT47" s="8">
        <v>0</v>
      </c>
      <c r="AAU47" s="8">
        <v>0</v>
      </c>
      <c r="AAV47" s="8">
        <v>0</v>
      </c>
      <c r="AAW47" s="8">
        <v>0</v>
      </c>
      <c r="AAX47" s="8">
        <v>0</v>
      </c>
      <c r="AAY47" s="8">
        <v>0</v>
      </c>
      <c r="AAZ47" s="8">
        <v>0</v>
      </c>
      <c r="ABA47" s="8">
        <v>0</v>
      </c>
      <c r="ABB47" s="8">
        <v>0</v>
      </c>
      <c r="ABC47" s="8">
        <v>0</v>
      </c>
      <c r="ABD47" s="8">
        <v>0</v>
      </c>
      <c r="ABE47" s="8">
        <v>0</v>
      </c>
      <c r="ABF47" s="8">
        <v>0</v>
      </c>
      <c r="ABG47" s="8">
        <v>0</v>
      </c>
      <c r="ABH47" s="8">
        <v>0</v>
      </c>
      <c r="ABI47" s="8">
        <v>0</v>
      </c>
      <c r="ABJ47" s="8">
        <v>0</v>
      </c>
      <c r="ABK47" s="8">
        <v>0</v>
      </c>
      <c r="ABL47" s="8">
        <v>0</v>
      </c>
      <c r="ABM47" s="8">
        <v>0</v>
      </c>
      <c r="ABN47" s="8">
        <v>0</v>
      </c>
      <c r="ABO47" s="8">
        <v>0</v>
      </c>
      <c r="ABP47" s="8">
        <v>0</v>
      </c>
      <c r="ABQ47" s="8">
        <v>0</v>
      </c>
      <c r="ABR47" s="8">
        <v>0</v>
      </c>
      <c r="ABS47" s="8">
        <v>0</v>
      </c>
      <c r="ABT47" s="8">
        <v>0</v>
      </c>
      <c r="ABU47" s="8">
        <v>0</v>
      </c>
      <c r="ABV47" s="8">
        <v>0</v>
      </c>
      <c r="ABW47" s="8">
        <v>0</v>
      </c>
      <c r="ABX47" s="8">
        <v>0</v>
      </c>
      <c r="ABY47" s="8">
        <v>0</v>
      </c>
      <c r="ABZ47" s="8">
        <v>0</v>
      </c>
      <c r="ACA47" s="8">
        <v>0</v>
      </c>
      <c r="ACB47" s="8">
        <v>0</v>
      </c>
      <c r="ACC47" s="8">
        <v>0</v>
      </c>
      <c r="ACD47" s="8">
        <v>0</v>
      </c>
      <c r="ACE47" s="8">
        <v>0</v>
      </c>
      <c r="ACF47" s="8">
        <v>0</v>
      </c>
      <c r="ACG47" s="8">
        <v>0</v>
      </c>
      <c r="ACH47" s="8">
        <v>0</v>
      </c>
      <c r="ACI47" s="8">
        <v>0</v>
      </c>
      <c r="ACJ47" s="8">
        <v>0</v>
      </c>
      <c r="ACK47" s="8">
        <v>0</v>
      </c>
      <c r="ACL47" s="8">
        <v>0</v>
      </c>
      <c r="ACM47" s="8">
        <v>0</v>
      </c>
      <c r="ACN47" s="8">
        <v>0</v>
      </c>
      <c r="ACO47" s="8">
        <v>0</v>
      </c>
      <c r="ACP47" s="8">
        <v>0</v>
      </c>
      <c r="ACQ47" s="8">
        <v>0</v>
      </c>
      <c r="ACR47" s="8">
        <v>0</v>
      </c>
      <c r="ACS47" s="8">
        <v>0</v>
      </c>
      <c r="ACT47" s="8">
        <v>0</v>
      </c>
      <c r="ACU47" s="8">
        <v>0</v>
      </c>
      <c r="ACV47" s="8">
        <v>0</v>
      </c>
      <c r="ACW47" s="8">
        <v>0</v>
      </c>
      <c r="ACX47" s="8">
        <v>0</v>
      </c>
      <c r="ACY47" s="8">
        <v>0</v>
      </c>
      <c r="ACZ47" s="8">
        <v>0</v>
      </c>
      <c r="ADA47" s="8">
        <v>0</v>
      </c>
      <c r="ADB47" s="8">
        <v>0</v>
      </c>
      <c r="ADC47" s="8">
        <v>0</v>
      </c>
      <c r="ADD47" s="8">
        <v>0</v>
      </c>
      <c r="ADE47" s="8">
        <v>0</v>
      </c>
      <c r="ADF47" s="8">
        <v>0</v>
      </c>
      <c r="ADG47" s="8">
        <v>0</v>
      </c>
      <c r="ADH47" s="8">
        <v>0</v>
      </c>
      <c r="ADI47" s="8">
        <v>0</v>
      </c>
      <c r="ADJ47" s="8">
        <v>0</v>
      </c>
      <c r="ADK47" s="8">
        <v>0</v>
      </c>
      <c r="ADL47" s="8">
        <v>0</v>
      </c>
      <c r="ADM47" s="8">
        <v>0</v>
      </c>
      <c r="ADN47" s="8">
        <v>0</v>
      </c>
      <c r="ADO47" s="8">
        <v>0</v>
      </c>
      <c r="ADP47" s="8">
        <v>0</v>
      </c>
      <c r="ADQ47" s="8">
        <v>0</v>
      </c>
      <c r="ADR47" s="8">
        <v>0</v>
      </c>
      <c r="ADS47" s="8">
        <v>0</v>
      </c>
      <c r="ADT47" s="8">
        <v>0</v>
      </c>
      <c r="ADU47" s="8">
        <v>0</v>
      </c>
      <c r="ADV47" s="8">
        <v>0</v>
      </c>
      <c r="ADW47" s="8">
        <v>0</v>
      </c>
      <c r="ADX47" s="8">
        <v>0</v>
      </c>
      <c r="ADY47" s="8">
        <v>0</v>
      </c>
      <c r="ADZ47" s="8">
        <v>0</v>
      </c>
      <c r="AEA47" s="8">
        <v>0</v>
      </c>
      <c r="AEB47" s="8">
        <v>0</v>
      </c>
      <c r="AEC47" s="8">
        <v>0</v>
      </c>
      <c r="AED47" s="8">
        <v>0</v>
      </c>
      <c r="AEE47" s="8">
        <v>0</v>
      </c>
      <c r="AEF47" s="8">
        <v>0</v>
      </c>
      <c r="AEG47" s="8">
        <v>0</v>
      </c>
      <c r="AEH47" s="8">
        <v>0</v>
      </c>
      <c r="AEI47" s="8">
        <v>0</v>
      </c>
      <c r="AEJ47" s="8">
        <v>0</v>
      </c>
      <c r="AEK47" s="8">
        <v>0</v>
      </c>
      <c r="AEL47" s="8">
        <v>0</v>
      </c>
      <c r="AEM47" s="8">
        <v>0</v>
      </c>
      <c r="AEN47" s="8">
        <v>0</v>
      </c>
      <c r="AEO47" s="8">
        <v>0</v>
      </c>
      <c r="AEP47" s="8">
        <v>0</v>
      </c>
      <c r="AEQ47" s="8">
        <v>0</v>
      </c>
      <c r="AER47" s="8">
        <v>0</v>
      </c>
      <c r="AES47" s="8">
        <v>0</v>
      </c>
      <c r="AET47" s="8">
        <v>0</v>
      </c>
      <c r="AEU47" s="8">
        <v>0</v>
      </c>
      <c r="AEV47" s="8">
        <v>0</v>
      </c>
      <c r="AEW47" s="8">
        <v>0</v>
      </c>
      <c r="AEX47" s="8">
        <v>0</v>
      </c>
      <c r="AEY47" s="8">
        <v>0</v>
      </c>
      <c r="AEZ47" s="8">
        <v>0</v>
      </c>
      <c r="AFA47" s="8">
        <v>0</v>
      </c>
      <c r="AFB47" s="8">
        <v>0</v>
      </c>
      <c r="AFC47" s="8">
        <v>0</v>
      </c>
      <c r="AFD47" s="8">
        <v>0</v>
      </c>
      <c r="AFE47" s="8">
        <v>0</v>
      </c>
      <c r="AFF47" s="8">
        <v>0</v>
      </c>
      <c r="AFG47" s="8">
        <v>0</v>
      </c>
      <c r="AFH47" s="8">
        <v>0</v>
      </c>
      <c r="AFI47" s="8">
        <v>0</v>
      </c>
      <c r="AFJ47" s="8">
        <v>0</v>
      </c>
      <c r="AFK47" s="8">
        <v>0</v>
      </c>
      <c r="AFL47" s="8">
        <v>0</v>
      </c>
      <c r="AFM47" s="8">
        <v>0</v>
      </c>
      <c r="AFN47" s="8">
        <v>0</v>
      </c>
      <c r="AFO47" s="8">
        <v>0</v>
      </c>
      <c r="AFP47" s="8">
        <v>0</v>
      </c>
      <c r="AFQ47" s="8">
        <v>0</v>
      </c>
      <c r="AFR47" s="8">
        <v>0</v>
      </c>
      <c r="AFS47" s="8">
        <v>0</v>
      </c>
      <c r="AFT47" s="8">
        <v>0</v>
      </c>
      <c r="AFU47" s="8">
        <v>0</v>
      </c>
      <c r="AFV47" s="8">
        <v>0</v>
      </c>
      <c r="AFW47" s="8">
        <v>0</v>
      </c>
      <c r="AFX47" s="8">
        <v>0</v>
      </c>
      <c r="AFY47" s="8">
        <v>0</v>
      </c>
      <c r="AFZ47" s="8">
        <v>0</v>
      </c>
      <c r="AGA47" s="8">
        <v>0</v>
      </c>
      <c r="AGB47" s="8">
        <v>0</v>
      </c>
      <c r="AGC47" s="8">
        <v>0</v>
      </c>
      <c r="AGD47" s="8">
        <v>0</v>
      </c>
      <c r="AGE47" s="8">
        <v>0</v>
      </c>
      <c r="AGF47" s="8">
        <v>0</v>
      </c>
      <c r="AGG47" s="8">
        <v>0</v>
      </c>
      <c r="AGH47" s="8">
        <v>0</v>
      </c>
      <c r="AGI47" s="8">
        <v>0</v>
      </c>
      <c r="AGJ47" s="8">
        <v>0</v>
      </c>
      <c r="AGK47" s="8">
        <v>0</v>
      </c>
      <c r="AGL47" s="8">
        <v>0</v>
      </c>
      <c r="AGM47" s="8">
        <v>0</v>
      </c>
      <c r="AGN47" s="8">
        <v>0</v>
      </c>
      <c r="AGO47" s="8">
        <v>0</v>
      </c>
      <c r="AGP47" s="8">
        <v>0</v>
      </c>
      <c r="AGQ47" s="8">
        <v>0</v>
      </c>
      <c r="AGR47" s="8">
        <v>0</v>
      </c>
      <c r="AGS47" s="8">
        <v>0</v>
      </c>
      <c r="AGT47" s="8">
        <v>0</v>
      </c>
      <c r="AGU47" s="8">
        <v>0</v>
      </c>
      <c r="AGV47" s="8">
        <v>0</v>
      </c>
      <c r="AGW47" s="8">
        <v>0</v>
      </c>
      <c r="AGX47" s="8">
        <v>0</v>
      </c>
      <c r="AGY47" s="8">
        <v>0</v>
      </c>
      <c r="AGZ47" s="8">
        <v>0</v>
      </c>
      <c r="AHA47" s="8">
        <v>0</v>
      </c>
      <c r="AHB47" s="8">
        <v>0</v>
      </c>
      <c r="AHC47" s="8">
        <v>0</v>
      </c>
      <c r="AHD47" s="8">
        <v>0</v>
      </c>
      <c r="AHE47" s="8">
        <v>0</v>
      </c>
      <c r="AHF47" s="8">
        <v>0</v>
      </c>
      <c r="AHG47" s="8">
        <v>0</v>
      </c>
      <c r="AHH47" s="8">
        <v>0</v>
      </c>
      <c r="AHI47" s="8">
        <v>0</v>
      </c>
      <c r="AHJ47" s="8">
        <v>0</v>
      </c>
      <c r="AHK47" s="8">
        <v>0</v>
      </c>
      <c r="AHL47" s="8">
        <v>0</v>
      </c>
      <c r="AHM47" s="8">
        <v>0</v>
      </c>
      <c r="AHN47" s="8">
        <v>0</v>
      </c>
      <c r="AHO47" s="8">
        <v>0</v>
      </c>
      <c r="AHP47" s="8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 t="e">
        <v>#N/A</v>
      </c>
      <c r="AIJ47" t="e">
        <v>#N/A</v>
      </c>
      <c r="AIK47" t="e">
        <v>#N/A</v>
      </c>
      <c r="AIL47" t="e">
        <v>#N/A</v>
      </c>
      <c r="AIM47" t="e">
        <v>#N/A</v>
      </c>
      <c r="AIN47" t="e">
        <v>#N/A</v>
      </c>
      <c r="AIO47" t="e">
        <v>#N/A</v>
      </c>
      <c r="AIP47" t="e">
        <v>#N/A</v>
      </c>
      <c r="AIQ47" t="e">
        <v>#N/A</v>
      </c>
      <c r="AIR47" t="e">
        <v>#N/A</v>
      </c>
      <c r="AIS47" t="e">
        <v>#N/A</v>
      </c>
      <c r="AIT47" t="e">
        <v>#N/A</v>
      </c>
      <c r="AIU47" t="e">
        <v>#N/A</v>
      </c>
      <c r="AIV47" t="e">
        <v>#N/A</v>
      </c>
      <c r="AIW47" t="e">
        <v>#N/A</v>
      </c>
      <c r="AIX47" t="e">
        <v>#N/A</v>
      </c>
      <c r="AIY47" t="e">
        <v>#N/A</v>
      </c>
      <c r="AIZ47" t="e">
        <v>#N/A</v>
      </c>
      <c r="AJA47" t="e">
        <v>#N/A</v>
      </c>
      <c r="AJB47" t="e">
        <v>#N/A</v>
      </c>
      <c r="AJC47" t="e">
        <v>#N/A</v>
      </c>
      <c r="AJD47" t="e">
        <v>#N/A</v>
      </c>
      <c r="AJE47" t="e">
        <v>#N/A</v>
      </c>
      <c r="AJF47" t="e">
        <v>#N/A</v>
      </c>
      <c r="AJG47" t="e">
        <v>#N/A</v>
      </c>
      <c r="AJH47" t="e">
        <v>#N/A</v>
      </c>
      <c r="AJI47" t="e">
        <v>#N/A</v>
      </c>
      <c r="AJJ47" t="e">
        <v>#N/A</v>
      </c>
      <c r="AJK47" t="e">
        <v>#N/A</v>
      </c>
      <c r="AJL47" t="e">
        <v>#N/A</v>
      </c>
      <c r="AJM47" t="e">
        <v>#N/A</v>
      </c>
      <c r="AJN47" t="e">
        <v>#N/A</v>
      </c>
      <c r="AJO47" t="e">
        <v>#N/A</v>
      </c>
      <c r="AJP47" t="e">
        <v>#N/A</v>
      </c>
      <c r="AJQ47" t="e">
        <v>#N/A</v>
      </c>
      <c r="AJR47" t="e">
        <v>#N/A</v>
      </c>
      <c r="AJS47" t="e">
        <v>#N/A</v>
      </c>
      <c r="AJT47" t="e">
        <v>#N/A</v>
      </c>
      <c r="AJU47" t="e">
        <v>#N/A</v>
      </c>
      <c r="AJV47" t="e">
        <v>#N/A</v>
      </c>
      <c r="AJW47" t="e">
        <v>#N/A</v>
      </c>
      <c r="AJX47" t="e">
        <v>#N/A</v>
      </c>
      <c r="AJY47" t="e">
        <v>#N/A</v>
      </c>
      <c r="AJZ47" t="e">
        <v>#N/A</v>
      </c>
      <c r="AKA47" t="e">
        <v>#N/A</v>
      </c>
      <c r="AKB47" t="e">
        <v>#N/A</v>
      </c>
      <c r="AKC47" t="e">
        <v>#N/A</v>
      </c>
      <c r="AKD47" t="e">
        <v>#N/A</v>
      </c>
      <c r="AKE47" t="e">
        <v>#N/A</v>
      </c>
      <c r="AKF47" t="e">
        <v>#N/A</v>
      </c>
      <c r="AKG47" t="e">
        <v>#N/A</v>
      </c>
      <c r="AKH47" t="e">
        <v>#N/A</v>
      </c>
      <c r="AKI47" t="e">
        <v>#N/A</v>
      </c>
      <c r="AKJ47" t="e">
        <v>#N/A</v>
      </c>
      <c r="AKK47" t="e">
        <v>#N/A</v>
      </c>
      <c r="AKL47" t="e">
        <v>#N/A</v>
      </c>
      <c r="AKM47" t="e">
        <v>#N/A</v>
      </c>
      <c r="AKN47" t="e">
        <v>#N/A</v>
      </c>
      <c r="AKO47" t="e">
        <v>#N/A</v>
      </c>
      <c r="AKP47" t="e">
        <v>#N/A</v>
      </c>
      <c r="AKQ47" t="e">
        <v>#N/A</v>
      </c>
      <c r="AKR47" t="e">
        <v>#N/A</v>
      </c>
      <c r="AKS47" t="e">
        <v>#N/A</v>
      </c>
      <c r="AKT47" t="e">
        <v>#N/A</v>
      </c>
      <c r="AKU47" t="e">
        <v>#N/A</v>
      </c>
      <c r="AKV47" t="e">
        <v>#N/A</v>
      </c>
      <c r="AKW47" t="e">
        <v>#N/A</v>
      </c>
      <c r="AKX47" t="e">
        <v>#N/A</v>
      </c>
      <c r="AKY47" t="e">
        <v>#N/A</v>
      </c>
      <c r="AKZ47" t="e">
        <v>#N/A</v>
      </c>
      <c r="ALA47" t="e">
        <v>#N/A</v>
      </c>
      <c r="ALB47" t="e">
        <v>#N/A</v>
      </c>
      <c r="ALC47" t="e">
        <v>#N/A</v>
      </c>
      <c r="ALD47" t="e">
        <v>#N/A</v>
      </c>
      <c r="ALE47" t="e">
        <v>#N/A</v>
      </c>
      <c r="ALF47" t="e">
        <v>#N/A</v>
      </c>
      <c r="ALG47" t="e">
        <v>#N/A</v>
      </c>
      <c r="ALH47" t="e">
        <v>#N/A</v>
      </c>
      <c r="ALI47" t="e">
        <v>#N/A</v>
      </c>
      <c r="ALJ47" t="e">
        <v>#N/A</v>
      </c>
      <c r="ALK47" t="e">
        <v>#N/A</v>
      </c>
      <c r="ALL47" t="e">
        <v>#N/A</v>
      </c>
      <c r="ALM47" t="e">
        <v>#N/A</v>
      </c>
      <c r="ALN47" t="e">
        <v>#N/A</v>
      </c>
      <c r="ALO47" t="e">
        <v>#N/A</v>
      </c>
      <c r="ALP47" t="e">
        <v>#N/A</v>
      </c>
      <c r="ALQ47" t="e">
        <v>#N/A</v>
      </c>
      <c r="ALR47" t="e">
        <v>#N/A</v>
      </c>
      <c r="ALS47" t="e">
        <v>#N/A</v>
      </c>
      <c r="ALT47" t="e">
        <v>#N/A</v>
      </c>
      <c r="ALU47" t="e">
        <v>#N/A</v>
      </c>
      <c r="ALV47" t="e">
        <v>#N/A</v>
      </c>
      <c r="ALW47" t="e">
        <v>#N/A</v>
      </c>
      <c r="ALX47" t="e">
        <v>#N/A</v>
      </c>
      <c r="ALY47" t="e">
        <v>#N/A</v>
      </c>
      <c r="ALZ47" t="e">
        <v>#N/A</v>
      </c>
      <c r="AMA47" t="e">
        <v>#N/A</v>
      </c>
      <c r="AMB47" t="e">
        <v>#N/A</v>
      </c>
      <c r="AMC47" t="e">
        <v>#N/A</v>
      </c>
      <c r="AMD47" t="e">
        <v>#N/A</v>
      </c>
      <c r="AME47" t="e">
        <v>#N/A</v>
      </c>
      <c r="AMF47" t="e">
        <v>#N/A</v>
      </c>
      <c r="AMG47" t="e">
        <v>#N/A</v>
      </c>
      <c r="AMH47" t="e">
        <v>#N/A</v>
      </c>
    </row>
    <row r="48" spans="1:1022" ht="15.75" customHeight="1">
      <c r="A48" s="8">
        <v>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0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0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0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0</v>
      </c>
      <c r="TA48" s="8">
        <v>0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0</v>
      </c>
      <c r="UG48" s="8">
        <v>0</v>
      </c>
      <c r="UH48" s="8">
        <v>0</v>
      </c>
      <c r="UI48" s="8">
        <v>0</v>
      </c>
      <c r="UJ48" s="8">
        <v>0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0</v>
      </c>
      <c r="UQ48" s="8">
        <v>0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0</v>
      </c>
      <c r="VO48" s="8">
        <v>0</v>
      </c>
      <c r="VP48" s="8">
        <v>0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0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0</v>
      </c>
      <c r="WI48" s="8">
        <v>0</v>
      </c>
      <c r="WJ48" s="8">
        <v>0</v>
      </c>
      <c r="WK48" s="8">
        <v>0</v>
      </c>
      <c r="WL48" s="8">
        <v>0</v>
      </c>
      <c r="WM48" s="8">
        <v>0</v>
      </c>
      <c r="WN48" s="8">
        <v>0</v>
      </c>
      <c r="WO48" s="8">
        <v>0</v>
      </c>
      <c r="WP48" s="8">
        <v>0</v>
      </c>
      <c r="WQ48" s="8">
        <v>0</v>
      </c>
      <c r="WR48" s="8">
        <v>0</v>
      </c>
      <c r="WS48" s="8">
        <v>0</v>
      </c>
      <c r="WT48" s="8">
        <v>0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0</v>
      </c>
      <c r="XB48" s="8">
        <v>0</v>
      </c>
      <c r="XC48" s="8">
        <v>0</v>
      </c>
      <c r="XD48" s="8">
        <v>0</v>
      </c>
      <c r="XE48" s="8">
        <v>0</v>
      </c>
      <c r="XF48" s="8">
        <v>0</v>
      </c>
      <c r="XG48" s="8">
        <v>0</v>
      </c>
      <c r="XH48" s="8">
        <v>0</v>
      </c>
      <c r="XI48" s="8">
        <v>0</v>
      </c>
      <c r="XJ48" s="8">
        <v>0</v>
      </c>
      <c r="XK48" s="8">
        <v>0</v>
      </c>
      <c r="XL48" s="8">
        <v>0</v>
      </c>
      <c r="XM48" s="8">
        <v>0</v>
      </c>
      <c r="XN48" s="8">
        <v>0</v>
      </c>
      <c r="XO48" s="8">
        <v>0</v>
      </c>
      <c r="XP48" s="8">
        <v>0</v>
      </c>
      <c r="XQ48" s="8">
        <v>0</v>
      </c>
      <c r="XR48" s="8">
        <v>0</v>
      </c>
      <c r="XS48" s="8">
        <v>0</v>
      </c>
      <c r="XT48" s="8">
        <v>0</v>
      </c>
      <c r="XU48" s="8">
        <v>0</v>
      </c>
      <c r="XV48" s="8">
        <v>0</v>
      </c>
      <c r="XW48" s="8">
        <v>0</v>
      </c>
      <c r="XX48" s="8">
        <v>0</v>
      </c>
      <c r="XY48" s="8">
        <v>0</v>
      </c>
      <c r="XZ48" s="8">
        <v>0</v>
      </c>
      <c r="YA48" s="8">
        <v>0</v>
      </c>
      <c r="YB48" s="8">
        <v>0</v>
      </c>
      <c r="YC48" s="8">
        <v>0</v>
      </c>
      <c r="YD48" s="8">
        <v>0</v>
      </c>
      <c r="YE48" s="8">
        <v>0</v>
      </c>
      <c r="YF48" s="8">
        <v>0</v>
      </c>
      <c r="YG48" s="8">
        <v>0</v>
      </c>
      <c r="YH48" s="8">
        <v>0</v>
      </c>
      <c r="YI48" s="8">
        <v>0</v>
      </c>
      <c r="YJ48" s="8">
        <v>0</v>
      </c>
      <c r="YK48" s="8">
        <v>0</v>
      </c>
      <c r="YL48" s="8">
        <v>0</v>
      </c>
      <c r="YM48" s="8">
        <v>0</v>
      </c>
      <c r="YN48" s="8">
        <v>0</v>
      </c>
      <c r="YO48" s="8">
        <v>0</v>
      </c>
      <c r="YP48" s="8">
        <v>0</v>
      </c>
      <c r="YQ48" s="8">
        <v>0</v>
      </c>
      <c r="YR48" s="8">
        <v>0</v>
      </c>
      <c r="YS48" s="8">
        <v>0</v>
      </c>
      <c r="YT48" s="8">
        <v>0</v>
      </c>
      <c r="YU48" s="8">
        <v>0</v>
      </c>
      <c r="YV48" s="8">
        <v>0</v>
      </c>
      <c r="YW48" s="8">
        <v>0</v>
      </c>
      <c r="YX48" s="8">
        <v>0</v>
      </c>
      <c r="YY48" s="8">
        <v>0</v>
      </c>
      <c r="YZ48" s="8">
        <v>0</v>
      </c>
      <c r="ZA48" s="8">
        <v>0</v>
      </c>
      <c r="ZB48" s="8">
        <v>0</v>
      </c>
      <c r="ZC48" s="8">
        <v>0</v>
      </c>
      <c r="ZD48" s="8">
        <v>0</v>
      </c>
      <c r="ZE48" s="8">
        <v>0</v>
      </c>
      <c r="ZF48" s="8">
        <v>0</v>
      </c>
      <c r="ZG48" s="8">
        <v>0</v>
      </c>
      <c r="ZH48" s="8">
        <v>0</v>
      </c>
      <c r="ZI48" s="8">
        <v>0</v>
      </c>
      <c r="ZJ48" s="8">
        <v>0</v>
      </c>
      <c r="ZK48" s="8">
        <v>0</v>
      </c>
      <c r="ZL48" s="8">
        <v>0</v>
      </c>
      <c r="ZM48" s="8">
        <v>0</v>
      </c>
      <c r="ZN48" s="8">
        <v>0</v>
      </c>
      <c r="ZO48" s="8">
        <v>0</v>
      </c>
      <c r="ZP48" s="8">
        <v>0</v>
      </c>
      <c r="ZQ48" s="8">
        <v>0</v>
      </c>
      <c r="ZR48" s="8">
        <v>0</v>
      </c>
      <c r="ZS48" s="8">
        <v>0</v>
      </c>
      <c r="ZT48" s="8">
        <v>0</v>
      </c>
      <c r="ZU48" s="8">
        <v>0</v>
      </c>
      <c r="ZV48" s="8">
        <v>0</v>
      </c>
      <c r="ZW48" s="8">
        <v>0</v>
      </c>
      <c r="ZX48" s="8">
        <v>0</v>
      </c>
      <c r="ZY48" s="8">
        <v>0</v>
      </c>
      <c r="ZZ48" s="8">
        <v>0</v>
      </c>
      <c r="AAA48" s="8">
        <v>0</v>
      </c>
      <c r="AAB48" s="8">
        <v>0</v>
      </c>
      <c r="AAC48" s="8">
        <v>0</v>
      </c>
      <c r="AAD48" s="8">
        <v>0</v>
      </c>
      <c r="AAE48" s="8">
        <v>0</v>
      </c>
      <c r="AAF48" s="8">
        <v>0</v>
      </c>
      <c r="AAG48" s="8">
        <v>0</v>
      </c>
      <c r="AAH48" s="8">
        <v>0</v>
      </c>
      <c r="AAI48" s="8">
        <v>0</v>
      </c>
      <c r="AAJ48" s="8">
        <v>0</v>
      </c>
      <c r="AAK48" s="8">
        <v>0</v>
      </c>
      <c r="AAL48" s="8">
        <v>0</v>
      </c>
      <c r="AAM48" s="8">
        <v>0</v>
      </c>
      <c r="AAN48" s="8">
        <v>0</v>
      </c>
      <c r="AAO48" s="8">
        <v>0</v>
      </c>
      <c r="AAP48" s="8">
        <v>0</v>
      </c>
      <c r="AAQ48" s="8">
        <v>0</v>
      </c>
      <c r="AAR48" s="8">
        <v>0</v>
      </c>
      <c r="AAS48" s="8">
        <v>0</v>
      </c>
      <c r="AAT48" s="8">
        <v>0</v>
      </c>
      <c r="AAU48" s="8">
        <v>0</v>
      </c>
      <c r="AAV48" s="8">
        <v>0</v>
      </c>
      <c r="AAW48" s="8">
        <v>0</v>
      </c>
      <c r="AAX48" s="8">
        <v>0</v>
      </c>
      <c r="AAY48" s="8">
        <v>0</v>
      </c>
      <c r="AAZ48" s="8">
        <v>0</v>
      </c>
      <c r="ABA48" s="8">
        <v>0</v>
      </c>
      <c r="ABB48" s="8">
        <v>0</v>
      </c>
      <c r="ABC48" s="8">
        <v>0</v>
      </c>
      <c r="ABD48" s="8">
        <v>0</v>
      </c>
      <c r="ABE48" s="8">
        <v>0</v>
      </c>
      <c r="ABF48" s="8">
        <v>0</v>
      </c>
      <c r="ABG48" s="8">
        <v>0</v>
      </c>
      <c r="ABH48" s="8">
        <v>0</v>
      </c>
      <c r="ABI48" s="8">
        <v>0</v>
      </c>
      <c r="ABJ48" s="8">
        <v>0</v>
      </c>
      <c r="ABK48" s="8">
        <v>0</v>
      </c>
      <c r="ABL48" s="8">
        <v>0</v>
      </c>
      <c r="ABM48" s="8">
        <v>0</v>
      </c>
      <c r="ABN48" s="8">
        <v>0</v>
      </c>
      <c r="ABO48" s="8">
        <v>0</v>
      </c>
      <c r="ABP48" s="8">
        <v>0</v>
      </c>
      <c r="ABQ48" s="8">
        <v>0</v>
      </c>
      <c r="ABR48" s="8">
        <v>0</v>
      </c>
      <c r="ABS48" s="8">
        <v>0</v>
      </c>
      <c r="ABT48" s="8">
        <v>0</v>
      </c>
      <c r="ABU48" s="8">
        <v>0</v>
      </c>
      <c r="ABV48" s="8">
        <v>0</v>
      </c>
      <c r="ABW48" s="8">
        <v>0</v>
      </c>
      <c r="ABX48" s="8">
        <v>0</v>
      </c>
      <c r="ABY48" s="8">
        <v>0</v>
      </c>
      <c r="ABZ48" s="8">
        <v>0</v>
      </c>
      <c r="ACA48" s="8">
        <v>0</v>
      </c>
      <c r="ACB48" s="8">
        <v>0</v>
      </c>
      <c r="ACC48" s="8">
        <v>0</v>
      </c>
      <c r="ACD48" s="8">
        <v>0</v>
      </c>
      <c r="ACE48" s="8">
        <v>0</v>
      </c>
      <c r="ACF48" s="8">
        <v>0</v>
      </c>
      <c r="ACG48" s="8">
        <v>0</v>
      </c>
      <c r="ACH48" s="8">
        <v>0</v>
      </c>
      <c r="ACI48" s="8">
        <v>0</v>
      </c>
      <c r="ACJ48" s="8">
        <v>0</v>
      </c>
      <c r="ACK48" s="8">
        <v>0</v>
      </c>
      <c r="ACL48" s="8">
        <v>0</v>
      </c>
      <c r="ACM48" s="8">
        <v>0</v>
      </c>
      <c r="ACN48" s="8">
        <v>0</v>
      </c>
      <c r="ACO48" s="8">
        <v>0</v>
      </c>
      <c r="ACP48" s="8">
        <v>0</v>
      </c>
      <c r="ACQ48" s="8">
        <v>0</v>
      </c>
      <c r="ACR48" s="8">
        <v>0</v>
      </c>
      <c r="ACS48" s="8">
        <v>0</v>
      </c>
      <c r="ACT48" s="8">
        <v>0</v>
      </c>
      <c r="ACU48" s="8">
        <v>0</v>
      </c>
      <c r="ACV48" s="8">
        <v>0</v>
      </c>
      <c r="ACW48" s="8">
        <v>0</v>
      </c>
      <c r="ACX48" s="8">
        <v>0</v>
      </c>
      <c r="ACY48" s="8">
        <v>0</v>
      </c>
      <c r="ACZ48" s="8">
        <v>0</v>
      </c>
      <c r="ADA48" s="8">
        <v>0</v>
      </c>
      <c r="ADB48" s="8">
        <v>0</v>
      </c>
      <c r="ADC48" s="8">
        <v>0</v>
      </c>
      <c r="ADD48" s="8">
        <v>0</v>
      </c>
      <c r="ADE48" s="8">
        <v>0</v>
      </c>
      <c r="ADF48" s="8">
        <v>0</v>
      </c>
      <c r="ADG48" s="8">
        <v>0</v>
      </c>
      <c r="ADH48" s="8">
        <v>0</v>
      </c>
      <c r="ADI48" s="8">
        <v>0</v>
      </c>
      <c r="ADJ48" s="8">
        <v>0</v>
      </c>
      <c r="ADK48" s="8">
        <v>0</v>
      </c>
      <c r="ADL48" s="8">
        <v>0</v>
      </c>
      <c r="ADM48" s="8">
        <v>0</v>
      </c>
      <c r="ADN48" s="8">
        <v>0</v>
      </c>
      <c r="ADO48" s="8">
        <v>0</v>
      </c>
      <c r="ADP48" s="8">
        <v>0</v>
      </c>
      <c r="ADQ48" s="8">
        <v>0</v>
      </c>
      <c r="ADR48" s="8">
        <v>0</v>
      </c>
      <c r="ADS48" s="8">
        <v>0</v>
      </c>
      <c r="ADT48" s="8">
        <v>0</v>
      </c>
      <c r="ADU48" s="8">
        <v>0</v>
      </c>
      <c r="ADV48" s="8">
        <v>0</v>
      </c>
      <c r="ADW48" s="8">
        <v>0</v>
      </c>
      <c r="ADX48" s="8">
        <v>0</v>
      </c>
      <c r="ADY48" s="8">
        <v>0</v>
      </c>
      <c r="ADZ48" s="8">
        <v>0</v>
      </c>
      <c r="AEA48" s="8">
        <v>0</v>
      </c>
      <c r="AEB48" s="8">
        <v>0</v>
      </c>
      <c r="AEC48" s="8">
        <v>0</v>
      </c>
      <c r="AED48" s="8">
        <v>0</v>
      </c>
      <c r="AEE48" s="8">
        <v>0</v>
      </c>
      <c r="AEF48" s="8">
        <v>0</v>
      </c>
      <c r="AEG48" s="8">
        <v>0</v>
      </c>
      <c r="AEH48" s="8">
        <v>0</v>
      </c>
      <c r="AEI48" s="8">
        <v>0</v>
      </c>
      <c r="AEJ48" s="8">
        <v>0</v>
      </c>
      <c r="AEK48" s="8">
        <v>0</v>
      </c>
      <c r="AEL48" s="8">
        <v>0</v>
      </c>
      <c r="AEM48" s="8">
        <v>0</v>
      </c>
      <c r="AEN48" s="8">
        <v>0</v>
      </c>
      <c r="AEO48" s="8">
        <v>0</v>
      </c>
      <c r="AEP48" s="8">
        <v>0</v>
      </c>
      <c r="AEQ48" s="8">
        <v>0</v>
      </c>
      <c r="AER48" s="8">
        <v>0</v>
      </c>
      <c r="AES48" s="8">
        <v>0</v>
      </c>
      <c r="AET48" s="8">
        <v>0</v>
      </c>
      <c r="AEU48" s="8">
        <v>0</v>
      </c>
      <c r="AEV48" s="8">
        <v>0</v>
      </c>
      <c r="AEW48" s="8">
        <v>0</v>
      </c>
      <c r="AEX48" s="8">
        <v>0</v>
      </c>
      <c r="AEY48" s="8">
        <v>0</v>
      </c>
      <c r="AEZ48" s="8">
        <v>0</v>
      </c>
      <c r="AFA48" s="8">
        <v>0</v>
      </c>
      <c r="AFB48" s="8">
        <v>0</v>
      </c>
      <c r="AFC48" s="8">
        <v>0</v>
      </c>
      <c r="AFD48" s="8">
        <v>0</v>
      </c>
      <c r="AFE48" s="8">
        <v>0</v>
      </c>
      <c r="AFF48" s="8">
        <v>0</v>
      </c>
      <c r="AFG48" s="8">
        <v>0</v>
      </c>
      <c r="AFH48" s="8">
        <v>0</v>
      </c>
      <c r="AFI48" s="8">
        <v>0</v>
      </c>
      <c r="AFJ48" s="8">
        <v>0</v>
      </c>
      <c r="AFK48" s="8">
        <v>0</v>
      </c>
      <c r="AFL48" s="8">
        <v>0</v>
      </c>
      <c r="AFM48" s="8">
        <v>0</v>
      </c>
      <c r="AFN48" s="8">
        <v>0</v>
      </c>
      <c r="AFO48" s="8">
        <v>0</v>
      </c>
      <c r="AFP48" s="8">
        <v>0</v>
      </c>
      <c r="AFQ48" s="8">
        <v>0</v>
      </c>
      <c r="AFR48" s="8">
        <v>0</v>
      </c>
      <c r="AFS48" s="8">
        <v>0</v>
      </c>
      <c r="AFT48" s="8">
        <v>0</v>
      </c>
      <c r="AFU48" s="8">
        <v>0</v>
      </c>
      <c r="AFV48" s="8">
        <v>0</v>
      </c>
      <c r="AFW48" s="8">
        <v>0</v>
      </c>
      <c r="AFX48" s="8">
        <v>0</v>
      </c>
      <c r="AFY48" s="8">
        <v>0</v>
      </c>
      <c r="AFZ48" s="8">
        <v>0</v>
      </c>
      <c r="AGA48" s="8">
        <v>0</v>
      </c>
      <c r="AGB48" s="8">
        <v>0</v>
      </c>
      <c r="AGC48" s="8">
        <v>0</v>
      </c>
      <c r="AGD48" s="8">
        <v>0</v>
      </c>
      <c r="AGE48" s="8">
        <v>0</v>
      </c>
      <c r="AGF48" s="8">
        <v>0</v>
      </c>
      <c r="AGG48" s="8">
        <v>0</v>
      </c>
      <c r="AGH48" s="8">
        <v>0</v>
      </c>
      <c r="AGI48" s="8">
        <v>0</v>
      </c>
      <c r="AGJ48" s="8">
        <v>0</v>
      </c>
      <c r="AGK48" s="8">
        <v>0</v>
      </c>
      <c r="AGL48" s="8">
        <v>0</v>
      </c>
      <c r="AGM48" s="8">
        <v>0</v>
      </c>
      <c r="AGN48" s="8">
        <v>0</v>
      </c>
      <c r="AGO48" s="8">
        <v>0</v>
      </c>
      <c r="AGP48" s="8">
        <v>0</v>
      </c>
      <c r="AGQ48" s="8">
        <v>0</v>
      </c>
      <c r="AGR48" s="8">
        <v>0</v>
      </c>
      <c r="AGS48" s="8">
        <v>0</v>
      </c>
      <c r="AGT48" s="8">
        <v>0</v>
      </c>
      <c r="AGU48" s="8">
        <v>0</v>
      </c>
      <c r="AGV48" s="8">
        <v>0</v>
      </c>
      <c r="AGW48" s="8">
        <v>0</v>
      </c>
      <c r="AGX48" s="8">
        <v>0</v>
      </c>
      <c r="AGY48" s="8">
        <v>0</v>
      </c>
      <c r="AGZ48" s="8">
        <v>0</v>
      </c>
      <c r="AHA48" s="8">
        <v>0</v>
      </c>
      <c r="AHB48" s="8">
        <v>0</v>
      </c>
      <c r="AHC48" s="8">
        <v>0</v>
      </c>
      <c r="AHD48" s="8">
        <v>0</v>
      </c>
      <c r="AHE48" s="8">
        <v>0</v>
      </c>
      <c r="AHF48" s="8">
        <v>0</v>
      </c>
      <c r="AHG48" s="8">
        <v>0</v>
      </c>
      <c r="AHH48" s="8">
        <v>0</v>
      </c>
      <c r="AHI48" s="8">
        <v>0</v>
      </c>
      <c r="AHJ48" s="8">
        <v>0</v>
      </c>
      <c r="AHK48" s="8">
        <v>0</v>
      </c>
      <c r="AHL48" s="8">
        <v>0</v>
      </c>
      <c r="AHM48" s="8">
        <v>0</v>
      </c>
      <c r="AHN48" s="8">
        <v>0</v>
      </c>
      <c r="AHO48" s="8">
        <v>0</v>
      </c>
      <c r="AHP48" s="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 t="e">
        <v>#N/A</v>
      </c>
      <c r="AIJ48" t="e">
        <v>#N/A</v>
      </c>
      <c r="AIK48" t="e">
        <v>#N/A</v>
      </c>
      <c r="AIL48" t="e">
        <v>#N/A</v>
      </c>
      <c r="AIM48" t="e">
        <v>#N/A</v>
      </c>
      <c r="AIN48" t="e">
        <v>#N/A</v>
      </c>
      <c r="AIO48" t="e">
        <v>#N/A</v>
      </c>
      <c r="AIP48" t="e">
        <v>#N/A</v>
      </c>
      <c r="AIQ48" t="e">
        <v>#N/A</v>
      </c>
      <c r="AIR48" t="e">
        <v>#N/A</v>
      </c>
      <c r="AIS48" t="e">
        <v>#N/A</v>
      </c>
      <c r="AIT48" t="e">
        <v>#N/A</v>
      </c>
      <c r="AIU48" t="e">
        <v>#N/A</v>
      </c>
      <c r="AIV48" t="e">
        <v>#N/A</v>
      </c>
      <c r="AIW48" t="e">
        <v>#N/A</v>
      </c>
      <c r="AIX48" t="e">
        <v>#N/A</v>
      </c>
      <c r="AIY48" t="e">
        <v>#N/A</v>
      </c>
      <c r="AIZ48" t="e">
        <v>#N/A</v>
      </c>
      <c r="AJA48" t="e">
        <v>#N/A</v>
      </c>
      <c r="AJB48" t="e">
        <v>#N/A</v>
      </c>
      <c r="AJC48" t="e">
        <v>#N/A</v>
      </c>
      <c r="AJD48" t="e">
        <v>#N/A</v>
      </c>
      <c r="AJE48" t="e">
        <v>#N/A</v>
      </c>
      <c r="AJF48" t="e">
        <v>#N/A</v>
      </c>
      <c r="AJG48" t="e">
        <v>#N/A</v>
      </c>
      <c r="AJH48" t="e">
        <v>#N/A</v>
      </c>
      <c r="AJI48" t="e">
        <v>#N/A</v>
      </c>
      <c r="AJJ48" t="e">
        <v>#N/A</v>
      </c>
      <c r="AJK48" t="e">
        <v>#N/A</v>
      </c>
      <c r="AJL48" t="e">
        <v>#N/A</v>
      </c>
      <c r="AJM48" t="e">
        <v>#N/A</v>
      </c>
      <c r="AJN48" t="e">
        <v>#N/A</v>
      </c>
      <c r="AJO48" t="e">
        <v>#N/A</v>
      </c>
      <c r="AJP48" t="e">
        <v>#N/A</v>
      </c>
      <c r="AJQ48" t="e">
        <v>#N/A</v>
      </c>
      <c r="AJR48" t="e">
        <v>#N/A</v>
      </c>
      <c r="AJS48" t="e">
        <v>#N/A</v>
      </c>
      <c r="AJT48" t="e">
        <v>#N/A</v>
      </c>
      <c r="AJU48" t="e">
        <v>#N/A</v>
      </c>
      <c r="AJV48" t="e">
        <v>#N/A</v>
      </c>
      <c r="AJW48" t="e">
        <v>#N/A</v>
      </c>
      <c r="AJX48" t="e">
        <v>#N/A</v>
      </c>
      <c r="AJY48" t="e">
        <v>#N/A</v>
      </c>
      <c r="AJZ48" t="e">
        <v>#N/A</v>
      </c>
      <c r="AKA48" t="e">
        <v>#N/A</v>
      </c>
      <c r="AKB48" t="e">
        <v>#N/A</v>
      </c>
      <c r="AKC48" t="e">
        <v>#N/A</v>
      </c>
      <c r="AKD48" t="e">
        <v>#N/A</v>
      </c>
      <c r="AKE48" t="e">
        <v>#N/A</v>
      </c>
      <c r="AKF48" t="e">
        <v>#N/A</v>
      </c>
      <c r="AKG48" t="e">
        <v>#N/A</v>
      </c>
      <c r="AKH48" t="e">
        <v>#N/A</v>
      </c>
      <c r="AKI48" t="e">
        <v>#N/A</v>
      </c>
      <c r="AKJ48" t="e">
        <v>#N/A</v>
      </c>
      <c r="AKK48" t="e">
        <v>#N/A</v>
      </c>
      <c r="AKL48" t="e">
        <v>#N/A</v>
      </c>
      <c r="AKM48" t="e">
        <v>#N/A</v>
      </c>
      <c r="AKN48" t="e">
        <v>#N/A</v>
      </c>
      <c r="AKO48" t="e">
        <v>#N/A</v>
      </c>
      <c r="AKP48" t="e">
        <v>#N/A</v>
      </c>
      <c r="AKQ48" t="e">
        <v>#N/A</v>
      </c>
      <c r="AKR48" t="e">
        <v>#N/A</v>
      </c>
      <c r="AKS48" t="e">
        <v>#N/A</v>
      </c>
      <c r="AKT48" t="e">
        <v>#N/A</v>
      </c>
      <c r="AKU48" t="e">
        <v>#N/A</v>
      </c>
      <c r="AKV48" t="e">
        <v>#N/A</v>
      </c>
      <c r="AKW48" t="e">
        <v>#N/A</v>
      </c>
      <c r="AKX48" t="e">
        <v>#N/A</v>
      </c>
      <c r="AKY48" t="e">
        <v>#N/A</v>
      </c>
      <c r="AKZ48" t="e">
        <v>#N/A</v>
      </c>
      <c r="ALA48" t="e">
        <v>#N/A</v>
      </c>
      <c r="ALB48" t="e">
        <v>#N/A</v>
      </c>
      <c r="ALC48" t="e">
        <v>#N/A</v>
      </c>
      <c r="ALD48" t="e">
        <v>#N/A</v>
      </c>
      <c r="ALE48" t="e">
        <v>#N/A</v>
      </c>
      <c r="ALF48" t="e">
        <v>#N/A</v>
      </c>
      <c r="ALG48" t="e">
        <v>#N/A</v>
      </c>
      <c r="ALH48" t="e">
        <v>#N/A</v>
      </c>
      <c r="ALI48" t="e">
        <v>#N/A</v>
      </c>
      <c r="ALJ48" t="e">
        <v>#N/A</v>
      </c>
      <c r="ALK48" t="e">
        <v>#N/A</v>
      </c>
      <c r="ALL48" t="e">
        <v>#N/A</v>
      </c>
      <c r="ALM48" t="e">
        <v>#N/A</v>
      </c>
      <c r="ALN48" t="e">
        <v>#N/A</v>
      </c>
      <c r="ALO48" t="e">
        <v>#N/A</v>
      </c>
      <c r="ALP48" t="e">
        <v>#N/A</v>
      </c>
      <c r="ALQ48" t="e">
        <v>#N/A</v>
      </c>
      <c r="ALR48" t="e">
        <v>#N/A</v>
      </c>
      <c r="ALS48" t="e">
        <v>#N/A</v>
      </c>
      <c r="ALT48" t="e">
        <v>#N/A</v>
      </c>
      <c r="ALU48" t="e">
        <v>#N/A</v>
      </c>
      <c r="ALV48" t="e">
        <v>#N/A</v>
      </c>
      <c r="ALW48" t="e">
        <v>#N/A</v>
      </c>
      <c r="ALX48" t="e">
        <v>#N/A</v>
      </c>
      <c r="ALY48" t="e">
        <v>#N/A</v>
      </c>
      <c r="ALZ48" t="e">
        <v>#N/A</v>
      </c>
      <c r="AMA48" t="e">
        <v>#N/A</v>
      </c>
      <c r="AMB48" t="e">
        <v>#N/A</v>
      </c>
      <c r="AMC48" t="e">
        <v>#N/A</v>
      </c>
      <c r="AMD48" t="e">
        <v>#N/A</v>
      </c>
      <c r="AME48" t="e">
        <v>#N/A</v>
      </c>
      <c r="AMF48" t="e">
        <v>#N/A</v>
      </c>
      <c r="AMG48" t="e">
        <v>#N/A</v>
      </c>
      <c r="AMH48" t="e">
        <v>#N/A</v>
      </c>
    </row>
    <row r="49" spans="1:1022" ht="15.75" customHeight="1">
      <c r="A49" s="8">
        <v>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0</v>
      </c>
      <c r="OR49" s="8">
        <v>0</v>
      </c>
      <c r="OS49" s="8">
        <v>0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0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0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0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0</v>
      </c>
      <c r="TT49" s="8">
        <v>0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0</v>
      </c>
      <c r="UC49" s="8">
        <v>0</v>
      </c>
      <c r="UD49" s="8">
        <v>0</v>
      </c>
      <c r="UE49" s="8">
        <v>0</v>
      </c>
      <c r="UF49" s="8">
        <v>0</v>
      </c>
      <c r="UG49" s="8">
        <v>0</v>
      </c>
      <c r="UH49" s="8">
        <v>0</v>
      </c>
      <c r="UI49" s="8">
        <v>0</v>
      </c>
      <c r="UJ49" s="8">
        <v>0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0</v>
      </c>
      <c r="UQ49" s="8">
        <v>0</v>
      </c>
      <c r="UR49" s="8">
        <v>0</v>
      </c>
      <c r="US49" s="8">
        <v>0</v>
      </c>
      <c r="UT49" s="8">
        <v>0</v>
      </c>
      <c r="UU49" s="8">
        <v>0</v>
      </c>
      <c r="UV49" s="8">
        <v>0</v>
      </c>
      <c r="UW49" s="8">
        <v>0</v>
      </c>
      <c r="UX49" s="8">
        <v>0</v>
      </c>
      <c r="UY49" s="8">
        <v>0</v>
      </c>
      <c r="UZ49" s="8">
        <v>0</v>
      </c>
      <c r="VA49" s="8">
        <v>0</v>
      </c>
      <c r="VB49" s="8">
        <v>0</v>
      </c>
      <c r="VC49" s="8">
        <v>0</v>
      </c>
      <c r="VD49" s="8">
        <v>0</v>
      </c>
      <c r="VE49" s="8">
        <v>0</v>
      </c>
      <c r="VF49" s="8">
        <v>0</v>
      </c>
      <c r="VG49" s="8">
        <v>0</v>
      </c>
      <c r="VH49" s="8">
        <v>0</v>
      </c>
      <c r="VI49" s="8">
        <v>0</v>
      </c>
      <c r="VJ49" s="8">
        <v>0</v>
      </c>
      <c r="VK49" s="8">
        <v>0</v>
      </c>
      <c r="VL49" s="8">
        <v>0</v>
      </c>
      <c r="VM49" s="8">
        <v>0</v>
      </c>
      <c r="VN49" s="8">
        <v>0</v>
      </c>
      <c r="VO49" s="8">
        <v>0</v>
      </c>
      <c r="VP49" s="8">
        <v>0</v>
      </c>
      <c r="VQ49" s="8">
        <v>0</v>
      </c>
      <c r="VR49" s="8">
        <v>0</v>
      </c>
      <c r="VS49" s="8">
        <v>0</v>
      </c>
      <c r="VT49" s="8">
        <v>0</v>
      </c>
      <c r="VU49" s="8">
        <v>0</v>
      </c>
      <c r="VV49" s="8">
        <v>0</v>
      </c>
      <c r="VW49" s="8">
        <v>0</v>
      </c>
      <c r="VX49" s="8">
        <v>0</v>
      </c>
      <c r="VY49" s="8">
        <v>0</v>
      </c>
      <c r="VZ49" s="8">
        <v>0</v>
      </c>
      <c r="WA49" s="8">
        <v>0</v>
      </c>
      <c r="WB49" s="8">
        <v>0</v>
      </c>
      <c r="WC49" s="8">
        <v>0</v>
      </c>
      <c r="WD49" s="8">
        <v>0</v>
      </c>
      <c r="WE49" s="8">
        <v>0</v>
      </c>
      <c r="WF49" s="8">
        <v>0</v>
      </c>
      <c r="WG49" s="8">
        <v>0</v>
      </c>
      <c r="WH49" s="8">
        <v>0</v>
      </c>
      <c r="WI49" s="8">
        <v>0</v>
      </c>
      <c r="WJ49" s="8">
        <v>0</v>
      </c>
      <c r="WK49" s="8">
        <v>0</v>
      </c>
      <c r="WL49" s="8">
        <v>0</v>
      </c>
      <c r="WM49" s="8">
        <v>0</v>
      </c>
      <c r="WN49" s="8">
        <v>0</v>
      </c>
      <c r="WO49" s="8">
        <v>0</v>
      </c>
      <c r="WP49" s="8">
        <v>0</v>
      </c>
      <c r="WQ49" s="8">
        <v>0</v>
      </c>
      <c r="WR49" s="8">
        <v>0</v>
      </c>
      <c r="WS49" s="8">
        <v>0</v>
      </c>
      <c r="WT49" s="8">
        <v>0</v>
      </c>
      <c r="WU49" s="8">
        <v>0</v>
      </c>
      <c r="WV49" s="8">
        <v>0</v>
      </c>
      <c r="WW49" s="8">
        <v>0</v>
      </c>
      <c r="WX49" s="8">
        <v>0</v>
      </c>
      <c r="WY49" s="8">
        <v>0</v>
      </c>
      <c r="WZ49" s="8">
        <v>0</v>
      </c>
      <c r="XA49" s="8">
        <v>0</v>
      </c>
      <c r="XB49" s="8">
        <v>0</v>
      </c>
      <c r="XC49" s="8">
        <v>0</v>
      </c>
      <c r="XD49" s="8">
        <v>0</v>
      </c>
      <c r="XE49" s="8">
        <v>0</v>
      </c>
      <c r="XF49" s="8">
        <v>0</v>
      </c>
      <c r="XG49" s="8">
        <v>0</v>
      </c>
      <c r="XH49" s="8">
        <v>0</v>
      </c>
      <c r="XI49" s="8">
        <v>0</v>
      </c>
      <c r="XJ49" s="8">
        <v>0</v>
      </c>
      <c r="XK49" s="8">
        <v>0</v>
      </c>
      <c r="XL49" s="8">
        <v>0</v>
      </c>
      <c r="XM49" s="8">
        <v>0</v>
      </c>
      <c r="XN49" s="8">
        <v>0</v>
      </c>
      <c r="XO49" s="8">
        <v>0</v>
      </c>
      <c r="XP49" s="8">
        <v>0</v>
      </c>
      <c r="XQ49" s="8">
        <v>0</v>
      </c>
      <c r="XR49" s="8">
        <v>0</v>
      </c>
      <c r="XS49" s="8">
        <v>0</v>
      </c>
      <c r="XT49" s="8">
        <v>0</v>
      </c>
      <c r="XU49" s="8">
        <v>0</v>
      </c>
      <c r="XV49" s="8">
        <v>0</v>
      </c>
      <c r="XW49" s="8">
        <v>0</v>
      </c>
      <c r="XX49" s="8">
        <v>0</v>
      </c>
      <c r="XY49" s="8">
        <v>0</v>
      </c>
      <c r="XZ49" s="8">
        <v>0</v>
      </c>
      <c r="YA49" s="8">
        <v>0</v>
      </c>
      <c r="YB49" s="8">
        <v>0</v>
      </c>
      <c r="YC49" s="8">
        <v>0</v>
      </c>
      <c r="YD49" s="8">
        <v>0</v>
      </c>
      <c r="YE49" s="8">
        <v>0</v>
      </c>
      <c r="YF49" s="8">
        <v>0</v>
      </c>
      <c r="YG49" s="8">
        <v>0</v>
      </c>
      <c r="YH49" s="8">
        <v>0</v>
      </c>
      <c r="YI49" s="8">
        <v>0</v>
      </c>
      <c r="YJ49" s="8">
        <v>0</v>
      </c>
      <c r="YK49" s="8">
        <v>0</v>
      </c>
      <c r="YL49" s="8">
        <v>0</v>
      </c>
      <c r="YM49" s="8">
        <v>0</v>
      </c>
      <c r="YN49" s="8">
        <v>0</v>
      </c>
      <c r="YO49" s="8">
        <v>0</v>
      </c>
      <c r="YP49" s="8">
        <v>0</v>
      </c>
      <c r="YQ49" s="8">
        <v>0</v>
      </c>
      <c r="YR49" s="8">
        <v>0</v>
      </c>
      <c r="YS49" s="8">
        <v>0</v>
      </c>
      <c r="YT49" s="8">
        <v>0</v>
      </c>
      <c r="YU49" s="8">
        <v>0</v>
      </c>
      <c r="YV49" s="8">
        <v>0</v>
      </c>
      <c r="YW49" s="8">
        <v>0</v>
      </c>
      <c r="YX49" s="8">
        <v>0</v>
      </c>
      <c r="YY49" s="8">
        <v>0</v>
      </c>
      <c r="YZ49" s="8">
        <v>0</v>
      </c>
      <c r="ZA49" s="8">
        <v>0</v>
      </c>
      <c r="ZB49" s="8">
        <v>0</v>
      </c>
      <c r="ZC49" s="8">
        <v>0</v>
      </c>
      <c r="ZD49" s="8">
        <v>0</v>
      </c>
      <c r="ZE49" s="8">
        <v>0</v>
      </c>
      <c r="ZF49" s="8">
        <v>0</v>
      </c>
      <c r="ZG49" s="8">
        <v>0</v>
      </c>
      <c r="ZH49" s="8">
        <v>0</v>
      </c>
      <c r="ZI49" s="8">
        <v>0</v>
      </c>
      <c r="ZJ49" s="8">
        <v>0</v>
      </c>
      <c r="ZK49" s="8">
        <v>0</v>
      </c>
      <c r="ZL49" s="8">
        <v>0</v>
      </c>
      <c r="ZM49" s="8">
        <v>0</v>
      </c>
      <c r="ZN49" s="8">
        <v>0</v>
      </c>
      <c r="ZO49" s="8">
        <v>0</v>
      </c>
      <c r="ZP49" s="8">
        <v>0</v>
      </c>
      <c r="ZQ49" s="8">
        <v>0</v>
      </c>
      <c r="ZR49" s="8">
        <v>0</v>
      </c>
      <c r="ZS49" s="8">
        <v>0</v>
      </c>
      <c r="ZT49" s="8">
        <v>0</v>
      </c>
      <c r="ZU49" s="8">
        <v>0</v>
      </c>
      <c r="ZV49" s="8">
        <v>0</v>
      </c>
      <c r="ZW49" s="8">
        <v>0</v>
      </c>
      <c r="ZX49" s="8">
        <v>0</v>
      </c>
      <c r="ZY49" s="8">
        <v>0</v>
      </c>
      <c r="ZZ49" s="8">
        <v>0</v>
      </c>
      <c r="AAA49" s="8">
        <v>0</v>
      </c>
      <c r="AAB49" s="8">
        <v>0</v>
      </c>
      <c r="AAC49" s="8">
        <v>0</v>
      </c>
      <c r="AAD49" s="8">
        <v>0</v>
      </c>
      <c r="AAE49" s="8">
        <v>0</v>
      </c>
      <c r="AAF49" s="8">
        <v>0</v>
      </c>
      <c r="AAG49" s="8">
        <v>0</v>
      </c>
      <c r="AAH49" s="8">
        <v>0</v>
      </c>
      <c r="AAI49" s="8">
        <v>0</v>
      </c>
      <c r="AAJ49" s="8">
        <v>0</v>
      </c>
      <c r="AAK49" s="8">
        <v>0</v>
      </c>
      <c r="AAL49" s="8">
        <v>0</v>
      </c>
      <c r="AAM49" s="8">
        <v>0</v>
      </c>
      <c r="AAN49" s="8">
        <v>0</v>
      </c>
      <c r="AAO49" s="8">
        <v>0</v>
      </c>
      <c r="AAP49" s="8">
        <v>0</v>
      </c>
      <c r="AAQ49" s="8">
        <v>0</v>
      </c>
      <c r="AAR49" s="8">
        <v>0</v>
      </c>
      <c r="AAS49" s="8">
        <v>0</v>
      </c>
      <c r="AAT49" s="8">
        <v>0</v>
      </c>
      <c r="AAU49" s="8">
        <v>0</v>
      </c>
      <c r="AAV49" s="8">
        <v>0</v>
      </c>
      <c r="AAW49" s="8">
        <v>0</v>
      </c>
      <c r="AAX49" s="8">
        <v>0</v>
      </c>
      <c r="AAY49" s="8">
        <v>0</v>
      </c>
      <c r="AAZ49" s="8">
        <v>0</v>
      </c>
      <c r="ABA49" s="8">
        <v>0</v>
      </c>
      <c r="ABB49" s="8">
        <v>0</v>
      </c>
      <c r="ABC49" s="8">
        <v>0</v>
      </c>
      <c r="ABD49" s="8">
        <v>0</v>
      </c>
      <c r="ABE49" s="8">
        <v>0</v>
      </c>
      <c r="ABF49" s="8">
        <v>0</v>
      </c>
      <c r="ABG49" s="8">
        <v>0</v>
      </c>
      <c r="ABH49" s="8">
        <v>0</v>
      </c>
      <c r="ABI49" s="8">
        <v>0</v>
      </c>
      <c r="ABJ49" s="8">
        <v>0</v>
      </c>
      <c r="ABK49" s="8">
        <v>0</v>
      </c>
      <c r="ABL49" s="8">
        <v>0</v>
      </c>
      <c r="ABM49" s="8">
        <v>0</v>
      </c>
      <c r="ABN49" s="8">
        <v>0</v>
      </c>
      <c r="ABO49" s="8">
        <v>0</v>
      </c>
      <c r="ABP49" s="8">
        <v>0</v>
      </c>
      <c r="ABQ49" s="8">
        <v>0</v>
      </c>
      <c r="ABR49" s="8">
        <v>0</v>
      </c>
      <c r="ABS49" s="8">
        <v>0</v>
      </c>
      <c r="ABT49" s="8">
        <v>0</v>
      </c>
      <c r="ABU49" s="8">
        <v>0</v>
      </c>
      <c r="ABV49" s="8">
        <v>0</v>
      </c>
      <c r="ABW49" s="8">
        <v>0</v>
      </c>
      <c r="ABX49" s="8">
        <v>0</v>
      </c>
      <c r="ABY49" s="8">
        <v>0</v>
      </c>
      <c r="ABZ49" s="8">
        <v>0</v>
      </c>
      <c r="ACA49" s="8">
        <v>0</v>
      </c>
      <c r="ACB49" s="8">
        <v>0</v>
      </c>
      <c r="ACC49" s="8">
        <v>0</v>
      </c>
      <c r="ACD49" s="8">
        <v>0</v>
      </c>
      <c r="ACE49" s="8">
        <v>0</v>
      </c>
      <c r="ACF49" s="8">
        <v>0</v>
      </c>
      <c r="ACG49" s="8">
        <v>0</v>
      </c>
      <c r="ACH49" s="8">
        <v>0</v>
      </c>
      <c r="ACI49" s="8">
        <v>0</v>
      </c>
      <c r="ACJ49" s="8">
        <v>0</v>
      </c>
      <c r="ACK49" s="8">
        <v>0</v>
      </c>
      <c r="ACL49" s="8">
        <v>0</v>
      </c>
      <c r="ACM49" s="8">
        <v>0</v>
      </c>
      <c r="ACN49" s="8">
        <v>0</v>
      </c>
      <c r="ACO49" s="8">
        <v>0</v>
      </c>
      <c r="ACP49" s="8">
        <v>0</v>
      </c>
      <c r="ACQ49" s="8">
        <v>0</v>
      </c>
      <c r="ACR49" s="8">
        <v>0</v>
      </c>
      <c r="ACS49" s="8">
        <v>0</v>
      </c>
      <c r="ACT49" s="8">
        <v>0</v>
      </c>
      <c r="ACU49" s="8">
        <v>0</v>
      </c>
      <c r="ACV49" s="8">
        <v>0</v>
      </c>
      <c r="ACW49" s="8">
        <v>0</v>
      </c>
      <c r="ACX49" s="8">
        <v>0</v>
      </c>
      <c r="ACY49" s="8">
        <v>0</v>
      </c>
      <c r="ACZ49" s="8">
        <v>0</v>
      </c>
      <c r="ADA49" s="8">
        <v>0</v>
      </c>
      <c r="ADB49" s="8">
        <v>0</v>
      </c>
      <c r="ADC49" s="8">
        <v>0</v>
      </c>
      <c r="ADD49" s="8">
        <v>0</v>
      </c>
      <c r="ADE49" s="8">
        <v>0</v>
      </c>
      <c r="ADF49" s="8">
        <v>0</v>
      </c>
      <c r="ADG49" s="8">
        <v>0</v>
      </c>
      <c r="ADH49" s="8">
        <v>0</v>
      </c>
      <c r="ADI49" s="8">
        <v>0</v>
      </c>
      <c r="ADJ49" s="8">
        <v>0</v>
      </c>
      <c r="ADK49" s="8">
        <v>0</v>
      </c>
      <c r="ADL49" s="8">
        <v>0</v>
      </c>
      <c r="ADM49" s="8">
        <v>0</v>
      </c>
      <c r="ADN49" s="8">
        <v>0</v>
      </c>
      <c r="ADO49" s="8">
        <v>0</v>
      </c>
      <c r="ADP49" s="8">
        <v>0</v>
      </c>
      <c r="ADQ49" s="8">
        <v>0</v>
      </c>
      <c r="ADR49" s="8">
        <v>0</v>
      </c>
      <c r="ADS49" s="8">
        <v>0</v>
      </c>
      <c r="ADT49" s="8">
        <v>0</v>
      </c>
      <c r="ADU49" s="8">
        <v>0</v>
      </c>
      <c r="ADV49" s="8">
        <v>0</v>
      </c>
      <c r="ADW49" s="8">
        <v>0</v>
      </c>
      <c r="ADX49" s="8">
        <v>0</v>
      </c>
      <c r="ADY49" s="8">
        <v>0</v>
      </c>
      <c r="ADZ49" s="8">
        <v>0</v>
      </c>
      <c r="AEA49" s="8">
        <v>0</v>
      </c>
      <c r="AEB49" s="8">
        <v>0</v>
      </c>
      <c r="AEC49" s="8">
        <v>0</v>
      </c>
      <c r="AED49" s="8">
        <v>0</v>
      </c>
      <c r="AEE49" s="8">
        <v>0</v>
      </c>
      <c r="AEF49" s="8">
        <v>0</v>
      </c>
      <c r="AEG49" s="8">
        <v>0</v>
      </c>
      <c r="AEH49" s="8">
        <v>0</v>
      </c>
      <c r="AEI49" s="8">
        <v>0</v>
      </c>
      <c r="AEJ49" s="8">
        <v>0</v>
      </c>
      <c r="AEK49" s="8">
        <v>0</v>
      </c>
      <c r="AEL49" s="8">
        <v>0</v>
      </c>
      <c r="AEM49" s="8">
        <v>0</v>
      </c>
      <c r="AEN49" s="8">
        <v>0</v>
      </c>
      <c r="AEO49" s="8">
        <v>0</v>
      </c>
      <c r="AEP49" s="8">
        <v>0</v>
      </c>
      <c r="AEQ49" s="8">
        <v>0</v>
      </c>
      <c r="AER49" s="8">
        <v>0</v>
      </c>
      <c r="AES49" s="8">
        <v>0</v>
      </c>
      <c r="AET49" s="8">
        <v>0</v>
      </c>
      <c r="AEU49" s="8">
        <v>0</v>
      </c>
      <c r="AEV49" s="8">
        <v>0</v>
      </c>
      <c r="AEW49" s="8">
        <v>0</v>
      </c>
      <c r="AEX49" s="8">
        <v>0</v>
      </c>
      <c r="AEY49" s="8">
        <v>0</v>
      </c>
      <c r="AEZ49" s="8">
        <v>0</v>
      </c>
      <c r="AFA49" s="8">
        <v>0</v>
      </c>
      <c r="AFB49" s="8">
        <v>0</v>
      </c>
      <c r="AFC49" s="8">
        <v>0</v>
      </c>
      <c r="AFD49" s="8">
        <v>0</v>
      </c>
      <c r="AFE49" s="8">
        <v>0</v>
      </c>
      <c r="AFF49" s="8">
        <v>0</v>
      </c>
      <c r="AFG49" s="8">
        <v>0</v>
      </c>
      <c r="AFH49" s="8">
        <v>0</v>
      </c>
      <c r="AFI49" s="8">
        <v>0</v>
      </c>
      <c r="AFJ49" s="8">
        <v>0</v>
      </c>
      <c r="AFK49" s="8">
        <v>0</v>
      </c>
      <c r="AFL49" s="8">
        <v>0</v>
      </c>
      <c r="AFM49" s="8">
        <v>0</v>
      </c>
      <c r="AFN49" s="8">
        <v>0</v>
      </c>
      <c r="AFO49" s="8">
        <v>0</v>
      </c>
      <c r="AFP49" s="8">
        <v>0</v>
      </c>
      <c r="AFQ49" s="8">
        <v>0</v>
      </c>
      <c r="AFR49" s="8">
        <v>0</v>
      </c>
      <c r="AFS49" s="8">
        <v>0</v>
      </c>
      <c r="AFT49" s="8">
        <v>0</v>
      </c>
      <c r="AFU49" s="8">
        <v>0</v>
      </c>
      <c r="AFV49" s="8">
        <v>0</v>
      </c>
      <c r="AFW49" s="8">
        <v>0</v>
      </c>
      <c r="AFX49" s="8">
        <v>0</v>
      </c>
      <c r="AFY49" s="8">
        <v>0</v>
      </c>
      <c r="AFZ49" s="8">
        <v>0</v>
      </c>
      <c r="AGA49" s="8">
        <v>0</v>
      </c>
      <c r="AGB49" s="8">
        <v>0</v>
      </c>
      <c r="AGC49" s="8">
        <v>0</v>
      </c>
      <c r="AGD49" s="8">
        <v>0</v>
      </c>
      <c r="AGE49" s="8">
        <v>0</v>
      </c>
      <c r="AGF49" s="8">
        <v>0</v>
      </c>
      <c r="AGG49" s="8">
        <v>0</v>
      </c>
      <c r="AGH49" s="8">
        <v>0</v>
      </c>
      <c r="AGI49" s="8">
        <v>0</v>
      </c>
      <c r="AGJ49" s="8">
        <v>0</v>
      </c>
      <c r="AGK49" s="8">
        <v>0</v>
      </c>
      <c r="AGL49" s="8">
        <v>0</v>
      </c>
      <c r="AGM49" s="8">
        <v>0</v>
      </c>
      <c r="AGN49" s="8">
        <v>0</v>
      </c>
      <c r="AGO49" s="8">
        <v>0</v>
      </c>
      <c r="AGP49" s="8">
        <v>0</v>
      </c>
      <c r="AGQ49" s="8">
        <v>0</v>
      </c>
      <c r="AGR49" s="8">
        <v>0</v>
      </c>
      <c r="AGS49" s="8">
        <v>0</v>
      </c>
      <c r="AGT49" s="8">
        <v>0</v>
      </c>
      <c r="AGU49" s="8">
        <v>0</v>
      </c>
      <c r="AGV49" s="8">
        <v>0</v>
      </c>
      <c r="AGW49" s="8">
        <v>0</v>
      </c>
      <c r="AGX49" s="8">
        <v>0</v>
      </c>
      <c r="AGY49" s="8">
        <v>0</v>
      </c>
      <c r="AGZ49" s="8">
        <v>0</v>
      </c>
      <c r="AHA49" s="8">
        <v>0</v>
      </c>
      <c r="AHB49" s="8">
        <v>0</v>
      </c>
      <c r="AHC49" s="8">
        <v>0</v>
      </c>
      <c r="AHD49" s="8">
        <v>0</v>
      </c>
      <c r="AHE49" s="8">
        <v>0</v>
      </c>
      <c r="AHF49" s="8">
        <v>0</v>
      </c>
      <c r="AHG49" s="8">
        <v>0</v>
      </c>
      <c r="AHH49" s="8">
        <v>0</v>
      </c>
      <c r="AHI49" s="8">
        <v>0</v>
      </c>
      <c r="AHJ49" s="8">
        <v>0</v>
      </c>
      <c r="AHK49" s="8">
        <v>0</v>
      </c>
      <c r="AHL49" s="8">
        <v>0</v>
      </c>
      <c r="AHM49" s="8">
        <v>0</v>
      </c>
      <c r="AHN49" s="8">
        <v>0</v>
      </c>
      <c r="AHO49" s="8">
        <v>0</v>
      </c>
      <c r="AHP49" s="8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 t="e">
        <v>#N/A</v>
      </c>
      <c r="AIJ49" t="e">
        <v>#N/A</v>
      </c>
      <c r="AIK49" t="e">
        <v>#N/A</v>
      </c>
      <c r="AIL49" t="e">
        <v>#N/A</v>
      </c>
      <c r="AIM49" t="e">
        <v>#N/A</v>
      </c>
      <c r="AIN49" t="e">
        <v>#N/A</v>
      </c>
      <c r="AIO49" t="e">
        <v>#N/A</v>
      </c>
      <c r="AIP49" t="e">
        <v>#N/A</v>
      </c>
      <c r="AIQ49" t="e">
        <v>#N/A</v>
      </c>
      <c r="AIR49" t="e">
        <v>#N/A</v>
      </c>
      <c r="AIS49" t="e">
        <v>#N/A</v>
      </c>
      <c r="AIT49" t="e">
        <v>#N/A</v>
      </c>
      <c r="AIU49" t="e">
        <v>#N/A</v>
      </c>
      <c r="AIV49" t="e">
        <v>#N/A</v>
      </c>
      <c r="AIW49" t="e">
        <v>#N/A</v>
      </c>
      <c r="AIX49" t="e">
        <v>#N/A</v>
      </c>
      <c r="AIY49" t="e">
        <v>#N/A</v>
      </c>
      <c r="AIZ49" t="e">
        <v>#N/A</v>
      </c>
      <c r="AJA49" t="e">
        <v>#N/A</v>
      </c>
      <c r="AJB49" t="e">
        <v>#N/A</v>
      </c>
      <c r="AJC49" t="e">
        <v>#N/A</v>
      </c>
      <c r="AJD49" t="e">
        <v>#N/A</v>
      </c>
      <c r="AJE49" t="e">
        <v>#N/A</v>
      </c>
      <c r="AJF49" t="e">
        <v>#N/A</v>
      </c>
      <c r="AJG49" t="e">
        <v>#N/A</v>
      </c>
      <c r="AJH49" t="e">
        <v>#N/A</v>
      </c>
      <c r="AJI49" t="e">
        <v>#N/A</v>
      </c>
      <c r="AJJ49" t="e">
        <v>#N/A</v>
      </c>
      <c r="AJK49" t="e">
        <v>#N/A</v>
      </c>
      <c r="AJL49" t="e">
        <v>#N/A</v>
      </c>
      <c r="AJM49" t="e">
        <v>#N/A</v>
      </c>
      <c r="AJN49" t="e">
        <v>#N/A</v>
      </c>
      <c r="AJO49" t="e">
        <v>#N/A</v>
      </c>
      <c r="AJP49" t="e">
        <v>#N/A</v>
      </c>
      <c r="AJQ49" t="e">
        <v>#N/A</v>
      </c>
      <c r="AJR49" t="e">
        <v>#N/A</v>
      </c>
      <c r="AJS49" t="e">
        <v>#N/A</v>
      </c>
      <c r="AJT49" t="e">
        <v>#N/A</v>
      </c>
      <c r="AJU49" t="e">
        <v>#N/A</v>
      </c>
      <c r="AJV49" t="e">
        <v>#N/A</v>
      </c>
      <c r="AJW49" t="e">
        <v>#N/A</v>
      </c>
      <c r="AJX49" t="e">
        <v>#N/A</v>
      </c>
      <c r="AJY49" t="e">
        <v>#N/A</v>
      </c>
      <c r="AJZ49" t="e">
        <v>#N/A</v>
      </c>
      <c r="AKA49" t="e">
        <v>#N/A</v>
      </c>
      <c r="AKB49" t="e">
        <v>#N/A</v>
      </c>
      <c r="AKC49" t="e">
        <v>#N/A</v>
      </c>
      <c r="AKD49" t="e">
        <v>#N/A</v>
      </c>
      <c r="AKE49" t="e">
        <v>#N/A</v>
      </c>
      <c r="AKF49" t="e">
        <v>#N/A</v>
      </c>
      <c r="AKG49" t="e">
        <v>#N/A</v>
      </c>
      <c r="AKH49" t="e">
        <v>#N/A</v>
      </c>
      <c r="AKI49" t="e">
        <v>#N/A</v>
      </c>
      <c r="AKJ49" t="e">
        <v>#N/A</v>
      </c>
      <c r="AKK49" t="e">
        <v>#N/A</v>
      </c>
      <c r="AKL49" t="e">
        <v>#N/A</v>
      </c>
      <c r="AKM49" t="e">
        <v>#N/A</v>
      </c>
      <c r="AKN49" t="e">
        <v>#N/A</v>
      </c>
      <c r="AKO49" t="e">
        <v>#N/A</v>
      </c>
      <c r="AKP49" t="e">
        <v>#N/A</v>
      </c>
      <c r="AKQ49" t="e">
        <v>#N/A</v>
      </c>
      <c r="AKR49" t="e">
        <v>#N/A</v>
      </c>
      <c r="AKS49" t="e">
        <v>#N/A</v>
      </c>
      <c r="AKT49" t="e">
        <v>#N/A</v>
      </c>
      <c r="AKU49" t="e">
        <v>#N/A</v>
      </c>
      <c r="AKV49" t="e">
        <v>#N/A</v>
      </c>
      <c r="AKW49" t="e">
        <v>#N/A</v>
      </c>
      <c r="AKX49" t="e">
        <v>#N/A</v>
      </c>
      <c r="AKY49" t="e">
        <v>#N/A</v>
      </c>
      <c r="AKZ49" t="e">
        <v>#N/A</v>
      </c>
      <c r="ALA49" t="e">
        <v>#N/A</v>
      </c>
      <c r="ALB49" t="e">
        <v>#N/A</v>
      </c>
      <c r="ALC49" t="e">
        <v>#N/A</v>
      </c>
      <c r="ALD49" t="e">
        <v>#N/A</v>
      </c>
      <c r="ALE49" t="e">
        <v>#N/A</v>
      </c>
      <c r="ALF49" t="e">
        <v>#N/A</v>
      </c>
      <c r="ALG49" t="e">
        <v>#N/A</v>
      </c>
      <c r="ALH49" t="e">
        <v>#N/A</v>
      </c>
      <c r="ALI49" t="e">
        <v>#N/A</v>
      </c>
      <c r="ALJ49" t="e">
        <v>#N/A</v>
      </c>
      <c r="ALK49" t="e">
        <v>#N/A</v>
      </c>
      <c r="ALL49" t="e">
        <v>#N/A</v>
      </c>
      <c r="ALM49" t="e">
        <v>#N/A</v>
      </c>
      <c r="ALN49" t="e">
        <v>#N/A</v>
      </c>
      <c r="ALO49" t="e">
        <v>#N/A</v>
      </c>
      <c r="ALP49" t="e">
        <v>#N/A</v>
      </c>
      <c r="ALQ49" t="e">
        <v>#N/A</v>
      </c>
      <c r="ALR49" t="e">
        <v>#N/A</v>
      </c>
      <c r="ALS49" t="e">
        <v>#N/A</v>
      </c>
      <c r="ALT49" t="e">
        <v>#N/A</v>
      </c>
      <c r="ALU49" t="e">
        <v>#N/A</v>
      </c>
      <c r="ALV49" t="e">
        <v>#N/A</v>
      </c>
      <c r="ALW49" t="e">
        <v>#N/A</v>
      </c>
      <c r="ALX49" t="e">
        <v>#N/A</v>
      </c>
      <c r="ALY49" t="e">
        <v>#N/A</v>
      </c>
      <c r="ALZ49" t="e">
        <v>#N/A</v>
      </c>
      <c r="AMA49" t="e">
        <v>#N/A</v>
      </c>
      <c r="AMB49" t="e">
        <v>#N/A</v>
      </c>
      <c r="AMC49" t="e">
        <v>#N/A</v>
      </c>
      <c r="AMD49" t="e">
        <v>#N/A</v>
      </c>
      <c r="AME49" t="e">
        <v>#N/A</v>
      </c>
      <c r="AMF49" t="e">
        <v>#N/A</v>
      </c>
      <c r="AMG49" t="e">
        <v>#N/A</v>
      </c>
      <c r="AMH49" t="e">
        <v>#N/A</v>
      </c>
    </row>
    <row r="50" spans="1:1022" ht="15.75" customHeight="1">
      <c r="A50" s="8">
        <v>0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</v>
      </c>
      <c r="HV50" s="8">
        <v>0</v>
      </c>
      <c r="HW50" s="8">
        <v>0</v>
      </c>
      <c r="HX50" s="8">
        <v>0</v>
      </c>
      <c r="HY50" s="8">
        <v>0</v>
      </c>
      <c r="HZ50" s="8">
        <v>0</v>
      </c>
      <c r="IA50" s="8">
        <v>0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</v>
      </c>
      <c r="IJ50" s="8">
        <v>0</v>
      </c>
      <c r="IK50" s="8">
        <v>0</v>
      </c>
      <c r="IL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</v>
      </c>
      <c r="JM50" s="8">
        <v>0</v>
      </c>
      <c r="JN50" s="8">
        <v>0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0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Q50" s="8">
        <v>0</v>
      </c>
      <c r="KR50" s="8">
        <v>0</v>
      </c>
      <c r="KS50" s="8">
        <v>0</v>
      </c>
      <c r="KT50" s="8">
        <v>0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</v>
      </c>
      <c r="LY50" s="8">
        <v>0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</v>
      </c>
      <c r="MW50" s="8">
        <v>0</v>
      </c>
      <c r="MX50" s="8">
        <v>0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0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</v>
      </c>
      <c r="PY50" s="8">
        <v>0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0</v>
      </c>
      <c r="RP50" s="8">
        <v>0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0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0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0</v>
      </c>
      <c r="TG50" s="8">
        <v>0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0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0</v>
      </c>
      <c r="TT50" s="8">
        <v>0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0</v>
      </c>
      <c r="UC50" s="8">
        <v>0</v>
      </c>
      <c r="UD50" s="8">
        <v>0</v>
      </c>
      <c r="UE50" s="8">
        <v>0</v>
      </c>
      <c r="UF50" s="8">
        <v>0</v>
      </c>
      <c r="UG50" s="8">
        <v>0</v>
      </c>
      <c r="UH50" s="8">
        <v>0</v>
      </c>
      <c r="UI50" s="8">
        <v>0</v>
      </c>
      <c r="UJ50" s="8">
        <v>0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0</v>
      </c>
      <c r="UQ50" s="8">
        <v>0</v>
      </c>
      <c r="UR50" s="8">
        <v>0</v>
      </c>
      <c r="US50" s="8">
        <v>0</v>
      </c>
      <c r="UT50" s="8">
        <v>0</v>
      </c>
      <c r="UU50" s="8">
        <v>0</v>
      </c>
      <c r="UV50" s="8">
        <v>0</v>
      </c>
      <c r="UW50" s="8">
        <v>0</v>
      </c>
      <c r="UX50" s="8">
        <v>0</v>
      </c>
      <c r="UY50" s="8">
        <v>0</v>
      </c>
      <c r="UZ50" s="8">
        <v>0</v>
      </c>
      <c r="VA50" s="8">
        <v>0</v>
      </c>
      <c r="VB50" s="8">
        <v>0</v>
      </c>
      <c r="VC50" s="8">
        <v>0</v>
      </c>
      <c r="VD50" s="8">
        <v>0</v>
      </c>
      <c r="VE50" s="8">
        <v>0</v>
      </c>
      <c r="VF50" s="8">
        <v>0</v>
      </c>
      <c r="VG50" s="8">
        <v>0</v>
      </c>
      <c r="VH50" s="8">
        <v>0</v>
      </c>
      <c r="VI50" s="8">
        <v>0</v>
      </c>
      <c r="VJ50" s="8">
        <v>0</v>
      </c>
      <c r="VK50" s="8">
        <v>0</v>
      </c>
      <c r="VL50" s="8">
        <v>0</v>
      </c>
      <c r="VM50" s="8">
        <v>0</v>
      </c>
      <c r="VN50" s="8">
        <v>0</v>
      </c>
      <c r="VO50" s="8">
        <v>0</v>
      </c>
      <c r="VP50" s="8">
        <v>0</v>
      </c>
      <c r="VQ50" s="8">
        <v>0</v>
      </c>
      <c r="VR50" s="8">
        <v>0</v>
      </c>
      <c r="VS50" s="8">
        <v>0</v>
      </c>
      <c r="VT50" s="8">
        <v>0</v>
      </c>
      <c r="VU50" s="8">
        <v>0</v>
      </c>
      <c r="VV50" s="8">
        <v>0</v>
      </c>
      <c r="VW50" s="8">
        <v>0</v>
      </c>
      <c r="VX50" s="8">
        <v>0</v>
      </c>
      <c r="VY50" s="8">
        <v>0</v>
      </c>
      <c r="VZ50" s="8">
        <v>0</v>
      </c>
      <c r="WA50" s="8">
        <v>0</v>
      </c>
      <c r="WB50" s="8">
        <v>0</v>
      </c>
      <c r="WC50" s="8">
        <v>0</v>
      </c>
      <c r="WD50" s="8">
        <v>0</v>
      </c>
      <c r="WE50" s="8">
        <v>0</v>
      </c>
      <c r="WF50" s="8">
        <v>0</v>
      </c>
      <c r="WG50" s="8">
        <v>0</v>
      </c>
      <c r="WH50" s="8">
        <v>0</v>
      </c>
      <c r="WI50" s="8">
        <v>0</v>
      </c>
      <c r="WJ50" s="8">
        <v>0</v>
      </c>
      <c r="WK50" s="8">
        <v>0</v>
      </c>
      <c r="WL50" s="8">
        <v>0</v>
      </c>
      <c r="WM50" s="8">
        <v>0</v>
      </c>
      <c r="WN50" s="8">
        <v>0</v>
      </c>
      <c r="WO50" s="8">
        <v>0</v>
      </c>
      <c r="WP50" s="8">
        <v>0</v>
      </c>
      <c r="WQ50" s="8">
        <v>0</v>
      </c>
      <c r="WR50" s="8">
        <v>0</v>
      </c>
      <c r="WS50" s="8">
        <v>0</v>
      </c>
      <c r="WT50" s="8">
        <v>0</v>
      </c>
      <c r="WU50" s="8">
        <v>0</v>
      </c>
      <c r="WV50" s="8">
        <v>0</v>
      </c>
      <c r="WW50" s="8">
        <v>0</v>
      </c>
      <c r="WX50" s="8">
        <v>0</v>
      </c>
      <c r="WY50" s="8">
        <v>0</v>
      </c>
      <c r="WZ50" s="8">
        <v>0</v>
      </c>
      <c r="XA50" s="8">
        <v>0</v>
      </c>
      <c r="XB50" s="8">
        <v>0</v>
      </c>
      <c r="XC50" s="8">
        <v>0</v>
      </c>
      <c r="XD50" s="8">
        <v>0</v>
      </c>
      <c r="XE50" s="8">
        <v>0</v>
      </c>
      <c r="XF50" s="8">
        <v>0</v>
      </c>
      <c r="XG50" s="8">
        <v>0</v>
      </c>
      <c r="XH50" s="8">
        <v>0</v>
      </c>
      <c r="XI50" s="8">
        <v>0</v>
      </c>
      <c r="XJ50" s="8">
        <v>0</v>
      </c>
      <c r="XK50" s="8">
        <v>0</v>
      </c>
      <c r="XL50" s="8">
        <v>0</v>
      </c>
      <c r="XM50" s="8">
        <v>0</v>
      </c>
      <c r="XN50" s="8">
        <v>0</v>
      </c>
      <c r="XO50" s="8">
        <v>0</v>
      </c>
      <c r="XP50" s="8">
        <v>0</v>
      </c>
      <c r="XQ50" s="8">
        <v>0</v>
      </c>
      <c r="XR50" s="8">
        <v>0</v>
      </c>
      <c r="XS50" s="8">
        <v>0</v>
      </c>
      <c r="XT50" s="8">
        <v>0</v>
      </c>
      <c r="XU50" s="8">
        <v>0</v>
      </c>
      <c r="XV50" s="8">
        <v>0</v>
      </c>
      <c r="XW50" s="8">
        <v>0</v>
      </c>
      <c r="XX50" s="8">
        <v>0</v>
      </c>
      <c r="XY50" s="8">
        <v>0</v>
      </c>
      <c r="XZ50" s="8">
        <v>0</v>
      </c>
      <c r="YA50" s="8">
        <v>0</v>
      </c>
      <c r="YB50" s="8">
        <v>0</v>
      </c>
      <c r="YC50" s="8">
        <v>0</v>
      </c>
      <c r="YD50" s="8">
        <v>0</v>
      </c>
      <c r="YE50" s="8">
        <v>0</v>
      </c>
      <c r="YF50" s="8">
        <v>0</v>
      </c>
      <c r="YG50" s="8">
        <v>0</v>
      </c>
      <c r="YH50" s="8">
        <v>0</v>
      </c>
      <c r="YI50" s="8">
        <v>0</v>
      </c>
      <c r="YJ50" s="8">
        <v>0</v>
      </c>
      <c r="YK50" s="8">
        <v>0</v>
      </c>
      <c r="YL50" s="8">
        <v>0</v>
      </c>
      <c r="YM50" s="8">
        <v>0</v>
      </c>
      <c r="YN50" s="8">
        <v>0</v>
      </c>
      <c r="YO50" s="8">
        <v>0</v>
      </c>
      <c r="YP50" s="8">
        <v>0</v>
      </c>
      <c r="YQ50" s="8">
        <v>0</v>
      </c>
      <c r="YR50" s="8">
        <v>0</v>
      </c>
      <c r="YS50" s="8">
        <v>0</v>
      </c>
      <c r="YT50" s="8">
        <v>0</v>
      </c>
      <c r="YU50" s="8">
        <v>0</v>
      </c>
      <c r="YV50" s="8">
        <v>0</v>
      </c>
      <c r="YW50" s="8">
        <v>0</v>
      </c>
      <c r="YX50" s="8">
        <v>0</v>
      </c>
      <c r="YY50" s="8">
        <v>0</v>
      </c>
      <c r="YZ50" s="8">
        <v>0</v>
      </c>
      <c r="ZA50" s="8">
        <v>0</v>
      </c>
      <c r="ZB50" s="8">
        <v>0</v>
      </c>
      <c r="ZC50" s="8">
        <v>0</v>
      </c>
      <c r="ZD50" s="8">
        <v>0</v>
      </c>
      <c r="ZE50" s="8">
        <v>0</v>
      </c>
      <c r="ZF50" s="8">
        <v>0</v>
      </c>
      <c r="ZG50" s="8">
        <v>0</v>
      </c>
      <c r="ZH50" s="8">
        <v>0</v>
      </c>
      <c r="ZI50" s="8">
        <v>0</v>
      </c>
      <c r="ZJ50" s="8">
        <v>0</v>
      </c>
      <c r="ZK50" s="8">
        <v>0</v>
      </c>
      <c r="ZL50" s="8">
        <v>0</v>
      </c>
      <c r="ZM50" s="8">
        <v>0</v>
      </c>
      <c r="ZN50" s="8">
        <v>0</v>
      </c>
      <c r="ZO50" s="8">
        <v>0</v>
      </c>
      <c r="ZP50" s="8">
        <v>0</v>
      </c>
      <c r="ZQ50" s="8">
        <v>0</v>
      </c>
      <c r="ZR50" s="8">
        <v>0</v>
      </c>
      <c r="ZS50" s="8">
        <v>0</v>
      </c>
      <c r="ZT50" s="8">
        <v>0</v>
      </c>
      <c r="ZU50" s="8">
        <v>0</v>
      </c>
      <c r="ZV50" s="8">
        <v>0</v>
      </c>
      <c r="ZW50" s="8">
        <v>0</v>
      </c>
      <c r="ZX50" s="8">
        <v>0</v>
      </c>
      <c r="ZY50" s="8">
        <v>0</v>
      </c>
      <c r="ZZ50" s="8">
        <v>0</v>
      </c>
      <c r="AAA50" s="8">
        <v>0</v>
      </c>
      <c r="AAB50" s="8">
        <v>0</v>
      </c>
      <c r="AAC50" s="8">
        <v>0</v>
      </c>
      <c r="AAD50" s="8">
        <v>0</v>
      </c>
      <c r="AAE50" s="8">
        <v>0</v>
      </c>
      <c r="AAF50" s="8">
        <v>0</v>
      </c>
      <c r="AAG50" s="8">
        <v>0</v>
      </c>
      <c r="AAH50" s="8">
        <v>0</v>
      </c>
      <c r="AAI50" s="8">
        <v>0</v>
      </c>
      <c r="AAJ50" s="8">
        <v>0</v>
      </c>
      <c r="AAK50" s="8">
        <v>0</v>
      </c>
      <c r="AAL50" s="8">
        <v>0</v>
      </c>
      <c r="AAM50" s="8">
        <v>0</v>
      </c>
      <c r="AAN50" s="8">
        <v>0</v>
      </c>
      <c r="AAO50" s="8">
        <v>0</v>
      </c>
      <c r="AAP50" s="8">
        <v>0</v>
      </c>
      <c r="AAQ50" s="8">
        <v>0</v>
      </c>
      <c r="AAR50" s="8">
        <v>0</v>
      </c>
      <c r="AAS50" s="8">
        <v>0</v>
      </c>
      <c r="AAT50" s="8">
        <v>0</v>
      </c>
      <c r="AAU50" s="8">
        <v>0</v>
      </c>
      <c r="AAV50" s="8">
        <v>0</v>
      </c>
      <c r="AAW50" s="8">
        <v>0</v>
      </c>
      <c r="AAX50" s="8">
        <v>0</v>
      </c>
      <c r="AAY50" s="8">
        <v>0</v>
      </c>
      <c r="AAZ50" s="8">
        <v>0</v>
      </c>
      <c r="ABA50" s="8">
        <v>0</v>
      </c>
      <c r="ABB50" s="8">
        <v>0</v>
      </c>
      <c r="ABC50" s="8">
        <v>0</v>
      </c>
      <c r="ABD50" s="8">
        <v>0</v>
      </c>
      <c r="ABE50" s="8">
        <v>0</v>
      </c>
      <c r="ABF50" s="8">
        <v>0</v>
      </c>
      <c r="ABG50" s="8">
        <v>0</v>
      </c>
      <c r="ABH50" s="8">
        <v>0</v>
      </c>
      <c r="ABI50" s="8">
        <v>0</v>
      </c>
      <c r="ABJ50" s="8">
        <v>0</v>
      </c>
      <c r="ABK50" s="8">
        <v>0</v>
      </c>
      <c r="ABL50" s="8">
        <v>0</v>
      </c>
      <c r="ABM50" s="8">
        <v>0</v>
      </c>
      <c r="ABN50" s="8">
        <v>0</v>
      </c>
      <c r="ABO50" s="8">
        <v>0</v>
      </c>
      <c r="ABP50" s="8">
        <v>0</v>
      </c>
      <c r="ABQ50" s="8">
        <v>0</v>
      </c>
      <c r="ABR50" s="8">
        <v>0</v>
      </c>
      <c r="ABS50" s="8">
        <v>0</v>
      </c>
      <c r="ABT50" s="8">
        <v>0</v>
      </c>
      <c r="ABU50" s="8">
        <v>0</v>
      </c>
      <c r="ABV50" s="8">
        <v>0</v>
      </c>
      <c r="ABW50" s="8">
        <v>0</v>
      </c>
      <c r="ABX50" s="8">
        <v>0</v>
      </c>
      <c r="ABY50" s="8">
        <v>0</v>
      </c>
      <c r="ABZ50" s="8">
        <v>0</v>
      </c>
      <c r="ACA50" s="8">
        <v>0</v>
      </c>
      <c r="ACB50" s="8">
        <v>0</v>
      </c>
      <c r="ACC50" s="8">
        <v>0</v>
      </c>
      <c r="ACD50" s="8">
        <v>0</v>
      </c>
      <c r="ACE50" s="8">
        <v>0</v>
      </c>
      <c r="ACF50" s="8">
        <v>0</v>
      </c>
      <c r="ACG50" s="8">
        <v>0</v>
      </c>
      <c r="ACH50" s="8">
        <v>0</v>
      </c>
      <c r="ACI50" s="8">
        <v>0</v>
      </c>
      <c r="ACJ50" s="8">
        <v>0</v>
      </c>
      <c r="ACK50" s="8">
        <v>0</v>
      </c>
      <c r="ACL50" s="8">
        <v>0</v>
      </c>
      <c r="ACM50" s="8">
        <v>0</v>
      </c>
      <c r="ACN50" s="8">
        <v>0</v>
      </c>
      <c r="ACO50" s="8">
        <v>0</v>
      </c>
      <c r="ACP50" s="8">
        <v>0</v>
      </c>
      <c r="ACQ50" s="8">
        <v>0</v>
      </c>
      <c r="ACR50" s="8">
        <v>0</v>
      </c>
      <c r="ACS50" s="8">
        <v>0</v>
      </c>
      <c r="ACT50" s="8">
        <v>0</v>
      </c>
      <c r="ACU50" s="8">
        <v>0</v>
      </c>
      <c r="ACV50" s="8">
        <v>0</v>
      </c>
      <c r="ACW50" s="8">
        <v>0</v>
      </c>
      <c r="ACX50" s="8">
        <v>0</v>
      </c>
      <c r="ACY50" s="8">
        <v>0</v>
      </c>
      <c r="ACZ50" s="8">
        <v>0</v>
      </c>
      <c r="ADA50" s="8">
        <v>0</v>
      </c>
      <c r="ADB50" s="8">
        <v>0</v>
      </c>
      <c r="ADC50" s="8">
        <v>0</v>
      </c>
      <c r="ADD50" s="8">
        <v>0</v>
      </c>
      <c r="ADE50" s="8">
        <v>0</v>
      </c>
      <c r="ADF50" s="8">
        <v>0</v>
      </c>
      <c r="ADG50" s="8">
        <v>0</v>
      </c>
      <c r="ADH50" s="8">
        <v>0</v>
      </c>
      <c r="ADI50" s="8">
        <v>0</v>
      </c>
      <c r="ADJ50" s="8">
        <v>0</v>
      </c>
      <c r="ADK50" s="8">
        <v>0</v>
      </c>
      <c r="ADL50" s="8">
        <v>0</v>
      </c>
      <c r="ADM50" s="8">
        <v>0</v>
      </c>
      <c r="ADN50" s="8">
        <v>0</v>
      </c>
      <c r="ADO50" s="8">
        <v>0</v>
      </c>
      <c r="ADP50" s="8">
        <v>0</v>
      </c>
      <c r="ADQ50" s="8">
        <v>0</v>
      </c>
      <c r="ADR50" s="8">
        <v>0</v>
      </c>
      <c r="ADS50" s="8">
        <v>0</v>
      </c>
      <c r="ADT50" s="8">
        <v>0</v>
      </c>
      <c r="ADU50" s="8">
        <v>0</v>
      </c>
      <c r="ADV50" s="8">
        <v>0</v>
      </c>
      <c r="ADW50" s="8">
        <v>0</v>
      </c>
      <c r="ADX50" s="8">
        <v>0</v>
      </c>
      <c r="ADY50" s="8">
        <v>0</v>
      </c>
      <c r="ADZ50" s="8">
        <v>0</v>
      </c>
      <c r="AEA50" s="8">
        <v>0</v>
      </c>
      <c r="AEB50" s="8">
        <v>0</v>
      </c>
      <c r="AEC50" s="8">
        <v>0</v>
      </c>
      <c r="AED50" s="8">
        <v>0</v>
      </c>
      <c r="AEE50" s="8">
        <v>0</v>
      </c>
      <c r="AEF50" s="8">
        <v>0</v>
      </c>
      <c r="AEG50" s="8">
        <v>0</v>
      </c>
      <c r="AEH50" s="8">
        <v>0</v>
      </c>
      <c r="AEI50" s="8">
        <v>0</v>
      </c>
      <c r="AEJ50" s="8">
        <v>0</v>
      </c>
      <c r="AEK50" s="8">
        <v>0</v>
      </c>
      <c r="AEL50" s="8">
        <v>0</v>
      </c>
      <c r="AEM50" s="8">
        <v>0</v>
      </c>
      <c r="AEN50" s="8">
        <v>0</v>
      </c>
      <c r="AEO50" s="8">
        <v>0</v>
      </c>
      <c r="AEP50" s="8">
        <v>0</v>
      </c>
      <c r="AEQ50" s="8">
        <v>0</v>
      </c>
      <c r="AER50" s="8">
        <v>0</v>
      </c>
      <c r="AES50" s="8">
        <v>0</v>
      </c>
      <c r="AET50" s="8">
        <v>0</v>
      </c>
      <c r="AEU50" s="8">
        <v>0</v>
      </c>
      <c r="AEV50" s="8">
        <v>0</v>
      </c>
      <c r="AEW50" s="8">
        <v>0</v>
      </c>
      <c r="AEX50" s="8">
        <v>0</v>
      </c>
      <c r="AEY50" s="8">
        <v>0</v>
      </c>
      <c r="AEZ50" s="8">
        <v>0</v>
      </c>
      <c r="AFA50" s="8">
        <v>0</v>
      </c>
      <c r="AFB50" s="8">
        <v>0</v>
      </c>
      <c r="AFC50" s="8">
        <v>0</v>
      </c>
      <c r="AFD50" s="8">
        <v>0</v>
      </c>
      <c r="AFE50" s="8">
        <v>0</v>
      </c>
      <c r="AFF50" s="8">
        <v>0</v>
      </c>
      <c r="AFG50" s="8">
        <v>0</v>
      </c>
      <c r="AFH50" s="8">
        <v>0</v>
      </c>
      <c r="AFI50" s="8">
        <v>0</v>
      </c>
      <c r="AFJ50" s="8">
        <v>0</v>
      </c>
      <c r="AFK50" s="8">
        <v>0</v>
      </c>
      <c r="AFL50" s="8">
        <v>0</v>
      </c>
      <c r="AFM50" s="8">
        <v>0</v>
      </c>
      <c r="AFN50" s="8">
        <v>0</v>
      </c>
      <c r="AFO50" s="8">
        <v>0</v>
      </c>
      <c r="AFP50" s="8">
        <v>0</v>
      </c>
      <c r="AFQ50" s="8">
        <v>0</v>
      </c>
      <c r="AFR50" s="8">
        <v>0</v>
      </c>
      <c r="AFS50" s="8">
        <v>0</v>
      </c>
      <c r="AFT50" s="8">
        <v>0</v>
      </c>
      <c r="AFU50" s="8">
        <v>0</v>
      </c>
      <c r="AFV50" s="8">
        <v>0</v>
      </c>
      <c r="AFW50" s="8">
        <v>0</v>
      </c>
      <c r="AFX50" s="8">
        <v>0</v>
      </c>
      <c r="AFY50" s="8">
        <v>0</v>
      </c>
      <c r="AFZ50" s="8">
        <v>0</v>
      </c>
      <c r="AGA50" s="8">
        <v>0</v>
      </c>
      <c r="AGB50" s="8">
        <v>0</v>
      </c>
      <c r="AGC50" s="8">
        <v>0</v>
      </c>
      <c r="AGD50" s="8">
        <v>0</v>
      </c>
      <c r="AGE50" s="8">
        <v>0</v>
      </c>
      <c r="AGF50" s="8">
        <v>0</v>
      </c>
      <c r="AGG50" s="8">
        <v>0</v>
      </c>
      <c r="AGH50" s="8">
        <v>0</v>
      </c>
      <c r="AGI50" s="8">
        <v>0</v>
      </c>
      <c r="AGJ50" s="8">
        <v>0</v>
      </c>
      <c r="AGK50" s="8">
        <v>0</v>
      </c>
      <c r="AGL50" s="8">
        <v>0</v>
      </c>
      <c r="AGM50" s="8">
        <v>0</v>
      </c>
      <c r="AGN50" s="8">
        <v>0</v>
      </c>
      <c r="AGO50" s="8">
        <v>0</v>
      </c>
      <c r="AGP50" s="8">
        <v>0</v>
      </c>
      <c r="AGQ50" s="8">
        <v>0</v>
      </c>
      <c r="AGR50" s="8">
        <v>0</v>
      </c>
      <c r="AGS50" s="8">
        <v>0</v>
      </c>
      <c r="AGT50" s="8">
        <v>0</v>
      </c>
      <c r="AGU50" s="8">
        <v>0</v>
      </c>
      <c r="AGV50" s="8">
        <v>0</v>
      </c>
      <c r="AGW50" s="8">
        <v>0</v>
      </c>
      <c r="AGX50" s="8">
        <v>0</v>
      </c>
      <c r="AGY50" s="8">
        <v>0</v>
      </c>
      <c r="AGZ50" s="8">
        <v>0</v>
      </c>
      <c r="AHA50" s="8">
        <v>0</v>
      </c>
      <c r="AHB50" s="8">
        <v>0</v>
      </c>
      <c r="AHC50" s="8">
        <v>0</v>
      </c>
      <c r="AHD50" s="8">
        <v>0</v>
      </c>
      <c r="AHE50" s="8">
        <v>0</v>
      </c>
      <c r="AHF50" s="8">
        <v>0</v>
      </c>
      <c r="AHG50" s="8">
        <v>0</v>
      </c>
      <c r="AHH50" s="8">
        <v>0</v>
      </c>
      <c r="AHI50" s="8">
        <v>0</v>
      </c>
      <c r="AHJ50" s="8">
        <v>0</v>
      </c>
      <c r="AHK50" s="8">
        <v>0</v>
      </c>
      <c r="AHL50" s="8">
        <v>0</v>
      </c>
      <c r="AHM50" s="8">
        <v>0</v>
      </c>
      <c r="AHN50" s="8">
        <v>0</v>
      </c>
      <c r="AHO50" s="8">
        <v>0</v>
      </c>
      <c r="AHP50" s="8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 t="e">
        <v>#N/A</v>
      </c>
      <c r="AIJ50" t="e">
        <v>#N/A</v>
      </c>
      <c r="AIK50" t="e">
        <v>#N/A</v>
      </c>
      <c r="AIL50" t="e">
        <v>#N/A</v>
      </c>
      <c r="AIM50" t="e">
        <v>#N/A</v>
      </c>
      <c r="AIN50" t="e">
        <v>#N/A</v>
      </c>
      <c r="AIO50" t="e">
        <v>#N/A</v>
      </c>
      <c r="AIP50" t="e">
        <v>#N/A</v>
      </c>
      <c r="AIQ50" t="e">
        <v>#N/A</v>
      </c>
      <c r="AIR50" t="e">
        <v>#N/A</v>
      </c>
      <c r="AIS50" t="e">
        <v>#N/A</v>
      </c>
      <c r="AIT50" t="e">
        <v>#N/A</v>
      </c>
      <c r="AIU50" t="e">
        <v>#N/A</v>
      </c>
      <c r="AIV50" t="e">
        <v>#N/A</v>
      </c>
      <c r="AIW50" t="e">
        <v>#N/A</v>
      </c>
      <c r="AIX50" t="e">
        <v>#N/A</v>
      </c>
      <c r="AIY50" t="e">
        <v>#N/A</v>
      </c>
      <c r="AIZ50" t="e">
        <v>#N/A</v>
      </c>
      <c r="AJA50" t="e">
        <v>#N/A</v>
      </c>
      <c r="AJB50" t="e">
        <v>#N/A</v>
      </c>
      <c r="AJC50" t="e">
        <v>#N/A</v>
      </c>
      <c r="AJD50" t="e">
        <v>#N/A</v>
      </c>
      <c r="AJE50" t="e">
        <v>#N/A</v>
      </c>
      <c r="AJF50" t="e">
        <v>#N/A</v>
      </c>
      <c r="AJG50" t="e">
        <v>#N/A</v>
      </c>
      <c r="AJH50" t="e">
        <v>#N/A</v>
      </c>
      <c r="AJI50" t="e">
        <v>#N/A</v>
      </c>
      <c r="AJJ50" t="e">
        <v>#N/A</v>
      </c>
      <c r="AJK50" t="e">
        <v>#N/A</v>
      </c>
      <c r="AJL50" t="e">
        <v>#N/A</v>
      </c>
      <c r="AJM50" t="e">
        <v>#N/A</v>
      </c>
      <c r="AJN50" t="e">
        <v>#N/A</v>
      </c>
      <c r="AJO50" t="e">
        <v>#N/A</v>
      </c>
      <c r="AJP50" t="e">
        <v>#N/A</v>
      </c>
      <c r="AJQ50" t="e">
        <v>#N/A</v>
      </c>
      <c r="AJR50" t="e">
        <v>#N/A</v>
      </c>
      <c r="AJS50" t="e">
        <v>#N/A</v>
      </c>
      <c r="AJT50" t="e">
        <v>#N/A</v>
      </c>
      <c r="AJU50" t="e">
        <v>#N/A</v>
      </c>
      <c r="AJV50" t="e">
        <v>#N/A</v>
      </c>
      <c r="AJW50" t="e">
        <v>#N/A</v>
      </c>
      <c r="AJX50" t="e">
        <v>#N/A</v>
      </c>
      <c r="AJY50" t="e">
        <v>#N/A</v>
      </c>
      <c r="AJZ50" t="e">
        <v>#N/A</v>
      </c>
      <c r="AKA50" t="e">
        <v>#N/A</v>
      </c>
      <c r="AKB50" t="e">
        <v>#N/A</v>
      </c>
      <c r="AKC50" t="e">
        <v>#N/A</v>
      </c>
      <c r="AKD50" t="e">
        <v>#N/A</v>
      </c>
      <c r="AKE50" t="e">
        <v>#N/A</v>
      </c>
      <c r="AKF50" t="e">
        <v>#N/A</v>
      </c>
      <c r="AKG50" t="e">
        <v>#N/A</v>
      </c>
      <c r="AKH50" t="e">
        <v>#N/A</v>
      </c>
      <c r="AKI50" t="e">
        <v>#N/A</v>
      </c>
      <c r="AKJ50" t="e">
        <v>#N/A</v>
      </c>
      <c r="AKK50" t="e">
        <v>#N/A</v>
      </c>
      <c r="AKL50" t="e">
        <v>#N/A</v>
      </c>
      <c r="AKM50" t="e">
        <v>#N/A</v>
      </c>
      <c r="AKN50" t="e">
        <v>#N/A</v>
      </c>
      <c r="AKO50" t="e">
        <v>#N/A</v>
      </c>
      <c r="AKP50" t="e">
        <v>#N/A</v>
      </c>
      <c r="AKQ50" t="e">
        <v>#N/A</v>
      </c>
      <c r="AKR50" t="e">
        <v>#N/A</v>
      </c>
      <c r="AKS50" t="e">
        <v>#N/A</v>
      </c>
      <c r="AKT50" t="e">
        <v>#N/A</v>
      </c>
      <c r="AKU50" t="e">
        <v>#N/A</v>
      </c>
      <c r="AKV50" t="e">
        <v>#N/A</v>
      </c>
      <c r="AKW50" t="e">
        <v>#N/A</v>
      </c>
      <c r="AKX50" t="e">
        <v>#N/A</v>
      </c>
      <c r="AKY50" t="e">
        <v>#N/A</v>
      </c>
      <c r="AKZ50" t="e">
        <v>#N/A</v>
      </c>
      <c r="ALA50" t="e">
        <v>#N/A</v>
      </c>
      <c r="ALB50" t="e">
        <v>#N/A</v>
      </c>
      <c r="ALC50" t="e">
        <v>#N/A</v>
      </c>
      <c r="ALD50" t="e">
        <v>#N/A</v>
      </c>
      <c r="ALE50" t="e">
        <v>#N/A</v>
      </c>
      <c r="ALF50" t="e">
        <v>#N/A</v>
      </c>
      <c r="ALG50" t="e">
        <v>#N/A</v>
      </c>
      <c r="ALH50" t="e">
        <v>#N/A</v>
      </c>
      <c r="ALI50" t="e">
        <v>#N/A</v>
      </c>
      <c r="ALJ50" t="e">
        <v>#N/A</v>
      </c>
      <c r="ALK50" t="e">
        <v>#N/A</v>
      </c>
      <c r="ALL50" t="e">
        <v>#N/A</v>
      </c>
      <c r="ALM50" t="e">
        <v>#N/A</v>
      </c>
      <c r="ALN50" t="e">
        <v>#N/A</v>
      </c>
      <c r="ALO50" t="e">
        <v>#N/A</v>
      </c>
      <c r="ALP50" t="e">
        <v>#N/A</v>
      </c>
      <c r="ALQ50" t="e">
        <v>#N/A</v>
      </c>
      <c r="ALR50" t="e">
        <v>#N/A</v>
      </c>
      <c r="ALS50" t="e">
        <v>#N/A</v>
      </c>
      <c r="ALT50" t="e">
        <v>#N/A</v>
      </c>
      <c r="ALU50" t="e">
        <v>#N/A</v>
      </c>
      <c r="ALV50" t="e">
        <v>#N/A</v>
      </c>
      <c r="ALW50" t="e">
        <v>#N/A</v>
      </c>
      <c r="ALX50" t="e">
        <v>#N/A</v>
      </c>
      <c r="ALY50" t="e">
        <v>#N/A</v>
      </c>
      <c r="ALZ50" t="e">
        <v>#N/A</v>
      </c>
      <c r="AMA50" t="e">
        <v>#N/A</v>
      </c>
      <c r="AMB50" t="e">
        <v>#N/A</v>
      </c>
      <c r="AMC50" t="e">
        <v>#N/A</v>
      </c>
      <c r="AMD50" t="e">
        <v>#N/A</v>
      </c>
      <c r="AME50" t="e">
        <v>#N/A</v>
      </c>
      <c r="AMF50" t="e">
        <v>#N/A</v>
      </c>
      <c r="AMG50" t="e">
        <v>#N/A</v>
      </c>
      <c r="AMH50" t="e">
        <v>#N/A</v>
      </c>
    </row>
    <row r="51" spans="1:1022" ht="15.75" customHeight="1">
      <c r="A51" s="8">
        <v>0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0</v>
      </c>
      <c r="JM51" s="8">
        <v>0</v>
      </c>
      <c r="JN51" s="8">
        <v>0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0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0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0</v>
      </c>
      <c r="LA51" s="8">
        <v>0</v>
      </c>
      <c r="LB51" s="8">
        <v>0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0</v>
      </c>
      <c r="LX51" s="8">
        <v>0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0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0</v>
      </c>
      <c r="OP51" s="8">
        <v>0</v>
      </c>
      <c r="OQ51" s="8">
        <v>0</v>
      </c>
      <c r="OR51" s="8">
        <v>0</v>
      </c>
      <c r="OS51" s="8">
        <v>0</v>
      </c>
      <c r="OT51" s="8">
        <v>0</v>
      </c>
      <c r="OU51" s="8">
        <v>0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</v>
      </c>
      <c r="PY51" s="8">
        <v>0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0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0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0</v>
      </c>
      <c r="TG51" s="8">
        <v>0</v>
      </c>
      <c r="TH51" s="8">
        <v>0</v>
      </c>
      <c r="TI51" s="8">
        <v>0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0</v>
      </c>
      <c r="TT51" s="8">
        <v>0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0</v>
      </c>
      <c r="UE51" s="8">
        <v>0</v>
      </c>
      <c r="UF51" s="8">
        <v>0</v>
      </c>
      <c r="UG51" s="8">
        <v>0</v>
      </c>
      <c r="UH51" s="8">
        <v>0</v>
      </c>
      <c r="UI51" s="8">
        <v>0</v>
      </c>
      <c r="UJ51" s="8">
        <v>0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0</v>
      </c>
      <c r="UQ51" s="8">
        <v>0</v>
      </c>
      <c r="UR51" s="8">
        <v>0</v>
      </c>
      <c r="US51" s="8">
        <v>0</v>
      </c>
      <c r="UT51" s="8">
        <v>0</v>
      </c>
      <c r="UU51" s="8">
        <v>0</v>
      </c>
      <c r="UV51" s="8">
        <v>0</v>
      </c>
      <c r="UW51" s="8">
        <v>0</v>
      </c>
      <c r="UX51" s="8">
        <v>0</v>
      </c>
      <c r="UY51" s="8">
        <v>0</v>
      </c>
      <c r="UZ51" s="8">
        <v>0</v>
      </c>
      <c r="VA51" s="8">
        <v>0</v>
      </c>
      <c r="VB51" s="8">
        <v>0</v>
      </c>
      <c r="VC51" s="8">
        <v>0</v>
      </c>
      <c r="VD51" s="8">
        <v>0</v>
      </c>
      <c r="VE51" s="8">
        <v>0</v>
      </c>
      <c r="VF51" s="8">
        <v>0</v>
      </c>
      <c r="VG51" s="8">
        <v>0</v>
      </c>
      <c r="VH51" s="8">
        <v>0</v>
      </c>
      <c r="VI51" s="8">
        <v>0</v>
      </c>
      <c r="VJ51" s="8">
        <v>0</v>
      </c>
      <c r="VK51" s="8">
        <v>0</v>
      </c>
      <c r="VL51" s="8">
        <v>0</v>
      </c>
      <c r="VM51" s="8">
        <v>0</v>
      </c>
      <c r="VN51" s="8">
        <v>0</v>
      </c>
      <c r="VO51" s="8">
        <v>0</v>
      </c>
      <c r="VP51" s="8">
        <v>0</v>
      </c>
      <c r="VQ51" s="8">
        <v>0</v>
      </c>
      <c r="VR51" s="8">
        <v>0</v>
      </c>
      <c r="VS51" s="8">
        <v>0</v>
      </c>
      <c r="VT51" s="8">
        <v>0</v>
      </c>
      <c r="VU51" s="8">
        <v>0</v>
      </c>
      <c r="VV51" s="8">
        <v>0</v>
      </c>
      <c r="VW51" s="8">
        <v>0</v>
      </c>
      <c r="VX51" s="8">
        <v>0</v>
      </c>
      <c r="VY51" s="8">
        <v>0</v>
      </c>
      <c r="VZ51" s="8">
        <v>0</v>
      </c>
      <c r="WA51" s="8">
        <v>0</v>
      </c>
      <c r="WB51" s="8">
        <v>0</v>
      </c>
      <c r="WC51" s="8">
        <v>0</v>
      </c>
      <c r="WD51" s="8">
        <v>0</v>
      </c>
      <c r="WE51" s="8">
        <v>0</v>
      </c>
      <c r="WF51" s="8">
        <v>0</v>
      </c>
      <c r="WG51" s="8">
        <v>0</v>
      </c>
      <c r="WH51" s="8">
        <v>0</v>
      </c>
      <c r="WI51" s="8">
        <v>0</v>
      </c>
      <c r="WJ51" s="8">
        <v>0</v>
      </c>
      <c r="WK51" s="8">
        <v>0</v>
      </c>
      <c r="WL51" s="8">
        <v>0</v>
      </c>
      <c r="WM51" s="8">
        <v>0</v>
      </c>
      <c r="WN51" s="8">
        <v>0</v>
      </c>
      <c r="WO51" s="8">
        <v>0</v>
      </c>
      <c r="WP51" s="8">
        <v>0</v>
      </c>
      <c r="WQ51" s="8">
        <v>0</v>
      </c>
      <c r="WR51" s="8">
        <v>0</v>
      </c>
      <c r="WS51" s="8">
        <v>0</v>
      </c>
      <c r="WT51" s="8">
        <v>0</v>
      </c>
      <c r="WU51" s="8">
        <v>0</v>
      </c>
      <c r="WV51" s="8">
        <v>0</v>
      </c>
      <c r="WW51" s="8">
        <v>0</v>
      </c>
      <c r="WX51" s="8">
        <v>0</v>
      </c>
      <c r="WY51" s="8">
        <v>0</v>
      </c>
      <c r="WZ51" s="8">
        <v>0</v>
      </c>
      <c r="XA51" s="8">
        <v>0</v>
      </c>
      <c r="XB51" s="8">
        <v>0</v>
      </c>
      <c r="XC51" s="8">
        <v>0</v>
      </c>
      <c r="XD51" s="8">
        <v>0</v>
      </c>
      <c r="XE51" s="8">
        <v>0</v>
      </c>
      <c r="XF51" s="8">
        <v>0</v>
      </c>
      <c r="XG51" s="8">
        <v>0</v>
      </c>
      <c r="XH51" s="8">
        <v>0</v>
      </c>
      <c r="XI51" s="8">
        <v>0</v>
      </c>
      <c r="XJ51" s="8">
        <v>0</v>
      </c>
      <c r="XK51" s="8">
        <v>0</v>
      </c>
      <c r="XL51" s="8">
        <v>0</v>
      </c>
      <c r="XM51" s="8">
        <v>0</v>
      </c>
      <c r="XN51" s="8">
        <v>0</v>
      </c>
      <c r="XO51" s="8">
        <v>0</v>
      </c>
      <c r="XP51" s="8">
        <v>0</v>
      </c>
      <c r="XQ51" s="8">
        <v>0</v>
      </c>
      <c r="XR51" s="8">
        <v>0</v>
      </c>
      <c r="XS51" s="8">
        <v>0</v>
      </c>
      <c r="XT51" s="8">
        <v>0</v>
      </c>
      <c r="XU51" s="8">
        <v>0</v>
      </c>
      <c r="XV51" s="8">
        <v>0</v>
      </c>
      <c r="XW51" s="8">
        <v>0</v>
      </c>
      <c r="XX51" s="8">
        <v>0</v>
      </c>
      <c r="XY51" s="8">
        <v>0</v>
      </c>
      <c r="XZ51" s="8">
        <v>0</v>
      </c>
      <c r="YA51" s="8">
        <v>0</v>
      </c>
      <c r="YB51" s="8">
        <v>0</v>
      </c>
      <c r="YC51" s="8">
        <v>0</v>
      </c>
      <c r="YD51" s="8">
        <v>0</v>
      </c>
      <c r="YE51" s="8">
        <v>0</v>
      </c>
      <c r="YF51" s="8">
        <v>0</v>
      </c>
      <c r="YG51" s="8">
        <v>0</v>
      </c>
      <c r="YH51" s="8">
        <v>0</v>
      </c>
      <c r="YI51" s="8">
        <v>0</v>
      </c>
      <c r="YJ51" s="8">
        <v>0</v>
      </c>
      <c r="YK51" s="8">
        <v>0</v>
      </c>
      <c r="YL51" s="8">
        <v>0</v>
      </c>
      <c r="YM51" s="8">
        <v>0</v>
      </c>
      <c r="YN51" s="8">
        <v>0</v>
      </c>
      <c r="YO51" s="8">
        <v>0</v>
      </c>
      <c r="YP51" s="8">
        <v>0</v>
      </c>
      <c r="YQ51" s="8">
        <v>0</v>
      </c>
      <c r="YR51" s="8">
        <v>0</v>
      </c>
      <c r="YS51" s="8">
        <v>0</v>
      </c>
      <c r="YT51" s="8">
        <v>0</v>
      </c>
      <c r="YU51" s="8">
        <v>0</v>
      </c>
      <c r="YV51" s="8">
        <v>0</v>
      </c>
      <c r="YW51" s="8">
        <v>0</v>
      </c>
      <c r="YX51" s="8">
        <v>0</v>
      </c>
      <c r="YY51" s="8">
        <v>0</v>
      </c>
      <c r="YZ51" s="8">
        <v>0</v>
      </c>
      <c r="ZA51" s="8">
        <v>0</v>
      </c>
      <c r="ZB51" s="8">
        <v>0</v>
      </c>
      <c r="ZC51" s="8">
        <v>0</v>
      </c>
      <c r="ZD51" s="8">
        <v>0</v>
      </c>
      <c r="ZE51" s="8">
        <v>0</v>
      </c>
      <c r="ZF51" s="8">
        <v>0</v>
      </c>
      <c r="ZG51" s="8">
        <v>0</v>
      </c>
      <c r="ZH51" s="8">
        <v>0</v>
      </c>
      <c r="ZI51" s="8">
        <v>0</v>
      </c>
      <c r="ZJ51" s="8">
        <v>0</v>
      </c>
      <c r="ZK51" s="8">
        <v>0</v>
      </c>
      <c r="ZL51" s="8">
        <v>0</v>
      </c>
      <c r="ZM51" s="8">
        <v>0</v>
      </c>
      <c r="ZN51" s="8">
        <v>0</v>
      </c>
      <c r="ZO51" s="8">
        <v>0</v>
      </c>
      <c r="ZP51" s="8">
        <v>0</v>
      </c>
      <c r="ZQ51" s="8">
        <v>0</v>
      </c>
      <c r="ZR51" s="8">
        <v>0</v>
      </c>
      <c r="ZS51" s="8">
        <v>0</v>
      </c>
      <c r="ZT51" s="8">
        <v>0</v>
      </c>
      <c r="ZU51" s="8">
        <v>0</v>
      </c>
      <c r="ZV51" s="8">
        <v>0</v>
      </c>
      <c r="ZW51" s="8">
        <v>0</v>
      </c>
      <c r="ZX51" s="8">
        <v>0</v>
      </c>
      <c r="ZY51" s="8">
        <v>0</v>
      </c>
      <c r="ZZ51" s="8">
        <v>0</v>
      </c>
      <c r="AAA51" s="8">
        <v>0</v>
      </c>
      <c r="AAB51" s="8">
        <v>0</v>
      </c>
      <c r="AAC51" s="8">
        <v>0</v>
      </c>
      <c r="AAD51" s="8">
        <v>0</v>
      </c>
      <c r="AAE51" s="8">
        <v>0</v>
      </c>
      <c r="AAF51" s="8">
        <v>0</v>
      </c>
      <c r="AAG51" s="8">
        <v>0</v>
      </c>
      <c r="AAH51" s="8">
        <v>0</v>
      </c>
      <c r="AAI51" s="8">
        <v>0</v>
      </c>
      <c r="AAJ51" s="8">
        <v>0</v>
      </c>
      <c r="AAK51" s="8">
        <v>0</v>
      </c>
      <c r="AAL51" s="8">
        <v>0</v>
      </c>
      <c r="AAM51" s="8">
        <v>0</v>
      </c>
      <c r="AAN51" s="8">
        <v>0</v>
      </c>
      <c r="AAO51" s="8">
        <v>0</v>
      </c>
      <c r="AAP51" s="8">
        <v>0</v>
      </c>
      <c r="AAQ51" s="8">
        <v>0</v>
      </c>
      <c r="AAR51" s="8">
        <v>0</v>
      </c>
      <c r="AAS51" s="8">
        <v>0</v>
      </c>
      <c r="AAT51" s="8">
        <v>0</v>
      </c>
      <c r="AAU51" s="8">
        <v>0</v>
      </c>
      <c r="AAV51" s="8">
        <v>0</v>
      </c>
      <c r="AAW51" s="8">
        <v>0</v>
      </c>
      <c r="AAX51" s="8">
        <v>0</v>
      </c>
      <c r="AAY51" s="8">
        <v>0</v>
      </c>
      <c r="AAZ51" s="8">
        <v>0</v>
      </c>
      <c r="ABA51" s="8">
        <v>0</v>
      </c>
      <c r="ABB51" s="8">
        <v>0</v>
      </c>
      <c r="ABC51" s="8">
        <v>0</v>
      </c>
      <c r="ABD51" s="8">
        <v>0</v>
      </c>
      <c r="ABE51" s="8">
        <v>0</v>
      </c>
      <c r="ABF51" s="8">
        <v>0</v>
      </c>
      <c r="ABG51" s="8">
        <v>0</v>
      </c>
      <c r="ABH51" s="8">
        <v>0</v>
      </c>
      <c r="ABI51" s="8">
        <v>0</v>
      </c>
      <c r="ABJ51" s="8">
        <v>0</v>
      </c>
      <c r="ABK51" s="8">
        <v>0</v>
      </c>
      <c r="ABL51" s="8">
        <v>0</v>
      </c>
      <c r="ABM51" s="8">
        <v>0</v>
      </c>
      <c r="ABN51" s="8">
        <v>0</v>
      </c>
      <c r="ABO51" s="8">
        <v>0</v>
      </c>
      <c r="ABP51" s="8">
        <v>0</v>
      </c>
      <c r="ABQ51" s="8">
        <v>0</v>
      </c>
      <c r="ABR51" s="8">
        <v>0</v>
      </c>
      <c r="ABS51" s="8">
        <v>0</v>
      </c>
      <c r="ABT51" s="8">
        <v>0</v>
      </c>
      <c r="ABU51" s="8">
        <v>0</v>
      </c>
      <c r="ABV51" s="8">
        <v>0</v>
      </c>
      <c r="ABW51" s="8">
        <v>0</v>
      </c>
      <c r="ABX51" s="8">
        <v>0</v>
      </c>
      <c r="ABY51" s="8">
        <v>0</v>
      </c>
      <c r="ABZ51" s="8">
        <v>0</v>
      </c>
      <c r="ACA51" s="8">
        <v>0</v>
      </c>
      <c r="ACB51" s="8">
        <v>0</v>
      </c>
      <c r="ACC51" s="8">
        <v>0</v>
      </c>
      <c r="ACD51" s="8">
        <v>0</v>
      </c>
      <c r="ACE51" s="8">
        <v>0</v>
      </c>
      <c r="ACF51" s="8">
        <v>0</v>
      </c>
      <c r="ACG51" s="8">
        <v>0</v>
      </c>
      <c r="ACH51" s="8">
        <v>0</v>
      </c>
      <c r="ACI51" s="8">
        <v>0</v>
      </c>
      <c r="ACJ51" s="8">
        <v>0</v>
      </c>
      <c r="ACK51" s="8">
        <v>0</v>
      </c>
      <c r="ACL51" s="8">
        <v>0</v>
      </c>
      <c r="ACM51" s="8">
        <v>0</v>
      </c>
      <c r="ACN51" s="8">
        <v>0</v>
      </c>
      <c r="ACO51" s="8">
        <v>0</v>
      </c>
      <c r="ACP51" s="8">
        <v>0</v>
      </c>
      <c r="ACQ51" s="8">
        <v>0</v>
      </c>
      <c r="ACR51" s="8">
        <v>0</v>
      </c>
      <c r="ACS51" s="8">
        <v>0</v>
      </c>
      <c r="ACT51" s="8">
        <v>0</v>
      </c>
      <c r="ACU51" s="8">
        <v>0</v>
      </c>
      <c r="ACV51" s="8">
        <v>0</v>
      </c>
      <c r="ACW51" s="8">
        <v>0</v>
      </c>
      <c r="ACX51" s="8">
        <v>0</v>
      </c>
      <c r="ACY51" s="8">
        <v>0</v>
      </c>
      <c r="ACZ51" s="8">
        <v>0</v>
      </c>
      <c r="ADA51" s="8">
        <v>0</v>
      </c>
      <c r="ADB51" s="8">
        <v>0</v>
      </c>
      <c r="ADC51" s="8">
        <v>0</v>
      </c>
      <c r="ADD51" s="8">
        <v>0</v>
      </c>
      <c r="ADE51" s="8">
        <v>0</v>
      </c>
      <c r="ADF51" s="8">
        <v>0</v>
      </c>
      <c r="ADG51" s="8">
        <v>0</v>
      </c>
      <c r="ADH51" s="8">
        <v>0</v>
      </c>
      <c r="ADI51" s="8">
        <v>0</v>
      </c>
      <c r="ADJ51" s="8">
        <v>0</v>
      </c>
      <c r="ADK51" s="8">
        <v>0</v>
      </c>
      <c r="ADL51" s="8">
        <v>0</v>
      </c>
      <c r="ADM51" s="8">
        <v>0</v>
      </c>
      <c r="ADN51" s="8">
        <v>0</v>
      </c>
      <c r="ADO51" s="8">
        <v>0</v>
      </c>
      <c r="ADP51" s="8">
        <v>0</v>
      </c>
      <c r="ADQ51" s="8">
        <v>0</v>
      </c>
      <c r="ADR51" s="8">
        <v>0</v>
      </c>
      <c r="ADS51" s="8">
        <v>0</v>
      </c>
      <c r="ADT51" s="8">
        <v>0</v>
      </c>
      <c r="ADU51" s="8">
        <v>0</v>
      </c>
      <c r="ADV51" s="8">
        <v>0</v>
      </c>
      <c r="ADW51" s="8">
        <v>0</v>
      </c>
      <c r="ADX51" s="8">
        <v>0</v>
      </c>
      <c r="ADY51" s="8">
        <v>0</v>
      </c>
      <c r="ADZ51" s="8">
        <v>0</v>
      </c>
      <c r="AEA51" s="8">
        <v>0</v>
      </c>
      <c r="AEB51" s="8">
        <v>0</v>
      </c>
      <c r="AEC51" s="8">
        <v>0</v>
      </c>
      <c r="AED51" s="8">
        <v>0</v>
      </c>
      <c r="AEE51" s="8">
        <v>0</v>
      </c>
      <c r="AEF51" s="8">
        <v>0</v>
      </c>
      <c r="AEG51" s="8">
        <v>0</v>
      </c>
      <c r="AEH51" s="8">
        <v>0</v>
      </c>
      <c r="AEI51" s="8">
        <v>0</v>
      </c>
      <c r="AEJ51" s="8">
        <v>0</v>
      </c>
      <c r="AEK51" s="8">
        <v>0</v>
      </c>
      <c r="AEL51" s="8">
        <v>0</v>
      </c>
      <c r="AEM51" s="8">
        <v>0</v>
      </c>
      <c r="AEN51" s="8">
        <v>0</v>
      </c>
      <c r="AEO51" s="8">
        <v>0</v>
      </c>
      <c r="AEP51" s="8">
        <v>0</v>
      </c>
      <c r="AEQ51" s="8">
        <v>0</v>
      </c>
      <c r="AER51" s="8">
        <v>0</v>
      </c>
      <c r="AES51" s="8">
        <v>0</v>
      </c>
      <c r="AET51" s="8">
        <v>0</v>
      </c>
      <c r="AEU51" s="8">
        <v>0</v>
      </c>
      <c r="AEV51" s="8">
        <v>0</v>
      </c>
      <c r="AEW51" s="8">
        <v>0</v>
      </c>
      <c r="AEX51" s="8">
        <v>0</v>
      </c>
      <c r="AEY51" s="8">
        <v>0</v>
      </c>
      <c r="AEZ51" s="8">
        <v>0</v>
      </c>
      <c r="AFA51" s="8">
        <v>0</v>
      </c>
      <c r="AFB51" s="8">
        <v>0</v>
      </c>
      <c r="AFC51" s="8">
        <v>0</v>
      </c>
      <c r="AFD51" s="8">
        <v>0</v>
      </c>
      <c r="AFE51" s="8">
        <v>0</v>
      </c>
      <c r="AFF51" s="8">
        <v>0</v>
      </c>
      <c r="AFG51" s="8">
        <v>0</v>
      </c>
      <c r="AFH51" s="8">
        <v>0</v>
      </c>
      <c r="AFI51" s="8">
        <v>0</v>
      </c>
      <c r="AFJ51" s="8">
        <v>0</v>
      </c>
      <c r="AFK51" s="8">
        <v>0</v>
      </c>
      <c r="AFL51" s="8">
        <v>0</v>
      </c>
      <c r="AFM51" s="8">
        <v>0</v>
      </c>
      <c r="AFN51" s="8">
        <v>0</v>
      </c>
      <c r="AFO51" s="8">
        <v>0</v>
      </c>
      <c r="AFP51" s="8">
        <v>0</v>
      </c>
      <c r="AFQ51" s="8">
        <v>0</v>
      </c>
      <c r="AFR51" s="8">
        <v>0</v>
      </c>
      <c r="AFS51" s="8">
        <v>0</v>
      </c>
      <c r="AFT51" s="8">
        <v>0</v>
      </c>
      <c r="AFU51" s="8">
        <v>0</v>
      </c>
      <c r="AFV51" s="8">
        <v>0</v>
      </c>
      <c r="AFW51" s="8">
        <v>0</v>
      </c>
      <c r="AFX51" s="8">
        <v>0</v>
      </c>
      <c r="AFY51" s="8">
        <v>0</v>
      </c>
      <c r="AFZ51" s="8">
        <v>0</v>
      </c>
      <c r="AGA51" s="8">
        <v>0</v>
      </c>
      <c r="AGB51" s="8">
        <v>0</v>
      </c>
      <c r="AGC51" s="8">
        <v>0</v>
      </c>
      <c r="AGD51" s="8">
        <v>0</v>
      </c>
      <c r="AGE51" s="8">
        <v>0</v>
      </c>
      <c r="AGF51" s="8">
        <v>0</v>
      </c>
      <c r="AGG51" s="8">
        <v>0</v>
      </c>
      <c r="AGH51" s="8">
        <v>0</v>
      </c>
      <c r="AGI51" s="8">
        <v>0</v>
      </c>
      <c r="AGJ51" s="8">
        <v>0</v>
      </c>
      <c r="AGK51" s="8">
        <v>0</v>
      </c>
      <c r="AGL51" s="8">
        <v>0</v>
      </c>
      <c r="AGM51" s="8">
        <v>0</v>
      </c>
      <c r="AGN51" s="8">
        <v>0</v>
      </c>
      <c r="AGO51" s="8">
        <v>0</v>
      </c>
      <c r="AGP51" s="8">
        <v>0</v>
      </c>
      <c r="AGQ51" s="8">
        <v>0</v>
      </c>
      <c r="AGR51" s="8">
        <v>0</v>
      </c>
      <c r="AGS51" s="8">
        <v>0</v>
      </c>
      <c r="AGT51" s="8">
        <v>0</v>
      </c>
      <c r="AGU51" s="8">
        <v>0</v>
      </c>
      <c r="AGV51" s="8">
        <v>0</v>
      </c>
      <c r="AGW51" s="8">
        <v>0</v>
      </c>
      <c r="AGX51" s="8">
        <v>0</v>
      </c>
      <c r="AGY51" s="8">
        <v>0</v>
      </c>
      <c r="AGZ51" s="8">
        <v>0</v>
      </c>
      <c r="AHA51" s="8">
        <v>0</v>
      </c>
      <c r="AHB51" s="8">
        <v>0</v>
      </c>
      <c r="AHC51" s="8">
        <v>0</v>
      </c>
      <c r="AHD51" s="8">
        <v>0</v>
      </c>
      <c r="AHE51" s="8">
        <v>0</v>
      </c>
      <c r="AHF51" s="8">
        <v>0</v>
      </c>
      <c r="AHG51" s="8">
        <v>0</v>
      </c>
      <c r="AHH51" s="8">
        <v>0</v>
      </c>
      <c r="AHI51" s="8">
        <v>0</v>
      </c>
      <c r="AHJ51" s="8">
        <v>0</v>
      </c>
      <c r="AHK51" s="8">
        <v>0</v>
      </c>
      <c r="AHL51" s="8">
        <v>0</v>
      </c>
      <c r="AHM51" s="8">
        <v>0</v>
      </c>
      <c r="AHN51" s="8">
        <v>0</v>
      </c>
      <c r="AHO51" s="8">
        <v>0</v>
      </c>
      <c r="AHP51" s="8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 t="e">
        <v>#N/A</v>
      </c>
      <c r="AIJ51" t="e">
        <v>#N/A</v>
      </c>
      <c r="AIK51" t="e">
        <v>#N/A</v>
      </c>
      <c r="AIL51" t="e">
        <v>#N/A</v>
      </c>
      <c r="AIM51" t="e">
        <v>#N/A</v>
      </c>
      <c r="AIN51" t="e">
        <v>#N/A</v>
      </c>
      <c r="AIO51" t="e">
        <v>#N/A</v>
      </c>
      <c r="AIP51" t="e">
        <v>#N/A</v>
      </c>
      <c r="AIQ51" t="e">
        <v>#N/A</v>
      </c>
      <c r="AIR51" t="e">
        <v>#N/A</v>
      </c>
      <c r="AIS51" t="e">
        <v>#N/A</v>
      </c>
      <c r="AIT51" t="e">
        <v>#N/A</v>
      </c>
      <c r="AIU51" t="e">
        <v>#N/A</v>
      </c>
      <c r="AIV51" t="e">
        <v>#N/A</v>
      </c>
      <c r="AIW51" t="e">
        <v>#N/A</v>
      </c>
      <c r="AIX51" t="e">
        <v>#N/A</v>
      </c>
      <c r="AIY51" t="e">
        <v>#N/A</v>
      </c>
      <c r="AIZ51" t="e">
        <v>#N/A</v>
      </c>
      <c r="AJA51" t="e">
        <v>#N/A</v>
      </c>
      <c r="AJB51" t="e">
        <v>#N/A</v>
      </c>
      <c r="AJC51" t="e">
        <v>#N/A</v>
      </c>
      <c r="AJD51" t="e">
        <v>#N/A</v>
      </c>
      <c r="AJE51" t="e">
        <v>#N/A</v>
      </c>
      <c r="AJF51" t="e">
        <v>#N/A</v>
      </c>
      <c r="AJG51" t="e">
        <v>#N/A</v>
      </c>
      <c r="AJH51" t="e">
        <v>#N/A</v>
      </c>
      <c r="AJI51" t="e">
        <v>#N/A</v>
      </c>
      <c r="AJJ51" t="e">
        <v>#N/A</v>
      </c>
      <c r="AJK51" t="e">
        <v>#N/A</v>
      </c>
      <c r="AJL51" t="e">
        <v>#N/A</v>
      </c>
      <c r="AJM51" t="e">
        <v>#N/A</v>
      </c>
      <c r="AJN51" t="e">
        <v>#N/A</v>
      </c>
      <c r="AJO51" t="e">
        <v>#N/A</v>
      </c>
      <c r="AJP51" t="e">
        <v>#N/A</v>
      </c>
      <c r="AJQ51" t="e">
        <v>#N/A</v>
      </c>
      <c r="AJR51" t="e">
        <v>#N/A</v>
      </c>
      <c r="AJS51" t="e">
        <v>#N/A</v>
      </c>
      <c r="AJT51" t="e">
        <v>#N/A</v>
      </c>
      <c r="AJU51" t="e">
        <v>#N/A</v>
      </c>
      <c r="AJV51" t="e">
        <v>#N/A</v>
      </c>
      <c r="AJW51" t="e">
        <v>#N/A</v>
      </c>
      <c r="AJX51" t="e">
        <v>#N/A</v>
      </c>
      <c r="AJY51" t="e">
        <v>#N/A</v>
      </c>
      <c r="AJZ51" t="e">
        <v>#N/A</v>
      </c>
      <c r="AKA51" t="e">
        <v>#N/A</v>
      </c>
      <c r="AKB51" t="e">
        <v>#N/A</v>
      </c>
      <c r="AKC51" t="e">
        <v>#N/A</v>
      </c>
      <c r="AKD51" t="e">
        <v>#N/A</v>
      </c>
      <c r="AKE51" t="e">
        <v>#N/A</v>
      </c>
      <c r="AKF51" t="e">
        <v>#N/A</v>
      </c>
      <c r="AKG51" t="e">
        <v>#N/A</v>
      </c>
      <c r="AKH51" t="e">
        <v>#N/A</v>
      </c>
      <c r="AKI51" t="e">
        <v>#N/A</v>
      </c>
      <c r="AKJ51" t="e">
        <v>#N/A</v>
      </c>
      <c r="AKK51" t="e">
        <v>#N/A</v>
      </c>
      <c r="AKL51" t="e">
        <v>#N/A</v>
      </c>
      <c r="AKM51" t="e">
        <v>#N/A</v>
      </c>
      <c r="AKN51" t="e">
        <v>#N/A</v>
      </c>
      <c r="AKO51" t="e">
        <v>#N/A</v>
      </c>
      <c r="AKP51" t="e">
        <v>#N/A</v>
      </c>
      <c r="AKQ51" t="e">
        <v>#N/A</v>
      </c>
      <c r="AKR51" t="e">
        <v>#N/A</v>
      </c>
      <c r="AKS51" t="e">
        <v>#N/A</v>
      </c>
      <c r="AKT51" t="e">
        <v>#N/A</v>
      </c>
      <c r="AKU51" t="e">
        <v>#N/A</v>
      </c>
      <c r="AKV51" t="e">
        <v>#N/A</v>
      </c>
      <c r="AKW51" t="e">
        <v>#N/A</v>
      </c>
      <c r="AKX51" t="e">
        <v>#N/A</v>
      </c>
      <c r="AKY51" t="e">
        <v>#N/A</v>
      </c>
      <c r="AKZ51" t="e">
        <v>#N/A</v>
      </c>
      <c r="ALA51" t="e">
        <v>#N/A</v>
      </c>
      <c r="ALB51" t="e">
        <v>#N/A</v>
      </c>
      <c r="ALC51" t="e">
        <v>#N/A</v>
      </c>
      <c r="ALD51" t="e">
        <v>#N/A</v>
      </c>
      <c r="ALE51" t="e">
        <v>#N/A</v>
      </c>
      <c r="ALF51" t="e">
        <v>#N/A</v>
      </c>
      <c r="ALG51" t="e">
        <v>#N/A</v>
      </c>
      <c r="ALH51" t="e">
        <v>#N/A</v>
      </c>
      <c r="ALI51" t="e">
        <v>#N/A</v>
      </c>
      <c r="ALJ51" t="e">
        <v>#N/A</v>
      </c>
      <c r="ALK51" t="e">
        <v>#N/A</v>
      </c>
      <c r="ALL51" t="e">
        <v>#N/A</v>
      </c>
      <c r="ALM51" t="e">
        <v>#N/A</v>
      </c>
      <c r="ALN51" t="e">
        <v>#N/A</v>
      </c>
      <c r="ALO51" t="e">
        <v>#N/A</v>
      </c>
      <c r="ALP51" t="e">
        <v>#N/A</v>
      </c>
      <c r="ALQ51" t="e">
        <v>#N/A</v>
      </c>
      <c r="ALR51" t="e">
        <v>#N/A</v>
      </c>
      <c r="ALS51" t="e">
        <v>#N/A</v>
      </c>
      <c r="ALT51" t="e">
        <v>#N/A</v>
      </c>
      <c r="ALU51" t="e">
        <v>#N/A</v>
      </c>
      <c r="ALV51" t="e">
        <v>#N/A</v>
      </c>
      <c r="ALW51" t="e">
        <v>#N/A</v>
      </c>
      <c r="ALX51" t="e">
        <v>#N/A</v>
      </c>
      <c r="ALY51" t="e">
        <v>#N/A</v>
      </c>
      <c r="ALZ51" t="e">
        <v>#N/A</v>
      </c>
      <c r="AMA51" t="e">
        <v>#N/A</v>
      </c>
      <c r="AMB51" t="e">
        <v>#N/A</v>
      </c>
      <c r="AMC51" t="e">
        <v>#N/A</v>
      </c>
      <c r="AMD51" t="e">
        <v>#N/A</v>
      </c>
      <c r="AME51" t="e">
        <v>#N/A</v>
      </c>
      <c r="AMF51" t="e">
        <v>#N/A</v>
      </c>
      <c r="AMG51" t="e">
        <v>#N/A</v>
      </c>
      <c r="AMH51" t="e">
        <v>#N/A</v>
      </c>
    </row>
    <row r="52" spans="1:1022" ht="15.75" customHeight="1">
      <c r="A52" s="8">
        <v>0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0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0</v>
      </c>
      <c r="KH52" s="8">
        <v>0</v>
      </c>
      <c r="KI52" s="8">
        <v>0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0</v>
      </c>
      <c r="LY52" s="8">
        <v>0</v>
      </c>
      <c r="LZ52" s="8">
        <v>0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0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0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8">
        <v>0</v>
      </c>
      <c r="UT52" s="8">
        <v>0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8">
        <v>0</v>
      </c>
      <c r="VA52" s="8">
        <v>0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8">
        <v>0</v>
      </c>
      <c r="VH52" s="8">
        <v>0</v>
      </c>
      <c r="VI52" s="8">
        <v>0</v>
      </c>
      <c r="VJ52" s="8">
        <v>0</v>
      </c>
      <c r="VK52" s="8">
        <v>0</v>
      </c>
      <c r="VL52" s="8">
        <v>0</v>
      </c>
      <c r="VM52" s="8">
        <v>0</v>
      </c>
      <c r="VN52" s="8">
        <v>0</v>
      </c>
      <c r="VO52" s="8">
        <v>0</v>
      </c>
      <c r="VP52" s="8">
        <v>0</v>
      </c>
      <c r="VQ52" s="8">
        <v>0</v>
      </c>
      <c r="VR52" s="8">
        <v>0</v>
      </c>
      <c r="VS52" s="8">
        <v>0</v>
      </c>
      <c r="VT52" s="8">
        <v>0</v>
      </c>
      <c r="VU52" s="8">
        <v>0</v>
      </c>
      <c r="VV52" s="8">
        <v>0</v>
      </c>
      <c r="VW52" s="8">
        <v>0</v>
      </c>
      <c r="VX52" s="8">
        <v>0</v>
      </c>
      <c r="VY52" s="8">
        <v>0</v>
      </c>
      <c r="VZ52" s="8">
        <v>0</v>
      </c>
      <c r="WA52" s="8">
        <v>0</v>
      </c>
      <c r="WB52" s="8">
        <v>0</v>
      </c>
      <c r="WC52" s="8">
        <v>0</v>
      </c>
      <c r="WD52" s="8">
        <v>0</v>
      </c>
      <c r="WE52" s="8">
        <v>0</v>
      </c>
      <c r="WF52" s="8">
        <v>0</v>
      </c>
      <c r="WG52" s="8">
        <v>0</v>
      </c>
      <c r="WH52" s="8">
        <v>0</v>
      </c>
      <c r="WI52" s="8">
        <v>0</v>
      </c>
      <c r="WJ52" s="8">
        <v>0</v>
      </c>
      <c r="WK52" s="8">
        <v>0</v>
      </c>
      <c r="WL52" s="8">
        <v>0</v>
      </c>
      <c r="WM52" s="8">
        <v>0</v>
      </c>
      <c r="WN52" s="8">
        <v>0</v>
      </c>
      <c r="WO52" s="8">
        <v>0</v>
      </c>
      <c r="WP52" s="8">
        <v>0</v>
      </c>
      <c r="WQ52" s="8">
        <v>0</v>
      </c>
      <c r="WR52" s="8">
        <v>0</v>
      </c>
      <c r="WS52" s="8">
        <v>0</v>
      </c>
      <c r="WT52" s="8">
        <v>0</v>
      </c>
      <c r="WU52" s="8">
        <v>0</v>
      </c>
      <c r="WV52" s="8">
        <v>0</v>
      </c>
      <c r="WW52" s="8">
        <v>0</v>
      </c>
      <c r="WX52" s="8">
        <v>0</v>
      </c>
      <c r="WY52" s="8">
        <v>0</v>
      </c>
      <c r="WZ52" s="8">
        <v>0</v>
      </c>
      <c r="XA52" s="8">
        <v>0</v>
      </c>
      <c r="XB52" s="8">
        <v>0</v>
      </c>
      <c r="XC52" s="8">
        <v>0</v>
      </c>
      <c r="XD52" s="8">
        <v>0</v>
      </c>
      <c r="XE52" s="8">
        <v>0</v>
      </c>
      <c r="XF52" s="8">
        <v>0</v>
      </c>
      <c r="XG52" s="8">
        <v>0</v>
      </c>
      <c r="XH52" s="8">
        <v>0</v>
      </c>
      <c r="XI52" s="8">
        <v>0</v>
      </c>
      <c r="XJ52" s="8">
        <v>0</v>
      </c>
      <c r="XK52" s="8">
        <v>0</v>
      </c>
      <c r="XL52" s="8">
        <v>0</v>
      </c>
      <c r="XM52" s="8">
        <v>0</v>
      </c>
      <c r="XN52" s="8">
        <v>0</v>
      </c>
      <c r="XO52" s="8">
        <v>0</v>
      </c>
      <c r="XP52" s="8">
        <v>0</v>
      </c>
      <c r="XQ52" s="8">
        <v>0</v>
      </c>
      <c r="XR52" s="8">
        <v>0</v>
      </c>
      <c r="XS52" s="8">
        <v>0</v>
      </c>
      <c r="XT52" s="8">
        <v>0</v>
      </c>
      <c r="XU52" s="8">
        <v>0</v>
      </c>
      <c r="XV52" s="8">
        <v>0</v>
      </c>
      <c r="XW52" s="8">
        <v>0</v>
      </c>
      <c r="XX52" s="8">
        <v>0</v>
      </c>
      <c r="XY52" s="8">
        <v>0</v>
      </c>
      <c r="XZ52" s="8">
        <v>0</v>
      </c>
      <c r="YA52" s="8">
        <v>0</v>
      </c>
      <c r="YB52" s="8">
        <v>0</v>
      </c>
      <c r="YC52" s="8">
        <v>0</v>
      </c>
      <c r="YD52" s="8">
        <v>0</v>
      </c>
      <c r="YE52" s="8">
        <v>0</v>
      </c>
      <c r="YF52" s="8">
        <v>0</v>
      </c>
      <c r="YG52" s="8">
        <v>0</v>
      </c>
      <c r="YH52" s="8">
        <v>0</v>
      </c>
      <c r="YI52" s="8">
        <v>0</v>
      </c>
      <c r="YJ52" s="8">
        <v>0</v>
      </c>
      <c r="YK52" s="8">
        <v>0</v>
      </c>
      <c r="YL52" s="8">
        <v>0</v>
      </c>
      <c r="YM52" s="8">
        <v>0</v>
      </c>
      <c r="YN52" s="8">
        <v>0</v>
      </c>
      <c r="YO52" s="8">
        <v>0</v>
      </c>
      <c r="YP52" s="8">
        <v>0</v>
      </c>
      <c r="YQ52" s="8">
        <v>0</v>
      </c>
      <c r="YR52" s="8">
        <v>0</v>
      </c>
      <c r="YS52" s="8">
        <v>0</v>
      </c>
      <c r="YT52" s="8">
        <v>0</v>
      </c>
      <c r="YU52" s="8">
        <v>0</v>
      </c>
      <c r="YV52" s="8">
        <v>0</v>
      </c>
      <c r="YW52" s="8">
        <v>0</v>
      </c>
      <c r="YX52" s="8">
        <v>0</v>
      </c>
      <c r="YY52" s="8">
        <v>0</v>
      </c>
      <c r="YZ52" s="8">
        <v>0</v>
      </c>
      <c r="ZA52" s="8">
        <v>0</v>
      </c>
      <c r="ZB52" s="8">
        <v>0</v>
      </c>
      <c r="ZC52" s="8">
        <v>0</v>
      </c>
      <c r="ZD52" s="8">
        <v>0</v>
      </c>
      <c r="ZE52" s="8">
        <v>0</v>
      </c>
      <c r="ZF52" s="8">
        <v>0</v>
      </c>
      <c r="ZG52" s="8">
        <v>0</v>
      </c>
      <c r="ZH52" s="8">
        <v>0</v>
      </c>
      <c r="ZI52" s="8">
        <v>0</v>
      </c>
      <c r="ZJ52" s="8">
        <v>0</v>
      </c>
      <c r="ZK52" s="8">
        <v>0</v>
      </c>
      <c r="ZL52" s="8">
        <v>0</v>
      </c>
      <c r="ZM52" s="8">
        <v>0</v>
      </c>
      <c r="ZN52" s="8">
        <v>0</v>
      </c>
      <c r="ZO52" s="8">
        <v>0</v>
      </c>
      <c r="ZP52" s="8">
        <v>0</v>
      </c>
      <c r="ZQ52" s="8">
        <v>0</v>
      </c>
      <c r="ZR52" s="8">
        <v>0</v>
      </c>
      <c r="ZS52" s="8">
        <v>0</v>
      </c>
      <c r="ZT52" s="8">
        <v>0</v>
      </c>
      <c r="ZU52" s="8">
        <v>0</v>
      </c>
      <c r="ZV52" s="8">
        <v>0</v>
      </c>
      <c r="ZW52" s="8">
        <v>0</v>
      </c>
      <c r="ZX52" s="8">
        <v>0</v>
      </c>
      <c r="ZY52" s="8">
        <v>0</v>
      </c>
      <c r="ZZ52" s="8">
        <v>0</v>
      </c>
      <c r="AAA52" s="8">
        <v>0</v>
      </c>
      <c r="AAB52" s="8">
        <v>0</v>
      </c>
      <c r="AAC52" s="8">
        <v>0</v>
      </c>
      <c r="AAD52" s="8">
        <v>0</v>
      </c>
      <c r="AAE52" s="8">
        <v>0</v>
      </c>
      <c r="AAF52" s="8">
        <v>0</v>
      </c>
      <c r="AAG52" s="8">
        <v>0</v>
      </c>
      <c r="AAH52" s="8">
        <v>0</v>
      </c>
      <c r="AAI52" s="8">
        <v>0</v>
      </c>
      <c r="AAJ52" s="8">
        <v>0</v>
      </c>
      <c r="AAK52" s="8">
        <v>0</v>
      </c>
      <c r="AAL52" s="8">
        <v>0</v>
      </c>
      <c r="AAM52" s="8">
        <v>0</v>
      </c>
      <c r="AAN52" s="8">
        <v>0</v>
      </c>
      <c r="AAO52" s="8">
        <v>0</v>
      </c>
      <c r="AAP52" s="8">
        <v>0</v>
      </c>
      <c r="AAQ52" s="8">
        <v>0</v>
      </c>
      <c r="AAR52" s="8">
        <v>0</v>
      </c>
      <c r="AAS52" s="8">
        <v>0</v>
      </c>
      <c r="AAT52" s="8">
        <v>0</v>
      </c>
      <c r="AAU52" s="8">
        <v>0</v>
      </c>
      <c r="AAV52" s="8">
        <v>0</v>
      </c>
      <c r="AAW52" s="8">
        <v>0</v>
      </c>
      <c r="AAX52" s="8">
        <v>0</v>
      </c>
      <c r="AAY52" s="8">
        <v>0</v>
      </c>
      <c r="AAZ52" s="8">
        <v>0</v>
      </c>
      <c r="ABA52" s="8">
        <v>0</v>
      </c>
      <c r="ABB52" s="8">
        <v>0</v>
      </c>
      <c r="ABC52" s="8">
        <v>0</v>
      </c>
      <c r="ABD52" s="8">
        <v>0</v>
      </c>
      <c r="ABE52" s="8">
        <v>0</v>
      </c>
      <c r="ABF52" s="8">
        <v>0</v>
      </c>
      <c r="ABG52" s="8">
        <v>0</v>
      </c>
      <c r="ABH52" s="8">
        <v>0</v>
      </c>
      <c r="ABI52" s="8">
        <v>0</v>
      </c>
      <c r="ABJ52" s="8">
        <v>0</v>
      </c>
      <c r="ABK52" s="8">
        <v>0</v>
      </c>
      <c r="ABL52" s="8">
        <v>0</v>
      </c>
      <c r="ABM52" s="8">
        <v>0</v>
      </c>
      <c r="ABN52" s="8">
        <v>0</v>
      </c>
      <c r="ABO52" s="8">
        <v>0</v>
      </c>
      <c r="ABP52" s="8">
        <v>0</v>
      </c>
      <c r="ABQ52" s="8">
        <v>0</v>
      </c>
      <c r="ABR52" s="8">
        <v>0</v>
      </c>
      <c r="ABS52" s="8">
        <v>0</v>
      </c>
      <c r="ABT52" s="8">
        <v>0</v>
      </c>
      <c r="ABU52" s="8">
        <v>0</v>
      </c>
      <c r="ABV52" s="8">
        <v>0</v>
      </c>
      <c r="ABW52" s="8">
        <v>0</v>
      </c>
      <c r="ABX52" s="8">
        <v>0</v>
      </c>
      <c r="ABY52" s="8">
        <v>0</v>
      </c>
      <c r="ABZ52" s="8">
        <v>0</v>
      </c>
      <c r="ACA52" s="8">
        <v>0</v>
      </c>
      <c r="ACB52" s="8">
        <v>0</v>
      </c>
      <c r="ACC52" s="8">
        <v>0</v>
      </c>
      <c r="ACD52" s="8">
        <v>0</v>
      </c>
      <c r="ACE52" s="8">
        <v>0</v>
      </c>
      <c r="ACF52" s="8">
        <v>0</v>
      </c>
      <c r="ACG52" s="8">
        <v>0</v>
      </c>
      <c r="ACH52" s="8">
        <v>0</v>
      </c>
      <c r="ACI52" s="8">
        <v>0</v>
      </c>
      <c r="ACJ52" s="8">
        <v>0</v>
      </c>
      <c r="ACK52" s="8">
        <v>0</v>
      </c>
      <c r="ACL52" s="8">
        <v>0</v>
      </c>
      <c r="ACM52" s="8">
        <v>0</v>
      </c>
      <c r="ACN52" s="8">
        <v>0</v>
      </c>
      <c r="ACO52" s="8">
        <v>0</v>
      </c>
      <c r="ACP52" s="8">
        <v>0</v>
      </c>
      <c r="ACQ52" s="8">
        <v>0</v>
      </c>
      <c r="ACR52" s="8">
        <v>0</v>
      </c>
      <c r="ACS52" s="8">
        <v>0</v>
      </c>
      <c r="ACT52" s="8">
        <v>0</v>
      </c>
      <c r="ACU52" s="8">
        <v>0</v>
      </c>
      <c r="ACV52" s="8">
        <v>0</v>
      </c>
      <c r="ACW52" s="8">
        <v>0</v>
      </c>
      <c r="ACX52" s="8">
        <v>0</v>
      </c>
      <c r="ACY52" s="8">
        <v>0</v>
      </c>
      <c r="ACZ52" s="8">
        <v>0</v>
      </c>
      <c r="ADA52" s="8">
        <v>0</v>
      </c>
      <c r="ADB52" s="8">
        <v>0</v>
      </c>
      <c r="ADC52" s="8">
        <v>0</v>
      </c>
      <c r="ADD52" s="8">
        <v>0</v>
      </c>
      <c r="ADE52" s="8">
        <v>0</v>
      </c>
      <c r="ADF52" s="8">
        <v>0</v>
      </c>
      <c r="ADG52" s="8">
        <v>0</v>
      </c>
      <c r="ADH52" s="8">
        <v>0</v>
      </c>
      <c r="ADI52" s="8">
        <v>0</v>
      </c>
      <c r="ADJ52" s="8">
        <v>0</v>
      </c>
      <c r="ADK52" s="8">
        <v>0</v>
      </c>
      <c r="ADL52" s="8">
        <v>0</v>
      </c>
      <c r="ADM52" s="8">
        <v>0</v>
      </c>
      <c r="ADN52" s="8">
        <v>0</v>
      </c>
      <c r="ADO52" s="8">
        <v>0</v>
      </c>
      <c r="ADP52" s="8">
        <v>0</v>
      </c>
      <c r="ADQ52" s="8">
        <v>0</v>
      </c>
      <c r="ADR52" s="8">
        <v>0</v>
      </c>
      <c r="ADS52" s="8">
        <v>0</v>
      </c>
      <c r="ADT52" s="8">
        <v>0</v>
      </c>
      <c r="ADU52" s="8">
        <v>0</v>
      </c>
      <c r="ADV52" s="8">
        <v>0</v>
      </c>
      <c r="ADW52" s="8">
        <v>0</v>
      </c>
      <c r="ADX52" s="8">
        <v>0</v>
      </c>
      <c r="ADY52" s="8">
        <v>0</v>
      </c>
      <c r="ADZ52" s="8">
        <v>0</v>
      </c>
      <c r="AEA52" s="8">
        <v>0</v>
      </c>
      <c r="AEB52" s="8">
        <v>0</v>
      </c>
      <c r="AEC52" s="8">
        <v>0</v>
      </c>
      <c r="AED52" s="8">
        <v>0</v>
      </c>
      <c r="AEE52" s="8">
        <v>0</v>
      </c>
      <c r="AEF52" s="8">
        <v>0</v>
      </c>
      <c r="AEG52" s="8">
        <v>0</v>
      </c>
      <c r="AEH52" s="8">
        <v>0</v>
      </c>
      <c r="AEI52" s="8">
        <v>0</v>
      </c>
      <c r="AEJ52" s="8">
        <v>0</v>
      </c>
      <c r="AEK52" s="8">
        <v>0</v>
      </c>
      <c r="AEL52" s="8">
        <v>0</v>
      </c>
      <c r="AEM52" s="8">
        <v>0</v>
      </c>
      <c r="AEN52" s="8">
        <v>0</v>
      </c>
      <c r="AEO52" s="8">
        <v>0</v>
      </c>
      <c r="AEP52" s="8">
        <v>0</v>
      </c>
      <c r="AEQ52" s="8">
        <v>0</v>
      </c>
      <c r="AER52" s="8">
        <v>0</v>
      </c>
      <c r="AES52" s="8">
        <v>0</v>
      </c>
      <c r="AET52" s="8">
        <v>0</v>
      </c>
      <c r="AEU52" s="8">
        <v>0</v>
      </c>
      <c r="AEV52" s="8">
        <v>0</v>
      </c>
      <c r="AEW52" s="8">
        <v>0</v>
      </c>
      <c r="AEX52" s="8">
        <v>0</v>
      </c>
      <c r="AEY52" s="8">
        <v>0</v>
      </c>
      <c r="AEZ52" s="8">
        <v>0</v>
      </c>
      <c r="AFA52" s="8">
        <v>0</v>
      </c>
      <c r="AFB52" s="8">
        <v>0</v>
      </c>
      <c r="AFC52" s="8">
        <v>0</v>
      </c>
      <c r="AFD52" s="8">
        <v>0</v>
      </c>
      <c r="AFE52" s="8">
        <v>0</v>
      </c>
      <c r="AFF52" s="8">
        <v>0</v>
      </c>
      <c r="AFG52" s="8">
        <v>0</v>
      </c>
      <c r="AFH52" s="8">
        <v>0</v>
      </c>
      <c r="AFI52" s="8">
        <v>0</v>
      </c>
      <c r="AFJ52" s="8">
        <v>0</v>
      </c>
      <c r="AFK52" s="8">
        <v>0</v>
      </c>
      <c r="AFL52" s="8">
        <v>0</v>
      </c>
      <c r="AFM52" s="8">
        <v>0</v>
      </c>
      <c r="AFN52" s="8">
        <v>0</v>
      </c>
      <c r="AFO52" s="8">
        <v>0</v>
      </c>
      <c r="AFP52" s="8">
        <v>0</v>
      </c>
      <c r="AFQ52" s="8">
        <v>0</v>
      </c>
      <c r="AFR52" s="8">
        <v>0</v>
      </c>
      <c r="AFS52" s="8">
        <v>0</v>
      </c>
      <c r="AFT52" s="8">
        <v>0</v>
      </c>
      <c r="AFU52" s="8">
        <v>0</v>
      </c>
      <c r="AFV52" s="8">
        <v>0</v>
      </c>
      <c r="AFW52" s="8">
        <v>0</v>
      </c>
      <c r="AFX52" s="8">
        <v>0</v>
      </c>
      <c r="AFY52" s="8">
        <v>0</v>
      </c>
      <c r="AFZ52" s="8">
        <v>0</v>
      </c>
      <c r="AGA52" s="8">
        <v>0</v>
      </c>
      <c r="AGB52" s="8">
        <v>0</v>
      </c>
      <c r="AGC52" s="8">
        <v>0</v>
      </c>
      <c r="AGD52" s="8">
        <v>0</v>
      </c>
      <c r="AGE52" s="8">
        <v>0</v>
      </c>
      <c r="AGF52" s="8">
        <v>0</v>
      </c>
      <c r="AGG52" s="8">
        <v>0</v>
      </c>
      <c r="AGH52" s="8">
        <v>0</v>
      </c>
      <c r="AGI52" s="8">
        <v>0</v>
      </c>
      <c r="AGJ52" s="8">
        <v>0</v>
      </c>
      <c r="AGK52" s="8">
        <v>0</v>
      </c>
      <c r="AGL52" s="8">
        <v>0</v>
      </c>
      <c r="AGM52" s="8">
        <v>0</v>
      </c>
      <c r="AGN52" s="8">
        <v>0</v>
      </c>
      <c r="AGO52" s="8">
        <v>0</v>
      </c>
      <c r="AGP52" s="8">
        <v>0</v>
      </c>
      <c r="AGQ52" s="8">
        <v>0</v>
      </c>
      <c r="AGR52" s="8">
        <v>0</v>
      </c>
      <c r="AGS52" s="8">
        <v>0</v>
      </c>
      <c r="AGT52" s="8">
        <v>0</v>
      </c>
      <c r="AGU52" s="8">
        <v>0</v>
      </c>
      <c r="AGV52" s="8">
        <v>0</v>
      </c>
      <c r="AGW52" s="8">
        <v>0</v>
      </c>
      <c r="AGX52" s="8">
        <v>0</v>
      </c>
      <c r="AGY52" s="8">
        <v>0</v>
      </c>
      <c r="AGZ52" s="8">
        <v>0</v>
      </c>
      <c r="AHA52" s="8">
        <v>0</v>
      </c>
      <c r="AHB52" s="8">
        <v>0</v>
      </c>
      <c r="AHC52" s="8">
        <v>0</v>
      </c>
      <c r="AHD52" s="8">
        <v>0</v>
      </c>
      <c r="AHE52" s="8">
        <v>0</v>
      </c>
      <c r="AHF52" s="8">
        <v>0</v>
      </c>
      <c r="AHG52" s="8">
        <v>0</v>
      </c>
      <c r="AHH52" s="8">
        <v>0</v>
      </c>
      <c r="AHI52" s="8">
        <v>0</v>
      </c>
      <c r="AHJ52" s="8">
        <v>0</v>
      </c>
      <c r="AHK52" s="8">
        <v>0</v>
      </c>
      <c r="AHL52" s="8">
        <v>0</v>
      </c>
      <c r="AHM52" s="8">
        <v>0</v>
      </c>
      <c r="AHN52" s="8">
        <v>0</v>
      </c>
      <c r="AHO52" s="8">
        <v>0</v>
      </c>
      <c r="AHP52" s="8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 t="e">
        <v>#N/A</v>
      </c>
      <c r="AIJ52" t="e">
        <v>#N/A</v>
      </c>
      <c r="AIK52" t="e">
        <v>#N/A</v>
      </c>
      <c r="AIL52" t="e">
        <v>#N/A</v>
      </c>
      <c r="AIM52" t="e">
        <v>#N/A</v>
      </c>
      <c r="AIN52" t="e">
        <v>#N/A</v>
      </c>
      <c r="AIO52" t="e">
        <v>#N/A</v>
      </c>
      <c r="AIP52" t="e">
        <v>#N/A</v>
      </c>
      <c r="AIQ52" t="e">
        <v>#N/A</v>
      </c>
      <c r="AIR52" t="e">
        <v>#N/A</v>
      </c>
      <c r="AIS52" t="e">
        <v>#N/A</v>
      </c>
      <c r="AIT52" t="e">
        <v>#N/A</v>
      </c>
      <c r="AIU52" t="e">
        <v>#N/A</v>
      </c>
      <c r="AIV52" t="e">
        <v>#N/A</v>
      </c>
      <c r="AIW52" t="e">
        <v>#N/A</v>
      </c>
      <c r="AIX52" t="e">
        <v>#N/A</v>
      </c>
      <c r="AIY52" t="e">
        <v>#N/A</v>
      </c>
      <c r="AIZ52" t="e">
        <v>#N/A</v>
      </c>
      <c r="AJA52" t="e">
        <v>#N/A</v>
      </c>
      <c r="AJB52" t="e">
        <v>#N/A</v>
      </c>
      <c r="AJC52" t="e">
        <v>#N/A</v>
      </c>
      <c r="AJD52" t="e">
        <v>#N/A</v>
      </c>
      <c r="AJE52" t="e">
        <v>#N/A</v>
      </c>
      <c r="AJF52" t="e">
        <v>#N/A</v>
      </c>
      <c r="AJG52" t="e">
        <v>#N/A</v>
      </c>
      <c r="AJH52" t="e">
        <v>#N/A</v>
      </c>
      <c r="AJI52" t="e">
        <v>#N/A</v>
      </c>
      <c r="AJJ52" t="e">
        <v>#N/A</v>
      </c>
      <c r="AJK52" t="e">
        <v>#N/A</v>
      </c>
      <c r="AJL52" t="e">
        <v>#N/A</v>
      </c>
      <c r="AJM52" t="e">
        <v>#N/A</v>
      </c>
      <c r="AJN52" t="e">
        <v>#N/A</v>
      </c>
      <c r="AJO52" t="e">
        <v>#N/A</v>
      </c>
      <c r="AJP52" t="e">
        <v>#N/A</v>
      </c>
      <c r="AJQ52" t="e">
        <v>#N/A</v>
      </c>
      <c r="AJR52" t="e">
        <v>#N/A</v>
      </c>
      <c r="AJS52" t="e">
        <v>#N/A</v>
      </c>
      <c r="AJT52" t="e">
        <v>#N/A</v>
      </c>
      <c r="AJU52" t="e">
        <v>#N/A</v>
      </c>
      <c r="AJV52" t="e">
        <v>#N/A</v>
      </c>
      <c r="AJW52" t="e">
        <v>#N/A</v>
      </c>
      <c r="AJX52" t="e">
        <v>#N/A</v>
      </c>
      <c r="AJY52" t="e">
        <v>#N/A</v>
      </c>
      <c r="AJZ52" t="e">
        <v>#N/A</v>
      </c>
      <c r="AKA52" t="e">
        <v>#N/A</v>
      </c>
      <c r="AKB52" t="e">
        <v>#N/A</v>
      </c>
      <c r="AKC52" t="e">
        <v>#N/A</v>
      </c>
      <c r="AKD52" t="e">
        <v>#N/A</v>
      </c>
      <c r="AKE52" t="e">
        <v>#N/A</v>
      </c>
      <c r="AKF52" t="e">
        <v>#N/A</v>
      </c>
      <c r="AKG52" t="e">
        <v>#N/A</v>
      </c>
      <c r="AKH52" t="e">
        <v>#N/A</v>
      </c>
      <c r="AKI52" t="e">
        <v>#N/A</v>
      </c>
      <c r="AKJ52" t="e">
        <v>#N/A</v>
      </c>
      <c r="AKK52" t="e">
        <v>#N/A</v>
      </c>
      <c r="AKL52" t="e">
        <v>#N/A</v>
      </c>
      <c r="AKM52" t="e">
        <v>#N/A</v>
      </c>
      <c r="AKN52" t="e">
        <v>#N/A</v>
      </c>
      <c r="AKO52" t="e">
        <v>#N/A</v>
      </c>
      <c r="AKP52" t="e">
        <v>#N/A</v>
      </c>
      <c r="AKQ52" t="e">
        <v>#N/A</v>
      </c>
      <c r="AKR52" t="e">
        <v>#N/A</v>
      </c>
      <c r="AKS52" t="e">
        <v>#N/A</v>
      </c>
      <c r="AKT52" t="e">
        <v>#N/A</v>
      </c>
      <c r="AKU52" t="e">
        <v>#N/A</v>
      </c>
      <c r="AKV52" t="e">
        <v>#N/A</v>
      </c>
      <c r="AKW52" t="e">
        <v>#N/A</v>
      </c>
      <c r="AKX52" t="e">
        <v>#N/A</v>
      </c>
      <c r="AKY52" t="e">
        <v>#N/A</v>
      </c>
      <c r="AKZ52" t="e">
        <v>#N/A</v>
      </c>
      <c r="ALA52" t="e">
        <v>#N/A</v>
      </c>
      <c r="ALB52" t="e">
        <v>#N/A</v>
      </c>
      <c r="ALC52" t="e">
        <v>#N/A</v>
      </c>
      <c r="ALD52" t="e">
        <v>#N/A</v>
      </c>
      <c r="ALE52" t="e">
        <v>#N/A</v>
      </c>
      <c r="ALF52" t="e">
        <v>#N/A</v>
      </c>
      <c r="ALG52" t="e">
        <v>#N/A</v>
      </c>
      <c r="ALH52" t="e">
        <v>#N/A</v>
      </c>
      <c r="ALI52" t="e">
        <v>#N/A</v>
      </c>
      <c r="ALJ52" t="e">
        <v>#N/A</v>
      </c>
      <c r="ALK52" t="e">
        <v>#N/A</v>
      </c>
      <c r="ALL52" t="e">
        <v>#N/A</v>
      </c>
      <c r="ALM52" t="e">
        <v>#N/A</v>
      </c>
      <c r="ALN52" t="e">
        <v>#N/A</v>
      </c>
      <c r="ALO52" t="e">
        <v>#N/A</v>
      </c>
      <c r="ALP52" t="e">
        <v>#N/A</v>
      </c>
      <c r="ALQ52" t="e">
        <v>#N/A</v>
      </c>
      <c r="ALR52" t="e">
        <v>#N/A</v>
      </c>
      <c r="ALS52" t="e">
        <v>#N/A</v>
      </c>
      <c r="ALT52" t="e">
        <v>#N/A</v>
      </c>
      <c r="ALU52" t="e">
        <v>#N/A</v>
      </c>
      <c r="ALV52" t="e">
        <v>#N/A</v>
      </c>
      <c r="ALW52" t="e">
        <v>#N/A</v>
      </c>
      <c r="ALX52" t="e">
        <v>#N/A</v>
      </c>
      <c r="ALY52" t="e">
        <v>#N/A</v>
      </c>
      <c r="ALZ52" t="e">
        <v>#N/A</v>
      </c>
      <c r="AMA52" t="e">
        <v>#N/A</v>
      </c>
      <c r="AMB52" t="e">
        <v>#N/A</v>
      </c>
      <c r="AMC52" t="e">
        <v>#N/A</v>
      </c>
      <c r="AMD52" t="e">
        <v>#N/A</v>
      </c>
      <c r="AME52" t="e">
        <v>#N/A</v>
      </c>
      <c r="AMF52" t="e">
        <v>#N/A</v>
      </c>
      <c r="AMG52" t="e">
        <v>#N/A</v>
      </c>
      <c r="AMH52" t="e">
        <v>#N/A</v>
      </c>
    </row>
    <row r="53" spans="1:1022" ht="15.75" customHeight="1">
      <c r="A53" s="8">
        <v>0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0</v>
      </c>
      <c r="KH53" s="8">
        <v>0</v>
      </c>
      <c r="KI53" s="8">
        <v>0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0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0</v>
      </c>
      <c r="LY53" s="8">
        <v>0</v>
      </c>
      <c r="LZ53" s="8">
        <v>0</v>
      </c>
      <c r="MA53" s="8">
        <v>0</v>
      </c>
      <c r="MB53" s="8">
        <v>0</v>
      </c>
      <c r="MC53" s="8">
        <v>0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0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0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8">
        <v>0</v>
      </c>
      <c r="TK53" s="8">
        <v>0</v>
      </c>
      <c r="TL53" s="8">
        <v>0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8">
        <v>0</v>
      </c>
      <c r="UF53" s="8">
        <v>0</v>
      </c>
      <c r="UG53" s="8">
        <v>0</v>
      </c>
      <c r="UH53" s="8">
        <v>0</v>
      </c>
      <c r="UI53" s="8">
        <v>0</v>
      </c>
      <c r="UJ53" s="8">
        <v>0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8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8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8">
        <v>0</v>
      </c>
      <c r="VH53" s="8">
        <v>0</v>
      </c>
      <c r="VI53" s="8">
        <v>0</v>
      </c>
      <c r="VJ53" s="8">
        <v>0</v>
      </c>
      <c r="VK53" s="8">
        <v>0</v>
      </c>
      <c r="VL53" s="8">
        <v>0</v>
      </c>
      <c r="VM53" s="8">
        <v>0</v>
      </c>
      <c r="VN53" s="8">
        <v>0</v>
      </c>
      <c r="VO53" s="8">
        <v>0</v>
      </c>
      <c r="VP53" s="8">
        <v>0</v>
      </c>
      <c r="VQ53" s="8">
        <v>0</v>
      </c>
      <c r="VR53" s="8">
        <v>0</v>
      </c>
      <c r="VS53" s="8">
        <v>0</v>
      </c>
      <c r="VT53" s="8">
        <v>0</v>
      </c>
      <c r="VU53" s="8">
        <v>0</v>
      </c>
      <c r="VV53" s="8">
        <v>0</v>
      </c>
      <c r="VW53" s="8">
        <v>0</v>
      </c>
      <c r="VX53" s="8">
        <v>0</v>
      </c>
      <c r="VY53" s="8">
        <v>0</v>
      </c>
      <c r="VZ53" s="8">
        <v>0</v>
      </c>
      <c r="WA53" s="8">
        <v>0</v>
      </c>
      <c r="WB53" s="8">
        <v>0</v>
      </c>
      <c r="WC53" s="8">
        <v>0</v>
      </c>
      <c r="WD53" s="8">
        <v>0</v>
      </c>
      <c r="WE53" s="8">
        <v>0</v>
      </c>
      <c r="WF53" s="8">
        <v>0</v>
      </c>
      <c r="WG53" s="8">
        <v>0</v>
      </c>
      <c r="WH53" s="8">
        <v>0</v>
      </c>
      <c r="WI53" s="8">
        <v>0</v>
      </c>
      <c r="WJ53" s="8">
        <v>0</v>
      </c>
      <c r="WK53" s="8">
        <v>0</v>
      </c>
      <c r="WL53" s="8">
        <v>0</v>
      </c>
      <c r="WM53" s="8">
        <v>0</v>
      </c>
      <c r="WN53" s="8">
        <v>0</v>
      </c>
      <c r="WO53" s="8">
        <v>0</v>
      </c>
      <c r="WP53" s="8">
        <v>0</v>
      </c>
      <c r="WQ53" s="8">
        <v>0</v>
      </c>
      <c r="WR53" s="8">
        <v>0</v>
      </c>
      <c r="WS53" s="8">
        <v>0</v>
      </c>
      <c r="WT53" s="8">
        <v>0</v>
      </c>
      <c r="WU53" s="8">
        <v>0</v>
      </c>
      <c r="WV53" s="8">
        <v>0</v>
      </c>
      <c r="WW53" s="8">
        <v>0</v>
      </c>
      <c r="WX53" s="8">
        <v>0</v>
      </c>
      <c r="WY53" s="8">
        <v>0</v>
      </c>
      <c r="WZ53" s="8">
        <v>0</v>
      </c>
      <c r="XA53" s="8">
        <v>0</v>
      </c>
      <c r="XB53" s="8">
        <v>0</v>
      </c>
      <c r="XC53" s="8">
        <v>0</v>
      </c>
      <c r="XD53" s="8">
        <v>0</v>
      </c>
      <c r="XE53" s="8">
        <v>0</v>
      </c>
      <c r="XF53" s="8">
        <v>0</v>
      </c>
      <c r="XG53" s="8">
        <v>0</v>
      </c>
      <c r="XH53" s="8">
        <v>0</v>
      </c>
      <c r="XI53" s="8">
        <v>0</v>
      </c>
      <c r="XJ53" s="8">
        <v>0</v>
      </c>
      <c r="XK53" s="8">
        <v>0</v>
      </c>
      <c r="XL53" s="8">
        <v>0</v>
      </c>
      <c r="XM53" s="8">
        <v>0</v>
      </c>
      <c r="XN53" s="8">
        <v>0</v>
      </c>
      <c r="XO53" s="8">
        <v>0</v>
      </c>
      <c r="XP53" s="8">
        <v>0</v>
      </c>
      <c r="XQ53" s="8">
        <v>0</v>
      </c>
      <c r="XR53" s="8">
        <v>0</v>
      </c>
      <c r="XS53" s="8">
        <v>0</v>
      </c>
      <c r="XT53" s="8">
        <v>0</v>
      </c>
      <c r="XU53" s="8">
        <v>0</v>
      </c>
      <c r="XV53" s="8">
        <v>0</v>
      </c>
      <c r="XW53" s="8">
        <v>0</v>
      </c>
      <c r="XX53" s="8">
        <v>0</v>
      </c>
      <c r="XY53" s="8">
        <v>0</v>
      </c>
      <c r="XZ53" s="8">
        <v>0</v>
      </c>
      <c r="YA53" s="8">
        <v>0</v>
      </c>
      <c r="YB53" s="8">
        <v>0</v>
      </c>
      <c r="YC53" s="8">
        <v>0</v>
      </c>
      <c r="YD53" s="8">
        <v>0</v>
      </c>
      <c r="YE53" s="8">
        <v>0</v>
      </c>
      <c r="YF53" s="8">
        <v>0</v>
      </c>
      <c r="YG53" s="8">
        <v>0</v>
      </c>
      <c r="YH53" s="8">
        <v>0</v>
      </c>
      <c r="YI53" s="8">
        <v>0</v>
      </c>
      <c r="YJ53" s="8">
        <v>0</v>
      </c>
      <c r="YK53" s="8">
        <v>0</v>
      </c>
      <c r="YL53" s="8">
        <v>0</v>
      </c>
      <c r="YM53" s="8">
        <v>0</v>
      </c>
      <c r="YN53" s="8">
        <v>0</v>
      </c>
      <c r="YO53" s="8">
        <v>0</v>
      </c>
      <c r="YP53" s="8">
        <v>0</v>
      </c>
      <c r="YQ53" s="8">
        <v>0</v>
      </c>
      <c r="YR53" s="8">
        <v>0</v>
      </c>
      <c r="YS53" s="8">
        <v>0</v>
      </c>
      <c r="YT53" s="8">
        <v>0</v>
      </c>
      <c r="YU53" s="8">
        <v>0</v>
      </c>
      <c r="YV53" s="8">
        <v>0</v>
      </c>
      <c r="YW53" s="8">
        <v>0</v>
      </c>
      <c r="YX53" s="8">
        <v>0</v>
      </c>
      <c r="YY53" s="8">
        <v>0</v>
      </c>
      <c r="YZ53" s="8">
        <v>0</v>
      </c>
      <c r="ZA53" s="8">
        <v>0</v>
      </c>
      <c r="ZB53" s="8">
        <v>0</v>
      </c>
      <c r="ZC53" s="8">
        <v>0</v>
      </c>
      <c r="ZD53" s="8">
        <v>0</v>
      </c>
      <c r="ZE53" s="8">
        <v>0</v>
      </c>
      <c r="ZF53" s="8">
        <v>0</v>
      </c>
      <c r="ZG53" s="8">
        <v>0</v>
      </c>
      <c r="ZH53" s="8">
        <v>0</v>
      </c>
      <c r="ZI53" s="8">
        <v>0</v>
      </c>
      <c r="ZJ53" s="8">
        <v>0</v>
      </c>
      <c r="ZK53" s="8">
        <v>0</v>
      </c>
      <c r="ZL53" s="8">
        <v>0</v>
      </c>
      <c r="ZM53" s="8">
        <v>0</v>
      </c>
      <c r="ZN53" s="8">
        <v>0</v>
      </c>
      <c r="ZO53" s="8">
        <v>0</v>
      </c>
      <c r="ZP53" s="8">
        <v>0</v>
      </c>
      <c r="ZQ53" s="8">
        <v>0</v>
      </c>
      <c r="ZR53" s="8">
        <v>0</v>
      </c>
      <c r="ZS53" s="8">
        <v>0</v>
      </c>
      <c r="ZT53" s="8">
        <v>0</v>
      </c>
      <c r="ZU53" s="8">
        <v>0</v>
      </c>
      <c r="ZV53" s="8">
        <v>0</v>
      </c>
      <c r="ZW53" s="8">
        <v>0</v>
      </c>
      <c r="ZX53" s="8">
        <v>0</v>
      </c>
      <c r="ZY53" s="8">
        <v>0</v>
      </c>
      <c r="ZZ53" s="8">
        <v>0</v>
      </c>
      <c r="AAA53" s="8">
        <v>0</v>
      </c>
      <c r="AAB53" s="8">
        <v>0</v>
      </c>
      <c r="AAC53" s="8">
        <v>0</v>
      </c>
      <c r="AAD53" s="8">
        <v>0</v>
      </c>
      <c r="AAE53" s="8">
        <v>0</v>
      </c>
      <c r="AAF53" s="8">
        <v>0</v>
      </c>
      <c r="AAG53" s="8">
        <v>0</v>
      </c>
      <c r="AAH53" s="8">
        <v>0</v>
      </c>
      <c r="AAI53" s="8">
        <v>0</v>
      </c>
      <c r="AAJ53" s="8">
        <v>0</v>
      </c>
      <c r="AAK53" s="8">
        <v>0</v>
      </c>
      <c r="AAL53" s="8">
        <v>0</v>
      </c>
      <c r="AAM53" s="8">
        <v>0</v>
      </c>
      <c r="AAN53" s="8">
        <v>0</v>
      </c>
      <c r="AAO53" s="8">
        <v>0</v>
      </c>
      <c r="AAP53" s="8">
        <v>0</v>
      </c>
      <c r="AAQ53" s="8">
        <v>0</v>
      </c>
      <c r="AAR53" s="8">
        <v>0</v>
      </c>
      <c r="AAS53" s="8">
        <v>0</v>
      </c>
      <c r="AAT53" s="8">
        <v>0</v>
      </c>
      <c r="AAU53" s="8">
        <v>0</v>
      </c>
      <c r="AAV53" s="8">
        <v>0</v>
      </c>
      <c r="AAW53" s="8">
        <v>0</v>
      </c>
      <c r="AAX53" s="8">
        <v>0</v>
      </c>
      <c r="AAY53" s="8">
        <v>0</v>
      </c>
      <c r="AAZ53" s="8">
        <v>0</v>
      </c>
      <c r="ABA53" s="8">
        <v>0</v>
      </c>
      <c r="ABB53" s="8">
        <v>0</v>
      </c>
      <c r="ABC53" s="8">
        <v>0</v>
      </c>
      <c r="ABD53" s="8">
        <v>0</v>
      </c>
      <c r="ABE53" s="8">
        <v>0</v>
      </c>
      <c r="ABF53" s="8">
        <v>0</v>
      </c>
      <c r="ABG53" s="8">
        <v>0</v>
      </c>
      <c r="ABH53" s="8">
        <v>0</v>
      </c>
      <c r="ABI53" s="8">
        <v>0</v>
      </c>
      <c r="ABJ53" s="8">
        <v>0</v>
      </c>
      <c r="ABK53" s="8">
        <v>0</v>
      </c>
      <c r="ABL53" s="8">
        <v>0</v>
      </c>
      <c r="ABM53" s="8">
        <v>0</v>
      </c>
      <c r="ABN53" s="8">
        <v>0</v>
      </c>
      <c r="ABO53" s="8">
        <v>0</v>
      </c>
      <c r="ABP53" s="8">
        <v>0</v>
      </c>
      <c r="ABQ53" s="8">
        <v>0</v>
      </c>
      <c r="ABR53" s="8">
        <v>0</v>
      </c>
      <c r="ABS53" s="8">
        <v>0</v>
      </c>
      <c r="ABT53" s="8">
        <v>0</v>
      </c>
      <c r="ABU53" s="8">
        <v>0</v>
      </c>
      <c r="ABV53" s="8">
        <v>0</v>
      </c>
      <c r="ABW53" s="8">
        <v>0</v>
      </c>
      <c r="ABX53" s="8">
        <v>0</v>
      </c>
      <c r="ABY53" s="8">
        <v>0</v>
      </c>
      <c r="ABZ53" s="8">
        <v>0</v>
      </c>
      <c r="ACA53" s="8">
        <v>0</v>
      </c>
      <c r="ACB53" s="8">
        <v>0</v>
      </c>
      <c r="ACC53" s="8">
        <v>0</v>
      </c>
      <c r="ACD53" s="8">
        <v>0</v>
      </c>
      <c r="ACE53" s="8">
        <v>0</v>
      </c>
      <c r="ACF53" s="8">
        <v>0</v>
      </c>
      <c r="ACG53" s="8">
        <v>0</v>
      </c>
      <c r="ACH53" s="8">
        <v>0</v>
      </c>
      <c r="ACI53" s="8">
        <v>0</v>
      </c>
      <c r="ACJ53" s="8">
        <v>0</v>
      </c>
      <c r="ACK53" s="8">
        <v>0</v>
      </c>
      <c r="ACL53" s="8">
        <v>0</v>
      </c>
      <c r="ACM53" s="8">
        <v>0</v>
      </c>
      <c r="ACN53" s="8">
        <v>0</v>
      </c>
      <c r="ACO53" s="8">
        <v>0</v>
      </c>
      <c r="ACP53" s="8">
        <v>0</v>
      </c>
      <c r="ACQ53" s="8">
        <v>0</v>
      </c>
      <c r="ACR53" s="8">
        <v>0</v>
      </c>
      <c r="ACS53" s="8">
        <v>0</v>
      </c>
      <c r="ACT53" s="8">
        <v>0</v>
      </c>
      <c r="ACU53" s="8">
        <v>0</v>
      </c>
      <c r="ACV53" s="8">
        <v>0</v>
      </c>
      <c r="ACW53" s="8">
        <v>0</v>
      </c>
      <c r="ACX53" s="8">
        <v>0</v>
      </c>
      <c r="ACY53" s="8">
        <v>0</v>
      </c>
      <c r="ACZ53" s="8">
        <v>0</v>
      </c>
      <c r="ADA53" s="8">
        <v>0</v>
      </c>
      <c r="ADB53" s="8">
        <v>0</v>
      </c>
      <c r="ADC53" s="8">
        <v>0</v>
      </c>
      <c r="ADD53" s="8">
        <v>0</v>
      </c>
      <c r="ADE53" s="8">
        <v>0</v>
      </c>
      <c r="ADF53" s="8">
        <v>0</v>
      </c>
      <c r="ADG53" s="8">
        <v>0</v>
      </c>
      <c r="ADH53" s="8">
        <v>0</v>
      </c>
      <c r="ADI53" s="8">
        <v>0</v>
      </c>
      <c r="ADJ53" s="8">
        <v>0</v>
      </c>
      <c r="ADK53" s="8">
        <v>0</v>
      </c>
      <c r="ADL53" s="8">
        <v>0</v>
      </c>
      <c r="ADM53" s="8">
        <v>0</v>
      </c>
      <c r="ADN53" s="8">
        <v>0</v>
      </c>
      <c r="ADO53" s="8">
        <v>0</v>
      </c>
      <c r="ADP53" s="8">
        <v>0</v>
      </c>
      <c r="ADQ53" s="8">
        <v>0</v>
      </c>
      <c r="ADR53" s="8">
        <v>0</v>
      </c>
      <c r="ADS53" s="8">
        <v>0</v>
      </c>
      <c r="ADT53" s="8">
        <v>0</v>
      </c>
      <c r="ADU53" s="8">
        <v>0</v>
      </c>
      <c r="ADV53" s="8">
        <v>0</v>
      </c>
      <c r="ADW53" s="8">
        <v>0</v>
      </c>
      <c r="ADX53" s="8">
        <v>0</v>
      </c>
      <c r="ADY53" s="8">
        <v>0</v>
      </c>
      <c r="ADZ53" s="8">
        <v>0</v>
      </c>
      <c r="AEA53" s="8">
        <v>0</v>
      </c>
      <c r="AEB53" s="8">
        <v>0</v>
      </c>
      <c r="AEC53" s="8">
        <v>0</v>
      </c>
      <c r="AED53" s="8">
        <v>0</v>
      </c>
      <c r="AEE53" s="8">
        <v>0</v>
      </c>
      <c r="AEF53" s="8">
        <v>0</v>
      </c>
      <c r="AEG53" s="8">
        <v>0</v>
      </c>
      <c r="AEH53" s="8">
        <v>0</v>
      </c>
      <c r="AEI53" s="8">
        <v>0</v>
      </c>
      <c r="AEJ53" s="8">
        <v>0</v>
      </c>
      <c r="AEK53" s="8">
        <v>0</v>
      </c>
      <c r="AEL53" s="8">
        <v>0</v>
      </c>
      <c r="AEM53" s="8">
        <v>0</v>
      </c>
      <c r="AEN53" s="8">
        <v>0</v>
      </c>
      <c r="AEO53" s="8">
        <v>0</v>
      </c>
      <c r="AEP53" s="8">
        <v>0</v>
      </c>
      <c r="AEQ53" s="8">
        <v>0</v>
      </c>
      <c r="AER53" s="8">
        <v>0</v>
      </c>
      <c r="AES53" s="8">
        <v>0</v>
      </c>
      <c r="AET53" s="8">
        <v>0</v>
      </c>
      <c r="AEU53" s="8">
        <v>0</v>
      </c>
      <c r="AEV53" s="8">
        <v>0</v>
      </c>
      <c r="AEW53" s="8">
        <v>0</v>
      </c>
      <c r="AEX53" s="8">
        <v>0</v>
      </c>
      <c r="AEY53" s="8">
        <v>0</v>
      </c>
      <c r="AEZ53" s="8">
        <v>0</v>
      </c>
      <c r="AFA53" s="8">
        <v>0</v>
      </c>
      <c r="AFB53" s="8">
        <v>0</v>
      </c>
      <c r="AFC53" s="8">
        <v>0</v>
      </c>
      <c r="AFD53" s="8">
        <v>0</v>
      </c>
      <c r="AFE53" s="8">
        <v>0</v>
      </c>
      <c r="AFF53" s="8">
        <v>0</v>
      </c>
      <c r="AFG53" s="8">
        <v>0</v>
      </c>
      <c r="AFH53" s="8">
        <v>0</v>
      </c>
      <c r="AFI53" s="8">
        <v>0</v>
      </c>
      <c r="AFJ53" s="8">
        <v>0</v>
      </c>
      <c r="AFK53" s="8">
        <v>0</v>
      </c>
      <c r="AFL53" s="8">
        <v>0</v>
      </c>
      <c r="AFM53" s="8">
        <v>0</v>
      </c>
      <c r="AFN53" s="8">
        <v>0</v>
      </c>
      <c r="AFO53" s="8">
        <v>0</v>
      </c>
      <c r="AFP53" s="8">
        <v>0</v>
      </c>
      <c r="AFQ53" s="8">
        <v>0</v>
      </c>
      <c r="AFR53" s="8">
        <v>0</v>
      </c>
      <c r="AFS53" s="8">
        <v>0</v>
      </c>
      <c r="AFT53" s="8">
        <v>0</v>
      </c>
      <c r="AFU53" s="8">
        <v>0</v>
      </c>
      <c r="AFV53" s="8">
        <v>0</v>
      </c>
      <c r="AFW53" s="8">
        <v>0</v>
      </c>
      <c r="AFX53" s="8">
        <v>0</v>
      </c>
      <c r="AFY53" s="8">
        <v>0</v>
      </c>
      <c r="AFZ53" s="8">
        <v>0</v>
      </c>
      <c r="AGA53" s="8">
        <v>0</v>
      </c>
      <c r="AGB53" s="8">
        <v>0</v>
      </c>
      <c r="AGC53" s="8">
        <v>0</v>
      </c>
      <c r="AGD53" s="8">
        <v>0</v>
      </c>
      <c r="AGE53" s="8">
        <v>0</v>
      </c>
      <c r="AGF53" s="8">
        <v>0</v>
      </c>
      <c r="AGG53" s="8">
        <v>0</v>
      </c>
      <c r="AGH53" s="8">
        <v>0</v>
      </c>
      <c r="AGI53" s="8">
        <v>0</v>
      </c>
      <c r="AGJ53" s="8">
        <v>0</v>
      </c>
      <c r="AGK53" s="8">
        <v>0</v>
      </c>
      <c r="AGL53" s="8">
        <v>0</v>
      </c>
      <c r="AGM53" s="8">
        <v>0</v>
      </c>
      <c r="AGN53" s="8">
        <v>0</v>
      </c>
      <c r="AGO53" s="8">
        <v>0</v>
      </c>
      <c r="AGP53" s="8">
        <v>0</v>
      </c>
      <c r="AGQ53" s="8">
        <v>0</v>
      </c>
      <c r="AGR53" s="8">
        <v>0</v>
      </c>
      <c r="AGS53" s="8">
        <v>0</v>
      </c>
      <c r="AGT53" s="8">
        <v>0</v>
      </c>
      <c r="AGU53" s="8">
        <v>0</v>
      </c>
      <c r="AGV53" s="8">
        <v>0</v>
      </c>
      <c r="AGW53" s="8">
        <v>0</v>
      </c>
      <c r="AGX53" s="8">
        <v>0</v>
      </c>
      <c r="AGY53" s="8">
        <v>0</v>
      </c>
      <c r="AGZ53" s="8">
        <v>0</v>
      </c>
      <c r="AHA53" s="8">
        <v>0</v>
      </c>
      <c r="AHB53" s="8">
        <v>0</v>
      </c>
      <c r="AHC53" s="8">
        <v>0</v>
      </c>
      <c r="AHD53" s="8">
        <v>0</v>
      </c>
      <c r="AHE53" s="8">
        <v>0</v>
      </c>
      <c r="AHF53" s="8">
        <v>0</v>
      </c>
      <c r="AHG53" s="8">
        <v>0</v>
      </c>
      <c r="AHH53" s="8">
        <v>0</v>
      </c>
      <c r="AHI53" s="8">
        <v>0</v>
      </c>
      <c r="AHJ53" s="8">
        <v>0</v>
      </c>
      <c r="AHK53" s="8">
        <v>0</v>
      </c>
      <c r="AHL53" s="8">
        <v>0</v>
      </c>
      <c r="AHM53" s="8">
        <v>0</v>
      </c>
      <c r="AHN53" s="8">
        <v>0</v>
      </c>
      <c r="AHO53" s="8">
        <v>0</v>
      </c>
      <c r="AHP53" s="8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 t="e">
        <v>#N/A</v>
      </c>
      <c r="AIJ53" t="e">
        <v>#N/A</v>
      </c>
      <c r="AIK53" t="e">
        <v>#N/A</v>
      </c>
      <c r="AIL53" t="e">
        <v>#N/A</v>
      </c>
      <c r="AIM53" t="e">
        <v>#N/A</v>
      </c>
      <c r="AIN53" t="e">
        <v>#N/A</v>
      </c>
      <c r="AIO53" t="e">
        <v>#N/A</v>
      </c>
      <c r="AIP53" t="e">
        <v>#N/A</v>
      </c>
      <c r="AIQ53" t="e">
        <v>#N/A</v>
      </c>
      <c r="AIR53" t="e">
        <v>#N/A</v>
      </c>
      <c r="AIS53" t="e">
        <v>#N/A</v>
      </c>
      <c r="AIT53" t="e">
        <v>#N/A</v>
      </c>
      <c r="AIU53" t="e">
        <v>#N/A</v>
      </c>
      <c r="AIV53" t="e">
        <v>#N/A</v>
      </c>
      <c r="AIW53" t="e">
        <v>#N/A</v>
      </c>
      <c r="AIX53" t="e">
        <v>#N/A</v>
      </c>
      <c r="AIY53" t="e">
        <v>#N/A</v>
      </c>
      <c r="AIZ53" t="e">
        <v>#N/A</v>
      </c>
      <c r="AJA53" t="e">
        <v>#N/A</v>
      </c>
      <c r="AJB53" t="e">
        <v>#N/A</v>
      </c>
      <c r="AJC53" t="e">
        <v>#N/A</v>
      </c>
      <c r="AJD53" t="e">
        <v>#N/A</v>
      </c>
      <c r="AJE53" t="e">
        <v>#N/A</v>
      </c>
      <c r="AJF53" t="e">
        <v>#N/A</v>
      </c>
      <c r="AJG53" t="e">
        <v>#N/A</v>
      </c>
      <c r="AJH53" t="e">
        <v>#N/A</v>
      </c>
      <c r="AJI53" t="e">
        <v>#N/A</v>
      </c>
      <c r="AJJ53" t="e">
        <v>#N/A</v>
      </c>
      <c r="AJK53" t="e">
        <v>#N/A</v>
      </c>
      <c r="AJL53" t="e">
        <v>#N/A</v>
      </c>
      <c r="AJM53" t="e">
        <v>#N/A</v>
      </c>
      <c r="AJN53" t="e">
        <v>#N/A</v>
      </c>
      <c r="AJO53" t="e">
        <v>#N/A</v>
      </c>
      <c r="AJP53" t="e">
        <v>#N/A</v>
      </c>
      <c r="AJQ53" t="e">
        <v>#N/A</v>
      </c>
      <c r="AJR53" t="e">
        <v>#N/A</v>
      </c>
      <c r="AJS53" t="e">
        <v>#N/A</v>
      </c>
      <c r="AJT53" t="e">
        <v>#N/A</v>
      </c>
      <c r="AJU53" t="e">
        <v>#N/A</v>
      </c>
      <c r="AJV53" t="e">
        <v>#N/A</v>
      </c>
      <c r="AJW53" t="e">
        <v>#N/A</v>
      </c>
      <c r="AJX53" t="e">
        <v>#N/A</v>
      </c>
      <c r="AJY53" t="e">
        <v>#N/A</v>
      </c>
      <c r="AJZ53" t="e">
        <v>#N/A</v>
      </c>
      <c r="AKA53" t="e">
        <v>#N/A</v>
      </c>
      <c r="AKB53" t="e">
        <v>#N/A</v>
      </c>
      <c r="AKC53" t="e">
        <v>#N/A</v>
      </c>
      <c r="AKD53" t="e">
        <v>#N/A</v>
      </c>
      <c r="AKE53" t="e">
        <v>#N/A</v>
      </c>
      <c r="AKF53" t="e">
        <v>#N/A</v>
      </c>
      <c r="AKG53" t="e">
        <v>#N/A</v>
      </c>
      <c r="AKH53" t="e">
        <v>#N/A</v>
      </c>
      <c r="AKI53" t="e">
        <v>#N/A</v>
      </c>
      <c r="AKJ53" t="e">
        <v>#N/A</v>
      </c>
      <c r="AKK53" t="e">
        <v>#N/A</v>
      </c>
      <c r="AKL53" t="e">
        <v>#N/A</v>
      </c>
      <c r="AKM53" t="e">
        <v>#N/A</v>
      </c>
      <c r="AKN53" t="e">
        <v>#N/A</v>
      </c>
      <c r="AKO53" t="e">
        <v>#N/A</v>
      </c>
      <c r="AKP53" t="e">
        <v>#N/A</v>
      </c>
      <c r="AKQ53" t="e">
        <v>#N/A</v>
      </c>
      <c r="AKR53" t="e">
        <v>#N/A</v>
      </c>
      <c r="AKS53" t="e">
        <v>#N/A</v>
      </c>
      <c r="AKT53" t="e">
        <v>#N/A</v>
      </c>
      <c r="AKU53" t="e">
        <v>#N/A</v>
      </c>
      <c r="AKV53" t="e">
        <v>#N/A</v>
      </c>
      <c r="AKW53" t="e">
        <v>#N/A</v>
      </c>
      <c r="AKX53" t="e">
        <v>#N/A</v>
      </c>
      <c r="AKY53" t="e">
        <v>#N/A</v>
      </c>
      <c r="AKZ53" t="e">
        <v>#N/A</v>
      </c>
      <c r="ALA53" t="e">
        <v>#N/A</v>
      </c>
      <c r="ALB53" t="e">
        <v>#N/A</v>
      </c>
      <c r="ALC53" t="e">
        <v>#N/A</v>
      </c>
      <c r="ALD53" t="e">
        <v>#N/A</v>
      </c>
      <c r="ALE53" t="e">
        <v>#N/A</v>
      </c>
      <c r="ALF53" t="e">
        <v>#N/A</v>
      </c>
      <c r="ALG53" t="e">
        <v>#N/A</v>
      </c>
      <c r="ALH53" t="e">
        <v>#N/A</v>
      </c>
      <c r="ALI53" t="e">
        <v>#N/A</v>
      </c>
      <c r="ALJ53" t="e">
        <v>#N/A</v>
      </c>
      <c r="ALK53" t="e">
        <v>#N/A</v>
      </c>
      <c r="ALL53" t="e">
        <v>#N/A</v>
      </c>
      <c r="ALM53" t="e">
        <v>#N/A</v>
      </c>
      <c r="ALN53" t="e">
        <v>#N/A</v>
      </c>
      <c r="ALO53" t="e">
        <v>#N/A</v>
      </c>
      <c r="ALP53" t="e">
        <v>#N/A</v>
      </c>
      <c r="ALQ53" t="e">
        <v>#N/A</v>
      </c>
      <c r="ALR53" t="e">
        <v>#N/A</v>
      </c>
      <c r="ALS53" t="e">
        <v>#N/A</v>
      </c>
      <c r="ALT53" t="e">
        <v>#N/A</v>
      </c>
      <c r="ALU53" t="e">
        <v>#N/A</v>
      </c>
      <c r="ALV53" t="e">
        <v>#N/A</v>
      </c>
      <c r="ALW53" t="e">
        <v>#N/A</v>
      </c>
      <c r="ALX53" t="e">
        <v>#N/A</v>
      </c>
      <c r="ALY53" t="e">
        <v>#N/A</v>
      </c>
      <c r="ALZ53" t="e">
        <v>#N/A</v>
      </c>
      <c r="AMA53" t="e">
        <v>#N/A</v>
      </c>
      <c r="AMB53" t="e">
        <v>#N/A</v>
      </c>
      <c r="AMC53" t="e">
        <v>#N/A</v>
      </c>
      <c r="AMD53" t="e">
        <v>#N/A</v>
      </c>
      <c r="AME53" t="e">
        <v>#N/A</v>
      </c>
      <c r="AMF53" t="e">
        <v>#N/A</v>
      </c>
      <c r="AMG53" t="e">
        <v>#N/A</v>
      </c>
      <c r="AMH53" t="e">
        <v>#N/A</v>
      </c>
    </row>
    <row r="54" spans="1:1022" ht="15.75" customHeight="1">
      <c r="A54" s="8">
        <v>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</v>
      </c>
      <c r="IZ54" s="8">
        <v>0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</v>
      </c>
      <c r="JM54" s="8">
        <v>0</v>
      </c>
      <c r="JN54" s="8">
        <v>0</v>
      </c>
      <c r="JO54" s="8">
        <v>0</v>
      </c>
      <c r="JP54" s="8">
        <v>0</v>
      </c>
      <c r="JQ54" s="8">
        <v>0</v>
      </c>
      <c r="JR54" s="8">
        <v>0</v>
      </c>
      <c r="JS54" s="8">
        <v>0</v>
      </c>
      <c r="JT54" s="8">
        <v>0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0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</v>
      </c>
      <c r="KQ54" s="8">
        <v>0</v>
      </c>
      <c r="KR54" s="8">
        <v>0</v>
      </c>
      <c r="KS54" s="8">
        <v>0</v>
      </c>
      <c r="KT54" s="8">
        <v>0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0</v>
      </c>
      <c r="LY54" s="8">
        <v>0</v>
      </c>
      <c r="LZ54" s="8">
        <v>0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</v>
      </c>
      <c r="OC54" s="8">
        <v>0</v>
      </c>
      <c r="OD54" s="8">
        <v>0</v>
      </c>
      <c r="OE54" s="8">
        <v>0</v>
      </c>
      <c r="OF54" s="8">
        <v>0</v>
      </c>
      <c r="OG54" s="8">
        <v>0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</v>
      </c>
      <c r="OO54" s="8">
        <v>0</v>
      </c>
      <c r="OP54" s="8">
        <v>0</v>
      </c>
      <c r="OQ54" s="8">
        <v>0</v>
      </c>
      <c r="OR54" s="8">
        <v>0</v>
      </c>
      <c r="OS54" s="8">
        <v>0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0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</v>
      </c>
      <c r="PT54" s="8">
        <v>0</v>
      </c>
      <c r="PU54" s="8">
        <v>0</v>
      </c>
      <c r="PV54" s="8">
        <v>0</v>
      </c>
      <c r="PW54" s="8">
        <v>0</v>
      </c>
      <c r="PX54" s="8">
        <v>0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</v>
      </c>
      <c r="QF54" s="8">
        <v>0</v>
      </c>
      <c r="QG54" s="8">
        <v>0</v>
      </c>
      <c r="QH54" s="8">
        <v>0</v>
      </c>
      <c r="QI54" s="8">
        <v>0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0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0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</v>
      </c>
      <c r="SL54" s="8">
        <v>0</v>
      </c>
      <c r="SM54" s="8">
        <v>0</v>
      </c>
      <c r="SN54" s="8">
        <v>0</v>
      </c>
      <c r="SO54" s="8">
        <v>0</v>
      </c>
      <c r="SP54" s="8">
        <v>0</v>
      </c>
      <c r="SQ54" s="8">
        <v>0</v>
      </c>
      <c r="SR54" s="8">
        <v>0</v>
      </c>
      <c r="SS54" s="8">
        <v>0</v>
      </c>
      <c r="ST54" s="8">
        <v>0</v>
      </c>
      <c r="SU54" s="8">
        <v>0</v>
      </c>
      <c r="SV54" s="8">
        <v>0</v>
      </c>
      <c r="SW54" s="8">
        <v>0</v>
      </c>
      <c r="SX54" s="8">
        <v>0</v>
      </c>
      <c r="SY54" s="8">
        <v>0</v>
      </c>
      <c r="SZ54" s="8">
        <v>0</v>
      </c>
      <c r="TA54" s="8">
        <v>0</v>
      </c>
      <c r="TB54" s="8">
        <v>0</v>
      </c>
      <c r="TC54" s="8">
        <v>0</v>
      </c>
      <c r="TD54" s="8">
        <v>0</v>
      </c>
      <c r="TE54" s="8">
        <v>0</v>
      </c>
      <c r="TF54" s="8">
        <v>0</v>
      </c>
      <c r="TG54" s="8">
        <v>0</v>
      </c>
      <c r="TH54" s="8">
        <v>0</v>
      </c>
      <c r="TI54" s="8">
        <v>0</v>
      </c>
      <c r="TJ54" s="8">
        <v>0</v>
      </c>
      <c r="TK54" s="8">
        <v>0</v>
      </c>
      <c r="TL54" s="8">
        <v>0</v>
      </c>
      <c r="TM54" s="8">
        <v>0</v>
      </c>
      <c r="TN54" s="8">
        <v>0</v>
      </c>
      <c r="TO54" s="8">
        <v>0</v>
      </c>
      <c r="TP54" s="8">
        <v>0</v>
      </c>
      <c r="TQ54" s="8">
        <v>0</v>
      </c>
      <c r="TR54" s="8">
        <v>0</v>
      </c>
      <c r="TS54" s="8">
        <v>0</v>
      </c>
      <c r="TT54" s="8">
        <v>0</v>
      </c>
      <c r="TU54" s="8">
        <v>0</v>
      </c>
      <c r="TV54" s="8">
        <v>0</v>
      </c>
      <c r="TW54" s="8">
        <v>0</v>
      </c>
      <c r="TX54" s="8">
        <v>0</v>
      </c>
      <c r="TY54" s="8">
        <v>0</v>
      </c>
      <c r="TZ54" s="8">
        <v>0</v>
      </c>
      <c r="UA54" s="8">
        <v>0</v>
      </c>
      <c r="UB54" s="8">
        <v>0</v>
      </c>
      <c r="UC54" s="8">
        <v>0</v>
      </c>
      <c r="UD54" s="8">
        <v>0</v>
      </c>
      <c r="UE54" s="8">
        <v>0</v>
      </c>
      <c r="UF54" s="8">
        <v>0</v>
      </c>
      <c r="UG54" s="8">
        <v>0</v>
      </c>
      <c r="UH54" s="8">
        <v>0</v>
      </c>
      <c r="UI54" s="8">
        <v>0</v>
      </c>
      <c r="UJ54" s="8">
        <v>0</v>
      </c>
      <c r="UK54" s="8">
        <v>0</v>
      </c>
      <c r="UL54" s="8">
        <v>0</v>
      </c>
      <c r="UM54" s="8">
        <v>0</v>
      </c>
      <c r="UN54" s="8">
        <v>0</v>
      </c>
      <c r="UO54" s="8">
        <v>0</v>
      </c>
      <c r="UP54" s="8">
        <v>0</v>
      </c>
      <c r="UQ54" s="8">
        <v>0</v>
      </c>
      <c r="UR54" s="8">
        <v>0</v>
      </c>
      <c r="US54" s="8">
        <v>0</v>
      </c>
      <c r="UT54" s="8">
        <v>0</v>
      </c>
      <c r="UU54" s="8">
        <v>0</v>
      </c>
      <c r="UV54" s="8">
        <v>0</v>
      </c>
      <c r="UW54" s="8">
        <v>0</v>
      </c>
      <c r="UX54" s="8">
        <v>0</v>
      </c>
      <c r="UY54" s="8">
        <v>0</v>
      </c>
      <c r="UZ54" s="8">
        <v>0</v>
      </c>
      <c r="VA54" s="8">
        <v>0</v>
      </c>
      <c r="VB54" s="8">
        <v>0</v>
      </c>
      <c r="VC54" s="8">
        <v>0</v>
      </c>
      <c r="VD54" s="8">
        <v>0</v>
      </c>
      <c r="VE54" s="8">
        <v>0</v>
      </c>
      <c r="VF54" s="8">
        <v>0</v>
      </c>
      <c r="VG54" s="8">
        <v>0</v>
      </c>
      <c r="VH54" s="8">
        <v>0</v>
      </c>
      <c r="VI54" s="8">
        <v>0</v>
      </c>
      <c r="VJ54" s="8">
        <v>0</v>
      </c>
      <c r="VK54" s="8">
        <v>0</v>
      </c>
      <c r="VL54" s="8">
        <v>0</v>
      </c>
      <c r="VM54" s="8">
        <v>0</v>
      </c>
      <c r="VN54" s="8">
        <v>0</v>
      </c>
      <c r="VO54" s="8">
        <v>0</v>
      </c>
      <c r="VP54" s="8">
        <v>0</v>
      </c>
      <c r="VQ54" s="8">
        <v>0</v>
      </c>
      <c r="VR54" s="8">
        <v>0</v>
      </c>
      <c r="VS54" s="8">
        <v>0</v>
      </c>
      <c r="VT54" s="8">
        <v>0</v>
      </c>
      <c r="VU54" s="8">
        <v>0</v>
      </c>
      <c r="VV54" s="8">
        <v>0</v>
      </c>
      <c r="VW54" s="8">
        <v>0</v>
      </c>
      <c r="VX54" s="8">
        <v>0</v>
      </c>
      <c r="VY54" s="8">
        <v>0</v>
      </c>
      <c r="VZ54" s="8">
        <v>0</v>
      </c>
      <c r="WA54" s="8">
        <v>0</v>
      </c>
      <c r="WB54" s="8">
        <v>0</v>
      </c>
      <c r="WC54" s="8">
        <v>0</v>
      </c>
      <c r="WD54" s="8">
        <v>0</v>
      </c>
      <c r="WE54" s="8">
        <v>0</v>
      </c>
      <c r="WF54" s="8">
        <v>0</v>
      </c>
      <c r="WG54" s="8">
        <v>0</v>
      </c>
      <c r="WH54" s="8">
        <v>0</v>
      </c>
      <c r="WI54" s="8">
        <v>0</v>
      </c>
      <c r="WJ54" s="8">
        <v>0</v>
      </c>
      <c r="WK54" s="8">
        <v>0</v>
      </c>
      <c r="WL54" s="8">
        <v>0</v>
      </c>
      <c r="WM54" s="8">
        <v>0</v>
      </c>
      <c r="WN54" s="8">
        <v>0</v>
      </c>
      <c r="WO54" s="8">
        <v>0</v>
      </c>
      <c r="WP54" s="8">
        <v>0</v>
      </c>
      <c r="WQ54" s="8">
        <v>0</v>
      </c>
      <c r="WR54" s="8">
        <v>0</v>
      </c>
      <c r="WS54" s="8">
        <v>0</v>
      </c>
      <c r="WT54" s="8">
        <v>0</v>
      </c>
      <c r="WU54" s="8">
        <v>0</v>
      </c>
      <c r="WV54" s="8">
        <v>0</v>
      </c>
      <c r="WW54" s="8">
        <v>0</v>
      </c>
      <c r="WX54" s="8">
        <v>0</v>
      </c>
      <c r="WY54" s="8">
        <v>0</v>
      </c>
      <c r="WZ54" s="8">
        <v>0</v>
      </c>
      <c r="XA54" s="8">
        <v>0</v>
      </c>
      <c r="XB54" s="8">
        <v>0</v>
      </c>
      <c r="XC54" s="8">
        <v>0</v>
      </c>
      <c r="XD54" s="8">
        <v>0</v>
      </c>
      <c r="XE54" s="8">
        <v>0</v>
      </c>
      <c r="XF54" s="8">
        <v>0</v>
      </c>
      <c r="XG54" s="8">
        <v>0</v>
      </c>
      <c r="XH54" s="8">
        <v>0</v>
      </c>
      <c r="XI54" s="8">
        <v>0</v>
      </c>
      <c r="XJ54" s="8">
        <v>0</v>
      </c>
      <c r="XK54" s="8">
        <v>0</v>
      </c>
      <c r="XL54" s="8">
        <v>0</v>
      </c>
      <c r="XM54" s="8">
        <v>0</v>
      </c>
      <c r="XN54" s="8">
        <v>0</v>
      </c>
      <c r="XO54" s="8">
        <v>0</v>
      </c>
      <c r="XP54" s="8">
        <v>0</v>
      </c>
      <c r="XQ54" s="8">
        <v>0</v>
      </c>
      <c r="XR54" s="8">
        <v>0</v>
      </c>
      <c r="XS54" s="8">
        <v>0</v>
      </c>
      <c r="XT54" s="8">
        <v>0</v>
      </c>
      <c r="XU54" s="8">
        <v>0</v>
      </c>
      <c r="XV54" s="8">
        <v>0</v>
      </c>
      <c r="XW54" s="8">
        <v>0</v>
      </c>
      <c r="XX54" s="8">
        <v>0</v>
      </c>
      <c r="XY54" s="8">
        <v>0</v>
      </c>
      <c r="XZ54" s="8">
        <v>0</v>
      </c>
      <c r="YA54" s="8">
        <v>0</v>
      </c>
      <c r="YB54" s="8">
        <v>0</v>
      </c>
      <c r="YC54" s="8">
        <v>0</v>
      </c>
      <c r="YD54" s="8">
        <v>0</v>
      </c>
      <c r="YE54" s="8">
        <v>0</v>
      </c>
      <c r="YF54" s="8">
        <v>0</v>
      </c>
      <c r="YG54" s="8">
        <v>0</v>
      </c>
      <c r="YH54" s="8">
        <v>0</v>
      </c>
      <c r="YI54" s="8">
        <v>0</v>
      </c>
      <c r="YJ54" s="8">
        <v>0</v>
      </c>
      <c r="YK54" s="8">
        <v>0</v>
      </c>
      <c r="YL54" s="8">
        <v>0</v>
      </c>
      <c r="YM54" s="8">
        <v>0</v>
      </c>
      <c r="YN54" s="8">
        <v>0</v>
      </c>
      <c r="YO54" s="8">
        <v>0</v>
      </c>
      <c r="YP54" s="8">
        <v>0</v>
      </c>
      <c r="YQ54" s="8">
        <v>0</v>
      </c>
      <c r="YR54" s="8">
        <v>0</v>
      </c>
      <c r="YS54" s="8">
        <v>0</v>
      </c>
      <c r="YT54" s="8">
        <v>0</v>
      </c>
      <c r="YU54" s="8">
        <v>0</v>
      </c>
      <c r="YV54" s="8">
        <v>0</v>
      </c>
      <c r="YW54" s="8">
        <v>0</v>
      </c>
      <c r="YX54" s="8">
        <v>0</v>
      </c>
      <c r="YY54" s="8">
        <v>0</v>
      </c>
      <c r="YZ54" s="8">
        <v>0</v>
      </c>
      <c r="ZA54" s="8">
        <v>0</v>
      </c>
      <c r="ZB54" s="8">
        <v>0</v>
      </c>
      <c r="ZC54" s="8">
        <v>0</v>
      </c>
      <c r="ZD54" s="8">
        <v>0</v>
      </c>
      <c r="ZE54" s="8">
        <v>0</v>
      </c>
      <c r="ZF54" s="8">
        <v>0</v>
      </c>
      <c r="ZG54" s="8">
        <v>0</v>
      </c>
      <c r="ZH54" s="8">
        <v>0</v>
      </c>
      <c r="ZI54" s="8">
        <v>0</v>
      </c>
      <c r="ZJ54" s="8">
        <v>0</v>
      </c>
      <c r="ZK54" s="8">
        <v>0</v>
      </c>
      <c r="ZL54" s="8">
        <v>0</v>
      </c>
      <c r="ZM54" s="8">
        <v>0</v>
      </c>
      <c r="ZN54" s="8">
        <v>0</v>
      </c>
      <c r="ZO54" s="8">
        <v>0</v>
      </c>
      <c r="ZP54" s="8">
        <v>0</v>
      </c>
      <c r="ZQ54" s="8">
        <v>0</v>
      </c>
      <c r="ZR54" s="8">
        <v>0</v>
      </c>
      <c r="ZS54" s="8">
        <v>0</v>
      </c>
      <c r="ZT54" s="8">
        <v>0</v>
      </c>
      <c r="ZU54" s="8">
        <v>0</v>
      </c>
      <c r="ZV54" s="8">
        <v>0</v>
      </c>
      <c r="ZW54" s="8">
        <v>0</v>
      </c>
      <c r="ZX54" s="8">
        <v>0</v>
      </c>
      <c r="ZY54" s="8">
        <v>0</v>
      </c>
      <c r="ZZ54" s="8">
        <v>0</v>
      </c>
      <c r="AAA54" s="8">
        <v>0</v>
      </c>
      <c r="AAB54" s="8">
        <v>0</v>
      </c>
      <c r="AAC54" s="8">
        <v>0</v>
      </c>
      <c r="AAD54" s="8">
        <v>0</v>
      </c>
      <c r="AAE54" s="8">
        <v>0</v>
      </c>
      <c r="AAF54" s="8">
        <v>0</v>
      </c>
      <c r="AAG54" s="8">
        <v>0</v>
      </c>
      <c r="AAH54" s="8">
        <v>0</v>
      </c>
      <c r="AAI54" s="8">
        <v>0</v>
      </c>
      <c r="AAJ54" s="8">
        <v>0</v>
      </c>
      <c r="AAK54" s="8">
        <v>0</v>
      </c>
      <c r="AAL54" s="8">
        <v>0</v>
      </c>
      <c r="AAM54" s="8">
        <v>0</v>
      </c>
      <c r="AAN54" s="8">
        <v>0</v>
      </c>
      <c r="AAO54" s="8">
        <v>0</v>
      </c>
      <c r="AAP54" s="8">
        <v>0</v>
      </c>
      <c r="AAQ54" s="8">
        <v>0</v>
      </c>
      <c r="AAR54" s="8">
        <v>0</v>
      </c>
      <c r="AAS54" s="8">
        <v>0</v>
      </c>
      <c r="AAT54" s="8">
        <v>0</v>
      </c>
      <c r="AAU54" s="8">
        <v>0</v>
      </c>
      <c r="AAV54" s="8">
        <v>0</v>
      </c>
      <c r="AAW54" s="8">
        <v>0</v>
      </c>
      <c r="AAX54" s="8">
        <v>0</v>
      </c>
      <c r="AAY54" s="8">
        <v>0</v>
      </c>
      <c r="AAZ54" s="8">
        <v>0</v>
      </c>
      <c r="ABA54" s="8">
        <v>0</v>
      </c>
      <c r="ABB54" s="8">
        <v>0</v>
      </c>
      <c r="ABC54" s="8">
        <v>0</v>
      </c>
      <c r="ABD54" s="8">
        <v>0</v>
      </c>
      <c r="ABE54" s="8">
        <v>0</v>
      </c>
      <c r="ABF54" s="8">
        <v>0</v>
      </c>
      <c r="ABG54" s="8">
        <v>0</v>
      </c>
      <c r="ABH54" s="8">
        <v>0</v>
      </c>
      <c r="ABI54" s="8">
        <v>0</v>
      </c>
      <c r="ABJ54" s="8">
        <v>0</v>
      </c>
      <c r="ABK54" s="8">
        <v>0</v>
      </c>
      <c r="ABL54" s="8">
        <v>0</v>
      </c>
      <c r="ABM54" s="8">
        <v>0</v>
      </c>
      <c r="ABN54" s="8">
        <v>0</v>
      </c>
      <c r="ABO54" s="8">
        <v>0</v>
      </c>
      <c r="ABP54" s="8">
        <v>0</v>
      </c>
      <c r="ABQ54" s="8">
        <v>0</v>
      </c>
      <c r="ABR54" s="8">
        <v>0</v>
      </c>
      <c r="ABS54" s="8">
        <v>0</v>
      </c>
      <c r="ABT54" s="8">
        <v>0</v>
      </c>
      <c r="ABU54" s="8">
        <v>0</v>
      </c>
      <c r="ABV54" s="8">
        <v>0</v>
      </c>
      <c r="ABW54" s="8">
        <v>0</v>
      </c>
      <c r="ABX54" s="8">
        <v>0</v>
      </c>
      <c r="ABY54" s="8">
        <v>0</v>
      </c>
      <c r="ABZ54" s="8">
        <v>0</v>
      </c>
      <c r="ACA54" s="8">
        <v>0</v>
      </c>
      <c r="ACB54" s="8">
        <v>0</v>
      </c>
      <c r="ACC54" s="8">
        <v>0</v>
      </c>
      <c r="ACD54" s="8">
        <v>0</v>
      </c>
      <c r="ACE54" s="8">
        <v>0</v>
      </c>
      <c r="ACF54" s="8">
        <v>0</v>
      </c>
      <c r="ACG54" s="8">
        <v>0</v>
      </c>
      <c r="ACH54" s="8">
        <v>0</v>
      </c>
      <c r="ACI54" s="8">
        <v>0</v>
      </c>
      <c r="ACJ54" s="8">
        <v>0</v>
      </c>
      <c r="ACK54" s="8">
        <v>0</v>
      </c>
      <c r="ACL54" s="8">
        <v>0</v>
      </c>
      <c r="ACM54" s="8">
        <v>0</v>
      </c>
      <c r="ACN54" s="8">
        <v>0</v>
      </c>
      <c r="ACO54" s="8">
        <v>0</v>
      </c>
      <c r="ACP54" s="8">
        <v>0</v>
      </c>
      <c r="ACQ54" s="8">
        <v>0</v>
      </c>
      <c r="ACR54" s="8">
        <v>0</v>
      </c>
      <c r="ACS54" s="8">
        <v>0</v>
      </c>
      <c r="ACT54" s="8">
        <v>0</v>
      </c>
      <c r="ACU54" s="8">
        <v>0</v>
      </c>
      <c r="ACV54" s="8">
        <v>0</v>
      </c>
      <c r="ACW54" s="8">
        <v>0</v>
      </c>
      <c r="ACX54" s="8">
        <v>0</v>
      </c>
      <c r="ACY54" s="8">
        <v>0</v>
      </c>
      <c r="ACZ54" s="8">
        <v>0</v>
      </c>
      <c r="ADA54" s="8">
        <v>0</v>
      </c>
      <c r="ADB54" s="8">
        <v>0</v>
      </c>
      <c r="ADC54" s="8">
        <v>0</v>
      </c>
      <c r="ADD54" s="8">
        <v>0</v>
      </c>
      <c r="ADE54" s="8">
        <v>0</v>
      </c>
      <c r="ADF54" s="8">
        <v>0</v>
      </c>
      <c r="ADG54" s="8">
        <v>0</v>
      </c>
      <c r="ADH54" s="8">
        <v>0</v>
      </c>
      <c r="ADI54" s="8">
        <v>0</v>
      </c>
      <c r="ADJ54" s="8">
        <v>0</v>
      </c>
      <c r="ADK54" s="8">
        <v>0</v>
      </c>
      <c r="ADL54" s="8">
        <v>0</v>
      </c>
      <c r="ADM54" s="8">
        <v>0</v>
      </c>
      <c r="ADN54" s="8">
        <v>0</v>
      </c>
      <c r="ADO54" s="8">
        <v>0</v>
      </c>
      <c r="ADP54" s="8">
        <v>0</v>
      </c>
      <c r="ADQ54" s="8">
        <v>0</v>
      </c>
      <c r="ADR54" s="8">
        <v>0</v>
      </c>
      <c r="ADS54" s="8">
        <v>0</v>
      </c>
      <c r="ADT54" s="8">
        <v>0</v>
      </c>
      <c r="ADU54" s="8">
        <v>0</v>
      </c>
      <c r="ADV54" s="8">
        <v>0</v>
      </c>
      <c r="ADW54" s="8">
        <v>0</v>
      </c>
      <c r="ADX54" s="8">
        <v>0</v>
      </c>
      <c r="ADY54" s="8">
        <v>0</v>
      </c>
      <c r="ADZ54" s="8">
        <v>0</v>
      </c>
      <c r="AEA54" s="8">
        <v>0</v>
      </c>
      <c r="AEB54" s="8">
        <v>0</v>
      </c>
      <c r="AEC54" s="8">
        <v>0</v>
      </c>
      <c r="AED54" s="8">
        <v>0</v>
      </c>
      <c r="AEE54" s="8">
        <v>0</v>
      </c>
      <c r="AEF54" s="8">
        <v>0</v>
      </c>
      <c r="AEG54" s="8">
        <v>0</v>
      </c>
      <c r="AEH54" s="8">
        <v>0</v>
      </c>
      <c r="AEI54" s="8">
        <v>0</v>
      </c>
      <c r="AEJ54" s="8">
        <v>0</v>
      </c>
      <c r="AEK54" s="8">
        <v>0</v>
      </c>
      <c r="AEL54" s="8">
        <v>0</v>
      </c>
      <c r="AEM54" s="8">
        <v>0</v>
      </c>
      <c r="AEN54" s="8">
        <v>0</v>
      </c>
      <c r="AEO54" s="8">
        <v>0</v>
      </c>
      <c r="AEP54" s="8">
        <v>0</v>
      </c>
      <c r="AEQ54" s="8">
        <v>0</v>
      </c>
      <c r="AER54" s="8">
        <v>0</v>
      </c>
      <c r="AES54" s="8">
        <v>0</v>
      </c>
      <c r="AET54" s="8">
        <v>0</v>
      </c>
      <c r="AEU54" s="8">
        <v>0</v>
      </c>
      <c r="AEV54" s="8">
        <v>0</v>
      </c>
      <c r="AEW54" s="8">
        <v>0</v>
      </c>
      <c r="AEX54" s="8">
        <v>0</v>
      </c>
      <c r="AEY54" s="8">
        <v>0</v>
      </c>
      <c r="AEZ54" s="8">
        <v>0</v>
      </c>
      <c r="AFA54" s="8">
        <v>0</v>
      </c>
      <c r="AFB54" s="8">
        <v>0</v>
      </c>
      <c r="AFC54" s="8">
        <v>0</v>
      </c>
      <c r="AFD54" s="8">
        <v>0</v>
      </c>
      <c r="AFE54" s="8">
        <v>0</v>
      </c>
      <c r="AFF54" s="8">
        <v>0</v>
      </c>
      <c r="AFG54" s="8">
        <v>0</v>
      </c>
      <c r="AFH54" s="8">
        <v>0</v>
      </c>
      <c r="AFI54" s="8">
        <v>0</v>
      </c>
      <c r="AFJ54" s="8">
        <v>0</v>
      </c>
      <c r="AFK54" s="8">
        <v>0</v>
      </c>
      <c r="AFL54" s="8">
        <v>0</v>
      </c>
      <c r="AFM54" s="8">
        <v>0</v>
      </c>
      <c r="AFN54" s="8">
        <v>0</v>
      </c>
      <c r="AFO54" s="8">
        <v>0</v>
      </c>
      <c r="AFP54" s="8">
        <v>0</v>
      </c>
      <c r="AFQ54" s="8">
        <v>0</v>
      </c>
      <c r="AFR54" s="8">
        <v>0</v>
      </c>
      <c r="AFS54" s="8">
        <v>0</v>
      </c>
      <c r="AFT54" s="8">
        <v>0</v>
      </c>
      <c r="AFU54" s="8">
        <v>0</v>
      </c>
      <c r="AFV54" s="8">
        <v>0</v>
      </c>
      <c r="AFW54" s="8">
        <v>0</v>
      </c>
      <c r="AFX54" s="8">
        <v>0</v>
      </c>
      <c r="AFY54" s="8">
        <v>0</v>
      </c>
      <c r="AFZ54" s="8">
        <v>0</v>
      </c>
      <c r="AGA54" s="8">
        <v>0</v>
      </c>
      <c r="AGB54" s="8">
        <v>0</v>
      </c>
      <c r="AGC54" s="8">
        <v>0</v>
      </c>
      <c r="AGD54" s="8">
        <v>0</v>
      </c>
      <c r="AGE54" s="8">
        <v>0</v>
      </c>
      <c r="AGF54" s="8">
        <v>0</v>
      </c>
      <c r="AGG54" s="8">
        <v>0</v>
      </c>
      <c r="AGH54" s="8">
        <v>0</v>
      </c>
      <c r="AGI54" s="8">
        <v>0</v>
      </c>
      <c r="AGJ54" s="8">
        <v>0</v>
      </c>
      <c r="AGK54" s="8">
        <v>0</v>
      </c>
      <c r="AGL54" s="8">
        <v>0</v>
      </c>
      <c r="AGM54" s="8">
        <v>0</v>
      </c>
      <c r="AGN54" s="8">
        <v>0</v>
      </c>
      <c r="AGO54" s="8">
        <v>0</v>
      </c>
      <c r="AGP54" s="8">
        <v>0</v>
      </c>
      <c r="AGQ54" s="8">
        <v>0</v>
      </c>
      <c r="AGR54" s="8">
        <v>0</v>
      </c>
      <c r="AGS54" s="8">
        <v>0</v>
      </c>
      <c r="AGT54" s="8">
        <v>0</v>
      </c>
      <c r="AGU54" s="8">
        <v>0</v>
      </c>
      <c r="AGV54" s="8">
        <v>0</v>
      </c>
      <c r="AGW54" s="8">
        <v>0</v>
      </c>
      <c r="AGX54" s="8">
        <v>0</v>
      </c>
      <c r="AGY54" s="8">
        <v>0</v>
      </c>
      <c r="AGZ54" s="8">
        <v>0</v>
      </c>
      <c r="AHA54" s="8">
        <v>0</v>
      </c>
      <c r="AHB54" s="8">
        <v>0</v>
      </c>
      <c r="AHC54" s="8">
        <v>0</v>
      </c>
      <c r="AHD54" s="8">
        <v>0</v>
      </c>
      <c r="AHE54" s="8">
        <v>0</v>
      </c>
      <c r="AHF54" s="8">
        <v>0</v>
      </c>
      <c r="AHG54" s="8">
        <v>0</v>
      </c>
      <c r="AHH54" s="8">
        <v>0</v>
      </c>
      <c r="AHI54" s="8">
        <v>0</v>
      </c>
      <c r="AHJ54" s="8">
        <v>0</v>
      </c>
      <c r="AHK54" s="8">
        <v>0</v>
      </c>
      <c r="AHL54" s="8">
        <v>0</v>
      </c>
      <c r="AHM54" s="8">
        <v>0</v>
      </c>
      <c r="AHN54" s="8">
        <v>0</v>
      </c>
      <c r="AHO54" s="8">
        <v>0</v>
      </c>
      <c r="AHP54" s="8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 t="e">
        <v>#N/A</v>
      </c>
      <c r="AIJ54" t="e">
        <v>#N/A</v>
      </c>
      <c r="AIK54" t="e">
        <v>#N/A</v>
      </c>
      <c r="AIL54" t="e">
        <v>#N/A</v>
      </c>
      <c r="AIM54" t="e">
        <v>#N/A</v>
      </c>
      <c r="AIN54" t="e">
        <v>#N/A</v>
      </c>
      <c r="AIO54" t="e">
        <v>#N/A</v>
      </c>
      <c r="AIP54" t="e">
        <v>#N/A</v>
      </c>
      <c r="AIQ54" t="e">
        <v>#N/A</v>
      </c>
      <c r="AIR54" t="e">
        <v>#N/A</v>
      </c>
      <c r="AIS54" t="e">
        <v>#N/A</v>
      </c>
      <c r="AIT54" t="e">
        <v>#N/A</v>
      </c>
      <c r="AIU54" t="e">
        <v>#N/A</v>
      </c>
      <c r="AIV54" t="e">
        <v>#N/A</v>
      </c>
      <c r="AIW54" t="e">
        <v>#N/A</v>
      </c>
      <c r="AIX54" t="e">
        <v>#N/A</v>
      </c>
      <c r="AIY54" t="e">
        <v>#N/A</v>
      </c>
      <c r="AIZ54" t="e">
        <v>#N/A</v>
      </c>
      <c r="AJA54" t="e">
        <v>#N/A</v>
      </c>
      <c r="AJB54" t="e">
        <v>#N/A</v>
      </c>
      <c r="AJC54" t="e">
        <v>#N/A</v>
      </c>
      <c r="AJD54" t="e">
        <v>#N/A</v>
      </c>
      <c r="AJE54" t="e">
        <v>#N/A</v>
      </c>
      <c r="AJF54" t="e">
        <v>#N/A</v>
      </c>
      <c r="AJG54" t="e">
        <v>#N/A</v>
      </c>
      <c r="AJH54" t="e">
        <v>#N/A</v>
      </c>
      <c r="AJI54" t="e">
        <v>#N/A</v>
      </c>
      <c r="AJJ54" t="e">
        <v>#N/A</v>
      </c>
      <c r="AJK54" t="e">
        <v>#N/A</v>
      </c>
      <c r="AJL54" t="e">
        <v>#N/A</v>
      </c>
      <c r="AJM54" t="e">
        <v>#N/A</v>
      </c>
      <c r="AJN54" t="e">
        <v>#N/A</v>
      </c>
      <c r="AJO54" t="e">
        <v>#N/A</v>
      </c>
      <c r="AJP54" t="e">
        <v>#N/A</v>
      </c>
      <c r="AJQ54" t="e">
        <v>#N/A</v>
      </c>
      <c r="AJR54" t="e">
        <v>#N/A</v>
      </c>
      <c r="AJS54" t="e">
        <v>#N/A</v>
      </c>
      <c r="AJT54" t="e">
        <v>#N/A</v>
      </c>
      <c r="AJU54" t="e">
        <v>#N/A</v>
      </c>
      <c r="AJV54" t="e">
        <v>#N/A</v>
      </c>
      <c r="AJW54" t="e">
        <v>#N/A</v>
      </c>
      <c r="AJX54" t="e">
        <v>#N/A</v>
      </c>
      <c r="AJY54" t="e">
        <v>#N/A</v>
      </c>
      <c r="AJZ54" t="e">
        <v>#N/A</v>
      </c>
      <c r="AKA54" t="e">
        <v>#N/A</v>
      </c>
      <c r="AKB54" t="e">
        <v>#N/A</v>
      </c>
      <c r="AKC54" t="e">
        <v>#N/A</v>
      </c>
      <c r="AKD54" t="e">
        <v>#N/A</v>
      </c>
      <c r="AKE54" t="e">
        <v>#N/A</v>
      </c>
      <c r="AKF54" t="e">
        <v>#N/A</v>
      </c>
      <c r="AKG54" t="e">
        <v>#N/A</v>
      </c>
      <c r="AKH54" t="e">
        <v>#N/A</v>
      </c>
      <c r="AKI54" t="e">
        <v>#N/A</v>
      </c>
      <c r="AKJ54" t="e">
        <v>#N/A</v>
      </c>
      <c r="AKK54" t="e">
        <v>#N/A</v>
      </c>
      <c r="AKL54" t="e">
        <v>#N/A</v>
      </c>
      <c r="AKM54" t="e">
        <v>#N/A</v>
      </c>
      <c r="AKN54" t="e">
        <v>#N/A</v>
      </c>
      <c r="AKO54" t="e">
        <v>#N/A</v>
      </c>
      <c r="AKP54" t="e">
        <v>#N/A</v>
      </c>
      <c r="AKQ54" t="e">
        <v>#N/A</v>
      </c>
      <c r="AKR54" t="e">
        <v>#N/A</v>
      </c>
      <c r="AKS54" t="e">
        <v>#N/A</v>
      </c>
      <c r="AKT54" t="e">
        <v>#N/A</v>
      </c>
      <c r="AKU54" t="e">
        <v>#N/A</v>
      </c>
      <c r="AKV54" t="e">
        <v>#N/A</v>
      </c>
      <c r="AKW54" t="e">
        <v>#N/A</v>
      </c>
      <c r="AKX54" t="e">
        <v>#N/A</v>
      </c>
      <c r="AKY54" t="e">
        <v>#N/A</v>
      </c>
      <c r="AKZ54" t="e">
        <v>#N/A</v>
      </c>
      <c r="ALA54" t="e">
        <v>#N/A</v>
      </c>
      <c r="ALB54" t="e">
        <v>#N/A</v>
      </c>
      <c r="ALC54" t="e">
        <v>#N/A</v>
      </c>
      <c r="ALD54" t="e">
        <v>#N/A</v>
      </c>
      <c r="ALE54" t="e">
        <v>#N/A</v>
      </c>
      <c r="ALF54" t="e">
        <v>#N/A</v>
      </c>
      <c r="ALG54" t="e">
        <v>#N/A</v>
      </c>
      <c r="ALH54" t="e">
        <v>#N/A</v>
      </c>
      <c r="ALI54" t="e">
        <v>#N/A</v>
      </c>
      <c r="ALJ54" t="e">
        <v>#N/A</v>
      </c>
      <c r="ALK54" t="e">
        <v>#N/A</v>
      </c>
      <c r="ALL54" t="e">
        <v>#N/A</v>
      </c>
      <c r="ALM54" t="e">
        <v>#N/A</v>
      </c>
      <c r="ALN54" t="e">
        <v>#N/A</v>
      </c>
      <c r="ALO54" t="e">
        <v>#N/A</v>
      </c>
      <c r="ALP54" t="e">
        <v>#N/A</v>
      </c>
      <c r="ALQ54" t="e">
        <v>#N/A</v>
      </c>
      <c r="ALR54" t="e">
        <v>#N/A</v>
      </c>
      <c r="ALS54" t="e">
        <v>#N/A</v>
      </c>
      <c r="ALT54" t="e">
        <v>#N/A</v>
      </c>
      <c r="ALU54" t="e">
        <v>#N/A</v>
      </c>
      <c r="ALV54" t="e">
        <v>#N/A</v>
      </c>
      <c r="ALW54" t="e">
        <v>#N/A</v>
      </c>
      <c r="ALX54" t="e">
        <v>#N/A</v>
      </c>
      <c r="ALY54" t="e">
        <v>#N/A</v>
      </c>
      <c r="ALZ54" t="e">
        <v>#N/A</v>
      </c>
      <c r="AMA54" t="e">
        <v>#N/A</v>
      </c>
      <c r="AMB54" t="e">
        <v>#N/A</v>
      </c>
      <c r="AMC54" t="e">
        <v>#N/A</v>
      </c>
      <c r="AMD54" t="e">
        <v>#N/A</v>
      </c>
      <c r="AME54" t="e">
        <v>#N/A</v>
      </c>
      <c r="AMF54" t="e">
        <v>#N/A</v>
      </c>
      <c r="AMG54" t="e">
        <v>#N/A</v>
      </c>
      <c r="AMH54" t="e">
        <v>#N/A</v>
      </c>
    </row>
    <row r="55" spans="1:1022" ht="15.75" customHeight="1">
      <c r="A55" s="8">
        <v>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0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0</v>
      </c>
      <c r="OE55" s="8">
        <v>0</v>
      </c>
      <c r="OF55" s="8">
        <v>0</v>
      </c>
      <c r="OG55" s="8">
        <v>0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0</v>
      </c>
      <c r="OS55" s="8">
        <v>0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0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</v>
      </c>
      <c r="PT55" s="8">
        <v>0</v>
      </c>
      <c r="PU55" s="8">
        <v>0</v>
      </c>
      <c r="PV55" s="8">
        <v>0</v>
      </c>
      <c r="PW55" s="8">
        <v>0</v>
      </c>
      <c r="PX55" s="8">
        <v>0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</v>
      </c>
      <c r="QF55" s="8">
        <v>0</v>
      </c>
      <c r="QG55" s="8">
        <v>0</v>
      </c>
      <c r="QH55" s="8">
        <v>0</v>
      </c>
      <c r="QI55" s="8">
        <v>0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0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0</v>
      </c>
      <c r="SR55" s="8">
        <v>0</v>
      </c>
      <c r="SS55" s="8">
        <v>0</v>
      </c>
      <c r="ST55" s="8">
        <v>0</v>
      </c>
      <c r="SU55" s="8">
        <v>0</v>
      </c>
      <c r="SV55" s="8">
        <v>0</v>
      </c>
      <c r="SW55" s="8">
        <v>0</v>
      </c>
      <c r="SX55" s="8">
        <v>0</v>
      </c>
      <c r="SY55" s="8">
        <v>0</v>
      </c>
      <c r="SZ55" s="8">
        <v>0</v>
      </c>
      <c r="TA55" s="8">
        <v>0</v>
      </c>
      <c r="TB55" s="8">
        <v>0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0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0</v>
      </c>
      <c r="UG55" s="8">
        <v>0</v>
      </c>
      <c r="UH55" s="8">
        <v>0</v>
      </c>
      <c r="UI55" s="8">
        <v>0</v>
      </c>
      <c r="UJ55" s="8">
        <v>0</v>
      </c>
      <c r="UK55" s="8">
        <v>0</v>
      </c>
      <c r="UL55" s="8">
        <v>0</v>
      </c>
      <c r="UM55" s="8">
        <v>0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0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0</v>
      </c>
      <c r="WM55" s="8">
        <v>0</v>
      </c>
      <c r="WN55" s="8">
        <v>0</v>
      </c>
      <c r="WO55" s="8">
        <v>0</v>
      </c>
      <c r="WP55" s="8">
        <v>0</v>
      </c>
      <c r="WQ55" s="8">
        <v>0</v>
      </c>
      <c r="WR55" s="8">
        <v>0</v>
      </c>
      <c r="WS55" s="8">
        <v>0</v>
      </c>
      <c r="WT55" s="8">
        <v>0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  <c r="XB55" s="8">
        <v>0</v>
      </c>
      <c r="XC55" s="8">
        <v>0</v>
      </c>
      <c r="XD55" s="8">
        <v>0</v>
      </c>
      <c r="XE55" s="8">
        <v>0</v>
      </c>
      <c r="XF55" s="8">
        <v>0</v>
      </c>
      <c r="XG55" s="8">
        <v>0</v>
      </c>
      <c r="XH55" s="8">
        <v>0</v>
      </c>
      <c r="XI55" s="8">
        <v>0</v>
      </c>
      <c r="XJ55" s="8">
        <v>0</v>
      </c>
      <c r="XK55" s="8">
        <v>0</v>
      </c>
      <c r="XL55" s="8">
        <v>0</v>
      </c>
      <c r="XM55" s="8">
        <v>0</v>
      </c>
      <c r="XN55" s="8">
        <v>0</v>
      </c>
      <c r="XO55" s="8">
        <v>0</v>
      </c>
      <c r="XP55" s="8">
        <v>0</v>
      </c>
      <c r="XQ55" s="8">
        <v>0</v>
      </c>
      <c r="XR55" s="8">
        <v>0</v>
      </c>
      <c r="XS55" s="8">
        <v>0</v>
      </c>
      <c r="XT55" s="8">
        <v>0</v>
      </c>
      <c r="XU55" s="8">
        <v>0</v>
      </c>
      <c r="XV55" s="8">
        <v>0</v>
      </c>
      <c r="XW55" s="8">
        <v>0</v>
      </c>
      <c r="XX55" s="8">
        <v>0</v>
      </c>
      <c r="XY55" s="8">
        <v>0</v>
      </c>
      <c r="XZ55" s="8">
        <v>0</v>
      </c>
      <c r="YA55" s="8">
        <v>0</v>
      </c>
      <c r="YB55" s="8">
        <v>0</v>
      </c>
      <c r="YC55" s="8">
        <v>0</v>
      </c>
      <c r="YD55" s="8">
        <v>0</v>
      </c>
      <c r="YE55" s="8">
        <v>0</v>
      </c>
      <c r="YF55" s="8">
        <v>0</v>
      </c>
      <c r="YG55" s="8">
        <v>0</v>
      </c>
      <c r="YH55" s="8">
        <v>0</v>
      </c>
      <c r="YI55" s="8">
        <v>0</v>
      </c>
      <c r="YJ55" s="8">
        <v>0</v>
      </c>
      <c r="YK55" s="8">
        <v>0</v>
      </c>
      <c r="YL55" s="8">
        <v>0</v>
      </c>
      <c r="YM55" s="8">
        <v>0</v>
      </c>
      <c r="YN55" s="8">
        <v>0</v>
      </c>
      <c r="YO55" s="8">
        <v>0</v>
      </c>
      <c r="YP55" s="8">
        <v>0</v>
      </c>
      <c r="YQ55" s="8">
        <v>0</v>
      </c>
      <c r="YR55" s="8">
        <v>0</v>
      </c>
      <c r="YS55" s="8">
        <v>0</v>
      </c>
      <c r="YT55" s="8">
        <v>0</v>
      </c>
      <c r="YU55" s="8">
        <v>0</v>
      </c>
      <c r="YV55" s="8">
        <v>0</v>
      </c>
      <c r="YW55" s="8">
        <v>0</v>
      </c>
      <c r="YX55" s="8">
        <v>0</v>
      </c>
      <c r="YY55" s="8">
        <v>0</v>
      </c>
      <c r="YZ55" s="8">
        <v>0</v>
      </c>
      <c r="ZA55" s="8">
        <v>0</v>
      </c>
      <c r="ZB55" s="8">
        <v>0</v>
      </c>
      <c r="ZC55" s="8">
        <v>0</v>
      </c>
      <c r="ZD55" s="8">
        <v>0</v>
      </c>
      <c r="ZE55" s="8">
        <v>0</v>
      </c>
      <c r="ZF55" s="8">
        <v>0</v>
      </c>
      <c r="ZG55" s="8">
        <v>0</v>
      </c>
      <c r="ZH55" s="8">
        <v>0</v>
      </c>
      <c r="ZI55" s="8">
        <v>0</v>
      </c>
      <c r="ZJ55" s="8">
        <v>0</v>
      </c>
      <c r="ZK55" s="8">
        <v>0</v>
      </c>
      <c r="ZL55" s="8">
        <v>0</v>
      </c>
      <c r="ZM55" s="8">
        <v>0</v>
      </c>
      <c r="ZN55" s="8">
        <v>0</v>
      </c>
      <c r="ZO55" s="8">
        <v>0</v>
      </c>
      <c r="ZP55" s="8">
        <v>0</v>
      </c>
      <c r="ZQ55" s="8">
        <v>0</v>
      </c>
      <c r="ZR55" s="8">
        <v>0</v>
      </c>
      <c r="ZS55" s="8">
        <v>0</v>
      </c>
      <c r="ZT55" s="8">
        <v>0</v>
      </c>
      <c r="ZU55" s="8">
        <v>0</v>
      </c>
      <c r="ZV55" s="8">
        <v>0</v>
      </c>
      <c r="ZW55" s="8">
        <v>0</v>
      </c>
      <c r="ZX55" s="8">
        <v>0</v>
      </c>
      <c r="ZY55" s="8">
        <v>0</v>
      </c>
      <c r="ZZ55" s="8">
        <v>0</v>
      </c>
      <c r="AAA55" s="8">
        <v>0</v>
      </c>
      <c r="AAB55" s="8">
        <v>0</v>
      </c>
      <c r="AAC55" s="8">
        <v>0</v>
      </c>
      <c r="AAD55" s="8">
        <v>0</v>
      </c>
      <c r="AAE55" s="8">
        <v>0</v>
      </c>
      <c r="AAF55" s="8">
        <v>0</v>
      </c>
      <c r="AAG55" s="8">
        <v>0</v>
      </c>
      <c r="AAH55" s="8">
        <v>0</v>
      </c>
      <c r="AAI55" s="8">
        <v>0</v>
      </c>
      <c r="AAJ55" s="8">
        <v>0</v>
      </c>
      <c r="AAK55" s="8">
        <v>0</v>
      </c>
      <c r="AAL55" s="8">
        <v>0</v>
      </c>
      <c r="AAM55" s="8">
        <v>0</v>
      </c>
      <c r="AAN55" s="8">
        <v>0</v>
      </c>
      <c r="AAO55" s="8">
        <v>0</v>
      </c>
      <c r="AAP55" s="8">
        <v>0</v>
      </c>
      <c r="AAQ55" s="8">
        <v>0</v>
      </c>
      <c r="AAR55" s="8">
        <v>0</v>
      </c>
      <c r="AAS55" s="8">
        <v>0</v>
      </c>
      <c r="AAT55" s="8">
        <v>0</v>
      </c>
      <c r="AAU55" s="8">
        <v>0</v>
      </c>
      <c r="AAV55" s="8">
        <v>0</v>
      </c>
      <c r="AAW55" s="8">
        <v>0</v>
      </c>
      <c r="AAX55" s="8">
        <v>0</v>
      </c>
      <c r="AAY55" s="8">
        <v>0</v>
      </c>
      <c r="AAZ55" s="8">
        <v>0</v>
      </c>
      <c r="ABA55" s="8">
        <v>0</v>
      </c>
      <c r="ABB55" s="8">
        <v>0</v>
      </c>
      <c r="ABC55" s="8">
        <v>0</v>
      </c>
      <c r="ABD55" s="8">
        <v>0</v>
      </c>
      <c r="ABE55" s="8">
        <v>0</v>
      </c>
      <c r="ABF55" s="8">
        <v>0</v>
      </c>
      <c r="ABG55" s="8">
        <v>0</v>
      </c>
      <c r="ABH55" s="8">
        <v>0</v>
      </c>
      <c r="ABI55" s="8">
        <v>0</v>
      </c>
      <c r="ABJ55" s="8">
        <v>0</v>
      </c>
      <c r="ABK55" s="8">
        <v>0</v>
      </c>
      <c r="ABL55" s="8">
        <v>0</v>
      </c>
      <c r="ABM55" s="8">
        <v>0</v>
      </c>
      <c r="ABN55" s="8">
        <v>0</v>
      </c>
      <c r="ABO55" s="8">
        <v>0</v>
      </c>
      <c r="ABP55" s="8">
        <v>0</v>
      </c>
      <c r="ABQ55" s="8">
        <v>0</v>
      </c>
      <c r="ABR55" s="8">
        <v>0</v>
      </c>
      <c r="ABS55" s="8">
        <v>0</v>
      </c>
      <c r="ABT55" s="8">
        <v>0</v>
      </c>
      <c r="ABU55" s="8">
        <v>0</v>
      </c>
      <c r="ABV55" s="8">
        <v>0</v>
      </c>
      <c r="ABW55" s="8">
        <v>0</v>
      </c>
      <c r="ABX55" s="8">
        <v>0</v>
      </c>
      <c r="ABY55" s="8">
        <v>0</v>
      </c>
      <c r="ABZ55" s="8">
        <v>0</v>
      </c>
      <c r="ACA55" s="8">
        <v>0</v>
      </c>
      <c r="ACB55" s="8">
        <v>0</v>
      </c>
      <c r="ACC55" s="8">
        <v>0</v>
      </c>
      <c r="ACD55" s="8">
        <v>0</v>
      </c>
      <c r="ACE55" s="8">
        <v>0</v>
      </c>
      <c r="ACF55" s="8">
        <v>0</v>
      </c>
      <c r="ACG55" s="8">
        <v>0</v>
      </c>
      <c r="ACH55" s="8">
        <v>0</v>
      </c>
      <c r="ACI55" s="8">
        <v>0</v>
      </c>
      <c r="ACJ55" s="8">
        <v>0</v>
      </c>
      <c r="ACK55" s="8">
        <v>0</v>
      </c>
      <c r="ACL55" s="8">
        <v>0</v>
      </c>
      <c r="ACM55" s="8">
        <v>0</v>
      </c>
      <c r="ACN55" s="8">
        <v>0</v>
      </c>
      <c r="ACO55" s="8">
        <v>0</v>
      </c>
      <c r="ACP55" s="8">
        <v>0</v>
      </c>
      <c r="ACQ55" s="8">
        <v>0</v>
      </c>
      <c r="ACR55" s="8">
        <v>0</v>
      </c>
      <c r="ACS55" s="8">
        <v>0</v>
      </c>
      <c r="ACT55" s="8">
        <v>0</v>
      </c>
      <c r="ACU55" s="8">
        <v>0</v>
      </c>
      <c r="ACV55" s="8">
        <v>0</v>
      </c>
      <c r="ACW55" s="8">
        <v>0</v>
      </c>
      <c r="ACX55" s="8">
        <v>0</v>
      </c>
      <c r="ACY55" s="8">
        <v>0</v>
      </c>
      <c r="ACZ55" s="8">
        <v>0</v>
      </c>
      <c r="ADA55" s="8">
        <v>0</v>
      </c>
      <c r="ADB55" s="8">
        <v>0</v>
      </c>
      <c r="ADC55" s="8">
        <v>0</v>
      </c>
      <c r="ADD55" s="8">
        <v>0</v>
      </c>
      <c r="ADE55" s="8">
        <v>0</v>
      </c>
      <c r="ADF55" s="8">
        <v>0</v>
      </c>
      <c r="ADG55" s="8">
        <v>0</v>
      </c>
      <c r="ADH55" s="8">
        <v>0</v>
      </c>
      <c r="ADI55" s="8">
        <v>0</v>
      </c>
      <c r="ADJ55" s="8">
        <v>0</v>
      </c>
      <c r="ADK55" s="8">
        <v>0</v>
      </c>
      <c r="ADL55" s="8">
        <v>0</v>
      </c>
      <c r="ADM55" s="8">
        <v>0</v>
      </c>
      <c r="ADN55" s="8">
        <v>0</v>
      </c>
      <c r="ADO55" s="8">
        <v>0</v>
      </c>
      <c r="ADP55" s="8">
        <v>0</v>
      </c>
      <c r="ADQ55" s="8">
        <v>0</v>
      </c>
      <c r="ADR55" s="8">
        <v>0</v>
      </c>
      <c r="ADS55" s="8">
        <v>0</v>
      </c>
      <c r="ADT55" s="8">
        <v>0</v>
      </c>
      <c r="ADU55" s="8">
        <v>0</v>
      </c>
      <c r="ADV55" s="8">
        <v>0</v>
      </c>
      <c r="ADW55" s="8">
        <v>0</v>
      </c>
      <c r="ADX55" s="8">
        <v>0</v>
      </c>
      <c r="ADY55" s="8">
        <v>0</v>
      </c>
      <c r="ADZ55" s="8">
        <v>0</v>
      </c>
      <c r="AEA55" s="8">
        <v>0</v>
      </c>
      <c r="AEB55" s="8">
        <v>0</v>
      </c>
      <c r="AEC55" s="8">
        <v>0</v>
      </c>
      <c r="AED55" s="8">
        <v>0</v>
      </c>
      <c r="AEE55" s="8">
        <v>0</v>
      </c>
      <c r="AEF55" s="8">
        <v>0</v>
      </c>
      <c r="AEG55" s="8">
        <v>0</v>
      </c>
      <c r="AEH55" s="8">
        <v>0</v>
      </c>
      <c r="AEI55" s="8">
        <v>0</v>
      </c>
      <c r="AEJ55" s="8">
        <v>0</v>
      </c>
      <c r="AEK55" s="8">
        <v>0</v>
      </c>
      <c r="AEL55" s="8">
        <v>0</v>
      </c>
      <c r="AEM55" s="8">
        <v>0</v>
      </c>
      <c r="AEN55" s="8">
        <v>0</v>
      </c>
      <c r="AEO55" s="8">
        <v>0</v>
      </c>
      <c r="AEP55" s="8">
        <v>0</v>
      </c>
      <c r="AEQ55" s="8">
        <v>0</v>
      </c>
      <c r="AER55" s="8">
        <v>0</v>
      </c>
      <c r="AES55" s="8">
        <v>0</v>
      </c>
      <c r="AET55" s="8">
        <v>0</v>
      </c>
      <c r="AEU55" s="8">
        <v>0</v>
      </c>
      <c r="AEV55" s="8">
        <v>0</v>
      </c>
      <c r="AEW55" s="8">
        <v>0</v>
      </c>
      <c r="AEX55" s="8">
        <v>0</v>
      </c>
      <c r="AEY55" s="8">
        <v>0</v>
      </c>
      <c r="AEZ55" s="8">
        <v>0</v>
      </c>
      <c r="AFA55" s="8">
        <v>0</v>
      </c>
      <c r="AFB55" s="8">
        <v>0</v>
      </c>
      <c r="AFC55" s="8">
        <v>0</v>
      </c>
      <c r="AFD55" s="8">
        <v>0</v>
      </c>
      <c r="AFE55" s="8">
        <v>0</v>
      </c>
      <c r="AFF55" s="8">
        <v>0</v>
      </c>
      <c r="AFG55" s="8">
        <v>0</v>
      </c>
      <c r="AFH55" s="8">
        <v>0</v>
      </c>
      <c r="AFI55" s="8">
        <v>0</v>
      </c>
      <c r="AFJ55" s="8">
        <v>0</v>
      </c>
      <c r="AFK55" s="8">
        <v>0</v>
      </c>
      <c r="AFL55" s="8">
        <v>0</v>
      </c>
      <c r="AFM55" s="8">
        <v>0</v>
      </c>
      <c r="AFN55" s="8">
        <v>0</v>
      </c>
      <c r="AFO55" s="8">
        <v>0</v>
      </c>
      <c r="AFP55" s="8">
        <v>0</v>
      </c>
      <c r="AFQ55" s="8">
        <v>0</v>
      </c>
      <c r="AFR55" s="8">
        <v>0</v>
      </c>
      <c r="AFS55" s="8">
        <v>0</v>
      </c>
      <c r="AFT55" s="8">
        <v>0</v>
      </c>
      <c r="AFU55" s="8">
        <v>0</v>
      </c>
      <c r="AFV55" s="8">
        <v>0</v>
      </c>
      <c r="AFW55" s="8">
        <v>0</v>
      </c>
      <c r="AFX55" s="8">
        <v>0</v>
      </c>
      <c r="AFY55" s="8">
        <v>0</v>
      </c>
      <c r="AFZ55" s="8">
        <v>0</v>
      </c>
      <c r="AGA55" s="8">
        <v>0</v>
      </c>
      <c r="AGB55" s="8">
        <v>0</v>
      </c>
      <c r="AGC55" s="8">
        <v>0</v>
      </c>
      <c r="AGD55" s="8">
        <v>0</v>
      </c>
      <c r="AGE55" s="8">
        <v>0</v>
      </c>
      <c r="AGF55" s="8">
        <v>0</v>
      </c>
      <c r="AGG55" s="8">
        <v>0</v>
      </c>
      <c r="AGH55" s="8">
        <v>0</v>
      </c>
      <c r="AGI55" s="8">
        <v>0</v>
      </c>
      <c r="AGJ55" s="8">
        <v>0</v>
      </c>
      <c r="AGK55" s="8">
        <v>0</v>
      </c>
      <c r="AGL55" s="8">
        <v>0</v>
      </c>
      <c r="AGM55" s="8">
        <v>0</v>
      </c>
      <c r="AGN55" s="8">
        <v>0</v>
      </c>
      <c r="AGO55" s="8">
        <v>0</v>
      </c>
      <c r="AGP55" s="8">
        <v>0</v>
      </c>
      <c r="AGQ55" s="8">
        <v>0</v>
      </c>
      <c r="AGR55" s="8">
        <v>0</v>
      </c>
      <c r="AGS55" s="8">
        <v>0</v>
      </c>
      <c r="AGT55" s="8">
        <v>0</v>
      </c>
      <c r="AGU55" s="8">
        <v>0</v>
      </c>
      <c r="AGV55" s="8">
        <v>0</v>
      </c>
      <c r="AGW55" s="8">
        <v>0</v>
      </c>
      <c r="AGX55" s="8">
        <v>0</v>
      </c>
      <c r="AGY55" s="8">
        <v>0</v>
      </c>
      <c r="AGZ55" s="8">
        <v>0</v>
      </c>
      <c r="AHA55" s="8">
        <v>0</v>
      </c>
      <c r="AHB55" s="8">
        <v>0</v>
      </c>
      <c r="AHC55" s="8">
        <v>0</v>
      </c>
      <c r="AHD55" s="8">
        <v>0</v>
      </c>
      <c r="AHE55" s="8">
        <v>0</v>
      </c>
      <c r="AHF55" s="8">
        <v>0</v>
      </c>
      <c r="AHG55" s="8">
        <v>0</v>
      </c>
      <c r="AHH55" s="8">
        <v>0</v>
      </c>
      <c r="AHI55" s="8">
        <v>0</v>
      </c>
      <c r="AHJ55" s="8">
        <v>0</v>
      </c>
      <c r="AHK55" s="8">
        <v>0</v>
      </c>
      <c r="AHL55" s="8">
        <v>0</v>
      </c>
      <c r="AHM55" s="8">
        <v>0</v>
      </c>
      <c r="AHN55" s="8">
        <v>0</v>
      </c>
      <c r="AHO55" s="8">
        <v>0</v>
      </c>
      <c r="AHP55" s="8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 t="e">
        <v>#N/A</v>
      </c>
      <c r="AIJ55" t="e">
        <v>#N/A</v>
      </c>
      <c r="AIK55" t="e">
        <v>#N/A</v>
      </c>
      <c r="AIL55" t="e">
        <v>#N/A</v>
      </c>
      <c r="AIM55" t="e">
        <v>#N/A</v>
      </c>
      <c r="AIN55" t="e">
        <v>#N/A</v>
      </c>
      <c r="AIO55" t="e">
        <v>#N/A</v>
      </c>
      <c r="AIP55" t="e">
        <v>#N/A</v>
      </c>
      <c r="AIQ55" t="e">
        <v>#N/A</v>
      </c>
      <c r="AIR55" t="e">
        <v>#N/A</v>
      </c>
      <c r="AIS55" t="e">
        <v>#N/A</v>
      </c>
      <c r="AIT55" t="e">
        <v>#N/A</v>
      </c>
      <c r="AIU55" t="e">
        <v>#N/A</v>
      </c>
      <c r="AIV55" t="e">
        <v>#N/A</v>
      </c>
      <c r="AIW55" t="e">
        <v>#N/A</v>
      </c>
      <c r="AIX55" t="e">
        <v>#N/A</v>
      </c>
      <c r="AIY55" t="e">
        <v>#N/A</v>
      </c>
      <c r="AIZ55" t="e">
        <v>#N/A</v>
      </c>
      <c r="AJA55" t="e">
        <v>#N/A</v>
      </c>
      <c r="AJB55" t="e">
        <v>#N/A</v>
      </c>
      <c r="AJC55" t="e">
        <v>#N/A</v>
      </c>
      <c r="AJD55" t="e">
        <v>#N/A</v>
      </c>
      <c r="AJE55" t="e">
        <v>#N/A</v>
      </c>
      <c r="AJF55" t="e">
        <v>#N/A</v>
      </c>
      <c r="AJG55" t="e">
        <v>#N/A</v>
      </c>
      <c r="AJH55" t="e">
        <v>#N/A</v>
      </c>
      <c r="AJI55" t="e">
        <v>#N/A</v>
      </c>
      <c r="AJJ55" t="e">
        <v>#N/A</v>
      </c>
      <c r="AJK55" t="e">
        <v>#N/A</v>
      </c>
      <c r="AJL55" t="e">
        <v>#N/A</v>
      </c>
      <c r="AJM55" t="e">
        <v>#N/A</v>
      </c>
      <c r="AJN55" t="e">
        <v>#N/A</v>
      </c>
      <c r="AJO55" t="e">
        <v>#N/A</v>
      </c>
      <c r="AJP55" t="e">
        <v>#N/A</v>
      </c>
      <c r="AJQ55" t="e">
        <v>#N/A</v>
      </c>
      <c r="AJR55" t="e">
        <v>#N/A</v>
      </c>
      <c r="AJS55" t="e">
        <v>#N/A</v>
      </c>
      <c r="AJT55" t="e">
        <v>#N/A</v>
      </c>
      <c r="AJU55" t="e">
        <v>#N/A</v>
      </c>
      <c r="AJV55" t="e">
        <v>#N/A</v>
      </c>
      <c r="AJW55" t="e">
        <v>#N/A</v>
      </c>
      <c r="AJX55" t="e">
        <v>#N/A</v>
      </c>
      <c r="AJY55" t="e">
        <v>#N/A</v>
      </c>
      <c r="AJZ55" t="e">
        <v>#N/A</v>
      </c>
      <c r="AKA55" t="e">
        <v>#N/A</v>
      </c>
      <c r="AKB55" t="e">
        <v>#N/A</v>
      </c>
      <c r="AKC55" t="e">
        <v>#N/A</v>
      </c>
      <c r="AKD55" t="e">
        <v>#N/A</v>
      </c>
      <c r="AKE55" t="e">
        <v>#N/A</v>
      </c>
      <c r="AKF55" t="e">
        <v>#N/A</v>
      </c>
      <c r="AKG55" t="e">
        <v>#N/A</v>
      </c>
      <c r="AKH55" t="e">
        <v>#N/A</v>
      </c>
      <c r="AKI55" t="e">
        <v>#N/A</v>
      </c>
      <c r="AKJ55" t="e">
        <v>#N/A</v>
      </c>
      <c r="AKK55" t="e">
        <v>#N/A</v>
      </c>
      <c r="AKL55" t="e">
        <v>#N/A</v>
      </c>
      <c r="AKM55" t="e">
        <v>#N/A</v>
      </c>
      <c r="AKN55" t="e">
        <v>#N/A</v>
      </c>
      <c r="AKO55" t="e">
        <v>#N/A</v>
      </c>
      <c r="AKP55" t="e">
        <v>#N/A</v>
      </c>
      <c r="AKQ55" t="e">
        <v>#N/A</v>
      </c>
      <c r="AKR55" t="e">
        <v>#N/A</v>
      </c>
      <c r="AKS55" t="e">
        <v>#N/A</v>
      </c>
      <c r="AKT55" t="e">
        <v>#N/A</v>
      </c>
      <c r="AKU55" t="e">
        <v>#N/A</v>
      </c>
      <c r="AKV55" t="e">
        <v>#N/A</v>
      </c>
      <c r="AKW55" t="e">
        <v>#N/A</v>
      </c>
      <c r="AKX55" t="e">
        <v>#N/A</v>
      </c>
      <c r="AKY55" t="e">
        <v>#N/A</v>
      </c>
      <c r="AKZ55" t="e">
        <v>#N/A</v>
      </c>
      <c r="ALA55" t="e">
        <v>#N/A</v>
      </c>
      <c r="ALB55" t="e">
        <v>#N/A</v>
      </c>
      <c r="ALC55" t="e">
        <v>#N/A</v>
      </c>
      <c r="ALD55" t="e">
        <v>#N/A</v>
      </c>
      <c r="ALE55" t="e">
        <v>#N/A</v>
      </c>
      <c r="ALF55" t="e">
        <v>#N/A</v>
      </c>
      <c r="ALG55" t="e">
        <v>#N/A</v>
      </c>
      <c r="ALH55" t="e">
        <v>#N/A</v>
      </c>
      <c r="ALI55" t="e">
        <v>#N/A</v>
      </c>
      <c r="ALJ55" t="e">
        <v>#N/A</v>
      </c>
      <c r="ALK55" t="e">
        <v>#N/A</v>
      </c>
      <c r="ALL55" t="e">
        <v>#N/A</v>
      </c>
      <c r="ALM55" t="e">
        <v>#N/A</v>
      </c>
      <c r="ALN55" t="e">
        <v>#N/A</v>
      </c>
      <c r="ALO55" t="e">
        <v>#N/A</v>
      </c>
      <c r="ALP55" t="e">
        <v>#N/A</v>
      </c>
      <c r="ALQ55" t="e">
        <v>#N/A</v>
      </c>
      <c r="ALR55" t="e">
        <v>#N/A</v>
      </c>
      <c r="ALS55" t="e">
        <v>#N/A</v>
      </c>
      <c r="ALT55" t="e">
        <v>#N/A</v>
      </c>
      <c r="ALU55" t="e">
        <v>#N/A</v>
      </c>
      <c r="ALV55" t="e">
        <v>#N/A</v>
      </c>
      <c r="ALW55" t="e">
        <v>#N/A</v>
      </c>
      <c r="ALX55" t="e">
        <v>#N/A</v>
      </c>
      <c r="ALY55" t="e">
        <v>#N/A</v>
      </c>
      <c r="ALZ55" t="e">
        <v>#N/A</v>
      </c>
      <c r="AMA55" t="e">
        <v>#N/A</v>
      </c>
      <c r="AMB55" t="e">
        <v>#N/A</v>
      </c>
      <c r="AMC55" t="e">
        <v>#N/A</v>
      </c>
      <c r="AMD55" t="e">
        <v>#N/A</v>
      </c>
      <c r="AME55" t="e">
        <v>#N/A</v>
      </c>
      <c r="AMF55" t="e">
        <v>#N/A</v>
      </c>
      <c r="AMG55" t="e">
        <v>#N/A</v>
      </c>
      <c r="AMH55" t="e">
        <v>#N/A</v>
      </c>
    </row>
    <row r="56" spans="1:1022" ht="15.75" customHeight="1">
      <c r="A56" s="8">
        <v>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0</v>
      </c>
      <c r="KH56" s="8">
        <v>0</v>
      </c>
      <c r="KI56" s="8">
        <v>0</v>
      </c>
      <c r="KJ56" s="8">
        <v>0</v>
      </c>
      <c r="KK56" s="8">
        <v>0</v>
      </c>
      <c r="KL56" s="8">
        <v>0</v>
      </c>
      <c r="KM56" s="8">
        <v>0</v>
      </c>
      <c r="KN56" s="8">
        <v>0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0</v>
      </c>
      <c r="KY56" s="8">
        <v>0</v>
      </c>
      <c r="KZ56" s="8">
        <v>0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0</v>
      </c>
      <c r="MU56" s="8">
        <v>0</v>
      </c>
      <c r="MV56" s="8">
        <v>0</v>
      </c>
      <c r="MW56" s="8">
        <v>0</v>
      </c>
      <c r="MX56" s="8">
        <v>0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0</v>
      </c>
      <c r="NT56" s="8">
        <v>0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0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0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0</v>
      </c>
      <c r="PM56" s="8">
        <v>0</v>
      </c>
      <c r="PN56" s="8">
        <v>0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0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0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</v>
      </c>
      <c r="RU56" s="8">
        <v>0</v>
      </c>
      <c r="RV56" s="8">
        <v>0</v>
      </c>
      <c r="RW56" s="8">
        <v>0</v>
      </c>
      <c r="RX56" s="8">
        <v>0</v>
      </c>
      <c r="RY56" s="8">
        <v>0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  <c r="SL56" s="8">
        <v>0</v>
      </c>
      <c r="SM56" s="8">
        <v>0</v>
      </c>
      <c r="SN56" s="8">
        <v>0</v>
      </c>
      <c r="SO56" s="8">
        <v>0</v>
      </c>
      <c r="SP56" s="8">
        <v>0</v>
      </c>
      <c r="SQ56" s="8">
        <v>0</v>
      </c>
      <c r="SR56" s="8">
        <v>0</v>
      </c>
      <c r="SS56" s="8">
        <v>0</v>
      </c>
      <c r="ST56" s="8">
        <v>0</v>
      </c>
      <c r="SU56" s="8">
        <v>0</v>
      </c>
      <c r="SV56" s="8">
        <v>0</v>
      </c>
      <c r="SW56" s="8">
        <v>0</v>
      </c>
      <c r="SX56" s="8">
        <v>0</v>
      </c>
      <c r="SY56" s="8">
        <v>0</v>
      </c>
      <c r="SZ56" s="8">
        <v>0</v>
      </c>
      <c r="TA56" s="8">
        <v>0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0</v>
      </c>
      <c r="TK56" s="8">
        <v>0</v>
      </c>
      <c r="TL56" s="8">
        <v>0</v>
      </c>
      <c r="TM56" s="8">
        <v>0</v>
      </c>
      <c r="TN56" s="8">
        <v>0</v>
      </c>
      <c r="TO56" s="8">
        <v>0</v>
      </c>
      <c r="TP56" s="8">
        <v>0</v>
      </c>
      <c r="TQ56" s="8">
        <v>0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0</v>
      </c>
      <c r="UG56" s="8">
        <v>0</v>
      </c>
      <c r="UH56" s="8">
        <v>0</v>
      </c>
      <c r="UI56" s="8">
        <v>0</v>
      </c>
      <c r="UJ56" s="8">
        <v>0</v>
      </c>
      <c r="UK56" s="8">
        <v>0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0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0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0</v>
      </c>
      <c r="VQ56" s="8">
        <v>0</v>
      </c>
      <c r="VR56" s="8">
        <v>0</v>
      </c>
      <c r="VS56" s="8">
        <v>0</v>
      </c>
      <c r="VT56" s="8">
        <v>0</v>
      </c>
      <c r="VU56" s="8">
        <v>0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0</v>
      </c>
      <c r="WI56" s="8">
        <v>0</v>
      </c>
      <c r="WJ56" s="8">
        <v>0</v>
      </c>
      <c r="WK56" s="8">
        <v>0</v>
      </c>
      <c r="WL56" s="8">
        <v>0</v>
      </c>
      <c r="WM56" s="8">
        <v>0</v>
      </c>
      <c r="WN56" s="8">
        <v>0</v>
      </c>
      <c r="WO56" s="8">
        <v>0</v>
      </c>
      <c r="WP56" s="8">
        <v>0</v>
      </c>
      <c r="WQ56" s="8">
        <v>0</v>
      </c>
      <c r="WR56" s="8">
        <v>0</v>
      </c>
      <c r="WS56" s="8">
        <v>0</v>
      </c>
      <c r="WT56" s="8">
        <v>0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0</v>
      </c>
      <c r="XB56" s="8">
        <v>0</v>
      </c>
      <c r="XC56" s="8">
        <v>0</v>
      </c>
      <c r="XD56" s="8">
        <v>0</v>
      </c>
      <c r="XE56" s="8">
        <v>0</v>
      </c>
      <c r="XF56" s="8">
        <v>0</v>
      </c>
      <c r="XG56" s="8">
        <v>0</v>
      </c>
      <c r="XH56" s="8">
        <v>0</v>
      </c>
      <c r="XI56" s="8">
        <v>0</v>
      </c>
      <c r="XJ56" s="8">
        <v>0</v>
      </c>
      <c r="XK56" s="8">
        <v>0</v>
      </c>
      <c r="XL56" s="8">
        <v>0</v>
      </c>
      <c r="XM56" s="8">
        <v>0</v>
      </c>
      <c r="XN56" s="8">
        <v>0</v>
      </c>
      <c r="XO56" s="8">
        <v>0</v>
      </c>
      <c r="XP56" s="8">
        <v>0</v>
      </c>
      <c r="XQ56" s="8">
        <v>0</v>
      </c>
      <c r="XR56" s="8">
        <v>0</v>
      </c>
      <c r="XS56" s="8">
        <v>0</v>
      </c>
      <c r="XT56" s="8">
        <v>0</v>
      </c>
      <c r="XU56" s="8">
        <v>0</v>
      </c>
      <c r="XV56" s="8">
        <v>0</v>
      </c>
      <c r="XW56" s="8">
        <v>0</v>
      </c>
      <c r="XX56" s="8">
        <v>0</v>
      </c>
      <c r="XY56" s="8">
        <v>0</v>
      </c>
      <c r="XZ56" s="8">
        <v>0</v>
      </c>
      <c r="YA56" s="8">
        <v>0</v>
      </c>
      <c r="YB56" s="8">
        <v>0</v>
      </c>
      <c r="YC56" s="8">
        <v>0</v>
      </c>
      <c r="YD56" s="8">
        <v>0</v>
      </c>
      <c r="YE56" s="8">
        <v>0</v>
      </c>
      <c r="YF56" s="8">
        <v>0</v>
      </c>
      <c r="YG56" s="8">
        <v>0</v>
      </c>
      <c r="YH56" s="8">
        <v>0</v>
      </c>
      <c r="YI56" s="8">
        <v>0</v>
      </c>
      <c r="YJ56" s="8">
        <v>0</v>
      </c>
      <c r="YK56" s="8">
        <v>0</v>
      </c>
      <c r="YL56" s="8">
        <v>0</v>
      </c>
      <c r="YM56" s="8">
        <v>0</v>
      </c>
      <c r="YN56" s="8">
        <v>0</v>
      </c>
      <c r="YO56" s="8">
        <v>0</v>
      </c>
      <c r="YP56" s="8">
        <v>0</v>
      </c>
      <c r="YQ56" s="8">
        <v>0</v>
      </c>
      <c r="YR56" s="8">
        <v>0</v>
      </c>
      <c r="YS56" s="8">
        <v>0</v>
      </c>
      <c r="YT56" s="8">
        <v>0</v>
      </c>
      <c r="YU56" s="8">
        <v>0</v>
      </c>
      <c r="YV56" s="8">
        <v>0</v>
      </c>
      <c r="YW56" s="8">
        <v>0</v>
      </c>
      <c r="YX56" s="8">
        <v>0</v>
      </c>
      <c r="YY56" s="8">
        <v>0</v>
      </c>
      <c r="YZ56" s="8">
        <v>0</v>
      </c>
      <c r="ZA56" s="8">
        <v>0</v>
      </c>
      <c r="ZB56" s="8">
        <v>0</v>
      </c>
      <c r="ZC56" s="8">
        <v>0</v>
      </c>
      <c r="ZD56" s="8">
        <v>0</v>
      </c>
      <c r="ZE56" s="8">
        <v>0</v>
      </c>
      <c r="ZF56" s="8">
        <v>0</v>
      </c>
      <c r="ZG56" s="8">
        <v>0</v>
      </c>
      <c r="ZH56" s="8">
        <v>0</v>
      </c>
      <c r="ZI56" s="8">
        <v>0</v>
      </c>
      <c r="ZJ56" s="8">
        <v>0</v>
      </c>
      <c r="ZK56" s="8">
        <v>0</v>
      </c>
      <c r="ZL56" s="8">
        <v>0</v>
      </c>
      <c r="ZM56" s="8">
        <v>0</v>
      </c>
      <c r="ZN56" s="8">
        <v>0</v>
      </c>
      <c r="ZO56" s="8">
        <v>0</v>
      </c>
      <c r="ZP56" s="8">
        <v>0</v>
      </c>
      <c r="ZQ56" s="8">
        <v>0</v>
      </c>
      <c r="ZR56" s="8">
        <v>0</v>
      </c>
      <c r="ZS56" s="8">
        <v>0</v>
      </c>
      <c r="ZT56" s="8">
        <v>0</v>
      </c>
      <c r="ZU56" s="8">
        <v>0</v>
      </c>
      <c r="ZV56" s="8">
        <v>0</v>
      </c>
      <c r="ZW56" s="8">
        <v>0</v>
      </c>
      <c r="ZX56" s="8">
        <v>0</v>
      </c>
      <c r="ZY56" s="8">
        <v>0</v>
      </c>
      <c r="ZZ56" s="8">
        <v>0</v>
      </c>
      <c r="AAA56" s="8">
        <v>0</v>
      </c>
      <c r="AAB56" s="8">
        <v>0</v>
      </c>
      <c r="AAC56" s="8">
        <v>0</v>
      </c>
      <c r="AAD56" s="8">
        <v>0</v>
      </c>
      <c r="AAE56" s="8">
        <v>0</v>
      </c>
      <c r="AAF56" s="8">
        <v>0</v>
      </c>
      <c r="AAG56" s="8">
        <v>0</v>
      </c>
      <c r="AAH56" s="8">
        <v>0</v>
      </c>
      <c r="AAI56" s="8">
        <v>0</v>
      </c>
      <c r="AAJ56" s="8">
        <v>0</v>
      </c>
      <c r="AAK56" s="8">
        <v>0</v>
      </c>
      <c r="AAL56" s="8">
        <v>0</v>
      </c>
      <c r="AAM56" s="8">
        <v>0</v>
      </c>
      <c r="AAN56" s="8">
        <v>0</v>
      </c>
      <c r="AAO56" s="8">
        <v>0</v>
      </c>
      <c r="AAP56" s="8">
        <v>0</v>
      </c>
      <c r="AAQ56" s="8">
        <v>0</v>
      </c>
      <c r="AAR56" s="8">
        <v>0</v>
      </c>
      <c r="AAS56" s="8">
        <v>0</v>
      </c>
      <c r="AAT56" s="8">
        <v>0</v>
      </c>
      <c r="AAU56" s="8">
        <v>0</v>
      </c>
      <c r="AAV56" s="8">
        <v>0</v>
      </c>
      <c r="AAW56" s="8">
        <v>0</v>
      </c>
      <c r="AAX56" s="8">
        <v>0</v>
      </c>
      <c r="AAY56" s="8">
        <v>0</v>
      </c>
      <c r="AAZ56" s="8">
        <v>0</v>
      </c>
      <c r="ABA56" s="8">
        <v>0</v>
      </c>
      <c r="ABB56" s="8">
        <v>0</v>
      </c>
      <c r="ABC56" s="8">
        <v>0</v>
      </c>
      <c r="ABD56" s="8">
        <v>0</v>
      </c>
      <c r="ABE56" s="8">
        <v>0</v>
      </c>
      <c r="ABF56" s="8">
        <v>0</v>
      </c>
      <c r="ABG56" s="8">
        <v>0</v>
      </c>
      <c r="ABH56" s="8">
        <v>0</v>
      </c>
      <c r="ABI56" s="8">
        <v>0</v>
      </c>
      <c r="ABJ56" s="8">
        <v>0</v>
      </c>
      <c r="ABK56" s="8">
        <v>0</v>
      </c>
      <c r="ABL56" s="8">
        <v>0</v>
      </c>
      <c r="ABM56" s="8">
        <v>0</v>
      </c>
      <c r="ABN56" s="8">
        <v>0</v>
      </c>
      <c r="ABO56" s="8">
        <v>0</v>
      </c>
      <c r="ABP56" s="8">
        <v>0</v>
      </c>
      <c r="ABQ56" s="8">
        <v>0</v>
      </c>
      <c r="ABR56" s="8">
        <v>0</v>
      </c>
      <c r="ABS56" s="8">
        <v>0</v>
      </c>
      <c r="ABT56" s="8">
        <v>0</v>
      </c>
      <c r="ABU56" s="8">
        <v>0</v>
      </c>
      <c r="ABV56" s="8">
        <v>0</v>
      </c>
      <c r="ABW56" s="8">
        <v>0</v>
      </c>
      <c r="ABX56" s="8">
        <v>0</v>
      </c>
      <c r="ABY56" s="8">
        <v>0</v>
      </c>
      <c r="ABZ56" s="8">
        <v>0</v>
      </c>
      <c r="ACA56" s="8">
        <v>0</v>
      </c>
      <c r="ACB56" s="8">
        <v>0</v>
      </c>
      <c r="ACC56" s="8">
        <v>0</v>
      </c>
      <c r="ACD56" s="8">
        <v>0</v>
      </c>
      <c r="ACE56" s="8">
        <v>0</v>
      </c>
      <c r="ACF56" s="8">
        <v>0</v>
      </c>
      <c r="ACG56" s="8">
        <v>0</v>
      </c>
      <c r="ACH56" s="8">
        <v>0</v>
      </c>
      <c r="ACI56" s="8">
        <v>0</v>
      </c>
      <c r="ACJ56" s="8">
        <v>0</v>
      </c>
      <c r="ACK56" s="8">
        <v>0</v>
      </c>
      <c r="ACL56" s="8">
        <v>0</v>
      </c>
      <c r="ACM56" s="8">
        <v>0</v>
      </c>
      <c r="ACN56" s="8">
        <v>0</v>
      </c>
      <c r="ACO56" s="8">
        <v>0</v>
      </c>
      <c r="ACP56" s="8">
        <v>0</v>
      </c>
      <c r="ACQ56" s="8">
        <v>0</v>
      </c>
      <c r="ACR56" s="8">
        <v>0</v>
      </c>
      <c r="ACS56" s="8">
        <v>0</v>
      </c>
      <c r="ACT56" s="8">
        <v>0</v>
      </c>
      <c r="ACU56" s="8">
        <v>0</v>
      </c>
      <c r="ACV56" s="8">
        <v>0</v>
      </c>
      <c r="ACW56" s="8">
        <v>0</v>
      </c>
      <c r="ACX56" s="8">
        <v>0</v>
      </c>
      <c r="ACY56" s="8">
        <v>0</v>
      </c>
      <c r="ACZ56" s="8">
        <v>0</v>
      </c>
      <c r="ADA56" s="8">
        <v>0</v>
      </c>
      <c r="ADB56" s="8">
        <v>0</v>
      </c>
      <c r="ADC56" s="8">
        <v>0</v>
      </c>
      <c r="ADD56" s="8">
        <v>0</v>
      </c>
      <c r="ADE56" s="8">
        <v>0</v>
      </c>
      <c r="ADF56" s="8">
        <v>0</v>
      </c>
      <c r="ADG56" s="8">
        <v>0</v>
      </c>
      <c r="ADH56" s="8">
        <v>0</v>
      </c>
      <c r="ADI56" s="8">
        <v>0</v>
      </c>
      <c r="ADJ56" s="8">
        <v>0</v>
      </c>
      <c r="ADK56" s="8">
        <v>0</v>
      </c>
      <c r="ADL56" s="8">
        <v>0</v>
      </c>
      <c r="ADM56" s="8">
        <v>0</v>
      </c>
      <c r="ADN56" s="8">
        <v>0</v>
      </c>
      <c r="ADO56" s="8">
        <v>0</v>
      </c>
      <c r="ADP56" s="8">
        <v>0</v>
      </c>
      <c r="ADQ56" s="8">
        <v>0</v>
      </c>
      <c r="ADR56" s="8">
        <v>0</v>
      </c>
      <c r="ADS56" s="8">
        <v>0</v>
      </c>
      <c r="ADT56" s="8">
        <v>0</v>
      </c>
      <c r="ADU56" s="8">
        <v>0</v>
      </c>
      <c r="ADV56" s="8">
        <v>0</v>
      </c>
      <c r="ADW56" s="8">
        <v>0</v>
      </c>
      <c r="ADX56" s="8">
        <v>0</v>
      </c>
      <c r="ADY56" s="8">
        <v>0</v>
      </c>
      <c r="ADZ56" s="8">
        <v>0</v>
      </c>
      <c r="AEA56" s="8">
        <v>0</v>
      </c>
      <c r="AEB56" s="8">
        <v>0</v>
      </c>
      <c r="AEC56" s="8">
        <v>0</v>
      </c>
      <c r="AED56" s="8">
        <v>0</v>
      </c>
      <c r="AEE56" s="8">
        <v>0</v>
      </c>
      <c r="AEF56" s="8">
        <v>0</v>
      </c>
      <c r="AEG56" s="8">
        <v>0</v>
      </c>
      <c r="AEH56" s="8">
        <v>0</v>
      </c>
      <c r="AEI56" s="8">
        <v>0</v>
      </c>
      <c r="AEJ56" s="8">
        <v>0</v>
      </c>
      <c r="AEK56" s="8">
        <v>0</v>
      </c>
      <c r="AEL56" s="8">
        <v>0</v>
      </c>
      <c r="AEM56" s="8">
        <v>0</v>
      </c>
      <c r="AEN56" s="8">
        <v>0</v>
      </c>
      <c r="AEO56" s="8">
        <v>0</v>
      </c>
      <c r="AEP56" s="8">
        <v>0</v>
      </c>
      <c r="AEQ56" s="8">
        <v>0</v>
      </c>
      <c r="AER56" s="8">
        <v>0</v>
      </c>
      <c r="AES56" s="8">
        <v>0</v>
      </c>
      <c r="AET56" s="8">
        <v>0</v>
      </c>
      <c r="AEU56" s="8">
        <v>0</v>
      </c>
      <c r="AEV56" s="8">
        <v>0</v>
      </c>
      <c r="AEW56" s="8">
        <v>0</v>
      </c>
      <c r="AEX56" s="8">
        <v>0</v>
      </c>
      <c r="AEY56" s="8">
        <v>0</v>
      </c>
      <c r="AEZ56" s="8">
        <v>0</v>
      </c>
      <c r="AFA56" s="8">
        <v>0</v>
      </c>
      <c r="AFB56" s="8">
        <v>0</v>
      </c>
      <c r="AFC56" s="8">
        <v>0</v>
      </c>
      <c r="AFD56" s="8">
        <v>0</v>
      </c>
      <c r="AFE56" s="8">
        <v>0</v>
      </c>
      <c r="AFF56" s="8">
        <v>0</v>
      </c>
      <c r="AFG56" s="8">
        <v>0</v>
      </c>
      <c r="AFH56" s="8">
        <v>0</v>
      </c>
      <c r="AFI56" s="8">
        <v>0</v>
      </c>
      <c r="AFJ56" s="8">
        <v>0</v>
      </c>
      <c r="AFK56" s="8">
        <v>0</v>
      </c>
      <c r="AFL56" s="8">
        <v>0</v>
      </c>
      <c r="AFM56" s="8">
        <v>0</v>
      </c>
      <c r="AFN56" s="8">
        <v>0</v>
      </c>
      <c r="AFO56" s="8">
        <v>0</v>
      </c>
      <c r="AFP56" s="8">
        <v>0</v>
      </c>
      <c r="AFQ56" s="8">
        <v>0</v>
      </c>
      <c r="AFR56" s="8">
        <v>0</v>
      </c>
      <c r="AFS56" s="8">
        <v>0</v>
      </c>
      <c r="AFT56" s="8">
        <v>0</v>
      </c>
      <c r="AFU56" s="8">
        <v>0</v>
      </c>
      <c r="AFV56" s="8">
        <v>0</v>
      </c>
      <c r="AFW56" s="8">
        <v>0</v>
      </c>
      <c r="AFX56" s="8">
        <v>0</v>
      </c>
      <c r="AFY56" s="8">
        <v>0</v>
      </c>
      <c r="AFZ56" s="8">
        <v>0</v>
      </c>
      <c r="AGA56" s="8">
        <v>0</v>
      </c>
      <c r="AGB56" s="8">
        <v>0</v>
      </c>
      <c r="AGC56" s="8">
        <v>0</v>
      </c>
      <c r="AGD56" s="8">
        <v>0</v>
      </c>
      <c r="AGE56" s="8">
        <v>0</v>
      </c>
      <c r="AGF56" s="8">
        <v>0</v>
      </c>
      <c r="AGG56" s="8">
        <v>0</v>
      </c>
      <c r="AGH56" s="8">
        <v>0</v>
      </c>
      <c r="AGI56" s="8">
        <v>0</v>
      </c>
      <c r="AGJ56" s="8">
        <v>0</v>
      </c>
      <c r="AGK56" s="8">
        <v>0</v>
      </c>
      <c r="AGL56" s="8">
        <v>0</v>
      </c>
      <c r="AGM56" s="8">
        <v>0</v>
      </c>
      <c r="AGN56" s="8">
        <v>0</v>
      </c>
      <c r="AGO56" s="8">
        <v>0</v>
      </c>
      <c r="AGP56" s="8">
        <v>0</v>
      </c>
      <c r="AGQ56" s="8">
        <v>0</v>
      </c>
      <c r="AGR56" s="8">
        <v>0</v>
      </c>
      <c r="AGS56" s="8">
        <v>0</v>
      </c>
      <c r="AGT56" s="8">
        <v>0</v>
      </c>
      <c r="AGU56" s="8">
        <v>0</v>
      </c>
      <c r="AGV56" s="8">
        <v>0</v>
      </c>
      <c r="AGW56" s="8">
        <v>0</v>
      </c>
      <c r="AGX56" s="8">
        <v>0</v>
      </c>
      <c r="AGY56" s="8">
        <v>0</v>
      </c>
      <c r="AGZ56" s="8">
        <v>0</v>
      </c>
      <c r="AHA56" s="8">
        <v>0</v>
      </c>
      <c r="AHB56" s="8">
        <v>0</v>
      </c>
      <c r="AHC56" s="8">
        <v>0</v>
      </c>
      <c r="AHD56" s="8">
        <v>0</v>
      </c>
      <c r="AHE56" s="8">
        <v>0</v>
      </c>
      <c r="AHF56" s="8">
        <v>0</v>
      </c>
      <c r="AHG56" s="8">
        <v>0</v>
      </c>
      <c r="AHH56" s="8">
        <v>0</v>
      </c>
      <c r="AHI56" s="8">
        <v>0</v>
      </c>
      <c r="AHJ56" s="8">
        <v>0</v>
      </c>
      <c r="AHK56" s="8">
        <v>0</v>
      </c>
      <c r="AHL56" s="8">
        <v>0</v>
      </c>
      <c r="AHM56" s="8">
        <v>0</v>
      </c>
      <c r="AHN56" s="8">
        <v>0</v>
      </c>
      <c r="AHO56" s="8">
        <v>0</v>
      </c>
      <c r="AHP56" s="8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 t="e">
        <v>#N/A</v>
      </c>
      <c r="AIJ56" t="e">
        <v>#N/A</v>
      </c>
      <c r="AIK56" t="e">
        <v>#N/A</v>
      </c>
      <c r="AIL56" t="e">
        <v>#N/A</v>
      </c>
      <c r="AIM56" t="e">
        <v>#N/A</v>
      </c>
      <c r="AIN56" t="e">
        <v>#N/A</v>
      </c>
      <c r="AIO56" t="e">
        <v>#N/A</v>
      </c>
      <c r="AIP56" t="e">
        <v>#N/A</v>
      </c>
      <c r="AIQ56" t="e">
        <v>#N/A</v>
      </c>
      <c r="AIR56" t="e">
        <v>#N/A</v>
      </c>
      <c r="AIS56" t="e">
        <v>#N/A</v>
      </c>
      <c r="AIT56" t="e">
        <v>#N/A</v>
      </c>
      <c r="AIU56" t="e">
        <v>#N/A</v>
      </c>
      <c r="AIV56" t="e">
        <v>#N/A</v>
      </c>
      <c r="AIW56" t="e">
        <v>#N/A</v>
      </c>
      <c r="AIX56" t="e">
        <v>#N/A</v>
      </c>
      <c r="AIY56" t="e">
        <v>#N/A</v>
      </c>
      <c r="AIZ56" t="e">
        <v>#N/A</v>
      </c>
      <c r="AJA56" t="e">
        <v>#N/A</v>
      </c>
      <c r="AJB56" t="e">
        <v>#N/A</v>
      </c>
      <c r="AJC56" t="e">
        <v>#N/A</v>
      </c>
      <c r="AJD56" t="e">
        <v>#N/A</v>
      </c>
      <c r="AJE56" t="e">
        <v>#N/A</v>
      </c>
      <c r="AJF56" t="e">
        <v>#N/A</v>
      </c>
      <c r="AJG56" t="e">
        <v>#N/A</v>
      </c>
      <c r="AJH56" t="e">
        <v>#N/A</v>
      </c>
      <c r="AJI56" t="e">
        <v>#N/A</v>
      </c>
      <c r="AJJ56" t="e">
        <v>#N/A</v>
      </c>
      <c r="AJK56" t="e">
        <v>#N/A</v>
      </c>
      <c r="AJL56" t="e">
        <v>#N/A</v>
      </c>
      <c r="AJM56" t="e">
        <v>#N/A</v>
      </c>
      <c r="AJN56" t="e">
        <v>#N/A</v>
      </c>
      <c r="AJO56" t="e">
        <v>#N/A</v>
      </c>
      <c r="AJP56" t="e">
        <v>#N/A</v>
      </c>
      <c r="AJQ56" t="e">
        <v>#N/A</v>
      </c>
      <c r="AJR56" t="e">
        <v>#N/A</v>
      </c>
      <c r="AJS56" t="e">
        <v>#N/A</v>
      </c>
      <c r="AJT56" t="e">
        <v>#N/A</v>
      </c>
      <c r="AJU56" t="e">
        <v>#N/A</v>
      </c>
      <c r="AJV56" t="e">
        <v>#N/A</v>
      </c>
      <c r="AJW56" t="e">
        <v>#N/A</v>
      </c>
      <c r="AJX56" t="e">
        <v>#N/A</v>
      </c>
      <c r="AJY56" t="e">
        <v>#N/A</v>
      </c>
      <c r="AJZ56" t="e">
        <v>#N/A</v>
      </c>
      <c r="AKA56" t="e">
        <v>#N/A</v>
      </c>
      <c r="AKB56" t="e">
        <v>#N/A</v>
      </c>
      <c r="AKC56" t="e">
        <v>#N/A</v>
      </c>
      <c r="AKD56" t="e">
        <v>#N/A</v>
      </c>
      <c r="AKE56" t="e">
        <v>#N/A</v>
      </c>
      <c r="AKF56" t="e">
        <v>#N/A</v>
      </c>
      <c r="AKG56" t="e">
        <v>#N/A</v>
      </c>
      <c r="AKH56" t="e">
        <v>#N/A</v>
      </c>
      <c r="AKI56" t="e">
        <v>#N/A</v>
      </c>
      <c r="AKJ56" t="e">
        <v>#N/A</v>
      </c>
      <c r="AKK56" t="e">
        <v>#N/A</v>
      </c>
      <c r="AKL56" t="e">
        <v>#N/A</v>
      </c>
      <c r="AKM56" t="e">
        <v>#N/A</v>
      </c>
      <c r="AKN56" t="e">
        <v>#N/A</v>
      </c>
      <c r="AKO56" t="e">
        <v>#N/A</v>
      </c>
      <c r="AKP56" t="e">
        <v>#N/A</v>
      </c>
      <c r="AKQ56" t="e">
        <v>#N/A</v>
      </c>
      <c r="AKR56" t="e">
        <v>#N/A</v>
      </c>
      <c r="AKS56" t="e">
        <v>#N/A</v>
      </c>
      <c r="AKT56" t="e">
        <v>#N/A</v>
      </c>
      <c r="AKU56" t="e">
        <v>#N/A</v>
      </c>
      <c r="AKV56" t="e">
        <v>#N/A</v>
      </c>
      <c r="AKW56" t="e">
        <v>#N/A</v>
      </c>
      <c r="AKX56" t="e">
        <v>#N/A</v>
      </c>
      <c r="AKY56" t="e">
        <v>#N/A</v>
      </c>
      <c r="AKZ56" t="e">
        <v>#N/A</v>
      </c>
      <c r="ALA56" t="e">
        <v>#N/A</v>
      </c>
      <c r="ALB56" t="e">
        <v>#N/A</v>
      </c>
      <c r="ALC56" t="e">
        <v>#N/A</v>
      </c>
      <c r="ALD56" t="e">
        <v>#N/A</v>
      </c>
      <c r="ALE56" t="e">
        <v>#N/A</v>
      </c>
      <c r="ALF56" t="e">
        <v>#N/A</v>
      </c>
      <c r="ALG56" t="e">
        <v>#N/A</v>
      </c>
      <c r="ALH56" t="e">
        <v>#N/A</v>
      </c>
      <c r="ALI56" t="e">
        <v>#N/A</v>
      </c>
      <c r="ALJ56" t="e">
        <v>#N/A</v>
      </c>
      <c r="ALK56" t="e">
        <v>#N/A</v>
      </c>
      <c r="ALL56" t="e">
        <v>#N/A</v>
      </c>
      <c r="ALM56" t="e">
        <v>#N/A</v>
      </c>
      <c r="ALN56" t="e">
        <v>#N/A</v>
      </c>
      <c r="ALO56" t="e">
        <v>#N/A</v>
      </c>
      <c r="ALP56" t="e">
        <v>#N/A</v>
      </c>
      <c r="ALQ56" t="e">
        <v>#N/A</v>
      </c>
      <c r="ALR56" t="e">
        <v>#N/A</v>
      </c>
      <c r="ALS56" t="e">
        <v>#N/A</v>
      </c>
      <c r="ALT56" t="e">
        <v>#N/A</v>
      </c>
      <c r="ALU56" t="e">
        <v>#N/A</v>
      </c>
      <c r="ALV56" t="e">
        <v>#N/A</v>
      </c>
      <c r="ALW56" t="e">
        <v>#N/A</v>
      </c>
      <c r="ALX56" t="e">
        <v>#N/A</v>
      </c>
      <c r="ALY56" t="e">
        <v>#N/A</v>
      </c>
      <c r="ALZ56" t="e">
        <v>#N/A</v>
      </c>
      <c r="AMA56" t="e">
        <v>#N/A</v>
      </c>
      <c r="AMB56" t="e">
        <v>#N/A</v>
      </c>
      <c r="AMC56" t="e">
        <v>#N/A</v>
      </c>
      <c r="AMD56" t="e">
        <v>#N/A</v>
      </c>
      <c r="AME56" t="e">
        <v>#N/A</v>
      </c>
      <c r="AMF56" t="e">
        <v>#N/A</v>
      </c>
      <c r="AMG56" t="e">
        <v>#N/A</v>
      </c>
      <c r="AMH56" t="e">
        <v>#N/A</v>
      </c>
    </row>
    <row r="57" spans="1:1022" ht="15.75" customHeight="1">
      <c r="A57" s="8">
        <v>0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IS57" s="8">
        <v>0</v>
      </c>
      <c r="IT57" s="8">
        <v>0</v>
      </c>
      <c r="IU57" s="8">
        <v>0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0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0</v>
      </c>
      <c r="KH57" s="8">
        <v>0</v>
      </c>
      <c r="KI57" s="8">
        <v>0</v>
      </c>
      <c r="KJ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0</v>
      </c>
      <c r="KT57" s="8">
        <v>0</v>
      </c>
      <c r="KU57" s="8">
        <v>0</v>
      </c>
      <c r="KV57" s="8">
        <v>0</v>
      </c>
      <c r="KW57" s="8">
        <v>0</v>
      </c>
      <c r="KX57" s="8">
        <v>0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0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  <c r="NN57" s="8">
        <v>0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0</v>
      </c>
      <c r="OQ57" s="8">
        <v>0</v>
      </c>
      <c r="OR57" s="8">
        <v>0</v>
      </c>
      <c r="OS57" s="8">
        <v>0</v>
      </c>
      <c r="OT57" s="8">
        <v>0</v>
      </c>
      <c r="OU57" s="8">
        <v>0</v>
      </c>
      <c r="OV57" s="8">
        <v>0</v>
      </c>
      <c r="OW57" s="8">
        <v>0</v>
      </c>
      <c r="OX57" s="8">
        <v>0</v>
      </c>
      <c r="OY57" s="8">
        <v>0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0</v>
      </c>
      <c r="SD57" s="8">
        <v>0</v>
      </c>
      <c r="SE57" s="8">
        <v>0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8">
        <v>0</v>
      </c>
      <c r="SP57" s="8">
        <v>0</v>
      </c>
      <c r="SQ57" s="8">
        <v>0</v>
      </c>
      <c r="SR57" s="8">
        <v>0</v>
      </c>
      <c r="SS57" s="8">
        <v>0</v>
      </c>
      <c r="ST57" s="8">
        <v>0</v>
      </c>
      <c r="SU57" s="8">
        <v>0</v>
      </c>
      <c r="SV57" s="8">
        <v>0</v>
      </c>
      <c r="SW57" s="8">
        <v>0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8">
        <v>0</v>
      </c>
      <c r="TD57" s="8">
        <v>0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8">
        <v>0</v>
      </c>
      <c r="TK57" s="8">
        <v>0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8">
        <v>0</v>
      </c>
      <c r="TR57" s="8">
        <v>0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8">
        <v>0</v>
      </c>
      <c r="TY57" s="8">
        <v>0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8">
        <v>0</v>
      </c>
      <c r="UF57" s="8">
        <v>0</v>
      </c>
      <c r="UG57" s="8">
        <v>0</v>
      </c>
      <c r="UH57" s="8">
        <v>0</v>
      </c>
      <c r="UI57" s="8">
        <v>0</v>
      </c>
      <c r="UJ57" s="8">
        <v>0</v>
      </c>
      <c r="UK57" s="8">
        <v>0</v>
      </c>
      <c r="UL57" s="8">
        <v>0</v>
      </c>
      <c r="UM57" s="8">
        <v>0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8">
        <v>0</v>
      </c>
      <c r="UT57" s="8">
        <v>0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8">
        <v>0</v>
      </c>
      <c r="VA57" s="8">
        <v>0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8">
        <v>0</v>
      </c>
      <c r="VH57" s="8">
        <v>0</v>
      </c>
      <c r="VI57" s="8">
        <v>0</v>
      </c>
      <c r="VJ57" s="8">
        <v>0</v>
      </c>
      <c r="VK57" s="8">
        <v>0</v>
      </c>
      <c r="VL57" s="8">
        <v>0</v>
      </c>
      <c r="VM57" s="8">
        <v>0</v>
      </c>
      <c r="VN57" s="8">
        <v>0</v>
      </c>
      <c r="VO57" s="8">
        <v>0</v>
      </c>
      <c r="VP57" s="8">
        <v>0</v>
      </c>
      <c r="VQ57" s="8">
        <v>0</v>
      </c>
      <c r="VR57" s="8">
        <v>0</v>
      </c>
      <c r="VS57" s="8">
        <v>0</v>
      </c>
      <c r="VT57" s="8">
        <v>0</v>
      </c>
      <c r="VU57" s="8">
        <v>0</v>
      </c>
      <c r="VV57" s="8">
        <v>0</v>
      </c>
      <c r="VW57" s="8">
        <v>0</v>
      </c>
      <c r="VX57" s="8">
        <v>0</v>
      </c>
      <c r="VY57" s="8">
        <v>0</v>
      </c>
      <c r="VZ57" s="8">
        <v>0</v>
      </c>
      <c r="WA57" s="8">
        <v>0</v>
      </c>
      <c r="WB57" s="8">
        <v>0</v>
      </c>
      <c r="WC57" s="8">
        <v>0</v>
      </c>
      <c r="WD57" s="8">
        <v>0</v>
      </c>
      <c r="WE57" s="8">
        <v>0</v>
      </c>
      <c r="WF57" s="8">
        <v>0</v>
      </c>
      <c r="WG57" s="8">
        <v>0</v>
      </c>
      <c r="WH57" s="8">
        <v>0</v>
      </c>
      <c r="WI57" s="8">
        <v>0</v>
      </c>
      <c r="WJ57" s="8">
        <v>0</v>
      </c>
      <c r="WK57" s="8">
        <v>0</v>
      </c>
      <c r="WL57" s="8">
        <v>0</v>
      </c>
      <c r="WM57" s="8">
        <v>0</v>
      </c>
      <c r="WN57" s="8">
        <v>0</v>
      </c>
      <c r="WO57" s="8">
        <v>0</v>
      </c>
      <c r="WP57" s="8">
        <v>0</v>
      </c>
      <c r="WQ57" s="8">
        <v>0</v>
      </c>
      <c r="WR57" s="8">
        <v>0</v>
      </c>
      <c r="WS57" s="8">
        <v>0</v>
      </c>
      <c r="WT57" s="8">
        <v>0</v>
      </c>
      <c r="WU57" s="8">
        <v>0</v>
      </c>
      <c r="WV57" s="8">
        <v>0</v>
      </c>
      <c r="WW57" s="8">
        <v>0</v>
      </c>
      <c r="WX57" s="8">
        <v>0</v>
      </c>
      <c r="WY57" s="8">
        <v>0</v>
      </c>
      <c r="WZ57" s="8">
        <v>0</v>
      </c>
      <c r="XA57" s="8">
        <v>0</v>
      </c>
      <c r="XB57" s="8">
        <v>0</v>
      </c>
      <c r="XC57" s="8">
        <v>0</v>
      </c>
      <c r="XD57" s="8">
        <v>0</v>
      </c>
      <c r="XE57" s="8">
        <v>0</v>
      </c>
      <c r="XF57" s="8">
        <v>0</v>
      </c>
      <c r="XG57" s="8">
        <v>0</v>
      </c>
      <c r="XH57" s="8">
        <v>0</v>
      </c>
      <c r="XI57" s="8">
        <v>0</v>
      </c>
      <c r="XJ57" s="8">
        <v>0</v>
      </c>
      <c r="XK57" s="8">
        <v>0</v>
      </c>
      <c r="XL57" s="8">
        <v>0</v>
      </c>
      <c r="XM57" s="8">
        <v>0</v>
      </c>
      <c r="XN57" s="8">
        <v>0</v>
      </c>
      <c r="XO57" s="8">
        <v>0</v>
      </c>
      <c r="XP57" s="8">
        <v>0</v>
      </c>
      <c r="XQ57" s="8">
        <v>0</v>
      </c>
      <c r="XR57" s="8">
        <v>0</v>
      </c>
      <c r="XS57" s="8">
        <v>0</v>
      </c>
      <c r="XT57" s="8">
        <v>0</v>
      </c>
      <c r="XU57" s="8">
        <v>0</v>
      </c>
      <c r="XV57" s="8">
        <v>0</v>
      </c>
      <c r="XW57" s="8">
        <v>0</v>
      </c>
      <c r="XX57" s="8">
        <v>0</v>
      </c>
      <c r="XY57" s="8">
        <v>0</v>
      </c>
      <c r="XZ57" s="8">
        <v>0</v>
      </c>
      <c r="YA57" s="8">
        <v>0</v>
      </c>
      <c r="YB57" s="8">
        <v>0</v>
      </c>
      <c r="YC57" s="8">
        <v>0</v>
      </c>
      <c r="YD57" s="8">
        <v>0</v>
      </c>
      <c r="YE57" s="8">
        <v>0</v>
      </c>
      <c r="YF57" s="8">
        <v>0</v>
      </c>
      <c r="YG57" s="8">
        <v>0</v>
      </c>
      <c r="YH57" s="8">
        <v>0</v>
      </c>
      <c r="YI57" s="8">
        <v>0</v>
      </c>
      <c r="YJ57" s="8">
        <v>0</v>
      </c>
      <c r="YK57" s="8">
        <v>0</v>
      </c>
      <c r="YL57" s="8">
        <v>0</v>
      </c>
      <c r="YM57" s="8">
        <v>0</v>
      </c>
      <c r="YN57" s="8">
        <v>0</v>
      </c>
      <c r="YO57" s="8">
        <v>0</v>
      </c>
      <c r="YP57" s="8">
        <v>0</v>
      </c>
      <c r="YQ57" s="8">
        <v>0</v>
      </c>
      <c r="YR57" s="8">
        <v>0</v>
      </c>
      <c r="YS57" s="8">
        <v>0</v>
      </c>
      <c r="YT57" s="8">
        <v>0</v>
      </c>
      <c r="YU57" s="8">
        <v>0</v>
      </c>
      <c r="YV57" s="8">
        <v>0</v>
      </c>
      <c r="YW57" s="8">
        <v>0</v>
      </c>
      <c r="YX57" s="8">
        <v>0</v>
      </c>
      <c r="YY57" s="8">
        <v>0</v>
      </c>
      <c r="YZ57" s="8">
        <v>0</v>
      </c>
      <c r="ZA57" s="8">
        <v>0</v>
      </c>
      <c r="ZB57" s="8">
        <v>0</v>
      </c>
      <c r="ZC57" s="8">
        <v>0</v>
      </c>
      <c r="ZD57" s="8">
        <v>0</v>
      </c>
      <c r="ZE57" s="8">
        <v>0</v>
      </c>
      <c r="ZF57" s="8">
        <v>0</v>
      </c>
      <c r="ZG57" s="8">
        <v>0</v>
      </c>
      <c r="ZH57" s="8">
        <v>0</v>
      </c>
      <c r="ZI57" s="8">
        <v>0</v>
      </c>
      <c r="ZJ57" s="8">
        <v>0</v>
      </c>
      <c r="ZK57" s="8">
        <v>0</v>
      </c>
      <c r="ZL57" s="8">
        <v>0</v>
      </c>
      <c r="ZM57" s="8">
        <v>0</v>
      </c>
      <c r="ZN57" s="8">
        <v>0</v>
      </c>
      <c r="ZO57" s="8">
        <v>0</v>
      </c>
      <c r="ZP57" s="8">
        <v>0</v>
      </c>
      <c r="ZQ57" s="8">
        <v>0</v>
      </c>
      <c r="ZR57" s="8">
        <v>0</v>
      </c>
      <c r="ZS57" s="8">
        <v>0</v>
      </c>
      <c r="ZT57" s="8">
        <v>0</v>
      </c>
      <c r="ZU57" s="8">
        <v>0</v>
      </c>
      <c r="ZV57" s="8">
        <v>0</v>
      </c>
      <c r="ZW57" s="8">
        <v>0</v>
      </c>
      <c r="ZX57" s="8">
        <v>0</v>
      </c>
      <c r="ZY57" s="8">
        <v>0</v>
      </c>
      <c r="ZZ57" s="8">
        <v>0</v>
      </c>
      <c r="AAA57" s="8">
        <v>0</v>
      </c>
      <c r="AAB57" s="8">
        <v>0</v>
      </c>
      <c r="AAC57" s="8">
        <v>0</v>
      </c>
      <c r="AAD57" s="8">
        <v>0</v>
      </c>
      <c r="AAE57" s="8">
        <v>0</v>
      </c>
      <c r="AAF57" s="8">
        <v>0</v>
      </c>
      <c r="AAG57" s="8">
        <v>0</v>
      </c>
      <c r="AAH57" s="8">
        <v>0</v>
      </c>
      <c r="AAI57" s="8">
        <v>0</v>
      </c>
      <c r="AAJ57" s="8">
        <v>0</v>
      </c>
      <c r="AAK57" s="8">
        <v>0</v>
      </c>
      <c r="AAL57" s="8">
        <v>0</v>
      </c>
      <c r="AAM57" s="8">
        <v>0</v>
      </c>
      <c r="AAN57" s="8">
        <v>0</v>
      </c>
      <c r="AAO57" s="8">
        <v>0</v>
      </c>
      <c r="AAP57" s="8">
        <v>0</v>
      </c>
      <c r="AAQ57" s="8">
        <v>0</v>
      </c>
      <c r="AAR57" s="8">
        <v>0</v>
      </c>
      <c r="AAS57" s="8">
        <v>0</v>
      </c>
      <c r="AAT57" s="8">
        <v>0</v>
      </c>
      <c r="AAU57" s="8">
        <v>0</v>
      </c>
      <c r="AAV57" s="8">
        <v>0</v>
      </c>
      <c r="AAW57" s="8">
        <v>0</v>
      </c>
      <c r="AAX57" s="8">
        <v>0</v>
      </c>
      <c r="AAY57" s="8">
        <v>0</v>
      </c>
      <c r="AAZ57" s="8">
        <v>0</v>
      </c>
      <c r="ABA57" s="8">
        <v>0</v>
      </c>
      <c r="ABB57" s="8">
        <v>0</v>
      </c>
      <c r="ABC57" s="8">
        <v>0</v>
      </c>
      <c r="ABD57" s="8">
        <v>0</v>
      </c>
      <c r="ABE57" s="8">
        <v>0</v>
      </c>
      <c r="ABF57" s="8">
        <v>0</v>
      </c>
      <c r="ABG57" s="8">
        <v>0</v>
      </c>
      <c r="ABH57" s="8">
        <v>0</v>
      </c>
      <c r="ABI57" s="8">
        <v>0</v>
      </c>
      <c r="ABJ57" s="8">
        <v>0</v>
      </c>
      <c r="ABK57" s="8">
        <v>0</v>
      </c>
      <c r="ABL57" s="8">
        <v>0</v>
      </c>
      <c r="ABM57" s="8">
        <v>0</v>
      </c>
      <c r="ABN57" s="8">
        <v>0</v>
      </c>
      <c r="ABO57" s="8">
        <v>0</v>
      </c>
      <c r="ABP57" s="8">
        <v>0</v>
      </c>
      <c r="ABQ57" s="8">
        <v>0</v>
      </c>
      <c r="ABR57" s="8">
        <v>0</v>
      </c>
      <c r="ABS57" s="8">
        <v>0</v>
      </c>
      <c r="ABT57" s="8">
        <v>0</v>
      </c>
      <c r="ABU57" s="8">
        <v>0</v>
      </c>
      <c r="ABV57" s="8">
        <v>0</v>
      </c>
      <c r="ABW57" s="8">
        <v>0</v>
      </c>
      <c r="ABX57" s="8">
        <v>0</v>
      </c>
      <c r="ABY57" s="8">
        <v>0</v>
      </c>
      <c r="ABZ57" s="8">
        <v>0</v>
      </c>
      <c r="ACA57" s="8">
        <v>0</v>
      </c>
      <c r="ACB57" s="8">
        <v>0</v>
      </c>
      <c r="ACC57" s="8">
        <v>0</v>
      </c>
      <c r="ACD57" s="8">
        <v>0</v>
      </c>
      <c r="ACE57" s="8">
        <v>0</v>
      </c>
      <c r="ACF57" s="8">
        <v>0</v>
      </c>
      <c r="ACG57" s="8">
        <v>0</v>
      </c>
      <c r="ACH57" s="8">
        <v>0</v>
      </c>
      <c r="ACI57" s="8">
        <v>0</v>
      </c>
      <c r="ACJ57" s="8">
        <v>0</v>
      </c>
      <c r="ACK57" s="8">
        <v>0</v>
      </c>
      <c r="ACL57" s="8">
        <v>0</v>
      </c>
      <c r="ACM57" s="8">
        <v>0</v>
      </c>
      <c r="ACN57" s="8">
        <v>0</v>
      </c>
      <c r="ACO57" s="8">
        <v>0</v>
      </c>
      <c r="ACP57" s="8">
        <v>0</v>
      </c>
      <c r="ACQ57" s="8">
        <v>0</v>
      </c>
      <c r="ACR57" s="8">
        <v>0</v>
      </c>
      <c r="ACS57" s="8">
        <v>0</v>
      </c>
      <c r="ACT57" s="8">
        <v>0</v>
      </c>
      <c r="ACU57" s="8">
        <v>0</v>
      </c>
      <c r="ACV57" s="8">
        <v>0</v>
      </c>
      <c r="ACW57" s="8">
        <v>0</v>
      </c>
      <c r="ACX57" s="8">
        <v>0</v>
      </c>
      <c r="ACY57" s="8">
        <v>0</v>
      </c>
      <c r="ACZ57" s="8">
        <v>0</v>
      </c>
      <c r="ADA57" s="8">
        <v>0</v>
      </c>
      <c r="ADB57" s="8">
        <v>0</v>
      </c>
      <c r="ADC57" s="8">
        <v>0</v>
      </c>
      <c r="ADD57" s="8">
        <v>0</v>
      </c>
      <c r="ADE57" s="8">
        <v>0</v>
      </c>
      <c r="ADF57" s="8">
        <v>0</v>
      </c>
      <c r="ADG57" s="8">
        <v>0</v>
      </c>
      <c r="ADH57" s="8">
        <v>0</v>
      </c>
      <c r="ADI57" s="8">
        <v>0</v>
      </c>
      <c r="ADJ57" s="8">
        <v>0</v>
      </c>
      <c r="ADK57" s="8">
        <v>0</v>
      </c>
      <c r="ADL57" s="8">
        <v>0</v>
      </c>
      <c r="ADM57" s="8">
        <v>0</v>
      </c>
      <c r="ADN57" s="8">
        <v>0</v>
      </c>
      <c r="ADO57" s="8">
        <v>0</v>
      </c>
      <c r="ADP57" s="8">
        <v>0</v>
      </c>
      <c r="ADQ57" s="8">
        <v>0</v>
      </c>
      <c r="ADR57" s="8">
        <v>0</v>
      </c>
      <c r="ADS57" s="8">
        <v>0</v>
      </c>
      <c r="ADT57" s="8">
        <v>0</v>
      </c>
      <c r="ADU57" s="8">
        <v>0</v>
      </c>
      <c r="ADV57" s="8">
        <v>0</v>
      </c>
      <c r="ADW57" s="8">
        <v>0</v>
      </c>
      <c r="ADX57" s="8">
        <v>0</v>
      </c>
      <c r="ADY57" s="8">
        <v>0</v>
      </c>
      <c r="ADZ57" s="8">
        <v>0</v>
      </c>
      <c r="AEA57" s="8">
        <v>0</v>
      </c>
      <c r="AEB57" s="8">
        <v>0</v>
      </c>
      <c r="AEC57" s="8">
        <v>0</v>
      </c>
      <c r="AED57" s="8">
        <v>0</v>
      </c>
      <c r="AEE57" s="8">
        <v>0</v>
      </c>
      <c r="AEF57" s="8">
        <v>0</v>
      </c>
      <c r="AEG57" s="8">
        <v>0</v>
      </c>
      <c r="AEH57" s="8">
        <v>0</v>
      </c>
      <c r="AEI57" s="8">
        <v>0</v>
      </c>
      <c r="AEJ57" s="8">
        <v>0</v>
      </c>
      <c r="AEK57" s="8">
        <v>0</v>
      </c>
      <c r="AEL57" s="8">
        <v>0</v>
      </c>
      <c r="AEM57" s="8">
        <v>0</v>
      </c>
      <c r="AEN57" s="8">
        <v>0</v>
      </c>
      <c r="AEO57" s="8">
        <v>0</v>
      </c>
      <c r="AEP57" s="8">
        <v>0</v>
      </c>
      <c r="AEQ57" s="8">
        <v>0</v>
      </c>
      <c r="AER57" s="8">
        <v>0</v>
      </c>
      <c r="AES57" s="8">
        <v>0</v>
      </c>
      <c r="AET57" s="8">
        <v>0</v>
      </c>
      <c r="AEU57" s="8">
        <v>0</v>
      </c>
      <c r="AEV57" s="8">
        <v>0</v>
      </c>
      <c r="AEW57" s="8">
        <v>0</v>
      </c>
      <c r="AEX57" s="8">
        <v>0</v>
      </c>
      <c r="AEY57" s="8">
        <v>0</v>
      </c>
      <c r="AEZ57" s="8">
        <v>0</v>
      </c>
      <c r="AFA57" s="8">
        <v>0</v>
      </c>
      <c r="AFB57" s="8">
        <v>0</v>
      </c>
      <c r="AFC57" s="8">
        <v>0</v>
      </c>
      <c r="AFD57" s="8">
        <v>0</v>
      </c>
      <c r="AFE57" s="8">
        <v>0</v>
      </c>
      <c r="AFF57" s="8">
        <v>0</v>
      </c>
      <c r="AFG57" s="8">
        <v>0</v>
      </c>
      <c r="AFH57" s="8">
        <v>0</v>
      </c>
      <c r="AFI57" s="8">
        <v>0</v>
      </c>
      <c r="AFJ57" s="8">
        <v>0</v>
      </c>
      <c r="AFK57" s="8">
        <v>0</v>
      </c>
      <c r="AFL57" s="8">
        <v>0</v>
      </c>
      <c r="AFM57" s="8">
        <v>0</v>
      </c>
      <c r="AFN57" s="8">
        <v>0</v>
      </c>
      <c r="AFO57" s="8">
        <v>0</v>
      </c>
      <c r="AFP57" s="8">
        <v>0</v>
      </c>
      <c r="AFQ57" s="8">
        <v>0</v>
      </c>
      <c r="AFR57" s="8">
        <v>0</v>
      </c>
      <c r="AFS57" s="8">
        <v>0</v>
      </c>
      <c r="AFT57" s="8">
        <v>0</v>
      </c>
      <c r="AFU57" s="8">
        <v>0</v>
      </c>
      <c r="AFV57" s="8">
        <v>0</v>
      </c>
      <c r="AFW57" s="8">
        <v>0</v>
      </c>
      <c r="AFX57" s="8">
        <v>0</v>
      </c>
      <c r="AFY57" s="8">
        <v>0</v>
      </c>
      <c r="AFZ57" s="8">
        <v>0</v>
      </c>
      <c r="AGA57" s="8">
        <v>0</v>
      </c>
      <c r="AGB57" s="8">
        <v>0</v>
      </c>
      <c r="AGC57" s="8">
        <v>0</v>
      </c>
      <c r="AGD57" s="8">
        <v>0</v>
      </c>
      <c r="AGE57" s="8">
        <v>0</v>
      </c>
      <c r="AGF57" s="8">
        <v>0</v>
      </c>
      <c r="AGG57" s="8">
        <v>0</v>
      </c>
      <c r="AGH57" s="8">
        <v>0</v>
      </c>
      <c r="AGI57" s="8">
        <v>0</v>
      </c>
      <c r="AGJ57" s="8">
        <v>0</v>
      </c>
      <c r="AGK57" s="8">
        <v>0</v>
      </c>
      <c r="AGL57" s="8">
        <v>0</v>
      </c>
      <c r="AGM57" s="8">
        <v>0</v>
      </c>
      <c r="AGN57" s="8">
        <v>0</v>
      </c>
      <c r="AGO57" s="8">
        <v>0</v>
      </c>
      <c r="AGP57" s="8">
        <v>0</v>
      </c>
      <c r="AGQ57" s="8">
        <v>0</v>
      </c>
      <c r="AGR57" s="8">
        <v>0</v>
      </c>
      <c r="AGS57" s="8">
        <v>0</v>
      </c>
      <c r="AGT57" s="8">
        <v>0</v>
      </c>
      <c r="AGU57" s="8">
        <v>0</v>
      </c>
      <c r="AGV57" s="8">
        <v>0</v>
      </c>
      <c r="AGW57" s="8">
        <v>0</v>
      </c>
      <c r="AGX57" s="8">
        <v>0</v>
      </c>
      <c r="AGY57" s="8">
        <v>0</v>
      </c>
      <c r="AGZ57" s="8">
        <v>0</v>
      </c>
      <c r="AHA57" s="8">
        <v>0</v>
      </c>
      <c r="AHB57" s="8">
        <v>0</v>
      </c>
      <c r="AHC57" s="8">
        <v>0</v>
      </c>
      <c r="AHD57" s="8">
        <v>0</v>
      </c>
      <c r="AHE57" s="8">
        <v>0</v>
      </c>
      <c r="AHF57" s="8">
        <v>0</v>
      </c>
      <c r="AHG57" s="8">
        <v>0</v>
      </c>
      <c r="AHH57" s="8">
        <v>0</v>
      </c>
      <c r="AHI57" s="8">
        <v>0</v>
      </c>
      <c r="AHJ57" s="8">
        <v>0</v>
      </c>
      <c r="AHK57" s="8">
        <v>0</v>
      </c>
      <c r="AHL57" s="8">
        <v>0</v>
      </c>
      <c r="AHM57" s="8">
        <v>0</v>
      </c>
      <c r="AHN57" s="8">
        <v>0</v>
      </c>
      <c r="AHO57" s="8">
        <v>0</v>
      </c>
      <c r="AHP57" s="8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 t="e">
        <v>#N/A</v>
      </c>
      <c r="AIJ57" t="e">
        <v>#N/A</v>
      </c>
      <c r="AIK57" t="e">
        <v>#N/A</v>
      </c>
      <c r="AIL57" t="e">
        <v>#N/A</v>
      </c>
      <c r="AIM57" t="e">
        <v>#N/A</v>
      </c>
      <c r="AIN57" t="e">
        <v>#N/A</v>
      </c>
      <c r="AIO57" t="e">
        <v>#N/A</v>
      </c>
      <c r="AIP57" t="e">
        <v>#N/A</v>
      </c>
      <c r="AIQ57" t="e">
        <v>#N/A</v>
      </c>
      <c r="AIR57" t="e">
        <v>#N/A</v>
      </c>
      <c r="AIS57" t="e">
        <v>#N/A</v>
      </c>
      <c r="AIT57" t="e">
        <v>#N/A</v>
      </c>
      <c r="AIU57" t="e">
        <v>#N/A</v>
      </c>
      <c r="AIV57" t="e">
        <v>#N/A</v>
      </c>
      <c r="AIW57" t="e">
        <v>#N/A</v>
      </c>
      <c r="AIX57" t="e">
        <v>#N/A</v>
      </c>
      <c r="AIY57" t="e">
        <v>#N/A</v>
      </c>
      <c r="AIZ57" t="e">
        <v>#N/A</v>
      </c>
      <c r="AJA57" t="e">
        <v>#N/A</v>
      </c>
      <c r="AJB57" t="e">
        <v>#N/A</v>
      </c>
      <c r="AJC57" t="e">
        <v>#N/A</v>
      </c>
      <c r="AJD57" t="e">
        <v>#N/A</v>
      </c>
      <c r="AJE57" t="e">
        <v>#N/A</v>
      </c>
      <c r="AJF57" t="e">
        <v>#N/A</v>
      </c>
      <c r="AJG57" t="e">
        <v>#N/A</v>
      </c>
      <c r="AJH57" t="e">
        <v>#N/A</v>
      </c>
      <c r="AJI57" t="e">
        <v>#N/A</v>
      </c>
      <c r="AJJ57" t="e">
        <v>#N/A</v>
      </c>
      <c r="AJK57" t="e">
        <v>#N/A</v>
      </c>
      <c r="AJL57" t="e">
        <v>#N/A</v>
      </c>
      <c r="AJM57" t="e">
        <v>#N/A</v>
      </c>
      <c r="AJN57" t="e">
        <v>#N/A</v>
      </c>
      <c r="AJO57" t="e">
        <v>#N/A</v>
      </c>
      <c r="AJP57" t="e">
        <v>#N/A</v>
      </c>
      <c r="AJQ57" t="e">
        <v>#N/A</v>
      </c>
      <c r="AJR57" t="e">
        <v>#N/A</v>
      </c>
      <c r="AJS57" t="e">
        <v>#N/A</v>
      </c>
      <c r="AJT57" t="e">
        <v>#N/A</v>
      </c>
      <c r="AJU57" t="e">
        <v>#N/A</v>
      </c>
      <c r="AJV57" t="e">
        <v>#N/A</v>
      </c>
      <c r="AJW57" t="e">
        <v>#N/A</v>
      </c>
      <c r="AJX57" t="e">
        <v>#N/A</v>
      </c>
      <c r="AJY57" t="e">
        <v>#N/A</v>
      </c>
      <c r="AJZ57" t="e">
        <v>#N/A</v>
      </c>
      <c r="AKA57" t="e">
        <v>#N/A</v>
      </c>
      <c r="AKB57" t="e">
        <v>#N/A</v>
      </c>
      <c r="AKC57" t="e">
        <v>#N/A</v>
      </c>
      <c r="AKD57" t="e">
        <v>#N/A</v>
      </c>
      <c r="AKE57" t="e">
        <v>#N/A</v>
      </c>
      <c r="AKF57" t="e">
        <v>#N/A</v>
      </c>
      <c r="AKG57" t="e">
        <v>#N/A</v>
      </c>
      <c r="AKH57" t="e">
        <v>#N/A</v>
      </c>
      <c r="AKI57" t="e">
        <v>#N/A</v>
      </c>
      <c r="AKJ57" t="e">
        <v>#N/A</v>
      </c>
      <c r="AKK57" t="e">
        <v>#N/A</v>
      </c>
      <c r="AKL57" t="e">
        <v>#N/A</v>
      </c>
      <c r="AKM57" t="e">
        <v>#N/A</v>
      </c>
      <c r="AKN57" t="e">
        <v>#N/A</v>
      </c>
      <c r="AKO57" t="e">
        <v>#N/A</v>
      </c>
      <c r="AKP57" t="e">
        <v>#N/A</v>
      </c>
      <c r="AKQ57" t="e">
        <v>#N/A</v>
      </c>
      <c r="AKR57" t="e">
        <v>#N/A</v>
      </c>
      <c r="AKS57" t="e">
        <v>#N/A</v>
      </c>
      <c r="AKT57" t="e">
        <v>#N/A</v>
      </c>
      <c r="AKU57" t="e">
        <v>#N/A</v>
      </c>
      <c r="AKV57" t="e">
        <v>#N/A</v>
      </c>
      <c r="AKW57" t="e">
        <v>#N/A</v>
      </c>
      <c r="AKX57" t="e">
        <v>#N/A</v>
      </c>
      <c r="AKY57" t="e">
        <v>#N/A</v>
      </c>
      <c r="AKZ57" t="e">
        <v>#N/A</v>
      </c>
      <c r="ALA57" t="e">
        <v>#N/A</v>
      </c>
      <c r="ALB57" t="e">
        <v>#N/A</v>
      </c>
      <c r="ALC57" t="e">
        <v>#N/A</v>
      </c>
      <c r="ALD57" t="e">
        <v>#N/A</v>
      </c>
      <c r="ALE57" t="e">
        <v>#N/A</v>
      </c>
      <c r="ALF57" t="e">
        <v>#N/A</v>
      </c>
      <c r="ALG57" t="e">
        <v>#N/A</v>
      </c>
      <c r="ALH57" t="e">
        <v>#N/A</v>
      </c>
      <c r="ALI57" t="e">
        <v>#N/A</v>
      </c>
      <c r="ALJ57" t="e">
        <v>#N/A</v>
      </c>
      <c r="ALK57" t="e">
        <v>#N/A</v>
      </c>
      <c r="ALL57" t="e">
        <v>#N/A</v>
      </c>
      <c r="ALM57" t="e">
        <v>#N/A</v>
      </c>
      <c r="ALN57" t="e">
        <v>#N/A</v>
      </c>
      <c r="ALO57" t="e">
        <v>#N/A</v>
      </c>
      <c r="ALP57" t="e">
        <v>#N/A</v>
      </c>
      <c r="ALQ57" t="e">
        <v>#N/A</v>
      </c>
      <c r="ALR57" t="e">
        <v>#N/A</v>
      </c>
      <c r="ALS57" t="e">
        <v>#N/A</v>
      </c>
      <c r="ALT57" t="e">
        <v>#N/A</v>
      </c>
      <c r="ALU57" t="e">
        <v>#N/A</v>
      </c>
      <c r="ALV57" t="e">
        <v>#N/A</v>
      </c>
      <c r="ALW57" t="e">
        <v>#N/A</v>
      </c>
      <c r="ALX57" t="e">
        <v>#N/A</v>
      </c>
      <c r="ALY57" t="e">
        <v>#N/A</v>
      </c>
      <c r="ALZ57" t="e">
        <v>#N/A</v>
      </c>
      <c r="AMA57" t="e">
        <v>#N/A</v>
      </c>
      <c r="AMB57" t="e">
        <v>#N/A</v>
      </c>
      <c r="AMC57" t="e">
        <v>#N/A</v>
      </c>
      <c r="AMD57" t="e">
        <v>#N/A</v>
      </c>
      <c r="AME57" t="e">
        <v>#N/A</v>
      </c>
      <c r="AMF57" t="e">
        <v>#N/A</v>
      </c>
      <c r="AMG57" t="e">
        <v>#N/A</v>
      </c>
      <c r="AMH5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Games</vt:lpstr>
      <vt:lpstr>Leaders (dont edit)</vt:lpstr>
      <vt:lpstr>Stats (dont edit)</vt:lpstr>
      <vt:lpstr>Constants (dont edit)</vt:lpstr>
      <vt:lpstr>Pivot (dont 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Manpearl</cp:lastModifiedBy>
  <dcterms:created xsi:type="dcterms:W3CDTF">2026-06-22T14:39:18Z</dcterms:created>
  <dcterms:modified xsi:type="dcterms:W3CDTF">2026-06-22T16:14:02Z</dcterms:modified>
</cp:coreProperties>
</file>