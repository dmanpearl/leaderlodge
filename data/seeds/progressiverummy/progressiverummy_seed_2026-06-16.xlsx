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Games" sheetId="1" r:id="rId5"/>
    <sheet state="visible" name="Leaders (dont edit)" sheetId="2" r:id="rId6"/>
    <sheet state="visible" name="Stats (dont edit)" sheetId="3" r:id="rId7"/>
    <sheet state="visible" name="Constants (dont edit)" sheetId="4" r:id="rId8"/>
    <sheet state="visible" name="Pivot (dont edit)" sheetId="5" r:id="rId9"/>
  </sheets>
  <definedNames/>
  <calcPr/>
</workbook>
</file>

<file path=xl/sharedStrings.xml><?xml version="1.0" encoding="utf-8"?>
<sst xmlns="http://schemas.openxmlformats.org/spreadsheetml/2006/main" count="2649" uniqueCount="123">
  <si>
    <t>Date</t>
  </si>
  <si>
    <t>Where</t>
  </si>
  <si>
    <t>Half</t>
  </si>
  <si>
    <t>aa</t>
  </si>
  <si>
    <t>Alizé</t>
  </si>
  <si>
    <t>Allyn</t>
  </si>
  <si>
    <t>Bo</t>
  </si>
  <si>
    <t>Candace</t>
  </si>
  <si>
    <t>Charlene</t>
  </si>
  <si>
    <t>Clelia</t>
  </si>
  <si>
    <t>David</t>
  </si>
  <si>
    <t>Debby</t>
  </si>
  <si>
    <t>Espy</t>
  </si>
  <si>
    <t>Jack</t>
  </si>
  <si>
    <t>Jake</t>
  </si>
  <si>
    <t>Jan</t>
  </si>
  <si>
    <t>Jeff M</t>
  </si>
  <si>
    <t>Jeff P</t>
  </si>
  <si>
    <t>Jeremy</t>
  </si>
  <si>
    <t>Jordan</t>
  </si>
  <si>
    <t>Karenina</t>
  </si>
  <si>
    <t>Karen</t>
  </si>
  <si>
    <t>Kas</t>
  </si>
  <si>
    <t>Melissa</t>
  </si>
  <si>
    <t>Nancy</t>
  </si>
  <si>
    <t>Ray</t>
  </si>
  <si>
    <t>Sally</t>
  </si>
  <si>
    <t>Sandy</t>
  </si>
  <si>
    <t>Sara</t>
  </si>
  <si>
    <t>Scott</t>
  </si>
  <si>
    <t>Simon</t>
  </si>
  <si>
    <t>Susan</t>
  </si>
  <si>
    <t>Terry</t>
  </si>
  <si>
    <t>Zach</t>
  </si>
  <si>
    <t>Min</t>
  </si>
  <si>
    <t>Max</t>
  </si>
  <si>
    <t>Winner</t>
  </si>
  <si>
    <t>Loser</t>
  </si>
  <si>
    <t>Players</t>
  </si>
  <si>
    <t>&lt;?&gt;</t>
  </si>
  <si>
    <t>Preston</t>
  </si>
  <si>
    <t>Yes</t>
  </si>
  <si>
    <t>Superior</t>
  </si>
  <si>
    <t>Indian Wells</t>
  </si>
  <si>
    <t>Sally's</t>
  </si>
  <si>
    <t>Ian's House</t>
  </si>
  <si>
    <t>Steckel Camp, Santa Paula, CA</t>
  </si>
  <si>
    <t>Refugio St. Beach</t>
  </si>
  <si>
    <t>Cedros</t>
  </si>
  <si>
    <t>Campland on the Bay, San Diego</t>
  </si>
  <si>
    <t>Lake Tahoe Campground</t>
  </si>
  <si>
    <t>Aspen Camp, Lee VIning, CA</t>
  </si>
  <si>
    <t>Goleta</t>
  </si>
  <si>
    <t>Rincon Parkway</t>
  </si>
  <si>
    <t>Preston - Passover</t>
  </si>
  <si>
    <t xml:space="preserve">Preston </t>
  </si>
  <si>
    <t xml:space="preserve">Superior </t>
  </si>
  <si>
    <t xml:space="preserve">Hobson Beach Park, Ventura </t>
  </si>
  <si>
    <t>Thornehill Broome</t>
  </si>
  <si>
    <t>Emma Wood St Bch</t>
  </si>
  <si>
    <t>Bridgeport</t>
  </si>
  <si>
    <t xml:space="preserve">Tahoe City Campground </t>
  </si>
  <si>
    <t>Mariposa Fairgrounds</t>
  </si>
  <si>
    <t>Azalea, Sequoia</t>
  </si>
  <si>
    <t>Tuscon, AZ</t>
  </si>
  <si>
    <t>Fort Stockton, TX</t>
  </si>
  <si>
    <t>Sonora, TX</t>
  </si>
  <si>
    <t>Cracker Barrel, San Antonio, TX ￼</t>
  </si>
  <si>
    <t>Mustang Hollow, TX</t>
  </si>
  <si>
    <t>Port Aransas, TX</t>
  </si>
  <si>
    <t>San Antonio, TX</t>
  </si>
  <si>
    <t>Shriner Park, Junction, TX</t>
  </si>
  <si>
    <t>Van Horn, TX</t>
  </si>
  <si>
    <t>KOA, Lordsburg, TX</t>
  </si>
  <si>
    <t xml:space="preserve">Palm Desert </t>
  </si>
  <si>
    <t>Tonopah, AZ</t>
  </si>
  <si>
    <t>Robert's Trucks, San Angelo</t>
  </si>
  <si>
    <t>San Angelo, TX</t>
  </si>
  <si>
    <t>El Paso</t>
  </si>
  <si>
    <t>￼270</t>
  </si>
  <si>
    <t>Sancola</t>
  </si>
  <si>
    <t>Los Baños</t>
  </si>
  <si>
    <t xml:space="preserve"> Lue Heron, Tillamook </t>
  </si>
  <si>
    <t>Morro Bay</t>
  </si>
  <si>
    <t>Anza Borrego State Park ￼￼</t>
  </si>
  <si>
    <t>Carpenteria</t>
  </si>
  <si>
    <t>Huntington Beach</t>
  </si>
  <si>
    <t>Dakota Trail</t>
  </si>
  <si>
    <t>Newport Dunes</t>
  </si>
  <si>
    <t>Debby's House</t>
  </si>
  <si>
    <t>Last row of conditional formatting</t>
  </si>
  <si>
    <t>Games</t>
  </si>
  <si>
    <t>Wins</t>
  </si>
  <si>
    <t>Win %</t>
  </si>
  <si>
    <t>Losses</t>
  </si>
  <si>
    <t>Loss %</t>
  </si>
  <si>
    <t>Lowest</t>
  </si>
  <si>
    <t>Highest</t>
  </si>
  <si>
    <t>Avg</t>
  </si>
  <si>
    <t>All Time</t>
  </si>
  <si>
    <t>Rank</t>
  </si>
  <si>
    <t>Score</t>
  </si>
  <si>
    <t>Name</t>
  </si>
  <si>
    <t>Value</t>
  </si>
  <si>
    <t>Constants</t>
  </si>
  <si>
    <t>Minimum Number of Games for stats</t>
  </si>
  <si>
    <t>Minimum Number of Games for avg</t>
  </si>
  <si>
    <t>Rank Factor</t>
  </si>
  <si>
    <t>Global Stats</t>
  </si>
  <si>
    <t>Total Game Count</t>
  </si>
  <si>
    <t>Full Game Count</t>
  </si>
  <si>
    <t>Half Game Count</t>
  </si>
  <si>
    <t>Overall average score</t>
  </si>
  <si>
    <t>All time maximum score</t>
  </si>
  <si>
    <t>All time minimum score</t>
  </si>
  <si>
    <t>Scores over 1000</t>
  </si>
  <si>
    <t>README</t>
  </si>
  <si>
    <t>1. In 'Raw Games' sheet, be sure to keep Min, Max, Winner, Loser data filled downward at least as far as the game data rows.</t>
  </si>
  <si>
    <t>2. In 'Raw Games' sheet, when winners and losers stop getting highlighted, you need to Edit &gt; Paste Special &gt; Conditional Formatting those rows and below after copying to clipboard the last highlighted row.</t>
  </si>
  <si>
    <t>3. Adding a new person is a two stop process: 1) insert a column in the alphabetical location for the new person, and b) Navigate to "Stats" page and fill downward to reveal last person.</t>
  </si>
  <si>
    <t>4. Inserting a new person whose name starts with A and is before the current first person is difficult because all the Conditions and Formulae will point to the column after. You will have to edit all of them.</t>
  </si>
  <si>
    <t>5. To add new Game results, add them after the last row in the "Raw Games" sheet (curently at over 250 rows)</t>
  </si>
  <si>
    <t>6. Once there are over 1001 rows in 'Raw Games' we will have to a) add Columns to the 'Pivot' sheet and b) Modify the TRANSPOSE function in Pivot!A:1 to include the additional columns.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</si>
</sst>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&quot;, &quot;mmm&quot; &quot;d&quot;, &quot;yy"/>
    <numFmt numFmtId="165" formatCode="m/d"/>
    <numFmt numFmtId="166" formatCode="0.0%"/>
    <numFmt numFmtId="167" formatCode="#,#"/>
    <numFmt numFmtId="168" formatCode="#,##0.000"/>
    <numFmt numFmtId="169" formatCode="#,##0.0"/>
  </numFmts>
  <fonts count="6">
    <font>
      <sz val="10.0"/>
      <color rgb="FF000000"/>
      <name val="Arial"/>
      <scheme val="minor"/>
    </font>
    <font>
      <b/>
      <color theme="1"/>
      <name val="Arial Narrow"/>
    </font>
    <font>
      <color theme="1"/>
      <name val="Arial Narrow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Google Sans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4" numFmtId="166" xfId="0" applyFont="1" applyNumberFormat="1"/>
    <xf borderId="0" fillId="0" fontId="4" numFmtId="167" xfId="0" applyFont="1" applyNumberFormat="1"/>
    <xf borderId="0" fillId="0" fontId="4" numFmtId="0" xfId="0" applyAlignment="1" applyFont="1">
      <alignment horizontal="center"/>
    </xf>
    <xf borderId="0" fillId="0" fontId="4" numFmtId="168" xfId="0" applyAlignment="1" applyFont="1" applyNumberFormat="1">
      <alignment horizontal="center"/>
    </xf>
    <xf borderId="0" fillId="0" fontId="3" numFmtId="0" xfId="0" applyFont="1"/>
    <xf borderId="0" fillId="0" fontId="3" numFmtId="166" xfId="0" applyFont="1" applyNumberFormat="1"/>
    <xf borderId="0" fillId="0" fontId="3" numFmtId="167" xfId="0" applyFont="1" applyNumberFormat="1"/>
    <xf borderId="0" fillId="0" fontId="3" numFmtId="0" xfId="0" applyAlignment="1" applyFont="1">
      <alignment horizontal="center"/>
    </xf>
    <xf borderId="0" fillId="0" fontId="3" numFmtId="168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0" fillId="0" fontId="3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169" xfId="0" applyAlignment="1" applyFont="1" applyNumberFormat="1">
      <alignment horizontal="center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>
        <color rgb="FFCCCCCC"/>
      </font>
      <fill>
        <patternFill patternType="solid">
          <fgColor rgb="FFFF0000"/>
          <bgColor rgb="FFFF0000"/>
        </patternFill>
      </fill>
      <border/>
    </dxf>
    <dxf>
      <font>
        <color rgb="FF434343"/>
      </font>
      <fill>
        <patternFill patternType="solid">
          <fgColor rgb="FF00FF00"/>
          <bgColor rgb="FF00FF00"/>
        </patternFill>
      </fill>
      <border/>
    </dxf>
    <dxf>
      <font>
        <color rgb="FFD9D9D9"/>
      </font>
      <fill>
        <patternFill patternType="solid">
          <fgColor rgb="FFFF0000"/>
          <bgColor rgb="FFFF0000"/>
        </patternFill>
      </fill>
      <border/>
    </dxf>
    <dxf>
      <font>
        <color rgb="FF666666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13"/>
    <col customWidth="1" min="2" max="2" width="12.75"/>
    <col customWidth="1" min="3" max="3" width="4.13"/>
    <col customWidth="1" min="4" max="4" width="2.13"/>
    <col customWidth="1" min="5" max="5" width="4.88"/>
    <col customWidth="1" min="6" max="6" width="5.0"/>
    <col customWidth="1" min="7" max="7" width="3.75"/>
    <col customWidth="1" min="8" max="8" width="6.5"/>
    <col customWidth="1" min="9" max="9" width="6.75"/>
    <col customWidth="1" min="10" max="10" width="4.5"/>
    <col customWidth="1" min="11" max="11" width="4.63"/>
    <col customWidth="1" min="12" max="12" width="5.13"/>
    <col customWidth="1" min="13" max="13" width="3.88"/>
    <col customWidth="1" min="14" max="15" width="4.0"/>
    <col customWidth="1" min="16" max="16" width="3.75"/>
    <col customWidth="1" min="17" max="17" width="4.88"/>
    <col customWidth="1" min="18" max="18" width="4.63"/>
    <col customWidth="1" min="19" max="19" width="5.63"/>
    <col customWidth="1" min="20" max="20" width="5.5"/>
    <col customWidth="1" min="21" max="21" width="7.38"/>
    <col customWidth="1" min="22" max="22" width="4.75"/>
    <col customWidth="1" min="23" max="23" width="3.75"/>
    <col customWidth="1" min="24" max="24" width="5.88"/>
    <col customWidth="1" min="25" max="25" width="5.0"/>
    <col customWidth="1" min="26" max="26" width="3.75"/>
    <col customWidth="1" min="27" max="27" width="4.63"/>
    <col customWidth="1" min="28" max="28" width="5.0"/>
    <col customWidth="1" min="29" max="30" width="3.88"/>
    <col customWidth="1" min="31" max="31" width="5.13"/>
    <col customWidth="1" min="32" max="33" width="5.0"/>
    <col customWidth="1" min="34" max="34" width="4.13"/>
    <col customWidth="1" min="35" max="35" width="5.13"/>
    <col customWidth="1" min="36" max="36" width="3.75"/>
    <col customWidth="1" min="37" max="37" width="4.13"/>
    <col customWidth="1" min="38" max="38" width="7.63"/>
    <col customWidth="1" min="39" max="39" width="7.75"/>
    <col customWidth="1" min="40" max="40" width="5.75"/>
    <col customWidth="1" min="41" max="57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/>
      <c r="AJ1" s="3" t="s">
        <v>34</v>
      </c>
      <c r="AK1" s="3" t="s">
        <v>35</v>
      </c>
      <c r="AL1" s="2" t="s">
        <v>36</v>
      </c>
      <c r="AM1" s="2" t="s">
        <v>37</v>
      </c>
      <c r="AN1" s="2" t="s">
        <v>38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>
      <c r="A2" s="5" t="s">
        <v>39</v>
      </c>
      <c r="B2" s="6" t="s">
        <v>40</v>
      </c>
      <c r="C2" s="7"/>
      <c r="D2" s="8"/>
      <c r="E2" s="7"/>
      <c r="F2" s="7"/>
      <c r="G2" s="7"/>
      <c r="H2" s="7"/>
      <c r="I2" s="8">
        <v>690.0</v>
      </c>
      <c r="J2" s="7"/>
      <c r="K2" s="8">
        <v>765.0</v>
      </c>
      <c r="L2" s="8">
        <v>520.0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>
        <v>695.0</v>
      </c>
      <c r="Z2" s="7"/>
      <c r="AA2" s="7"/>
      <c r="AB2" s="8">
        <v>700.0</v>
      </c>
      <c r="AC2" s="7"/>
      <c r="AD2" s="7"/>
      <c r="AE2" s="7"/>
      <c r="AF2" s="7"/>
      <c r="AG2" s="7"/>
      <c r="AH2" s="7"/>
      <c r="AI2" s="7"/>
      <c r="AJ2" s="9">
        <f t="shared" ref="AJ2:AJ539" si="2">MIN($D2:$AI2)</f>
        <v>520</v>
      </c>
      <c r="AK2" s="9">
        <f t="shared" ref="AK2:AK539" si="3">MAX($D2:$AI2)</f>
        <v>765</v>
      </c>
      <c r="AL2" s="7" t="str">
        <f t="shared" ref="AL2:AM2" si="1">HLOOKUP(AJ2,{$D2:$AI2;$D$1:$AI$1},2,false)</f>
        <v>Debby</v>
      </c>
      <c r="AM2" s="7" t="str">
        <f t="shared" si="1"/>
        <v>David</v>
      </c>
      <c r="AN2" s="7">
        <f t="shared" ref="AN2:AN539" si="5">count(D2:AI2)</f>
        <v>5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>
      <c r="A3" s="5" t="s">
        <v>39</v>
      </c>
      <c r="B3" s="6" t="s">
        <v>40</v>
      </c>
      <c r="C3" s="7"/>
      <c r="D3" s="7"/>
      <c r="E3" s="7"/>
      <c r="F3" s="7"/>
      <c r="G3" s="7"/>
      <c r="H3" s="7"/>
      <c r="I3" s="7"/>
      <c r="J3" s="8"/>
      <c r="K3" s="8">
        <v>380.0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>
        <v>335.0</v>
      </c>
      <c r="Z3" s="8"/>
      <c r="AA3" s="8">
        <v>775.0</v>
      </c>
      <c r="AB3" s="7"/>
      <c r="AC3" s="8">
        <v>225.0</v>
      </c>
      <c r="AD3" s="8"/>
      <c r="AE3" s="7"/>
      <c r="AF3" s="7"/>
      <c r="AG3" s="7"/>
      <c r="AH3" s="7"/>
      <c r="AI3" s="7"/>
      <c r="AJ3" s="9">
        <f t="shared" si="2"/>
        <v>225</v>
      </c>
      <c r="AK3" s="9">
        <f t="shared" si="3"/>
        <v>775</v>
      </c>
      <c r="AL3" s="7" t="str">
        <f t="shared" ref="AL3:AM3" si="4">HLOOKUP(AJ3,{$D3:$AI3;$D$1:$AI$1},2,false)</f>
        <v>Sara</v>
      </c>
      <c r="AM3" s="7" t="str">
        <f t="shared" si="4"/>
        <v>Sally</v>
      </c>
      <c r="AN3" s="7">
        <f t="shared" si="5"/>
        <v>4</v>
      </c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>
      <c r="A4" s="5" t="s">
        <v>39</v>
      </c>
      <c r="B4" s="6" t="s">
        <v>40</v>
      </c>
      <c r="C4" s="7"/>
      <c r="D4" s="8"/>
      <c r="E4" s="8"/>
      <c r="F4" s="8"/>
      <c r="G4" s="8"/>
      <c r="H4" s="8"/>
      <c r="I4" s="8">
        <v>385.0</v>
      </c>
      <c r="J4" s="8"/>
      <c r="K4" s="8">
        <v>510.0</v>
      </c>
      <c r="L4" s="7"/>
      <c r="M4" s="7"/>
      <c r="N4" s="7"/>
      <c r="O4" s="8"/>
      <c r="P4" s="8"/>
      <c r="Q4" s="8">
        <v>300.0</v>
      </c>
      <c r="R4" s="7"/>
      <c r="S4" s="7"/>
      <c r="T4" s="7"/>
      <c r="U4" s="7"/>
      <c r="V4" s="7"/>
      <c r="W4" s="7"/>
      <c r="X4" s="7"/>
      <c r="Y4" s="8">
        <v>365.0</v>
      </c>
      <c r="Z4" s="7"/>
      <c r="AA4" s="7"/>
      <c r="AB4" s="7"/>
      <c r="AC4" s="8"/>
      <c r="AD4" s="8"/>
      <c r="AE4" s="7"/>
      <c r="AF4" s="7"/>
      <c r="AG4" s="7"/>
      <c r="AH4" s="7"/>
      <c r="AI4" s="7"/>
      <c r="AJ4" s="9">
        <f t="shared" si="2"/>
        <v>300</v>
      </c>
      <c r="AK4" s="9">
        <f t="shared" si="3"/>
        <v>510</v>
      </c>
      <c r="AL4" s="7" t="str">
        <f t="shared" ref="AL4:AM4" si="6">HLOOKUP(AJ4,{$D4:$AI4;$D$1:$AI$1},2,false)</f>
        <v>Jeff M</v>
      </c>
      <c r="AM4" s="7" t="str">
        <f t="shared" si="6"/>
        <v>David</v>
      </c>
      <c r="AN4" s="7">
        <f t="shared" si="5"/>
        <v>4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</row>
    <row r="5">
      <c r="A5" s="5" t="s">
        <v>39</v>
      </c>
      <c r="B5" s="6" t="s">
        <v>40</v>
      </c>
      <c r="C5" s="7"/>
      <c r="D5" s="8"/>
      <c r="E5" s="8"/>
      <c r="F5" s="8"/>
      <c r="G5" s="8"/>
      <c r="H5" s="8"/>
      <c r="I5" s="8">
        <v>495.0</v>
      </c>
      <c r="J5" s="8"/>
      <c r="K5" s="8">
        <v>195.0</v>
      </c>
      <c r="L5" s="8">
        <v>795.0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>
        <v>450.0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9">
        <f t="shared" si="2"/>
        <v>195</v>
      </c>
      <c r="AK5" s="9">
        <f t="shared" si="3"/>
        <v>795</v>
      </c>
      <c r="AL5" s="7" t="str">
        <f t="shared" ref="AL5:AM5" si="7">HLOOKUP(AJ5,{$D5:$AI5;$D$1:$AI$1},2,false)</f>
        <v>David</v>
      </c>
      <c r="AM5" s="7" t="str">
        <f t="shared" si="7"/>
        <v>Debby</v>
      </c>
      <c r="AN5" s="7">
        <f t="shared" si="5"/>
        <v>4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>
      <c r="A6" s="5" t="s">
        <v>39</v>
      </c>
      <c r="B6" s="6" t="s">
        <v>40</v>
      </c>
      <c r="C6" s="7"/>
      <c r="D6" s="7"/>
      <c r="E6" s="7"/>
      <c r="F6" s="7"/>
      <c r="G6" s="7"/>
      <c r="H6" s="7"/>
      <c r="I6" s="7"/>
      <c r="J6" s="8"/>
      <c r="K6" s="8">
        <v>65.0</v>
      </c>
      <c r="L6" s="8">
        <v>485.0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>
        <v>540.0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9">
        <f t="shared" si="2"/>
        <v>65</v>
      </c>
      <c r="AK6" s="9">
        <f t="shared" si="3"/>
        <v>540</v>
      </c>
      <c r="AL6" s="7" t="str">
        <f t="shared" ref="AL6:AM6" si="8">HLOOKUP(AJ6,{$D6:$AI6;$D$1:$AI$1},2,false)</f>
        <v>David</v>
      </c>
      <c r="AM6" s="7" t="str">
        <f t="shared" si="8"/>
        <v>Nancy</v>
      </c>
      <c r="AN6" s="7">
        <f t="shared" si="5"/>
        <v>3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</row>
    <row r="7">
      <c r="A7" s="5" t="s">
        <v>39</v>
      </c>
      <c r="B7" s="6" t="s">
        <v>39</v>
      </c>
      <c r="C7" s="8" t="s">
        <v>41</v>
      </c>
      <c r="D7" s="8">
        <v>150.0</v>
      </c>
      <c r="E7" s="7"/>
      <c r="F7" s="7"/>
      <c r="G7" s="7"/>
      <c r="H7" s="7"/>
      <c r="I7" s="7"/>
      <c r="J7" s="7"/>
      <c r="K7" s="7"/>
      <c r="L7" s="8">
        <v>130.0</v>
      </c>
      <c r="M7" s="7"/>
      <c r="N7" s="7"/>
      <c r="O7" s="7"/>
      <c r="P7" s="7"/>
      <c r="Q7" s="7"/>
      <c r="R7" s="8"/>
      <c r="S7" s="8"/>
      <c r="T7" s="8"/>
      <c r="U7" s="8"/>
      <c r="V7" s="8"/>
      <c r="W7" s="7"/>
      <c r="X7" s="7"/>
      <c r="Y7" s="8">
        <v>175.0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9">
        <f t="shared" si="2"/>
        <v>130</v>
      </c>
      <c r="AK7" s="9">
        <f t="shared" si="3"/>
        <v>175</v>
      </c>
      <c r="AL7" s="7" t="str">
        <f t="shared" ref="AL7:AM7" si="9">HLOOKUP(AJ7,{$D7:$AI7;$D$1:$AI$1},2,false)</f>
        <v>Debby</v>
      </c>
      <c r="AM7" s="7" t="str">
        <f t="shared" si="9"/>
        <v>Nancy</v>
      </c>
      <c r="AN7" s="7">
        <f t="shared" si="5"/>
        <v>3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</row>
    <row r="8">
      <c r="A8" s="5" t="s">
        <v>39</v>
      </c>
      <c r="B8" s="6" t="s">
        <v>40</v>
      </c>
      <c r="C8" s="7"/>
      <c r="D8" s="8"/>
      <c r="E8" s="8"/>
      <c r="F8" s="8"/>
      <c r="G8" s="8"/>
      <c r="H8" s="8"/>
      <c r="I8" s="8">
        <v>280.0</v>
      </c>
      <c r="J8" s="8"/>
      <c r="K8" s="8">
        <v>535.0</v>
      </c>
      <c r="L8" s="8">
        <v>525.0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>
        <v>900.0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9">
        <f t="shared" si="2"/>
        <v>280</v>
      </c>
      <c r="AK8" s="9">
        <f t="shared" si="3"/>
        <v>900</v>
      </c>
      <c r="AL8" s="7" t="str">
        <f t="shared" ref="AL8:AM8" si="10">HLOOKUP(AJ8,{$D8:$AI8;$D$1:$AI$1},2,false)</f>
        <v>Charlene</v>
      </c>
      <c r="AM8" s="7" t="str">
        <f t="shared" si="10"/>
        <v>Nancy</v>
      </c>
      <c r="AN8" s="7">
        <f t="shared" si="5"/>
        <v>4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>
      <c r="A9" s="5" t="s">
        <v>39</v>
      </c>
      <c r="B9" s="6" t="s">
        <v>40</v>
      </c>
      <c r="C9" s="7"/>
      <c r="D9" s="8"/>
      <c r="E9" s="8"/>
      <c r="F9" s="8"/>
      <c r="G9" s="8"/>
      <c r="H9" s="8"/>
      <c r="I9" s="8">
        <v>460.0</v>
      </c>
      <c r="J9" s="8"/>
      <c r="K9" s="8">
        <v>225.0</v>
      </c>
      <c r="L9" s="8">
        <v>395.0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>
        <v>675.0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9">
        <f t="shared" si="2"/>
        <v>225</v>
      </c>
      <c r="AK9" s="9">
        <f t="shared" si="3"/>
        <v>675</v>
      </c>
      <c r="AL9" s="7" t="str">
        <f t="shared" ref="AL9:AM9" si="11">HLOOKUP(AJ9,{$D9:$AI9;$D$1:$AI$1},2,false)</f>
        <v>David</v>
      </c>
      <c r="AM9" s="7" t="str">
        <f t="shared" si="11"/>
        <v>Nancy</v>
      </c>
      <c r="AN9" s="7">
        <f t="shared" si="5"/>
        <v>4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5" t="s">
        <v>39</v>
      </c>
      <c r="B10" s="6" t="s">
        <v>40</v>
      </c>
      <c r="C10" s="7"/>
      <c r="D10" s="8"/>
      <c r="E10" s="8"/>
      <c r="F10" s="8"/>
      <c r="G10" s="8"/>
      <c r="H10" s="8"/>
      <c r="I10" s="8">
        <v>190.0</v>
      </c>
      <c r="J10" s="8"/>
      <c r="K10" s="8">
        <v>450.0</v>
      </c>
      <c r="L10" s="7"/>
      <c r="M10" s="7"/>
      <c r="N10" s="7"/>
      <c r="O10" s="8"/>
      <c r="P10" s="8"/>
      <c r="Q10" s="8">
        <v>305.0</v>
      </c>
      <c r="R10" s="7"/>
      <c r="S10" s="7"/>
      <c r="T10" s="7"/>
      <c r="U10" s="7"/>
      <c r="V10" s="7"/>
      <c r="W10" s="7"/>
      <c r="X10" s="7"/>
      <c r="Y10" s="8">
        <v>550.0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9">
        <f t="shared" si="2"/>
        <v>190</v>
      </c>
      <c r="AK10" s="9">
        <f t="shared" si="3"/>
        <v>550</v>
      </c>
      <c r="AL10" s="7" t="str">
        <f t="shared" ref="AL10:AM10" si="12">HLOOKUP(AJ10,{$D10:$AI10;$D$1:$AI$1},2,false)</f>
        <v>Charlene</v>
      </c>
      <c r="AM10" s="7" t="str">
        <f t="shared" si="12"/>
        <v>Nancy</v>
      </c>
      <c r="AN10" s="7">
        <f t="shared" si="5"/>
        <v>4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5" t="s">
        <v>39</v>
      </c>
      <c r="B11" s="6" t="s">
        <v>40</v>
      </c>
      <c r="C11" s="7"/>
      <c r="D11" s="8"/>
      <c r="E11" s="8"/>
      <c r="F11" s="8"/>
      <c r="G11" s="8"/>
      <c r="H11" s="8"/>
      <c r="I11" s="8">
        <v>400.0</v>
      </c>
      <c r="J11" s="7"/>
      <c r="K11" s="7"/>
      <c r="L11" s="8">
        <v>235.0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>
        <v>260.0</v>
      </c>
      <c r="Z11" s="8"/>
      <c r="AA11" s="8">
        <v>240.0</v>
      </c>
      <c r="AB11" s="7"/>
      <c r="AC11" s="7"/>
      <c r="AD11" s="7"/>
      <c r="AE11" s="7"/>
      <c r="AF11" s="7"/>
      <c r="AG11" s="7"/>
      <c r="AH11" s="7"/>
      <c r="AI11" s="7"/>
      <c r="AJ11" s="9">
        <f t="shared" si="2"/>
        <v>235</v>
      </c>
      <c r="AK11" s="9">
        <f t="shared" si="3"/>
        <v>400</v>
      </c>
      <c r="AL11" s="7" t="str">
        <f t="shared" ref="AL11:AM11" si="13">HLOOKUP(AJ11,{$D11:$AI11;$D$1:$AI$1},2,false)</f>
        <v>Debby</v>
      </c>
      <c r="AM11" s="7" t="str">
        <f t="shared" si="13"/>
        <v>Charlene</v>
      </c>
      <c r="AN11" s="7">
        <f t="shared" si="5"/>
        <v>4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>
      <c r="A12" s="5" t="s">
        <v>39</v>
      </c>
      <c r="B12" s="6" t="s">
        <v>40</v>
      </c>
      <c r="C12" s="7"/>
      <c r="D12" s="8"/>
      <c r="E12" s="8"/>
      <c r="F12" s="8"/>
      <c r="G12" s="8"/>
      <c r="H12" s="8"/>
      <c r="I12" s="8">
        <v>165.0</v>
      </c>
      <c r="J12" s="8"/>
      <c r="K12" s="8">
        <v>400.0</v>
      </c>
      <c r="L12" s="8">
        <v>250.0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8">
        <v>190.0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9">
        <f t="shared" si="2"/>
        <v>165</v>
      </c>
      <c r="AK12" s="9">
        <f t="shared" si="3"/>
        <v>400</v>
      </c>
      <c r="AL12" s="7" t="str">
        <f t="shared" ref="AL12:AM12" si="14">HLOOKUP(AJ12,{$D12:$AI12;$D$1:$AI$1},2,false)</f>
        <v>Charlene</v>
      </c>
      <c r="AM12" s="7" t="str">
        <f t="shared" si="14"/>
        <v>David</v>
      </c>
      <c r="AN12" s="7">
        <f t="shared" si="5"/>
        <v>4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>
      <c r="A13" s="5" t="s">
        <v>39</v>
      </c>
      <c r="B13" s="6" t="s">
        <v>40</v>
      </c>
      <c r="C13" s="7"/>
      <c r="D13" s="8"/>
      <c r="E13" s="8"/>
      <c r="F13" s="8"/>
      <c r="G13" s="8"/>
      <c r="H13" s="8"/>
      <c r="I13" s="8">
        <v>445.0</v>
      </c>
      <c r="J13" s="7"/>
      <c r="K13" s="7"/>
      <c r="L13" s="8">
        <v>370.0</v>
      </c>
      <c r="M13" s="7"/>
      <c r="N13" s="7"/>
      <c r="O13" s="8"/>
      <c r="P13" s="8"/>
      <c r="Q13" s="8">
        <v>465.0</v>
      </c>
      <c r="R13" s="7"/>
      <c r="S13" s="7"/>
      <c r="T13" s="7"/>
      <c r="U13" s="7"/>
      <c r="V13" s="7"/>
      <c r="W13" s="7"/>
      <c r="X13" s="7"/>
      <c r="Y13" s="8">
        <v>430.0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9">
        <f t="shared" si="2"/>
        <v>370</v>
      </c>
      <c r="AK13" s="9">
        <f t="shared" si="3"/>
        <v>465</v>
      </c>
      <c r="AL13" s="7" t="str">
        <f t="shared" ref="AL13:AM13" si="15">HLOOKUP(AJ13,{$D13:$AI13;$D$1:$AI$1},2,false)</f>
        <v>Debby</v>
      </c>
      <c r="AM13" s="7" t="str">
        <f t="shared" si="15"/>
        <v>Jeff M</v>
      </c>
      <c r="AN13" s="7">
        <f t="shared" si="5"/>
        <v>4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>
      <c r="A14" s="5" t="s">
        <v>39</v>
      </c>
      <c r="B14" s="6" t="s">
        <v>40</v>
      </c>
      <c r="C14" s="7"/>
      <c r="D14" s="8"/>
      <c r="E14" s="8"/>
      <c r="F14" s="8"/>
      <c r="G14" s="8"/>
      <c r="H14" s="8"/>
      <c r="I14" s="8">
        <v>525.0</v>
      </c>
      <c r="J14" s="8"/>
      <c r="K14" s="8">
        <v>330.0</v>
      </c>
      <c r="L14" s="8">
        <v>540.0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8">
        <v>675.0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9">
        <f t="shared" si="2"/>
        <v>330</v>
      </c>
      <c r="AK14" s="9">
        <f t="shared" si="3"/>
        <v>675</v>
      </c>
      <c r="AL14" s="7" t="str">
        <f t="shared" ref="AL14:AM14" si="16">HLOOKUP(AJ14,{$D14:$AI14;$D$1:$AI$1},2,false)</f>
        <v>David</v>
      </c>
      <c r="AM14" s="7" t="str">
        <f t="shared" si="16"/>
        <v>Nancy</v>
      </c>
      <c r="AN14" s="7">
        <f t="shared" si="5"/>
        <v>4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>
      <c r="A15" s="5" t="s">
        <v>39</v>
      </c>
      <c r="B15" s="6" t="s">
        <v>40</v>
      </c>
      <c r="C15" s="7"/>
      <c r="D15" s="8"/>
      <c r="E15" s="8"/>
      <c r="F15" s="8"/>
      <c r="G15" s="8"/>
      <c r="H15" s="8"/>
      <c r="I15" s="8">
        <v>405.0</v>
      </c>
      <c r="J15" s="8"/>
      <c r="K15" s="8">
        <v>385.0</v>
      </c>
      <c r="L15" s="8">
        <v>630.0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>
        <v>410.0</v>
      </c>
      <c r="Z15" s="8"/>
      <c r="AA15" s="8">
        <v>380.0</v>
      </c>
      <c r="AB15" s="7"/>
      <c r="AC15" s="7"/>
      <c r="AD15" s="7"/>
      <c r="AE15" s="7"/>
      <c r="AF15" s="7"/>
      <c r="AG15" s="7"/>
      <c r="AH15" s="7"/>
      <c r="AI15" s="7"/>
      <c r="AJ15" s="9">
        <f t="shared" si="2"/>
        <v>380</v>
      </c>
      <c r="AK15" s="9">
        <f t="shared" si="3"/>
        <v>630</v>
      </c>
      <c r="AL15" s="7" t="str">
        <f t="shared" ref="AL15:AM15" si="17">HLOOKUP(AJ15,{$D15:$AI15;$D$1:$AI$1},2,false)</f>
        <v>Sally</v>
      </c>
      <c r="AM15" s="7" t="str">
        <f t="shared" si="17"/>
        <v>Debby</v>
      </c>
      <c r="AN15" s="7">
        <f t="shared" si="5"/>
        <v>5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>
      <c r="A16" s="5" t="s">
        <v>39</v>
      </c>
      <c r="B16" s="6" t="s">
        <v>40</v>
      </c>
      <c r="C16" s="7"/>
      <c r="D16" s="8"/>
      <c r="E16" s="8"/>
      <c r="F16" s="8"/>
      <c r="G16" s="8"/>
      <c r="H16" s="8"/>
      <c r="I16" s="8">
        <v>250.0</v>
      </c>
      <c r="J16" s="8"/>
      <c r="K16" s="8">
        <v>690.0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>
        <v>515.0</v>
      </c>
      <c r="Z16" s="8"/>
      <c r="AA16" s="8">
        <v>800.0</v>
      </c>
      <c r="AB16" s="7"/>
      <c r="AC16" s="7"/>
      <c r="AD16" s="7"/>
      <c r="AE16" s="7"/>
      <c r="AF16" s="7"/>
      <c r="AG16" s="7"/>
      <c r="AH16" s="7"/>
      <c r="AI16" s="7"/>
      <c r="AJ16" s="9">
        <f t="shared" si="2"/>
        <v>250</v>
      </c>
      <c r="AK16" s="9">
        <f t="shared" si="3"/>
        <v>800</v>
      </c>
      <c r="AL16" s="7" t="str">
        <f t="shared" ref="AL16:AM16" si="18">HLOOKUP(AJ16,{$D16:$AI16;$D$1:$AI$1},2,false)</f>
        <v>Charlene</v>
      </c>
      <c r="AM16" s="7" t="str">
        <f t="shared" si="18"/>
        <v>Sally</v>
      </c>
      <c r="AN16" s="7">
        <f t="shared" si="5"/>
        <v>4</v>
      </c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>
      <c r="A17" s="5" t="s">
        <v>39</v>
      </c>
      <c r="B17" s="6" t="s">
        <v>40</v>
      </c>
      <c r="C17" s="8" t="s">
        <v>41</v>
      </c>
      <c r="D17" s="8"/>
      <c r="E17" s="8"/>
      <c r="F17" s="8">
        <v>80.0</v>
      </c>
      <c r="G17" s="8"/>
      <c r="H17" s="8"/>
      <c r="I17" s="8">
        <v>220.0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>
        <v>145.0</v>
      </c>
      <c r="Z17" s="8"/>
      <c r="AA17" s="8">
        <v>345.0</v>
      </c>
      <c r="AB17" s="7"/>
      <c r="AC17" s="7"/>
      <c r="AD17" s="7"/>
      <c r="AE17" s="7"/>
      <c r="AF17" s="7"/>
      <c r="AG17" s="7"/>
      <c r="AH17" s="7"/>
      <c r="AI17" s="7"/>
      <c r="AJ17" s="9">
        <f t="shared" si="2"/>
        <v>80</v>
      </c>
      <c r="AK17" s="9">
        <f t="shared" si="3"/>
        <v>345</v>
      </c>
      <c r="AL17" s="7" t="str">
        <f t="shared" ref="AL17:AM17" si="19">HLOOKUP(AJ17,{$D17:$AI17;$D$1:$AI$1},2,false)</f>
        <v>Allyn</v>
      </c>
      <c r="AM17" s="7" t="str">
        <f t="shared" si="19"/>
        <v>Sally</v>
      </c>
      <c r="AN17" s="7">
        <f t="shared" si="5"/>
        <v>4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>
      <c r="A18" s="5" t="s">
        <v>39</v>
      </c>
      <c r="B18" s="6" t="s">
        <v>40</v>
      </c>
      <c r="C18" s="8" t="s">
        <v>41</v>
      </c>
      <c r="D18" s="7"/>
      <c r="E18" s="7"/>
      <c r="F18" s="7"/>
      <c r="G18" s="7"/>
      <c r="H18" s="7"/>
      <c r="I18" s="8">
        <v>95.0</v>
      </c>
      <c r="J18" s="8"/>
      <c r="K18" s="8">
        <v>240.0</v>
      </c>
      <c r="L18" s="7"/>
      <c r="M18" s="7"/>
      <c r="N18" s="7"/>
      <c r="O18" s="8"/>
      <c r="P18" s="8"/>
      <c r="Q18" s="8">
        <v>95.0</v>
      </c>
      <c r="R18" s="7"/>
      <c r="S18" s="7"/>
      <c r="T18" s="7"/>
      <c r="U18" s="7"/>
      <c r="V18" s="7"/>
      <c r="W18" s="7"/>
      <c r="X18" s="7"/>
      <c r="Y18" s="8">
        <v>265.0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9">
        <f t="shared" si="2"/>
        <v>95</v>
      </c>
      <c r="AK18" s="9">
        <f t="shared" si="3"/>
        <v>265</v>
      </c>
      <c r="AL18" s="7" t="str">
        <f t="shared" ref="AL18:AM18" si="20">HLOOKUP(AJ18,{$D18:$AI18;$D$1:$AI$1},2,false)</f>
        <v>Charlene</v>
      </c>
      <c r="AM18" s="7" t="str">
        <f t="shared" si="20"/>
        <v>Nancy</v>
      </c>
      <c r="AN18" s="7">
        <f t="shared" si="5"/>
        <v>4</v>
      </c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>
      <c r="A19" s="5" t="s">
        <v>39</v>
      </c>
      <c r="B19" s="6" t="s">
        <v>40</v>
      </c>
      <c r="C19" s="7"/>
      <c r="D19" s="7"/>
      <c r="E19" s="7"/>
      <c r="F19" s="7"/>
      <c r="G19" s="7"/>
      <c r="H19" s="7"/>
      <c r="I19" s="8">
        <v>455.0</v>
      </c>
      <c r="J19" s="8"/>
      <c r="K19" s="8">
        <v>630.0</v>
      </c>
      <c r="L19" s="8">
        <v>395.0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>
        <v>380.0</v>
      </c>
      <c r="Z19" s="8"/>
      <c r="AA19" s="8">
        <v>650.0</v>
      </c>
      <c r="AB19" s="7"/>
      <c r="AC19" s="7"/>
      <c r="AD19" s="7"/>
      <c r="AE19" s="7"/>
      <c r="AF19" s="7"/>
      <c r="AG19" s="7"/>
      <c r="AH19" s="7"/>
      <c r="AI19" s="7"/>
      <c r="AJ19" s="9">
        <f t="shared" si="2"/>
        <v>380</v>
      </c>
      <c r="AK19" s="9">
        <f t="shared" si="3"/>
        <v>650</v>
      </c>
      <c r="AL19" s="7" t="str">
        <f t="shared" ref="AL19:AM19" si="21">HLOOKUP(AJ19,{$D19:$AI19;$D$1:$AI$1},2,false)</f>
        <v>Nancy</v>
      </c>
      <c r="AM19" s="7" t="str">
        <f t="shared" si="21"/>
        <v>Sally</v>
      </c>
      <c r="AN19" s="7">
        <f t="shared" si="5"/>
        <v>5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>
      <c r="A20" s="5" t="s">
        <v>39</v>
      </c>
      <c r="B20" s="6" t="s">
        <v>40</v>
      </c>
      <c r="C20" s="7"/>
      <c r="D20" s="7"/>
      <c r="E20" s="7"/>
      <c r="F20" s="7"/>
      <c r="G20" s="7"/>
      <c r="H20" s="7"/>
      <c r="I20" s="8">
        <v>430.0</v>
      </c>
      <c r="J20" s="8"/>
      <c r="K20" s="8">
        <v>290.0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>
        <v>275.0</v>
      </c>
      <c r="Z20" s="7"/>
      <c r="AA20" s="7"/>
      <c r="AB20" s="7"/>
      <c r="AC20" s="8">
        <v>940.0</v>
      </c>
      <c r="AD20" s="8"/>
      <c r="AE20" s="7"/>
      <c r="AF20" s="7"/>
      <c r="AG20" s="7"/>
      <c r="AH20" s="7"/>
      <c r="AI20" s="7"/>
      <c r="AJ20" s="9">
        <f t="shared" si="2"/>
        <v>275</v>
      </c>
      <c r="AK20" s="9">
        <f t="shared" si="3"/>
        <v>940</v>
      </c>
      <c r="AL20" s="7" t="str">
        <f t="shared" ref="AL20:AM20" si="22">HLOOKUP(AJ20,{$D20:$AI20;$D$1:$AI$1},2,false)</f>
        <v>Nancy</v>
      </c>
      <c r="AM20" s="7" t="str">
        <f t="shared" si="22"/>
        <v>Sara</v>
      </c>
      <c r="AN20" s="7">
        <f t="shared" si="5"/>
        <v>4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>
      <c r="A21" s="5" t="s">
        <v>39</v>
      </c>
      <c r="B21" s="6" t="s">
        <v>40</v>
      </c>
      <c r="C21" s="8" t="s">
        <v>41</v>
      </c>
      <c r="D21" s="8"/>
      <c r="E21" s="8"/>
      <c r="F21" s="8">
        <v>490.0</v>
      </c>
      <c r="G21" s="8"/>
      <c r="H21" s="8"/>
      <c r="I21" s="8">
        <v>200.0</v>
      </c>
      <c r="J21" s="8"/>
      <c r="K21" s="8">
        <v>310.0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>
        <v>160.0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9">
        <f t="shared" si="2"/>
        <v>160</v>
      </c>
      <c r="AK21" s="9">
        <f t="shared" si="3"/>
        <v>490</v>
      </c>
      <c r="AL21" s="7" t="str">
        <f t="shared" ref="AL21:AM21" si="23">HLOOKUP(AJ21,{$D21:$AI21;$D$1:$AI$1},2,false)</f>
        <v>Nancy</v>
      </c>
      <c r="AM21" s="7" t="str">
        <f t="shared" si="23"/>
        <v>Allyn</v>
      </c>
      <c r="AN21" s="7">
        <f t="shared" si="5"/>
        <v>4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</row>
    <row r="22">
      <c r="A22" s="5" t="s">
        <v>39</v>
      </c>
      <c r="B22" s="6" t="s">
        <v>40</v>
      </c>
      <c r="C22" s="8" t="s">
        <v>41</v>
      </c>
      <c r="D22" s="7"/>
      <c r="E22" s="7"/>
      <c r="F22" s="7"/>
      <c r="G22" s="7"/>
      <c r="H22" s="7"/>
      <c r="I22" s="7"/>
      <c r="J22" s="8"/>
      <c r="K22" s="8">
        <v>465.0</v>
      </c>
      <c r="L22" s="8">
        <v>405.0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>
        <v>75.0</v>
      </c>
      <c r="Z22" s="7"/>
      <c r="AA22" s="7"/>
      <c r="AB22" s="8">
        <v>420.0</v>
      </c>
      <c r="AC22" s="7"/>
      <c r="AD22" s="7"/>
      <c r="AE22" s="7"/>
      <c r="AF22" s="7"/>
      <c r="AG22" s="7"/>
      <c r="AH22" s="7"/>
      <c r="AI22" s="7"/>
      <c r="AJ22" s="9">
        <f t="shared" si="2"/>
        <v>75</v>
      </c>
      <c r="AK22" s="9">
        <f t="shared" si="3"/>
        <v>465</v>
      </c>
      <c r="AL22" s="7" t="str">
        <f t="shared" ref="AL22:AM22" si="24">HLOOKUP(AJ22,{$D22:$AI22;$D$1:$AI$1},2,false)</f>
        <v>Nancy</v>
      </c>
      <c r="AM22" s="7" t="str">
        <f t="shared" si="24"/>
        <v>David</v>
      </c>
      <c r="AN22" s="7">
        <f t="shared" si="5"/>
        <v>4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</row>
    <row r="23">
      <c r="A23" s="5" t="s">
        <v>39</v>
      </c>
      <c r="B23" s="6" t="s">
        <v>40</v>
      </c>
      <c r="C23" s="7"/>
      <c r="D23" s="7"/>
      <c r="E23" s="7"/>
      <c r="F23" s="7"/>
      <c r="G23" s="7"/>
      <c r="H23" s="7"/>
      <c r="I23" s="8">
        <v>260.0</v>
      </c>
      <c r="J23" s="8"/>
      <c r="K23" s="8">
        <v>285.0</v>
      </c>
      <c r="L23" s="8">
        <v>570.0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>
        <v>695.0</v>
      </c>
      <c r="Z23" s="7"/>
      <c r="AA23" s="7"/>
      <c r="AB23" s="8">
        <v>780.0</v>
      </c>
      <c r="AC23" s="7"/>
      <c r="AD23" s="7"/>
      <c r="AE23" s="7"/>
      <c r="AF23" s="7"/>
      <c r="AG23" s="7"/>
      <c r="AH23" s="7"/>
      <c r="AI23" s="7"/>
      <c r="AJ23" s="9">
        <f t="shared" si="2"/>
        <v>260</v>
      </c>
      <c r="AK23" s="9">
        <f t="shared" si="3"/>
        <v>780</v>
      </c>
      <c r="AL23" s="7" t="str">
        <f t="shared" ref="AL23:AM23" si="25">HLOOKUP(AJ23,{$D23:$AI23;$D$1:$AI$1},2,false)</f>
        <v>Charlene</v>
      </c>
      <c r="AM23" s="7" t="str">
        <f t="shared" si="25"/>
        <v>Sandy</v>
      </c>
      <c r="AN23" s="7">
        <f t="shared" si="5"/>
        <v>5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</row>
    <row r="24">
      <c r="A24" s="5" t="s">
        <v>39</v>
      </c>
      <c r="B24" s="6" t="s">
        <v>42</v>
      </c>
      <c r="C24" s="8" t="s">
        <v>41</v>
      </c>
      <c r="D24" s="7"/>
      <c r="E24" s="7"/>
      <c r="F24" s="7"/>
      <c r="G24" s="7"/>
      <c r="H24" s="7"/>
      <c r="I24" s="8">
        <v>245.0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180.0</v>
      </c>
      <c r="V24" s="7"/>
      <c r="W24" s="7"/>
      <c r="X24" s="7"/>
      <c r="Y24" s="8">
        <v>325.0</v>
      </c>
      <c r="Z24" s="7"/>
      <c r="AA24" s="7"/>
      <c r="AB24" s="8">
        <v>185.0</v>
      </c>
      <c r="AC24" s="7"/>
      <c r="AD24" s="7"/>
      <c r="AE24" s="7"/>
      <c r="AF24" s="7"/>
      <c r="AG24" s="7"/>
      <c r="AH24" s="7"/>
      <c r="AI24" s="7"/>
      <c r="AJ24" s="9">
        <f t="shared" si="2"/>
        <v>180</v>
      </c>
      <c r="AK24" s="9">
        <f t="shared" si="3"/>
        <v>325</v>
      </c>
      <c r="AL24" s="7" t="str">
        <f t="shared" ref="AL24:AM24" si="26">HLOOKUP(AJ24,{$D24:$AI24;$D$1:$AI$1},2,false)</f>
        <v>Karenina</v>
      </c>
      <c r="AM24" s="7" t="str">
        <f t="shared" si="26"/>
        <v>Nancy</v>
      </c>
      <c r="AN24" s="7">
        <f t="shared" si="5"/>
        <v>4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>
      <c r="A25" s="5" t="s">
        <v>39</v>
      </c>
      <c r="B25" s="6" t="s">
        <v>40</v>
      </c>
      <c r="C25" s="7"/>
      <c r="D25" s="7"/>
      <c r="E25" s="7"/>
      <c r="F25" s="7"/>
      <c r="G25" s="7"/>
      <c r="H25" s="7"/>
      <c r="I25" s="8">
        <v>440.0</v>
      </c>
      <c r="J25" s="8"/>
      <c r="K25" s="8">
        <v>420.0</v>
      </c>
      <c r="L25" s="8">
        <v>625.0</v>
      </c>
      <c r="M25" s="7"/>
      <c r="N25" s="7"/>
      <c r="O25" s="7"/>
      <c r="P25" s="7"/>
      <c r="Q25" s="7"/>
      <c r="R25" s="7"/>
      <c r="S25" s="7"/>
      <c r="T25" s="7"/>
      <c r="U25" s="8">
        <v>575.0</v>
      </c>
      <c r="V25" s="7"/>
      <c r="W25" s="7"/>
      <c r="X25" s="7"/>
      <c r="Y25" s="8">
        <v>445.0</v>
      </c>
      <c r="Z25" s="7"/>
      <c r="AA25" s="7"/>
      <c r="AB25" s="8">
        <v>895.0</v>
      </c>
      <c r="AC25" s="7"/>
      <c r="AD25" s="7"/>
      <c r="AE25" s="7"/>
      <c r="AF25" s="7"/>
      <c r="AG25" s="7"/>
      <c r="AH25" s="7"/>
      <c r="AI25" s="7"/>
      <c r="AJ25" s="9">
        <f t="shared" si="2"/>
        <v>420</v>
      </c>
      <c r="AK25" s="9">
        <f t="shared" si="3"/>
        <v>895</v>
      </c>
      <c r="AL25" s="7" t="str">
        <f t="shared" ref="AL25:AM25" si="27">HLOOKUP(AJ25,{$D25:$AI25;$D$1:$AI$1},2,false)</f>
        <v>David</v>
      </c>
      <c r="AM25" s="7" t="str">
        <f t="shared" si="27"/>
        <v>Sandy</v>
      </c>
      <c r="AN25" s="7">
        <f t="shared" si="5"/>
        <v>6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</row>
    <row r="26">
      <c r="A26" s="5" t="s">
        <v>39</v>
      </c>
      <c r="B26" s="6" t="s">
        <v>42</v>
      </c>
      <c r="C26" s="7"/>
      <c r="D26" s="7"/>
      <c r="E26" s="7"/>
      <c r="F26" s="7"/>
      <c r="G26" s="7"/>
      <c r="H26" s="7"/>
      <c r="I26" s="8">
        <v>575.0</v>
      </c>
      <c r="J26" s="8"/>
      <c r="K26" s="8">
        <v>510.0</v>
      </c>
      <c r="L26" s="7"/>
      <c r="M26" s="7"/>
      <c r="N26" s="7"/>
      <c r="O26" s="8"/>
      <c r="P26" s="8"/>
      <c r="Q26" s="8">
        <v>565.0</v>
      </c>
      <c r="R26" s="7"/>
      <c r="S26" s="7"/>
      <c r="T26" s="7"/>
      <c r="U26" s="7"/>
      <c r="V26" s="7"/>
      <c r="W26" s="7"/>
      <c r="X26" s="7"/>
      <c r="Y26" s="7"/>
      <c r="Z26" s="8"/>
      <c r="AA26" s="8">
        <v>400.0</v>
      </c>
      <c r="AB26" s="7"/>
      <c r="AC26" s="7"/>
      <c r="AD26" s="7"/>
      <c r="AE26" s="7"/>
      <c r="AF26" s="7"/>
      <c r="AG26" s="7"/>
      <c r="AH26" s="7"/>
      <c r="AI26" s="7"/>
      <c r="AJ26" s="9">
        <f t="shared" si="2"/>
        <v>400</v>
      </c>
      <c r="AK26" s="9">
        <f t="shared" si="3"/>
        <v>575</v>
      </c>
      <c r="AL26" s="7" t="str">
        <f t="shared" ref="AL26:AM26" si="28">HLOOKUP(AJ26,{$D26:$AI26;$D$1:$AI$1},2,false)</f>
        <v>Sally</v>
      </c>
      <c r="AM26" s="7" t="str">
        <f t="shared" si="28"/>
        <v>Charlene</v>
      </c>
      <c r="AN26" s="7">
        <f t="shared" si="5"/>
        <v>4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</row>
    <row r="27">
      <c r="A27" s="5" t="s">
        <v>39</v>
      </c>
      <c r="B27" s="6" t="s">
        <v>42</v>
      </c>
      <c r="C27" s="7"/>
      <c r="D27" s="7"/>
      <c r="E27" s="7"/>
      <c r="F27" s="7"/>
      <c r="G27" s="7"/>
      <c r="H27" s="7"/>
      <c r="I27" s="8">
        <v>95.0</v>
      </c>
      <c r="J27" s="8"/>
      <c r="K27" s="8">
        <v>705.0</v>
      </c>
      <c r="L27" s="7"/>
      <c r="M27" s="7"/>
      <c r="N27" s="7"/>
      <c r="O27" s="8"/>
      <c r="P27" s="8"/>
      <c r="Q27" s="8">
        <v>775.0</v>
      </c>
      <c r="R27" s="7"/>
      <c r="S27" s="7"/>
      <c r="T27" s="7"/>
      <c r="U27" s="7"/>
      <c r="V27" s="7"/>
      <c r="W27" s="7"/>
      <c r="X27" s="7"/>
      <c r="Y27" s="8">
        <v>400.0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9">
        <f t="shared" si="2"/>
        <v>95</v>
      </c>
      <c r="AK27" s="9">
        <f t="shared" si="3"/>
        <v>775</v>
      </c>
      <c r="AL27" s="7" t="str">
        <f t="shared" ref="AL27:AM27" si="29">HLOOKUP(AJ27,{$D27:$AI27;$D$1:$AI$1},2,false)</f>
        <v>Charlene</v>
      </c>
      <c r="AM27" s="7" t="str">
        <f t="shared" si="29"/>
        <v>Jeff M</v>
      </c>
      <c r="AN27" s="7">
        <f t="shared" si="5"/>
        <v>4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</row>
    <row r="28">
      <c r="A28" s="5" t="s">
        <v>39</v>
      </c>
      <c r="B28" s="6" t="s">
        <v>40</v>
      </c>
      <c r="C28" s="8" t="s">
        <v>41</v>
      </c>
      <c r="D28" s="7"/>
      <c r="E28" s="7"/>
      <c r="F28" s="7"/>
      <c r="G28" s="7"/>
      <c r="H28" s="7"/>
      <c r="I28" s="8">
        <v>155.0</v>
      </c>
      <c r="J28" s="8"/>
      <c r="K28" s="8">
        <v>100.0</v>
      </c>
      <c r="L28" s="8">
        <v>495.0</v>
      </c>
      <c r="M28" s="7"/>
      <c r="N28" s="7"/>
      <c r="O28" s="8"/>
      <c r="P28" s="8"/>
      <c r="Q28" s="8">
        <v>240.0</v>
      </c>
      <c r="R28" s="7"/>
      <c r="S28" s="7"/>
      <c r="T28" s="7"/>
      <c r="U28" s="7"/>
      <c r="V28" s="7"/>
      <c r="W28" s="7"/>
      <c r="X28" s="7"/>
      <c r="Y28" s="8">
        <v>235.0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9">
        <f t="shared" si="2"/>
        <v>100</v>
      </c>
      <c r="AK28" s="9">
        <f t="shared" si="3"/>
        <v>495</v>
      </c>
      <c r="AL28" s="7" t="str">
        <f t="shared" ref="AL28:AM28" si="30">HLOOKUP(AJ28,{$D28:$AI28;$D$1:$AI$1},2,false)</f>
        <v>David</v>
      </c>
      <c r="AM28" s="7" t="str">
        <f t="shared" si="30"/>
        <v>Debby</v>
      </c>
      <c r="AN28" s="7">
        <f t="shared" si="5"/>
        <v>5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</row>
    <row r="29">
      <c r="A29" s="5" t="s">
        <v>39</v>
      </c>
      <c r="B29" s="6" t="s">
        <v>40</v>
      </c>
      <c r="C29" s="8" t="s">
        <v>41</v>
      </c>
      <c r="D29" s="7"/>
      <c r="E29" s="7"/>
      <c r="F29" s="7"/>
      <c r="G29" s="7"/>
      <c r="H29" s="7"/>
      <c r="I29" s="8">
        <v>235.0</v>
      </c>
      <c r="J29" s="8"/>
      <c r="K29" s="8">
        <v>135.0</v>
      </c>
      <c r="L29" s="8">
        <v>375.0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>
        <v>145.0</v>
      </c>
      <c r="Z29" s="8"/>
      <c r="AA29" s="8">
        <v>120.0</v>
      </c>
      <c r="AB29" s="7"/>
      <c r="AC29" s="7"/>
      <c r="AD29" s="7"/>
      <c r="AE29" s="7"/>
      <c r="AF29" s="7"/>
      <c r="AG29" s="7"/>
      <c r="AH29" s="7"/>
      <c r="AI29" s="7"/>
      <c r="AJ29" s="9">
        <f t="shared" si="2"/>
        <v>120</v>
      </c>
      <c r="AK29" s="9">
        <f t="shared" si="3"/>
        <v>375</v>
      </c>
      <c r="AL29" s="7" t="str">
        <f t="shared" ref="AL29:AM29" si="31">HLOOKUP(AJ29,{$D29:$AI29;$D$1:$AI$1},2,false)</f>
        <v>Sally</v>
      </c>
      <c r="AM29" s="7" t="str">
        <f t="shared" si="31"/>
        <v>Debby</v>
      </c>
      <c r="AN29" s="7">
        <f t="shared" si="5"/>
        <v>5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</row>
    <row r="30">
      <c r="A30" s="5" t="s">
        <v>39</v>
      </c>
      <c r="B30" s="6" t="s">
        <v>40</v>
      </c>
      <c r="C30" s="7"/>
      <c r="D30" s="7"/>
      <c r="E30" s="7"/>
      <c r="F30" s="7"/>
      <c r="G30" s="7"/>
      <c r="H30" s="7"/>
      <c r="I30" s="7"/>
      <c r="J30" s="7"/>
      <c r="K30" s="7"/>
      <c r="L30" s="8">
        <v>155.0</v>
      </c>
      <c r="M30" s="7"/>
      <c r="N30" s="7"/>
      <c r="O30" s="8"/>
      <c r="P30" s="8"/>
      <c r="Q30" s="8">
        <v>655.0</v>
      </c>
      <c r="R30" s="7"/>
      <c r="S30" s="7"/>
      <c r="T30" s="7"/>
      <c r="U30" s="7"/>
      <c r="V30" s="7"/>
      <c r="W30" s="7"/>
      <c r="X30" s="7"/>
      <c r="Y30" s="8">
        <v>245.0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9">
        <f t="shared" si="2"/>
        <v>155</v>
      </c>
      <c r="AK30" s="9">
        <f t="shared" si="3"/>
        <v>655</v>
      </c>
      <c r="AL30" s="7" t="str">
        <f t="shared" ref="AL30:AM30" si="32">HLOOKUP(AJ30,{$D30:$AI30;$D$1:$AI$1},2,false)</f>
        <v>Debby</v>
      </c>
      <c r="AM30" s="7" t="str">
        <f t="shared" si="32"/>
        <v>Jeff M</v>
      </c>
      <c r="AN30" s="7">
        <f t="shared" si="5"/>
        <v>3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</row>
    <row r="31">
      <c r="A31" s="5" t="s">
        <v>39</v>
      </c>
      <c r="B31" s="6" t="s">
        <v>40</v>
      </c>
      <c r="C31" s="8" t="s">
        <v>41</v>
      </c>
      <c r="D31" s="7"/>
      <c r="E31" s="7"/>
      <c r="F31" s="7"/>
      <c r="G31" s="7"/>
      <c r="H31" s="7"/>
      <c r="I31" s="7"/>
      <c r="J31" s="8"/>
      <c r="K31" s="8">
        <v>160.0</v>
      </c>
      <c r="L31" s="8">
        <v>335.0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8">
        <v>145.0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9">
        <f t="shared" si="2"/>
        <v>145</v>
      </c>
      <c r="AK31" s="9">
        <f t="shared" si="3"/>
        <v>335</v>
      </c>
      <c r="AL31" s="7" t="str">
        <f t="shared" ref="AL31:AM31" si="33">HLOOKUP(AJ31,{$D31:$AI31;$D$1:$AI$1},2,false)</f>
        <v>Nancy</v>
      </c>
      <c r="AM31" s="7" t="str">
        <f t="shared" si="33"/>
        <v>Debby</v>
      </c>
      <c r="AN31" s="7">
        <f t="shared" si="5"/>
        <v>3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</row>
    <row r="32">
      <c r="A32" s="5" t="s">
        <v>39</v>
      </c>
      <c r="B32" s="6" t="s">
        <v>42</v>
      </c>
      <c r="C32" s="8" t="s">
        <v>41</v>
      </c>
      <c r="D32" s="7"/>
      <c r="E32" s="7"/>
      <c r="F32" s="7"/>
      <c r="G32" s="7"/>
      <c r="H32" s="7"/>
      <c r="I32" s="8">
        <v>75.0</v>
      </c>
      <c r="J32" s="8"/>
      <c r="K32" s="8">
        <v>325.0</v>
      </c>
      <c r="L32" s="7"/>
      <c r="M32" s="7"/>
      <c r="N32" s="7"/>
      <c r="O32" s="7"/>
      <c r="P32" s="7"/>
      <c r="Q32" s="7"/>
      <c r="R32" s="7"/>
      <c r="S32" s="7"/>
      <c r="T32" s="7"/>
      <c r="U32" s="8">
        <v>60.0</v>
      </c>
      <c r="V32" s="7"/>
      <c r="W32" s="7"/>
      <c r="X32" s="7"/>
      <c r="Y32" s="8">
        <v>640.0</v>
      </c>
      <c r="Z32" s="7"/>
      <c r="AA32" s="7"/>
      <c r="AB32" s="7"/>
      <c r="AC32" s="7"/>
      <c r="AD32" s="7"/>
      <c r="AE32" s="8">
        <v>100.0</v>
      </c>
      <c r="AF32" s="7"/>
      <c r="AG32" s="7"/>
      <c r="AH32" s="7"/>
      <c r="AI32" s="7"/>
      <c r="AJ32" s="9">
        <f t="shared" si="2"/>
        <v>60</v>
      </c>
      <c r="AK32" s="9">
        <f t="shared" si="3"/>
        <v>640</v>
      </c>
      <c r="AL32" s="7" t="str">
        <f t="shared" ref="AL32:AM32" si="34">HLOOKUP(AJ32,{$D32:$AI32;$D$1:$AI$1},2,false)</f>
        <v>Karenina</v>
      </c>
      <c r="AM32" s="7" t="str">
        <f t="shared" si="34"/>
        <v>Nancy</v>
      </c>
      <c r="AN32" s="7">
        <f t="shared" si="5"/>
        <v>5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</row>
    <row r="33">
      <c r="A33" s="5" t="s">
        <v>39</v>
      </c>
      <c r="B33" s="6" t="s">
        <v>40</v>
      </c>
      <c r="C33" s="7"/>
      <c r="D33" s="7"/>
      <c r="E33" s="7"/>
      <c r="F33" s="7"/>
      <c r="G33" s="7"/>
      <c r="H33" s="7"/>
      <c r="I33" s="8">
        <v>125.0</v>
      </c>
      <c r="J33" s="8"/>
      <c r="K33" s="8">
        <v>655.0</v>
      </c>
      <c r="L33" s="8">
        <v>720.0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8">
        <v>390.0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9">
        <f t="shared" si="2"/>
        <v>125</v>
      </c>
      <c r="AK33" s="9">
        <f t="shared" si="3"/>
        <v>720</v>
      </c>
      <c r="AL33" s="7" t="str">
        <f t="shared" ref="AL33:AM33" si="35">HLOOKUP(AJ33,{$D33:$AI33;$D$1:$AI$1},2,false)</f>
        <v>Charlene</v>
      </c>
      <c r="AM33" s="7" t="str">
        <f t="shared" si="35"/>
        <v>Debby</v>
      </c>
      <c r="AN33" s="7">
        <f t="shared" si="5"/>
        <v>4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</row>
    <row r="34">
      <c r="A34" s="5" t="s">
        <v>39</v>
      </c>
      <c r="B34" s="6" t="s">
        <v>42</v>
      </c>
      <c r="C34" s="7"/>
      <c r="D34" s="7"/>
      <c r="E34" s="7"/>
      <c r="F34" s="7"/>
      <c r="G34" s="7"/>
      <c r="H34" s="7"/>
      <c r="I34" s="8">
        <v>175.0</v>
      </c>
      <c r="J34" s="8"/>
      <c r="K34" s="8">
        <v>625.0</v>
      </c>
      <c r="L34" s="8">
        <v>285.0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8">
        <v>185.0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9">
        <f t="shared" si="2"/>
        <v>175</v>
      </c>
      <c r="AK34" s="9">
        <f t="shared" si="3"/>
        <v>625</v>
      </c>
      <c r="AL34" s="7" t="str">
        <f t="shared" ref="AL34:AM34" si="36">HLOOKUP(AJ34,{$D34:$AI34;$D$1:$AI$1},2,false)</f>
        <v>Charlene</v>
      </c>
      <c r="AM34" s="7" t="str">
        <f t="shared" si="36"/>
        <v>David</v>
      </c>
      <c r="AN34" s="7">
        <f t="shared" si="5"/>
        <v>4</v>
      </c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</row>
    <row r="35">
      <c r="A35" s="5" t="s">
        <v>39</v>
      </c>
      <c r="B35" s="6" t="s">
        <v>40</v>
      </c>
      <c r="C35" s="7"/>
      <c r="D35" s="7"/>
      <c r="E35" s="7"/>
      <c r="F35" s="7"/>
      <c r="G35" s="7"/>
      <c r="H35" s="7"/>
      <c r="I35" s="8">
        <v>595.0</v>
      </c>
      <c r="J35" s="8"/>
      <c r="K35" s="8">
        <v>455.0</v>
      </c>
      <c r="L35" s="8">
        <v>585.0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8">
        <v>520.0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9">
        <f t="shared" si="2"/>
        <v>455</v>
      </c>
      <c r="AK35" s="9">
        <f t="shared" si="3"/>
        <v>595</v>
      </c>
      <c r="AL35" s="7" t="str">
        <f t="shared" ref="AL35:AM35" si="37">HLOOKUP(AJ35,{$D35:$AI35;$D$1:$AI$1},2,false)</f>
        <v>David</v>
      </c>
      <c r="AM35" s="7" t="str">
        <f t="shared" si="37"/>
        <v>Charlene</v>
      </c>
      <c r="AN35" s="7">
        <f t="shared" si="5"/>
        <v>4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</row>
    <row r="36">
      <c r="A36" s="5" t="s">
        <v>39</v>
      </c>
      <c r="B36" s="6" t="s">
        <v>40</v>
      </c>
      <c r="C36" s="7"/>
      <c r="D36" s="8"/>
      <c r="E36" s="8"/>
      <c r="F36" s="8">
        <v>375.0</v>
      </c>
      <c r="G36" s="8"/>
      <c r="H36" s="8"/>
      <c r="I36" s="7"/>
      <c r="J36" s="8"/>
      <c r="K36" s="8">
        <v>495.0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8">
        <v>730.0</v>
      </c>
      <c r="Z36" s="7"/>
      <c r="AA36" s="7"/>
      <c r="AB36" s="7"/>
      <c r="AC36" s="8">
        <v>490.0</v>
      </c>
      <c r="AD36" s="8"/>
      <c r="AE36" s="7"/>
      <c r="AF36" s="7"/>
      <c r="AG36" s="7"/>
      <c r="AH36" s="7"/>
      <c r="AI36" s="7"/>
      <c r="AJ36" s="9">
        <f t="shared" si="2"/>
        <v>375</v>
      </c>
      <c r="AK36" s="9">
        <f t="shared" si="3"/>
        <v>730</v>
      </c>
      <c r="AL36" s="7" t="str">
        <f t="shared" ref="AL36:AM36" si="38">HLOOKUP(AJ36,{$D36:$AI36;$D$1:$AI$1},2,false)</f>
        <v>Allyn</v>
      </c>
      <c r="AM36" s="7" t="str">
        <f t="shared" si="38"/>
        <v>Nancy</v>
      </c>
      <c r="AN36" s="7">
        <f t="shared" si="5"/>
        <v>4</v>
      </c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</row>
    <row r="37">
      <c r="A37" s="5" t="s">
        <v>39</v>
      </c>
      <c r="B37" s="6" t="s">
        <v>42</v>
      </c>
      <c r="C37" s="7"/>
      <c r="D37" s="7"/>
      <c r="E37" s="7"/>
      <c r="F37" s="7"/>
      <c r="G37" s="7"/>
      <c r="H37" s="7"/>
      <c r="I37" s="8">
        <v>535.0</v>
      </c>
      <c r="J37" s="8"/>
      <c r="K37" s="8">
        <v>590.0</v>
      </c>
      <c r="L37" s="8">
        <v>635.0</v>
      </c>
      <c r="M37" s="7"/>
      <c r="N37" s="7"/>
      <c r="O37" s="8"/>
      <c r="P37" s="8"/>
      <c r="Q37" s="8">
        <v>905.0</v>
      </c>
      <c r="R37" s="7"/>
      <c r="S37" s="7"/>
      <c r="T37" s="7"/>
      <c r="U37" s="7"/>
      <c r="V37" s="7"/>
      <c r="W37" s="7"/>
      <c r="X37" s="7"/>
      <c r="Y37" s="8">
        <v>480.0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9">
        <f t="shared" si="2"/>
        <v>480</v>
      </c>
      <c r="AK37" s="9">
        <f t="shared" si="3"/>
        <v>905</v>
      </c>
      <c r="AL37" s="7" t="str">
        <f t="shared" ref="AL37:AM37" si="39">HLOOKUP(AJ37,{$D37:$AI37;$D$1:$AI$1},2,false)</f>
        <v>Nancy</v>
      </c>
      <c r="AM37" s="7" t="str">
        <f t="shared" si="39"/>
        <v>Jeff M</v>
      </c>
      <c r="AN37" s="7">
        <f t="shared" si="5"/>
        <v>5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</row>
    <row r="38">
      <c r="A38" s="5" t="s">
        <v>39</v>
      </c>
      <c r="B38" s="6" t="s">
        <v>42</v>
      </c>
      <c r="C38" s="7"/>
      <c r="D38" s="7"/>
      <c r="E38" s="7"/>
      <c r="F38" s="7"/>
      <c r="G38" s="7"/>
      <c r="H38" s="7"/>
      <c r="I38" s="8">
        <v>840.0</v>
      </c>
      <c r="J38" s="8"/>
      <c r="K38" s="8">
        <v>725.0</v>
      </c>
      <c r="L38" s="8">
        <v>950.0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8">
        <v>150.0</v>
      </c>
      <c r="Z38" s="7"/>
      <c r="AA38" s="7"/>
      <c r="AB38" s="8">
        <v>565.0</v>
      </c>
      <c r="AC38" s="7"/>
      <c r="AD38" s="7"/>
      <c r="AE38" s="7"/>
      <c r="AF38" s="7"/>
      <c r="AG38" s="7"/>
      <c r="AH38" s="7"/>
      <c r="AI38" s="7"/>
      <c r="AJ38" s="9">
        <f t="shared" si="2"/>
        <v>150</v>
      </c>
      <c r="AK38" s="9">
        <f t="shared" si="3"/>
        <v>950</v>
      </c>
      <c r="AL38" s="7" t="str">
        <f t="shared" ref="AL38:AM38" si="40">HLOOKUP(AJ38,{$D38:$AI38;$D$1:$AI$1},2,false)</f>
        <v>Nancy</v>
      </c>
      <c r="AM38" s="7" t="str">
        <f t="shared" si="40"/>
        <v>Debby</v>
      </c>
      <c r="AN38" s="7">
        <f t="shared" si="5"/>
        <v>5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</row>
    <row r="39">
      <c r="A39" s="5" t="s">
        <v>39</v>
      </c>
      <c r="B39" s="6" t="s">
        <v>40</v>
      </c>
      <c r="C39" s="7"/>
      <c r="D39" s="7"/>
      <c r="E39" s="7"/>
      <c r="F39" s="7"/>
      <c r="G39" s="7"/>
      <c r="H39" s="7"/>
      <c r="I39" s="8">
        <v>635.0</v>
      </c>
      <c r="J39" s="8"/>
      <c r="K39" s="8">
        <v>665.0</v>
      </c>
      <c r="L39" s="8">
        <v>500.0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8">
        <v>520.0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9">
        <f t="shared" si="2"/>
        <v>500</v>
      </c>
      <c r="AK39" s="9">
        <f t="shared" si="3"/>
        <v>665</v>
      </c>
      <c r="AL39" s="7" t="str">
        <f t="shared" ref="AL39:AM39" si="41">HLOOKUP(AJ39,{$D39:$AI39;$D$1:$AI$1},2,false)</f>
        <v>Debby</v>
      </c>
      <c r="AM39" s="7" t="str">
        <f t="shared" si="41"/>
        <v>David</v>
      </c>
      <c r="AN39" s="7">
        <f t="shared" si="5"/>
        <v>4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</row>
    <row r="40">
      <c r="A40" s="5" t="s">
        <v>39</v>
      </c>
      <c r="B40" s="6" t="s">
        <v>40</v>
      </c>
      <c r="C40" s="8" t="s">
        <v>41</v>
      </c>
      <c r="D40" s="7"/>
      <c r="E40" s="7"/>
      <c r="F40" s="7"/>
      <c r="G40" s="7"/>
      <c r="H40" s="7"/>
      <c r="I40" s="8">
        <v>235.0</v>
      </c>
      <c r="J40" s="8"/>
      <c r="K40" s="8">
        <v>265.0</v>
      </c>
      <c r="L40" s="8">
        <v>270.0</v>
      </c>
      <c r="M40" s="7"/>
      <c r="N40" s="7"/>
      <c r="O40" s="8"/>
      <c r="P40" s="8"/>
      <c r="Q40" s="8">
        <v>110.0</v>
      </c>
      <c r="R40" s="7"/>
      <c r="S40" s="7"/>
      <c r="T40" s="7"/>
      <c r="U40" s="7"/>
      <c r="V40" s="7"/>
      <c r="W40" s="7"/>
      <c r="X40" s="7"/>
      <c r="Y40" s="8">
        <v>360.0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9">
        <f t="shared" si="2"/>
        <v>110</v>
      </c>
      <c r="AK40" s="9">
        <f t="shared" si="3"/>
        <v>360</v>
      </c>
      <c r="AL40" s="7" t="str">
        <f t="shared" ref="AL40:AM40" si="42">HLOOKUP(AJ40,{$D40:$AI40;$D$1:$AI$1},2,false)</f>
        <v>Jeff M</v>
      </c>
      <c r="AM40" s="7" t="str">
        <f t="shared" si="42"/>
        <v>Nancy</v>
      </c>
      <c r="AN40" s="7">
        <f t="shared" si="5"/>
        <v>5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</row>
    <row r="41">
      <c r="A41" s="5" t="s">
        <v>39</v>
      </c>
      <c r="B41" s="6" t="s">
        <v>42</v>
      </c>
      <c r="C41" s="8" t="s">
        <v>41</v>
      </c>
      <c r="D41" s="7"/>
      <c r="E41" s="7"/>
      <c r="F41" s="7"/>
      <c r="G41" s="7"/>
      <c r="H41" s="7"/>
      <c r="I41" s="8">
        <v>170.0</v>
      </c>
      <c r="J41" s="7"/>
      <c r="K41" s="7"/>
      <c r="L41" s="8">
        <v>510.0</v>
      </c>
      <c r="M41" s="7"/>
      <c r="N41" s="7"/>
      <c r="O41" s="7"/>
      <c r="P41" s="7"/>
      <c r="Q41" s="7"/>
      <c r="R41" s="7"/>
      <c r="S41" s="7"/>
      <c r="T41" s="7"/>
      <c r="U41" s="8">
        <v>120.0</v>
      </c>
      <c r="V41" s="7"/>
      <c r="W41" s="7"/>
      <c r="X41" s="7"/>
      <c r="Y41" s="7"/>
      <c r="Z41" s="7"/>
      <c r="AA41" s="7"/>
      <c r="AB41" s="8">
        <v>320.0</v>
      </c>
      <c r="AC41" s="7"/>
      <c r="AD41" s="7"/>
      <c r="AE41" s="7"/>
      <c r="AF41" s="7"/>
      <c r="AG41" s="7"/>
      <c r="AH41" s="7"/>
      <c r="AI41" s="7"/>
      <c r="AJ41" s="9">
        <f t="shared" si="2"/>
        <v>120</v>
      </c>
      <c r="AK41" s="9">
        <f t="shared" si="3"/>
        <v>510</v>
      </c>
      <c r="AL41" s="7" t="str">
        <f t="shared" ref="AL41:AM41" si="43">HLOOKUP(AJ41,{$D41:$AI41;$D$1:$AI$1},2,false)</f>
        <v>Karenina</v>
      </c>
      <c r="AM41" s="7" t="str">
        <f t="shared" si="43"/>
        <v>Debby</v>
      </c>
      <c r="AN41" s="7">
        <f t="shared" si="5"/>
        <v>4</v>
      </c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</row>
    <row r="42">
      <c r="A42" s="5" t="s">
        <v>39</v>
      </c>
      <c r="B42" s="6" t="s">
        <v>40</v>
      </c>
      <c r="C42" s="7"/>
      <c r="D42" s="7"/>
      <c r="E42" s="7"/>
      <c r="F42" s="7"/>
      <c r="G42" s="7"/>
      <c r="H42" s="7"/>
      <c r="I42" s="7"/>
      <c r="J42" s="8"/>
      <c r="K42" s="8">
        <v>665.0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8">
        <v>705.0</v>
      </c>
      <c r="W42" s="7"/>
      <c r="X42" s="7"/>
      <c r="Y42" s="8">
        <v>285.0</v>
      </c>
      <c r="Z42" s="8"/>
      <c r="AA42" s="8">
        <v>605.0</v>
      </c>
      <c r="AB42" s="7"/>
      <c r="AC42" s="7"/>
      <c r="AD42" s="7"/>
      <c r="AE42" s="7"/>
      <c r="AF42" s="7"/>
      <c r="AG42" s="7"/>
      <c r="AH42" s="7"/>
      <c r="AI42" s="7"/>
      <c r="AJ42" s="9">
        <f t="shared" si="2"/>
        <v>285</v>
      </c>
      <c r="AK42" s="9">
        <f t="shared" si="3"/>
        <v>705</v>
      </c>
      <c r="AL42" s="7" t="str">
        <f t="shared" ref="AL42:AM42" si="44">HLOOKUP(AJ42,{$D42:$AI42;$D$1:$AI$1},2,false)</f>
        <v>Nancy</v>
      </c>
      <c r="AM42" s="7" t="str">
        <f t="shared" si="44"/>
        <v>Karen</v>
      </c>
      <c r="AN42" s="7">
        <f t="shared" si="5"/>
        <v>4</v>
      </c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</row>
    <row r="43">
      <c r="A43" s="5" t="s">
        <v>39</v>
      </c>
      <c r="B43" s="6" t="s">
        <v>42</v>
      </c>
      <c r="C43" s="7"/>
      <c r="D43" s="7"/>
      <c r="E43" s="7"/>
      <c r="F43" s="7"/>
      <c r="G43" s="7"/>
      <c r="H43" s="7"/>
      <c r="I43" s="8">
        <v>125.0</v>
      </c>
      <c r="J43" s="8"/>
      <c r="K43" s="8">
        <v>240.0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8">
        <v>520.0</v>
      </c>
      <c r="Z43" s="7"/>
      <c r="AA43" s="7"/>
      <c r="AB43" s="8">
        <v>495.0</v>
      </c>
      <c r="AC43" s="7"/>
      <c r="AD43" s="7"/>
      <c r="AE43" s="7"/>
      <c r="AF43" s="7"/>
      <c r="AG43" s="7"/>
      <c r="AH43" s="7"/>
      <c r="AI43" s="7"/>
      <c r="AJ43" s="9">
        <f t="shared" si="2"/>
        <v>125</v>
      </c>
      <c r="AK43" s="9">
        <f t="shared" si="3"/>
        <v>520</v>
      </c>
      <c r="AL43" s="7" t="str">
        <f t="shared" ref="AL43:AM43" si="45">HLOOKUP(AJ43,{$D43:$AI43;$D$1:$AI$1},2,false)</f>
        <v>Charlene</v>
      </c>
      <c r="AM43" s="7" t="str">
        <f t="shared" si="45"/>
        <v>Nancy</v>
      </c>
      <c r="AN43" s="7">
        <f t="shared" si="5"/>
        <v>4</v>
      </c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</row>
    <row r="44">
      <c r="A44" s="5" t="s">
        <v>39</v>
      </c>
      <c r="B44" s="6" t="s">
        <v>42</v>
      </c>
      <c r="C44" s="7"/>
      <c r="D44" s="7"/>
      <c r="E44" s="7"/>
      <c r="F44" s="7"/>
      <c r="G44" s="7"/>
      <c r="H44" s="7"/>
      <c r="I44" s="8">
        <v>595.0</v>
      </c>
      <c r="J44" s="8"/>
      <c r="K44" s="8">
        <v>715.0</v>
      </c>
      <c r="L44" s="7"/>
      <c r="M44" s="7"/>
      <c r="N44" s="7"/>
      <c r="O44" s="7"/>
      <c r="P44" s="7"/>
      <c r="Q44" s="7"/>
      <c r="R44" s="7"/>
      <c r="S44" s="7"/>
      <c r="T44" s="7"/>
      <c r="U44" s="8">
        <v>475.0</v>
      </c>
      <c r="V44" s="7"/>
      <c r="W44" s="7"/>
      <c r="X44" s="7"/>
      <c r="Y44" s="8">
        <v>640.0</v>
      </c>
      <c r="Z44" s="7"/>
      <c r="AA44" s="7"/>
      <c r="AB44" s="8">
        <v>565.0</v>
      </c>
      <c r="AC44" s="7"/>
      <c r="AD44" s="7"/>
      <c r="AE44" s="8">
        <v>670.0</v>
      </c>
      <c r="AF44" s="7"/>
      <c r="AG44" s="7"/>
      <c r="AH44" s="7"/>
      <c r="AI44" s="7"/>
      <c r="AJ44" s="9">
        <f t="shared" si="2"/>
        <v>475</v>
      </c>
      <c r="AK44" s="9">
        <f t="shared" si="3"/>
        <v>715</v>
      </c>
      <c r="AL44" s="7" t="str">
        <f t="shared" ref="AL44:AM44" si="46">HLOOKUP(AJ44,{$D44:$AI44;$D$1:$AI$1},2,false)</f>
        <v>Karenina</v>
      </c>
      <c r="AM44" s="7" t="str">
        <f t="shared" si="46"/>
        <v>David</v>
      </c>
      <c r="AN44" s="7">
        <f t="shared" si="5"/>
        <v>6</v>
      </c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</row>
    <row r="45">
      <c r="A45" s="5" t="s">
        <v>39</v>
      </c>
      <c r="B45" s="6" t="s">
        <v>40</v>
      </c>
      <c r="C45" s="7"/>
      <c r="D45" s="7"/>
      <c r="E45" s="7"/>
      <c r="F45" s="7"/>
      <c r="G45" s="7"/>
      <c r="H45" s="7"/>
      <c r="I45" s="7"/>
      <c r="J45" s="8"/>
      <c r="K45" s="8">
        <v>130.0</v>
      </c>
      <c r="L45" s="7"/>
      <c r="M45" s="7"/>
      <c r="N45" s="7"/>
      <c r="O45" s="8">
        <v>620.0</v>
      </c>
      <c r="P45" s="7"/>
      <c r="Q45" s="7"/>
      <c r="R45" s="7"/>
      <c r="S45" s="7"/>
      <c r="T45" s="7"/>
      <c r="U45" s="7"/>
      <c r="V45" s="7"/>
      <c r="W45" s="7"/>
      <c r="X45" s="7"/>
      <c r="Y45" s="8">
        <v>370.0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9">
        <f t="shared" si="2"/>
        <v>130</v>
      </c>
      <c r="AK45" s="9">
        <f t="shared" si="3"/>
        <v>620</v>
      </c>
      <c r="AL45" s="7" t="str">
        <f t="shared" ref="AL45:AM45" si="47">HLOOKUP(AJ45,{$D45:$AI45;$D$1:$AI$1},2,false)</f>
        <v>David</v>
      </c>
      <c r="AM45" s="7" t="str">
        <f t="shared" si="47"/>
        <v>Jake</v>
      </c>
      <c r="AN45" s="7">
        <f t="shared" si="5"/>
        <v>3</v>
      </c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</row>
    <row r="46">
      <c r="A46" s="5" t="s">
        <v>39</v>
      </c>
      <c r="B46" s="6" t="s">
        <v>42</v>
      </c>
      <c r="C46" s="7"/>
      <c r="D46" s="7"/>
      <c r="E46" s="7"/>
      <c r="F46" s="7"/>
      <c r="G46" s="7"/>
      <c r="H46" s="7"/>
      <c r="I46" s="8">
        <v>485.0</v>
      </c>
      <c r="J46" s="8"/>
      <c r="K46" s="8">
        <v>180.0</v>
      </c>
      <c r="L46" s="8">
        <v>330.0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8">
        <v>460.0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9">
        <f t="shared" si="2"/>
        <v>180</v>
      </c>
      <c r="AK46" s="9">
        <f t="shared" si="3"/>
        <v>485</v>
      </c>
      <c r="AL46" s="7" t="str">
        <f t="shared" ref="AL46:AM46" si="48">HLOOKUP(AJ46,{$D46:$AI46;$D$1:$AI$1},2,false)</f>
        <v>David</v>
      </c>
      <c r="AM46" s="7" t="str">
        <f t="shared" si="48"/>
        <v>Charlene</v>
      </c>
      <c r="AN46" s="7">
        <f t="shared" si="5"/>
        <v>4</v>
      </c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</row>
    <row r="47">
      <c r="A47" s="5" t="s">
        <v>39</v>
      </c>
      <c r="B47" s="6" t="s">
        <v>42</v>
      </c>
      <c r="C47" s="7"/>
      <c r="D47" s="7"/>
      <c r="E47" s="7"/>
      <c r="F47" s="7"/>
      <c r="G47" s="7"/>
      <c r="H47" s="7"/>
      <c r="I47" s="8">
        <v>330.0</v>
      </c>
      <c r="J47" s="8"/>
      <c r="K47" s="8">
        <v>480.0</v>
      </c>
      <c r="L47" s="8">
        <v>270.0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8">
        <v>470.0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9">
        <f t="shared" si="2"/>
        <v>270</v>
      </c>
      <c r="AK47" s="9">
        <f t="shared" si="3"/>
        <v>480</v>
      </c>
      <c r="AL47" s="7" t="str">
        <f t="shared" ref="AL47:AM47" si="49">HLOOKUP(AJ47,{$D47:$AI47;$D$1:$AI$1},2,false)</f>
        <v>Debby</v>
      </c>
      <c r="AM47" s="7" t="str">
        <f t="shared" si="49"/>
        <v>David</v>
      </c>
      <c r="AN47" s="7">
        <f t="shared" si="5"/>
        <v>4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</row>
    <row r="48">
      <c r="A48" s="5" t="s">
        <v>39</v>
      </c>
      <c r="B48" s="6" t="s">
        <v>40</v>
      </c>
      <c r="C48" s="7"/>
      <c r="D48" s="7"/>
      <c r="E48" s="7"/>
      <c r="F48" s="7"/>
      <c r="G48" s="7"/>
      <c r="H48" s="7"/>
      <c r="I48" s="7"/>
      <c r="J48" s="8"/>
      <c r="K48" s="8">
        <v>115.0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8">
        <v>230.0</v>
      </c>
      <c r="Z48" s="7"/>
      <c r="AA48" s="7"/>
      <c r="AB48" s="7"/>
      <c r="AC48" s="8">
        <v>115.0</v>
      </c>
      <c r="AD48" s="8"/>
      <c r="AE48" s="7"/>
      <c r="AF48" s="7"/>
      <c r="AG48" s="7"/>
      <c r="AH48" s="7"/>
      <c r="AI48" s="7"/>
      <c r="AJ48" s="9">
        <f t="shared" si="2"/>
        <v>115</v>
      </c>
      <c r="AK48" s="9">
        <f t="shared" si="3"/>
        <v>230</v>
      </c>
      <c r="AL48" s="7" t="str">
        <f t="shared" ref="AL48:AM48" si="50">HLOOKUP(AJ48,{$D48:$AI48;$D$1:$AI$1},2,false)</f>
        <v>David</v>
      </c>
      <c r="AM48" s="7" t="str">
        <f t="shared" si="50"/>
        <v>Nancy</v>
      </c>
      <c r="AN48" s="7">
        <f t="shared" si="5"/>
        <v>3</v>
      </c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</row>
    <row r="49">
      <c r="A49" s="5" t="s">
        <v>39</v>
      </c>
      <c r="B49" s="6" t="s">
        <v>40</v>
      </c>
      <c r="C49" s="7"/>
      <c r="D49" s="7"/>
      <c r="E49" s="7"/>
      <c r="F49" s="7"/>
      <c r="G49" s="7"/>
      <c r="H49" s="7"/>
      <c r="I49" s="8">
        <v>100.0</v>
      </c>
      <c r="J49" s="8"/>
      <c r="K49" s="8">
        <v>485.0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8">
        <v>550.0</v>
      </c>
      <c r="Z49" s="7"/>
      <c r="AA49" s="7"/>
      <c r="AB49" s="8">
        <v>800.0</v>
      </c>
      <c r="AC49" s="7"/>
      <c r="AD49" s="7"/>
      <c r="AE49" s="7"/>
      <c r="AF49" s="7"/>
      <c r="AG49" s="7"/>
      <c r="AH49" s="7"/>
      <c r="AI49" s="7"/>
      <c r="AJ49" s="9">
        <f t="shared" si="2"/>
        <v>100</v>
      </c>
      <c r="AK49" s="9">
        <f t="shared" si="3"/>
        <v>800</v>
      </c>
      <c r="AL49" s="7" t="str">
        <f t="shared" ref="AL49:AM49" si="51">HLOOKUP(AJ49,{$D49:$AI49;$D$1:$AI$1},2,false)</f>
        <v>Charlene</v>
      </c>
      <c r="AM49" s="7" t="str">
        <f t="shared" si="51"/>
        <v>Sandy</v>
      </c>
      <c r="AN49" s="7">
        <f t="shared" si="5"/>
        <v>4</v>
      </c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</row>
    <row r="50">
      <c r="A50" s="5" t="s">
        <v>39</v>
      </c>
      <c r="B50" s="6" t="s">
        <v>40</v>
      </c>
      <c r="C50" s="7"/>
      <c r="D50" s="7"/>
      <c r="E50" s="7"/>
      <c r="F50" s="7"/>
      <c r="G50" s="7"/>
      <c r="H50" s="7"/>
      <c r="I50" s="7"/>
      <c r="J50" s="8"/>
      <c r="K50" s="8">
        <v>325.0</v>
      </c>
      <c r="L50" s="8">
        <v>330.0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8">
        <v>460.0</v>
      </c>
      <c r="Z50" s="8"/>
      <c r="AA50" s="8">
        <v>250.0</v>
      </c>
      <c r="AB50" s="7"/>
      <c r="AC50" s="7"/>
      <c r="AD50" s="7"/>
      <c r="AE50" s="7"/>
      <c r="AF50" s="7"/>
      <c r="AG50" s="7"/>
      <c r="AH50" s="7"/>
      <c r="AI50" s="7"/>
      <c r="AJ50" s="9">
        <f t="shared" si="2"/>
        <v>250</v>
      </c>
      <c r="AK50" s="9">
        <f t="shared" si="3"/>
        <v>460</v>
      </c>
      <c r="AL50" s="7" t="str">
        <f t="shared" ref="AL50:AM50" si="52">HLOOKUP(AJ50,{$D50:$AI50;$D$1:$AI$1},2,false)</f>
        <v>Sally</v>
      </c>
      <c r="AM50" s="7" t="str">
        <f t="shared" si="52"/>
        <v>Nancy</v>
      </c>
      <c r="AN50" s="7">
        <f t="shared" si="5"/>
        <v>4</v>
      </c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</row>
    <row r="51">
      <c r="A51" s="5" t="s">
        <v>39</v>
      </c>
      <c r="B51" s="6" t="s">
        <v>43</v>
      </c>
      <c r="C51" s="7"/>
      <c r="D51" s="7"/>
      <c r="E51" s="7"/>
      <c r="F51" s="7"/>
      <c r="G51" s="7"/>
      <c r="H51" s="7"/>
      <c r="I51" s="7"/>
      <c r="J51" s="8"/>
      <c r="K51" s="8">
        <v>490.0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8">
        <v>370.0</v>
      </c>
      <c r="Z51" s="8"/>
      <c r="AA51" s="8">
        <v>515.0</v>
      </c>
      <c r="AB51" s="7"/>
      <c r="AC51" s="8">
        <v>390.0</v>
      </c>
      <c r="AD51" s="8"/>
      <c r="AE51" s="7"/>
      <c r="AF51" s="8">
        <v>510.0</v>
      </c>
      <c r="AG51" s="8"/>
      <c r="AH51" s="7"/>
      <c r="AI51" s="7"/>
      <c r="AJ51" s="9">
        <f t="shared" si="2"/>
        <v>370</v>
      </c>
      <c r="AK51" s="9">
        <f t="shared" si="3"/>
        <v>515</v>
      </c>
      <c r="AL51" s="7" t="str">
        <f t="shared" ref="AL51:AM51" si="53">HLOOKUP(AJ51,{$D51:$AI51;$D$1:$AI$1},2,false)</f>
        <v>Nancy</v>
      </c>
      <c r="AM51" s="7" t="str">
        <f t="shared" si="53"/>
        <v>Sally</v>
      </c>
      <c r="AN51" s="7">
        <f t="shared" si="5"/>
        <v>5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</row>
    <row r="52">
      <c r="A52" s="5" t="s">
        <v>39</v>
      </c>
      <c r="B52" s="6" t="s">
        <v>40</v>
      </c>
      <c r="C52" s="8" t="s">
        <v>41</v>
      </c>
      <c r="D52" s="7"/>
      <c r="E52" s="7"/>
      <c r="F52" s="7"/>
      <c r="G52" s="7"/>
      <c r="H52" s="7"/>
      <c r="I52" s="8">
        <v>165.0</v>
      </c>
      <c r="J52" s="8"/>
      <c r="K52" s="8">
        <v>105.0</v>
      </c>
      <c r="L52" s="8">
        <v>455.0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8">
        <v>250.0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9">
        <f t="shared" si="2"/>
        <v>105</v>
      </c>
      <c r="AK52" s="9">
        <f t="shared" si="3"/>
        <v>455</v>
      </c>
      <c r="AL52" s="7" t="str">
        <f t="shared" ref="AL52:AM52" si="54">HLOOKUP(AJ52,{$D52:$AI52;$D$1:$AI$1},2,false)</f>
        <v>David</v>
      </c>
      <c r="AM52" s="7" t="str">
        <f t="shared" si="54"/>
        <v>Debby</v>
      </c>
      <c r="AN52" s="7">
        <f t="shared" si="5"/>
        <v>4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</row>
    <row r="53">
      <c r="A53" s="5" t="s">
        <v>39</v>
      </c>
      <c r="B53" s="6" t="s">
        <v>40</v>
      </c>
      <c r="C53" s="7"/>
      <c r="D53" s="7"/>
      <c r="E53" s="7"/>
      <c r="F53" s="7"/>
      <c r="G53" s="7"/>
      <c r="H53" s="7"/>
      <c r="I53" s="7"/>
      <c r="J53" s="8"/>
      <c r="K53" s="8">
        <v>390.0</v>
      </c>
      <c r="L53" s="8">
        <v>315.0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8">
        <v>325.0</v>
      </c>
      <c r="Z53" s="7"/>
      <c r="AA53" s="7"/>
      <c r="AB53" s="8">
        <v>710.0</v>
      </c>
      <c r="AC53" s="7"/>
      <c r="AD53" s="7"/>
      <c r="AE53" s="7"/>
      <c r="AF53" s="7"/>
      <c r="AG53" s="7"/>
      <c r="AH53" s="7"/>
      <c r="AI53" s="7"/>
      <c r="AJ53" s="9">
        <f t="shared" si="2"/>
        <v>315</v>
      </c>
      <c r="AK53" s="9">
        <f t="shared" si="3"/>
        <v>710</v>
      </c>
      <c r="AL53" s="7" t="str">
        <f t="shared" ref="AL53:AM53" si="55">HLOOKUP(AJ53,{$D53:$AI53;$D$1:$AI$1},2,false)</f>
        <v>Debby</v>
      </c>
      <c r="AM53" s="7" t="str">
        <f t="shared" si="55"/>
        <v>Sandy</v>
      </c>
      <c r="AN53" s="7">
        <f t="shared" si="5"/>
        <v>4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</row>
    <row r="54">
      <c r="A54" s="5" t="s">
        <v>39</v>
      </c>
      <c r="B54" s="6" t="s">
        <v>42</v>
      </c>
      <c r="C54" s="7"/>
      <c r="D54" s="7"/>
      <c r="E54" s="7"/>
      <c r="F54" s="7"/>
      <c r="G54" s="7"/>
      <c r="H54" s="7"/>
      <c r="I54" s="8">
        <v>560.0</v>
      </c>
      <c r="J54" s="8"/>
      <c r="K54" s="8">
        <v>305.0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8">
        <v>195.0</v>
      </c>
      <c r="Z54" s="7"/>
      <c r="AA54" s="7"/>
      <c r="AB54" s="8">
        <v>315.0</v>
      </c>
      <c r="AC54" s="7"/>
      <c r="AD54" s="7"/>
      <c r="AE54" s="7"/>
      <c r="AF54" s="7"/>
      <c r="AG54" s="7"/>
      <c r="AH54" s="7"/>
      <c r="AI54" s="7"/>
      <c r="AJ54" s="9">
        <f t="shared" si="2"/>
        <v>195</v>
      </c>
      <c r="AK54" s="9">
        <f t="shared" si="3"/>
        <v>560</v>
      </c>
      <c r="AL54" s="7" t="str">
        <f t="shared" ref="AL54:AM54" si="56">HLOOKUP(AJ54,{$D54:$AI54;$D$1:$AI$1},2,false)</f>
        <v>Nancy</v>
      </c>
      <c r="AM54" s="7" t="str">
        <f t="shared" si="56"/>
        <v>Charlene</v>
      </c>
      <c r="AN54" s="7">
        <f t="shared" si="5"/>
        <v>4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</row>
    <row r="55">
      <c r="A55" s="5" t="s">
        <v>39</v>
      </c>
      <c r="B55" s="6" t="s">
        <v>42</v>
      </c>
      <c r="C55" s="7"/>
      <c r="D55" s="7"/>
      <c r="E55" s="7"/>
      <c r="F55" s="7"/>
      <c r="G55" s="7"/>
      <c r="H55" s="7"/>
      <c r="I55" s="8">
        <v>465.0</v>
      </c>
      <c r="J55" s="8"/>
      <c r="K55" s="8">
        <v>575.0</v>
      </c>
      <c r="L55" s="7"/>
      <c r="M55" s="7"/>
      <c r="N55" s="7"/>
      <c r="O55" s="7"/>
      <c r="P55" s="7"/>
      <c r="Q55" s="8">
        <v>725.0</v>
      </c>
      <c r="R55" s="7"/>
      <c r="S55" s="7"/>
      <c r="T55" s="7"/>
      <c r="U55" s="7"/>
      <c r="V55" s="7"/>
      <c r="W55" s="7"/>
      <c r="X55" s="7"/>
      <c r="Y55" s="8">
        <v>405.0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9">
        <f t="shared" si="2"/>
        <v>405</v>
      </c>
      <c r="AK55" s="9">
        <f t="shared" si="3"/>
        <v>725</v>
      </c>
      <c r="AL55" s="7" t="str">
        <f t="shared" ref="AL55:AM55" si="57">HLOOKUP(AJ55,{$D55:$AI55;$D$1:$AI$1},2,false)</f>
        <v>Nancy</v>
      </c>
      <c r="AM55" s="7" t="str">
        <f t="shared" si="57"/>
        <v>Jeff M</v>
      </c>
      <c r="AN55" s="7">
        <f t="shared" si="5"/>
        <v>4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</row>
    <row r="56">
      <c r="A56" s="5" t="s">
        <v>39</v>
      </c>
      <c r="B56" s="6" t="s">
        <v>40</v>
      </c>
      <c r="C56" s="7"/>
      <c r="D56" s="7"/>
      <c r="E56" s="7"/>
      <c r="F56" s="7"/>
      <c r="G56" s="7"/>
      <c r="H56" s="7"/>
      <c r="I56" s="7"/>
      <c r="J56" s="8"/>
      <c r="K56" s="8">
        <v>110.0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8">
        <v>310.0</v>
      </c>
      <c r="Z56" s="7"/>
      <c r="AA56" s="8">
        <v>110.0</v>
      </c>
      <c r="AB56" s="7"/>
      <c r="AC56" s="7"/>
      <c r="AD56" s="7"/>
      <c r="AE56" s="7"/>
      <c r="AF56" s="7"/>
      <c r="AG56" s="7"/>
      <c r="AH56" s="7"/>
      <c r="AI56" s="7"/>
      <c r="AJ56" s="9">
        <f t="shared" si="2"/>
        <v>110</v>
      </c>
      <c r="AK56" s="9">
        <f t="shared" si="3"/>
        <v>310</v>
      </c>
      <c r="AL56" s="7" t="str">
        <f t="shared" ref="AL56:AM56" si="58">HLOOKUP(AJ56,{$D56:$AI56;$D$1:$AI$1},2,false)</f>
        <v>David</v>
      </c>
      <c r="AM56" s="7" t="str">
        <f t="shared" si="58"/>
        <v>Nancy</v>
      </c>
      <c r="AN56" s="7">
        <f t="shared" si="5"/>
        <v>3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</row>
    <row r="57">
      <c r="A57" s="5" t="s">
        <v>39</v>
      </c>
      <c r="B57" s="6" t="s">
        <v>42</v>
      </c>
      <c r="C57" s="7"/>
      <c r="D57" s="7"/>
      <c r="E57" s="7"/>
      <c r="F57" s="7"/>
      <c r="G57" s="7"/>
      <c r="H57" s="7"/>
      <c r="I57" s="8">
        <v>770.0</v>
      </c>
      <c r="J57" s="8"/>
      <c r="K57" s="8">
        <v>420.0</v>
      </c>
      <c r="L57" s="7"/>
      <c r="M57" s="7"/>
      <c r="N57" s="7"/>
      <c r="O57" s="7"/>
      <c r="P57" s="7"/>
      <c r="Q57" s="8">
        <v>450.0</v>
      </c>
      <c r="R57" s="7"/>
      <c r="S57" s="7"/>
      <c r="T57" s="7"/>
      <c r="U57" s="7"/>
      <c r="V57" s="7"/>
      <c r="W57" s="7"/>
      <c r="X57" s="7"/>
      <c r="Y57" s="8">
        <v>630.0</v>
      </c>
      <c r="Z57" s="7"/>
      <c r="AA57" s="8">
        <v>1165.0</v>
      </c>
      <c r="AB57" s="7"/>
      <c r="AC57" s="7"/>
      <c r="AD57" s="7"/>
      <c r="AE57" s="7"/>
      <c r="AF57" s="7"/>
      <c r="AG57" s="7"/>
      <c r="AH57" s="7"/>
      <c r="AI57" s="7"/>
      <c r="AJ57" s="9">
        <f t="shared" si="2"/>
        <v>420</v>
      </c>
      <c r="AK57" s="9">
        <f t="shared" si="3"/>
        <v>1165</v>
      </c>
      <c r="AL57" s="7" t="str">
        <f t="shared" ref="AL57:AM57" si="59">HLOOKUP(AJ57,{$D57:$AI57;$D$1:$AI$1},2,false)</f>
        <v>David</v>
      </c>
      <c r="AM57" s="7" t="str">
        <f t="shared" si="59"/>
        <v>Sally</v>
      </c>
      <c r="AN57" s="7">
        <f t="shared" si="5"/>
        <v>5</v>
      </c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</row>
    <row r="58">
      <c r="A58" s="5" t="s">
        <v>39</v>
      </c>
      <c r="B58" s="6" t="s">
        <v>40</v>
      </c>
      <c r="C58" s="8" t="s">
        <v>41</v>
      </c>
      <c r="D58" s="7"/>
      <c r="E58" s="7"/>
      <c r="F58" s="7"/>
      <c r="G58" s="7"/>
      <c r="H58" s="7"/>
      <c r="I58" s="7"/>
      <c r="J58" s="8"/>
      <c r="K58" s="8">
        <v>245.0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8">
        <v>165.0</v>
      </c>
      <c r="Z58" s="7"/>
      <c r="AA58" s="8">
        <v>310.0</v>
      </c>
      <c r="AB58" s="7"/>
      <c r="AC58" s="7"/>
      <c r="AD58" s="7"/>
      <c r="AE58" s="7"/>
      <c r="AF58" s="7"/>
      <c r="AG58" s="7"/>
      <c r="AH58" s="7"/>
      <c r="AI58" s="7"/>
      <c r="AJ58" s="9">
        <f t="shared" si="2"/>
        <v>165</v>
      </c>
      <c r="AK58" s="9">
        <f t="shared" si="3"/>
        <v>310</v>
      </c>
      <c r="AL58" s="7" t="str">
        <f t="shared" ref="AL58:AM58" si="60">HLOOKUP(AJ58,{$D58:$AI58;$D$1:$AI$1},2,false)</f>
        <v>Nancy</v>
      </c>
      <c r="AM58" s="7" t="str">
        <f t="shared" si="60"/>
        <v>Sally</v>
      </c>
      <c r="AN58" s="7">
        <f t="shared" si="5"/>
        <v>3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</row>
    <row r="59">
      <c r="A59" s="5" t="s">
        <v>39</v>
      </c>
      <c r="B59" s="6" t="s">
        <v>40</v>
      </c>
      <c r="C59" s="8" t="s">
        <v>41</v>
      </c>
      <c r="D59" s="7"/>
      <c r="E59" s="7"/>
      <c r="F59" s="7"/>
      <c r="G59" s="7"/>
      <c r="H59" s="7"/>
      <c r="I59" s="8">
        <v>215.0</v>
      </c>
      <c r="J59" s="8"/>
      <c r="K59" s="8">
        <v>510.0</v>
      </c>
      <c r="L59" s="8">
        <v>355.0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8">
        <v>205.0</v>
      </c>
      <c r="Z59" s="8">
        <v>775.0</v>
      </c>
      <c r="AA59" s="7"/>
      <c r="AB59" s="7"/>
      <c r="AC59" s="8">
        <v>545.0</v>
      </c>
      <c r="AD59" s="8"/>
      <c r="AE59" s="7"/>
      <c r="AF59" s="7"/>
      <c r="AG59" s="7"/>
      <c r="AH59" s="7"/>
      <c r="AI59" s="7"/>
      <c r="AJ59" s="9">
        <f t="shared" si="2"/>
        <v>205</v>
      </c>
      <c r="AK59" s="9">
        <f t="shared" si="3"/>
        <v>775</v>
      </c>
      <c r="AL59" s="7" t="str">
        <f t="shared" ref="AL59:AM59" si="61">HLOOKUP(AJ59,{$D59:$AI59;$D$1:$AI$1},2,false)</f>
        <v>Nancy</v>
      </c>
      <c r="AM59" s="7" t="str">
        <f t="shared" si="61"/>
        <v>Ray</v>
      </c>
      <c r="AN59" s="7">
        <f t="shared" si="5"/>
        <v>6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</row>
    <row r="60">
      <c r="A60" s="5" t="s">
        <v>39</v>
      </c>
      <c r="B60" s="6" t="s">
        <v>42</v>
      </c>
      <c r="C60" s="7"/>
      <c r="D60" s="7"/>
      <c r="E60" s="7"/>
      <c r="F60" s="7"/>
      <c r="G60" s="7"/>
      <c r="H60" s="7"/>
      <c r="I60" s="8">
        <v>225.0</v>
      </c>
      <c r="J60" s="7"/>
      <c r="K60" s="7"/>
      <c r="L60" s="7"/>
      <c r="M60" s="7"/>
      <c r="N60" s="7"/>
      <c r="O60" s="7"/>
      <c r="P60" s="7"/>
      <c r="Q60" s="8">
        <v>125.0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8">
        <v>255.0</v>
      </c>
      <c r="AC60" s="7"/>
      <c r="AD60" s="7"/>
      <c r="AE60" s="7"/>
      <c r="AF60" s="7"/>
      <c r="AG60" s="7"/>
      <c r="AH60" s="7"/>
      <c r="AI60" s="7"/>
      <c r="AJ60" s="9">
        <f t="shared" si="2"/>
        <v>125</v>
      </c>
      <c r="AK60" s="9">
        <f t="shared" si="3"/>
        <v>255</v>
      </c>
      <c r="AL60" s="7" t="str">
        <f t="shared" ref="AL60:AM60" si="62">HLOOKUP(AJ60,{$D60:$AI60;$D$1:$AI$1},2,false)</f>
        <v>Jeff M</v>
      </c>
      <c r="AM60" s="7" t="str">
        <f t="shared" si="62"/>
        <v>Sandy</v>
      </c>
      <c r="AN60" s="7">
        <f t="shared" si="5"/>
        <v>3</v>
      </c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</row>
    <row r="61">
      <c r="A61" s="5" t="s">
        <v>39</v>
      </c>
      <c r="B61" s="6" t="s">
        <v>40</v>
      </c>
      <c r="C61" s="7"/>
      <c r="D61" s="7"/>
      <c r="E61" s="7"/>
      <c r="F61" s="7"/>
      <c r="G61" s="7"/>
      <c r="H61" s="7"/>
      <c r="I61" s="8">
        <v>235.0</v>
      </c>
      <c r="J61" s="7"/>
      <c r="K61" s="8">
        <v>595.0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8">
        <v>325.0</v>
      </c>
      <c r="Z61" s="7"/>
      <c r="AA61" s="7"/>
      <c r="AB61" s="8">
        <v>415.0</v>
      </c>
      <c r="AC61" s="7"/>
      <c r="AD61" s="7"/>
      <c r="AE61" s="7"/>
      <c r="AF61" s="7"/>
      <c r="AG61" s="7"/>
      <c r="AH61" s="7"/>
      <c r="AI61" s="7"/>
      <c r="AJ61" s="9">
        <f t="shared" si="2"/>
        <v>235</v>
      </c>
      <c r="AK61" s="9">
        <f t="shared" si="3"/>
        <v>595</v>
      </c>
      <c r="AL61" s="7" t="str">
        <f t="shared" ref="AL61:AM61" si="63">HLOOKUP(AJ61,{$D61:$AI61;$D$1:$AI$1},2,false)</f>
        <v>Charlene</v>
      </c>
      <c r="AM61" s="7" t="str">
        <f t="shared" si="63"/>
        <v>David</v>
      </c>
      <c r="AN61" s="7">
        <f t="shared" si="5"/>
        <v>4</v>
      </c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</row>
    <row r="62">
      <c r="A62" s="5" t="s">
        <v>39</v>
      </c>
      <c r="B62" s="6" t="s">
        <v>42</v>
      </c>
      <c r="C62" s="7"/>
      <c r="D62" s="7"/>
      <c r="E62" s="7"/>
      <c r="F62" s="7"/>
      <c r="G62" s="7"/>
      <c r="H62" s="7"/>
      <c r="I62" s="8">
        <v>385.0</v>
      </c>
      <c r="J62" s="7"/>
      <c r="K62" s="8">
        <v>585.0</v>
      </c>
      <c r="L62" s="8">
        <v>600.0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8">
        <v>500.0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9">
        <f t="shared" si="2"/>
        <v>385</v>
      </c>
      <c r="AK62" s="9">
        <f t="shared" si="3"/>
        <v>600</v>
      </c>
      <c r="AL62" s="7" t="str">
        <f t="shared" ref="AL62:AM62" si="64">HLOOKUP(AJ62,{$D62:$AI62;$D$1:$AI$1},2,false)</f>
        <v>Charlene</v>
      </c>
      <c r="AM62" s="7" t="str">
        <f t="shared" si="64"/>
        <v>Debby</v>
      </c>
      <c r="AN62" s="7">
        <f t="shared" si="5"/>
        <v>4</v>
      </c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</row>
    <row r="63">
      <c r="A63" s="5" t="s">
        <v>39</v>
      </c>
      <c r="B63" s="6" t="s">
        <v>40</v>
      </c>
      <c r="C63" s="7"/>
      <c r="D63" s="7"/>
      <c r="E63" s="7"/>
      <c r="F63" s="7"/>
      <c r="G63" s="7"/>
      <c r="H63" s="7"/>
      <c r="I63" s="8">
        <v>465.0</v>
      </c>
      <c r="J63" s="7"/>
      <c r="K63" s="8">
        <v>1080.0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8">
        <v>600.0</v>
      </c>
      <c r="Z63" s="7"/>
      <c r="AA63" s="7"/>
      <c r="AB63" s="8">
        <v>480.0</v>
      </c>
      <c r="AC63" s="7"/>
      <c r="AD63" s="7"/>
      <c r="AE63" s="7"/>
      <c r="AF63" s="7"/>
      <c r="AG63" s="7"/>
      <c r="AH63" s="7"/>
      <c r="AI63" s="7"/>
      <c r="AJ63" s="9">
        <f t="shared" si="2"/>
        <v>465</v>
      </c>
      <c r="AK63" s="9">
        <f t="shared" si="3"/>
        <v>1080</v>
      </c>
      <c r="AL63" s="7" t="str">
        <f t="shared" ref="AL63:AM63" si="65">HLOOKUP(AJ63,{$D63:$AI63;$D$1:$AI$1},2,false)</f>
        <v>Charlene</v>
      </c>
      <c r="AM63" s="7" t="str">
        <f t="shared" si="65"/>
        <v>David</v>
      </c>
      <c r="AN63" s="7">
        <f t="shared" si="5"/>
        <v>4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</row>
    <row r="64">
      <c r="A64" s="5" t="s">
        <v>39</v>
      </c>
      <c r="B64" s="6" t="s">
        <v>40</v>
      </c>
      <c r="C64" s="8" t="s">
        <v>41</v>
      </c>
      <c r="D64" s="7"/>
      <c r="E64" s="7"/>
      <c r="F64" s="7"/>
      <c r="G64" s="7"/>
      <c r="H64" s="7"/>
      <c r="I64" s="7"/>
      <c r="J64" s="7"/>
      <c r="K64" s="8">
        <v>40.0</v>
      </c>
      <c r="L64" s="8">
        <v>525.0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8">
        <v>45.0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9">
        <f t="shared" si="2"/>
        <v>40</v>
      </c>
      <c r="AK64" s="9">
        <f t="shared" si="3"/>
        <v>525</v>
      </c>
      <c r="AL64" s="7" t="str">
        <f t="shared" ref="AL64:AM64" si="66">HLOOKUP(AJ64,{$D64:$AI64;$D$1:$AI$1},2,false)</f>
        <v>David</v>
      </c>
      <c r="AM64" s="7" t="str">
        <f t="shared" si="66"/>
        <v>Debby</v>
      </c>
      <c r="AN64" s="7">
        <f t="shared" si="5"/>
        <v>3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</row>
    <row r="65">
      <c r="A65" s="5" t="s">
        <v>39</v>
      </c>
      <c r="B65" s="6" t="s">
        <v>40</v>
      </c>
      <c r="C65" s="7"/>
      <c r="D65" s="7"/>
      <c r="E65" s="7"/>
      <c r="F65" s="7"/>
      <c r="G65" s="7"/>
      <c r="H65" s="7"/>
      <c r="I65" s="8">
        <v>330.0</v>
      </c>
      <c r="J65" s="7"/>
      <c r="K65" s="8">
        <v>315.0</v>
      </c>
      <c r="L65" s="7"/>
      <c r="M65" s="7"/>
      <c r="N65" s="7"/>
      <c r="O65" s="7"/>
      <c r="P65" s="7"/>
      <c r="Q65" s="8">
        <v>640.0</v>
      </c>
      <c r="R65" s="7"/>
      <c r="S65" s="7"/>
      <c r="T65" s="7"/>
      <c r="U65" s="7"/>
      <c r="V65" s="7"/>
      <c r="W65" s="7"/>
      <c r="X65" s="7"/>
      <c r="Y65" s="8">
        <v>580.0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9">
        <f t="shared" si="2"/>
        <v>315</v>
      </c>
      <c r="AK65" s="9">
        <f t="shared" si="3"/>
        <v>640</v>
      </c>
      <c r="AL65" s="7" t="str">
        <f t="shared" ref="AL65:AM65" si="67">HLOOKUP(AJ65,{$D65:$AI65;$D$1:$AI$1},2,false)</f>
        <v>David</v>
      </c>
      <c r="AM65" s="7" t="str">
        <f t="shared" si="67"/>
        <v>Jeff M</v>
      </c>
      <c r="AN65" s="7">
        <f t="shared" si="5"/>
        <v>4</v>
      </c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</row>
    <row r="66">
      <c r="A66" s="5" t="s">
        <v>39</v>
      </c>
      <c r="B66" s="6" t="s">
        <v>40</v>
      </c>
      <c r="C66" s="7"/>
      <c r="D66" s="7"/>
      <c r="E66" s="7"/>
      <c r="F66" s="7"/>
      <c r="G66" s="7"/>
      <c r="H66" s="7"/>
      <c r="I66" s="8">
        <v>95.0</v>
      </c>
      <c r="J66" s="7"/>
      <c r="K66" s="8">
        <v>70.0</v>
      </c>
      <c r="L66" s="7"/>
      <c r="M66" s="7"/>
      <c r="N66" s="7"/>
      <c r="O66" s="7"/>
      <c r="P66" s="7"/>
      <c r="Q66" s="8">
        <v>210.0</v>
      </c>
      <c r="R66" s="7"/>
      <c r="S66" s="7"/>
      <c r="T66" s="7"/>
      <c r="U66" s="7"/>
      <c r="V66" s="7"/>
      <c r="W66" s="7"/>
      <c r="X66" s="7"/>
      <c r="Y66" s="8">
        <v>164.0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9">
        <f t="shared" si="2"/>
        <v>70</v>
      </c>
      <c r="AK66" s="9">
        <f t="shared" si="3"/>
        <v>210</v>
      </c>
      <c r="AL66" s="7" t="str">
        <f t="shared" ref="AL66:AM66" si="68">HLOOKUP(AJ66,{$D66:$AI66;$D$1:$AI$1},2,false)</f>
        <v>David</v>
      </c>
      <c r="AM66" s="7" t="str">
        <f t="shared" si="68"/>
        <v>Jeff M</v>
      </c>
      <c r="AN66" s="7">
        <f t="shared" si="5"/>
        <v>4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</row>
    <row r="67">
      <c r="A67" s="5" t="s">
        <v>39</v>
      </c>
      <c r="B67" s="6" t="s">
        <v>40</v>
      </c>
      <c r="C67" s="7"/>
      <c r="D67" s="7"/>
      <c r="E67" s="7"/>
      <c r="F67" s="7"/>
      <c r="G67" s="7"/>
      <c r="H67" s="7"/>
      <c r="I67" s="8">
        <v>195.0</v>
      </c>
      <c r="J67" s="7"/>
      <c r="K67" s="8">
        <v>175.0</v>
      </c>
      <c r="L67" s="7"/>
      <c r="M67" s="7"/>
      <c r="N67" s="7"/>
      <c r="O67" s="7"/>
      <c r="P67" s="7"/>
      <c r="Q67" s="8">
        <v>360.0</v>
      </c>
      <c r="R67" s="7"/>
      <c r="S67" s="7"/>
      <c r="T67" s="7"/>
      <c r="U67" s="7"/>
      <c r="V67" s="7"/>
      <c r="W67" s="7"/>
      <c r="X67" s="7"/>
      <c r="Y67" s="8">
        <v>245.0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9">
        <f t="shared" si="2"/>
        <v>175</v>
      </c>
      <c r="AK67" s="9">
        <f t="shared" si="3"/>
        <v>360</v>
      </c>
      <c r="AL67" s="7" t="str">
        <f t="shared" ref="AL67:AM67" si="69">HLOOKUP(AJ67,{$D67:$AI67;$D$1:$AI$1},2,false)</f>
        <v>David</v>
      </c>
      <c r="AM67" s="7" t="str">
        <f t="shared" si="69"/>
        <v>Jeff M</v>
      </c>
      <c r="AN67" s="7">
        <f t="shared" si="5"/>
        <v>4</v>
      </c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</row>
    <row r="68">
      <c r="A68" s="5" t="s">
        <v>39</v>
      </c>
      <c r="B68" s="6" t="s">
        <v>40</v>
      </c>
      <c r="C68" s="8" t="s">
        <v>41</v>
      </c>
      <c r="D68" s="7"/>
      <c r="E68" s="7"/>
      <c r="F68" s="7"/>
      <c r="G68" s="7"/>
      <c r="H68" s="7"/>
      <c r="I68" s="7"/>
      <c r="J68" s="7"/>
      <c r="K68" s="8">
        <v>480.0</v>
      </c>
      <c r="L68" s="8">
        <v>235.0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8">
        <v>305.0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9">
        <f t="shared" si="2"/>
        <v>235</v>
      </c>
      <c r="AK68" s="9">
        <f t="shared" si="3"/>
        <v>480</v>
      </c>
      <c r="AL68" s="7" t="str">
        <f t="shared" ref="AL68:AM68" si="70">HLOOKUP(AJ68,{$D68:$AI68;$D$1:$AI$1},2,false)</f>
        <v>Debby</v>
      </c>
      <c r="AM68" s="7" t="str">
        <f t="shared" si="70"/>
        <v>David</v>
      </c>
      <c r="AN68" s="7">
        <f t="shared" si="5"/>
        <v>3</v>
      </c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</row>
    <row r="69">
      <c r="A69" s="5" t="s">
        <v>39</v>
      </c>
      <c r="B69" s="6" t="s">
        <v>40</v>
      </c>
      <c r="C69" s="8" t="s">
        <v>41</v>
      </c>
      <c r="D69" s="7"/>
      <c r="E69" s="7"/>
      <c r="F69" s="7"/>
      <c r="G69" s="7"/>
      <c r="H69" s="7"/>
      <c r="I69" s="7"/>
      <c r="J69" s="7"/>
      <c r="K69" s="8">
        <v>195.0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8">
        <v>215.0</v>
      </c>
      <c r="Z69" s="7"/>
      <c r="AA69" s="7"/>
      <c r="AB69" s="7"/>
      <c r="AC69" s="8">
        <v>385.0</v>
      </c>
      <c r="AD69" s="8"/>
      <c r="AE69" s="7"/>
      <c r="AF69" s="7"/>
      <c r="AG69" s="7"/>
      <c r="AH69" s="7"/>
      <c r="AI69" s="7"/>
      <c r="AJ69" s="9">
        <f t="shared" si="2"/>
        <v>195</v>
      </c>
      <c r="AK69" s="9">
        <f t="shared" si="3"/>
        <v>385</v>
      </c>
      <c r="AL69" s="7" t="str">
        <f t="shared" ref="AL69:AM69" si="71">HLOOKUP(AJ69,{$D69:$AI69;$D$1:$AI$1},2,false)</f>
        <v>David</v>
      </c>
      <c r="AM69" s="7" t="str">
        <f t="shared" si="71"/>
        <v>Sara</v>
      </c>
      <c r="AN69" s="7">
        <f t="shared" si="5"/>
        <v>3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</row>
    <row r="70">
      <c r="A70" s="5" t="s">
        <v>39</v>
      </c>
      <c r="B70" s="6" t="s">
        <v>40</v>
      </c>
      <c r="C70" s="7"/>
      <c r="D70" s="7"/>
      <c r="E70" s="7"/>
      <c r="F70" s="7"/>
      <c r="G70" s="7"/>
      <c r="H70" s="7"/>
      <c r="I70" s="8">
        <v>80.0</v>
      </c>
      <c r="J70" s="7"/>
      <c r="K70" s="7"/>
      <c r="L70" s="7"/>
      <c r="M70" s="8">
        <v>725.0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8">
        <v>485.0</v>
      </c>
      <c r="Z70" s="7"/>
      <c r="AA70" s="7"/>
      <c r="AB70" s="8">
        <v>525.0</v>
      </c>
      <c r="AC70" s="7"/>
      <c r="AD70" s="7"/>
      <c r="AE70" s="7"/>
      <c r="AF70" s="7"/>
      <c r="AG70" s="7"/>
      <c r="AH70" s="7"/>
      <c r="AI70" s="7"/>
      <c r="AJ70" s="9">
        <f t="shared" si="2"/>
        <v>80</v>
      </c>
      <c r="AK70" s="9">
        <f t="shared" si="3"/>
        <v>725</v>
      </c>
      <c r="AL70" s="7" t="str">
        <f t="shared" ref="AL70:AM70" si="72">HLOOKUP(AJ70,{$D70:$AI70;$D$1:$AI$1},2,false)</f>
        <v>Charlene</v>
      </c>
      <c r="AM70" s="7" t="str">
        <f t="shared" si="72"/>
        <v>Espy</v>
      </c>
      <c r="AN70" s="7">
        <f t="shared" si="5"/>
        <v>4</v>
      </c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</row>
    <row r="71">
      <c r="A71" s="5" t="s">
        <v>39</v>
      </c>
      <c r="B71" s="6" t="s">
        <v>40</v>
      </c>
      <c r="C71" s="7"/>
      <c r="D71" s="7"/>
      <c r="E71" s="7"/>
      <c r="F71" s="7"/>
      <c r="G71" s="7"/>
      <c r="H71" s="7"/>
      <c r="I71" s="7"/>
      <c r="J71" s="7"/>
      <c r="K71" s="8">
        <v>300.0</v>
      </c>
      <c r="L71" s="8">
        <v>390.0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8">
        <v>190.0</v>
      </c>
      <c r="Z71" s="7"/>
      <c r="AA71" s="8">
        <v>255.0</v>
      </c>
      <c r="AB71" s="7"/>
      <c r="AC71" s="7"/>
      <c r="AD71" s="7"/>
      <c r="AE71" s="7"/>
      <c r="AF71" s="7"/>
      <c r="AG71" s="7"/>
      <c r="AH71" s="7"/>
      <c r="AI71" s="7"/>
      <c r="AJ71" s="9">
        <f t="shared" si="2"/>
        <v>190</v>
      </c>
      <c r="AK71" s="9">
        <f t="shared" si="3"/>
        <v>390</v>
      </c>
      <c r="AL71" s="7" t="str">
        <f t="shared" ref="AL71:AM71" si="73">HLOOKUP(AJ71,{$D71:$AI71;$D$1:$AI$1},2,false)</f>
        <v>Nancy</v>
      </c>
      <c r="AM71" s="7" t="str">
        <f t="shared" si="73"/>
        <v>Debby</v>
      </c>
      <c r="AN71" s="7">
        <f t="shared" si="5"/>
        <v>4</v>
      </c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</row>
    <row r="72">
      <c r="A72" s="5" t="s">
        <v>39</v>
      </c>
      <c r="B72" s="6" t="s">
        <v>40</v>
      </c>
      <c r="C72" s="7"/>
      <c r="D72" s="7"/>
      <c r="E72" s="7"/>
      <c r="F72" s="7"/>
      <c r="G72" s="7"/>
      <c r="H72" s="7"/>
      <c r="I72" s="8">
        <v>1020.0</v>
      </c>
      <c r="J72" s="7"/>
      <c r="K72" s="8">
        <v>440.0</v>
      </c>
      <c r="L72" s="7"/>
      <c r="M72" s="7"/>
      <c r="N72" s="7"/>
      <c r="O72" s="7"/>
      <c r="P72" s="7"/>
      <c r="Q72" s="8">
        <v>415.0</v>
      </c>
      <c r="R72" s="7"/>
      <c r="S72" s="7"/>
      <c r="T72" s="7"/>
      <c r="U72" s="7"/>
      <c r="V72" s="7"/>
      <c r="W72" s="7"/>
      <c r="X72" s="7"/>
      <c r="Y72" s="8">
        <v>255.0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9">
        <f t="shared" si="2"/>
        <v>255</v>
      </c>
      <c r="AK72" s="9">
        <f t="shared" si="3"/>
        <v>1020</v>
      </c>
      <c r="AL72" s="7" t="str">
        <f t="shared" ref="AL72:AM72" si="74">HLOOKUP(AJ72,{$D72:$AI72;$D$1:$AI$1},2,false)</f>
        <v>Nancy</v>
      </c>
      <c r="AM72" s="7" t="str">
        <f t="shared" si="74"/>
        <v>Charlene</v>
      </c>
      <c r="AN72" s="7">
        <f t="shared" si="5"/>
        <v>4</v>
      </c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</row>
    <row r="73">
      <c r="A73" s="5" t="s">
        <v>39</v>
      </c>
      <c r="B73" s="6" t="s">
        <v>40</v>
      </c>
      <c r="C73" s="7"/>
      <c r="D73" s="7"/>
      <c r="E73" s="7"/>
      <c r="F73" s="7"/>
      <c r="G73" s="7"/>
      <c r="H73" s="7"/>
      <c r="I73" s="7"/>
      <c r="J73" s="7"/>
      <c r="K73" s="8">
        <v>530.0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8">
        <v>90.0</v>
      </c>
      <c r="Z73" s="7"/>
      <c r="AA73" s="8">
        <v>470.0</v>
      </c>
      <c r="AB73" s="7"/>
      <c r="AC73" s="7"/>
      <c r="AD73" s="7"/>
      <c r="AE73" s="7"/>
      <c r="AF73" s="7"/>
      <c r="AG73" s="7"/>
      <c r="AH73" s="7"/>
      <c r="AI73" s="7"/>
      <c r="AJ73" s="9">
        <f t="shared" si="2"/>
        <v>90</v>
      </c>
      <c r="AK73" s="9">
        <f t="shared" si="3"/>
        <v>530</v>
      </c>
      <c r="AL73" s="7" t="str">
        <f t="shared" ref="AL73:AM73" si="75">HLOOKUP(AJ73,{$D73:$AI73;$D$1:$AI$1},2,false)</f>
        <v>Nancy</v>
      </c>
      <c r="AM73" s="7" t="str">
        <f t="shared" si="75"/>
        <v>David</v>
      </c>
      <c r="AN73" s="7">
        <f t="shared" si="5"/>
        <v>3</v>
      </c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</row>
    <row r="74">
      <c r="A74" s="5" t="s">
        <v>39</v>
      </c>
      <c r="B74" s="6" t="s">
        <v>40</v>
      </c>
      <c r="C74" s="7"/>
      <c r="D74" s="7"/>
      <c r="E74" s="7"/>
      <c r="F74" s="7"/>
      <c r="G74" s="7"/>
      <c r="H74" s="7"/>
      <c r="I74" s="8">
        <v>570.0</v>
      </c>
      <c r="J74" s="7"/>
      <c r="K74" s="8">
        <v>730.0</v>
      </c>
      <c r="L74" s="7"/>
      <c r="M74" s="7"/>
      <c r="N74" s="7"/>
      <c r="O74" s="7"/>
      <c r="P74" s="7"/>
      <c r="Q74" s="8">
        <v>735.0</v>
      </c>
      <c r="R74" s="7"/>
      <c r="S74" s="7"/>
      <c r="T74" s="7"/>
      <c r="U74" s="7"/>
      <c r="V74" s="7"/>
      <c r="W74" s="7"/>
      <c r="X74" s="7"/>
      <c r="Y74" s="8">
        <v>520.0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9">
        <f t="shared" si="2"/>
        <v>520</v>
      </c>
      <c r="AK74" s="9">
        <f t="shared" si="3"/>
        <v>735</v>
      </c>
      <c r="AL74" s="7" t="str">
        <f t="shared" ref="AL74:AM74" si="76">HLOOKUP(AJ74,{$D74:$AI74;$D$1:$AI$1},2,false)</f>
        <v>Nancy</v>
      </c>
      <c r="AM74" s="7" t="str">
        <f t="shared" si="76"/>
        <v>Jeff M</v>
      </c>
      <c r="AN74" s="7">
        <f t="shared" si="5"/>
        <v>4</v>
      </c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</row>
    <row r="75">
      <c r="A75" s="5" t="s">
        <v>39</v>
      </c>
      <c r="B75" s="6" t="s">
        <v>40</v>
      </c>
      <c r="C75" s="7"/>
      <c r="D75" s="7"/>
      <c r="E75" s="7"/>
      <c r="F75" s="7"/>
      <c r="G75" s="7"/>
      <c r="H75" s="7"/>
      <c r="I75" s="8">
        <v>345.0</v>
      </c>
      <c r="J75" s="7"/>
      <c r="K75" s="8">
        <v>390.0</v>
      </c>
      <c r="L75" s="7"/>
      <c r="M75" s="7"/>
      <c r="N75" s="7"/>
      <c r="O75" s="7"/>
      <c r="P75" s="7"/>
      <c r="Q75" s="8">
        <v>255.0</v>
      </c>
      <c r="R75" s="7"/>
      <c r="S75" s="7"/>
      <c r="T75" s="7"/>
      <c r="U75" s="7"/>
      <c r="V75" s="7"/>
      <c r="W75" s="7"/>
      <c r="X75" s="7"/>
      <c r="Y75" s="8">
        <v>235.0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9">
        <f t="shared" si="2"/>
        <v>235</v>
      </c>
      <c r="AK75" s="9">
        <f t="shared" si="3"/>
        <v>390</v>
      </c>
      <c r="AL75" s="7" t="str">
        <f t="shared" ref="AL75:AM75" si="77">HLOOKUP(AJ75,{$D75:$AI75;$D$1:$AI$1},2,false)</f>
        <v>Nancy</v>
      </c>
      <c r="AM75" s="7" t="str">
        <f t="shared" si="77"/>
        <v>David</v>
      </c>
      <c r="AN75" s="7">
        <f t="shared" si="5"/>
        <v>4</v>
      </c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</row>
    <row r="76">
      <c r="A76" s="5" t="s">
        <v>39</v>
      </c>
      <c r="B76" s="6" t="s">
        <v>40</v>
      </c>
      <c r="C76" s="7"/>
      <c r="D76" s="7"/>
      <c r="E76" s="7"/>
      <c r="F76" s="7"/>
      <c r="G76" s="7"/>
      <c r="H76" s="7"/>
      <c r="I76" s="7"/>
      <c r="J76" s="7"/>
      <c r="K76" s="8">
        <v>295.0</v>
      </c>
      <c r="L76" s="8">
        <v>380.0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8">
        <v>375.0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9">
        <f t="shared" si="2"/>
        <v>295</v>
      </c>
      <c r="AK76" s="9">
        <f t="shared" si="3"/>
        <v>380</v>
      </c>
      <c r="AL76" s="7" t="str">
        <f t="shared" ref="AL76:AM76" si="78">HLOOKUP(AJ76,{$D76:$AI76;$D$1:$AI$1},2,false)</f>
        <v>David</v>
      </c>
      <c r="AM76" s="7" t="str">
        <f t="shared" si="78"/>
        <v>Debby</v>
      </c>
      <c r="AN76" s="7">
        <f t="shared" si="5"/>
        <v>3</v>
      </c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</row>
    <row r="77">
      <c r="A77" s="5" t="s">
        <v>39</v>
      </c>
      <c r="B77" s="6" t="s">
        <v>40</v>
      </c>
      <c r="C77" s="7"/>
      <c r="D77" s="7"/>
      <c r="E77" s="7"/>
      <c r="F77" s="7"/>
      <c r="G77" s="7"/>
      <c r="H77" s="7"/>
      <c r="I77" s="7"/>
      <c r="J77" s="7"/>
      <c r="K77" s="8">
        <v>245.0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8">
        <v>205.0</v>
      </c>
      <c r="Z77" s="7"/>
      <c r="AA77" s="8">
        <v>170.0</v>
      </c>
      <c r="AB77" s="7"/>
      <c r="AC77" s="7"/>
      <c r="AD77" s="7"/>
      <c r="AE77" s="7"/>
      <c r="AF77" s="7"/>
      <c r="AG77" s="7"/>
      <c r="AH77" s="7"/>
      <c r="AI77" s="7"/>
      <c r="AJ77" s="9">
        <f t="shared" si="2"/>
        <v>170</v>
      </c>
      <c r="AK77" s="9">
        <f t="shared" si="3"/>
        <v>245</v>
      </c>
      <c r="AL77" s="7" t="str">
        <f t="shared" ref="AL77:AM77" si="79">HLOOKUP(AJ77,{$D77:$AI77;$D$1:$AI$1},2,false)</f>
        <v>Sally</v>
      </c>
      <c r="AM77" s="7" t="str">
        <f t="shared" si="79"/>
        <v>David</v>
      </c>
      <c r="AN77" s="7">
        <f t="shared" si="5"/>
        <v>3</v>
      </c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</row>
    <row r="78">
      <c r="A78" s="5" t="s">
        <v>39</v>
      </c>
      <c r="B78" s="6" t="s">
        <v>40</v>
      </c>
      <c r="C78" s="7"/>
      <c r="D78" s="7"/>
      <c r="E78" s="7"/>
      <c r="F78" s="7"/>
      <c r="G78" s="7"/>
      <c r="H78" s="7"/>
      <c r="I78" s="7"/>
      <c r="J78" s="7"/>
      <c r="K78" s="8">
        <v>180.0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8">
        <v>495.0</v>
      </c>
      <c r="Z78" s="7"/>
      <c r="AA78" s="8">
        <v>580.0</v>
      </c>
      <c r="AB78" s="7"/>
      <c r="AC78" s="7"/>
      <c r="AD78" s="7"/>
      <c r="AE78" s="7"/>
      <c r="AF78" s="7"/>
      <c r="AG78" s="7"/>
      <c r="AH78" s="7"/>
      <c r="AI78" s="7"/>
      <c r="AJ78" s="9">
        <f t="shared" si="2"/>
        <v>180</v>
      </c>
      <c r="AK78" s="9">
        <f t="shared" si="3"/>
        <v>580</v>
      </c>
      <c r="AL78" s="7" t="str">
        <f t="shared" ref="AL78:AM78" si="80">HLOOKUP(AJ78,{$D78:$AI78;$D$1:$AI$1},2,false)</f>
        <v>David</v>
      </c>
      <c r="AM78" s="7" t="str">
        <f t="shared" si="80"/>
        <v>Sally</v>
      </c>
      <c r="AN78" s="7">
        <f t="shared" si="5"/>
        <v>3</v>
      </c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</row>
    <row r="79">
      <c r="A79" s="5" t="s">
        <v>39</v>
      </c>
      <c r="B79" s="6" t="s">
        <v>40</v>
      </c>
      <c r="C79" s="7"/>
      <c r="D79" s="7"/>
      <c r="E79" s="7"/>
      <c r="F79" s="7"/>
      <c r="G79" s="7"/>
      <c r="H79" s="7"/>
      <c r="I79" s="7"/>
      <c r="J79" s="7"/>
      <c r="K79" s="8">
        <v>140.0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8">
        <v>405.0</v>
      </c>
      <c r="Z79" s="7"/>
      <c r="AA79" s="8">
        <v>105.0</v>
      </c>
      <c r="AB79" s="7"/>
      <c r="AC79" s="7"/>
      <c r="AD79" s="7"/>
      <c r="AE79" s="7"/>
      <c r="AF79" s="7"/>
      <c r="AG79" s="7"/>
      <c r="AH79" s="7"/>
      <c r="AI79" s="7"/>
      <c r="AJ79" s="9">
        <f t="shared" si="2"/>
        <v>105</v>
      </c>
      <c r="AK79" s="9">
        <f t="shared" si="3"/>
        <v>405</v>
      </c>
      <c r="AL79" s="7" t="str">
        <f t="shared" ref="AL79:AM79" si="81">HLOOKUP(AJ79,{$D79:$AI79;$D$1:$AI$1},2,false)</f>
        <v>Sally</v>
      </c>
      <c r="AM79" s="7" t="str">
        <f t="shared" si="81"/>
        <v>Nancy</v>
      </c>
      <c r="AN79" s="7">
        <f t="shared" si="5"/>
        <v>3</v>
      </c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</row>
    <row r="80">
      <c r="A80" s="5" t="s">
        <v>39</v>
      </c>
      <c r="B80" s="6" t="s">
        <v>40</v>
      </c>
      <c r="C80" s="7"/>
      <c r="D80" s="7"/>
      <c r="E80" s="7"/>
      <c r="F80" s="7"/>
      <c r="G80" s="7"/>
      <c r="H80" s="7"/>
      <c r="I80" s="7"/>
      <c r="J80" s="7"/>
      <c r="K80" s="8">
        <v>550.0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8">
        <v>505.0</v>
      </c>
      <c r="Z80" s="7"/>
      <c r="AA80" s="8">
        <v>310.0</v>
      </c>
      <c r="AB80" s="7"/>
      <c r="AC80" s="7"/>
      <c r="AD80" s="7"/>
      <c r="AE80" s="7"/>
      <c r="AF80" s="7"/>
      <c r="AG80" s="7"/>
      <c r="AH80" s="7"/>
      <c r="AI80" s="7"/>
      <c r="AJ80" s="9">
        <f t="shared" si="2"/>
        <v>310</v>
      </c>
      <c r="AK80" s="9">
        <f t="shared" si="3"/>
        <v>550</v>
      </c>
      <c r="AL80" s="7" t="str">
        <f t="shared" ref="AL80:AM80" si="82">HLOOKUP(AJ80,{$D80:$AI80;$D$1:$AI$1},2,false)</f>
        <v>Sally</v>
      </c>
      <c r="AM80" s="7" t="str">
        <f t="shared" si="82"/>
        <v>David</v>
      </c>
      <c r="AN80" s="7">
        <f t="shared" si="5"/>
        <v>3</v>
      </c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</row>
    <row r="81">
      <c r="A81" s="5" t="s">
        <v>39</v>
      </c>
      <c r="B81" s="6" t="s">
        <v>40</v>
      </c>
      <c r="C81" s="7"/>
      <c r="D81" s="7"/>
      <c r="E81" s="7"/>
      <c r="F81" s="7"/>
      <c r="G81" s="7"/>
      <c r="H81" s="7"/>
      <c r="I81" s="7"/>
      <c r="J81" s="7"/>
      <c r="K81" s="8">
        <v>440.0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8">
        <v>540.0</v>
      </c>
      <c r="Z81" s="7"/>
      <c r="AA81" s="8">
        <v>280.0</v>
      </c>
      <c r="AB81" s="7"/>
      <c r="AC81" s="7"/>
      <c r="AD81" s="7"/>
      <c r="AE81" s="7"/>
      <c r="AF81" s="7"/>
      <c r="AG81" s="7"/>
      <c r="AH81" s="7"/>
      <c r="AI81" s="7"/>
      <c r="AJ81" s="9">
        <f t="shared" si="2"/>
        <v>280</v>
      </c>
      <c r="AK81" s="9">
        <f t="shared" si="3"/>
        <v>540</v>
      </c>
      <c r="AL81" s="7" t="str">
        <f t="shared" ref="AL81:AM81" si="83">HLOOKUP(AJ81,{$D81:$AI81;$D$1:$AI$1},2,false)</f>
        <v>Sally</v>
      </c>
      <c r="AM81" s="7" t="str">
        <f t="shared" si="83"/>
        <v>Nancy</v>
      </c>
      <c r="AN81" s="7">
        <f t="shared" si="5"/>
        <v>3</v>
      </c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</row>
    <row r="82">
      <c r="A82" s="5" t="s">
        <v>39</v>
      </c>
      <c r="B82" s="6" t="s">
        <v>40</v>
      </c>
      <c r="C82" s="7"/>
      <c r="D82" s="7"/>
      <c r="E82" s="7"/>
      <c r="F82" s="7"/>
      <c r="G82" s="7"/>
      <c r="H82" s="7"/>
      <c r="I82" s="7"/>
      <c r="J82" s="7"/>
      <c r="K82" s="8">
        <v>445.0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8">
        <v>240.0</v>
      </c>
      <c r="Z82" s="7"/>
      <c r="AA82" s="8">
        <v>445.0</v>
      </c>
      <c r="AB82" s="7"/>
      <c r="AC82" s="7"/>
      <c r="AD82" s="7"/>
      <c r="AE82" s="7"/>
      <c r="AF82" s="7"/>
      <c r="AG82" s="7"/>
      <c r="AH82" s="7"/>
      <c r="AI82" s="7"/>
      <c r="AJ82" s="9">
        <f t="shared" si="2"/>
        <v>240</v>
      </c>
      <c r="AK82" s="9">
        <f t="shared" si="3"/>
        <v>445</v>
      </c>
      <c r="AL82" s="7" t="str">
        <f t="shared" ref="AL82:AM82" si="84">HLOOKUP(AJ82,{$D82:$AI82;$D$1:$AI$1},2,false)</f>
        <v>Nancy</v>
      </c>
      <c r="AM82" s="7" t="str">
        <f t="shared" si="84"/>
        <v>David</v>
      </c>
      <c r="AN82" s="7">
        <f t="shared" si="5"/>
        <v>3</v>
      </c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</row>
    <row r="83">
      <c r="A83" s="5" t="s">
        <v>39</v>
      </c>
      <c r="B83" s="6" t="s">
        <v>40</v>
      </c>
      <c r="C83" s="7"/>
      <c r="D83" s="7"/>
      <c r="E83" s="7"/>
      <c r="F83" s="7"/>
      <c r="G83" s="7"/>
      <c r="H83" s="7"/>
      <c r="I83" s="7"/>
      <c r="J83" s="7"/>
      <c r="K83" s="8">
        <v>435.0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8">
        <v>310.0</v>
      </c>
      <c r="Z83" s="7"/>
      <c r="AA83" s="8">
        <v>765.0</v>
      </c>
      <c r="AB83" s="7"/>
      <c r="AC83" s="7"/>
      <c r="AD83" s="7"/>
      <c r="AE83" s="7"/>
      <c r="AF83" s="7"/>
      <c r="AG83" s="7"/>
      <c r="AH83" s="7"/>
      <c r="AI83" s="7"/>
      <c r="AJ83" s="9">
        <f t="shared" si="2"/>
        <v>310</v>
      </c>
      <c r="AK83" s="9">
        <f t="shared" si="3"/>
        <v>765</v>
      </c>
      <c r="AL83" s="7" t="str">
        <f t="shared" ref="AL83:AM83" si="85">HLOOKUP(AJ83,{$D83:$AI83;$D$1:$AI$1},2,false)</f>
        <v>Nancy</v>
      </c>
      <c r="AM83" s="7" t="str">
        <f t="shared" si="85"/>
        <v>Sally</v>
      </c>
      <c r="AN83" s="7">
        <f t="shared" si="5"/>
        <v>3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</row>
    <row r="84">
      <c r="A84" s="5" t="s">
        <v>39</v>
      </c>
      <c r="B84" s="6" t="s">
        <v>42</v>
      </c>
      <c r="C84" s="7"/>
      <c r="D84" s="7"/>
      <c r="E84" s="7"/>
      <c r="F84" s="7"/>
      <c r="G84" s="7"/>
      <c r="H84" s="7"/>
      <c r="I84" s="8">
        <v>380.0</v>
      </c>
      <c r="J84" s="7"/>
      <c r="K84" s="8">
        <v>445.0</v>
      </c>
      <c r="L84" s="8">
        <v>730.0</v>
      </c>
      <c r="M84" s="7"/>
      <c r="N84" s="7"/>
      <c r="O84" s="7"/>
      <c r="P84" s="7"/>
      <c r="Q84" s="8">
        <v>840.0</v>
      </c>
      <c r="R84" s="7"/>
      <c r="S84" s="7"/>
      <c r="T84" s="7"/>
      <c r="U84" s="7"/>
      <c r="V84" s="7"/>
      <c r="W84" s="7"/>
      <c r="X84" s="7"/>
      <c r="Y84" s="8">
        <v>425.0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9">
        <f t="shared" si="2"/>
        <v>380</v>
      </c>
      <c r="AK84" s="9">
        <f t="shared" si="3"/>
        <v>840</v>
      </c>
      <c r="AL84" s="7" t="str">
        <f t="shared" ref="AL84:AM84" si="86">HLOOKUP(AJ84,{$D84:$AI84;$D$1:$AI$1},2,false)</f>
        <v>Charlene</v>
      </c>
      <c r="AM84" s="7" t="str">
        <f t="shared" si="86"/>
        <v>Jeff M</v>
      </c>
      <c r="AN84" s="7">
        <f t="shared" si="5"/>
        <v>5</v>
      </c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</row>
    <row r="85">
      <c r="A85" s="5" t="s">
        <v>39</v>
      </c>
      <c r="B85" s="6" t="s">
        <v>42</v>
      </c>
      <c r="C85" s="7"/>
      <c r="D85" s="7"/>
      <c r="E85" s="7"/>
      <c r="F85" s="7"/>
      <c r="G85" s="7"/>
      <c r="H85" s="7"/>
      <c r="I85" s="8">
        <v>395.0</v>
      </c>
      <c r="J85" s="7"/>
      <c r="K85" s="8">
        <v>760.0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8">
        <v>385.0</v>
      </c>
      <c r="Z85" s="7"/>
      <c r="AA85" s="8">
        <v>830.0</v>
      </c>
      <c r="AB85" s="8">
        <v>555.0</v>
      </c>
      <c r="AC85" s="7"/>
      <c r="AD85" s="7"/>
      <c r="AE85" s="7"/>
      <c r="AF85" s="7"/>
      <c r="AG85" s="7"/>
      <c r="AH85" s="7"/>
      <c r="AI85" s="7"/>
      <c r="AJ85" s="9">
        <f t="shared" si="2"/>
        <v>385</v>
      </c>
      <c r="AK85" s="9">
        <f t="shared" si="3"/>
        <v>830</v>
      </c>
      <c r="AL85" s="7" t="str">
        <f t="shared" ref="AL85:AM85" si="87">HLOOKUP(AJ85,{$D85:$AI85;$D$1:$AI$1},2,false)</f>
        <v>Nancy</v>
      </c>
      <c r="AM85" s="7" t="str">
        <f t="shared" si="87"/>
        <v>Sally</v>
      </c>
      <c r="AN85" s="7">
        <f t="shared" si="5"/>
        <v>5</v>
      </c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</row>
    <row r="86">
      <c r="A86" s="5" t="s">
        <v>39</v>
      </c>
      <c r="B86" s="6" t="s">
        <v>42</v>
      </c>
      <c r="C86" s="7"/>
      <c r="D86" s="7"/>
      <c r="E86" s="7"/>
      <c r="F86" s="7"/>
      <c r="G86" s="7"/>
      <c r="H86" s="7"/>
      <c r="I86" s="8">
        <v>675.0</v>
      </c>
      <c r="J86" s="7"/>
      <c r="K86" s="8">
        <v>150.0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8">
        <v>555.0</v>
      </c>
      <c r="Z86" s="7"/>
      <c r="AA86" s="7"/>
      <c r="AB86" s="7"/>
      <c r="AC86" s="8">
        <v>605.0</v>
      </c>
      <c r="AD86" s="8"/>
      <c r="AE86" s="7"/>
      <c r="AF86" s="7"/>
      <c r="AG86" s="7"/>
      <c r="AH86" s="7"/>
      <c r="AI86" s="7"/>
      <c r="AJ86" s="9">
        <f t="shared" si="2"/>
        <v>150</v>
      </c>
      <c r="AK86" s="9">
        <f t="shared" si="3"/>
        <v>675</v>
      </c>
      <c r="AL86" s="7" t="str">
        <f t="shared" ref="AL86:AM86" si="88">HLOOKUP(AJ86,{$D86:$AI86;$D$1:$AI$1},2,false)</f>
        <v>David</v>
      </c>
      <c r="AM86" s="7" t="str">
        <f t="shared" si="88"/>
        <v>Charlene</v>
      </c>
      <c r="AN86" s="7">
        <f t="shared" si="5"/>
        <v>4</v>
      </c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</row>
    <row r="87">
      <c r="A87" s="5" t="s">
        <v>39</v>
      </c>
      <c r="B87" s="6" t="s">
        <v>42</v>
      </c>
      <c r="C87" s="7"/>
      <c r="D87" s="7"/>
      <c r="E87" s="7"/>
      <c r="F87" s="7"/>
      <c r="G87" s="7"/>
      <c r="H87" s="7"/>
      <c r="I87" s="8">
        <v>105.0</v>
      </c>
      <c r="J87" s="7"/>
      <c r="K87" s="7"/>
      <c r="L87" s="7"/>
      <c r="M87" s="7"/>
      <c r="N87" s="7"/>
      <c r="O87" s="7"/>
      <c r="P87" s="7"/>
      <c r="Q87" s="8">
        <v>180.0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8">
        <v>330.0</v>
      </c>
      <c r="AC87" s="7"/>
      <c r="AD87" s="7"/>
      <c r="AE87" s="7"/>
      <c r="AF87" s="7"/>
      <c r="AG87" s="7"/>
      <c r="AH87" s="7"/>
      <c r="AI87" s="7"/>
      <c r="AJ87" s="9">
        <f t="shared" si="2"/>
        <v>105</v>
      </c>
      <c r="AK87" s="9">
        <f t="shared" si="3"/>
        <v>330</v>
      </c>
      <c r="AL87" s="7" t="str">
        <f t="shared" ref="AL87:AM87" si="89">HLOOKUP(AJ87,{$D87:$AI87;$D$1:$AI$1},2,false)</f>
        <v>Charlene</v>
      </c>
      <c r="AM87" s="7" t="str">
        <f t="shared" si="89"/>
        <v>Sandy</v>
      </c>
      <c r="AN87" s="7">
        <f t="shared" si="5"/>
        <v>3</v>
      </c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</row>
    <row r="88">
      <c r="A88" s="5" t="s">
        <v>39</v>
      </c>
      <c r="B88" s="6" t="s">
        <v>42</v>
      </c>
      <c r="C88" s="7"/>
      <c r="D88" s="7"/>
      <c r="E88" s="7"/>
      <c r="F88" s="7"/>
      <c r="G88" s="7"/>
      <c r="H88" s="7"/>
      <c r="I88" s="8">
        <v>765.0</v>
      </c>
      <c r="J88" s="7"/>
      <c r="K88" s="8">
        <v>565.0</v>
      </c>
      <c r="L88" s="7"/>
      <c r="M88" s="7"/>
      <c r="N88" s="7"/>
      <c r="O88" s="7"/>
      <c r="P88" s="7"/>
      <c r="Q88" s="8">
        <v>415.0</v>
      </c>
      <c r="R88" s="7"/>
      <c r="S88" s="7"/>
      <c r="T88" s="7"/>
      <c r="U88" s="7"/>
      <c r="V88" s="7"/>
      <c r="W88" s="7"/>
      <c r="X88" s="7"/>
      <c r="Y88" s="8">
        <v>555.0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9">
        <f t="shared" si="2"/>
        <v>415</v>
      </c>
      <c r="AK88" s="9">
        <f t="shared" si="3"/>
        <v>765</v>
      </c>
      <c r="AL88" s="7" t="str">
        <f t="shared" ref="AL88:AM88" si="90">HLOOKUP(AJ88,{$D88:$AI88;$D$1:$AI$1},2,false)</f>
        <v>Jeff M</v>
      </c>
      <c r="AM88" s="7" t="str">
        <f t="shared" si="90"/>
        <v>Charlene</v>
      </c>
      <c r="AN88" s="7">
        <f t="shared" si="5"/>
        <v>4</v>
      </c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</row>
    <row r="89">
      <c r="A89" s="5" t="s">
        <v>39</v>
      </c>
      <c r="B89" s="6" t="s">
        <v>42</v>
      </c>
      <c r="C89" s="7"/>
      <c r="D89" s="7"/>
      <c r="E89" s="7"/>
      <c r="F89" s="7"/>
      <c r="G89" s="7"/>
      <c r="H89" s="7"/>
      <c r="I89" s="8">
        <v>760.0</v>
      </c>
      <c r="J89" s="7"/>
      <c r="K89" s="8">
        <v>570.0</v>
      </c>
      <c r="L89" s="7"/>
      <c r="M89" s="7"/>
      <c r="N89" s="7"/>
      <c r="O89" s="7"/>
      <c r="P89" s="7"/>
      <c r="Q89" s="8">
        <v>300.0</v>
      </c>
      <c r="R89" s="7"/>
      <c r="S89" s="7"/>
      <c r="T89" s="7"/>
      <c r="U89" s="7"/>
      <c r="V89" s="7"/>
      <c r="W89" s="7"/>
      <c r="X89" s="7"/>
      <c r="Y89" s="8">
        <v>455.0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9">
        <f t="shared" si="2"/>
        <v>300</v>
      </c>
      <c r="AK89" s="9">
        <f t="shared" si="3"/>
        <v>760</v>
      </c>
      <c r="AL89" s="7" t="str">
        <f t="shared" ref="AL89:AM89" si="91">HLOOKUP(AJ89,{$D89:$AI89;$D$1:$AI$1},2,false)</f>
        <v>Jeff M</v>
      </c>
      <c r="AM89" s="7" t="str">
        <f t="shared" si="91"/>
        <v>Charlene</v>
      </c>
      <c r="AN89" s="7">
        <f t="shared" si="5"/>
        <v>4</v>
      </c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</row>
    <row r="90">
      <c r="A90" s="5" t="s">
        <v>39</v>
      </c>
      <c r="B90" s="6" t="s">
        <v>42</v>
      </c>
      <c r="C90" s="8" t="s">
        <v>41</v>
      </c>
      <c r="D90" s="7"/>
      <c r="E90" s="7"/>
      <c r="F90" s="7"/>
      <c r="G90" s="7"/>
      <c r="H90" s="7"/>
      <c r="I90" s="8">
        <v>215.0</v>
      </c>
      <c r="J90" s="7"/>
      <c r="K90" s="7"/>
      <c r="L90" s="8">
        <v>215.0</v>
      </c>
      <c r="M90" s="7"/>
      <c r="N90" s="7"/>
      <c r="O90" s="7"/>
      <c r="P90" s="7"/>
      <c r="Q90" s="8">
        <v>350.0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8">
        <v>40.0</v>
      </c>
      <c r="AC90" s="7"/>
      <c r="AD90" s="7"/>
      <c r="AE90" s="7"/>
      <c r="AF90" s="7"/>
      <c r="AG90" s="7"/>
      <c r="AH90" s="7"/>
      <c r="AI90" s="7"/>
      <c r="AJ90" s="9">
        <f t="shared" si="2"/>
        <v>40</v>
      </c>
      <c r="AK90" s="9">
        <f t="shared" si="3"/>
        <v>350</v>
      </c>
      <c r="AL90" s="7" t="str">
        <f t="shared" ref="AL90:AM90" si="92">HLOOKUP(AJ90,{$D90:$AI90;$D$1:$AI$1},2,false)</f>
        <v>Sandy</v>
      </c>
      <c r="AM90" s="7" t="str">
        <f t="shared" si="92"/>
        <v>Jeff M</v>
      </c>
      <c r="AN90" s="7">
        <f t="shared" si="5"/>
        <v>4</v>
      </c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</row>
    <row r="91">
      <c r="A91" s="5" t="s">
        <v>39</v>
      </c>
      <c r="B91" s="6" t="s">
        <v>42</v>
      </c>
      <c r="C91" s="7"/>
      <c r="D91" s="7"/>
      <c r="E91" s="7"/>
      <c r="F91" s="7"/>
      <c r="G91" s="7"/>
      <c r="H91" s="7"/>
      <c r="I91" s="8">
        <v>755.0</v>
      </c>
      <c r="J91" s="7"/>
      <c r="K91" s="8">
        <v>815.0</v>
      </c>
      <c r="L91" s="8">
        <v>685.0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8">
        <v>270.0</v>
      </c>
      <c r="Z91" s="7"/>
      <c r="AA91" s="7"/>
      <c r="AB91" s="8">
        <v>870.0</v>
      </c>
      <c r="AC91" s="7"/>
      <c r="AD91" s="7"/>
      <c r="AE91" s="7"/>
      <c r="AF91" s="7"/>
      <c r="AG91" s="7"/>
      <c r="AH91" s="7"/>
      <c r="AI91" s="7"/>
      <c r="AJ91" s="9">
        <f t="shared" si="2"/>
        <v>270</v>
      </c>
      <c r="AK91" s="9">
        <f t="shared" si="3"/>
        <v>870</v>
      </c>
      <c r="AL91" s="7" t="str">
        <f t="shared" ref="AL91:AM91" si="93">HLOOKUP(AJ91,{$D91:$AI91;$D$1:$AI$1},2,false)</f>
        <v>Nancy</v>
      </c>
      <c r="AM91" s="7" t="str">
        <f t="shared" si="93"/>
        <v>Sandy</v>
      </c>
      <c r="AN91" s="7">
        <f t="shared" si="5"/>
        <v>5</v>
      </c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</row>
    <row r="92">
      <c r="A92" s="5" t="s">
        <v>39</v>
      </c>
      <c r="B92" s="6" t="s">
        <v>42</v>
      </c>
      <c r="C92" s="7"/>
      <c r="D92" s="7"/>
      <c r="E92" s="7"/>
      <c r="F92" s="7"/>
      <c r="G92" s="7"/>
      <c r="H92" s="7"/>
      <c r="I92" s="8">
        <v>390.0</v>
      </c>
      <c r="J92" s="7"/>
      <c r="K92" s="8">
        <v>310.0</v>
      </c>
      <c r="L92" s="7"/>
      <c r="M92" s="7"/>
      <c r="N92" s="7"/>
      <c r="O92" s="7"/>
      <c r="P92" s="7"/>
      <c r="Q92" s="8">
        <v>520.0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8">
        <v>400.0</v>
      </c>
      <c r="AC92" s="7"/>
      <c r="AD92" s="7"/>
      <c r="AE92" s="7"/>
      <c r="AF92" s="7"/>
      <c r="AG92" s="7"/>
      <c r="AH92" s="7"/>
      <c r="AI92" s="7"/>
      <c r="AJ92" s="9">
        <f t="shared" si="2"/>
        <v>310</v>
      </c>
      <c r="AK92" s="9">
        <f t="shared" si="3"/>
        <v>520</v>
      </c>
      <c r="AL92" s="7" t="str">
        <f t="shared" ref="AL92:AM92" si="94">HLOOKUP(AJ92,{$D92:$AI92;$D$1:$AI$1},2,false)</f>
        <v>David</v>
      </c>
      <c r="AM92" s="7" t="str">
        <f t="shared" si="94"/>
        <v>Jeff M</v>
      </c>
      <c r="AN92" s="7">
        <f t="shared" si="5"/>
        <v>4</v>
      </c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</row>
    <row r="93">
      <c r="A93" s="5" t="s">
        <v>39</v>
      </c>
      <c r="B93" s="6" t="s">
        <v>42</v>
      </c>
      <c r="C93" s="7"/>
      <c r="D93" s="7"/>
      <c r="E93" s="7"/>
      <c r="F93" s="7"/>
      <c r="G93" s="7"/>
      <c r="H93" s="7"/>
      <c r="I93" s="8">
        <v>620.0</v>
      </c>
      <c r="J93" s="7"/>
      <c r="K93" s="8">
        <v>500.0</v>
      </c>
      <c r="L93" s="7"/>
      <c r="M93" s="7"/>
      <c r="N93" s="7"/>
      <c r="O93" s="7"/>
      <c r="P93" s="7"/>
      <c r="Q93" s="8">
        <v>390.0</v>
      </c>
      <c r="R93" s="7"/>
      <c r="S93" s="7"/>
      <c r="T93" s="7"/>
      <c r="U93" s="7"/>
      <c r="V93" s="7"/>
      <c r="W93" s="7"/>
      <c r="X93" s="7"/>
      <c r="Y93" s="8">
        <v>295.0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9">
        <f t="shared" si="2"/>
        <v>295</v>
      </c>
      <c r="AK93" s="9">
        <f t="shared" si="3"/>
        <v>620</v>
      </c>
      <c r="AL93" s="7" t="str">
        <f t="shared" ref="AL93:AM93" si="95">HLOOKUP(AJ93,{$D93:$AI93;$D$1:$AI$1},2,false)</f>
        <v>Nancy</v>
      </c>
      <c r="AM93" s="7" t="str">
        <f t="shared" si="95"/>
        <v>Charlene</v>
      </c>
      <c r="AN93" s="7">
        <f t="shared" si="5"/>
        <v>4</v>
      </c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</row>
    <row r="94">
      <c r="A94" s="5" t="s">
        <v>39</v>
      </c>
      <c r="B94" s="6" t="s">
        <v>42</v>
      </c>
      <c r="C94" s="8" t="s">
        <v>41</v>
      </c>
      <c r="D94" s="7"/>
      <c r="E94" s="7"/>
      <c r="F94" s="7"/>
      <c r="G94" s="7"/>
      <c r="H94" s="7"/>
      <c r="I94" s="8">
        <v>380.0</v>
      </c>
      <c r="J94" s="7"/>
      <c r="K94" s="8">
        <v>150.0</v>
      </c>
      <c r="L94" s="7"/>
      <c r="M94" s="7"/>
      <c r="N94" s="7"/>
      <c r="O94" s="7"/>
      <c r="P94" s="7"/>
      <c r="Q94" s="8">
        <v>185.0</v>
      </c>
      <c r="R94" s="7"/>
      <c r="S94" s="7"/>
      <c r="T94" s="7"/>
      <c r="U94" s="7"/>
      <c r="V94" s="7"/>
      <c r="W94" s="7"/>
      <c r="X94" s="7"/>
      <c r="Y94" s="8">
        <v>330.0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9">
        <f t="shared" si="2"/>
        <v>150</v>
      </c>
      <c r="AK94" s="9">
        <f t="shared" si="3"/>
        <v>380</v>
      </c>
      <c r="AL94" s="7" t="str">
        <f t="shared" ref="AL94:AM94" si="96">HLOOKUP(AJ94,{$D94:$AI94;$D$1:$AI$1},2,false)</f>
        <v>David</v>
      </c>
      <c r="AM94" s="7" t="str">
        <f t="shared" si="96"/>
        <v>Charlene</v>
      </c>
      <c r="AN94" s="7">
        <f t="shared" si="5"/>
        <v>4</v>
      </c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</row>
    <row r="95">
      <c r="A95" s="5" t="s">
        <v>39</v>
      </c>
      <c r="B95" s="6" t="s">
        <v>42</v>
      </c>
      <c r="C95" s="8" t="s">
        <v>41</v>
      </c>
      <c r="D95" s="7"/>
      <c r="E95" s="7"/>
      <c r="F95" s="7"/>
      <c r="G95" s="7"/>
      <c r="H95" s="7"/>
      <c r="I95" s="8">
        <v>300.0</v>
      </c>
      <c r="J95" s="7"/>
      <c r="K95" s="8">
        <v>70.0</v>
      </c>
      <c r="L95" s="8">
        <v>85.0</v>
      </c>
      <c r="M95" s="7"/>
      <c r="N95" s="7"/>
      <c r="O95" s="7"/>
      <c r="P95" s="7"/>
      <c r="Q95" s="8"/>
      <c r="R95" s="7"/>
      <c r="S95" s="7"/>
      <c r="T95" s="7"/>
      <c r="U95" s="7"/>
      <c r="V95" s="7"/>
      <c r="W95" s="7"/>
      <c r="X95" s="7"/>
      <c r="Y95" s="8">
        <v>315.0</v>
      </c>
      <c r="Z95" s="7"/>
      <c r="AA95" s="7"/>
      <c r="AB95" s="8">
        <v>290.0</v>
      </c>
      <c r="AC95" s="7"/>
      <c r="AD95" s="7"/>
      <c r="AE95" s="7"/>
      <c r="AF95" s="7"/>
      <c r="AG95" s="7"/>
      <c r="AH95" s="7"/>
      <c r="AI95" s="7"/>
      <c r="AJ95" s="9">
        <f t="shared" si="2"/>
        <v>70</v>
      </c>
      <c r="AK95" s="9">
        <f t="shared" si="3"/>
        <v>315</v>
      </c>
      <c r="AL95" s="7" t="str">
        <f t="shared" ref="AL95:AM95" si="97">HLOOKUP(AJ95,{$D95:$AI95;$D$1:$AI$1},2,false)</f>
        <v>David</v>
      </c>
      <c r="AM95" s="7" t="str">
        <f t="shared" si="97"/>
        <v>Nancy</v>
      </c>
      <c r="AN95" s="7">
        <f t="shared" si="5"/>
        <v>5</v>
      </c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</row>
    <row r="96">
      <c r="A96" s="5" t="s">
        <v>39</v>
      </c>
      <c r="B96" s="6" t="s">
        <v>42</v>
      </c>
      <c r="C96" s="7"/>
      <c r="D96" s="7"/>
      <c r="E96" s="7"/>
      <c r="F96" s="7"/>
      <c r="G96" s="7"/>
      <c r="H96" s="7"/>
      <c r="I96" s="8">
        <v>395.0</v>
      </c>
      <c r="J96" s="7"/>
      <c r="K96" s="8">
        <v>475.0</v>
      </c>
      <c r="L96" s="7"/>
      <c r="M96" s="7"/>
      <c r="N96" s="7"/>
      <c r="O96" s="7"/>
      <c r="P96" s="7"/>
      <c r="Q96" s="8">
        <v>460.0</v>
      </c>
      <c r="R96" s="7"/>
      <c r="S96" s="7"/>
      <c r="T96" s="7"/>
      <c r="U96" s="7"/>
      <c r="V96" s="7"/>
      <c r="W96" s="7"/>
      <c r="X96" s="7"/>
      <c r="Y96" s="8">
        <v>510.0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9">
        <f t="shared" si="2"/>
        <v>395</v>
      </c>
      <c r="AK96" s="9">
        <f t="shared" si="3"/>
        <v>510</v>
      </c>
      <c r="AL96" s="7" t="str">
        <f t="shared" ref="AL96:AM96" si="98">HLOOKUP(AJ96,{$D96:$AI96;$D$1:$AI$1},2,false)</f>
        <v>Charlene</v>
      </c>
      <c r="AM96" s="7" t="str">
        <f t="shared" si="98"/>
        <v>Nancy</v>
      </c>
      <c r="AN96" s="7">
        <f t="shared" si="5"/>
        <v>4</v>
      </c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</row>
    <row r="97">
      <c r="A97" s="5" t="s">
        <v>39</v>
      </c>
      <c r="B97" s="6" t="s">
        <v>42</v>
      </c>
      <c r="C97" s="7"/>
      <c r="D97" s="7"/>
      <c r="E97" s="7"/>
      <c r="F97" s="7"/>
      <c r="G97" s="7"/>
      <c r="H97" s="7"/>
      <c r="I97" s="8">
        <v>355.0</v>
      </c>
      <c r="J97" s="7"/>
      <c r="K97" s="8">
        <v>660.0</v>
      </c>
      <c r="L97" s="8">
        <v>475.0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8">
        <v>380.0</v>
      </c>
      <c r="Z97" s="7"/>
      <c r="AA97" s="7"/>
      <c r="AB97" s="8">
        <v>295.0</v>
      </c>
      <c r="AC97" s="7"/>
      <c r="AD97" s="7"/>
      <c r="AE97" s="7"/>
      <c r="AF97" s="7"/>
      <c r="AG97" s="7"/>
      <c r="AH97" s="7"/>
      <c r="AI97" s="7"/>
      <c r="AJ97" s="9">
        <f t="shared" si="2"/>
        <v>295</v>
      </c>
      <c r="AK97" s="9">
        <f t="shared" si="3"/>
        <v>660</v>
      </c>
      <c r="AL97" s="7" t="str">
        <f t="shared" ref="AL97:AM97" si="99">HLOOKUP(AJ97,{$D97:$AI97;$D$1:$AI$1},2,false)</f>
        <v>Sandy</v>
      </c>
      <c r="AM97" s="7" t="str">
        <f t="shared" si="99"/>
        <v>David</v>
      </c>
      <c r="AN97" s="7">
        <f t="shared" si="5"/>
        <v>5</v>
      </c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</row>
    <row r="98">
      <c r="A98" s="5" t="s">
        <v>39</v>
      </c>
      <c r="B98" s="6" t="s">
        <v>42</v>
      </c>
      <c r="C98" s="7"/>
      <c r="D98" s="7"/>
      <c r="E98" s="7"/>
      <c r="F98" s="7"/>
      <c r="G98" s="7"/>
      <c r="H98" s="7"/>
      <c r="I98" s="8">
        <v>565.0</v>
      </c>
      <c r="J98" s="7"/>
      <c r="K98" s="8">
        <v>365.0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8">
        <v>130.0</v>
      </c>
      <c r="Z98" s="7"/>
      <c r="AA98" s="7"/>
      <c r="AB98" s="8">
        <v>305.0</v>
      </c>
      <c r="AC98" s="7"/>
      <c r="AD98" s="7"/>
      <c r="AE98" s="7"/>
      <c r="AF98" s="7"/>
      <c r="AG98" s="7"/>
      <c r="AH98" s="7"/>
      <c r="AI98" s="7"/>
      <c r="AJ98" s="9">
        <f t="shared" si="2"/>
        <v>130</v>
      </c>
      <c r="AK98" s="9">
        <f t="shared" si="3"/>
        <v>565</v>
      </c>
      <c r="AL98" s="7" t="str">
        <f t="shared" ref="AL98:AM98" si="100">HLOOKUP(AJ98,{$D98:$AI98;$D$1:$AI$1},2,false)</f>
        <v>Nancy</v>
      </c>
      <c r="AM98" s="7" t="str">
        <f t="shared" si="100"/>
        <v>Charlene</v>
      </c>
      <c r="AN98" s="7">
        <f t="shared" si="5"/>
        <v>4</v>
      </c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</row>
    <row r="99">
      <c r="A99" s="5" t="s">
        <v>39</v>
      </c>
      <c r="B99" s="6" t="s">
        <v>42</v>
      </c>
      <c r="C99" s="7"/>
      <c r="D99" s="7"/>
      <c r="E99" s="7"/>
      <c r="F99" s="7"/>
      <c r="G99" s="7"/>
      <c r="H99" s="7"/>
      <c r="I99" s="8">
        <v>355.0</v>
      </c>
      <c r="J99" s="7"/>
      <c r="K99" s="8">
        <v>355.0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8">
        <v>700.0</v>
      </c>
      <c r="Z99" s="7"/>
      <c r="AA99" s="7"/>
      <c r="AB99" s="8">
        <v>310.0</v>
      </c>
      <c r="AC99" s="7"/>
      <c r="AD99" s="7"/>
      <c r="AE99" s="7"/>
      <c r="AF99" s="7"/>
      <c r="AG99" s="7"/>
      <c r="AH99" s="7"/>
      <c r="AI99" s="7"/>
      <c r="AJ99" s="9">
        <f t="shared" si="2"/>
        <v>310</v>
      </c>
      <c r="AK99" s="9">
        <f t="shared" si="3"/>
        <v>700</v>
      </c>
      <c r="AL99" s="7" t="str">
        <f t="shared" ref="AL99:AM99" si="101">HLOOKUP(AJ99,{$D99:$AI99;$D$1:$AI$1},2,false)</f>
        <v>Sandy</v>
      </c>
      <c r="AM99" s="7" t="str">
        <f t="shared" si="101"/>
        <v>Nancy</v>
      </c>
      <c r="AN99" s="7">
        <f t="shared" si="5"/>
        <v>4</v>
      </c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</row>
    <row r="100">
      <c r="A100" s="5" t="s">
        <v>39</v>
      </c>
      <c r="B100" s="6" t="s">
        <v>42</v>
      </c>
      <c r="C100" s="7"/>
      <c r="D100" s="7"/>
      <c r="E100" s="7"/>
      <c r="F100" s="7"/>
      <c r="G100" s="7"/>
      <c r="H100" s="7"/>
      <c r="I100" s="8">
        <v>250.0</v>
      </c>
      <c r="J100" s="7"/>
      <c r="K100" s="7"/>
      <c r="L100" s="8">
        <v>805.0</v>
      </c>
      <c r="M100" s="7"/>
      <c r="N100" s="7"/>
      <c r="O100" s="7"/>
      <c r="P100" s="7"/>
      <c r="Q100" s="8">
        <v>705.0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8">
        <v>535.0</v>
      </c>
      <c r="AC100" s="7"/>
      <c r="AD100" s="7"/>
      <c r="AE100" s="7"/>
      <c r="AF100" s="7"/>
      <c r="AG100" s="7"/>
      <c r="AH100" s="7"/>
      <c r="AI100" s="7"/>
      <c r="AJ100" s="9">
        <f t="shared" si="2"/>
        <v>250</v>
      </c>
      <c r="AK100" s="9">
        <f t="shared" si="3"/>
        <v>805</v>
      </c>
      <c r="AL100" s="7" t="str">
        <f t="shared" ref="AL100:AM100" si="102">HLOOKUP(AJ100,{$D100:$AI100;$D$1:$AI$1},2,false)</f>
        <v>Charlene</v>
      </c>
      <c r="AM100" s="7" t="str">
        <f t="shared" si="102"/>
        <v>Debby</v>
      </c>
      <c r="AN100" s="7">
        <f t="shared" si="5"/>
        <v>4</v>
      </c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</row>
    <row r="101">
      <c r="A101" s="5" t="s">
        <v>39</v>
      </c>
      <c r="B101" s="6" t="s">
        <v>42</v>
      </c>
      <c r="C101" s="7"/>
      <c r="D101" s="7"/>
      <c r="E101" s="7"/>
      <c r="F101" s="7"/>
      <c r="G101" s="7"/>
      <c r="H101" s="7"/>
      <c r="I101" s="7"/>
      <c r="J101" s="7"/>
      <c r="K101" s="8">
        <v>290.0</v>
      </c>
      <c r="L101" s="8">
        <v>495.0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8">
        <v>615.0</v>
      </c>
      <c r="Z101" s="7"/>
      <c r="AA101" s="7"/>
      <c r="AB101" s="8">
        <v>570.0</v>
      </c>
      <c r="AC101" s="7"/>
      <c r="AD101" s="7"/>
      <c r="AE101" s="7"/>
      <c r="AF101" s="7"/>
      <c r="AG101" s="7"/>
      <c r="AH101" s="7"/>
      <c r="AI101" s="7"/>
      <c r="AJ101" s="9">
        <f t="shared" si="2"/>
        <v>290</v>
      </c>
      <c r="AK101" s="9">
        <f t="shared" si="3"/>
        <v>615</v>
      </c>
      <c r="AL101" s="7" t="str">
        <f t="shared" ref="AL101:AM101" si="103">HLOOKUP(AJ101,{$D101:$AI101;$D$1:$AI$1},2,false)</f>
        <v>David</v>
      </c>
      <c r="AM101" s="7" t="str">
        <f t="shared" si="103"/>
        <v>Nancy</v>
      </c>
      <c r="AN101" s="7">
        <f t="shared" si="5"/>
        <v>4</v>
      </c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</row>
    <row r="102">
      <c r="A102" s="5" t="s">
        <v>39</v>
      </c>
      <c r="B102" s="6" t="s">
        <v>42</v>
      </c>
      <c r="C102" s="7"/>
      <c r="D102" s="7"/>
      <c r="E102" s="7"/>
      <c r="F102" s="7"/>
      <c r="G102" s="7"/>
      <c r="H102" s="7"/>
      <c r="I102" s="8">
        <v>605.0</v>
      </c>
      <c r="J102" s="7"/>
      <c r="K102" s="8">
        <v>895.0</v>
      </c>
      <c r="L102" s="8">
        <v>475.0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8">
        <v>830.0</v>
      </c>
      <c r="Z102" s="7"/>
      <c r="AA102" s="7"/>
      <c r="AB102" s="8">
        <v>745.0</v>
      </c>
      <c r="AC102" s="7"/>
      <c r="AD102" s="7"/>
      <c r="AE102" s="7"/>
      <c r="AF102" s="7"/>
      <c r="AG102" s="7"/>
      <c r="AH102" s="7"/>
      <c r="AI102" s="7"/>
      <c r="AJ102" s="9">
        <f t="shared" si="2"/>
        <v>475</v>
      </c>
      <c r="AK102" s="9">
        <f t="shared" si="3"/>
        <v>895</v>
      </c>
      <c r="AL102" s="7" t="str">
        <f t="shared" ref="AL102:AM102" si="104">HLOOKUP(AJ102,{$D102:$AI102;$D$1:$AI$1},2,false)</f>
        <v>Debby</v>
      </c>
      <c r="AM102" s="7" t="str">
        <f t="shared" si="104"/>
        <v>David</v>
      </c>
      <c r="AN102" s="7">
        <f t="shared" si="5"/>
        <v>5</v>
      </c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</row>
    <row r="103">
      <c r="A103" s="5" t="s">
        <v>39</v>
      </c>
      <c r="B103" s="6" t="s">
        <v>42</v>
      </c>
      <c r="C103" s="7"/>
      <c r="D103" s="7"/>
      <c r="E103" s="7"/>
      <c r="F103" s="7"/>
      <c r="G103" s="7"/>
      <c r="H103" s="7"/>
      <c r="I103" s="8">
        <v>790.0</v>
      </c>
      <c r="J103" s="7"/>
      <c r="K103" s="8">
        <v>285.0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8">
        <v>225.0</v>
      </c>
      <c r="Z103" s="7"/>
      <c r="AA103" s="7"/>
      <c r="AB103" s="8">
        <v>615.0</v>
      </c>
      <c r="AC103" s="7"/>
      <c r="AD103" s="7"/>
      <c r="AE103" s="7"/>
      <c r="AF103" s="7"/>
      <c r="AG103" s="7"/>
      <c r="AH103" s="7"/>
      <c r="AI103" s="7"/>
      <c r="AJ103" s="9">
        <f t="shared" si="2"/>
        <v>225</v>
      </c>
      <c r="AK103" s="9">
        <f t="shared" si="3"/>
        <v>790</v>
      </c>
      <c r="AL103" s="7" t="str">
        <f t="shared" ref="AL103:AM103" si="105">HLOOKUP(AJ103,{$D103:$AI103;$D$1:$AI$1},2,false)</f>
        <v>Nancy</v>
      </c>
      <c r="AM103" s="7" t="str">
        <f t="shared" si="105"/>
        <v>Charlene</v>
      </c>
      <c r="AN103" s="7">
        <f t="shared" si="5"/>
        <v>4</v>
      </c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</row>
    <row r="104">
      <c r="A104" s="5" t="s">
        <v>39</v>
      </c>
      <c r="B104" s="6" t="s">
        <v>42</v>
      </c>
      <c r="C104" s="7"/>
      <c r="D104" s="7"/>
      <c r="E104" s="7"/>
      <c r="F104" s="7"/>
      <c r="G104" s="7"/>
      <c r="H104" s="7"/>
      <c r="I104" s="8">
        <v>370.0</v>
      </c>
      <c r="J104" s="7"/>
      <c r="K104" s="8">
        <v>585.0</v>
      </c>
      <c r="L104" s="7"/>
      <c r="M104" s="7"/>
      <c r="N104" s="7"/>
      <c r="O104" s="7"/>
      <c r="P104" s="7"/>
      <c r="Q104" s="8">
        <v>450.0</v>
      </c>
      <c r="R104" s="7"/>
      <c r="S104" s="7"/>
      <c r="T104" s="7"/>
      <c r="U104" s="7"/>
      <c r="V104" s="7"/>
      <c r="W104" s="7"/>
      <c r="X104" s="7"/>
      <c r="Y104" s="8">
        <v>420.0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9">
        <f t="shared" si="2"/>
        <v>370</v>
      </c>
      <c r="AK104" s="9">
        <f t="shared" si="3"/>
        <v>585</v>
      </c>
      <c r="AL104" s="7" t="str">
        <f t="shared" ref="AL104:AM104" si="106">HLOOKUP(AJ104,{$D104:$AI104;$D$1:$AI$1},2,false)</f>
        <v>Charlene</v>
      </c>
      <c r="AM104" s="7" t="str">
        <f t="shared" si="106"/>
        <v>David</v>
      </c>
      <c r="AN104" s="7">
        <f t="shared" si="5"/>
        <v>4</v>
      </c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</row>
    <row r="105">
      <c r="A105" s="5" t="s">
        <v>39</v>
      </c>
      <c r="B105" s="6" t="s">
        <v>42</v>
      </c>
      <c r="C105" s="7"/>
      <c r="D105" s="7"/>
      <c r="E105" s="7"/>
      <c r="F105" s="7"/>
      <c r="G105" s="7"/>
      <c r="H105" s="7"/>
      <c r="I105" s="8">
        <v>365.0</v>
      </c>
      <c r="J105" s="7"/>
      <c r="K105" s="8">
        <v>755.0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>
        <v>365.0</v>
      </c>
      <c r="Z105" s="7"/>
      <c r="AA105" s="7"/>
      <c r="AB105" s="8">
        <v>790.0</v>
      </c>
      <c r="AC105" s="7"/>
      <c r="AD105" s="7"/>
      <c r="AE105" s="7"/>
      <c r="AF105" s="7"/>
      <c r="AG105" s="7"/>
      <c r="AH105" s="7"/>
      <c r="AI105" s="7"/>
      <c r="AJ105" s="9">
        <f t="shared" si="2"/>
        <v>365</v>
      </c>
      <c r="AK105" s="9">
        <f t="shared" si="3"/>
        <v>790</v>
      </c>
      <c r="AL105" s="7" t="str">
        <f t="shared" ref="AL105:AM105" si="107">HLOOKUP(AJ105,{$D105:$AI105;$D$1:$AI$1},2,false)</f>
        <v>Charlene</v>
      </c>
      <c r="AM105" s="7" t="str">
        <f t="shared" si="107"/>
        <v>Sandy</v>
      </c>
      <c r="AN105" s="7">
        <f t="shared" si="5"/>
        <v>4</v>
      </c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</row>
    <row r="106">
      <c r="A106" s="5" t="s">
        <v>39</v>
      </c>
      <c r="B106" s="6" t="s">
        <v>42</v>
      </c>
      <c r="C106" s="8"/>
      <c r="D106" s="7"/>
      <c r="E106" s="7"/>
      <c r="F106" s="7"/>
      <c r="G106" s="7"/>
      <c r="H106" s="7"/>
      <c r="I106" s="8">
        <v>585.0</v>
      </c>
      <c r="J106" s="7"/>
      <c r="K106" s="8">
        <v>595.0</v>
      </c>
      <c r="L106" s="8">
        <v>590.0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8">
        <v>885.0</v>
      </c>
      <c r="Z106" s="7"/>
      <c r="AA106" s="7"/>
      <c r="AB106" s="8">
        <v>540.0</v>
      </c>
      <c r="AC106" s="7"/>
      <c r="AD106" s="7"/>
      <c r="AE106" s="7"/>
      <c r="AF106" s="7"/>
      <c r="AG106" s="7"/>
      <c r="AH106" s="7"/>
      <c r="AI106" s="7"/>
      <c r="AJ106" s="9">
        <f t="shared" si="2"/>
        <v>540</v>
      </c>
      <c r="AK106" s="9">
        <f t="shared" si="3"/>
        <v>885</v>
      </c>
      <c r="AL106" s="7" t="str">
        <f t="shared" ref="AL106:AM106" si="108">HLOOKUP(AJ106,{$D106:$AI106;$D$1:$AI$1},2,false)</f>
        <v>Sandy</v>
      </c>
      <c r="AM106" s="7" t="str">
        <f t="shared" si="108"/>
        <v>Nancy</v>
      </c>
      <c r="AN106" s="7">
        <f t="shared" si="5"/>
        <v>5</v>
      </c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</row>
    <row r="107">
      <c r="A107" s="5" t="s">
        <v>39</v>
      </c>
      <c r="B107" s="6" t="s">
        <v>42</v>
      </c>
      <c r="C107" s="8" t="s">
        <v>41</v>
      </c>
      <c r="D107" s="7"/>
      <c r="E107" s="7"/>
      <c r="F107" s="7"/>
      <c r="G107" s="7"/>
      <c r="H107" s="7"/>
      <c r="I107" s="8">
        <v>245.0</v>
      </c>
      <c r="J107" s="7"/>
      <c r="K107" s="8">
        <v>305.0</v>
      </c>
      <c r="L107" s="8">
        <v>250.0</v>
      </c>
      <c r="M107" s="7"/>
      <c r="N107" s="7"/>
      <c r="O107" s="7"/>
      <c r="P107" s="7"/>
      <c r="Q107" s="7"/>
      <c r="R107" s="7"/>
      <c r="S107" s="7"/>
      <c r="T107" s="7"/>
      <c r="U107" s="8">
        <v>85.0</v>
      </c>
      <c r="V107" s="7"/>
      <c r="W107" s="7"/>
      <c r="X107" s="7"/>
      <c r="Y107" s="8">
        <v>65.0</v>
      </c>
      <c r="Z107" s="7"/>
      <c r="AA107" s="7"/>
      <c r="AB107" s="8">
        <v>305.0</v>
      </c>
      <c r="AC107" s="7"/>
      <c r="AD107" s="7"/>
      <c r="AE107" s="7"/>
      <c r="AF107" s="7"/>
      <c r="AG107" s="7"/>
      <c r="AH107" s="7"/>
      <c r="AI107" s="7"/>
      <c r="AJ107" s="9">
        <f t="shared" si="2"/>
        <v>65</v>
      </c>
      <c r="AK107" s="9">
        <f t="shared" si="3"/>
        <v>305</v>
      </c>
      <c r="AL107" s="7" t="str">
        <f t="shared" ref="AL107:AM107" si="109">HLOOKUP(AJ107,{$D107:$AI107;$D$1:$AI$1},2,false)</f>
        <v>Nancy</v>
      </c>
      <c r="AM107" s="7" t="str">
        <f t="shared" si="109"/>
        <v>David</v>
      </c>
      <c r="AN107" s="7">
        <f t="shared" si="5"/>
        <v>6</v>
      </c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</row>
    <row r="108">
      <c r="A108" s="5" t="s">
        <v>39</v>
      </c>
      <c r="B108" s="6" t="s">
        <v>42</v>
      </c>
      <c r="C108" s="7"/>
      <c r="D108" s="7"/>
      <c r="E108" s="7"/>
      <c r="F108" s="7"/>
      <c r="G108" s="7"/>
      <c r="H108" s="7"/>
      <c r="I108" s="8">
        <v>325.0</v>
      </c>
      <c r="J108" s="7"/>
      <c r="K108" s="8">
        <v>420.0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8">
        <v>470.0</v>
      </c>
      <c r="Z108" s="7"/>
      <c r="AA108" s="7"/>
      <c r="AB108" s="8">
        <v>200.0</v>
      </c>
      <c r="AC108" s="7"/>
      <c r="AD108" s="7"/>
      <c r="AE108" s="7"/>
      <c r="AF108" s="7"/>
      <c r="AG108" s="7"/>
      <c r="AH108" s="7"/>
      <c r="AI108" s="7"/>
      <c r="AJ108" s="9">
        <f t="shared" si="2"/>
        <v>200</v>
      </c>
      <c r="AK108" s="9">
        <f t="shared" si="3"/>
        <v>470</v>
      </c>
      <c r="AL108" s="7" t="str">
        <f t="shared" ref="AL108:AM108" si="110">HLOOKUP(AJ108,{$D108:$AI108;$D$1:$AI$1},2,false)</f>
        <v>Sandy</v>
      </c>
      <c r="AM108" s="7" t="str">
        <f t="shared" si="110"/>
        <v>Nancy</v>
      </c>
      <c r="AN108" s="7">
        <f t="shared" si="5"/>
        <v>4</v>
      </c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</row>
    <row r="109">
      <c r="A109" s="5" t="s">
        <v>39</v>
      </c>
      <c r="B109" s="6" t="s">
        <v>42</v>
      </c>
      <c r="C109" s="7"/>
      <c r="D109" s="7"/>
      <c r="E109" s="7"/>
      <c r="F109" s="7"/>
      <c r="G109" s="7"/>
      <c r="H109" s="7"/>
      <c r="I109" s="8">
        <v>630.0</v>
      </c>
      <c r="J109" s="7"/>
      <c r="K109" s="8">
        <v>530.0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8">
        <v>220.0</v>
      </c>
      <c r="Z109" s="7"/>
      <c r="AA109" s="8">
        <v>215.0</v>
      </c>
      <c r="AB109" s="8">
        <v>300.0</v>
      </c>
      <c r="AC109" s="7"/>
      <c r="AD109" s="7"/>
      <c r="AE109" s="7"/>
      <c r="AF109" s="7"/>
      <c r="AG109" s="7"/>
      <c r="AH109" s="7"/>
      <c r="AI109" s="7"/>
      <c r="AJ109" s="9">
        <f t="shared" si="2"/>
        <v>215</v>
      </c>
      <c r="AK109" s="9">
        <f t="shared" si="3"/>
        <v>630</v>
      </c>
      <c r="AL109" s="7" t="str">
        <f t="shared" ref="AL109:AM109" si="111">HLOOKUP(AJ109,{$D109:$AI109;$D$1:$AI$1},2,false)</f>
        <v>Sally</v>
      </c>
      <c r="AM109" s="7" t="str">
        <f t="shared" si="111"/>
        <v>Charlene</v>
      </c>
      <c r="AN109" s="7">
        <f t="shared" si="5"/>
        <v>5</v>
      </c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</row>
    <row r="110">
      <c r="A110" s="5" t="s">
        <v>39</v>
      </c>
      <c r="B110" s="6" t="s">
        <v>42</v>
      </c>
      <c r="C110" s="7"/>
      <c r="D110" s="7"/>
      <c r="E110" s="7"/>
      <c r="F110" s="7"/>
      <c r="G110" s="7"/>
      <c r="H110" s="7"/>
      <c r="I110" s="8">
        <v>210.0</v>
      </c>
      <c r="J110" s="7"/>
      <c r="K110" s="8">
        <v>330.0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8">
        <v>795.0</v>
      </c>
      <c r="Z110" s="7"/>
      <c r="AA110" s="8">
        <v>825.0</v>
      </c>
      <c r="AB110" s="8">
        <v>485.0</v>
      </c>
      <c r="AC110" s="7"/>
      <c r="AD110" s="7"/>
      <c r="AE110" s="7"/>
      <c r="AF110" s="7"/>
      <c r="AG110" s="7"/>
      <c r="AH110" s="7"/>
      <c r="AI110" s="7"/>
      <c r="AJ110" s="9">
        <f t="shared" si="2"/>
        <v>210</v>
      </c>
      <c r="AK110" s="9">
        <f t="shared" si="3"/>
        <v>825</v>
      </c>
      <c r="AL110" s="7" t="str">
        <f t="shared" ref="AL110:AM110" si="112">HLOOKUP(AJ110,{$D110:$AI110;$D$1:$AI$1},2,false)</f>
        <v>Charlene</v>
      </c>
      <c r="AM110" s="7" t="str">
        <f t="shared" si="112"/>
        <v>Sally</v>
      </c>
      <c r="AN110" s="7">
        <f t="shared" si="5"/>
        <v>5</v>
      </c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</row>
    <row r="111">
      <c r="A111" s="5" t="s">
        <v>39</v>
      </c>
      <c r="B111" s="6" t="s">
        <v>42</v>
      </c>
      <c r="C111" s="8" t="s">
        <v>41</v>
      </c>
      <c r="D111" s="7"/>
      <c r="E111" s="7"/>
      <c r="F111" s="7"/>
      <c r="G111" s="7"/>
      <c r="H111" s="7"/>
      <c r="I111" s="8">
        <v>170.0</v>
      </c>
      <c r="J111" s="7"/>
      <c r="K111" s="7"/>
      <c r="L111" s="7"/>
      <c r="M111" s="7"/>
      <c r="N111" s="7"/>
      <c r="O111" s="7"/>
      <c r="P111" s="7"/>
      <c r="Q111" s="8">
        <v>15.0</v>
      </c>
      <c r="R111" s="7"/>
      <c r="S111" s="7"/>
      <c r="T111" s="7"/>
      <c r="U111" s="7"/>
      <c r="V111" s="7"/>
      <c r="W111" s="7"/>
      <c r="X111" s="7"/>
      <c r="Y111" s="8">
        <v>95.0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9">
        <f t="shared" si="2"/>
        <v>15</v>
      </c>
      <c r="AK111" s="9">
        <f t="shared" si="3"/>
        <v>170</v>
      </c>
      <c r="AL111" s="7" t="str">
        <f t="shared" ref="AL111:AM111" si="113">HLOOKUP(AJ111,{$D111:$AI111;$D$1:$AI$1},2,false)</f>
        <v>Jeff M</v>
      </c>
      <c r="AM111" s="7" t="str">
        <f t="shared" si="113"/>
        <v>Charlene</v>
      </c>
      <c r="AN111" s="7">
        <f t="shared" si="5"/>
        <v>3</v>
      </c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</row>
    <row r="112">
      <c r="A112" s="5" t="s">
        <v>39</v>
      </c>
      <c r="B112" s="6" t="s">
        <v>42</v>
      </c>
      <c r="C112" s="8" t="s">
        <v>41</v>
      </c>
      <c r="D112" s="7"/>
      <c r="E112" s="7"/>
      <c r="F112" s="7"/>
      <c r="G112" s="7"/>
      <c r="H112" s="7"/>
      <c r="I112" s="8">
        <v>285.0</v>
      </c>
      <c r="J112" s="7"/>
      <c r="K112" s="8">
        <v>200.0</v>
      </c>
      <c r="L112" s="7"/>
      <c r="M112" s="7"/>
      <c r="N112" s="7"/>
      <c r="O112" s="7"/>
      <c r="P112" s="7"/>
      <c r="Q112" s="8">
        <v>285.0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8">
        <v>430.0</v>
      </c>
      <c r="AC112" s="7"/>
      <c r="AD112" s="7"/>
      <c r="AE112" s="7"/>
      <c r="AF112" s="7"/>
      <c r="AG112" s="7"/>
      <c r="AH112" s="7"/>
      <c r="AI112" s="7"/>
      <c r="AJ112" s="9">
        <f t="shared" si="2"/>
        <v>200</v>
      </c>
      <c r="AK112" s="9">
        <f t="shared" si="3"/>
        <v>430</v>
      </c>
      <c r="AL112" s="7" t="str">
        <f t="shared" ref="AL112:AM112" si="114">HLOOKUP(AJ112,{$D112:$AI112;$D$1:$AI$1},2,false)</f>
        <v>David</v>
      </c>
      <c r="AM112" s="7" t="str">
        <f t="shared" si="114"/>
        <v>Sandy</v>
      </c>
      <c r="AN112" s="7">
        <f t="shared" si="5"/>
        <v>4</v>
      </c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</row>
    <row r="113">
      <c r="A113" s="5" t="s">
        <v>39</v>
      </c>
      <c r="B113" s="6" t="s">
        <v>42</v>
      </c>
      <c r="C113" s="7"/>
      <c r="D113" s="7"/>
      <c r="E113" s="7"/>
      <c r="F113" s="7"/>
      <c r="G113" s="7"/>
      <c r="H113" s="7"/>
      <c r="I113" s="8">
        <v>210.0</v>
      </c>
      <c r="J113" s="7"/>
      <c r="K113" s="8">
        <v>465.0</v>
      </c>
      <c r="L113" s="8">
        <v>570.0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8">
        <v>590.0</v>
      </c>
      <c r="Z113" s="7"/>
      <c r="AA113" s="7"/>
      <c r="AB113" s="8">
        <v>530.0</v>
      </c>
      <c r="AC113" s="7"/>
      <c r="AD113" s="7"/>
      <c r="AE113" s="7"/>
      <c r="AF113" s="7"/>
      <c r="AG113" s="7"/>
      <c r="AH113" s="7"/>
      <c r="AI113" s="7"/>
      <c r="AJ113" s="9">
        <f t="shared" si="2"/>
        <v>210</v>
      </c>
      <c r="AK113" s="9">
        <f t="shared" si="3"/>
        <v>590</v>
      </c>
      <c r="AL113" s="7" t="str">
        <f t="shared" ref="AL113:AM113" si="115">HLOOKUP(AJ113,{$D113:$AI113;$D$1:$AI$1},2,false)</f>
        <v>Charlene</v>
      </c>
      <c r="AM113" s="7" t="str">
        <f t="shared" si="115"/>
        <v>Nancy</v>
      </c>
      <c r="AN113" s="7">
        <f t="shared" si="5"/>
        <v>5</v>
      </c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</row>
    <row r="114">
      <c r="A114" s="5" t="s">
        <v>39</v>
      </c>
      <c r="B114" s="6" t="s">
        <v>42</v>
      </c>
      <c r="C114" s="7"/>
      <c r="D114" s="7"/>
      <c r="E114" s="7"/>
      <c r="F114" s="7"/>
      <c r="G114" s="7"/>
      <c r="H114" s="7"/>
      <c r="I114" s="8">
        <v>245.0</v>
      </c>
      <c r="J114" s="7"/>
      <c r="K114" s="8">
        <v>470.0</v>
      </c>
      <c r="L114" s="7"/>
      <c r="M114" s="7"/>
      <c r="N114" s="7"/>
      <c r="O114" s="7"/>
      <c r="P114" s="7"/>
      <c r="Q114" s="8">
        <v>555.0</v>
      </c>
      <c r="R114" s="7"/>
      <c r="S114" s="7"/>
      <c r="T114" s="7"/>
      <c r="U114" s="7"/>
      <c r="V114" s="7"/>
      <c r="W114" s="7"/>
      <c r="X114" s="7"/>
      <c r="Y114" s="8">
        <v>510.0</v>
      </c>
      <c r="Z114" s="7"/>
      <c r="AA114" s="7"/>
      <c r="AB114" s="8"/>
      <c r="AC114" s="7"/>
      <c r="AD114" s="7"/>
      <c r="AE114" s="7"/>
      <c r="AF114" s="7"/>
      <c r="AG114" s="7"/>
      <c r="AH114" s="7"/>
      <c r="AI114" s="7"/>
      <c r="AJ114" s="9">
        <f t="shared" si="2"/>
        <v>245</v>
      </c>
      <c r="AK114" s="9">
        <f t="shared" si="3"/>
        <v>555</v>
      </c>
      <c r="AL114" s="7" t="str">
        <f t="shared" ref="AL114:AM114" si="116">HLOOKUP(AJ114,{$D114:$AI114;$D$1:$AI$1},2,false)</f>
        <v>Charlene</v>
      </c>
      <c r="AM114" s="7" t="str">
        <f t="shared" si="116"/>
        <v>Jeff M</v>
      </c>
      <c r="AN114" s="7">
        <f t="shared" si="5"/>
        <v>4</v>
      </c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</row>
    <row r="115">
      <c r="A115" s="5" t="s">
        <v>39</v>
      </c>
      <c r="B115" s="6" t="s">
        <v>42</v>
      </c>
      <c r="C115" s="7"/>
      <c r="D115" s="7"/>
      <c r="E115" s="7"/>
      <c r="F115" s="7"/>
      <c r="G115" s="7"/>
      <c r="H115" s="7"/>
      <c r="I115" s="8">
        <v>155.0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8">
        <v>225.0</v>
      </c>
      <c r="Z115" s="7"/>
      <c r="AA115" s="7"/>
      <c r="AB115" s="8">
        <v>485.0</v>
      </c>
      <c r="AC115" s="7"/>
      <c r="AD115" s="7"/>
      <c r="AE115" s="7"/>
      <c r="AF115" s="7"/>
      <c r="AG115" s="7"/>
      <c r="AH115" s="7"/>
      <c r="AI115" s="7"/>
      <c r="AJ115" s="9">
        <f t="shared" si="2"/>
        <v>155</v>
      </c>
      <c r="AK115" s="9">
        <f t="shared" si="3"/>
        <v>485</v>
      </c>
      <c r="AL115" s="7" t="str">
        <f t="shared" ref="AL115:AM115" si="117">HLOOKUP(AJ115,{$D115:$AI115;$D$1:$AI$1},2,false)</f>
        <v>Charlene</v>
      </c>
      <c r="AM115" s="7" t="str">
        <f t="shared" si="117"/>
        <v>Sandy</v>
      </c>
      <c r="AN115" s="7">
        <f t="shared" si="5"/>
        <v>3</v>
      </c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</row>
    <row r="116">
      <c r="A116" s="5" t="s">
        <v>39</v>
      </c>
      <c r="B116" s="6" t="s">
        <v>42</v>
      </c>
      <c r="C116" s="7"/>
      <c r="D116" s="7"/>
      <c r="E116" s="7"/>
      <c r="F116" s="7"/>
      <c r="G116" s="7"/>
      <c r="H116" s="7"/>
      <c r="I116" s="8">
        <v>400.0</v>
      </c>
      <c r="J116" s="7"/>
      <c r="K116" s="8">
        <v>850.0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8">
        <v>315.0</v>
      </c>
      <c r="Z116" s="7"/>
      <c r="AA116" s="7"/>
      <c r="AB116" s="8">
        <v>240.0</v>
      </c>
      <c r="AC116" s="7"/>
      <c r="AD116" s="7"/>
      <c r="AE116" s="7"/>
      <c r="AF116" s="7"/>
      <c r="AG116" s="7"/>
      <c r="AH116" s="7"/>
      <c r="AI116" s="7"/>
      <c r="AJ116" s="9">
        <f t="shared" si="2"/>
        <v>240</v>
      </c>
      <c r="AK116" s="9">
        <f t="shared" si="3"/>
        <v>850</v>
      </c>
      <c r="AL116" s="7" t="str">
        <f t="shared" ref="AL116:AM116" si="118">HLOOKUP(AJ116,{$D116:$AI116;$D$1:$AI$1},2,false)</f>
        <v>Sandy</v>
      </c>
      <c r="AM116" s="7" t="str">
        <f t="shared" si="118"/>
        <v>David</v>
      </c>
      <c r="AN116" s="7">
        <f t="shared" si="5"/>
        <v>4</v>
      </c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</row>
    <row r="117">
      <c r="A117" s="5" t="s">
        <v>39</v>
      </c>
      <c r="B117" s="6" t="s">
        <v>42</v>
      </c>
      <c r="C117" s="7"/>
      <c r="D117" s="7"/>
      <c r="E117" s="7"/>
      <c r="F117" s="7"/>
      <c r="G117" s="7"/>
      <c r="H117" s="7"/>
      <c r="I117" s="8">
        <v>795.0</v>
      </c>
      <c r="J117" s="7"/>
      <c r="K117" s="8">
        <v>520.0</v>
      </c>
      <c r="L117" s="7"/>
      <c r="M117" s="7"/>
      <c r="N117" s="7"/>
      <c r="O117" s="7"/>
      <c r="P117" s="7"/>
      <c r="Q117" s="8">
        <v>580.0</v>
      </c>
      <c r="R117" s="7"/>
      <c r="S117" s="7"/>
      <c r="T117" s="7"/>
      <c r="U117" s="7"/>
      <c r="V117" s="7"/>
      <c r="W117" s="7"/>
      <c r="X117" s="7"/>
      <c r="Y117" s="8">
        <v>320.0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9">
        <f t="shared" si="2"/>
        <v>320</v>
      </c>
      <c r="AK117" s="9">
        <f t="shared" si="3"/>
        <v>795</v>
      </c>
      <c r="AL117" s="7" t="str">
        <f t="shared" ref="AL117:AM117" si="119">HLOOKUP(AJ117,{$D117:$AI117;$D$1:$AI$1},2,false)</f>
        <v>Nancy</v>
      </c>
      <c r="AM117" s="7" t="str">
        <f t="shared" si="119"/>
        <v>Charlene</v>
      </c>
      <c r="AN117" s="7">
        <f t="shared" si="5"/>
        <v>4</v>
      </c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</row>
    <row r="118">
      <c r="A118" s="5" t="s">
        <v>39</v>
      </c>
      <c r="B118" s="6" t="s">
        <v>42</v>
      </c>
      <c r="C118" s="7"/>
      <c r="D118" s="7"/>
      <c r="E118" s="7"/>
      <c r="F118" s="7"/>
      <c r="G118" s="7"/>
      <c r="H118" s="7"/>
      <c r="I118" s="8">
        <v>270.0</v>
      </c>
      <c r="J118" s="7"/>
      <c r="K118" s="7"/>
      <c r="L118" s="7"/>
      <c r="M118" s="7"/>
      <c r="N118" s="7"/>
      <c r="O118" s="7"/>
      <c r="P118" s="7"/>
      <c r="Q118" s="8">
        <v>650.0</v>
      </c>
      <c r="R118" s="7"/>
      <c r="S118" s="7"/>
      <c r="T118" s="7"/>
      <c r="U118" s="7"/>
      <c r="V118" s="7"/>
      <c r="W118" s="7"/>
      <c r="X118" s="7"/>
      <c r="Y118" s="8">
        <v>705.0</v>
      </c>
      <c r="Z118" s="7"/>
      <c r="AA118" s="7"/>
      <c r="AB118" s="8">
        <v>435.0</v>
      </c>
      <c r="AC118" s="7"/>
      <c r="AD118" s="7"/>
      <c r="AE118" s="7"/>
      <c r="AF118" s="7"/>
      <c r="AG118" s="7"/>
      <c r="AH118" s="7"/>
      <c r="AI118" s="7"/>
      <c r="AJ118" s="9">
        <f t="shared" si="2"/>
        <v>270</v>
      </c>
      <c r="AK118" s="9">
        <f t="shared" si="3"/>
        <v>705</v>
      </c>
      <c r="AL118" s="7" t="str">
        <f t="shared" ref="AL118:AM118" si="120">HLOOKUP(AJ118,{$D118:$AI118;$D$1:$AI$1},2,false)</f>
        <v>Charlene</v>
      </c>
      <c r="AM118" s="7" t="str">
        <f t="shared" si="120"/>
        <v>Nancy</v>
      </c>
      <c r="AN118" s="7">
        <f t="shared" si="5"/>
        <v>4</v>
      </c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</row>
    <row r="119">
      <c r="A119" s="5" t="s">
        <v>39</v>
      </c>
      <c r="B119" s="6" t="s">
        <v>42</v>
      </c>
      <c r="C119" s="7"/>
      <c r="D119" s="7"/>
      <c r="E119" s="7"/>
      <c r="F119" s="7"/>
      <c r="G119" s="7"/>
      <c r="H119" s="7"/>
      <c r="I119" s="8">
        <v>395.0</v>
      </c>
      <c r="J119" s="7"/>
      <c r="K119" s="8">
        <v>555.0</v>
      </c>
      <c r="L119" s="8">
        <v>510.0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8">
        <v>230.0</v>
      </c>
      <c r="Z119" s="7"/>
      <c r="AA119" s="7"/>
      <c r="AB119" s="8">
        <v>435.0</v>
      </c>
      <c r="AC119" s="7"/>
      <c r="AD119" s="7"/>
      <c r="AE119" s="7"/>
      <c r="AF119" s="7"/>
      <c r="AG119" s="7"/>
      <c r="AH119" s="7"/>
      <c r="AI119" s="7"/>
      <c r="AJ119" s="9">
        <f t="shared" si="2"/>
        <v>230</v>
      </c>
      <c r="AK119" s="9">
        <f t="shared" si="3"/>
        <v>555</v>
      </c>
      <c r="AL119" s="7" t="str">
        <f t="shared" ref="AL119:AM119" si="121">HLOOKUP(AJ119,{$D119:$AI119;$D$1:$AI$1},2,false)</f>
        <v>Nancy</v>
      </c>
      <c r="AM119" s="7" t="str">
        <f t="shared" si="121"/>
        <v>David</v>
      </c>
      <c r="AN119" s="7">
        <f t="shared" si="5"/>
        <v>5</v>
      </c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</row>
    <row r="120">
      <c r="A120" s="5" t="s">
        <v>39</v>
      </c>
      <c r="B120" s="6" t="s">
        <v>42</v>
      </c>
      <c r="C120" s="7"/>
      <c r="D120" s="7"/>
      <c r="E120" s="7"/>
      <c r="F120" s="7"/>
      <c r="G120" s="7"/>
      <c r="H120" s="7"/>
      <c r="I120" s="8">
        <v>310.0</v>
      </c>
      <c r="J120" s="7"/>
      <c r="K120" s="8">
        <v>185.0</v>
      </c>
      <c r="L120" s="7"/>
      <c r="M120" s="7"/>
      <c r="N120" s="7"/>
      <c r="O120" s="7"/>
      <c r="P120" s="7"/>
      <c r="Q120" s="8">
        <v>845.0</v>
      </c>
      <c r="R120" s="7"/>
      <c r="S120" s="7"/>
      <c r="T120" s="7"/>
      <c r="U120" s="7"/>
      <c r="V120" s="7"/>
      <c r="W120" s="7"/>
      <c r="X120" s="7"/>
      <c r="Y120" s="8">
        <v>560.0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9">
        <f t="shared" si="2"/>
        <v>185</v>
      </c>
      <c r="AK120" s="9">
        <f t="shared" si="3"/>
        <v>845</v>
      </c>
      <c r="AL120" s="7" t="str">
        <f t="shared" ref="AL120:AM120" si="122">HLOOKUP(AJ120,{$D120:$AI120;$D$1:$AI$1},2,false)</f>
        <v>David</v>
      </c>
      <c r="AM120" s="7" t="str">
        <f t="shared" si="122"/>
        <v>Jeff M</v>
      </c>
      <c r="AN120" s="7">
        <f t="shared" si="5"/>
        <v>4</v>
      </c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</row>
    <row r="121">
      <c r="A121" s="5" t="s">
        <v>39</v>
      </c>
      <c r="B121" s="6" t="s">
        <v>42</v>
      </c>
      <c r="C121" s="7"/>
      <c r="D121" s="7"/>
      <c r="E121" s="7"/>
      <c r="F121" s="7"/>
      <c r="G121" s="7"/>
      <c r="H121" s="7"/>
      <c r="I121" s="8">
        <v>440.0</v>
      </c>
      <c r="J121" s="7"/>
      <c r="K121" s="8">
        <v>670.0</v>
      </c>
      <c r="L121" s="8">
        <v>400.0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8">
        <v>660.0</v>
      </c>
      <c r="Z121" s="7"/>
      <c r="AA121" s="8">
        <v>325.0</v>
      </c>
      <c r="AB121" s="8">
        <v>255.0</v>
      </c>
      <c r="AC121" s="7"/>
      <c r="AD121" s="7"/>
      <c r="AE121" s="7"/>
      <c r="AF121" s="7"/>
      <c r="AG121" s="7"/>
      <c r="AH121" s="7"/>
      <c r="AI121" s="7"/>
      <c r="AJ121" s="9">
        <f t="shared" si="2"/>
        <v>255</v>
      </c>
      <c r="AK121" s="9">
        <f t="shared" si="3"/>
        <v>670</v>
      </c>
      <c r="AL121" s="7" t="str">
        <f t="shared" ref="AL121:AM121" si="123">HLOOKUP(AJ121,{$D121:$AI121;$D$1:$AI$1},2,false)</f>
        <v>Sandy</v>
      </c>
      <c r="AM121" s="7" t="str">
        <f t="shared" si="123"/>
        <v>David</v>
      </c>
      <c r="AN121" s="7">
        <f t="shared" si="5"/>
        <v>6</v>
      </c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</row>
    <row r="122">
      <c r="A122" s="5" t="s">
        <v>39</v>
      </c>
      <c r="B122" s="6" t="s">
        <v>42</v>
      </c>
      <c r="C122" s="7"/>
      <c r="D122" s="7"/>
      <c r="E122" s="7"/>
      <c r="F122" s="7"/>
      <c r="G122" s="7"/>
      <c r="H122" s="7"/>
      <c r="I122" s="8">
        <v>325.0</v>
      </c>
      <c r="J122" s="7"/>
      <c r="K122" s="8">
        <v>280.0</v>
      </c>
      <c r="L122" s="8">
        <v>170.0</v>
      </c>
      <c r="M122" s="7"/>
      <c r="N122" s="7"/>
      <c r="O122" s="7"/>
      <c r="P122" s="7"/>
      <c r="Q122" s="8">
        <v>515.0</v>
      </c>
      <c r="R122" s="7"/>
      <c r="S122" s="7"/>
      <c r="T122" s="7"/>
      <c r="U122" s="7"/>
      <c r="V122" s="7"/>
      <c r="W122" s="7"/>
      <c r="X122" s="7"/>
      <c r="Y122" s="8">
        <v>330.0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9">
        <f t="shared" si="2"/>
        <v>170</v>
      </c>
      <c r="AK122" s="9">
        <f t="shared" si="3"/>
        <v>515</v>
      </c>
      <c r="AL122" s="7" t="str">
        <f t="shared" ref="AL122:AM122" si="124">HLOOKUP(AJ122,{$D122:$AI122;$D$1:$AI$1},2,false)</f>
        <v>Debby</v>
      </c>
      <c r="AM122" s="7" t="str">
        <f t="shared" si="124"/>
        <v>Jeff M</v>
      </c>
      <c r="AN122" s="7">
        <f t="shared" si="5"/>
        <v>5</v>
      </c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</row>
    <row r="123">
      <c r="A123" s="5" t="s">
        <v>39</v>
      </c>
      <c r="B123" s="6" t="s">
        <v>42</v>
      </c>
      <c r="C123" s="7"/>
      <c r="D123" s="7"/>
      <c r="E123" s="7"/>
      <c r="F123" s="7"/>
      <c r="G123" s="7"/>
      <c r="H123" s="7"/>
      <c r="I123" s="8">
        <v>590.0</v>
      </c>
      <c r="J123" s="7"/>
      <c r="K123" s="8">
        <v>190.0</v>
      </c>
      <c r="L123" s="7"/>
      <c r="M123" s="7"/>
      <c r="N123" s="7"/>
      <c r="O123" s="7"/>
      <c r="P123" s="7"/>
      <c r="Q123" s="8">
        <v>485.0</v>
      </c>
      <c r="R123" s="7"/>
      <c r="S123" s="7"/>
      <c r="T123" s="7"/>
      <c r="U123" s="7"/>
      <c r="V123" s="7"/>
      <c r="W123" s="7"/>
      <c r="X123" s="7"/>
      <c r="Y123" s="8">
        <v>500.0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9">
        <f t="shared" si="2"/>
        <v>190</v>
      </c>
      <c r="AK123" s="9">
        <f t="shared" si="3"/>
        <v>590</v>
      </c>
      <c r="AL123" s="7" t="str">
        <f t="shared" ref="AL123:AM123" si="125">HLOOKUP(AJ123,{$D123:$AI123;$D$1:$AI$1},2,false)</f>
        <v>David</v>
      </c>
      <c r="AM123" s="7" t="str">
        <f t="shared" si="125"/>
        <v>Charlene</v>
      </c>
      <c r="AN123" s="7">
        <f t="shared" si="5"/>
        <v>4</v>
      </c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</row>
    <row r="124">
      <c r="A124" s="5" t="s">
        <v>39</v>
      </c>
      <c r="B124" s="6" t="s">
        <v>42</v>
      </c>
      <c r="C124" s="7"/>
      <c r="D124" s="7"/>
      <c r="E124" s="7"/>
      <c r="F124" s="7"/>
      <c r="G124" s="7"/>
      <c r="H124" s="7"/>
      <c r="I124" s="8">
        <v>235.0</v>
      </c>
      <c r="J124" s="7"/>
      <c r="K124" s="8">
        <v>385.0</v>
      </c>
      <c r="L124" s="7"/>
      <c r="M124" s="7"/>
      <c r="N124" s="7"/>
      <c r="O124" s="7"/>
      <c r="P124" s="7"/>
      <c r="Q124" s="8">
        <v>300.0</v>
      </c>
      <c r="R124" s="7"/>
      <c r="S124" s="7"/>
      <c r="T124" s="7"/>
      <c r="U124" s="7"/>
      <c r="V124" s="7"/>
      <c r="W124" s="7"/>
      <c r="X124" s="7"/>
      <c r="Y124" s="8">
        <v>240.0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9">
        <f t="shared" si="2"/>
        <v>235</v>
      </c>
      <c r="AK124" s="9">
        <f t="shared" si="3"/>
        <v>385</v>
      </c>
      <c r="AL124" s="7" t="str">
        <f t="shared" ref="AL124:AM124" si="126">HLOOKUP(AJ124,{$D124:$AI124;$D$1:$AI$1},2,false)</f>
        <v>Charlene</v>
      </c>
      <c r="AM124" s="7" t="str">
        <f t="shared" si="126"/>
        <v>David</v>
      </c>
      <c r="AN124" s="7">
        <f t="shared" si="5"/>
        <v>4</v>
      </c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</row>
    <row r="125">
      <c r="A125" s="5" t="s">
        <v>39</v>
      </c>
      <c r="B125" s="6" t="s">
        <v>42</v>
      </c>
      <c r="C125" s="7"/>
      <c r="D125" s="7"/>
      <c r="E125" s="7"/>
      <c r="F125" s="7"/>
      <c r="G125" s="7"/>
      <c r="H125" s="7"/>
      <c r="I125" s="8">
        <v>315.0</v>
      </c>
      <c r="J125" s="7"/>
      <c r="K125" s="8">
        <v>385.0</v>
      </c>
      <c r="L125" s="7"/>
      <c r="M125" s="7"/>
      <c r="N125" s="7"/>
      <c r="O125" s="7"/>
      <c r="P125" s="7"/>
      <c r="Q125" s="8">
        <v>310.0</v>
      </c>
      <c r="R125" s="7"/>
      <c r="S125" s="7"/>
      <c r="T125" s="7"/>
      <c r="U125" s="7"/>
      <c r="V125" s="7"/>
      <c r="W125" s="7"/>
      <c r="X125" s="7"/>
      <c r="Y125" s="8">
        <v>560.0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9">
        <f t="shared" si="2"/>
        <v>310</v>
      </c>
      <c r="AK125" s="9">
        <f t="shared" si="3"/>
        <v>560</v>
      </c>
      <c r="AL125" s="7" t="str">
        <f t="shared" ref="AL125:AM125" si="127">HLOOKUP(AJ125,{$D125:$AI125;$D$1:$AI$1},2,false)</f>
        <v>Jeff M</v>
      </c>
      <c r="AM125" s="7" t="str">
        <f t="shared" si="127"/>
        <v>Nancy</v>
      </c>
      <c r="AN125" s="7">
        <f t="shared" si="5"/>
        <v>4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</row>
    <row r="126">
      <c r="A126" s="5" t="s">
        <v>39</v>
      </c>
      <c r="B126" s="6" t="s">
        <v>42</v>
      </c>
      <c r="C126" s="7"/>
      <c r="D126" s="7"/>
      <c r="E126" s="7"/>
      <c r="F126" s="7"/>
      <c r="G126" s="7"/>
      <c r="H126" s="7"/>
      <c r="I126" s="8">
        <v>190.0</v>
      </c>
      <c r="J126" s="7"/>
      <c r="K126" s="8">
        <v>290.0</v>
      </c>
      <c r="L126" s="8">
        <v>150.0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8">
        <v>535.0</v>
      </c>
      <c r="Z126" s="7"/>
      <c r="AA126" s="7"/>
      <c r="AB126" s="8">
        <v>690.0</v>
      </c>
      <c r="AC126" s="7"/>
      <c r="AD126" s="7"/>
      <c r="AE126" s="7"/>
      <c r="AF126" s="7"/>
      <c r="AG126" s="7"/>
      <c r="AH126" s="7"/>
      <c r="AI126" s="7"/>
      <c r="AJ126" s="9">
        <f t="shared" si="2"/>
        <v>150</v>
      </c>
      <c r="AK126" s="9">
        <f t="shared" si="3"/>
        <v>690</v>
      </c>
      <c r="AL126" s="7" t="str">
        <f t="shared" ref="AL126:AM126" si="128">HLOOKUP(AJ126,{$D126:$AI126;$D$1:$AI$1},2,false)</f>
        <v>Debby</v>
      </c>
      <c r="AM126" s="7" t="str">
        <f t="shared" si="128"/>
        <v>Sandy</v>
      </c>
      <c r="AN126" s="7">
        <f t="shared" si="5"/>
        <v>5</v>
      </c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</row>
    <row r="127">
      <c r="A127" s="5" t="s">
        <v>39</v>
      </c>
      <c r="B127" s="6" t="s">
        <v>44</v>
      </c>
      <c r="C127" s="8" t="s">
        <v>41</v>
      </c>
      <c r="D127" s="7"/>
      <c r="E127" s="7"/>
      <c r="F127" s="7"/>
      <c r="G127" s="7"/>
      <c r="H127" s="7"/>
      <c r="I127" s="8"/>
      <c r="J127" s="7"/>
      <c r="K127" s="8"/>
      <c r="L127" s="8">
        <v>25.0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8">
        <v>460.0</v>
      </c>
      <c r="Z127" s="7"/>
      <c r="AA127" s="8">
        <v>475.0</v>
      </c>
      <c r="AB127" s="8"/>
      <c r="AC127" s="8">
        <v>445.0</v>
      </c>
      <c r="AD127" s="8"/>
      <c r="AE127" s="7"/>
      <c r="AF127" s="8">
        <v>210.0</v>
      </c>
      <c r="AG127" s="8"/>
      <c r="AH127" s="7"/>
      <c r="AI127" s="7"/>
      <c r="AJ127" s="9">
        <f t="shared" si="2"/>
        <v>25</v>
      </c>
      <c r="AK127" s="9">
        <f t="shared" si="3"/>
        <v>475</v>
      </c>
      <c r="AL127" s="7" t="str">
        <f t="shared" ref="AL127:AM127" si="129">HLOOKUP(AJ127,{$D127:$AI127;$D$1:$AI$1},2,false)</f>
        <v>Debby</v>
      </c>
      <c r="AM127" s="7" t="str">
        <f t="shared" si="129"/>
        <v>Sally</v>
      </c>
      <c r="AN127" s="7">
        <f t="shared" si="5"/>
        <v>5</v>
      </c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</row>
    <row r="128">
      <c r="A128" s="5">
        <v>43485.0</v>
      </c>
      <c r="B128" s="6" t="s">
        <v>45</v>
      </c>
      <c r="C128" s="8" t="s">
        <v>41</v>
      </c>
      <c r="D128" s="7"/>
      <c r="E128" s="7"/>
      <c r="F128" s="7"/>
      <c r="G128" s="8">
        <v>390.0</v>
      </c>
      <c r="H128" s="8"/>
      <c r="I128" s="7"/>
      <c r="J128" s="8"/>
      <c r="K128" s="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8">
        <v>180.0</v>
      </c>
      <c r="W128" s="7"/>
      <c r="X128" s="7"/>
      <c r="Y128" s="8">
        <v>185.0</v>
      </c>
      <c r="Z128" s="7"/>
      <c r="AA128" s="8">
        <v>405.0</v>
      </c>
      <c r="AB128" s="7"/>
      <c r="AC128" s="7"/>
      <c r="AD128" s="7"/>
      <c r="AE128" s="7"/>
      <c r="AF128" s="8">
        <v>305.0</v>
      </c>
      <c r="AG128" s="8"/>
      <c r="AH128" s="7"/>
      <c r="AI128" s="7"/>
      <c r="AJ128" s="9">
        <f t="shared" si="2"/>
        <v>180</v>
      </c>
      <c r="AK128" s="9">
        <f t="shared" si="3"/>
        <v>405</v>
      </c>
      <c r="AL128" s="7" t="str">
        <f t="shared" ref="AL128:AM128" si="130">HLOOKUP(AJ128,{$D128:$AI128;$D$1:$AI$1},2,false)</f>
        <v>Karen</v>
      </c>
      <c r="AM128" s="7" t="str">
        <f t="shared" si="130"/>
        <v>Sally</v>
      </c>
      <c r="AN128" s="7">
        <f t="shared" si="5"/>
        <v>5</v>
      </c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</row>
    <row r="129">
      <c r="A129" s="5">
        <v>44086.0</v>
      </c>
      <c r="B129" s="6" t="s">
        <v>46</v>
      </c>
      <c r="C129" s="7"/>
      <c r="D129" s="7"/>
      <c r="E129" s="7"/>
      <c r="F129" s="7"/>
      <c r="G129" s="7"/>
      <c r="H129" s="7"/>
      <c r="I129" s="7"/>
      <c r="J129" s="8"/>
      <c r="K129" s="8">
        <v>420.0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8">
        <v>380.0</v>
      </c>
      <c r="Z129" s="7"/>
      <c r="AA129" s="8">
        <v>815.0</v>
      </c>
      <c r="AB129" s="7"/>
      <c r="AC129" s="7"/>
      <c r="AD129" s="7"/>
      <c r="AE129" s="7"/>
      <c r="AF129" s="7"/>
      <c r="AG129" s="7"/>
      <c r="AH129" s="7"/>
      <c r="AI129" s="7"/>
      <c r="AJ129" s="9">
        <f t="shared" si="2"/>
        <v>380</v>
      </c>
      <c r="AK129" s="9">
        <f t="shared" si="3"/>
        <v>815</v>
      </c>
      <c r="AL129" s="7" t="str">
        <f t="shared" ref="AL129:AM129" si="131">HLOOKUP(AJ129,{$D129:$AI129;$D$1:$AI$1},2,false)</f>
        <v>Nancy</v>
      </c>
      <c r="AM129" s="7" t="str">
        <f t="shared" si="131"/>
        <v>Sally</v>
      </c>
      <c r="AN129" s="7">
        <f t="shared" si="5"/>
        <v>3</v>
      </c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</row>
    <row r="130">
      <c r="A130" s="5">
        <v>44087.0</v>
      </c>
      <c r="B130" s="6" t="s">
        <v>46</v>
      </c>
      <c r="C130" s="7"/>
      <c r="D130" s="7"/>
      <c r="E130" s="7"/>
      <c r="F130" s="7"/>
      <c r="G130" s="7"/>
      <c r="H130" s="7"/>
      <c r="I130" s="7"/>
      <c r="J130" s="8"/>
      <c r="K130" s="8">
        <v>335.0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8">
        <v>455.0</v>
      </c>
      <c r="Z130" s="7"/>
      <c r="AA130" s="8">
        <v>250.0</v>
      </c>
      <c r="AB130" s="7"/>
      <c r="AC130" s="7"/>
      <c r="AD130" s="7"/>
      <c r="AE130" s="7"/>
      <c r="AF130" s="7"/>
      <c r="AG130" s="7"/>
      <c r="AH130" s="7"/>
      <c r="AI130" s="7"/>
      <c r="AJ130" s="9">
        <f t="shared" si="2"/>
        <v>250</v>
      </c>
      <c r="AK130" s="9">
        <f t="shared" si="3"/>
        <v>455</v>
      </c>
      <c r="AL130" s="7" t="str">
        <f t="shared" ref="AL130:AM130" si="132">HLOOKUP(AJ130,{$D130:$AI130;$D$1:$AI$1},2,false)</f>
        <v>Sally</v>
      </c>
      <c r="AM130" s="7" t="str">
        <f t="shared" si="132"/>
        <v>Nancy</v>
      </c>
      <c r="AN130" s="7">
        <f t="shared" si="5"/>
        <v>3</v>
      </c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</row>
    <row r="131">
      <c r="A131" s="5">
        <v>44089.0</v>
      </c>
      <c r="B131" s="6" t="s">
        <v>42</v>
      </c>
      <c r="C131" s="7"/>
      <c r="D131" s="7"/>
      <c r="E131" s="7"/>
      <c r="F131" s="7"/>
      <c r="G131" s="7"/>
      <c r="H131" s="7"/>
      <c r="I131" s="8">
        <v>670.0</v>
      </c>
      <c r="J131" s="8"/>
      <c r="K131" s="8">
        <v>375.0</v>
      </c>
      <c r="L131" s="7"/>
      <c r="M131" s="7"/>
      <c r="N131" s="7"/>
      <c r="O131" s="7"/>
      <c r="P131" s="7"/>
      <c r="Q131" s="8">
        <v>665.0</v>
      </c>
      <c r="R131" s="7"/>
      <c r="S131" s="7"/>
      <c r="T131" s="7"/>
      <c r="U131" s="7"/>
      <c r="V131" s="7"/>
      <c r="W131" s="7"/>
      <c r="X131" s="7"/>
      <c r="Y131" s="8">
        <v>510.0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9">
        <f t="shared" si="2"/>
        <v>375</v>
      </c>
      <c r="AK131" s="9">
        <f t="shared" si="3"/>
        <v>670</v>
      </c>
      <c r="AL131" s="7" t="str">
        <f t="shared" ref="AL131:AM131" si="133">HLOOKUP(AJ131,{$D131:$AI131;$D$1:$AI$1},2,false)</f>
        <v>David</v>
      </c>
      <c r="AM131" s="7" t="str">
        <f t="shared" si="133"/>
        <v>Charlene</v>
      </c>
      <c r="AN131" s="7">
        <f t="shared" si="5"/>
        <v>4</v>
      </c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</row>
    <row r="132">
      <c r="A132" s="5">
        <v>44092.0</v>
      </c>
      <c r="B132" s="6" t="s">
        <v>40</v>
      </c>
      <c r="C132" s="8" t="s">
        <v>41</v>
      </c>
      <c r="D132" s="7"/>
      <c r="E132" s="7"/>
      <c r="F132" s="7"/>
      <c r="G132" s="7"/>
      <c r="H132" s="7"/>
      <c r="I132" s="8"/>
      <c r="J132" s="8">
        <v>335.0</v>
      </c>
      <c r="K132" s="8">
        <v>235.0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8">
        <v>210.0</v>
      </c>
      <c r="Z132" s="7"/>
      <c r="AA132" s="7"/>
      <c r="AB132" s="7"/>
      <c r="AC132" s="8">
        <v>45.0</v>
      </c>
      <c r="AD132" s="8"/>
      <c r="AE132" s="7"/>
      <c r="AF132" s="7"/>
      <c r="AG132" s="7"/>
      <c r="AH132" s="7"/>
      <c r="AI132" s="7"/>
      <c r="AJ132" s="9">
        <f t="shared" si="2"/>
        <v>45</v>
      </c>
      <c r="AK132" s="9">
        <f t="shared" si="3"/>
        <v>335</v>
      </c>
      <c r="AL132" s="7" t="str">
        <f t="shared" ref="AL132:AM132" si="134">HLOOKUP(AJ132,{$D132:$AI132;$D$1:$AI$1},2,false)</f>
        <v>Sara</v>
      </c>
      <c r="AM132" s="7" t="str">
        <f t="shared" si="134"/>
        <v>Clelia</v>
      </c>
      <c r="AN132" s="7">
        <f t="shared" si="5"/>
        <v>4</v>
      </c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</row>
    <row r="133">
      <c r="A133" s="5">
        <v>44098.0</v>
      </c>
      <c r="B133" s="6" t="s">
        <v>40</v>
      </c>
      <c r="C133" s="8" t="s">
        <v>41</v>
      </c>
      <c r="D133" s="7"/>
      <c r="E133" s="7"/>
      <c r="F133" s="7"/>
      <c r="G133" s="7"/>
      <c r="H133" s="7"/>
      <c r="I133" s="7"/>
      <c r="J133" s="8"/>
      <c r="K133" s="8">
        <v>5.0</v>
      </c>
      <c r="L133" s="8">
        <v>185.0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8">
        <v>145.0</v>
      </c>
      <c r="Z133" s="7"/>
      <c r="AA133" s="8">
        <v>460.0</v>
      </c>
      <c r="AB133" s="7"/>
      <c r="AC133" s="7"/>
      <c r="AD133" s="7"/>
      <c r="AE133" s="7"/>
      <c r="AF133" s="7"/>
      <c r="AG133" s="7"/>
      <c r="AH133" s="7"/>
      <c r="AI133" s="7"/>
      <c r="AJ133" s="9">
        <f t="shared" si="2"/>
        <v>5</v>
      </c>
      <c r="AK133" s="9">
        <f t="shared" si="3"/>
        <v>460</v>
      </c>
      <c r="AL133" s="7" t="str">
        <f t="shared" ref="AL133:AM133" si="135">HLOOKUP(AJ133,{$D133:$AI133;$D$1:$AI$1},2,false)</f>
        <v>David</v>
      </c>
      <c r="AM133" s="7" t="str">
        <f t="shared" si="135"/>
        <v>Sally</v>
      </c>
      <c r="AN133" s="7">
        <f t="shared" si="5"/>
        <v>4</v>
      </c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</row>
    <row r="134">
      <c r="A134" s="5">
        <v>44100.0</v>
      </c>
      <c r="B134" s="6" t="s">
        <v>42</v>
      </c>
      <c r="C134" s="8"/>
      <c r="D134" s="7"/>
      <c r="E134" s="7"/>
      <c r="F134" s="7"/>
      <c r="G134" s="7"/>
      <c r="H134" s="7"/>
      <c r="I134" s="8">
        <v>600.0</v>
      </c>
      <c r="J134" s="7"/>
      <c r="K134" s="8">
        <v>335.0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8">
        <v>485.0</v>
      </c>
      <c r="Z134" s="7"/>
      <c r="AA134" s="8">
        <v>385.0</v>
      </c>
      <c r="AB134" s="8">
        <v>605.0</v>
      </c>
      <c r="AC134" s="7"/>
      <c r="AD134" s="7"/>
      <c r="AE134" s="7"/>
      <c r="AF134" s="7"/>
      <c r="AG134" s="7"/>
      <c r="AH134" s="7"/>
      <c r="AI134" s="7"/>
      <c r="AJ134" s="9">
        <f t="shared" si="2"/>
        <v>335</v>
      </c>
      <c r="AK134" s="9">
        <f t="shared" si="3"/>
        <v>605</v>
      </c>
      <c r="AL134" s="7" t="str">
        <f t="shared" ref="AL134:AM134" si="136">HLOOKUP(AJ134,{$D134:$AI134;$D$1:$AI$1},2,false)</f>
        <v>David</v>
      </c>
      <c r="AM134" s="7" t="str">
        <f t="shared" si="136"/>
        <v>Sandy</v>
      </c>
      <c r="AN134" s="7">
        <f t="shared" si="5"/>
        <v>5</v>
      </c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</row>
    <row r="135">
      <c r="A135" s="5">
        <v>44107.0</v>
      </c>
      <c r="B135" s="6" t="s">
        <v>40</v>
      </c>
      <c r="C135" s="7"/>
      <c r="D135" s="7"/>
      <c r="E135" s="7"/>
      <c r="F135" s="7"/>
      <c r="G135" s="7"/>
      <c r="H135" s="7"/>
      <c r="I135" s="8">
        <v>470.0</v>
      </c>
      <c r="J135" s="7"/>
      <c r="K135" s="8">
        <v>810.0</v>
      </c>
      <c r="L135" s="7"/>
      <c r="M135" s="7"/>
      <c r="N135" s="7"/>
      <c r="O135" s="7"/>
      <c r="P135" s="8">
        <v>425.0</v>
      </c>
      <c r="Q135" s="7"/>
      <c r="R135" s="7"/>
      <c r="S135" s="7"/>
      <c r="T135" s="7"/>
      <c r="U135" s="7"/>
      <c r="V135" s="7"/>
      <c r="W135" s="7"/>
      <c r="X135" s="7"/>
      <c r="Y135" s="8">
        <v>480.0</v>
      </c>
      <c r="Z135" s="7"/>
      <c r="AA135" s="7"/>
      <c r="AB135" s="8">
        <v>950.0</v>
      </c>
      <c r="AC135" s="7"/>
      <c r="AD135" s="7"/>
      <c r="AE135" s="7"/>
      <c r="AF135" s="7"/>
      <c r="AG135" s="7"/>
      <c r="AH135" s="7"/>
      <c r="AI135" s="7"/>
      <c r="AJ135" s="9">
        <f t="shared" si="2"/>
        <v>425</v>
      </c>
      <c r="AK135" s="9">
        <f t="shared" si="3"/>
        <v>950</v>
      </c>
      <c r="AL135" s="7" t="str">
        <f t="shared" ref="AL135:AM135" si="137">HLOOKUP(AJ135,{$D135:$AI135;$D$1:$AI$1},2,false)</f>
        <v>Jan</v>
      </c>
      <c r="AM135" s="7" t="str">
        <f t="shared" si="137"/>
        <v>Sandy</v>
      </c>
      <c r="AN135" s="7">
        <f t="shared" si="5"/>
        <v>5</v>
      </c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</row>
    <row r="136">
      <c r="A136" s="5">
        <v>44108.0</v>
      </c>
      <c r="B136" s="6" t="s">
        <v>40</v>
      </c>
      <c r="C136" s="8" t="s">
        <v>41</v>
      </c>
      <c r="D136" s="7"/>
      <c r="E136" s="7"/>
      <c r="F136" s="7"/>
      <c r="G136" s="7"/>
      <c r="H136" s="7"/>
      <c r="I136" s="8">
        <v>260.0</v>
      </c>
      <c r="J136" s="7"/>
      <c r="K136" s="8">
        <v>675.0</v>
      </c>
      <c r="L136" s="7"/>
      <c r="M136" s="7"/>
      <c r="N136" s="7"/>
      <c r="O136" s="7"/>
      <c r="P136" s="7"/>
      <c r="Q136" s="8">
        <v>550.0</v>
      </c>
      <c r="R136" s="7"/>
      <c r="S136" s="7"/>
      <c r="T136" s="7"/>
      <c r="U136" s="7"/>
      <c r="V136" s="7"/>
      <c r="W136" s="7"/>
      <c r="X136" s="7"/>
      <c r="Y136" s="8">
        <v>340.0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9">
        <f t="shared" si="2"/>
        <v>260</v>
      </c>
      <c r="AK136" s="9">
        <f t="shared" si="3"/>
        <v>675</v>
      </c>
      <c r="AL136" s="7" t="str">
        <f t="shared" ref="AL136:AM136" si="138">HLOOKUP(AJ136,{$D136:$AI136;$D$1:$AI$1},2,false)</f>
        <v>Charlene</v>
      </c>
      <c r="AM136" s="7" t="str">
        <f t="shared" si="138"/>
        <v>David</v>
      </c>
      <c r="AN136" s="7">
        <f t="shared" si="5"/>
        <v>4</v>
      </c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</row>
    <row r="137">
      <c r="A137" s="5">
        <v>44112.0</v>
      </c>
      <c r="B137" s="6" t="s">
        <v>40</v>
      </c>
      <c r="C137" s="7"/>
      <c r="D137" s="7"/>
      <c r="E137" s="7"/>
      <c r="F137" s="7"/>
      <c r="G137" s="7"/>
      <c r="H137" s="7"/>
      <c r="I137" s="8">
        <v>555.0</v>
      </c>
      <c r="J137" s="7"/>
      <c r="K137" s="8">
        <v>460.0</v>
      </c>
      <c r="L137" s="7"/>
      <c r="M137" s="7"/>
      <c r="N137" s="7"/>
      <c r="O137" s="7"/>
      <c r="P137" s="7"/>
      <c r="Q137" s="8">
        <v>315.0</v>
      </c>
      <c r="R137" s="7"/>
      <c r="S137" s="7"/>
      <c r="T137" s="7"/>
      <c r="U137" s="7"/>
      <c r="V137" s="7"/>
      <c r="W137" s="7"/>
      <c r="X137" s="7"/>
      <c r="Y137" s="8">
        <v>250.0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9">
        <f t="shared" si="2"/>
        <v>250</v>
      </c>
      <c r="AK137" s="9">
        <f t="shared" si="3"/>
        <v>555</v>
      </c>
      <c r="AL137" s="7" t="str">
        <f t="shared" ref="AL137:AM137" si="139">HLOOKUP(AJ137,{$D137:$AI137;$D$1:$AI$1},2,false)</f>
        <v>Nancy</v>
      </c>
      <c r="AM137" s="7" t="str">
        <f t="shared" si="139"/>
        <v>Charlene</v>
      </c>
      <c r="AN137" s="7">
        <f t="shared" si="5"/>
        <v>4</v>
      </c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</row>
    <row r="138">
      <c r="A138" s="5">
        <v>44114.0</v>
      </c>
      <c r="B138" s="6" t="s">
        <v>42</v>
      </c>
      <c r="C138" s="7"/>
      <c r="D138" s="7"/>
      <c r="E138" s="7"/>
      <c r="F138" s="7"/>
      <c r="G138" s="7"/>
      <c r="H138" s="7"/>
      <c r="I138" s="8">
        <v>520.0</v>
      </c>
      <c r="J138" s="7"/>
      <c r="K138" s="8">
        <v>300.0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8">
        <v>485.0</v>
      </c>
      <c r="Z138" s="7"/>
      <c r="AA138" s="7"/>
      <c r="AB138" s="8">
        <v>175.0</v>
      </c>
      <c r="AC138" s="7"/>
      <c r="AD138" s="7"/>
      <c r="AE138" s="7"/>
      <c r="AF138" s="7"/>
      <c r="AG138" s="7"/>
      <c r="AH138" s="7"/>
      <c r="AI138" s="7"/>
      <c r="AJ138" s="9">
        <f t="shared" si="2"/>
        <v>175</v>
      </c>
      <c r="AK138" s="9">
        <f t="shared" si="3"/>
        <v>520</v>
      </c>
      <c r="AL138" s="7" t="str">
        <f t="shared" ref="AL138:AM138" si="140">HLOOKUP(AJ138,{$D138:$AI138;$D$1:$AI$1},2,false)</f>
        <v>Sandy</v>
      </c>
      <c r="AM138" s="7" t="str">
        <f t="shared" si="140"/>
        <v>Charlene</v>
      </c>
      <c r="AN138" s="7">
        <f t="shared" si="5"/>
        <v>4</v>
      </c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</row>
    <row r="139">
      <c r="A139" s="5">
        <v>44121.0</v>
      </c>
      <c r="B139" s="6" t="s">
        <v>40</v>
      </c>
      <c r="C139" s="7"/>
      <c r="D139" s="7"/>
      <c r="E139" s="7"/>
      <c r="F139" s="7"/>
      <c r="G139" s="7"/>
      <c r="H139" s="7"/>
      <c r="I139" s="8">
        <v>460.0</v>
      </c>
      <c r="J139" s="7"/>
      <c r="K139" s="8">
        <v>370.0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8">
        <v>655.0</v>
      </c>
      <c r="Z139" s="8">
        <v>385.0</v>
      </c>
      <c r="AA139" s="7"/>
      <c r="AB139" s="7"/>
      <c r="AC139" s="7"/>
      <c r="AD139" s="7"/>
      <c r="AE139" s="7"/>
      <c r="AF139" s="7"/>
      <c r="AG139" s="7"/>
      <c r="AH139" s="7"/>
      <c r="AI139" s="7"/>
      <c r="AJ139" s="9">
        <f t="shared" si="2"/>
        <v>370</v>
      </c>
      <c r="AK139" s="9">
        <f t="shared" si="3"/>
        <v>655</v>
      </c>
      <c r="AL139" s="7" t="str">
        <f t="shared" ref="AL139:AM139" si="141">HLOOKUP(AJ139,{$D139:$AI139;$D$1:$AI$1},2,false)</f>
        <v>David</v>
      </c>
      <c r="AM139" s="7" t="str">
        <f t="shared" si="141"/>
        <v>Nancy</v>
      </c>
      <c r="AN139" s="7">
        <f t="shared" si="5"/>
        <v>4</v>
      </c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</row>
    <row r="140">
      <c r="A140" s="5">
        <v>44122.0</v>
      </c>
      <c r="B140" s="6" t="s">
        <v>40</v>
      </c>
      <c r="C140" s="8" t="s">
        <v>41</v>
      </c>
      <c r="D140" s="7"/>
      <c r="E140" s="7"/>
      <c r="F140" s="7"/>
      <c r="G140" s="7"/>
      <c r="H140" s="7"/>
      <c r="I140" s="7"/>
      <c r="J140" s="8">
        <v>205.0</v>
      </c>
      <c r="K140" s="8">
        <v>130.0</v>
      </c>
      <c r="L140" s="8">
        <v>565.0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8">
        <v>375.0</v>
      </c>
      <c r="Z140" s="7"/>
      <c r="AA140" s="7"/>
      <c r="AB140" s="7"/>
      <c r="AC140" s="8">
        <v>475.0</v>
      </c>
      <c r="AD140" s="8"/>
      <c r="AE140" s="7"/>
      <c r="AF140" s="7"/>
      <c r="AG140" s="7"/>
      <c r="AH140" s="7"/>
      <c r="AI140" s="7"/>
      <c r="AJ140" s="9">
        <f t="shared" si="2"/>
        <v>130</v>
      </c>
      <c r="AK140" s="9">
        <f t="shared" si="3"/>
        <v>565</v>
      </c>
      <c r="AL140" s="7" t="str">
        <f t="shared" ref="AL140:AM140" si="142">HLOOKUP(AJ140,{$D140:$AI140;$D$1:$AI$1},2,false)</f>
        <v>David</v>
      </c>
      <c r="AM140" s="7" t="str">
        <f t="shared" si="142"/>
        <v>Debby</v>
      </c>
      <c r="AN140" s="7">
        <f t="shared" si="5"/>
        <v>5</v>
      </c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</row>
    <row r="141">
      <c r="A141" s="5">
        <v>44127.0</v>
      </c>
      <c r="B141" s="6" t="s">
        <v>40</v>
      </c>
      <c r="C141" s="7"/>
      <c r="D141" s="7"/>
      <c r="E141" s="7"/>
      <c r="F141" s="7"/>
      <c r="G141" s="7"/>
      <c r="H141" s="7"/>
      <c r="I141" s="8">
        <v>430.0</v>
      </c>
      <c r="J141" s="8"/>
      <c r="K141" s="8">
        <v>355.0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8">
        <v>355.0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9">
        <f t="shared" si="2"/>
        <v>355</v>
      </c>
      <c r="AK141" s="9">
        <f t="shared" si="3"/>
        <v>430</v>
      </c>
      <c r="AL141" s="7" t="str">
        <f t="shared" ref="AL141:AM141" si="143">HLOOKUP(AJ141,{$D141:$AI141;$D$1:$AI$1},2,false)</f>
        <v>David</v>
      </c>
      <c r="AM141" s="7" t="str">
        <f t="shared" si="143"/>
        <v>Charlene</v>
      </c>
      <c r="AN141" s="7">
        <f t="shared" si="5"/>
        <v>3</v>
      </c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</row>
    <row r="142">
      <c r="A142" s="5">
        <v>44129.0</v>
      </c>
      <c r="B142" s="6" t="s">
        <v>40</v>
      </c>
      <c r="C142" s="7"/>
      <c r="D142" s="7"/>
      <c r="E142" s="7"/>
      <c r="F142" s="7"/>
      <c r="G142" s="7"/>
      <c r="H142" s="7"/>
      <c r="I142" s="8">
        <v>435.0</v>
      </c>
      <c r="J142" s="8"/>
      <c r="K142" s="8">
        <v>165.0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8">
        <v>335.0</v>
      </c>
      <c r="Z142" s="7"/>
      <c r="AA142" s="7"/>
      <c r="AB142" s="8">
        <v>365.0</v>
      </c>
      <c r="AC142" s="7"/>
      <c r="AD142" s="7"/>
      <c r="AE142" s="7"/>
      <c r="AF142" s="7"/>
      <c r="AG142" s="7"/>
      <c r="AH142" s="7"/>
      <c r="AI142" s="7"/>
      <c r="AJ142" s="9">
        <f t="shared" si="2"/>
        <v>165</v>
      </c>
      <c r="AK142" s="9">
        <f t="shared" si="3"/>
        <v>435</v>
      </c>
      <c r="AL142" s="7" t="str">
        <f t="shared" ref="AL142:AM142" si="144">HLOOKUP(AJ142,{$D142:$AI142;$D$1:$AI$1},2,false)</f>
        <v>David</v>
      </c>
      <c r="AM142" s="7" t="str">
        <f t="shared" si="144"/>
        <v>Charlene</v>
      </c>
      <c r="AN142" s="7">
        <f t="shared" si="5"/>
        <v>4</v>
      </c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</row>
    <row r="143">
      <c r="A143" s="5">
        <v>44132.0</v>
      </c>
      <c r="B143" s="6" t="s">
        <v>42</v>
      </c>
      <c r="C143" s="8" t="s">
        <v>41</v>
      </c>
      <c r="D143" s="7"/>
      <c r="E143" s="7"/>
      <c r="F143" s="7"/>
      <c r="G143" s="7"/>
      <c r="H143" s="7"/>
      <c r="I143" s="8">
        <v>395.0</v>
      </c>
      <c r="J143" s="8"/>
      <c r="K143" s="8">
        <v>340.0</v>
      </c>
      <c r="L143" s="7"/>
      <c r="M143" s="7"/>
      <c r="N143" s="7"/>
      <c r="O143" s="7"/>
      <c r="P143" s="7"/>
      <c r="Q143" s="8">
        <v>45.0</v>
      </c>
      <c r="R143" s="7"/>
      <c r="S143" s="7"/>
      <c r="T143" s="7"/>
      <c r="U143" s="7"/>
      <c r="V143" s="7"/>
      <c r="W143" s="7"/>
      <c r="X143" s="7"/>
      <c r="Y143" s="8">
        <v>235.0</v>
      </c>
      <c r="Z143" s="8">
        <v>110.0</v>
      </c>
      <c r="AA143" s="7"/>
      <c r="AB143" s="7"/>
      <c r="AC143" s="7"/>
      <c r="AD143" s="7"/>
      <c r="AE143" s="7"/>
      <c r="AF143" s="7"/>
      <c r="AG143" s="7"/>
      <c r="AH143" s="7"/>
      <c r="AI143" s="7"/>
      <c r="AJ143" s="9">
        <f t="shared" si="2"/>
        <v>45</v>
      </c>
      <c r="AK143" s="9">
        <f t="shared" si="3"/>
        <v>395</v>
      </c>
      <c r="AL143" s="7" t="str">
        <f t="shared" ref="AL143:AM143" si="145">HLOOKUP(AJ143,{$D143:$AI143;$D$1:$AI$1},2,false)</f>
        <v>Jeff M</v>
      </c>
      <c r="AM143" s="7" t="str">
        <f t="shared" si="145"/>
        <v>Charlene</v>
      </c>
      <c r="AN143" s="7">
        <f t="shared" si="5"/>
        <v>5</v>
      </c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</row>
    <row r="144">
      <c r="A144" s="5">
        <v>44135.0</v>
      </c>
      <c r="B144" s="6" t="s">
        <v>47</v>
      </c>
      <c r="C144" s="8" t="s">
        <v>41</v>
      </c>
      <c r="D144" s="7"/>
      <c r="E144" s="7"/>
      <c r="F144" s="7"/>
      <c r="G144" s="7"/>
      <c r="H144" s="7"/>
      <c r="I144" s="8">
        <v>155.0</v>
      </c>
      <c r="J144" s="8"/>
      <c r="K144" s="8">
        <v>5.0</v>
      </c>
      <c r="L144" s="7"/>
      <c r="M144" s="7"/>
      <c r="N144" s="7"/>
      <c r="O144" s="7"/>
      <c r="P144" s="7"/>
      <c r="Q144" s="7"/>
      <c r="R144" s="7"/>
      <c r="S144" s="7"/>
      <c r="T144" s="7"/>
      <c r="U144" s="8">
        <v>105.0</v>
      </c>
      <c r="V144" s="7"/>
      <c r="W144" s="7"/>
      <c r="X144" s="7"/>
      <c r="Y144" s="8">
        <v>215.0</v>
      </c>
      <c r="Z144" s="7"/>
      <c r="AA144" s="7"/>
      <c r="AB144" s="8">
        <v>550.0</v>
      </c>
      <c r="AC144" s="7"/>
      <c r="AD144" s="7"/>
      <c r="AE144" s="7"/>
      <c r="AF144" s="7"/>
      <c r="AG144" s="7"/>
      <c r="AH144" s="7"/>
      <c r="AI144" s="7"/>
      <c r="AJ144" s="9">
        <f t="shared" si="2"/>
        <v>5</v>
      </c>
      <c r="AK144" s="9">
        <f t="shared" si="3"/>
        <v>550</v>
      </c>
      <c r="AL144" s="7" t="str">
        <f t="shared" ref="AL144:AM144" si="146">HLOOKUP(AJ144,{$D144:$AI144;$D$1:$AI$1},2,false)</f>
        <v>David</v>
      </c>
      <c r="AM144" s="7" t="str">
        <f t="shared" si="146"/>
        <v>Sandy</v>
      </c>
      <c r="AN144" s="7">
        <f t="shared" si="5"/>
        <v>5</v>
      </c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</row>
    <row r="145">
      <c r="A145" s="5">
        <v>44137.0</v>
      </c>
      <c r="B145" s="6" t="s">
        <v>42</v>
      </c>
      <c r="C145" s="7"/>
      <c r="D145" s="7"/>
      <c r="E145" s="7"/>
      <c r="F145" s="7"/>
      <c r="G145" s="7"/>
      <c r="H145" s="7"/>
      <c r="I145" s="8">
        <v>345.0</v>
      </c>
      <c r="J145" s="7"/>
      <c r="K145" s="8">
        <v>255.0</v>
      </c>
      <c r="L145" s="7"/>
      <c r="M145" s="7"/>
      <c r="N145" s="7"/>
      <c r="O145" s="7"/>
      <c r="P145" s="7"/>
      <c r="Q145" s="8">
        <v>360.0</v>
      </c>
      <c r="R145" s="7"/>
      <c r="S145" s="7"/>
      <c r="T145" s="7"/>
      <c r="U145" s="7"/>
      <c r="V145" s="7"/>
      <c r="W145" s="7"/>
      <c r="X145" s="7"/>
      <c r="Y145" s="8">
        <v>310.0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9">
        <f t="shared" si="2"/>
        <v>255</v>
      </c>
      <c r="AK145" s="9">
        <f t="shared" si="3"/>
        <v>360</v>
      </c>
      <c r="AL145" s="7" t="str">
        <f t="shared" ref="AL145:AM145" si="147">HLOOKUP(AJ145,{$D145:$AI145;$D$1:$AI$1},2,false)</f>
        <v>David</v>
      </c>
      <c r="AM145" s="7" t="str">
        <f t="shared" si="147"/>
        <v>Jeff M</v>
      </c>
      <c r="AN145" s="7">
        <f t="shared" si="5"/>
        <v>4</v>
      </c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</row>
    <row r="146">
      <c r="A146" s="5">
        <v>44140.0</v>
      </c>
      <c r="B146" s="6" t="s">
        <v>42</v>
      </c>
      <c r="C146" s="8" t="s">
        <v>41</v>
      </c>
      <c r="D146" s="7"/>
      <c r="E146" s="7"/>
      <c r="F146" s="7"/>
      <c r="G146" s="7"/>
      <c r="H146" s="7"/>
      <c r="I146" s="8">
        <v>115.0</v>
      </c>
      <c r="J146" s="8"/>
      <c r="K146" s="8">
        <v>15.0</v>
      </c>
      <c r="L146" s="7"/>
      <c r="M146" s="7"/>
      <c r="N146" s="7"/>
      <c r="O146" s="7"/>
      <c r="P146" s="7"/>
      <c r="Q146" s="8">
        <v>260.0</v>
      </c>
      <c r="R146" s="7"/>
      <c r="S146" s="7"/>
      <c r="T146" s="7"/>
      <c r="U146" s="7"/>
      <c r="V146" s="7"/>
      <c r="W146" s="7"/>
      <c r="X146" s="7"/>
      <c r="Y146" s="8">
        <v>350.0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9">
        <f t="shared" si="2"/>
        <v>15</v>
      </c>
      <c r="AK146" s="9">
        <f t="shared" si="3"/>
        <v>350</v>
      </c>
      <c r="AL146" s="7" t="str">
        <f t="shared" ref="AL146:AM146" si="148">HLOOKUP(AJ146,{$D146:$AI146;$D$1:$AI$1},2,false)</f>
        <v>David</v>
      </c>
      <c r="AM146" s="7" t="str">
        <f t="shared" si="148"/>
        <v>Nancy</v>
      </c>
      <c r="AN146" s="7">
        <f t="shared" si="5"/>
        <v>4</v>
      </c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</row>
    <row r="147">
      <c r="A147" s="5">
        <v>44142.0</v>
      </c>
      <c r="B147" s="6" t="s">
        <v>42</v>
      </c>
      <c r="C147" s="7"/>
      <c r="D147" s="7"/>
      <c r="E147" s="7"/>
      <c r="F147" s="7"/>
      <c r="G147" s="7"/>
      <c r="H147" s="7"/>
      <c r="I147" s="8">
        <v>590.0</v>
      </c>
      <c r="J147" s="8"/>
      <c r="K147" s="8">
        <v>210.0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8">
        <v>520.0</v>
      </c>
      <c r="Z147" s="7"/>
      <c r="AA147" s="7"/>
      <c r="AB147" s="8">
        <v>80.0</v>
      </c>
      <c r="AC147" s="7"/>
      <c r="AD147" s="7"/>
      <c r="AE147" s="7"/>
      <c r="AF147" s="7"/>
      <c r="AG147" s="7"/>
      <c r="AH147" s="7"/>
      <c r="AI147" s="7"/>
      <c r="AJ147" s="9">
        <f t="shared" si="2"/>
        <v>80</v>
      </c>
      <c r="AK147" s="9">
        <f t="shared" si="3"/>
        <v>590</v>
      </c>
      <c r="AL147" s="7" t="str">
        <f t="shared" ref="AL147:AM147" si="149">HLOOKUP(AJ147,{$D147:$AI147;$D$1:$AI$1},2,false)</f>
        <v>Sandy</v>
      </c>
      <c r="AM147" s="7" t="str">
        <f t="shared" si="149"/>
        <v>Charlene</v>
      </c>
      <c r="AN147" s="7">
        <f t="shared" si="5"/>
        <v>4</v>
      </c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</row>
    <row r="148">
      <c r="A148" s="5">
        <v>44146.0</v>
      </c>
      <c r="B148" s="6" t="s">
        <v>42</v>
      </c>
      <c r="C148" s="7"/>
      <c r="D148" s="7"/>
      <c r="E148" s="7"/>
      <c r="F148" s="7"/>
      <c r="G148" s="7"/>
      <c r="H148" s="7"/>
      <c r="I148" s="8">
        <v>250.0</v>
      </c>
      <c r="J148" s="7"/>
      <c r="K148" s="8">
        <v>75.0</v>
      </c>
      <c r="L148" s="7"/>
      <c r="M148" s="7"/>
      <c r="N148" s="7"/>
      <c r="O148" s="7"/>
      <c r="P148" s="7"/>
      <c r="Q148" s="8">
        <v>335.0</v>
      </c>
      <c r="R148" s="7"/>
      <c r="S148" s="7"/>
      <c r="T148" s="7"/>
      <c r="U148" s="7"/>
      <c r="V148" s="7"/>
      <c r="W148" s="7"/>
      <c r="X148" s="7"/>
      <c r="Y148" s="8">
        <v>150.0</v>
      </c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9">
        <f t="shared" si="2"/>
        <v>75</v>
      </c>
      <c r="AK148" s="9">
        <f t="shared" si="3"/>
        <v>335</v>
      </c>
      <c r="AL148" s="7" t="str">
        <f t="shared" ref="AL148:AM148" si="150">HLOOKUP(AJ148,{$D148:$AI148;$D$1:$AI$1},2,false)</f>
        <v>David</v>
      </c>
      <c r="AM148" s="7" t="str">
        <f t="shared" si="150"/>
        <v>Jeff M</v>
      </c>
      <c r="AN148" s="7">
        <f t="shared" si="5"/>
        <v>4</v>
      </c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</row>
    <row r="149">
      <c r="A149" s="5">
        <v>44148.0</v>
      </c>
      <c r="B149" s="6" t="s">
        <v>40</v>
      </c>
      <c r="C149" s="7"/>
      <c r="D149" s="7"/>
      <c r="E149" s="7"/>
      <c r="F149" s="7"/>
      <c r="G149" s="7"/>
      <c r="H149" s="7"/>
      <c r="I149" s="7"/>
      <c r="J149" s="7"/>
      <c r="K149" s="8">
        <v>515.0</v>
      </c>
      <c r="L149" s="8">
        <v>200.0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8">
        <v>420.0</v>
      </c>
      <c r="Z149" s="7"/>
      <c r="AA149" s="8">
        <v>40.0</v>
      </c>
      <c r="AB149" s="7"/>
      <c r="AC149" s="7"/>
      <c r="AD149" s="7"/>
      <c r="AE149" s="7"/>
      <c r="AF149" s="7"/>
      <c r="AG149" s="7"/>
      <c r="AH149" s="7"/>
      <c r="AI149" s="7"/>
      <c r="AJ149" s="9">
        <f t="shared" si="2"/>
        <v>40</v>
      </c>
      <c r="AK149" s="9">
        <f t="shared" si="3"/>
        <v>515</v>
      </c>
      <c r="AL149" s="7" t="str">
        <f t="shared" ref="AL149:AM149" si="151">HLOOKUP(AJ149,{$D149:$AI149;$D$1:$AI$1},2,false)</f>
        <v>Sally</v>
      </c>
      <c r="AM149" s="7" t="str">
        <f t="shared" si="151"/>
        <v>David</v>
      </c>
      <c r="AN149" s="7">
        <f t="shared" si="5"/>
        <v>4</v>
      </c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</row>
    <row r="150">
      <c r="A150" s="5">
        <v>44151.0</v>
      </c>
      <c r="B150" s="6" t="s">
        <v>40</v>
      </c>
      <c r="C150" s="8" t="s">
        <v>41</v>
      </c>
      <c r="D150" s="7"/>
      <c r="E150" s="7"/>
      <c r="F150" s="7"/>
      <c r="G150" s="7"/>
      <c r="H150" s="7"/>
      <c r="I150" s="7"/>
      <c r="J150" s="7"/>
      <c r="K150" s="8">
        <v>385.0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8">
        <v>150.0</v>
      </c>
      <c r="W150" s="7"/>
      <c r="X150" s="7"/>
      <c r="Y150" s="8">
        <v>105.0</v>
      </c>
      <c r="Z150" s="7"/>
      <c r="AA150" s="8">
        <v>565.0</v>
      </c>
      <c r="AB150" s="7"/>
      <c r="AC150" s="8">
        <v>60.0</v>
      </c>
      <c r="AD150" s="8"/>
      <c r="AE150" s="7"/>
      <c r="AF150" s="7"/>
      <c r="AG150" s="7"/>
      <c r="AH150" s="7"/>
      <c r="AI150" s="7"/>
      <c r="AJ150" s="9">
        <f t="shared" si="2"/>
        <v>60</v>
      </c>
      <c r="AK150" s="9">
        <f t="shared" si="3"/>
        <v>565</v>
      </c>
      <c r="AL150" s="7" t="str">
        <f t="shared" ref="AL150:AM150" si="152">HLOOKUP(AJ150,{$D150:$AI150;$D$1:$AI$1},2,false)</f>
        <v>Sara</v>
      </c>
      <c r="AM150" s="7" t="str">
        <f t="shared" si="152"/>
        <v>Sally</v>
      </c>
      <c r="AN150" s="7">
        <f t="shared" si="5"/>
        <v>5</v>
      </c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</row>
    <row r="151">
      <c r="A151" s="5">
        <v>44156.0</v>
      </c>
      <c r="B151" s="6" t="s">
        <v>48</v>
      </c>
      <c r="C151" s="7"/>
      <c r="D151" s="7"/>
      <c r="E151" s="7"/>
      <c r="F151" s="7"/>
      <c r="G151" s="7"/>
      <c r="H151" s="7"/>
      <c r="I151" s="8">
        <v>245.0</v>
      </c>
      <c r="J151" s="7"/>
      <c r="K151" s="8">
        <v>615.0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8">
        <v>560.0</v>
      </c>
      <c r="Z151" s="7"/>
      <c r="AA151" s="7"/>
      <c r="AB151" s="8">
        <v>480.0</v>
      </c>
      <c r="AC151" s="7"/>
      <c r="AD151" s="7"/>
      <c r="AE151" s="7"/>
      <c r="AF151" s="7"/>
      <c r="AG151" s="7"/>
      <c r="AH151" s="7"/>
      <c r="AI151" s="7"/>
      <c r="AJ151" s="9">
        <f t="shared" si="2"/>
        <v>245</v>
      </c>
      <c r="AK151" s="9">
        <f t="shared" si="3"/>
        <v>615</v>
      </c>
      <c r="AL151" s="7" t="str">
        <f t="shared" ref="AL151:AM151" si="153">HLOOKUP(AJ151,{$D151:$AI151;$D$1:$AI$1},2,false)</f>
        <v>Charlene</v>
      </c>
      <c r="AM151" s="7" t="str">
        <f t="shared" si="153"/>
        <v>David</v>
      </c>
      <c r="AN151" s="7">
        <f t="shared" si="5"/>
        <v>4</v>
      </c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</row>
    <row r="152">
      <c r="A152" s="5">
        <v>44158.0</v>
      </c>
      <c r="B152" s="6" t="s">
        <v>40</v>
      </c>
      <c r="C152" s="7"/>
      <c r="D152" s="7"/>
      <c r="E152" s="7"/>
      <c r="F152" s="7"/>
      <c r="G152" s="7"/>
      <c r="H152" s="7"/>
      <c r="I152" s="8">
        <v>310.0</v>
      </c>
      <c r="J152" s="7"/>
      <c r="K152" s="8">
        <v>455.0</v>
      </c>
      <c r="L152" s="7"/>
      <c r="M152" s="7"/>
      <c r="N152" s="7"/>
      <c r="O152" s="7"/>
      <c r="P152" s="7"/>
      <c r="Q152" s="8">
        <v>705.0</v>
      </c>
      <c r="R152" s="7"/>
      <c r="S152" s="7"/>
      <c r="T152" s="7"/>
      <c r="U152" s="7"/>
      <c r="V152" s="7"/>
      <c r="W152" s="7"/>
      <c r="X152" s="7"/>
      <c r="Y152" s="8">
        <v>575.0</v>
      </c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9">
        <f t="shared" si="2"/>
        <v>310</v>
      </c>
      <c r="AK152" s="9">
        <f t="shared" si="3"/>
        <v>705</v>
      </c>
      <c r="AL152" s="7" t="str">
        <f t="shared" ref="AL152:AM152" si="154">HLOOKUP(AJ152,{$D152:$AI152;$D$1:$AI$1},2,false)</f>
        <v>Charlene</v>
      </c>
      <c r="AM152" s="7" t="str">
        <f t="shared" si="154"/>
        <v>Jeff M</v>
      </c>
      <c r="AN152" s="7">
        <f t="shared" si="5"/>
        <v>4</v>
      </c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</row>
    <row r="153">
      <c r="A153" s="5">
        <v>44164.0</v>
      </c>
      <c r="B153" s="6" t="s">
        <v>42</v>
      </c>
      <c r="C153" s="7"/>
      <c r="D153" s="7"/>
      <c r="E153" s="7"/>
      <c r="F153" s="7"/>
      <c r="G153" s="7"/>
      <c r="H153" s="7"/>
      <c r="I153" s="8">
        <v>170.0</v>
      </c>
      <c r="J153" s="7"/>
      <c r="K153" s="7"/>
      <c r="L153" s="7"/>
      <c r="M153" s="7"/>
      <c r="N153" s="7"/>
      <c r="O153" s="7"/>
      <c r="P153" s="7"/>
      <c r="Q153" s="8">
        <v>225.0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8">
        <v>375.0</v>
      </c>
      <c r="AC153" s="7"/>
      <c r="AD153" s="7"/>
      <c r="AE153" s="7"/>
      <c r="AF153" s="7"/>
      <c r="AG153" s="7"/>
      <c r="AH153" s="7"/>
      <c r="AI153" s="7"/>
      <c r="AJ153" s="9">
        <f t="shared" si="2"/>
        <v>170</v>
      </c>
      <c r="AK153" s="9">
        <f t="shared" si="3"/>
        <v>375</v>
      </c>
      <c r="AL153" s="7" t="str">
        <f t="shared" ref="AL153:AM153" si="155">HLOOKUP(AJ153,{$D153:$AI153;$D$1:$AI$1},2,false)</f>
        <v>Charlene</v>
      </c>
      <c r="AM153" s="7" t="str">
        <f t="shared" si="155"/>
        <v>Sandy</v>
      </c>
      <c r="AN153" s="7">
        <f t="shared" si="5"/>
        <v>3</v>
      </c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</row>
    <row r="154">
      <c r="A154" s="5">
        <v>44170.0</v>
      </c>
      <c r="B154" s="6" t="s">
        <v>42</v>
      </c>
      <c r="C154" s="7"/>
      <c r="D154" s="7"/>
      <c r="E154" s="7"/>
      <c r="F154" s="7"/>
      <c r="G154" s="7"/>
      <c r="H154" s="7"/>
      <c r="I154" s="8">
        <v>295.0</v>
      </c>
      <c r="J154" s="7"/>
      <c r="K154" s="8">
        <v>350.0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8">
        <v>385.0</v>
      </c>
      <c r="Z154" s="7"/>
      <c r="AA154" s="7"/>
      <c r="AB154" s="8">
        <v>565.0</v>
      </c>
      <c r="AC154" s="7"/>
      <c r="AD154" s="7"/>
      <c r="AE154" s="7"/>
      <c r="AF154" s="7"/>
      <c r="AG154" s="7"/>
      <c r="AH154" s="7"/>
      <c r="AI154" s="7"/>
      <c r="AJ154" s="9">
        <f t="shared" si="2"/>
        <v>295</v>
      </c>
      <c r="AK154" s="9">
        <f t="shared" si="3"/>
        <v>565</v>
      </c>
      <c r="AL154" s="7" t="str">
        <f t="shared" ref="AL154:AM154" si="156">HLOOKUP(AJ154,{$D154:$AI154;$D$1:$AI$1},2,false)</f>
        <v>Charlene</v>
      </c>
      <c r="AM154" s="7" t="str">
        <f t="shared" si="156"/>
        <v>Sandy</v>
      </c>
      <c r="AN154" s="7">
        <f t="shared" si="5"/>
        <v>4</v>
      </c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</row>
    <row r="155">
      <c r="A155" s="5">
        <v>44170.0</v>
      </c>
      <c r="B155" s="6" t="s">
        <v>42</v>
      </c>
      <c r="C155" s="7"/>
      <c r="D155" s="7"/>
      <c r="E155" s="7"/>
      <c r="F155" s="7"/>
      <c r="G155" s="7"/>
      <c r="H155" s="7"/>
      <c r="I155" s="8">
        <v>205.0</v>
      </c>
      <c r="J155" s="7"/>
      <c r="K155" s="8">
        <v>675.0</v>
      </c>
      <c r="L155" s="7"/>
      <c r="M155" s="7"/>
      <c r="N155" s="7"/>
      <c r="O155" s="7"/>
      <c r="P155" s="7"/>
      <c r="Q155" s="8">
        <v>365.0</v>
      </c>
      <c r="R155" s="7"/>
      <c r="S155" s="7"/>
      <c r="T155" s="7"/>
      <c r="U155" s="7"/>
      <c r="V155" s="7"/>
      <c r="W155" s="7"/>
      <c r="X155" s="7"/>
      <c r="Y155" s="8">
        <v>270.0</v>
      </c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9">
        <f t="shared" si="2"/>
        <v>205</v>
      </c>
      <c r="AK155" s="9">
        <f t="shared" si="3"/>
        <v>675</v>
      </c>
      <c r="AL155" s="7" t="str">
        <f t="shared" ref="AL155:AM155" si="157">HLOOKUP(AJ155,{$D155:$AI155;$D$1:$AI$1},2,false)</f>
        <v>Charlene</v>
      </c>
      <c r="AM155" s="7" t="str">
        <f t="shared" si="157"/>
        <v>David</v>
      </c>
      <c r="AN155" s="7">
        <f t="shared" si="5"/>
        <v>4</v>
      </c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</row>
    <row r="156">
      <c r="A156" s="5">
        <v>44173.0</v>
      </c>
      <c r="B156" s="6" t="s">
        <v>40</v>
      </c>
      <c r="C156" s="7"/>
      <c r="D156" s="7"/>
      <c r="E156" s="7"/>
      <c r="F156" s="7"/>
      <c r="G156" s="7"/>
      <c r="H156" s="7"/>
      <c r="I156" s="8">
        <v>445.0</v>
      </c>
      <c r="J156" s="8"/>
      <c r="K156" s="8">
        <v>945.0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8">
        <v>420.0</v>
      </c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9">
        <f t="shared" si="2"/>
        <v>420</v>
      </c>
      <c r="AK156" s="9">
        <f t="shared" si="3"/>
        <v>945</v>
      </c>
      <c r="AL156" s="7" t="str">
        <f t="shared" ref="AL156:AM156" si="158">HLOOKUP(AJ156,{$D156:$AI156;$D$1:$AI$1},2,false)</f>
        <v>Nancy</v>
      </c>
      <c r="AM156" s="7" t="str">
        <f t="shared" si="158"/>
        <v>David</v>
      </c>
      <c r="AN156" s="7">
        <f t="shared" si="5"/>
        <v>3</v>
      </c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</row>
    <row r="157">
      <c r="A157" s="5">
        <v>44175.0</v>
      </c>
      <c r="B157" s="6" t="s">
        <v>42</v>
      </c>
      <c r="C157" s="7"/>
      <c r="D157" s="7"/>
      <c r="E157" s="7"/>
      <c r="F157" s="7"/>
      <c r="G157" s="7"/>
      <c r="H157" s="7"/>
      <c r="I157" s="8">
        <v>360.0</v>
      </c>
      <c r="J157" s="7"/>
      <c r="K157" s="8">
        <v>215.0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8">
        <v>215.0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9">
        <f t="shared" si="2"/>
        <v>215</v>
      </c>
      <c r="AK157" s="9">
        <f t="shared" si="3"/>
        <v>360</v>
      </c>
      <c r="AL157" s="7" t="str">
        <f t="shared" ref="AL157:AM157" si="159">HLOOKUP(AJ157,{$D157:$AI157;$D$1:$AI$1},2,false)</f>
        <v>David</v>
      </c>
      <c r="AM157" s="7" t="str">
        <f t="shared" si="159"/>
        <v>Charlene</v>
      </c>
      <c r="AN157" s="7">
        <f t="shared" si="5"/>
        <v>3</v>
      </c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</row>
    <row r="158">
      <c r="A158" s="5">
        <v>44176.0</v>
      </c>
      <c r="B158" s="6" t="s">
        <v>40</v>
      </c>
      <c r="C158" s="8" t="s">
        <v>41</v>
      </c>
      <c r="D158" s="7"/>
      <c r="E158" s="7"/>
      <c r="F158" s="7"/>
      <c r="G158" s="7"/>
      <c r="H158" s="7"/>
      <c r="I158" s="7"/>
      <c r="J158" s="8"/>
      <c r="K158" s="8">
        <v>140.0</v>
      </c>
      <c r="L158" s="8">
        <v>295.0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8">
        <v>140.0</v>
      </c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9">
        <f t="shared" si="2"/>
        <v>140</v>
      </c>
      <c r="AK158" s="9">
        <f t="shared" si="3"/>
        <v>295</v>
      </c>
      <c r="AL158" s="7" t="str">
        <f t="shared" ref="AL158:AM158" si="160">HLOOKUP(AJ158,{$D158:$AI158;$D$1:$AI$1},2,false)</f>
        <v>David</v>
      </c>
      <c r="AM158" s="7" t="str">
        <f t="shared" si="160"/>
        <v>Debby</v>
      </c>
      <c r="AN158" s="7">
        <f t="shared" si="5"/>
        <v>3</v>
      </c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</row>
    <row r="159">
      <c r="A159" s="5">
        <v>44183.0</v>
      </c>
      <c r="B159" s="6" t="s">
        <v>42</v>
      </c>
      <c r="C159" s="8" t="s">
        <v>41</v>
      </c>
      <c r="D159" s="7"/>
      <c r="E159" s="7"/>
      <c r="F159" s="7"/>
      <c r="G159" s="7"/>
      <c r="H159" s="7"/>
      <c r="I159" s="8">
        <v>220.0</v>
      </c>
      <c r="J159" s="7"/>
      <c r="K159" s="8">
        <v>320.0</v>
      </c>
      <c r="L159" s="7"/>
      <c r="M159" s="7"/>
      <c r="N159" s="7"/>
      <c r="O159" s="7"/>
      <c r="P159" s="7"/>
      <c r="Q159" s="8">
        <v>665.0</v>
      </c>
      <c r="R159" s="7"/>
      <c r="S159" s="7"/>
      <c r="T159" s="7"/>
      <c r="U159" s="7"/>
      <c r="V159" s="7"/>
      <c r="W159" s="7"/>
      <c r="X159" s="7"/>
      <c r="Y159" s="8">
        <v>300.0</v>
      </c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9">
        <f t="shared" si="2"/>
        <v>220</v>
      </c>
      <c r="AK159" s="9">
        <f t="shared" si="3"/>
        <v>665</v>
      </c>
      <c r="AL159" s="7" t="str">
        <f t="shared" ref="AL159:AM159" si="161">HLOOKUP(AJ159,{$D159:$AI159;$D$1:$AI$1},2,false)</f>
        <v>Charlene</v>
      </c>
      <c r="AM159" s="7" t="str">
        <f t="shared" si="161"/>
        <v>Jeff M</v>
      </c>
      <c r="AN159" s="7">
        <f t="shared" si="5"/>
        <v>4</v>
      </c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</row>
    <row r="160">
      <c r="A160" s="5">
        <v>44186.0</v>
      </c>
      <c r="B160" s="6" t="s">
        <v>44</v>
      </c>
      <c r="C160" s="8" t="s">
        <v>41</v>
      </c>
      <c r="D160" s="7"/>
      <c r="E160" s="7"/>
      <c r="F160" s="7"/>
      <c r="G160" s="7"/>
      <c r="H160" s="7"/>
      <c r="I160" s="8"/>
      <c r="J160" s="7"/>
      <c r="K160" s="8">
        <v>115.0</v>
      </c>
      <c r="L160" s="7"/>
      <c r="M160" s="7"/>
      <c r="N160" s="7"/>
      <c r="O160" s="7"/>
      <c r="P160" s="7"/>
      <c r="Q160" s="8"/>
      <c r="R160" s="7"/>
      <c r="S160" s="7"/>
      <c r="T160" s="7"/>
      <c r="U160" s="7"/>
      <c r="V160" s="8">
        <v>280.0</v>
      </c>
      <c r="W160" s="7"/>
      <c r="X160" s="7"/>
      <c r="Y160" s="8">
        <v>245.0</v>
      </c>
      <c r="Z160" s="7"/>
      <c r="AA160" s="8">
        <v>250.0</v>
      </c>
      <c r="AB160" s="7"/>
      <c r="AC160" s="8">
        <v>180.0</v>
      </c>
      <c r="AD160" s="8"/>
      <c r="AE160" s="7"/>
      <c r="AF160" s="7"/>
      <c r="AG160" s="7"/>
      <c r="AH160" s="7"/>
      <c r="AI160" s="7"/>
      <c r="AJ160" s="9">
        <f t="shared" si="2"/>
        <v>115</v>
      </c>
      <c r="AK160" s="9">
        <f t="shared" si="3"/>
        <v>280</v>
      </c>
      <c r="AL160" s="7" t="str">
        <f t="shared" ref="AL160:AM160" si="162">HLOOKUP(AJ160,{$D160:$AI160;$D$1:$AI$1},2,false)</f>
        <v>David</v>
      </c>
      <c r="AM160" s="7" t="str">
        <f t="shared" si="162"/>
        <v>Karen</v>
      </c>
      <c r="AN160" s="7">
        <f t="shared" si="5"/>
        <v>5</v>
      </c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</row>
    <row r="161">
      <c r="A161" s="5">
        <v>44187.0</v>
      </c>
      <c r="B161" s="6" t="s">
        <v>44</v>
      </c>
      <c r="C161" s="7"/>
      <c r="D161" s="7"/>
      <c r="E161" s="7"/>
      <c r="F161" s="7"/>
      <c r="G161" s="7"/>
      <c r="H161" s="7"/>
      <c r="I161" s="8"/>
      <c r="J161" s="7"/>
      <c r="K161" s="8"/>
      <c r="L161" s="7"/>
      <c r="M161" s="7"/>
      <c r="N161" s="7"/>
      <c r="O161" s="7"/>
      <c r="P161" s="7"/>
      <c r="Q161" s="8"/>
      <c r="R161" s="7"/>
      <c r="S161" s="7"/>
      <c r="T161" s="7"/>
      <c r="U161" s="7"/>
      <c r="V161" s="7"/>
      <c r="W161" s="7"/>
      <c r="X161" s="7"/>
      <c r="Y161" s="8"/>
      <c r="Z161" s="7"/>
      <c r="AA161" s="8">
        <v>120.0</v>
      </c>
      <c r="AB161" s="7"/>
      <c r="AC161" s="8">
        <v>65.0</v>
      </c>
      <c r="AD161" s="8"/>
      <c r="AE161" s="7"/>
      <c r="AF161" s="8">
        <v>75.0</v>
      </c>
      <c r="AG161" s="8"/>
      <c r="AH161" s="7"/>
      <c r="AI161" s="7"/>
      <c r="AJ161" s="9">
        <f t="shared" si="2"/>
        <v>65</v>
      </c>
      <c r="AK161" s="9">
        <f t="shared" si="3"/>
        <v>120</v>
      </c>
      <c r="AL161" s="7" t="str">
        <f t="shared" ref="AL161:AM161" si="163">HLOOKUP(AJ161,{$D161:$AI161;$D$1:$AI$1},2,false)</f>
        <v>Sara</v>
      </c>
      <c r="AM161" s="7" t="str">
        <f t="shared" si="163"/>
        <v>Sally</v>
      </c>
      <c r="AN161" s="7">
        <f t="shared" si="5"/>
        <v>3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</row>
    <row r="162">
      <c r="A162" s="5">
        <v>44200.0</v>
      </c>
      <c r="B162" s="6" t="s">
        <v>42</v>
      </c>
      <c r="C162" s="7"/>
      <c r="D162" s="7"/>
      <c r="E162" s="7"/>
      <c r="F162" s="7"/>
      <c r="G162" s="7"/>
      <c r="H162" s="7"/>
      <c r="I162" s="8">
        <v>895.0</v>
      </c>
      <c r="J162" s="7"/>
      <c r="K162" s="8">
        <v>470.0</v>
      </c>
      <c r="L162" s="7"/>
      <c r="M162" s="7"/>
      <c r="N162" s="7"/>
      <c r="O162" s="7"/>
      <c r="P162" s="7"/>
      <c r="Q162" s="8">
        <v>425.0</v>
      </c>
      <c r="R162" s="7"/>
      <c r="S162" s="7"/>
      <c r="T162" s="7"/>
      <c r="U162" s="7"/>
      <c r="V162" s="7"/>
      <c r="W162" s="7"/>
      <c r="X162" s="7"/>
      <c r="Y162" s="8">
        <v>480.0</v>
      </c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9">
        <f t="shared" si="2"/>
        <v>425</v>
      </c>
      <c r="AK162" s="9">
        <f t="shared" si="3"/>
        <v>895</v>
      </c>
      <c r="AL162" s="7" t="str">
        <f t="shared" ref="AL162:AM162" si="164">HLOOKUP(AJ162,{$D162:$AI162;$D$1:$AI$1},2,false)</f>
        <v>Jeff M</v>
      </c>
      <c r="AM162" s="7" t="str">
        <f t="shared" si="164"/>
        <v>Charlene</v>
      </c>
      <c r="AN162" s="7">
        <f t="shared" si="5"/>
        <v>4</v>
      </c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</row>
    <row r="163">
      <c r="A163" s="5">
        <v>44203.0</v>
      </c>
      <c r="B163" s="6" t="s">
        <v>44</v>
      </c>
      <c r="C163" s="7"/>
      <c r="D163" s="7"/>
      <c r="E163" s="7"/>
      <c r="F163" s="7"/>
      <c r="G163" s="7"/>
      <c r="H163" s="7"/>
      <c r="I163" s="8"/>
      <c r="J163" s="7"/>
      <c r="K163" s="8"/>
      <c r="L163" s="7"/>
      <c r="M163" s="7"/>
      <c r="N163" s="7"/>
      <c r="O163" s="7"/>
      <c r="P163" s="7"/>
      <c r="Q163" s="8"/>
      <c r="R163" s="7"/>
      <c r="S163" s="7"/>
      <c r="T163" s="7"/>
      <c r="U163" s="7"/>
      <c r="V163" s="8">
        <v>235.0</v>
      </c>
      <c r="W163" s="7"/>
      <c r="X163" s="7"/>
      <c r="Y163" s="8">
        <v>430.0</v>
      </c>
      <c r="Z163" s="7"/>
      <c r="AA163" s="8">
        <v>380.0</v>
      </c>
      <c r="AB163" s="7"/>
      <c r="AC163" s="7"/>
      <c r="AD163" s="7"/>
      <c r="AE163" s="7"/>
      <c r="AF163" s="8">
        <v>1070.0</v>
      </c>
      <c r="AG163" s="8"/>
      <c r="AH163" s="7"/>
      <c r="AI163" s="7"/>
      <c r="AJ163" s="9">
        <f t="shared" si="2"/>
        <v>235</v>
      </c>
      <c r="AK163" s="9">
        <f t="shared" si="3"/>
        <v>1070</v>
      </c>
      <c r="AL163" s="7" t="str">
        <f t="shared" ref="AL163:AM163" si="165">HLOOKUP(AJ163,{$D163:$AI163;$D$1:$AI$1},2,false)</f>
        <v>Karen</v>
      </c>
      <c r="AM163" s="7" t="str">
        <f t="shared" si="165"/>
        <v>Susan</v>
      </c>
      <c r="AN163" s="7">
        <f t="shared" si="5"/>
        <v>4</v>
      </c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</row>
    <row r="164">
      <c r="A164" s="5">
        <v>44204.0</v>
      </c>
      <c r="B164" s="6" t="s">
        <v>44</v>
      </c>
      <c r="C164" s="7"/>
      <c r="D164" s="7"/>
      <c r="E164" s="7"/>
      <c r="F164" s="7"/>
      <c r="G164" s="7"/>
      <c r="H164" s="7"/>
      <c r="I164" s="8"/>
      <c r="J164" s="7"/>
      <c r="K164" s="8"/>
      <c r="L164" s="7"/>
      <c r="M164" s="7"/>
      <c r="N164" s="7"/>
      <c r="O164" s="7"/>
      <c r="P164" s="7"/>
      <c r="Q164" s="8"/>
      <c r="R164" s="7"/>
      <c r="S164" s="7"/>
      <c r="T164" s="7"/>
      <c r="U164" s="7"/>
      <c r="V164" s="8">
        <v>170.0</v>
      </c>
      <c r="W164" s="7"/>
      <c r="X164" s="7"/>
      <c r="Y164" s="8">
        <v>290.0</v>
      </c>
      <c r="Z164" s="7"/>
      <c r="AA164" s="8">
        <v>480.0</v>
      </c>
      <c r="AB164" s="7"/>
      <c r="AC164" s="7"/>
      <c r="AD164" s="7"/>
      <c r="AE164" s="7"/>
      <c r="AF164" s="8">
        <v>730.0</v>
      </c>
      <c r="AG164" s="8"/>
      <c r="AH164" s="7"/>
      <c r="AI164" s="7"/>
      <c r="AJ164" s="9">
        <f t="shared" si="2"/>
        <v>170</v>
      </c>
      <c r="AK164" s="9">
        <f t="shared" si="3"/>
        <v>730</v>
      </c>
      <c r="AL164" s="7" t="str">
        <f t="shared" ref="AL164:AM164" si="166">HLOOKUP(AJ164,{$D164:$AI164;$D$1:$AI$1},2,false)</f>
        <v>Karen</v>
      </c>
      <c r="AM164" s="7" t="str">
        <f t="shared" si="166"/>
        <v>Susan</v>
      </c>
      <c r="AN164" s="7">
        <f t="shared" si="5"/>
        <v>4</v>
      </c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</row>
    <row r="165">
      <c r="A165" s="5">
        <v>44205.0</v>
      </c>
      <c r="B165" s="6" t="s">
        <v>44</v>
      </c>
      <c r="C165" s="7"/>
      <c r="D165" s="7"/>
      <c r="E165" s="7"/>
      <c r="F165" s="7"/>
      <c r="G165" s="7"/>
      <c r="H165" s="7"/>
      <c r="I165" s="8"/>
      <c r="J165" s="7"/>
      <c r="K165" s="8"/>
      <c r="L165" s="7"/>
      <c r="M165" s="7"/>
      <c r="N165" s="7"/>
      <c r="O165" s="7"/>
      <c r="P165" s="7"/>
      <c r="Q165" s="8"/>
      <c r="R165" s="7"/>
      <c r="S165" s="7"/>
      <c r="T165" s="7"/>
      <c r="U165" s="7"/>
      <c r="V165" s="8">
        <v>295.0</v>
      </c>
      <c r="W165" s="7"/>
      <c r="X165" s="7"/>
      <c r="Y165" s="8">
        <v>180.0</v>
      </c>
      <c r="Z165" s="7"/>
      <c r="AA165" s="8">
        <v>660.0</v>
      </c>
      <c r="AB165" s="7"/>
      <c r="AC165" s="7"/>
      <c r="AD165" s="7"/>
      <c r="AE165" s="7"/>
      <c r="AF165" s="8">
        <v>410.0</v>
      </c>
      <c r="AG165" s="8"/>
      <c r="AH165" s="7"/>
      <c r="AI165" s="7"/>
      <c r="AJ165" s="9">
        <f t="shared" si="2"/>
        <v>180</v>
      </c>
      <c r="AK165" s="9">
        <f t="shared" si="3"/>
        <v>660</v>
      </c>
      <c r="AL165" s="7" t="str">
        <f t="shared" ref="AL165:AM165" si="167">HLOOKUP(AJ165,{$D165:$AI165;$D$1:$AI$1},2,false)</f>
        <v>Nancy</v>
      </c>
      <c r="AM165" s="7" t="str">
        <f t="shared" si="167"/>
        <v>Sally</v>
      </c>
      <c r="AN165" s="7">
        <f t="shared" si="5"/>
        <v>4</v>
      </c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</row>
    <row r="166">
      <c r="A166" s="5">
        <v>44206.0</v>
      </c>
      <c r="B166" s="6" t="s">
        <v>42</v>
      </c>
      <c r="C166" s="7"/>
      <c r="D166" s="7"/>
      <c r="E166" s="7"/>
      <c r="F166" s="7"/>
      <c r="G166" s="7"/>
      <c r="H166" s="7"/>
      <c r="I166" s="8">
        <v>535.0</v>
      </c>
      <c r="J166" s="8"/>
      <c r="K166" s="8">
        <v>475.0</v>
      </c>
      <c r="L166" s="7"/>
      <c r="M166" s="7"/>
      <c r="N166" s="7"/>
      <c r="O166" s="7"/>
      <c r="P166" s="7"/>
      <c r="Q166" s="8">
        <v>695.0</v>
      </c>
      <c r="R166" s="7"/>
      <c r="S166" s="7"/>
      <c r="T166" s="7"/>
      <c r="U166" s="7"/>
      <c r="V166" s="7"/>
      <c r="W166" s="7"/>
      <c r="X166" s="7"/>
      <c r="Y166" s="8">
        <v>925.0</v>
      </c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9">
        <f t="shared" si="2"/>
        <v>475</v>
      </c>
      <c r="AK166" s="9">
        <f t="shared" si="3"/>
        <v>925</v>
      </c>
      <c r="AL166" s="7" t="str">
        <f t="shared" ref="AL166:AM166" si="168">HLOOKUP(AJ166,{$D166:$AI166;$D$1:$AI$1},2,false)</f>
        <v>David</v>
      </c>
      <c r="AM166" s="7" t="str">
        <f t="shared" si="168"/>
        <v>Nancy</v>
      </c>
      <c r="AN166" s="7">
        <f t="shared" si="5"/>
        <v>4</v>
      </c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</row>
    <row r="167">
      <c r="A167" s="5">
        <v>44210.0</v>
      </c>
      <c r="B167" s="6" t="s">
        <v>40</v>
      </c>
      <c r="C167" s="7"/>
      <c r="D167" s="7"/>
      <c r="E167" s="7"/>
      <c r="F167" s="7"/>
      <c r="G167" s="7"/>
      <c r="H167" s="7"/>
      <c r="I167" s="7"/>
      <c r="J167" s="8"/>
      <c r="K167" s="8">
        <v>390.0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8">
        <v>695.0</v>
      </c>
      <c r="Z167" s="7"/>
      <c r="AA167" s="7"/>
      <c r="AB167" s="7"/>
      <c r="AC167" s="8">
        <v>90.0</v>
      </c>
      <c r="AD167" s="8"/>
      <c r="AE167" s="7"/>
      <c r="AF167" s="7"/>
      <c r="AG167" s="7"/>
      <c r="AH167" s="7"/>
      <c r="AI167" s="7"/>
      <c r="AJ167" s="9">
        <f t="shared" si="2"/>
        <v>90</v>
      </c>
      <c r="AK167" s="9">
        <f t="shared" si="3"/>
        <v>695</v>
      </c>
      <c r="AL167" s="7" t="str">
        <f t="shared" ref="AL167:AM167" si="169">HLOOKUP(AJ167,{$D167:$AI167;$D$1:$AI$1},2,false)</f>
        <v>Sara</v>
      </c>
      <c r="AM167" s="7" t="str">
        <f t="shared" si="169"/>
        <v>Nancy</v>
      </c>
      <c r="AN167" s="7">
        <f t="shared" si="5"/>
        <v>3</v>
      </c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</row>
    <row r="168">
      <c r="A168" s="5">
        <v>44224.0</v>
      </c>
      <c r="B168" s="6" t="s">
        <v>44</v>
      </c>
      <c r="C168" s="7"/>
      <c r="D168" s="7"/>
      <c r="E168" s="7"/>
      <c r="F168" s="7"/>
      <c r="G168" s="7"/>
      <c r="H168" s="7"/>
      <c r="I168" s="7"/>
      <c r="J168" s="8"/>
      <c r="K168" s="8">
        <v>510.0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8">
        <v>190.0</v>
      </c>
      <c r="Z168" s="7"/>
      <c r="AA168" s="8">
        <v>855.0</v>
      </c>
      <c r="AB168" s="7"/>
      <c r="AC168" s="8"/>
      <c r="AD168" s="8"/>
      <c r="AE168" s="7"/>
      <c r="AF168" s="8">
        <v>230.0</v>
      </c>
      <c r="AG168" s="8"/>
      <c r="AH168" s="7"/>
      <c r="AI168" s="7"/>
      <c r="AJ168" s="9">
        <f t="shared" si="2"/>
        <v>190</v>
      </c>
      <c r="AK168" s="9">
        <f t="shared" si="3"/>
        <v>855</v>
      </c>
      <c r="AL168" s="7" t="str">
        <f t="shared" ref="AL168:AM168" si="170">HLOOKUP(AJ168,{$D168:$AI168;$D$1:$AI$1},2,false)</f>
        <v>Nancy</v>
      </c>
      <c r="AM168" s="7" t="str">
        <f t="shared" si="170"/>
        <v>Sally</v>
      </c>
      <c r="AN168" s="7">
        <f t="shared" si="5"/>
        <v>4</v>
      </c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</row>
    <row r="169">
      <c r="A169" s="5">
        <v>44225.0</v>
      </c>
      <c r="B169" s="6" t="s">
        <v>44</v>
      </c>
      <c r="C169" s="7"/>
      <c r="D169" s="7"/>
      <c r="E169" s="7"/>
      <c r="F169" s="7"/>
      <c r="G169" s="7"/>
      <c r="H169" s="7"/>
      <c r="I169" s="7"/>
      <c r="J169" s="8"/>
      <c r="K169" s="8">
        <v>395.0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8">
        <v>320.0</v>
      </c>
      <c r="Z169" s="7"/>
      <c r="AA169" s="8">
        <v>555.0</v>
      </c>
      <c r="AB169" s="7"/>
      <c r="AC169" s="8"/>
      <c r="AD169" s="8"/>
      <c r="AE169" s="7"/>
      <c r="AF169" s="8">
        <v>725.0</v>
      </c>
      <c r="AG169" s="8"/>
      <c r="AH169" s="7"/>
      <c r="AI169" s="7"/>
      <c r="AJ169" s="9">
        <f t="shared" si="2"/>
        <v>320</v>
      </c>
      <c r="AK169" s="9">
        <f t="shared" si="3"/>
        <v>725</v>
      </c>
      <c r="AL169" s="7" t="str">
        <f t="shared" ref="AL169:AM169" si="171">HLOOKUP(AJ169,{$D169:$AI169;$D$1:$AI$1},2,false)</f>
        <v>Nancy</v>
      </c>
      <c r="AM169" s="7" t="str">
        <f t="shared" si="171"/>
        <v>Susan</v>
      </c>
      <c r="AN169" s="7">
        <f t="shared" si="5"/>
        <v>4</v>
      </c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</row>
    <row r="170">
      <c r="A170" s="5">
        <v>44226.0</v>
      </c>
      <c r="B170" s="6" t="s">
        <v>44</v>
      </c>
      <c r="C170" s="7"/>
      <c r="D170" s="7"/>
      <c r="E170" s="7"/>
      <c r="F170" s="7"/>
      <c r="G170" s="7"/>
      <c r="H170" s="7"/>
      <c r="I170" s="7"/>
      <c r="J170" s="8"/>
      <c r="K170" s="8">
        <v>195.0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8">
        <v>460.0</v>
      </c>
      <c r="Z170" s="7"/>
      <c r="AA170" s="8">
        <v>405.0</v>
      </c>
      <c r="AB170" s="7"/>
      <c r="AC170" s="8"/>
      <c r="AD170" s="8"/>
      <c r="AE170" s="7"/>
      <c r="AF170" s="8">
        <v>365.0</v>
      </c>
      <c r="AG170" s="8"/>
      <c r="AH170" s="7"/>
      <c r="AI170" s="7"/>
      <c r="AJ170" s="9">
        <f t="shared" si="2"/>
        <v>195</v>
      </c>
      <c r="AK170" s="9">
        <f t="shared" si="3"/>
        <v>460</v>
      </c>
      <c r="AL170" s="7" t="str">
        <f t="shared" ref="AL170:AM170" si="172">HLOOKUP(AJ170,{$D170:$AI170;$D$1:$AI$1},2,false)</f>
        <v>David</v>
      </c>
      <c r="AM170" s="7" t="str">
        <f t="shared" si="172"/>
        <v>Nancy</v>
      </c>
      <c r="AN170" s="7">
        <f t="shared" si="5"/>
        <v>4</v>
      </c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</row>
    <row r="171">
      <c r="A171" s="5">
        <v>44239.0</v>
      </c>
      <c r="B171" s="6" t="s">
        <v>40</v>
      </c>
      <c r="C171" s="7"/>
      <c r="D171" s="7"/>
      <c r="E171" s="7"/>
      <c r="F171" s="7"/>
      <c r="G171" s="7"/>
      <c r="H171" s="7"/>
      <c r="I171" s="7"/>
      <c r="J171" s="8"/>
      <c r="K171" s="8">
        <v>70.0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8">
        <v>145.0</v>
      </c>
      <c r="Z171" s="7"/>
      <c r="AA171" s="7"/>
      <c r="AB171" s="7"/>
      <c r="AC171" s="8">
        <v>260.0</v>
      </c>
      <c r="AD171" s="8"/>
      <c r="AE171" s="7"/>
      <c r="AF171" s="7"/>
      <c r="AG171" s="7"/>
      <c r="AH171" s="7"/>
      <c r="AI171" s="7"/>
      <c r="AJ171" s="9">
        <f t="shared" si="2"/>
        <v>70</v>
      </c>
      <c r="AK171" s="9">
        <f t="shared" si="3"/>
        <v>260</v>
      </c>
      <c r="AL171" s="7" t="str">
        <f t="shared" ref="AL171:AM171" si="173">HLOOKUP(AJ171,{$D171:$AI171;$D$1:$AI$1},2,false)</f>
        <v>David</v>
      </c>
      <c r="AM171" s="7" t="str">
        <f t="shared" si="173"/>
        <v>Sara</v>
      </c>
      <c r="AN171" s="7">
        <f t="shared" si="5"/>
        <v>3</v>
      </c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</row>
    <row r="172">
      <c r="A172" s="5">
        <v>44240.0</v>
      </c>
      <c r="B172" s="6" t="s">
        <v>40</v>
      </c>
      <c r="C172" s="7"/>
      <c r="D172" s="7"/>
      <c r="E172" s="7"/>
      <c r="F172" s="7"/>
      <c r="G172" s="7"/>
      <c r="H172" s="7"/>
      <c r="I172" s="8">
        <v>795.0</v>
      </c>
      <c r="J172" s="8"/>
      <c r="K172" s="8">
        <v>820.0</v>
      </c>
      <c r="L172" s="7"/>
      <c r="M172" s="7"/>
      <c r="N172" s="7"/>
      <c r="O172" s="7"/>
      <c r="P172" s="8"/>
      <c r="Q172" s="8">
        <v>595.0</v>
      </c>
      <c r="R172" s="7"/>
      <c r="S172" s="7"/>
      <c r="T172" s="7"/>
      <c r="U172" s="7"/>
      <c r="V172" s="7"/>
      <c r="W172" s="7"/>
      <c r="X172" s="7"/>
      <c r="Y172" s="8">
        <v>445.0</v>
      </c>
      <c r="Z172" s="7"/>
      <c r="AA172" s="7"/>
      <c r="AB172" s="8">
        <v>720.0</v>
      </c>
      <c r="AC172" s="7"/>
      <c r="AD172" s="7"/>
      <c r="AE172" s="7"/>
      <c r="AF172" s="7"/>
      <c r="AG172" s="7"/>
      <c r="AH172" s="7"/>
      <c r="AI172" s="7"/>
      <c r="AJ172" s="9">
        <f t="shared" si="2"/>
        <v>445</v>
      </c>
      <c r="AK172" s="9">
        <f t="shared" si="3"/>
        <v>820</v>
      </c>
      <c r="AL172" s="7" t="str">
        <f t="shared" ref="AL172:AM172" si="174">HLOOKUP(AJ172,{$D172:$AI172;$D$1:$AI$1},2,false)</f>
        <v>Nancy</v>
      </c>
      <c r="AM172" s="7" t="str">
        <f t="shared" si="174"/>
        <v>David</v>
      </c>
      <c r="AN172" s="7">
        <f t="shared" si="5"/>
        <v>5</v>
      </c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</row>
    <row r="173">
      <c r="A173" s="5">
        <v>44241.0</v>
      </c>
      <c r="B173" s="6" t="s">
        <v>44</v>
      </c>
      <c r="C173" s="8" t="s">
        <v>41</v>
      </c>
      <c r="D173" s="7"/>
      <c r="E173" s="7"/>
      <c r="F173" s="7"/>
      <c r="G173" s="7"/>
      <c r="H173" s="7"/>
      <c r="I173" s="8"/>
      <c r="J173" s="8"/>
      <c r="K173" s="8"/>
      <c r="L173" s="7"/>
      <c r="M173" s="7"/>
      <c r="N173" s="7"/>
      <c r="O173" s="7"/>
      <c r="P173" s="8"/>
      <c r="Q173" s="8"/>
      <c r="R173" s="7"/>
      <c r="S173" s="7"/>
      <c r="T173" s="7"/>
      <c r="U173" s="7"/>
      <c r="V173" s="8">
        <v>185.0</v>
      </c>
      <c r="W173" s="7"/>
      <c r="X173" s="7"/>
      <c r="Y173" s="8"/>
      <c r="Z173" s="7"/>
      <c r="AA173" s="8">
        <v>50.0</v>
      </c>
      <c r="AB173" s="8"/>
      <c r="AC173" s="7"/>
      <c r="AD173" s="7"/>
      <c r="AE173" s="7"/>
      <c r="AF173" s="8">
        <v>135.0</v>
      </c>
      <c r="AG173" s="8"/>
      <c r="AH173" s="7"/>
      <c r="AI173" s="7"/>
      <c r="AJ173" s="9">
        <f t="shared" si="2"/>
        <v>50</v>
      </c>
      <c r="AK173" s="9">
        <f t="shared" si="3"/>
        <v>185</v>
      </c>
      <c r="AL173" s="7" t="str">
        <f t="shared" ref="AL173:AM173" si="175">HLOOKUP(AJ173,{$D173:$AI173;$D$1:$AI$1},2,false)</f>
        <v>Sally</v>
      </c>
      <c r="AM173" s="7" t="str">
        <f t="shared" si="175"/>
        <v>Karen</v>
      </c>
      <c r="AN173" s="7">
        <f t="shared" si="5"/>
        <v>3</v>
      </c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</row>
    <row r="174">
      <c r="A174" s="5">
        <v>44242.0</v>
      </c>
      <c r="B174" s="6" t="s">
        <v>44</v>
      </c>
      <c r="C174" s="7"/>
      <c r="D174" s="7"/>
      <c r="E174" s="7"/>
      <c r="F174" s="7"/>
      <c r="G174" s="7"/>
      <c r="H174" s="7"/>
      <c r="I174" s="8"/>
      <c r="J174" s="8"/>
      <c r="K174" s="8">
        <v>345.0</v>
      </c>
      <c r="L174" s="7"/>
      <c r="M174" s="7"/>
      <c r="N174" s="7"/>
      <c r="O174" s="7"/>
      <c r="P174" s="8"/>
      <c r="Q174" s="8"/>
      <c r="R174" s="7"/>
      <c r="S174" s="7"/>
      <c r="T174" s="7"/>
      <c r="U174" s="7"/>
      <c r="V174" s="7"/>
      <c r="W174" s="7"/>
      <c r="X174" s="7"/>
      <c r="Y174" s="8">
        <v>420.0</v>
      </c>
      <c r="Z174" s="7"/>
      <c r="AA174" s="8">
        <v>270.0</v>
      </c>
      <c r="AB174" s="8"/>
      <c r="AC174" s="7"/>
      <c r="AD174" s="7"/>
      <c r="AE174" s="7"/>
      <c r="AF174" s="7"/>
      <c r="AG174" s="7"/>
      <c r="AH174" s="7"/>
      <c r="AI174" s="7"/>
      <c r="AJ174" s="9">
        <f t="shared" si="2"/>
        <v>270</v>
      </c>
      <c r="AK174" s="9">
        <f t="shared" si="3"/>
        <v>420</v>
      </c>
      <c r="AL174" s="7" t="str">
        <f t="shared" ref="AL174:AM174" si="176">HLOOKUP(AJ174,{$D174:$AI174;$D$1:$AI$1},2,false)</f>
        <v>Sally</v>
      </c>
      <c r="AM174" s="7" t="str">
        <f t="shared" si="176"/>
        <v>Nancy</v>
      </c>
      <c r="AN174" s="7">
        <f t="shared" si="5"/>
        <v>3</v>
      </c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</row>
    <row r="175">
      <c r="A175" s="5">
        <v>44254.0</v>
      </c>
      <c r="B175" s="6" t="s">
        <v>49</v>
      </c>
      <c r="C175" s="8" t="s">
        <v>41</v>
      </c>
      <c r="D175" s="7"/>
      <c r="E175" s="7"/>
      <c r="F175" s="7"/>
      <c r="G175" s="7"/>
      <c r="H175" s="7"/>
      <c r="I175" s="7"/>
      <c r="J175" s="8"/>
      <c r="K175" s="8">
        <v>335.0</v>
      </c>
      <c r="L175" s="7"/>
      <c r="M175" s="7"/>
      <c r="N175" s="7"/>
      <c r="O175" s="7"/>
      <c r="P175" s="8">
        <v>435.0</v>
      </c>
      <c r="Q175" s="7"/>
      <c r="R175" s="7"/>
      <c r="S175" s="7"/>
      <c r="T175" s="7"/>
      <c r="U175" s="8">
        <v>110.0</v>
      </c>
      <c r="V175" s="7"/>
      <c r="W175" s="7"/>
      <c r="X175" s="7"/>
      <c r="Y175" s="8">
        <v>330.0</v>
      </c>
      <c r="Z175" s="8"/>
      <c r="AA175" s="8">
        <v>505.0</v>
      </c>
      <c r="AB175" s="7"/>
      <c r="AC175" s="7"/>
      <c r="AD175" s="7"/>
      <c r="AE175" s="7"/>
      <c r="AF175" s="7"/>
      <c r="AG175" s="7"/>
      <c r="AH175" s="7"/>
      <c r="AI175" s="7"/>
      <c r="AJ175" s="9">
        <f t="shared" si="2"/>
        <v>110</v>
      </c>
      <c r="AK175" s="9">
        <f t="shared" si="3"/>
        <v>505</v>
      </c>
      <c r="AL175" s="7" t="str">
        <f t="shared" ref="AL175:AM175" si="177">HLOOKUP(AJ175,{$D175:$AI175;$D$1:$AI$1},2,false)</f>
        <v>Karenina</v>
      </c>
      <c r="AM175" s="7" t="str">
        <f t="shared" si="177"/>
        <v>Sally</v>
      </c>
      <c r="AN175" s="7">
        <f t="shared" si="5"/>
        <v>5</v>
      </c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</row>
    <row r="176">
      <c r="A176" s="5">
        <v>44256.0</v>
      </c>
      <c r="B176" s="6" t="s">
        <v>40</v>
      </c>
      <c r="C176" s="8" t="s">
        <v>41</v>
      </c>
      <c r="D176" s="7"/>
      <c r="E176" s="7"/>
      <c r="F176" s="7"/>
      <c r="G176" s="7"/>
      <c r="H176" s="7"/>
      <c r="I176" s="7"/>
      <c r="J176" s="8"/>
      <c r="K176" s="8">
        <v>35.0</v>
      </c>
      <c r="L176" s="7"/>
      <c r="M176" s="7"/>
      <c r="N176" s="7"/>
      <c r="O176" s="7"/>
      <c r="P176" s="7"/>
      <c r="Q176" s="7"/>
      <c r="R176" s="7"/>
      <c r="S176" s="7"/>
      <c r="T176" s="7"/>
      <c r="U176" s="8">
        <v>85.0</v>
      </c>
      <c r="V176" s="7"/>
      <c r="W176" s="7"/>
      <c r="X176" s="7"/>
      <c r="Y176" s="8">
        <v>200.0</v>
      </c>
      <c r="Z176" s="7"/>
      <c r="AA176" s="7"/>
      <c r="AB176" s="8">
        <v>310.0</v>
      </c>
      <c r="AC176" s="7"/>
      <c r="AD176" s="7"/>
      <c r="AE176" s="7"/>
      <c r="AF176" s="7"/>
      <c r="AG176" s="7"/>
      <c r="AH176" s="7"/>
      <c r="AI176" s="7"/>
      <c r="AJ176" s="9">
        <f t="shared" si="2"/>
        <v>35</v>
      </c>
      <c r="AK176" s="9">
        <f t="shared" si="3"/>
        <v>310</v>
      </c>
      <c r="AL176" s="7" t="str">
        <f t="shared" ref="AL176:AM176" si="178">HLOOKUP(AJ176,{$D176:$AI176;$D$1:$AI$1},2,false)</f>
        <v>David</v>
      </c>
      <c r="AM176" s="7" t="str">
        <f t="shared" si="178"/>
        <v>Sandy</v>
      </c>
      <c r="AN176" s="7">
        <f t="shared" si="5"/>
        <v>4</v>
      </c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</row>
    <row r="177">
      <c r="A177" s="5">
        <v>44260.0</v>
      </c>
      <c r="B177" s="6" t="s">
        <v>40</v>
      </c>
      <c r="C177" s="7"/>
      <c r="D177" s="7"/>
      <c r="E177" s="7"/>
      <c r="F177" s="7"/>
      <c r="G177" s="7"/>
      <c r="H177" s="7"/>
      <c r="I177" s="7"/>
      <c r="J177" s="8"/>
      <c r="K177" s="8">
        <v>485.0</v>
      </c>
      <c r="L177" s="8">
        <v>300.0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8">
        <v>435.0</v>
      </c>
      <c r="Z177" s="7"/>
      <c r="AA177" s="7"/>
      <c r="AB177" s="7"/>
      <c r="AC177" s="8">
        <v>305.0</v>
      </c>
      <c r="AD177" s="8"/>
      <c r="AE177" s="7"/>
      <c r="AF177" s="7"/>
      <c r="AG177" s="7"/>
      <c r="AH177" s="7"/>
      <c r="AI177" s="7"/>
      <c r="AJ177" s="9">
        <f t="shared" si="2"/>
        <v>300</v>
      </c>
      <c r="AK177" s="9">
        <f t="shared" si="3"/>
        <v>485</v>
      </c>
      <c r="AL177" s="7" t="str">
        <f t="shared" ref="AL177:AM177" si="179">HLOOKUP(AJ177,{$D177:$AI177;$D$1:$AI$1},2,false)</f>
        <v>Debby</v>
      </c>
      <c r="AM177" s="7" t="str">
        <f t="shared" si="179"/>
        <v>David</v>
      </c>
      <c r="AN177" s="7">
        <f t="shared" si="5"/>
        <v>4</v>
      </c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</row>
    <row r="178">
      <c r="A178" s="5">
        <v>44264.0</v>
      </c>
      <c r="B178" s="6" t="s">
        <v>40</v>
      </c>
      <c r="C178" s="7"/>
      <c r="D178" s="7"/>
      <c r="E178" s="7"/>
      <c r="F178" s="7"/>
      <c r="G178" s="7"/>
      <c r="H178" s="7"/>
      <c r="I178" s="8">
        <v>215.0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>
        <v>580.0</v>
      </c>
      <c r="V178" s="7"/>
      <c r="W178" s="7"/>
      <c r="X178" s="7"/>
      <c r="Y178" s="8">
        <v>360.0</v>
      </c>
      <c r="Z178" s="7"/>
      <c r="AA178" s="7"/>
      <c r="AB178" s="8">
        <v>675.0</v>
      </c>
      <c r="AC178" s="7"/>
      <c r="AD178" s="7"/>
      <c r="AE178" s="7"/>
      <c r="AF178" s="7"/>
      <c r="AG178" s="7"/>
      <c r="AH178" s="7"/>
      <c r="AI178" s="7"/>
      <c r="AJ178" s="9">
        <f t="shared" si="2"/>
        <v>215</v>
      </c>
      <c r="AK178" s="9">
        <f t="shared" si="3"/>
        <v>675</v>
      </c>
      <c r="AL178" s="7" t="str">
        <f t="shared" ref="AL178:AM178" si="180">HLOOKUP(AJ178,{$D178:$AI178;$D$1:$AI$1},2,false)</f>
        <v>Charlene</v>
      </c>
      <c r="AM178" s="7" t="str">
        <f t="shared" si="180"/>
        <v>Sandy</v>
      </c>
      <c r="AN178" s="7">
        <f t="shared" si="5"/>
        <v>4</v>
      </c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</row>
    <row r="179">
      <c r="A179" s="5">
        <v>44267.0</v>
      </c>
      <c r="B179" s="6" t="s">
        <v>40</v>
      </c>
      <c r="C179" s="8" t="s">
        <v>41</v>
      </c>
      <c r="D179" s="7"/>
      <c r="E179" s="7"/>
      <c r="F179" s="7"/>
      <c r="G179" s="7"/>
      <c r="H179" s="7"/>
      <c r="I179" s="7"/>
      <c r="J179" s="8"/>
      <c r="K179" s="8">
        <v>105.0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8">
        <v>100.0</v>
      </c>
      <c r="Z179" s="8"/>
      <c r="AA179" s="8">
        <v>240.0</v>
      </c>
      <c r="AB179" s="7"/>
      <c r="AC179" s="7"/>
      <c r="AD179" s="7"/>
      <c r="AE179" s="7"/>
      <c r="AF179" s="7"/>
      <c r="AG179" s="7"/>
      <c r="AH179" s="7"/>
      <c r="AI179" s="7"/>
      <c r="AJ179" s="9">
        <f t="shared" si="2"/>
        <v>100</v>
      </c>
      <c r="AK179" s="9">
        <f t="shared" si="3"/>
        <v>240</v>
      </c>
      <c r="AL179" s="7" t="str">
        <f t="shared" ref="AL179:AM179" si="181">HLOOKUP(AJ179,{$D179:$AI179;$D$1:$AI$1},2,false)</f>
        <v>Nancy</v>
      </c>
      <c r="AM179" s="7" t="str">
        <f t="shared" si="181"/>
        <v>Sally</v>
      </c>
      <c r="AN179" s="7">
        <f t="shared" si="5"/>
        <v>3</v>
      </c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</row>
    <row r="180">
      <c r="A180" s="5">
        <v>44272.0</v>
      </c>
      <c r="B180" s="6" t="s">
        <v>40</v>
      </c>
      <c r="C180" s="7"/>
      <c r="D180" s="7"/>
      <c r="E180" s="7"/>
      <c r="F180" s="7"/>
      <c r="G180" s="7"/>
      <c r="H180" s="7"/>
      <c r="I180" s="8">
        <v>310.0</v>
      </c>
      <c r="J180" s="7"/>
      <c r="K180" s="8">
        <v>510.0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8">
        <v>380.0</v>
      </c>
      <c r="Z180" s="7"/>
      <c r="AA180" s="7"/>
      <c r="AB180" s="8">
        <v>820.0</v>
      </c>
      <c r="AC180" s="7"/>
      <c r="AD180" s="7"/>
      <c r="AE180" s="7"/>
      <c r="AF180" s="7"/>
      <c r="AG180" s="7"/>
      <c r="AH180" s="7"/>
      <c r="AI180" s="7"/>
      <c r="AJ180" s="9">
        <f t="shared" si="2"/>
        <v>310</v>
      </c>
      <c r="AK180" s="9">
        <f t="shared" si="3"/>
        <v>820</v>
      </c>
      <c r="AL180" s="7" t="str">
        <f t="shared" ref="AL180:AM180" si="182">HLOOKUP(AJ180,{$D180:$AI180;$D$1:$AI$1},2,false)</f>
        <v>Charlene</v>
      </c>
      <c r="AM180" s="7" t="str">
        <f t="shared" si="182"/>
        <v>Sandy</v>
      </c>
      <c r="AN180" s="7">
        <f t="shared" si="5"/>
        <v>4</v>
      </c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</row>
    <row r="181">
      <c r="A181" s="5">
        <v>44273.0</v>
      </c>
      <c r="B181" s="6" t="s">
        <v>40</v>
      </c>
      <c r="C181" s="7"/>
      <c r="D181" s="7"/>
      <c r="E181" s="7"/>
      <c r="F181" s="7"/>
      <c r="G181" s="7"/>
      <c r="H181" s="7"/>
      <c r="I181" s="7"/>
      <c r="J181" s="7"/>
      <c r="K181" s="8">
        <v>235.0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8">
        <v>525.0</v>
      </c>
      <c r="W181" s="7"/>
      <c r="X181" s="7"/>
      <c r="Y181" s="8">
        <v>435.0</v>
      </c>
      <c r="Z181" s="7"/>
      <c r="AA181" s="8">
        <v>250.0</v>
      </c>
      <c r="AB181" s="7"/>
      <c r="AC181" s="8">
        <v>275.0</v>
      </c>
      <c r="AD181" s="8"/>
      <c r="AE181" s="7"/>
      <c r="AF181" s="7"/>
      <c r="AG181" s="7"/>
      <c r="AH181" s="7"/>
      <c r="AI181" s="7"/>
      <c r="AJ181" s="9">
        <f t="shared" si="2"/>
        <v>235</v>
      </c>
      <c r="AK181" s="9">
        <f t="shared" si="3"/>
        <v>525</v>
      </c>
      <c r="AL181" s="7" t="str">
        <f t="shared" ref="AL181:AM181" si="183">HLOOKUP(AJ181,{$D181:$AI181;$D$1:$AI$1},2,false)</f>
        <v>David</v>
      </c>
      <c r="AM181" s="7" t="str">
        <f t="shared" si="183"/>
        <v>Karen</v>
      </c>
      <c r="AN181" s="7">
        <f t="shared" si="5"/>
        <v>5</v>
      </c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</row>
    <row r="182">
      <c r="A182" s="5">
        <v>44274.0</v>
      </c>
      <c r="B182" s="6" t="s">
        <v>40</v>
      </c>
      <c r="C182" s="7"/>
      <c r="D182" s="7"/>
      <c r="E182" s="7"/>
      <c r="F182" s="7"/>
      <c r="G182" s="7"/>
      <c r="H182" s="7"/>
      <c r="I182" s="8">
        <v>525.0</v>
      </c>
      <c r="J182" s="7"/>
      <c r="K182" s="8">
        <v>740.0</v>
      </c>
      <c r="L182" s="7"/>
      <c r="M182" s="7"/>
      <c r="N182" s="7"/>
      <c r="O182" s="7"/>
      <c r="P182" s="7"/>
      <c r="Q182" s="8">
        <v>185.0</v>
      </c>
      <c r="R182" s="7"/>
      <c r="S182" s="7"/>
      <c r="T182" s="7"/>
      <c r="U182" s="7"/>
      <c r="V182" s="7"/>
      <c r="W182" s="7"/>
      <c r="X182" s="7"/>
      <c r="Y182" s="8">
        <v>400.0</v>
      </c>
      <c r="Z182" s="7"/>
      <c r="AA182" s="8">
        <v>515.0</v>
      </c>
      <c r="AB182" s="7"/>
      <c r="AC182" s="7"/>
      <c r="AD182" s="7"/>
      <c r="AE182" s="7"/>
      <c r="AF182" s="7"/>
      <c r="AG182" s="7"/>
      <c r="AH182" s="7"/>
      <c r="AI182" s="7"/>
      <c r="AJ182" s="9">
        <f t="shared" si="2"/>
        <v>185</v>
      </c>
      <c r="AK182" s="9">
        <f t="shared" si="3"/>
        <v>740</v>
      </c>
      <c r="AL182" s="7" t="str">
        <f t="shared" ref="AL182:AM182" si="184">HLOOKUP(AJ182,{$D182:$AI182;$D$1:$AI$1},2,false)</f>
        <v>Jeff M</v>
      </c>
      <c r="AM182" s="7" t="str">
        <f t="shared" si="184"/>
        <v>David</v>
      </c>
      <c r="AN182" s="7">
        <f t="shared" si="5"/>
        <v>5</v>
      </c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</row>
    <row r="183">
      <c r="A183" s="5">
        <v>44276.0</v>
      </c>
      <c r="B183" s="6" t="s">
        <v>40</v>
      </c>
      <c r="C183" s="7"/>
      <c r="D183" s="7"/>
      <c r="E183" s="7"/>
      <c r="F183" s="7"/>
      <c r="G183" s="7"/>
      <c r="H183" s="7"/>
      <c r="I183" s="7"/>
      <c r="J183" s="7"/>
      <c r="K183" s="8">
        <v>300.0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8">
        <v>400.0</v>
      </c>
      <c r="Z183" s="7"/>
      <c r="AA183" s="8">
        <v>265.0</v>
      </c>
      <c r="AB183" s="7"/>
      <c r="AC183" s="8">
        <v>315.0</v>
      </c>
      <c r="AD183" s="8"/>
      <c r="AE183" s="7"/>
      <c r="AF183" s="7"/>
      <c r="AG183" s="7"/>
      <c r="AH183" s="7"/>
      <c r="AI183" s="7"/>
      <c r="AJ183" s="9">
        <f t="shared" si="2"/>
        <v>265</v>
      </c>
      <c r="AK183" s="9">
        <f t="shared" si="3"/>
        <v>400</v>
      </c>
      <c r="AL183" s="7" t="str">
        <f t="shared" ref="AL183:AM183" si="185">HLOOKUP(AJ183,{$D183:$AI183;$D$1:$AI$1},2,false)</f>
        <v>Sally</v>
      </c>
      <c r="AM183" s="7" t="str">
        <f t="shared" si="185"/>
        <v>Nancy</v>
      </c>
      <c r="AN183" s="7">
        <f t="shared" si="5"/>
        <v>4</v>
      </c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</row>
    <row r="184">
      <c r="A184" s="5">
        <v>44279.0</v>
      </c>
      <c r="B184" s="6" t="s">
        <v>40</v>
      </c>
      <c r="C184" s="7"/>
      <c r="D184" s="7"/>
      <c r="E184" s="7"/>
      <c r="F184" s="7"/>
      <c r="G184" s="7"/>
      <c r="H184" s="7"/>
      <c r="I184" s="8">
        <v>405.0</v>
      </c>
      <c r="J184" s="7"/>
      <c r="K184" s="8">
        <v>215.0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8">
        <v>385.0</v>
      </c>
      <c r="Z184" s="7"/>
      <c r="AA184" s="8">
        <v>355.0</v>
      </c>
      <c r="AB184" s="7"/>
      <c r="AC184" s="7"/>
      <c r="AD184" s="7"/>
      <c r="AE184" s="7"/>
      <c r="AF184" s="7"/>
      <c r="AG184" s="7"/>
      <c r="AH184" s="7"/>
      <c r="AI184" s="7"/>
      <c r="AJ184" s="9">
        <f t="shared" si="2"/>
        <v>215</v>
      </c>
      <c r="AK184" s="9">
        <f t="shared" si="3"/>
        <v>405</v>
      </c>
      <c r="AL184" s="7" t="str">
        <f t="shared" ref="AL184:AM184" si="186">HLOOKUP(AJ184,{$D184:$AI184;$D$1:$AI$1},2,false)</f>
        <v>David</v>
      </c>
      <c r="AM184" s="7" t="str">
        <f t="shared" si="186"/>
        <v>Charlene</v>
      </c>
      <c r="AN184" s="7">
        <f t="shared" si="5"/>
        <v>4</v>
      </c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</row>
    <row r="185">
      <c r="A185" s="5">
        <v>44281.0</v>
      </c>
      <c r="B185" s="6" t="s">
        <v>40</v>
      </c>
      <c r="C185" s="7"/>
      <c r="D185" s="7"/>
      <c r="E185" s="7"/>
      <c r="F185" s="7"/>
      <c r="G185" s="7"/>
      <c r="H185" s="7"/>
      <c r="I185" s="8">
        <v>580.0</v>
      </c>
      <c r="J185" s="7"/>
      <c r="K185" s="8">
        <v>210.0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8">
        <v>290.0</v>
      </c>
      <c r="Z185" s="7"/>
      <c r="AA185" s="8">
        <v>465.0</v>
      </c>
      <c r="AB185" s="7"/>
      <c r="AC185" s="7"/>
      <c r="AD185" s="7"/>
      <c r="AE185" s="7"/>
      <c r="AF185" s="7"/>
      <c r="AG185" s="7"/>
      <c r="AH185" s="7"/>
      <c r="AI185" s="7"/>
      <c r="AJ185" s="9">
        <f t="shared" si="2"/>
        <v>210</v>
      </c>
      <c r="AK185" s="9">
        <f t="shared" si="3"/>
        <v>580</v>
      </c>
      <c r="AL185" s="7" t="str">
        <f t="shared" ref="AL185:AM185" si="187">HLOOKUP(AJ185,{$D185:$AI185;$D$1:$AI$1},2,false)</f>
        <v>David</v>
      </c>
      <c r="AM185" s="7" t="str">
        <f t="shared" si="187"/>
        <v>Charlene</v>
      </c>
      <c r="AN185" s="7">
        <f t="shared" si="5"/>
        <v>4</v>
      </c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</row>
    <row r="186">
      <c r="A186" s="5">
        <v>44285.0</v>
      </c>
      <c r="B186" s="6" t="s">
        <v>42</v>
      </c>
      <c r="C186" s="7"/>
      <c r="D186" s="7"/>
      <c r="E186" s="7"/>
      <c r="F186" s="7"/>
      <c r="G186" s="7"/>
      <c r="H186" s="7"/>
      <c r="I186" s="8">
        <v>725.0</v>
      </c>
      <c r="J186" s="7"/>
      <c r="K186" s="8">
        <v>595.0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8">
        <v>290.0</v>
      </c>
      <c r="Z186" s="7"/>
      <c r="AA186" s="7"/>
      <c r="AB186" s="8">
        <v>400.0</v>
      </c>
      <c r="AC186" s="7"/>
      <c r="AD186" s="7"/>
      <c r="AE186" s="7"/>
      <c r="AF186" s="7"/>
      <c r="AG186" s="7"/>
      <c r="AH186" s="7"/>
      <c r="AI186" s="7"/>
      <c r="AJ186" s="9">
        <f t="shared" si="2"/>
        <v>290</v>
      </c>
      <c r="AK186" s="9">
        <f t="shared" si="3"/>
        <v>725</v>
      </c>
      <c r="AL186" s="7" t="str">
        <f t="shared" ref="AL186:AM186" si="188">HLOOKUP(AJ186,{$D186:$AI186;$D$1:$AI$1},2,false)</f>
        <v>Nancy</v>
      </c>
      <c r="AM186" s="7" t="str">
        <f t="shared" si="188"/>
        <v>Charlene</v>
      </c>
      <c r="AN186" s="7">
        <f t="shared" si="5"/>
        <v>4</v>
      </c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</row>
    <row r="187">
      <c r="A187" s="5">
        <v>44288.0</v>
      </c>
      <c r="B187" s="6" t="s">
        <v>42</v>
      </c>
      <c r="C187" s="7"/>
      <c r="D187" s="7"/>
      <c r="E187" s="7"/>
      <c r="F187" s="7"/>
      <c r="G187" s="7"/>
      <c r="H187" s="7"/>
      <c r="I187" s="8">
        <v>335.0</v>
      </c>
      <c r="J187" s="7"/>
      <c r="K187" s="8">
        <v>495.0</v>
      </c>
      <c r="L187" s="7"/>
      <c r="M187" s="7"/>
      <c r="N187" s="7"/>
      <c r="O187" s="7"/>
      <c r="P187" s="7"/>
      <c r="Q187" s="8">
        <v>615.0</v>
      </c>
      <c r="R187" s="7"/>
      <c r="S187" s="7"/>
      <c r="T187" s="7"/>
      <c r="U187" s="7"/>
      <c r="V187" s="7"/>
      <c r="W187" s="7"/>
      <c r="X187" s="7"/>
      <c r="Y187" s="8">
        <v>680.0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9">
        <f t="shared" si="2"/>
        <v>335</v>
      </c>
      <c r="AK187" s="9">
        <f t="shared" si="3"/>
        <v>680</v>
      </c>
      <c r="AL187" s="7" t="str">
        <f t="shared" ref="AL187:AM187" si="189">HLOOKUP(AJ187,{$D187:$AI187;$D$1:$AI$1},2,false)</f>
        <v>Charlene</v>
      </c>
      <c r="AM187" s="7" t="str">
        <f t="shared" si="189"/>
        <v>Nancy</v>
      </c>
      <c r="AN187" s="7">
        <f t="shared" si="5"/>
        <v>4</v>
      </c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</row>
    <row r="188">
      <c r="A188" s="5">
        <v>44292.0</v>
      </c>
      <c r="B188" s="6" t="s">
        <v>42</v>
      </c>
      <c r="C188" s="7"/>
      <c r="D188" s="7"/>
      <c r="E188" s="7"/>
      <c r="F188" s="7"/>
      <c r="G188" s="7"/>
      <c r="H188" s="7"/>
      <c r="I188" s="8">
        <v>345.0</v>
      </c>
      <c r="J188" s="7"/>
      <c r="K188" s="8">
        <v>340.0</v>
      </c>
      <c r="L188" s="7"/>
      <c r="M188" s="7"/>
      <c r="N188" s="7"/>
      <c r="O188" s="7"/>
      <c r="P188" s="7"/>
      <c r="Q188" s="8">
        <v>310.0</v>
      </c>
      <c r="R188" s="7"/>
      <c r="S188" s="7"/>
      <c r="T188" s="7"/>
      <c r="U188" s="7"/>
      <c r="V188" s="7"/>
      <c r="W188" s="7"/>
      <c r="X188" s="7"/>
      <c r="Y188" s="8">
        <v>460.0</v>
      </c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9">
        <f t="shared" si="2"/>
        <v>310</v>
      </c>
      <c r="AK188" s="9">
        <f t="shared" si="3"/>
        <v>460</v>
      </c>
      <c r="AL188" s="7" t="str">
        <f t="shared" ref="AL188:AM188" si="190">HLOOKUP(AJ188,{$D188:$AI188;$D$1:$AI$1},2,false)</f>
        <v>Jeff M</v>
      </c>
      <c r="AM188" s="7" t="str">
        <f t="shared" si="190"/>
        <v>Nancy</v>
      </c>
      <c r="AN188" s="7">
        <f t="shared" si="5"/>
        <v>4</v>
      </c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</row>
    <row r="189">
      <c r="A189" s="5">
        <v>44293.0</v>
      </c>
      <c r="B189" s="6" t="s">
        <v>40</v>
      </c>
      <c r="C189" s="7"/>
      <c r="D189" s="7"/>
      <c r="E189" s="7"/>
      <c r="F189" s="7"/>
      <c r="G189" s="7"/>
      <c r="H189" s="7"/>
      <c r="I189" s="8">
        <v>645.0</v>
      </c>
      <c r="J189" s="7"/>
      <c r="K189" s="8">
        <v>340.0</v>
      </c>
      <c r="L189" s="7"/>
      <c r="M189" s="7"/>
      <c r="N189" s="7"/>
      <c r="O189" s="7"/>
      <c r="P189" s="7"/>
      <c r="Q189" s="8">
        <v>315.0</v>
      </c>
      <c r="R189" s="7"/>
      <c r="S189" s="7"/>
      <c r="T189" s="7"/>
      <c r="U189" s="7"/>
      <c r="V189" s="7"/>
      <c r="W189" s="7"/>
      <c r="X189" s="7"/>
      <c r="Y189" s="8">
        <v>480.0</v>
      </c>
      <c r="Z189" s="7"/>
      <c r="AA189" s="7"/>
      <c r="AB189" s="7"/>
      <c r="AC189" s="8">
        <v>460.0</v>
      </c>
      <c r="AD189" s="8"/>
      <c r="AE189" s="7"/>
      <c r="AF189" s="7"/>
      <c r="AG189" s="7"/>
      <c r="AH189" s="7"/>
      <c r="AI189" s="7"/>
      <c r="AJ189" s="9">
        <f t="shared" si="2"/>
        <v>315</v>
      </c>
      <c r="AK189" s="9">
        <f t="shared" si="3"/>
        <v>645</v>
      </c>
      <c r="AL189" s="7" t="str">
        <f t="shared" ref="AL189:AM189" si="191">HLOOKUP(AJ189,{$D189:$AI189;$D$1:$AI$1},2,false)</f>
        <v>Jeff M</v>
      </c>
      <c r="AM189" s="7" t="str">
        <f t="shared" si="191"/>
        <v>Charlene</v>
      </c>
      <c r="AN189" s="7">
        <f t="shared" si="5"/>
        <v>5</v>
      </c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</row>
    <row r="190">
      <c r="A190" s="5">
        <v>44297.0</v>
      </c>
      <c r="B190" s="6" t="s">
        <v>50</v>
      </c>
      <c r="C190" s="7"/>
      <c r="D190" s="7"/>
      <c r="E190" s="7"/>
      <c r="F190" s="7"/>
      <c r="G190" s="7"/>
      <c r="H190" s="7"/>
      <c r="I190" s="7"/>
      <c r="J190" s="7"/>
      <c r="K190" s="8">
        <v>415.0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8">
        <v>565.0</v>
      </c>
      <c r="Z190" s="7"/>
      <c r="AA190" s="8">
        <v>400.0</v>
      </c>
      <c r="AB190" s="7"/>
      <c r="AC190" s="7"/>
      <c r="AD190" s="7"/>
      <c r="AE190" s="7"/>
      <c r="AF190" s="7"/>
      <c r="AG190" s="7"/>
      <c r="AH190" s="7"/>
      <c r="AI190" s="7"/>
      <c r="AJ190" s="9">
        <f t="shared" si="2"/>
        <v>400</v>
      </c>
      <c r="AK190" s="9">
        <f t="shared" si="3"/>
        <v>565</v>
      </c>
      <c r="AL190" s="7" t="str">
        <f t="shared" ref="AL190:AM190" si="192">HLOOKUP(AJ190,{$D190:$AI190;$D$1:$AI$1},2,false)</f>
        <v>Sally</v>
      </c>
      <c r="AM190" s="7" t="str">
        <f t="shared" si="192"/>
        <v>Nancy</v>
      </c>
      <c r="AN190" s="7">
        <f t="shared" si="5"/>
        <v>3</v>
      </c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</row>
    <row r="191">
      <c r="A191" s="5">
        <v>44297.0</v>
      </c>
      <c r="B191" s="6" t="s">
        <v>50</v>
      </c>
      <c r="C191" s="7"/>
      <c r="D191" s="7"/>
      <c r="E191" s="7"/>
      <c r="F191" s="7"/>
      <c r="G191" s="7"/>
      <c r="H191" s="7"/>
      <c r="I191" s="7"/>
      <c r="J191" s="7"/>
      <c r="K191" s="8">
        <v>305.0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8">
        <v>290.0</v>
      </c>
      <c r="Z191" s="7"/>
      <c r="AA191" s="8">
        <v>390.0</v>
      </c>
      <c r="AB191" s="7"/>
      <c r="AC191" s="7"/>
      <c r="AD191" s="7"/>
      <c r="AE191" s="7"/>
      <c r="AF191" s="7"/>
      <c r="AG191" s="7"/>
      <c r="AH191" s="7"/>
      <c r="AI191" s="7"/>
      <c r="AJ191" s="9">
        <f t="shared" si="2"/>
        <v>290</v>
      </c>
      <c r="AK191" s="9">
        <f t="shared" si="3"/>
        <v>390</v>
      </c>
      <c r="AL191" s="7" t="str">
        <f t="shared" ref="AL191:AM191" si="193">HLOOKUP(AJ191,{$D191:$AI191;$D$1:$AI$1},2,false)</f>
        <v>Nancy</v>
      </c>
      <c r="AM191" s="7" t="str">
        <f t="shared" si="193"/>
        <v>Sally</v>
      </c>
      <c r="AN191" s="7">
        <f t="shared" si="5"/>
        <v>3</v>
      </c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</row>
    <row r="192">
      <c r="A192" s="5">
        <v>44297.0</v>
      </c>
      <c r="B192" s="6" t="s">
        <v>42</v>
      </c>
      <c r="C192" s="7"/>
      <c r="D192" s="7"/>
      <c r="E192" s="7"/>
      <c r="F192" s="7"/>
      <c r="G192" s="7"/>
      <c r="H192" s="7"/>
      <c r="I192" s="8">
        <v>540.0</v>
      </c>
      <c r="J192" s="7"/>
      <c r="K192" s="7"/>
      <c r="L192" s="7"/>
      <c r="M192" s="7"/>
      <c r="N192" s="7"/>
      <c r="O192" s="7"/>
      <c r="P192" s="7"/>
      <c r="Q192" s="8">
        <v>375.0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8">
        <v>335.0</v>
      </c>
      <c r="AC192" s="7"/>
      <c r="AD192" s="7"/>
      <c r="AE192" s="7"/>
      <c r="AF192" s="7"/>
      <c r="AG192" s="7"/>
      <c r="AH192" s="7"/>
      <c r="AI192" s="7"/>
      <c r="AJ192" s="9">
        <f t="shared" si="2"/>
        <v>335</v>
      </c>
      <c r="AK192" s="9">
        <f t="shared" si="3"/>
        <v>540</v>
      </c>
      <c r="AL192" s="7" t="str">
        <f t="shared" ref="AL192:AM192" si="194">HLOOKUP(AJ192,{$D192:$AI192;$D$1:$AI$1},2,false)</f>
        <v>Sandy</v>
      </c>
      <c r="AM192" s="7" t="str">
        <f t="shared" si="194"/>
        <v>Charlene</v>
      </c>
      <c r="AN192" s="7">
        <f t="shared" si="5"/>
        <v>3</v>
      </c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</row>
    <row r="193">
      <c r="A193" s="5">
        <v>44298.0</v>
      </c>
      <c r="B193" s="6" t="s">
        <v>50</v>
      </c>
      <c r="C193" s="7"/>
      <c r="D193" s="7"/>
      <c r="E193" s="7"/>
      <c r="F193" s="7"/>
      <c r="G193" s="7"/>
      <c r="H193" s="7"/>
      <c r="I193" s="7"/>
      <c r="J193" s="7"/>
      <c r="K193" s="8">
        <v>315.0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8">
        <v>435.0</v>
      </c>
      <c r="Z193" s="7"/>
      <c r="AA193" s="8">
        <v>310.0</v>
      </c>
      <c r="AB193" s="7"/>
      <c r="AC193" s="7"/>
      <c r="AD193" s="7"/>
      <c r="AE193" s="7"/>
      <c r="AF193" s="7"/>
      <c r="AG193" s="7"/>
      <c r="AH193" s="7"/>
      <c r="AI193" s="7"/>
      <c r="AJ193" s="9">
        <f t="shared" si="2"/>
        <v>310</v>
      </c>
      <c r="AK193" s="9">
        <f t="shared" si="3"/>
        <v>435</v>
      </c>
      <c r="AL193" s="7" t="str">
        <f t="shared" ref="AL193:AM193" si="195">HLOOKUP(AJ193,{$D193:$AI193;$D$1:$AI$1},2,false)</f>
        <v>Sally</v>
      </c>
      <c r="AM193" s="7" t="str">
        <f t="shared" si="195"/>
        <v>Nancy</v>
      </c>
      <c r="AN193" s="7">
        <f t="shared" si="5"/>
        <v>3</v>
      </c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</row>
    <row r="194">
      <c r="A194" s="5">
        <v>44299.0</v>
      </c>
      <c r="B194" s="6" t="s">
        <v>50</v>
      </c>
      <c r="C194" s="7"/>
      <c r="D194" s="7"/>
      <c r="E194" s="7"/>
      <c r="F194" s="7"/>
      <c r="G194" s="7"/>
      <c r="H194" s="7"/>
      <c r="I194" s="7"/>
      <c r="J194" s="7"/>
      <c r="K194" s="8">
        <v>350.0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8">
        <v>475.0</v>
      </c>
      <c r="Z194" s="7"/>
      <c r="AA194" s="8">
        <v>280.0</v>
      </c>
      <c r="AB194" s="7"/>
      <c r="AC194" s="7"/>
      <c r="AD194" s="7"/>
      <c r="AE194" s="7"/>
      <c r="AF194" s="7"/>
      <c r="AG194" s="7"/>
      <c r="AH194" s="7"/>
      <c r="AI194" s="7"/>
      <c r="AJ194" s="9">
        <f t="shared" si="2"/>
        <v>280</v>
      </c>
      <c r="AK194" s="9">
        <f t="shared" si="3"/>
        <v>475</v>
      </c>
      <c r="AL194" s="7" t="str">
        <f t="shared" ref="AL194:AM194" si="196">HLOOKUP(AJ194,{$D194:$AI194;$D$1:$AI$1},2,false)</f>
        <v>Sally</v>
      </c>
      <c r="AM194" s="7" t="str">
        <f t="shared" si="196"/>
        <v>Nancy</v>
      </c>
      <c r="AN194" s="7">
        <f t="shared" si="5"/>
        <v>3</v>
      </c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</row>
    <row r="195">
      <c r="A195" s="5">
        <v>44300.0</v>
      </c>
      <c r="B195" s="6" t="s">
        <v>50</v>
      </c>
      <c r="C195" s="7"/>
      <c r="D195" s="7"/>
      <c r="E195" s="7"/>
      <c r="F195" s="7"/>
      <c r="G195" s="7"/>
      <c r="H195" s="7"/>
      <c r="I195" s="7"/>
      <c r="J195" s="7"/>
      <c r="K195" s="8">
        <v>310.0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8">
        <v>390.0</v>
      </c>
      <c r="Z195" s="7"/>
      <c r="AA195" s="8">
        <v>270.0</v>
      </c>
      <c r="AB195" s="7"/>
      <c r="AC195" s="7"/>
      <c r="AD195" s="7"/>
      <c r="AE195" s="7"/>
      <c r="AF195" s="7"/>
      <c r="AG195" s="7"/>
      <c r="AH195" s="7"/>
      <c r="AI195" s="7"/>
      <c r="AJ195" s="9">
        <f t="shared" si="2"/>
        <v>270</v>
      </c>
      <c r="AK195" s="9">
        <f t="shared" si="3"/>
        <v>390</v>
      </c>
      <c r="AL195" s="7" t="str">
        <f t="shared" ref="AL195:AM195" si="197">HLOOKUP(AJ195,{$D195:$AI195;$D$1:$AI$1},2,false)</f>
        <v>Sally</v>
      </c>
      <c r="AM195" s="7" t="str">
        <f t="shared" si="197"/>
        <v>Nancy</v>
      </c>
      <c r="AN195" s="7">
        <f t="shared" si="5"/>
        <v>3</v>
      </c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</row>
    <row r="196">
      <c r="A196" s="5">
        <v>44302.0</v>
      </c>
      <c r="B196" s="6" t="s">
        <v>51</v>
      </c>
      <c r="C196" s="7"/>
      <c r="D196" s="7"/>
      <c r="E196" s="7"/>
      <c r="F196" s="7"/>
      <c r="G196" s="7"/>
      <c r="H196" s="7"/>
      <c r="I196" s="7"/>
      <c r="J196" s="7"/>
      <c r="K196" s="8">
        <v>335.0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8">
        <v>390.0</v>
      </c>
      <c r="Z196" s="7"/>
      <c r="AA196" s="8">
        <v>250.0</v>
      </c>
      <c r="AB196" s="7"/>
      <c r="AC196" s="7"/>
      <c r="AD196" s="7"/>
      <c r="AE196" s="7"/>
      <c r="AF196" s="7"/>
      <c r="AG196" s="7"/>
      <c r="AH196" s="7"/>
      <c r="AI196" s="7"/>
      <c r="AJ196" s="9">
        <f t="shared" si="2"/>
        <v>250</v>
      </c>
      <c r="AK196" s="9">
        <f t="shared" si="3"/>
        <v>390</v>
      </c>
      <c r="AL196" s="7" t="str">
        <f t="shared" ref="AL196:AM196" si="198">HLOOKUP(AJ196,{$D196:$AI196;$D$1:$AI$1},2,false)</f>
        <v>Sally</v>
      </c>
      <c r="AM196" s="7" t="str">
        <f t="shared" si="198"/>
        <v>Nancy</v>
      </c>
      <c r="AN196" s="7">
        <f t="shared" si="5"/>
        <v>3</v>
      </c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</row>
    <row r="197">
      <c r="A197" s="5">
        <v>44307.0</v>
      </c>
      <c r="B197" s="6" t="s">
        <v>43</v>
      </c>
      <c r="C197" s="7"/>
      <c r="D197" s="7"/>
      <c r="E197" s="7"/>
      <c r="F197" s="7"/>
      <c r="G197" s="7"/>
      <c r="H197" s="7"/>
      <c r="I197" s="7"/>
      <c r="J197" s="7"/>
      <c r="K197" s="8">
        <v>470.0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8">
        <v>720.0</v>
      </c>
      <c r="Z197" s="7"/>
      <c r="AA197" s="8">
        <v>475.0</v>
      </c>
      <c r="AB197" s="7"/>
      <c r="AC197" s="7"/>
      <c r="AD197" s="7"/>
      <c r="AE197" s="7"/>
      <c r="AF197" s="7"/>
      <c r="AG197" s="7"/>
      <c r="AH197" s="7"/>
      <c r="AI197" s="7"/>
      <c r="AJ197" s="9">
        <f t="shared" si="2"/>
        <v>470</v>
      </c>
      <c r="AK197" s="9">
        <f t="shared" si="3"/>
        <v>720</v>
      </c>
      <c r="AL197" s="7" t="str">
        <f t="shared" ref="AL197:AM197" si="199">HLOOKUP(AJ197,{$D197:$AI197;$D$1:$AI$1},2,false)</f>
        <v>David</v>
      </c>
      <c r="AM197" s="7" t="str">
        <f t="shared" si="199"/>
        <v>Nancy</v>
      </c>
      <c r="AN197" s="7">
        <f t="shared" si="5"/>
        <v>3</v>
      </c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</row>
    <row r="198">
      <c r="A198" s="5">
        <v>44312.0</v>
      </c>
      <c r="B198" s="6" t="s">
        <v>40</v>
      </c>
      <c r="C198" s="8" t="s">
        <v>41</v>
      </c>
      <c r="D198" s="7"/>
      <c r="E198" s="7"/>
      <c r="F198" s="7"/>
      <c r="G198" s="7"/>
      <c r="H198" s="7"/>
      <c r="I198" s="7"/>
      <c r="J198" s="7"/>
      <c r="K198" s="8">
        <v>215.0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8">
        <v>35.0</v>
      </c>
      <c r="Z198" s="7"/>
      <c r="AA198" s="7"/>
      <c r="AB198" s="7"/>
      <c r="AC198" s="8">
        <v>480.0</v>
      </c>
      <c r="AD198" s="8"/>
      <c r="AE198" s="7"/>
      <c r="AF198" s="7"/>
      <c r="AG198" s="7"/>
      <c r="AH198" s="8">
        <v>20.0</v>
      </c>
      <c r="AI198" s="7"/>
      <c r="AJ198" s="9">
        <f t="shared" si="2"/>
        <v>20</v>
      </c>
      <c r="AK198" s="9">
        <f t="shared" si="3"/>
        <v>480</v>
      </c>
      <c r="AL198" s="7" t="str">
        <f t="shared" ref="AL198:AM198" si="200">HLOOKUP(AJ198,{$D198:$AI198;$D$1:$AI$1},2,false)</f>
        <v>Zach</v>
      </c>
      <c r="AM198" s="7" t="str">
        <f t="shared" si="200"/>
        <v>Sara</v>
      </c>
      <c r="AN198" s="7">
        <f t="shared" si="5"/>
        <v>4</v>
      </c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</row>
    <row r="199">
      <c r="A199" s="5">
        <v>44318.0</v>
      </c>
      <c r="B199" s="6" t="s">
        <v>40</v>
      </c>
      <c r="C199" s="7"/>
      <c r="D199" s="7"/>
      <c r="E199" s="7"/>
      <c r="F199" s="7"/>
      <c r="G199" s="7"/>
      <c r="H199" s="7"/>
      <c r="I199" s="7"/>
      <c r="J199" s="7"/>
      <c r="K199" s="8">
        <v>380.0</v>
      </c>
      <c r="L199" s="8">
        <v>745.0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8">
        <v>240.0</v>
      </c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9">
        <f t="shared" si="2"/>
        <v>240</v>
      </c>
      <c r="AK199" s="9">
        <f t="shared" si="3"/>
        <v>745</v>
      </c>
      <c r="AL199" s="7" t="str">
        <f t="shared" ref="AL199:AM199" si="201">HLOOKUP(AJ199,{$D199:$AI199;$D$1:$AI$1},2,false)</f>
        <v>Nancy</v>
      </c>
      <c r="AM199" s="7" t="str">
        <f t="shared" si="201"/>
        <v>Debby</v>
      </c>
      <c r="AN199" s="7">
        <f t="shared" si="5"/>
        <v>3</v>
      </c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</row>
    <row r="200">
      <c r="A200" s="5">
        <v>44329.0</v>
      </c>
      <c r="B200" s="6" t="s">
        <v>40</v>
      </c>
      <c r="C200" s="7"/>
      <c r="D200" s="7"/>
      <c r="E200" s="7"/>
      <c r="F200" s="7"/>
      <c r="G200" s="7"/>
      <c r="H200" s="7"/>
      <c r="I200" s="7"/>
      <c r="J200" s="7"/>
      <c r="K200" s="8">
        <v>385.0</v>
      </c>
      <c r="L200" s="8">
        <v>925.0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8">
        <v>240.0</v>
      </c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9">
        <f t="shared" si="2"/>
        <v>240</v>
      </c>
      <c r="AK200" s="9">
        <f t="shared" si="3"/>
        <v>925</v>
      </c>
      <c r="AL200" s="7" t="str">
        <f t="shared" ref="AL200:AM200" si="202">HLOOKUP(AJ200,{$D200:$AI200;$D$1:$AI$1},2,false)</f>
        <v>Nancy</v>
      </c>
      <c r="AM200" s="7" t="str">
        <f t="shared" si="202"/>
        <v>Debby</v>
      </c>
      <c r="AN200" s="7">
        <f t="shared" si="5"/>
        <v>3</v>
      </c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</row>
    <row r="201">
      <c r="A201" s="5">
        <v>44342.0</v>
      </c>
      <c r="B201" s="6" t="s">
        <v>44</v>
      </c>
      <c r="C201" s="7"/>
      <c r="D201" s="7"/>
      <c r="E201" s="7"/>
      <c r="F201" s="7"/>
      <c r="G201" s="7"/>
      <c r="H201" s="7"/>
      <c r="I201" s="7"/>
      <c r="J201" s="7"/>
      <c r="K201" s="8">
        <v>365.0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8">
        <v>205.0</v>
      </c>
      <c r="Z201" s="7"/>
      <c r="AA201" s="8">
        <v>615.0</v>
      </c>
      <c r="AB201" s="7"/>
      <c r="AC201" s="7"/>
      <c r="AD201" s="7"/>
      <c r="AE201" s="7"/>
      <c r="AF201" s="7"/>
      <c r="AG201" s="7"/>
      <c r="AH201" s="7"/>
      <c r="AI201" s="7"/>
      <c r="AJ201" s="9">
        <f t="shared" si="2"/>
        <v>205</v>
      </c>
      <c r="AK201" s="9">
        <f t="shared" si="3"/>
        <v>615</v>
      </c>
      <c r="AL201" s="7" t="str">
        <f t="shared" ref="AL201:AM201" si="203">HLOOKUP(AJ201,{$D201:$AI201;$D$1:$AI$1},2,false)</f>
        <v>Nancy</v>
      </c>
      <c r="AM201" s="7" t="str">
        <f t="shared" si="203"/>
        <v>Sally</v>
      </c>
      <c r="AN201" s="7">
        <f t="shared" si="5"/>
        <v>3</v>
      </c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</row>
    <row r="202">
      <c r="A202" s="5">
        <v>44343.0</v>
      </c>
      <c r="B202" s="6" t="s">
        <v>44</v>
      </c>
      <c r="C202" s="7"/>
      <c r="D202" s="7"/>
      <c r="E202" s="7"/>
      <c r="F202" s="7"/>
      <c r="G202" s="7"/>
      <c r="H202" s="7"/>
      <c r="I202" s="7"/>
      <c r="J202" s="7"/>
      <c r="K202" s="8">
        <v>710.0</v>
      </c>
      <c r="L202" s="8">
        <v>680.0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8">
        <v>520.0</v>
      </c>
      <c r="Z202" s="7"/>
      <c r="AA202" s="8">
        <v>380.0</v>
      </c>
      <c r="AB202" s="7"/>
      <c r="AC202" s="7"/>
      <c r="AD202" s="7"/>
      <c r="AE202" s="7"/>
      <c r="AF202" s="8">
        <v>825.0</v>
      </c>
      <c r="AG202" s="8"/>
      <c r="AH202" s="7"/>
      <c r="AI202" s="7"/>
      <c r="AJ202" s="9">
        <f t="shared" si="2"/>
        <v>380</v>
      </c>
      <c r="AK202" s="9">
        <f t="shared" si="3"/>
        <v>825</v>
      </c>
      <c r="AL202" s="7" t="str">
        <f t="shared" ref="AL202:AM202" si="204">HLOOKUP(AJ202,{$D202:$AI202;$D$1:$AI$1},2,false)</f>
        <v>Sally</v>
      </c>
      <c r="AM202" s="7" t="str">
        <f t="shared" si="204"/>
        <v>Susan</v>
      </c>
      <c r="AN202" s="7">
        <f t="shared" si="5"/>
        <v>5</v>
      </c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</row>
    <row r="203">
      <c r="A203" s="5">
        <v>44344.0</v>
      </c>
      <c r="B203" s="6" t="s">
        <v>44</v>
      </c>
      <c r="C203" s="7"/>
      <c r="D203" s="7"/>
      <c r="E203" s="7"/>
      <c r="F203" s="7"/>
      <c r="G203" s="7"/>
      <c r="H203" s="7"/>
      <c r="I203" s="7"/>
      <c r="J203" s="7"/>
      <c r="K203" s="8">
        <v>320.0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8">
        <v>520.0</v>
      </c>
      <c r="Z203" s="7"/>
      <c r="AA203" s="8">
        <v>470.0</v>
      </c>
      <c r="AB203" s="7"/>
      <c r="AC203" s="7"/>
      <c r="AD203" s="7"/>
      <c r="AE203" s="7"/>
      <c r="AF203" s="7"/>
      <c r="AG203" s="7"/>
      <c r="AH203" s="7"/>
      <c r="AI203" s="7"/>
      <c r="AJ203" s="9">
        <f t="shared" si="2"/>
        <v>320</v>
      </c>
      <c r="AK203" s="9">
        <f t="shared" si="3"/>
        <v>520</v>
      </c>
      <c r="AL203" s="7" t="str">
        <f t="shared" ref="AL203:AM203" si="205">HLOOKUP(AJ203,{$D203:$AI203;$D$1:$AI$1},2,false)</f>
        <v>David</v>
      </c>
      <c r="AM203" s="7" t="str">
        <f t="shared" si="205"/>
        <v>Nancy</v>
      </c>
      <c r="AN203" s="7">
        <f t="shared" si="5"/>
        <v>3</v>
      </c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</row>
    <row r="204">
      <c r="A204" s="5">
        <v>44346.0</v>
      </c>
      <c r="B204" s="6" t="s">
        <v>40</v>
      </c>
      <c r="C204" s="7"/>
      <c r="D204" s="7"/>
      <c r="E204" s="7"/>
      <c r="F204" s="7"/>
      <c r="G204" s="7"/>
      <c r="H204" s="7"/>
      <c r="I204" s="7"/>
      <c r="J204" s="7"/>
      <c r="K204" s="8">
        <v>505.0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8">
        <v>400.0</v>
      </c>
      <c r="Z204" s="7"/>
      <c r="AA204" s="8">
        <v>595.0</v>
      </c>
      <c r="AB204" s="7"/>
      <c r="AC204" s="7"/>
      <c r="AD204" s="7"/>
      <c r="AE204" s="7"/>
      <c r="AF204" s="7"/>
      <c r="AG204" s="7"/>
      <c r="AH204" s="7"/>
      <c r="AI204" s="7"/>
      <c r="AJ204" s="9">
        <f t="shared" si="2"/>
        <v>400</v>
      </c>
      <c r="AK204" s="9">
        <f t="shared" si="3"/>
        <v>595</v>
      </c>
      <c r="AL204" s="7" t="str">
        <f t="shared" ref="AL204:AM204" si="206">HLOOKUP(AJ204,{$D204:$AI204;$D$1:$AI$1},2,false)</f>
        <v>Nancy</v>
      </c>
      <c r="AM204" s="7" t="str">
        <f t="shared" si="206"/>
        <v>Sally</v>
      </c>
      <c r="AN204" s="7">
        <f t="shared" si="5"/>
        <v>3</v>
      </c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</row>
    <row r="205">
      <c r="A205" s="5">
        <v>44347.0</v>
      </c>
      <c r="B205" s="6" t="s">
        <v>42</v>
      </c>
      <c r="C205" s="7"/>
      <c r="D205" s="7"/>
      <c r="E205" s="7"/>
      <c r="F205" s="7"/>
      <c r="G205" s="7"/>
      <c r="H205" s="7"/>
      <c r="I205" s="8">
        <v>655.0</v>
      </c>
      <c r="J205" s="7"/>
      <c r="K205" s="8">
        <v>250.0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8">
        <v>545.0</v>
      </c>
      <c r="Z205" s="7"/>
      <c r="AA205" s="8">
        <v>450.0</v>
      </c>
      <c r="AB205" s="8">
        <v>580.0</v>
      </c>
      <c r="AC205" s="7"/>
      <c r="AD205" s="7"/>
      <c r="AE205" s="7"/>
      <c r="AF205" s="7"/>
      <c r="AG205" s="7"/>
      <c r="AH205" s="7"/>
      <c r="AI205" s="7"/>
      <c r="AJ205" s="9">
        <f t="shared" si="2"/>
        <v>250</v>
      </c>
      <c r="AK205" s="9">
        <f t="shared" si="3"/>
        <v>655</v>
      </c>
      <c r="AL205" s="7" t="str">
        <f t="shared" ref="AL205:AM205" si="207">HLOOKUP(AJ205,{$D205:$AI205;$D$1:$AI$1},2,false)</f>
        <v>David</v>
      </c>
      <c r="AM205" s="7" t="str">
        <f t="shared" si="207"/>
        <v>Charlene</v>
      </c>
      <c r="AN205" s="7">
        <f t="shared" si="5"/>
        <v>5</v>
      </c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</row>
    <row r="206">
      <c r="A206" s="5">
        <v>44352.0</v>
      </c>
      <c r="B206" s="6" t="s">
        <v>44</v>
      </c>
      <c r="C206" s="7"/>
      <c r="D206" s="7"/>
      <c r="E206" s="7"/>
      <c r="F206" s="7"/>
      <c r="G206" s="7"/>
      <c r="H206" s="7"/>
      <c r="I206" s="8"/>
      <c r="J206" s="7"/>
      <c r="K206" s="8">
        <v>350.0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8">
        <v>455.0</v>
      </c>
      <c r="Z206" s="7"/>
      <c r="AA206" s="8">
        <v>445.0</v>
      </c>
      <c r="AB206" s="8"/>
      <c r="AC206" s="7"/>
      <c r="AD206" s="7"/>
      <c r="AE206" s="7"/>
      <c r="AF206" s="7"/>
      <c r="AG206" s="7"/>
      <c r="AH206" s="7"/>
      <c r="AI206" s="7"/>
      <c r="AJ206" s="9">
        <f t="shared" si="2"/>
        <v>350</v>
      </c>
      <c r="AK206" s="9">
        <f t="shared" si="3"/>
        <v>455</v>
      </c>
      <c r="AL206" s="7" t="str">
        <f t="shared" ref="AL206:AM206" si="208">HLOOKUP(AJ206,{$D206:$AI206;$D$1:$AI$1},2,false)</f>
        <v>David</v>
      </c>
      <c r="AM206" s="7" t="str">
        <f t="shared" si="208"/>
        <v>Nancy</v>
      </c>
      <c r="AN206" s="7">
        <f t="shared" si="5"/>
        <v>3</v>
      </c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</row>
    <row r="207">
      <c r="A207" s="5">
        <v>44362.0</v>
      </c>
      <c r="B207" s="6" t="s">
        <v>42</v>
      </c>
      <c r="C207" s="7"/>
      <c r="D207" s="7"/>
      <c r="E207" s="7"/>
      <c r="F207" s="7"/>
      <c r="G207" s="7"/>
      <c r="H207" s="7"/>
      <c r="I207" s="8">
        <v>520.0</v>
      </c>
      <c r="J207" s="7"/>
      <c r="K207" s="8">
        <v>540.0</v>
      </c>
      <c r="L207" s="7"/>
      <c r="M207" s="7"/>
      <c r="N207" s="7"/>
      <c r="O207" s="7"/>
      <c r="P207" s="7"/>
      <c r="Q207" s="8">
        <v>585.0</v>
      </c>
      <c r="R207" s="7"/>
      <c r="S207" s="7"/>
      <c r="T207" s="7"/>
      <c r="U207" s="7"/>
      <c r="V207" s="7"/>
      <c r="W207" s="7"/>
      <c r="X207" s="7"/>
      <c r="Y207" s="8">
        <v>265.0</v>
      </c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9">
        <f t="shared" si="2"/>
        <v>265</v>
      </c>
      <c r="AK207" s="9">
        <f t="shared" si="3"/>
        <v>585</v>
      </c>
      <c r="AL207" s="7" t="str">
        <f t="shared" ref="AL207:AM207" si="209">HLOOKUP(AJ207,{$D207:$AI207;$D$1:$AI$1},2,false)</f>
        <v>Nancy</v>
      </c>
      <c r="AM207" s="7" t="str">
        <f t="shared" si="209"/>
        <v>Jeff M</v>
      </c>
      <c r="AN207" s="7">
        <f t="shared" si="5"/>
        <v>4</v>
      </c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</row>
    <row r="208">
      <c r="A208" s="5">
        <v>44370.0</v>
      </c>
      <c r="B208" s="6" t="s">
        <v>42</v>
      </c>
      <c r="C208" s="7"/>
      <c r="D208" s="7"/>
      <c r="E208" s="7"/>
      <c r="F208" s="7"/>
      <c r="G208" s="7"/>
      <c r="H208" s="7"/>
      <c r="I208" s="8">
        <v>385.0</v>
      </c>
      <c r="J208" s="7"/>
      <c r="K208" s="8">
        <v>695.0</v>
      </c>
      <c r="L208" s="7"/>
      <c r="M208" s="7"/>
      <c r="N208" s="7"/>
      <c r="O208" s="7"/>
      <c r="P208" s="7"/>
      <c r="Q208" s="8">
        <v>765.0</v>
      </c>
      <c r="R208" s="7"/>
      <c r="S208" s="7"/>
      <c r="T208" s="7"/>
      <c r="U208" s="7"/>
      <c r="V208" s="7"/>
      <c r="W208" s="7"/>
      <c r="X208" s="7"/>
      <c r="Y208" s="8">
        <v>265.0</v>
      </c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9">
        <f t="shared" si="2"/>
        <v>265</v>
      </c>
      <c r="AK208" s="9">
        <f t="shared" si="3"/>
        <v>765</v>
      </c>
      <c r="AL208" s="7" t="str">
        <f t="shared" ref="AL208:AM208" si="210">HLOOKUP(AJ208,{$D208:$AI208;$D$1:$AI$1},2,false)</f>
        <v>Nancy</v>
      </c>
      <c r="AM208" s="7" t="str">
        <f t="shared" si="210"/>
        <v>Jeff M</v>
      </c>
      <c r="AN208" s="7">
        <f t="shared" si="5"/>
        <v>4</v>
      </c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</row>
    <row r="209">
      <c r="A209" s="5">
        <v>44374.0</v>
      </c>
      <c r="B209" s="6" t="s">
        <v>42</v>
      </c>
      <c r="C209" s="7"/>
      <c r="D209" s="7"/>
      <c r="E209" s="7"/>
      <c r="F209" s="7"/>
      <c r="G209" s="7"/>
      <c r="H209" s="7"/>
      <c r="I209" s="8">
        <v>505.0</v>
      </c>
      <c r="J209" s="7"/>
      <c r="K209" s="8">
        <v>185.0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8">
        <v>260.0</v>
      </c>
      <c r="Z209" s="7"/>
      <c r="AA209" s="7"/>
      <c r="AB209" s="8">
        <v>1085.0</v>
      </c>
      <c r="AC209" s="7"/>
      <c r="AD209" s="7"/>
      <c r="AE209" s="7"/>
      <c r="AF209" s="7"/>
      <c r="AG209" s="7"/>
      <c r="AH209" s="7"/>
      <c r="AI209" s="7"/>
      <c r="AJ209" s="9">
        <f t="shared" si="2"/>
        <v>185</v>
      </c>
      <c r="AK209" s="9">
        <f t="shared" si="3"/>
        <v>1085</v>
      </c>
      <c r="AL209" s="7" t="str">
        <f t="shared" ref="AL209:AM209" si="211">HLOOKUP(AJ209,{$D209:$AI209;$D$1:$AI$1},2,false)</f>
        <v>David</v>
      </c>
      <c r="AM209" s="7" t="str">
        <f t="shared" si="211"/>
        <v>Sandy</v>
      </c>
      <c r="AN209" s="7">
        <f t="shared" si="5"/>
        <v>4</v>
      </c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</row>
    <row r="210">
      <c r="A210" s="5">
        <v>44375.0</v>
      </c>
      <c r="B210" s="6" t="s">
        <v>42</v>
      </c>
      <c r="C210" s="7"/>
      <c r="D210" s="7"/>
      <c r="E210" s="7"/>
      <c r="F210" s="7"/>
      <c r="G210" s="7"/>
      <c r="H210" s="7"/>
      <c r="I210" s="8">
        <v>320.0</v>
      </c>
      <c r="J210" s="7"/>
      <c r="K210" s="8">
        <v>270.0</v>
      </c>
      <c r="L210" s="7"/>
      <c r="M210" s="7"/>
      <c r="N210" s="7"/>
      <c r="O210" s="7"/>
      <c r="P210" s="7"/>
      <c r="Q210" s="8">
        <v>120.0</v>
      </c>
      <c r="R210" s="7"/>
      <c r="S210" s="7"/>
      <c r="T210" s="7"/>
      <c r="U210" s="7"/>
      <c r="V210" s="7"/>
      <c r="W210" s="7"/>
      <c r="X210" s="7"/>
      <c r="Y210" s="8">
        <v>300.0</v>
      </c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9">
        <f t="shared" si="2"/>
        <v>120</v>
      </c>
      <c r="AK210" s="9">
        <f t="shared" si="3"/>
        <v>320</v>
      </c>
      <c r="AL210" s="7" t="str">
        <f t="shared" ref="AL210:AM210" si="212">HLOOKUP(AJ210,{$D210:$AI210;$D$1:$AI$1},2,false)</f>
        <v>Jeff M</v>
      </c>
      <c r="AM210" s="7" t="str">
        <f t="shared" si="212"/>
        <v>Charlene</v>
      </c>
      <c r="AN210" s="7">
        <f t="shared" si="5"/>
        <v>4</v>
      </c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</row>
    <row r="211">
      <c r="A211" s="5">
        <v>44416.0</v>
      </c>
      <c r="B211" s="6" t="s">
        <v>40</v>
      </c>
      <c r="C211" s="7"/>
      <c r="D211" s="7"/>
      <c r="E211" s="7"/>
      <c r="F211" s="7"/>
      <c r="G211" s="7"/>
      <c r="H211" s="7"/>
      <c r="I211" s="7"/>
      <c r="J211" s="7"/>
      <c r="K211" s="8">
        <v>225.0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8">
        <v>325.0</v>
      </c>
      <c r="Z211" s="7"/>
      <c r="AA211" s="7"/>
      <c r="AB211" s="8">
        <v>420.0</v>
      </c>
      <c r="AC211" s="7"/>
      <c r="AD211" s="7"/>
      <c r="AE211" s="7"/>
      <c r="AF211" s="7"/>
      <c r="AG211" s="7"/>
      <c r="AH211" s="7"/>
      <c r="AI211" s="7"/>
      <c r="AJ211" s="9">
        <f t="shared" si="2"/>
        <v>225</v>
      </c>
      <c r="AK211" s="9">
        <f t="shared" si="3"/>
        <v>420</v>
      </c>
      <c r="AL211" s="7" t="str">
        <f t="shared" ref="AL211:AM211" si="213">HLOOKUP(AJ211,{$D211:$AI211;$D$1:$AI$1},2,false)</f>
        <v>David</v>
      </c>
      <c r="AM211" s="7" t="str">
        <f t="shared" si="213"/>
        <v>Sandy</v>
      </c>
      <c r="AN211" s="7">
        <f t="shared" si="5"/>
        <v>3</v>
      </c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</row>
    <row r="212">
      <c r="A212" s="5">
        <v>44422.0</v>
      </c>
      <c r="B212" s="6" t="s">
        <v>40</v>
      </c>
      <c r="C212" s="8" t="s">
        <v>41</v>
      </c>
      <c r="D212" s="7"/>
      <c r="E212" s="7"/>
      <c r="F212" s="7"/>
      <c r="G212" s="7"/>
      <c r="H212" s="7"/>
      <c r="I212" s="7"/>
      <c r="J212" s="8"/>
      <c r="K212" s="8">
        <v>135.0</v>
      </c>
      <c r="L212" s="8">
        <v>190.0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8">
        <v>40.0</v>
      </c>
      <c r="Z212" s="7"/>
      <c r="AA212" s="7"/>
      <c r="AB212" s="7"/>
      <c r="AC212" s="8">
        <v>385.0</v>
      </c>
      <c r="AD212" s="8"/>
      <c r="AE212" s="7"/>
      <c r="AF212" s="7"/>
      <c r="AG212" s="7"/>
      <c r="AH212" s="7"/>
      <c r="AI212" s="7"/>
      <c r="AJ212" s="9">
        <f t="shared" si="2"/>
        <v>40</v>
      </c>
      <c r="AK212" s="9">
        <f t="shared" si="3"/>
        <v>385</v>
      </c>
      <c r="AL212" s="7" t="str">
        <f t="shared" ref="AL212:AM212" si="214">HLOOKUP(AJ212,{$D212:$AI212;$D$1:$AI$1},2,false)</f>
        <v>Nancy</v>
      </c>
      <c r="AM212" s="7" t="str">
        <f t="shared" si="214"/>
        <v>Sara</v>
      </c>
      <c r="AN212" s="7">
        <f t="shared" si="5"/>
        <v>4</v>
      </c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</row>
    <row r="213">
      <c r="A213" s="5">
        <v>44422.0</v>
      </c>
      <c r="B213" s="6" t="s">
        <v>42</v>
      </c>
      <c r="C213" s="7"/>
      <c r="D213" s="7"/>
      <c r="E213" s="7"/>
      <c r="F213" s="7"/>
      <c r="G213" s="7"/>
      <c r="H213" s="7"/>
      <c r="I213" s="8">
        <v>300.0</v>
      </c>
      <c r="J213" s="7"/>
      <c r="K213" s="8">
        <v>525.0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8">
        <v>525.0</v>
      </c>
      <c r="Z213" s="7"/>
      <c r="AA213" s="7"/>
      <c r="AB213" s="8">
        <v>680.0</v>
      </c>
      <c r="AC213" s="7"/>
      <c r="AD213" s="7"/>
      <c r="AE213" s="7"/>
      <c r="AF213" s="7"/>
      <c r="AG213" s="7"/>
      <c r="AH213" s="7"/>
      <c r="AI213" s="7"/>
      <c r="AJ213" s="9">
        <f t="shared" si="2"/>
        <v>300</v>
      </c>
      <c r="AK213" s="9">
        <f t="shared" si="3"/>
        <v>680</v>
      </c>
      <c r="AL213" s="7" t="str">
        <f t="shared" ref="AL213:AM213" si="215">HLOOKUP(AJ213,{$D213:$AI213;$D$1:$AI$1},2,false)</f>
        <v>Charlene</v>
      </c>
      <c r="AM213" s="7" t="str">
        <f t="shared" si="215"/>
        <v>Sandy</v>
      </c>
      <c r="AN213" s="7">
        <f t="shared" si="5"/>
        <v>4</v>
      </c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</row>
    <row r="214">
      <c r="A214" s="5">
        <v>44423.0</v>
      </c>
      <c r="B214" s="6" t="s">
        <v>40</v>
      </c>
      <c r="C214" s="7"/>
      <c r="D214" s="8"/>
      <c r="E214" s="8"/>
      <c r="F214" s="8"/>
      <c r="G214" s="8"/>
      <c r="H214" s="8"/>
      <c r="I214" s="8">
        <v>260.0</v>
      </c>
      <c r="J214" s="8"/>
      <c r="K214" s="8">
        <v>655.0</v>
      </c>
      <c r="L214" s="8">
        <v>245.0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8">
        <v>235.0</v>
      </c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9">
        <f t="shared" si="2"/>
        <v>235</v>
      </c>
      <c r="AK214" s="9">
        <f t="shared" si="3"/>
        <v>655</v>
      </c>
      <c r="AL214" s="7" t="str">
        <f t="shared" ref="AL214:AM214" si="216">HLOOKUP(AJ214,{$D214:$AI214;$D$1:$AI$1},2,false)</f>
        <v>Nancy</v>
      </c>
      <c r="AM214" s="7" t="str">
        <f t="shared" si="216"/>
        <v>David</v>
      </c>
      <c r="AN214" s="7">
        <f t="shared" si="5"/>
        <v>4</v>
      </c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</row>
    <row r="215">
      <c r="A215" s="5">
        <v>44428.0</v>
      </c>
      <c r="B215" s="6" t="s">
        <v>42</v>
      </c>
      <c r="C215" s="7"/>
      <c r="D215" s="7"/>
      <c r="E215" s="7"/>
      <c r="F215" s="7"/>
      <c r="G215" s="7"/>
      <c r="H215" s="7"/>
      <c r="I215" s="8">
        <v>640.0</v>
      </c>
      <c r="J215" s="7"/>
      <c r="K215" s="8">
        <v>455.0</v>
      </c>
      <c r="L215" s="7"/>
      <c r="M215" s="7"/>
      <c r="N215" s="7"/>
      <c r="O215" s="7"/>
      <c r="P215" s="7"/>
      <c r="Q215" s="8">
        <v>140.0</v>
      </c>
      <c r="R215" s="7"/>
      <c r="S215" s="7"/>
      <c r="T215" s="7"/>
      <c r="U215" s="7"/>
      <c r="V215" s="7"/>
      <c r="W215" s="7"/>
      <c r="X215" s="7"/>
      <c r="Y215" s="8">
        <v>810.0</v>
      </c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9">
        <f t="shared" si="2"/>
        <v>140</v>
      </c>
      <c r="AK215" s="9">
        <f t="shared" si="3"/>
        <v>810</v>
      </c>
      <c r="AL215" s="7" t="str">
        <f t="shared" ref="AL215:AM215" si="217">HLOOKUP(AJ215,{$D215:$AI215;$D$1:$AI$1},2,false)</f>
        <v>Jeff M</v>
      </c>
      <c r="AM215" s="7" t="str">
        <f t="shared" si="217"/>
        <v>Nancy</v>
      </c>
      <c r="AN215" s="7">
        <f t="shared" si="5"/>
        <v>4</v>
      </c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</row>
    <row r="216">
      <c r="A216" s="5">
        <v>44437.0</v>
      </c>
      <c r="B216" s="6" t="s">
        <v>42</v>
      </c>
      <c r="C216" s="7"/>
      <c r="D216" s="7"/>
      <c r="E216" s="7"/>
      <c r="F216" s="7"/>
      <c r="G216" s="7"/>
      <c r="H216" s="7"/>
      <c r="I216" s="8">
        <v>645.0</v>
      </c>
      <c r="J216" s="7"/>
      <c r="K216" s="8">
        <v>705.0</v>
      </c>
      <c r="L216" s="8">
        <v>745.0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8">
        <v>255.0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9">
        <f t="shared" si="2"/>
        <v>255</v>
      </c>
      <c r="AK216" s="9">
        <f t="shared" si="3"/>
        <v>745</v>
      </c>
      <c r="AL216" s="7" t="str">
        <f t="shared" ref="AL216:AM216" si="218">HLOOKUP(AJ216,{$D216:$AI216;$D$1:$AI$1},2,false)</f>
        <v>Nancy</v>
      </c>
      <c r="AM216" s="7" t="str">
        <f t="shared" si="218"/>
        <v>Debby</v>
      </c>
      <c r="AN216" s="7">
        <f t="shared" si="5"/>
        <v>4</v>
      </c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</row>
    <row r="217">
      <c r="A217" s="5">
        <v>44500.0</v>
      </c>
      <c r="B217" s="6" t="s">
        <v>40</v>
      </c>
      <c r="C217" s="8"/>
      <c r="D217" s="7"/>
      <c r="E217" s="7"/>
      <c r="F217" s="7"/>
      <c r="G217" s="7"/>
      <c r="H217" s="7"/>
      <c r="I217" s="7"/>
      <c r="J217" s="8"/>
      <c r="K217" s="8">
        <v>290.0</v>
      </c>
      <c r="L217" s="7"/>
      <c r="M217" s="8"/>
      <c r="N217" s="8">
        <v>565.0</v>
      </c>
      <c r="O217" s="7"/>
      <c r="P217" s="7"/>
      <c r="Q217" s="7"/>
      <c r="R217" s="8"/>
      <c r="S217" s="8"/>
      <c r="T217" s="8"/>
      <c r="U217" s="8"/>
      <c r="V217" s="8"/>
      <c r="W217" s="8"/>
      <c r="X217" s="8">
        <v>740.0</v>
      </c>
      <c r="Y217" s="8">
        <v>360.0</v>
      </c>
      <c r="Z217" s="7"/>
      <c r="AA217" s="7"/>
      <c r="AB217" s="7"/>
      <c r="AC217" s="8"/>
      <c r="AD217" s="8"/>
      <c r="AE217" s="7"/>
      <c r="AF217" s="7"/>
      <c r="AG217" s="7"/>
      <c r="AH217" s="7"/>
      <c r="AI217" s="7"/>
      <c r="AJ217" s="9">
        <f t="shared" si="2"/>
        <v>290</v>
      </c>
      <c r="AK217" s="9">
        <f t="shared" si="3"/>
        <v>740</v>
      </c>
      <c r="AL217" s="7" t="str">
        <f t="shared" ref="AL217:AM217" si="219">HLOOKUP(AJ217,{$D217:$AI217;$D$1:$AI$1},2,false)</f>
        <v>David</v>
      </c>
      <c r="AM217" s="7" t="str">
        <f t="shared" si="219"/>
        <v>Melissa</v>
      </c>
      <c r="AN217" s="7">
        <f t="shared" si="5"/>
        <v>4</v>
      </c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</row>
    <row r="218">
      <c r="A218" s="5">
        <v>44500.0</v>
      </c>
      <c r="B218" s="6" t="s">
        <v>40</v>
      </c>
      <c r="C218" s="8"/>
      <c r="D218" s="8"/>
      <c r="E218" s="8"/>
      <c r="F218" s="8"/>
      <c r="G218" s="8"/>
      <c r="H218" s="8"/>
      <c r="I218" s="8">
        <v>485.0</v>
      </c>
      <c r="J218" s="8"/>
      <c r="K218" s="8">
        <v>540.0</v>
      </c>
      <c r="L218" s="8">
        <v>340.0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8">
        <v>675.0</v>
      </c>
      <c r="Z218" s="8"/>
      <c r="AA218" s="8"/>
      <c r="AB218" s="8">
        <v>705.0</v>
      </c>
      <c r="AC218" s="7"/>
      <c r="AD218" s="7"/>
      <c r="AE218" s="7"/>
      <c r="AF218" s="7"/>
      <c r="AG218" s="7"/>
      <c r="AH218" s="7"/>
      <c r="AI218" s="7"/>
      <c r="AJ218" s="9">
        <f t="shared" si="2"/>
        <v>340</v>
      </c>
      <c r="AK218" s="9">
        <f t="shared" si="3"/>
        <v>705</v>
      </c>
      <c r="AL218" s="7" t="str">
        <f t="shared" ref="AL218:AM218" si="220">HLOOKUP(AJ218,{$D218:$AI218;$D$1:$AI$1},2,false)</f>
        <v>Debby</v>
      </c>
      <c r="AM218" s="7" t="str">
        <f t="shared" si="220"/>
        <v>Sandy</v>
      </c>
      <c r="AN218" s="7">
        <f t="shared" si="5"/>
        <v>5</v>
      </c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</row>
    <row r="219">
      <c r="A219" s="5">
        <v>44538.0</v>
      </c>
      <c r="B219" s="6" t="s">
        <v>44</v>
      </c>
      <c r="C219" s="8"/>
      <c r="D219" s="8"/>
      <c r="E219" s="8"/>
      <c r="F219" s="8"/>
      <c r="G219" s="8"/>
      <c r="H219" s="8">
        <v>170.0</v>
      </c>
      <c r="I219" s="8"/>
      <c r="J219" s="8"/>
      <c r="K219" s="8">
        <v>580.0</v>
      </c>
      <c r="L219" s="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8">
        <v>310.0</v>
      </c>
      <c r="Z219" s="8"/>
      <c r="AA219" s="8">
        <v>745.0</v>
      </c>
      <c r="AB219" s="8"/>
      <c r="AC219" s="7"/>
      <c r="AD219" s="7"/>
      <c r="AE219" s="7"/>
      <c r="AF219" s="7"/>
      <c r="AG219" s="7"/>
      <c r="AH219" s="7"/>
      <c r="AI219" s="7"/>
      <c r="AJ219" s="9">
        <f t="shared" si="2"/>
        <v>170</v>
      </c>
      <c r="AK219" s="9">
        <f t="shared" si="3"/>
        <v>745</v>
      </c>
      <c r="AL219" s="7" t="str">
        <f t="shared" ref="AL219:AM219" si="221">HLOOKUP(AJ219,{$D219:$AI219;$D$1:$AI$1},2,false)</f>
        <v>Candace</v>
      </c>
      <c r="AM219" s="7" t="str">
        <f t="shared" si="221"/>
        <v>Sally</v>
      </c>
      <c r="AN219" s="7">
        <f t="shared" si="5"/>
        <v>4</v>
      </c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</row>
    <row r="220">
      <c r="A220" s="5">
        <v>44539.0</v>
      </c>
      <c r="B220" s="6" t="s">
        <v>44</v>
      </c>
      <c r="C220" s="8"/>
      <c r="D220" s="8"/>
      <c r="E220" s="8"/>
      <c r="F220" s="8"/>
      <c r="G220" s="8"/>
      <c r="H220" s="8"/>
      <c r="I220" s="8"/>
      <c r="J220" s="8"/>
      <c r="K220" s="8">
        <v>465.0</v>
      </c>
      <c r="L220" s="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8">
        <v>185.0</v>
      </c>
      <c r="Z220" s="8"/>
      <c r="AA220" s="8">
        <v>115.0</v>
      </c>
      <c r="AB220" s="8"/>
      <c r="AC220" s="7"/>
      <c r="AD220" s="7"/>
      <c r="AE220" s="7"/>
      <c r="AF220" s="7"/>
      <c r="AG220" s="7"/>
      <c r="AH220" s="7"/>
      <c r="AI220" s="7"/>
      <c r="AJ220" s="9">
        <f t="shared" si="2"/>
        <v>115</v>
      </c>
      <c r="AK220" s="9">
        <f t="shared" si="3"/>
        <v>465</v>
      </c>
      <c r="AL220" s="7" t="str">
        <f t="shared" ref="AL220:AM220" si="222">HLOOKUP(AJ220,{$D220:$AI220;$D$1:$AI$1},2,false)</f>
        <v>Sally</v>
      </c>
      <c r="AM220" s="7" t="str">
        <f t="shared" si="222"/>
        <v>David</v>
      </c>
      <c r="AN220" s="7">
        <f t="shared" si="5"/>
        <v>3</v>
      </c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</row>
    <row r="221">
      <c r="A221" s="5">
        <v>44562.0</v>
      </c>
      <c r="B221" s="6" t="s">
        <v>42</v>
      </c>
      <c r="C221" s="7"/>
      <c r="D221" s="7"/>
      <c r="E221" s="7"/>
      <c r="F221" s="7"/>
      <c r="G221" s="7"/>
      <c r="H221" s="7"/>
      <c r="I221" s="8">
        <v>850.0</v>
      </c>
      <c r="J221" s="7"/>
      <c r="K221" s="8">
        <v>395.0</v>
      </c>
      <c r="L221" s="8">
        <v>515.0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8">
        <v>280.0</v>
      </c>
      <c r="Z221" s="7"/>
      <c r="AA221" s="7"/>
      <c r="AB221" s="8">
        <v>705.0</v>
      </c>
      <c r="AC221" s="7"/>
      <c r="AD221" s="7"/>
      <c r="AE221" s="7"/>
      <c r="AF221" s="7"/>
      <c r="AG221" s="7"/>
      <c r="AH221" s="7"/>
      <c r="AI221" s="7"/>
      <c r="AJ221" s="9">
        <f t="shared" si="2"/>
        <v>280</v>
      </c>
      <c r="AK221" s="9">
        <f t="shared" si="3"/>
        <v>850</v>
      </c>
      <c r="AL221" s="7" t="str">
        <f t="shared" ref="AL221:AM221" si="223">HLOOKUP(AJ221,{$D221:$AI221;$D$1:$AI$1},2,false)</f>
        <v>Nancy</v>
      </c>
      <c r="AM221" s="7" t="str">
        <f t="shared" si="223"/>
        <v>Charlene</v>
      </c>
      <c r="AN221" s="7">
        <f t="shared" si="5"/>
        <v>5</v>
      </c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</row>
    <row r="222">
      <c r="A222" s="5">
        <v>44581.0</v>
      </c>
      <c r="B222" s="6" t="s">
        <v>40</v>
      </c>
      <c r="C222" s="7"/>
      <c r="D222" s="7"/>
      <c r="E222" s="7"/>
      <c r="F222" s="7"/>
      <c r="G222" s="7"/>
      <c r="H222" s="7"/>
      <c r="I222" s="8">
        <v>720.0</v>
      </c>
      <c r="J222" s="8"/>
      <c r="K222" s="8">
        <v>345.0</v>
      </c>
      <c r="L222" s="8">
        <v>590.0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8">
        <v>300.0</v>
      </c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9">
        <f t="shared" si="2"/>
        <v>300</v>
      </c>
      <c r="AK222" s="9">
        <f t="shared" si="3"/>
        <v>720</v>
      </c>
      <c r="AL222" s="7" t="str">
        <f t="shared" ref="AL222:AM222" si="224">HLOOKUP(AJ222,{$D222:$AI222;$D$1:$AI$1},2,false)</f>
        <v>Nancy</v>
      </c>
      <c r="AM222" s="7" t="str">
        <f t="shared" si="224"/>
        <v>Charlene</v>
      </c>
      <c r="AN222" s="7">
        <f t="shared" si="5"/>
        <v>4</v>
      </c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</row>
    <row r="223">
      <c r="A223" s="5">
        <v>44595.0</v>
      </c>
      <c r="B223" s="6" t="s">
        <v>40</v>
      </c>
      <c r="C223" s="7"/>
      <c r="D223" s="7"/>
      <c r="E223" s="7"/>
      <c r="F223" s="7"/>
      <c r="G223" s="7"/>
      <c r="H223" s="7"/>
      <c r="I223" s="8">
        <v>455.0</v>
      </c>
      <c r="J223" s="8"/>
      <c r="K223" s="8">
        <v>580.0</v>
      </c>
      <c r="L223" s="8">
        <v>615.0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8">
        <v>195.0</v>
      </c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9">
        <f t="shared" si="2"/>
        <v>195</v>
      </c>
      <c r="AK223" s="9">
        <f t="shared" si="3"/>
        <v>615</v>
      </c>
      <c r="AL223" s="7" t="str">
        <f t="shared" ref="AL223:AM223" si="225">HLOOKUP(AJ223,{$D223:$AI223;$D$1:$AI$1},2,false)</f>
        <v>Nancy</v>
      </c>
      <c r="AM223" s="7" t="str">
        <f t="shared" si="225"/>
        <v>Debby</v>
      </c>
      <c r="AN223" s="7">
        <f t="shared" si="5"/>
        <v>4</v>
      </c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</row>
    <row r="224">
      <c r="A224" s="5">
        <v>44602.0</v>
      </c>
      <c r="B224" s="6" t="s">
        <v>40</v>
      </c>
      <c r="C224" s="7"/>
      <c r="D224" s="8"/>
      <c r="E224" s="8"/>
      <c r="F224" s="8"/>
      <c r="G224" s="8"/>
      <c r="H224" s="8"/>
      <c r="I224" s="8">
        <v>330.0</v>
      </c>
      <c r="J224" s="8"/>
      <c r="K224" s="8">
        <v>300.0</v>
      </c>
      <c r="L224" s="8">
        <v>495.0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8">
        <v>475.0</v>
      </c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9">
        <f t="shared" si="2"/>
        <v>300</v>
      </c>
      <c r="AK224" s="9">
        <f t="shared" si="3"/>
        <v>495</v>
      </c>
      <c r="AL224" s="7" t="str">
        <f t="shared" ref="AL224:AM224" si="226">HLOOKUP(AJ224,{$D224:$AI224;$D$1:$AI$1},2,false)</f>
        <v>David</v>
      </c>
      <c r="AM224" s="7" t="str">
        <f t="shared" si="226"/>
        <v>Debby</v>
      </c>
      <c r="AN224" s="7">
        <f t="shared" si="5"/>
        <v>4</v>
      </c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</row>
    <row r="225">
      <c r="A225" s="5">
        <v>44623.0</v>
      </c>
      <c r="B225" s="6" t="s">
        <v>40</v>
      </c>
      <c r="C225" s="7"/>
      <c r="D225" s="8"/>
      <c r="E225" s="8"/>
      <c r="F225" s="8"/>
      <c r="G225" s="8"/>
      <c r="H225" s="8"/>
      <c r="I225" s="8">
        <v>605.0</v>
      </c>
      <c r="J225" s="8"/>
      <c r="K225" s="8">
        <v>200.0</v>
      </c>
      <c r="L225" s="8">
        <v>630.0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8">
        <v>285.0</v>
      </c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9">
        <f t="shared" si="2"/>
        <v>200</v>
      </c>
      <c r="AK225" s="9">
        <f t="shared" si="3"/>
        <v>630</v>
      </c>
      <c r="AL225" s="7" t="str">
        <f t="shared" ref="AL225:AM225" si="227">HLOOKUP(AJ225,{$D225:$AI225;$D$1:$AI$1},2,false)</f>
        <v>David</v>
      </c>
      <c r="AM225" s="7" t="str">
        <f t="shared" si="227"/>
        <v>Debby</v>
      </c>
      <c r="AN225" s="7">
        <f t="shared" si="5"/>
        <v>4</v>
      </c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</row>
    <row r="226">
      <c r="A226" s="5">
        <v>44664.0</v>
      </c>
      <c r="B226" s="10" t="s">
        <v>44</v>
      </c>
      <c r="C226" s="8" t="s">
        <v>41</v>
      </c>
      <c r="D226" s="8"/>
      <c r="E226" s="8"/>
      <c r="F226" s="8"/>
      <c r="G226" s="8"/>
      <c r="H226" s="8"/>
      <c r="I226" s="8"/>
      <c r="J226" s="8"/>
      <c r="K226" s="8"/>
      <c r="L226" s="8"/>
      <c r="M226" s="7"/>
      <c r="N226" s="7"/>
      <c r="O226" s="7"/>
      <c r="P226" s="7"/>
      <c r="Q226" s="7"/>
      <c r="R226" s="7"/>
      <c r="S226" s="7"/>
      <c r="T226" s="7"/>
      <c r="U226" s="7"/>
      <c r="V226" s="8">
        <v>65.0</v>
      </c>
      <c r="W226" s="7"/>
      <c r="X226" s="7"/>
      <c r="Y226" s="8"/>
      <c r="Z226" s="7"/>
      <c r="AA226" s="8">
        <v>160.0</v>
      </c>
      <c r="AB226" s="7"/>
      <c r="AC226" s="8">
        <v>235.0</v>
      </c>
      <c r="AD226" s="8"/>
      <c r="AE226" s="7"/>
      <c r="AF226" s="7"/>
      <c r="AG226" s="7"/>
      <c r="AH226" s="7"/>
      <c r="AI226" s="7"/>
      <c r="AJ226" s="9">
        <f t="shared" si="2"/>
        <v>65</v>
      </c>
      <c r="AK226" s="9">
        <f t="shared" si="3"/>
        <v>235</v>
      </c>
      <c r="AL226" s="7" t="str">
        <f t="shared" ref="AL226:AM226" si="228">HLOOKUP(AJ226,{$D226:$AI226;$D$1:$AI$1},2,false)</f>
        <v>Karen</v>
      </c>
      <c r="AM226" s="7" t="str">
        <f t="shared" si="228"/>
        <v>Sara</v>
      </c>
      <c r="AN226" s="7">
        <f t="shared" si="5"/>
        <v>3</v>
      </c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</row>
    <row r="227">
      <c r="A227" s="5">
        <v>44665.0</v>
      </c>
      <c r="B227" s="10" t="s">
        <v>44</v>
      </c>
      <c r="C227" s="8" t="s">
        <v>41</v>
      </c>
      <c r="D227" s="8"/>
      <c r="E227" s="8"/>
      <c r="F227" s="8"/>
      <c r="G227" s="8"/>
      <c r="H227" s="8"/>
      <c r="I227" s="8"/>
      <c r="J227" s="8"/>
      <c r="K227" s="8">
        <v>20.0</v>
      </c>
      <c r="L227" s="8"/>
      <c r="M227" s="7"/>
      <c r="N227" s="7"/>
      <c r="O227" s="7"/>
      <c r="P227" s="7"/>
      <c r="Q227" s="7"/>
      <c r="R227" s="7"/>
      <c r="S227" s="7"/>
      <c r="T227" s="7"/>
      <c r="U227" s="7"/>
      <c r="V227" s="8">
        <v>235.0</v>
      </c>
      <c r="W227" s="7"/>
      <c r="X227" s="7"/>
      <c r="Y227" s="8">
        <v>170.0</v>
      </c>
      <c r="Z227" s="7"/>
      <c r="AA227" s="8">
        <v>270.0</v>
      </c>
      <c r="AB227" s="7"/>
      <c r="AC227" s="7"/>
      <c r="AD227" s="7"/>
      <c r="AE227" s="7"/>
      <c r="AF227" s="7"/>
      <c r="AG227" s="7"/>
      <c r="AH227" s="7"/>
      <c r="AI227" s="7"/>
      <c r="AJ227" s="9">
        <f t="shared" si="2"/>
        <v>20</v>
      </c>
      <c r="AK227" s="9">
        <f t="shared" si="3"/>
        <v>270</v>
      </c>
      <c r="AL227" s="7" t="str">
        <f t="shared" ref="AL227:AM227" si="229">HLOOKUP(AJ227,{$D227:$AI227;$D$1:$AI$1},2,false)</f>
        <v>David</v>
      </c>
      <c r="AM227" s="7" t="str">
        <f t="shared" si="229"/>
        <v>Sally</v>
      </c>
      <c r="AN227" s="7">
        <f t="shared" si="5"/>
        <v>4</v>
      </c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</row>
    <row r="228">
      <c r="A228" s="5">
        <v>44673.0</v>
      </c>
      <c r="B228" s="6" t="s">
        <v>40</v>
      </c>
      <c r="C228" s="7"/>
      <c r="D228" s="7"/>
      <c r="E228" s="7"/>
      <c r="F228" s="7"/>
      <c r="G228" s="7"/>
      <c r="H228" s="7"/>
      <c r="I228" s="8">
        <v>555.0</v>
      </c>
      <c r="J228" s="8"/>
      <c r="K228" s="8">
        <v>490.0</v>
      </c>
      <c r="L228" s="8">
        <v>475.0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8">
        <v>345.0</v>
      </c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9">
        <f t="shared" si="2"/>
        <v>345</v>
      </c>
      <c r="AK228" s="9">
        <f t="shared" si="3"/>
        <v>555</v>
      </c>
      <c r="AL228" s="7" t="str">
        <f t="shared" ref="AL228:AM228" si="230">HLOOKUP(AJ228,{$D228:$AI228;$D$1:$AI$1},2,false)</f>
        <v>Nancy</v>
      </c>
      <c r="AM228" s="7" t="str">
        <f t="shared" si="230"/>
        <v>Charlene</v>
      </c>
      <c r="AN228" s="7">
        <f t="shared" si="5"/>
        <v>4</v>
      </c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</row>
    <row r="229">
      <c r="A229" s="5">
        <v>44679.0</v>
      </c>
      <c r="B229" s="6" t="s">
        <v>40</v>
      </c>
      <c r="C229" s="7"/>
      <c r="D229" s="7"/>
      <c r="E229" s="7"/>
      <c r="F229" s="7"/>
      <c r="G229" s="7"/>
      <c r="H229" s="7"/>
      <c r="I229" s="8">
        <v>625.0</v>
      </c>
      <c r="J229" s="8"/>
      <c r="K229" s="8">
        <v>495.0</v>
      </c>
      <c r="L229" s="8">
        <v>705.0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8">
        <v>450.0</v>
      </c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9">
        <f t="shared" si="2"/>
        <v>450</v>
      </c>
      <c r="AK229" s="9">
        <f t="shared" si="3"/>
        <v>705</v>
      </c>
      <c r="AL229" s="7" t="str">
        <f t="shared" ref="AL229:AM229" si="231">HLOOKUP(AJ229,{$D229:$AI229;$D$1:$AI$1},2,false)</f>
        <v>Nancy</v>
      </c>
      <c r="AM229" s="7" t="str">
        <f t="shared" si="231"/>
        <v>Debby</v>
      </c>
      <c r="AN229" s="7">
        <f t="shared" si="5"/>
        <v>4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</row>
    <row r="230">
      <c r="A230" s="5">
        <v>44681.0</v>
      </c>
      <c r="B230" s="6" t="s">
        <v>42</v>
      </c>
      <c r="C230" s="7"/>
      <c r="D230" s="7"/>
      <c r="E230" s="7"/>
      <c r="F230" s="7"/>
      <c r="G230" s="7"/>
      <c r="H230" s="7"/>
      <c r="I230" s="8">
        <v>410.0</v>
      </c>
      <c r="J230" s="7"/>
      <c r="K230" s="7"/>
      <c r="L230" s="8">
        <v>605.0</v>
      </c>
      <c r="M230" s="7"/>
      <c r="N230" s="7"/>
      <c r="O230" s="7"/>
      <c r="P230" s="7"/>
      <c r="Q230" s="8">
        <v>330.0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8">
        <v>375.0</v>
      </c>
      <c r="AC230" s="7"/>
      <c r="AD230" s="7"/>
      <c r="AE230" s="7"/>
      <c r="AF230" s="7"/>
      <c r="AG230" s="7"/>
      <c r="AH230" s="7"/>
      <c r="AI230" s="7"/>
      <c r="AJ230" s="9">
        <f t="shared" si="2"/>
        <v>330</v>
      </c>
      <c r="AK230" s="9">
        <f t="shared" si="3"/>
        <v>605</v>
      </c>
      <c r="AL230" s="7" t="str">
        <f t="shared" ref="AL230:AM230" si="232">HLOOKUP(AJ230,{$D230:$AI230;$D$1:$AI$1},2,false)</f>
        <v>Jeff M</v>
      </c>
      <c r="AM230" s="7" t="str">
        <f t="shared" si="232"/>
        <v>Debby</v>
      </c>
      <c r="AN230" s="7">
        <f t="shared" si="5"/>
        <v>4</v>
      </c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</row>
    <row r="231">
      <c r="A231" s="5">
        <v>44686.0</v>
      </c>
      <c r="B231" s="6" t="s">
        <v>40</v>
      </c>
      <c r="C231" s="7"/>
      <c r="D231" s="7"/>
      <c r="E231" s="7"/>
      <c r="F231" s="7"/>
      <c r="G231" s="7"/>
      <c r="H231" s="7"/>
      <c r="I231" s="8">
        <v>335.0</v>
      </c>
      <c r="J231" s="8"/>
      <c r="K231" s="8">
        <v>285.0</v>
      </c>
      <c r="L231" s="7"/>
      <c r="M231" s="7"/>
      <c r="N231" s="7"/>
      <c r="O231" s="8"/>
      <c r="P231" s="8"/>
      <c r="Q231" s="8">
        <v>140.0</v>
      </c>
      <c r="R231" s="7"/>
      <c r="S231" s="7"/>
      <c r="T231" s="7"/>
      <c r="U231" s="7"/>
      <c r="V231" s="7"/>
      <c r="W231" s="7"/>
      <c r="X231" s="7"/>
      <c r="Y231" s="8">
        <v>465.0</v>
      </c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9">
        <f t="shared" si="2"/>
        <v>140</v>
      </c>
      <c r="AK231" s="9">
        <f t="shared" si="3"/>
        <v>465</v>
      </c>
      <c r="AL231" s="7" t="str">
        <f t="shared" ref="AL231:AM231" si="233">HLOOKUP(AJ231,{$D231:$AI231;$D$1:$AI$1},2,false)</f>
        <v>Jeff M</v>
      </c>
      <c r="AM231" s="7" t="str">
        <f t="shared" si="233"/>
        <v>Nancy</v>
      </c>
      <c r="AN231" s="7">
        <f t="shared" si="5"/>
        <v>4</v>
      </c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</row>
    <row r="232">
      <c r="A232" s="5">
        <v>44688.0</v>
      </c>
      <c r="B232" s="6" t="s">
        <v>40</v>
      </c>
      <c r="C232" s="7"/>
      <c r="D232" s="7"/>
      <c r="E232" s="7"/>
      <c r="F232" s="7"/>
      <c r="G232" s="7"/>
      <c r="H232" s="7"/>
      <c r="I232" s="8">
        <v>355.0</v>
      </c>
      <c r="J232" s="8"/>
      <c r="K232" s="8">
        <v>250.0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8">
        <v>330.0</v>
      </c>
      <c r="Z232" s="7"/>
      <c r="AA232" s="7"/>
      <c r="AB232" s="8">
        <v>645.0</v>
      </c>
      <c r="AC232" s="7"/>
      <c r="AD232" s="7"/>
      <c r="AE232" s="7"/>
      <c r="AF232" s="7"/>
      <c r="AG232" s="7"/>
      <c r="AH232" s="7"/>
      <c r="AI232" s="7"/>
      <c r="AJ232" s="9">
        <f t="shared" si="2"/>
        <v>250</v>
      </c>
      <c r="AK232" s="9">
        <f t="shared" si="3"/>
        <v>645</v>
      </c>
      <c r="AL232" s="7" t="str">
        <f t="shared" ref="AL232:AM232" si="234">HLOOKUP(AJ232,{$D232:$AI232;$D$1:$AI$1},2,false)</f>
        <v>David</v>
      </c>
      <c r="AM232" s="7" t="str">
        <f t="shared" si="234"/>
        <v>Sandy</v>
      </c>
      <c r="AN232" s="7">
        <f t="shared" si="5"/>
        <v>4</v>
      </c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</row>
    <row r="233">
      <c r="A233" s="5">
        <v>44689.0</v>
      </c>
      <c r="B233" s="6" t="s">
        <v>42</v>
      </c>
      <c r="C233" s="7"/>
      <c r="D233" s="7"/>
      <c r="E233" s="7"/>
      <c r="F233" s="7"/>
      <c r="G233" s="7"/>
      <c r="H233" s="7"/>
      <c r="I233" s="8">
        <v>160.0</v>
      </c>
      <c r="J233" s="7"/>
      <c r="K233" s="8">
        <v>445.0</v>
      </c>
      <c r="L233" s="7"/>
      <c r="M233" s="7"/>
      <c r="N233" s="7"/>
      <c r="O233" s="7"/>
      <c r="P233" s="7"/>
      <c r="Q233" s="7"/>
      <c r="R233" s="7"/>
      <c r="S233" s="7"/>
      <c r="T233" s="7"/>
      <c r="U233" s="8">
        <v>630.0</v>
      </c>
      <c r="V233" s="7"/>
      <c r="W233" s="7"/>
      <c r="X233" s="7"/>
      <c r="Y233" s="8">
        <v>705.0</v>
      </c>
      <c r="Z233" s="7"/>
      <c r="AA233" s="7"/>
      <c r="AB233" s="8">
        <v>660.0</v>
      </c>
      <c r="AC233" s="7"/>
      <c r="AD233" s="7"/>
      <c r="AE233" s="8">
        <v>605.0</v>
      </c>
      <c r="AF233" s="7"/>
      <c r="AG233" s="7"/>
      <c r="AH233" s="7"/>
      <c r="AI233" s="7"/>
      <c r="AJ233" s="9">
        <f t="shared" si="2"/>
        <v>160</v>
      </c>
      <c r="AK233" s="9">
        <f t="shared" si="3"/>
        <v>705</v>
      </c>
      <c r="AL233" s="7" t="str">
        <f t="shared" ref="AL233:AM233" si="235">HLOOKUP(AJ233,{$D233:$AI233;$D$1:$AI$1},2,false)</f>
        <v>Charlene</v>
      </c>
      <c r="AM233" s="7" t="str">
        <f t="shared" si="235"/>
        <v>Nancy</v>
      </c>
      <c r="AN233" s="7">
        <f t="shared" si="5"/>
        <v>6</v>
      </c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</row>
    <row r="234">
      <c r="A234" s="5">
        <v>44700.0</v>
      </c>
      <c r="B234" s="6" t="s">
        <v>40</v>
      </c>
      <c r="C234" s="7"/>
      <c r="D234" s="7"/>
      <c r="E234" s="7"/>
      <c r="F234" s="7"/>
      <c r="G234" s="7"/>
      <c r="H234" s="7"/>
      <c r="I234" s="8">
        <v>540.0</v>
      </c>
      <c r="J234" s="8"/>
      <c r="K234" s="8">
        <v>520.0</v>
      </c>
      <c r="L234" s="8">
        <v>715.0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8">
        <v>500.0</v>
      </c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9">
        <f t="shared" si="2"/>
        <v>500</v>
      </c>
      <c r="AK234" s="9">
        <f t="shared" si="3"/>
        <v>715</v>
      </c>
      <c r="AL234" s="7" t="str">
        <f t="shared" ref="AL234:AM234" si="236">HLOOKUP(AJ234,{$D234:$AI234;$D$1:$AI$1},2,false)</f>
        <v>Nancy</v>
      </c>
      <c r="AM234" s="7" t="str">
        <f t="shared" si="236"/>
        <v>Debby</v>
      </c>
      <c r="AN234" s="7">
        <f t="shared" si="5"/>
        <v>4</v>
      </c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</row>
    <row r="235">
      <c r="A235" s="5">
        <v>44702.0</v>
      </c>
      <c r="B235" s="6" t="s">
        <v>42</v>
      </c>
      <c r="C235" s="7"/>
      <c r="D235" s="7"/>
      <c r="E235" s="7"/>
      <c r="F235" s="7"/>
      <c r="G235" s="7"/>
      <c r="H235" s="7"/>
      <c r="I235" s="8">
        <v>330.0</v>
      </c>
      <c r="J235" s="7"/>
      <c r="K235" s="8">
        <v>310.0</v>
      </c>
      <c r="L235" s="8">
        <v>645.0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8">
        <v>165.0</v>
      </c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9">
        <f t="shared" si="2"/>
        <v>165</v>
      </c>
      <c r="AK235" s="9">
        <f t="shared" si="3"/>
        <v>645</v>
      </c>
      <c r="AL235" s="7" t="str">
        <f t="shared" ref="AL235:AM235" si="237">HLOOKUP(AJ235,{$D235:$AI235;$D$1:$AI$1},2,false)</f>
        <v>Nancy</v>
      </c>
      <c r="AM235" s="7" t="str">
        <f t="shared" si="237"/>
        <v>Debby</v>
      </c>
      <c r="AN235" s="7">
        <f t="shared" si="5"/>
        <v>4</v>
      </c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</row>
    <row r="236">
      <c r="A236" s="5">
        <v>44709.0</v>
      </c>
      <c r="B236" s="6" t="s">
        <v>40</v>
      </c>
      <c r="C236" s="7"/>
      <c r="D236" s="7"/>
      <c r="E236" s="7"/>
      <c r="F236" s="7"/>
      <c r="G236" s="7"/>
      <c r="H236" s="7"/>
      <c r="I236" s="8">
        <v>365.0</v>
      </c>
      <c r="J236" s="8"/>
      <c r="K236" s="8">
        <v>190.0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8">
        <v>375.0</v>
      </c>
      <c r="Z236" s="8"/>
      <c r="AA236" s="8">
        <v>715.0</v>
      </c>
      <c r="AB236" s="7"/>
      <c r="AC236" s="7"/>
      <c r="AD236" s="7"/>
      <c r="AE236" s="7"/>
      <c r="AF236" s="7"/>
      <c r="AG236" s="7"/>
      <c r="AH236" s="7"/>
      <c r="AI236" s="7"/>
      <c r="AJ236" s="9">
        <f t="shared" si="2"/>
        <v>190</v>
      </c>
      <c r="AK236" s="9">
        <f t="shared" si="3"/>
        <v>715</v>
      </c>
      <c r="AL236" s="7" t="str">
        <f t="shared" ref="AL236:AM236" si="238">HLOOKUP(AJ236,{$D236:$AI236;$D$1:$AI$1},2,false)</f>
        <v>David</v>
      </c>
      <c r="AM236" s="7" t="str">
        <f t="shared" si="238"/>
        <v>Sally</v>
      </c>
      <c r="AN236" s="7">
        <f t="shared" si="5"/>
        <v>4</v>
      </c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</row>
    <row r="237">
      <c r="A237" s="5">
        <v>44710.0</v>
      </c>
      <c r="B237" s="6" t="s">
        <v>52</v>
      </c>
      <c r="C237" s="7"/>
      <c r="D237" s="7"/>
      <c r="E237" s="7"/>
      <c r="F237" s="7"/>
      <c r="G237" s="7"/>
      <c r="H237" s="7"/>
      <c r="I237" s="8">
        <v>345.0</v>
      </c>
      <c r="J237" s="7"/>
      <c r="K237" s="7"/>
      <c r="L237" s="7"/>
      <c r="M237" s="8">
        <v>620.0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8">
        <v>460.0</v>
      </c>
      <c r="Z237" s="8"/>
      <c r="AA237" s="8">
        <v>350.0</v>
      </c>
      <c r="AB237" s="7"/>
      <c r="AC237" s="7"/>
      <c r="AD237" s="7"/>
      <c r="AE237" s="7"/>
      <c r="AF237" s="7"/>
      <c r="AG237" s="7"/>
      <c r="AH237" s="7"/>
      <c r="AI237" s="7"/>
      <c r="AJ237" s="9">
        <f t="shared" si="2"/>
        <v>345</v>
      </c>
      <c r="AK237" s="9">
        <f t="shared" si="3"/>
        <v>620</v>
      </c>
      <c r="AL237" s="7" t="str">
        <f t="shared" ref="AL237:AM237" si="239">HLOOKUP(AJ237,{$D237:$AI237;$D$1:$AI$1},2,false)</f>
        <v>Charlene</v>
      </c>
      <c r="AM237" s="7" t="str">
        <f t="shared" si="239"/>
        <v>Espy</v>
      </c>
      <c r="AN237" s="7">
        <f t="shared" si="5"/>
        <v>4</v>
      </c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</row>
    <row r="238">
      <c r="A238" s="5">
        <v>44711.0</v>
      </c>
      <c r="B238" s="6" t="s">
        <v>53</v>
      </c>
      <c r="C238" s="7"/>
      <c r="D238" s="7"/>
      <c r="E238" s="7"/>
      <c r="F238" s="7"/>
      <c r="G238" s="7"/>
      <c r="H238" s="7"/>
      <c r="I238" s="7"/>
      <c r="J238" s="8"/>
      <c r="K238" s="8">
        <v>610.0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8">
        <v>265.0</v>
      </c>
      <c r="Z238" s="8"/>
      <c r="AA238" s="8">
        <v>110.0</v>
      </c>
      <c r="AB238" s="7"/>
      <c r="AC238" s="7"/>
      <c r="AD238" s="7"/>
      <c r="AE238" s="7"/>
      <c r="AF238" s="7"/>
      <c r="AG238" s="7"/>
      <c r="AH238" s="7"/>
      <c r="AI238" s="7"/>
      <c r="AJ238" s="9">
        <f t="shared" si="2"/>
        <v>110</v>
      </c>
      <c r="AK238" s="9">
        <f t="shared" si="3"/>
        <v>610</v>
      </c>
      <c r="AL238" s="7" t="str">
        <f t="shared" ref="AL238:AM238" si="240">HLOOKUP(AJ238,{$D238:$AI238;$D$1:$AI$1},2,false)</f>
        <v>Sally</v>
      </c>
      <c r="AM238" s="7" t="str">
        <f t="shared" si="240"/>
        <v>David</v>
      </c>
      <c r="AN238" s="7">
        <f t="shared" si="5"/>
        <v>3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</row>
    <row r="239">
      <c r="A239" s="5">
        <v>44712.0</v>
      </c>
      <c r="B239" s="6" t="s">
        <v>40</v>
      </c>
      <c r="C239" s="7"/>
      <c r="D239" s="7"/>
      <c r="E239" s="7"/>
      <c r="F239" s="7"/>
      <c r="G239" s="7"/>
      <c r="H239" s="7"/>
      <c r="I239" s="7"/>
      <c r="J239" s="8"/>
      <c r="K239" s="8">
        <v>355.0</v>
      </c>
      <c r="L239" s="8">
        <v>445.0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8">
        <v>655.0</v>
      </c>
      <c r="Z239" s="8"/>
      <c r="AA239" s="8">
        <v>435.0</v>
      </c>
      <c r="AB239" s="7"/>
      <c r="AC239" s="7"/>
      <c r="AD239" s="7"/>
      <c r="AE239" s="7"/>
      <c r="AF239" s="7"/>
      <c r="AG239" s="7"/>
      <c r="AH239" s="7"/>
      <c r="AI239" s="7"/>
      <c r="AJ239" s="9">
        <f t="shared" si="2"/>
        <v>355</v>
      </c>
      <c r="AK239" s="9">
        <f t="shared" si="3"/>
        <v>655</v>
      </c>
      <c r="AL239" s="7" t="str">
        <f t="shared" ref="AL239:AM239" si="241">HLOOKUP(AJ239,{$D239:$AI239;$D$1:$AI$1},2,false)</f>
        <v>David</v>
      </c>
      <c r="AM239" s="7" t="str">
        <f t="shared" si="241"/>
        <v>Nancy</v>
      </c>
      <c r="AN239" s="7">
        <f t="shared" si="5"/>
        <v>4</v>
      </c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</row>
    <row r="240">
      <c r="A240" s="5">
        <v>44751.0</v>
      </c>
      <c r="B240" s="6" t="s">
        <v>42</v>
      </c>
      <c r="C240" s="7"/>
      <c r="D240" s="7"/>
      <c r="E240" s="7"/>
      <c r="F240" s="7"/>
      <c r="G240" s="7"/>
      <c r="H240" s="7"/>
      <c r="I240" s="7"/>
      <c r="J240" s="7"/>
      <c r="K240" s="8">
        <v>525.0</v>
      </c>
      <c r="L240" s="8">
        <v>340.0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8">
        <v>375.0</v>
      </c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9">
        <f t="shared" si="2"/>
        <v>340</v>
      </c>
      <c r="AK240" s="9">
        <f t="shared" si="3"/>
        <v>525</v>
      </c>
      <c r="AL240" s="7" t="str">
        <f t="shared" ref="AL240:AM240" si="242">HLOOKUP(AJ240,{$D240:$AI240;$D$1:$AI$1},2,false)</f>
        <v>Debby</v>
      </c>
      <c r="AM240" s="7" t="str">
        <f t="shared" si="242"/>
        <v>David</v>
      </c>
      <c r="AN240" s="7">
        <f t="shared" si="5"/>
        <v>3</v>
      </c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</row>
    <row r="241">
      <c r="A241" s="5">
        <v>44756.0</v>
      </c>
      <c r="B241" s="6" t="s">
        <v>40</v>
      </c>
      <c r="C241" s="7"/>
      <c r="D241" s="7"/>
      <c r="E241" s="7"/>
      <c r="F241" s="7"/>
      <c r="G241" s="7"/>
      <c r="H241" s="7"/>
      <c r="I241" s="8">
        <v>640.0</v>
      </c>
      <c r="J241" s="8"/>
      <c r="K241" s="8">
        <v>410.0</v>
      </c>
      <c r="L241" s="8">
        <v>495.0</v>
      </c>
      <c r="M241" s="7"/>
      <c r="N241" s="7"/>
      <c r="O241" s="7"/>
      <c r="P241" s="7"/>
      <c r="Q241" s="7"/>
      <c r="R241" s="8"/>
      <c r="S241" s="8">
        <v>400.0</v>
      </c>
      <c r="T241" s="8">
        <v>905.0</v>
      </c>
      <c r="U241" s="7"/>
      <c r="V241" s="7"/>
      <c r="W241" s="7"/>
      <c r="X241" s="7"/>
      <c r="Y241" s="8">
        <v>865.0</v>
      </c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9">
        <f t="shared" si="2"/>
        <v>400</v>
      </c>
      <c r="AK241" s="9">
        <f t="shared" si="3"/>
        <v>905</v>
      </c>
      <c r="AL241" s="7" t="str">
        <f t="shared" ref="AL241:AM241" si="243">HLOOKUP(AJ241,{$D241:$AI241;$D$1:$AI$1},2,false)</f>
        <v>Jeremy</v>
      </c>
      <c r="AM241" s="7" t="str">
        <f t="shared" si="243"/>
        <v>Jordan</v>
      </c>
      <c r="AN241" s="7">
        <f t="shared" si="5"/>
        <v>6</v>
      </c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</row>
    <row r="242">
      <c r="A242" s="5">
        <v>44778.0</v>
      </c>
      <c r="B242" s="6" t="s">
        <v>42</v>
      </c>
      <c r="C242" s="7"/>
      <c r="D242" s="7"/>
      <c r="E242" s="7"/>
      <c r="F242" s="7"/>
      <c r="G242" s="7"/>
      <c r="H242" s="7"/>
      <c r="I242" s="8">
        <v>560.0</v>
      </c>
      <c r="J242" s="7"/>
      <c r="K242" s="8">
        <v>350.0</v>
      </c>
      <c r="L242" s="7"/>
      <c r="M242" s="7"/>
      <c r="N242" s="7"/>
      <c r="O242" s="7"/>
      <c r="P242" s="7"/>
      <c r="Q242" s="7"/>
      <c r="R242" s="7"/>
      <c r="S242" s="7"/>
      <c r="T242" s="7"/>
      <c r="U242" s="8">
        <v>485.0</v>
      </c>
      <c r="V242" s="7"/>
      <c r="W242" s="7"/>
      <c r="X242" s="7"/>
      <c r="Y242" s="8">
        <v>510.0</v>
      </c>
      <c r="Z242" s="7"/>
      <c r="AA242" s="7"/>
      <c r="AB242" s="8">
        <v>480.0</v>
      </c>
      <c r="AC242" s="7"/>
      <c r="AD242" s="7"/>
      <c r="AE242" s="7"/>
      <c r="AF242" s="7"/>
      <c r="AG242" s="7"/>
      <c r="AH242" s="7"/>
      <c r="AI242" s="7"/>
      <c r="AJ242" s="9">
        <f t="shared" si="2"/>
        <v>350</v>
      </c>
      <c r="AK242" s="9">
        <f t="shared" si="3"/>
        <v>560</v>
      </c>
      <c r="AL242" s="7" t="str">
        <f t="shared" ref="AL242:AM242" si="244">HLOOKUP(AJ242,{$D242:$AI242;$D$1:$AI$1},2,false)</f>
        <v>David</v>
      </c>
      <c r="AM242" s="7" t="str">
        <f t="shared" si="244"/>
        <v>Charlene</v>
      </c>
      <c r="AN242" s="7">
        <f t="shared" si="5"/>
        <v>5</v>
      </c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</row>
    <row r="243">
      <c r="A243" s="5">
        <v>44787.0</v>
      </c>
      <c r="B243" s="6" t="s">
        <v>42</v>
      </c>
      <c r="C243" s="8" t="s">
        <v>41</v>
      </c>
      <c r="D243" s="7"/>
      <c r="E243" s="7"/>
      <c r="F243" s="7"/>
      <c r="G243" s="7"/>
      <c r="H243" s="7"/>
      <c r="I243" s="8">
        <v>255.0</v>
      </c>
      <c r="J243" s="7"/>
      <c r="K243" s="8">
        <v>150.0</v>
      </c>
      <c r="L243" s="8">
        <v>435.0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8">
        <v>185.0</v>
      </c>
      <c r="Z243" s="7"/>
      <c r="AA243" s="7"/>
      <c r="AB243" s="8">
        <v>310.0</v>
      </c>
      <c r="AC243" s="7"/>
      <c r="AD243" s="7"/>
      <c r="AE243" s="7"/>
      <c r="AF243" s="7"/>
      <c r="AG243" s="7"/>
      <c r="AH243" s="7"/>
      <c r="AI243" s="7"/>
      <c r="AJ243" s="9">
        <f t="shared" si="2"/>
        <v>150</v>
      </c>
      <c r="AK243" s="9">
        <f t="shared" si="3"/>
        <v>435</v>
      </c>
      <c r="AL243" s="7" t="str">
        <f t="shared" ref="AL243:AM243" si="245">HLOOKUP(AJ243,{$D243:$AI243;$D$1:$AI$1},2,false)</f>
        <v>David</v>
      </c>
      <c r="AM243" s="7" t="str">
        <f t="shared" si="245"/>
        <v>Debby</v>
      </c>
      <c r="AN243" s="7">
        <f t="shared" si="5"/>
        <v>5</v>
      </c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</row>
    <row r="244">
      <c r="A244" s="5">
        <v>44791.0</v>
      </c>
      <c r="B244" s="6" t="s">
        <v>40</v>
      </c>
      <c r="C244" s="7"/>
      <c r="D244" s="7"/>
      <c r="E244" s="7"/>
      <c r="F244" s="7"/>
      <c r="G244" s="7"/>
      <c r="H244" s="7"/>
      <c r="I244" s="8">
        <v>230.0</v>
      </c>
      <c r="J244" s="8"/>
      <c r="K244" s="8">
        <v>720.0</v>
      </c>
      <c r="L244" s="8">
        <v>310.0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8">
        <v>570.0</v>
      </c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9">
        <f t="shared" si="2"/>
        <v>230</v>
      </c>
      <c r="AK244" s="9">
        <f t="shared" si="3"/>
        <v>720</v>
      </c>
      <c r="AL244" s="7" t="str">
        <f t="shared" ref="AL244:AM244" si="246">HLOOKUP(AJ244,{$D244:$AI244;$D$1:$AI$1},2,false)</f>
        <v>Charlene</v>
      </c>
      <c r="AM244" s="7" t="str">
        <f t="shared" si="246"/>
        <v>David</v>
      </c>
      <c r="AN244" s="7">
        <f t="shared" si="5"/>
        <v>4</v>
      </c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</row>
    <row r="245">
      <c r="A245" s="5">
        <v>44793.0</v>
      </c>
      <c r="B245" s="6" t="s">
        <v>40</v>
      </c>
      <c r="C245" s="7"/>
      <c r="D245" s="8"/>
      <c r="E245" s="8"/>
      <c r="F245" s="8"/>
      <c r="G245" s="8"/>
      <c r="H245" s="8"/>
      <c r="I245" s="8">
        <v>595.0</v>
      </c>
      <c r="J245" s="8"/>
      <c r="K245" s="8">
        <v>470.0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8">
        <v>110.0</v>
      </c>
      <c r="Z245" s="8"/>
      <c r="AA245" s="8">
        <v>420.0</v>
      </c>
      <c r="AB245" s="7"/>
      <c r="AC245" s="7"/>
      <c r="AD245" s="7"/>
      <c r="AE245" s="7"/>
      <c r="AF245" s="7"/>
      <c r="AG245" s="7"/>
      <c r="AH245" s="7"/>
      <c r="AI245" s="7"/>
      <c r="AJ245" s="9">
        <f t="shared" si="2"/>
        <v>110</v>
      </c>
      <c r="AK245" s="9">
        <f t="shared" si="3"/>
        <v>595</v>
      </c>
      <c r="AL245" s="7" t="str">
        <f t="shared" ref="AL245:AM245" si="247">HLOOKUP(AJ245,{$D245:$AI245;$D$1:$AI$1},2,false)</f>
        <v>Nancy</v>
      </c>
      <c r="AM245" s="7" t="str">
        <f t="shared" si="247"/>
        <v>Charlene</v>
      </c>
      <c r="AN245" s="7">
        <f t="shared" si="5"/>
        <v>4</v>
      </c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</row>
    <row r="246">
      <c r="A246" s="5">
        <v>44798.0</v>
      </c>
      <c r="B246" s="6" t="s">
        <v>40</v>
      </c>
      <c r="C246" s="7"/>
      <c r="D246" s="7"/>
      <c r="E246" s="7"/>
      <c r="F246" s="7"/>
      <c r="G246" s="7"/>
      <c r="H246" s="7"/>
      <c r="I246" s="8">
        <v>665.0</v>
      </c>
      <c r="J246" s="8"/>
      <c r="K246" s="8">
        <v>185.0</v>
      </c>
      <c r="L246" s="8">
        <v>480.0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8">
        <v>310.0</v>
      </c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9">
        <f t="shared" si="2"/>
        <v>185</v>
      </c>
      <c r="AK246" s="9">
        <f t="shared" si="3"/>
        <v>665</v>
      </c>
      <c r="AL246" s="7" t="str">
        <f t="shared" ref="AL246:AM246" si="248">HLOOKUP(AJ246,{$D246:$AI246;$D$1:$AI$1},2,false)</f>
        <v>David</v>
      </c>
      <c r="AM246" s="7" t="str">
        <f t="shared" si="248"/>
        <v>Charlene</v>
      </c>
      <c r="AN246" s="7">
        <f t="shared" si="5"/>
        <v>4</v>
      </c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</row>
    <row r="247">
      <c r="A247" s="5">
        <v>44815.0</v>
      </c>
      <c r="B247" s="6" t="s">
        <v>42</v>
      </c>
      <c r="C247" s="7"/>
      <c r="D247" s="7"/>
      <c r="E247" s="7"/>
      <c r="F247" s="7"/>
      <c r="G247" s="7"/>
      <c r="H247" s="7"/>
      <c r="I247" s="7"/>
      <c r="J247" s="7"/>
      <c r="K247" s="8">
        <v>450.0</v>
      </c>
      <c r="L247" s="8">
        <v>490.0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8">
        <v>165.0</v>
      </c>
      <c r="Z247" s="7"/>
      <c r="AA247" s="7"/>
      <c r="AB247" s="8">
        <v>365.0</v>
      </c>
      <c r="AC247" s="7"/>
      <c r="AD247" s="7"/>
      <c r="AE247" s="7"/>
      <c r="AF247" s="7"/>
      <c r="AG247" s="7"/>
      <c r="AH247" s="7"/>
      <c r="AI247" s="7"/>
      <c r="AJ247" s="9">
        <f t="shared" si="2"/>
        <v>165</v>
      </c>
      <c r="AK247" s="9">
        <f t="shared" si="3"/>
        <v>490</v>
      </c>
      <c r="AL247" s="7" t="str">
        <f t="shared" ref="AL247:AM247" si="249">HLOOKUP(AJ247,{$D247:$AI247;$D$1:$AI$1},2,false)</f>
        <v>Nancy</v>
      </c>
      <c r="AM247" s="7" t="str">
        <f t="shared" si="249"/>
        <v>Debby</v>
      </c>
      <c r="AN247" s="7">
        <f t="shared" si="5"/>
        <v>4</v>
      </c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</row>
    <row r="248">
      <c r="A248" s="5">
        <v>44819.0</v>
      </c>
      <c r="B248" s="6" t="s">
        <v>40</v>
      </c>
      <c r="C248" s="8" t="s">
        <v>41</v>
      </c>
      <c r="D248" s="7"/>
      <c r="E248" s="7"/>
      <c r="F248" s="7"/>
      <c r="G248" s="7"/>
      <c r="H248" s="7"/>
      <c r="I248" s="7"/>
      <c r="J248" s="8"/>
      <c r="K248" s="8">
        <v>80.0</v>
      </c>
      <c r="L248" s="8">
        <v>25.0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8">
        <v>340.0</v>
      </c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9">
        <f t="shared" si="2"/>
        <v>25</v>
      </c>
      <c r="AK248" s="9">
        <f t="shared" si="3"/>
        <v>340</v>
      </c>
      <c r="AL248" s="7" t="str">
        <f t="shared" ref="AL248:AM248" si="250">HLOOKUP(AJ248,{$D248:$AI248;$D$1:$AI$1},2,false)</f>
        <v>Debby</v>
      </c>
      <c r="AM248" s="7" t="str">
        <f t="shared" si="250"/>
        <v>Nancy</v>
      </c>
      <c r="AN248" s="7">
        <f t="shared" si="5"/>
        <v>3</v>
      </c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</row>
    <row r="249">
      <c r="A249" s="5">
        <v>44836.0</v>
      </c>
      <c r="B249" s="6" t="s">
        <v>42</v>
      </c>
      <c r="C249" s="7"/>
      <c r="D249" s="7"/>
      <c r="E249" s="7"/>
      <c r="F249" s="7"/>
      <c r="G249" s="7"/>
      <c r="H249" s="7"/>
      <c r="I249" s="8">
        <v>365.0</v>
      </c>
      <c r="J249" s="8"/>
      <c r="K249" s="8">
        <v>345.0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8">
        <v>590.0</v>
      </c>
      <c r="Z249" s="7"/>
      <c r="AA249" s="7"/>
      <c r="AB249" s="8">
        <v>410.0</v>
      </c>
      <c r="AC249" s="7"/>
      <c r="AD249" s="7"/>
      <c r="AE249" s="7"/>
      <c r="AF249" s="7"/>
      <c r="AG249" s="7"/>
      <c r="AH249" s="7"/>
      <c r="AI249" s="7"/>
      <c r="AJ249" s="9">
        <f t="shared" si="2"/>
        <v>345</v>
      </c>
      <c r="AK249" s="9">
        <f t="shared" si="3"/>
        <v>590</v>
      </c>
      <c r="AL249" s="7" t="str">
        <f t="shared" ref="AL249:AM249" si="251">HLOOKUP(AJ249,{$D249:$AI249;$D$1:$AI$1},2,false)</f>
        <v>David</v>
      </c>
      <c r="AM249" s="7" t="str">
        <f t="shared" si="251"/>
        <v>Nancy</v>
      </c>
      <c r="AN249" s="7">
        <f t="shared" si="5"/>
        <v>4</v>
      </c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</row>
    <row r="250">
      <c r="A250" s="5">
        <v>44839.0</v>
      </c>
      <c r="B250" s="6" t="s">
        <v>40</v>
      </c>
      <c r="C250" s="7"/>
      <c r="D250" s="7"/>
      <c r="E250" s="7"/>
      <c r="F250" s="7"/>
      <c r="G250" s="7"/>
      <c r="H250" s="7"/>
      <c r="I250" s="8">
        <v>490.0</v>
      </c>
      <c r="J250" s="8"/>
      <c r="K250" s="8">
        <v>350.0</v>
      </c>
      <c r="L250" s="7"/>
      <c r="M250" s="7"/>
      <c r="N250" s="8">
        <v>630.0</v>
      </c>
      <c r="O250" s="7"/>
      <c r="P250" s="7"/>
      <c r="Q250" s="7"/>
      <c r="R250" s="7"/>
      <c r="S250" s="7"/>
      <c r="T250" s="7"/>
      <c r="U250" s="7"/>
      <c r="V250" s="7"/>
      <c r="W250" s="8"/>
      <c r="X250" s="8">
        <v>585.0</v>
      </c>
      <c r="Y250" s="8">
        <v>595.0</v>
      </c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9">
        <f t="shared" si="2"/>
        <v>350</v>
      </c>
      <c r="AK250" s="9">
        <f t="shared" si="3"/>
        <v>630</v>
      </c>
      <c r="AL250" s="7" t="str">
        <f t="shared" ref="AL250:AM250" si="252">HLOOKUP(AJ250,{$D250:$AI250;$D$1:$AI$1},2,false)</f>
        <v>David</v>
      </c>
      <c r="AM250" s="7" t="str">
        <f t="shared" si="252"/>
        <v>Jack</v>
      </c>
      <c r="AN250" s="7">
        <f t="shared" si="5"/>
        <v>5</v>
      </c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</row>
    <row r="251">
      <c r="A251" s="5">
        <v>44850.0</v>
      </c>
      <c r="B251" s="6" t="s">
        <v>40</v>
      </c>
      <c r="C251" s="8"/>
      <c r="D251" s="8"/>
      <c r="E251" s="8"/>
      <c r="F251" s="8"/>
      <c r="G251" s="8"/>
      <c r="H251" s="8"/>
      <c r="I251" s="8">
        <v>620.0</v>
      </c>
      <c r="J251" s="8"/>
      <c r="K251" s="8">
        <v>450.0</v>
      </c>
      <c r="L251" s="8">
        <v>220.0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8">
        <v>290.0</v>
      </c>
      <c r="Z251" s="8"/>
      <c r="AA251" s="8"/>
      <c r="AB251" s="8">
        <v>350.0</v>
      </c>
      <c r="AC251" s="7"/>
      <c r="AD251" s="7"/>
      <c r="AE251" s="7"/>
      <c r="AF251" s="7"/>
      <c r="AG251" s="7"/>
      <c r="AH251" s="7"/>
      <c r="AI251" s="7"/>
      <c r="AJ251" s="9">
        <f t="shared" si="2"/>
        <v>220</v>
      </c>
      <c r="AK251" s="9">
        <f t="shared" si="3"/>
        <v>620</v>
      </c>
      <c r="AL251" s="7" t="str">
        <f t="shared" ref="AL251:AM251" si="253">HLOOKUP(AJ251,{$D251:$AI251;$D$1:$AI$1},2,false)</f>
        <v>Debby</v>
      </c>
      <c r="AM251" s="7" t="str">
        <f t="shared" si="253"/>
        <v>Charlene</v>
      </c>
      <c r="AN251" s="7">
        <f t="shared" si="5"/>
        <v>5</v>
      </c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</row>
    <row r="252">
      <c r="A252" s="5">
        <v>44852.0</v>
      </c>
      <c r="B252" s="6" t="s">
        <v>40</v>
      </c>
      <c r="C252" s="8" t="s">
        <v>41</v>
      </c>
      <c r="D252" s="8"/>
      <c r="E252" s="8"/>
      <c r="F252" s="8"/>
      <c r="G252" s="8"/>
      <c r="H252" s="8"/>
      <c r="I252" s="8">
        <v>165.0</v>
      </c>
      <c r="J252" s="8"/>
      <c r="K252" s="8">
        <v>105.0</v>
      </c>
      <c r="L252" s="8"/>
      <c r="M252" s="7"/>
      <c r="N252" s="7"/>
      <c r="O252" s="7"/>
      <c r="P252" s="7"/>
      <c r="Q252" s="7">
        <v>190.0</v>
      </c>
      <c r="R252" s="7"/>
      <c r="S252" s="7"/>
      <c r="T252" s="7"/>
      <c r="U252" s="7"/>
      <c r="V252" s="7"/>
      <c r="W252" s="7"/>
      <c r="X252" s="7"/>
      <c r="Y252" s="8">
        <v>260.0</v>
      </c>
      <c r="Z252" s="8"/>
      <c r="AA252" s="8"/>
      <c r="AB252" s="8"/>
      <c r="AC252" s="7"/>
      <c r="AD252" s="7"/>
      <c r="AE252" s="7"/>
      <c r="AF252" s="7"/>
      <c r="AG252" s="7"/>
      <c r="AH252" s="7"/>
      <c r="AI252" s="7"/>
      <c r="AJ252" s="9">
        <f t="shared" si="2"/>
        <v>105</v>
      </c>
      <c r="AK252" s="9">
        <f t="shared" si="3"/>
        <v>260</v>
      </c>
      <c r="AL252" s="7" t="str">
        <f t="shared" ref="AL252:AM252" si="254">HLOOKUP(AJ252,{$D252:$AI252;$D$1:$AI$1},2,false)</f>
        <v>David</v>
      </c>
      <c r="AM252" s="7" t="str">
        <f t="shared" si="254"/>
        <v>Nancy</v>
      </c>
      <c r="AN252" s="7">
        <f t="shared" si="5"/>
        <v>4</v>
      </c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</row>
    <row r="253">
      <c r="A253" s="5">
        <v>44864.0</v>
      </c>
      <c r="B253" s="6" t="s">
        <v>42</v>
      </c>
      <c r="C253" s="7"/>
      <c r="D253" s="7"/>
      <c r="E253" s="7"/>
      <c r="F253" s="7"/>
      <c r="G253" s="7"/>
      <c r="H253" s="7"/>
      <c r="I253" s="8">
        <v>365.0</v>
      </c>
      <c r="J253" s="8"/>
      <c r="K253" s="8">
        <v>375.0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8">
        <v>460.0</v>
      </c>
      <c r="Z253" s="7"/>
      <c r="AA253" s="7"/>
      <c r="AB253" s="8">
        <v>465.0</v>
      </c>
      <c r="AC253" s="7"/>
      <c r="AD253" s="7"/>
      <c r="AE253" s="7"/>
      <c r="AF253" s="7"/>
      <c r="AG253" s="7"/>
      <c r="AH253" s="7"/>
      <c r="AI253" s="7"/>
      <c r="AJ253" s="9">
        <f t="shared" si="2"/>
        <v>365</v>
      </c>
      <c r="AK253" s="9">
        <f t="shared" si="3"/>
        <v>465</v>
      </c>
      <c r="AL253" s="7" t="str">
        <f t="shared" ref="AL253:AM253" si="255">HLOOKUP(AJ253,{$D253:$AI253;$D$1:$AI$1},2,false)</f>
        <v>Charlene</v>
      </c>
      <c r="AM253" s="7" t="str">
        <f t="shared" si="255"/>
        <v>Sandy</v>
      </c>
      <c r="AN253" s="7">
        <f t="shared" si="5"/>
        <v>4</v>
      </c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</row>
    <row r="254">
      <c r="A254" s="5">
        <v>44870.0</v>
      </c>
      <c r="B254" s="6" t="s">
        <v>44</v>
      </c>
      <c r="C254" s="8"/>
      <c r="D254" s="7"/>
      <c r="E254" s="7"/>
      <c r="F254" s="7"/>
      <c r="G254" s="7"/>
      <c r="H254" s="7"/>
      <c r="I254" s="8"/>
      <c r="J254" s="8"/>
      <c r="K254" s="8">
        <v>430.0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8">
        <v>470.0</v>
      </c>
      <c r="W254" s="7"/>
      <c r="X254" s="7"/>
      <c r="Y254" s="8">
        <v>220.0</v>
      </c>
      <c r="Z254" s="7"/>
      <c r="AA254" s="8">
        <v>495.0</v>
      </c>
      <c r="AB254" s="7"/>
      <c r="AC254" s="7"/>
      <c r="AD254" s="7"/>
      <c r="AE254" s="7"/>
      <c r="AF254" s="7"/>
      <c r="AG254" s="7"/>
      <c r="AH254" s="7"/>
      <c r="AI254" s="7"/>
      <c r="AJ254" s="9">
        <f t="shared" si="2"/>
        <v>220</v>
      </c>
      <c r="AK254" s="9">
        <f t="shared" si="3"/>
        <v>495</v>
      </c>
      <c r="AL254" s="7" t="str">
        <f t="shared" ref="AL254:AM254" si="256">HLOOKUP(AJ254,{$D254:$AI254;$D$1:$AI$1},2,false)</f>
        <v>Nancy</v>
      </c>
      <c r="AM254" s="7" t="str">
        <f t="shared" si="256"/>
        <v>Sally</v>
      </c>
      <c r="AN254" s="7">
        <f t="shared" si="5"/>
        <v>4</v>
      </c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</row>
    <row r="255">
      <c r="A255" s="5">
        <v>44871.0</v>
      </c>
      <c r="B255" s="6" t="s">
        <v>40</v>
      </c>
      <c r="C255" s="8" t="s">
        <v>41</v>
      </c>
      <c r="D255" s="7"/>
      <c r="E255" s="7"/>
      <c r="F255" s="7"/>
      <c r="G255" s="7"/>
      <c r="H255" s="7"/>
      <c r="I255" s="8">
        <v>115.0</v>
      </c>
      <c r="J255" s="8"/>
      <c r="K255" s="8">
        <v>105.0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8">
        <v>580.0</v>
      </c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9">
        <f t="shared" si="2"/>
        <v>105</v>
      </c>
      <c r="AK255" s="9">
        <f t="shared" si="3"/>
        <v>580</v>
      </c>
      <c r="AL255" s="7" t="str">
        <f t="shared" ref="AL255:AM255" si="257">HLOOKUP(AJ255,{$D255:$AI255;$D$1:$AI$1},2,false)</f>
        <v>David</v>
      </c>
      <c r="AM255" s="7" t="str">
        <f t="shared" si="257"/>
        <v>Nancy</v>
      </c>
      <c r="AN255" s="7">
        <f t="shared" si="5"/>
        <v>3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</row>
    <row r="256">
      <c r="A256" s="5">
        <v>44875.0</v>
      </c>
      <c r="B256" s="6" t="s">
        <v>42</v>
      </c>
      <c r="C256" s="7"/>
      <c r="D256" s="7"/>
      <c r="E256" s="7"/>
      <c r="F256" s="7"/>
      <c r="G256" s="7"/>
      <c r="H256" s="7"/>
      <c r="I256" s="8">
        <v>405.0</v>
      </c>
      <c r="J256" s="8"/>
      <c r="K256" s="8">
        <v>470.0</v>
      </c>
      <c r="L256" s="8">
        <v>300.0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8">
        <v>605.0</v>
      </c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9">
        <f t="shared" si="2"/>
        <v>300</v>
      </c>
      <c r="AK256" s="9">
        <f t="shared" si="3"/>
        <v>605</v>
      </c>
      <c r="AL256" s="7" t="str">
        <f t="shared" ref="AL256:AM256" si="258">HLOOKUP(AJ256,{$D256:$AI256;$D$1:$AI$1},2,false)</f>
        <v>Debby</v>
      </c>
      <c r="AM256" s="7" t="str">
        <f t="shared" si="258"/>
        <v>Nancy</v>
      </c>
      <c r="AN256" s="7">
        <f t="shared" si="5"/>
        <v>4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</row>
    <row r="257">
      <c r="A257" s="5">
        <v>44878.0</v>
      </c>
      <c r="B257" s="6" t="s">
        <v>42</v>
      </c>
      <c r="C257" s="7"/>
      <c r="D257" s="7"/>
      <c r="E257" s="7"/>
      <c r="F257" s="7"/>
      <c r="G257" s="7"/>
      <c r="H257" s="7"/>
      <c r="I257" s="8">
        <v>425.0</v>
      </c>
      <c r="J257" s="8"/>
      <c r="K257" s="8">
        <v>885.0</v>
      </c>
      <c r="L257" s="8">
        <v>340.0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8">
        <v>350.0</v>
      </c>
      <c r="Z257" s="7"/>
      <c r="AA257" s="7"/>
      <c r="AB257" s="8">
        <v>825.0</v>
      </c>
      <c r="AC257" s="7"/>
      <c r="AD257" s="7"/>
      <c r="AE257" s="7"/>
      <c r="AF257" s="7"/>
      <c r="AG257" s="7"/>
      <c r="AH257" s="7"/>
      <c r="AI257" s="7"/>
      <c r="AJ257" s="9">
        <f t="shared" si="2"/>
        <v>340</v>
      </c>
      <c r="AK257" s="9">
        <f t="shared" si="3"/>
        <v>885</v>
      </c>
      <c r="AL257" s="7" t="str">
        <f t="shared" ref="AL257:AM257" si="259">HLOOKUP(AJ257,{$D257:$AI257;$D$1:$AI$1},2,false)</f>
        <v>Debby</v>
      </c>
      <c r="AM257" s="7" t="str">
        <f t="shared" si="259"/>
        <v>David</v>
      </c>
      <c r="AN257" s="7">
        <f t="shared" si="5"/>
        <v>5</v>
      </c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</row>
    <row r="258">
      <c r="A258" s="5">
        <v>44880.0</v>
      </c>
      <c r="B258" s="6" t="s">
        <v>40</v>
      </c>
      <c r="C258" s="8" t="s">
        <v>41</v>
      </c>
      <c r="D258" s="7"/>
      <c r="E258" s="7"/>
      <c r="F258" s="7"/>
      <c r="G258" s="7"/>
      <c r="H258" s="7"/>
      <c r="I258" s="7"/>
      <c r="J258" s="7"/>
      <c r="K258" s="8">
        <v>240.0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8">
        <v>285.0</v>
      </c>
      <c r="Z258" s="7"/>
      <c r="AA258" s="8">
        <v>90.0</v>
      </c>
      <c r="AB258" s="7"/>
      <c r="AC258" s="7"/>
      <c r="AD258" s="7"/>
      <c r="AE258" s="7"/>
      <c r="AF258" s="7"/>
      <c r="AG258" s="7"/>
      <c r="AH258" s="7"/>
      <c r="AI258" s="7"/>
      <c r="AJ258" s="9">
        <f t="shared" si="2"/>
        <v>90</v>
      </c>
      <c r="AK258" s="9">
        <f t="shared" si="3"/>
        <v>285</v>
      </c>
      <c r="AL258" s="7" t="str">
        <f t="shared" ref="AL258:AM258" si="260">HLOOKUP(AJ258,{$D258:$AI258;$D$1:$AI$1},2,false)</f>
        <v>Sally</v>
      </c>
      <c r="AM258" s="7" t="str">
        <f t="shared" si="260"/>
        <v>Nancy</v>
      </c>
      <c r="AN258" s="7">
        <f t="shared" si="5"/>
        <v>3</v>
      </c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</row>
    <row r="259">
      <c r="A259" s="5">
        <v>44887.0</v>
      </c>
      <c r="B259" s="6" t="s">
        <v>40</v>
      </c>
      <c r="C259" s="7"/>
      <c r="D259" s="7"/>
      <c r="E259" s="7"/>
      <c r="F259" s="7"/>
      <c r="G259" s="7"/>
      <c r="H259" s="7"/>
      <c r="I259" s="7"/>
      <c r="J259" s="8"/>
      <c r="K259" s="8">
        <v>560.0</v>
      </c>
      <c r="L259" s="7"/>
      <c r="M259" s="7"/>
      <c r="N259" s="7"/>
      <c r="O259" s="7"/>
      <c r="P259" s="7"/>
      <c r="Q259" s="7"/>
      <c r="R259" s="8"/>
      <c r="S259" s="8">
        <v>645.0</v>
      </c>
      <c r="T259" s="8">
        <v>675.0</v>
      </c>
      <c r="U259" s="7"/>
      <c r="V259" s="7"/>
      <c r="W259" s="7"/>
      <c r="X259" s="7"/>
      <c r="Y259" s="8">
        <v>390.0</v>
      </c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9">
        <f t="shared" si="2"/>
        <v>390</v>
      </c>
      <c r="AK259" s="9">
        <f t="shared" si="3"/>
        <v>675</v>
      </c>
      <c r="AL259" s="7" t="str">
        <f t="shared" ref="AL259:AM259" si="261">HLOOKUP(AJ259,{$D259:$AI259;$D$1:$AI$1},2,false)</f>
        <v>Nancy</v>
      </c>
      <c r="AM259" s="7" t="str">
        <f t="shared" si="261"/>
        <v>Jordan</v>
      </c>
      <c r="AN259" s="7">
        <f t="shared" si="5"/>
        <v>4</v>
      </c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</row>
    <row r="260">
      <c r="A260" s="5">
        <v>44896.0</v>
      </c>
      <c r="B260" s="6" t="s">
        <v>42</v>
      </c>
      <c r="C260" s="7"/>
      <c r="D260" s="7"/>
      <c r="E260" s="7"/>
      <c r="F260" s="7"/>
      <c r="G260" s="7"/>
      <c r="H260" s="7"/>
      <c r="I260" s="8">
        <v>225.0</v>
      </c>
      <c r="J260" s="8"/>
      <c r="K260" s="8">
        <v>615.0</v>
      </c>
      <c r="L260" s="8">
        <v>450.0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8">
        <v>210.0</v>
      </c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9">
        <f t="shared" si="2"/>
        <v>210</v>
      </c>
      <c r="AK260" s="9">
        <f t="shared" si="3"/>
        <v>615</v>
      </c>
      <c r="AL260" s="7" t="str">
        <f t="shared" ref="AL260:AM260" si="262">HLOOKUP(AJ260,{$D260:$AI260;$D$1:$AI$1},2,false)</f>
        <v>Nancy</v>
      </c>
      <c r="AM260" s="7" t="str">
        <f t="shared" si="262"/>
        <v>David</v>
      </c>
      <c r="AN260" s="7">
        <f t="shared" si="5"/>
        <v>4</v>
      </c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</row>
    <row r="261">
      <c r="A261" s="5">
        <v>44903.0</v>
      </c>
      <c r="B261" s="6" t="s">
        <v>42</v>
      </c>
      <c r="C261" s="7"/>
      <c r="D261" s="7"/>
      <c r="E261" s="7"/>
      <c r="F261" s="7"/>
      <c r="G261" s="7"/>
      <c r="H261" s="7"/>
      <c r="I261" s="8">
        <v>340.0</v>
      </c>
      <c r="J261" s="8"/>
      <c r="K261" s="8">
        <v>200.0</v>
      </c>
      <c r="L261" s="8">
        <v>570.0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8">
        <v>260.0</v>
      </c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9">
        <f t="shared" si="2"/>
        <v>200</v>
      </c>
      <c r="AK261" s="9">
        <f t="shared" si="3"/>
        <v>570</v>
      </c>
      <c r="AL261" s="7" t="str">
        <f t="shared" ref="AL261:AM261" si="263">HLOOKUP(AJ261,{$D261:$AI261;$D$1:$AI$1},2,false)</f>
        <v>David</v>
      </c>
      <c r="AM261" s="7" t="str">
        <f t="shared" si="263"/>
        <v>Debby</v>
      </c>
      <c r="AN261" s="7">
        <f t="shared" si="5"/>
        <v>4</v>
      </c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</row>
    <row r="262">
      <c r="A262" s="5">
        <v>44927.0</v>
      </c>
      <c r="B262" s="6" t="s">
        <v>42</v>
      </c>
      <c r="C262" s="7"/>
      <c r="D262" s="7"/>
      <c r="E262" s="7"/>
      <c r="F262" s="7"/>
      <c r="G262" s="7"/>
      <c r="H262" s="7"/>
      <c r="I262" s="8">
        <v>45.0</v>
      </c>
      <c r="J262" s="8"/>
      <c r="K262" s="8">
        <v>45.0</v>
      </c>
      <c r="L262" s="8">
        <v>115.0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8">
        <v>125.0</v>
      </c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9">
        <f t="shared" si="2"/>
        <v>45</v>
      </c>
      <c r="AK262" s="9">
        <f t="shared" si="3"/>
        <v>125</v>
      </c>
      <c r="AL262" s="7" t="str">
        <f t="shared" ref="AL262:AM262" si="264">HLOOKUP(AJ262,{$D262:$AI262;$D$1:$AI$1},2,false)</f>
        <v>Charlene</v>
      </c>
      <c r="AM262" s="7" t="str">
        <f t="shared" si="264"/>
        <v>Nancy</v>
      </c>
      <c r="AN262" s="7">
        <f t="shared" si="5"/>
        <v>4</v>
      </c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</row>
    <row r="263">
      <c r="A263" s="5">
        <v>44933.0</v>
      </c>
      <c r="B263" s="6" t="s">
        <v>42</v>
      </c>
      <c r="C263" s="7"/>
      <c r="D263" s="7"/>
      <c r="E263" s="7"/>
      <c r="F263" s="7"/>
      <c r="G263" s="7"/>
      <c r="H263" s="7"/>
      <c r="I263" s="8">
        <v>590.0</v>
      </c>
      <c r="J263" s="7"/>
      <c r="K263" s="7"/>
      <c r="L263" s="8">
        <v>625.0</v>
      </c>
      <c r="M263" s="7"/>
      <c r="N263" s="7"/>
      <c r="O263" s="8"/>
      <c r="P263" s="8"/>
      <c r="Q263" s="8">
        <v>420.0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8">
        <v>390.0</v>
      </c>
      <c r="AC263" s="7"/>
      <c r="AD263" s="7"/>
      <c r="AE263" s="7"/>
      <c r="AF263" s="7"/>
      <c r="AG263" s="7"/>
      <c r="AH263" s="7"/>
      <c r="AI263" s="7"/>
      <c r="AJ263" s="9">
        <f t="shared" si="2"/>
        <v>390</v>
      </c>
      <c r="AK263" s="9">
        <f t="shared" si="3"/>
        <v>625</v>
      </c>
      <c r="AL263" s="7" t="str">
        <f t="shared" ref="AL263:AM263" si="265">HLOOKUP(AJ263,{$D263:$AI263;$D$1:$AI$1},2,false)</f>
        <v>Sandy</v>
      </c>
      <c r="AM263" s="7" t="str">
        <f t="shared" si="265"/>
        <v>Debby</v>
      </c>
      <c r="AN263" s="7">
        <f t="shared" si="5"/>
        <v>4</v>
      </c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</row>
    <row r="264">
      <c r="A264" s="5">
        <v>44938.0</v>
      </c>
      <c r="B264" s="6" t="s">
        <v>42</v>
      </c>
      <c r="C264" s="7"/>
      <c r="D264" s="7"/>
      <c r="E264" s="7"/>
      <c r="F264" s="7"/>
      <c r="G264" s="7"/>
      <c r="H264" s="7"/>
      <c r="I264" s="8">
        <v>305.0</v>
      </c>
      <c r="J264" s="7"/>
      <c r="K264" s="8">
        <v>540.0</v>
      </c>
      <c r="L264" s="8">
        <v>310.0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8">
        <v>600.0</v>
      </c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9">
        <f t="shared" si="2"/>
        <v>305</v>
      </c>
      <c r="AK264" s="9">
        <f t="shared" si="3"/>
        <v>600</v>
      </c>
      <c r="AL264" s="7" t="str">
        <f t="shared" ref="AL264:AM264" si="266">HLOOKUP(AJ264,{$D264:$AI264;$D$1:$AI$1},2,false)</f>
        <v>Charlene</v>
      </c>
      <c r="AM264" s="7" t="str">
        <f t="shared" si="266"/>
        <v>Nancy</v>
      </c>
      <c r="AN264" s="7">
        <f t="shared" si="5"/>
        <v>4</v>
      </c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</row>
    <row r="265">
      <c r="A265" s="5">
        <v>44945.0</v>
      </c>
      <c r="B265" s="6" t="s">
        <v>42</v>
      </c>
      <c r="C265" s="7"/>
      <c r="D265" s="7"/>
      <c r="E265" s="7"/>
      <c r="F265" s="7"/>
      <c r="G265" s="7"/>
      <c r="H265" s="7"/>
      <c r="I265" s="8">
        <v>540.0</v>
      </c>
      <c r="J265" s="7"/>
      <c r="K265" s="8">
        <v>270.0</v>
      </c>
      <c r="L265" s="8">
        <v>615.0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8">
        <v>155.0</v>
      </c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9">
        <f t="shared" si="2"/>
        <v>155</v>
      </c>
      <c r="AK265" s="9">
        <f t="shared" si="3"/>
        <v>615</v>
      </c>
      <c r="AL265" s="7" t="str">
        <f t="shared" ref="AL265:AM265" si="267">HLOOKUP(AJ265,{$D265:$AI265;$D$1:$AI$1},2,false)</f>
        <v>Nancy</v>
      </c>
      <c r="AM265" s="7" t="str">
        <f t="shared" si="267"/>
        <v>Debby</v>
      </c>
      <c r="AN265" s="7">
        <f t="shared" si="5"/>
        <v>4</v>
      </c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</row>
    <row r="266">
      <c r="A266" s="5">
        <v>44953.0</v>
      </c>
      <c r="B266" s="6" t="s">
        <v>44</v>
      </c>
      <c r="C266" s="7"/>
      <c r="D266" s="7"/>
      <c r="E266" s="7"/>
      <c r="F266" s="7"/>
      <c r="G266" s="7"/>
      <c r="H266" s="7"/>
      <c r="I266" s="8"/>
      <c r="J266" s="8"/>
      <c r="K266" s="8"/>
      <c r="L266" s="8">
        <v>230.0</v>
      </c>
      <c r="M266" s="7"/>
      <c r="N266" s="7"/>
      <c r="O266" s="8"/>
      <c r="P266" s="8"/>
      <c r="Q266" s="8"/>
      <c r="R266" s="7"/>
      <c r="S266" s="7"/>
      <c r="T266" s="7"/>
      <c r="U266" s="7"/>
      <c r="V266" s="8">
        <v>700.0</v>
      </c>
      <c r="W266" s="8">
        <v>695.0</v>
      </c>
      <c r="X266" s="7"/>
      <c r="Y266" s="8">
        <v>745.0</v>
      </c>
      <c r="Z266" s="7"/>
      <c r="AA266" s="8">
        <v>835.0</v>
      </c>
      <c r="AB266" s="8"/>
      <c r="AC266" s="7"/>
      <c r="AD266" s="7"/>
      <c r="AE266" s="7"/>
      <c r="AF266" s="7"/>
      <c r="AG266" s="7"/>
      <c r="AH266" s="7"/>
      <c r="AI266" s="7"/>
      <c r="AJ266" s="9">
        <f t="shared" si="2"/>
        <v>230</v>
      </c>
      <c r="AK266" s="9">
        <f t="shared" si="3"/>
        <v>835</v>
      </c>
      <c r="AL266" s="7" t="str">
        <f t="shared" ref="AL266:AM266" si="268">HLOOKUP(AJ266,{$D266:$AI266;$D$1:$AI$1},2,false)</f>
        <v>Debby</v>
      </c>
      <c r="AM266" s="7" t="str">
        <f t="shared" si="268"/>
        <v>Sally</v>
      </c>
      <c r="AN266" s="7">
        <f t="shared" si="5"/>
        <v>5</v>
      </c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</row>
    <row r="267">
      <c r="A267" s="5">
        <v>44954.0</v>
      </c>
      <c r="B267" s="6" t="s">
        <v>42</v>
      </c>
      <c r="C267" s="7"/>
      <c r="D267" s="7"/>
      <c r="E267" s="7"/>
      <c r="F267" s="7"/>
      <c r="G267" s="7"/>
      <c r="H267" s="7"/>
      <c r="I267" s="8">
        <v>490.0</v>
      </c>
      <c r="J267" s="8"/>
      <c r="K267" s="8">
        <v>505.0</v>
      </c>
      <c r="L267" s="7"/>
      <c r="M267" s="7"/>
      <c r="N267" s="7"/>
      <c r="O267" s="8"/>
      <c r="P267" s="8"/>
      <c r="Q267" s="8">
        <v>270.0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8">
        <v>425.0</v>
      </c>
      <c r="AC267" s="7"/>
      <c r="AD267" s="7"/>
      <c r="AE267" s="7"/>
      <c r="AF267" s="7"/>
      <c r="AG267" s="7"/>
      <c r="AH267" s="7"/>
      <c r="AI267" s="7"/>
      <c r="AJ267" s="9">
        <f t="shared" si="2"/>
        <v>270</v>
      </c>
      <c r="AK267" s="9">
        <f t="shared" si="3"/>
        <v>505</v>
      </c>
      <c r="AL267" s="7" t="str">
        <f t="shared" ref="AL267:AM267" si="269">HLOOKUP(AJ267,{$D267:$AI267;$D$1:$AI$1},2,false)</f>
        <v>Jeff M</v>
      </c>
      <c r="AM267" s="7" t="str">
        <f t="shared" si="269"/>
        <v>David</v>
      </c>
      <c r="AN267" s="7">
        <f t="shared" si="5"/>
        <v>4</v>
      </c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</row>
    <row r="268">
      <c r="A268" s="5">
        <v>44961.0</v>
      </c>
      <c r="B268" s="6" t="s">
        <v>42</v>
      </c>
      <c r="C268" s="7"/>
      <c r="D268" s="7"/>
      <c r="E268" s="7"/>
      <c r="F268" s="7"/>
      <c r="G268" s="7"/>
      <c r="H268" s="7"/>
      <c r="I268" s="8">
        <v>470.0</v>
      </c>
      <c r="J268" s="8"/>
      <c r="K268" s="8">
        <v>445.0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8">
        <v>440.0</v>
      </c>
      <c r="Z268" s="7"/>
      <c r="AA268" s="7"/>
      <c r="AB268" s="8">
        <v>660.0</v>
      </c>
      <c r="AC268" s="7"/>
      <c r="AD268" s="7"/>
      <c r="AE268" s="7"/>
      <c r="AF268" s="7"/>
      <c r="AG268" s="7"/>
      <c r="AH268" s="7"/>
      <c r="AI268" s="7"/>
      <c r="AJ268" s="9">
        <f t="shared" si="2"/>
        <v>440</v>
      </c>
      <c r="AK268" s="9">
        <f t="shared" si="3"/>
        <v>660</v>
      </c>
      <c r="AL268" s="7" t="str">
        <f t="shared" ref="AL268:AM268" si="270">HLOOKUP(AJ268,{$D268:$AI268;$D$1:$AI$1},2,false)</f>
        <v>Nancy</v>
      </c>
      <c r="AM268" s="7" t="str">
        <f t="shared" si="270"/>
        <v>Sandy</v>
      </c>
      <c r="AN268" s="7">
        <f t="shared" si="5"/>
        <v>4</v>
      </c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</row>
    <row r="269">
      <c r="A269" s="5">
        <v>44966.0</v>
      </c>
      <c r="B269" s="6" t="s">
        <v>42</v>
      </c>
      <c r="C269" s="7"/>
      <c r="D269" s="7"/>
      <c r="E269" s="7"/>
      <c r="F269" s="7"/>
      <c r="G269" s="7"/>
      <c r="H269" s="7"/>
      <c r="I269" s="8">
        <v>750.0</v>
      </c>
      <c r="J269" s="8"/>
      <c r="K269" s="8">
        <v>310.0</v>
      </c>
      <c r="L269" s="8">
        <v>330.0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8">
        <v>605.0</v>
      </c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9">
        <f t="shared" si="2"/>
        <v>310</v>
      </c>
      <c r="AK269" s="9">
        <f t="shared" si="3"/>
        <v>750</v>
      </c>
      <c r="AL269" s="7" t="str">
        <f t="shared" ref="AL269:AM269" si="271">HLOOKUP(AJ269,{$D269:$AI269;$D$1:$AI$1},2,false)</f>
        <v>David</v>
      </c>
      <c r="AM269" s="7" t="str">
        <f t="shared" si="271"/>
        <v>Charlene</v>
      </c>
      <c r="AN269" s="7">
        <f t="shared" si="5"/>
        <v>4</v>
      </c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</row>
    <row r="270">
      <c r="A270" s="5">
        <v>44968.0</v>
      </c>
      <c r="B270" s="6" t="s">
        <v>42</v>
      </c>
      <c r="C270" s="7"/>
      <c r="D270" s="7"/>
      <c r="E270" s="7"/>
      <c r="F270" s="7"/>
      <c r="G270" s="7"/>
      <c r="H270" s="7"/>
      <c r="I270" s="8">
        <v>405.0</v>
      </c>
      <c r="J270" s="8"/>
      <c r="K270" s="8">
        <v>175.0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8">
        <v>285.0</v>
      </c>
      <c r="Z270" s="7"/>
      <c r="AA270" s="7"/>
      <c r="AB270" s="8">
        <v>495.0</v>
      </c>
      <c r="AC270" s="7"/>
      <c r="AD270" s="7"/>
      <c r="AE270" s="7"/>
      <c r="AF270" s="7"/>
      <c r="AG270" s="7"/>
      <c r="AH270" s="7"/>
      <c r="AI270" s="7"/>
      <c r="AJ270" s="9">
        <f t="shared" si="2"/>
        <v>175</v>
      </c>
      <c r="AK270" s="9">
        <f t="shared" si="3"/>
        <v>495</v>
      </c>
      <c r="AL270" s="7" t="str">
        <f t="shared" ref="AL270:AM270" si="272">HLOOKUP(AJ270,{$D270:$AI270;$D$1:$AI$1},2,false)</f>
        <v>David</v>
      </c>
      <c r="AM270" s="7" t="str">
        <f t="shared" si="272"/>
        <v>Sandy</v>
      </c>
      <c r="AN270" s="7">
        <f t="shared" si="5"/>
        <v>4</v>
      </c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</row>
    <row r="271">
      <c r="A271" s="5">
        <v>44989.0</v>
      </c>
      <c r="B271" s="6" t="s">
        <v>40</v>
      </c>
      <c r="C271" s="7"/>
      <c r="D271" s="7"/>
      <c r="E271" s="7"/>
      <c r="F271" s="7"/>
      <c r="G271" s="7"/>
      <c r="H271" s="7"/>
      <c r="I271" s="8">
        <v>255.0</v>
      </c>
      <c r="J271" s="7"/>
      <c r="K271" s="8">
        <v>240.0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8">
        <v>270.0</v>
      </c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9">
        <f t="shared" si="2"/>
        <v>240</v>
      </c>
      <c r="AK271" s="9">
        <f t="shared" si="3"/>
        <v>270</v>
      </c>
      <c r="AL271" s="7" t="str">
        <f t="shared" ref="AL271:AM271" si="273">HLOOKUP(AJ271,{$D271:$AI271;$D$1:$AI$1},2,false)</f>
        <v>David</v>
      </c>
      <c r="AM271" s="7" t="str">
        <f t="shared" si="273"/>
        <v>Nancy</v>
      </c>
      <c r="AN271" s="7">
        <f t="shared" si="5"/>
        <v>3</v>
      </c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</row>
    <row r="272">
      <c r="A272" s="5">
        <v>44990.0</v>
      </c>
      <c r="B272" s="6" t="s">
        <v>40</v>
      </c>
      <c r="C272" s="7"/>
      <c r="D272" s="7"/>
      <c r="E272" s="7"/>
      <c r="F272" s="7"/>
      <c r="G272" s="7"/>
      <c r="H272" s="7"/>
      <c r="I272" s="8">
        <v>530.0</v>
      </c>
      <c r="J272" s="7"/>
      <c r="K272" s="8">
        <v>680.0</v>
      </c>
      <c r="L272" s="8">
        <v>395.0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8">
        <v>760.0</v>
      </c>
      <c r="Z272" s="7"/>
      <c r="AA272" s="7"/>
      <c r="AB272" s="8">
        <v>840.0</v>
      </c>
      <c r="AC272" s="7"/>
      <c r="AD272" s="7"/>
      <c r="AE272" s="7"/>
      <c r="AF272" s="7"/>
      <c r="AG272" s="7"/>
      <c r="AH272" s="7"/>
      <c r="AI272" s="7"/>
      <c r="AJ272" s="9">
        <f t="shared" si="2"/>
        <v>395</v>
      </c>
      <c r="AK272" s="9">
        <f t="shared" si="3"/>
        <v>840</v>
      </c>
      <c r="AL272" s="7" t="str">
        <f t="shared" ref="AL272:AM272" si="274">HLOOKUP(AJ272,{$D272:$AI272;$D$1:$AI$1},2,false)</f>
        <v>Debby</v>
      </c>
      <c r="AM272" s="7" t="str">
        <f t="shared" si="274"/>
        <v>Sandy</v>
      </c>
      <c r="AN272" s="7">
        <f t="shared" si="5"/>
        <v>5</v>
      </c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</row>
    <row r="273">
      <c r="A273" s="5">
        <v>44996.0</v>
      </c>
      <c r="B273" s="6" t="s">
        <v>40</v>
      </c>
      <c r="C273" s="7"/>
      <c r="D273" s="7"/>
      <c r="E273" s="7"/>
      <c r="F273" s="7"/>
      <c r="G273" s="7"/>
      <c r="H273" s="7"/>
      <c r="I273" s="8">
        <v>265.0</v>
      </c>
      <c r="J273" s="7"/>
      <c r="K273" s="8">
        <v>260.0</v>
      </c>
      <c r="L273" s="8">
        <v>380.0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8">
        <v>130.0</v>
      </c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9">
        <f t="shared" si="2"/>
        <v>130</v>
      </c>
      <c r="AK273" s="9">
        <f t="shared" si="3"/>
        <v>380</v>
      </c>
      <c r="AL273" s="7" t="str">
        <f t="shared" ref="AL273:AM273" si="275">HLOOKUP(AJ273,{$D273:$AI273;$D$1:$AI$1},2,false)</f>
        <v>Nancy</v>
      </c>
      <c r="AM273" s="7" t="str">
        <f t="shared" si="275"/>
        <v>Debby</v>
      </c>
      <c r="AN273" s="7">
        <f t="shared" si="5"/>
        <v>4</v>
      </c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</row>
    <row r="274">
      <c r="A274" s="5">
        <v>44999.0</v>
      </c>
      <c r="B274" s="6" t="s">
        <v>40</v>
      </c>
      <c r="C274" s="7"/>
      <c r="D274" s="7"/>
      <c r="E274" s="7"/>
      <c r="F274" s="7"/>
      <c r="G274" s="7"/>
      <c r="H274" s="7"/>
      <c r="I274" s="8">
        <v>650.0</v>
      </c>
      <c r="J274" s="7"/>
      <c r="K274" s="8">
        <v>240.0</v>
      </c>
      <c r="L274" s="8">
        <v>225.0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8">
        <v>465.0</v>
      </c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9">
        <f t="shared" si="2"/>
        <v>225</v>
      </c>
      <c r="AK274" s="9">
        <f t="shared" si="3"/>
        <v>650</v>
      </c>
      <c r="AL274" s="7" t="str">
        <f t="shared" ref="AL274:AM274" si="276">HLOOKUP(AJ274,{$D274:$AI274;$D$1:$AI$1},2,false)</f>
        <v>Debby</v>
      </c>
      <c r="AM274" s="7" t="str">
        <f t="shared" si="276"/>
        <v>Charlene</v>
      </c>
      <c r="AN274" s="7">
        <f t="shared" si="5"/>
        <v>4</v>
      </c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</row>
    <row r="275">
      <c r="A275" s="5">
        <v>45001.0</v>
      </c>
      <c r="B275" s="6" t="s">
        <v>40</v>
      </c>
      <c r="C275" s="7"/>
      <c r="D275" s="7"/>
      <c r="E275" s="7"/>
      <c r="F275" s="7"/>
      <c r="G275" s="7"/>
      <c r="H275" s="7"/>
      <c r="I275" s="8">
        <v>160.0</v>
      </c>
      <c r="J275" s="7"/>
      <c r="K275" s="8">
        <v>345.0</v>
      </c>
      <c r="L275" s="8">
        <v>630.0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8">
        <v>740.0</v>
      </c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9">
        <f t="shared" si="2"/>
        <v>160</v>
      </c>
      <c r="AK275" s="9">
        <f t="shared" si="3"/>
        <v>740</v>
      </c>
      <c r="AL275" s="7" t="str">
        <f t="shared" ref="AL275:AM275" si="277">HLOOKUP(AJ275,{$D275:$AI275;$D$1:$AI$1},2,false)</f>
        <v>Charlene</v>
      </c>
      <c r="AM275" s="7" t="str">
        <f t="shared" si="277"/>
        <v>Nancy</v>
      </c>
      <c r="AN275" s="7">
        <f t="shared" si="5"/>
        <v>4</v>
      </c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</row>
    <row r="276">
      <c r="A276" s="5">
        <v>45003.0</v>
      </c>
      <c r="B276" s="6" t="s">
        <v>40</v>
      </c>
      <c r="C276" s="7"/>
      <c r="D276" s="7"/>
      <c r="E276" s="7"/>
      <c r="F276" s="7"/>
      <c r="G276" s="7"/>
      <c r="H276" s="7"/>
      <c r="I276" s="8">
        <v>440.0</v>
      </c>
      <c r="J276" s="7"/>
      <c r="K276" s="8">
        <v>195.0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8">
        <v>575.0</v>
      </c>
      <c r="Z276" s="7"/>
      <c r="AA276" s="8">
        <v>705.0</v>
      </c>
      <c r="AB276" s="8">
        <v>705.0</v>
      </c>
      <c r="AC276" s="7"/>
      <c r="AD276" s="7"/>
      <c r="AE276" s="7"/>
      <c r="AF276" s="7"/>
      <c r="AG276" s="7"/>
      <c r="AH276" s="7"/>
      <c r="AI276" s="7"/>
      <c r="AJ276" s="9">
        <f t="shared" si="2"/>
        <v>195</v>
      </c>
      <c r="AK276" s="9">
        <f t="shared" si="3"/>
        <v>705</v>
      </c>
      <c r="AL276" s="7" t="str">
        <f t="shared" ref="AL276:AM276" si="278">HLOOKUP(AJ276,{$D276:$AI276;$D$1:$AI$1},2,false)</f>
        <v>David</v>
      </c>
      <c r="AM276" s="7" t="str">
        <f t="shared" si="278"/>
        <v>Sally</v>
      </c>
      <c r="AN276" s="7">
        <f t="shared" si="5"/>
        <v>5</v>
      </c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</row>
    <row r="277">
      <c r="A277" s="5">
        <v>45008.0</v>
      </c>
      <c r="B277" s="6" t="s">
        <v>40</v>
      </c>
      <c r="C277" s="7"/>
      <c r="D277" s="7"/>
      <c r="E277" s="7"/>
      <c r="F277" s="7"/>
      <c r="G277" s="7"/>
      <c r="H277" s="7"/>
      <c r="I277" s="8">
        <v>450.0</v>
      </c>
      <c r="J277" s="7"/>
      <c r="K277" s="8">
        <v>345.0</v>
      </c>
      <c r="L277" s="8">
        <v>610.0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8">
        <v>840.0</v>
      </c>
      <c r="Z277" s="7"/>
      <c r="AA277" s="8">
        <v>595.0</v>
      </c>
      <c r="AB277" s="7"/>
      <c r="AC277" s="7"/>
      <c r="AD277" s="7"/>
      <c r="AE277" s="7"/>
      <c r="AF277" s="7"/>
      <c r="AG277" s="7"/>
      <c r="AH277" s="7"/>
      <c r="AI277" s="7"/>
      <c r="AJ277" s="9">
        <f t="shared" si="2"/>
        <v>345</v>
      </c>
      <c r="AK277" s="9">
        <f t="shared" si="3"/>
        <v>840</v>
      </c>
      <c r="AL277" s="7" t="str">
        <f t="shared" ref="AL277:AM277" si="279">HLOOKUP(AJ277,{$D277:$AI277;$D$1:$AI$1},2,false)</f>
        <v>David</v>
      </c>
      <c r="AM277" s="7" t="str">
        <f t="shared" si="279"/>
        <v>Nancy</v>
      </c>
      <c r="AN277" s="7">
        <f t="shared" si="5"/>
        <v>5</v>
      </c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</row>
    <row r="278">
      <c r="A278" s="5">
        <v>45008.0</v>
      </c>
      <c r="B278" s="6" t="s">
        <v>40</v>
      </c>
      <c r="C278" s="7"/>
      <c r="D278" s="7"/>
      <c r="E278" s="7"/>
      <c r="F278" s="7"/>
      <c r="G278" s="7"/>
      <c r="H278" s="7"/>
      <c r="I278" s="8">
        <v>175.0</v>
      </c>
      <c r="J278" s="7"/>
      <c r="K278" s="8">
        <v>340.0</v>
      </c>
      <c r="L278" s="8">
        <v>425.0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8">
        <v>320.0</v>
      </c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9">
        <f t="shared" si="2"/>
        <v>175</v>
      </c>
      <c r="AK278" s="9">
        <f t="shared" si="3"/>
        <v>425</v>
      </c>
      <c r="AL278" s="7" t="str">
        <f t="shared" ref="AL278:AM278" si="280">HLOOKUP(AJ278,{$D278:$AI278;$D$1:$AI$1},2,false)</f>
        <v>Charlene</v>
      </c>
      <c r="AM278" s="7" t="str">
        <f t="shared" si="280"/>
        <v>Debby</v>
      </c>
      <c r="AN278" s="7">
        <f t="shared" si="5"/>
        <v>4</v>
      </c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</row>
    <row r="279">
      <c r="A279" s="5">
        <v>45010.0</v>
      </c>
      <c r="B279" s="6" t="s">
        <v>40</v>
      </c>
      <c r="C279" s="7"/>
      <c r="D279" s="7"/>
      <c r="E279" s="7"/>
      <c r="F279" s="7"/>
      <c r="G279" s="7"/>
      <c r="H279" s="7"/>
      <c r="I279" s="8">
        <v>465.0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8">
        <v>205.0</v>
      </c>
      <c r="Z279" s="7"/>
      <c r="AA279" s="8">
        <v>370.0</v>
      </c>
      <c r="AB279" s="7"/>
      <c r="AC279" s="7"/>
      <c r="AD279" s="7"/>
      <c r="AE279" s="7"/>
      <c r="AF279" s="7"/>
      <c r="AG279" s="7"/>
      <c r="AH279" s="7"/>
      <c r="AI279" s="7"/>
      <c r="AJ279" s="9">
        <f t="shared" si="2"/>
        <v>205</v>
      </c>
      <c r="AK279" s="9">
        <f t="shared" si="3"/>
        <v>465</v>
      </c>
      <c r="AL279" s="7" t="str">
        <f t="shared" ref="AL279:AM279" si="281">HLOOKUP(AJ279,{$D279:$AI279;$D$1:$AI$1},2,false)</f>
        <v>Nancy</v>
      </c>
      <c r="AM279" s="7" t="str">
        <f t="shared" si="281"/>
        <v>Charlene</v>
      </c>
      <c r="AN279" s="7">
        <f t="shared" si="5"/>
        <v>3</v>
      </c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</row>
    <row r="280">
      <c r="A280" s="5">
        <v>45016.0</v>
      </c>
      <c r="B280" s="6" t="s">
        <v>49</v>
      </c>
      <c r="C280" s="7"/>
      <c r="D280" s="7"/>
      <c r="E280" s="7"/>
      <c r="F280" s="7"/>
      <c r="G280" s="7"/>
      <c r="H280" s="7"/>
      <c r="I280" s="7"/>
      <c r="J280" s="7"/>
      <c r="K280" s="8">
        <v>700.0</v>
      </c>
      <c r="L280" s="8">
        <v>225.0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8">
        <v>365.0</v>
      </c>
      <c r="X280" s="7"/>
      <c r="Y280" s="8">
        <v>435.0</v>
      </c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9">
        <f t="shared" si="2"/>
        <v>225</v>
      </c>
      <c r="AK280" s="9">
        <f t="shared" si="3"/>
        <v>700</v>
      </c>
      <c r="AL280" s="7" t="str">
        <f t="shared" ref="AL280:AM280" si="282">HLOOKUP(AJ280,{$D280:$AI280;$D$1:$AI$1},2,false)</f>
        <v>Debby</v>
      </c>
      <c r="AM280" s="7" t="str">
        <f t="shared" si="282"/>
        <v>David</v>
      </c>
      <c r="AN280" s="7">
        <f t="shared" si="5"/>
        <v>4</v>
      </c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</row>
    <row r="281">
      <c r="A281" s="5">
        <v>45022.0</v>
      </c>
      <c r="B281" s="6" t="s">
        <v>40</v>
      </c>
      <c r="C281" s="7"/>
      <c r="D281" s="7"/>
      <c r="E281" s="7"/>
      <c r="F281" s="7"/>
      <c r="G281" s="7"/>
      <c r="H281" s="7"/>
      <c r="I281" s="8">
        <v>350.0</v>
      </c>
      <c r="J281" s="7"/>
      <c r="K281" s="8">
        <v>340.0</v>
      </c>
      <c r="L281" s="8">
        <v>370.0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8">
        <v>290.0</v>
      </c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9">
        <f t="shared" si="2"/>
        <v>290</v>
      </c>
      <c r="AK281" s="9">
        <f t="shared" si="3"/>
        <v>370</v>
      </c>
      <c r="AL281" s="7" t="str">
        <f t="shared" ref="AL281:AM281" si="283">HLOOKUP(AJ281,{$D281:$AI281;$D$1:$AI$1},2,false)</f>
        <v>Nancy</v>
      </c>
      <c r="AM281" s="7" t="str">
        <f t="shared" si="283"/>
        <v>Debby</v>
      </c>
      <c r="AN281" s="7">
        <f t="shared" si="5"/>
        <v>4</v>
      </c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</row>
    <row r="282">
      <c r="A282" s="5">
        <v>45025.0</v>
      </c>
      <c r="B282" s="6" t="s">
        <v>54</v>
      </c>
      <c r="C282" s="7"/>
      <c r="D282" s="7"/>
      <c r="E282" s="7"/>
      <c r="F282" s="7"/>
      <c r="G282" s="7"/>
      <c r="H282" s="7"/>
      <c r="I282" s="8">
        <v>635.0</v>
      </c>
      <c r="J282" s="7"/>
      <c r="K282" s="8">
        <v>440.0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8">
        <v>645.0</v>
      </c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9">
        <f t="shared" si="2"/>
        <v>440</v>
      </c>
      <c r="AK282" s="9">
        <f t="shared" si="3"/>
        <v>645</v>
      </c>
      <c r="AL282" s="7" t="str">
        <f t="shared" ref="AL282:AM282" si="284">HLOOKUP(AJ282,{$D282:$AI282;$D$1:$AI$1},2,false)</f>
        <v>David</v>
      </c>
      <c r="AM282" s="7" t="str">
        <f t="shared" si="284"/>
        <v>Nancy</v>
      </c>
      <c r="AN282" s="7">
        <f t="shared" si="5"/>
        <v>3</v>
      </c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</row>
    <row r="283">
      <c r="A283" s="5">
        <v>45027.0</v>
      </c>
      <c r="B283" s="6" t="s">
        <v>42</v>
      </c>
      <c r="C283" s="7"/>
      <c r="D283" s="7"/>
      <c r="E283" s="7"/>
      <c r="F283" s="7"/>
      <c r="G283" s="7"/>
      <c r="H283" s="7"/>
      <c r="I283" s="8">
        <v>365.0</v>
      </c>
      <c r="J283" s="8"/>
      <c r="K283" s="8">
        <v>290.0</v>
      </c>
      <c r="L283" s="7"/>
      <c r="M283" s="7"/>
      <c r="N283" s="7"/>
      <c r="O283" s="8"/>
      <c r="P283" s="8"/>
      <c r="Q283" s="8">
        <v>370.0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9">
        <f t="shared" si="2"/>
        <v>290</v>
      </c>
      <c r="AK283" s="9">
        <f t="shared" si="3"/>
        <v>370</v>
      </c>
      <c r="AL283" s="7" t="str">
        <f t="shared" ref="AL283:AM283" si="285">HLOOKUP(AJ283,{$D283:$AI283;$D$1:$AI$1},2,false)</f>
        <v>David</v>
      </c>
      <c r="AM283" s="7" t="str">
        <f t="shared" si="285"/>
        <v>Jeff M</v>
      </c>
      <c r="AN283" s="7">
        <f t="shared" si="5"/>
        <v>3</v>
      </c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</row>
    <row r="284">
      <c r="A284" s="5">
        <v>45029.0</v>
      </c>
      <c r="B284" s="6" t="s">
        <v>40</v>
      </c>
      <c r="C284" s="7"/>
      <c r="D284" s="7"/>
      <c r="E284" s="7"/>
      <c r="F284" s="7"/>
      <c r="G284" s="7"/>
      <c r="H284" s="7"/>
      <c r="I284" s="8">
        <v>495.0</v>
      </c>
      <c r="J284" s="7"/>
      <c r="K284" s="8">
        <v>350.0</v>
      </c>
      <c r="L284" s="8">
        <v>585.0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8">
        <v>85.0</v>
      </c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9">
        <f t="shared" si="2"/>
        <v>85</v>
      </c>
      <c r="AK284" s="9">
        <f t="shared" si="3"/>
        <v>585</v>
      </c>
      <c r="AL284" s="7" t="str">
        <f t="shared" ref="AL284:AM284" si="286">HLOOKUP(AJ284,{$D284:$AI284;$D$1:$AI$1},2,false)</f>
        <v>Nancy</v>
      </c>
      <c r="AM284" s="7" t="str">
        <f t="shared" si="286"/>
        <v>Debby</v>
      </c>
      <c r="AN284" s="7">
        <f t="shared" si="5"/>
        <v>4</v>
      </c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</row>
    <row r="285">
      <c r="A285" s="5">
        <v>45031.0</v>
      </c>
      <c r="B285" s="6" t="s">
        <v>42</v>
      </c>
      <c r="C285" s="7"/>
      <c r="D285" s="7"/>
      <c r="E285" s="7"/>
      <c r="F285" s="7"/>
      <c r="G285" s="7"/>
      <c r="H285" s="7"/>
      <c r="I285" s="8">
        <v>235.0</v>
      </c>
      <c r="J285" s="7"/>
      <c r="K285" s="8">
        <v>365.0</v>
      </c>
      <c r="L285" s="8">
        <v>320.0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8">
        <v>690.0</v>
      </c>
      <c r="Z285" s="7"/>
      <c r="AA285" s="7"/>
      <c r="AB285" s="8">
        <v>390.0</v>
      </c>
      <c r="AC285" s="7"/>
      <c r="AD285" s="7"/>
      <c r="AE285" s="7"/>
      <c r="AF285" s="7"/>
      <c r="AG285" s="7"/>
      <c r="AH285" s="7"/>
      <c r="AI285" s="7"/>
      <c r="AJ285" s="9">
        <f t="shared" si="2"/>
        <v>235</v>
      </c>
      <c r="AK285" s="9">
        <f t="shared" si="3"/>
        <v>690</v>
      </c>
      <c r="AL285" s="7" t="str">
        <f t="shared" ref="AL285:AM285" si="287">HLOOKUP(AJ285,{$D285:$AI285;$D$1:$AI$1},2,false)</f>
        <v>Charlene</v>
      </c>
      <c r="AM285" s="7" t="str">
        <f t="shared" si="287"/>
        <v>Nancy</v>
      </c>
      <c r="AN285" s="7">
        <f t="shared" si="5"/>
        <v>5</v>
      </c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</row>
    <row r="286">
      <c r="A286" s="5">
        <v>45031.0</v>
      </c>
      <c r="B286" s="6" t="s">
        <v>40</v>
      </c>
      <c r="C286" s="7"/>
      <c r="D286" s="7"/>
      <c r="E286" s="7"/>
      <c r="F286" s="7"/>
      <c r="G286" s="7"/>
      <c r="H286" s="7"/>
      <c r="I286" s="8">
        <v>625.0</v>
      </c>
      <c r="J286" s="7"/>
      <c r="K286" s="8">
        <v>570.0</v>
      </c>
      <c r="L286" s="8">
        <v>525.0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8">
        <v>495.0</v>
      </c>
      <c r="Z286" s="7"/>
      <c r="AA286" s="7"/>
      <c r="AB286" s="8">
        <v>660.0</v>
      </c>
      <c r="AC286" s="7"/>
      <c r="AD286" s="7"/>
      <c r="AE286" s="7"/>
      <c r="AF286" s="7"/>
      <c r="AG286" s="7"/>
      <c r="AH286" s="7"/>
      <c r="AI286" s="7"/>
      <c r="AJ286" s="9">
        <f t="shared" si="2"/>
        <v>495</v>
      </c>
      <c r="AK286" s="9">
        <f t="shared" si="3"/>
        <v>660</v>
      </c>
      <c r="AL286" s="7" t="str">
        <f t="shared" ref="AL286:AM286" si="288">HLOOKUP(AJ286,{$D286:$AI286;$D$1:$AI$1},2,false)</f>
        <v>Nancy</v>
      </c>
      <c r="AM286" s="7" t="str">
        <f t="shared" si="288"/>
        <v>Sandy</v>
      </c>
      <c r="AN286" s="7">
        <f t="shared" si="5"/>
        <v>5</v>
      </c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</row>
    <row r="287">
      <c r="A287" s="5">
        <v>45041.0</v>
      </c>
      <c r="B287" s="6" t="s">
        <v>40</v>
      </c>
      <c r="C287" s="7"/>
      <c r="D287" s="8"/>
      <c r="E287" s="8"/>
      <c r="F287" s="8">
        <v>750.0</v>
      </c>
      <c r="G287" s="8"/>
      <c r="H287" s="8"/>
      <c r="I287" s="8">
        <v>420.0</v>
      </c>
      <c r="J287" s="7"/>
      <c r="K287" s="8">
        <v>345.0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8">
        <v>395.0</v>
      </c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9">
        <f t="shared" si="2"/>
        <v>345</v>
      </c>
      <c r="AK287" s="9">
        <f t="shared" si="3"/>
        <v>750</v>
      </c>
      <c r="AL287" s="7" t="str">
        <f t="shared" ref="AL287:AM287" si="289">HLOOKUP(AJ287,{$D287:$AI287;$D$1:$AI$1},2,false)</f>
        <v>David</v>
      </c>
      <c r="AM287" s="7" t="str">
        <f t="shared" si="289"/>
        <v>Allyn</v>
      </c>
      <c r="AN287" s="7">
        <f t="shared" si="5"/>
        <v>4</v>
      </c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</row>
    <row r="288">
      <c r="A288" s="5">
        <v>45043.0</v>
      </c>
      <c r="B288" s="6" t="s">
        <v>40</v>
      </c>
      <c r="C288" s="7"/>
      <c r="D288" s="7"/>
      <c r="E288" s="7"/>
      <c r="F288" s="7"/>
      <c r="G288" s="7"/>
      <c r="H288" s="7"/>
      <c r="I288" s="8">
        <v>530.0</v>
      </c>
      <c r="J288" s="7"/>
      <c r="K288" s="8">
        <v>150.0</v>
      </c>
      <c r="L288" s="8">
        <v>400.0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8">
        <v>365.0</v>
      </c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9">
        <f t="shared" si="2"/>
        <v>150</v>
      </c>
      <c r="AK288" s="9">
        <f t="shared" si="3"/>
        <v>530</v>
      </c>
      <c r="AL288" s="7" t="str">
        <f t="shared" ref="AL288:AM288" si="290">HLOOKUP(AJ288,{$D288:$AI288;$D$1:$AI$1},2,false)</f>
        <v>David</v>
      </c>
      <c r="AM288" s="7" t="str">
        <f t="shared" si="290"/>
        <v>Charlene</v>
      </c>
      <c r="AN288" s="7">
        <f t="shared" si="5"/>
        <v>4</v>
      </c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</row>
    <row r="289">
      <c r="A289" s="5">
        <v>45045.0</v>
      </c>
      <c r="B289" s="6" t="s">
        <v>40</v>
      </c>
      <c r="C289" s="7"/>
      <c r="D289" s="7"/>
      <c r="E289" s="7"/>
      <c r="F289" s="7"/>
      <c r="G289" s="7"/>
      <c r="H289" s="7"/>
      <c r="I289" s="8">
        <v>680.0</v>
      </c>
      <c r="J289" s="7"/>
      <c r="K289" s="8">
        <v>270.0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8">
        <v>330.0</v>
      </c>
      <c r="Z289" s="7"/>
      <c r="AA289" s="7"/>
      <c r="AB289" s="8">
        <v>170.0</v>
      </c>
      <c r="AC289" s="7"/>
      <c r="AD289" s="7"/>
      <c r="AE289" s="7"/>
      <c r="AF289" s="7"/>
      <c r="AG289" s="7"/>
      <c r="AH289" s="7"/>
      <c r="AI289" s="7"/>
      <c r="AJ289" s="9">
        <f t="shared" si="2"/>
        <v>170</v>
      </c>
      <c r="AK289" s="9">
        <f t="shared" si="3"/>
        <v>680</v>
      </c>
      <c r="AL289" s="7" t="str">
        <f t="shared" ref="AL289:AM289" si="291">HLOOKUP(AJ289,{$D289:$AI289;$D$1:$AI$1},2,false)</f>
        <v>Sandy</v>
      </c>
      <c r="AM289" s="7" t="str">
        <f t="shared" si="291"/>
        <v>Charlene</v>
      </c>
      <c r="AN289" s="7">
        <f t="shared" si="5"/>
        <v>4</v>
      </c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</row>
    <row r="290">
      <c r="A290" s="5">
        <v>45051.0</v>
      </c>
      <c r="B290" s="6" t="s">
        <v>42</v>
      </c>
      <c r="C290" s="7"/>
      <c r="D290" s="7"/>
      <c r="E290" s="7"/>
      <c r="F290" s="7"/>
      <c r="G290" s="7"/>
      <c r="H290" s="7"/>
      <c r="I290" s="8">
        <v>585.0</v>
      </c>
      <c r="J290" s="8"/>
      <c r="K290" s="8">
        <v>605.0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8">
        <v>230.0</v>
      </c>
      <c r="Z290" s="7"/>
      <c r="AA290" s="7"/>
      <c r="AB290" s="8">
        <v>630.0</v>
      </c>
      <c r="AC290" s="7"/>
      <c r="AD290" s="7"/>
      <c r="AE290" s="7"/>
      <c r="AF290" s="7"/>
      <c r="AG290" s="7"/>
      <c r="AH290" s="7"/>
      <c r="AI290" s="7"/>
      <c r="AJ290" s="9">
        <f t="shared" si="2"/>
        <v>230</v>
      </c>
      <c r="AK290" s="9">
        <f t="shared" si="3"/>
        <v>630</v>
      </c>
      <c r="AL290" s="7" t="str">
        <f t="shared" ref="AL290:AM290" si="292">HLOOKUP(AJ290,{$D290:$AI290;$D$1:$AI$1},2,false)</f>
        <v>Nancy</v>
      </c>
      <c r="AM290" s="7" t="str">
        <f t="shared" si="292"/>
        <v>Sandy</v>
      </c>
      <c r="AN290" s="7">
        <f t="shared" si="5"/>
        <v>4</v>
      </c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</row>
    <row r="291">
      <c r="A291" s="5">
        <v>45055.0</v>
      </c>
      <c r="B291" s="6" t="s">
        <v>40</v>
      </c>
      <c r="C291" s="7"/>
      <c r="D291" s="8"/>
      <c r="E291" s="8"/>
      <c r="F291" s="8">
        <v>310.0</v>
      </c>
      <c r="G291" s="8"/>
      <c r="H291" s="8"/>
      <c r="I291" s="8">
        <v>205.0</v>
      </c>
      <c r="J291" s="7"/>
      <c r="K291" s="8">
        <v>400.0</v>
      </c>
      <c r="L291" s="8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8">
        <v>265.0</v>
      </c>
      <c r="Z291" s="7"/>
      <c r="AA291" s="7"/>
      <c r="AB291" s="8"/>
      <c r="AC291" s="7"/>
      <c r="AD291" s="7"/>
      <c r="AE291" s="7"/>
      <c r="AF291" s="7"/>
      <c r="AG291" s="7"/>
      <c r="AH291" s="7"/>
      <c r="AI291" s="7"/>
      <c r="AJ291" s="9">
        <f t="shared" si="2"/>
        <v>205</v>
      </c>
      <c r="AK291" s="9">
        <f t="shared" si="3"/>
        <v>400</v>
      </c>
      <c r="AL291" s="7" t="str">
        <f t="shared" ref="AL291:AM291" si="293">HLOOKUP(AJ291,{$D291:$AI291;$D$1:$AI$1},2,false)</f>
        <v>Charlene</v>
      </c>
      <c r="AM291" s="7" t="str">
        <f t="shared" si="293"/>
        <v>David</v>
      </c>
      <c r="AN291" s="7">
        <f t="shared" si="5"/>
        <v>4</v>
      </c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</row>
    <row r="292">
      <c r="A292" s="5">
        <v>45057.0</v>
      </c>
      <c r="B292" s="6" t="s">
        <v>40</v>
      </c>
      <c r="C292" s="7"/>
      <c r="D292" s="7"/>
      <c r="E292" s="7"/>
      <c r="F292" s="7"/>
      <c r="G292" s="7"/>
      <c r="H292" s="7"/>
      <c r="I292" s="8">
        <v>220.0</v>
      </c>
      <c r="J292" s="7"/>
      <c r="K292" s="8">
        <v>170.0</v>
      </c>
      <c r="L292" s="8">
        <v>595.0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8">
        <v>310.0</v>
      </c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9">
        <f t="shared" si="2"/>
        <v>170</v>
      </c>
      <c r="AK292" s="9">
        <f t="shared" si="3"/>
        <v>595</v>
      </c>
      <c r="AL292" s="7" t="str">
        <f t="shared" ref="AL292:AM292" si="294">HLOOKUP(AJ292,{$D292:$AI292;$D$1:$AI$1},2,false)</f>
        <v>David</v>
      </c>
      <c r="AM292" s="7" t="str">
        <f t="shared" si="294"/>
        <v>Debby</v>
      </c>
      <c r="AN292" s="7">
        <f t="shared" si="5"/>
        <v>4</v>
      </c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</row>
    <row r="293">
      <c r="A293" s="5">
        <v>45058.0</v>
      </c>
      <c r="B293" s="6" t="s">
        <v>55</v>
      </c>
      <c r="C293" s="7"/>
      <c r="D293" s="7"/>
      <c r="E293" s="7"/>
      <c r="F293" s="7"/>
      <c r="G293" s="7"/>
      <c r="H293" s="7"/>
      <c r="I293" s="7"/>
      <c r="J293" s="7"/>
      <c r="K293" s="8">
        <v>545.0</v>
      </c>
      <c r="L293" s="7"/>
      <c r="M293" s="7"/>
      <c r="N293" s="8">
        <v>300.0</v>
      </c>
      <c r="O293" s="7"/>
      <c r="P293" s="7"/>
      <c r="Q293" s="7"/>
      <c r="R293" s="7"/>
      <c r="S293" s="7"/>
      <c r="T293" s="7"/>
      <c r="U293" s="7"/>
      <c r="V293" s="7"/>
      <c r="W293" s="7"/>
      <c r="X293" s="8">
        <v>215.0</v>
      </c>
      <c r="Y293" s="8">
        <v>405.0</v>
      </c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9">
        <f t="shared" si="2"/>
        <v>215</v>
      </c>
      <c r="AK293" s="9">
        <f t="shared" si="3"/>
        <v>545</v>
      </c>
      <c r="AL293" s="7" t="str">
        <f t="shared" ref="AL293:AM293" si="295">HLOOKUP(AJ293,{$D293:$AI293;$D$1:$AI$1},2,false)</f>
        <v>Melissa</v>
      </c>
      <c r="AM293" s="7" t="str">
        <f t="shared" si="295"/>
        <v>David</v>
      </c>
      <c r="AN293" s="7">
        <f t="shared" si="5"/>
        <v>4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</row>
    <row r="294">
      <c r="A294" s="5">
        <v>45059.0</v>
      </c>
      <c r="B294" s="6" t="s">
        <v>56</v>
      </c>
      <c r="C294" s="7"/>
      <c r="D294" s="7"/>
      <c r="E294" s="7"/>
      <c r="F294" s="7"/>
      <c r="G294" s="7"/>
      <c r="H294" s="7"/>
      <c r="I294" s="8">
        <v>610.0</v>
      </c>
      <c r="J294" s="7"/>
      <c r="K294" s="8">
        <v>445.0</v>
      </c>
      <c r="L294" s="7"/>
      <c r="M294" s="7"/>
      <c r="N294" s="7"/>
      <c r="O294" s="7"/>
      <c r="P294" s="7"/>
      <c r="Q294" s="7"/>
      <c r="R294" s="7"/>
      <c r="S294" s="7"/>
      <c r="T294" s="7"/>
      <c r="U294" s="8">
        <v>310.0</v>
      </c>
      <c r="V294" s="7"/>
      <c r="W294" s="7"/>
      <c r="X294" s="7"/>
      <c r="Y294" s="8">
        <v>515.0</v>
      </c>
      <c r="Z294" s="7"/>
      <c r="AA294" s="7"/>
      <c r="AB294" s="8">
        <v>195.0</v>
      </c>
      <c r="AC294" s="7"/>
      <c r="AD294" s="7"/>
      <c r="AE294" s="7"/>
      <c r="AF294" s="7"/>
      <c r="AG294" s="7"/>
      <c r="AH294" s="7"/>
      <c r="AI294" s="7"/>
      <c r="AJ294" s="9">
        <f t="shared" si="2"/>
        <v>195</v>
      </c>
      <c r="AK294" s="9">
        <f t="shared" si="3"/>
        <v>610</v>
      </c>
      <c r="AL294" s="7" t="str">
        <f t="shared" ref="AL294:AM294" si="296">HLOOKUP(AJ294,{$D294:$AI294;$D$1:$AI$1},2,false)</f>
        <v>Sandy</v>
      </c>
      <c r="AM294" s="7" t="str">
        <f t="shared" si="296"/>
        <v>Charlene</v>
      </c>
      <c r="AN294" s="7">
        <f t="shared" si="5"/>
        <v>5</v>
      </c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</row>
    <row r="295">
      <c r="A295" s="5">
        <v>45064.0</v>
      </c>
      <c r="B295" s="6" t="s">
        <v>40</v>
      </c>
      <c r="C295" s="7"/>
      <c r="D295" s="8"/>
      <c r="E295" s="8"/>
      <c r="F295" s="8">
        <v>380.0</v>
      </c>
      <c r="G295" s="8"/>
      <c r="H295" s="8"/>
      <c r="I295" s="7"/>
      <c r="J295" s="7"/>
      <c r="K295" s="8">
        <v>385.0</v>
      </c>
      <c r="L295" s="8">
        <v>220.0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8">
        <v>235.0</v>
      </c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9">
        <f t="shared" si="2"/>
        <v>220</v>
      </c>
      <c r="AK295" s="9">
        <f t="shared" si="3"/>
        <v>385</v>
      </c>
      <c r="AL295" s="7" t="str">
        <f t="shared" ref="AL295:AM295" si="297">HLOOKUP(AJ295,{$D295:$AI295;$D$1:$AI$1},2,false)</f>
        <v>Debby</v>
      </c>
      <c r="AM295" s="7" t="str">
        <f t="shared" si="297"/>
        <v>David</v>
      </c>
      <c r="AN295" s="7">
        <f t="shared" si="5"/>
        <v>4</v>
      </c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</row>
    <row r="296">
      <c r="A296" s="5">
        <v>45066.0</v>
      </c>
      <c r="B296" s="6" t="s">
        <v>56</v>
      </c>
      <c r="C296" s="7"/>
      <c r="D296" s="7"/>
      <c r="E296" s="7"/>
      <c r="F296" s="7"/>
      <c r="G296" s="7"/>
      <c r="H296" s="7"/>
      <c r="I296" s="8">
        <v>225.0</v>
      </c>
      <c r="J296" s="7"/>
      <c r="K296" s="8">
        <v>290.0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8">
        <v>225.0</v>
      </c>
      <c r="Z296" s="7"/>
      <c r="AA296" s="7"/>
      <c r="AB296" s="8">
        <v>275.0</v>
      </c>
      <c r="AC296" s="7"/>
      <c r="AD296" s="7"/>
      <c r="AE296" s="7"/>
      <c r="AF296" s="7"/>
      <c r="AG296" s="7"/>
      <c r="AH296" s="7"/>
      <c r="AI296" s="7"/>
      <c r="AJ296" s="9">
        <f t="shared" si="2"/>
        <v>225</v>
      </c>
      <c r="AK296" s="9">
        <f t="shared" si="3"/>
        <v>290</v>
      </c>
      <c r="AL296" s="7" t="str">
        <f t="shared" ref="AL296:AM296" si="298">HLOOKUP(AJ296,{$D296:$AI296;$D$1:$AI$1},2,false)</f>
        <v>Charlene</v>
      </c>
      <c r="AM296" s="7" t="str">
        <f t="shared" si="298"/>
        <v>David</v>
      </c>
      <c r="AN296" s="7">
        <f t="shared" si="5"/>
        <v>4</v>
      </c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</row>
    <row r="297">
      <c r="A297" s="5">
        <v>45067.0</v>
      </c>
      <c r="B297" s="6" t="s">
        <v>40</v>
      </c>
      <c r="C297" s="7"/>
      <c r="D297" s="8"/>
      <c r="E297" s="8"/>
      <c r="F297" s="8">
        <v>530.0</v>
      </c>
      <c r="G297" s="8"/>
      <c r="H297" s="8"/>
      <c r="I297" s="8">
        <v>625.0</v>
      </c>
      <c r="J297" s="7"/>
      <c r="K297" s="8">
        <v>335.0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8">
        <v>680.0</v>
      </c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9">
        <f t="shared" si="2"/>
        <v>335</v>
      </c>
      <c r="AK297" s="9">
        <f t="shared" si="3"/>
        <v>680</v>
      </c>
      <c r="AL297" s="7" t="str">
        <f t="shared" ref="AL297:AM297" si="299">HLOOKUP(AJ297,{$D297:$AI297;$D$1:$AI$1},2,false)</f>
        <v>David</v>
      </c>
      <c r="AM297" s="7" t="str">
        <f t="shared" si="299"/>
        <v>Nancy</v>
      </c>
      <c r="AN297" s="7">
        <f t="shared" si="5"/>
        <v>4</v>
      </c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</row>
    <row r="298">
      <c r="A298" s="5">
        <v>45071.0</v>
      </c>
      <c r="B298" s="6" t="s">
        <v>40</v>
      </c>
      <c r="C298" s="7"/>
      <c r="D298" s="7"/>
      <c r="E298" s="7"/>
      <c r="F298" s="7"/>
      <c r="G298" s="7"/>
      <c r="H298" s="7"/>
      <c r="I298" s="8">
        <v>335.0</v>
      </c>
      <c r="J298" s="7"/>
      <c r="K298" s="8">
        <v>635.0</v>
      </c>
      <c r="L298" s="8">
        <v>570.0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8">
        <v>365.0</v>
      </c>
      <c r="Z298" s="7"/>
      <c r="AA298" s="8">
        <v>560.0</v>
      </c>
      <c r="AB298" s="7"/>
      <c r="AC298" s="7"/>
      <c r="AD298" s="7"/>
      <c r="AE298" s="7"/>
      <c r="AF298" s="7"/>
      <c r="AG298" s="7"/>
      <c r="AH298" s="7"/>
      <c r="AI298" s="7"/>
      <c r="AJ298" s="9">
        <f t="shared" si="2"/>
        <v>335</v>
      </c>
      <c r="AK298" s="9">
        <f t="shared" si="3"/>
        <v>635</v>
      </c>
      <c r="AL298" s="7" t="str">
        <f t="shared" ref="AL298:AM298" si="300">HLOOKUP(AJ298,{$D298:$AI298;$D$1:$AI$1},2,false)</f>
        <v>Charlene</v>
      </c>
      <c r="AM298" s="7" t="str">
        <f t="shared" si="300"/>
        <v>David</v>
      </c>
      <c r="AN298" s="7">
        <f t="shared" si="5"/>
        <v>5</v>
      </c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</row>
    <row r="299">
      <c r="A299" s="5">
        <v>45073.0</v>
      </c>
      <c r="B299" s="6" t="s">
        <v>57</v>
      </c>
      <c r="C299" s="7"/>
      <c r="D299" s="7"/>
      <c r="E299" s="7"/>
      <c r="F299" s="7"/>
      <c r="G299" s="7"/>
      <c r="H299" s="7"/>
      <c r="I299" s="7"/>
      <c r="J299" s="7"/>
      <c r="K299" s="8">
        <v>115.0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8">
        <v>630.0</v>
      </c>
      <c r="Z299" s="7"/>
      <c r="AA299" s="8">
        <v>680.0</v>
      </c>
      <c r="AB299" s="7"/>
      <c r="AC299" s="7"/>
      <c r="AD299" s="7"/>
      <c r="AE299" s="7"/>
      <c r="AF299" s="7"/>
      <c r="AG299" s="7"/>
      <c r="AH299" s="7"/>
      <c r="AI299" s="7"/>
      <c r="AJ299" s="9">
        <f t="shared" si="2"/>
        <v>115</v>
      </c>
      <c r="AK299" s="9">
        <f t="shared" si="3"/>
        <v>680</v>
      </c>
      <c r="AL299" s="7" t="str">
        <f t="shared" ref="AL299:AM299" si="301">HLOOKUP(AJ299,{$D299:$AI299;$D$1:$AI$1},2,false)</f>
        <v>David</v>
      </c>
      <c r="AM299" s="7" t="str">
        <f t="shared" si="301"/>
        <v>Sally</v>
      </c>
      <c r="AN299" s="7">
        <f t="shared" si="5"/>
        <v>3</v>
      </c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</row>
    <row r="300">
      <c r="A300" s="5">
        <v>45074.0</v>
      </c>
      <c r="B300" s="6" t="s">
        <v>57</v>
      </c>
      <c r="C300" s="7"/>
      <c r="D300" s="7"/>
      <c r="E300" s="7"/>
      <c r="F300" s="7"/>
      <c r="G300" s="7"/>
      <c r="H300" s="7"/>
      <c r="I300" s="7"/>
      <c r="J300" s="7"/>
      <c r="K300" s="8">
        <v>310.0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8">
        <v>230.0</v>
      </c>
      <c r="Z300" s="7"/>
      <c r="AA300" s="8">
        <v>505.0</v>
      </c>
      <c r="AB300" s="7"/>
      <c r="AC300" s="7"/>
      <c r="AD300" s="7"/>
      <c r="AE300" s="7"/>
      <c r="AF300" s="7"/>
      <c r="AG300" s="7"/>
      <c r="AH300" s="7"/>
      <c r="AI300" s="7"/>
      <c r="AJ300" s="9">
        <f t="shared" si="2"/>
        <v>230</v>
      </c>
      <c r="AK300" s="9">
        <f t="shared" si="3"/>
        <v>505</v>
      </c>
      <c r="AL300" s="7" t="str">
        <f t="shared" ref="AL300:AM300" si="302">HLOOKUP(AJ300,{$D300:$AI300;$D$1:$AI$1},2,false)</f>
        <v>Nancy</v>
      </c>
      <c r="AM300" s="7" t="str">
        <f t="shared" si="302"/>
        <v>Sally</v>
      </c>
      <c r="AN300" s="7">
        <f t="shared" si="5"/>
        <v>3</v>
      </c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</row>
    <row r="301">
      <c r="A301" s="5">
        <v>45079.0</v>
      </c>
      <c r="B301" s="6" t="s">
        <v>40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>
        <v>295.0</v>
      </c>
      <c r="W301" s="7"/>
      <c r="X301" s="7"/>
      <c r="Y301" s="8">
        <v>395.0</v>
      </c>
      <c r="Z301" s="7"/>
      <c r="AA301" s="8">
        <v>420.0</v>
      </c>
      <c r="AB301" s="7"/>
      <c r="AC301" s="8">
        <v>455.0</v>
      </c>
      <c r="AD301" s="8"/>
      <c r="AE301" s="7"/>
      <c r="AF301" s="8">
        <v>395.0</v>
      </c>
      <c r="AG301" s="8"/>
      <c r="AH301" s="7"/>
      <c r="AI301" s="7"/>
      <c r="AJ301" s="9">
        <f t="shared" si="2"/>
        <v>295</v>
      </c>
      <c r="AK301" s="9">
        <f t="shared" si="3"/>
        <v>455</v>
      </c>
      <c r="AL301" s="7" t="str">
        <f t="shared" ref="AL301:AM301" si="303">HLOOKUP(AJ301,{$D301:$AI301;$D$1:$AI$1},2,false)</f>
        <v>Karen</v>
      </c>
      <c r="AM301" s="7" t="str">
        <f t="shared" si="303"/>
        <v>Sara</v>
      </c>
      <c r="AN301" s="7">
        <f t="shared" si="5"/>
        <v>5</v>
      </c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</row>
    <row r="302">
      <c r="A302" s="5">
        <v>45081.0</v>
      </c>
      <c r="B302" s="6" t="s">
        <v>40</v>
      </c>
      <c r="C302" s="8" t="s">
        <v>41</v>
      </c>
      <c r="D302" s="8"/>
      <c r="E302" s="8"/>
      <c r="F302" s="8">
        <v>335.0</v>
      </c>
      <c r="G302" s="8"/>
      <c r="H302" s="8"/>
      <c r="I302" s="7"/>
      <c r="J302" s="7"/>
      <c r="K302" s="8">
        <v>80.0</v>
      </c>
      <c r="L302" s="8">
        <v>240.0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8">
        <v>225.0</v>
      </c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9">
        <f t="shared" si="2"/>
        <v>80</v>
      </c>
      <c r="AK302" s="9">
        <f t="shared" si="3"/>
        <v>335</v>
      </c>
      <c r="AL302" s="7" t="str">
        <f t="shared" ref="AL302:AM302" si="304">HLOOKUP(AJ302,{$D302:$AI302;$D$1:$AI$1},2,false)</f>
        <v>David</v>
      </c>
      <c r="AM302" s="7" t="str">
        <f t="shared" si="304"/>
        <v>Allyn</v>
      </c>
      <c r="AN302" s="7">
        <f t="shared" si="5"/>
        <v>4</v>
      </c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</row>
    <row r="303">
      <c r="A303" s="5">
        <v>45085.0</v>
      </c>
      <c r="B303" s="6" t="s">
        <v>55</v>
      </c>
      <c r="C303" s="8" t="s">
        <v>41</v>
      </c>
      <c r="D303" s="7"/>
      <c r="E303" s="7"/>
      <c r="F303" s="7"/>
      <c r="G303" s="7"/>
      <c r="H303" s="7"/>
      <c r="I303" s="7"/>
      <c r="J303" s="7"/>
      <c r="K303" s="8">
        <v>220.0</v>
      </c>
      <c r="L303" s="7"/>
      <c r="M303" s="7"/>
      <c r="N303" s="7"/>
      <c r="O303" s="7"/>
      <c r="P303" s="7"/>
      <c r="Q303" s="7"/>
      <c r="R303" s="7"/>
      <c r="S303" s="7"/>
      <c r="T303" s="7"/>
      <c r="U303" s="8">
        <v>505.0</v>
      </c>
      <c r="V303" s="7"/>
      <c r="W303" s="7"/>
      <c r="X303" s="7"/>
      <c r="Y303" s="8">
        <v>130.0</v>
      </c>
      <c r="Z303" s="7"/>
      <c r="AA303" s="7"/>
      <c r="AB303" s="8">
        <v>185.0</v>
      </c>
      <c r="AC303" s="7"/>
      <c r="AD303" s="7"/>
      <c r="AE303" s="7"/>
      <c r="AF303" s="7"/>
      <c r="AG303" s="7"/>
      <c r="AH303" s="7"/>
      <c r="AI303" s="7"/>
      <c r="AJ303" s="9">
        <f t="shared" si="2"/>
        <v>130</v>
      </c>
      <c r="AK303" s="9">
        <f t="shared" si="3"/>
        <v>505</v>
      </c>
      <c r="AL303" s="7" t="str">
        <f t="shared" ref="AL303:AM303" si="305">HLOOKUP(AJ303,{$D303:$AI303;$D$1:$AI$1},2,false)</f>
        <v>Nancy</v>
      </c>
      <c r="AM303" s="7" t="str">
        <f t="shared" si="305"/>
        <v>Karenina</v>
      </c>
      <c r="AN303" s="7">
        <f t="shared" si="5"/>
        <v>4</v>
      </c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</row>
    <row r="304">
      <c r="A304" s="5">
        <v>45087.0</v>
      </c>
      <c r="B304" s="6" t="s">
        <v>43</v>
      </c>
      <c r="C304" s="7"/>
      <c r="D304" s="7"/>
      <c r="E304" s="7"/>
      <c r="F304" s="7"/>
      <c r="G304" s="7"/>
      <c r="H304" s="7"/>
      <c r="I304" s="7"/>
      <c r="J304" s="7"/>
      <c r="K304" s="8">
        <v>710.0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8">
        <v>435.0</v>
      </c>
      <c r="Z304" s="7"/>
      <c r="AA304" s="8">
        <v>410.0</v>
      </c>
      <c r="AB304" s="7"/>
      <c r="AC304" s="7"/>
      <c r="AD304" s="7"/>
      <c r="AE304" s="7"/>
      <c r="AF304" s="8">
        <v>440.0</v>
      </c>
      <c r="AG304" s="8"/>
      <c r="AH304" s="7"/>
      <c r="AI304" s="7"/>
      <c r="AJ304" s="9">
        <f t="shared" si="2"/>
        <v>410</v>
      </c>
      <c r="AK304" s="9">
        <f t="shared" si="3"/>
        <v>710</v>
      </c>
      <c r="AL304" s="7" t="str">
        <f t="shared" ref="AL304:AM304" si="306">HLOOKUP(AJ304,{$D304:$AI304;$D$1:$AI$1},2,false)</f>
        <v>Sally</v>
      </c>
      <c r="AM304" s="7" t="str">
        <f t="shared" si="306"/>
        <v>David</v>
      </c>
      <c r="AN304" s="7">
        <f t="shared" si="5"/>
        <v>4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</row>
    <row r="305">
      <c r="A305" s="5">
        <v>45089.0</v>
      </c>
      <c r="B305" s="6" t="s">
        <v>55</v>
      </c>
      <c r="C305" s="7"/>
      <c r="D305" s="7"/>
      <c r="E305" s="7"/>
      <c r="F305" s="7"/>
      <c r="G305" s="7"/>
      <c r="H305" s="7"/>
      <c r="I305" s="8">
        <v>625.0</v>
      </c>
      <c r="J305" s="7"/>
      <c r="K305" s="8">
        <v>310.0</v>
      </c>
      <c r="L305" s="8">
        <v>710.0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8">
        <v>290.0</v>
      </c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9">
        <f t="shared" si="2"/>
        <v>290</v>
      </c>
      <c r="AK305" s="9">
        <f t="shared" si="3"/>
        <v>710</v>
      </c>
      <c r="AL305" s="7" t="str">
        <f t="shared" ref="AL305:AM305" si="307">HLOOKUP(AJ305,{$D305:$AI305;$D$1:$AI$1},2,false)</f>
        <v>Nancy</v>
      </c>
      <c r="AM305" s="7" t="str">
        <f t="shared" si="307"/>
        <v>Debby</v>
      </c>
      <c r="AN305" s="7">
        <f t="shared" si="5"/>
        <v>4</v>
      </c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</row>
    <row r="306">
      <c r="A306" s="5">
        <v>45092.0</v>
      </c>
      <c r="B306" s="6" t="s">
        <v>55</v>
      </c>
      <c r="C306" s="7"/>
      <c r="D306" s="7"/>
      <c r="E306" s="7"/>
      <c r="F306" s="7"/>
      <c r="G306" s="7"/>
      <c r="H306" s="7"/>
      <c r="I306" s="8">
        <v>295.0</v>
      </c>
      <c r="J306" s="7"/>
      <c r="K306" s="8">
        <v>465.0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8">
        <v>665.0</v>
      </c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9">
        <f t="shared" si="2"/>
        <v>295</v>
      </c>
      <c r="AK306" s="9">
        <f t="shared" si="3"/>
        <v>665</v>
      </c>
      <c r="AL306" s="7" t="str">
        <f t="shared" ref="AL306:AM306" si="308">HLOOKUP(AJ306,{$D306:$AI306;$D$1:$AI$1},2,false)</f>
        <v>Charlene</v>
      </c>
      <c r="AM306" s="7" t="str">
        <f t="shared" si="308"/>
        <v>Nancy</v>
      </c>
      <c r="AN306" s="7">
        <f t="shared" si="5"/>
        <v>3</v>
      </c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</row>
    <row r="307">
      <c r="A307" s="5">
        <v>45094.0</v>
      </c>
      <c r="B307" s="6" t="s">
        <v>55</v>
      </c>
      <c r="C307" s="7"/>
      <c r="D307" s="7"/>
      <c r="E307" s="7"/>
      <c r="F307" s="7"/>
      <c r="G307" s="7"/>
      <c r="H307" s="7"/>
      <c r="I307" s="8">
        <v>225.0</v>
      </c>
      <c r="J307" s="7"/>
      <c r="K307" s="8">
        <v>190.0</v>
      </c>
      <c r="L307" s="7"/>
      <c r="M307" s="7"/>
      <c r="N307" s="7"/>
      <c r="O307" s="7"/>
      <c r="P307" s="7"/>
      <c r="Q307" s="8">
        <v>335.0</v>
      </c>
      <c r="R307" s="7"/>
      <c r="S307" s="7"/>
      <c r="T307" s="7"/>
      <c r="U307" s="7"/>
      <c r="V307" s="7"/>
      <c r="W307" s="7"/>
      <c r="X307" s="7"/>
      <c r="Y307" s="8">
        <v>335.0</v>
      </c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9">
        <f t="shared" si="2"/>
        <v>190</v>
      </c>
      <c r="AK307" s="9">
        <f t="shared" si="3"/>
        <v>335</v>
      </c>
      <c r="AL307" s="7" t="str">
        <f t="shared" ref="AL307:AM307" si="309">HLOOKUP(AJ307,{$D307:$AI307;$D$1:$AI$1},2,false)</f>
        <v>David</v>
      </c>
      <c r="AM307" s="7" t="str">
        <f t="shared" si="309"/>
        <v>Jeff M</v>
      </c>
      <c r="AN307" s="7">
        <f t="shared" si="5"/>
        <v>4</v>
      </c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</row>
    <row r="308">
      <c r="A308" s="5">
        <v>45097.0</v>
      </c>
      <c r="B308" s="6" t="s">
        <v>55</v>
      </c>
      <c r="C308" s="7"/>
      <c r="D308" s="8"/>
      <c r="E308" s="8"/>
      <c r="F308" s="8">
        <v>160.0</v>
      </c>
      <c r="G308" s="8"/>
      <c r="H308" s="8"/>
      <c r="I308" s="7"/>
      <c r="J308" s="7"/>
      <c r="K308" s="8">
        <v>265.0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8">
        <v>135.0</v>
      </c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9">
        <f t="shared" si="2"/>
        <v>135</v>
      </c>
      <c r="AK308" s="9">
        <f t="shared" si="3"/>
        <v>265</v>
      </c>
      <c r="AL308" s="7" t="str">
        <f t="shared" ref="AL308:AM308" si="310">HLOOKUP(AJ308,{$D308:$AI308;$D$1:$AI$1},2,false)</f>
        <v>Nancy</v>
      </c>
      <c r="AM308" s="7" t="str">
        <f t="shared" si="310"/>
        <v>David</v>
      </c>
      <c r="AN308" s="7">
        <f t="shared" si="5"/>
        <v>3</v>
      </c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</row>
    <row r="309">
      <c r="A309" s="5">
        <v>45099.0</v>
      </c>
      <c r="B309" s="6" t="s">
        <v>55</v>
      </c>
      <c r="C309" s="7"/>
      <c r="D309" s="7"/>
      <c r="E309" s="7"/>
      <c r="F309" s="7"/>
      <c r="G309" s="7"/>
      <c r="H309" s="7"/>
      <c r="I309" s="8">
        <v>225.0</v>
      </c>
      <c r="J309" s="7"/>
      <c r="K309" s="8">
        <v>465.0</v>
      </c>
      <c r="L309" s="8">
        <v>450.0</v>
      </c>
      <c r="M309" s="7"/>
      <c r="N309" s="7"/>
      <c r="O309" s="7"/>
      <c r="P309" s="7"/>
      <c r="Q309" s="7"/>
      <c r="R309" s="8">
        <v>1155.0</v>
      </c>
      <c r="S309" s="7"/>
      <c r="T309" s="7"/>
      <c r="U309" s="7"/>
      <c r="V309" s="7"/>
      <c r="W309" s="7"/>
      <c r="X309" s="7"/>
      <c r="Y309" s="8">
        <v>385.0</v>
      </c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9">
        <f t="shared" si="2"/>
        <v>225</v>
      </c>
      <c r="AK309" s="9">
        <f t="shared" si="3"/>
        <v>1155</v>
      </c>
      <c r="AL309" s="7" t="str">
        <f t="shared" ref="AL309:AM309" si="311">HLOOKUP(AJ309,{$D309:$AI309;$D$1:$AI$1},2,false)</f>
        <v>Charlene</v>
      </c>
      <c r="AM309" s="7" t="str">
        <f t="shared" si="311"/>
        <v>Jeff P</v>
      </c>
      <c r="AN309" s="7">
        <f t="shared" si="5"/>
        <v>5</v>
      </c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</row>
    <row r="310">
      <c r="A310" s="5">
        <v>45106.0</v>
      </c>
      <c r="B310" s="6" t="s">
        <v>55</v>
      </c>
      <c r="C310" s="7"/>
      <c r="D310" s="7"/>
      <c r="E310" s="7"/>
      <c r="F310" s="7"/>
      <c r="G310" s="7"/>
      <c r="H310" s="7"/>
      <c r="I310" s="8">
        <v>345.0</v>
      </c>
      <c r="J310" s="7"/>
      <c r="K310" s="8">
        <v>565.0</v>
      </c>
      <c r="L310" s="8">
        <v>365.0</v>
      </c>
      <c r="M310" s="7"/>
      <c r="N310" s="7"/>
      <c r="O310" s="7"/>
      <c r="P310" s="7"/>
      <c r="Q310" s="7"/>
      <c r="R310" s="7"/>
      <c r="S310" s="7"/>
      <c r="T310" s="7"/>
      <c r="U310" s="7"/>
      <c r="V310" s="8">
        <v>565.0</v>
      </c>
      <c r="W310" s="7"/>
      <c r="X310" s="7"/>
      <c r="Y310" s="8">
        <v>225.0</v>
      </c>
      <c r="Z310" s="7"/>
      <c r="AA310" s="8">
        <v>1030.0</v>
      </c>
      <c r="AB310" s="7"/>
      <c r="AC310" s="7"/>
      <c r="AD310" s="7"/>
      <c r="AE310" s="7"/>
      <c r="AF310" s="7"/>
      <c r="AG310" s="7"/>
      <c r="AH310" s="7"/>
      <c r="AI310" s="7"/>
      <c r="AJ310" s="9">
        <f t="shared" si="2"/>
        <v>225</v>
      </c>
      <c r="AK310" s="9">
        <f t="shared" si="3"/>
        <v>1030</v>
      </c>
      <c r="AL310" s="7" t="str">
        <f t="shared" ref="AL310:AM310" si="312">HLOOKUP(AJ310,{$D310:$AI310;$D$1:$AI$1},2,false)</f>
        <v>Nancy</v>
      </c>
      <c r="AM310" s="7" t="str">
        <f t="shared" si="312"/>
        <v>Sally</v>
      </c>
      <c r="AN310" s="7">
        <f t="shared" si="5"/>
        <v>6</v>
      </c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</row>
    <row r="311">
      <c r="A311" s="5">
        <v>45107.0</v>
      </c>
      <c r="B311" s="6" t="s">
        <v>55</v>
      </c>
      <c r="C311" s="7"/>
      <c r="D311" s="7"/>
      <c r="E311" s="7"/>
      <c r="F311" s="7"/>
      <c r="G311" s="7"/>
      <c r="H311" s="7"/>
      <c r="I311" s="8">
        <v>835.0</v>
      </c>
      <c r="J311" s="7"/>
      <c r="K311" s="8">
        <v>410.0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8">
        <v>140.0</v>
      </c>
      <c r="Z311" s="7"/>
      <c r="AA311" s="8">
        <v>165.0</v>
      </c>
      <c r="AB311" s="7"/>
      <c r="AC311" s="7"/>
      <c r="AD311" s="7"/>
      <c r="AE311" s="7"/>
      <c r="AF311" s="7"/>
      <c r="AG311" s="7"/>
      <c r="AH311" s="7"/>
      <c r="AI311" s="7"/>
      <c r="AJ311" s="9">
        <f t="shared" si="2"/>
        <v>140</v>
      </c>
      <c r="AK311" s="9">
        <f t="shared" si="3"/>
        <v>835</v>
      </c>
      <c r="AL311" s="7" t="str">
        <f t="shared" ref="AL311:AM311" si="313">HLOOKUP(AJ311,{$D311:$AI311;$D$1:$AI$1},2,false)</f>
        <v>Nancy</v>
      </c>
      <c r="AM311" s="7" t="str">
        <f t="shared" si="313"/>
        <v>Charlene</v>
      </c>
      <c r="AN311" s="7">
        <f t="shared" si="5"/>
        <v>4</v>
      </c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</row>
    <row r="312">
      <c r="A312" s="5">
        <v>45109.0</v>
      </c>
      <c r="B312" s="6" t="s">
        <v>58</v>
      </c>
      <c r="C312" s="7"/>
      <c r="D312" s="7"/>
      <c r="E312" s="7"/>
      <c r="F312" s="7"/>
      <c r="G312" s="7"/>
      <c r="H312" s="7"/>
      <c r="I312" s="8"/>
      <c r="J312" s="7"/>
      <c r="K312" s="8">
        <v>215.0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8">
        <v>400.0</v>
      </c>
      <c r="Z312" s="7"/>
      <c r="AA312" s="8">
        <v>420.0</v>
      </c>
      <c r="AB312" s="7"/>
      <c r="AC312" s="7"/>
      <c r="AD312" s="7"/>
      <c r="AE312" s="7"/>
      <c r="AF312" s="7"/>
      <c r="AG312" s="7"/>
      <c r="AH312" s="7"/>
      <c r="AI312" s="7"/>
      <c r="AJ312" s="9">
        <f t="shared" si="2"/>
        <v>215</v>
      </c>
      <c r="AK312" s="9">
        <f t="shared" si="3"/>
        <v>420</v>
      </c>
      <c r="AL312" s="7" t="str">
        <f t="shared" ref="AL312:AM312" si="314">HLOOKUP(AJ312,{$D312:$AI312;$D$1:$AI$1},2,false)</f>
        <v>David</v>
      </c>
      <c r="AM312" s="7" t="str">
        <f t="shared" si="314"/>
        <v>Sally</v>
      </c>
      <c r="AN312" s="7">
        <f t="shared" si="5"/>
        <v>3</v>
      </c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</row>
    <row r="313">
      <c r="A313" s="5">
        <v>45110.0</v>
      </c>
      <c r="B313" s="6" t="s">
        <v>58</v>
      </c>
      <c r="C313" s="7"/>
      <c r="D313" s="7"/>
      <c r="E313" s="7"/>
      <c r="F313" s="7"/>
      <c r="G313" s="7"/>
      <c r="H313" s="7"/>
      <c r="I313" s="7"/>
      <c r="J313" s="7"/>
      <c r="K313" s="8">
        <v>405.0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8">
        <v>390.0</v>
      </c>
      <c r="Z313" s="7"/>
      <c r="AA313" s="8">
        <v>250.0</v>
      </c>
      <c r="AB313" s="7"/>
      <c r="AC313" s="7"/>
      <c r="AD313" s="7"/>
      <c r="AE313" s="7"/>
      <c r="AF313" s="7"/>
      <c r="AG313" s="7"/>
      <c r="AH313" s="7"/>
      <c r="AI313" s="7"/>
      <c r="AJ313" s="9">
        <f t="shared" si="2"/>
        <v>250</v>
      </c>
      <c r="AK313" s="9">
        <f t="shared" si="3"/>
        <v>405</v>
      </c>
      <c r="AL313" s="7" t="str">
        <f t="shared" ref="AL313:AM313" si="315">HLOOKUP(AJ313,{$D313:$AI313;$D$1:$AI$1},2,false)</f>
        <v>Sally</v>
      </c>
      <c r="AM313" s="7" t="str">
        <f t="shared" si="315"/>
        <v>David</v>
      </c>
      <c r="AN313" s="7">
        <f t="shared" si="5"/>
        <v>3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</row>
    <row r="314">
      <c r="A314" s="5">
        <v>45111.0</v>
      </c>
      <c r="B314" s="6" t="s">
        <v>58</v>
      </c>
      <c r="C314" s="7"/>
      <c r="D314" s="7"/>
      <c r="E314" s="7"/>
      <c r="F314" s="7"/>
      <c r="G314" s="7"/>
      <c r="H314" s="7"/>
      <c r="I314" s="7"/>
      <c r="J314" s="7"/>
      <c r="K314" s="8">
        <v>695.0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8">
        <v>315.0</v>
      </c>
      <c r="Z314" s="7"/>
      <c r="AA314" s="8">
        <v>220.0</v>
      </c>
      <c r="AB314" s="7"/>
      <c r="AC314" s="7"/>
      <c r="AD314" s="7"/>
      <c r="AE314" s="7"/>
      <c r="AF314" s="7"/>
      <c r="AG314" s="7"/>
      <c r="AH314" s="7"/>
      <c r="AI314" s="7"/>
      <c r="AJ314" s="9">
        <f t="shared" si="2"/>
        <v>220</v>
      </c>
      <c r="AK314" s="9">
        <f t="shared" si="3"/>
        <v>695</v>
      </c>
      <c r="AL314" s="7" t="str">
        <f t="shared" ref="AL314:AM314" si="316">HLOOKUP(AJ314,{$D314:$AI314;$D$1:$AI$1},2,false)</f>
        <v>Sally</v>
      </c>
      <c r="AM314" s="7" t="str">
        <f t="shared" si="316"/>
        <v>David</v>
      </c>
      <c r="AN314" s="7">
        <f t="shared" si="5"/>
        <v>3</v>
      </c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</row>
    <row r="315">
      <c r="A315" s="5">
        <v>45113.0</v>
      </c>
      <c r="B315" s="6" t="s">
        <v>55</v>
      </c>
      <c r="C315" s="7"/>
      <c r="D315" s="7"/>
      <c r="E315" s="7"/>
      <c r="F315" s="7"/>
      <c r="G315" s="7"/>
      <c r="H315" s="7"/>
      <c r="I315" s="8">
        <v>475.0</v>
      </c>
      <c r="J315" s="7"/>
      <c r="K315" s="8">
        <v>595.0</v>
      </c>
      <c r="L315" s="8">
        <v>685.0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8">
        <v>535.0</v>
      </c>
      <c r="Z315" s="7"/>
      <c r="AA315" s="8">
        <v>340.0</v>
      </c>
      <c r="AB315" s="7"/>
      <c r="AC315" s="7"/>
      <c r="AD315" s="7"/>
      <c r="AE315" s="7"/>
      <c r="AF315" s="7"/>
      <c r="AG315" s="7"/>
      <c r="AH315" s="7"/>
      <c r="AI315" s="7"/>
      <c r="AJ315" s="9">
        <f t="shared" si="2"/>
        <v>340</v>
      </c>
      <c r="AK315" s="9">
        <f t="shared" si="3"/>
        <v>685</v>
      </c>
      <c r="AL315" s="7" t="str">
        <f t="shared" ref="AL315:AM315" si="317">HLOOKUP(AJ315,{$D315:$AI315;$D$1:$AI$1},2,false)</f>
        <v>Sally</v>
      </c>
      <c r="AM315" s="7" t="str">
        <f t="shared" si="317"/>
        <v>Debby</v>
      </c>
      <c r="AN315" s="7">
        <f t="shared" si="5"/>
        <v>5</v>
      </c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</row>
    <row r="316">
      <c r="A316" s="5">
        <v>45116.0</v>
      </c>
      <c r="B316" s="6" t="s">
        <v>55</v>
      </c>
      <c r="C316" s="7"/>
      <c r="D316" s="7"/>
      <c r="E316" s="7"/>
      <c r="F316" s="7"/>
      <c r="G316" s="7"/>
      <c r="H316" s="7"/>
      <c r="I316" s="7"/>
      <c r="J316" s="7"/>
      <c r="K316" s="8">
        <v>135.0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8">
        <v>230.0</v>
      </c>
      <c r="Z316" s="7"/>
      <c r="AA316" s="8">
        <v>560.0</v>
      </c>
      <c r="AB316" s="7"/>
      <c r="AC316" s="7"/>
      <c r="AD316" s="7"/>
      <c r="AE316" s="7"/>
      <c r="AF316" s="7"/>
      <c r="AG316" s="7"/>
      <c r="AH316" s="7"/>
      <c r="AI316" s="7"/>
      <c r="AJ316" s="9">
        <f t="shared" si="2"/>
        <v>135</v>
      </c>
      <c r="AK316" s="9">
        <f t="shared" si="3"/>
        <v>560</v>
      </c>
      <c r="AL316" s="7" t="str">
        <f t="shared" ref="AL316:AM316" si="318">HLOOKUP(AJ316,{$D316:$AI316;$D$1:$AI$1},2,false)</f>
        <v>David</v>
      </c>
      <c r="AM316" s="7" t="str">
        <f t="shared" si="318"/>
        <v>Sally</v>
      </c>
      <c r="AN316" s="7">
        <f t="shared" si="5"/>
        <v>3</v>
      </c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</row>
    <row r="317">
      <c r="A317" s="5">
        <v>45121.0</v>
      </c>
      <c r="B317" s="6" t="s">
        <v>55</v>
      </c>
      <c r="C317" s="7"/>
      <c r="D317" s="7"/>
      <c r="E317" s="7"/>
      <c r="F317" s="7"/>
      <c r="G317" s="7"/>
      <c r="H317" s="7"/>
      <c r="I317" s="7"/>
      <c r="J317" s="7"/>
      <c r="K317" s="8">
        <v>390.0</v>
      </c>
      <c r="L317" s="7"/>
      <c r="M317" s="7"/>
      <c r="N317" s="8">
        <v>315.0</v>
      </c>
      <c r="O317" s="7"/>
      <c r="P317" s="7"/>
      <c r="Q317" s="7"/>
      <c r="R317" s="7"/>
      <c r="S317" s="7"/>
      <c r="T317" s="7"/>
      <c r="U317" s="7"/>
      <c r="V317" s="7"/>
      <c r="W317" s="7"/>
      <c r="X317" s="8">
        <v>740.0</v>
      </c>
      <c r="Y317" s="8">
        <v>430.0</v>
      </c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9">
        <f t="shared" si="2"/>
        <v>315</v>
      </c>
      <c r="AK317" s="9">
        <f t="shared" si="3"/>
        <v>740</v>
      </c>
      <c r="AL317" s="7" t="str">
        <f t="shared" ref="AL317:AM317" si="319">HLOOKUP(AJ317,{$D317:$AI317;$D$1:$AI$1},2,false)</f>
        <v>Jack</v>
      </c>
      <c r="AM317" s="7" t="str">
        <f t="shared" si="319"/>
        <v>Melissa</v>
      </c>
      <c r="AN317" s="7">
        <f t="shared" si="5"/>
        <v>4</v>
      </c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</row>
    <row r="318">
      <c r="A318" s="5">
        <v>45122.0</v>
      </c>
      <c r="B318" s="6" t="s">
        <v>42</v>
      </c>
      <c r="C318" s="7"/>
      <c r="D318" s="7"/>
      <c r="E318" s="7"/>
      <c r="F318" s="7"/>
      <c r="G318" s="7"/>
      <c r="H318" s="7"/>
      <c r="I318" s="8">
        <v>825.0</v>
      </c>
      <c r="J318" s="7"/>
      <c r="K318" s="8">
        <v>430.0</v>
      </c>
      <c r="L318" s="7"/>
      <c r="M318" s="7"/>
      <c r="N318" s="7"/>
      <c r="O318" s="7"/>
      <c r="P318" s="7"/>
      <c r="Q318" s="7"/>
      <c r="R318" s="7"/>
      <c r="S318" s="7"/>
      <c r="T318" s="7"/>
      <c r="U318" s="8">
        <v>715.0</v>
      </c>
      <c r="V318" s="7"/>
      <c r="W318" s="7"/>
      <c r="X318" s="7"/>
      <c r="Y318" s="8">
        <v>505.0</v>
      </c>
      <c r="Z318" s="7"/>
      <c r="AA318" s="7"/>
      <c r="AB318" s="8">
        <v>315.0</v>
      </c>
      <c r="AC318" s="7"/>
      <c r="AD318" s="7"/>
      <c r="AE318" s="7"/>
      <c r="AF318" s="7"/>
      <c r="AG318" s="7"/>
      <c r="AH318" s="7"/>
      <c r="AI318" s="7"/>
      <c r="AJ318" s="9">
        <f t="shared" si="2"/>
        <v>315</v>
      </c>
      <c r="AK318" s="9">
        <f t="shared" si="3"/>
        <v>825</v>
      </c>
      <c r="AL318" s="7" t="str">
        <f t="shared" ref="AL318:AM318" si="320">HLOOKUP(AJ318,{$D318:$AI318;$D$1:$AI$1},2,false)</f>
        <v>Sandy</v>
      </c>
      <c r="AM318" s="7" t="str">
        <f t="shared" si="320"/>
        <v>Charlene</v>
      </c>
      <c r="AN318" s="7">
        <f t="shared" si="5"/>
        <v>5</v>
      </c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</row>
    <row r="319">
      <c r="A319" s="5">
        <v>45126.0</v>
      </c>
      <c r="B319" s="6" t="s">
        <v>55</v>
      </c>
      <c r="C319" s="7"/>
      <c r="D319" s="7"/>
      <c r="E319" s="7"/>
      <c r="F319" s="7"/>
      <c r="G319" s="7"/>
      <c r="H319" s="7"/>
      <c r="I319" s="8">
        <v>335.0</v>
      </c>
      <c r="J319" s="7"/>
      <c r="K319" s="8">
        <v>310.0</v>
      </c>
      <c r="L319" s="8">
        <v>615.0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8">
        <v>450.0</v>
      </c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9">
        <f t="shared" si="2"/>
        <v>310</v>
      </c>
      <c r="AK319" s="9">
        <f t="shared" si="3"/>
        <v>615</v>
      </c>
      <c r="AL319" s="7" t="str">
        <f t="shared" ref="AL319:AM319" si="321">HLOOKUP(AJ319,{$D319:$AI319;$D$1:$AI$1},2,false)</f>
        <v>David</v>
      </c>
      <c r="AM319" s="7" t="str">
        <f t="shared" si="321"/>
        <v>Debby</v>
      </c>
      <c r="AN319" s="7">
        <f t="shared" si="5"/>
        <v>4</v>
      </c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</row>
    <row r="320">
      <c r="A320" s="5">
        <v>45129.0</v>
      </c>
      <c r="B320" s="6" t="s">
        <v>55</v>
      </c>
      <c r="C320" s="7"/>
      <c r="D320" s="7"/>
      <c r="E320" s="7"/>
      <c r="F320" s="7"/>
      <c r="G320" s="7"/>
      <c r="H320" s="7"/>
      <c r="I320" s="7"/>
      <c r="J320" s="7"/>
      <c r="K320" s="8">
        <v>485.0</v>
      </c>
      <c r="L320" s="8">
        <v>390.0</v>
      </c>
      <c r="M320" s="7"/>
      <c r="N320" s="7"/>
      <c r="O320" s="7"/>
      <c r="P320" s="7"/>
      <c r="Q320" s="7"/>
      <c r="R320" s="7"/>
      <c r="S320" s="7"/>
      <c r="T320" s="7"/>
      <c r="U320" s="7"/>
      <c r="V320" s="8">
        <v>485.0</v>
      </c>
      <c r="W320" s="8">
        <v>775.0</v>
      </c>
      <c r="X320" s="7"/>
      <c r="Y320" s="8">
        <v>870.0</v>
      </c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9">
        <f t="shared" si="2"/>
        <v>390</v>
      </c>
      <c r="AK320" s="9">
        <f t="shared" si="3"/>
        <v>870</v>
      </c>
      <c r="AL320" s="7" t="str">
        <f t="shared" ref="AL320:AM320" si="322">HLOOKUP(AJ320,{$D320:$AI320;$D$1:$AI$1},2,false)</f>
        <v>Debby</v>
      </c>
      <c r="AM320" s="7" t="str">
        <f t="shared" si="322"/>
        <v>Nancy</v>
      </c>
      <c r="AN320" s="7">
        <f t="shared" si="5"/>
        <v>5</v>
      </c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</row>
    <row r="321">
      <c r="A321" s="5">
        <v>45134.0</v>
      </c>
      <c r="B321" s="6" t="s">
        <v>55</v>
      </c>
      <c r="C321" s="7"/>
      <c r="D321" s="7"/>
      <c r="E321" s="7"/>
      <c r="F321" s="7"/>
      <c r="G321" s="7"/>
      <c r="H321" s="7"/>
      <c r="I321" s="8">
        <v>325.0</v>
      </c>
      <c r="J321" s="7"/>
      <c r="K321" s="8">
        <v>360.0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8">
        <v>340.0</v>
      </c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9">
        <f t="shared" si="2"/>
        <v>325</v>
      </c>
      <c r="AK321" s="9">
        <f t="shared" si="3"/>
        <v>360</v>
      </c>
      <c r="AL321" s="7" t="str">
        <f t="shared" ref="AL321:AM321" si="323">HLOOKUP(AJ321,{$D321:$AI321;$D$1:$AI$1},2,false)</f>
        <v>Charlene</v>
      </c>
      <c r="AM321" s="7" t="str">
        <f t="shared" si="323"/>
        <v>David</v>
      </c>
      <c r="AN321" s="7">
        <f t="shared" si="5"/>
        <v>3</v>
      </c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</row>
    <row r="322">
      <c r="A322" s="5">
        <v>45143.0</v>
      </c>
      <c r="B322" s="6" t="s">
        <v>59</v>
      </c>
      <c r="C322" s="7"/>
      <c r="D322" s="7"/>
      <c r="E322" s="7"/>
      <c r="F322" s="7"/>
      <c r="G322" s="7"/>
      <c r="H322" s="7"/>
      <c r="I322" s="7"/>
      <c r="J322" s="7"/>
      <c r="K322" s="8">
        <v>265.0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8">
        <v>135.0</v>
      </c>
      <c r="Z322" s="7"/>
      <c r="AA322" s="7"/>
      <c r="AB322" s="8">
        <v>475.0</v>
      </c>
      <c r="AC322" s="7"/>
      <c r="AD322" s="7"/>
      <c r="AE322" s="7"/>
      <c r="AF322" s="7"/>
      <c r="AG322" s="7"/>
      <c r="AH322" s="7"/>
      <c r="AI322" s="7"/>
      <c r="AJ322" s="9">
        <f t="shared" si="2"/>
        <v>135</v>
      </c>
      <c r="AK322" s="9">
        <f t="shared" si="3"/>
        <v>475</v>
      </c>
      <c r="AL322" s="7" t="str">
        <f t="shared" ref="AL322:AM322" si="324">HLOOKUP(AJ322,{$D322:$AI322;$D$1:$AI$1},2,false)</f>
        <v>Nancy</v>
      </c>
      <c r="AM322" s="7" t="str">
        <f t="shared" si="324"/>
        <v>Sandy</v>
      </c>
      <c r="AN322" s="7">
        <f t="shared" si="5"/>
        <v>3</v>
      </c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</row>
    <row r="323">
      <c r="A323" s="5">
        <v>45147.0</v>
      </c>
      <c r="B323" s="6" t="s">
        <v>55</v>
      </c>
      <c r="C323" s="7"/>
      <c r="D323" s="7"/>
      <c r="E323" s="7"/>
      <c r="F323" s="7"/>
      <c r="G323" s="7"/>
      <c r="H323" s="7"/>
      <c r="I323" s="8">
        <v>165.0</v>
      </c>
      <c r="J323" s="7"/>
      <c r="K323" s="8">
        <v>460.0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8">
        <v>460.0</v>
      </c>
      <c r="Z323" s="7"/>
      <c r="AA323" s="8">
        <v>325.0</v>
      </c>
      <c r="AB323" s="7"/>
      <c r="AC323" s="7"/>
      <c r="AD323" s="7"/>
      <c r="AE323" s="7"/>
      <c r="AF323" s="7"/>
      <c r="AG323" s="7"/>
      <c r="AH323" s="7"/>
      <c r="AI323" s="7"/>
      <c r="AJ323" s="9">
        <f t="shared" si="2"/>
        <v>165</v>
      </c>
      <c r="AK323" s="9">
        <f t="shared" si="3"/>
        <v>460</v>
      </c>
      <c r="AL323" s="7" t="str">
        <f t="shared" ref="AL323:AM323" si="325">HLOOKUP(AJ323,{$D323:$AI323;$D$1:$AI$1},2,false)</f>
        <v>Charlene</v>
      </c>
      <c r="AM323" s="7" t="str">
        <f t="shared" si="325"/>
        <v>David</v>
      </c>
      <c r="AN323" s="7">
        <f t="shared" si="5"/>
        <v>4</v>
      </c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</row>
    <row r="324">
      <c r="A324" s="5">
        <v>45148.0</v>
      </c>
      <c r="B324" s="6" t="s">
        <v>55</v>
      </c>
      <c r="C324" s="7"/>
      <c r="D324" s="7"/>
      <c r="E324" s="7"/>
      <c r="F324" s="7"/>
      <c r="G324" s="7"/>
      <c r="H324" s="7"/>
      <c r="I324" s="8">
        <v>715.0</v>
      </c>
      <c r="J324" s="7"/>
      <c r="K324" s="8">
        <v>440.0</v>
      </c>
      <c r="L324" s="8">
        <v>715.0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8">
        <v>660.0</v>
      </c>
      <c r="Z324" s="7"/>
      <c r="AA324" s="8">
        <v>810.0</v>
      </c>
      <c r="AB324" s="7"/>
      <c r="AC324" s="7"/>
      <c r="AD324" s="7"/>
      <c r="AE324" s="7"/>
      <c r="AF324" s="7"/>
      <c r="AG324" s="7"/>
      <c r="AH324" s="7"/>
      <c r="AI324" s="7"/>
      <c r="AJ324" s="9">
        <f t="shared" si="2"/>
        <v>440</v>
      </c>
      <c r="AK324" s="9">
        <f t="shared" si="3"/>
        <v>810</v>
      </c>
      <c r="AL324" s="7" t="str">
        <f t="shared" ref="AL324:AM324" si="326">HLOOKUP(AJ324,{$D324:$AI324;$D$1:$AI$1},2,false)</f>
        <v>David</v>
      </c>
      <c r="AM324" s="7" t="str">
        <f t="shared" si="326"/>
        <v>Sally</v>
      </c>
      <c r="AN324" s="7">
        <f t="shared" si="5"/>
        <v>5</v>
      </c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</row>
    <row r="325">
      <c r="A325" s="5">
        <v>45150.0</v>
      </c>
      <c r="B325" s="6" t="s">
        <v>42</v>
      </c>
      <c r="C325" s="7"/>
      <c r="D325" s="7"/>
      <c r="E325" s="7"/>
      <c r="F325" s="7"/>
      <c r="G325" s="7"/>
      <c r="H325" s="7"/>
      <c r="I325" s="8">
        <v>680.0</v>
      </c>
      <c r="J325" s="7"/>
      <c r="K325" s="8">
        <v>365.0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8">
        <v>505.0</v>
      </c>
      <c r="Z325" s="7"/>
      <c r="AA325" s="8">
        <v>605.0</v>
      </c>
      <c r="AB325" s="8">
        <v>215.0</v>
      </c>
      <c r="AC325" s="7"/>
      <c r="AD325" s="7"/>
      <c r="AE325" s="7"/>
      <c r="AF325" s="7"/>
      <c r="AG325" s="7"/>
      <c r="AH325" s="7"/>
      <c r="AI325" s="7"/>
      <c r="AJ325" s="9">
        <f t="shared" si="2"/>
        <v>215</v>
      </c>
      <c r="AK325" s="9">
        <f t="shared" si="3"/>
        <v>680</v>
      </c>
      <c r="AL325" s="7" t="str">
        <f t="shared" ref="AL325:AM325" si="327">HLOOKUP(AJ325,{$D325:$AI325;$D$1:$AI$1},2,false)</f>
        <v>Sandy</v>
      </c>
      <c r="AM325" s="7" t="str">
        <f t="shared" si="327"/>
        <v>Charlene</v>
      </c>
      <c r="AN325" s="7">
        <f t="shared" si="5"/>
        <v>5</v>
      </c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</row>
    <row r="326">
      <c r="A326" s="5">
        <v>45155.0</v>
      </c>
      <c r="B326" s="6" t="s">
        <v>55</v>
      </c>
      <c r="C326" s="7"/>
      <c r="D326" s="7"/>
      <c r="E326" s="7"/>
      <c r="F326" s="7"/>
      <c r="G326" s="7"/>
      <c r="H326" s="7"/>
      <c r="I326" s="8">
        <v>270.0</v>
      </c>
      <c r="J326" s="7"/>
      <c r="K326" s="8">
        <v>310.0</v>
      </c>
      <c r="L326" s="8">
        <v>845.0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8">
        <v>415.0</v>
      </c>
      <c r="Z326" s="7"/>
      <c r="AA326" s="8">
        <v>450.0</v>
      </c>
      <c r="AB326" s="7"/>
      <c r="AC326" s="7"/>
      <c r="AD326" s="7"/>
      <c r="AE326" s="7"/>
      <c r="AF326" s="7"/>
      <c r="AG326" s="7"/>
      <c r="AH326" s="7"/>
      <c r="AI326" s="7"/>
      <c r="AJ326" s="9">
        <f t="shared" si="2"/>
        <v>270</v>
      </c>
      <c r="AK326" s="9">
        <f t="shared" si="3"/>
        <v>845</v>
      </c>
      <c r="AL326" s="7" t="str">
        <f t="shared" ref="AL326:AM326" si="328">HLOOKUP(AJ326,{$D326:$AI326;$D$1:$AI$1},2,false)</f>
        <v>Charlene</v>
      </c>
      <c r="AM326" s="7" t="str">
        <f t="shared" si="328"/>
        <v>Debby</v>
      </c>
      <c r="AN326" s="7">
        <f t="shared" si="5"/>
        <v>5</v>
      </c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</row>
    <row r="327">
      <c r="A327" s="5">
        <v>45156.0</v>
      </c>
      <c r="B327" s="6" t="s">
        <v>59</v>
      </c>
      <c r="C327" s="7"/>
      <c r="D327" s="7"/>
      <c r="E327" s="7"/>
      <c r="F327" s="7"/>
      <c r="G327" s="7"/>
      <c r="H327" s="7"/>
      <c r="I327" s="7"/>
      <c r="J327" s="7"/>
      <c r="K327" s="8">
        <v>310.0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8">
        <v>130.0</v>
      </c>
      <c r="Z327" s="7"/>
      <c r="AA327" s="8">
        <v>360.0</v>
      </c>
      <c r="AB327" s="7"/>
      <c r="AC327" s="7"/>
      <c r="AD327" s="7"/>
      <c r="AE327" s="7"/>
      <c r="AF327" s="7"/>
      <c r="AG327" s="7"/>
      <c r="AH327" s="7"/>
      <c r="AI327" s="7"/>
      <c r="AJ327" s="9">
        <f t="shared" si="2"/>
        <v>130</v>
      </c>
      <c r="AK327" s="9">
        <f t="shared" si="3"/>
        <v>360</v>
      </c>
      <c r="AL327" s="7" t="str">
        <f t="shared" ref="AL327:AM327" si="329">HLOOKUP(AJ327,{$D327:$AI327;$D$1:$AI$1},2,false)</f>
        <v>Nancy</v>
      </c>
      <c r="AM327" s="7" t="str">
        <f t="shared" si="329"/>
        <v>Sally</v>
      </c>
      <c r="AN327" s="7">
        <f t="shared" si="5"/>
        <v>3</v>
      </c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</row>
    <row r="328">
      <c r="A328" s="5">
        <v>45158.0</v>
      </c>
      <c r="B328" s="6" t="s">
        <v>55</v>
      </c>
      <c r="C328" s="7"/>
      <c r="D328" s="7"/>
      <c r="E328" s="7"/>
      <c r="F328" s="7"/>
      <c r="G328" s="7"/>
      <c r="H328" s="7"/>
      <c r="I328" s="8">
        <v>625.0</v>
      </c>
      <c r="J328" s="7"/>
      <c r="K328" s="8">
        <v>395.0</v>
      </c>
      <c r="L328" s="7"/>
      <c r="M328" s="7"/>
      <c r="N328" s="7"/>
      <c r="O328" s="7"/>
      <c r="P328" s="7"/>
      <c r="Q328" s="8">
        <v>1310.0</v>
      </c>
      <c r="R328" s="7"/>
      <c r="S328" s="7"/>
      <c r="T328" s="7"/>
      <c r="U328" s="7"/>
      <c r="V328" s="7"/>
      <c r="W328" s="7"/>
      <c r="X328" s="7"/>
      <c r="Y328" s="8">
        <v>280.0</v>
      </c>
      <c r="Z328" s="7"/>
      <c r="AA328" s="8">
        <v>665.0</v>
      </c>
      <c r="AB328" s="7"/>
      <c r="AC328" s="7"/>
      <c r="AD328" s="7"/>
      <c r="AE328" s="7"/>
      <c r="AF328" s="7"/>
      <c r="AG328" s="7"/>
      <c r="AH328" s="7"/>
      <c r="AI328" s="7"/>
      <c r="AJ328" s="9">
        <f t="shared" si="2"/>
        <v>280</v>
      </c>
      <c r="AK328" s="9">
        <f t="shared" si="3"/>
        <v>1310</v>
      </c>
      <c r="AL328" s="7" t="str">
        <f t="shared" ref="AL328:AM328" si="330">HLOOKUP(AJ328,{$D328:$AI328;$D$1:$AI$1},2,false)</f>
        <v>Nancy</v>
      </c>
      <c r="AM328" s="7" t="str">
        <f t="shared" si="330"/>
        <v>Jeff M</v>
      </c>
      <c r="AN328" s="7">
        <f t="shared" si="5"/>
        <v>5</v>
      </c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</row>
    <row r="329">
      <c r="A329" s="5">
        <v>45162.0</v>
      </c>
      <c r="B329" s="6" t="s">
        <v>55</v>
      </c>
      <c r="C329" s="7"/>
      <c r="D329" s="7"/>
      <c r="E329" s="7"/>
      <c r="F329" s="7"/>
      <c r="G329" s="7"/>
      <c r="H329" s="7"/>
      <c r="I329" s="8">
        <v>560.0</v>
      </c>
      <c r="J329" s="7"/>
      <c r="K329" s="8">
        <v>460.0</v>
      </c>
      <c r="L329" s="8">
        <v>465.0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8">
        <v>560.0</v>
      </c>
      <c r="Z329" s="7"/>
      <c r="AA329" s="8">
        <v>880.0</v>
      </c>
      <c r="AB329" s="8">
        <v>345.0</v>
      </c>
      <c r="AC329" s="7"/>
      <c r="AD329" s="7"/>
      <c r="AE329" s="7"/>
      <c r="AF329" s="7"/>
      <c r="AG329" s="7"/>
      <c r="AH329" s="7"/>
      <c r="AI329" s="7"/>
      <c r="AJ329" s="9">
        <f t="shared" si="2"/>
        <v>345</v>
      </c>
      <c r="AK329" s="9">
        <f t="shared" si="3"/>
        <v>880</v>
      </c>
      <c r="AL329" s="7" t="str">
        <f t="shared" ref="AL329:AM329" si="331">HLOOKUP(AJ329,{$D329:$AI329;$D$1:$AI$1},2,false)</f>
        <v>Sandy</v>
      </c>
      <c r="AM329" s="7" t="str">
        <f t="shared" si="331"/>
        <v>Sally</v>
      </c>
      <c r="AN329" s="7">
        <f t="shared" si="5"/>
        <v>6</v>
      </c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</row>
    <row r="330">
      <c r="A330" s="5">
        <v>45167.0</v>
      </c>
      <c r="B330" s="6" t="s">
        <v>55</v>
      </c>
      <c r="C330" s="7"/>
      <c r="D330" s="7"/>
      <c r="E330" s="7"/>
      <c r="F330" s="7"/>
      <c r="G330" s="7"/>
      <c r="H330" s="7"/>
      <c r="I330" s="8">
        <v>735.0</v>
      </c>
      <c r="J330" s="7"/>
      <c r="K330" s="8">
        <v>380.0</v>
      </c>
      <c r="L330" s="8">
        <v>540.0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8">
        <v>345.0</v>
      </c>
      <c r="Z330" s="7"/>
      <c r="AA330" s="8">
        <v>400.0</v>
      </c>
      <c r="AB330" s="7"/>
      <c r="AC330" s="7"/>
      <c r="AD330" s="7"/>
      <c r="AE330" s="7"/>
      <c r="AF330" s="7"/>
      <c r="AG330" s="7"/>
      <c r="AH330" s="7"/>
      <c r="AI330" s="7"/>
      <c r="AJ330" s="9">
        <f t="shared" si="2"/>
        <v>345</v>
      </c>
      <c r="AK330" s="9">
        <f t="shared" si="3"/>
        <v>735</v>
      </c>
      <c r="AL330" s="7" t="str">
        <f t="shared" ref="AL330:AM330" si="332">HLOOKUP(AJ330,{$D330:$AI330;$D$1:$AI$1},2,false)</f>
        <v>Nancy</v>
      </c>
      <c r="AM330" s="7" t="str">
        <f t="shared" si="332"/>
        <v>Charlene</v>
      </c>
      <c r="AN330" s="7">
        <f t="shared" si="5"/>
        <v>5</v>
      </c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</row>
    <row r="331">
      <c r="A331" s="5">
        <v>45170.0</v>
      </c>
      <c r="B331" s="6" t="s">
        <v>44</v>
      </c>
      <c r="C331" s="7"/>
      <c r="D331" s="7"/>
      <c r="E331" s="7"/>
      <c r="F331" s="7"/>
      <c r="G331" s="7"/>
      <c r="H331" s="7"/>
      <c r="I331" s="7"/>
      <c r="J331" s="7"/>
      <c r="K331" s="8">
        <v>260.0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8">
        <v>435.0</v>
      </c>
      <c r="Z331" s="7"/>
      <c r="AA331" s="8">
        <v>410.0</v>
      </c>
      <c r="AB331" s="7"/>
      <c r="AC331" s="7"/>
      <c r="AD331" s="7"/>
      <c r="AE331" s="7"/>
      <c r="AF331" s="7"/>
      <c r="AG331" s="7"/>
      <c r="AH331" s="7"/>
      <c r="AI331" s="7"/>
      <c r="AJ331" s="9">
        <f t="shared" si="2"/>
        <v>260</v>
      </c>
      <c r="AK331" s="9">
        <f t="shared" si="3"/>
        <v>435</v>
      </c>
      <c r="AL331" s="7" t="str">
        <f t="shared" ref="AL331:AM331" si="333">HLOOKUP(AJ331,{$D331:$AI331;$D$1:$AI$1},2,false)</f>
        <v>David</v>
      </c>
      <c r="AM331" s="7" t="str">
        <f t="shared" si="333"/>
        <v>Nancy</v>
      </c>
      <c r="AN331" s="7">
        <f t="shared" si="5"/>
        <v>3</v>
      </c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</row>
    <row r="332">
      <c r="A332" s="5">
        <v>45172.0</v>
      </c>
      <c r="B332" s="6" t="s">
        <v>44</v>
      </c>
      <c r="C332" s="7"/>
      <c r="D332" s="7"/>
      <c r="E332" s="7"/>
      <c r="F332" s="7"/>
      <c r="G332" s="7"/>
      <c r="H332" s="7"/>
      <c r="I332" s="7"/>
      <c r="J332" s="7"/>
      <c r="K332" s="8">
        <v>285.0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8">
        <v>65.0</v>
      </c>
      <c r="W332" s="7"/>
      <c r="X332" s="7"/>
      <c r="Y332" s="8">
        <v>125.0</v>
      </c>
      <c r="Z332" s="7"/>
      <c r="AA332" s="8">
        <v>320.0</v>
      </c>
      <c r="AB332" s="7"/>
      <c r="AC332" s="7"/>
      <c r="AD332" s="8">
        <v>380.0</v>
      </c>
      <c r="AE332" s="7"/>
      <c r="AF332" s="7"/>
      <c r="AG332" s="7"/>
      <c r="AH332" s="7"/>
      <c r="AI332" s="7"/>
      <c r="AJ332" s="9">
        <f t="shared" si="2"/>
        <v>65</v>
      </c>
      <c r="AK332" s="9">
        <f t="shared" si="3"/>
        <v>380</v>
      </c>
      <c r="AL332" s="7" t="str">
        <f t="shared" ref="AL332:AM332" si="334">HLOOKUP(AJ332,{$D332:$AI332;$D$1:$AI$1},2,false)</f>
        <v>Karen</v>
      </c>
      <c r="AM332" s="7" t="str">
        <f t="shared" si="334"/>
        <v>Scott</v>
      </c>
      <c r="AN332" s="7">
        <f t="shared" si="5"/>
        <v>5</v>
      </c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</row>
    <row r="333">
      <c r="A333" s="5">
        <v>45178.0</v>
      </c>
      <c r="B333" s="6" t="s">
        <v>42</v>
      </c>
      <c r="C333" s="7"/>
      <c r="D333" s="7"/>
      <c r="E333" s="7"/>
      <c r="F333" s="7"/>
      <c r="G333" s="7"/>
      <c r="H333" s="7"/>
      <c r="I333" s="8">
        <v>505.0</v>
      </c>
      <c r="J333" s="7"/>
      <c r="K333" s="8">
        <v>425.0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8">
        <v>715.0</v>
      </c>
      <c r="Z333" s="7"/>
      <c r="AA333" s="8">
        <v>385.0</v>
      </c>
      <c r="AB333" s="8">
        <v>220.0</v>
      </c>
      <c r="AC333" s="7"/>
      <c r="AD333" s="7"/>
      <c r="AE333" s="7"/>
      <c r="AF333" s="7"/>
      <c r="AG333" s="7"/>
      <c r="AH333" s="7"/>
      <c r="AI333" s="7"/>
      <c r="AJ333" s="9">
        <f t="shared" si="2"/>
        <v>220</v>
      </c>
      <c r="AK333" s="9">
        <f t="shared" si="3"/>
        <v>715</v>
      </c>
      <c r="AL333" s="7" t="str">
        <f t="shared" ref="AL333:AM333" si="335">HLOOKUP(AJ333,{$D333:$AI333;$D$1:$AI$1},2,false)</f>
        <v>Sandy</v>
      </c>
      <c r="AM333" s="7" t="str">
        <f t="shared" si="335"/>
        <v>Nancy</v>
      </c>
      <c r="AN333" s="7">
        <f t="shared" si="5"/>
        <v>5</v>
      </c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</row>
    <row r="334">
      <c r="A334" s="5">
        <v>45181.0</v>
      </c>
      <c r="B334" s="6" t="s">
        <v>55</v>
      </c>
      <c r="C334" s="7"/>
      <c r="D334" s="7"/>
      <c r="E334" s="7"/>
      <c r="F334" s="7"/>
      <c r="G334" s="7"/>
      <c r="H334" s="7"/>
      <c r="I334" s="8">
        <v>320.0</v>
      </c>
      <c r="J334" s="7"/>
      <c r="K334" s="8">
        <v>490.0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8">
        <v>320.0</v>
      </c>
      <c r="Z334" s="7"/>
      <c r="AA334" s="8">
        <v>115.0</v>
      </c>
      <c r="AB334" s="7"/>
      <c r="AC334" s="7"/>
      <c r="AD334" s="7"/>
      <c r="AE334" s="7"/>
      <c r="AF334" s="7"/>
      <c r="AG334" s="7"/>
      <c r="AH334" s="7"/>
      <c r="AI334" s="7"/>
      <c r="AJ334" s="9">
        <f t="shared" si="2"/>
        <v>115</v>
      </c>
      <c r="AK334" s="9">
        <f t="shared" si="3"/>
        <v>490</v>
      </c>
      <c r="AL334" s="7" t="str">
        <f t="shared" ref="AL334:AM334" si="336">HLOOKUP(AJ334,{$D334:$AI334;$D$1:$AI$1},2,false)</f>
        <v>Sally</v>
      </c>
      <c r="AM334" s="7" t="str">
        <f t="shared" si="336"/>
        <v>David</v>
      </c>
      <c r="AN334" s="7">
        <f t="shared" si="5"/>
        <v>4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</row>
    <row r="335">
      <c r="A335" s="5">
        <v>45184.0</v>
      </c>
      <c r="B335" s="6" t="s">
        <v>60</v>
      </c>
      <c r="C335" s="7"/>
      <c r="D335" s="7"/>
      <c r="E335" s="7"/>
      <c r="F335" s="7"/>
      <c r="G335" s="7"/>
      <c r="H335" s="7"/>
      <c r="I335" s="7"/>
      <c r="J335" s="7"/>
      <c r="K335" s="8">
        <v>750.0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8">
        <v>30.0</v>
      </c>
      <c r="Z335" s="7"/>
      <c r="AA335" s="8">
        <v>425.0</v>
      </c>
      <c r="AB335" s="7"/>
      <c r="AC335" s="7"/>
      <c r="AD335" s="7"/>
      <c r="AE335" s="7"/>
      <c r="AF335" s="7"/>
      <c r="AG335" s="7"/>
      <c r="AH335" s="7"/>
      <c r="AI335" s="7"/>
      <c r="AJ335" s="9">
        <f t="shared" si="2"/>
        <v>30</v>
      </c>
      <c r="AK335" s="9">
        <f t="shared" si="3"/>
        <v>750</v>
      </c>
      <c r="AL335" s="7" t="str">
        <f t="shared" ref="AL335:AM335" si="337">HLOOKUP(AJ335,{$D335:$AI335;$D$1:$AI$1},2,false)</f>
        <v>Nancy</v>
      </c>
      <c r="AM335" s="7" t="str">
        <f t="shared" si="337"/>
        <v>David</v>
      </c>
      <c r="AN335" s="7">
        <f t="shared" si="5"/>
        <v>3</v>
      </c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</row>
    <row r="336">
      <c r="A336" s="5">
        <v>45185.0</v>
      </c>
      <c r="B336" s="6" t="s">
        <v>61</v>
      </c>
      <c r="C336" s="7"/>
      <c r="D336" s="7"/>
      <c r="E336" s="7"/>
      <c r="F336" s="7"/>
      <c r="G336" s="7"/>
      <c r="H336" s="7"/>
      <c r="I336" s="7"/>
      <c r="J336" s="7"/>
      <c r="K336" s="8">
        <v>620.0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8">
        <v>530.0</v>
      </c>
      <c r="Z336" s="7"/>
      <c r="AA336" s="8">
        <v>380.0</v>
      </c>
      <c r="AB336" s="7"/>
      <c r="AC336" s="7"/>
      <c r="AD336" s="7"/>
      <c r="AE336" s="7"/>
      <c r="AF336" s="7"/>
      <c r="AG336" s="7"/>
      <c r="AH336" s="7"/>
      <c r="AI336" s="7"/>
      <c r="AJ336" s="9">
        <f t="shared" si="2"/>
        <v>380</v>
      </c>
      <c r="AK336" s="9">
        <f t="shared" si="3"/>
        <v>620</v>
      </c>
      <c r="AL336" s="7" t="str">
        <f t="shared" ref="AL336:AM336" si="338">HLOOKUP(AJ336,{$D336:$AI336;$D$1:$AI$1},2,false)</f>
        <v>Sally</v>
      </c>
      <c r="AM336" s="7" t="str">
        <f t="shared" si="338"/>
        <v>David</v>
      </c>
      <c r="AN336" s="7">
        <f t="shared" si="5"/>
        <v>3</v>
      </c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</row>
    <row r="337">
      <c r="A337" s="5">
        <v>45187.0</v>
      </c>
      <c r="B337" s="6" t="s">
        <v>61</v>
      </c>
      <c r="C337" s="7"/>
      <c r="D337" s="7"/>
      <c r="E337" s="7"/>
      <c r="F337" s="7"/>
      <c r="G337" s="7"/>
      <c r="H337" s="7"/>
      <c r="I337" s="7"/>
      <c r="J337" s="7"/>
      <c r="K337" s="8">
        <v>350.0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8">
        <v>725.0</v>
      </c>
      <c r="Z337" s="7"/>
      <c r="AA337" s="8">
        <v>275.0</v>
      </c>
      <c r="AB337" s="7"/>
      <c r="AC337" s="7"/>
      <c r="AD337" s="7"/>
      <c r="AE337" s="7"/>
      <c r="AF337" s="7"/>
      <c r="AG337" s="7"/>
      <c r="AH337" s="7"/>
      <c r="AI337" s="7"/>
      <c r="AJ337" s="9">
        <f t="shared" si="2"/>
        <v>275</v>
      </c>
      <c r="AK337" s="9">
        <f t="shared" si="3"/>
        <v>725</v>
      </c>
      <c r="AL337" s="7" t="str">
        <f t="shared" ref="AL337:AM337" si="339">HLOOKUP(AJ337,{$D337:$AI337;$D$1:$AI$1},2,false)</f>
        <v>Sally</v>
      </c>
      <c r="AM337" s="7" t="str">
        <f t="shared" si="339"/>
        <v>Nancy</v>
      </c>
      <c r="AN337" s="7">
        <f t="shared" si="5"/>
        <v>3</v>
      </c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</row>
    <row r="338">
      <c r="A338" s="5">
        <v>45190.0</v>
      </c>
      <c r="B338" s="6" t="s">
        <v>62</v>
      </c>
      <c r="C338" s="7"/>
      <c r="D338" s="7"/>
      <c r="E338" s="7"/>
      <c r="F338" s="7"/>
      <c r="G338" s="7"/>
      <c r="H338" s="7"/>
      <c r="I338" s="7"/>
      <c r="J338" s="7"/>
      <c r="K338" s="8">
        <v>245.0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8">
        <v>415.0</v>
      </c>
      <c r="Z338" s="7"/>
      <c r="AA338" s="8">
        <v>530.0</v>
      </c>
      <c r="AB338" s="7"/>
      <c r="AC338" s="7"/>
      <c r="AD338" s="7"/>
      <c r="AE338" s="7"/>
      <c r="AF338" s="7"/>
      <c r="AG338" s="7"/>
      <c r="AH338" s="7"/>
      <c r="AI338" s="7"/>
      <c r="AJ338" s="9">
        <f t="shared" si="2"/>
        <v>245</v>
      </c>
      <c r="AK338" s="9">
        <f t="shared" si="3"/>
        <v>530</v>
      </c>
      <c r="AL338" s="7" t="str">
        <f t="shared" ref="AL338:AM338" si="340">HLOOKUP(AJ338,{$D338:$AI338;$D$1:$AI$1},2,false)</f>
        <v>David</v>
      </c>
      <c r="AM338" s="7" t="str">
        <f t="shared" si="340"/>
        <v>Sally</v>
      </c>
      <c r="AN338" s="7">
        <f t="shared" si="5"/>
        <v>3</v>
      </c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</row>
    <row r="339">
      <c r="A339" s="5">
        <v>45191.0</v>
      </c>
      <c r="B339" s="6" t="s">
        <v>63</v>
      </c>
      <c r="C339" s="7"/>
      <c r="D339" s="7"/>
      <c r="E339" s="7"/>
      <c r="F339" s="7"/>
      <c r="G339" s="7"/>
      <c r="H339" s="7"/>
      <c r="I339" s="7"/>
      <c r="J339" s="7"/>
      <c r="K339" s="8">
        <v>605.0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8">
        <v>355.0</v>
      </c>
      <c r="Z339" s="7"/>
      <c r="AA339" s="8">
        <v>1185.0</v>
      </c>
      <c r="AB339" s="7"/>
      <c r="AC339" s="7"/>
      <c r="AD339" s="7"/>
      <c r="AE339" s="7"/>
      <c r="AF339" s="7"/>
      <c r="AG339" s="7"/>
      <c r="AH339" s="7"/>
      <c r="AI339" s="7"/>
      <c r="AJ339" s="9">
        <f t="shared" si="2"/>
        <v>355</v>
      </c>
      <c r="AK339" s="9">
        <f t="shared" si="3"/>
        <v>1185</v>
      </c>
      <c r="AL339" s="7" t="str">
        <f t="shared" ref="AL339:AM339" si="341">HLOOKUP(AJ339,{$D339:$AI339;$D$1:$AI$1},2,false)</f>
        <v>Nancy</v>
      </c>
      <c r="AM339" s="7" t="str">
        <f t="shared" si="341"/>
        <v>Sally</v>
      </c>
      <c r="AN339" s="7">
        <f t="shared" si="5"/>
        <v>3</v>
      </c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</row>
    <row r="340">
      <c r="A340" s="5">
        <v>45192.0</v>
      </c>
      <c r="B340" s="6" t="s">
        <v>63</v>
      </c>
      <c r="C340" s="7"/>
      <c r="D340" s="7"/>
      <c r="E340" s="7"/>
      <c r="F340" s="7"/>
      <c r="G340" s="7"/>
      <c r="H340" s="7"/>
      <c r="I340" s="7"/>
      <c r="J340" s="7"/>
      <c r="K340" s="8">
        <v>590.0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8">
        <v>510.0</v>
      </c>
      <c r="Z340" s="7"/>
      <c r="AA340" s="8">
        <v>610.0</v>
      </c>
      <c r="AB340" s="7"/>
      <c r="AC340" s="7"/>
      <c r="AD340" s="7"/>
      <c r="AE340" s="7"/>
      <c r="AF340" s="7"/>
      <c r="AG340" s="7"/>
      <c r="AH340" s="7"/>
      <c r="AI340" s="7"/>
      <c r="AJ340" s="9">
        <f t="shared" si="2"/>
        <v>510</v>
      </c>
      <c r="AK340" s="9">
        <f t="shared" si="3"/>
        <v>610</v>
      </c>
      <c r="AL340" s="7" t="str">
        <f t="shared" ref="AL340:AM340" si="342">HLOOKUP(AJ340,{$D340:$AI340;$D$1:$AI$1},2,false)</f>
        <v>Nancy</v>
      </c>
      <c r="AM340" s="7" t="str">
        <f t="shared" si="342"/>
        <v>Sally</v>
      </c>
      <c r="AN340" s="7">
        <f t="shared" si="5"/>
        <v>3</v>
      </c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</row>
    <row r="341">
      <c r="A341" s="5">
        <v>45193.0</v>
      </c>
      <c r="B341" s="6" t="s">
        <v>63</v>
      </c>
      <c r="C341" s="7"/>
      <c r="D341" s="7"/>
      <c r="E341" s="7"/>
      <c r="F341" s="7"/>
      <c r="G341" s="7"/>
      <c r="H341" s="7"/>
      <c r="I341" s="7"/>
      <c r="J341" s="7"/>
      <c r="K341" s="8">
        <v>220.0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8">
        <v>335.0</v>
      </c>
      <c r="Z341" s="7"/>
      <c r="AA341" s="8">
        <v>480.0</v>
      </c>
      <c r="AB341" s="7"/>
      <c r="AC341" s="7"/>
      <c r="AD341" s="7"/>
      <c r="AE341" s="7"/>
      <c r="AF341" s="7"/>
      <c r="AG341" s="7"/>
      <c r="AH341" s="7"/>
      <c r="AI341" s="7"/>
      <c r="AJ341" s="9">
        <f t="shared" si="2"/>
        <v>220</v>
      </c>
      <c r="AK341" s="9">
        <f t="shared" si="3"/>
        <v>480</v>
      </c>
      <c r="AL341" s="7" t="str">
        <f t="shared" ref="AL341:AM341" si="343">HLOOKUP(AJ341,{$D341:$AI341;$D$1:$AI$1},2,false)</f>
        <v>David</v>
      </c>
      <c r="AM341" s="7" t="str">
        <f t="shared" si="343"/>
        <v>Sally</v>
      </c>
      <c r="AN341" s="7">
        <f t="shared" si="5"/>
        <v>3</v>
      </c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</row>
    <row r="342">
      <c r="A342" s="5">
        <v>45194.0</v>
      </c>
      <c r="B342" s="6" t="s">
        <v>55</v>
      </c>
      <c r="C342" s="7"/>
      <c r="D342" s="7"/>
      <c r="E342" s="7"/>
      <c r="F342" s="7"/>
      <c r="G342" s="7"/>
      <c r="H342" s="7"/>
      <c r="I342" s="8">
        <v>640.0</v>
      </c>
      <c r="J342" s="7"/>
      <c r="K342" s="8">
        <v>435.0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8">
        <v>490.0</v>
      </c>
      <c r="Z342" s="7"/>
      <c r="AA342" s="8">
        <v>440.0</v>
      </c>
      <c r="AB342" s="7"/>
      <c r="AC342" s="7"/>
      <c r="AD342" s="7"/>
      <c r="AE342" s="7"/>
      <c r="AF342" s="7"/>
      <c r="AG342" s="7"/>
      <c r="AH342" s="7"/>
      <c r="AI342" s="7"/>
      <c r="AJ342" s="9">
        <f t="shared" si="2"/>
        <v>435</v>
      </c>
      <c r="AK342" s="9">
        <f t="shared" si="3"/>
        <v>640</v>
      </c>
      <c r="AL342" s="7" t="str">
        <f t="shared" ref="AL342:AM342" si="344">HLOOKUP(AJ342,{$D342:$AI342;$D$1:$AI$1},2,false)</f>
        <v>David</v>
      </c>
      <c r="AM342" s="7" t="str">
        <f t="shared" si="344"/>
        <v>Charlene</v>
      </c>
      <c r="AN342" s="7">
        <f t="shared" si="5"/>
        <v>4</v>
      </c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</row>
    <row r="343">
      <c r="A343" s="5">
        <v>45197.0</v>
      </c>
      <c r="B343" s="6" t="s">
        <v>55</v>
      </c>
      <c r="C343" s="7"/>
      <c r="D343" s="7"/>
      <c r="E343" s="7"/>
      <c r="F343" s="7"/>
      <c r="G343" s="7"/>
      <c r="H343" s="7"/>
      <c r="I343" s="8">
        <v>555.0</v>
      </c>
      <c r="J343" s="7"/>
      <c r="K343" s="8">
        <v>270.0</v>
      </c>
      <c r="L343" s="8">
        <v>240.0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8">
        <v>470.0</v>
      </c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9">
        <f t="shared" si="2"/>
        <v>240</v>
      </c>
      <c r="AK343" s="9">
        <f t="shared" si="3"/>
        <v>555</v>
      </c>
      <c r="AL343" s="7" t="str">
        <f t="shared" ref="AL343:AM343" si="345">HLOOKUP(AJ343,{$D343:$AI343;$D$1:$AI$1},2,false)</f>
        <v>Debby</v>
      </c>
      <c r="AM343" s="7" t="str">
        <f t="shared" si="345"/>
        <v>Charlene</v>
      </c>
      <c r="AN343" s="7">
        <f t="shared" si="5"/>
        <v>4</v>
      </c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</row>
    <row r="344">
      <c r="A344" s="5">
        <v>45199.0</v>
      </c>
      <c r="B344" s="6" t="s">
        <v>42</v>
      </c>
      <c r="C344" s="7"/>
      <c r="D344" s="7"/>
      <c r="E344" s="7"/>
      <c r="F344" s="7"/>
      <c r="G344" s="7"/>
      <c r="H344" s="7"/>
      <c r="I344" s="8">
        <v>590.0</v>
      </c>
      <c r="J344" s="7"/>
      <c r="K344" s="8">
        <v>495.0</v>
      </c>
      <c r="L344" s="7"/>
      <c r="M344" s="7"/>
      <c r="N344" s="7"/>
      <c r="O344" s="7"/>
      <c r="P344" s="7"/>
      <c r="Q344" s="8">
        <v>380.0</v>
      </c>
      <c r="R344" s="7"/>
      <c r="S344" s="7"/>
      <c r="T344" s="7"/>
      <c r="U344" s="7"/>
      <c r="V344" s="7"/>
      <c r="W344" s="7"/>
      <c r="X344" s="7"/>
      <c r="Y344" s="8">
        <v>870.0</v>
      </c>
      <c r="Z344" s="8">
        <v>380.0</v>
      </c>
      <c r="AA344" s="7"/>
      <c r="AB344" s="8">
        <v>395.0</v>
      </c>
      <c r="AC344" s="7"/>
      <c r="AD344" s="7"/>
      <c r="AE344" s="7"/>
      <c r="AF344" s="7"/>
      <c r="AG344" s="7"/>
      <c r="AH344" s="7"/>
      <c r="AI344" s="7"/>
      <c r="AJ344" s="9">
        <f t="shared" si="2"/>
        <v>380</v>
      </c>
      <c r="AK344" s="9">
        <f t="shared" si="3"/>
        <v>870</v>
      </c>
      <c r="AL344" s="7" t="str">
        <f t="shared" ref="AL344:AM344" si="346">HLOOKUP(AJ344,{$D344:$AI344;$D$1:$AI$1},2,false)</f>
        <v>Jeff M</v>
      </c>
      <c r="AM344" s="7" t="str">
        <f t="shared" si="346"/>
        <v>Nancy</v>
      </c>
      <c r="AN344" s="7">
        <f t="shared" si="5"/>
        <v>6</v>
      </c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</row>
    <row r="345">
      <c r="A345" s="5">
        <v>45202.0</v>
      </c>
      <c r="B345" s="6" t="s">
        <v>42</v>
      </c>
      <c r="C345" s="7"/>
      <c r="D345" s="7"/>
      <c r="E345" s="7"/>
      <c r="F345" s="7"/>
      <c r="G345" s="7"/>
      <c r="H345" s="8">
        <v>420.0</v>
      </c>
      <c r="I345" s="7"/>
      <c r="J345" s="7"/>
      <c r="K345" s="8">
        <v>540.0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8">
        <v>360.0</v>
      </c>
      <c r="AC345" s="7"/>
      <c r="AD345" s="7"/>
      <c r="AE345" s="7"/>
      <c r="AF345" s="7"/>
      <c r="AG345" s="7"/>
      <c r="AH345" s="7"/>
      <c r="AI345" s="7"/>
      <c r="AJ345" s="9">
        <f t="shared" si="2"/>
        <v>360</v>
      </c>
      <c r="AK345" s="9">
        <f t="shared" si="3"/>
        <v>540</v>
      </c>
      <c r="AL345" s="7" t="str">
        <f t="shared" ref="AL345:AM345" si="347">HLOOKUP(AJ345,{$D345:$AI345;$D$1:$AI$1},2,false)</f>
        <v>Sandy</v>
      </c>
      <c r="AM345" s="7" t="str">
        <f t="shared" si="347"/>
        <v>David</v>
      </c>
      <c r="AN345" s="7">
        <f t="shared" si="5"/>
        <v>3</v>
      </c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</row>
    <row r="346">
      <c r="A346" s="5">
        <v>45206.0</v>
      </c>
      <c r="B346" s="6" t="s">
        <v>42</v>
      </c>
      <c r="C346" s="7"/>
      <c r="D346" s="7"/>
      <c r="E346" s="7"/>
      <c r="F346" s="7"/>
      <c r="G346" s="7"/>
      <c r="H346" s="7"/>
      <c r="I346" s="8">
        <v>260.0</v>
      </c>
      <c r="J346" s="7"/>
      <c r="K346" s="8">
        <v>75.0</v>
      </c>
      <c r="L346" s="8">
        <v>130.0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8">
        <v>150.0</v>
      </c>
      <c r="AC346" s="7"/>
      <c r="AD346" s="7"/>
      <c r="AE346" s="7"/>
      <c r="AF346" s="7"/>
      <c r="AG346" s="7"/>
      <c r="AH346" s="7"/>
      <c r="AI346" s="7"/>
      <c r="AJ346" s="9">
        <f t="shared" si="2"/>
        <v>75</v>
      </c>
      <c r="AK346" s="9">
        <f t="shared" si="3"/>
        <v>260</v>
      </c>
      <c r="AL346" s="7" t="str">
        <f t="shared" ref="AL346:AM346" si="348">HLOOKUP(AJ346,{$D346:$AI346;$D$1:$AI$1},2,false)</f>
        <v>David</v>
      </c>
      <c r="AM346" s="7" t="str">
        <f t="shared" si="348"/>
        <v>Charlene</v>
      </c>
      <c r="AN346" s="7">
        <f t="shared" si="5"/>
        <v>4</v>
      </c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</row>
    <row r="347">
      <c r="A347" s="5">
        <v>45212.0</v>
      </c>
      <c r="B347" s="6" t="s">
        <v>42</v>
      </c>
      <c r="C347" s="7"/>
      <c r="D347" s="7"/>
      <c r="E347" s="7"/>
      <c r="F347" s="7"/>
      <c r="G347" s="7"/>
      <c r="H347" s="8">
        <v>540.0</v>
      </c>
      <c r="I347" s="7"/>
      <c r="J347" s="7"/>
      <c r="K347" s="8">
        <v>365.0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8">
        <v>370.0</v>
      </c>
      <c r="X347" s="7"/>
      <c r="Y347" s="8">
        <v>795.0</v>
      </c>
      <c r="Z347" s="7"/>
      <c r="AA347" s="7"/>
      <c r="AB347" s="8">
        <v>820.0</v>
      </c>
      <c r="AC347" s="7"/>
      <c r="AD347" s="7"/>
      <c r="AE347" s="7"/>
      <c r="AF347" s="7"/>
      <c r="AG347" s="7"/>
      <c r="AH347" s="7"/>
      <c r="AI347" s="7"/>
      <c r="AJ347" s="9">
        <f t="shared" si="2"/>
        <v>365</v>
      </c>
      <c r="AK347" s="9">
        <f t="shared" si="3"/>
        <v>820</v>
      </c>
      <c r="AL347" s="7" t="str">
        <f t="shared" ref="AL347:AM347" si="349">HLOOKUP(AJ347,{$D347:$AI347;$D$1:$AI$1},2,false)</f>
        <v>David</v>
      </c>
      <c r="AM347" s="7" t="str">
        <f t="shared" si="349"/>
        <v>Sandy</v>
      </c>
      <c r="AN347" s="7">
        <f t="shared" si="5"/>
        <v>5</v>
      </c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</row>
    <row r="348">
      <c r="A348" s="5">
        <v>45218.0</v>
      </c>
      <c r="B348" s="6" t="s">
        <v>55</v>
      </c>
      <c r="C348" s="7"/>
      <c r="D348" s="7"/>
      <c r="E348" s="7"/>
      <c r="F348" s="7"/>
      <c r="G348" s="7"/>
      <c r="H348" s="7"/>
      <c r="I348" s="8">
        <v>265.0</v>
      </c>
      <c r="J348" s="7"/>
      <c r="K348" s="8">
        <v>720.0</v>
      </c>
      <c r="L348" s="8">
        <v>705.0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8">
        <v>530.0</v>
      </c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9">
        <f t="shared" si="2"/>
        <v>265</v>
      </c>
      <c r="AK348" s="9">
        <f t="shared" si="3"/>
        <v>720</v>
      </c>
      <c r="AL348" s="7" t="str">
        <f t="shared" ref="AL348:AM348" si="350">HLOOKUP(AJ348,{$D348:$AI348;$D$1:$AI$1},2,false)</f>
        <v>Charlene</v>
      </c>
      <c r="AM348" s="7" t="str">
        <f t="shared" si="350"/>
        <v>David</v>
      </c>
      <c r="AN348" s="7">
        <f t="shared" si="5"/>
        <v>4</v>
      </c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</row>
    <row r="349">
      <c r="A349" s="5">
        <v>45225.0</v>
      </c>
      <c r="B349" s="6" t="s">
        <v>55</v>
      </c>
      <c r="C349" s="7"/>
      <c r="D349" s="7"/>
      <c r="E349" s="7"/>
      <c r="F349" s="7"/>
      <c r="G349" s="7"/>
      <c r="H349" s="7"/>
      <c r="I349" s="8">
        <v>560.0</v>
      </c>
      <c r="J349" s="7"/>
      <c r="K349" s="7"/>
      <c r="L349" s="8">
        <v>275.0</v>
      </c>
      <c r="M349" s="7"/>
      <c r="N349" s="7"/>
      <c r="O349" s="7"/>
      <c r="P349" s="7"/>
      <c r="Q349" s="7"/>
      <c r="R349" s="7"/>
      <c r="S349" s="7"/>
      <c r="T349" s="7"/>
      <c r="U349" s="7"/>
      <c r="V349" s="8">
        <v>890.0</v>
      </c>
      <c r="W349" s="7"/>
      <c r="X349" s="7"/>
      <c r="Y349" s="8">
        <v>390.0</v>
      </c>
      <c r="Z349" s="7"/>
      <c r="AA349" s="7"/>
      <c r="AB349" s="7"/>
      <c r="AC349" s="8">
        <v>890.0</v>
      </c>
      <c r="AD349" s="7"/>
      <c r="AE349" s="7"/>
      <c r="AF349" s="7"/>
      <c r="AG349" s="8">
        <v>369.0</v>
      </c>
      <c r="AH349" s="7"/>
      <c r="AI349" s="7"/>
      <c r="AJ349" s="9">
        <f t="shared" si="2"/>
        <v>275</v>
      </c>
      <c r="AK349" s="9">
        <f t="shared" si="3"/>
        <v>890</v>
      </c>
      <c r="AL349" s="7" t="str">
        <f t="shared" ref="AL349:AM349" si="351">HLOOKUP(AJ349,{$D349:$AI349;$D$1:$AI$1},2,false)</f>
        <v>Debby</v>
      </c>
      <c r="AM349" s="7" t="str">
        <f t="shared" si="351"/>
        <v>Karen</v>
      </c>
      <c r="AN349" s="7">
        <f t="shared" si="5"/>
        <v>6</v>
      </c>
      <c r="AO349" s="9">
        <f t="shared" ref="AO349:AO350" si="355">MAX($F349:$AI349)</f>
        <v>890</v>
      </c>
      <c r="AP349" s="7" t="str">
        <f t="shared" ref="AP349:AQ349" si="352">HLOOKUP(AN349,{$F349:$AI349;$F$1:$AI$1},2,false)</f>
        <v>#N/A</v>
      </c>
      <c r="AQ349" s="7" t="str">
        <f t="shared" si="352"/>
        <v>Karen</v>
      </c>
      <c r="AR349" s="7">
        <f t="shared" ref="AR349:AR350" si="357">count(J349:AM349)</f>
        <v>7</v>
      </c>
      <c r="AS349" s="9">
        <f t="shared" ref="AS349:AS350" si="358">MAX($F349:$AI349)</f>
        <v>890</v>
      </c>
      <c r="AT349" s="7" t="str">
        <f t="shared" ref="AT349:AU349" si="353">HLOOKUP(AR349,{$F349:$AI349;$F$1:$AI$1},2,false)</f>
        <v>#N/A</v>
      </c>
      <c r="AU349" s="7" t="str">
        <f t="shared" si="353"/>
        <v>Karen</v>
      </c>
      <c r="AV349" s="7"/>
      <c r="AW349" s="7"/>
      <c r="AX349" s="7"/>
      <c r="AY349" s="7"/>
      <c r="AZ349" s="7"/>
      <c r="BA349" s="7"/>
      <c r="BB349" s="7"/>
      <c r="BC349" s="7"/>
      <c r="BD349" s="7"/>
      <c r="BE349" s="7"/>
    </row>
    <row r="350">
      <c r="A350" s="5">
        <v>45227.0</v>
      </c>
      <c r="B350" s="6" t="s">
        <v>42</v>
      </c>
      <c r="C350" s="7"/>
      <c r="D350" s="7"/>
      <c r="E350" s="7"/>
      <c r="F350" s="7"/>
      <c r="G350" s="7"/>
      <c r="H350" s="7"/>
      <c r="I350" s="8">
        <v>165.0</v>
      </c>
      <c r="J350" s="7"/>
      <c r="K350" s="8">
        <v>465.0</v>
      </c>
      <c r="L350" s="8">
        <v>855.0</v>
      </c>
      <c r="M350" s="7"/>
      <c r="N350" s="7"/>
      <c r="O350" s="7"/>
      <c r="P350" s="8">
        <v>755.0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8">
        <v>985.0</v>
      </c>
      <c r="AC350" s="7"/>
      <c r="AD350" s="7"/>
      <c r="AE350" s="7"/>
      <c r="AF350" s="7"/>
      <c r="AG350" s="7"/>
      <c r="AH350" s="7"/>
      <c r="AI350" s="7"/>
      <c r="AJ350" s="9">
        <f t="shared" si="2"/>
        <v>165</v>
      </c>
      <c r="AK350" s="9">
        <f t="shared" si="3"/>
        <v>985</v>
      </c>
      <c r="AL350" s="7" t="str">
        <f t="shared" ref="AL350:AM350" si="354">HLOOKUP(AJ350,{$D350:$AI350;$D$1:$AI$1},2,false)</f>
        <v>Charlene</v>
      </c>
      <c r="AM350" s="7" t="str">
        <f t="shared" si="354"/>
        <v>Sandy</v>
      </c>
      <c r="AN350" s="7">
        <f t="shared" si="5"/>
        <v>5</v>
      </c>
      <c r="AO350" s="9">
        <f t="shared" si="355"/>
        <v>985</v>
      </c>
      <c r="AP350" s="7" t="str">
        <f t="shared" ref="AP350:AQ350" si="356">HLOOKUP(AN350,{$F350:$AI350;$F$1:$AI$1},2,false)</f>
        <v>#N/A</v>
      </c>
      <c r="AQ350" s="7" t="str">
        <f t="shared" si="356"/>
        <v>Sandy</v>
      </c>
      <c r="AR350" s="7">
        <f t="shared" si="357"/>
        <v>6</v>
      </c>
      <c r="AS350" s="9">
        <f t="shared" si="358"/>
        <v>985</v>
      </c>
      <c r="AT350" s="7" t="str">
        <f t="shared" ref="AT350:AU350" si="359">HLOOKUP(AR350,{$F350:$AI350;$F$1:$AI$1},2,false)</f>
        <v>#N/A</v>
      </c>
      <c r="AU350" s="7" t="str">
        <f t="shared" si="359"/>
        <v>Sandy</v>
      </c>
      <c r="AV350" s="7"/>
      <c r="AW350" s="7"/>
      <c r="AX350" s="7"/>
      <c r="AY350" s="7"/>
      <c r="AZ350" s="7"/>
      <c r="BA350" s="7"/>
      <c r="BB350" s="7"/>
      <c r="BC350" s="7"/>
      <c r="BD350" s="7"/>
      <c r="BE350" s="7"/>
    </row>
    <row r="351">
      <c r="A351" s="5">
        <v>45232.0</v>
      </c>
      <c r="B351" s="6" t="s">
        <v>55</v>
      </c>
      <c r="C351" s="7"/>
      <c r="D351" s="7"/>
      <c r="E351" s="7"/>
      <c r="F351" s="7"/>
      <c r="G351" s="7"/>
      <c r="H351" s="7"/>
      <c r="I351" s="8">
        <v>365.0</v>
      </c>
      <c r="J351" s="7"/>
      <c r="K351" s="8">
        <v>525.0</v>
      </c>
      <c r="L351" s="8">
        <v>435.0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8">
        <v>435.0</v>
      </c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9">
        <f t="shared" si="2"/>
        <v>365</v>
      </c>
      <c r="AK351" s="9">
        <f t="shared" si="3"/>
        <v>525</v>
      </c>
      <c r="AL351" s="7" t="str">
        <f t="shared" ref="AL351:AM351" si="360">HLOOKUP(AJ351,{$D351:$AI351;$D$1:$AI$1},2,false)</f>
        <v>Charlene</v>
      </c>
      <c r="AM351" s="7" t="str">
        <f t="shared" si="360"/>
        <v>David</v>
      </c>
      <c r="AN351" s="7">
        <f t="shared" si="5"/>
        <v>4</v>
      </c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</row>
    <row r="352">
      <c r="A352" s="5">
        <v>45237.0</v>
      </c>
      <c r="B352" s="6" t="s">
        <v>55</v>
      </c>
      <c r="C352" s="7"/>
      <c r="D352" s="7"/>
      <c r="E352" s="7"/>
      <c r="F352" s="7"/>
      <c r="G352" s="7"/>
      <c r="H352" s="7"/>
      <c r="I352" s="8">
        <v>485.0</v>
      </c>
      <c r="J352" s="7"/>
      <c r="K352" s="8">
        <v>445.0</v>
      </c>
      <c r="L352" s="8">
        <v>530.0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8">
        <v>370.0</v>
      </c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9">
        <f t="shared" si="2"/>
        <v>370</v>
      </c>
      <c r="AK352" s="9">
        <f t="shared" si="3"/>
        <v>530</v>
      </c>
      <c r="AL352" s="7" t="str">
        <f t="shared" ref="AL352:AM352" si="361">HLOOKUP(AJ352,{$D352:$AI352;$D$1:$AI$1},2,false)</f>
        <v>Nancy</v>
      </c>
      <c r="AM352" s="7" t="str">
        <f t="shared" si="361"/>
        <v>Debby</v>
      </c>
      <c r="AN352" s="7">
        <f t="shared" si="5"/>
        <v>4</v>
      </c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</row>
    <row r="353">
      <c r="A353" s="5">
        <v>45240.0</v>
      </c>
      <c r="B353" s="6" t="s">
        <v>64</v>
      </c>
      <c r="C353" s="7"/>
      <c r="D353" s="7"/>
      <c r="E353" s="7"/>
      <c r="F353" s="7"/>
      <c r="G353" s="7"/>
      <c r="H353" s="7"/>
      <c r="I353" s="7"/>
      <c r="J353" s="7"/>
      <c r="K353" s="8">
        <v>345.0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8">
        <v>240.0</v>
      </c>
      <c r="Z353" s="7"/>
      <c r="AA353" s="8">
        <v>245.0</v>
      </c>
      <c r="AB353" s="7"/>
      <c r="AC353" s="7"/>
      <c r="AD353" s="7"/>
      <c r="AE353" s="7"/>
      <c r="AF353" s="7"/>
      <c r="AG353" s="7"/>
      <c r="AH353" s="7"/>
      <c r="AI353" s="7"/>
      <c r="AJ353" s="9">
        <f t="shared" si="2"/>
        <v>240</v>
      </c>
      <c r="AK353" s="9">
        <f t="shared" si="3"/>
        <v>345</v>
      </c>
      <c r="AL353" s="7" t="str">
        <f t="shared" ref="AL353:AM353" si="362">HLOOKUP(AJ353,{$D353:$AI353;$D$1:$AI$1},2,false)</f>
        <v>Nancy</v>
      </c>
      <c r="AM353" s="7" t="str">
        <f t="shared" si="362"/>
        <v>David</v>
      </c>
      <c r="AN353" s="7">
        <f t="shared" si="5"/>
        <v>3</v>
      </c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</row>
    <row r="354">
      <c r="A354" s="5">
        <v>45242.0</v>
      </c>
      <c r="B354" s="6" t="s">
        <v>65</v>
      </c>
      <c r="C354" s="7"/>
      <c r="D354" s="7"/>
      <c r="E354" s="7"/>
      <c r="F354" s="7"/>
      <c r="G354" s="7"/>
      <c r="H354" s="7"/>
      <c r="I354" s="7"/>
      <c r="J354" s="7"/>
      <c r="K354" s="8">
        <v>350.0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8">
        <v>305.0</v>
      </c>
      <c r="Z354" s="7"/>
      <c r="AA354" s="8">
        <v>785.0</v>
      </c>
      <c r="AB354" s="7"/>
      <c r="AC354" s="7"/>
      <c r="AD354" s="7"/>
      <c r="AE354" s="7"/>
      <c r="AF354" s="7"/>
      <c r="AG354" s="7"/>
      <c r="AH354" s="7"/>
      <c r="AI354" s="7"/>
      <c r="AJ354" s="9">
        <f t="shared" si="2"/>
        <v>305</v>
      </c>
      <c r="AK354" s="9">
        <f t="shared" si="3"/>
        <v>785</v>
      </c>
      <c r="AL354" s="7" t="str">
        <f t="shared" ref="AL354:AM354" si="363">HLOOKUP(AJ354,{$D354:$AI354;$D$1:$AI$1},2,false)</f>
        <v>Nancy</v>
      </c>
      <c r="AM354" s="7" t="str">
        <f t="shared" si="363"/>
        <v>Sally</v>
      </c>
      <c r="AN354" s="7">
        <f t="shared" si="5"/>
        <v>3</v>
      </c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</row>
    <row r="355">
      <c r="A355" s="5">
        <v>45243.0</v>
      </c>
      <c r="B355" s="6" t="s">
        <v>66</v>
      </c>
      <c r="C355" s="7"/>
      <c r="D355" s="7"/>
      <c r="E355" s="7"/>
      <c r="F355" s="7"/>
      <c r="G355" s="7"/>
      <c r="H355" s="7"/>
      <c r="I355" s="7"/>
      <c r="J355" s="7"/>
      <c r="K355" s="8">
        <v>250.0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8">
        <v>895.0</v>
      </c>
      <c r="Z355" s="7"/>
      <c r="AA355" s="8">
        <v>440.0</v>
      </c>
      <c r="AB355" s="7"/>
      <c r="AC355" s="7"/>
      <c r="AD355" s="7"/>
      <c r="AE355" s="7"/>
      <c r="AF355" s="7"/>
      <c r="AG355" s="7"/>
      <c r="AH355" s="7"/>
      <c r="AI355" s="7"/>
      <c r="AJ355" s="9">
        <f t="shared" si="2"/>
        <v>250</v>
      </c>
      <c r="AK355" s="9">
        <f t="shared" si="3"/>
        <v>895</v>
      </c>
      <c r="AL355" s="7" t="str">
        <f t="shared" ref="AL355:AM355" si="364">HLOOKUP(AJ355,{$D355:$AI355;$D$1:$AI$1},2,false)</f>
        <v>David</v>
      </c>
      <c r="AM355" s="7" t="str">
        <f t="shared" si="364"/>
        <v>Nancy</v>
      </c>
      <c r="AN355" s="7">
        <f t="shared" si="5"/>
        <v>3</v>
      </c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</row>
    <row r="356">
      <c r="A356" s="5">
        <v>45245.0</v>
      </c>
      <c r="B356" s="6" t="s">
        <v>67</v>
      </c>
      <c r="C356" s="7"/>
      <c r="D356" s="7"/>
      <c r="E356" s="7"/>
      <c r="F356" s="7"/>
      <c r="G356" s="7"/>
      <c r="H356" s="7"/>
      <c r="I356" s="7"/>
      <c r="J356" s="7"/>
      <c r="K356" s="8">
        <v>305.0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8">
        <v>340.0</v>
      </c>
      <c r="Z356" s="7"/>
      <c r="AA356" s="8">
        <v>600.0</v>
      </c>
      <c r="AB356" s="7"/>
      <c r="AC356" s="7"/>
      <c r="AD356" s="7"/>
      <c r="AE356" s="7"/>
      <c r="AF356" s="7"/>
      <c r="AG356" s="7"/>
      <c r="AH356" s="7"/>
      <c r="AI356" s="7"/>
      <c r="AJ356" s="9">
        <f t="shared" si="2"/>
        <v>305</v>
      </c>
      <c r="AK356" s="9">
        <f t="shared" si="3"/>
        <v>600</v>
      </c>
      <c r="AL356" s="7" t="str">
        <f t="shared" ref="AL356:AM356" si="365">HLOOKUP(AJ356,{$D356:$AI356;$D$1:$AI$1},2,false)</f>
        <v>David</v>
      </c>
      <c r="AM356" s="7" t="str">
        <f t="shared" si="365"/>
        <v>Sally</v>
      </c>
      <c r="AN356" s="7">
        <f t="shared" si="5"/>
        <v>3</v>
      </c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</row>
    <row r="357">
      <c r="A357" s="5">
        <v>45246.0</v>
      </c>
      <c r="B357" s="6" t="s">
        <v>68</v>
      </c>
      <c r="C357" s="7"/>
      <c r="D357" s="7"/>
      <c r="E357" s="7"/>
      <c r="F357" s="7"/>
      <c r="G357" s="7"/>
      <c r="H357" s="7"/>
      <c r="I357" s="7"/>
      <c r="J357" s="7"/>
      <c r="K357" s="8">
        <v>370.0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8">
        <v>280.0</v>
      </c>
      <c r="Z357" s="7"/>
      <c r="AA357" s="8">
        <v>450.0</v>
      </c>
      <c r="AB357" s="7"/>
      <c r="AC357" s="7"/>
      <c r="AD357" s="7"/>
      <c r="AE357" s="7"/>
      <c r="AF357" s="7"/>
      <c r="AG357" s="7"/>
      <c r="AH357" s="7"/>
      <c r="AI357" s="7"/>
      <c r="AJ357" s="9">
        <f t="shared" si="2"/>
        <v>280</v>
      </c>
      <c r="AK357" s="9">
        <f t="shared" si="3"/>
        <v>450</v>
      </c>
      <c r="AL357" s="7" t="str">
        <f t="shared" ref="AL357:AM357" si="366">HLOOKUP(AJ357,{$D357:$AI357;$D$1:$AI$1},2,false)</f>
        <v>Nancy</v>
      </c>
      <c r="AM357" s="7" t="str">
        <f t="shared" si="366"/>
        <v>Sally</v>
      </c>
      <c r="AN357" s="7">
        <f t="shared" si="5"/>
        <v>3</v>
      </c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</row>
    <row r="358">
      <c r="A358" s="5">
        <v>45247.0</v>
      </c>
      <c r="B358" s="6" t="s">
        <v>69</v>
      </c>
      <c r="C358" s="7"/>
      <c r="D358" s="7"/>
      <c r="E358" s="7"/>
      <c r="F358" s="7"/>
      <c r="G358" s="7"/>
      <c r="H358" s="7"/>
      <c r="I358" s="7"/>
      <c r="J358" s="7"/>
      <c r="K358" s="8">
        <v>360.0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8">
        <v>410.0</v>
      </c>
      <c r="Z358" s="7"/>
      <c r="AA358" s="8">
        <v>460.0</v>
      </c>
      <c r="AB358" s="7"/>
      <c r="AC358" s="7"/>
      <c r="AD358" s="7"/>
      <c r="AE358" s="7"/>
      <c r="AF358" s="8">
        <v>680.0</v>
      </c>
      <c r="AG358" s="7"/>
      <c r="AH358" s="7"/>
      <c r="AI358" s="7"/>
      <c r="AJ358" s="9">
        <f t="shared" si="2"/>
        <v>360</v>
      </c>
      <c r="AK358" s="9">
        <f t="shared" si="3"/>
        <v>680</v>
      </c>
      <c r="AL358" s="7" t="str">
        <f t="shared" ref="AL358:AM358" si="367">HLOOKUP(AJ358,{$D358:$AI358;$D$1:$AI$1},2,false)</f>
        <v>David</v>
      </c>
      <c r="AM358" s="7" t="str">
        <f t="shared" si="367"/>
        <v>Susan</v>
      </c>
      <c r="AN358" s="7">
        <f t="shared" si="5"/>
        <v>4</v>
      </c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</row>
    <row r="359">
      <c r="A359" s="5">
        <v>45248.0</v>
      </c>
      <c r="B359" s="6" t="s">
        <v>69</v>
      </c>
      <c r="C359" s="7"/>
      <c r="D359" s="7"/>
      <c r="E359" s="7"/>
      <c r="F359" s="7"/>
      <c r="G359" s="7"/>
      <c r="H359" s="7"/>
      <c r="I359" s="7"/>
      <c r="J359" s="7"/>
      <c r="K359" s="8">
        <v>220.0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8">
        <v>525.0</v>
      </c>
      <c r="Z359" s="7"/>
      <c r="AA359" s="8">
        <v>225.0</v>
      </c>
      <c r="AB359" s="7"/>
      <c r="AC359" s="7"/>
      <c r="AD359" s="7"/>
      <c r="AE359" s="7"/>
      <c r="AF359" s="8">
        <v>335.0</v>
      </c>
      <c r="AG359" s="7"/>
      <c r="AH359" s="7"/>
      <c r="AI359" s="7"/>
      <c r="AJ359" s="9">
        <f t="shared" si="2"/>
        <v>220</v>
      </c>
      <c r="AK359" s="9">
        <f t="shared" si="3"/>
        <v>525</v>
      </c>
      <c r="AL359" s="7" t="str">
        <f t="shared" ref="AL359:AM359" si="368">HLOOKUP(AJ359,{$D359:$AI359;$D$1:$AI$1},2,false)</f>
        <v>David</v>
      </c>
      <c r="AM359" s="7" t="str">
        <f t="shared" si="368"/>
        <v>Nancy</v>
      </c>
      <c r="AN359" s="7">
        <f t="shared" si="5"/>
        <v>4</v>
      </c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</row>
    <row r="360">
      <c r="A360" s="5">
        <v>45249.0</v>
      </c>
      <c r="B360" s="6" t="s">
        <v>69</v>
      </c>
      <c r="C360" s="7"/>
      <c r="D360" s="7"/>
      <c r="E360" s="7"/>
      <c r="F360" s="7"/>
      <c r="G360" s="7"/>
      <c r="H360" s="7"/>
      <c r="I360" s="7"/>
      <c r="J360" s="7"/>
      <c r="K360" s="8">
        <v>315.0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8">
        <v>450.0</v>
      </c>
      <c r="Z360" s="7"/>
      <c r="AA360" s="8">
        <v>555.0</v>
      </c>
      <c r="AB360" s="7"/>
      <c r="AC360" s="7"/>
      <c r="AD360" s="7"/>
      <c r="AE360" s="7"/>
      <c r="AF360" s="8">
        <v>215.0</v>
      </c>
      <c r="AG360" s="7"/>
      <c r="AH360" s="7"/>
      <c r="AI360" s="7"/>
      <c r="AJ360" s="9">
        <f t="shared" si="2"/>
        <v>215</v>
      </c>
      <c r="AK360" s="9">
        <f t="shared" si="3"/>
        <v>555</v>
      </c>
      <c r="AL360" s="7" t="str">
        <f t="shared" ref="AL360:AM360" si="369">HLOOKUP(AJ360,{$D360:$AI360;$D$1:$AI$1},2,false)</f>
        <v>Susan</v>
      </c>
      <c r="AM360" s="7" t="str">
        <f t="shared" si="369"/>
        <v>Sally</v>
      </c>
      <c r="AN360" s="7">
        <f t="shared" si="5"/>
        <v>4</v>
      </c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</row>
    <row r="361">
      <c r="A361" s="5">
        <v>45252.0</v>
      </c>
      <c r="B361" s="6" t="s">
        <v>69</v>
      </c>
      <c r="C361" s="7"/>
      <c r="D361" s="8"/>
      <c r="E361" s="8">
        <v>355.0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8">
        <v>385.0</v>
      </c>
      <c r="Z361" s="7"/>
      <c r="AA361" s="8">
        <v>585.0</v>
      </c>
      <c r="AB361" s="7"/>
      <c r="AC361" s="7"/>
      <c r="AD361" s="7"/>
      <c r="AE361" s="7"/>
      <c r="AF361" s="8">
        <v>255.0</v>
      </c>
      <c r="AG361" s="7"/>
      <c r="AH361" s="7"/>
      <c r="AI361" s="7"/>
      <c r="AJ361" s="9">
        <f t="shared" si="2"/>
        <v>255</v>
      </c>
      <c r="AK361" s="9">
        <f t="shared" si="3"/>
        <v>585</v>
      </c>
      <c r="AL361" s="7" t="str">
        <f t="shared" ref="AL361:AM361" si="370">HLOOKUP(AJ361,{$D361:$AI361;$D$1:$AI$1},2,false)</f>
        <v>Susan</v>
      </c>
      <c r="AM361" s="7" t="str">
        <f t="shared" si="370"/>
        <v>Sally</v>
      </c>
      <c r="AN361" s="7">
        <f t="shared" si="5"/>
        <v>4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</row>
    <row r="362">
      <c r="A362" s="11">
        <v>45254.0</v>
      </c>
      <c r="B362" s="6" t="s">
        <v>70</v>
      </c>
      <c r="C362" s="7"/>
      <c r="D362" s="7"/>
      <c r="E362" s="7"/>
      <c r="F362" s="7"/>
      <c r="G362" s="7"/>
      <c r="H362" s="7"/>
      <c r="I362" s="7"/>
      <c r="J362" s="7"/>
      <c r="K362" s="8">
        <v>480.0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8">
        <v>150.0</v>
      </c>
      <c r="Z362" s="7"/>
      <c r="AA362" s="8">
        <v>255.0</v>
      </c>
      <c r="AB362" s="7"/>
      <c r="AC362" s="7"/>
      <c r="AD362" s="7"/>
      <c r="AE362" s="7"/>
      <c r="AF362" s="7"/>
      <c r="AG362" s="7"/>
      <c r="AH362" s="7"/>
      <c r="AI362" s="7"/>
      <c r="AJ362" s="9">
        <f t="shared" si="2"/>
        <v>150</v>
      </c>
      <c r="AK362" s="9">
        <f t="shared" si="3"/>
        <v>480</v>
      </c>
      <c r="AL362" s="7" t="str">
        <f t="shared" ref="AL362:AM362" si="371">HLOOKUP(AJ362,{$D362:$AI362;$D$1:$AI$1},2,false)</f>
        <v>Nancy</v>
      </c>
      <c r="AM362" s="7" t="str">
        <f t="shared" si="371"/>
        <v>David</v>
      </c>
      <c r="AN362" s="7">
        <f t="shared" si="5"/>
        <v>3</v>
      </c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</row>
    <row r="363">
      <c r="A363" s="5">
        <v>45255.0</v>
      </c>
      <c r="B363" s="6" t="s">
        <v>71</v>
      </c>
      <c r="C363" s="7"/>
      <c r="D363" s="7"/>
      <c r="E363" s="7"/>
      <c r="F363" s="7"/>
      <c r="G363" s="7"/>
      <c r="H363" s="7"/>
      <c r="I363" s="7"/>
      <c r="J363" s="7"/>
      <c r="K363" s="8">
        <v>190.0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8">
        <v>490.0</v>
      </c>
      <c r="Z363" s="7"/>
      <c r="AA363" s="8">
        <v>590.0</v>
      </c>
      <c r="AB363" s="7"/>
      <c r="AC363" s="7"/>
      <c r="AD363" s="7"/>
      <c r="AE363" s="7"/>
      <c r="AF363" s="7"/>
      <c r="AG363" s="7"/>
      <c r="AH363" s="7"/>
      <c r="AI363" s="7"/>
      <c r="AJ363" s="9">
        <f t="shared" si="2"/>
        <v>190</v>
      </c>
      <c r="AK363" s="9">
        <f t="shared" si="3"/>
        <v>590</v>
      </c>
      <c r="AL363" s="7" t="str">
        <f t="shared" ref="AL363:AM363" si="372">HLOOKUP(AJ363,{$D363:$AI363;$D$1:$AI$1},2,false)</f>
        <v>David</v>
      </c>
      <c r="AM363" s="7" t="str">
        <f t="shared" si="372"/>
        <v>Sally</v>
      </c>
      <c r="AN363" s="7">
        <f t="shared" si="5"/>
        <v>3</v>
      </c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</row>
    <row r="364">
      <c r="A364" s="5">
        <v>45256.0</v>
      </c>
      <c r="B364" s="6" t="s">
        <v>72</v>
      </c>
      <c r="C364" s="7"/>
      <c r="D364" s="7"/>
      <c r="E364" s="7"/>
      <c r="F364" s="7"/>
      <c r="G364" s="7"/>
      <c r="H364" s="7"/>
      <c r="I364" s="7"/>
      <c r="J364" s="7"/>
      <c r="K364" s="8">
        <v>95.0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8">
        <v>275.0</v>
      </c>
      <c r="Z364" s="7"/>
      <c r="AA364" s="8">
        <v>510.0</v>
      </c>
      <c r="AB364" s="7"/>
      <c r="AC364" s="7"/>
      <c r="AD364" s="7"/>
      <c r="AE364" s="7"/>
      <c r="AF364" s="7"/>
      <c r="AG364" s="7"/>
      <c r="AH364" s="7"/>
      <c r="AI364" s="7"/>
      <c r="AJ364" s="9">
        <f t="shared" si="2"/>
        <v>95</v>
      </c>
      <c r="AK364" s="9">
        <f t="shared" si="3"/>
        <v>510</v>
      </c>
      <c r="AL364" s="7" t="str">
        <f t="shared" ref="AL364:AM364" si="373">HLOOKUP(AJ364,{$D364:$AI364;$D$1:$AI$1},2,false)</f>
        <v>David</v>
      </c>
      <c r="AM364" s="7" t="str">
        <f t="shared" si="373"/>
        <v>Sally</v>
      </c>
      <c r="AN364" s="7">
        <f t="shared" si="5"/>
        <v>3</v>
      </c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</row>
    <row r="365">
      <c r="A365" s="5">
        <v>45259.0</v>
      </c>
      <c r="B365" s="6" t="s">
        <v>73</v>
      </c>
      <c r="C365" s="7"/>
      <c r="D365" s="7"/>
      <c r="E365" s="7"/>
      <c r="F365" s="7"/>
      <c r="G365" s="7"/>
      <c r="H365" s="7"/>
      <c r="I365" s="7"/>
      <c r="J365" s="7"/>
      <c r="K365" s="8">
        <v>335.0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8">
        <v>275.0</v>
      </c>
      <c r="Z365" s="7"/>
      <c r="AA365" s="8">
        <v>165.0</v>
      </c>
      <c r="AB365" s="7"/>
      <c r="AC365" s="7"/>
      <c r="AD365" s="7"/>
      <c r="AE365" s="7"/>
      <c r="AF365" s="7"/>
      <c r="AG365" s="7"/>
      <c r="AH365" s="7"/>
      <c r="AI365" s="7"/>
      <c r="AJ365" s="9">
        <f t="shared" si="2"/>
        <v>165</v>
      </c>
      <c r="AK365" s="9">
        <f t="shared" si="3"/>
        <v>335</v>
      </c>
      <c r="AL365" s="7" t="str">
        <f t="shared" ref="AL365:AM365" si="374">HLOOKUP(AJ365,{$D365:$AI365;$D$1:$AI$1},2,false)</f>
        <v>Sally</v>
      </c>
      <c r="AM365" s="7" t="str">
        <f t="shared" si="374"/>
        <v>David</v>
      </c>
      <c r="AN365" s="7">
        <f t="shared" si="5"/>
        <v>3</v>
      </c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</row>
    <row r="366">
      <c r="A366" s="5">
        <v>45262.0</v>
      </c>
      <c r="B366" s="6" t="s">
        <v>74</v>
      </c>
      <c r="C366" s="7"/>
      <c r="D366" s="7"/>
      <c r="E366" s="7"/>
      <c r="F366" s="7"/>
      <c r="G366" s="7"/>
      <c r="H366" s="7"/>
      <c r="I366" s="7"/>
      <c r="J366" s="7"/>
      <c r="K366" s="8">
        <v>455.0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8">
        <v>165.0</v>
      </c>
      <c r="Z366" s="7"/>
      <c r="AA366" s="8">
        <v>230.0</v>
      </c>
      <c r="AB366" s="7"/>
      <c r="AC366" s="7"/>
      <c r="AD366" s="7"/>
      <c r="AE366" s="7"/>
      <c r="AF366" s="7"/>
      <c r="AG366" s="7"/>
      <c r="AH366" s="7"/>
      <c r="AI366" s="7"/>
      <c r="AJ366" s="9">
        <f t="shared" si="2"/>
        <v>165</v>
      </c>
      <c r="AK366" s="9">
        <f t="shared" si="3"/>
        <v>455</v>
      </c>
      <c r="AL366" s="7" t="str">
        <f t="shared" ref="AL366:AM366" si="375">HLOOKUP(AJ366,{$D366:$AI366;$D$1:$AI$1},2,false)</f>
        <v>Nancy</v>
      </c>
      <c r="AM366" s="7" t="str">
        <f t="shared" si="375"/>
        <v>David</v>
      </c>
      <c r="AN366" s="7">
        <f t="shared" si="5"/>
        <v>3</v>
      </c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</row>
    <row r="367">
      <c r="A367" s="5">
        <v>45272.0</v>
      </c>
      <c r="B367" s="6" t="s">
        <v>48</v>
      </c>
      <c r="C367" s="7"/>
      <c r="D367" s="7"/>
      <c r="E367" s="7"/>
      <c r="F367" s="7"/>
      <c r="G367" s="7"/>
      <c r="H367" s="7"/>
      <c r="I367" s="7"/>
      <c r="J367" s="7"/>
      <c r="K367" s="8">
        <v>325.0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8">
        <v>455.0</v>
      </c>
      <c r="Z367" s="7"/>
      <c r="AA367" s="8">
        <v>610.0</v>
      </c>
      <c r="AB367" s="8">
        <v>515.0</v>
      </c>
      <c r="AC367" s="7"/>
      <c r="AD367" s="7"/>
      <c r="AE367" s="7"/>
      <c r="AF367" s="7"/>
      <c r="AG367" s="7"/>
      <c r="AH367" s="7"/>
      <c r="AI367" s="7"/>
      <c r="AJ367" s="9">
        <f t="shared" si="2"/>
        <v>325</v>
      </c>
      <c r="AK367" s="9">
        <f t="shared" si="3"/>
        <v>610</v>
      </c>
      <c r="AL367" s="7" t="str">
        <f t="shared" ref="AL367:AM367" si="376">HLOOKUP(AJ367,{$D367:$AI367;$D$1:$AI$1},2,false)</f>
        <v>David</v>
      </c>
      <c r="AM367" s="7" t="str">
        <f t="shared" si="376"/>
        <v>Sally</v>
      </c>
      <c r="AN367" s="7">
        <f t="shared" si="5"/>
        <v>4</v>
      </c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</row>
    <row r="368">
      <c r="A368" s="5">
        <v>45274.0</v>
      </c>
      <c r="B368" s="6" t="s">
        <v>55</v>
      </c>
      <c r="C368" s="7"/>
      <c r="D368" s="7"/>
      <c r="E368" s="7"/>
      <c r="F368" s="7"/>
      <c r="G368" s="7"/>
      <c r="H368" s="7"/>
      <c r="I368" s="8">
        <v>690.0</v>
      </c>
      <c r="J368" s="7"/>
      <c r="K368" s="8">
        <v>715.0</v>
      </c>
      <c r="L368" s="8">
        <v>690.0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8">
        <v>480.0</v>
      </c>
      <c r="Z368" s="7"/>
      <c r="AA368" s="8">
        <v>250.0</v>
      </c>
      <c r="AB368" s="7"/>
      <c r="AC368" s="7"/>
      <c r="AD368" s="7"/>
      <c r="AE368" s="7"/>
      <c r="AF368" s="7"/>
      <c r="AG368" s="7"/>
      <c r="AH368" s="7"/>
      <c r="AI368" s="7"/>
      <c r="AJ368" s="9">
        <f t="shared" si="2"/>
        <v>250</v>
      </c>
      <c r="AK368" s="9">
        <f t="shared" si="3"/>
        <v>715</v>
      </c>
      <c r="AL368" s="7" t="str">
        <f t="shared" ref="AL368:AM368" si="377">HLOOKUP(AJ368,{$D368:$AI368;$D$1:$AI$1},2,false)</f>
        <v>Sally</v>
      </c>
      <c r="AM368" s="7" t="str">
        <f t="shared" si="377"/>
        <v>David</v>
      </c>
      <c r="AN368" s="7">
        <f t="shared" si="5"/>
        <v>5</v>
      </c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</row>
    <row r="369">
      <c r="A369" s="5">
        <v>45278.0</v>
      </c>
      <c r="B369" s="6" t="s">
        <v>56</v>
      </c>
      <c r="C369" s="7"/>
      <c r="D369" s="7"/>
      <c r="E369" s="7"/>
      <c r="F369" s="7"/>
      <c r="G369" s="7"/>
      <c r="H369" s="7"/>
      <c r="I369" s="8">
        <v>100.0</v>
      </c>
      <c r="J369" s="7"/>
      <c r="K369" s="8">
        <v>510.0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8">
        <v>580.0</v>
      </c>
      <c r="Z369" s="7"/>
      <c r="AA369" s="8">
        <v>1070.0</v>
      </c>
      <c r="AB369" s="7"/>
      <c r="AC369" s="7"/>
      <c r="AD369" s="7"/>
      <c r="AE369" s="7"/>
      <c r="AF369" s="7"/>
      <c r="AG369" s="7"/>
      <c r="AH369" s="7"/>
      <c r="AI369" s="7"/>
      <c r="AJ369" s="9">
        <f t="shared" si="2"/>
        <v>100</v>
      </c>
      <c r="AK369" s="9">
        <f t="shared" si="3"/>
        <v>1070</v>
      </c>
      <c r="AL369" s="7" t="str">
        <f t="shared" ref="AL369:AM369" si="378">HLOOKUP(AJ369,{$D369:$AI369;$D$1:$AI$1},2,false)</f>
        <v>Charlene</v>
      </c>
      <c r="AM369" s="7" t="str">
        <f t="shared" si="378"/>
        <v>Sally</v>
      </c>
      <c r="AN369" s="7">
        <f t="shared" si="5"/>
        <v>4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</row>
    <row r="370">
      <c r="A370" s="5">
        <v>45281.0</v>
      </c>
      <c r="B370" s="6" t="s">
        <v>55</v>
      </c>
      <c r="C370" s="7"/>
      <c r="D370" s="7"/>
      <c r="E370" s="7"/>
      <c r="F370" s="7"/>
      <c r="G370" s="7"/>
      <c r="H370" s="7"/>
      <c r="I370" s="8">
        <v>500.0</v>
      </c>
      <c r="J370" s="7"/>
      <c r="K370" s="8">
        <v>465.0</v>
      </c>
      <c r="L370" s="8">
        <v>555.0</v>
      </c>
      <c r="M370" s="7"/>
      <c r="N370" s="7"/>
      <c r="O370" s="7"/>
      <c r="P370" s="7"/>
      <c r="Q370" s="7"/>
      <c r="R370" s="7"/>
      <c r="S370" s="7"/>
      <c r="T370" s="7"/>
      <c r="U370" s="7"/>
      <c r="V370" s="8">
        <v>745.0</v>
      </c>
      <c r="W370" s="7"/>
      <c r="X370" s="7"/>
      <c r="Y370" s="7"/>
      <c r="Z370" s="7"/>
      <c r="AA370" s="8">
        <v>755.0</v>
      </c>
      <c r="AB370" s="7"/>
      <c r="AC370" s="7"/>
      <c r="AD370" s="7"/>
      <c r="AE370" s="7"/>
      <c r="AF370" s="7"/>
      <c r="AG370" s="7"/>
      <c r="AH370" s="7"/>
      <c r="AI370" s="7"/>
      <c r="AJ370" s="9">
        <f t="shared" si="2"/>
        <v>465</v>
      </c>
      <c r="AK370" s="9">
        <f t="shared" si="3"/>
        <v>755</v>
      </c>
      <c r="AL370" s="7" t="str">
        <f t="shared" ref="AL370:AM370" si="379">HLOOKUP(AJ370,{$D370:$AI370;$D$1:$AI$1},2,false)</f>
        <v>David</v>
      </c>
      <c r="AM370" s="7" t="str">
        <f t="shared" si="379"/>
        <v>Sally</v>
      </c>
      <c r="AN370" s="7">
        <f t="shared" si="5"/>
        <v>5</v>
      </c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</row>
    <row r="371">
      <c r="A371" s="5">
        <v>45287.0</v>
      </c>
      <c r="B371" s="6" t="s">
        <v>55</v>
      </c>
      <c r="C371" s="7"/>
      <c r="D371" s="7"/>
      <c r="E371" s="7"/>
      <c r="F371" s="7"/>
      <c r="G371" s="7"/>
      <c r="H371" s="7"/>
      <c r="I371" s="8">
        <v>595.0</v>
      </c>
      <c r="J371" s="7"/>
      <c r="K371" s="8">
        <v>465.0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8">
        <v>265.0</v>
      </c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9">
        <f t="shared" si="2"/>
        <v>265</v>
      </c>
      <c r="AK371" s="9">
        <f t="shared" si="3"/>
        <v>595</v>
      </c>
      <c r="AL371" s="7" t="str">
        <f t="shared" ref="AL371:AM371" si="380">HLOOKUP(AJ371,{$D371:$AI371;$D$1:$AI$1},2,false)</f>
        <v>Nancy</v>
      </c>
      <c r="AM371" s="7" t="str">
        <f t="shared" si="380"/>
        <v>Charlene</v>
      </c>
      <c r="AN371" s="7">
        <f t="shared" si="5"/>
        <v>3</v>
      </c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</row>
    <row r="372">
      <c r="A372" s="5">
        <v>45291.0</v>
      </c>
      <c r="B372" s="6" t="s">
        <v>55</v>
      </c>
      <c r="C372" s="7"/>
      <c r="D372" s="7"/>
      <c r="E372" s="7"/>
      <c r="F372" s="7"/>
      <c r="G372" s="7"/>
      <c r="H372" s="7"/>
      <c r="I372" s="8">
        <v>205.0</v>
      </c>
      <c r="J372" s="7"/>
      <c r="K372" s="8">
        <v>570.0</v>
      </c>
      <c r="L372" s="8">
        <v>155.0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8">
        <v>585.0</v>
      </c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9">
        <f t="shared" si="2"/>
        <v>155</v>
      </c>
      <c r="AK372" s="9">
        <f t="shared" si="3"/>
        <v>585</v>
      </c>
      <c r="AL372" s="7" t="str">
        <f t="shared" ref="AL372:AM372" si="381">HLOOKUP(AJ372,{$D372:$AI372;$D$1:$AI$1},2,false)</f>
        <v>Debby</v>
      </c>
      <c r="AM372" s="7" t="str">
        <f t="shared" si="381"/>
        <v>Nancy</v>
      </c>
      <c r="AN372" s="7">
        <f t="shared" si="5"/>
        <v>4</v>
      </c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</row>
    <row r="373">
      <c r="A373" s="5">
        <v>45302.0</v>
      </c>
      <c r="B373" s="6" t="s">
        <v>55</v>
      </c>
      <c r="C373" s="7"/>
      <c r="D373" s="7"/>
      <c r="E373" s="7"/>
      <c r="F373" s="7"/>
      <c r="G373" s="7"/>
      <c r="H373" s="7"/>
      <c r="I373" s="8">
        <v>195.0</v>
      </c>
      <c r="J373" s="7"/>
      <c r="K373" s="8">
        <v>575.0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8">
        <v>325.0</v>
      </c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9">
        <f t="shared" si="2"/>
        <v>195</v>
      </c>
      <c r="AK373" s="9">
        <f t="shared" si="3"/>
        <v>575</v>
      </c>
      <c r="AL373" s="7" t="str">
        <f t="shared" ref="AL373:AM373" si="382">HLOOKUP(AJ373,{$D373:$AI373;$D$1:$AI$1},2,false)</f>
        <v>Charlene</v>
      </c>
      <c r="AM373" s="7" t="str">
        <f t="shared" si="382"/>
        <v>David</v>
      </c>
      <c r="AN373" s="7">
        <f t="shared" si="5"/>
        <v>3</v>
      </c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</row>
    <row r="374">
      <c r="A374" s="5">
        <v>45309.0</v>
      </c>
      <c r="B374" s="6" t="s">
        <v>55</v>
      </c>
      <c r="C374" s="7"/>
      <c r="D374" s="7"/>
      <c r="E374" s="7"/>
      <c r="F374" s="7"/>
      <c r="G374" s="7"/>
      <c r="H374" s="7"/>
      <c r="I374" s="8">
        <v>560.0</v>
      </c>
      <c r="J374" s="7"/>
      <c r="K374" s="8">
        <v>745.0</v>
      </c>
      <c r="L374" s="8">
        <v>445.0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8">
        <v>605.0</v>
      </c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9">
        <f t="shared" si="2"/>
        <v>445</v>
      </c>
      <c r="AK374" s="9">
        <f t="shared" si="3"/>
        <v>745</v>
      </c>
      <c r="AL374" s="7" t="str">
        <f t="shared" ref="AL374:AM374" si="383">HLOOKUP(AJ374,{$D374:$AI374;$D$1:$AI$1},2,false)</f>
        <v>Debby</v>
      </c>
      <c r="AM374" s="7" t="str">
        <f t="shared" si="383"/>
        <v>David</v>
      </c>
      <c r="AN374" s="7">
        <f t="shared" si="5"/>
        <v>4</v>
      </c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</row>
    <row r="375">
      <c r="A375" s="5">
        <v>45311.0</v>
      </c>
      <c r="B375" s="6" t="s">
        <v>48</v>
      </c>
      <c r="C375" s="7"/>
      <c r="D375" s="7"/>
      <c r="E375" s="7"/>
      <c r="F375" s="7"/>
      <c r="G375" s="7"/>
      <c r="H375" s="7"/>
      <c r="I375" s="8">
        <v>500.0</v>
      </c>
      <c r="J375" s="7"/>
      <c r="K375" s="8">
        <v>475.0</v>
      </c>
      <c r="L375" s="8">
        <v>440.0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8">
        <v>505.0</v>
      </c>
      <c r="Z375" s="7"/>
      <c r="AA375" s="7"/>
      <c r="AB375" s="8">
        <v>445.0</v>
      </c>
      <c r="AC375" s="7"/>
      <c r="AD375" s="7"/>
      <c r="AE375" s="7"/>
      <c r="AF375" s="7"/>
      <c r="AG375" s="7"/>
      <c r="AH375" s="7"/>
      <c r="AI375" s="7"/>
      <c r="AJ375" s="9">
        <f t="shared" si="2"/>
        <v>440</v>
      </c>
      <c r="AK375" s="9">
        <f t="shared" si="3"/>
        <v>505</v>
      </c>
      <c r="AL375" s="7" t="str">
        <f t="shared" ref="AL375:AM375" si="384">HLOOKUP(AJ375,{$D375:$AI375;$D$1:$AI$1},2,false)</f>
        <v>Debby</v>
      </c>
      <c r="AM375" s="7" t="str">
        <f t="shared" si="384"/>
        <v>Nancy</v>
      </c>
      <c r="AN375" s="7">
        <f t="shared" si="5"/>
        <v>5</v>
      </c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</row>
    <row r="376">
      <c r="A376" s="5">
        <v>45317.0</v>
      </c>
      <c r="B376" s="6" t="s">
        <v>74</v>
      </c>
      <c r="C376" s="7"/>
      <c r="D376" s="7"/>
      <c r="E376" s="7"/>
      <c r="F376" s="7"/>
      <c r="G376" s="7"/>
      <c r="H376" s="7"/>
      <c r="I376" s="7"/>
      <c r="J376" s="7"/>
      <c r="K376" s="8">
        <v>520.0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12">
        <v>460.0</v>
      </c>
      <c r="Z376" s="7"/>
      <c r="AA376" s="8">
        <v>465.0</v>
      </c>
      <c r="AB376" s="7"/>
      <c r="AC376" s="7"/>
      <c r="AD376" s="7"/>
      <c r="AE376" s="7"/>
      <c r="AF376" s="8">
        <v>735.0</v>
      </c>
      <c r="AG376" s="7"/>
      <c r="AH376" s="7"/>
      <c r="AI376" s="7"/>
      <c r="AJ376" s="9">
        <f t="shared" si="2"/>
        <v>460</v>
      </c>
      <c r="AK376" s="9">
        <f t="shared" si="3"/>
        <v>735</v>
      </c>
      <c r="AL376" s="7" t="str">
        <f t="shared" ref="AL376:AM376" si="385">HLOOKUP(AJ376,{$D376:$AI376;$D$1:$AI$1},2,false)</f>
        <v>Nancy</v>
      </c>
      <c r="AM376" s="7" t="str">
        <f t="shared" si="385"/>
        <v>Susan</v>
      </c>
      <c r="AN376" s="7">
        <f t="shared" si="5"/>
        <v>4</v>
      </c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</row>
    <row r="377">
      <c r="A377" s="5">
        <v>45318.0</v>
      </c>
      <c r="B377" s="6" t="s">
        <v>74</v>
      </c>
      <c r="C377" s="7"/>
      <c r="D377" s="7"/>
      <c r="E377" s="7"/>
      <c r="F377" s="7"/>
      <c r="G377" s="7"/>
      <c r="H377" s="7"/>
      <c r="I377" s="7"/>
      <c r="J377" s="7"/>
      <c r="K377" s="8">
        <v>195.0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8">
        <v>180.0</v>
      </c>
      <c r="Z377" s="7"/>
      <c r="AA377" s="8">
        <v>215.0</v>
      </c>
      <c r="AB377" s="7"/>
      <c r="AC377" s="7"/>
      <c r="AD377" s="7"/>
      <c r="AE377" s="7"/>
      <c r="AF377" s="8">
        <v>640.0</v>
      </c>
      <c r="AG377" s="7"/>
      <c r="AH377" s="7"/>
      <c r="AI377" s="7"/>
      <c r="AJ377" s="9">
        <f t="shared" si="2"/>
        <v>180</v>
      </c>
      <c r="AK377" s="9">
        <f t="shared" si="3"/>
        <v>640</v>
      </c>
      <c r="AL377" s="7" t="str">
        <f t="shared" ref="AL377:AM377" si="386">HLOOKUP(AJ377,{$D377:$AI377;$D$1:$AI$1},2,false)</f>
        <v>Nancy</v>
      </c>
      <c r="AM377" s="7" t="str">
        <f t="shared" si="386"/>
        <v>Susan</v>
      </c>
      <c r="AN377" s="7">
        <f t="shared" si="5"/>
        <v>4</v>
      </c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</row>
    <row r="378">
      <c r="A378" s="5">
        <v>45319.0</v>
      </c>
      <c r="B378" s="6" t="s">
        <v>74</v>
      </c>
      <c r="C378" s="7"/>
      <c r="D378" s="7"/>
      <c r="E378" s="7"/>
      <c r="F378" s="7"/>
      <c r="G378" s="7"/>
      <c r="H378" s="7"/>
      <c r="I378" s="7"/>
      <c r="J378" s="7"/>
      <c r="K378" s="8">
        <v>140.0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8">
        <v>630.0</v>
      </c>
      <c r="Z378" s="7"/>
      <c r="AA378" s="8">
        <v>205.0</v>
      </c>
      <c r="AB378" s="7"/>
      <c r="AC378" s="7"/>
      <c r="AD378" s="7"/>
      <c r="AE378" s="7"/>
      <c r="AF378" s="8">
        <v>780.0</v>
      </c>
      <c r="AG378" s="7"/>
      <c r="AH378" s="7"/>
      <c r="AI378" s="7"/>
      <c r="AJ378" s="9">
        <f t="shared" si="2"/>
        <v>140</v>
      </c>
      <c r="AK378" s="9">
        <f t="shared" si="3"/>
        <v>780</v>
      </c>
      <c r="AL378" s="7" t="str">
        <f t="shared" ref="AL378:AM378" si="387">HLOOKUP(AJ378,{$D378:$AI378;$D$1:$AI$1},2,false)</f>
        <v>David</v>
      </c>
      <c r="AM378" s="7" t="str">
        <f t="shared" si="387"/>
        <v>Susan</v>
      </c>
      <c r="AN378" s="7">
        <f t="shared" si="5"/>
        <v>4</v>
      </c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</row>
    <row r="379">
      <c r="A379" s="5">
        <v>45323.0</v>
      </c>
      <c r="B379" s="6" t="s">
        <v>55</v>
      </c>
      <c r="C379" s="7"/>
      <c r="D379" s="7"/>
      <c r="E379" s="7"/>
      <c r="F379" s="7"/>
      <c r="G379" s="7"/>
      <c r="H379" s="7"/>
      <c r="I379" s="8">
        <v>385.0</v>
      </c>
      <c r="J379" s="7"/>
      <c r="K379" s="8">
        <v>315.0</v>
      </c>
      <c r="L379" s="8">
        <v>500.0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8">
        <v>165.0</v>
      </c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9">
        <f t="shared" si="2"/>
        <v>165</v>
      </c>
      <c r="AK379" s="9">
        <f t="shared" si="3"/>
        <v>500</v>
      </c>
      <c r="AL379" s="7" t="str">
        <f t="shared" ref="AL379:AM379" si="388">HLOOKUP(AJ379,{$D379:$AI379;$D$1:$AI$1},2,false)</f>
        <v>Nancy</v>
      </c>
      <c r="AM379" s="7" t="str">
        <f t="shared" si="388"/>
        <v>Debby</v>
      </c>
      <c r="AN379" s="7">
        <f t="shared" si="5"/>
        <v>4</v>
      </c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</row>
    <row r="380">
      <c r="A380" s="5">
        <v>45325.0</v>
      </c>
      <c r="B380" s="6" t="s">
        <v>56</v>
      </c>
      <c r="C380" s="7"/>
      <c r="D380" s="7"/>
      <c r="E380" s="7"/>
      <c r="F380" s="7"/>
      <c r="G380" s="7"/>
      <c r="H380" s="7"/>
      <c r="I380" s="8">
        <v>240.0</v>
      </c>
      <c r="J380" s="7"/>
      <c r="K380" s="8">
        <v>380.0</v>
      </c>
      <c r="L380" s="8">
        <v>885.0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8">
        <v>855.0</v>
      </c>
      <c r="AC380" s="7"/>
      <c r="AD380" s="7"/>
      <c r="AE380" s="7"/>
      <c r="AF380" s="7"/>
      <c r="AG380" s="7"/>
      <c r="AH380" s="7"/>
      <c r="AI380" s="7"/>
      <c r="AJ380" s="9">
        <f t="shared" si="2"/>
        <v>240</v>
      </c>
      <c r="AK380" s="9">
        <f t="shared" si="3"/>
        <v>885</v>
      </c>
      <c r="AL380" s="7" t="str">
        <f t="shared" ref="AL380:AM380" si="389">HLOOKUP(AJ380,{$D380:$AI380;$D$1:$AI$1},2,false)</f>
        <v>Charlene</v>
      </c>
      <c r="AM380" s="7" t="str">
        <f t="shared" si="389"/>
        <v>Debby</v>
      </c>
      <c r="AN380" s="7">
        <f t="shared" si="5"/>
        <v>4</v>
      </c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</row>
    <row r="381">
      <c r="A381" s="5">
        <v>45330.0</v>
      </c>
      <c r="B381" s="6" t="s">
        <v>55</v>
      </c>
      <c r="C381" s="7"/>
      <c r="D381" s="7"/>
      <c r="E381" s="7"/>
      <c r="F381" s="7"/>
      <c r="G381" s="7"/>
      <c r="H381" s="8"/>
      <c r="I381" s="8">
        <v>260.0</v>
      </c>
      <c r="J381" s="7"/>
      <c r="K381" s="8">
        <v>345.0</v>
      </c>
      <c r="L381" s="8">
        <v>450.0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8">
        <v>300.0</v>
      </c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9">
        <f t="shared" si="2"/>
        <v>260</v>
      </c>
      <c r="AK381" s="9">
        <f t="shared" si="3"/>
        <v>450</v>
      </c>
      <c r="AL381" s="7" t="str">
        <f t="shared" ref="AL381:AM381" si="390">HLOOKUP(AJ381,{$D381:$AI381;$D$1:$AI$1},2,false)</f>
        <v>Charlene</v>
      </c>
      <c r="AM381" s="7" t="str">
        <f t="shared" si="390"/>
        <v>Debby</v>
      </c>
      <c r="AN381" s="7">
        <f t="shared" si="5"/>
        <v>4</v>
      </c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</row>
    <row r="382">
      <c r="A382" s="5">
        <v>45332.0</v>
      </c>
      <c r="B382" s="6" t="s">
        <v>55</v>
      </c>
      <c r="C382" s="7"/>
      <c r="D382" s="7"/>
      <c r="E382" s="7"/>
      <c r="F382" s="7"/>
      <c r="G382" s="7"/>
      <c r="H382" s="7"/>
      <c r="I382" s="8">
        <v>675.0</v>
      </c>
      <c r="J382" s="7"/>
      <c r="K382" s="8">
        <v>165.0</v>
      </c>
      <c r="L382" s="8">
        <v>325.0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8">
        <v>475.0</v>
      </c>
      <c r="Z382" s="7"/>
      <c r="AA382" s="7"/>
      <c r="AB382" s="8">
        <v>465.0</v>
      </c>
      <c r="AC382" s="7"/>
      <c r="AD382" s="7"/>
      <c r="AE382" s="7"/>
      <c r="AF382" s="7"/>
      <c r="AG382" s="7"/>
      <c r="AH382" s="7"/>
      <c r="AI382" s="7"/>
      <c r="AJ382" s="9">
        <f t="shared" si="2"/>
        <v>165</v>
      </c>
      <c r="AK382" s="9">
        <f t="shared" si="3"/>
        <v>675</v>
      </c>
      <c r="AL382" s="7" t="str">
        <f t="shared" ref="AL382:AM382" si="391">HLOOKUP(AJ382,{$D382:$AI382;$D$1:$AI$1},2,false)</f>
        <v>David</v>
      </c>
      <c r="AM382" s="7" t="str">
        <f t="shared" si="391"/>
        <v>Charlene</v>
      </c>
      <c r="AN382" s="7">
        <f t="shared" si="5"/>
        <v>5</v>
      </c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</row>
    <row r="383">
      <c r="A383" s="5">
        <v>45337.0</v>
      </c>
      <c r="B383" s="6" t="s">
        <v>55</v>
      </c>
      <c r="C383" s="7"/>
      <c r="D383" s="7"/>
      <c r="E383" s="7"/>
      <c r="F383" s="7"/>
      <c r="G383" s="7"/>
      <c r="H383" s="7"/>
      <c r="I383" s="8">
        <v>495.0</v>
      </c>
      <c r="J383" s="7"/>
      <c r="K383" s="8">
        <v>560.0</v>
      </c>
      <c r="L383" s="8">
        <v>250.0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8">
        <v>510.0</v>
      </c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9">
        <f t="shared" si="2"/>
        <v>250</v>
      </c>
      <c r="AK383" s="9">
        <f t="shared" si="3"/>
        <v>560</v>
      </c>
      <c r="AL383" s="7" t="str">
        <f t="shared" ref="AL383:AM383" si="392">HLOOKUP(AJ383,{$D383:$AI383;$D$1:$AI$1},2,false)</f>
        <v>Debby</v>
      </c>
      <c r="AM383" s="7" t="str">
        <f t="shared" si="392"/>
        <v>David</v>
      </c>
      <c r="AN383" s="7">
        <f t="shared" si="5"/>
        <v>4</v>
      </c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</row>
    <row r="384">
      <c r="A384" s="5">
        <v>45339.0</v>
      </c>
      <c r="B384" s="6" t="s">
        <v>56</v>
      </c>
      <c r="C384" s="7"/>
      <c r="D384" s="7"/>
      <c r="E384" s="7"/>
      <c r="F384" s="7"/>
      <c r="G384" s="7"/>
      <c r="H384" s="7"/>
      <c r="I384" s="8">
        <v>340.0</v>
      </c>
      <c r="J384" s="7"/>
      <c r="K384" s="8">
        <v>370.0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8">
        <v>165.0</v>
      </c>
      <c r="Z384" s="7"/>
      <c r="AA384" s="7"/>
      <c r="AB384" s="8">
        <v>940.0</v>
      </c>
      <c r="AC384" s="7"/>
      <c r="AD384" s="7"/>
      <c r="AE384" s="7"/>
      <c r="AF384" s="7"/>
      <c r="AG384" s="7"/>
      <c r="AH384" s="7"/>
      <c r="AI384" s="7"/>
      <c r="AJ384" s="9">
        <f t="shared" si="2"/>
        <v>165</v>
      </c>
      <c r="AK384" s="9">
        <f t="shared" si="3"/>
        <v>940</v>
      </c>
      <c r="AL384" s="7" t="str">
        <f t="shared" ref="AL384:AM384" si="393">HLOOKUP(AJ384,{$D384:$AI384;$D$1:$AI$1},2,false)</f>
        <v>Nancy</v>
      </c>
      <c r="AM384" s="7" t="str">
        <f t="shared" si="393"/>
        <v>Sandy</v>
      </c>
      <c r="AN384" s="7">
        <f t="shared" si="5"/>
        <v>4</v>
      </c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</row>
    <row r="385">
      <c r="A385" s="5">
        <v>45344.0</v>
      </c>
      <c r="B385" s="6" t="s">
        <v>55</v>
      </c>
      <c r="C385" s="7"/>
      <c r="D385" s="7"/>
      <c r="E385" s="7"/>
      <c r="F385" s="7"/>
      <c r="G385" s="7"/>
      <c r="H385" s="7"/>
      <c r="I385" s="8">
        <v>355.0</v>
      </c>
      <c r="J385" s="7"/>
      <c r="K385" s="8">
        <v>275.0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8">
        <v>190.0</v>
      </c>
      <c r="Z385" s="7"/>
      <c r="AA385" s="7"/>
      <c r="AB385" s="7"/>
      <c r="AC385" s="7"/>
      <c r="AD385" s="7"/>
      <c r="AE385" s="7"/>
      <c r="AF385" s="7"/>
      <c r="AG385" s="8">
        <v>475.0</v>
      </c>
      <c r="AH385" s="7"/>
      <c r="AI385" s="7"/>
      <c r="AJ385" s="9">
        <f t="shared" si="2"/>
        <v>190</v>
      </c>
      <c r="AK385" s="9">
        <f t="shared" si="3"/>
        <v>475</v>
      </c>
      <c r="AL385" s="7" t="str">
        <f t="shared" ref="AL385:AM385" si="394">HLOOKUP(AJ385,{$D385:$AI385;$D$1:$AI$1},2,false)</f>
        <v>Nancy</v>
      </c>
      <c r="AM385" s="7" t="str">
        <f t="shared" si="394"/>
        <v>Terry</v>
      </c>
      <c r="AN385" s="7">
        <f t="shared" si="5"/>
        <v>4</v>
      </c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</row>
    <row r="386">
      <c r="A386" s="5">
        <v>45650.0</v>
      </c>
      <c r="B386" s="6" t="s">
        <v>55</v>
      </c>
      <c r="C386" s="7"/>
      <c r="D386" s="7"/>
      <c r="E386" s="7"/>
      <c r="F386" s="7"/>
      <c r="G386" s="7"/>
      <c r="H386" s="7"/>
      <c r="I386" s="8">
        <v>610.0</v>
      </c>
      <c r="J386" s="7"/>
      <c r="K386" s="8">
        <v>485.0</v>
      </c>
      <c r="L386" s="7"/>
      <c r="M386" s="7"/>
      <c r="N386" s="7"/>
      <c r="O386" s="7"/>
      <c r="P386" s="7"/>
      <c r="Q386" s="7"/>
      <c r="R386" s="7"/>
      <c r="S386" s="7"/>
      <c r="T386" s="7"/>
      <c r="U386" s="8">
        <v>345.0</v>
      </c>
      <c r="V386" s="7"/>
      <c r="W386" s="7"/>
      <c r="X386" s="7"/>
      <c r="Y386" s="8">
        <v>900.0</v>
      </c>
      <c r="Z386" s="7"/>
      <c r="AA386" s="7"/>
      <c r="AB386" s="8">
        <v>365.0</v>
      </c>
      <c r="AC386" s="7"/>
      <c r="AD386" s="7"/>
      <c r="AE386" s="7"/>
      <c r="AF386" s="7"/>
      <c r="AG386" s="7"/>
      <c r="AH386" s="7"/>
      <c r="AI386" s="7"/>
      <c r="AJ386" s="9">
        <f t="shared" si="2"/>
        <v>345</v>
      </c>
      <c r="AK386" s="9">
        <f t="shared" si="3"/>
        <v>900</v>
      </c>
      <c r="AL386" s="7" t="str">
        <f t="shared" ref="AL386:AM386" si="395">HLOOKUP(AJ386,{$D386:$AI386;$D$1:$AI$1},2,false)</f>
        <v>Karenina</v>
      </c>
      <c r="AM386" s="7" t="str">
        <f t="shared" si="395"/>
        <v>Nancy</v>
      </c>
      <c r="AN386" s="7">
        <f t="shared" si="5"/>
        <v>5</v>
      </c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</row>
    <row r="387">
      <c r="A387" s="5">
        <v>45351.0</v>
      </c>
      <c r="B387" s="6" t="s">
        <v>55</v>
      </c>
      <c r="C387" s="7"/>
      <c r="D387" s="7"/>
      <c r="E387" s="7"/>
      <c r="F387" s="7"/>
      <c r="G387" s="7"/>
      <c r="H387" s="7"/>
      <c r="I387" s="8">
        <v>485.0</v>
      </c>
      <c r="J387" s="7"/>
      <c r="K387" s="8">
        <v>615.0</v>
      </c>
      <c r="L387" s="8">
        <v>395.0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8">
        <v>290.0</v>
      </c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9">
        <f t="shared" si="2"/>
        <v>290</v>
      </c>
      <c r="AK387" s="9">
        <f t="shared" si="3"/>
        <v>615</v>
      </c>
      <c r="AL387" s="7" t="str">
        <f t="shared" ref="AL387:AM387" si="396">HLOOKUP(AJ387,{$D387:$AI387;$D$1:$AI$1},2,false)</f>
        <v>Nancy</v>
      </c>
      <c r="AM387" s="7" t="str">
        <f t="shared" si="396"/>
        <v>David</v>
      </c>
      <c r="AN387" s="7">
        <f t="shared" si="5"/>
        <v>4</v>
      </c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</row>
    <row r="388">
      <c r="A388" s="5">
        <v>45353.0</v>
      </c>
      <c r="B388" s="6" t="s">
        <v>56</v>
      </c>
      <c r="C388" s="7"/>
      <c r="D388" s="7"/>
      <c r="E388" s="7"/>
      <c r="F388" s="7"/>
      <c r="G388" s="7"/>
      <c r="H388" s="7"/>
      <c r="I388" s="8">
        <v>390.0</v>
      </c>
      <c r="J388" s="7"/>
      <c r="K388" s="8">
        <v>590.0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8">
        <v>290.0</v>
      </c>
      <c r="Z388" s="7"/>
      <c r="AA388" s="7"/>
      <c r="AB388" s="8">
        <v>775.0</v>
      </c>
      <c r="AC388" s="7"/>
      <c r="AD388" s="7"/>
      <c r="AE388" s="7"/>
      <c r="AF388" s="7"/>
      <c r="AG388" s="7"/>
      <c r="AH388" s="7"/>
      <c r="AI388" s="7"/>
      <c r="AJ388" s="9">
        <f t="shared" si="2"/>
        <v>290</v>
      </c>
      <c r="AK388" s="9">
        <f t="shared" si="3"/>
        <v>775</v>
      </c>
      <c r="AL388" s="7" t="str">
        <f t="shared" ref="AL388:AM388" si="397">HLOOKUP(AJ388,{$D388:$AI388;$D$1:$AI$1},2,false)</f>
        <v>Nancy</v>
      </c>
      <c r="AM388" s="7" t="str">
        <f t="shared" si="397"/>
        <v>Sandy</v>
      </c>
      <c r="AN388" s="7">
        <f t="shared" si="5"/>
        <v>4</v>
      </c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</row>
    <row r="389">
      <c r="A389" s="5">
        <v>45358.0</v>
      </c>
      <c r="B389" s="6" t="s">
        <v>55</v>
      </c>
      <c r="C389" s="7"/>
      <c r="D389" s="7"/>
      <c r="E389" s="7"/>
      <c r="F389" s="7"/>
      <c r="G389" s="7"/>
      <c r="H389" s="7"/>
      <c r="I389" s="7"/>
      <c r="J389" s="7"/>
      <c r="K389" s="8">
        <v>315.0</v>
      </c>
      <c r="L389" s="8">
        <v>135.0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8">
        <v>595.0</v>
      </c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9">
        <f t="shared" si="2"/>
        <v>135</v>
      </c>
      <c r="AK389" s="9">
        <f t="shared" si="3"/>
        <v>595</v>
      </c>
      <c r="AL389" s="7" t="str">
        <f t="shared" ref="AL389:AM389" si="398">HLOOKUP(AJ389,{$D389:$AI389;$D$1:$AI$1},2,false)</f>
        <v>Debby</v>
      </c>
      <c r="AM389" s="7" t="str">
        <f t="shared" si="398"/>
        <v>Nancy</v>
      </c>
      <c r="AN389" s="7">
        <f t="shared" si="5"/>
        <v>3</v>
      </c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</row>
    <row r="390">
      <c r="A390" s="5">
        <v>45360.0</v>
      </c>
      <c r="B390" s="6" t="s">
        <v>56</v>
      </c>
      <c r="C390" s="7"/>
      <c r="D390" s="7"/>
      <c r="E390" s="7"/>
      <c r="F390" s="7"/>
      <c r="G390" s="7"/>
      <c r="H390" s="7"/>
      <c r="I390" s="8">
        <v>280.0</v>
      </c>
      <c r="J390" s="7"/>
      <c r="K390" s="8">
        <v>655.0</v>
      </c>
      <c r="L390" s="8">
        <v>695.0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8">
        <v>485.0</v>
      </c>
      <c r="Z390" s="7"/>
      <c r="AA390" s="7"/>
      <c r="AB390" s="8">
        <v>545.0</v>
      </c>
      <c r="AC390" s="7"/>
      <c r="AD390" s="7"/>
      <c r="AE390" s="7"/>
      <c r="AF390" s="7"/>
      <c r="AG390" s="7"/>
      <c r="AH390" s="7"/>
      <c r="AI390" s="7"/>
      <c r="AJ390" s="9">
        <f t="shared" si="2"/>
        <v>280</v>
      </c>
      <c r="AK390" s="9">
        <f t="shared" si="3"/>
        <v>695</v>
      </c>
      <c r="AL390" s="7" t="str">
        <f t="shared" ref="AL390:AM390" si="399">HLOOKUP(AJ390,{$D390:$AI390;$D$1:$AI$1},2,false)</f>
        <v>Charlene</v>
      </c>
      <c r="AM390" s="7" t="str">
        <f t="shared" si="399"/>
        <v>Debby</v>
      </c>
      <c r="AN390" s="7">
        <f t="shared" si="5"/>
        <v>5</v>
      </c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</row>
    <row r="391">
      <c r="A391" s="5">
        <v>45364.0</v>
      </c>
      <c r="B391" s="6" t="s">
        <v>55</v>
      </c>
      <c r="C391" s="7"/>
      <c r="D391" s="7"/>
      <c r="E391" s="7"/>
      <c r="F391" s="7"/>
      <c r="G391" s="7"/>
      <c r="H391" s="7"/>
      <c r="I391" s="8">
        <v>325.0</v>
      </c>
      <c r="J391" s="7"/>
      <c r="K391" s="8">
        <v>405.0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8">
        <v>375.0</v>
      </c>
      <c r="Z391" s="7"/>
      <c r="AA391" s="8">
        <v>540.0</v>
      </c>
      <c r="AB391" s="7"/>
      <c r="AC391" s="7"/>
      <c r="AD391" s="7"/>
      <c r="AE391" s="7"/>
      <c r="AF391" s="7"/>
      <c r="AG391" s="7"/>
      <c r="AH391" s="7"/>
      <c r="AI391" s="7"/>
      <c r="AJ391" s="9">
        <f t="shared" si="2"/>
        <v>325</v>
      </c>
      <c r="AK391" s="9">
        <f t="shared" si="3"/>
        <v>540</v>
      </c>
      <c r="AL391" s="7" t="str">
        <f t="shared" ref="AL391:AM391" si="400">HLOOKUP(AJ391,{$D391:$AI391;$D$1:$AI$1},2,false)</f>
        <v>Charlene</v>
      </c>
      <c r="AM391" s="7" t="str">
        <f t="shared" si="400"/>
        <v>Sally</v>
      </c>
      <c r="AN391" s="7">
        <f t="shared" si="5"/>
        <v>4</v>
      </c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</row>
    <row r="392">
      <c r="A392" s="5">
        <v>45367.0</v>
      </c>
      <c r="B392" s="6" t="s">
        <v>55</v>
      </c>
      <c r="C392" s="7"/>
      <c r="D392" s="7"/>
      <c r="E392" s="7"/>
      <c r="F392" s="7"/>
      <c r="G392" s="7"/>
      <c r="H392" s="7"/>
      <c r="I392" s="8">
        <v>685.0</v>
      </c>
      <c r="J392" s="7"/>
      <c r="K392" s="8">
        <v>520.0</v>
      </c>
      <c r="L392" s="8">
        <v>550.0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8">
        <v>630.0</v>
      </c>
      <c r="Z392" s="7"/>
      <c r="AA392" s="8">
        <v>460.0</v>
      </c>
      <c r="AB392" s="7"/>
      <c r="AC392" s="7"/>
      <c r="AD392" s="7"/>
      <c r="AE392" s="7"/>
      <c r="AF392" s="7"/>
      <c r="AG392" s="7"/>
      <c r="AH392" s="7"/>
      <c r="AI392" s="7"/>
      <c r="AJ392" s="9">
        <f t="shared" si="2"/>
        <v>460</v>
      </c>
      <c r="AK392" s="9">
        <f t="shared" si="3"/>
        <v>685</v>
      </c>
      <c r="AL392" s="7" t="str">
        <f t="shared" ref="AL392:AM392" si="401">HLOOKUP(AJ392,{$D392:$AI392;$D$1:$AI$1},2,false)</f>
        <v>Sally</v>
      </c>
      <c r="AM392" s="7" t="str">
        <f t="shared" si="401"/>
        <v>Charlene</v>
      </c>
      <c r="AN392" s="7">
        <f t="shared" si="5"/>
        <v>5</v>
      </c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</row>
    <row r="393">
      <c r="A393" s="5">
        <v>45372.0</v>
      </c>
      <c r="B393" s="6" t="s">
        <v>55</v>
      </c>
      <c r="C393" s="7"/>
      <c r="D393" s="7"/>
      <c r="E393" s="7"/>
      <c r="F393" s="7"/>
      <c r="G393" s="7"/>
      <c r="H393" s="7"/>
      <c r="I393" s="8">
        <v>615.0</v>
      </c>
      <c r="J393" s="7"/>
      <c r="K393" s="8">
        <v>260.0</v>
      </c>
      <c r="L393" s="8">
        <v>525.0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8">
        <v>790.0</v>
      </c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9">
        <f t="shared" si="2"/>
        <v>260</v>
      </c>
      <c r="AK393" s="9">
        <f t="shared" si="3"/>
        <v>790</v>
      </c>
      <c r="AL393" s="7" t="str">
        <f t="shared" ref="AL393:AM393" si="402">HLOOKUP(AJ393,{$D393:$AI393;$D$1:$AI$1},2,false)</f>
        <v>David</v>
      </c>
      <c r="AM393" s="7" t="str">
        <f t="shared" si="402"/>
        <v>Nancy</v>
      </c>
      <c r="AN393" s="7">
        <f t="shared" si="5"/>
        <v>4</v>
      </c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</row>
    <row r="394">
      <c r="A394" s="5">
        <v>45380.0</v>
      </c>
      <c r="B394" s="6" t="s">
        <v>74</v>
      </c>
      <c r="C394" s="7"/>
      <c r="D394" s="7"/>
      <c r="E394" s="7"/>
      <c r="F394" s="7"/>
      <c r="G394" s="7"/>
      <c r="H394" s="7"/>
      <c r="I394" s="7"/>
      <c r="J394" s="7"/>
      <c r="K394" s="8">
        <v>325.0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8">
        <v>460.0</v>
      </c>
      <c r="Z394" s="7"/>
      <c r="AA394" s="8">
        <v>405.0</v>
      </c>
      <c r="AB394" s="7"/>
      <c r="AC394" s="7"/>
      <c r="AD394" s="7"/>
      <c r="AE394" s="7"/>
      <c r="AF394" s="7"/>
      <c r="AG394" s="7"/>
      <c r="AH394" s="7"/>
      <c r="AI394" s="7"/>
      <c r="AJ394" s="9">
        <f t="shared" si="2"/>
        <v>325</v>
      </c>
      <c r="AK394" s="9">
        <f t="shared" si="3"/>
        <v>460</v>
      </c>
      <c r="AL394" s="7" t="str">
        <f t="shared" ref="AL394:AM394" si="403">HLOOKUP(AJ394,{$D394:$AI394;$D$1:$AI$1},2,false)</f>
        <v>David</v>
      </c>
      <c r="AM394" s="7" t="str">
        <f t="shared" si="403"/>
        <v>Nancy</v>
      </c>
      <c r="AN394" s="7">
        <f t="shared" si="5"/>
        <v>3</v>
      </c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</row>
    <row r="395">
      <c r="A395" s="5">
        <v>45381.0</v>
      </c>
      <c r="B395" s="6" t="s">
        <v>75</v>
      </c>
      <c r="C395" s="7"/>
      <c r="D395" s="7"/>
      <c r="E395" s="7"/>
      <c r="F395" s="7"/>
      <c r="G395" s="7"/>
      <c r="H395" s="7"/>
      <c r="I395" s="7"/>
      <c r="J395" s="7"/>
      <c r="K395" s="8">
        <v>190.0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8">
        <v>275.0</v>
      </c>
      <c r="Z395" s="7"/>
      <c r="AA395" s="8">
        <v>705.0</v>
      </c>
      <c r="AB395" s="7"/>
      <c r="AC395" s="7"/>
      <c r="AD395" s="7"/>
      <c r="AE395" s="7"/>
      <c r="AF395" s="7"/>
      <c r="AG395" s="7"/>
      <c r="AH395" s="7"/>
      <c r="AI395" s="7"/>
      <c r="AJ395" s="9">
        <f t="shared" si="2"/>
        <v>190</v>
      </c>
      <c r="AK395" s="9">
        <f t="shared" si="3"/>
        <v>705</v>
      </c>
      <c r="AL395" s="7" t="str">
        <f t="shared" ref="AL395:AM395" si="404">HLOOKUP(AJ395,{$D395:$AI395;$D$1:$AI$1},2,false)</f>
        <v>David</v>
      </c>
      <c r="AM395" s="7" t="str">
        <f t="shared" si="404"/>
        <v>Sally</v>
      </c>
      <c r="AN395" s="7">
        <f t="shared" si="5"/>
        <v>3</v>
      </c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</row>
    <row r="396">
      <c r="A396" s="5">
        <v>45392.0</v>
      </c>
      <c r="B396" s="6" t="s">
        <v>76</v>
      </c>
      <c r="C396" s="7"/>
      <c r="D396" s="7"/>
      <c r="E396" s="7"/>
      <c r="F396" s="7"/>
      <c r="G396" s="7"/>
      <c r="H396" s="7"/>
      <c r="I396" s="7"/>
      <c r="J396" s="7"/>
      <c r="K396" s="8">
        <v>320.0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8">
        <v>365.0</v>
      </c>
      <c r="Z396" s="7"/>
      <c r="AA396" s="8">
        <v>520.0</v>
      </c>
      <c r="AB396" s="7"/>
      <c r="AC396" s="7"/>
      <c r="AD396" s="7"/>
      <c r="AE396" s="7"/>
      <c r="AF396" s="7"/>
      <c r="AG396" s="7"/>
      <c r="AH396" s="7"/>
      <c r="AI396" s="7"/>
      <c r="AJ396" s="9">
        <f t="shared" si="2"/>
        <v>320</v>
      </c>
      <c r="AK396" s="9">
        <f t="shared" si="3"/>
        <v>520</v>
      </c>
      <c r="AL396" s="7" t="str">
        <f t="shared" ref="AL396:AM396" si="405">HLOOKUP(AJ396,{$D396:$AI396;$D$1:$AI$1},2,false)</f>
        <v>David</v>
      </c>
      <c r="AM396" s="7" t="str">
        <f t="shared" si="405"/>
        <v>Sally</v>
      </c>
      <c r="AN396" s="7">
        <f t="shared" si="5"/>
        <v>3</v>
      </c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</row>
    <row r="397">
      <c r="A397" s="5">
        <v>45393.0</v>
      </c>
      <c r="B397" s="6" t="s">
        <v>77</v>
      </c>
      <c r="C397" s="7"/>
      <c r="D397" s="7"/>
      <c r="E397" s="7"/>
      <c r="F397" s="7"/>
      <c r="G397" s="7"/>
      <c r="H397" s="7"/>
      <c r="I397" s="7"/>
      <c r="J397" s="7"/>
      <c r="K397" s="8">
        <v>420.0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8">
        <v>370.0</v>
      </c>
      <c r="Z397" s="7"/>
      <c r="AA397" s="8">
        <v>425.0</v>
      </c>
      <c r="AB397" s="7"/>
      <c r="AC397" s="7"/>
      <c r="AD397" s="7"/>
      <c r="AE397" s="7"/>
      <c r="AF397" s="7"/>
      <c r="AG397" s="7"/>
      <c r="AH397" s="7"/>
      <c r="AI397" s="7"/>
      <c r="AJ397" s="9">
        <f t="shared" si="2"/>
        <v>370</v>
      </c>
      <c r="AK397" s="9">
        <f t="shared" si="3"/>
        <v>425</v>
      </c>
      <c r="AL397" s="7" t="str">
        <f t="shared" ref="AL397:AM397" si="406">HLOOKUP(AJ397,{$D397:$AI397;$D$1:$AI$1},2,false)</f>
        <v>Nancy</v>
      </c>
      <c r="AM397" s="7" t="str">
        <f t="shared" si="406"/>
        <v>Sally</v>
      </c>
      <c r="AN397" s="7">
        <f t="shared" si="5"/>
        <v>3</v>
      </c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</row>
    <row r="398">
      <c r="A398" s="5">
        <v>45395.0</v>
      </c>
      <c r="B398" s="6" t="s">
        <v>77</v>
      </c>
      <c r="C398" s="8"/>
      <c r="D398" s="7"/>
      <c r="E398" s="7"/>
      <c r="F398" s="7"/>
      <c r="G398" s="7"/>
      <c r="H398" s="7"/>
      <c r="I398" s="7"/>
      <c r="J398" s="7"/>
      <c r="K398" s="8">
        <v>180.0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8">
        <v>570.0</v>
      </c>
      <c r="Z398" s="7"/>
      <c r="AA398" s="8">
        <v>525.0</v>
      </c>
      <c r="AB398" s="7"/>
      <c r="AC398" s="7"/>
      <c r="AD398" s="7"/>
      <c r="AE398" s="7"/>
      <c r="AF398" s="7"/>
      <c r="AG398" s="7"/>
      <c r="AH398" s="7"/>
      <c r="AI398" s="7"/>
      <c r="AJ398" s="9">
        <f t="shared" si="2"/>
        <v>180</v>
      </c>
      <c r="AK398" s="9">
        <f t="shared" si="3"/>
        <v>570</v>
      </c>
      <c r="AL398" s="7" t="str">
        <f t="shared" ref="AL398:AM398" si="407">HLOOKUP(AJ398,{$D398:$AI398;$D$1:$AI$1},2,false)</f>
        <v>David</v>
      </c>
      <c r="AM398" s="7" t="str">
        <f t="shared" si="407"/>
        <v>Nancy</v>
      </c>
      <c r="AN398" s="7">
        <f t="shared" si="5"/>
        <v>3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</row>
    <row r="399">
      <c r="A399" s="5">
        <v>45397.0</v>
      </c>
      <c r="B399" s="6" t="s">
        <v>77</v>
      </c>
      <c r="C399" s="7"/>
      <c r="D399" s="7"/>
      <c r="E399" s="7"/>
      <c r="F399" s="7"/>
      <c r="G399" s="7"/>
      <c r="H399" s="7"/>
      <c r="I399" s="7"/>
      <c r="J399" s="7"/>
      <c r="K399" s="8">
        <v>545.0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8">
        <v>315.0</v>
      </c>
      <c r="Z399" s="7"/>
      <c r="AA399" s="8">
        <v>630.0</v>
      </c>
      <c r="AB399" s="7"/>
      <c r="AC399" s="7"/>
      <c r="AD399" s="7"/>
      <c r="AE399" s="7"/>
      <c r="AF399" s="7"/>
      <c r="AG399" s="7"/>
      <c r="AH399" s="7"/>
      <c r="AI399" s="7"/>
      <c r="AJ399" s="9">
        <f t="shared" si="2"/>
        <v>315</v>
      </c>
      <c r="AK399" s="9">
        <f t="shared" si="3"/>
        <v>630</v>
      </c>
      <c r="AL399" s="7" t="str">
        <f t="shared" ref="AL399:AM399" si="408">HLOOKUP(AJ399,{$D399:$AI399;$D$1:$AI$1},2,false)</f>
        <v>Nancy</v>
      </c>
      <c r="AM399" s="7" t="str">
        <f t="shared" si="408"/>
        <v>Sally</v>
      </c>
      <c r="AN399" s="7">
        <f t="shared" si="5"/>
        <v>3</v>
      </c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</row>
    <row r="400">
      <c r="A400" s="5">
        <v>45398.0</v>
      </c>
      <c r="B400" s="6" t="s">
        <v>77</v>
      </c>
      <c r="C400" s="7"/>
      <c r="D400" s="7"/>
      <c r="E400" s="7"/>
      <c r="F400" s="7"/>
      <c r="G400" s="7"/>
      <c r="H400" s="7"/>
      <c r="I400" s="7"/>
      <c r="J400" s="7"/>
      <c r="K400" s="8">
        <v>445.0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8">
        <v>355.0</v>
      </c>
      <c r="Z400" s="7"/>
      <c r="AA400" s="8">
        <v>240.0</v>
      </c>
      <c r="AB400" s="7"/>
      <c r="AC400" s="7"/>
      <c r="AD400" s="7"/>
      <c r="AE400" s="7"/>
      <c r="AF400" s="7"/>
      <c r="AG400" s="7"/>
      <c r="AH400" s="7"/>
      <c r="AI400" s="7"/>
      <c r="AJ400" s="9">
        <f t="shared" si="2"/>
        <v>240</v>
      </c>
      <c r="AK400" s="9">
        <f t="shared" si="3"/>
        <v>445</v>
      </c>
      <c r="AL400" s="7" t="str">
        <f t="shared" ref="AL400:AM400" si="409">HLOOKUP(AJ400,{$D400:$AI400;$D$1:$AI$1},2,false)</f>
        <v>Sally</v>
      </c>
      <c r="AM400" s="7" t="str">
        <f t="shared" si="409"/>
        <v>David</v>
      </c>
      <c r="AN400" s="7">
        <f t="shared" si="5"/>
        <v>3</v>
      </c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</row>
    <row r="401">
      <c r="A401" s="5">
        <v>45391.0</v>
      </c>
      <c r="B401" s="6" t="s">
        <v>78</v>
      </c>
      <c r="C401" s="7"/>
      <c r="D401" s="7"/>
      <c r="E401" s="7"/>
      <c r="F401" s="7"/>
      <c r="G401" s="7"/>
      <c r="H401" s="7"/>
      <c r="I401" s="7"/>
      <c r="J401" s="7"/>
      <c r="K401" s="8">
        <v>245.0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8">
        <v>230.0</v>
      </c>
      <c r="Z401" s="7"/>
      <c r="AA401" s="8">
        <v>150.0</v>
      </c>
      <c r="AB401" s="7"/>
      <c r="AC401" s="7"/>
      <c r="AD401" s="7"/>
      <c r="AE401" s="7"/>
      <c r="AF401" s="7"/>
      <c r="AG401" s="7"/>
      <c r="AH401" s="7"/>
      <c r="AI401" s="7"/>
      <c r="AJ401" s="9">
        <f t="shared" si="2"/>
        <v>150</v>
      </c>
      <c r="AK401" s="9">
        <f t="shared" si="3"/>
        <v>245</v>
      </c>
      <c r="AL401" s="7" t="str">
        <f t="shared" ref="AL401:AM401" si="410">HLOOKUP(AJ401,{$D401:$AI401;$D$1:$AI$1},2,false)</f>
        <v>Sally</v>
      </c>
      <c r="AM401" s="7" t="str">
        <f t="shared" si="410"/>
        <v>David</v>
      </c>
      <c r="AN401" s="7">
        <f t="shared" si="5"/>
        <v>3</v>
      </c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</row>
    <row r="402">
      <c r="A402" s="5">
        <v>45407.0</v>
      </c>
      <c r="B402" s="6" t="s">
        <v>55</v>
      </c>
      <c r="C402" s="7"/>
      <c r="D402" s="7"/>
      <c r="E402" s="7"/>
      <c r="F402" s="7"/>
      <c r="G402" s="7"/>
      <c r="H402" s="7"/>
      <c r="I402" s="8">
        <v>245.0</v>
      </c>
      <c r="J402" s="7"/>
      <c r="K402" s="8" t="s">
        <v>79</v>
      </c>
      <c r="L402" s="8">
        <v>500.0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8">
        <v>535.0</v>
      </c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9">
        <f t="shared" si="2"/>
        <v>245</v>
      </c>
      <c r="AK402" s="9">
        <f t="shared" si="3"/>
        <v>535</v>
      </c>
      <c r="AL402" s="7" t="str">
        <f t="shared" ref="AL402:AM402" si="411">HLOOKUP(AJ402,{$D402:$AI402;$D$1:$AI$1},2,false)</f>
        <v>Charlene</v>
      </c>
      <c r="AM402" s="7" t="str">
        <f t="shared" si="411"/>
        <v>Nancy</v>
      </c>
      <c r="AN402" s="7">
        <f t="shared" si="5"/>
        <v>3</v>
      </c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</row>
    <row r="403">
      <c r="A403" s="5">
        <v>45416.0</v>
      </c>
      <c r="B403" s="6" t="s">
        <v>55</v>
      </c>
      <c r="C403" s="7"/>
      <c r="D403" s="7"/>
      <c r="E403" s="7"/>
      <c r="F403" s="7"/>
      <c r="G403" s="7"/>
      <c r="H403" s="7"/>
      <c r="I403" s="7"/>
      <c r="J403" s="7"/>
      <c r="K403" s="8">
        <v>160.0</v>
      </c>
      <c r="L403" s="8">
        <v>445.0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8">
        <v>655.0</v>
      </c>
      <c r="Z403" s="7"/>
      <c r="AA403" s="7"/>
      <c r="AB403" s="8">
        <v>490.0</v>
      </c>
      <c r="AC403" s="7"/>
      <c r="AD403" s="7"/>
      <c r="AE403" s="7"/>
      <c r="AF403" s="7"/>
      <c r="AG403" s="7"/>
      <c r="AH403" s="7"/>
      <c r="AI403" s="7"/>
      <c r="AJ403" s="9">
        <f t="shared" si="2"/>
        <v>160</v>
      </c>
      <c r="AK403" s="9">
        <f t="shared" si="3"/>
        <v>655</v>
      </c>
      <c r="AL403" s="7" t="str">
        <f t="shared" ref="AL403:AM403" si="412">HLOOKUP(AJ403,{$D403:$AI403;$D$1:$AI$1},2,false)</f>
        <v>David</v>
      </c>
      <c r="AM403" s="7" t="str">
        <f t="shared" si="412"/>
        <v>Nancy</v>
      </c>
      <c r="AN403" s="7">
        <f t="shared" si="5"/>
        <v>4</v>
      </c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</row>
    <row r="404">
      <c r="A404" s="5">
        <v>45424.0</v>
      </c>
      <c r="B404" s="6" t="s">
        <v>55</v>
      </c>
      <c r="C404" s="7"/>
      <c r="D404" s="7"/>
      <c r="E404" s="7"/>
      <c r="F404" s="7"/>
      <c r="G404" s="7"/>
      <c r="H404" s="7"/>
      <c r="I404" s="8">
        <v>385.0</v>
      </c>
      <c r="J404" s="7"/>
      <c r="K404" s="8">
        <v>165.0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8">
        <v>470.0</v>
      </c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9">
        <f t="shared" si="2"/>
        <v>165</v>
      </c>
      <c r="AK404" s="9">
        <f t="shared" si="3"/>
        <v>470</v>
      </c>
      <c r="AL404" s="7" t="str">
        <f t="shared" ref="AL404:AM404" si="413">HLOOKUP(AJ404,{$D404:$AI404;$D$1:$AI$1},2,false)</f>
        <v>David</v>
      </c>
      <c r="AM404" s="7" t="str">
        <f t="shared" si="413"/>
        <v>Nancy</v>
      </c>
      <c r="AN404" s="7">
        <f t="shared" si="5"/>
        <v>3</v>
      </c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</row>
    <row r="405">
      <c r="A405" s="5">
        <v>45426.0</v>
      </c>
      <c r="B405" s="6" t="s">
        <v>55</v>
      </c>
      <c r="C405" s="7"/>
      <c r="D405" s="7"/>
      <c r="E405" s="7"/>
      <c r="F405" s="7"/>
      <c r="G405" s="7"/>
      <c r="H405" s="7"/>
      <c r="I405" s="8">
        <v>515.0</v>
      </c>
      <c r="J405" s="7"/>
      <c r="K405" s="8">
        <v>305.0</v>
      </c>
      <c r="L405" s="8">
        <v>335.0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8">
        <v>485.0</v>
      </c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9">
        <f t="shared" si="2"/>
        <v>305</v>
      </c>
      <c r="AK405" s="9">
        <f t="shared" si="3"/>
        <v>515</v>
      </c>
      <c r="AL405" s="7" t="str">
        <f t="shared" ref="AL405:AM405" si="414">HLOOKUP(AJ405,{$D405:$AI405;$D$1:$AI$1},2,false)</f>
        <v>David</v>
      </c>
      <c r="AM405" s="7" t="str">
        <f t="shared" si="414"/>
        <v>Charlene</v>
      </c>
      <c r="AN405" s="7">
        <f t="shared" si="5"/>
        <v>4</v>
      </c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</row>
    <row r="406">
      <c r="A406" s="5">
        <v>45430.0</v>
      </c>
      <c r="B406" s="6" t="s">
        <v>55</v>
      </c>
      <c r="C406" s="7"/>
      <c r="D406" s="7"/>
      <c r="E406" s="7"/>
      <c r="F406" s="7"/>
      <c r="G406" s="7"/>
      <c r="H406" s="7"/>
      <c r="I406" s="8">
        <v>385.0</v>
      </c>
      <c r="J406" s="7"/>
      <c r="K406" s="8">
        <v>390.0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8">
        <v>110.0</v>
      </c>
      <c r="Z406" s="7"/>
      <c r="AA406" s="7"/>
      <c r="AB406" s="8">
        <v>265.0</v>
      </c>
      <c r="AC406" s="7"/>
      <c r="AD406" s="7"/>
      <c r="AE406" s="7"/>
      <c r="AF406" s="7"/>
      <c r="AG406" s="7"/>
      <c r="AH406" s="7"/>
      <c r="AI406" s="7"/>
      <c r="AJ406" s="9">
        <f t="shared" si="2"/>
        <v>110</v>
      </c>
      <c r="AK406" s="9">
        <f t="shared" si="3"/>
        <v>390</v>
      </c>
      <c r="AL406" s="7" t="str">
        <f t="shared" ref="AL406:AM406" si="415">HLOOKUP(AJ406,{$D406:$AI406;$D$1:$AI$1},2,false)</f>
        <v>Nancy</v>
      </c>
      <c r="AM406" s="7" t="str">
        <f t="shared" si="415"/>
        <v>David</v>
      </c>
      <c r="AN406" s="7">
        <f t="shared" si="5"/>
        <v>4</v>
      </c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</row>
    <row r="407">
      <c r="A407" s="5">
        <v>45438.0</v>
      </c>
      <c r="B407" s="6" t="s">
        <v>74</v>
      </c>
      <c r="C407" s="7"/>
      <c r="D407" s="7"/>
      <c r="E407" s="7"/>
      <c r="F407" s="7"/>
      <c r="G407" s="7"/>
      <c r="H407" s="7"/>
      <c r="I407" s="7"/>
      <c r="J407" s="7"/>
      <c r="K407" s="8">
        <v>170.0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8">
        <v>430.0</v>
      </c>
      <c r="W407" s="7"/>
      <c r="X407" s="7"/>
      <c r="Y407" s="8">
        <v>490.0</v>
      </c>
      <c r="Z407" s="7"/>
      <c r="AA407" s="8">
        <v>445.0</v>
      </c>
      <c r="AB407" s="7"/>
      <c r="AC407" s="7"/>
      <c r="AD407" s="7"/>
      <c r="AE407" s="7"/>
      <c r="AF407" s="7"/>
      <c r="AG407" s="7"/>
      <c r="AH407" s="7"/>
      <c r="AI407" s="7"/>
      <c r="AJ407" s="9">
        <f t="shared" si="2"/>
        <v>170</v>
      </c>
      <c r="AK407" s="9">
        <f t="shared" si="3"/>
        <v>490</v>
      </c>
      <c r="AL407" s="7" t="str">
        <f t="shared" ref="AL407:AM407" si="416">HLOOKUP(AJ407,{$D407:$AI407;$D$1:$AI$1},2,false)</f>
        <v>David</v>
      </c>
      <c r="AM407" s="7" t="str">
        <f t="shared" si="416"/>
        <v>Nancy</v>
      </c>
      <c r="AN407" s="7">
        <f t="shared" si="5"/>
        <v>4</v>
      </c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</row>
    <row r="408">
      <c r="A408" s="5">
        <v>45444.0</v>
      </c>
      <c r="B408" s="6" t="s">
        <v>55</v>
      </c>
      <c r="C408" s="7"/>
      <c r="D408" s="7"/>
      <c r="E408" s="7"/>
      <c r="F408" s="7"/>
      <c r="G408" s="7"/>
      <c r="H408" s="7"/>
      <c r="I408" s="8">
        <v>415.0</v>
      </c>
      <c r="J408" s="7"/>
      <c r="K408" s="8">
        <v>300.0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8">
        <v>220.0</v>
      </c>
      <c r="W408" s="7"/>
      <c r="X408" s="7"/>
      <c r="Y408" s="8">
        <v>485.0</v>
      </c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9">
        <f t="shared" si="2"/>
        <v>220</v>
      </c>
      <c r="AK408" s="9">
        <f t="shared" si="3"/>
        <v>485</v>
      </c>
      <c r="AL408" s="7" t="str">
        <f t="shared" ref="AL408:AM408" si="417">HLOOKUP(AJ408,{$D408:$AI408;$D$1:$AI$1},2,false)</f>
        <v>Karen</v>
      </c>
      <c r="AM408" s="7" t="str">
        <f t="shared" si="417"/>
        <v>Nancy</v>
      </c>
      <c r="AN408" s="7">
        <f t="shared" si="5"/>
        <v>4</v>
      </c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</row>
    <row r="409">
      <c r="A409" s="5">
        <v>45451.0</v>
      </c>
      <c r="B409" s="6" t="s">
        <v>56</v>
      </c>
      <c r="C409" s="7"/>
      <c r="D409" s="7"/>
      <c r="E409" s="7"/>
      <c r="F409" s="7"/>
      <c r="G409" s="7"/>
      <c r="H409" s="7"/>
      <c r="I409" s="8">
        <v>485.0</v>
      </c>
      <c r="J409" s="7"/>
      <c r="K409" s="8">
        <v>525.0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8">
        <v>400.0</v>
      </c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9">
        <f t="shared" si="2"/>
        <v>400</v>
      </c>
      <c r="AK409" s="9">
        <f t="shared" si="3"/>
        <v>525</v>
      </c>
      <c r="AL409" s="7" t="str">
        <f t="shared" ref="AL409:AM409" si="418">HLOOKUP(AJ409,{$D409:$AI409;$D$1:$AI$1},2,false)</f>
        <v>Nancy</v>
      </c>
      <c r="AM409" s="7" t="str">
        <f t="shared" si="418"/>
        <v>David</v>
      </c>
      <c r="AN409" s="7">
        <f t="shared" si="5"/>
        <v>3</v>
      </c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</row>
    <row r="410">
      <c r="A410" s="5">
        <v>45458.0</v>
      </c>
      <c r="B410" s="6" t="s">
        <v>80</v>
      </c>
      <c r="C410" s="7"/>
      <c r="D410" s="7"/>
      <c r="E410" s="7"/>
      <c r="F410" s="7"/>
      <c r="G410" s="7"/>
      <c r="H410" s="7"/>
      <c r="I410" s="8">
        <v>565.0</v>
      </c>
      <c r="J410" s="7"/>
      <c r="K410" s="8">
        <v>295.0</v>
      </c>
      <c r="L410" s="7"/>
      <c r="M410" s="8">
        <v>670.0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8">
        <v>840.0</v>
      </c>
      <c r="Z410" s="7"/>
      <c r="AA410" s="7"/>
      <c r="AB410" s="8">
        <v>890.0</v>
      </c>
      <c r="AC410" s="7"/>
      <c r="AD410" s="7"/>
      <c r="AE410" s="7"/>
      <c r="AF410" s="7"/>
      <c r="AG410" s="7"/>
      <c r="AH410" s="7"/>
      <c r="AI410" s="7"/>
      <c r="AJ410" s="9">
        <f t="shared" si="2"/>
        <v>295</v>
      </c>
      <c r="AK410" s="9">
        <f t="shared" si="3"/>
        <v>890</v>
      </c>
      <c r="AL410" s="7" t="str">
        <f t="shared" ref="AL410:AM410" si="419">HLOOKUP(AJ410,{$D410:$AI410;$D$1:$AI$1},2,false)</f>
        <v>David</v>
      </c>
      <c r="AM410" s="7" t="str">
        <f t="shared" si="419"/>
        <v>Sandy</v>
      </c>
      <c r="AN410" s="7">
        <f t="shared" si="5"/>
        <v>5</v>
      </c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</row>
    <row r="411">
      <c r="A411" s="5">
        <v>45465.0</v>
      </c>
      <c r="B411" s="6" t="s">
        <v>55</v>
      </c>
      <c r="C411" s="7"/>
      <c r="D411" s="7"/>
      <c r="E411" s="7"/>
      <c r="F411" s="7"/>
      <c r="G411" s="7"/>
      <c r="H411" s="7"/>
      <c r="I411" s="8">
        <v>375.0</v>
      </c>
      <c r="J411" s="7"/>
      <c r="K411" s="8">
        <v>740.0</v>
      </c>
      <c r="L411" s="7"/>
      <c r="M411" s="8">
        <v>380.0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8">
        <v>695.0</v>
      </c>
      <c r="Z411" s="7"/>
      <c r="AA411" s="7"/>
      <c r="AB411" s="8">
        <v>540.0</v>
      </c>
      <c r="AC411" s="7"/>
      <c r="AD411" s="7"/>
      <c r="AE411" s="7"/>
      <c r="AF411" s="7"/>
      <c r="AG411" s="7"/>
      <c r="AH411" s="7"/>
      <c r="AI411" s="7"/>
      <c r="AJ411" s="9">
        <f t="shared" si="2"/>
        <v>375</v>
      </c>
      <c r="AK411" s="9">
        <f t="shared" si="3"/>
        <v>740</v>
      </c>
      <c r="AL411" s="7" t="str">
        <f t="shared" ref="AL411:AM411" si="420">HLOOKUP(AJ411,{$D411:$AI411;$D$1:$AI$1},2,false)</f>
        <v>Charlene</v>
      </c>
      <c r="AM411" s="7" t="str">
        <f t="shared" si="420"/>
        <v>David</v>
      </c>
      <c r="AN411" s="7">
        <f t="shared" si="5"/>
        <v>5</v>
      </c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</row>
    <row r="412">
      <c r="A412" s="5">
        <v>45471.0</v>
      </c>
      <c r="B412" s="6" t="s">
        <v>55</v>
      </c>
      <c r="C412" s="7"/>
      <c r="D412" s="7"/>
      <c r="E412" s="7"/>
      <c r="F412" s="7"/>
      <c r="G412" s="7"/>
      <c r="H412" s="7"/>
      <c r="I412" s="8">
        <v>335.0</v>
      </c>
      <c r="J412" s="7"/>
      <c r="K412" s="8">
        <v>565.0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8">
        <v>1100.0</v>
      </c>
      <c r="Z412" s="7"/>
      <c r="AA412" s="8">
        <v>880.0</v>
      </c>
      <c r="AB412" s="7"/>
      <c r="AC412" s="7"/>
      <c r="AD412" s="7"/>
      <c r="AE412" s="7"/>
      <c r="AF412" s="7"/>
      <c r="AG412" s="7"/>
      <c r="AH412" s="7"/>
      <c r="AI412" s="7"/>
      <c r="AJ412" s="9">
        <f t="shared" si="2"/>
        <v>335</v>
      </c>
      <c r="AK412" s="9">
        <f t="shared" si="3"/>
        <v>1100</v>
      </c>
      <c r="AL412" s="7" t="str">
        <f t="shared" ref="AL412:AM412" si="421">HLOOKUP(AJ412,{$D412:$AI412;$D$1:$AI$1},2,false)</f>
        <v>Charlene</v>
      </c>
      <c r="AM412" s="7" t="str">
        <f t="shared" si="421"/>
        <v>Nancy</v>
      </c>
      <c r="AN412" s="7">
        <f t="shared" si="5"/>
        <v>4</v>
      </c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</row>
    <row r="413">
      <c r="A413" s="5">
        <v>45472.0</v>
      </c>
      <c r="B413" s="6" t="s">
        <v>56</v>
      </c>
      <c r="C413" s="7"/>
      <c r="D413" s="7"/>
      <c r="E413" s="7"/>
      <c r="F413" s="7"/>
      <c r="G413" s="7"/>
      <c r="H413" s="7"/>
      <c r="I413" s="8">
        <v>345.0</v>
      </c>
      <c r="J413" s="7"/>
      <c r="K413" s="8">
        <v>675.0</v>
      </c>
      <c r="L413" s="8">
        <v>540.0</v>
      </c>
      <c r="M413" s="8">
        <v>345.0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8">
        <v>210.0</v>
      </c>
      <c r="Z413" s="7"/>
      <c r="AA413" s="8">
        <v>315.0</v>
      </c>
      <c r="AB413" s="8">
        <v>385.0</v>
      </c>
      <c r="AC413" s="7"/>
      <c r="AD413" s="7"/>
      <c r="AE413" s="7"/>
      <c r="AF413" s="7"/>
      <c r="AG413" s="7"/>
      <c r="AH413" s="7"/>
      <c r="AI413" s="7"/>
      <c r="AJ413" s="9">
        <f t="shared" si="2"/>
        <v>210</v>
      </c>
      <c r="AK413" s="9">
        <f t="shared" si="3"/>
        <v>675</v>
      </c>
      <c r="AL413" s="7" t="str">
        <f t="shared" ref="AL413:AM413" si="422">HLOOKUP(AJ413,{$D413:$AI413;$D$1:$AI$1},2,false)</f>
        <v>Nancy</v>
      </c>
      <c r="AM413" s="7" t="str">
        <f t="shared" si="422"/>
        <v>David</v>
      </c>
      <c r="AN413" s="7">
        <f t="shared" si="5"/>
        <v>7</v>
      </c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</row>
    <row r="414">
      <c r="A414" s="5">
        <v>45476.0</v>
      </c>
      <c r="B414" s="6" t="s">
        <v>81</v>
      </c>
      <c r="C414" s="7"/>
      <c r="D414" s="7"/>
      <c r="E414" s="7"/>
      <c r="F414" s="7"/>
      <c r="G414" s="7"/>
      <c r="H414" s="7"/>
      <c r="I414" s="8">
        <v>680.0</v>
      </c>
      <c r="J414" s="7"/>
      <c r="K414" s="8">
        <v>520.0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8">
        <v>200.0</v>
      </c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9">
        <f t="shared" si="2"/>
        <v>200</v>
      </c>
      <c r="AK414" s="9">
        <f t="shared" si="3"/>
        <v>680</v>
      </c>
      <c r="AL414" s="7" t="str">
        <f t="shared" ref="AL414:AM414" si="423">HLOOKUP(AJ414,{$D414:$AI414;$D$1:$AI$1},2,false)</f>
        <v>Nancy</v>
      </c>
      <c r="AM414" s="7" t="str">
        <f t="shared" si="423"/>
        <v>Charlene</v>
      </c>
      <c r="AN414" s="7">
        <f t="shared" si="5"/>
        <v>3</v>
      </c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</row>
    <row r="415">
      <c r="A415" s="5">
        <v>45481.0</v>
      </c>
      <c r="B415" s="6" t="s">
        <v>82</v>
      </c>
      <c r="C415" s="7"/>
      <c r="D415" s="7"/>
      <c r="E415" s="7"/>
      <c r="F415" s="7"/>
      <c r="G415" s="7"/>
      <c r="H415" s="7"/>
      <c r="I415" s="8">
        <v>510.0</v>
      </c>
      <c r="J415" s="7"/>
      <c r="K415" s="8">
        <v>660.0</v>
      </c>
      <c r="L415" s="7"/>
      <c r="M415" s="7"/>
      <c r="N415" s="7"/>
      <c r="O415" s="7"/>
      <c r="P415" s="7"/>
      <c r="Q415" s="8">
        <v>1140.0</v>
      </c>
      <c r="R415" s="7"/>
      <c r="S415" s="7"/>
      <c r="T415" s="7"/>
      <c r="U415" s="7"/>
      <c r="V415" s="7"/>
      <c r="W415" s="7"/>
      <c r="X415" s="7"/>
      <c r="Y415" s="8">
        <v>420.0</v>
      </c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9">
        <f t="shared" si="2"/>
        <v>420</v>
      </c>
      <c r="AK415" s="9">
        <f t="shared" si="3"/>
        <v>1140</v>
      </c>
      <c r="AL415" s="7" t="str">
        <f t="shared" ref="AL415:AM415" si="424">HLOOKUP(AJ415,{$D415:$AI415;$D$1:$AI$1},2,false)</f>
        <v>Nancy</v>
      </c>
      <c r="AM415" s="7" t="str">
        <f t="shared" si="424"/>
        <v>Jeff M</v>
      </c>
      <c r="AN415" s="7">
        <f t="shared" si="5"/>
        <v>4</v>
      </c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</row>
    <row r="416">
      <c r="A416" s="5">
        <v>45485.0</v>
      </c>
      <c r="B416" s="6" t="s">
        <v>83</v>
      </c>
      <c r="C416" s="7"/>
      <c r="D416" s="7"/>
      <c r="E416" s="7"/>
      <c r="F416" s="7"/>
      <c r="G416" s="7"/>
      <c r="H416" s="7"/>
      <c r="I416" s="8">
        <v>205.0</v>
      </c>
      <c r="J416" s="7"/>
      <c r="K416" s="8">
        <v>415.0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8">
        <v>220.0</v>
      </c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9">
        <f t="shared" si="2"/>
        <v>205</v>
      </c>
      <c r="AK416" s="9">
        <f t="shared" si="3"/>
        <v>415</v>
      </c>
      <c r="AL416" s="7" t="str">
        <f t="shared" ref="AL416:AM416" si="425">HLOOKUP(AJ416,{$D416:$AI416;$D$1:$AI$1},2,false)</f>
        <v>Charlene</v>
      </c>
      <c r="AM416" s="7" t="str">
        <f t="shared" si="425"/>
        <v>David</v>
      </c>
      <c r="AN416" s="7">
        <f t="shared" si="5"/>
        <v>3</v>
      </c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</row>
    <row r="417">
      <c r="A417" s="5">
        <v>45486.0</v>
      </c>
      <c r="B417" s="6" t="s">
        <v>55</v>
      </c>
      <c r="C417" s="7"/>
      <c r="D417" s="7"/>
      <c r="E417" s="7"/>
      <c r="F417" s="7"/>
      <c r="G417" s="7"/>
      <c r="H417" s="7"/>
      <c r="I417" s="8">
        <v>455.0</v>
      </c>
      <c r="J417" s="7"/>
      <c r="K417" s="8">
        <v>380.0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8">
        <v>385.0</v>
      </c>
      <c r="Z417" s="7"/>
      <c r="AA417" s="8">
        <v>505.0</v>
      </c>
      <c r="AB417" s="7"/>
      <c r="AC417" s="7"/>
      <c r="AD417" s="7"/>
      <c r="AE417" s="7"/>
      <c r="AF417" s="7"/>
      <c r="AG417" s="7"/>
      <c r="AH417" s="7"/>
      <c r="AI417" s="7"/>
      <c r="AJ417" s="9">
        <f t="shared" si="2"/>
        <v>380</v>
      </c>
      <c r="AK417" s="9">
        <f t="shared" si="3"/>
        <v>505</v>
      </c>
      <c r="AL417" s="7" t="str">
        <f t="shared" ref="AL417:AM417" si="426">HLOOKUP(AJ417,{$D417:$AI417;$D$1:$AI$1},2,false)</f>
        <v>David</v>
      </c>
      <c r="AM417" s="7" t="str">
        <f t="shared" si="426"/>
        <v>Sally</v>
      </c>
      <c r="AN417" s="7">
        <f t="shared" si="5"/>
        <v>4</v>
      </c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</row>
    <row r="418">
      <c r="A418" s="5">
        <v>45493.0</v>
      </c>
      <c r="B418" s="6" t="s">
        <v>56</v>
      </c>
      <c r="C418" s="7"/>
      <c r="D418" s="7"/>
      <c r="E418" s="7"/>
      <c r="F418" s="7"/>
      <c r="G418" s="7"/>
      <c r="H418" s="7"/>
      <c r="I418" s="8">
        <v>530.0</v>
      </c>
      <c r="J418" s="7"/>
      <c r="K418" s="8">
        <v>595.0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8">
        <v>355.0</v>
      </c>
      <c r="Z418" s="7"/>
      <c r="AA418" s="8">
        <v>255.0</v>
      </c>
      <c r="AB418" s="8">
        <v>530.0</v>
      </c>
      <c r="AC418" s="7"/>
      <c r="AD418" s="7"/>
      <c r="AE418" s="7"/>
      <c r="AF418" s="7"/>
      <c r="AG418" s="7"/>
      <c r="AH418" s="7"/>
      <c r="AI418" s="7"/>
      <c r="AJ418" s="9">
        <f t="shared" si="2"/>
        <v>255</v>
      </c>
      <c r="AK418" s="9">
        <f t="shared" si="3"/>
        <v>595</v>
      </c>
      <c r="AL418" s="7" t="str">
        <f t="shared" ref="AL418:AM418" si="427">HLOOKUP(AJ418,{$D418:$AI418;$D$1:$AI$1},2,false)</f>
        <v>Sally</v>
      </c>
      <c r="AM418" s="7" t="str">
        <f t="shared" si="427"/>
        <v>David</v>
      </c>
      <c r="AN418" s="7">
        <f t="shared" si="5"/>
        <v>5</v>
      </c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</row>
    <row r="419">
      <c r="A419" s="5">
        <v>45494.0</v>
      </c>
      <c r="B419" s="6" t="s">
        <v>55</v>
      </c>
      <c r="C419" s="7"/>
      <c r="D419" s="7"/>
      <c r="E419" s="7"/>
      <c r="F419" s="7"/>
      <c r="G419" s="7"/>
      <c r="H419" s="7"/>
      <c r="I419" s="8">
        <v>210.0</v>
      </c>
      <c r="J419" s="7"/>
      <c r="K419" s="8">
        <v>435.0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8">
        <v>420.0</v>
      </c>
      <c r="Z419" s="7"/>
      <c r="AA419" s="8">
        <v>315.0</v>
      </c>
      <c r="AB419" s="7"/>
      <c r="AC419" s="7"/>
      <c r="AD419" s="7"/>
      <c r="AE419" s="7"/>
      <c r="AF419" s="7"/>
      <c r="AG419" s="7"/>
      <c r="AH419" s="7"/>
      <c r="AI419" s="7"/>
      <c r="AJ419" s="9">
        <f t="shared" si="2"/>
        <v>210</v>
      </c>
      <c r="AK419" s="9">
        <f t="shared" si="3"/>
        <v>435</v>
      </c>
      <c r="AL419" s="7" t="str">
        <f t="shared" ref="AL419:AM419" si="428">HLOOKUP(AJ419,{$D419:$AI419;$D$1:$AI$1},2,false)</f>
        <v>Charlene</v>
      </c>
      <c r="AM419" s="7" t="str">
        <f t="shared" si="428"/>
        <v>David</v>
      </c>
      <c r="AN419" s="7">
        <f t="shared" si="5"/>
        <v>4</v>
      </c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</row>
    <row r="420">
      <c r="A420" s="5">
        <v>45497.0</v>
      </c>
      <c r="B420" s="6" t="s">
        <v>55</v>
      </c>
      <c r="C420" s="7"/>
      <c r="D420" s="7"/>
      <c r="E420" s="7"/>
      <c r="F420" s="7"/>
      <c r="G420" s="7"/>
      <c r="H420" s="7"/>
      <c r="I420" s="7"/>
      <c r="J420" s="7"/>
      <c r="K420" s="8">
        <v>640.0</v>
      </c>
      <c r="L420" s="8">
        <v>265.0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8">
        <v>490.0</v>
      </c>
      <c r="Z420" s="7"/>
      <c r="AA420" s="8">
        <v>405.0</v>
      </c>
      <c r="AB420" s="7"/>
      <c r="AC420" s="7"/>
      <c r="AD420" s="7"/>
      <c r="AE420" s="7"/>
      <c r="AF420" s="7"/>
      <c r="AG420" s="7"/>
      <c r="AH420" s="7"/>
      <c r="AI420" s="7"/>
      <c r="AJ420" s="9">
        <f t="shared" si="2"/>
        <v>265</v>
      </c>
      <c r="AK420" s="9">
        <f t="shared" si="3"/>
        <v>640</v>
      </c>
      <c r="AL420" s="7" t="str">
        <f t="shared" ref="AL420:AM420" si="429">HLOOKUP(AJ420,{$D420:$AI420;$D$1:$AI$1},2,false)</f>
        <v>Debby</v>
      </c>
      <c r="AM420" s="7" t="str">
        <f t="shared" si="429"/>
        <v>David</v>
      </c>
      <c r="AN420" s="7">
        <f t="shared" si="5"/>
        <v>4</v>
      </c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</row>
    <row r="421">
      <c r="A421" s="5">
        <v>45498.0</v>
      </c>
      <c r="B421" s="6" t="s">
        <v>55</v>
      </c>
      <c r="C421" s="7"/>
      <c r="D421" s="7"/>
      <c r="E421" s="7"/>
      <c r="F421" s="7"/>
      <c r="G421" s="7"/>
      <c r="H421" s="7"/>
      <c r="I421" s="8">
        <v>330.0</v>
      </c>
      <c r="J421" s="7"/>
      <c r="K421" s="8">
        <v>335.0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8">
        <v>410.0</v>
      </c>
      <c r="Z421" s="7"/>
      <c r="AA421" s="8">
        <v>355.0</v>
      </c>
      <c r="AB421" s="7"/>
      <c r="AC421" s="7"/>
      <c r="AD421" s="7"/>
      <c r="AE421" s="7"/>
      <c r="AF421" s="7"/>
      <c r="AG421" s="7"/>
      <c r="AH421" s="7"/>
      <c r="AI421" s="7"/>
      <c r="AJ421" s="9">
        <f t="shared" si="2"/>
        <v>330</v>
      </c>
      <c r="AK421" s="9">
        <f t="shared" si="3"/>
        <v>410</v>
      </c>
      <c r="AL421" s="7" t="str">
        <f t="shared" ref="AL421:AM421" si="430">HLOOKUP(AJ421,{$D421:$AI421;$D$1:$AI$1},2,false)</f>
        <v>Charlene</v>
      </c>
      <c r="AM421" s="7" t="str">
        <f t="shared" si="430"/>
        <v>Nancy</v>
      </c>
      <c r="AN421" s="7">
        <f t="shared" si="5"/>
        <v>4</v>
      </c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</row>
    <row r="422">
      <c r="A422" s="5">
        <v>45516.0</v>
      </c>
      <c r="B422" s="6" t="s">
        <v>56</v>
      </c>
      <c r="C422" s="8" t="s">
        <v>41</v>
      </c>
      <c r="D422" s="7"/>
      <c r="E422" s="7"/>
      <c r="F422" s="7"/>
      <c r="G422" s="7"/>
      <c r="H422" s="7"/>
      <c r="I422" s="8">
        <v>405.0</v>
      </c>
      <c r="J422" s="7"/>
      <c r="K422" s="8">
        <v>390.0</v>
      </c>
      <c r="L422" s="7"/>
      <c r="M422" s="7"/>
      <c r="N422" s="7"/>
      <c r="O422" s="7"/>
      <c r="P422" s="7"/>
      <c r="Q422" s="8">
        <v>75.0</v>
      </c>
      <c r="R422" s="7"/>
      <c r="S422" s="7"/>
      <c r="T422" s="7"/>
      <c r="U422" s="7"/>
      <c r="V422" s="7"/>
      <c r="W422" s="7"/>
      <c r="X422" s="7"/>
      <c r="Y422" s="8">
        <v>235.0</v>
      </c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9">
        <f t="shared" si="2"/>
        <v>75</v>
      </c>
      <c r="AK422" s="9">
        <f t="shared" si="3"/>
        <v>405</v>
      </c>
      <c r="AL422" s="7" t="str">
        <f t="shared" ref="AL422:AM422" si="431">HLOOKUP(AJ422,{$D422:$AI422;$D$1:$AI$1},2,false)</f>
        <v>Jeff M</v>
      </c>
      <c r="AM422" s="7" t="str">
        <f t="shared" si="431"/>
        <v>Charlene</v>
      </c>
      <c r="AN422" s="7">
        <f t="shared" si="5"/>
        <v>4</v>
      </c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</row>
    <row r="423">
      <c r="A423" s="5">
        <v>45521.0</v>
      </c>
      <c r="B423" s="6" t="s">
        <v>56</v>
      </c>
      <c r="C423" s="7"/>
      <c r="D423" s="7"/>
      <c r="E423" s="7"/>
      <c r="F423" s="7"/>
      <c r="G423" s="7"/>
      <c r="H423" s="7"/>
      <c r="I423" s="8">
        <v>170.0</v>
      </c>
      <c r="J423" s="7"/>
      <c r="K423" s="8">
        <v>175.0</v>
      </c>
      <c r="L423" s="8">
        <v>375.0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8">
        <v>675.0</v>
      </c>
      <c r="Z423" s="7"/>
      <c r="AA423" s="7"/>
      <c r="AB423" s="8">
        <v>640.0</v>
      </c>
      <c r="AC423" s="7"/>
      <c r="AD423" s="7"/>
      <c r="AE423" s="7"/>
      <c r="AF423" s="7"/>
      <c r="AG423" s="7"/>
      <c r="AH423" s="7"/>
      <c r="AI423" s="7"/>
      <c r="AJ423" s="9">
        <f t="shared" si="2"/>
        <v>170</v>
      </c>
      <c r="AK423" s="9">
        <f t="shared" si="3"/>
        <v>675</v>
      </c>
      <c r="AL423" s="7" t="str">
        <f t="shared" ref="AL423:AM423" si="432">HLOOKUP(AJ423,{$D423:$AI423;$D$1:$AI$1},2,false)</f>
        <v>Charlene</v>
      </c>
      <c r="AM423" s="7" t="str">
        <f t="shared" si="432"/>
        <v>Nancy</v>
      </c>
      <c r="AN423" s="7">
        <f t="shared" si="5"/>
        <v>5</v>
      </c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</row>
    <row r="424">
      <c r="A424" s="5">
        <v>45534.0</v>
      </c>
      <c r="B424" s="6" t="s">
        <v>74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8">
        <v>870.0</v>
      </c>
      <c r="W424" s="7"/>
      <c r="X424" s="7"/>
      <c r="Y424" s="8">
        <v>170.0</v>
      </c>
      <c r="Z424" s="7"/>
      <c r="AA424" s="8">
        <v>210.0</v>
      </c>
      <c r="AB424" s="7"/>
      <c r="AC424" s="7"/>
      <c r="AD424" s="7"/>
      <c r="AE424" s="7"/>
      <c r="AF424" s="7"/>
      <c r="AG424" s="7"/>
      <c r="AH424" s="7"/>
      <c r="AI424" s="7"/>
      <c r="AJ424" s="9">
        <f t="shared" si="2"/>
        <v>170</v>
      </c>
      <c r="AK424" s="9">
        <f t="shared" si="3"/>
        <v>870</v>
      </c>
      <c r="AL424" s="7" t="str">
        <f t="shared" ref="AL424:AM424" si="433">HLOOKUP(AJ424,{$D424:$AI424;$D$1:$AI$1},2,false)</f>
        <v>Nancy</v>
      </c>
      <c r="AM424" s="7" t="str">
        <f t="shared" si="433"/>
        <v>Karen</v>
      </c>
      <c r="AN424" s="7">
        <f t="shared" si="5"/>
        <v>3</v>
      </c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</row>
    <row r="425">
      <c r="A425" s="5">
        <v>45536.0</v>
      </c>
      <c r="B425" s="6" t="s">
        <v>56</v>
      </c>
      <c r="C425" s="7"/>
      <c r="D425" s="7"/>
      <c r="E425" s="7"/>
      <c r="F425" s="7"/>
      <c r="G425" s="7"/>
      <c r="H425" s="7"/>
      <c r="I425" s="8">
        <v>740.0</v>
      </c>
      <c r="J425" s="7"/>
      <c r="K425" s="8">
        <v>525.0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8">
        <v>240.0</v>
      </c>
      <c r="Z425" s="7"/>
      <c r="AA425" s="7"/>
      <c r="AB425" s="8">
        <v>285.0</v>
      </c>
      <c r="AC425" s="7"/>
      <c r="AD425" s="7"/>
      <c r="AE425" s="7"/>
      <c r="AF425" s="7"/>
      <c r="AG425" s="7"/>
      <c r="AH425" s="7"/>
      <c r="AI425" s="7"/>
      <c r="AJ425" s="9">
        <f t="shared" si="2"/>
        <v>240</v>
      </c>
      <c r="AK425" s="9">
        <f t="shared" si="3"/>
        <v>740</v>
      </c>
      <c r="AL425" s="7" t="str">
        <f t="shared" ref="AL425:AM425" si="434">HLOOKUP(AJ425,{$D425:$AI425;$D$1:$AI$1},2,false)</f>
        <v>Nancy</v>
      </c>
      <c r="AM425" s="7" t="str">
        <f t="shared" si="434"/>
        <v>Charlene</v>
      </c>
      <c r="AN425" s="7">
        <f t="shared" si="5"/>
        <v>4</v>
      </c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</row>
    <row r="426">
      <c r="A426" s="5">
        <v>45598.0</v>
      </c>
      <c r="B426" s="6" t="s">
        <v>56</v>
      </c>
      <c r="C426" s="7"/>
      <c r="D426" s="7"/>
      <c r="E426" s="7"/>
      <c r="F426" s="7"/>
      <c r="G426" s="7"/>
      <c r="H426" s="7"/>
      <c r="I426" s="8">
        <v>400.0</v>
      </c>
      <c r="J426" s="7"/>
      <c r="K426" s="8">
        <v>215.0</v>
      </c>
      <c r="L426" s="8">
        <v>675.0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8">
        <v>840.0</v>
      </c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9">
        <f t="shared" si="2"/>
        <v>215</v>
      </c>
      <c r="AK426" s="9">
        <f t="shared" si="3"/>
        <v>840</v>
      </c>
      <c r="AL426" s="7" t="str">
        <f t="shared" ref="AL426:AM426" si="435">HLOOKUP(AJ426,{$D426:$AI426;$D$1:$AI$1},2,false)</f>
        <v>David</v>
      </c>
      <c r="AM426" s="7" t="str">
        <f t="shared" si="435"/>
        <v>Nancy</v>
      </c>
      <c r="AN426" s="7">
        <f t="shared" si="5"/>
        <v>4</v>
      </c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</row>
    <row r="427">
      <c r="A427" s="5">
        <v>45611.0</v>
      </c>
      <c r="B427" s="6" t="s">
        <v>56</v>
      </c>
      <c r="C427" s="7"/>
      <c r="D427" s="7"/>
      <c r="E427" s="7"/>
      <c r="F427" s="7"/>
      <c r="G427" s="7"/>
      <c r="H427" s="7"/>
      <c r="I427" s="8">
        <v>320.0</v>
      </c>
      <c r="J427" s="7"/>
      <c r="K427" s="8">
        <v>550.0</v>
      </c>
      <c r="L427" s="7"/>
      <c r="M427" s="7"/>
      <c r="N427" s="7"/>
      <c r="O427" s="7"/>
      <c r="P427" s="7"/>
      <c r="Q427" s="8">
        <v>225.0</v>
      </c>
      <c r="R427" s="7"/>
      <c r="S427" s="7"/>
      <c r="T427" s="7"/>
      <c r="U427" s="7"/>
      <c r="V427" s="7"/>
      <c r="W427" s="7"/>
      <c r="X427" s="7"/>
      <c r="Y427" s="8">
        <v>415.0</v>
      </c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9">
        <f t="shared" si="2"/>
        <v>225</v>
      </c>
      <c r="AK427" s="9">
        <f t="shared" si="3"/>
        <v>550</v>
      </c>
      <c r="AL427" s="7" t="str">
        <f t="shared" ref="AL427:AM427" si="436">HLOOKUP(AJ427,{$D427:$AI427;$D$1:$AI$1},2,false)</f>
        <v>Jeff M</v>
      </c>
      <c r="AM427" s="7" t="str">
        <f t="shared" si="436"/>
        <v>David</v>
      </c>
      <c r="AN427" s="7">
        <f t="shared" si="5"/>
        <v>4</v>
      </c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</row>
    <row r="428">
      <c r="A428" s="5">
        <v>45619.0</v>
      </c>
      <c r="B428" s="6" t="s">
        <v>55</v>
      </c>
      <c r="C428" s="7"/>
      <c r="D428" s="7"/>
      <c r="E428" s="7"/>
      <c r="F428" s="7"/>
      <c r="G428" s="7"/>
      <c r="H428" s="7"/>
      <c r="I428" s="8">
        <v>720.0</v>
      </c>
      <c r="J428" s="7"/>
      <c r="K428" s="8">
        <v>570.0</v>
      </c>
      <c r="L428" s="8">
        <v>865.0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8">
        <v>480.0</v>
      </c>
      <c r="Z428" s="7"/>
      <c r="AA428" s="7"/>
      <c r="AB428" s="8">
        <v>1050.0</v>
      </c>
      <c r="AC428" s="7"/>
      <c r="AD428" s="7"/>
      <c r="AE428" s="7"/>
      <c r="AF428" s="7"/>
      <c r="AG428" s="7"/>
      <c r="AH428" s="7"/>
      <c r="AI428" s="7"/>
      <c r="AJ428" s="9">
        <f t="shared" si="2"/>
        <v>480</v>
      </c>
      <c r="AK428" s="9">
        <f t="shared" si="3"/>
        <v>1050</v>
      </c>
      <c r="AL428" s="7" t="str">
        <f t="shared" ref="AL428:AM428" si="437">HLOOKUP(AJ428,{$D428:$AI428;$D$1:$AI$1},2,false)</f>
        <v>Nancy</v>
      </c>
      <c r="AM428" s="7" t="str">
        <f t="shared" si="437"/>
        <v>Sandy</v>
      </c>
      <c r="AN428" s="7">
        <f t="shared" si="5"/>
        <v>5</v>
      </c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</row>
    <row r="429">
      <c r="A429" s="5">
        <v>45624.0</v>
      </c>
      <c r="B429" s="6" t="s">
        <v>56</v>
      </c>
      <c r="C429" s="7"/>
      <c r="D429" s="7"/>
      <c r="E429" s="7"/>
      <c r="F429" s="7"/>
      <c r="G429" s="7"/>
      <c r="H429" s="7"/>
      <c r="I429" s="8">
        <v>415.0</v>
      </c>
      <c r="J429" s="7"/>
      <c r="K429" s="8">
        <v>560.0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8">
        <v>150.0</v>
      </c>
      <c r="Z429" s="7"/>
      <c r="AA429" s="7"/>
      <c r="AB429" s="8">
        <v>460.0</v>
      </c>
      <c r="AC429" s="7"/>
      <c r="AD429" s="7"/>
      <c r="AE429" s="7"/>
      <c r="AF429" s="7"/>
      <c r="AG429" s="7"/>
      <c r="AH429" s="7"/>
      <c r="AI429" s="7"/>
      <c r="AJ429" s="9">
        <f t="shared" si="2"/>
        <v>150</v>
      </c>
      <c r="AK429" s="9">
        <f t="shared" si="3"/>
        <v>560</v>
      </c>
      <c r="AL429" s="7" t="str">
        <f t="shared" ref="AL429:AM429" si="438">HLOOKUP(AJ429,{$D429:$AI429;$D$1:$AI$1},2,false)</f>
        <v>Nancy</v>
      </c>
      <c r="AM429" s="7" t="str">
        <f t="shared" si="438"/>
        <v>David</v>
      </c>
      <c r="AN429" s="7">
        <f t="shared" si="5"/>
        <v>4</v>
      </c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</row>
    <row r="430">
      <c r="A430" s="5">
        <v>45633.0</v>
      </c>
      <c r="B430" s="6" t="s">
        <v>55</v>
      </c>
      <c r="C430" s="7"/>
      <c r="D430" s="7"/>
      <c r="E430" s="7"/>
      <c r="F430" s="7"/>
      <c r="G430" s="7"/>
      <c r="H430" s="7"/>
      <c r="I430" s="8">
        <v>400.0</v>
      </c>
      <c r="J430" s="7"/>
      <c r="K430" s="8">
        <v>340.0</v>
      </c>
      <c r="L430" s="8">
        <v>395.0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8">
        <v>620.0</v>
      </c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9">
        <f t="shared" si="2"/>
        <v>340</v>
      </c>
      <c r="AK430" s="9">
        <f t="shared" si="3"/>
        <v>620</v>
      </c>
      <c r="AL430" s="7" t="str">
        <f t="shared" ref="AL430:AM430" si="439">HLOOKUP(AJ430,{$D430:$AI430;$D$1:$AI$1},2,false)</f>
        <v>David</v>
      </c>
      <c r="AM430" s="7" t="str">
        <f t="shared" si="439"/>
        <v>Nancy</v>
      </c>
      <c r="AN430" s="7">
        <f t="shared" si="5"/>
        <v>4</v>
      </c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</row>
    <row r="431">
      <c r="A431" s="5">
        <v>45637.0</v>
      </c>
      <c r="B431" s="6" t="s">
        <v>55</v>
      </c>
      <c r="C431" s="8" t="s">
        <v>41</v>
      </c>
      <c r="D431" s="7"/>
      <c r="E431" s="7"/>
      <c r="F431" s="7"/>
      <c r="G431" s="7"/>
      <c r="H431" s="7"/>
      <c r="I431" s="7"/>
      <c r="J431" s="7"/>
      <c r="K431" s="8">
        <v>530.0</v>
      </c>
      <c r="L431" s="7"/>
      <c r="M431" s="7"/>
      <c r="N431" s="8">
        <v>325.0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8">
        <v>310.0</v>
      </c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9">
        <f t="shared" si="2"/>
        <v>310</v>
      </c>
      <c r="AK431" s="9">
        <f t="shared" si="3"/>
        <v>530</v>
      </c>
      <c r="AL431" s="7" t="str">
        <f t="shared" ref="AL431:AM431" si="440">HLOOKUP(AJ431,{$D431:$AI431;$D$1:$AI$1},2,false)</f>
        <v>Nancy</v>
      </c>
      <c r="AM431" s="7" t="str">
        <f t="shared" si="440"/>
        <v>David</v>
      </c>
      <c r="AN431" s="7">
        <f t="shared" si="5"/>
        <v>3</v>
      </c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</row>
    <row r="432">
      <c r="A432" s="5">
        <v>45641.0</v>
      </c>
      <c r="B432" s="6" t="s">
        <v>55</v>
      </c>
      <c r="C432" s="7"/>
      <c r="D432" s="7"/>
      <c r="E432" s="7"/>
      <c r="F432" s="7"/>
      <c r="G432" s="7"/>
      <c r="H432" s="7"/>
      <c r="I432" s="8">
        <v>535.0</v>
      </c>
      <c r="J432" s="7"/>
      <c r="K432" s="8">
        <v>425.0</v>
      </c>
      <c r="L432" s="8">
        <v>260.0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8">
        <v>425.0</v>
      </c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9">
        <f t="shared" si="2"/>
        <v>260</v>
      </c>
      <c r="AK432" s="9">
        <f t="shared" si="3"/>
        <v>535</v>
      </c>
      <c r="AL432" s="7" t="str">
        <f t="shared" ref="AL432:AM432" si="441">HLOOKUP(AJ432,{$D432:$AI432;$D$1:$AI$1},2,false)</f>
        <v>Debby</v>
      </c>
      <c r="AM432" s="7" t="str">
        <f t="shared" si="441"/>
        <v>Charlene</v>
      </c>
      <c r="AN432" s="7">
        <f t="shared" si="5"/>
        <v>4</v>
      </c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</row>
    <row r="433">
      <c r="A433" s="5">
        <v>45654.0</v>
      </c>
      <c r="B433" s="6" t="s">
        <v>55</v>
      </c>
      <c r="C433" s="7"/>
      <c r="D433" s="7"/>
      <c r="E433" s="7"/>
      <c r="F433" s="7"/>
      <c r="G433" s="7"/>
      <c r="H433" s="7"/>
      <c r="I433" s="8">
        <v>335.0</v>
      </c>
      <c r="J433" s="7"/>
      <c r="K433" s="8">
        <v>320.0</v>
      </c>
      <c r="L433" s="7"/>
      <c r="M433" s="7"/>
      <c r="N433" s="7"/>
      <c r="O433" s="7"/>
      <c r="P433" s="7"/>
      <c r="Q433" s="8">
        <v>545.0</v>
      </c>
      <c r="R433" s="7"/>
      <c r="S433" s="7"/>
      <c r="T433" s="7"/>
      <c r="U433" s="7"/>
      <c r="V433" s="7"/>
      <c r="W433" s="7"/>
      <c r="X433" s="7"/>
      <c r="Y433" s="8">
        <v>690.0</v>
      </c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9">
        <f t="shared" si="2"/>
        <v>320</v>
      </c>
      <c r="AK433" s="9">
        <f t="shared" si="3"/>
        <v>690</v>
      </c>
      <c r="AL433" s="7" t="str">
        <f t="shared" ref="AL433:AM433" si="442">HLOOKUP(AJ433,{$D433:$AI433;$D$1:$AI$1},2,false)</f>
        <v>David</v>
      </c>
      <c r="AM433" s="7" t="str">
        <f t="shared" si="442"/>
        <v>Nancy</v>
      </c>
      <c r="AN433" s="7">
        <f t="shared" si="5"/>
        <v>4</v>
      </c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</row>
    <row r="434">
      <c r="A434" s="5">
        <v>45655.0</v>
      </c>
      <c r="B434" s="6" t="s">
        <v>55</v>
      </c>
      <c r="C434" s="7"/>
      <c r="D434" s="7"/>
      <c r="E434" s="7"/>
      <c r="F434" s="7"/>
      <c r="G434" s="7"/>
      <c r="H434" s="7"/>
      <c r="I434" s="8">
        <v>370.0</v>
      </c>
      <c r="J434" s="7"/>
      <c r="K434" s="8">
        <v>270.0</v>
      </c>
      <c r="L434" s="7"/>
      <c r="M434" s="7"/>
      <c r="N434" s="7"/>
      <c r="O434" s="7"/>
      <c r="P434" s="7"/>
      <c r="Q434" s="7"/>
      <c r="R434" s="7"/>
      <c r="S434" s="7"/>
      <c r="T434" s="7"/>
      <c r="U434" s="8">
        <v>305.0</v>
      </c>
      <c r="V434" s="7"/>
      <c r="W434" s="7"/>
      <c r="X434" s="7"/>
      <c r="Y434" s="7"/>
      <c r="Z434" s="7"/>
      <c r="AA434" s="7"/>
      <c r="AB434" s="8">
        <v>140.0</v>
      </c>
      <c r="AC434" s="7"/>
      <c r="AD434" s="7"/>
      <c r="AE434" s="7"/>
      <c r="AF434" s="7"/>
      <c r="AG434" s="7"/>
      <c r="AH434" s="7"/>
      <c r="AI434" s="7"/>
      <c r="AJ434" s="9">
        <f t="shared" si="2"/>
        <v>140</v>
      </c>
      <c r="AK434" s="9">
        <f t="shared" si="3"/>
        <v>370</v>
      </c>
      <c r="AL434" s="7" t="str">
        <f t="shared" ref="AL434:AM434" si="443">HLOOKUP(AJ434,{$D434:$AI434;$D$1:$AI$1},2,false)</f>
        <v>Sandy</v>
      </c>
      <c r="AM434" s="7" t="str">
        <f t="shared" si="443"/>
        <v>Charlene</v>
      </c>
      <c r="AN434" s="7">
        <f t="shared" si="5"/>
        <v>4</v>
      </c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</row>
    <row r="435">
      <c r="A435" s="5">
        <v>45657.0</v>
      </c>
      <c r="B435" s="6" t="s">
        <v>55</v>
      </c>
      <c r="C435" s="7"/>
      <c r="D435" s="7"/>
      <c r="E435" s="7"/>
      <c r="F435" s="7"/>
      <c r="G435" s="7"/>
      <c r="H435" s="7"/>
      <c r="I435" s="8">
        <v>375.0</v>
      </c>
      <c r="J435" s="7"/>
      <c r="K435" s="8">
        <v>625.0</v>
      </c>
      <c r="L435" s="8">
        <v>665.0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8">
        <v>385.0</v>
      </c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9">
        <f t="shared" si="2"/>
        <v>375</v>
      </c>
      <c r="AK435" s="9">
        <f t="shared" si="3"/>
        <v>665</v>
      </c>
      <c r="AL435" s="7" t="str">
        <f t="shared" ref="AL435:AM435" si="444">HLOOKUP(AJ435,{$D435:$AI435;$D$1:$AI$1},2,false)</f>
        <v>Charlene</v>
      </c>
      <c r="AM435" s="7" t="str">
        <f t="shared" si="444"/>
        <v>Debby</v>
      </c>
      <c r="AN435" s="7">
        <f t="shared" si="5"/>
        <v>4</v>
      </c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</row>
    <row r="436">
      <c r="A436" s="5">
        <v>45661.0</v>
      </c>
      <c r="B436" s="6" t="s">
        <v>56</v>
      </c>
      <c r="C436" s="7"/>
      <c r="D436" s="7"/>
      <c r="E436" s="7"/>
      <c r="F436" s="7"/>
      <c r="G436" s="7"/>
      <c r="H436" s="7"/>
      <c r="I436" s="8">
        <v>545.0</v>
      </c>
      <c r="J436" s="7"/>
      <c r="K436" s="8">
        <v>415.0</v>
      </c>
      <c r="L436" s="8">
        <v>380.0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8">
        <v>180.0</v>
      </c>
      <c r="Z436" s="7"/>
      <c r="AA436" s="7"/>
      <c r="AB436" s="8">
        <v>440.0</v>
      </c>
      <c r="AC436" s="7"/>
      <c r="AD436" s="7"/>
      <c r="AE436" s="7"/>
      <c r="AF436" s="7"/>
      <c r="AG436" s="7"/>
      <c r="AH436" s="7"/>
      <c r="AI436" s="7"/>
      <c r="AJ436" s="9">
        <f t="shared" si="2"/>
        <v>180</v>
      </c>
      <c r="AK436" s="9">
        <f t="shared" si="3"/>
        <v>545</v>
      </c>
      <c r="AL436" s="7" t="str">
        <f t="shared" ref="AL436:AM436" si="445">HLOOKUP(AJ436,{$D436:$AI436;$D$1:$AI$1},2,false)</f>
        <v>Nancy</v>
      </c>
      <c r="AM436" s="7" t="str">
        <f t="shared" si="445"/>
        <v>Charlene</v>
      </c>
      <c r="AN436" s="7">
        <f t="shared" si="5"/>
        <v>5</v>
      </c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</row>
    <row r="437">
      <c r="A437" s="5">
        <v>45664.0</v>
      </c>
      <c r="B437" s="6" t="s">
        <v>74</v>
      </c>
      <c r="C437" s="7"/>
      <c r="D437" s="7"/>
      <c r="E437" s="7"/>
      <c r="F437" s="7"/>
      <c r="G437" s="7"/>
      <c r="H437" s="7"/>
      <c r="I437" s="7"/>
      <c r="J437" s="7"/>
      <c r="K437" s="8">
        <v>585.0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8">
        <v>365.0</v>
      </c>
      <c r="W437" s="7"/>
      <c r="X437" s="7"/>
      <c r="Y437" s="8">
        <v>815.0</v>
      </c>
      <c r="Z437" s="7"/>
      <c r="AA437" s="8">
        <v>505.0</v>
      </c>
      <c r="AB437" s="7"/>
      <c r="AC437" s="7"/>
      <c r="AD437" s="7"/>
      <c r="AE437" s="7"/>
      <c r="AF437" s="7"/>
      <c r="AG437" s="7"/>
      <c r="AH437" s="7"/>
      <c r="AI437" s="7"/>
      <c r="AJ437" s="9">
        <f t="shared" si="2"/>
        <v>365</v>
      </c>
      <c r="AK437" s="9">
        <f t="shared" si="3"/>
        <v>815</v>
      </c>
      <c r="AL437" s="7" t="str">
        <f t="shared" ref="AL437:AM437" si="446">HLOOKUP(AJ437,{$D437:$AI437;$D$1:$AI$1},2,false)</f>
        <v>Karen</v>
      </c>
      <c r="AM437" s="7" t="str">
        <f t="shared" si="446"/>
        <v>Nancy</v>
      </c>
      <c r="AN437" s="7">
        <f t="shared" si="5"/>
        <v>4</v>
      </c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</row>
    <row r="438">
      <c r="A438" s="5">
        <v>45666.0</v>
      </c>
      <c r="B438" s="6" t="s">
        <v>74</v>
      </c>
      <c r="C438" s="7"/>
      <c r="D438" s="7"/>
      <c r="E438" s="7"/>
      <c r="F438" s="7"/>
      <c r="G438" s="7"/>
      <c r="H438" s="7"/>
      <c r="I438" s="7"/>
      <c r="J438" s="8">
        <v>645.0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8">
        <v>515.0</v>
      </c>
      <c r="W438" s="7"/>
      <c r="X438" s="7"/>
      <c r="Y438" s="8">
        <v>310.0</v>
      </c>
      <c r="Z438" s="7"/>
      <c r="AA438" s="8">
        <v>665.0</v>
      </c>
      <c r="AB438" s="7"/>
      <c r="AC438" s="7"/>
      <c r="AD438" s="7"/>
      <c r="AE438" s="7"/>
      <c r="AF438" s="7"/>
      <c r="AG438" s="7"/>
      <c r="AH438" s="7"/>
      <c r="AI438" s="7"/>
      <c r="AJ438" s="9">
        <f t="shared" si="2"/>
        <v>310</v>
      </c>
      <c r="AK438" s="9">
        <f t="shared" si="3"/>
        <v>665</v>
      </c>
      <c r="AL438" s="7" t="str">
        <f t="shared" ref="AL438:AM438" si="447">HLOOKUP(AJ438,{$D438:$AI438;$D$1:$AI$1},2,false)</f>
        <v>Nancy</v>
      </c>
      <c r="AM438" s="7" t="str">
        <f t="shared" si="447"/>
        <v>Sally</v>
      </c>
      <c r="AN438" s="7">
        <f t="shared" si="5"/>
        <v>4</v>
      </c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</row>
    <row r="439">
      <c r="A439" s="5">
        <v>45668.0</v>
      </c>
      <c r="B439" s="6" t="s">
        <v>48</v>
      </c>
      <c r="C439" s="7"/>
      <c r="D439" s="7"/>
      <c r="E439" s="7"/>
      <c r="F439" s="7"/>
      <c r="G439" s="7"/>
      <c r="H439" s="7"/>
      <c r="I439" s="8">
        <v>870.0</v>
      </c>
      <c r="J439" s="7"/>
      <c r="K439" s="8">
        <v>830.0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8">
        <v>440.0</v>
      </c>
      <c r="Z439" s="7"/>
      <c r="AA439" s="7"/>
      <c r="AB439" s="8">
        <v>625.0</v>
      </c>
      <c r="AC439" s="7"/>
      <c r="AD439" s="7"/>
      <c r="AE439" s="7"/>
      <c r="AF439" s="7"/>
      <c r="AG439" s="7"/>
      <c r="AH439" s="7"/>
      <c r="AI439" s="7"/>
      <c r="AJ439" s="9">
        <f t="shared" si="2"/>
        <v>440</v>
      </c>
      <c r="AK439" s="9">
        <f t="shared" si="3"/>
        <v>870</v>
      </c>
      <c r="AL439" s="7" t="str">
        <f t="shared" ref="AL439:AM439" si="448">HLOOKUP(AJ439,{$D439:$AI439;$D$1:$AI$1},2,false)</f>
        <v>Nancy</v>
      </c>
      <c r="AM439" s="7" t="str">
        <f t="shared" si="448"/>
        <v>Charlene</v>
      </c>
      <c r="AN439" s="7">
        <f t="shared" si="5"/>
        <v>4</v>
      </c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</row>
    <row r="440">
      <c r="A440" s="5">
        <v>45675.0</v>
      </c>
      <c r="B440" s="6" t="s">
        <v>55</v>
      </c>
      <c r="C440" s="7"/>
      <c r="D440" s="7"/>
      <c r="E440" s="7"/>
      <c r="F440" s="7"/>
      <c r="G440" s="7"/>
      <c r="H440" s="7"/>
      <c r="I440" s="8">
        <v>110.0</v>
      </c>
      <c r="J440" s="7"/>
      <c r="K440" s="8">
        <v>310.0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8">
        <v>325.0</v>
      </c>
      <c r="Z440" s="7"/>
      <c r="AA440" s="7"/>
      <c r="AB440" s="8">
        <v>435.0</v>
      </c>
      <c r="AC440" s="7"/>
      <c r="AD440" s="7"/>
      <c r="AE440" s="7"/>
      <c r="AF440" s="7"/>
      <c r="AG440" s="7"/>
      <c r="AH440" s="7"/>
      <c r="AI440" s="7"/>
      <c r="AJ440" s="9">
        <f t="shared" si="2"/>
        <v>110</v>
      </c>
      <c r="AK440" s="9">
        <f t="shared" si="3"/>
        <v>435</v>
      </c>
      <c r="AL440" s="7" t="str">
        <f t="shared" ref="AL440:AM440" si="449">HLOOKUP(AJ440,{$D440:$AI440;$D$1:$AI$1},2,false)</f>
        <v>Charlene</v>
      </c>
      <c r="AM440" s="7" t="str">
        <f t="shared" si="449"/>
        <v>Sandy</v>
      </c>
      <c r="AN440" s="7">
        <f t="shared" si="5"/>
        <v>4</v>
      </c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</row>
    <row r="441">
      <c r="A441" s="5">
        <v>45683.0</v>
      </c>
      <c r="B441" s="6" t="s">
        <v>74</v>
      </c>
      <c r="C441" s="7"/>
      <c r="D441" s="7"/>
      <c r="E441" s="7"/>
      <c r="F441" s="7"/>
      <c r="G441" s="7"/>
      <c r="H441" s="7"/>
      <c r="I441" s="7"/>
      <c r="J441" s="7"/>
      <c r="K441" s="8">
        <v>285.0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8">
        <v>135.0</v>
      </c>
      <c r="Z441" s="7"/>
      <c r="AA441" s="8">
        <v>585.0</v>
      </c>
      <c r="AB441" s="7"/>
      <c r="AC441" s="7"/>
      <c r="AD441" s="7"/>
      <c r="AE441" s="7"/>
      <c r="AF441" s="7"/>
      <c r="AG441" s="7"/>
      <c r="AH441" s="7"/>
      <c r="AI441" s="7"/>
      <c r="AJ441" s="9">
        <f t="shared" si="2"/>
        <v>135</v>
      </c>
      <c r="AK441" s="9">
        <f t="shared" si="3"/>
        <v>585</v>
      </c>
      <c r="AL441" s="7" t="str">
        <f t="shared" ref="AL441:AM441" si="450">HLOOKUP(AJ441,{$D441:$AI441;$D$1:$AI$1},2,false)</f>
        <v>Nancy</v>
      </c>
      <c r="AM441" s="7" t="str">
        <f t="shared" si="450"/>
        <v>Sally</v>
      </c>
      <c r="AN441" s="7">
        <f t="shared" si="5"/>
        <v>3</v>
      </c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</row>
    <row r="442">
      <c r="A442" s="5">
        <v>45690.0</v>
      </c>
      <c r="B442" s="6" t="s">
        <v>74</v>
      </c>
      <c r="C442" s="7"/>
      <c r="D442" s="7"/>
      <c r="E442" s="7"/>
      <c r="F442" s="7"/>
      <c r="G442" s="7"/>
      <c r="H442" s="7"/>
      <c r="I442" s="7"/>
      <c r="J442" s="7"/>
      <c r="K442" s="8">
        <v>780.0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8">
        <v>410.0</v>
      </c>
      <c r="W442" s="7"/>
      <c r="X442" s="7"/>
      <c r="Y442" s="8">
        <v>370.0</v>
      </c>
      <c r="Z442" s="7"/>
      <c r="AA442" s="8">
        <v>495.0</v>
      </c>
      <c r="AB442" s="7"/>
      <c r="AC442" s="7"/>
      <c r="AD442" s="7"/>
      <c r="AE442" s="7"/>
      <c r="AF442" s="7"/>
      <c r="AG442" s="7"/>
      <c r="AH442" s="7"/>
      <c r="AI442" s="7"/>
      <c r="AJ442" s="9">
        <f t="shared" si="2"/>
        <v>370</v>
      </c>
      <c r="AK442" s="9">
        <f t="shared" si="3"/>
        <v>780</v>
      </c>
      <c r="AL442" s="7" t="str">
        <f t="shared" ref="AL442:AM442" si="451">HLOOKUP(AJ442,{$D442:$AI442;$D$1:$AI$1},2,false)</f>
        <v>Nancy</v>
      </c>
      <c r="AM442" s="7" t="str">
        <f t="shared" si="451"/>
        <v>David</v>
      </c>
      <c r="AN442" s="7">
        <f t="shared" si="5"/>
        <v>4</v>
      </c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</row>
    <row r="443">
      <c r="A443" s="5">
        <v>45696.0</v>
      </c>
      <c r="B443" s="6" t="s">
        <v>55</v>
      </c>
      <c r="C443" s="7"/>
      <c r="D443" s="7"/>
      <c r="E443" s="7"/>
      <c r="F443" s="7"/>
      <c r="G443" s="7"/>
      <c r="H443" s="7"/>
      <c r="I443" s="8">
        <v>460.0</v>
      </c>
      <c r="J443" s="7"/>
      <c r="K443" s="8">
        <v>590.0</v>
      </c>
      <c r="L443" s="8">
        <v>625.0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8">
        <v>275.0</v>
      </c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9">
        <f t="shared" si="2"/>
        <v>275</v>
      </c>
      <c r="AK443" s="9">
        <f t="shared" si="3"/>
        <v>625</v>
      </c>
      <c r="AL443" s="7" t="str">
        <f t="shared" ref="AL443:AM443" si="452">HLOOKUP(AJ443,{$D443:$AI443;$D$1:$AI$1},2,false)</f>
        <v>Nancy</v>
      </c>
      <c r="AM443" s="7" t="str">
        <f t="shared" si="452"/>
        <v>Debby</v>
      </c>
      <c r="AN443" s="7">
        <f t="shared" si="5"/>
        <v>4</v>
      </c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</row>
    <row r="444">
      <c r="A444" s="5">
        <v>45699.0</v>
      </c>
      <c r="B444" s="6" t="s">
        <v>56</v>
      </c>
      <c r="C444" s="7"/>
      <c r="D444" s="7"/>
      <c r="E444" s="7"/>
      <c r="F444" s="7"/>
      <c r="G444" s="7"/>
      <c r="H444" s="7"/>
      <c r="I444" s="8">
        <v>425.0</v>
      </c>
      <c r="J444" s="7"/>
      <c r="K444" s="8">
        <v>225.0</v>
      </c>
      <c r="L444" s="8">
        <v>200.0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8">
        <v>735.0</v>
      </c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9">
        <f t="shared" si="2"/>
        <v>200</v>
      </c>
      <c r="AK444" s="9">
        <f t="shared" si="3"/>
        <v>735</v>
      </c>
      <c r="AL444" s="7" t="str">
        <f t="shared" ref="AL444:AM444" si="453">HLOOKUP(AJ444,{$D444:$AI444;$D$1:$AI$1},2,false)</f>
        <v>Debby</v>
      </c>
      <c r="AM444" s="7" t="str">
        <f t="shared" si="453"/>
        <v>Nancy</v>
      </c>
      <c r="AN444" s="7">
        <f t="shared" si="5"/>
        <v>4</v>
      </c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</row>
    <row r="445">
      <c r="A445" s="5">
        <v>45704.0</v>
      </c>
      <c r="B445" s="6" t="s">
        <v>55</v>
      </c>
      <c r="C445" s="7"/>
      <c r="D445" s="7"/>
      <c r="E445" s="7"/>
      <c r="F445" s="7"/>
      <c r="G445" s="7"/>
      <c r="H445" s="7"/>
      <c r="I445" s="7"/>
      <c r="J445" s="7"/>
      <c r="K445" s="8">
        <v>215.0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8">
        <v>85.0</v>
      </c>
      <c r="Z445" s="7"/>
      <c r="AA445" s="8">
        <v>330.0</v>
      </c>
      <c r="AB445" s="7"/>
      <c r="AC445" s="7"/>
      <c r="AD445" s="7"/>
      <c r="AE445" s="7"/>
      <c r="AF445" s="7"/>
      <c r="AG445" s="7"/>
      <c r="AH445" s="7"/>
      <c r="AI445" s="7"/>
      <c r="AJ445" s="9">
        <f t="shared" si="2"/>
        <v>85</v>
      </c>
      <c r="AK445" s="9">
        <f t="shared" si="3"/>
        <v>330</v>
      </c>
      <c r="AL445" s="7" t="str">
        <f t="shared" ref="AL445:AM445" si="454">HLOOKUP(AJ445,{$D445:$AI445;$D$1:$AI$1},2,false)</f>
        <v>Nancy</v>
      </c>
      <c r="AM445" s="7" t="str">
        <f t="shared" si="454"/>
        <v>Sally</v>
      </c>
      <c r="AN445" s="7">
        <f t="shared" si="5"/>
        <v>3</v>
      </c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</row>
    <row r="446">
      <c r="A446" s="5">
        <v>45711.0</v>
      </c>
      <c r="B446" s="6" t="s">
        <v>55</v>
      </c>
      <c r="C446" s="7"/>
      <c r="D446" s="7"/>
      <c r="E446" s="7"/>
      <c r="F446" s="7"/>
      <c r="G446" s="7"/>
      <c r="H446" s="7"/>
      <c r="I446" s="8">
        <v>445.0</v>
      </c>
      <c r="J446" s="7"/>
      <c r="K446" s="8">
        <v>595.0</v>
      </c>
      <c r="L446" s="8">
        <v>310.0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8">
        <v>630.0</v>
      </c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9">
        <f t="shared" si="2"/>
        <v>310</v>
      </c>
      <c r="AK446" s="9">
        <f t="shared" si="3"/>
        <v>630</v>
      </c>
      <c r="AL446" s="7" t="str">
        <f t="shared" ref="AL446:AM446" si="455">HLOOKUP(AJ446,{$D446:$AI446;$D$1:$AI$1},2,false)</f>
        <v>Debby</v>
      </c>
      <c r="AM446" s="7" t="str">
        <f t="shared" si="455"/>
        <v>Nancy</v>
      </c>
      <c r="AN446" s="7">
        <f t="shared" si="5"/>
        <v>4</v>
      </c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</row>
    <row r="447">
      <c r="A447" s="5">
        <v>45719.0</v>
      </c>
      <c r="B447" s="6" t="s">
        <v>74</v>
      </c>
      <c r="C447" s="7"/>
      <c r="D447" s="7"/>
      <c r="E447" s="7"/>
      <c r="F447" s="7"/>
      <c r="G447" s="7"/>
      <c r="H447" s="7"/>
      <c r="I447" s="7"/>
      <c r="J447" s="7"/>
      <c r="K447" s="8">
        <v>245.0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8">
        <v>615.0</v>
      </c>
      <c r="Z447" s="7"/>
      <c r="AA447" s="8">
        <v>390.0</v>
      </c>
      <c r="AB447" s="7"/>
      <c r="AC447" s="7"/>
      <c r="AD447" s="7"/>
      <c r="AE447" s="7"/>
      <c r="AF447" s="7"/>
      <c r="AG447" s="7"/>
      <c r="AH447" s="7"/>
      <c r="AI447" s="7"/>
      <c r="AJ447" s="9">
        <f t="shared" si="2"/>
        <v>245</v>
      </c>
      <c r="AK447" s="9">
        <f t="shared" si="3"/>
        <v>615</v>
      </c>
      <c r="AL447" s="7" t="str">
        <f t="shared" ref="AL447:AM447" si="456">HLOOKUP(AJ447,{$D447:$AI447;$D$1:$AI$1},2,false)</f>
        <v>David</v>
      </c>
      <c r="AM447" s="7" t="str">
        <f t="shared" si="456"/>
        <v>Nancy</v>
      </c>
      <c r="AN447" s="7">
        <f t="shared" si="5"/>
        <v>3</v>
      </c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</row>
    <row r="448">
      <c r="A448" s="5">
        <v>45723.0</v>
      </c>
      <c r="B448" s="6" t="s">
        <v>74</v>
      </c>
      <c r="C448" s="7"/>
      <c r="D448" s="7"/>
      <c r="E448" s="7"/>
      <c r="F448" s="7"/>
      <c r="G448" s="7"/>
      <c r="H448" s="7"/>
      <c r="I448" s="7"/>
      <c r="J448" s="7"/>
      <c r="K448" s="8">
        <v>260.0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8">
        <v>330.0</v>
      </c>
      <c r="Z448" s="7"/>
      <c r="AA448" s="8">
        <v>455.0</v>
      </c>
      <c r="AB448" s="7"/>
      <c r="AC448" s="7"/>
      <c r="AD448" s="7"/>
      <c r="AE448" s="7"/>
      <c r="AF448" s="7"/>
      <c r="AG448" s="7"/>
      <c r="AH448" s="7"/>
      <c r="AI448" s="7"/>
      <c r="AJ448" s="9">
        <f t="shared" si="2"/>
        <v>260</v>
      </c>
      <c r="AK448" s="9">
        <f t="shared" si="3"/>
        <v>455</v>
      </c>
      <c r="AL448" s="7" t="str">
        <f t="shared" ref="AL448:AM448" si="457">HLOOKUP(AJ448,{$D448:$AI448;$D$1:$AI$1},2,false)</f>
        <v>David</v>
      </c>
      <c r="AM448" s="7" t="str">
        <f t="shared" si="457"/>
        <v>Sally</v>
      </c>
      <c r="AN448" s="7">
        <f t="shared" si="5"/>
        <v>3</v>
      </c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</row>
    <row r="449">
      <c r="A449" s="5">
        <v>45731.0</v>
      </c>
      <c r="B449" s="6" t="s">
        <v>55</v>
      </c>
      <c r="C449" s="7"/>
      <c r="D449" s="7"/>
      <c r="E449" s="7"/>
      <c r="F449" s="7"/>
      <c r="G449" s="7"/>
      <c r="H449" s="7"/>
      <c r="I449" s="8">
        <v>365.0</v>
      </c>
      <c r="J449" s="7"/>
      <c r="K449" s="8">
        <v>295.0</v>
      </c>
      <c r="L449" s="8">
        <v>410.0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8">
        <v>325.0</v>
      </c>
      <c r="Z449" s="7"/>
      <c r="AA449" s="7"/>
      <c r="AB449" s="8">
        <v>675.0</v>
      </c>
      <c r="AC449" s="7"/>
      <c r="AD449" s="7"/>
      <c r="AE449" s="7"/>
      <c r="AF449" s="7"/>
      <c r="AG449" s="7"/>
      <c r="AH449" s="7"/>
      <c r="AI449" s="7"/>
      <c r="AJ449" s="9">
        <f t="shared" si="2"/>
        <v>295</v>
      </c>
      <c r="AK449" s="9">
        <f t="shared" si="3"/>
        <v>675</v>
      </c>
      <c r="AL449" s="7" t="str">
        <f t="shared" ref="AL449:AM449" si="458">HLOOKUP(AJ449,{$D449:$AI449;$D$1:$AI$1},2,false)</f>
        <v>David</v>
      </c>
      <c r="AM449" s="7" t="str">
        <f t="shared" si="458"/>
        <v>Sandy</v>
      </c>
      <c r="AN449" s="7">
        <f t="shared" si="5"/>
        <v>5</v>
      </c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</row>
    <row r="450">
      <c r="A450" s="5">
        <v>45743.0</v>
      </c>
      <c r="B450" s="6" t="s">
        <v>55</v>
      </c>
      <c r="C450" s="7"/>
      <c r="D450" s="7"/>
      <c r="E450" s="7"/>
      <c r="F450" s="7"/>
      <c r="G450" s="7"/>
      <c r="H450" s="7"/>
      <c r="I450" s="8">
        <v>500.0</v>
      </c>
      <c r="J450" s="7"/>
      <c r="K450" s="8">
        <v>200.0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8">
        <v>290.0</v>
      </c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9">
        <f t="shared" si="2"/>
        <v>200</v>
      </c>
      <c r="AK450" s="9">
        <f t="shared" si="3"/>
        <v>500</v>
      </c>
      <c r="AL450" s="7" t="str">
        <f t="shared" ref="AL450:AM450" si="459">HLOOKUP(AJ450,{$D450:$AI450;$D$1:$AI$1},2,false)</f>
        <v>David</v>
      </c>
      <c r="AM450" s="7" t="str">
        <f t="shared" si="459"/>
        <v>Charlene</v>
      </c>
      <c r="AN450" s="7">
        <f t="shared" si="5"/>
        <v>3</v>
      </c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</row>
    <row r="451">
      <c r="A451" s="5">
        <v>45745.0</v>
      </c>
      <c r="B451" s="6" t="s">
        <v>55</v>
      </c>
      <c r="C451" s="7"/>
      <c r="D451" s="7"/>
      <c r="E451" s="7"/>
      <c r="F451" s="7"/>
      <c r="G451" s="7"/>
      <c r="H451" s="7"/>
      <c r="I451" s="8">
        <v>315.0</v>
      </c>
      <c r="J451" s="7"/>
      <c r="K451" s="8">
        <v>265.0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8">
        <v>615.0</v>
      </c>
      <c r="Z451" s="7"/>
      <c r="AA451" s="7"/>
      <c r="AB451" s="8">
        <v>545.0</v>
      </c>
      <c r="AC451" s="7"/>
      <c r="AD451" s="7"/>
      <c r="AE451" s="7"/>
      <c r="AF451" s="7"/>
      <c r="AG451" s="7"/>
      <c r="AH451" s="7"/>
      <c r="AI451" s="7"/>
      <c r="AJ451" s="9">
        <f t="shared" si="2"/>
        <v>265</v>
      </c>
      <c r="AK451" s="9">
        <f t="shared" si="3"/>
        <v>615</v>
      </c>
      <c r="AL451" s="7" t="str">
        <f t="shared" ref="AL451:AM451" si="460">HLOOKUP(AJ451,{$D451:$AI451;$D$1:$AI$1},2,false)</f>
        <v>David</v>
      </c>
      <c r="AM451" s="7" t="str">
        <f t="shared" si="460"/>
        <v>Nancy</v>
      </c>
      <c r="AN451" s="7">
        <f t="shared" si="5"/>
        <v>4</v>
      </c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</row>
    <row r="452">
      <c r="A452" s="5">
        <v>45752.0</v>
      </c>
      <c r="B452" s="6" t="s">
        <v>55</v>
      </c>
      <c r="C452" s="7"/>
      <c r="D452" s="7"/>
      <c r="E452" s="7"/>
      <c r="F452" s="7"/>
      <c r="G452" s="7"/>
      <c r="H452" s="7"/>
      <c r="I452" s="8">
        <v>215.0</v>
      </c>
      <c r="J452" s="7"/>
      <c r="K452" s="8">
        <v>275.0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8">
        <v>945.0</v>
      </c>
      <c r="Z452" s="7"/>
      <c r="AA452" s="7"/>
      <c r="AB452" s="8">
        <v>110.0</v>
      </c>
      <c r="AC452" s="7"/>
      <c r="AD452" s="7"/>
      <c r="AE452" s="7"/>
      <c r="AF452" s="7"/>
      <c r="AG452" s="7"/>
      <c r="AH452" s="7"/>
      <c r="AI452" s="7"/>
      <c r="AJ452" s="9">
        <f t="shared" si="2"/>
        <v>110</v>
      </c>
      <c r="AK452" s="9">
        <f t="shared" si="3"/>
        <v>945</v>
      </c>
      <c r="AL452" s="7" t="str">
        <f t="shared" ref="AL452:AM452" si="461">HLOOKUP(AJ452,{$D452:$AI452;$D$1:$AI$1},2,false)</f>
        <v>Sandy</v>
      </c>
      <c r="AM452" s="7" t="str">
        <f t="shared" si="461"/>
        <v>Nancy</v>
      </c>
      <c r="AN452" s="7">
        <f t="shared" si="5"/>
        <v>4</v>
      </c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</row>
    <row r="453">
      <c r="A453" s="5">
        <v>45754.0</v>
      </c>
      <c r="B453" s="6" t="s">
        <v>55</v>
      </c>
      <c r="C453" s="7"/>
      <c r="D453" s="7"/>
      <c r="E453" s="7"/>
      <c r="F453" s="7"/>
      <c r="G453" s="7"/>
      <c r="H453" s="7"/>
      <c r="I453" s="8">
        <v>380.0</v>
      </c>
      <c r="J453" s="7"/>
      <c r="K453" s="8">
        <v>410.0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8">
        <v>700.0</v>
      </c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9">
        <f t="shared" si="2"/>
        <v>380</v>
      </c>
      <c r="AK453" s="9">
        <f t="shared" si="3"/>
        <v>700</v>
      </c>
      <c r="AL453" s="7" t="str">
        <f t="shared" ref="AL453:AM453" si="462">HLOOKUP(AJ453,{$D453:$AI453;$D$1:$AI$1},2,false)</f>
        <v>Charlene</v>
      </c>
      <c r="AM453" s="7" t="str">
        <f t="shared" si="462"/>
        <v>Nancy</v>
      </c>
      <c r="AN453" s="7">
        <f t="shared" si="5"/>
        <v>3</v>
      </c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</row>
    <row r="454">
      <c r="A454" s="5">
        <v>45757.0</v>
      </c>
      <c r="B454" s="6" t="s">
        <v>74</v>
      </c>
      <c r="C454" s="7"/>
      <c r="D454" s="7"/>
      <c r="E454" s="7"/>
      <c r="F454" s="7"/>
      <c r="G454" s="7"/>
      <c r="H454" s="7"/>
      <c r="I454" s="7"/>
      <c r="J454" s="7"/>
      <c r="K454" s="8">
        <v>325.0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8">
        <v>440.0</v>
      </c>
      <c r="Z454" s="7"/>
      <c r="AA454" s="8">
        <v>505.0</v>
      </c>
      <c r="AB454" s="7"/>
      <c r="AC454" s="7"/>
      <c r="AD454" s="7"/>
      <c r="AE454" s="7"/>
      <c r="AF454" s="7"/>
      <c r="AG454" s="7"/>
      <c r="AH454" s="7"/>
      <c r="AI454" s="7"/>
      <c r="AJ454" s="9">
        <f t="shared" si="2"/>
        <v>325</v>
      </c>
      <c r="AK454" s="9">
        <f t="shared" si="3"/>
        <v>505</v>
      </c>
      <c r="AL454" s="7" t="str">
        <f t="shared" ref="AL454:AM454" si="463">HLOOKUP(AJ454,{$D454:$AI454;$D$1:$AI$1},2,false)</f>
        <v>David</v>
      </c>
      <c r="AM454" s="7" t="str">
        <f t="shared" si="463"/>
        <v>Sally</v>
      </c>
      <c r="AN454" s="7">
        <f t="shared" si="5"/>
        <v>3</v>
      </c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</row>
    <row r="455">
      <c r="A455" s="5">
        <v>45758.0</v>
      </c>
      <c r="B455" s="6" t="s">
        <v>84</v>
      </c>
      <c r="C455" s="7"/>
      <c r="D455" s="7"/>
      <c r="E455" s="7"/>
      <c r="F455" s="7"/>
      <c r="G455" s="7"/>
      <c r="H455" s="7"/>
      <c r="I455" s="7"/>
      <c r="J455" s="7"/>
      <c r="K455" s="8">
        <v>690.0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8">
        <v>560.0</v>
      </c>
      <c r="Z455" s="7"/>
      <c r="AA455" s="8">
        <v>210.0</v>
      </c>
      <c r="AB455" s="7"/>
      <c r="AC455" s="7"/>
      <c r="AD455" s="7"/>
      <c r="AE455" s="7"/>
      <c r="AF455" s="7"/>
      <c r="AG455" s="7"/>
      <c r="AH455" s="7"/>
      <c r="AI455" s="7"/>
      <c r="AJ455" s="9">
        <f t="shared" si="2"/>
        <v>210</v>
      </c>
      <c r="AK455" s="9">
        <f t="shared" si="3"/>
        <v>690</v>
      </c>
      <c r="AL455" s="7" t="str">
        <f t="shared" ref="AL455:AM455" si="464">HLOOKUP(AJ455,{$D455:$AI455;$D$1:$AI$1},2,false)</f>
        <v>Sally</v>
      </c>
      <c r="AM455" s="7" t="str">
        <f t="shared" si="464"/>
        <v>David</v>
      </c>
      <c r="AN455" s="7">
        <f t="shared" si="5"/>
        <v>3</v>
      </c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</row>
    <row r="456">
      <c r="A456" s="5">
        <v>45759.0</v>
      </c>
      <c r="B456" s="6" t="s">
        <v>84</v>
      </c>
      <c r="C456" s="7"/>
      <c r="D456" s="7"/>
      <c r="E456" s="7"/>
      <c r="F456" s="7"/>
      <c r="G456" s="7"/>
      <c r="H456" s="7"/>
      <c r="I456" s="7"/>
      <c r="J456" s="7"/>
      <c r="K456" s="8">
        <v>360.0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8">
        <v>615.0</v>
      </c>
      <c r="Z456" s="7"/>
      <c r="AA456" s="8">
        <v>385.0</v>
      </c>
      <c r="AB456" s="7"/>
      <c r="AC456" s="7"/>
      <c r="AD456" s="7"/>
      <c r="AE456" s="7"/>
      <c r="AF456" s="7"/>
      <c r="AG456" s="7"/>
      <c r="AH456" s="7"/>
      <c r="AI456" s="7"/>
      <c r="AJ456" s="9">
        <f t="shared" si="2"/>
        <v>360</v>
      </c>
      <c r="AK456" s="9">
        <f t="shared" si="3"/>
        <v>615</v>
      </c>
      <c r="AL456" s="7" t="str">
        <f t="shared" ref="AL456:AM456" si="465">HLOOKUP(AJ456,{$D456:$AI456;$D$1:$AI$1},2,false)</f>
        <v>David</v>
      </c>
      <c r="AM456" s="7" t="str">
        <f t="shared" si="465"/>
        <v>Nancy</v>
      </c>
      <c r="AN456" s="7">
        <f t="shared" si="5"/>
        <v>3</v>
      </c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</row>
    <row r="457">
      <c r="A457" s="5">
        <v>45764.0</v>
      </c>
      <c r="B457" s="6" t="s">
        <v>55</v>
      </c>
      <c r="C457" s="7"/>
      <c r="D457" s="7"/>
      <c r="E457" s="7"/>
      <c r="F457" s="7"/>
      <c r="G457" s="7"/>
      <c r="H457" s="7"/>
      <c r="I457" s="8">
        <v>325.0</v>
      </c>
      <c r="J457" s="7"/>
      <c r="K457" s="8">
        <v>570.0</v>
      </c>
      <c r="L457" s="8">
        <v>470.0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8">
        <v>225.0</v>
      </c>
      <c r="Z457" s="7"/>
      <c r="AA457" s="7"/>
      <c r="AB457" s="8">
        <v>285.0</v>
      </c>
      <c r="AC457" s="7"/>
      <c r="AD457" s="7"/>
      <c r="AE457" s="7"/>
      <c r="AF457" s="7"/>
      <c r="AG457" s="7"/>
      <c r="AH457" s="7"/>
      <c r="AI457" s="7"/>
      <c r="AJ457" s="9">
        <f t="shared" si="2"/>
        <v>225</v>
      </c>
      <c r="AK457" s="9">
        <f t="shared" si="3"/>
        <v>570</v>
      </c>
      <c r="AL457" s="7" t="str">
        <f t="shared" ref="AL457:AM457" si="466">HLOOKUP(AJ457,{$D457:$AI457;$D$1:$AI$1},2,false)</f>
        <v>Nancy</v>
      </c>
      <c r="AM457" s="7" t="str">
        <f t="shared" si="466"/>
        <v>David</v>
      </c>
      <c r="AN457" s="7">
        <f t="shared" si="5"/>
        <v>5</v>
      </c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</row>
    <row r="458">
      <c r="A458" s="5">
        <v>45772.0</v>
      </c>
      <c r="B458" s="6" t="s">
        <v>74</v>
      </c>
      <c r="C458" s="7"/>
      <c r="D458" s="7"/>
      <c r="E458" s="7"/>
      <c r="F458" s="7"/>
      <c r="G458" s="7"/>
      <c r="H458" s="7"/>
      <c r="I458" s="7"/>
      <c r="J458" s="7"/>
      <c r="K458" s="8">
        <v>440.0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8">
        <v>385.0</v>
      </c>
      <c r="Z458" s="7"/>
      <c r="AA458" s="8">
        <v>320.0</v>
      </c>
      <c r="AB458" s="7"/>
      <c r="AC458" s="7"/>
      <c r="AD458" s="7"/>
      <c r="AE458" s="7"/>
      <c r="AF458" s="7"/>
      <c r="AG458" s="7"/>
      <c r="AH458" s="7"/>
      <c r="AI458" s="7"/>
      <c r="AJ458" s="9">
        <f t="shared" si="2"/>
        <v>320</v>
      </c>
      <c r="AK458" s="9">
        <f t="shared" si="3"/>
        <v>440</v>
      </c>
      <c r="AL458" s="7" t="str">
        <f t="shared" ref="AL458:AM458" si="467">HLOOKUP(AJ458,{$D458:$AI458;$D$1:$AI$1},2,false)</f>
        <v>Sally</v>
      </c>
      <c r="AM458" s="7" t="str">
        <f t="shared" si="467"/>
        <v>David</v>
      </c>
      <c r="AN458" s="7">
        <f t="shared" si="5"/>
        <v>3</v>
      </c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</row>
    <row r="459">
      <c r="A459" s="5">
        <v>45773.0</v>
      </c>
      <c r="B459" s="6" t="s">
        <v>74</v>
      </c>
      <c r="C459" s="7"/>
      <c r="D459" s="7"/>
      <c r="E459" s="7"/>
      <c r="F459" s="7"/>
      <c r="G459" s="7"/>
      <c r="H459" s="7"/>
      <c r="I459" s="7"/>
      <c r="J459" s="7"/>
      <c r="K459" s="8">
        <v>220.0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8">
        <v>235.0</v>
      </c>
      <c r="Z459" s="7"/>
      <c r="AA459" s="8">
        <v>425.0</v>
      </c>
      <c r="AB459" s="7"/>
      <c r="AC459" s="7"/>
      <c r="AD459" s="7"/>
      <c r="AE459" s="7"/>
      <c r="AF459" s="7"/>
      <c r="AG459" s="7"/>
      <c r="AH459" s="7"/>
      <c r="AI459" s="7"/>
      <c r="AJ459" s="9">
        <f t="shared" si="2"/>
        <v>220</v>
      </c>
      <c r="AK459" s="9">
        <f t="shared" si="3"/>
        <v>425</v>
      </c>
      <c r="AL459" s="7" t="str">
        <f t="shared" ref="AL459:AM459" si="468">HLOOKUP(AJ459,{$D459:$AI459;$D$1:$AI$1},2,false)</f>
        <v>David</v>
      </c>
      <c r="AM459" s="7" t="str">
        <f t="shared" si="468"/>
        <v>Sally</v>
      </c>
      <c r="AN459" s="7">
        <f t="shared" si="5"/>
        <v>3</v>
      </c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</row>
    <row r="460">
      <c r="A460" s="5">
        <v>45774.0</v>
      </c>
      <c r="B460" s="6" t="s">
        <v>74</v>
      </c>
      <c r="C460" s="7"/>
      <c r="D460" s="7"/>
      <c r="E460" s="7"/>
      <c r="F460" s="7"/>
      <c r="G460" s="7"/>
      <c r="H460" s="7"/>
      <c r="I460" s="7"/>
      <c r="J460" s="7"/>
      <c r="K460" s="8">
        <v>755.0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8">
        <v>575.0</v>
      </c>
      <c r="Z460" s="7"/>
      <c r="AA460" s="8">
        <v>635.0</v>
      </c>
      <c r="AB460" s="7"/>
      <c r="AC460" s="7"/>
      <c r="AD460" s="7"/>
      <c r="AE460" s="7"/>
      <c r="AF460" s="7"/>
      <c r="AG460" s="7"/>
      <c r="AH460" s="7"/>
      <c r="AI460" s="7"/>
      <c r="AJ460" s="9">
        <f t="shared" si="2"/>
        <v>575</v>
      </c>
      <c r="AK460" s="9">
        <f t="shared" si="3"/>
        <v>755</v>
      </c>
      <c r="AL460" s="7" t="str">
        <f t="shared" ref="AL460:AM460" si="469">HLOOKUP(AJ460,{$D460:$AI460;$D$1:$AI$1},2,false)</f>
        <v>Nancy</v>
      </c>
      <c r="AM460" s="7" t="str">
        <f t="shared" si="469"/>
        <v>David</v>
      </c>
      <c r="AN460" s="7">
        <f t="shared" si="5"/>
        <v>3</v>
      </c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</row>
    <row r="461">
      <c r="A461" s="5">
        <v>45775.0</v>
      </c>
      <c r="B461" s="6" t="s">
        <v>55</v>
      </c>
      <c r="C461" s="7"/>
      <c r="D461" s="7"/>
      <c r="E461" s="7"/>
      <c r="F461" s="7"/>
      <c r="G461" s="7"/>
      <c r="H461" s="7"/>
      <c r="I461" s="8">
        <v>205.0</v>
      </c>
      <c r="J461" s="7"/>
      <c r="K461" s="8">
        <v>385.0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8">
        <v>150.0</v>
      </c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9">
        <f t="shared" si="2"/>
        <v>150</v>
      </c>
      <c r="AK461" s="9">
        <f t="shared" si="3"/>
        <v>385</v>
      </c>
      <c r="AL461" s="7" t="str">
        <f t="shared" ref="AL461:AM461" si="470">HLOOKUP(AJ461,{$D461:$AI461;$D$1:$AI$1},2,false)</f>
        <v>Nancy</v>
      </c>
      <c r="AM461" s="7" t="str">
        <f t="shared" si="470"/>
        <v>David</v>
      </c>
      <c r="AN461" s="7">
        <f t="shared" si="5"/>
        <v>3</v>
      </c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</row>
    <row r="462">
      <c r="A462" s="5">
        <v>45785.0</v>
      </c>
      <c r="B462" s="6" t="s">
        <v>55</v>
      </c>
      <c r="C462" s="7"/>
      <c r="D462" s="7"/>
      <c r="E462" s="7"/>
      <c r="F462" s="7"/>
      <c r="G462" s="7"/>
      <c r="H462" s="7"/>
      <c r="I462" s="7"/>
      <c r="J462" s="7"/>
      <c r="K462" s="8">
        <v>235.0</v>
      </c>
      <c r="L462" s="8">
        <v>255.0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8">
        <v>160.0</v>
      </c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9">
        <f t="shared" si="2"/>
        <v>160</v>
      </c>
      <c r="AK462" s="9">
        <f t="shared" si="3"/>
        <v>255</v>
      </c>
      <c r="AL462" s="7" t="str">
        <f t="shared" ref="AL462:AM462" si="471">HLOOKUP(AJ462,{$D462:$AI462;$D$1:$AI$1},2,false)</f>
        <v>Nancy</v>
      </c>
      <c r="AM462" s="7" t="str">
        <f t="shared" si="471"/>
        <v>Debby</v>
      </c>
      <c r="AN462" s="7">
        <f t="shared" si="5"/>
        <v>3</v>
      </c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</row>
    <row r="463">
      <c r="A463" s="5">
        <v>45788.0</v>
      </c>
      <c r="B463" s="6" t="s">
        <v>55</v>
      </c>
      <c r="C463" s="7"/>
      <c r="D463" s="7"/>
      <c r="E463" s="7"/>
      <c r="F463" s="7"/>
      <c r="G463" s="7"/>
      <c r="H463" s="7"/>
      <c r="I463" s="8">
        <v>320.0</v>
      </c>
      <c r="J463" s="7"/>
      <c r="K463" s="8">
        <v>375.0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8">
        <v>100.0</v>
      </c>
      <c r="Z463" s="7"/>
      <c r="AA463" s="7"/>
      <c r="AB463" s="8">
        <v>380.0</v>
      </c>
      <c r="AC463" s="7"/>
      <c r="AD463" s="7"/>
      <c r="AE463" s="7"/>
      <c r="AF463" s="7"/>
      <c r="AG463" s="7"/>
      <c r="AH463" s="7"/>
      <c r="AI463" s="7"/>
      <c r="AJ463" s="9">
        <f t="shared" si="2"/>
        <v>100</v>
      </c>
      <c r="AK463" s="9">
        <f t="shared" si="3"/>
        <v>380</v>
      </c>
      <c r="AL463" s="7" t="str">
        <f t="shared" ref="AL463:AM463" si="472">HLOOKUP(AJ463,{$D463:$AI463;$D$1:$AI$1},2,false)</f>
        <v>Nancy</v>
      </c>
      <c r="AM463" s="7" t="str">
        <f t="shared" si="472"/>
        <v>Sandy</v>
      </c>
      <c r="AN463" s="7">
        <f t="shared" si="5"/>
        <v>4</v>
      </c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</row>
    <row r="464">
      <c r="A464" s="5">
        <v>45794.0</v>
      </c>
      <c r="B464" s="6" t="s">
        <v>55</v>
      </c>
      <c r="C464" s="7"/>
      <c r="D464" s="7"/>
      <c r="E464" s="7"/>
      <c r="F464" s="7"/>
      <c r="G464" s="7"/>
      <c r="H464" s="7"/>
      <c r="I464" s="8">
        <v>610.0</v>
      </c>
      <c r="J464" s="7"/>
      <c r="K464" s="7"/>
      <c r="L464" s="8">
        <v>230.0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8">
        <v>830.0</v>
      </c>
      <c r="X464" s="7"/>
      <c r="Y464" s="7"/>
      <c r="Z464" s="7"/>
      <c r="AA464" s="7"/>
      <c r="AB464" s="8">
        <v>285.0</v>
      </c>
      <c r="AC464" s="7"/>
      <c r="AD464" s="7"/>
      <c r="AE464" s="7"/>
      <c r="AF464" s="7"/>
      <c r="AG464" s="7"/>
      <c r="AH464" s="7"/>
      <c r="AI464" s="7"/>
      <c r="AJ464" s="9">
        <f t="shared" si="2"/>
        <v>230</v>
      </c>
      <c r="AK464" s="9">
        <f t="shared" si="3"/>
        <v>830</v>
      </c>
      <c r="AL464" s="7" t="str">
        <f t="shared" ref="AL464:AM464" si="473">HLOOKUP(AJ464,{$D464:$AI464;$D$1:$AI$1},2,false)</f>
        <v>Debby</v>
      </c>
      <c r="AM464" s="7" t="str">
        <f t="shared" si="473"/>
        <v>Kas</v>
      </c>
      <c r="AN464" s="7">
        <f t="shared" si="5"/>
        <v>4</v>
      </c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</row>
    <row r="465">
      <c r="A465" s="5">
        <v>45799.0</v>
      </c>
      <c r="B465" s="6" t="s">
        <v>55</v>
      </c>
      <c r="C465" s="7"/>
      <c r="D465" s="7"/>
      <c r="E465" s="7"/>
      <c r="F465" s="7"/>
      <c r="G465" s="7"/>
      <c r="H465" s="7"/>
      <c r="I465" s="8">
        <v>815.0</v>
      </c>
      <c r="J465" s="7"/>
      <c r="K465" s="8">
        <v>575.0</v>
      </c>
      <c r="L465" s="8">
        <v>345.0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8">
        <v>830.0</v>
      </c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9">
        <f t="shared" si="2"/>
        <v>345</v>
      </c>
      <c r="AK465" s="9">
        <f t="shared" si="3"/>
        <v>830</v>
      </c>
      <c r="AL465" s="7" t="str">
        <f t="shared" ref="AL465:AM465" si="474">HLOOKUP(AJ465,{$D465:$AI465;$D$1:$AI$1},2,false)</f>
        <v>Debby</v>
      </c>
      <c r="AM465" s="7" t="str">
        <f t="shared" si="474"/>
        <v>Nancy</v>
      </c>
      <c r="AN465" s="7">
        <f t="shared" si="5"/>
        <v>4</v>
      </c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</row>
    <row r="466">
      <c r="A466" s="5">
        <v>45801.0</v>
      </c>
      <c r="B466" s="6" t="s">
        <v>55</v>
      </c>
      <c r="C466" s="7"/>
      <c r="D466" s="7"/>
      <c r="E466" s="7"/>
      <c r="F466" s="7"/>
      <c r="G466" s="7"/>
      <c r="H466" s="8"/>
      <c r="I466" s="8">
        <v>315.0</v>
      </c>
      <c r="J466" s="7"/>
      <c r="K466" s="8">
        <v>330.0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8">
        <v>450.0</v>
      </c>
      <c r="Z466" s="7"/>
      <c r="AA466" s="7"/>
      <c r="AB466" s="8">
        <v>620.0</v>
      </c>
      <c r="AC466" s="7"/>
      <c r="AD466" s="7"/>
      <c r="AE466" s="7"/>
      <c r="AF466" s="7"/>
      <c r="AG466" s="7"/>
      <c r="AH466" s="7"/>
      <c r="AI466" s="7"/>
      <c r="AJ466" s="9">
        <f t="shared" si="2"/>
        <v>315</v>
      </c>
      <c r="AK466" s="9">
        <f t="shared" si="3"/>
        <v>620</v>
      </c>
      <c r="AL466" s="7" t="str">
        <f t="shared" ref="AL466:AM466" si="475">HLOOKUP(AJ466,{$D466:$AI466;$D$1:$AI$1},2,false)</f>
        <v>Charlene</v>
      </c>
      <c r="AM466" s="7" t="str">
        <f t="shared" si="475"/>
        <v>Sandy</v>
      </c>
      <c r="AN466" s="7">
        <f t="shared" si="5"/>
        <v>4</v>
      </c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</row>
    <row r="467">
      <c r="A467" s="5">
        <v>45807.0</v>
      </c>
      <c r="B467" s="6" t="s">
        <v>55</v>
      </c>
      <c r="C467" s="7"/>
      <c r="D467" s="7"/>
      <c r="E467" s="7"/>
      <c r="F467" s="7"/>
      <c r="G467" s="7"/>
      <c r="H467" s="7"/>
      <c r="I467" s="8">
        <v>400.0</v>
      </c>
      <c r="J467" s="7"/>
      <c r="K467" s="8">
        <v>280.0</v>
      </c>
      <c r="L467" s="8">
        <v>1025.0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8">
        <v>495.0</v>
      </c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9">
        <f t="shared" si="2"/>
        <v>280</v>
      </c>
      <c r="AK467" s="9">
        <f t="shared" si="3"/>
        <v>1025</v>
      </c>
      <c r="AL467" s="7" t="str">
        <f t="shared" ref="AL467:AM467" si="476">HLOOKUP(AJ467,{$D467:$AI467;$D$1:$AI$1},2,false)</f>
        <v>David</v>
      </c>
      <c r="AM467" s="7" t="str">
        <f t="shared" si="476"/>
        <v>Debby</v>
      </c>
      <c r="AN467" s="7">
        <f t="shared" si="5"/>
        <v>4</v>
      </c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</row>
    <row r="468">
      <c r="A468" s="5">
        <v>45808.0</v>
      </c>
      <c r="B468" s="6" t="s">
        <v>55</v>
      </c>
      <c r="C468" s="7"/>
      <c r="D468" s="7"/>
      <c r="E468" s="7"/>
      <c r="F468" s="7"/>
      <c r="G468" s="7"/>
      <c r="H468" s="7"/>
      <c r="I468" s="8">
        <v>515.0</v>
      </c>
      <c r="J468" s="7"/>
      <c r="K468" s="7"/>
      <c r="L468" s="8">
        <v>880.0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8">
        <v>675.0</v>
      </c>
      <c r="X468" s="7"/>
      <c r="Y468" s="8">
        <v>375.0</v>
      </c>
      <c r="Z468" s="7"/>
      <c r="AA468" s="7"/>
      <c r="AB468" s="8">
        <v>490.0</v>
      </c>
      <c r="AC468" s="7"/>
      <c r="AD468" s="7"/>
      <c r="AE468" s="7"/>
      <c r="AF468" s="7"/>
      <c r="AG468" s="7"/>
      <c r="AH468" s="7"/>
      <c r="AI468" s="7"/>
      <c r="AJ468" s="9">
        <f t="shared" si="2"/>
        <v>375</v>
      </c>
      <c r="AK468" s="9">
        <f t="shared" si="3"/>
        <v>880</v>
      </c>
      <c r="AL468" s="7" t="str">
        <f t="shared" ref="AL468:AM468" si="477">HLOOKUP(AJ468,{$D468:$AI468;$D$1:$AI$1},2,false)</f>
        <v>Nancy</v>
      </c>
      <c r="AM468" s="7" t="str">
        <f t="shared" si="477"/>
        <v>Debby</v>
      </c>
      <c r="AN468" s="7">
        <f t="shared" si="5"/>
        <v>5</v>
      </c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</row>
    <row r="469">
      <c r="A469" s="5">
        <v>45815.0</v>
      </c>
      <c r="B469" s="6" t="s">
        <v>55</v>
      </c>
      <c r="C469" s="7"/>
      <c r="D469" s="7"/>
      <c r="E469" s="7"/>
      <c r="F469" s="7"/>
      <c r="G469" s="7"/>
      <c r="H469" s="7"/>
      <c r="I469" s="8">
        <v>90.0</v>
      </c>
      <c r="J469" s="7"/>
      <c r="K469" s="8">
        <v>655.0</v>
      </c>
      <c r="L469" s="8">
        <v>485.0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8">
        <v>460.0</v>
      </c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9">
        <f t="shared" si="2"/>
        <v>90</v>
      </c>
      <c r="AK469" s="9">
        <f t="shared" si="3"/>
        <v>655</v>
      </c>
      <c r="AL469" s="7" t="str">
        <f t="shared" ref="AL469:AM469" si="478">HLOOKUP(AJ469,{$D469:$AI469;$D$1:$AI$1},2,false)</f>
        <v>Charlene</v>
      </c>
      <c r="AM469" s="7" t="str">
        <f t="shared" si="478"/>
        <v>David</v>
      </c>
      <c r="AN469" s="7">
        <f t="shared" si="5"/>
        <v>4</v>
      </c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</row>
    <row r="470">
      <c r="A470" s="5">
        <v>45821.0</v>
      </c>
      <c r="B470" s="6" t="s">
        <v>55</v>
      </c>
      <c r="C470" s="7"/>
      <c r="D470" s="7"/>
      <c r="E470" s="7"/>
      <c r="F470" s="7"/>
      <c r="G470" s="7"/>
      <c r="H470" s="7"/>
      <c r="I470" s="8">
        <v>80.0</v>
      </c>
      <c r="J470" s="7"/>
      <c r="K470" s="8">
        <v>445.0</v>
      </c>
      <c r="L470" s="7"/>
      <c r="M470" s="7"/>
      <c r="N470" s="7"/>
      <c r="O470" s="7"/>
      <c r="P470" s="7"/>
      <c r="Q470" s="8">
        <v>690.0</v>
      </c>
      <c r="R470" s="7"/>
      <c r="S470" s="7"/>
      <c r="T470" s="7"/>
      <c r="U470" s="7"/>
      <c r="V470" s="7"/>
      <c r="W470" s="7"/>
      <c r="X470" s="7"/>
      <c r="Y470" s="8">
        <v>315.0</v>
      </c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9">
        <f t="shared" si="2"/>
        <v>80</v>
      </c>
      <c r="AK470" s="9">
        <f t="shared" si="3"/>
        <v>690</v>
      </c>
      <c r="AL470" s="7" t="str">
        <f t="shared" ref="AL470:AM470" si="479">HLOOKUP(AJ470,{$D470:$AI470;$D$1:$AI$1},2,false)</f>
        <v>Charlene</v>
      </c>
      <c r="AM470" s="7" t="str">
        <f t="shared" si="479"/>
        <v>Jeff M</v>
      </c>
      <c r="AN470" s="7">
        <f t="shared" si="5"/>
        <v>4</v>
      </c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</row>
    <row r="471">
      <c r="A471" s="5">
        <v>45823.0</v>
      </c>
      <c r="B471" s="6" t="s">
        <v>55</v>
      </c>
      <c r="C471" s="7"/>
      <c r="D471" s="7"/>
      <c r="E471" s="7"/>
      <c r="F471" s="7"/>
      <c r="G471" s="7"/>
      <c r="H471" s="7"/>
      <c r="I471" s="8">
        <v>510.0</v>
      </c>
      <c r="J471" s="7"/>
      <c r="K471" s="8">
        <v>545.0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8">
        <v>510.0</v>
      </c>
      <c r="Z471" s="7"/>
      <c r="AA471" s="7"/>
      <c r="AB471" s="8">
        <v>340.0</v>
      </c>
      <c r="AC471" s="7"/>
      <c r="AD471" s="7"/>
      <c r="AE471" s="7"/>
      <c r="AF471" s="7"/>
      <c r="AG471" s="7"/>
      <c r="AH471" s="7"/>
      <c r="AI471" s="7"/>
      <c r="AJ471" s="9">
        <f t="shared" si="2"/>
        <v>340</v>
      </c>
      <c r="AK471" s="9">
        <f t="shared" si="3"/>
        <v>545</v>
      </c>
      <c r="AL471" s="7" t="str">
        <f t="shared" ref="AL471:AM471" si="480">HLOOKUP(AJ471,{$D471:$AI471;$D$1:$AI$1},2,false)</f>
        <v>Sandy</v>
      </c>
      <c r="AM471" s="7" t="str">
        <f t="shared" si="480"/>
        <v>David</v>
      </c>
      <c r="AN471" s="7">
        <f t="shared" si="5"/>
        <v>4</v>
      </c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</row>
    <row r="472">
      <c r="A472" s="5">
        <v>45829.0</v>
      </c>
      <c r="B472" s="6" t="s">
        <v>74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8">
        <v>645.0</v>
      </c>
      <c r="W472" s="7"/>
      <c r="X472" s="7"/>
      <c r="Y472" s="8">
        <v>545.0</v>
      </c>
      <c r="Z472" s="7"/>
      <c r="AA472" s="8">
        <v>620.0</v>
      </c>
      <c r="AB472" s="7"/>
      <c r="AC472" s="7"/>
      <c r="AD472" s="7"/>
      <c r="AE472" s="7"/>
      <c r="AF472" s="8">
        <v>485.0</v>
      </c>
      <c r="AG472" s="7"/>
      <c r="AH472" s="7"/>
      <c r="AI472" s="7"/>
      <c r="AJ472" s="9">
        <f t="shared" si="2"/>
        <v>485</v>
      </c>
      <c r="AK472" s="9">
        <f t="shared" si="3"/>
        <v>645</v>
      </c>
      <c r="AL472" s="7" t="str">
        <f t="shared" ref="AL472:AM472" si="481">HLOOKUP(AJ472,{$D472:$AI472;$D$1:$AI$1},2,false)</f>
        <v>Susan</v>
      </c>
      <c r="AM472" s="7" t="str">
        <f t="shared" si="481"/>
        <v>Karen</v>
      </c>
      <c r="AN472" s="7">
        <f t="shared" si="5"/>
        <v>4</v>
      </c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</row>
    <row r="473">
      <c r="A473" s="5">
        <v>45830.0</v>
      </c>
      <c r="B473" s="6" t="s">
        <v>42</v>
      </c>
      <c r="C473" s="7"/>
      <c r="D473" s="7"/>
      <c r="E473" s="7"/>
      <c r="F473" s="7"/>
      <c r="G473" s="7"/>
      <c r="H473" s="7"/>
      <c r="I473" s="8">
        <v>725.0</v>
      </c>
      <c r="J473" s="7"/>
      <c r="K473" s="8">
        <v>610.0</v>
      </c>
      <c r="L473" s="7"/>
      <c r="M473" s="7"/>
      <c r="N473" s="7"/>
      <c r="O473" s="7"/>
      <c r="P473" s="7"/>
      <c r="Q473" s="7"/>
      <c r="R473" s="7"/>
      <c r="S473" s="7"/>
      <c r="T473" s="7"/>
      <c r="U473" s="8">
        <v>800.0</v>
      </c>
      <c r="V473" s="7"/>
      <c r="W473" s="7"/>
      <c r="X473" s="7"/>
      <c r="Y473" s="8">
        <v>330.0</v>
      </c>
      <c r="Z473" s="7"/>
      <c r="AA473" s="7"/>
      <c r="AB473" s="8">
        <v>765.0</v>
      </c>
      <c r="AC473" s="7"/>
      <c r="AD473" s="7"/>
      <c r="AE473" s="7"/>
      <c r="AF473" s="7"/>
      <c r="AG473" s="7"/>
      <c r="AH473" s="7"/>
      <c r="AI473" s="7"/>
      <c r="AJ473" s="9">
        <f t="shared" si="2"/>
        <v>330</v>
      </c>
      <c r="AK473" s="9">
        <f t="shared" si="3"/>
        <v>800</v>
      </c>
      <c r="AL473" s="7" t="str">
        <f t="shared" ref="AL473:AM473" si="482">HLOOKUP(AJ473,{$D473:$AI473;$D$1:$AI$1},2,false)</f>
        <v>Nancy</v>
      </c>
      <c r="AM473" s="7" t="str">
        <f t="shared" si="482"/>
        <v>Karenina</v>
      </c>
      <c r="AN473" s="7">
        <f t="shared" si="5"/>
        <v>5</v>
      </c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</row>
    <row r="474">
      <c r="A474" s="5">
        <v>45836.0</v>
      </c>
      <c r="B474" s="6" t="s">
        <v>55</v>
      </c>
      <c r="C474" s="7"/>
      <c r="D474" s="7"/>
      <c r="E474" s="7"/>
      <c r="F474" s="7"/>
      <c r="G474" s="7"/>
      <c r="H474" s="7"/>
      <c r="I474" s="7"/>
      <c r="J474" s="7"/>
      <c r="K474" s="8">
        <v>375.0</v>
      </c>
      <c r="L474" s="8">
        <v>535.0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8">
        <v>250.0</v>
      </c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9">
        <f t="shared" si="2"/>
        <v>250</v>
      </c>
      <c r="AK474" s="9">
        <f t="shared" si="3"/>
        <v>535</v>
      </c>
      <c r="AL474" s="7" t="str">
        <f t="shared" ref="AL474:AM474" si="483">HLOOKUP(AJ474,{$D474:$AI474;$D$1:$AI$1},2,false)</f>
        <v>Nancy</v>
      </c>
      <c r="AM474" s="7" t="str">
        <f t="shared" si="483"/>
        <v>Debby</v>
      </c>
      <c r="AN474" s="7">
        <f t="shared" si="5"/>
        <v>3</v>
      </c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</row>
    <row r="475">
      <c r="A475" s="5">
        <v>45837.0</v>
      </c>
      <c r="B475" s="6" t="s">
        <v>74</v>
      </c>
      <c r="C475" s="7"/>
      <c r="D475" s="7"/>
      <c r="E475" s="7"/>
      <c r="F475" s="7"/>
      <c r="G475" s="7"/>
      <c r="H475" s="7"/>
      <c r="I475" s="7"/>
      <c r="J475" s="7"/>
      <c r="K475" s="8">
        <v>305.0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8">
        <v>120.0</v>
      </c>
      <c r="Z475" s="7"/>
      <c r="AA475" s="8">
        <v>585.0</v>
      </c>
      <c r="AB475" s="7"/>
      <c r="AC475" s="7"/>
      <c r="AD475" s="7"/>
      <c r="AE475" s="7"/>
      <c r="AF475" s="7"/>
      <c r="AG475" s="7"/>
      <c r="AH475" s="7"/>
      <c r="AI475" s="7"/>
      <c r="AJ475" s="9">
        <f t="shared" si="2"/>
        <v>120</v>
      </c>
      <c r="AK475" s="9">
        <f t="shared" si="3"/>
        <v>585</v>
      </c>
      <c r="AL475" s="7" t="str">
        <f t="shared" ref="AL475:AM475" si="484">HLOOKUP(AJ475,{$D475:$AI475;$D$1:$AI$1},2,false)</f>
        <v>Nancy</v>
      </c>
      <c r="AM475" s="7" t="str">
        <f t="shared" si="484"/>
        <v>Sally</v>
      </c>
      <c r="AN475" s="7">
        <f t="shared" si="5"/>
        <v>3</v>
      </c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</row>
    <row r="476">
      <c r="A476" s="5">
        <v>45838.0</v>
      </c>
      <c r="B476" s="6" t="s">
        <v>74</v>
      </c>
      <c r="C476" s="7"/>
      <c r="D476" s="7"/>
      <c r="E476" s="7"/>
      <c r="F476" s="7"/>
      <c r="G476" s="7"/>
      <c r="H476" s="7"/>
      <c r="I476" s="7"/>
      <c r="J476" s="7"/>
      <c r="K476" s="8">
        <v>450.0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8">
        <v>220.0</v>
      </c>
      <c r="Z476" s="7"/>
      <c r="AA476" s="8">
        <v>330.0</v>
      </c>
      <c r="AB476" s="7"/>
      <c r="AC476" s="7"/>
      <c r="AD476" s="7"/>
      <c r="AE476" s="7"/>
      <c r="AF476" s="7"/>
      <c r="AG476" s="7"/>
      <c r="AH476" s="7"/>
      <c r="AI476" s="7"/>
      <c r="AJ476" s="9">
        <f t="shared" si="2"/>
        <v>220</v>
      </c>
      <c r="AK476" s="9">
        <f t="shared" si="3"/>
        <v>450</v>
      </c>
      <c r="AL476" s="7" t="str">
        <f t="shared" ref="AL476:AM476" si="485">HLOOKUP(AJ476,{$D476:$AI476;$D$1:$AI$1},2,false)</f>
        <v>Nancy</v>
      </c>
      <c r="AM476" s="7" t="str">
        <f t="shared" si="485"/>
        <v>David</v>
      </c>
      <c r="AN476" s="7">
        <f t="shared" si="5"/>
        <v>3</v>
      </c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</row>
    <row r="477">
      <c r="A477" s="5">
        <v>45841.0</v>
      </c>
      <c r="B477" s="6" t="s">
        <v>55</v>
      </c>
      <c r="C477" s="7"/>
      <c r="D477" s="7"/>
      <c r="E477" s="7"/>
      <c r="F477" s="7"/>
      <c r="G477" s="7"/>
      <c r="H477" s="7"/>
      <c r="I477" s="8">
        <v>365.0</v>
      </c>
      <c r="J477" s="7"/>
      <c r="K477" s="8">
        <v>205.0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8">
        <v>555.0</v>
      </c>
      <c r="Z477" s="7"/>
      <c r="AA477" s="8">
        <v>365.0</v>
      </c>
      <c r="AB477" s="7"/>
      <c r="AC477" s="7"/>
      <c r="AD477" s="7"/>
      <c r="AE477" s="7"/>
      <c r="AF477" s="7"/>
      <c r="AG477" s="7"/>
      <c r="AH477" s="7"/>
      <c r="AI477" s="7"/>
      <c r="AJ477" s="9">
        <f t="shared" si="2"/>
        <v>205</v>
      </c>
      <c r="AK477" s="9">
        <f t="shared" si="3"/>
        <v>555</v>
      </c>
      <c r="AL477" s="7" t="str">
        <f t="shared" ref="AL477:AM477" si="486">HLOOKUP(AJ477,{$D477:$AI477;$D$1:$AI$1},2,false)</f>
        <v>David</v>
      </c>
      <c r="AM477" s="7" t="str">
        <f t="shared" si="486"/>
        <v>Nancy</v>
      </c>
      <c r="AN477" s="7">
        <f t="shared" si="5"/>
        <v>4</v>
      </c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</row>
    <row r="478">
      <c r="A478" s="5">
        <v>45842.0</v>
      </c>
      <c r="B478" s="6" t="s">
        <v>55</v>
      </c>
      <c r="C478" s="7"/>
      <c r="D478" s="7"/>
      <c r="E478" s="7"/>
      <c r="F478" s="7"/>
      <c r="G478" s="7"/>
      <c r="H478" s="7"/>
      <c r="I478" s="8">
        <v>325.0</v>
      </c>
      <c r="J478" s="7"/>
      <c r="K478" s="8">
        <v>365.0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8">
        <v>630.0</v>
      </c>
      <c r="Z478" s="7"/>
      <c r="AA478" s="8">
        <v>840.0</v>
      </c>
      <c r="AB478" s="8">
        <v>810.0</v>
      </c>
      <c r="AC478" s="7"/>
      <c r="AD478" s="7"/>
      <c r="AE478" s="7"/>
      <c r="AF478" s="7"/>
      <c r="AG478" s="7"/>
      <c r="AH478" s="7"/>
      <c r="AI478" s="7"/>
      <c r="AJ478" s="9">
        <f t="shared" si="2"/>
        <v>325</v>
      </c>
      <c r="AK478" s="9">
        <f t="shared" si="3"/>
        <v>840</v>
      </c>
      <c r="AL478" s="7" t="str">
        <f t="shared" ref="AL478:AM478" si="487">HLOOKUP(AJ478,{$D478:$AI478;$D$1:$AI$1},2,false)</f>
        <v>Charlene</v>
      </c>
      <c r="AM478" s="7" t="str">
        <f t="shared" si="487"/>
        <v>Sally</v>
      </c>
      <c r="AN478" s="7">
        <f t="shared" si="5"/>
        <v>5</v>
      </c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</row>
    <row r="479">
      <c r="A479" s="5">
        <v>45844.0</v>
      </c>
      <c r="B479" s="6" t="s">
        <v>55</v>
      </c>
      <c r="C479" s="7"/>
      <c r="D479" s="7"/>
      <c r="E479" s="7"/>
      <c r="F479" s="7"/>
      <c r="G479" s="7"/>
      <c r="H479" s="7"/>
      <c r="I479" s="8">
        <v>285.0</v>
      </c>
      <c r="J479" s="7"/>
      <c r="K479" s="8">
        <v>200.0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8">
        <v>330.0</v>
      </c>
      <c r="Z479" s="7"/>
      <c r="AA479" s="8">
        <v>455.0</v>
      </c>
      <c r="AB479" s="7"/>
      <c r="AC479" s="7"/>
      <c r="AD479" s="7"/>
      <c r="AE479" s="7"/>
      <c r="AF479" s="7"/>
      <c r="AG479" s="7"/>
      <c r="AH479" s="7"/>
      <c r="AI479" s="7"/>
      <c r="AJ479" s="9">
        <f t="shared" si="2"/>
        <v>200</v>
      </c>
      <c r="AK479" s="9">
        <f t="shared" si="3"/>
        <v>455</v>
      </c>
      <c r="AL479" s="7" t="str">
        <f t="shared" ref="AL479:AM479" si="488">HLOOKUP(AJ479,{$D479:$AI479;$D$1:$AI$1},2,false)</f>
        <v>David</v>
      </c>
      <c r="AM479" s="7" t="str">
        <f t="shared" si="488"/>
        <v>Sally</v>
      </c>
      <c r="AN479" s="7">
        <f t="shared" si="5"/>
        <v>4</v>
      </c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</row>
    <row r="480">
      <c r="A480" s="5">
        <v>45845.0</v>
      </c>
      <c r="B480" s="6" t="s">
        <v>55</v>
      </c>
      <c r="C480" s="7"/>
      <c r="D480" s="7"/>
      <c r="E480" s="7"/>
      <c r="F480" s="7"/>
      <c r="G480" s="7"/>
      <c r="H480" s="7"/>
      <c r="I480" s="8">
        <v>505.0</v>
      </c>
      <c r="J480" s="7"/>
      <c r="K480" s="8">
        <v>505.0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8">
        <v>495.0</v>
      </c>
      <c r="Z480" s="7"/>
      <c r="AA480" s="8">
        <v>505.0</v>
      </c>
      <c r="AB480" s="7"/>
      <c r="AC480" s="7"/>
      <c r="AD480" s="7"/>
      <c r="AE480" s="7"/>
      <c r="AF480" s="7"/>
      <c r="AG480" s="7"/>
      <c r="AH480" s="7"/>
      <c r="AI480" s="7"/>
      <c r="AJ480" s="9">
        <f t="shared" si="2"/>
        <v>495</v>
      </c>
      <c r="AK480" s="9">
        <f t="shared" si="3"/>
        <v>505</v>
      </c>
      <c r="AL480" s="7" t="str">
        <f t="shared" ref="AL480:AM480" si="489">HLOOKUP(AJ480,{$D480:$AI480;$D$1:$AI$1},2,false)</f>
        <v>Nancy</v>
      </c>
      <c r="AM480" s="7" t="str">
        <f t="shared" si="489"/>
        <v>Charlene</v>
      </c>
      <c r="AN480" s="7">
        <f t="shared" si="5"/>
        <v>4</v>
      </c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</row>
    <row r="481">
      <c r="A481" s="5">
        <v>45853.0</v>
      </c>
      <c r="B481" s="6" t="s">
        <v>55</v>
      </c>
      <c r="C481" s="7"/>
      <c r="D481" s="7"/>
      <c r="E481" s="7"/>
      <c r="F481" s="7"/>
      <c r="G481" s="7"/>
      <c r="H481" s="7"/>
      <c r="I481" s="8">
        <v>435.0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8">
        <v>375.0</v>
      </c>
      <c r="Z481" s="7"/>
      <c r="AA481" s="8">
        <v>230.0</v>
      </c>
      <c r="AB481" s="7"/>
      <c r="AC481" s="7"/>
      <c r="AD481" s="7"/>
      <c r="AE481" s="7"/>
      <c r="AF481" s="7"/>
      <c r="AG481" s="7"/>
      <c r="AH481" s="7"/>
      <c r="AI481" s="7"/>
      <c r="AJ481" s="9">
        <f t="shared" si="2"/>
        <v>230</v>
      </c>
      <c r="AK481" s="9">
        <f t="shared" si="3"/>
        <v>435</v>
      </c>
      <c r="AL481" s="7" t="str">
        <f t="shared" ref="AL481:AM481" si="490">HLOOKUP(AJ481,{$D481:$AI481;$D$1:$AI$1},2,false)</f>
        <v>Sally</v>
      </c>
      <c r="AM481" s="7" t="str">
        <f t="shared" si="490"/>
        <v>Charlene</v>
      </c>
      <c r="AN481" s="7">
        <f t="shared" si="5"/>
        <v>3</v>
      </c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</row>
    <row r="482">
      <c r="A482" s="5">
        <v>45875.0</v>
      </c>
      <c r="B482" s="6" t="s">
        <v>55</v>
      </c>
      <c r="C482" s="7"/>
      <c r="D482" s="7"/>
      <c r="E482" s="7"/>
      <c r="F482" s="7"/>
      <c r="G482" s="7"/>
      <c r="H482" s="7"/>
      <c r="I482" s="8">
        <v>340.0</v>
      </c>
      <c r="J482" s="7"/>
      <c r="K482" s="8">
        <v>590.0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8">
        <v>450.0</v>
      </c>
      <c r="Z482" s="7"/>
      <c r="AA482" s="8">
        <v>470.0</v>
      </c>
      <c r="AB482" s="7"/>
      <c r="AC482" s="7"/>
      <c r="AD482" s="7"/>
      <c r="AE482" s="7"/>
      <c r="AF482" s="7"/>
      <c r="AG482" s="7"/>
      <c r="AH482" s="7"/>
      <c r="AI482" s="7"/>
      <c r="AJ482" s="9">
        <f t="shared" si="2"/>
        <v>340</v>
      </c>
      <c r="AK482" s="9">
        <f t="shared" si="3"/>
        <v>590</v>
      </c>
      <c r="AL482" s="7" t="str">
        <f t="shared" ref="AL482:AM482" si="491">HLOOKUP(AJ482,{$D482:$AI482;$D$1:$AI$1},2,false)</f>
        <v>Charlene</v>
      </c>
      <c r="AM482" s="7" t="str">
        <f t="shared" si="491"/>
        <v>David</v>
      </c>
      <c r="AN482" s="7">
        <f t="shared" si="5"/>
        <v>4</v>
      </c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</row>
    <row r="483">
      <c r="A483" s="5">
        <v>45879.0</v>
      </c>
      <c r="B483" s="6" t="s">
        <v>55</v>
      </c>
      <c r="C483" s="7"/>
      <c r="D483" s="7"/>
      <c r="E483" s="7"/>
      <c r="F483" s="7"/>
      <c r="G483" s="7"/>
      <c r="H483" s="7"/>
      <c r="I483" s="8">
        <v>450.0</v>
      </c>
      <c r="J483" s="7"/>
      <c r="K483" s="8">
        <v>490.0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8">
        <v>670.0</v>
      </c>
      <c r="Z483" s="7"/>
      <c r="AA483" s="8">
        <v>1025.0</v>
      </c>
      <c r="AB483" s="8">
        <v>625.0</v>
      </c>
      <c r="AC483" s="7"/>
      <c r="AD483" s="7"/>
      <c r="AE483" s="7"/>
      <c r="AF483" s="7"/>
      <c r="AG483" s="7"/>
      <c r="AH483" s="7"/>
      <c r="AI483" s="7"/>
      <c r="AJ483" s="9">
        <f t="shared" si="2"/>
        <v>450</v>
      </c>
      <c r="AK483" s="9">
        <f t="shared" si="3"/>
        <v>1025</v>
      </c>
      <c r="AL483" s="7" t="str">
        <f t="shared" ref="AL483:AM483" si="492">HLOOKUP(AJ483,{$D483:$AI483;$D$1:$AI$1},2,false)</f>
        <v>Charlene</v>
      </c>
      <c r="AM483" s="7" t="str">
        <f t="shared" si="492"/>
        <v>Sally</v>
      </c>
      <c r="AN483" s="7">
        <f t="shared" si="5"/>
        <v>5</v>
      </c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</row>
    <row r="484">
      <c r="A484" s="5">
        <v>45881.0</v>
      </c>
      <c r="B484" s="6" t="s">
        <v>55</v>
      </c>
      <c r="C484" s="7"/>
      <c r="D484" s="7"/>
      <c r="E484" s="7"/>
      <c r="F484" s="7"/>
      <c r="G484" s="7"/>
      <c r="H484" s="7"/>
      <c r="I484" s="8">
        <v>350.0</v>
      </c>
      <c r="J484" s="7"/>
      <c r="K484" s="7"/>
      <c r="L484" s="8">
        <v>570.0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8">
        <v>590.0</v>
      </c>
      <c r="Z484" s="7"/>
      <c r="AA484" s="8">
        <v>405.0</v>
      </c>
      <c r="AB484" s="7"/>
      <c r="AC484" s="7"/>
      <c r="AD484" s="7"/>
      <c r="AE484" s="7"/>
      <c r="AF484" s="7"/>
      <c r="AG484" s="7"/>
      <c r="AH484" s="7"/>
      <c r="AI484" s="7"/>
      <c r="AJ484" s="9">
        <f t="shared" si="2"/>
        <v>350</v>
      </c>
      <c r="AK484" s="9">
        <f t="shared" si="3"/>
        <v>590</v>
      </c>
      <c r="AL484" s="7" t="str">
        <f t="shared" ref="AL484:AM484" si="493">HLOOKUP(AJ484,{$D484:$AI484;$D$1:$AI$1},2,false)</f>
        <v>Charlene</v>
      </c>
      <c r="AM484" s="7" t="str">
        <f t="shared" si="493"/>
        <v>Nancy</v>
      </c>
      <c r="AN484" s="7">
        <f t="shared" si="5"/>
        <v>4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</row>
    <row r="485">
      <c r="A485" s="5">
        <v>45885.0</v>
      </c>
      <c r="B485" s="6" t="s">
        <v>85</v>
      </c>
      <c r="C485" s="7"/>
      <c r="D485" s="7"/>
      <c r="E485" s="7"/>
      <c r="F485" s="7"/>
      <c r="G485" s="7"/>
      <c r="H485" s="7"/>
      <c r="I485" s="7"/>
      <c r="J485" s="7"/>
      <c r="K485" s="8">
        <v>505.0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8">
        <v>110.0</v>
      </c>
      <c r="Z485" s="7"/>
      <c r="AA485" s="8">
        <v>300.0</v>
      </c>
      <c r="AB485" s="7"/>
      <c r="AC485" s="7"/>
      <c r="AD485" s="7"/>
      <c r="AE485" s="7"/>
      <c r="AF485" s="7"/>
      <c r="AG485" s="7"/>
      <c r="AH485" s="7"/>
      <c r="AI485" s="7"/>
      <c r="AJ485" s="9">
        <f t="shared" si="2"/>
        <v>110</v>
      </c>
      <c r="AK485" s="9">
        <f t="shared" si="3"/>
        <v>505</v>
      </c>
      <c r="AL485" s="7" t="str">
        <f t="shared" ref="AL485:AM485" si="494">HLOOKUP(AJ485,{$D485:$AI485;$D$1:$AI$1},2,false)</f>
        <v>Nancy</v>
      </c>
      <c r="AM485" s="7" t="str">
        <f t="shared" si="494"/>
        <v>David</v>
      </c>
      <c r="AN485" s="7">
        <f t="shared" si="5"/>
        <v>3</v>
      </c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</row>
    <row r="486">
      <c r="A486" s="5">
        <v>45886.0</v>
      </c>
      <c r="B486" s="6" t="s">
        <v>85</v>
      </c>
      <c r="C486" s="7"/>
      <c r="D486" s="7"/>
      <c r="E486" s="7"/>
      <c r="F486" s="7"/>
      <c r="G486" s="7"/>
      <c r="H486" s="7"/>
      <c r="I486" s="7"/>
      <c r="J486" s="7"/>
      <c r="K486" s="8">
        <v>200.0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8">
        <v>415.0</v>
      </c>
      <c r="Z486" s="7"/>
      <c r="AA486" s="8">
        <v>635.0</v>
      </c>
      <c r="AB486" s="7"/>
      <c r="AC486" s="7"/>
      <c r="AD486" s="7"/>
      <c r="AE486" s="7"/>
      <c r="AF486" s="7"/>
      <c r="AG486" s="7"/>
      <c r="AH486" s="7"/>
      <c r="AI486" s="7"/>
      <c r="AJ486" s="9">
        <f t="shared" si="2"/>
        <v>200</v>
      </c>
      <c r="AK486" s="9">
        <f t="shared" si="3"/>
        <v>635</v>
      </c>
      <c r="AL486" s="7" t="str">
        <f t="shared" ref="AL486:AM486" si="495">HLOOKUP(AJ486,{$D486:$AI486;$D$1:$AI$1},2,false)</f>
        <v>David</v>
      </c>
      <c r="AM486" s="7" t="str">
        <f t="shared" si="495"/>
        <v>Sally</v>
      </c>
      <c r="AN486" s="7">
        <f t="shared" si="5"/>
        <v>3</v>
      </c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</row>
    <row r="487">
      <c r="A487" s="5">
        <v>45889.0</v>
      </c>
      <c r="B487" s="6" t="s">
        <v>55</v>
      </c>
      <c r="C487" s="7"/>
      <c r="D487" s="7"/>
      <c r="E487" s="7"/>
      <c r="F487" s="7"/>
      <c r="G487" s="7"/>
      <c r="H487" s="7"/>
      <c r="I487" s="8">
        <v>285.0</v>
      </c>
      <c r="J487" s="7"/>
      <c r="K487" s="8">
        <v>820.0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8">
        <v>130.0</v>
      </c>
      <c r="Z487" s="7"/>
      <c r="AA487" s="8">
        <v>715.0</v>
      </c>
      <c r="AB487" s="7"/>
      <c r="AC487" s="7"/>
      <c r="AD487" s="7"/>
      <c r="AE487" s="7"/>
      <c r="AF487" s="7"/>
      <c r="AG487" s="7"/>
      <c r="AH487" s="7"/>
      <c r="AI487" s="7"/>
      <c r="AJ487" s="9">
        <f t="shared" si="2"/>
        <v>130</v>
      </c>
      <c r="AK487" s="9">
        <f t="shared" si="3"/>
        <v>820</v>
      </c>
      <c r="AL487" s="7" t="str">
        <f t="shared" ref="AL487:AM487" si="496">HLOOKUP(AJ487,{$D487:$AI487;$D$1:$AI$1},2,false)</f>
        <v>Nancy</v>
      </c>
      <c r="AM487" s="7" t="str">
        <f t="shared" si="496"/>
        <v>David</v>
      </c>
      <c r="AN487" s="7">
        <f t="shared" si="5"/>
        <v>4</v>
      </c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</row>
    <row r="488">
      <c r="A488" s="5">
        <v>45892.0</v>
      </c>
      <c r="B488" s="6" t="s">
        <v>55</v>
      </c>
      <c r="C488" s="7"/>
      <c r="D488" s="7"/>
      <c r="E488" s="7"/>
      <c r="F488" s="7"/>
      <c r="G488" s="7"/>
      <c r="H488" s="7"/>
      <c r="I488" s="8">
        <v>470.0</v>
      </c>
      <c r="J488" s="7"/>
      <c r="K488" s="8">
        <v>575.0</v>
      </c>
      <c r="L488" s="8">
        <v>465.0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8">
        <v>420.0</v>
      </c>
      <c r="Z488" s="7"/>
      <c r="AA488" s="8">
        <v>645.0</v>
      </c>
      <c r="AB488" s="7"/>
      <c r="AC488" s="7"/>
      <c r="AD488" s="7"/>
      <c r="AE488" s="7"/>
      <c r="AF488" s="7"/>
      <c r="AG488" s="7"/>
      <c r="AH488" s="7"/>
      <c r="AI488" s="7"/>
      <c r="AJ488" s="9">
        <f t="shared" si="2"/>
        <v>420</v>
      </c>
      <c r="AK488" s="9">
        <f t="shared" si="3"/>
        <v>645</v>
      </c>
      <c r="AL488" s="7" t="str">
        <f t="shared" ref="AL488:AM488" si="497">HLOOKUP(AJ488,{$D488:$AI488;$D$1:$AI$1},2,false)</f>
        <v>Nancy</v>
      </c>
      <c r="AM488" s="7" t="str">
        <f t="shared" si="497"/>
        <v>Sally</v>
      </c>
      <c r="AN488" s="7">
        <f t="shared" si="5"/>
        <v>5</v>
      </c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</row>
    <row r="489">
      <c r="A489" s="5">
        <v>45897.0</v>
      </c>
      <c r="B489" s="6" t="s">
        <v>55</v>
      </c>
      <c r="C489" s="7"/>
      <c r="D489" s="7"/>
      <c r="E489" s="7"/>
      <c r="F489" s="7"/>
      <c r="G489" s="7"/>
      <c r="H489" s="7"/>
      <c r="I489" s="8">
        <v>300.0</v>
      </c>
      <c r="J489" s="7"/>
      <c r="K489" s="8">
        <v>450.0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8">
        <v>515.0</v>
      </c>
      <c r="Z489" s="7"/>
      <c r="AA489" s="8">
        <v>415.0</v>
      </c>
      <c r="AB489" s="7"/>
      <c r="AC489" s="7"/>
      <c r="AD489" s="7"/>
      <c r="AE489" s="7"/>
      <c r="AF489" s="7"/>
      <c r="AG489" s="7"/>
      <c r="AH489" s="7"/>
      <c r="AI489" s="7"/>
      <c r="AJ489" s="9">
        <f t="shared" si="2"/>
        <v>300</v>
      </c>
      <c r="AK489" s="9">
        <f t="shared" si="3"/>
        <v>515</v>
      </c>
      <c r="AL489" s="7" t="str">
        <f t="shared" ref="AL489:AM489" si="498">HLOOKUP(AJ489,{$D489:$AI489;$D$1:$AI$1},2,false)</f>
        <v>Charlene</v>
      </c>
      <c r="AM489" s="7" t="str">
        <f t="shared" si="498"/>
        <v>Nancy</v>
      </c>
      <c r="AN489" s="7">
        <f t="shared" si="5"/>
        <v>4</v>
      </c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</row>
    <row r="490">
      <c r="A490" s="5">
        <v>45898.0</v>
      </c>
      <c r="B490" s="6" t="s">
        <v>74</v>
      </c>
      <c r="C490" s="7"/>
      <c r="D490" s="7"/>
      <c r="E490" s="7"/>
      <c r="F490" s="7"/>
      <c r="G490" s="7"/>
      <c r="H490" s="7"/>
      <c r="I490" s="7"/>
      <c r="J490" s="7"/>
      <c r="K490" s="8">
        <v>220.0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8">
        <v>190.0</v>
      </c>
      <c r="W490" s="7"/>
      <c r="X490" s="7"/>
      <c r="Y490" s="8">
        <v>175.0</v>
      </c>
      <c r="Z490" s="7"/>
      <c r="AA490" s="8">
        <v>525.0</v>
      </c>
      <c r="AB490" s="7"/>
      <c r="AC490" s="7"/>
      <c r="AD490" s="7"/>
      <c r="AE490" s="7"/>
      <c r="AF490" s="7"/>
      <c r="AG490" s="7"/>
      <c r="AH490" s="7"/>
      <c r="AI490" s="7"/>
      <c r="AJ490" s="9">
        <f t="shared" si="2"/>
        <v>175</v>
      </c>
      <c r="AK490" s="9">
        <f t="shared" si="3"/>
        <v>525</v>
      </c>
      <c r="AL490" s="7" t="str">
        <f t="shared" ref="AL490:AM490" si="499">HLOOKUP(AJ490,{$D490:$AI490;$D$1:$AI$1},2,false)</f>
        <v>Nancy</v>
      </c>
      <c r="AM490" s="7" t="str">
        <f t="shared" si="499"/>
        <v>Sally</v>
      </c>
      <c r="AN490" s="7">
        <f t="shared" si="5"/>
        <v>4</v>
      </c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</row>
    <row r="491">
      <c r="A491" s="5">
        <v>45899.0</v>
      </c>
      <c r="B491" s="6" t="s">
        <v>74</v>
      </c>
      <c r="C491" s="7"/>
      <c r="D491" s="7"/>
      <c r="E491" s="7"/>
      <c r="F491" s="7"/>
      <c r="G491" s="7"/>
      <c r="H491" s="7"/>
      <c r="I491" s="7"/>
      <c r="J491" s="7"/>
      <c r="K491" s="8">
        <v>370.0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8">
        <v>835.0</v>
      </c>
      <c r="W491" s="7"/>
      <c r="X491" s="7"/>
      <c r="Y491" s="8">
        <v>180.0</v>
      </c>
      <c r="Z491" s="7"/>
      <c r="AA491" s="8">
        <v>705.0</v>
      </c>
      <c r="AB491" s="7"/>
      <c r="AC491" s="7"/>
      <c r="AD491" s="7"/>
      <c r="AE491" s="7"/>
      <c r="AF491" s="7"/>
      <c r="AG491" s="7"/>
      <c r="AH491" s="7"/>
      <c r="AI491" s="7"/>
      <c r="AJ491" s="9">
        <f t="shared" si="2"/>
        <v>180</v>
      </c>
      <c r="AK491" s="9">
        <f t="shared" si="3"/>
        <v>835</v>
      </c>
      <c r="AL491" s="7" t="str">
        <f t="shared" ref="AL491:AM491" si="500">HLOOKUP(AJ491,{$D491:$AI491;$D$1:$AI$1},2,false)</f>
        <v>Nancy</v>
      </c>
      <c r="AM491" s="7" t="str">
        <f t="shared" si="500"/>
        <v>Karen</v>
      </c>
      <c r="AN491" s="7">
        <f t="shared" si="5"/>
        <v>4</v>
      </c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</row>
    <row r="492">
      <c r="A492" s="5">
        <v>45900.0</v>
      </c>
      <c r="B492" s="6" t="s">
        <v>74</v>
      </c>
      <c r="C492" s="7"/>
      <c r="D492" s="7"/>
      <c r="E492" s="7"/>
      <c r="F492" s="7"/>
      <c r="G492" s="7"/>
      <c r="H492" s="7"/>
      <c r="I492" s="7"/>
      <c r="J492" s="7"/>
      <c r="K492" s="8">
        <v>540.0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8">
        <v>850.0</v>
      </c>
      <c r="W492" s="7"/>
      <c r="X492" s="7"/>
      <c r="Y492" s="8">
        <v>350.0</v>
      </c>
      <c r="Z492" s="7"/>
      <c r="AA492" s="8">
        <v>535.0</v>
      </c>
      <c r="AB492" s="7"/>
      <c r="AC492" s="7"/>
      <c r="AD492" s="7"/>
      <c r="AE492" s="7"/>
      <c r="AF492" s="7"/>
      <c r="AG492" s="7"/>
      <c r="AH492" s="7"/>
      <c r="AI492" s="7"/>
      <c r="AJ492" s="9">
        <f t="shared" si="2"/>
        <v>350</v>
      </c>
      <c r="AK492" s="9">
        <f t="shared" si="3"/>
        <v>850</v>
      </c>
      <c r="AL492" s="7" t="str">
        <f t="shared" ref="AL492:AM492" si="501">HLOOKUP(AJ492,{$D492:$AI492;$D$1:$AI$1},2,false)</f>
        <v>Nancy</v>
      </c>
      <c r="AM492" s="7" t="str">
        <f t="shared" si="501"/>
        <v>Karen</v>
      </c>
      <c r="AN492" s="7">
        <f t="shared" si="5"/>
        <v>4</v>
      </c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</row>
    <row r="493">
      <c r="A493" s="5">
        <v>45903.0</v>
      </c>
      <c r="B493" s="6" t="s">
        <v>55</v>
      </c>
      <c r="C493" s="7"/>
      <c r="D493" s="7"/>
      <c r="E493" s="7"/>
      <c r="F493" s="7"/>
      <c r="G493" s="7"/>
      <c r="H493" s="7"/>
      <c r="I493" s="8">
        <v>455.0</v>
      </c>
      <c r="J493" s="7"/>
      <c r="K493" s="8">
        <v>210.0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8">
        <v>325.0</v>
      </c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9">
        <f t="shared" si="2"/>
        <v>210</v>
      </c>
      <c r="AK493" s="9">
        <f t="shared" si="3"/>
        <v>455</v>
      </c>
      <c r="AL493" s="7" t="str">
        <f t="shared" ref="AL493:AM493" si="502">HLOOKUP(AJ493,{$D493:$AI493;$D$1:$AI$1},2,false)</f>
        <v>David</v>
      </c>
      <c r="AM493" s="7" t="str">
        <f t="shared" si="502"/>
        <v>Charlene</v>
      </c>
      <c r="AN493" s="7">
        <f t="shared" si="5"/>
        <v>3</v>
      </c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</row>
    <row r="494">
      <c r="A494" s="5">
        <v>45906.0</v>
      </c>
      <c r="B494" s="6" t="s">
        <v>55</v>
      </c>
      <c r="C494" s="7"/>
      <c r="D494" s="7"/>
      <c r="E494" s="7"/>
      <c r="F494" s="7"/>
      <c r="G494" s="7"/>
      <c r="H494" s="7"/>
      <c r="I494" s="8">
        <v>285.0</v>
      </c>
      <c r="J494" s="7"/>
      <c r="K494" s="8">
        <v>670.0</v>
      </c>
      <c r="L494" s="8">
        <v>805.0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8">
        <v>545.0</v>
      </c>
      <c r="Z494" s="7"/>
      <c r="AA494" s="7"/>
      <c r="AB494" s="8">
        <v>495.0</v>
      </c>
      <c r="AC494" s="7"/>
      <c r="AD494" s="7"/>
      <c r="AE494" s="7"/>
      <c r="AF494" s="7"/>
      <c r="AG494" s="7"/>
      <c r="AH494" s="7"/>
      <c r="AI494" s="7"/>
      <c r="AJ494" s="9">
        <f t="shared" si="2"/>
        <v>285</v>
      </c>
      <c r="AK494" s="9">
        <f t="shared" si="3"/>
        <v>805</v>
      </c>
      <c r="AL494" s="7" t="str">
        <f t="shared" ref="AL494:AM494" si="503">HLOOKUP(AJ494,{$D494:$AI494;$D$1:$AI$1},2,false)</f>
        <v>Charlene</v>
      </c>
      <c r="AM494" s="7" t="str">
        <f t="shared" si="503"/>
        <v>Debby</v>
      </c>
      <c r="AN494" s="7">
        <f t="shared" si="5"/>
        <v>5</v>
      </c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</row>
    <row r="495">
      <c r="A495" s="5">
        <v>45914.0</v>
      </c>
      <c r="B495" s="6" t="s">
        <v>55</v>
      </c>
      <c r="C495" s="7"/>
      <c r="D495" s="7"/>
      <c r="E495" s="7"/>
      <c r="F495" s="7"/>
      <c r="G495" s="7"/>
      <c r="H495" s="7"/>
      <c r="I495" s="8">
        <v>635.0</v>
      </c>
      <c r="J495" s="7"/>
      <c r="K495" s="8">
        <v>515.0</v>
      </c>
      <c r="L495" s="7"/>
      <c r="M495" s="7"/>
      <c r="N495" s="7"/>
      <c r="O495" s="7"/>
      <c r="P495" s="7"/>
      <c r="Q495" s="8">
        <v>220.0</v>
      </c>
      <c r="R495" s="7"/>
      <c r="S495" s="7"/>
      <c r="T495" s="7"/>
      <c r="U495" s="7"/>
      <c r="V495" s="7"/>
      <c r="W495" s="7"/>
      <c r="X495" s="7"/>
      <c r="Y495" s="8">
        <v>390.0</v>
      </c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9">
        <f t="shared" si="2"/>
        <v>220</v>
      </c>
      <c r="AK495" s="9">
        <f t="shared" si="3"/>
        <v>635</v>
      </c>
      <c r="AL495" s="7" t="str">
        <f t="shared" ref="AL495:AM495" si="504">HLOOKUP(AJ495,{$D495:$AI495;$D$1:$AI$1},2,false)</f>
        <v>Jeff M</v>
      </c>
      <c r="AM495" s="7" t="str">
        <f t="shared" si="504"/>
        <v>Charlene</v>
      </c>
      <c r="AN495" s="7">
        <f t="shared" si="5"/>
        <v>4</v>
      </c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</row>
    <row r="496">
      <c r="A496" s="5">
        <v>45917.0</v>
      </c>
      <c r="B496" s="6" t="s">
        <v>55</v>
      </c>
      <c r="C496" s="7"/>
      <c r="D496" s="7"/>
      <c r="E496" s="7"/>
      <c r="F496" s="7"/>
      <c r="G496" s="7"/>
      <c r="H496" s="7"/>
      <c r="I496" s="8">
        <v>305.0</v>
      </c>
      <c r="J496" s="7"/>
      <c r="K496" s="8">
        <v>235.0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8">
        <v>205.0</v>
      </c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9">
        <f t="shared" si="2"/>
        <v>205</v>
      </c>
      <c r="AK496" s="9">
        <f t="shared" si="3"/>
        <v>305</v>
      </c>
      <c r="AL496" s="7" t="str">
        <f t="shared" ref="AL496:AM496" si="505">HLOOKUP(AJ496,{$D496:$AI496;$D$1:$AI$1},2,false)</f>
        <v>Nancy</v>
      </c>
      <c r="AM496" s="7" t="str">
        <f t="shared" si="505"/>
        <v>Charlene</v>
      </c>
      <c r="AN496" s="7">
        <f t="shared" si="5"/>
        <v>3</v>
      </c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</row>
    <row r="497">
      <c r="A497" s="5">
        <v>45922.0</v>
      </c>
      <c r="B497" s="6" t="s">
        <v>55</v>
      </c>
      <c r="C497" s="7"/>
      <c r="D497" s="7"/>
      <c r="E497" s="7"/>
      <c r="F497" s="7"/>
      <c r="G497" s="7"/>
      <c r="H497" s="7"/>
      <c r="I497" s="8">
        <v>465.0</v>
      </c>
      <c r="J497" s="7"/>
      <c r="K497" s="8">
        <v>365.0</v>
      </c>
      <c r="L497" s="8">
        <v>400.0</v>
      </c>
      <c r="M497" s="8">
        <v>730.0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8">
        <v>405.0</v>
      </c>
      <c r="Z497" s="7"/>
      <c r="AA497" s="7"/>
      <c r="AB497" s="8">
        <v>490.0</v>
      </c>
      <c r="AC497" s="7"/>
      <c r="AD497" s="7"/>
      <c r="AE497" s="7"/>
      <c r="AF497" s="7"/>
      <c r="AG497" s="7"/>
      <c r="AH497" s="7"/>
      <c r="AI497" s="7"/>
      <c r="AJ497" s="9">
        <f t="shared" si="2"/>
        <v>365</v>
      </c>
      <c r="AK497" s="9">
        <f t="shared" si="3"/>
        <v>730</v>
      </c>
      <c r="AL497" s="7" t="str">
        <f t="shared" ref="AL497:AM497" si="506">HLOOKUP(AJ497,{$D497:$AI497;$D$1:$AI$1},2,false)</f>
        <v>David</v>
      </c>
      <c r="AM497" s="7" t="str">
        <f t="shared" si="506"/>
        <v>Espy</v>
      </c>
      <c r="AN497" s="7">
        <f t="shared" si="5"/>
        <v>6</v>
      </c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</row>
    <row r="498">
      <c r="A498" s="5">
        <v>45924.0</v>
      </c>
      <c r="B498" s="6" t="s">
        <v>42</v>
      </c>
      <c r="C498" s="7"/>
      <c r="D498" s="7"/>
      <c r="E498" s="7"/>
      <c r="F498" s="7"/>
      <c r="G498" s="7"/>
      <c r="H498" s="7"/>
      <c r="I498" s="8">
        <v>495.0</v>
      </c>
      <c r="J498" s="7"/>
      <c r="K498" s="8">
        <v>135.0</v>
      </c>
      <c r="L498" s="7"/>
      <c r="M498" s="7"/>
      <c r="N498" s="7"/>
      <c r="O498" s="7"/>
      <c r="P498" s="7"/>
      <c r="Q498" s="8">
        <v>240.0</v>
      </c>
      <c r="R498" s="7"/>
      <c r="S498" s="7"/>
      <c r="T498" s="7"/>
      <c r="U498" s="7"/>
      <c r="V498" s="7"/>
      <c r="W498" s="7"/>
      <c r="X498" s="7"/>
      <c r="Y498" s="8">
        <v>735.0</v>
      </c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9">
        <f t="shared" si="2"/>
        <v>135</v>
      </c>
      <c r="AK498" s="9">
        <f t="shared" si="3"/>
        <v>735</v>
      </c>
      <c r="AL498" s="7" t="str">
        <f t="shared" ref="AL498:AM498" si="507">HLOOKUP(AJ498,{$D498:$AI498;$D$1:$AI$1},2,false)</f>
        <v>David</v>
      </c>
      <c r="AM498" s="7" t="str">
        <f t="shared" si="507"/>
        <v>Nancy</v>
      </c>
      <c r="AN498" s="7">
        <f t="shared" si="5"/>
        <v>4</v>
      </c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</row>
    <row r="499">
      <c r="A499" s="5">
        <v>45930.0</v>
      </c>
      <c r="B499" s="6" t="s">
        <v>86</v>
      </c>
      <c r="C499" s="7"/>
      <c r="D499" s="7"/>
      <c r="E499" s="7"/>
      <c r="F499" s="7"/>
      <c r="G499" s="7"/>
      <c r="H499" s="7"/>
      <c r="I499" s="7"/>
      <c r="J499" s="7"/>
      <c r="K499" s="8">
        <v>260.0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8">
        <v>545.0</v>
      </c>
      <c r="Z499" s="7"/>
      <c r="AA499" s="8">
        <v>425.0</v>
      </c>
      <c r="AB499" s="7"/>
      <c r="AC499" s="7"/>
      <c r="AD499" s="7"/>
      <c r="AE499" s="7"/>
      <c r="AF499" s="7"/>
      <c r="AG499" s="7"/>
      <c r="AH499" s="7"/>
      <c r="AI499" s="7"/>
      <c r="AJ499" s="9">
        <f t="shared" si="2"/>
        <v>260</v>
      </c>
      <c r="AK499" s="9">
        <f t="shared" si="3"/>
        <v>545</v>
      </c>
      <c r="AL499" s="7" t="str">
        <f t="shared" ref="AL499:AM499" si="508">HLOOKUP(AJ499,{$D499:$AI499;$D$1:$AI$1},2,false)</f>
        <v>David</v>
      </c>
      <c r="AM499" s="7" t="str">
        <f t="shared" si="508"/>
        <v>Nancy</v>
      </c>
      <c r="AN499" s="7">
        <f t="shared" si="5"/>
        <v>3</v>
      </c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</row>
    <row r="500">
      <c r="A500" s="5">
        <v>45931.0</v>
      </c>
      <c r="B500" s="6" t="s">
        <v>86</v>
      </c>
      <c r="C500" s="7"/>
      <c r="D500" s="7"/>
      <c r="E500" s="7"/>
      <c r="F500" s="7"/>
      <c r="G500" s="7"/>
      <c r="H500" s="7"/>
      <c r="I500" s="7"/>
      <c r="J500" s="7"/>
      <c r="K500" s="8">
        <v>255.0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8">
        <v>555.0</v>
      </c>
      <c r="Z500" s="7"/>
      <c r="AA500" s="8">
        <v>445.0</v>
      </c>
      <c r="AB500" s="7"/>
      <c r="AC500" s="7"/>
      <c r="AD500" s="7"/>
      <c r="AE500" s="7"/>
      <c r="AF500" s="7"/>
      <c r="AG500" s="7"/>
      <c r="AH500" s="7"/>
      <c r="AI500" s="7"/>
      <c r="AJ500" s="9">
        <f t="shared" si="2"/>
        <v>255</v>
      </c>
      <c r="AK500" s="9">
        <f t="shared" si="3"/>
        <v>555</v>
      </c>
      <c r="AL500" s="7" t="str">
        <f t="shared" ref="AL500:AM500" si="509">HLOOKUP(AJ500,{$D500:$AI500;$D$1:$AI$1},2,false)</f>
        <v>David</v>
      </c>
      <c r="AM500" s="7" t="str">
        <f t="shared" si="509"/>
        <v>Nancy</v>
      </c>
      <c r="AN500" s="7">
        <f t="shared" si="5"/>
        <v>3</v>
      </c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</row>
    <row r="501">
      <c r="A501" s="5">
        <v>45934.0</v>
      </c>
      <c r="B501" s="6" t="s">
        <v>55</v>
      </c>
      <c r="C501" s="7"/>
      <c r="D501" s="7"/>
      <c r="E501" s="7"/>
      <c r="F501" s="7"/>
      <c r="G501" s="7"/>
      <c r="H501" s="7"/>
      <c r="I501" s="8">
        <v>270.0</v>
      </c>
      <c r="J501" s="7"/>
      <c r="K501" s="8">
        <v>1055.0</v>
      </c>
      <c r="L501" s="8">
        <v>270.0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8">
        <v>345.0</v>
      </c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9">
        <f t="shared" si="2"/>
        <v>270</v>
      </c>
      <c r="AK501" s="9">
        <f t="shared" si="3"/>
        <v>1055</v>
      </c>
      <c r="AL501" s="7" t="str">
        <f t="shared" ref="AL501:AM501" si="510">HLOOKUP(AJ501,{$D501:$AI501;$D$1:$AI$1},2,false)</f>
        <v>Charlene</v>
      </c>
      <c r="AM501" s="7" t="str">
        <f t="shared" si="510"/>
        <v>David</v>
      </c>
      <c r="AN501" s="7">
        <f t="shared" si="5"/>
        <v>4</v>
      </c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</row>
    <row r="502">
      <c r="A502" s="5">
        <v>45941.0</v>
      </c>
      <c r="B502" s="6" t="s">
        <v>55</v>
      </c>
      <c r="C502" s="7"/>
      <c r="D502" s="7"/>
      <c r="E502" s="7"/>
      <c r="F502" s="7"/>
      <c r="G502" s="7"/>
      <c r="H502" s="7"/>
      <c r="I502" s="8">
        <v>320.0</v>
      </c>
      <c r="J502" s="7"/>
      <c r="K502" s="8">
        <v>740.0</v>
      </c>
      <c r="L502" s="8">
        <v>950.0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8">
        <v>620.0</v>
      </c>
      <c r="Z502" s="7"/>
      <c r="AA502" s="7"/>
      <c r="AB502" s="8">
        <v>420.0</v>
      </c>
      <c r="AC502" s="7"/>
      <c r="AD502" s="7"/>
      <c r="AE502" s="7"/>
      <c r="AF502" s="7"/>
      <c r="AG502" s="7"/>
      <c r="AH502" s="7"/>
      <c r="AI502" s="7"/>
      <c r="AJ502" s="9">
        <f t="shared" si="2"/>
        <v>320</v>
      </c>
      <c r="AK502" s="9">
        <f t="shared" si="3"/>
        <v>950</v>
      </c>
      <c r="AL502" s="7" t="str">
        <f t="shared" ref="AL502:AM502" si="511">HLOOKUP(AJ502,{$D502:$AI502;$D$1:$AI$1},2,false)</f>
        <v>Charlene</v>
      </c>
      <c r="AM502" s="7" t="str">
        <f t="shared" si="511"/>
        <v>Debby</v>
      </c>
      <c r="AN502" s="7">
        <f t="shared" si="5"/>
        <v>5</v>
      </c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</row>
    <row r="503">
      <c r="A503" s="5">
        <v>45948.0</v>
      </c>
      <c r="B503" s="6" t="s">
        <v>74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8">
        <v>355.0</v>
      </c>
      <c r="W503" s="7"/>
      <c r="X503" s="7"/>
      <c r="Y503" s="8">
        <v>420.0</v>
      </c>
      <c r="Z503" s="7"/>
      <c r="AA503" s="8">
        <v>165.0</v>
      </c>
      <c r="AB503" s="7"/>
      <c r="AC503" s="7"/>
      <c r="AD503" s="7"/>
      <c r="AE503" s="7"/>
      <c r="AF503" s="7"/>
      <c r="AG503" s="7"/>
      <c r="AH503" s="7"/>
      <c r="AI503" s="7"/>
      <c r="AJ503" s="9">
        <f t="shared" si="2"/>
        <v>165</v>
      </c>
      <c r="AK503" s="9">
        <f t="shared" si="3"/>
        <v>420</v>
      </c>
      <c r="AL503" s="7" t="str">
        <f t="shared" ref="AL503:AM503" si="512">HLOOKUP(AJ503,{$D503:$AI503;$D$1:$AI$1},2,false)</f>
        <v>Sally</v>
      </c>
      <c r="AM503" s="7" t="str">
        <f t="shared" si="512"/>
        <v>Nancy</v>
      </c>
      <c r="AN503" s="7">
        <f t="shared" si="5"/>
        <v>3</v>
      </c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</row>
    <row r="504">
      <c r="A504" s="5">
        <v>45961.0</v>
      </c>
      <c r="B504" s="6" t="s">
        <v>55</v>
      </c>
      <c r="C504" s="7"/>
      <c r="D504" s="7"/>
      <c r="E504" s="7"/>
      <c r="F504" s="7"/>
      <c r="G504" s="7"/>
      <c r="H504" s="7"/>
      <c r="I504" s="7"/>
      <c r="J504" s="7"/>
      <c r="K504" s="8">
        <v>155.0</v>
      </c>
      <c r="L504" s="7"/>
      <c r="M504" s="7"/>
      <c r="N504" s="8">
        <v>610.0</v>
      </c>
      <c r="O504" s="7"/>
      <c r="P504" s="7"/>
      <c r="Q504" s="7"/>
      <c r="R504" s="7"/>
      <c r="S504" s="7"/>
      <c r="T504" s="7"/>
      <c r="U504" s="7"/>
      <c r="V504" s="7"/>
      <c r="W504" s="7"/>
      <c r="X504" s="8">
        <v>310.0</v>
      </c>
      <c r="Y504" s="8">
        <v>460.0</v>
      </c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9">
        <f t="shared" si="2"/>
        <v>155</v>
      </c>
      <c r="AK504" s="9">
        <f t="shared" si="3"/>
        <v>610</v>
      </c>
      <c r="AL504" s="7" t="str">
        <f t="shared" ref="AL504:AM504" si="513">HLOOKUP(AJ504,{$D504:$AI504;$D$1:$AI$1},2,false)</f>
        <v>David</v>
      </c>
      <c r="AM504" s="7" t="str">
        <f t="shared" si="513"/>
        <v>Jack</v>
      </c>
      <c r="AN504" s="7">
        <f t="shared" si="5"/>
        <v>4</v>
      </c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</row>
    <row r="505">
      <c r="A505" s="5">
        <v>45966.0</v>
      </c>
      <c r="B505" s="6" t="s">
        <v>74</v>
      </c>
      <c r="C505" s="7"/>
      <c r="D505" s="7"/>
      <c r="E505" s="7"/>
      <c r="F505" s="7"/>
      <c r="G505" s="7"/>
      <c r="H505" s="7"/>
      <c r="I505" s="7"/>
      <c r="J505" s="7"/>
      <c r="K505" s="8">
        <v>480.0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8">
        <v>300.0</v>
      </c>
      <c r="Z505" s="7"/>
      <c r="AA505" s="8">
        <v>400.0</v>
      </c>
      <c r="AB505" s="7"/>
      <c r="AC505" s="7"/>
      <c r="AD505" s="7"/>
      <c r="AE505" s="7"/>
      <c r="AF505" s="7"/>
      <c r="AG505" s="7"/>
      <c r="AH505" s="7"/>
      <c r="AI505" s="7"/>
      <c r="AJ505" s="9">
        <f t="shared" si="2"/>
        <v>300</v>
      </c>
      <c r="AK505" s="9">
        <f t="shared" si="3"/>
        <v>480</v>
      </c>
      <c r="AL505" s="7" t="str">
        <f t="shared" ref="AL505:AM505" si="514">HLOOKUP(AJ505,{$D505:$AI505;$D$1:$AI$1},2,false)</f>
        <v>Nancy</v>
      </c>
      <c r="AM505" s="7" t="str">
        <f t="shared" si="514"/>
        <v>David</v>
      </c>
      <c r="AN505" s="7">
        <f t="shared" si="5"/>
        <v>3</v>
      </c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</row>
    <row r="506">
      <c r="A506" s="5">
        <v>45968.0</v>
      </c>
      <c r="B506" s="6" t="s">
        <v>74</v>
      </c>
      <c r="C506" s="7"/>
      <c r="D506" s="7"/>
      <c r="E506" s="7"/>
      <c r="F506" s="7"/>
      <c r="G506" s="7"/>
      <c r="H506" s="7"/>
      <c r="I506" s="7"/>
      <c r="J506" s="7"/>
      <c r="K506" s="8">
        <v>215.0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8">
        <v>495.0</v>
      </c>
      <c r="Z506" s="7"/>
      <c r="AA506" s="8">
        <v>720.0</v>
      </c>
      <c r="AB506" s="7"/>
      <c r="AC506" s="7"/>
      <c r="AD506" s="7"/>
      <c r="AE506" s="7"/>
      <c r="AF506" s="7"/>
      <c r="AG506" s="7"/>
      <c r="AH506" s="7"/>
      <c r="AI506" s="7"/>
      <c r="AJ506" s="9">
        <f t="shared" si="2"/>
        <v>215</v>
      </c>
      <c r="AK506" s="9">
        <f t="shared" si="3"/>
        <v>720</v>
      </c>
      <c r="AL506" s="7" t="str">
        <f t="shared" ref="AL506:AM506" si="515">HLOOKUP(AJ506,{$D506:$AI506;$D$1:$AI$1},2,false)</f>
        <v>David</v>
      </c>
      <c r="AM506" s="7" t="str">
        <f t="shared" si="515"/>
        <v>Sally</v>
      </c>
      <c r="AN506" s="7">
        <f t="shared" si="5"/>
        <v>3</v>
      </c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</row>
    <row r="507">
      <c r="A507" s="5">
        <v>45969.0</v>
      </c>
      <c r="B507" s="6" t="s">
        <v>74</v>
      </c>
      <c r="C507" s="7"/>
      <c r="D507" s="7"/>
      <c r="E507" s="7"/>
      <c r="F507" s="7"/>
      <c r="G507" s="7"/>
      <c r="H507" s="7"/>
      <c r="I507" s="7"/>
      <c r="J507" s="7"/>
      <c r="K507" s="8">
        <v>385.0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8">
        <v>640.0</v>
      </c>
      <c r="Z507" s="7"/>
      <c r="AA507" s="8">
        <v>230.0</v>
      </c>
      <c r="AB507" s="7"/>
      <c r="AC507" s="7"/>
      <c r="AD507" s="7"/>
      <c r="AE507" s="7"/>
      <c r="AF507" s="7"/>
      <c r="AG507" s="7"/>
      <c r="AH507" s="7"/>
      <c r="AI507" s="7"/>
      <c r="AJ507" s="9">
        <f t="shared" si="2"/>
        <v>230</v>
      </c>
      <c r="AK507" s="9">
        <f t="shared" si="3"/>
        <v>640</v>
      </c>
      <c r="AL507" s="7" t="str">
        <f t="shared" ref="AL507:AM507" si="516">HLOOKUP(AJ507,{$D507:$AI507;$D$1:$AI$1},2,false)</f>
        <v>Sally</v>
      </c>
      <c r="AM507" s="7" t="str">
        <f t="shared" si="516"/>
        <v>Nancy</v>
      </c>
      <c r="AN507" s="7">
        <f t="shared" si="5"/>
        <v>3</v>
      </c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</row>
    <row r="508">
      <c r="A508" s="5">
        <v>45970.0</v>
      </c>
      <c r="B508" s="6" t="s">
        <v>55</v>
      </c>
      <c r="C508" s="7"/>
      <c r="D508" s="7"/>
      <c r="E508" s="7"/>
      <c r="F508" s="7"/>
      <c r="G508" s="7"/>
      <c r="H508" s="7"/>
      <c r="I508" s="8">
        <v>275.0</v>
      </c>
      <c r="J508" s="7"/>
      <c r="K508" s="8">
        <v>390.0</v>
      </c>
      <c r="L508" s="7"/>
      <c r="M508" s="7"/>
      <c r="N508" s="7"/>
      <c r="O508" s="7"/>
      <c r="P508" s="7"/>
      <c r="Q508" s="8">
        <v>260.0</v>
      </c>
      <c r="R508" s="7"/>
      <c r="S508" s="7"/>
      <c r="T508" s="7"/>
      <c r="U508" s="7"/>
      <c r="V508" s="7"/>
      <c r="W508" s="7"/>
      <c r="X508" s="7"/>
      <c r="Y508" s="8">
        <v>535.0</v>
      </c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9">
        <f t="shared" si="2"/>
        <v>260</v>
      </c>
      <c r="AK508" s="9">
        <f t="shared" si="3"/>
        <v>535</v>
      </c>
      <c r="AL508" s="7" t="str">
        <f t="shared" ref="AL508:AM508" si="517">HLOOKUP(AJ508,{$D508:$AI508;$D$1:$AI$1},2,false)</f>
        <v>Jeff M</v>
      </c>
      <c r="AM508" s="7" t="str">
        <f t="shared" si="517"/>
        <v>Nancy</v>
      </c>
      <c r="AN508" s="7">
        <f t="shared" si="5"/>
        <v>4</v>
      </c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</row>
    <row r="509">
      <c r="A509" s="5">
        <v>45976.0</v>
      </c>
      <c r="B509" s="6" t="s">
        <v>55</v>
      </c>
      <c r="C509" s="7"/>
      <c r="D509" s="7"/>
      <c r="E509" s="7"/>
      <c r="F509" s="7"/>
      <c r="G509" s="7"/>
      <c r="H509" s="7"/>
      <c r="I509" s="8">
        <v>640.0</v>
      </c>
      <c r="J509" s="7"/>
      <c r="K509" s="7"/>
      <c r="L509" s="7"/>
      <c r="M509" s="7"/>
      <c r="N509" s="7"/>
      <c r="O509" s="7"/>
      <c r="P509" s="7"/>
      <c r="Q509" s="8">
        <v>285.0</v>
      </c>
      <c r="R509" s="7"/>
      <c r="S509" s="7"/>
      <c r="T509" s="7"/>
      <c r="U509" s="7"/>
      <c r="V509" s="7"/>
      <c r="W509" s="7"/>
      <c r="X509" s="7"/>
      <c r="Y509" s="8">
        <v>515.0</v>
      </c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9">
        <f t="shared" si="2"/>
        <v>285</v>
      </c>
      <c r="AK509" s="9">
        <f t="shared" si="3"/>
        <v>640</v>
      </c>
      <c r="AL509" s="7" t="str">
        <f t="shared" ref="AL509:AM509" si="518">HLOOKUP(AJ509,{$D509:$AI509;$D$1:$AI$1},2,false)</f>
        <v>Jeff M</v>
      </c>
      <c r="AM509" s="7" t="str">
        <f t="shared" si="518"/>
        <v>Charlene</v>
      </c>
      <c r="AN509" s="7">
        <f t="shared" si="5"/>
        <v>3</v>
      </c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</row>
    <row r="510">
      <c r="A510" s="5">
        <v>45983.0</v>
      </c>
      <c r="B510" s="6" t="s">
        <v>55</v>
      </c>
      <c r="C510" s="7"/>
      <c r="D510" s="7"/>
      <c r="E510" s="7"/>
      <c r="F510" s="7"/>
      <c r="G510" s="7"/>
      <c r="H510" s="7"/>
      <c r="I510" s="8">
        <v>700.0</v>
      </c>
      <c r="J510" s="7"/>
      <c r="K510" s="7"/>
      <c r="L510" s="8">
        <v>815.0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8">
        <v>415.0</v>
      </c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9">
        <f t="shared" si="2"/>
        <v>415</v>
      </c>
      <c r="AK510" s="9">
        <f t="shared" si="3"/>
        <v>815</v>
      </c>
      <c r="AL510" s="7" t="str">
        <f t="shared" ref="AL510:AM510" si="519">HLOOKUP(AJ510,{$D510:$AI510;$D$1:$AI$1},2,false)</f>
        <v>Nancy</v>
      </c>
      <c r="AM510" s="7" t="str">
        <f t="shared" si="519"/>
        <v>Debby</v>
      </c>
      <c r="AN510" s="7">
        <f t="shared" si="5"/>
        <v>3</v>
      </c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</row>
    <row r="511">
      <c r="A511" s="5">
        <v>45983.0</v>
      </c>
      <c r="B511" s="6" t="s">
        <v>74</v>
      </c>
      <c r="C511" s="7"/>
      <c r="D511" s="7"/>
      <c r="E511" s="7"/>
      <c r="F511" s="7"/>
      <c r="G511" s="7"/>
      <c r="H511" s="7"/>
      <c r="I511" s="7"/>
      <c r="J511" s="7"/>
      <c r="K511" s="8">
        <v>360.0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8">
        <v>620.0</v>
      </c>
      <c r="W511" s="7"/>
      <c r="X511" s="7"/>
      <c r="Y511" s="8">
        <v>375.0</v>
      </c>
      <c r="Z511" s="7"/>
      <c r="AA511" s="8">
        <v>530.0</v>
      </c>
      <c r="AB511" s="7"/>
      <c r="AC511" s="7"/>
      <c r="AD511" s="7"/>
      <c r="AE511" s="7"/>
      <c r="AF511" s="7"/>
      <c r="AG511" s="7"/>
      <c r="AH511" s="7"/>
      <c r="AI511" s="7"/>
      <c r="AJ511" s="9">
        <f t="shared" si="2"/>
        <v>360</v>
      </c>
      <c r="AK511" s="9">
        <f t="shared" si="3"/>
        <v>620</v>
      </c>
      <c r="AL511" s="7" t="str">
        <f t="shared" ref="AL511:AM511" si="520">HLOOKUP(AJ511,{$D511:$AI511;$D$1:$AI$1},2,false)</f>
        <v>David</v>
      </c>
      <c r="AM511" s="7" t="str">
        <f t="shared" si="520"/>
        <v>Karen</v>
      </c>
      <c r="AN511" s="7">
        <f t="shared" si="5"/>
        <v>4</v>
      </c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</row>
    <row r="512">
      <c r="A512" s="5">
        <v>45990.0</v>
      </c>
      <c r="B512" s="6" t="s">
        <v>74</v>
      </c>
      <c r="C512" s="7"/>
      <c r="D512" s="7"/>
      <c r="E512" s="7"/>
      <c r="F512" s="7"/>
      <c r="G512" s="7"/>
      <c r="H512" s="7"/>
      <c r="I512" s="7"/>
      <c r="J512" s="7"/>
      <c r="K512" s="8">
        <v>150.0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8">
        <v>710.0</v>
      </c>
      <c r="Z512" s="7"/>
      <c r="AA512" s="8">
        <v>305.0</v>
      </c>
      <c r="AB512" s="7"/>
      <c r="AC512" s="7"/>
      <c r="AD512" s="7"/>
      <c r="AE512" s="7"/>
      <c r="AF512" s="7"/>
      <c r="AG512" s="7"/>
      <c r="AH512" s="7"/>
      <c r="AI512" s="7"/>
      <c r="AJ512" s="9">
        <f t="shared" si="2"/>
        <v>150</v>
      </c>
      <c r="AK512" s="9">
        <f t="shared" si="3"/>
        <v>710</v>
      </c>
      <c r="AL512" s="7" t="str">
        <f t="shared" ref="AL512:AM512" si="521">HLOOKUP(AJ512,{$D512:$AI512;$D$1:$AI$1},2,false)</f>
        <v>David</v>
      </c>
      <c r="AM512" s="7" t="str">
        <f t="shared" si="521"/>
        <v>Nancy</v>
      </c>
      <c r="AN512" s="7">
        <f t="shared" si="5"/>
        <v>3</v>
      </c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</row>
    <row r="513">
      <c r="A513" s="5">
        <v>45991.0</v>
      </c>
      <c r="B513" s="6" t="s">
        <v>74</v>
      </c>
      <c r="C513" s="7"/>
      <c r="D513" s="7"/>
      <c r="E513" s="7"/>
      <c r="F513" s="7"/>
      <c r="G513" s="7"/>
      <c r="H513" s="7"/>
      <c r="I513" s="7"/>
      <c r="J513" s="7"/>
      <c r="K513" s="8">
        <v>265.0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8">
        <v>290.0</v>
      </c>
      <c r="Z513" s="7"/>
      <c r="AA513" s="8">
        <v>395.0</v>
      </c>
      <c r="AB513" s="7"/>
      <c r="AC513" s="7"/>
      <c r="AD513" s="7"/>
      <c r="AE513" s="7"/>
      <c r="AF513" s="7"/>
      <c r="AG513" s="7"/>
      <c r="AH513" s="7"/>
      <c r="AI513" s="7"/>
      <c r="AJ513" s="9">
        <f t="shared" si="2"/>
        <v>265</v>
      </c>
      <c r="AK513" s="9">
        <f t="shared" si="3"/>
        <v>395</v>
      </c>
      <c r="AL513" s="7" t="str">
        <f t="shared" ref="AL513:AM513" si="522">HLOOKUP(AJ513,{$D513:$AI513;$D$1:$AI$1},2,false)</f>
        <v>David</v>
      </c>
      <c r="AM513" s="7" t="str">
        <f t="shared" si="522"/>
        <v>Sally</v>
      </c>
      <c r="AN513" s="7">
        <f t="shared" si="5"/>
        <v>3</v>
      </c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</row>
    <row r="514">
      <c r="A514" s="5">
        <v>45994.0</v>
      </c>
      <c r="B514" s="6" t="s">
        <v>55</v>
      </c>
      <c r="C514" s="7"/>
      <c r="D514" s="7"/>
      <c r="E514" s="7"/>
      <c r="F514" s="7"/>
      <c r="G514" s="7"/>
      <c r="H514" s="7"/>
      <c r="I514" s="8">
        <v>470.0</v>
      </c>
      <c r="J514" s="7"/>
      <c r="K514" s="8">
        <v>355.0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8">
        <v>300.0</v>
      </c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9">
        <f t="shared" si="2"/>
        <v>300</v>
      </c>
      <c r="AK514" s="9">
        <f t="shared" si="3"/>
        <v>470</v>
      </c>
      <c r="AL514" s="7" t="str">
        <f t="shared" ref="AL514:AM514" si="523">HLOOKUP(AJ514,{$D514:$AI514;$D$1:$AI$1},2,false)</f>
        <v>Nancy</v>
      </c>
      <c r="AM514" s="7" t="str">
        <f t="shared" si="523"/>
        <v>Charlene</v>
      </c>
      <c r="AN514" s="7">
        <f t="shared" si="5"/>
        <v>3</v>
      </c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</row>
    <row r="515">
      <c r="A515" s="5">
        <v>45997.0</v>
      </c>
      <c r="B515" s="6" t="s">
        <v>42</v>
      </c>
      <c r="C515" s="7"/>
      <c r="D515" s="7"/>
      <c r="E515" s="7"/>
      <c r="F515" s="7"/>
      <c r="G515" s="7"/>
      <c r="H515" s="7"/>
      <c r="I515" s="8">
        <v>495.0</v>
      </c>
      <c r="J515" s="7"/>
      <c r="K515" s="8">
        <v>245.0</v>
      </c>
      <c r="L515" s="8">
        <v>185.0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8">
        <v>290.0</v>
      </c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9">
        <f t="shared" si="2"/>
        <v>185</v>
      </c>
      <c r="AK515" s="9">
        <f t="shared" si="3"/>
        <v>495</v>
      </c>
      <c r="AL515" s="7" t="str">
        <f t="shared" ref="AL515:AM515" si="524">HLOOKUP(AJ515,{$D515:$AI515;$D$1:$AI$1},2,false)</f>
        <v>Debby</v>
      </c>
      <c r="AM515" s="7" t="str">
        <f t="shared" si="524"/>
        <v>Charlene</v>
      </c>
      <c r="AN515" s="7">
        <f t="shared" si="5"/>
        <v>4</v>
      </c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</row>
    <row r="516">
      <c r="A516" s="5">
        <v>46016.0</v>
      </c>
      <c r="B516" s="6" t="s">
        <v>55</v>
      </c>
      <c r="C516" s="7"/>
      <c r="D516" s="7"/>
      <c r="E516" s="7"/>
      <c r="F516" s="7"/>
      <c r="G516" s="7"/>
      <c r="H516" s="7"/>
      <c r="I516" s="8">
        <v>290.0</v>
      </c>
      <c r="J516" s="7"/>
      <c r="K516" s="8">
        <v>445.0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8">
        <v>605.0</v>
      </c>
      <c r="Z516" s="7"/>
      <c r="AA516" s="8">
        <v>360.0</v>
      </c>
      <c r="AB516" s="7"/>
      <c r="AC516" s="7"/>
      <c r="AD516" s="7"/>
      <c r="AE516" s="7"/>
      <c r="AF516" s="8">
        <v>305.0</v>
      </c>
      <c r="AG516" s="7"/>
      <c r="AH516" s="7"/>
      <c r="AI516" s="7"/>
      <c r="AJ516" s="9">
        <f t="shared" si="2"/>
        <v>290</v>
      </c>
      <c r="AK516" s="9">
        <f t="shared" si="3"/>
        <v>605</v>
      </c>
      <c r="AL516" s="7" t="str">
        <f t="shared" ref="AL516:AM516" si="525">HLOOKUP(AJ516,{$D516:$AI516;$D$1:$AI$1},2,false)</f>
        <v>Charlene</v>
      </c>
      <c r="AM516" s="7" t="str">
        <f t="shared" si="525"/>
        <v>Nancy</v>
      </c>
      <c r="AN516" s="7">
        <f t="shared" si="5"/>
        <v>5</v>
      </c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</row>
    <row r="517">
      <c r="A517" s="5">
        <v>46017.0</v>
      </c>
      <c r="B517" s="6" t="s">
        <v>55</v>
      </c>
      <c r="C517" s="7"/>
      <c r="D517" s="7"/>
      <c r="E517" s="7"/>
      <c r="F517" s="7"/>
      <c r="G517" s="7"/>
      <c r="H517" s="7"/>
      <c r="I517" s="7"/>
      <c r="J517" s="7"/>
      <c r="K517" s="8">
        <v>440.0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8">
        <v>520.0</v>
      </c>
      <c r="Z517" s="7"/>
      <c r="AA517" s="8">
        <v>835.0</v>
      </c>
      <c r="AB517" s="7"/>
      <c r="AC517" s="7"/>
      <c r="AD517" s="7"/>
      <c r="AE517" s="7"/>
      <c r="AF517" s="8">
        <v>180.0</v>
      </c>
      <c r="AG517" s="7"/>
      <c r="AH517" s="7"/>
      <c r="AI517" s="7"/>
      <c r="AJ517" s="9">
        <f t="shared" si="2"/>
        <v>180</v>
      </c>
      <c r="AK517" s="9">
        <f t="shared" si="3"/>
        <v>835</v>
      </c>
      <c r="AL517" s="7" t="str">
        <f t="shared" ref="AL517:AM517" si="526">HLOOKUP(AJ517,{$D517:$AI517;$D$1:$AI$1},2,false)</f>
        <v>Susan</v>
      </c>
      <c r="AM517" s="7" t="str">
        <f t="shared" si="526"/>
        <v>Sally</v>
      </c>
      <c r="AN517" s="7">
        <f t="shared" si="5"/>
        <v>4</v>
      </c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</row>
    <row r="518">
      <c r="A518" s="5">
        <v>46023.0</v>
      </c>
      <c r="B518" s="6" t="s">
        <v>55</v>
      </c>
      <c r="C518" s="7"/>
      <c r="D518" s="7"/>
      <c r="E518" s="7"/>
      <c r="F518" s="7"/>
      <c r="G518" s="7"/>
      <c r="H518" s="7"/>
      <c r="I518" s="8">
        <v>445.0</v>
      </c>
      <c r="J518" s="7"/>
      <c r="K518" s="8">
        <v>460.0</v>
      </c>
      <c r="L518" s="8">
        <v>885.0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8">
        <v>160.0</v>
      </c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9">
        <f t="shared" si="2"/>
        <v>160</v>
      </c>
      <c r="AK518" s="9">
        <f t="shared" si="3"/>
        <v>885</v>
      </c>
      <c r="AL518" s="7" t="str">
        <f t="shared" ref="AL518:AM518" si="527">HLOOKUP(AJ518,{$D518:$AI518;$D$1:$AI$1},2,false)</f>
        <v>Nancy</v>
      </c>
      <c r="AM518" s="7" t="str">
        <f t="shared" si="527"/>
        <v>Debby</v>
      </c>
      <c r="AN518" s="7">
        <f t="shared" si="5"/>
        <v>4</v>
      </c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</row>
    <row r="519">
      <c r="A519" s="5">
        <v>46025.0</v>
      </c>
      <c r="B519" s="6" t="s">
        <v>42</v>
      </c>
      <c r="C519" s="7"/>
      <c r="D519" s="7"/>
      <c r="E519" s="7"/>
      <c r="F519" s="7"/>
      <c r="G519" s="7"/>
      <c r="H519" s="7"/>
      <c r="I519" s="8">
        <v>245.0</v>
      </c>
      <c r="J519" s="7"/>
      <c r="K519" s="8">
        <v>595.0</v>
      </c>
      <c r="L519" s="8">
        <v>310.0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8">
        <v>1055.0</v>
      </c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9">
        <f t="shared" si="2"/>
        <v>245</v>
      </c>
      <c r="AK519" s="9">
        <f t="shared" si="3"/>
        <v>1055</v>
      </c>
      <c r="AL519" s="7" t="str">
        <f t="shared" ref="AL519:AM519" si="528">HLOOKUP(AJ519,{$D519:$AI519;$D$1:$AI$1},2,false)</f>
        <v>Charlene</v>
      </c>
      <c r="AM519" s="7" t="str">
        <f t="shared" si="528"/>
        <v>Nancy</v>
      </c>
      <c r="AN519" s="7">
        <f t="shared" si="5"/>
        <v>4</v>
      </c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</row>
    <row r="520">
      <c r="A520" s="5">
        <v>46032.0</v>
      </c>
      <c r="B520" s="6" t="s">
        <v>55</v>
      </c>
      <c r="C520" s="7"/>
      <c r="D520" s="7"/>
      <c r="E520" s="7"/>
      <c r="F520" s="7"/>
      <c r="G520" s="7"/>
      <c r="H520" s="7"/>
      <c r="I520" s="8">
        <v>775.0</v>
      </c>
      <c r="J520" s="7"/>
      <c r="K520" s="8">
        <v>640.0</v>
      </c>
      <c r="L520" s="8">
        <v>455.0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8">
        <v>790.0</v>
      </c>
      <c r="Z520" s="7"/>
      <c r="AA520" s="7"/>
      <c r="AB520" s="8">
        <v>1120.0</v>
      </c>
      <c r="AC520" s="7"/>
      <c r="AD520" s="7"/>
      <c r="AE520" s="7"/>
      <c r="AF520" s="7"/>
      <c r="AG520" s="7"/>
      <c r="AH520" s="7"/>
      <c r="AI520" s="7"/>
      <c r="AJ520" s="9">
        <f t="shared" si="2"/>
        <v>455</v>
      </c>
      <c r="AK520" s="9">
        <f t="shared" si="3"/>
        <v>1120</v>
      </c>
      <c r="AL520" s="7" t="str">
        <f t="shared" ref="AL520:AM520" si="529">HLOOKUP(AJ520,{$D520:$AI520;$D$1:$AI$1},2,false)</f>
        <v>Debby</v>
      </c>
      <c r="AM520" s="7" t="str">
        <f t="shared" si="529"/>
        <v>Sandy</v>
      </c>
      <c r="AN520" s="7">
        <f t="shared" si="5"/>
        <v>5</v>
      </c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</row>
    <row r="521">
      <c r="A521" s="5">
        <v>46039.0</v>
      </c>
      <c r="B521" s="6" t="s">
        <v>42</v>
      </c>
      <c r="C521" s="7"/>
      <c r="D521" s="7"/>
      <c r="E521" s="7"/>
      <c r="F521" s="7"/>
      <c r="G521" s="7"/>
      <c r="H521" s="7"/>
      <c r="I521" s="8">
        <v>735.0</v>
      </c>
      <c r="J521" s="7"/>
      <c r="K521" s="8">
        <v>950.0</v>
      </c>
      <c r="L521" s="8">
        <v>520.0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8">
        <v>290.0</v>
      </c>
      <c r="Z521" s="7"/>
      <c r="AA521" s="7"/>
      <c r="AB521" s="8">
        <v>380.0</v>
      </c>
      <c r="AC521" s="7"/>
      <c r="AD521" s="7"/>
      <c r="AE521" s="7"/>
      <c r="AF521" s="7"/>
      <c r="AG521" s="7"/>
      <c r="AH521" s="7"/>
      <c r="AI521" s="7"/>
      <c r="AJ521" s="9">
        <f t="shared" si="2"/>
        <v>290</v>
      </c>
      <c r="AK521" s="9">
        <f t="shared" si="3"/>
        <v>950</v>
      </c>
      <c r="AL521" s="7" t="str">
        <f t="shared" ref="AL521:AM521" si="530">HLOOKUP(AJ521,{$D521:$AI521;$D$1:$AI$1},2,false)</f>
        <v>Nancy</v>
      </c>
      <c r="AM521" s="7" t="str">
        <f t="shared" si="530"/>
        <v>David</v>
      </c>
      <c r="AN521" s="7">
        <f t="shared" si="5"/>
        <v>5</v>
      </c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</row>
    <row r="522">
      <c r="A522" s="5">
        <v>46041.0</v>
      </c>
      <c r="B522" s="6" t="s">
        <v>87</v>
      </c>
      <c r="C522" s="8" t="s">
        <v>41</v>
      </c>
      <c r="D522" s="7"/>
      <c r="E522" s="7"/>
      <c r="F522" s="7"/>
      <c r="G522" s="7"/>
      <c r="H522" s="7"/>
      <c r="I522" s="7"/>
      <c r="J522" s="7"/>
      <c r="K522" s="8">
        <v>450.0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8">
        <v>55.0</v>
      </c>
      <c r="W522" s="7"/>
      <c r="X522" s="7"/>
      <c r="Y522" s="8">
        <v>240.0</v>
      </c>
      <c r="Z522" s="7"/>
      <c r="AA522" s="8">
        <v>145.0</v>
      </c>
      <c r="AB522" s="7"/>
      <c r="AC522" s="7"/>
      <c r="AD522" s="7"/>
      <c r="AE522" s="7"/>
      <c r="AF522" s="8">
        <v>110.0</v>
      </c>
      <c r="AG522" s="7"/>
      <c r="AH522" s="7"/>
      <c r="AI522" s="7"/>
      <c r="AJ522" s="9">
        <f t="shared" si="2"/>
        <v>55</v>
      </c>
      <c r="AK522" s="9">
        <f t="shared" si="3"/>
        <v>450</v>
      </c>
      <c r="AL522" s="7" t="str">
        <f t="shared" ref="AL522:AM522" si="531">HLOOKUP(AJ522,{$D522:$AI522;$D$1:$AI$1},2,false)</f>
        <v>Karen</v>
      </c>
      <c r="AM522" s="7" t="str">
        <f t="shared" si="531"/>
        <v>David</v>
      </c>
      <c r="AN522" s="7">
        <f t="shared" si="5"/>
        <v>5</v>
      </c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</row>
    <row r="523">
      <c r="A523" s="5">
        <v>46044.0</v>
      </c>
      <c r="B523" s="6" t="s">
        <v>74</v>
      </c>
      <c r="C523" s="8" t="s">
        <v>41</v>
      </c>
      <c r="D523" s="7"/>
      <c r="E523" s="7"/>
      <c r="F523" s="7"/>
      <c r="G523" s="7"/>
      <c r="H523" s="7"/>
      <c r="I523" s="7"/>
      <c r="J523" s="7"/>
      <c r="K523" s="8">
        <v>475.0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8">
        <v>285.0</v>
      </c>
      <c r="Z523" s="7"/>
      <c r="AA523" s="8">
        <v>230.0</v>
      </c>
      <c r="AB523" s="7"/>
      <c r="AC523" s="8">
        <v>445.0</v>
      </c>
      <c r="AD523" s="7"/>
      <c r="AE523" s="7"/>
      <c r="AF523" s="8">
        <v>655.0</v>
      </c>
      <c r="AG523" s="7"/>
      <c r="AH523" s="7"/>
      <c r="AI523" s="7"/>
      <c r="AJ523" s="9">
        <f t="shared" si="2"/>
        <v>230</v>
      </c>
      <c r="AK523" s="9">
        <f t="shared" si="3"/>
        <v>655</v>
      </c>
      <c r="AL523" s="7" t="str">
        <f t="shared" ref="AL523:AM523" si="532">HLOOKUP(AJ523,{$D523:$AI523;$D$1:$AI$1},2,false)</f>
        <v>Sally</v>
      </c>
      <c r="AM523" s="7" t="str">
        <f t="shared" si="532"/>
        <v>Susan</v>
      </c>
      <c r="AN523" s="7">
        <f t="shared" si="5"/>
        <v>5</v>
      </c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</row>
    <row r="524">
      <c r="A524" s="5">
        <v>46050.0</v>
      </c>
      <c r="B524" s="6" t="s">
        <v>74</v>
      </c>
      <c r="C524" s="7"/>
      <c r="D524" s="7"/>
      <c r="E524" s="7"/>
      <c r="F524" s="7"/>
      <c r="G524" s="7"/>
      <c r="H524" s="7"/>
      <c r="I524" s="7"/>
      <c r="J524" s="7"/>
      <c r="K524" s="8">
        <v>235.0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8">
        <v>755.0</v>
      </c>
      <c r="Z524" s="7"/>
      <c r="AA524" s="8">
        <v>425.0</v>
      </c>
      <c r="AB524" s="7"/>
      <c r="AC524" s="7"/>
      <c r="AD524" s="7"/>
      <c r="AE524" s="7"/>
      <c r="AF524" s="7"/>
      <c r="AG524" s="7"/>
      <c r="AH524" s="7"/>
      <c r="AI524" s="7"/>
      <c r="AJ524" s="9">
        <f t="shared" si="2"/>
        <v>235</v>
      </c>
      <c r="AK524" s="9">
        <f t="shared" si="3"/>
        <v>755</v>
      </c>
      <c r="AL524" s="7" t="str">
        <f t="shared" ref="AL524:AM524" si="533">HLOOKUP(AJ524,{$D524:$AI524;$D$1:$AI$1},2,false)</f>
        <v>David</v>
      </c>
      <c r="AM524" s="7" t="str">
        <f t="shared" si="533"/>
        <v>Nancy</v>
      </c>
      <c r="AN524" s="7">
        <f t="shared" si="5"/>
        <v>3</v>
      </c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</row>
    <row r="525">
      <c r="A525" s="5">
        <v>46067.0</v>
      </c>
      <c r="B525" s="6" t="s">
        <v>42</v>
      </c>
      <c r="C525" s="7"/>
      <c r="D525" s="7"/>
      <c r="E525" s="7"/>
      <c r="F525" s="7"/>
      <c r="G525" s="7"/>
      <c r="H525" s="7"/>
      <c r="I525" s="8">
        <v>435.0</v>
      </c>
      <c r="J525" s="7"/>
      <c r="K525" s="8">
        <v>570.0</v>
      </c>
      <c r="L525" s="8">
        <v>515.0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8">
        <v>445.0</v>
      </c>
      <c r="Z525" s="7"/>
      <c r="AA525" s="7"/>
      <c r="AB525" s="8">
        <v>795.0</v>
      </c>
      <c r="AC525" s="7"/>
      <c r="AD525" s="7"/>
      <c r="AE525" s="7"/>
      <c r="AF525" s="7"/>
      <c r="AG525" s="7"/>
      <c r="AH525" s="7"/>
      <c r="AI525" s="7"/>
      <c r="AJ525" s="9">
        <f t="shared" si="2"/>
        <v>435</v>
      </c>
      <c r="AK525" s="9">
        <f t="shared" si="3"/>
        <v>795</v>
      </c>
      <c r="AL525" s="7" t="str">
        <f t="shared" ref="AL525:AM525" si="534">HLOOKUP(AJ525,{$D525:$AI525;$D$1:$AI$1},2,false)</f>
        <v>Charlene</v>
      </c>
      <c r="AM525" s="7" t="str">
        <f t="shared" si="534"/>
        <v>Sandy</v>
      </c>
      <c r="AN525" s="7">
        <f t="shared" si="5"/>
        <v>5</v>
      </c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</row>
    <row r="526">
      <c r="A526" s="5">
        <v>46074.0</v>
      </c>
      <c r="B526" s="6" t="s">
        <v>55</v>
      </c>
      <c r="C526" s="7"/>
      <c r="D526" s="7"/>
      <c r="E526" s="7"/>
      <c r="F526" s="7"/>
      <c r="G526" s="7"/>
      <c r="H526" s="7"/>
      <c r="I526" s="8">
        <v>185.0</v>
      </c>
      <c r="J526" s="7"/>
      <c r="K526" s="8">
        <v>665.0</v>
      </c>
      <c r="L526" s="7"/>
      <c r="M526" s="8">
        <v>465.0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8">
        <v>605.0</v>
      </c>
      <c r="Z526" s="7"/>
      <c r="AA526" s="7"/>
      <c r="AB526" s="8">
        <v>380.0</v>
      </c>
      <c r="AC526" s="7"/>
      <c r="AD526" s="7"/>
      <c r="AE526" s="7"/>
      <c r="AF526" s="7"/>
      <c r="AG526" s="7"/>
      <c r="AH526" s="7"/>
      <c r="AI526" s="7"/>
      <c r="AJ526" s="9">
        <f t="shared" si="2"/>
        <v>185</v>
      </c>
      <c r="AK526" s="9">
        <f t="shared" si="3"/>
        <v>665</v>
      </c>
      <c r="AL526" s="7" t="str">
        <f t="shared" ref="AL526:AM526" si="535">HLOOKUP(AJ526,{$D526:$AI526;$D$1:$AI$1},2,false)</f>
        <v>Charlene</v>
      </c>
      <c r="AM526" s="7" t="str">
        <f t="shared" si="535"/>
        <v>David</v>
      </c>
      <c r="AN526" s="7">
        <f t="shared" si="5"/>
        <v>5</v>
      </c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</row>
    <row r="527">
      <c r="A527" s="5">
        <v>46081.0</v>
      </c>
      <c r="B527" s="6" t="s">
        <v>42</v>
      </c>
      <c r="C527" s="7"/>
      <c r="D527" s="7"/>
      <c r="E527" s="7"/>
      <c r="F527" s="7"/>
      <c r="G527" s="7"/>
      <c r="H527" s="7"/>
      <c r="I527" s="8">
        <v>360.0</v>
      </c>
      <c r="J527" s="7"/>
      <c r="K527" s="8">
        <v>515.0</v>
      </c>
      <c r="L527" s="8">
        <v>345.0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8">
        <v>695.0</v>
      </c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9">
        <f t="shared" si="2"/>
        <v>345</v>
      </c>
      <c r="AK527" s="9">
        <f t="shared" si="3"/>
        <v>695</v>
      </c>
      <c r="AL527" s="7" t="str">
        <f t="shared" ref="AL527:AM527" si="536">HLOOKUP(AJ527,{$D527:$AI527;$D$1:$AI$1},2,false)</f>
        <v>Debby</v>
      </c>
      <c r="AM527" s="7" t="str">
        <f t="shared" si="536"/>
        <v>Nancy</v>
      </c>
      <c r="AN527" s="7">
        <f t="shared" si="5"/>
        <v>4</v>
      </c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</row>
    <row r="528">
      <c r="A528" s="5">
        <v>46084.0</v>
      </c>
      <c r="B528" s="6" t="s">
        <v>74</v>
      </c>
      <c r="C528" s="7"/>
      <c r="D528" s="7"/>
      <c r="E528" s="7"/>
      <c r="F528" s="7"/>
      <c r="G528" s="7"/>
      <c r="H528" s="7"/>
      <c r="I528" s="7"/>
      <c r="J528" s="7"/>
      <c r="K528" s="8">
        <v>160.0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8">
        <v>205.0</v>
      </c>
      <c r="Z528" s="7"/>
      <c r="AA528" s="8">
        <v>355.0</v>
      </c>
      <c r="AB528" s="7"/>
      <c r="AC528" s="7"/>
      <c r="AD528" s="7"/>
      <c r="AE528" s="7"/>
      <c r="AF528" s="7"/>
      <c r="AG528" s="7"/>
      <c r="AH528" s="7"/>
      <c r="AI528" s="7"/>
      <c r="AJ528" s="9">
        <f t="shared" si="2"/>
        <v>160</v>
      </c>
      <c r="AK528" s="9">
        <f t="shared" si="3"/>
        <v>355</v>
      </c>
      <c r="AL528" s="7" t="str">
        <f t="shared" ref="AL528:AM528" si="537">HLOOKUP(AJ528,{$D528:$AI528;$D$1:$AI$1},2,false)</f>
        <v>David</v>
      </c>
      <c r="AM528" s="7" t="str">
        <f t="shared" si="537"/>
        <v>Sally</v>
      </c>
      <c r="AN528" s="7">
        <f t="shared" si="5"/>
        <v>3</v>
      </c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</row>
    <row r="529">
      <c r="A529" s="5">
        <v>46085.0</v>
      </c>
      <c r="B529" s="6" t="s">
        <v>74</v>
      </c>
      <c r="C529" s="7"/>
      <c r="D529" s="7"/>
      <c r="E529" s="7"/>
      <c r="F529" s="7"/>
      <c r="G529" s="7"/>
      <c r="H529" s="7"/>
      <c r="I529" s="7"/>
      <c r="J529" s="7"/>
      <c r="K529" s="8">
        <v>410.0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8">
        <v>365.0</v>
      </c>
      <c r="Z529" s="7"/>
      <c r="AA529" s="8">
        <v>230.0</v>
      </c>
      <c r="AB529" s="7"/>
      <c r="AC529" s="7"/>
      <c r="AD529" s="7"/>
      <c r="AE529" s="7"/>
      <c r="AF529" s="7"/>
      <c r="AG529" s="7"/>
      <c r="AH529" s="7"/>
      <c r="AI529" s="7"/>
      <c r="AJ529" s="9">
        <f t="shared" si="2"/>
        <v>230</v>
      </c>
      <c r="AK529" s="9">
        <f t="shared" si="3"/>
        <v>410</v>
      </c>
      <c r="AL529" s="7" t="str">
        <f t="shared" ref="AL529:AM529" si="538">HLOOKUP(AJ529,{$D529:$AI529;$D$1:$AI$1},2,false)</f>
        <v>Sally</v>
      </c>
      <c r="AM529" s="7" t="str">
        <f t="shared" si="538"/>
        <v>David</v>
      </c>
      <c r="AN529" s="7">
        <f t="shared" si="5"/>
        <v>3</v>
      </c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</row>
    <row r="530">
      <c r="A530" s="5">
        <v>46089.0</v>
      </c>
      <c r="B530" s="6" t="s">
        <v>74</v>
      </c>
      <c r="C530" s="7"/>
      <c r="D530" s="7"/>
      <c r="E530" s="7"/>
      <c r="F530" s="7"/>
      <c r="G530" s="7"/>
      <c r="H530" s="7"/>
      <c r="I530" s="7"/>
      <c r="J530" s="7"/>
      <c r="K530" s="8">
        <v>195.0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8">
        <v>605.0</v>
      </c>
      <c r="Z530" s="7"/>
      <c r="AA530" s="8">
        <v>860.0</v>
      </c>
      <c r="AB530" s="7"/>
      <c r="AC530" s="7"/>
      <c r="AD530" s="7"/>
      <c r="AE530" s="7"/>
      <c r="AF530" s="7"/>
      <c r="AG530" s="7"/>
      <c r="AH530" s="7"/>
      <c r="AI530" s="7"/>
      <c r="AJ530" s="9">
        <f t="shared" si="2"/>
        <v>195</v>
      </c>
      <c r="AK530" s="9">
        <f t="shared" si="3"/>
        <v>860</v>
      </c>
      <c r="AL530" s="7" t="str">
        <f t="shared" ref="AL530:AM530" si="539">HLOOKUP(AJ530,{$D530:$AI530;$D$1:$AI$1},2,false)</f>
        <v>David</v>
      </c>
      <c r="AM530" s="7" t="str">
        <f t="shared" si="539"/>
        <v>Sally</v>
      </c>
      <c r="AN530" s="7">
        <f t="shared" si="5"/>
        <v>3</v>
      </c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</row>
    <row r="531">
      <c r="A531" s="5">
        <v>46091.0</v>
      </c>
      <c r="B531" s="6" t="s">
        <v>74</v>
      </c>
      <c r="C531" s="7"/>
      <c r="D531" s="7"/>
      <c r="E531" s="7"/>
      <c r="F531" s="7"/>
      <c r="G531" s="7"/>
      <c r="H531" s="7"/>
      <c r="I531" s="7"/>
      <c r="J531" s="7"/>
      <c r="K531" s="8">
        <v>190.0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8">
        <v>325.0</v>
      </c>
      <c r="Z531" s="7"/>
      <c r="AA531" s="8">
        <v>215.0</v>
      </c>
      <c r="AB531" s="7"/>
      <c r="AC531" s="7"/>
      <c r="AD531" s="7"/>
      <c r="AE531" s="7"/>
      <c r="AF531" s="7"/>
      <c r="AG531" s="7"/>
      <c r="AH531" s="7"/>
      <c r="AI531" s="7"/>
      <c r="AJ531" s="9">
        <f t="shared" si="2"/>
        <v>190</v>
      </c>
      <c r="AK531" s="9">
        <f t="shared" si="3"/>
        <v>325</v>
      </c>
      <c r="AL531" s="7" t="str">
        <f t="shared" ref="AL531:AM531" si="540">HLOOKUP(AJ531,{$D531:$AI531;$D$1:$AI$1},2,false)</f>
        <v>David</v>
      </c>
      <c r="AM531" s="7" t="str">
        <f t="shared" si="540"/>
        <v>Nancy</v>
      </c>
      <c r="AN531" s="7">
        <f t="shared" si="5"/>
        <v>3</v>
      </c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</row>
    <row r="532">
      <c r="A532" s="5">
        <v>46109.0</v>
      </c>
      <c r="B532" s="6" t="s">
        <v>42</v>
      </c>
      <c r="C532" s="7"/>
      <c r="D532" s="7"/>
      <c r="E532" s="7"/>
      <c r="F532" s="7"/>
      <c r="G532" s="7"/>
      <c r="H532" s="7"/>
      <c r="I532" s="8">
        <v>385.0</v>
      </c>
      <c r="J532" s="7"/>
      <c r="K532" s="8">
        <v>380.0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8">
        <v>345.0</v>
      </c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9">
        <f t="shared" si="2"/>
        <v>345</v>
      </c>
      <c r="AK532" s="9">
        <f t="shared" si="3"/>
        <v>385</v>
      </c>
      <c r="AL532" s="7" t="str">
        <f t="shared" ref="AL532:AM532" si="541">HLOOKUP(AJ532,{$D532:$AI532;$D$1:$AI$1},2,false)</f>
        <v>Nancy</v>
      </c>
      <c r="AM532" s="7" t="str">
        <f t="shared" si="541"/>
        <v>Charlene</v>
      </c>
      <c r="AN532" s="7">
        <f t="shared" si="5"/>
        <v>3</v>
      </c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</row>
    <row r="533">
      <c r="A533" s="5">
        <v>46121.0</v>
      </c>
      <c r="B533" s="6" t="s">
        <v>55</v>
      </c>
      <c r="C533" s="7"/>
      <c r="D533" s="7"/>
      <c r="E533" s="7"/>
      <c r="F533" s="7"/>
      <c r="G533" s="7"/>
      <c r="H533" s="7"/>
      <c r="I533" s="8">
        <v>695.0</v>
      </c>
      <c r="J533" s="7"/>
      <c r="K533" s="8">
        <v>285.0</v>
      </c>
      <c r="L533" s="8">
        <v>135.0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8">
        <v>290.0</v>
      </c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9">
        <f t="shared" si="2"/>
        <v>135</v>
      </c>
      <c r="AK533" s="9">
        <f t="shared" si="3"/>
        <v>695</v>
      </c>
      <c r="AL533" s="7" t="str">
        <f t="shared" ref="AL533:AM533" si="542">HLOOKUP(AJ533,{$D533:$AI533;$D$1:$AI$1},2,false)</f>
        <v>Debby</v>
      </c>
      <c r="AM533" s="7" t="str">
        <f t="shared" si="542"/>
        <v>Charlene</v>
      </c>
      <c r="AN533" s="7">
        <f t="shared" si="5"/>
        <v>4</v>
      </c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</row>
    <row r="534">
      <c r="A534" s="5">
        <v>46137.0</v>
      </c>
      <c r="B534" s="6" t="s">
        <v>74</v>
      </c>
      <c r="C534" s="7"/>
      <c r="D534" s="7"/>
      <c r="E534" s="7"/>
      <c r="F534" s="7"/>
      <c r="G534" s="7"/>
      <c r="H534" s="7"/>
      <c r="I534" s="7"/>
      <c r="J534" s="7"/>
      <c r="K534" s="8">
        <v>325.0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8">
        <v>525.0</v>
      </c>
      <c r="Z534" s="7"/>
      <c r="AA534" s="8">
        <v>235.0</v>
      </c>
      <c r="AB534" s="7"/>
      <c r="AC534" s="7"/>
      <c r="AD534" s="7"/>
      <c r="AE534" s="7"/>
      <c r="AF534" s="7"/>
      <c r="AG534" s="7"/>
      <c r="AH534" s="7"/>
      <c r="AI534" s="7"/>
      <c r="AJ534" s="9">
        <f t="shared" si="2"/>
        <v>235</v>
      </c>
      <c r="AK534" s="9">
        <f t="shared" si="3"/>
        <v>525</v>
      </c>
      <c r="AL534" s="7" t="str">
        <f t="shared" ref="AL534:AM534" si="543">HLOOKUP(AJ534,{$D534:$AI534;$D$1:$AI$1},2,false)</f>
        <v>Sally</v>
      </c>
      <c r="AM534" s="7" t="str">
        <f t="shared" si="543"/>
        <v>Nancy</v>
      </c>
      <c r="AN534" s="7">
        <f t="shared" si="5"/>
        <v>3</v>
      </c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</row>
    <row r="535">
      <c r="A535" s="5">
        <v>46156.0</v>
      </c>
      <c r="B535" s="6" t="s">
        <v>55</v>
      </c>
      <c r="C535" s="8" t="s">
        <v>41</v>
      </c>
      <c r="D535" s="7"/>
      <c r="E535" s="7"/>
      <c r="F535" s="7"/>
      <c r="G535" s="7"/>
      <c r="H535" s="7"/>
      <c r="I535" s="7"/>
      <c r="J535" s="7"/>
      <c r="K535" s="8">
        <v>190.0</v>
      </c>
      <c r="L535" s="8">
        <v>245.0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8">
        <v>315.0</v>
      </c>
      <c r="Z535" s="7"/>
      <c r="AA535" s="8">
        <v>365.0</v>
      </c>
      <c r="AB535" s="7"/>
      <c r="AC535" s="7"/>
      <c r="AD535" s="7"/>
      <c r="AE535" s="7"/>
      <c r="AF535" s="7"/>
      <c r="AG535" s="7"/>
      <c r="AH535" s="7"/>
      <c r="AI535" s="7"/>
      <c r="AJ535" s="9">
        <f t="shared" si="2"/>
        <v>190</v>
      </c>
      <c r="AK535" s="9">
        <f t="shared" si="3"/>
        <v>365</v>
      </c>
      <c r="AL535" s="7" t="str">
        <f t="shared" ref="AL535:AM535" si="544">HLOOKUP(AJ535,{$D535:$AI535;$D$1:$AI$1},2,false)</f>
        <v>David</v>
      </c>
      <c r="AM535" s="7" t="str">
        <f t="shared" si="544"/>
        <v>Sally</v>
      </c>
      <c r="AN535" s="7">
        <f t="shared" si="5"/>
        <v>4</v>
      </c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</row>
    <row r="536">
      <c r="A536" s="5">
        <v>46159.0</v>
      </c>
      <c r="B536" s="6" t="s">
        <v>88</v>
      </c>
      <c r="C536" s="7"/>
      <c r="D536" s="7"/>
      <c r="E536" s="7"/>
      <c r="F536" s="7"/>
      <c r="G536" s="7"/>
      <c r="H536" s="7"/>
      <c r="I536" s="7"/>
      <c r="J536" s="7"/>
      <c r="K536" s="8">
        <v>330.0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8">
        <v>405.0</v>
      </c>
      <c r="Z536" s="7"/>
      <c r="AA536" s="8">
        <v>495.0</v>
      </c>
      <c r="AB536" s="7"/>
      <c r="AC536" s="7"/>
      <c r="AD536" s="7"/>
      <c r="AE536" s="7"/>
      <c r="AF536" s="7"/>
      <c r="AG536" s="7"/>
      <c r="AH536" s="7"/>
      <c r="AI536" s="7"/>
      <c r="AJ536" s="9">
        <f t="shared" si="2"/>
        <v>330</v>
      </c>
      <c r="AK536" s="9">
        <f t="shared" si="3"/>
        <v>495</v>
      </c>
      <c r="AL536" s="7" t="str">
        <f t="shared" ref="AL536:AM536" si="545">HLOOKUP(AJ536,{$D536:$AI536;$D$1:$AI$1},2,false)</f>
        <v>David</v>
      </c>
      <c r="AM536" s="7" t="str">
        <f t="shared" si="545"/>
        <v>Sally</v>
      </c>
      <c r="AN536" s="7">
        <f t="shared" si="5"/>
        <v>3</v>
      </c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</row>
    <row r="537">
      <c r="A537" s="5">
        <v>46160.0</v>
      </c>
      <c r="B537" s="6" t="s">
        <v>88</v>
      </c>
      <c r="C537" s="7"/>
      <c r="D537" s="7"/>
      <c r="E537" s="7"/>
      <c r="F537" s="7"/>
      <c r="G537" s="7"/>
      <c r="H537" s="7"/>
      <c r="I537" s="7"/>
      <c r="J537" s="7"/>
      <c r="K537" s="8">
        <v>50.0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8">
        <v>615.0</v>
      </c>
      <c r="Z537" s="7"/>
      <c r="AA537" s="8">
        <v>250.0</v>
      </c>
      <c r="AB537" s="7"/>
      <c r="AC537" s="7"/>
      <c r="AD537" s="7"/>
      <c r="AE537" s="7"/>
      <c r="AF537" s="7"/>
      <c r="AG537" s="7"/>
      <c r="AH537" s="7"/>
      <c r="AI537" s="7"/>
      <c r="AJ537" s="9">
        <f t="shared" si="2"/>
        <v>50</v>
      </c>
      <c r="AK537" s="9">
        <f t="shared" si="3"/>
        <v>615</v>
      </c>
      <c r="AL537" s="7" t="str">
        <f t="shared" ref="AL537:AM537" si="546">HLOOKUP(AJ537,{$D537:$AI537;$D$1:$AI$1},2,false)</f>
        <v>David</v>
      </c>
      <c r="AM537" s="7" t="str">
        <f t="shared" si="546"/>
        <v>Nancy</v>
      </c>
      <c r="AN537" s="7">
        <f t="shared" si="5"/>
        <v>3</v>
      </c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</row>
    <row r="538">
      <c r="A538" s="5">
        <v>46167.0</v>
      </c>
      <c r="B538" s="6" t="s">
        <v>74</v>
      </c>
      <c r="C538" s="8" t="s">
        <v>41</v>
      </c>
      <c r="D538" s="7"/>
      <c r="E538" s="7"/>
      <c r="F538" s="7"/>
      <c r="G538" s="7"/>
      <c r="H538" s="7"/>
      <c r="I538" s="7"/>
      <c r="J538" s="7"/>
      <c r="K538" s="8">
        <v>170.0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8">
        <v>325.0</v>
      </c>
      <c r="W538" s="7"/>
      <c r="X538" s="7"/>
      <c r="Y538" s="8">
        <v>255.0</v>
      </c>
      <c r="Z538" s="7"/>
      <c r="AA538" s="8">
        <v>90.0</v>
      </c>
      <c r="AB538" s="7"/>
      <c r="AC538" s="7"/>
      <c r="AD538" s="7"/>
      <c r="AE538" s="7"/>
      <c r="AF538" s="7"/>
      <c r="AG538" s="7"/>
      <c r="AH538" s="7"/>
      <c r="AI538" s="7"/>
      <c r="AJ538" s="9">
        <f t="shared" si="2"/>
        <v>90</v>
      </c>
      <c r="AK538" s="9">
        <f t="shared" si="3"/>
        <v>325</v>
      </c>
      <c r="AL538" s="7" t="str">
        <f t="shared" ref="AL538:AM538" si="547">HLOOKUP(AJ538,{$D538:$AI538;$D$1:$AI$1},2,false)</f>
        <v>Sally</v>
      </c>
      <c r="AM538" s="7" t="str">
        <f t="shared" si="547"/>
        <v>Karen</v>
      </c>
      <c r="AN538" s="7">
        <f t="shared" si="5"/>
        <v>4</v>
      </c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</row>
    <row r="539">
      <c r="A539" s="5">
        <v>46186.0</v>
      </c>
      <c r="B539" s="6" t="s">
        <v>89</v>
      </c>
      <c r="C539" s="7"/>
      <c r="D539" s="7"/>
      <c r="E539" s="7"/>
      <c r="F539" s="7"/>
      <c r="G539" s="7"/>
      <c r="H539" s="7"/>
      <c r="I539" s="7"/>
      <c r="J539" s="7"/>
      <c r="K539" s="8">
        <v>185.0</v>
      </c>
      <c r="L539" s="8">
        <v>450.0</v>
      </c>
      <c r="M539" s="7"/>
      <c r="N539" s="7"/>
      <c r="O539" s="7"/>
      <c r="P539" s="7"/>
      <c r="Q539" s="7"/>
      <c r="R539" s="7"/>
      <c r="S539" s="7"/>
      <c r="T539" s="7"/>
      <c r="U539" s="7"/>
      <c r="V539" s="8">
        <v>700.0</v>
      </c>
      <c r="W539" s="7"/>
      <c r="X539" s="7"/>
      <c r="Y539" s="8">
        <v>515.0</v>
      </c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9">
        <f t="shared" si="2"/>
        <v>185</v>
      </c>
      <c r="AK539" s="9">
        <f t="shared" si="3"/>
        <v>700</v>
      </c>
      <c r="AL539" s="7" t="str">
        <f t="shared" ref="AL539:AM539" si="548">HLOOKUP(AJ539,{$D539:$AI539;$D$1:$AI$1},2,false)</f>
        <v>David</v>
      </c>
      <c r="AM539" s="7" t="str">
        <f t="shared" si="548"/>
        <v>Karen</v>
      </c>
      <c r="AN539" s="7">
        <f t="shared" si="5"/>
        <v>4</v>
      </c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</row>
    <row r="540">
      <c r="A540" s="5"/>
      <c r="B540" s="13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9"/>
      <c r="AK540" s="9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</row>
    <row r="541">
      <c r="A541" s="5"/>
      <c r="B541" s="13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9"/>
      <c r="AK541" s="9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</row>
    <row r="542">
      <c r="A542" s="5"/>
      <c r="B542" s="13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9"/>
      <c r="AK542" s="9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</row>
    <row r="543">
      <c r="A543" s="5"/>
      <c r="B543" s="13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9"/>
      <c r="AK543" s="9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</row>
    <row r="544">
      <c r="A544" s="5"/>
      <c r="B544" s="13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9"/>
      <c r="AK544" s="9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</row>
    <row r="545">
      <c r="A545" s="5"/>
      <c r="B545" s="13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9"/>
      <c r="AK545" s="9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</row>
    <row r="546">
      <c r="A546" s="5"/>
      <c r="B546" s="13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9"/>
      <c r="AK546" s="9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</row>
    <row r="547">
      <c r="A547" s="5"/>
      <c r="B547" s="13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9"/>
      <c r="AK547" s="9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</row>
    <row r="548">
      <c r="A548" s="5"/>
      <c r="B548" s="13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9"/>
      <c r="AK548" s="9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</row>
    <row r="549">
      <c r="A549" s="5"/>
      <c r="B549" s="13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9"/>
      <c r="AK549" s="9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</row>
    <row r="550">
      <c r="A550" s="5"/>
      <c r="B550" s="13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9"/>
      <c r="AK550" s="9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</row>
    <row r="551">
      <c r="A551" s="5"/>
      <c r="B551" s="13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9"/>
      <c r="AK551" s="9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</row>
    <row r="552">
      <c r="A552" s="5"/>
      <c r="B552" s="13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9"/>
      <c r="AK552" s="9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</row>
    <row r="553">
      <c r="A553" s="5"/>
      <c r="B553" s="13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9"/>
      <c r="AK553" s="9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</row>
    <row r="554">
      <c r="A554" s="5"/>
      <c r="B554" s="13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9"/>
      <c r="AK554" s="9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</row>
    <row r="555">
      <c r="A555" s="5"/>
      <c r="B555" s="13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9"/>
      <c r="AK555" s="9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</row>
    <row r="556">
      <c r="A556" s="5"/>
      <c r="B556" s="6" t="s">
        <v>90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9"/>
      <c r="AK556" s="9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</row>
    <row r="557">
      <c r="A557" s="5"/>
      <c r="B557" s="13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9"/>
      <c r="AK557" s="9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</row>
    <row r="558">
      <c r="A558" s="5"/>
      <c r="B558" s="13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9"/>
      <c r="AK558" s="9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</row>
    <row r="559">
      <c r="A559" s="5"/>
      <c r="B559" s="13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9"/>
      <c r="AK559" s="9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</row>
    <row r="560">
      <c r="A560" s="5"/>
      <c r="B560" s="13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9"/>
      <c r="AK560" s="9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</row>
    <row r="561">
      <c r="A561" s="5"/>
      <c r="B561" s="13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9"/>
      <c r="AK561" s="9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</row>
    <row r="562">
      <c r="A562" s="5"/>
      <c r="B562" s="13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9"/>
      <c r="AK562" s="9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</row>
    <row r="563">
      <c r="A563" s="5"/>
      <c r="B563" s="13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9"/>
      <c r="AK563" s="9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</row>
    <row r="564">
      <c r="A564" s="5"/>
      <c r="B564" s="13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9"/>
      <c r="AK564" s="9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</row>
    <row r="565">
      <c r="A565" s="5"/>
      <c r="B565" s="13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9"/>
      <c r="AK565" s="9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</row>
    <row r="566">
      <c r="A566" s="5"/>
      <c r="B566" s="13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9"/>
      <c r="AK566" s="9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</row>
    <row r="567">
      <c r="A567" s="5"/>
      <c r="B567" s="13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9"/>
      <c r="AK567" s="9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</row>
    <row r="568">
      <c r="A568" s="5"/>
      <c r="B568" s="13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9"/>
      <c r="AK568" s="9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</row>
    <row r="569">
      <c r="A569" s="5"/>
      <c r="B569" s="13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9"/>
      <c r="AK569" s="9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</row>
    <row r="570">
      <c r="A570" s="5"/>
      <c r="B570" s="13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9"/>
      <c r="AK570" s="9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</row>
    <row r="571">
      <c r="A571" s="5"/>
      <c r="B571" s="13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9"/>
      <c r="AK571" s="9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</row>
    <row r="572">
      <c r="A572" s="5"/>
      <c r="B572" s="13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9"/>
      <c r="AK572" s="9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</row>
    <row r="573">
      <c r="A573" s="5"/>
      <c r="B573" s="13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9"/>
      <c r="AK573" s="9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</row>
    <row r="574">
      <c r="A574" s="5"/>
      <c r="B574" s="13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9"/>
      <c r="AK574" s="9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</row>
    <row r="575">
      <c r="A575" s="5"/>
      <c r="B575" s="13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9"/>
      <c r="AK575" s="9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</row>
    <row r="576">
      <c r="A576" s="5"/>
      <c r="B576" s="13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9"/>
      <c r="AK576" s="9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</row>
    <row r="577">
      <c r="A577" s="5"/>
      <c r="B577" s="13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9"/>
      <c r="AK577" s="9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</row>
    <row r="578">
      <c r="A578" s="5"/>
      <c r="B578" s="13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9"/>
      <c r="AK578" s="9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</row>
    <row r="579">
      <c r="A579" s="5"/>
      <c r="B579" s="13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9"/>
      <c r="AK579" s="9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</row>
    <row r="580">
      <c r="A580" s="5"/>
      <c r="B580" s="13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9"/>
      <c r="AK580" s="9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</row>
    <row r="581">
      <c r="A581" s="5"/>
      <c r="B581" s="13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9"/>
      <c r="AK581" s="9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</row>
    <row r="582">
      <c r="A582" s="5"/>
      <c r="B582" s="13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9"/>
      <c r="AK582" s="9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</row>
    <row r="583">
      <c r="A583" s="5"/>
      <c r="B583" s="13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9"/>
      <c r="AK583" s="9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</row>
    <row r="584">
      <c r="A584" s="5"/>
      <c r="B584" s="13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9"/>
      <c r="AK584" s="9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</row>
    <row r="585">
      <c r="A585" s="5"/>
      <c r="B585" s="13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9"/>
      <c r="AK585" s="9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</row>
    <row r="586">
      <c r="A586" s="5"/>
      <c r="B586" s="13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9"/>
      <c r="AK586" s="9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</row>
    <row r="587">
      <c r="A587" s="5"/>
      <c r="B587" s="13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9"/>
      <c r="AK587" s="9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</row>
    <row r="588">
      <c r="A588" s="5"/>
      <c r="B588" s="13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9"/>
      <c r="AK588" s="9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</row>
    <row r="589">
      <c r="A589" s="5"/>
      <c r="B589" s="13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9"/>
      <c r="AK589" s="9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</row>
    <row r="590">
      <c r="A590" s="5"/>
      <c r="B590" s="13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9"/>
      <c r="AK590" s="9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</row>
    <row r="591">
      <c r="A591" s="5"/>
      <c r="B591" s="13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9"/>
      <c r="AK591" s="9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</row>
    <row r="592">
      <c r="A592" s="5"/>
      <c r="B592" s="13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9"/>
      <c r="AK592" s="9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</row>
    <row r="593">
      <c r="A593" s="5"/>
      <c r="B593" s="13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9"/>
      <c r="AK593" s="9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</row>
    <row r="594">
      <c r="A594" s="5"/>
      <c r="B594" s="13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9"/>
      <c r="AK594" s="9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</row>
    <row r="595">
      <c r="A595" s="5"/>
      <c r="B595" s="13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9"/>
      <c r="AK595" s="9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</row>
    <row r="596">
      <c r="A596" s="5"/>
      <c r="B596" s="13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9"/>
      <c r="AK596" s="9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</row>
    <row r="597">
      <c r="A597" s="5"/>
      <c r="B597" s="13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9"/>
      <c r="AK597" s="9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</row>
    <row r="598">
      <c r="A598" s="5"/>
      <c r="B598" s="13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9"/>
      <c r="AK598" s="9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</row>
    <row r="599">
      <c r="A599" s="5"/>
      <c r="B599" s="13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9"/>
      <c r="AK599" s="9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</row>
    <row r="600">
      <c r="A600" s="5"/>
      <c r="B600" s="13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9"/>
      <c r="AK600" s="9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</row>
    <row r="601">
      <c r="A601" s="5"/>
      <c r="B601" s="13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9"/>
      <c r="AK601" s="9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</row>
    <row r="602">
      <c r="A602" s="5"/>
      <c r="B602" s="13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9"/>
      <c r="AK602" s="9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</row>
    <row r="603">
      <c r="A603" s="5"/>
      <c r="B603" s="13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9"/>
      <c r="AK603" s="9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</row>
    <row r="604">
      <c r="A604" s="5"/>
      <c r="B604" s="13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9"/>
      <c r="AK604" s="9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</row>
    <row r="605">
      <c r="A605" s="5"/>
      <c r="B605" s="13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9"/>
      <c r="AK605" s="9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</row>
    <row r="606">
      <c r="A606" s="5"/>
      <c r="B606" s="13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9"/>
      <c r="AK606" s="9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</row>
    <row r="607">
      <c r="A607" s="5"/>
      <c r="B607" s="13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9"/>
      <c r="AK607" s="9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</row>
    <row r="608">
      <c r="A608" s="5"/>
      <c r="B608" s="13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9"/>
      <c r="AK608" s="9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</row>
    <row r="609">
      <c r="A609" s="5"/>
      <c r="B609" s="13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9"/>
      <c r="AK609" s="9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</row>
    <row r="610">
      <c r="A610" s="5"/>
      <c r="B610" s="13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9"/>
      <c r="AK610" s="9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</row>
    <row r="611">
      <c r="A611" s="5"/>
      <c r="B611" s="13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9"/>
      <c r="AK611" s="9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</row>
    <row r="612">
      <c r="A612" s="5"/>
      <c r="B612" s="13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9"/>
      <c r="AK612" s="9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</row>
    <row r="613">
      <c r="A613" s="5"/>
      <c r="B613" s="13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9"/>
      <c r="AK613" s="9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</row>
    <row r="614">
      <c r="A614" s="5"/>
      <c r="B614" s="13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9"/>
      <c r="AK614" s="9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</row>
    <row r="615">
      <c r="A615" s="5"/>
      <c r="B615" s="13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9"/>
      <c r="AK615" s="9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</row>
    <row r="616">
      <c r="A616" s="5"/>
      <c r="B616" s="13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9"/>
      <c r="AK616" s="9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</row>
    <row r="617">
      <c r="A617" s="5"/>
      <c r="B617" s="13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9"/>
      <c r="AK617" s="9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</row>
    <row r="618">
      <c r="A618" s="5"/>
      <c r="B618" s="13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9"/>
      <c r="AK618" s="9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</row>
    <row r="619">
      <c r="A619" s="5"/>
      <c r="B619" s="13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9"/>
      <c r="AK619" s="9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</row>
    <row r="620">
      <c r="A620" s="5"/>
      <c r="B620" s="13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9"/>
      <c r="AK620" s="9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</row>
    <row r="621">
      <c r="A621" s="5"/>
      <c r="B621" s="13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9"/>
      <c r="AK621" s="9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</row>
    <row r="622">
      <c r="A622" s="5"/>
      <c r="B622" s="13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9"/>
      <c r="AK622" s="9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</row>
    <row r="623">
      <c r="A623" s="5"/>
      <c r="B623" s="13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9"/>
      <c r="AK623" s="9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</row>
    <row r="624">
      <c r="A624" s="5"/>
      <c r="B624" s="13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9"/>
      <c r="AK624" s="9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</row>
    <row r="625">
      <c r="A625" s="5"/>
      <c r="B625" s="13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9"/>
      <c r="AK625" s="9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</row>
    <row r="626">
      <c r="A626" s="5"/>
      <c r="B626" s="13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9"/>
      <c r="AK626" s="9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</row>
    <row r="627">
      <c r="A627" s="5"/>
      <c r="B627" s="13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9"/>
      <c r="AK627" s="9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</row>
    <row r="628">
      <c r="A628" s="5"/>
      <c r="B628" s="13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9"/>
      <c r="AK628" s="9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</row>
    <row r="629">
      <c r="A629" s="5"/>
      <c r="B629" s="13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9"/>
      <c r="AK629" s="9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</row>
    <row r="630">
      <c r="A630" s="5"/>
      <c r="B630" s="13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9"/>
      <c r="AK630" s="9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</row>
    <row r="631">
      <c r="A631" s="5"/>
      <c r="B631" s="13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9"/>
      <c r="AK631" s="9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</row>
    <row r="632">
      <c r="A632" s="5"/>
      <c r="B632" s="13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9"/>
      <c r="AK632" s="9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</row>
    <row r="633">
      <c r="A633" s="5"/>
      <c r="B633" s="13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9"/>
      <c r="AK633" s="9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</row>
    <row r="634">
      <c r="A634" s="5"/>
      <c r="B634" s="13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9"/>
      <c r="AK634" s="9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</row>
    <row r="635">
      <c r="A635" s="5"/>
      <c r="B635" s="13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9"/>
      <c r="AK635" s="9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</row>
    <row r="636">
      <c r="A636" s="5"/>
      <c r="B636" s="13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9"/>
      <c r="AK636" s="9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</row>
    <row r="637">
      <c r="A637" s="5"/>
      <c r="B637" s="13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9"/>
      <c r="AK637" s="9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</row>
    <row r="638">
      <c r="A638" s="5"/>
      <c r="B638" s="13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9"/>
      <c r="AK638" s="9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</row>
    <row r="639">
      <c r="A639" s="5"/>
      <c r="B639" s="13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9"/>
      <c r="AK639" s="9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</row>
    <row r="640">
      <c r="A640" s="5"/>
      <c r="B640" s="13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9"/>
      <c r="AK640" s="9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</row>
    <row r="641">
      <c r="A641" s="5"/>
      <c r="B641" s="13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9"/>
      <c r="AK641" s="9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</row>
    <row r="642">
      <c r="A642" s="5"/>
      <c r="B642" s="13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9"/>
      <c r="AK642" s="9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</row>
    <row r="643">
      <c r="A643" s="5"/>
      <c r="B643" s="13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9"/>
      <c r="AK643" s="9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</row>
    <row r="644">
      <c r="A644" s="5"/>
      <c r="B644" s="13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9"/>
      <c r="AK644" s="9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</row>
    <row r="645">
      <c r="A645" s="5"/>
      <c r="B645" s="13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9"/>
      <c r="AK645" s="9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</row>
    <row r="646">
      <c r="A646" s="5"/>
      <c r="B646" s="13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9"/>
      <c r="AK646" s="9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</row>
    <row r="647">
      <c r="A647" s="5"/>
      <c r="B647" s="13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9"/>
      <c r="AK647" s="9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</row>
    <row r="648">
      <c r="A648" s="5"/>
      <c r="B648" s="13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9"/>
      <c r="AK648" s="9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</row>
    <row r="649">
      <c r="A649" s="5"/>
      <c r="B649" s="13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9"/>
      <c r="AK649" s="9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</row>
    <row r="650">
      <c r="A650" s="5"/>
      <c r="B650" s="13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9"/>
      <c r="AK650" s="9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</row>
    <row r="651">
      <c r="A651" s="5"/>
      <c r="B651" s="13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9"/>
      <c r="AK651" s="9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</row>
    <row r="652">
      <c r="A652" s="5"/>
      <c r="B652" s="13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9"/>
      <c r="AK652" s="9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</row>
    <row r="653">
      <c r="A653" s="5"/>
      <c r="B653" s="13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9"/>
      <c r="AK653" s="9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</row>
    <row r="654">
      <c r="A654" s="5"/>
      <c r="B654" s="13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9"/>
      <c r="AK654" s="9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</row>
    <row r="655">
      <c r="A655" s="5"/>
      <c r="B655" s="13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9"/>
      <c r="AK655" s="9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</row>
    <row r="656">
      <c r="A656" s="5"/>
      <c r="B656" s="13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9"/>
      <c r="AK656" s="9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</row>
    <row r="657">
      <c r="A657" s="5"/>
      <c r="B657" s="13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9"/>
      <c r="AK657" s="9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</row>
    <row r="658">
      <c r="A658" s="5"/>
      <c r="B658" s="13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9"/>
      <c r="AK658" s="9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</row>
    <row r="659">
      <c r="A659" s="5"/>
      <c r="B659" s="13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9"/>
      <c r="AK659" s="9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</row>
    <row r="660">
      <c r="A660" s="5"/>
      <c r="B660" s="13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9"/>
      <c r="AK660" s="9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</row>
    <row r="661">
      <c r="A661" s="5"/>
      <c r="B661" s="13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9"/>
      <c r="AK661" s="9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</row>
    <row r="662">
      <c r="A662" s="5"/>
      <c r="B662" s="13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9"/>
      <c r="AK662" s="9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</row>
    <row r="663">
      <c r="A663" s="5"/>
      <c r="B663" s="13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9"/>
      <c r="AK663" s="9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</row>
    <row r="664">
      <c r="A664" s="5"/>
      <c r="B664" s="13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9"/>
      <c r="AK664" s="9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</row>
    <row r="665">
      <c r="A665" s="5"/>
      <c r="B665" s="13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9"/>
      <c r="AK665" s="9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</row>
    <row r="666">
      <c r="A666" s="5"/>
      <c r="B666" s="13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9"/>
      <c r="AK666" s="9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</row>
    <row r="667">
      <c r="A667" s="5"/>
      <c r="B667" s="13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9"/>
      <c r="AK667" s="9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</row>
    <row r="668">
      <c r="A668" s="5"/>
      <c r="B668" s="13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9"/>
      <c r="AK668" s="9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</row>
    <row r="669">
      <c r="A669" s="5"/>
      <c r="B669" s="13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9"/>
      <c r="AK669" s="9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</row>
    <row r="670">
      <c r="A670" s="5"/>
      <c r="B670" s="13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9"/>
      <c r="AK670" s="9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</row>
    <row r="671">
      <c r="A671" s="5"/>
      <c r="B671" s="13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9"/>
      <c r="AK671" s="9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</row>
    <row r="672">
      <c r="A672" s="5"/>
      <c r="B672" s="13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9"/>
      <c r="AK672" s="9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</row>
    <row r="673">
      <c r="A673" s="5"/>
      <c r="B673" s="13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9"/>
      <c r="AK673" s="9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</row>
    <row r="674">
      <c r="A674" s="5"/>
      <c r="B674" s="13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9"/>
      <c r="AK674" s="9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</row>
    <row r="675">
      <c r="A675" s="5"/>
      <c r="B675" s="13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9"/>
      <c r="AK675" s="9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</row>
    <row r="676">
      <c r="A676" s="5"/>
      <c r="B676" s="13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9"/>
      <c r="AK676" s="9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</row>
    <row r="677">
      <c r="A677" s="5"/>
      <c r="B677" s="13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9"/>
      <c r="AK677" s="9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</row>
    <row r="678">
      <c r="A678" s="5"/>
      <c r="B678" s="13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9"/>
      <c r="AK678" s="9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</row>
    <row r="679">
      <c r="A679" s="5"/>
      <c r="B679" s="13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9"/>
      <c r="AK679" s="9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</row>
    <row r="680">
      <c r="A680" s="5"/>
      <c r="B680" s="13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9"/>
      <c r="AK680" s="9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</row>
    <row r="681">
      <c r="A681" s="5"/>
      <c r="B681" s="13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9"/>
      <c r="AK681" s="9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</row>
    <row r="682">
      <c r="A682" s="5"/>
      <c r="B682" s="13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9"/>
      <c r="AK682" s="9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</row>
    <row r="683">
      <c r="A683" s="5"/>
      <c r="B683" s="13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9"/>
      <c r="AK683" s="9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</row>
    <row r="684">
      <c r="A684" s="5"/>
      <c r="B684" s="13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9"/>
      <c r="AK684" s="9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</row>
    <row r="685">
      <c r="A685" s="5"/>
      <c r="B685" s="13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9"/>
      <c r="AK685" s="9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</row>
    <row r="686">
      <c r="A686" s="5"/>
      <c r="B686" s="13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9"/>
      <c r="AK686" s="9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</row>
    <row r="687">
      <c r="A687" s="5"/>
      <c r="B687" s="13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9"/>
      <c r="AK687" s="9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</row>
    <row r="688">
      <c r="A688" s="5"/>
      <c r="B688" s="13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9"/>
      <c r="AK688" s="9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</row>
    <row r="689">
      <c r="A689" s="5"/>
      <c r="B689" s="13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9"/>
      <c r="AK689" s="9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</row>
    <row r="690">
      <c r="A690" s="5"/>
      <c r="B690" s="13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9"/>
      <c r="AK690" s="9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</row>
    <row r="691">
      <c r="A691" s="5"/>
      <c r="B691" s="13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9"/>
      <c r="AK691" s="9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</row>
    <row r="692">
      <c r="A692" s="5"/>
      <c r="B692" s="13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9"/>
      <c r="AK692" s="9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</row>
    <row r="693">
      <c r="A693" s="5"/>
      <c r="B693" s="13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9"/>
      <c r="AK693" s="9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</row>
    <row r="694">
      <c r="A694" s="5"/>
      <c r="B694" s="13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9"/>
      <c r="AK694" s="9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</row>
    <row r="695">
      <c r="A695" s="5"/>
      <c r="B695" s="13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9"/>
      <c r="AK695" s="9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</row>
    <row r="696">
      <c r="A696" s="5"/>
      <c r="B696" s="13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9"/>
      <c r="AK696" s="9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</row>
    <row r="697">
      <c r="A697" s="5"/>
      <c r="B697" s="13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9"/>
      <c r="AK697" s="9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</row>
    <row r="698">
      <c r="A698" s="5"/>
      <c r="B698" s="13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9"/>
      <c r="AK698" s="9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</row>
    <row r="699">
      <c r="A699" s="5"/>
      <c r="B699" s="13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9"/>
      <c r="AK699" s="9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</row>
    <row r="700">
      <c r="A700" s="5"/>
      <c r="B700" s="13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9"/>
      <c r="AK700" s="9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</row>
    <row r="701">
      <c r="A701" s="5"/>
      <c r="B701" s="13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9"/>
      <c r="AK701" s="9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</row>
    <row r="702">
      <c r="A702" s="5"/>
      <c r="B702" s="13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9"/>
      <c r="AK702" s="9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</row>
    <row r="703">
      <c r="A703" s="5"/>
      <c r="B703" s="13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9"/>
      <c r="AK703" s="9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</row>
    <row r="704">
      <c r="A704" s="5"/>
      <c r="B704" s="13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9"/>
      <c r="AK704" s="9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</row>
    <row r="705">
      <c r="A705" s="5"/>
      <c r="B705" s="13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9"/>
      <c r="AK705" s="9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</row>
    <row r="706">
      <c r="A706" s="5"/>
      <c r="B706" s="13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9"/>
      <c r="AK706" s="9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</row>
    <row r="707">
      <c r="A707" s="5"/>
      <c r="B707" s="13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9"/>
      <c r="AK707" s="9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</row>
    <row r="708">
      <c r="A708" s="5"/>
      <c r="B708" s="13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9"/>
      <c r="AK708" s="9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</row>
    <row r="709">
      <c r="A709" s="5"/>
      <c r="B709" s="13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9"/>
      <c r="AK709" s="9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</row>
    <row r="710">
      <c r="A710" s="5"/>
      <c r="B710" s="13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9"/>
      <c r="AK710" s="9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</row>
    <row r="711">
      <c r="A711" s="5"/>
      <c r="B711" s="13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9"/>
      <c r="AK711" s="9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</row>
    <row r="712">
      <c r="A712" s="5"/>
      <c r="B712" s="13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9"/>
      <c r="AK712" s="9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</row>
    <row r="713">
      <c r="A713" s="5"/>
      <c r="B713" s="13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9"/>
      <c r="AK713" s="9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</row>
    <row r="714">
      <c r="A714" s="5"/>
      <c r="B714" s="13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9"/>
      <c r="AK714" s="9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</row>
    <row r="715">
      <c r="A715" s="5"/>
      <c r="B715" s="13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9"/>
      <c r="AK715" s="9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</row>
    <row r="716">
      <c r="A716" s="5"/>
      <c r="B716" s="13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9"/>
      <c r="AK716" s="9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</row>
    <row r="717">
      <c r="A717" s="5"/>
      <c r="B717" s="13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9"/>
      <c r="AK717" s="9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</row>
    <row r="718">
      <c r="A718" s="5"/>
      <c r="B718" s="13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9"/>
      <c r="AK718" s="9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</row>
    <row r="719">
      <c r="A719" s="5"/>
      <c r="B719" s="13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9"/>
      <c r="AK719" s="9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</row>
    <row r="720">
      <c r="A720" s="5"/>
      <c r="B720" s="13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9"/>
      <c r="AK720" s="9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</row>
    <row r="721">
      <c r="A721" s="5"/>
      <c r="B721" s="13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9"/>
      <c r="AK721" s="9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</row>
    <row r="722">
      <c r="A722" s="5"/>
      <c r="B722" s="13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9"/>
      <c r="AK722" s="9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</row>
    <row r="723">
      <c r="A723" s="5"/>
      <c r="B723" s="13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9"/>
      <c r="AK723" s="9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</row>
    <row r="724">
      <c r="A724" s="5"/>
      <c r="B724" s="13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9"/>
      <c r="AK724" s="9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</row>
    <row r="725">
      <c r="A725" s="5"/>
      <c r="B725" s="13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9"/>
      <c r="AK725" s="9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</row>
    <row r="726">
      <c r="A726" s="5"/>
      <c r="B726" s="13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9"/>
      <c r="AK726" s="9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</row>
    <row r="727">
      <c r="A727" s="5"/>
      <c r="B727" s="13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9"/>
      <c r="AK727" s="9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</row>
    <row r="728">
      <c r="A728" s="5"/>
      <c r="B728" s="13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9"/>
      <c r="AK728" s="9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</row>
    <row r="729">
      <c r="A729" s="5"/>
      <c r="B729" s="13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9"/>
      <c r="AK729" s="9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</row>
    <row r="730">
      <c r="A730" s="5"/>
      <c r="B730" s="13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9"/>
      <c r="AK730" s="9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</row>
    <row r="731">
      <c r="A731" s="5"/>
      <c r="B731" s="13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9"/>
      <c r="AK731" s="9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</row>
    <row r="732">
      <c r="A732" s="5"/>
      <c r="B732" s="13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9"/>
      <c r="AK732" s="9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</row>
    <row r="733">
      <c r="A733" s="5"/>
      <c r="B733" s="13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9"/>
      <c r="AK733" s="9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</row>
    <row r="734">
      <c r="A734" s="5"/>
      <c r="B734" s="13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9"/>
      <c r="AK734" s="9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</row>
    <row r="735">
      <c r="A735" s="5"/>
      <c r="B735" s="13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9"/>
      <c r="AK735" s="9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</row>
    <row r="736">
      <c r="A736" s="5"/>
      <c r="B736" s="13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9"/>
      <c r="AK736" s="9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</row>
    <row r="737">
      <c r="A737" s="5"/>
      <c r="B737" s="13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9"/>
      <c r="AK737" s="9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</row>
    <row r="738">
      <c r="A738" s="5"/>
      <c r="B738" s="13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9"/>
      <c r="AK738" s="9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</row>
    <row r="739">
      <c r="A739" s="5"/>
      <c r="B739" s="13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9"/>
      <c r="AK739" s="9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</row>
    <row r="740">
      <c r="A740" s="5"/>
      <c r="B740" s="13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9"/>
      <c r="AK740" s="9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</row>
    <row r="741">
      <c r="A741" s="5"/>
      <c r="B741" s="13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9"/>
      <c r="AK741" s="9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</row>
    <row r="742">
      <c r="A742" s="5"/>
      <c r="B742" s="13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9"/>
      <c r="AK742" s="9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</row>
    <row r="743">
      <c r="A743" s="5"/>
      <c r="B743" s="13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9"/>
      <c r="AK743" s="9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</row>
    <row r="744">
      <c r="A744" s="5"/>
      <c r="B744" s="13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9"/>
      <c r="AK744" s="9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</row>
    <row r="745">
      <c r="A745" s="5"/>
      <c r="B745" s="13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9"/>
      <c r="AK745" s="9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</row>
    <row r="746">
      <c r="A746" s="5"/>
      <c r="B746" s="13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9"/>
      <c r="AK746" s="9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</row>
    <row r="747">
      <c r="A747" s="5"/>
      <c r="B747" s="13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9"/>
      <c r="AK747" s="9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</row>
    <row r="748">
      <c r="A748" s="5"/>
      <c r="B748" s="13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9"/>
      <c r="AK748" s="9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</row>
    <row r="749">
      <c r="A749" s="5"/>
      <c r="B749" s="13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9"/>
      <c r="AK749" s="9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</row>
    <row r="750">
      <c r="A750" s="5"/>
      <c r="B750" s="13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9"/>
      <c r="AK750" s="9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</row>
    <row r="751">
      <c r="A751" s="5"/>
      <c r="B751" s="13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9"/>
      <c r="AK751" s="9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</row>
    <row r="752">
      <c r="A752" s="5"/>
      <c r="B752" s="13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9"/>
      <c r="AK752" s="9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</row>
    <row r="753">
      <c r="A753" s="5"/>
      <c r="B753" s="13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9"/>
      <c r="AK753" s="9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</row>
    <row r="754">
      <c r="A754" s="5"/>
      <c r="B754" s="13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9"/>
      <c r="AK754" s="9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</row>
    <row r="755">
      <c r="A755" s="5"/>
      <c r="B755" s="13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9"/>
      <c r="AK755" s="9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</row>
    <row r="756">
      <c r="A756" s="5"/>
      <c r="B756" s="13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9"/>
      <c r="AK756" s="9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</row>
    <row r="757">
      <c r="A757" s="5"/>
      <c r="B757" s="13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9"/>
      <c r="AK757" s="9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</row>
    <row r="758">
      <c r="A758" s="5"/>
      <c r="B758" s="13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9"/>
      <c r="AK758" s="9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</row>
    <row r="759">
      <c r="A759" s="5"/>
      <c r="B759" s="13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9"/>
      <c r="AK759" s="9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</row>
    <row r="760">
      <c r="A760" s="5"/>
      <c r="B760" s="13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9"/>
      <c r="AK760" s="9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</row>
    <row r="761">
      <c r="A761" s="5"/>
      <c r="B761" s="13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9"/>
      <c r="AK761" s="9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</row>
    <row r="762">
      <c r="A762" s="5"/>
      <c r="B762" s="13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9"/>
      <c r="AK762" s="9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</row>
    <row r="763">
      <c r="A763" s="5"/>
      <c r="B763" s="13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9"/>
      <c r="AK763" s="9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</row>
    <row r="764">
      <c r="A764" s="5"/>
      <c r="B764" s="13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9"/>
      <c r="AK764" s="9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</row>
    <row r="765">
      <c r="A765" s="5"/>
      <c r="B765" s="13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9"/>
      <c r="AK765" s="9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</row>
    <row r="766">
      <c r="A766" s="5"/>
      <c r="B766" s="13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9"/>
      <c r="AK766" s="9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</row>
    <row r="767">
      <c r="A767" s="5"/>
      <c r="B767" s="13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9"/>
      <c r="AK767" s="9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</row>
    <row r="768">
      <c r="A768" s="5"/>
      <c r="B768" s="13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9"/>
      <c r="AK768" s="9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</row>
    <row r="769">
      <c r="A769" s="5"/>
      <c r="B769" s="13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9"/>
      <c r="AK769" s="9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</row>
    <row r="770">
      <c r="A770" s="5"/>
      <c r="B770" s="13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9"/>
      <c r="AK770" s="9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</row>
    <row r="771">
      <c r="A771" s="5"/>
      <c r="B771" s="13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9"/>
      <c r="AK771" s="9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</row>
    <row r="772">
      <c r="A772" s="5"/>
      <c r="B772" s="13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9"/>
      <c r="AK772" s="9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</row>
    <row r="773">
      <c r="A773" s="5"/>
      <c r="B773" s="13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9"/>
      <c r="AK773" s="9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</row>
    <row r="774">
      <c r="A774" s="5"/>
      <c r="B774" s="13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9"/>
      <c r="AK774" s="9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</row>
    <row r="775">
      <c r="A775" s="5"/>
      <c r="B775" s="13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9"/>
      <c r="AK775" s="9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</row>
    <row r="776">
      <c r="A776" s="5"/>
      <c r="B776" s="13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9"/>
      <c r="AK776" s="9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</row>
    <row r="777">
      <c r="A777" s="5"/>
      <c r="B777" s="13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9"/>
      <c r="AK777" s="9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</row>
    <row r="778">
      <c r="A778" s="5"/>
      <c r="B778" s="13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9"/>
      <c r="AK778" s="9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</row>
    <row r="779">
      <c r="A779" s="5"/>
      <c r="B779" s="13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9"/>
      <c r="AK779" s="9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</row>
    <row r="780">
      <c r="A780" s="5"/>
      <c r="B780" s="13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9"/>
      <c r="AK780" s="9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</row>
    <row r="781">
      <c r="A781" s="5"/>
      <c r="B781" s="13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9"/>
      <c r="AK781" s="9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</row>
    <row r="782">
      <c r="A782" s="5"/>
      <c r="B782" s="13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9"/>
      <c r="AK782" s="9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</row>
    <row r="783">
      <c r="A783" s="5"/>
      <c r="B783" s="13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9"/>
      <c r="AK783" s="9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</row>
    <row r="784">
      <c r="A784" s="5"/>
      <c r="B784" s="13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9"/>
      <c r="AK784" s="9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</row>
    <row r="785">
      <c r="A785" s="5"/>
      <c r="B785" s="13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9"/>
      <c r="AK785" s="9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</row>
    <row r="786">
      <c r="A786" s="5"/>
      <c r="B786" s="13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9"/>
      <c r="AK786" s="9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</row>
    <row r="787">
      <c r="A787" s="5"/>
      <c r="B787" s="13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9"/>
      <c r="AK787" s="9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</row>
    <row r="788">
      <c r="A788" s="5"/>
      <c r="B788" s="13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9"/>
      <c r="AK788" s="9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</row>
    <row r="789">
      <c r="A789" s="5"/>
      <c r="B789" s="13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9"/>
      <c r="AK789" s="9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</row>
    <row r="790">
      <c r="A790" s="5"/>
      <c r="B790" s="13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9"/>
      <c r="AK790" s="9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</row>
    <row r="791">
      <c r="A791" s="5"/>
      <c r="B791" s="13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9"/>
      <c r="AK791" s="9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</row>
    <row r="792">
      <c r="A792" s="5"/>
      <c r="B792" s="13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9"/>
      <c r="AK792" s="9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</row>
    <row r="793">
      <c r="A793" s="5"/>
      <c r="B793" s="13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9"/>
      <c r="AK793" s="9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</row>
    <row r="794">
      <c r="A794" s="5"/>
      <c r="B794" s="13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9"/>
      <c r="AK794" s="9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</row>
    <row r="795">
      <c r="A795" s="5"/>
      <c r="B795" s="13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9"/>
      <c r="AK795" s="9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</row>
    <row r="796">
      <c r="A796" s="5"/>
      <c r="B796" s="13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9"/>
      <c r="AK796" s="9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</row>
    <row r="797">
      <c r="A797" s="5"/>
      <c r="B797" s="13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9"/>
      <c r="AK797" s="9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</row>
    <row r="798">
      <c r="A798" s="5"/>
      <c r="B798" s="13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9"/>
      <c r="AK798" s="9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</row>
    <row r="799">
      <c r="A799" s="5"/>
      <c r="B799" s="13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9"/>
      <c r="AK799" s="9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</row>
    <row r="800">
      <c r="A800" s="5"/>
      <c r="B800" s="13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9"/>
      <c r="AK800" s="9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</row>
    <row r="801">
      <c r="A801" s="5"/>
      <c r="B801" s="13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9"/>
      <c r="AK801" s="9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</row>
    <row r="802">
      <c r="A802" s="5"/>
      <c r="B802" s="13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9"/>
      <c r="AK802" s="9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</row>
    <row r="803">
      <c r="A803" s="5"/>
      <c r="B803" s="13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9"/>
      <c r="AK803" s="9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</row>
    <row r="804">
      <c r="A804" s="5"/>
      <c r="B804" s="13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9"/>
      <c r="AK804" s="9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</row>
    <row r="805">
      <c r="A805" s="5"/>
      <c r="B805" s="13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9"/>
      <c r="AK805" s="9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</row>
    <row r="806">
      <c r="A806" s="5"/>
      <c r="B806" s="13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9"/>
      <c r="AK806" s="9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</row>
    <row r="807">
      <c r="A807" s="5"/>
      <c r="B807" s="13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9"/>
      <c r="AK807" s="9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</row>
    <row r="808">
      <c r="A808" s="5"/>
      <c r="B808" s="13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9"/>
      <c r="AK808" s="9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</row>
    <row r="809">
      <c r="A809" s="5"/>
      <c r="B809" s="13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9"/>
      <c r="AK809" s="9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</row>
    <row r="810">
      <c r="A810" s="5"/>
      <c r="B810" s="13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9"/>
      <c r="AK810" s="9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</row>
    <row r="811">
      <c r="A811" s="5"/>
      <c r="B811" s="13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9"/>
      <c r="AK811" s="9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</row>
    <row r="812">
      <c r="A812" s="5"/>
      <c r="B812" s="13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9"/>
      <c r="AK812" s="9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</row>
    <row r="813">
      <c r="A813" s="5"/>
      <c r="B813" s="13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9"/>
      <c r="AK813" s="9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</row>
    <row r="814">
      <c r="A814" s="5"/>
      <c r="B814" s="13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9"/>
      <c r="AK814" s="9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</row>
    <row r="815">
      <c r="A815" s="5"/>
      <c r="B815" s="13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9"/>
      <c r="AK815" s="9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</row>
    <row r="816">
      <c r="A816" s="5"/>
      <c r="B816" s="13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9"/>
      <c r="AK816" s="9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</row>
    <row r="817">
      <c r="A817" s="5"/>
      <c r="B817" s="13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9"/>
      <c r="AK817" s="9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</row>
    <row r="818">
      <c r="A818" s="5"/>
      <c r="B818" s="13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9"/>
      <c r="AK818" s="9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</row>
    <row r="819">
      <c r="A819" s="5"/>
      <c r="B819" s="13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9"/>
      <c r="AK819" s="9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</row>
    <row r="820">
      <c r="A820" s="5"/>
      <c r="B820" s="13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9"/>
      <c r="AK820" s="9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</row>
    <row r="821">
      <c r="A821" s="5"/>
      <c r="B821" s="13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9"/>
      <c r="AK821" s="9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</row>
    <row r="822">
      <c r="A822" s="5"/>
      <c r="B822" s="13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9"/>
      <c r="AK822" s="9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</row>
    <row r="823">
      <c r="A823" s="5"/>
      <c r="B823" s="13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9"/>
      <c r="AK823" s="9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</row>
    <row r="824">
      <c r="A824" s="5"/>
      <c r="B824" s="13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9"/>
      <c r="AK824" s="9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</row>
    <row r="825">
      <c r="A825" s="5"/>
      <c r="B825" s="13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9"/>
      <c r="AK825" s="9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</row>
    <row r="826">
      <c r="A826" s="5"/>
      <c r="B826" s="13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9"/>
      <c r="AK826" s="9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</row>
    <row r="827">
      <c r="A827" s="5"/>
      <c r="B827" s="13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9"/>
      <c r="AK827" s="9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</row>
    <row r="828">
      <c r="A828" s="5"/>
      <c r="B828" s="13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9"/>
      <c r="AK828" s="9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</row>
    <row r="829">
      <c r="A829" s="5"/>
      <c r="B829" s="13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9"/>
      <c r="AK829" s="9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</row>
    <row r="830">
      <c r="A830" s="5"/>
      <c r="B830" s="13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9"/>
      <c r="AK830" s="9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</row>
    <row r="831">
      <c r="A831" s="5"/>
      <c r="B831" s="13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9"/>
      <c r="AK831" s="9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</row>
    <row r="832">
      <c r="A832" s="5"/>
      <c r="B832" s="13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9"/>
      <c r="AK832" s="9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</row>
    <row r="833">
      <c r="A833" s="5"/>
      <c r="B833" s="13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9"/>
      <c r="AK833" s="9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</row>
    <row r="834">
      <c r="A834" s="5"/>
      <c r="B834" s="13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9"/>
      <c r="AK834" s="9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</row>
    <row r="835">
      <c r="A835" s="5"/>
      <c r="B835" s="13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9"/>
      <c r="AK835" s="9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</row>
    <row r="836">
      <c r="A836" s="5"/>
      <c r="B836" s="13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9"/>
      <c r="AK836" s="9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</row>
    <row r="837">
      <c r="A837" s="5"/>
      <c r="B837" s="13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9"/>
      <c r="AK837" s="9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</row>
    <row r="838">
      <c r="A838" s="5"/>
      <c r="B838" s="13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9"/>
      <c r="AK838" s="9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</row>
    <row r="839">
      <c r="A839" s="5"/>
      <c r="B839" s="13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9"/>
      <c r="AK839" s="9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</row>
    <row r="840">
      <c r="A840" s="5"/>
      <c r="B840" s="13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9"/>
      <c r="AK840" s="9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</row>
    <row r="841">
      <c r="A841" s="5"/>
      <c r="B841" s="13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9"/>
      <c r="AK841" s="9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</row>
    <row r="842">
      <c r="A842" s="5"/>
      <c r="B842" s="13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9"/>
      <c r="AK842" s="9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</row>
    <row r="843">
      <c r="A843" s="5"/>
      <c r="B843" s="13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9"/>
      <c r="AK843" s="9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</row>
    <row r="844">
      <c r="A844" s="5"/>
      <c r="B844" s="13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9"/>
      <c r="AK844" s="9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</row>
    <row r="845">
      <c r="A845" s="5"/>
      <c r="B845" s="13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9"/>
      <c r="AK845" s="9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</row>
    <row r="846">
      <c r="A846" s="5"/>
      <c r="B846" s="13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9"/>
      <c r="AK846" s="9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</row>
    <row r="847">
      <c r="A847" s="5"/>
      <c r="B847" s="13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9"/>
      <c r="AK847" s="9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</row>
    <row r="848">
      <c r="A848" s="5"/>
      <c r="B848" s="13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9"/>
      <c r="AK848" s="9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</row>
    <row r="849">
      <c r="A849" s="5"/>
      <c r="B849" s="13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9"/>
      <c r="AK849" s="9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</row>
    <row r="850">
      <c r="A850" s="5"/>
      <c r="B850" s="13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9"/>
      <c r="AK850" s="9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</row>
    <row r="851">
      <c r="A851" s="5"/>
      <c r="B851" s="13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9"/>
      <c r="AK851" s="9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</row>
    <row r="852">
      <c r="A852" s="5"/>
      <c r="B852" s="13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9"/>
      <c r="AK852" s="9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</row>
    <row r="853">
      <c r="A853" s="5"/>
      <c r="B853" s="13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9"/>
      <c r="AK853" s="9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</row>
    <row r="854">
      <c r="A854" s="5"/>
      <c r="B854" s="13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9"/>
      <c r="AK854" s="9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</row>
    <row r="855">
      <c r="A855" s="5"/>
      <c r="B855" s="13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9"/>
      <c r="AK855" s="9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</row>
    <row r="856">
      <c r="A856" s="5"/>
      <c r="B856" s="13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9"/>
      <c r="AK856" s="9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</row>
    <row r="857">
      <c r="A857" s="5"/>
      <c r="B857" s="13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9"/>
      <c r="AK857" s="9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</row>
    <row r="858">
      <c r="A858" s="5"/>
      <c r="B858" s="13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9"/>
      <c r="AK858" s="9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</row>
    <row r="859">
      <c r="A859" s="5"/>
      <c r="B859" s="13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9"/>
      <c r="AK859" s="9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</row>
    <row r="860">
      <c r="A860" s="5"/>
      <c r="B860" s="13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9"/>
      <c r="AK860" s="9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</row>
    <row r="861">
      <c r="A861" s="5"/>
      <c r="B861" s="13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9"/>
      <c r="AK861" s="9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</row>
    <row r="862">
      <c r="A862" s="5"/>
      <c r="B862" s="13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9"/>
      <c r="AK862" s="9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</row>
    <row r="863">
      <c r="A863" s="5"/>
      <c r="B863" s="13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9"/>
      <c r="AK863" s="9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</row>
    <row r="864">
      <c r="A864" s="5"/>
      <c r="B864" s="13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9"/>
      <c r="AK864" s="9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</row>
    <row r="865">
      <c r="A865" s="5"/>
      <c r="B865" s="13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9"/>
      <c r="AK865" s="9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</row>
    <row r="866">
      <c r="A866" s="5"/>
      <c r="B866" s="13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9"/>
      <c r="AK866" s="9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</row>
    <row r="867">
      <c r="A867" s="5"/>
      <c r="B867" s="13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9"/>
      <c r="AK867" s="9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</row>
    <row r="868">
      <c r="A868" s="5"/>
      <c r="B868" s="13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9"/>
      <c r="AK868" s="9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</row>
    <row r="869">
      <c r="A869" s="5"/>
      <c r="B869" s="13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9"/>
      <c r="AK869" s="9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</row>
    <row r="870">
      <c r="A870" s="5"/>
      <c r="B870" s="13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9"/>
      <c r="AK870" s="9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</row>
    <row r="871">
      <c r="A871" s="5"/>
      <c r="B871" s="13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9"/>
      <c r="AK871" s="9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</row>
    <row r="872">
      <c r="A872" s="5"/>
      <c r="B872" s="13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9"/>
      <c r="AK872" s="9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</row>
    <row r="873">
      <c r="A873" s="5"/>
      <c r="B873" s="13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9"/>
      <c r="AK873" s="9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</row>
    <row r="874">
      <c r="A874" s="5"/>
      <c r="B874" s="13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9"/>
      <c r="AK874" s="9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</row>
    <row r="875">
      <c r="A875" s="5"/>
      <c r="B875" s="13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9"/>
      <c r="AK875" s="9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</row>
    <row r="876">
      <c r="A876" s="5"/>
      <c r="B876" s="13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9"/>
      <c r="AK876" s="9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</row>
    <row r="877">
      <c r="A877" s="5"/>
      <c r="B877" s="13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9"/>
      <c r="AK877" s="9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</row>
    <row r="878">
      <c r="A878" s="5"/>
      <c r="B878" s="13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9"/>
      <c r="AK878" s="9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</row>
    <row r="879">
      <c r="A879" s="5"/>
      <c r="B879" s="13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9"/>
      <c r="AK879" s="9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</row>
    <row r="880">
      <c r="A880" s="5"/>
      <c r="B880" s="13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9"/>
      <c r="AK880" s="9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</row>
    <row r="881">
      <c r="A881" s="5"/>
      <c r="B881" s="13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9"/>
      <c r="AK881" s="9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</row>
    <row r="882">
      <c r="A882" s="5"/>
      <c r="B882" s="13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9"/>
      <c r="AK882" s="9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</row>
    <row r="883">
      <c r="A883" s="5"/>
      <c r="B883" s="13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9"/>
      <c r="AK883" s="9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</row>
    <row r="884">
      <c r="A884" s="5"/>
      <c r="B884" s="13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9"/>
      <c r="AK884" s="9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</row>
    <row r="885">
      <c r="A885" s="5"/>
      <c r="B885" s="13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9"/>
      <c r="AK885" s="9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</row>
    <row r="886">
      <c r="A886" s="5"/>
      <c r="B886" s="13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9"/>
      <c r="AK886" s="9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</row>
    <row r="887">
      <c r="A887" s="5"/>
      <c r="B887" s="13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9"/>
      <c r="AK887" s="9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</row>
    <row r="888">
      <c r="A888" s="5"/>
      <c r="B888" s="13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9"/>
      <c r="AK888" s="9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</row>
    <row r="889">
      <c r="A889" s="5"/>
      <c r="B889" s="13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9"/>
      <c r="AK889" s="9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</row>
    <row r="890">
      <c r="A890" s="5"/>
      <c r="B890" s="13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9"/>
      <c r="AK890" s="9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</row>
    <row r="891">
      <c r="A891" s="5"/>
      <c r="B891" s="13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9"/>
      <c r="AK891" s="9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</row>
    <row r="892">
      <c r="A892" s="5"/>
      <c r="B892" s="13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9"/>
      <c r="AK892" s="9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</row>
    <row r="893">
      <c r="A893" s="5"/>
      <c r="B893" s="13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9"/>
      <c r="AK893" s="9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</row>
    <row r="894">
      <c r="A894" s="5"/>
      <c r="B894" s="13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9"/>
      <c r="AK894" s="9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</row>
    <row r="895">
      <c r="A895" s="5"/>
      <c r="B895" s="13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9"/>
      <c r="AK895" s="9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</row>
    <row r="896">
      <c r="A896" s="5"/>
      <c r="B896" s="13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9"/>
      <c r="AK896" s="9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</row>
    <row r="897">
      <c r="A897" s="5"/>
      <c r="B897" s="13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9"/>
      <c r="AK897" s="9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</row>
    <row r="898">
      <c r="A898" s="5"/>
      <c r="B898" s="13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9"/>
      <c r="AK898" s="9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</row>
    <row r="899">
      <c r="A899" s="5"/>
      <c r="B899" s="13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9"/>
      <c r="AK899" s="9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</row>
    <row r="900">
      <c r="A900" s="5"/>
      <c r="B900" s="13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9"/>
      <c r="AK900" s="9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</row>
    <row r="901">
      <c r="A901" s="5"/>
      <c r="B901" s="13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9"/>
      <c r="AK901" s="9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</row>
    <row r="902">
      <c r="A902" s="5"/>
      <c r="B902" s="13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9"/>
      <c r="AK902" s="9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</row>
    <row r="903">
      <c r="A903" s="5"/>
      <c r="B903" s="13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9"/>
      <c r="AK903" s="9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</row>
    <row r="904">
      <c r="A904" s="5"/>
      <c r="B904" s="13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9"/>
      <c r="AK904" s="9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</row>
    <row r="905">
      <c r="A905" s="5"/>
      <c r="B905" s="13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9"/>
      <c r="AK905" s="9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</row>
    <row r="906">
      <c r="A906" s="5"/>
      <c r="B906" s="13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9"/>
      <c r="AK906" s="9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</row>
    <row r="907">
      <c r="A907" s="5"/>
      <c r="B907" s="13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9"/>
      <c r="AK907" s="9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</row>
    <row r="908">
      <c r="A908" s="5"/>
      <c r="B908" s="13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9"/>
      <c r="AK908" s="9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</row>
    <row r="909">
      <c r="A909" s="5"/>
      <c r="B909" s="13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9"/>
      <c r="AK909" s="9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</row>
    <row r="910">
      <c r="A910" s="5"/>
      <c r="B910" s="13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9"/>
      <c r="AK910" s="9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</row>
    <row r="911">
      <c r="A911" s="5"/>
      <c r="B911" s="13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9"/>
      <c r="AK911" s="9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</row>
    <row r="912">
      <c r="A912" s="5"/>
      <c r="B912" s="13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9"/>
      <c r="AK912" s="9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</row>
    <row r="913">
      <c r="A913" s="5"/>
      <c r="B913" s="13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9"/>
      <c r="AK913" s="9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</row>
    <row r="914">
      <c r="A914" s="5"/>
      <c r="B914" s="13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9"/>
      <c r="AK914" s="9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</row>
    <row r="915">
      <c r="A915" s="5"/>
      <c r="B915" s="13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9"/>
      <c r="AK915" s="9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</row>
    <row r="916">
      <c r="A916" s="5"/>
      <c r="B916" s="13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9"/>
      <c r="AK916" s="9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</row>
    <row r="917">
      <c r="A917" s="5"/>
      <c r="B917" s="13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9"/>
      <c r="AK917" s="9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</row>
    <row r="918">
      <c r="A918" s="5"/>
      <c r="B918" s="13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9"/>
      <c r="AK918" s="9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</row>
    <row r="919">
      <c r="A919" s="5"/>
      <c r="B919" s="13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9"/>
      <c r="AK919" s="9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</row>
    <row r="920">
      <c r="A920" s="5"/>
      <c r="B920" s="13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9"/>
      <c r="AK920" s="9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</row>
    <row r="921">
      <c r="A921" s="5"/>
      <c r="B921" s="13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9"/>
      <c r="AK921" s="9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</row>
    <row r="922">
      <c r="A922" s="5"/>
      <c r="B922" s="13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9"/>
      <c r="AK922" s="9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</row>
    <row r="923">
      <c r="A923" s="5"/>
      <c r="B923" s="13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9"/>
      <c r="AK923" s="9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</row>
    <row r="924">
      <c r="A924" s="5"/>
      <c r="B924" s="13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9"/>
      <c r="AK924" s="9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</row>
    <row r="925">
      <c r="A925" s="5"/>
      <c r="B925" s="13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9"/>
      <c r="AK925" s="9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</row>
    <row r="926">
      <c r="A926" s="5"/>
      <c r="B926" s="13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9"/>
      <c r="AK926" s="9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</row>
    <row r="927">
      <c r="A927" s="5"/>
      <c r="B927" s="13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9"/>
      <c r="AK927" s="9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</row>
    <row r="928">
      <c r="A928" s="5"/>
      <c r="B928" s="13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9"/>
      <c r="AK928" s="9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</row>
    <row r="929">
      <c r="A929" s="5"/>
      <c r="B929" s="13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9"/>
      <c r="AK929" s="9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</row>
    <row r="930">
      <c r="A930" s="5"/>
      <c r="B930" s="13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9"/>
      <c r="AK930" s="9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</row>
    <row r="931">
      <c r="A931" s="5"/>
      <c r="B931" s="13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9"/>
      <c r="AK931" s="9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</row>
    <row r="932">
      <c r="A932" s="5"/>
      <c r="B932" s="13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9"/>
      <c r="AK932" s="9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</row>
    <row r="933">
      <c r="A933" s="5"/>
      <c r="B933" s="13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9"/>
      <c r="AK933" s="9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</row>
    <row r="934">
      <c r="A934" s="5"/>
      <c r="B934" s="13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9"/>
      <c r="AK934" s="9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</row>
    <row r="935">
      <c r="A935" s="5"/>
      <c r="B935" s="13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9"/>
      <c r="AK935" s="9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</row>
    <row r="936">
      <c r="A936" s="5"/>
      <c r="B936" s="13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9"/>
      <c r="AK936" s="9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</row>
    <row r="937">
      <c r="A937" s="5"/>
      <c r="B937" s="13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9"/>
      <c r="AK937" s="9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</row>
    <row r="938">
      <c r="A938" s="5"/>
      <c r="B938" s="13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9"/>
      <c r="AK938" s="9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</row>
    <row r="939">
      <c r="A939" s="5"/>
      <c r="B939" s="13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9"/>
      <c r="AK939" s="9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</row>
    <row r="940">
      <c r="A940" s="5"/>
      <c r="B940" s="13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9"/>
      <c r="AK940" s="9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</row>
    <row r="941">
      <c r="A941" s="5"/>
      <c r="B941" s="13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9"/>
      <c r="AK941" s="9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</row>
    <row r="942">
      <c r="A942" s="5"/>
      <c r="B942" s="13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9"/>
      <c r="AK942" s="9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</row>
    <row r="943">
      <c r="A943" s="5"/>
      <c r="B943" s="13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9"/>
      <c r="AK943" s="9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</row>
    <row r="944">
      <c r="A944" s="5"/>
      <c r="B944" s="13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9"/>
      <c r="AK944" s="9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</row>
    <row r="945">
      <c r="A945" s="5"/>
      <c r="B945" s="13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9"/>
      <c r="AK945" s="9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</row>
    <row r="946">
      <c r="A946" s="5"/>
      <c r="B946" s="13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9"/>
      <c r="AK946" s="9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</row>
    <row r="947">
      <c r="A947" s="5"/>
      <c r="B947" s="13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9"/>
      <c r="AK947" s="9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</row>
    <row r="948">
      <c r="A948" s="5"/>
      <c r="B948" s="13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9"/>
      <c r="AK948" s="9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</row>
    <row r="949">
      <c r="A949" s="5"/>
      <c r="B949" s="13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9"/>
      <c r="AK949" s="9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</row>
    <row r="950">
      <c r="A950" s="5"/>
      <c r="B950" s="13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9"/>
      <c r="AK950" s="9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</row>
    <row r="951">
      <c r="A951" s="5"/>
      <c r="B951" s="13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9"/>
      <c r="AK951" s="9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</row>
    <row r="952">
      <c r="A952" s="5"/>
      <c r="B952" s="13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9"/>
      <c r="AK952" s="9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</row>
    <row r="953">
      <c r="A953" s="5"/>
      <c r="B953" s="13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9"/>
      <c r="AK953" s="9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</row>
    <row r="954">
      <c r="A954" s="5"/>
      <c r="B954" s="13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9"/>
      <c r="AK954" s="9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</row>
    <row r="955">
      <c r="A955" s="5"/>
      <c r="B955" s="13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9"/>
      <c r="AK955" s="9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</row>
    <row r="956">
      <c r="A956" s="5"/>
      <c r="B956" s="13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9"/>
      <c r="AK956" s="9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</row>
    <row r="957">
      <c r="A957" s="5"/>
      <c r="B957" s="13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9"/>
      <c r="AK957" s="9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</row>
    <row r="958">
      <c r="A958" s="5"/>
      <c r="B958" s="13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9"/>
      <c r="AK958" s="9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</row>
    <row r="959">
      <c r="A959" s="5"/>
      <c r="B959" s="13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9"/>
      <c r="AK959" s="9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</row>
    <row r="960">
      <c r="A960" s="5"/>
      <c r="B960" s="13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9"/>
      <c r="AK960" s="9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</row>
    <row r="961">
      <c r="A961" s="5"/>
      <c r="B961" s="13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9"/>
      <c r="AK961" s="9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</row>
    <row r="962">
      <c r="A962" s="5"/>
      <c r="B962" s="13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9"/>
      <c r="AK962" s="9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</row>
    <row r="963">
      <c r="A963" s="5"/>
      <c r="B963" s="13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9"/>
      <c r="AK963" s="9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</row>
    <row r="964">
      <c r="A964" s="5"/>
      <c r="B964" s="13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9"/>
      <c r="AK964" s="9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</row>
    <row r="965">
      <c r="A965" s="5"/>
      <c r="B965" s="13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9"/>
      <c r="AK965" s="9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</row>
    <row r="966">
      <c r="A966" s="5"/>
      <c r="B966" s="13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9"/>
      <c r="AK966" s="9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</row>
    <row r="967">
      <c r="A967" s="5"/>
      <c r="B967" s="13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9"/>
      <c r="AK967" s="9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</row>
    <row r="968">
      <c r="A968" s="5"/>
      <c r="B968" s="13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9"/>
      <c r="AK968" s="9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</row>
    <row r="969">
      <c r="A969" s="5"/>
      <c r="B969" s="13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9"/>
      <c r="AK969" s="9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</row>
    <row r="970">
      <c r="A970" s="5"/>
      <c r="B970" s="13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9"/>
      <c r="AK970" s="9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</row>
    <row r="971">
      <c r="A971" s="5"/>
      <c r="B971" s="13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9"/>
      <c r="AK971" s="9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</row>
    <row r="972">
      <c r="A972" s="5"/>
      <c r="B972" s="13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9"/>
      <c r="AK972" s="9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</row>
    <row r="973">
      <c r="A973" s="5"/>
      <c r="B973" s="13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9"/>
      <c r="AK973" s="9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</row>
    <row r="974">
      <c r="A974" s="5"/>
      <c r="B974" s="13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9"/>
      <c r="AK974" s="9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</row>
    <row r="975">
      <c r="A975" s="5"/>
      <c r="B975" s="13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9"/>
      <c r="AK975" s="9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</row>
    <row r="976">
      <c r="A976" s="5"/>
      <c r="B976" s="13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9"/>
      <c r="AK976" s="9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</row>
    <row r="977">
      <c r="A977" s="5"/>
      <c r="B977" s="13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9"/>
      <c r="AK977" s="9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</row>
    <row r="978">
      <c r="A978" s="5"/>
      <c r="B978" s="13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9"/>
      <c r="AK978" s="9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</row>
    <row r="979">
      <c r="A979" s="5"/>
      <c r="B979" s="13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9"/>
      <c r="AK979" s="9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</row>
    <row r="980">
      <c r="A980" s="5"/>
      <c r="B980" s="13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9"/>
      <c r="AK980" s="9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</row>
    <row r="981">
      <c r="A981" s="5"/>
      <c r="B981" s="13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9"/>
      <c r="AK981" s="9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</row>
    <row r="982">
      <c r="A982" s="5"/>
      <c r="B982" s="13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9"/>
      <c r="AK982" s="9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</row>
    <row r="983">
      <c r="A983" s="5"/>
      <c r="B983" s="13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9"/>
      <c r="AK983" s="9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</row>
    <row r="984">
      <c r="A984" s="5"/>
      <c r="B984" s="13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9"/>
      <c r="AK984" s="9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</row>
    <row r="985">
      <c r="A985" s="5"/>
      <c r="B985" s="13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9"/>
      <c r="AK985" s="9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</row>
    <row r="986">
      <c r="A986" s="5"/>
      <c r="B986" s="13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9"/>
      <c r="AK986" s="9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</row>
    <row r="987">
      <c r="A987" s="5"/>
      <c r="B987" s="13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9"/>
      <c r="AK987" s="9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</row>
    <row r="988">
      <c r="A988" s="5"/>
      <c r="B988" s="13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9"/>
      <c r="AK988" s="9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</row>
    <row r="989">
      <c r="A989" s="5"/>
      <c r="B989" s="13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9"/>
      <c r="AK989" s="9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</row>
    <row r="990">
      <c r="A990" s="5"/>
      <c r="B990" s="13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9"/>
      <c r="AK990" s="9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</row>
    <row r="991">
      <c r="A991" s="5"/>
      <c r="B991" s="13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9"/>
      <c r="AK991" s="9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</row>
    <row r="992">
      <c r="A992" s="5"/>
      <c r="B992" s="13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9"/>
      <c r="AK992" s="9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</row>
    <row r="993">
      <c r="A993" s="5"/>
      <c r="B993" s="13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9"/>
      <c r="AK993" s="9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</row>
    <row r="994">
      <c r="A994" s="5"/>
      <c r="B994" s="13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9"/>
      <c r="AK994" s="9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</row>
    <row r="995">
      <c r="A995" s="5"/>
      <c r="B995" s="13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9"/>
      <c r="AK995" s="9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</row>
    <row r="996">
      <c r="A996" s="5"/>
      <c r="B996" s="13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9"/>
      <c r="AK996" s="9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</row>
    <row r="997">
      <c r="A997" s="5"/>
      <c r="B997" s="13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9"/>
      <c r="AK997" s="9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</row>
    <row r="998">
      <c r="A998" s="5"/>
      <c r="B998" s="13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9"/>
      <c r="AK998" s="9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</row>
    <row r="999">
      <c r="A999" s="5"/>
      <c r="B999" s="13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9"/>
      <c r="AK999" s="9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</row>
    <row r="1000">
      <c r="A1000" s="5"/>
      <c r="B1000" s="13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9"/>
      <c r="AK1000" s="9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</row>
    <row r="1001">
      <c r="A1001" s="5"/>
      <c r="B1001" s="13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9"/>
      <c r="AK1001" s="9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</row>
    <row r="1002">
      <c r="A1002" s="5"/>
      <c r="B1002" s="13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9"/>
      <c r="AK1002" s="9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</row>
    <row r="1003">
      <c r="A1003" s="5"/>
      <c r="B1003" s="13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9"/>
      <c r="AK1003" s="9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</row>
    <row r="1004">
      <c r="A1004" s="5"/>
      <c r="B1004" s="13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9"/>
      <c r="AK1004" s="9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</row>
    <row r="1005">
      <c r="A1005" s="5"/>
      <c r="B1005" s="13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9"/>
      <c r="AK1005" s="9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</row>
    <row r="1006">
      <c r="A1006" s="5"/>
      <c r="B1006" s="13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9"/>
      <c r="AK1006" s="9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</row>
    <row r="1007">
      <c r="A1007" s="5"/>
      <c r="B1007" s="13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9"/>
      <c r="AK1007" s="9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</row>
    <row r="1008">
      <c r="A1008" s="5"/>
      <c r="B1008" s="13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9"/>
      <c r="AK1008" s="9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</row>
    <row r="1009">
      <c r="A1009" s="5"/>
      <c r="B1009" s="13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9"/>
      <c r="AK1009" s="9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</row>
    <row r="1010">
      <c r="A1010" s="5"/>
      <c r="B1010" s="13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9"/>
      <c r="AK1010" s="9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</row>
    <row r="1011">
      <c r="A1011" s="5"/>
      <c r="B1011" s="13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9"/>
      <c r="AK1011" s="9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</row>
    <row r="1012">
      <c r="A1012" s="5"/>
      <c r="B1012" s="13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9"/>
      <c r="AK1012" s="9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</row>
    <row r="1013">
      <c r="A1013" s="5"/>
      <c r="B1013" s="13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9"/>
      <c r="AK1013" s="9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</row>
    <row r="1014">
      <c r="A1014" s="5"/>
      <c r="B1014" s="13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9"/>
      <c r="AK1014" s="9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</row>
    <row r="1015">
      <c r="A1015" s="5"/>
      <c r="B1015" s="13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9"/>
      <c r="AK1015" s="9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</row>
    <row r="1016">
      <c r="A1016" s="5"/>
      <c r="B1016" s="13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9"/>
      <c r="AK1016" s="9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</row>
    <row r="1017">
      <c r="A1017" s="5"/>
      <c r="B1017" s="13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9"/>
      <c r="AK1017" s="9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</row>
    <row r="1018">
      <c r="A1018" s="5"/>
      <c r="B1018" s="13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9"/>
      <c r="AK1018" s="9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</row>
    <row r="1019">
      <c r="A1019" s="5"/>
      <c r="B1019" s="13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9"/>
      <c r="AK1019" s="9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</row>
    <row r="1020">
      <c r="A1020" s="5"/>
      <c r="B1020" s="13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9"/>
      <c r="AK1020" s="9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</row>
    <row r="1021">
      <c r="A1021" s="5"/>
      <c r="B1021" s="13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9"/>
      <c r="AK1021" s="9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</row>
    <row r="1022">
      <c r="A1022" s="5"/>
      <c r="B1022" s="13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9"/>
      <c r="AK1022" s="9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</row>
  </sheetData>
  <conditionalFormatting sqref="D2:AI556">
    <cfRule type="expression" dxfId="0" priority="1">
      <formula>AND(D2&lt;&gt;"",D2=MIN($F2:$AI2))</formula>
    </cfRule>
  </conditionalFormatting>
  <conditionalFormatting sqref="D2:AI556">
    <cfRule type="expression" dxfId="1" priority="2">
      <formula>AND(D2&lt;&gt;"",D2=MAX($F2:$AI2))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63"/>
    <col customWidth="1" min="2" max="2" width="6.38"/>
    <col customWidth="1" min="3" max="3" width="4.88"/>
    <col customWidth="1" min="4" max="4" width="5.88"/>
    <col customWidth="1" min="5" max="5" width="6.63"/>
    <col customWidth="1" min="6" max="6" width="6.75"/>
    <col customWidth="1" min="7" max="7" width="6.63"/>
    <col customWidth="1" min="8" max="8" width="7.0"/>
    <col customWidth="1" min="9" max="9" width="4.0"/>
    <col customWidth="1" min="10" max="10" width="7.25"/>
    <col customWidth="1" min="11" max="11" width="5.0"/>
    <col customWidth="1" min="12" max="12" width="7.5"/>
  </cols>
  <sheetData>
    <row r="1">
      <c r="A1" s="14" t="str">
        <f t="array" ref="A1:AF1">INDEX('Stats (dont edit)'!1:1,0)</f>
        <v>Name</v>
      </c>
      <c r="B1" s="14" t="s">
        <v>91</v>
      </c>
      <c r="C1" s="14" t="s">
        <v>92</v>
      </c>
      <c r="D1" s="15" t="s">
        <v>93</v>
      </c>
      <c r="E1" s="14" t="s">
        <v>94</v>
      </c>
      <c r="F1" s="15" t="s">
        <v>95</v>
      </c>
      <c r="G1" s="14" t="s">
        <v>96</v>
      </c>
      <c r="H1" s="14" t="s">
        <v>97</v>
      </c>
      <c r="I1" s="16" t="s">
        <v>98</v>
      </c>
      <c r="J1" s="17" t="s">
        <v>99</v>
      </c>
      <c r="K1" s="17" t="s">
        <v>100</v>
      </c>
      <c r="L1" s="18" t="s">
        <v>101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>
      <c r="A2" s="19" t="str">
        <f>IFERROR(__xludf.DUMMYFUNCTION("SORT(FILTER('Stats (dont edit)'!A2:L1000,'Stats (dont edit)'!D2:D1000&lt;&gt;""""),11,TRUE)"),"Karenina")</f>
        <v>Karenina</v>
      </c>
      <c r="B2" s="19">
        <f>IFERROR(__xludf.DUMMYFUNCTION("""COMPUTED_VALUE"""),18.0)</f>
        <v>18</v>
      </c>
      <c r="C2" s="19">
        <f>IFERROR(__xludf.DUMMYFUNCTION("""COMPUTED_VALUE"""),6.0)</f>
        <v>6</v>
      </c>
      <c r="D2" s="20">
        <f>IFERROR(__xludf.DUMMYFUNCTION("""COMPUTED_VALUE"""),0.3333333333333333)</f>
        <v>0.3333333333</v>
      </c>
      <c r="E2" s="19">
        <f>IFERROR(__xludf.DUMMYFUNCTION("""COMPUTED_VALUE"""),2.0)</f>
        <v>2</v>
      </c>
      <c r="F2" s="20">
        <f>IFERROR(__xludf.DUMMYFUNCTION("""COMPUTED_VALUE"""),0.1111111111111111)</f>
        <v>0.1111111111</v>
      </c>
      <c r="G2" s="19">
        <f>IFERROR(__xludf.DUMMYFUNCTION("""COMPUTED_VALUE"""),60.0)</f>
        <v>60</v>
      </c>
      <c r="H2" s="19">
        <f>IFERROR(__xludf.DUMMYFUNCTION("""COMPUTED_VALUE"""),800.0)</f>
        <v>800</v>
      </c>
      <c r="I2" s="21">
        <f>IFERROR(__xludf.DUMMYFUNCTION("""COMPUTED_VALUE"""),359.44444444444446)</f>
        <v>359.4444444</v>
      </c>
      <c r="J2" s="22">
        <f>IFERROR(__xludf.DUMMYFUNCTION("""COMPUTED_VALUE"""),6470.0)</f>
        <v>6470</v>
      </c>
      <c r="K2" s="22">
        <f>IFERROR(__xludf.DUMMYFUNCTION("""COMPUTED_VALUE"""),1.0)</f>
        <v>1</v>
      </c>
      <c r="L2" s="23">
        <f>IFERROR(__xludf.DUMMYFUNCTION("""COMPUTED_VALUE"""),1.5833333333333333)</f>
        <v>1.583333333</v>
      </c>
    </row>
    <row r="3">
      <c r="A3" s="12" t="str">
        <f>IFERROR(__xludf.DUMMYFUNCTION("""COMPUTED_VALUE"""),"Jeff M")</f>
        <v>Jeff M</v>
      </c>
      <c r="B3" s="19">
        <f>IFERROR(__xludf.DUMMYFUNCTION("""COMPUTED_VALUE"""),81.0)</f>
        <v>81</v>
      </c>
      <c r="C3" s="19">
        <f>IFERROR(__xludf.DUMMYFUNCTION("""COMPUTED_VALUE"""),23.0)</f>
        <v>23</v>
      </c>
      <c r="D3" s="20">
        <f>IFERROR(__xludf.DUMMYFUNCTION("""COMPUTED_VALUE"""),0.2839506172839506)</f>
        <v>0.2839506173</v>
      </c>
      <c r="E3" s="19">
        <f>IFERROR(__xludf.DUMMYFUNCTION("""COMPUTED_VALUE"""),26.0)</f>
        <v>26</v>
      </c>
      <c r="F3" s="20">
        <f>IFERROR(__xludf.DUMMYFUNCTION("""COMPUTED_VALUE"""),0.32098765432098764)</f>
        <v>0.3209876543</v>
      </c>
      <c r="G3" s="19">
        <f>IFERROR(__xludf.DUMMYFUNCTION("""COMPUTED_VALUE"""),15.0)</f>
        <v>15</v>
      </c>
      <c r="H3" s="19">
        <f>IFERROR(__xludf.DUMMYFUNCTION("""COMPUTED_VALUE"""),1310.0)</f>
        <v>1310</v>
      </c>
      <c r="I3" s="21">
        <f>IFERROR(__xludf.DUMMYFUNCTION("""COMPUTED_VALUE"""),428.4567901234568)</f>
        <v>428.4567901</v>
      </c>
      <c r="J3" s="22">
        <f>IFERROR(__xludf.DUMMYFUNCTION("""COMPUTED_VALUE"""),34705.0)</f>
        <v>34705</v>
      </c>
      <c r="K3" s="22">
        <f>IFERROR(__xludf.DUMMYFUNCTION("""COMPUTED_VALUE"""),2.0)</f>
        <v>2</v>
      </c>
      <c r="L3" s="23">
        <f>IFERROR(__xludf.DUMMYFUNCTION("""COMPUTED_VALUE"""),1.156683432403597)</f>
        <v>1.156683432</v>
      </c>
    </row>
    <row r="4">
      <c r="A4" s="19" t="str">
        <f>IFERROR(__xludf.DUMMYFUNCTION("""COMPUTED_VALUE"""),"David")</f>
        <v>David</v>
      </c>
      <c r="B4" s="19">
        <f>IFERROR(__xludf.DUMMYFUNCTION("""COMPUTED_VALUE"""),493.0)</f>
        <v>493</v>
      </c>
      <c r="C4" s="19">
        <f>IFERROR(__xludf.DUMMYFUNCTION("""COMPUTED_VALUE"""),148.0)</f>
        <v>148</v>
      </c>
      <c r="D4" s="20">
        <f>IFERROR(__xludf.DUMMYFUNCTION("""COMPUTED_VALUE"""),0.3002028397565923)</f>
        <v>0.3002028398</v>
      </c>
      <c r="E4" s="19">
        <f>IFERROR(__xludf.DUMMYFUNCTION("""COMPUTED_VALUE"""),98.0)</f>
        <v>98</v>
      </c>
      <c r="F4" s="20">
        <f>IFERROR(__xludf.DUMMYFUNCTION("""COMPUTED_VALUE"""),0.19878296146044624)</f>
        <v>0.1987829615</v>
      </c>
      <c r="G4" s="19">
        <f>IFERROR(__xludf.DUMMYFUNCTION("""COMPUTED_VALUE"""),5.0)</f>
        <v>5</v>
      </c>
      <c r="H4" s="19">
        <f>IFERROR(__xludf.DUMMYFUNCTION("""COMPUTED_VALUE"""),1080.0)</f>
        <v>1080</v>
      </c>
      <c r="I4" s="21">
        <f>IFERROR(__xludf.DUMMYFUNCTION("""COMPUTED_VALUE"""),396.8762677484787)</f>
        <v>396.8762677</v>
      </c>
      <c r="J4" s="22">
        <f>IFERROR(__xludf.DUMMYFUNCTION("""COMPUTED_VALUE"""),195660.0)</f>
        <v>195660</v>
      </c>
      <c r="K4" s="22">
        <f>IFERROR(__xludf.DUMMYFUNCTION("""COMPUTED_VALUE"""),3.0)</f>
        <v>3</v>
      </c>
      <c r="L4" s="23">
        <f>IFERROR(__xludf.DUMMYFUNCTION("""COMPUTED_VALUE"""),1.1383877325148426)</f>
        <v>1.138387733</v>
      </c>
    </row>
    <row r="5">
      <c r="A5" s="19" t="str">
        <f>IFERROR(__xludf.DUMMYFUNCTION("""COMPUTED_VALUE"""),"Karen")</f>
        <v>Karen</v>
      </c>
      <c r="B5" s="19">
        <f>IFERROR(__xludf.DUMMYFUNCTION("""COMPUTED_VALUE"""),34.0)</f>
        <v>34</v>
      </c>
      <c r="C5" s="19">
        <f>IFERROR(__xludf.DUMMYFUNCTION("""COMPUTED_VALUE"""),9.0)</f>
        <v>9</v>
      </c>
      <c r="D5" s="20">
        <f>IFERROR(__xludf.DUMMYFUNCTION("""COMPUTED_VALUE"""),0.2647058823529412)</f>
        <v>0.2647058824</v>
      </c>
      <c r="E5" s="19">
        <f>IFERROR(__xludf.DUMMYFUNCTION("""COMPUTED_VALUE"""),12.0)</f>
        <v>12</v>
      </c>
      <c r="F5" s="20">
        <f>IFERROR(__xludf.DUMMYFUNCTION("""COMPUTED_VALUE"""),0.35294117647058826)</f>
        <v>0.3529411765</v>
      </c>
      <c r="G5" s="19">
        <f>IFERROR(__xludf.DUMMYFUNCTION("""COMPUTED_VALUE"""),55.0)</f>
        <v>55</v>
      </c>
      <c r="H5" s="19">
        <f>IFERROR(__xludf.DUMMYFUNCTION("""COMPUTED_VALUE"""),890.0)</f>
        <v>890</v>
      </c>
      <c r="I5" s="21">
        <f>IFERROR(__xludf.DUMMYFUNCTION("""COMPUTED_VALUE"""),430.1470588235294)</f>
        <v>430.1470588</v>
      </c>
      <c r="J5" s="22">
        <f>IFERROR(__xludf.DUMMYFUNCTION("""COMPUTED_VALUE"""),14625.0)</f>
        <v>14625</v>
      </c>
      <c r="K5" s="22">
        <f>IFERROR(__xludf.DUMMYFUNCTION("""COMPUTED_VALUE"""),4.0)</f>
        <v>4</v>
      </c>
      <c r="L5" s="23">
        <f>IFERROR(__xludf.DUMMYFUNCTION("""COMPUTED_VALUE"""),1.1038062283737025)</f>
        <v>1.103806228</v>
      </c>
    </row>
    <row r="6">
      <c r="A6" s="19" t="str">
        <f>IFERROR(__xludf.DUMMYFUNCTION("""COMPUTED_VALUE"""),"Charlene")</f>
        <v>Charlene</v>
      </c>
      <c r="B6" s="19">
        <f>IFERROR(__xludf.DUMMYFUNCTION("""COMPUTED_VALUE"""),342.0)</f>
        <v>342</v>
      </c>
      <c r="C6" s="19">
        <f>IFERROR(__xludf.DUMMYFUNCTION("""COMPUTED_VALUE"""),89.0)</f>
        <v>89</v>
      </c>
      <c r="D6" s="20">
        <f>IFERROR(__xludf.DUMMYFUNCTION("""COMPUTED_VALUE"""),0.260233918128655)</f>
        <v>0.2602339181</v>
      </c>
      <c r="E6" s="19">
        <f>IFERROR(__xludf.DUMMYFUNCTION("""COMPUTED_VALUE"""),75.0)</f>
        <v>75</v>
      </c>
      <c r="F6" s="20">
        <f>IFERROR(__xludf.DUMMYFUNCTION("""COMPUTED_VALUE"""),0.21929824561403508)</f>
        <v>0.2192982456</v>
      </c>
      <c r="G6" s="19">
        <f>IFERROR(__xludf.DUMMYFUNCTION("""COMPUTED_VALUE"""),45.0)</f>
        <v>45</v>
      </c>
      <c r="H6" s="19">
        <f>IFERROR(__xludf.DUMMYFUNCTION("""COMPUTED_VALUE"""),1020.0)</f>
        <v>1020</v>
      </c>
      <c r="I6" s="21">
        <f>IFERROR(__xludf.DUMMYFUNCTION("""COMPUTED_VALUE"""),416.9590643274854)</f>
        <v>416.9590643</v>
      </c>
      <c r="J6" s="22">
        <f>IFERROR(__xludf.DUMMYFUNCTION("""COMPUTED_VALUE"""),142600.0)</f>
        <v>142600</v>
      </c>
      <c r="K6" s="22">
        <f>IFERROR(__xludf.DUMMYFUNCTION("""COMPUTED_VALUE"""),5.0)</f>
        <v>5</v>
      </c>
      <c r="L6" s="23">
        <f>IFERROR(__xludf.DUMMYFUNCTION("""COMPUTED_VALUE"""),1.0734585000512977)</f>
        <v>1.0734585</v>
      </c>
    </row>
    <row r="7">
      <c r="A7" s="19" t="str">
        <f>IFERROR(__xludf.DUMMYFUNCTION("""COMPUTED_VALUE"""),"Nancy")</f>
        <v>Nancy</v>
      </c>
      <c r="B7" s="19">
        <f>IFERROR(__xludf.DUMMYFUNCTION("""COMPUTED_VALUE"""),514.0)</f>
        <v>514</v>
      </c>
      <c r="C7" s="19">
        <f>IFERROR(__xludf.DUMMYFUNCTION("""COMPUTED_VALUE"""),137.0)</f>
        <v>137</v>
      </c>
      <c r="D7" s="20">
        <f>IFERROR(__xludf.DUMMYFUNCTION("""COMPUTED_VALUE"""),0.26653696498054474)</f>
        <v>0.266536965</v>
      </c>
      <c r="E7" s="19">
        <f>IFERROR(__xludf.DUMMYFUNCTION("""COMPUTED_VALUE"""),114.0)</f>
        <v>114</v>
      </c>
      <c r="F7" s="20">
        <f>IFERROR(__xludf.DUMMYFUNCTION("""COMPUTED_VALUE"""),0.22178988326848248)</f>
        <v>0.2217898833</v>
      </c>
      <c r="G7" s="19">
        <f>IFERROR(__xludf.DUMMYFUNCTION("""COMPUTED_VALUE"""),30.0)</f>
        <v>30</v>
      </c>
      <c r="H7" s="19">
        <f>IFERROR(__xludf.DUMMYFUNCTION("""COMPUTED_VALUE"""),1100.0)</f>
        <v>1100</v>
      </c>
      <c r="I7" s="21">
        <f>IFERROR(__xludf.DUMMYFUNCTION("""COMPUTED_VALUE"""),406.03891050583655)</f>
        <v>406.0389105</v>
      </c>
      <c r="J7" s="22">
        <f>IFERROR(__xludf.DUMMYFUNCTION("""COMPUTED_VALUE"""),208704.0)</f>
        <v>208704</v>
      </c>
      <c r="K7" s="22">
        <f>IFERROR(__xludf.DUMMYFUNCTION("""COMPUTED_VALUE"""),6.0)</f>
        <v>6</v>
      </c>
      <c r="L7" s="23">
        <f>IFERROR(__xludf.DUMMYFUNCTION("""COMPUTED_VALUE"""),1.0275552998531394)</f>
        <v>1.0275553</v>
      </c>
    </row>
    <row r="8">
      <c r="A8" s="19" t="str">
        <f>IFERROR(__xludf.DUMMYFUNCTION("""COMPUTED_VALUE"""),"Debby")</f>
        <v>Debby</v>
      </c>
      <c r="B8" s="19">
        <f>IFERROR(__xludf.DUMMYFUNCTION("""COMPUTED_VALUE"""),184.0)</f>
        <v>184</v>
      </c>
      <c r="C8" s="19">
        <f>IFERROR(__xludf.DUMMYFUNCTION("""COMPUTED_VALUE"""),43.0)</f>
        <v>43</v>
      </c>
      <c r="D8" s="20">
        <f>IFERROR(__xludf.DUMMYFUNCTION("""COMPUTED_VALUE"""),0.23369565217391305)</f>
        <v>0.2336956522</v>
      </c>
      <c r="E8" s="19">
        <f>IFERROR(__xludf.DUMMYFUNCTION("""COMPUTED_VALUE"""),55.0)</f>
        <v>55</v>
      </c>
      <c r="F8" s="20">
        <f>IFERROR(__xludf.DUMMYFUNCTION("""COMPUTED_VALUE"""),0.29891304347826086)</f>
        <v>0.2989130435</v>
      </c>
      <c r="G8" s="19">
        <f>IFERROR(__xludf.DUMMYFUNCTION("""COMPUTED_VALUE"""),25.0)</f>
        <v>25</v>
      </c>
      <c r="H8" s="19">
        <f>IFERROR(__xludf.DUMMYFUNCTION("""COMPUTED_VALUE"""),1025.0)</f>
        <v>1025</v>
      </c>
      <c r="I8" s="21">
        <f>IFERROR(__xludf.DUMMYFUNCTION("""COMPUTED_VALUE"""),459.1304347826087)</f>
        <v>459.1304348</v>
      </c>
      <c r="J8" s="22">
        <f>IFERROR(__xludf.DUMMYFUNCTION("""COMPUTED_VALUE"""),84480.0)</f>
        <v>84480</v>
      </c>
      <c r="K8" s="22">
        <f>IFERROR(__xludf.DUMMYFUNCTION("""COMPUTED_VALUE"""),7.0)</f>
        <v>7</v>
      </c>
      <c r="L8" s="23">
        <f>IFERROR(__xludf.DUMMYFUNCTION("""COMPUTED_VALUE"""),0.9771089319470699)</f>
        <v>0.9771089319</v>
      </c>
    </row>
    <row r="9">
      <c r="A9" s="19" t="str">
        <f>IFERROR(__xludf.DUMMYFUNCTION("""COMPUTED_VALUE"""),"Sally")</f>
        <v>Sally</v>
      </c>
      <c r="B9" s="19">
        <f>IFERROR(__xludf.DUMMYFUNCTION("""COMPUTED_VALUE"""),207.0)</f>
        <v>207</v>
      </c>
      <c r="C9" s="19">
        <f>IFERROR(__xludf.DUMMYFUNCTION("""COMPUTED_VALUE"""),45.0)</f>
        <v>45</v>
      </c>
      <c r="D9" s="20">
        <f>IFERROR(__xludf.DUMMYFUNCTION("""COMPUTED_VALUE"""),0.21739130434782608)</f>
        <v>0.2173913043</v>
      </c>
      <c r="E9" s="19">
        <f>IFERROR(__xludf.DUMMYFUNCTION("""COMPUTED_VALUE"""),78.0)</f>
        <v>78</v>
      </c>
      <c r="F9" s="20">
        <f>IFERROR(__xludf.DUMMYFUNCTION("""COMPUTED_VALUE"""),0.37681159420289856)</f>
        <v>0.3768115942</v>
      </c>
      <c r="G9" s="19">
        <f>IFERROR(__xludf.DUMMYFUNCTION("""COMPUTED_VALUE"""),40.0)</f>
        <v>40</v>
      </c>
      <c r="H9" s="19">
        <f>IFERROR(__xludf.DUMMYFUNCTION("""COMPUTED_VALUE"""),1185.0)</f>
        <v>1185</v>
      </c>
      <c r="I9" s="21">
        <f>IFERROR(__xludf.DUMMYFUNCTION("""COMPUTED_VALUE"""),446.7149758454106)</f>
        <v>446.7149758</v>
      </c>
      <c r="J9" s="22">
        <f>IFERROR(__xludf.DUMMYFUNCTION("""COMPUTED_VALUE"""),92470.0)</f>
        <v>92470</v>
      </c>
      <c r="K9" s="22">
        <f>IFERROR(__xludf.DUMMYFUNCTION("""COMPUTED_VALUE"""),8.0)</f>
        <v>8</v>
      </c>
      <c r="L9" s="23">
        <f>IFERROR(__xludf.DUMMYFUNCTION("""COMPUTED_VALUE"""),0.7661088940231977)</f>
        <v>0.766108894</v>
      </c>
    </row>
    <row r="10">
      <c r="A10" s="19" t="str">
        <f>IFERROR(__xludf.DUMMYFUNCTION("""COMPUTED_VALUE"""),"Sara")</f>
        <v>Sara</v>
      </c>
      <c r="B10" s="19">
        <f>IFERROR(__xludf.DUMMYFUNCTION("""COMPUTED_VALUE"""),26.0)</f>
        <v>26</v>
      </c>
      <c r="C10" s="19">
        <f>IFERROR(__xludf.DUMMYFUNCTION("""COMPUTED_VALUE"""),5.0)</f>
        <v>5</v>
      </c>
      <c r="D10" s="20">
        <f>IFERROR(__xludf.DUMMYFUNCTION("""COMPUTED_VALUE"""),0.19230769230769232)</f>
        <v>0.1923076923</v>
      </c>
      <c r="E10" s="19">
        <f>IFERROR(__xludf.DUMMYFUNCTION("""COMPUTED_VALUE"""),7.0)</f>
        <v>7</v>
      </c>
      <c r="F10" s="20">
        <f>IFERROR(__xludf.DUMMYFUNCTION("""COMPUTED_VALUE"""),0.2692307692307692)</f>
        <v>0.2692307692</v>
      </c>
      <c r="G10" s="19">
        <f>IFERROR(__xludf.DUMMYFUNCTION("""COMPUTED_VALUE"""),45.0)</f>
        <v>45</v>
      </c>
      <c r="H10" s="19">
        <f>IFERROR(__xludf.DUMMYFUNCTION("""COMPUTED_VALUE"""),940.0)</f>
        <v>940</v>
      </c>
      <c r="I10" s="21">
        <f>IFERROR(__xludf.DUMMYFUNCTION("""COMPUTED_VALUE"""),367.6923076923077)</f>
        <v>367.6923077</v>
      </c>
      <c r="J10" s="22">
        <f>IFERROR(__xludf.DUMMYFUNCTION("""COMPUTED_VALUE"""),9560.0)</f>
        <v>9560</v>
      </c>
      <c r="K10" s="22">
        <f>IFERROR(__xludf.DUMMYFUNCTION("""COMPUTED_VALUE"""),9.0)</f>
        <v>9</v>
      </c>
      <c r="L10" s="23">
        <f>IFERROR(__xludf.DUMMYFUNCTION("""COMPUTED_VALUE"""),0.6923076923076923)</f>
        <v>0.6923076923</v>
      </c>
    </row>
    <row r="11">
      <c r="A11" s="19" t="str">
        <f>IFERROR(__xludf.DUMMYFUNCTION("""COMPUTED_VALUE"""),"Sandy")</f>
        <v>Sandy</v>
      </c>
      <c r="B11" s="19">
        <f>IFERROR(__xludf.DUMMYFUNCTION("""COMPUTED_VALUE"""),138.0)</f>
        <v>138</v>
      </c>
      <c r="C11" s="19">
        <f>IFERROR(__xludf.DUMMYFUNCTION("""COMPUTED_VALUE"""),21.0)</f>
        <v>21</v>
      </c>
      <c r="D11" s="20">
        <f>IFERROR(__xludf.DUMMYFUNCTION("""COMPUTED_VALUE"""),0.15217391304347827)</f>
        <v>0.152173913</v>
      </c>
      <c r="E11" s="19">
        <f>IFERROR(__xludf.DUMMYFUNCTION("""COMPUTED_VALUE"""),43.0)</f>
        <v>43</v>
      </c>
      <c r="F11" s="20">
        <f>IFERROR(__xludf.DUMMYFUNCTION("""COMPUTED_VALUE"""),0.3115942028985507)</f>
        <v>0.3115942029</v>
      </c>
      <c r="G11" s="19">
        <f>IFERROR(__xludf.DUMMYFUNCTION("""COMPUTED_VALUE"""),40.0)</f>
        <v>40</v>
      </c>
      <c r="H11" s="19">
        <f>IFERROR(__xludf.DUMMYFUNCTION("""COMPUTED_VALUE"""),1120.0)</f>
        <v>1120</v>
      </c>
      <c r="I11" s="21">
        <f>IFERROR(__xludf.DUMMYFUNCTION("""COMPUTED_VALUE"""),501.8840579710145)</f>
        <v>501.884058</v>
      </c>
      <c r="J11" s="22">
        <f>IFERROR(__xludf.DUMMYFUNCTION("""COMPUTED_VALUE"""),69260.0)</f>
        <v>69260</v>
      </c>
      <c r="K11" s="22">
        <f>IFERROR(__xludf.DUMMYFUNCTION("""COMPUTED_VALUE"""),10.0)</f>
        <v>10</v>
      </c>
      <c r="L11" s="23">
        <f>IFERROR(__xludf.DUMMYFUNCTION("""COMPUTED_VALUE"""),0.6570048309178744)</f>
        <v>0.6570048309</v>
      </c>
    </row>
    <row r="12">
      <c r="J12" s="22"/>
      <c r="K12" s="22"/>
      <c r="L12" s="23"/>
    </row>
    <row r="13">
      <c r="J13" s="22"/>
      <c r="K13" s="22"/>
      <c r="L13" s="23"/>
    </row>
    <row r="14">
      <c r="J14" s="22"/>
      <c r="K14" s="22"/>
      <c r="L14" s="23"/>
    </row>
    <row r="15">
      <c r="J15" s="22"/>
      <c r="K15" s="22"/>
      <c r="L15" s="23"/>
    </row>
    <row r="16">
      <c r="J16" s="22"/>
      <c r="K16" s="22"/>
      <c r="L16" s="23"/>
    </row>
    <row r="17">
      <c r="J17" s="22"/>
      <c r="K17" s="22"/>
      <c r="L17" s="23"/>
    </row>
    <row r="18">
      <c r="J18" s="22"/>
      <c r="K18" s="22"/>
      <c r="L18" s="23"/>
    </row>
    <row r="19">
      <c r="J19" s="22"/>
      <c r="K19" s="22"/>
      <c r="L19" s="23"/>
    </row>
    <row r="20">
      <c r="J20" s="22"/>
      <c r="K20" s="22"/>
      <c r="L20" s="23"/>
    </row>
    <row r="21">
      <c r="J21" s="22"/>
      <c r="K21" s="22"/>
      <c r="L21" s="23"/>
    </row>
    <row r="22">
      <c r="J22" s="22"/>
      <c r="K22" s="22"/>
      <c r="L22" s="23"/>
    </row>
    <row r="23">
      <c r="J23" s="22"/>
      <c r="K23" s="22"/>
      <c r="L23" s="23"/>
    </row>
    <row r="24">
      <c r="J24" s="22"/>
      <c r="K24" s="22"/>
      <c r="L24" s="23"/>
    </row>
    <row r="25">
      <c r="J25" s="22"/>
      <c r="K25" s="22"/>
      <c r="L25" s="23"/>
    </row>
    <row r="26">
      <c r="J26" s="22"/>
      <c r="K26" s="22"/>
      <c r="L26" s="23"/>
    </row>
    <row r="27">
      <c r="J27" s="22"/>
      <c r="K27" s="22"/>
      <c r="L27" s="23"/>
    </row>
    <row r="28">
      <c r="J28" s="22"/>
      <c r="K28" s="22"/>
      <c r="L28" s="23"/>
    </row>
    <row r="29">
      <c r="J29" s="22"/>
      <c r="K29" s="22"/>
      <c r="L29" s="23"/>
    </row>
    <row r="30">
      <c r="J30" s="22"/>
      <c r="K30" s="22"/>
      <c r="L30" s="23"/>
    </row>
    <row r="31">
      <c r="J31" s="22"/>
      <c r="K31" s="22"/>
      <c r="L31" s="23"/>
    </row>
    <row r="32">
      <c r="J32" s="22"/>
      <c r="K32" s="22"/>
      <c r="L32" s="23"/>
    </row>
    <row r="33">
      <c r="J33" s="22"/>
      <c r="K33" s="22"/>
      <c r="L33" s="23"/>
    </row>
    <row r="34">
      <c r="J34" s="22"/>
      <c r="K34" s="22"/>
      <c r="L34" s="23"/>
    </row>
    <row r="35">
      <c r="J35" s="22"/>
      <c r="K35" s="22"/>
      <c r="L35" s="23"/>
    </row>
    <row r="36">
      <c r="J36" s="22"/>
      <c r="K36" s="22"/>
      <c r="L36" s="23"/>
    </row>
    <row r="37">
      <c r="J37" s="22"/>
      <c r="K37" s="22"/>
      <c r="L37" s="23"/>
    </row>
    <row r="38">
      <c r="J38" s="22"/>
      <c r="K38" s="22"/>
      <c r="L38" s="23"/>
    </row>
    <row r="39">
      <c r="J39" s="22"/>
      <c r="K39" s="22"/>
      <c r="L39" s="23"/>
    </row>
    <row r="40">
      <c r="J40" s="22"/>
      <c r="K40" s="22"/>
      <c r="L40" s="23"/>
    </row>
    <row r="41">
      <c r="J41" s="22"/>
      <c r="K41" s="22"/>
      <c r="L41" s="23"/>
    </row>
    <row r="42">
      <c r="J42" s="22"/>
      <c r="K42" s="22"/>
      <c r="L42" s="23"/>
    </row>
    <row r="43">
      <c r="J43" s="22"/>
      <c r="K43" s="22"/>
      <c r="L43" s="23"/>
    </row>
    <row r="44">
      <c r="J44" s="22"/>
      <c r="K44" s="22"/>
      <c r="L44" s="23"/>
    </row>
    <row r="45">
      <c r="J45" s="22"/>
      <c r="K45" s="22"/>
      <c r="L45" s="23"/>
    </row>
    <row r="46">
      <c r="J46" s="22"/>
      <c r="K46" s="22"/>
      <c r="L46" s="23"/>
    </row>
    <row r="47">
      <c r="J47" s="22"/>
      <c r="K47" s="22"/>
      <c r="L47" s="23"/>
    </row>
    <row r="48">
      <c r="J48" s="22"/>
      <c r="K48" s="22"/>
      <c r="L48" s="23"/>
    </row>
    <row r="49">
      <c r="J49" s="22"/>
      <c r="K49" s="22"/>
      <c r="L49" s="23"/>
    </row>
    <row r="50">
      <c r="J50" s="22"/>
      <c r="K50" s="22"/>
      <c r="L50" s="23"/>
    </row>
    <row r="51">
      <c r="J51" s="22"/>
      <c r="K51" s="22"/>
      <c r="L51" s="23"/>
    </row>
    <row r="52">
      <c r="J52" s="22"/>
      <c r="K52" s="22"/>
      <c r="L52" s="23"/>
    </row>
    <row r="53">
      <c r="J53" s="22"/>
      <c r="K53" s="22"/>
      <c r="L53" s="23"/>
    </row>
    <row r="54">
      <c r="J54" s="22"/>
      <c r="K54" s="22"/>
      <c r="L54" s="23"/>
    </row>
    <row r="55">
      <c r="J55" s="22"/>
      <c r="K55" s="22"/>
      <c r="L55" s="23"/>
    </row>
    <row r="56">
      <c r="J56" s="22"/>
      <c r="K56" s="22"/>
      <c r="L56" s="23"/>
    </row>
    <row r="57">
      <c r="J57" s="22"/>
      <c r="K57" s="22"/>
      <c r="L57" s="23"/>
    </row>
    <row r="58">
      <c r="J58" s="22"/>
      <c r="K58" s="22"/>
      <c r="L58" s="23"/>
    </row>
    <row r="59">
      <c r="J59" s="22"/>
      <c r="K59" s="22"/>
      <c r="L59" s="23"/>
    </row>
    <row r="60">
      <c r="J60" s="22"/>
      <c r="K60" s="22"/>
      <c r="L60" s="23"/>
    </row>
    <row r="61">
      <c r="J61" s="22"/>
      <c r="K61" s="22"/>
      <c r="L61" s="23"/>
    </row>
    <row r="62">
      <c r="J62" s="22"/>
      <c r="K62" s="22"/>
      <c r="L62" s="23"/>
    </row>
    <row r="63">
      <c r="J63" s="22"/>
      <c r="K63" s="22"/>
      <c r="L63" s="23"/>
    </row>
    <row r="64">
      <c r="J64" s="22"/>
      <c r="K64" s="22"/>
      <c r="L64" s="23"/>
    </row>
    <row r="65">
      <c r="J65" s="22"/>
      <c r="K65" s="22"/>
      <c r="L65" s="23"/>
    </row>
    <row r="66">
      <c r="J66" s="22"/>
      <c r="K66" s="22"/>
      <c r="L66" s="23"/>
    </row>
    <row r="67">
      <c r="J67" s="22"/>
      <c r="K67" s="22"/>
      <c r="L67" s="23"/>
    </row>
    <row r="68">
      <c r="J68" s="22"/>
      <c r="K68" s="22"/>
      <c r="L68" s="23"/>
    </row>
    <row r="69">
      <c r="J69" s="22"/>
      <c r="K69" s="22"/>
      <c r="L69" s="23"/>
    </row>
    <row r="70">
      <c r="J70" s="22"/>
      <c r="K70" s="22"/>
      <c r="L70" s="23"/>
    </row>
    <row r="71">
      <c r="J71" s="22"/>
      <c r="K71" s="22"/>
      <c r="L71" s="23"/>
    </row>
    <row r="72">
      <c r="J72" s="22"/>
      <c r="K72" s="22"/>
      <c r="L72" s="23"/>
    </row>
    <row r="73">
      <c r="J73" s="22"/>
      <c r="K73" s="22"/>
      <c r="L73" s="23"/>
    </row>
    <row r="74">
      <c r="J74" s="22"/>
      <c r="K74" s="22"/>
      <c r="L74" s="23"/>
    </row>
    <row r="75">
      <c r="J75" s="22"/>
      <c r="K75" s="22"/>
      <c r="L75" s="23"/>
    </row>
    <row r="76">
      <c r="J76" s="22"/>
      <c r="K76" s="22"/>
      <c r="L76" s="23"/>
    </row>
    <row r="77">
      <c r="J77" s="22"/>
      <c r="K77" s="22"/>
      <c r="L77" s="23"/>
    </row>
    <row r="78">
      <c r="J78" s="22"/>
      <c r="K78" s="22"/>
      <c r="L78" s="23"/>
    </row>
    <row r="79">
      <c r="J79" s="22"/>
      <c r="K79" s="22"/>
      <c r="L79" s="23"/>
    </row>
    <row r="80">
      <c r="J80" s="22"/>
      <c r="K80" s="22"/>
      <c r="L80" s="23"/>
    </row>
    <row r="81">
      <c r="J81" s="22"/>
      <c r="K81" s="22"/>
      <c r="L81" s="23"/>
    </row>
    <row r="82">
      <c r="J82" s="22"/>
      <c r="K82" s="22"/>
      <c r="L82" s="23"/>
    </row>
    <row r="83">
      <c r="J83" s="22"/>
      <c r="K83" s="22"/>
      <c r="L83" s="23"/>
    </row>
    <row r="84">
      <c r="J84" s="22"/>
      <c r="K84" s="22"/>
      <c r="L84" s="23"/>
    </row>
    <row r="85">
      <c r="J85" s="22"/>
      <c r="K85" s="22"/>
      <c r="L85" s="23"/>
    </row>
    <row r="86">
      <c r="J86" s="22"/>
      <c r="K86" s="22"/>
      <c r="L86" s="23"/>
    </row>
    <row r="87">
      <c r="J87" s="22"/>
      <c r="K87" s="22"/>
      <c r="L87" s="23"/>
    </row>
    <row r="88">
      <c r="J88" s="22"/>
      <c r="K88" s="22"/>
      <c r="L88" s="23"/>
    </row>
    <row r="89">
      <c r="J89" s="22"/>
      <c r="K89" s="22"/>
      <c r="L89" s="23"/>
    </row>
    <row r="90">
      <c r="J90" s="22"/>
      <c r="K90" s="22"/>
      <c r="L90" s="23"/>
    </row>
    <row r="91">
      <c r="J91" s="22"/>
      <c r="K91" s="22"/>
      <c r="L91" s="23"/>
    </row>
    <row r="92">
      <c r="J92" s="22"/>
      <c r="K92" s="22"/>
      <c r="L92" s="23"/>
    </row>
    <row r="93">
      <c r="J93" s="22"/>
      <c r="K93" s="22"/>
      <c r="L93" s="23"/>
    </row>
    <row r="94">
      <c r="J94" s="22"/>
      <c r="K94" s="22"/>
      <c r="L94" s="23"/>
    </row>
    <row r="95">
      <c r="J95" s="22"/>
      <c r="K95" s="22"/>
      <c r="L95" s="23"/>
    </row>
    <row r="96">
      <c r="J96" s="22"/>
      <c r="K96" s="22"/>
      <c r="L96" s="23"/>
    </row>
    <row r="97">
      <c r="J97" s="22"/>
      <c r="K97" s="22"/>
      <c r="L97" s="23"/>
    </row>
    <row r="98">
      <c r="J98" s="22"/>
      <c r="K98" s="22"/>
      <c r="L98" s="23"/>
    </row>
    <row r="99">
      <c r="J99" s="22"/>
      <c r="K99" s="22"/>
      <c r="L99" s="23"/>
    </row>
    <row r="100">
      <c r="J100" s="22"/>
      <c r="K100" s="22"/>
      <c r="L100" s="23"/>
    </row>
    <row r="101">
      <c r="J101" s="22"/>
      <c r="K101" s="22"/>
      <c r="L101" s="23"/>
    </row>
    <row r="102">
      <c r="J102" s="22"/>
      <c r="K102" s="22"/>
      <c r="L102" s="23"/>
    </row>
    <row r="103">
      <c r="J103" s="22"/>
      <c r="K103" s="22"/>
      <c r="L103" s="23"/>
    </row>
    <row r="104">
      <c r="J104" s="22"/>
      <c r="K104" s="22"/>
      <c r="L104" s="23"/>
    </row>
    <row r="105">
      <c r="J105" s="22"/>
      <c r="K105" s="22"/>
      <c r="L105" s="23"/>
    </row>
    <row r="106">
      <c r="J106" s="22"/>
      <c r="K106" s="22"/>
      <c r="L106" s="23"/>
    </row>
    <row r="107">
      <c r="J107" s="22"/>
      <c r="K107" s="22"/>
      <c r="L107" s="23"/>
    </row>
    <row r="108">
      <c r="J108" s="22"/>
      <c r="K108" s="22"/>
      <c r="L108" s="23"/>
    </row>
    <row r="109">
      <c r="J109" s="22"/>
      <c r="K109" s="22"/>
      <c r="L109" s="23"/>
    </row>
    <row r="110">
      <c r="J110" s="22"/>
      <c r="K110" s="22"/>
      <c r="L110" s="23"/>
    </row>
    <row r="111">
      <c r="J111" s="22"/>
      <c r="K111" s="22"/>
      <c r="L111" s="23"/>
    </row>
    <row r="112">
      <c r="J112" s="22"/>
      <c r="K112" s="22"/>
      <c r="L112" s="23"/>
    </row>
    <row r="113">
      <c r="J113" s="22"/>
      <c r="K113" s="22"/>
      <c r="L113" s="23"/>
    </row>
    <row r="114">
      <c r="J114" s="22"/>
      <c r="K114" s="22"/>
      <c r="L114" s="23"/>
    </row>
    <row r="115">
      <c r="J115" s="22"/>
      <c r="K115" s="22"/>
      <c r="L115" s="23"/>
    </row>
    <row r="116">
      <c r="J116" s="22"/>
      <c r="K116" s="22"/>
      <c r="L116" s="23"/>
    </row>
    <row r="117">
      <c r="J117" s="22"/>
      <c r="K117" s="22"/>
      <c r="L117" s="23"/>
    </row>
    <row r="118">
      <c r="J118" s="22"/>
      <c r="K118" s="22"/>
      <c r="L118" s="23"/>
    </row>
    <row r="119">
      <c r="J119" s="22"/>
      <c r="K119" s="22"/>
      <c r="L119" s="23"/>
    </row>
    <row r="120">
      <c r="J120" s="22"/>
      <c r="K120" s="22"/>
      <c r="L120" s="23"/>
    </row>
    <row r="121">
      <c r="J121" s="22"/>
      <c r="K121" s="22"/>
      <c r="L121" s="23"/>
    </row>
    <row r="122">
      <c r="J122" s="22"/>
      <c r="K122" s="22"/>
      <c r="L122" s="23"/>
    </row>
    <row r="123">
      <c r="J123" s="22"/>
      <c r="K123" s="22"/>
      <c r="L123" s="23"/>
    </row>
    <row r="124">
      <c r="J124" s="22"/>
      <c r="K124" s="22"/>
      <c r="L124" s="23"/>
    </row>
    <row r="125">
      <c r="J125" s="22"/>
      <c r="K125" s="22"/>
      <c r="L125" s="23"/>
    </row>
    <row r="126">
      <c r="J126" s="22"/>
      <c r="K126" s="22"/>
      <c r="L126" s="23"/>
    </row>
    <row r="127">
      <c r="J127" s="22"/>
      <c r="K127" s="22"/>
      <c r="L127" s="23"/>
    </row>
    <row r="128">
      <c r="J128" s="22"/>
      <c r="K128" s="22"/>
      <c r="L128" s="23"/>
    </row>
    <row r="129">
      <c r="J129" s="22"/>
      <c r="K129" s="22"/>
      <c r="L129" s="23"/>
    </row>
    <row r="130">
      <c r="J130" s="22"/>
      <c r="K130" s="22"/>
      <c r="L130" s="23"/>
    </row>
    <row r="131">
      <c r="J131" s="22"/>
      <c r="K131" s="22"/>
      <c r="L131" s="23"/>
    </row>
    <row r="132">
      <c r="J132" s="22"/>
      <c r="K132" s="22"/>
      <c r="L132" s="23"/>
    </row>
    <row r="133">
      <c r="J133" s="22"/>
      <c r="K133" s="22"/>
      <c r="L133" s="23"/>
    </row>
    <row r="134">
      <c r="J134" s="22"/>
      <c r="K134" s="22"/>
      <c r="L134" s="23"/>
    </row>
    <row r="135">
      <c r="J135" s="22"/>
      <c r="K135" s="22"/>
      <c r="L135" s="23"/>
    </row>
    <row r="136">
      <c r="J136" s="22"/>
      <c r="K136" s="22"/>
      <c r="L136" s="23"/>
    </row>
    <row r="137">
      <c r="J137" s="22"/>
      <c r="K137" s="22"/>
      <c r="L137" s="23"/>
    </row>
    <row r="138">
      <c r="J138" s="22"/>
      <c r="K138" s="22"/>
      <c r="L138" s="23"/>
    </row>
    <row r="139">
      <c r="J139" s="22"/>
      <c r="K139" s="22"/>
      <c r="L139" s="23"/>
    </row>
    <row r="140">
      <c r="J140" s="22"/>
      <c r="K140" s="22"/>
      <c r="L140" s="23"/>
    </row>
    <row r="141">
      <c r="J141" s="22"/>
      <c r="K141" s="22"/>
      <c r="L141" s="23"/>
    </row>
    <row r="142">
      <c r="J142" s="22"/>
      <c r="K142" s="22"/>
      <c r="L142" s="23"/>
    </row>
    <row r="143">
      <c r="J143" s="22"/>
      <c r="K143" s="22"/>
      <c r="L143" s="23"/>
    </row>
    <row r="144">
      <c r="J144" s="22"/>
      <c r="K144" s="22"/>
      <c r="L144" s="23"/>
    </row>
    <row r="145">
      <c r="J145" s="22"/>
      <c r="K145" s="22"/>
      <c r="L145" s="23"/>
    </row>
    <row r="146">
      <c r="J146" s="22"/>
      <c r="K146" s="22"/>
      <c r="L146" s="23"/>
    </row>
    <row r="147">
      <c r="J147" s="22"/>
      <c r="K147" s="22"/>
      <c r="L147" s="23"/>
    </row>
    <row r="148">
      <c r="J148" s="22"/>
      <c r="K148" s="22"/>
      <c r="L148" s="23"/>
    </row>
    <row r="149">
      <c r="J149" s="22"/>
      <c r="K149" s="22"/>
      <c r="L149" s="23"/>
    </row>
    <row r="150">
      <c r="J150" s="22"/>
      <c r="K150" s="22"/>
      <c r="L150" s="23"/>
    </row>
    <row r="151">
      <c r="J151" s="22"/>
      <c r="K151" s="22"/>
      <c r="L151" s="23"/>
    </row>
    <row r="152">
      <c r="J152" s="22"/>
      <c r="K152" s="22"/>
      <c r="L152" s="23"/>
    </row>
    <row r="153">
      <c r="J153" s="22"/>
      <c r="K153" s="22"/>
      <c r="L153" s="23"/>
    </row>
    <row r="154">
      <c r="J154" s="22"/>
      <c r="K154" s="22"/>
      <c r="L154" s="23"/>
    </row>
    <row r="155">
      <c r="J155" s="22"/>
      <c r="K155" s="22"/>
      <c r="L155" s="23"/>
    </row>
    <row r="156">
      <c r="J156" s="22"/>
      <c r="K156" s="22"/>
      <c r="L156" s="23"/>
    </row>
    <row r="157">
      <c r="J157" s="22"/>
      <c r="K157" s="22"/>
      <c r="L157" s="23"/>
    </row>
    <row r="158">
      <c r="J158" s="22"/>
      <c r="K158" s="22"/>
      <c r="L158" s="23"/>
    </row>
    <row r="159">
      <c r="J159" s="22"/>
      <c r="K159" s="22"/>
      <c r="L159" s="23"/>
    </row>
    <row r="160">
      <c r="J160" s="22"/>
      <c r="K160" s="22"/>
      <c r="L160" s="23"/>
    </row>
    <row r="161">
      <c r="J161" s="22"/>
      <c r="K161" s="22"/>
      <c r="L161" s="23"/>
    </row>
    <row r="162">
      <c r="J162" s="22"/>
      <c r="K162" s="22"/>
      <c r="L162" s="23"/>
    </row>
    <row r="163">
      <c r="J163" s="22"/>
      <c r="K163" s="22"/>
      <c r="L163" s="23"/>
    </row>
    <row r="164">
      <c r="J164" s="22"/>
      <c r="K164" s="22"/>
      <c r="L164" s="23"/>
    </row>
    <row r="165">
      <c r="J165" s="22"/>
      <c r="K165" s="22"/>
      <c r="L165" s="23"/>
    </row>
    <row r="166">
      <c r="J166" s="22"/>
      <c r="K166" s="22"/>
      <c r="L166" s="23"/>
    </row>
    <row r="167">
      <c r="J167" s="22"/>
      <c r="K167" s="22"/>
      <c r="L167" s="23"/>
    </row>
    <row r="168">
      <c r="J168" s="22"/>
      <c r="K168" s="22"/>
      <c r="L168" s="23"/>
    </row>
    <row r="169">
      <c r="J169" s="22"/>
      <c r="K169" s="22"/>
      <c r="L169" s="23"/>
    </row>
    <row r="170">
      <c r="J170" s="22"/>
      <c r="K170" s="22"/>
      <c r="L170" s="23"/>
    </row>
    <row r="171">
      <c r="J171" s="22"/>
      <c r="K171" s="22"/>
      <c r="L171" s="23"/>
    </row>
    <row r="172">
      <c r="J172" s="22"/>
      <c r="K172" s="22"/>
      <c r="L172" s="23"/>
    </row>
    <row r="173">
      <c r="J173" s="22"/>
      <c r="K173" s="22"/>
      <c r="L173" s="23"/>
    </row>
    <row r="174">
      <c r="J174" s="22"/>
      <c r="K174" s="22"/>
      <c r="L174" s="23"/>
    </row>
    <row r="175">
      <c r="J175" s="22"/>
      <c r="K175" s="22"/>
      <c r="L175" s="23"/>
    </row>
    <row r="176">
      <c r="J176" s="22"/>
      <c r="K176" s="22"/>
      <c r="L176" s="23"/>
    </row>
    <row r="177">
      <c r="J177" s="22"/>
      <c r="K177" s="22"/>
      <c r="L177" s="23"/>
    </row>
    <row r="178">
      <c r="J178" s="22"/>
      <c r="K178" s="22"/>
      <c r="L178" s="23"/>
    </row>
    <row r="179">
      <c r="J179" s="22"/>
      <c r="K179" s="22"/>
      <c r="L179" s="23"/>
    </row>
    <row r="180">
      <c r="J180" s="22"/>
      <c r="K180" s="22"/>
      <c r="L180" s="23"/>
    </row>
    <row r="181">
      <c r="J181" s="22"/>
      <c r="K181" s="22"/>
      <c r="L181" s="23"/>
    </row>
    <row r="182">
      <c r="J182" s="22"/>
      <c r="K182" s="22"/>
      <c r="L182" s="23"/>
    </row>
    <row r="183">
      <c r="J183" s="22"/>
      <c r="K183" s="22"/>
      <c r="L183" s="23"/>
    </row>
    <row r="184">
      <c r="J184" s="22"/>
      <c r="K184" s="22"/>
      <c r="L184" s="23"/>
    </row>
    <row r="185">
      <c r="J185" s="22"/>
      <c r="K185" s="22"/>
      <c r="L185" s="23"/>
    </row>
    <row r="186">
      <c r="J186" s="22"/>
      <c r="K186" s="22"/>
      <c r="L186" s="23"/>
    </row>
    <row r="187">
      <c r="J187" s="22"/>
      <c r="K187" s="22"/>
      <c r="L187" s="23"/>
    </row>
    <row r="188">
      <c r="J188" s="22"/>
      <c r="K188" s="22"/>
      <c r="L188" s="23"/>
    </row>
    <row r="189">
      <c r="J189" s="22"/>
      <c r="K189" s="22"/>
      <c r="L189" s="23"/>
    </row>
    <row r="190">
      <c r="J190" s="22"/>
      <c r="K190" s="22"/>
      <c r="L190" s="23"/>
    </row>
    <row r="191">
      <c r="J191" s="22"/>
      <c r="K191" s="22"/>
      <c r="L191" s="23"/>
    </row>
    <row r="192">
      <c r="J192" s="22"/>
      <c r="K192" s="22"/>
      <c r="L192" s="23"/>
    </row>
    <row r="193">
      <c r="J193" s="22"/>
      <c r="K193" s="22"/>
      <c r="L193" s="23"/>
    </row>
    <row r="194">
      <c r="J194" s="22"/>
      <c r="K194" s="22"/>
      <c r="L194" s="23"/>
    </row>
    <row r="195">
      <c r="J195" s="22"/>
      <c r="K195" s="22"/>
      <c r="L195" s="23"/>
    </row>
    <row r="196">
      <c r="J196" s="22"/>
      <c r="K196" s="22"/>
      <c r="L196" s="23"/>
    </row>
    <row r="197">
      <c r="J197" s="22"/>
      <c r="K197" s="22"/>
      <c r="L197" s="23"/>
    </row>
    <row r="198">
      <c r="J198" s="22"/>
      <c r="K198" s="22"/>
      <c r="L198" s="23"/>
    </row>
    <row r="199">
      <c r="J199" s="22"/>
      <c r="K199" s="22"/>
      <c r="L199" s="23"/>
    </row>
    <row r="200">
      <c r="J200" s="22"/>
      <c r="K200" s="22"/>
      <c r="L200" s="23"/>
    </row>
    <row r="201">
      <c r="J201" s="22"/>
      <c r="K201" s="22"/>
      <c r="L201" s="23"/>
    </row>
    <row r="202">
      <c r="J202" s="22"/>
      <c r="K202" s="22"/>
      <c r="L202" s="23"/>
    </row>
    <row r="203">
      <c r="J203" s="22"/>
      <c r="K203" s="22"/>
      <c r="L203" s="23"/>
    </row>
    <row r="204">
      <c r="J204" s="22"/>
      <c r="K204" s="22"/>
      <c r="L204" s="23"/>
    </row>
    <row r="205">
      <c r="J205" s="22"/>
      <c r="K205" s="22"/>
      <c r="L205" s="23"/>
    </row>
    <row r="206">
      <c r="J206" s="22"/>
      <c r="K206" s="22"/>
      <c r="L206" s="23"/>
    </row>
    <row r="207">
      <c r="J207" s="22"/>
      <c r="K207" s="22"/>
      <c r="L207" s="23"/>
    </row>
    <row r="208">
      <c r="J208" s="22"/>
      <c r="K208" s="22"/>
      <c r="L208" s="23"/>
    </row>
    <row r="209">
      <c r="J209" s="22"/>
      <c r="K209" s="22"/>
      <c r="L209" s="23"/>
    </row>
    <row r="210">
      <c r="J210" s="22"/>
      <c r="K210" s="22"/>
      <c r="L210" s="23"/>
    </row>
    <row r="211">
      <c r="J211" s="22"/>
      <c r="K211" s="22"/>
      <c r="L211" s="23"/>
    </row>
    <row r="212">
      <c r="J212" s="22"/>
      <c r="K212" s="22"/>
      <c r="L212" s="23"/>
    </row>
    <row r="213">
      <c r="J213" s="22"/>
      <c r="K213" s="22"/>
      <c r="L213" s="23"/>
    </row>
    <row r="214">
      <c r="J214" s="22"/>
      <c r="K214" s="22"/>
      <c r="L214" s="23"/>
    </row>
    <row r="215">
      <c r="J215" s="22"/>
      <c r="K215" s="22"/>
      <c r="L215" s="23"/>
    </row>
    <row r="216">
      <c r="J216" s="22"/>
      <c r="K216" s="22"/>
      <c r="L216" s="23"/>
    </row>
    <row r="217">
      <c r="J217" s="22"/>
      <c r="K217" s="22"/>
      <c r="L217" s="23"/>
    </row>
    <row r="218">
      <c r="J218" s="22"/>
      <c r="K218" s="22"/>
      <c r="L218" s="23"/>
    </row>
    <row r="219">
      <c r="J219" s="22"/>
      <c r="K219" s="22"/>
      <c r="L219" s="23"/>
    </row>
    <row r="220">
      <c r="J220" s="22"/>
      <c r="K220" s="22"/>
      <c r="L220" s="23"/>
    </row>
    <row r="221">
      <c r="J221" s="22"/>
      <c r="K221" s="22"/>
      <c r="L221" s="23"/>
    </row>
    <row r="222">
      <c r="J222" s="22"/>
      <c r="K222" s="22"/>
      <c r="L222" s="23"/>
    </row>
    <row r="223">
      <c r="J223" s="22"/>
      <c r="K223" s="22"/>
      <c r="L223" s="23"/>
    </row>
    <row r="224">
      <c r="J224" s="22"/>
      <c r="K224" s="22"/>
      <c r="L224" s="23"/>
    </row>
    <row r="225">
      <c r="J225" s="22"/>
      <c r="K225" s="22"/>
      <c r="L225" s="23"/>
    </row>
    <row r="226">
      <c r="J226" s="22"/>
      <c r="K226" s="22"/>
      <c r="L226" s="23"/>
    </row>
    <row r="227">
      <c r="J227" s="22"/>
      <c r="K227" s="22"/>
      <c r="L227" s="23"/>
    </row>
    <row r="228">
      <c r="J228" s="22"/>
      <c r="K228" s="22"/>
      <c r="L228" s="23"/>
    </row>
    <row r="229">
      <c r="J229" s="22"/>
      <c r="K229" s="22"/>
      <c r="L229" s="23"/>
    </row>
    <row r="230">
      <c r="J230" s="22"/>
      <c r="K230" s="22"/>
      <c r="L230" s="23"/>
    </row>
    <row r="231">
      <c r="J231" s="22"/>
      <c r="K231" s="22"/>
      <c r="L231" s="23"/>
    </row>
    <row r="232">
      <c r="J232" s="22"/>
      <c r="K232" s="22"/>
      <c r="L232" s="23"/>
    </row>
    <row r="233">
      <c r="J233" s="22"/>
      <c r="K233" s="22"/>
      <c r="L233" s="23"/>
    </row>
    <row r="234">
      <c r="J234" s="22"/>
      <c r="K234" s="22"/>
      <c r="L234" s="23"/>
    </row>
    <row r="235">
      <c r="J235" s="22"/>
      <c r="K235" s="22"/>
      <c r="L235" s="23"/>
    </row>
    <row r="236">
      <c r="J236" s="22"/>
      <c r="K236" s="22"/>
      <c r="L236" s="23"/>
    </row>
    <row r="237">
      <c r="J237" s="22"/>
      <c r="K237" s="22"/>
      <c r="L237" s="23"/>
    </row>
    <row r="238">
      <c r="J238" s="22"/>
      <c r="K238" s="22"/>
      <c r="L238" s="23"/>
    </row>
    <row r="239">
      <c r="J239" s="22"/>
      <c r="K239" s="22"/>
      <c r="L239" s="23"/>
    </row>
    <row r="240">
      <c r="J240" s="22"/>
      <c r="K240" s="22"/>
      <c r="L240" s="23"/>
    </row>
    <row r="241">
      <c r="J241" s="22"/>
      <c r="K241" s="22"/>
      <c r="L241" s="23"/>
    </row>
    <row r="242">
      <c r="J242" s="22"/>
      <c r="K242" s="22"/>
      <c r="L242" s="23"/>
    </row>
    <row r="243">
      <c r="J243" s="22"/>
      <c r="K243" s="22"/>
      <c r="L243" s="23"/>
    </row>
    <row r="244">
      <c r="J244" s="22"/>
      <c r="K244" s="22"/>
      <c r="L244" s="23"/>
    </row>
    <row r="245">
      <c r="J245" s="22"/>
      <c r="K245" s="22"/>
      <c r="L245" s="23"/>
    </row>
    <row r="246">
      <c r="J246" s="22"/>
      <c r="K246" s="22"/>
      <c r="L246" s="23"/>
    </row>
    <row r="247">
      <c r="J247" s="22"/>
      <c r="K247" s="22"/>
      <c r="L247" s="23"/>
    </row>
    <row r="248">
      <c r="J248" s="22"/>
      <c r="K248" s="22"/>
      <c r="L248" s="23"/>
    </row>
    <row r="249">
      <c r="J249" s="22"/>
      <c r="K249" s="22"/>
      <c r="L249" s="23"/>
    </row>
    <row r="250">
      <c r="J250" s="22"/>
      <c r="K250" s="22"/>
      <c r="L250" s="23"/>
    </row>
    <row r="251">
      <c r="J251" s="22"/>
      <c r="K251" s="22"/>
      <c r="L251" s="23"/>
    </row>
    <row r="252">
      <c r="J252" s="22"/>
      <c r="K252" s="22"/>
      <c r="L252" s="23"/>
    </row>
    <row r="253">
      <c r="J253" s="22"/>
      <c r="K253" s="22"/>
      <c r="L253" s="23"/>
    </row>
    <row r="254">
      <c r="J254" s="22"/>
      <c r="K254" s="22"/>
      <c r="L254" s="23"/>
    </row>
    <row r="255">
      <c r="J255" s="22"/>
      <c r="K255" s="22"/>
      <c r="L255" s="23"/>
    </row>
    <row r="256">
      <c r="J256" s="22"/>
      <c r="K256" s="22"/>
      <c r="L256" s="23"/>
    </row>
    <row r="257">
      <c r="J257" s="22"/>
      <c r="K257" s="22"/>
      <c r="L257" s="23"/>
    </row>
    <row r="258">
      <c r="J258" s="22"/>
      <c r="K258" s="22"/>
      <c r="L258" s="23"/>
    </row>
    <row r="259">
      <c r="J259" s="22"/>
      <c r="K259" s="22"/>
      <c r="L259" s="23"/>
    </row>
    <row r="260">
      <c r="J260" s="22"/>
      <c r="K260" s="22"/>
      <c r="L260" s="23"/>
    </row>
    <row r="261">
      <c r="J261" s="22"/>
      <c r="K261" s="22"/>
      <c r="L261" s="23"/>
    </row>
    <row r="262">
      <c r="J262" s="22"/>
      <c r="K262" s="22"/>
      <c r="L262" s="23"/>
    </row>
    <row r="263">
      <c r="J263" s="22"/>
      <c r="K263" s="22"/>
      <c r="L263" s="23"/>
    </row>
    <row r="264">
      <c r="J264" s="22"/>
      <c r="K264" s="22"/>
      <c r="L264" s="23"/>
    </row>
    <row r="265">
      <c r="J265" s="22"/>
      <c r="K265" s="22"/>
      <c r="L265" s="23"/>
    </row>
    <row r="266">
      <c r="J266" s="22"/>
      <c r="K266" s="22"/>
      <c r="L266" s="23"/>
    </row>
    <row r="267">
      <c r="J267" s="22"/>
      <c r="K267" s="22"/>
      <c r="L267" s="23"/>
    </row>
    <row r="268">
      <c r="J268" s="22"/>
      <c r="K268" s="22"/>
      <c r="L268" s="23"/>
    </row>
    <row r="269">
      <c r="J269" s="22"/>
      <c r="K269" s="22"/>
      <c r="L269" s="23"/>
    </row>
    <row r="270">
      <c r="J270" s="22"/>
      <c r="K270" s="22"/>
      <c r="L270" s="23"/>
    </row>
    <row r="271">
      <c r="J271" s="22"/>
      <c r="K271" s="22"/>
      <c r="L271" s="23"/>
    </row>
    <row r="272">
      <c r="J272" s="22"/>
      <c r="K272" s="22"/>
      <c r="L272" s="23"/>
    </row>
    <row r="273">
      <c r="J273" s="22"/>
      <c r="K273" s="22"/>
      <c r="L273" s="23"/>
    </row>
    <row r="274">
      <c r="J274" s="22"/>
      <c r="K274" s="22"/>
      <c r="L274" s="23"/>
    </row>
    <row r="275">
      <c r="J275" s="22"/>
      <c r="K275" s="22"/>
      <c r="L275" s="23"/>
    </row>
    <row r="276">
      <c r="J276" s="22"/>
      <c r="K276" s="22"/>
      <c r="L276" s="23"/>
    </row>
    <row r="277">
      <c r="J277" s="22"/>
      <c r="K277" s="22"/>
      <c r="L277" s="23"/>
    </row>
    <row r="278">
      <c r="J278" s="22"/>
      <c r="K278" s="22"/>
      <c r="L278" s="23"/>
    </row>
    <row r="279">
      <c r="J279" s="22"/>
      <c r="K279" s="22"/>
      <c r="L279" s="23"/>
    </row>
    <row r="280">
      <c r="J280" s="22"/>
      <c r="K280" s="22"/>
      <c r="L280" s="23"/>
    </row>
    <row r="281">
      <c r="J281" s="22"/>
      <c r="K281" s="22"/>
      <c r="L281" s="23"/>
    </row>
    <row r="282">
      <c r="J282" s="22"/>
      <c r="K282" s="22"/>
      <c r="L282" s="23"/>
    </row>
    <row r="283">
      <c r="J283" s="22"/>
      <c r="K283" s="22"/>
      <c r="L283" s="23"/>
    </row>
    <row r="284">
      <c r="J284" s="22"/>
      <c r="K284" s="22"/>
      <c r="L284" s="23"/>
    </row>
    <row r="285">
      <c r="J285" s="22"/>
      <c r="K285" s="22"/>
      <c r="L285" s="23"/>
    </row>
    <row r="286">
      <c r="J286" s="22"/>
      <c r="K286" s="22"/>
      <c r="L286" s="23"/>
    </row>
    <row r="287">
      <c r="J287" s="22"/>
      <c r="K287" s="22"/>
      <c r="L287" s="23"/>
    </row>
    <row r="288">
      <c r="J288" s="22"/>
      <c r="K288" s="22"/>
      <c r="L288" s="23"/>
    </row>
    <row r="289">
      <c r="J289" s="22"/>
      <c r="K289" s="22"/>
      <c r="L289" s="23"/>
    </row>
    <row r="290">
      <c r="J290" s="22"/>
      <c r="K290" s="22"/>
      <c r="L290" s="23"/>
    </row>
    <row r="291">
      <c r="J291" s="22"/>
      <c r="K291" s="22"/>
      <c r="L291" s="23"/>
    </row>
    <row r="292">
      <c r="J292" s="22"/>
      <c r="K292" s="22"/>
      <c r="L292" s="23"/>
    </row>
    <row r="293">
      <c r="J293" s="22"/>
      <c r="K293" s="22"/>
      <c r="L293" s="23"/>
    </row>
    <row r="294">
      <c r="J294" s="22"/>
      <c r="K294" s="22"/>
      <c r="L294" s="23"/>
    </row>
    <row r="295">
      <c r="J295" s="22"/>
      <c r="K295" s="22"/>
      <c r="L295" s="23"/>
    </row>
    <row r="296">
      <c r="J296" s="22"/>
      <c r="K296" s="22"/>
      <c r="L296" s="23"/>
    </row>
    <row r="297">
      <c r="J297" s="22"/>
      <c r="K297" s="22"/>
      <c r="L297" s="23"/>
    </row>
    <row r="298">
      <c r="J298" s="22"/>
      <c r="K298" s="22"/>
      <c r="L298" s="23"/>
    </row>
    <row r="299">
      <c r="J299" s="22"/>
      <c r="K299" s="22"/>
      <c r="L299" s="23"/>
    </row>
    <row r="300">
      <c r="J300" s="22"/>
      <c r="K300" s="22"/>
      <c r="L300" s="23"/>
    </row>
    <row r="301">
      <c r="J301" s="22"/>
      <c r="K301" s="22"/>
      <c r="L301" s="23"/>
    </row>
    <row r="302">
      <c r="J302" s="22"/>
      <c r="K302" s="22"/>
      <c r="L302" s="23"/>
    </row>
    <row r="303">
      <c r="J303" s="22"/>
      <c r="K303" s="22"/>
      <c r="L303" s="23"/>
    </row>
    <row r="304">
      <c r="J304" s="22"/>
      <c r="K304" s="22"/>
      <c r="L304" s="23"/>
    </row>
    <row r="305">
      <c r="J305" s="22"/>
      <c r="K305" s="22"/>
      <c r="L305" s="23"/>
    </row>
    <row r="306">
      <c r="J306" s="22"/>
      <c r="K306" s="22"/>
      <c r="L306" s="23"/>
    </row>
    <row r="307">
      <c r="J307" s="22"/>
      <c r="K307" s="22"/>
      <c r="L307" s="23"/>
    </row>
    <row r="308">
      <c r="J308" s="22"/>
      <c r="K308" s="22"/>
      <c r="L308" s="23"/>
    </row>
    <row r="309">
      <c r="J309" s="22"/>
      <c r="K309" s="22"/>
      <c r="L309" s="23"/>
    </row>
    <row r="310">
      <c r="J310" s="22"/>
      <c r="K310" s="22"/>
      <c r="L310" s="23"/>
    </row>
    <row r="311">
      <c r="J311" s="22"/>
      <c r="K311" s="22"/>
      <c r="L311" s="23"/>
    </row>
    <row r="312">
      <c r="J312" s="22"/>
      <c r="K312" s="22"/>
      <c r="L312" s="23"/>
    </row>
    <row r="313">
      <c r="J313" s="22"/>
      <c r="K313" s="22"/>
      <c r="L313" s="23"/>
    </row>
    <row r="314">
      <c r="J314" s="22"/>
      <c r="K314" s="22"/>
      <c r="L314" s="23"/>
    </row>
    <row r="315">
      <c r="J315" s="22"/>
      <c r="K315" s="22"/>
      <c r="L315" s="23"/>
    </row>
    <row r="316">
      <c r="J316" s="22"/>
      <c r="K316" s="22"/>
      <c r="L316" s="23"/>
    </row>
    <row r="317">
      <c r="J317" s="22"/>
      <c r="K317" s="22"/>
      <c r="L317" s="23"/>
    </row>
    <row r="318">
      <c r="J318" s="22"/>
      <c r="K318" s="22"/>
      <c r="L318" s="23"/>
    </row>
    <row r="319">
      <c r="J319" s="22"/>
      <c r="K319" s="22"/>
      <c r="L319" s="23"/>
    </row>
    <row r="320">
      <c r="J320" s="22"/>
      <c r="K320" s="22"/>
      <c r="L320" s="23"/>
    </row>
    <row r="321">
      <c r="J321" s="22"/>
      <c r="K321" s="22"/>
      <c r="L321" s="23"/>
    </row>
    <row r="322">
      <c r="J322" s="22"/>
      <c r="K322" s="22"/>
      <c r="L322" s="23"/>
    </row>
    <row r="323">
      <c r="J323" s="22"/>
      <c r="K323" s="22"/>
      <c r="L323" s="23"/>
    </row>
    <row r="324">
      <c r="J324" s="22"/>
      <c r="K324" s="22"/>
      <c r="L324" s="23"/>
    </row>
    <row r="325">
      <c r="J325" s="22"/>
      <c r="K325" s="22"/>
      <c r="L325" s="23"/>
    </row>
    <row r="326">
      <c r="J326" s="22"/>
      <c r="K326" s="22"/>
      <c r="L326" s="23"/>
    </row>
    <row r="327">
      <c r="J327" s="22"/>
      <c r="K327" s="22"/>
      <c r="L327" s="23"/>
    </row>
    <row r="328">
      <c r="J328" s="22"/>
      <c r="K328" s="22"/>
      <c r="L328" s="23"/>
    </row>
    <row r="329">
      <c r="J329" s="22"/>
      <c r="K329" s="22"/>
      <c r="L329" s="23"/>
    </row>
    <row r="330">
      <c r="J330" s="22"/>
      <c r="K330" s="22"/>
      <c r="L330" s="23"/>
    </row>
    <row r="331">
      <c r="J331" s="22"/>
      <c r="K331" s="22"/>
      <c r="L331" s="23"/>
    </row>
    <row r="332">
      <c r="J332" s="22"/>
      <c r="K332" s="22"/>
      <c r="L332" s="23"/>
    </row>
    <row r="333">
      <c r="J333" s="22"/>
      <c r="K333" s="22"/>
      <c r="L333" s="23"/>
    </row>
    <row r="334">
      <c r="J334" s="22"/>
      <c r="K334" s="22"/>
      <c r="L334" s="23"/>
    </row>
    <row r="335">
      <c r="J335" s="22"/>
      <c r="K335" s="22"/>
      <c r="L335" s="23"/>
    </row>
    <row r="336">
      <c r="J336" s="22"/>
      <c r="K336" s="22"/>
      <c r="L336" s="23"/>
    </row>
    <row r="337">
      <c r="J337" s="22"/>
      <c r="K337" s="22"/>
      <c r="L337" s="23"/>
    </row>
    <row r="338">
      <c r="J338" s="22"/>
      <c r="K338" s="22"/>
      <c r="L338" s="23"/>
    </row>
    <row r="339">
      <c r="J339" s="22"/>
      <c r="K339" s="22"/>
      <c r="L339" s="23"/>
    </row>
    <row r="340">
      <c r="J340" s="22"/>
      <c r="K340" s="22"/>
      <c r="L340" s="23"/>
    </row>
    <row r="341">
      <c r="J341" s="22"/>
      <c r="K341" s="22"/>
      <c r="L341" s="23"/>
    </row>
    <row r="342">
      <c r="J342" s="22"/>
      <c r="K342" s="22"/>
      <c r="L342" s="23"/>
    </row>
    <row r="343">
      <c r="J343" s="22"/>
      <c r="K343" s="22"/>
      <c r="L343" s="23"/>
    </row>
    <row r="344">
      <c r="J344" s="22"/>
      <c r="K344" s="22"/>
      <c r="L344" s="23"/>
    </row>
    <row r="345">
      <c r="J345" s="22"/>
      <c r="K345" s="22"/>
      <c r="L345" s="23"/>
    </row>
    <row r="346">
      <c r="J346" s="22"/>
      <c r="K346" s="22"/>
      <c r="L346" s="23"/>
    </row>
    <row r="347">
      <c r="J347" s="22"/>
      <c r="K347" s="22"/>
      <c r="L347" s="23"/>
    </row>
    <row r="348">
      <c r="J348" s="22"/>
      <c r="K348" s="22"/>
      <c r="L348" s="23"/>
    </row>
    <row r="349">
      <c r="J349" s="22"/>
      <c r="K349" s="22"/>
      <c r="L349" s="23"/>
    </row>
    <row r="350">
      <c r="J350" s="22"/>
      <c r="K350" s="22"/>
      <c r="L350" s="23"/>
    </row>
    <row r="351">
      <c r="J351" s="22"/>
      <c r="K351" s="22"/>
      <c r="L351" s="23"/>
    </row>
    <row r="352">
      <c r="J352" s="22"/>
      <c r="K352" s="22"/>
      <c r="L352" s="23"/>
    </row>
    <row r="353">
      <c r="J353" s="22"/>
      <c r="K353" s="22"/>
      <c r="L353" s="23"/>
    </row>
    <row r="354">
      <c r="J354" s="22"/>
      <c r="K354" s="22"/>
      <c r="L354" s="23"/>
    </row>
    <row r="355">
      <c r="J355" s="22"/>
      <c r="K355" s="22"/>
      <c r="L355" s="23"/>
    </row>
    <row r="356">
      <c r="J356" s="22"/>
      <c r="K356" s="22"/>
      <c r="L356" s="23"/>
    </row>
    <row r="357">
      <c r="J357" s="22"/>
      <c r="K357" s="22"/>
      <c r="L357" s="23"/>
    </row>
    <row r="358">
      <c r="J358" s="22"/>
      <c r="K358" s="22"/>
      <c r="L358" s="23"/>
    </row>
    <row r="359">
      <c r="J359" s="22"/>
      <c r="K359" s="22"/>
      <c r="L359" s="23"/>
    </row>
    <row r="360">
      <c r="J360" s="22"/>
      <c r="K360" s="22"/>
      <c r="L360" s="23"/>
    </row>
    <row r="361">
      <c r="J361" s="22"/>
      <c r="K361" s="22"/>
      <c r="L361" s="23"/>
    </row>
    <row r="362">
      <c r="J362" s="22"/>
      <c r="K362" s="22"/>
      <c r="L362" s="23"/>
    </row>
    <row r="363">
      <c r="J363" s="22"/>
      <c r="K363" s="22"/>
      <c r="L363" s="23"/>
    </row>
    <row r="364">
      <c r="J364" s="22"/>
      <c r="K364" s="22"/>
      <c r="L364" s="23"/>
    </row>
    <row r="365">
      <c r="J365" s="22"/>
      <c r="K365" s="22"/>
      <c r="L365" s="23"/>
    </row>
    <row r="366">
      <c r="J366" s="22"/>
      <c r="K366" s="22"/>
      <c r="L366" s="23"/>
    </row>
    <row r="367">
      <c r="J367" s="22"/>
      <c r="K367" s="22"/>
      <c r="L367" s="23"/>
    </row>
    <row r="368">
      <c r="J368" s="22"/>
      <c r="K368" s="22"/>
      <c r="L368" s="23"/>
    </row>
    <row r="369">
      <c r="J369" s="22"/>
      <c r="K369" s="22"/>
      <c r="L369" s="23"/>
    </row>
    <row r="370">
      <c r="J370" s="22"/>
      <c r="K370" s="22"/>
      <c r="L370" s="23"/>
    </row>
    <row r="371">
      <c r="J371" s="22"/>
      <c r="K371" s="22"/>
      <c r="L371" s="23"/>
    </row>
    <row r="372">
      <c r="J372" s="22"/>
      <c r="K372" s="22"/>
      <c r="L372" s="23"/>
    </row>
    <row r="373">
      <c r="J373" s="22"/>
      <c r="K373" s="22"/>
      <c r="L373" s="23"/>
    </row>
    <row r="374">
      <c r="J374" s="22"/>
      <c r="K374" s="22"/>
      <c r="L374" s="23"/>
    </row>
    <row r="375">
      <c r="J375" s="22"/>
      <c r="K375" s="22"/>
      <c r="L375" s="23"/>
    </row>
    <row r="376">
      <c r="J376" s="22"/>
      <c r="K376" s="22"/>
      <c r="L376" s="23"/>
    </row>
    <row r="377">
      <c r="J377" s="22"/>
      <c r="K377" s="22"/>
      <c r="L377" s="23"/>
    </row>
    <row r="378">
      <c r="J378" s="22"/>
      <c r="K378" s="22"/>
      <c r="L378" s="23"/>
    </row>
    <row r="379">
      <c r="J379" s="22"/>
      <c r="K379" s="22"/>
      <c r="L379" s="23"/>
    </row>
    <row r="380">
      <c r="J380" s="22"/>
      <c r="K380" s="22"/>
      <c r="L380" s="23"/>
    </row>
    <row r="381">
      <c r="J381" s="22"/>
      <c r="K381" s="22"/>
      <c r="L381" s="23"/>
    </row>
    <row r="382">
      <c r="J382" s="22"/>
      <c r="K382" s="22"/>
      <c r="L382" s="23"/>
    </row>
    <row r="383">
      <c r="J383" s="22"/>
      <c r="K383" s="22"/>
      <c r="L383" s="23"/>
    </row>
    <row r="384">
      <c r="J384" s="22"/>
      <c r="K384" s="22"/>
      <c r="L384" s="23"/>
    </row>
    <row r="385">
      <c r="J385" s="22"/>
      <c r="K385" s="22"/>
      <c r="L385" s="23"/>
    </row>
    <row r="386">
      <c r="J386" s="22"/>
      <c r="K386" s="22"/>
      <c r="L386" s="23"/>
    </row>
    <row r="387">
      <c r="J387" s="22"/>
      <c r="K387" s="22"/>
      <c r="L387" s="23"/>
    </row>
    <row r="388">
      <c r="J388" s="22"/>
      <c r="K388" s="22"/>
      <c r="L388" s="23"/>
    </row>
    <row r="389">
      <c r="J389" s="22"/>
      <c r="K389" s="22"/>
      <c r="L389" s="23"/>
    </row>
    <row r="390">
      <c r="J390" s="22"/>
      <c r="K390" s="22"/>
      <c r="L390" s="23"/>
    </row>
    <row r="391">
      <c r="J391" s="22"/>
      <c r="K391" s="22"/>
      <c r="L391" s="23"/>
    </row>
    <row r="392">
      <c r="J392" s="22"/>
      <c r="K392" s="22"/>
      <c r="L392" s="23"/>
    </row>
    <row r="393">
      <c r="J393" s="22"/>
      <c r="K393" s="22"/>
      <c r="L393" s="23"/>
    </row>
    <row r="394">
      <c r="J394" s="22"/>
      <c r="K394" s="22"/>
      <c r="L394" s="23"/>
    </row>
    <row r="395">
      <c r="J395" s="22"/>
      <c r="K395" s="22"/>
      <c r="L395" s="23"/>
    </row>
    <row r="396">
      <c r="J396" s="22"/>
      <c r="K396" s="22"/>
      <c r="L396" s="23"/>
    </row>
    <row r="397">
      <c r="J397" s="22"/>
      <c r="K397" s="22"/>
      <c r="L397" s="23"/>
    </row>
    <row r="398">
      <c r="J398" s="22"/>
      <c r="K398" s="22"/>
      <c r="L398" s="23"/>
    </row>
    <row r="399">
      <c r="J399" s="22"/>
      <c r="K399" s="22"/>
      <c r="L399" s="23"/>
    </row>
    <row r="400">
      <c r="J400" s="22"/>
      <c r="K400" s="22"/>
      <c r="L400" s="23"/>
    </row>
    <row r="401">
      <c r="J401" s="22"/>
      <c r="K401" s="22"/>
      <c r="L401" s="23"/>
    </row>
    <row r="402">
      <c r="J402" s="22"/>
      <c r="K402" s="22"/>
      <c r="L402" s="23"/>
    </row>
    <row r="403">
      <c r="J403" s="22"/>
      <c r="K403" s="22"/>
      <c r="L403" s="23"/>
    </row>
    <row r="404">
      <c r="J404" s="22"/>
      <c r="K404" s="22"/>
      <c r="L404" s="23"/>
    </row>
    <row r="405">
      <c r="J405" s="22"/>
      <c r="K405" s="22"/>
      <c r="L405" s="23"/>
    </row>
    <row r="406">
      <c r="J406" s="22"/>
      <c r="K406" s="22"/>
      <c r="L406" s="23"/>
    </row>
    <row r="407">
      <c r="J407" s="22"/>
      <c r="K407" s="22"/>
      <c r="L407" s="23"/>
    </row>
    <row r="408">
      <c r="J408" s="22"/>
      <c r="K408" s="22"/>
      <c r="L408" s="23"/>
    </row>
    <row r="409">
      <c r="J409" s="22"/>
      <c r="K409" s="22"/>
      <c r="L409" s="23"/>
    </row>
    <row r="410">
      <c r="J410" s="22"/>
      <c r="K410" s="22"/>
      <c r="L410" s="23"/>
    </row>
    <row r="411">
      <c r="J411" s="22"/>
      <c r="K411" s="22"/>
      <c r="L411" s="23"/>
    </row>
    <row r="412">
      <c r="J412" s="22"/>
      <c r="K412" s="22"/>
      <c r="L412" s="23"/>
    </row>
    <row r="413">
      <c r="J413" s="22"/>
      <c r="K413" s="22"/>
      <c r="L413" s="23"/>
    </row>
    <row r="414">
      <c r="J414" s="22"/>
      <c r="K414" s="22"/>
      <c r="L414" s="23"/>
    </row>
    <row r="415">
      <c r="J415" s="22"/>
      <c r="K415" s="22"/>
      <c r="L415" s="23"/>
    </row>
    <row r="416">
      <c r="J416" s="22"/>
      <c r="K416" s="22"/>
      <c r="L416" s="23"/>
    </row>
    <row r="417">
      <c r="J417" s="22"/>
      <c r="K417" s="22"/>
      <c r="L417" s="23"/>
    </row>
    <row r="418">
      <c r="J418" s="22"/>
      <c r="K418" s="22"/>
      <c r="L418" s="23"/>
    </row>
    <row r="419">
      <c r="J419" s="22"/>
      <c r="K419" s="22"/>
      <c r="L419" s="23"/>
    </row>
    <row r="420">
      <c r="J420" s="22"/>
      <c r="K420" s="22"/>
      <c r="L420" s="23"/>
    </row>
    <row r="421">
      <c r="J421" s="22"/>
      <c r="K421" s="22"/>
      <c r="L421" s="23"/>
    </row>
    <row r="422">
      <c r="J422" s="22"/>
      <c r="K422" s="22"/>
      <c r="L422" s="23"/>
    </row>
    <row r="423">
      <c r="J423" s="22"/>
      <c r="K423" s="22"/>
      <c r="L423" s="23"/>
    </row>
    <row r="424">
      <c r="J424" s="22"/>
      <c r="K424" s="22"/>
      <c r="L424" s="23"/>
    </row>
    <row r="425">
      <c r="J425" s="22"/>
      <c r="K425" s="22"/>
      <c r="L425" s="23"/>
    </row>
    <row r="426">
      <c r="J426" s="22"/>
      <c r="K426" s="22"/>
      <c r="L426" s="23"/>
    </row>
    <row r="427">
      <c r="J427" s="22"/>
      <c r="K427" s="22"/>
      <c r="L427" s="23"/>
    </row>
    <row r="428">
      <c r="J428" s="22"/>
      <c r="K428" s="22"/>
      <c r="L428" s="23"/>
    </row>
    <row r="429">
      <c r="J429" s="22"/>
      <c r="K429" s="22"/>
      <c r="L429" s="23"/>
    </row>
    <row r="430">
      <c r="J430" s="22"/>
      <c r="K430" s="22"/>
      <c r="L430" s="23"/>
    </row>
    <row r="431">
      <c r="J431" s="22"/>
      <c r="K431" s="22"/>
      <c r="L431" s="23"/>
    </row>
    <row r="432">
      <c r="J432" s="22"/>
      <c r="K432" s="22"/>
      <c r="L432" s="23"/>
    </row>
    <row r="433">
      <c r="J433" s="22"/>
      <c r="K433" s="22"/>
      <c r="L433" s="23"/>
    </row>
    <row r="434">
      <c r="J434" s="22"/>
      <c r="K434" s="22"/>
      <c r="L434" s="23"/>
    </row>
    <row r="435">
      <c r="J435" s="22"/>
      <c r="K435" s="22"/>
      <c r="L435" s="23"/>
    </row>
    <row r="436">
      <c r="J436" s="22"/>
      <c r="K436" s="22"/>
      <c r="L436" s="23"/>
    </row>
    <row r="437">
      <c r="J437" s="22"/>
      <c r="K437" s="22"/>
      <c r="L437" s="23"/>
    </row>
    <row r="438">
      <c r="J438" s="22"/>
      <c r="K438" s="22"/>
      <c r="L438" s="23"/>
    </row>
    <row r="439">
      <c r="J439" s="22"/>
      <c r="K439" s="22"/>
      <c r="L439" s="23"/>
    </row>
    <row r="440">
      <c r="J440" s="22"/>
      <c r="K440" s="22"/>
      <c r="L440" s="23"/>
    </row>
    <row r="441">
      <c r="J441" s="22"/>
      <c r="K441" s="22"/>
      <c r="L441" s="23"/>
    </row>
    <row r="442">
      <c r="J442" s="22"/>
      <c r="K442" s="22"/>
      <c r="L442" s="23"/>
    </row>
    <row r="443">
      <c r="J443" s="22"/>
      <c r="K443" s="22"/>
      <c r="L443" s="23"/>
    </row>
    <row r="444">
      <c r="J444" s="22"/>
      <c r="K444" s="22"/>
      <c r="L444" s="23"/>
    </row>
    <row r="445">
      <c r="J445" s="22"/>
      <c r="K445" s="22"/>
      <c r="L445" s="23"/>
    </row>
    <row r="446">
      <c r="J446" s="22"/>
      <c r="K446" s="22"/>
      <c r="L446" s="23"/>
    </row>
    <row r="447">
      <c r="J447" s="22"/>
      <c r="K447" s="22"/>
      <c r="L447" s="23"/>
    </row>
    <row r="448">
      <c r="J448" s="22"/>
      <c r="K448" s="22"/>
      <c r="L448" s="23"/>
    </row>
    <row r="449">
      <c r="J449" s="22"/>
      <c r="K449" s="22"/>
      <c r="L449" s="23"/>
    </row>
    <row r="450">
      <c r="J450" s="22"/>
      <c r="K450" s="22"/>
      <c r="L450" s="23"/>
    </row>
    <row r="451">
      <c r="J451" s="22"/>
      <c r="K451" s="22"/>
      <c r="L451" s="23"/>
    </row>
    <row r="452">
      <c r="J452" s="22"/>
      <c r="K452" s="22"/>
      <c r="L452" s="23"/>
    </row>
    <row r="453">
      <c r="J453" s="22"/>
      <c r="K453" s="22"/>
      <c r="L453" s="23"/>
    </row>
    <row r="454">
      <c r="J454" s="22"/>
      <c r="K454" s="22"/>
      <c r="L454" s="23"/>
    </row>
    <row r="455">
      <c r="J455" s="22"/>
      <c r="K455" s="22"/>
      <c r="L455" s="23"/>
    </row>
    <row r="456">
      <c r="J456" s="22"/>
      <c r="K456" s="22"/>
      <c r="L456" s="23"/>
    </row>
    <row r="457">
      <c r="J457" s="22"/>
      <c r="K457" s="22"/>
      <c r="L457" s="23"/>
    </row>
    <row r="458">
      <c r="J458" s="22"/>
      <c r="K458" s="22"/>
      <c r="L458" s="23"/>
    </row>
    <row r="459">
      <c r="J459" s="22"/>
      <c r="K459" s="22"/>
      <c r="L459" s="23"/>
    </row>
    <row r="460">
      <c r="J460" s="22"/>
      <c r="K460" s="22"/>
      <c r="L460" s="23"/>
    </row>
    <row r="461">
      <c r="J461" s="22"/>
      <c r="K461" s="22"/>
      <c r="L461" s="23"/>
    </row>
    <row r="462">
      <c r="J462" s="22"/>
      <c r="K462" s="22"/>
      <c r="L462" s="23"/>
    </row>
    <row r="463">
      <c r="J463" s="22"/>
      <c r="K463" s="22"/>
      <c r="L463" s="23"/>
    </row>
    <row r="464">
      <c r="J464" s="22"/>
      <c r="K464" s="22"/>
      <c r="L464" s="23"/>
    </row>
    <row r="465">
      <c r="J465" s="22"/>
      <c r="K465" s="22"/>
      <c r="L465" s="23"/>
    </row>
    <row r="466">
      <c r="J466" s="22"/>
      <c r="K466" s="22"/>
      <c r="L466" s="23"/>
    </row>
    <row r="467">
      <c r="J467" s="22"/>
      <c r="K467" s="22"/>
      <c r="L467" s="23"/>
    </row>
    <row r="468">
      <c r="J468" s="22"/>
      <c r="K468" s="22"/>
      <c r="L468" s="23"/>
    </row>
    <row r="469">
      <c r="J469" s="22"/>
      <c r="K469" s="22"/>
      <c r="L469" s="23"/>
    </row>
    <row r="470">
      <c r="J470" s="22"/>
      <c r="K470" s="22"/>
      <c r="L470" s="23"/>
    </row>
    <row r="471">
      <c r="J471" s="22"/>
      <c r="K471" s="22"/>
      <c r="L471" s="23"/>
    </row>
    <row r="472">
      <c r="J472" s="22"/>
      <c r="K472" s="22"/>
      <c r="L472" s="23"/>
    </row>
    <row r="473">
      <c r="J473" s="22"/>
      <c r="K473" s="22"/>
      <c r="L473" s="23"/>
    </row>
    <row r="474">
      <c r="J474" s="22"/>
      <c r="K474" s="22"/>
      <c r="L474" s="23"/>
    </row>
    <row r="475">
      <c r="J475" s="22"/>
      <c r="K475" s="22"/>
      <c r="L475" s="23"/>
    </row>
    <row r="476">
      <c r="J476" s="22"/>
      <c r="K476" s="22"/>
      <c r="L476" s="23"/>
    </row>
    <row r="477">
      <c r="J477" s="22"/>
      <c r="K477" s="22"/>
      <c r="L477" s="23"/>
    </row>
    <row r="478">
      <c r="J478" s="22"/>
      <c r="K478" s="22"/>
      <c r="L478" s="23"/>
    </row>
    <row r="479">
      <c r="J479" s="22"/>
      <c r="K479" s="22"/>
      <c r="L479" s="23"/>
    </row>
    <row r="480">
      <c r="J480" s="22"/>
      <c r="K480" s="22"/>
      <c r="L480" s="23"/>
    </row>
    <row r="481">
      <c r="J481" s="22"/>
      <c r="K481" s="22"/>
      <c r="L481" s="23"/>
    </row>
    <row r="482">
      <c r="J482" s="22"/>
      <c r="K482" s="22"/>
      <c r="L482" s="23"/>
    </row>
    <row r="483">
      <c r="J483" s="22"/>
      <c r="K483" s="22"/>
      <c r="L483" s="23"/>
    </row>
    <row r="484">
      <c r="J484" s="22"/>
      <c r="K484" s="22"/>
      <c r="L484" s="23"/>
    </row>
    <row r="485">
      <c r="J485" s="22"/>
      <c r="K485" s="22"/>
      <c r="L485" s="23"/>
    </row>
    <row r="486">
      <c r="J486" s="22"/>
      <c r="K486" s="22"/>
      <c r="L486" s="23"/>
    </row>
    <row r="487">
      <c r="J487" s="22"/>
      <c r="K487" s="22"/>
      <c r="L487" s="23"/>
    </row>
    <row r="488">
      <c r="J488" s="22"/>
      <c r="K488" s="22"/>
      <c r="L488" s="23"/>
    </row>
    <row r="489">
      <c r="J489" s="22"/>
      <c r="K489" s="22"/>
      <c r="L489" s="23"/>
    </row>
    <row r="490">
      <c r="J490" s="22"/>
      <c r="K490" s="22"/>
      <c r="L490" s="23"/>
    </row>
    <row r="491">
      <c r="J491" s="22"/>
      <c r="K491" s="22"/>
      <c r="L491" s="23"/>
    </row>
    <row r="492">
      <c r="J492" s="22"/>
      <c r="K492" s="22"/>
      <c r="L492" s="23"/>
    </row>
    <row r="493">
      <c r="J493" s="22"/>
      <c r="K493" s="22"/>
      <c r="L493" s="23"/>
    </row>
    <row r="494">
      <c r="J494" s="22"/>
      <c r="K494" s="22"/>
      <c r="L494" s="23"/>
    </row>
    <row r="495">
      <c r="J495" s="22"/>
      <c r="K495" s="22"/>
      <c r="L495" s="23"/>
    </row>
    <row r="496">
      <c r="J496" s="22"/>
      <c r="K496" s="22"/>
      <c r="L496" s="23"/>
    </row>
    <row r="497">
      <c r="J497" s="22"/>
      <c r="K497" s="22"/>
      <c r="L497" s="23"/>
    </row>
    <row r="498">
      <c r="J498" s="22"/>
      <c r="K498" s="22"/>
      <c r="L498" s="23"/>
    </row>
    <row r="499">
      <c r="J499" s="22"/>
      <c r="K499" s="22"/>
      <c r="L499" s="23"/>
    </row>
    <row r="500">
      <c r="J500" s="22"/>
      <c r="K500" s="22"/>
      <c r="L500" s="23"/>
    </row>
    <row r="501">
      <c r="J501" s="22"/>
      <c r="K501" s="22"/>
      <c r="L501" s="23"/>
    </row>
    <row r="502">
      <c r="J502" s="22"/>
      <c r="K502" s="22"/>
      <c r="L502" s="23"/>
    </row>
    <row r="503">
      <c r="J503" s="22"/>
      <c r="K503" s="22"/>
      <c r="L503" s="23"/>
    </row>
    <row r="504">
      <c r="J504" s="22"/>
      <c r="K504" s="22"/>
      <c r="L504" s="23"/>
    </row>
    <row r="505">
      <c r="J505" s="22"/>
      <c r="K505" s="22"/>
      <c r="L505" s="23"/>
    </row>
    <row r="506">
      <c r="J506" s="22"/>
      <c r="K506" s="22"/>
      <c r="L506" s="23"/>
    </row>
    <row r="507">
      <c r="J507" s="22"/>
      <c r="K507" s="22"/>
      <c r="L507" s="23"/>
    </row>
    <row r="508">
      <c r="J508" s="22"/>
      <c r="K508" s="22"/>
      <c r="L508" s="23"/>
    </row>
    <row r="509">
      <c r="J509" s="22"/>
      <c r="K509" s="22"/>
      <c r="L509" s="23"/>
    </row>
    <row r="510">
      <c r="J510" s="22"/>
      <c r="K510" s="22"/>
      <c r="L510" s="23"/>
    </row>
    <row r="511">
      <c r="J511" s="22"/>
      <c r="K511" s="22"/>
      <c r="L511" s="23"/>
    </row>
    <row r="512">
      <c r="J512" s="22"/>
      <c r="K512" s="22"/>
      <c r="L512" s="23"/>
    </row>
    <row r="513">
      <c r="J513" s="22"/>
      <c r="K513" s="22"/>
      <c r="L513" s="23"/>
    </row>
    <row r="514">
      <c r="J514" s="22"/>
      <c r="K514" s="22"/>
      <c r="L514" s="23"/>
    </row>
    <row r="515">
      <c r="J515" s="22"/>
      <c r="K515" s="22"/>
      <c r="L515" s="23"/>
    </row>
    <row r="516">
      <c r="J516" s="22"/>
      <c r="K516" s="22"/>
      <c r="L516" s="23"/>
    </row>
    <row r="517">
      <c r="J517" s="22"/>
      <c r="K517" s="22"/>
      <c r="L517" s="23"/>
    </row>
    <row r="518">
      <c r="J518" s="22"/>
      <c r="K518" s="22"/>
      <c r="L518" s="23"/>
    </row>
    <row r="519">
      <c r="J519" s="22"/>
      <c r="K519" s="22"/>
      <c r="L519" s="23"/>
    </row>
    <row r="520">
      <c r="J520" s="22"/>
      <c r="K520" s="22"/>
      <c r="L520" s="23"/>
    </row>
    <row r="521">
      <c r="J521" s="22"/>
      <c r="K521" s="22"/>
      <c r="L521" s="23"/>
    </row>
    <row r="522">
      <c r="J522" s="22"/>
      <c r="K522" s="22"/>
      <c r="L522" s="23"/>
    </row>
    <row r="523">
      <c r="J523" s="22"/>
      <c r="K523" s="22"/>
      <c r="L523" s="23"/>
    </row>
    <row r="524">
      <c r="J524" s="22"/>
      <c r="K524" s="22"/>
      <c r="L524" s="23"/>
    </row>
    <row r="525">
      <c r="J525" s="22"/>
      <c r="K525" s="22"/>
      <c r="L525" s="23"/>
    </row>
    <row r="526">
      <c r="J526" s="22"/>
      <c r="K526" s="22"/>
      <c r="L526" s="23"/>
    </row>
    <row r="527">
      <c r="J527" s="22"/>
      <c r="K527" s="22"/>
      <c r="L527" s="23"/>
    </row>
    <row r="528">
      <c r="J528" s="22"/>
      <c r="K528" s="22"/>
      <c r="L528" s="23"/>
    </row>
    <row r="529">
      <c r="J529" s="22"/>
      <c r="K529" s="22"/>
      <c r="L529" s="23"/>
    </row>
    <row r="530">
      <c r="J530" s="22"/>
      <c r="K530" s="22"/>
      <c r="L530" s="23"/>
    </row>
    <row r="531">
      <c r="J531" s="22"/>
      <c r="K531" s="22"/>
      <c r="L531" s="23"/>
    </row>
    <row r="532">
      <c r="J532" s="22"/>
      <c r="K532" s="22"/>
      <c r="L532" s="23"/>
    </row>
    <row r="533">
      <c r="J533" s="22"/>
      <c r="K533" s="22"/>
      <c r="L533" s="23"/>
    </row>
    <row r="534">
      <c r="J534" s="22"/>
      <c r="K534" s="22"/>
      <c r="L534" s="23"/>
    </row>
    <row r="535">
      <c r="J535" s="22"/>
      <c r="K535" s="22"/>
      <c r="L535" s="23"/>
    </row>
    <row r="536">
      <c r="J536" s="22"/>
      <c r="K536" s="22"/>
      <c r="L536" s="23"/>
    </row>
    <row r="537">
      <c r="J537" s="22"/>
      <c r="K537" s="22"/>
      <c r="L537" s="23"/>
    </row>
    <row r="538">
      <c r="J538" s="22"/>
      <c r="K538" s="22"/>
      <c r="L538" s="23"/>
    </row>
    <row r="539">
      <c r="J539" s="22"/>
      <c r="K539" s="22"/>
      <c r="L539" s="23"/>
    </row>
    <row r="540">
      <c r="J540" s="22"/>
      <c r="K540" s="22"/>
      <c r="L540" s="23"/>
    </row>
    <row r="541">
      <c r="J541" s="22"/>
      <c r="K541" s="22"/>
      <c r="L541" s="23"/>
    </row>
    <row r="542">
      <c r="J542" s="22"/>
      <c r="K542" s="22"/>
      <c r="L542" s="23"/>
    </row>
    <row r="543">
      <c r="J543" s="22"/>
      <c r="K543" s="22"/>
      <c r="L543" s="23"/>
    </row>
    <row r="544">
      <c r="J544" s="22"/>
      <c r="K544" s="22"/>
      <c r="L544" s="23"/>
    </row>
    <row r="545">
      <c r="J545" s="22"/>
      <c r="K545" s="22"/>
      <c r="L545" s="23"/>
    </row>
    <row r="546">
      <c r="J546" s="22"/>
      <c r="K546" s="22"/>
      <c r="L546" s="23"/>
    </row>
    <row r="547">
      <c r="J547" s="22"/>
      <c r="K547" s="22"/>
      <c r="L547" s="23"/>
    </row>
    <row r="548">
      <c r="J548" s="22"/>
      <c r="K548" s="22"/>
      <c r="L548" s="23"/>
    </row>
    <row r="549">
      <c r="J549" s="22"/>
      <c r="K549" s="22"/>
      <c r="L549" s="23"/>
    </row>
    <row r="550">
      <c r="J550" s="22"/>
      <c r="K550" s="22"/>
      <c r="L550" s="23"/>
    </row>
    <row r="551">
      <c r="J551" s="22"/>
      <c r="K551" s="22"/>
      <c r="L551" s="23"/>
    </row>
    <row r="552">
      <c r="J552" s="22"/>
      <c r="K552" s="22"/>
      <c r="L552" s="23"/>
    </row>
    <row r="553">
      <c r="J553" s="22"/>
      <c r="K553" s="22"/>
      <c r="L553" s="23"/>
    </row>
    <row r="554">
      <c r="J554" s="22"/>
      <c r="K554" s="22"/>
      <c r="L554" s="23"/>
    </row>
    <row r="555">
      <c r="J555" s="22"/>
      <c r="K555" s="22"/>
      <c r="L555" s="23"/>
    </row>
    <row r="556">
      <c r="J556" s="22"/>
      <c r="K556" s="22"/>
      <c r="L556" s="23"/>
    </row>
    <row r="557">
      <c r="J557" s="22"/>
      <c r="K557" s="22"/>
      <c r="L557" s="23"/>
    </row>
    <row r="558">
      <c r="J558" s="22"/>
      <c r="K558" s="22"/>
      <c r="L558" s="23"/>
    </row>
    <row r="559">
      <c r="J559" s="22"/>
      <c r="K559" s="22"/>
      <c r="L559" s="23"/>
    </row>
    <row r="560">
      <c r="J560" s="22"/>
      <c r="K560" s="22"/>
      <c r="L560" s="23"/>
    </row>
    <row r="561">
      <c r="J561" s="22"/>
      <c r="K561" s="22"/>
      <c r="L561" s="23"/>
    </row>
    <row r="562">
      <c r="J562" s="22"/>
      <c r="K562" s="22"/>
      <c r="L562" s="23"/>
    </row>
    <row r="563">
      <c r="J563" s="22"/>
      <c r="K563" s="22"/>
      <c r="L563" s="23"/>
    </row>
    <row r="564">
      <c r="J564" s="22"/>
      <c r="K564" s="22"/>
      <c r="L564" s="23"/>
    </row>
    <row r="565">
      <c r="J565" s="22"/>
      <c r="K565" s="22"/>
      <c r="L565" s="23"/>
    </row>
    <row r="566">
      <c r="J566" s="22"/>
      <c r="K566" s="22"/>
      <c r="L566" s="23"/>
    </row>
    <row r="567">
      <c r="J567" s="22"/>
      <c r="K567" s="22"/>
      <c r="L567" s="23"/>
    </row>
    <row r="568">
      <c r="J568" s="22"/>
      <c r="K568" s="22"/>
      <c r="L568" s="23"/>
    </row>
    <row r="569">
      <c r="J569" s="22"/>
      <c r="K569" s="22"/>
      <c r="L569" s="23"/>
    </row>
    <row r="570">
      <c r="J570" s="22"/>
      <c r="K570" s="22"/>
      <c r="L570" s="23"/>
    </row>
    <row r="571">
      <c r="J571" s="22"/>
      <c r="K571" s="22"/>
      <c r="L571" s="23"/>
    </row>
    <row r="572">
      <c r="J572" s="22"/>
      <c r="K572" s="22"/>
      <c r="L572" s="23"/>
    </row>
    <row r="573">
      <c r="J573" s="22"/>
      <c r="K573" s="22"/>
      <c r="L573" s="23"/>
    </row>
    <row r="574">
      <c r="J574" s="22"/>
      <c r="K574" s="22"/>
      <c r="L574" s="23"/>
    </row>
    <row r="575">
      <c r="J575" s="22"/>
      <c r="K575" s="22"/>
      <c r="L575" s="23"/>
    </row>
    <row r="576">
      <c r="J576" s="22"/>
      <c r="K576" s="22"/>
      <c r="L576" s="23"/>
    </row>
    <row r="577">
      <c r="J577" s="22"/>
      <c r="K577" s="22"/>
      <c r="L577" s="23"/>
    </row>
    <row r="578">
      <c r="J578" s="22"/>
      <c r="K578" s="22"/>
      <c r="L578" s="23"/>
    </row>
    <row r="579">
      <c r="J579" s="22"/>
      <c r="K579" s="22"/>
      <c r="L579" s="23"/>
    </row>
    <row r="580">
      <c r="J580" s="22"/>
      <c r="K580" s="22"/>
      <c r="L580" s="23"/>
    </row>
    <row r="581">
      <c r="J581" s="22"/>
      <c r="K581" s="22"/>
      <c r="L581" s="23"/>
    </row>
    <row r="582">
      <c r="J582" s="22"/>
      <c r="K582" s="22"/>
      <c r="L582" s="23"/>
    </row>
    <row r="583">
      <c r="J583" s="22"/>
      <c r="K583" s="22"/>
      <c r="L583" s="23"/>
    </row>
    <row r="584">
      <c r="J584" s="22"/>
      <c r="K584" s="22"/>
      <c r="L584" s="23"/>
    </row>
    <row r="585">
      <c r="J585" s="22"/>
      <c r="K585" s="22"/>
      <c r="L585" s="23"/>
    </row>
    <row r="586">
      <c r="J586" s="22"/>
      <c r="K586" s="22"/>
      <c r="L586" s="23"/>
    </row>
    <row r="587">
      <c r="J587" s="22"/>
      <c r="K587" s="22"/>
      <c r="L587" s="23"/>
    </row>
    <row r="588">
      <c r="J588" s="22"/>
      <c r="K588" s="22"/>
      <c r="L588" s="23"/>
    </row>
    <row r="589">
      <c r="J589" s="22"/>
      <c r="K589" s="22"/>
      <c r="L589" s="23"/>
    </row>
    <row r="590">
      <c r="J590" s="22"/>
      <c r="K590" s="22"/>
      <c r="L590" s="23"/>
    </row>
    <row r="591">
      <c r="J591" s="22"/>
      <c r="K591" s="22"/>
      <c r="L591" s="23"/>
    </row>
    <row r="592">
      <c r="J592" s="22"/>
      <c r="K592" s="22"/>
      <c r="L592" s="23"/>
    </row>
    <row r="593">
      <c r="J593" s="22"/>
      <c r="K593" s="22"/>
      <c r="L593" s="23"/>
    </row>
    <row r="594">
      <c r="J594" s="22"/>
      <c r="K594" s="22"/>
      <c r="L594" s="23"/>
    </row>
    <row r="595">
      <c r="J595" s="22"/>
      <c r="K595" s="22"/>
      <c r="L595" s="23"/>
    </row>
    <row r="596">
      <c r="J596" s="22"/>
      <c r="K596" s="22"/>
      <c r="L596" s="23"/>
    </row>
    <row r="597">
      <c r="J597" s="22"/>
      <c r="K597" s="22"/>
      <c r="L597" s="23"/>
    </row>
    <row r="598">
      <c r="J598" s="22"/>
      <c r="K598" s="22"/>
      <c r="L598" s="23"/>
    </row>
    <row r="599">
      <c r="J599" s="22"/>
      <c r="K599" s="22"/>
      <c r="L599" s="23"/>
    </row>
    <row r="600">
      <c r="J600" s="22"/>
      <c r="K600" s="22"/>
      <c r="L600" s="23"/>
    </row>
    <row r="601">
      <c r="J601" s="22"/>
      <c r="K601" s="22"/>
      <c r="L601" s="23"/>
    </row>
    <row r="602">
      <c r="J602" s="22"/>
      <c r="K602" s="22"/>
      <c r="L602" s="23"/>
    </row>
    <row r="603">
      <c r="J603" s="22"/>
      <c r="K603" s="22"/>
      <c r="L603" s="23"/>
    </row>
    <row r="604">
      <c r="J604" s="22"/>
      <c r="K604" s="22"/>
      <c r="L604" s="23"/>
    </row>
    <row r="605">
      <c r="J605" s="22"/>
      <c r="K605" s="22"/>
      <c r="L605" s="23"/>
    </row>
    <row r="606">
      <c r="J606" s="22"/>
      <c r="K606" s="22"/>
      <c r="L606" s="23"/>
    </row>
    <row r="607">
      <c r="J607" s="22"/>
      <c r="K607" s="22"/>
      <c r="L607" s="23"/>
    </row>
    <row r="608">
      <c r="J608" s="22"/>
      <c r="K608" s="22"/>
      <c r="L608" s="23"/>
    </row>
    <row r="609">
      <c r="J609" s="22"/>
      <c r="K609" s="22"/>
      <c r="L609" s="23"/>
    </row>
    <row r="610">
      <c r="J610" s="22"/>
      <c r="K610" s="22"/>
      <c r="L610" s="23"/>
    </row>
    <row r="611">
      <c r="J611" s="22"/>
      <c r="K611" s="22"/>
      <c r="L611" s="23"/>
    </row>
    <row r="612">
      <c r="J612" s="22"/>
      <c r="K612" s="22"/>
      <c r="L612" s="23"/>
    </row>
    <row r="613">
      <c r="J613" s="22"/>
      <c r="K613" s="22"/>
      <c r="L613" s="23"/>
    </row>
    <row r="614">
      <c r="J614" s="22"/>
      <c r="K614" s="22"/>
      <c r="L614" s="23"/>
    </row>
    <row r="615">
      <c r="J615" s="22"/>
      <c r="K615" s="22"/>
      <c r="L615" s="23"/>
    </row>
    <row r="616">
      <c r="J616" s="22"/>
      <c r="K616" s="22"/>
      <c r="L616" s="23"/>
    </row>
    <row r="617">
      <c r="J617" s="22"/>
      <c r="K617" s="22"/>
      <c r="L617" s="23"/>
    </row>
    <row r="618">
      <c r="J618" s="22"/>
      <c r="K618" s="22"/>
      <c r="L618" s="23"/>
    </row>
    <row r="619">
      <c r="J619" s="22"/>
      <c r="K619" s="22"/>
      <c r="L619" s="23"/>
    </row>
    <row r="620">
      <c r="J620" s="22"/>
      <c r="K620" s="22"/>
      <c r="L620" s="23"/>
    </row>
    <row r="621">
      <c r="J621" s="22"/>
      <c r="K621" s="22"/>
      <c r="L621" s="23"/>
    </row>
    <row r="622">
      <c r="J622" s="22"/>
      <c r="K622" s="22"/>
      <c r="L622" s="23"/>
    </row>
    <row r="623">
      <c r="J623" s="22"/>
      <c r="K623" s="22"/>
      <c r="L623" s="23"/>
    </row>
    <row r="624">
      <c r="J624" s="22"/>
      <c r="K624" s="22"/>
      <c r="L624" s="23"/>
    </row>
    <row r="625">
      <c r="J625" s="22"/>
      <c r="K625" s="22"/>
      <c r="L625" s="23"/>
    </row>
    <row r="626">
      <c r="J626" s="22"/>
      <c r="K626" s="22"/>
      <c r="L626" s="23"/>
    </row>
    <row r="627">
      <c r="J627" s="22"/>
      <c r="K627" s="22"/>
      <c r="L627" s="23"/>
    </row>
    <row r="628">
      <c r="J628" s="22"/>
      <c r="K628" s="22"/>
      <c r="L628" s="23"/>
    </row>
    <row r="629">
      <c r="J629" s="22"/>
      <c r="K629" s="22"/>
      <c r="L629" s="23"/>
    </row>
    <row r="630">
      <c r="J630" s="22"/>
      <c r="K630" s="22"/>
      <c r="L630" s="23"/>
    </row>
    <row r="631">
      <c r="J631" s="22"/>
      <c r="K631" s="22"/>
      <c r="L631" s="23"/>
    </row>
    <row r="632">
      <c r="J632" s="22"/>
      <c r="K632" s="22"/>
      <c r="L632" s="23"/>
    </row>
    <row r="633">
      <c r="J633" s="22"/>
      <c r="K633" s="22"/>
      <c r="L633" s="23"/>
    </row>
    <row r="634">
      <c r="J634" s="22"/>
      <c r="K634" s="22"/>
      <c r="L634" s="23"/>
    </row>
    <row r="635">
      <c r="J635" s="22"/>
      <c r="K635" s="22"/>
      <c r="L635" s="23"/>
    </row>
    <row r="636">
      <c r="J636" s="22"/>
      <c r="K636" s="22"/>
      <c r="L636" s="23"/>
    </row>
    <row r="637">
      <c r="J637" s="22"/>
      <c r="K637" s="22"/>
      <c r="L637" s="23"/>
    </row>
    <row r="638">
      <c r="J638" s="22"/>
      <c r="K638" s="22"/>
      <c r="L638" s="23"/>
    </row>
    <row r="639">
      <c r="J639" s="22"/>
      <c r="K639" s="22"/>
      <c r="L639" s="23"/>
    </row>
    <row r="640">
      <c r="J640" s="22"/>
      <c r="K640" s="22"/>
      <c r="L640" s="23"/>
    </row>
    <row r="641">
      <c r="J641" s="22"/>
      <c r="K641" s="22"/>
      <c r="L641" s="23"/>
    </row>
    <row r="642">
      <c r="J642" s="22"/>
      <c r="K642" s="22"/>
      <c r="L642" s="23"/>
    </row>
    <row r="643">
      <c r="J643" s="22"/>
      <c r="K643" s="22"/>
      <c r="L643" s="23"/>
    </row>
    <row r="644">
      <c r="J644" s="22"/>
      <c r="K644" s="22"/>
      <c r="L644" s="23"/>
    </row>
    <row r="645">
      <c r="J645" s="22"/>
      <c r="K645" s="22"/>
      <c r="L645" s="23"/>
    </row>
    <row r="646">
      <c r="J646" s="22"/>
      <c r="K646" s="22"/>
      <c r="L646" s="23"/>
    </row>
    <row r="647">
      <c r="J647" s="22"/>
      <c r="K647" s="22"/>
      <c r="L647" s="23"/>
    </row>
    <row r="648">
      <c r="J648" s="22"/>
      <c r="K648" s="22"/>
      <c r="L648" s="23"/>
    </row>
    <row r="649">
      <c r="J649" s="22"/>
      <c r="K649" s="22"/>
      <c r="L649" s="23"/>
    </row>
    <row r="650">
      <c r="J650" s="22"/>
      <c r="K650" s="22"/>
      <c r="L650" s="23"/>
    </row>
    <row r="651">
      <c r="J651" s="22"/>
      <c r="K651" s="22"/>
      <c r="L651" s="23"/>
    </row>
    <row r="652">
      <c r="J652" s="22"/>
      <c r="K652" s="22"/>
      <c r="L652" s="23"/>
    </row>
    <row r="653">
      <c r="J653" s="22"/>
      <c r="K653" s="22"/>
      <c r="L653" s="23"/>
    </row>
    <row r="654">
      <c r="J654" s="22"/>
      <c r="K654" s="22"/>
      <c r="L654" s="23"/>
    </row>
    <row r="655">
      <c r="J655" s="22"/>
      <c r="K655" s="22"/>
      <c r="L655" s="23"/>
    </row>
    <row r="656">
      <c r="J656" s="22"/>
      <c r="K656" s="22"/>
      <c r="L656" s="23"/>
    </row>
    <row r="657">
      <c r="J657" s="22"/>
      <c r="K657" s="22"/>
      <c r="L657" s="23"/>
    </row>
    <row r="658">
      <c r="J658" s="22"/>
      <c r="K658" s="22"/>
      <c r="L658" s="23"/>
    </row>
    <row r="659">
      <c r="J659" s="22"/>
      <c r="K659" s="22"/>
      <c r="L659" s="23"/>
    </row>
    <row r="660">
      <c r="J660" s="22"/>
      <c r="K660" s="22"/>
      <c r="L660" s="23"/>
    </row>
    <row r="661">
      <c r="J661" s="22"/>
      <c r="K661" s="22"/>
      <c r="L661" s="23"/>
    </row>
    <row r="662">
      <c r="J662" s="22"/>
      <c r="K662" s="22"/>
      <c r="L662" s="23"/>
    </row>
    <row r="663">
      <c r="J663" s="22"/>
      <c r="K663" s="22"/>
      <c r="L663" s="23"/>
    </row>
    <row r="664">
      <c r="J664" s="22"/>
      <c r="K664" s="22"/>
      <c r="L664" s="23"/>
    </row>
    <row r="665">
      <c r="J665" s="22"/>
      <c r="K665" s="22"/>
      <c r="L665" s="23"/>
    </row>
    <row r="666">
      <c r="J666" s="22"/>
      <c r="K666" s="22"/>
      <c r="L666" s="23"/>
    </row>
    <row r="667">
      <c r="J667" s="22"/>
      <c r="K667" s="22"/>
      <c r="L667" s="23"/>
    </row>
    <row r="668">
      <c r="J668" s="22"/>
      <c r="K668" s="22"/>
      <c r="L668" s="23"/>
    </row>
    <row r="669">
      <c r="J669" s="22"/>
      <c r="K669" s="22"/>
      <c r="L669" s="23"/>
    </row>
    <row r="670">
      <c r="J670" s="22"/>
      <c r="K670" s="22"/>
      <c r="L670" s="23"/>
    </row>
    <row r="671">
      <c r="J671" s="22"/>
      <c r="K671" s="22"/>
      <c r="L671" s="23"/>
    </row>
    <row r="672">
      <c r="J672" s="22"/>
      <c r="K672" s="22"/>
      <c r="L672" s="23"/>
    </row>
    <row r="673">
      <c r="J673" s="22"/>
      <c r="K673" s="22"/>
      <c r="L673" s="23"/>
    </row>
    <row r="674">
      <c r="J674" s="22"/>
      <c r="K674" s="22"/>
      <c r="L674" s="23"/>
    </row>
    <row r="675">
      <c r="J675" s="22"/>
      <c r="K675" s="22"/>
      <c r="L675" s="23"/>
    </row>
    <row r="676">
      <c r="J676" s="22"/>
      <c r="K676" s="22"/>
      <c r="L676" s="23"/>
    </row>
    <row r="677">
      <c r="J677" s="22"/>
      <c r="K677" s="22"/>
      <c r="L677" s="23"/>
    </row>
    <row r="678">
      <c r="J678" s="22"/>
      <c r="K678" s="22"/>
      <c r="L678" s="23"/>
    </row>
    <row r="679">
      <c r="J679" s="22"/>
      <c r="K679" s="22"/>
      <c r="L679" s="23"/>
    </row>
    <row r="680">
      <c r="J680" s="22"/>
      <c r="K680" s="22"/>
      <c r="L680" s="23"/>
    </row>
    <row r="681">
      <c r="J681" s="22"/>
      <c r="K681" s="22"/>
      <c r="L681" s="23"/>
    </row>
    <row r="682">
      <c r="J682" s="22"/>
      <c r="K682" s="22"/>
      <c r="L682" s="23"/>
    </row>
    <row r="683">
      <c r="J683" s="22"/>
      <c r="K683" s="22"/>
      <c r="L683" s="23"/>
    </row>
    <row r="684">
      <c r="J684" s="22"/>
      <c r="K684" s="22"/>
      <c r="L684" s="23"/>
    </row>
    <row r="685">
      <c r="J685" s="22"/>
      <c r="K685" s="22"/>
      <c r="L685" s="23"/>
    </row>
    <row r="686">
      <c r="J686" s="22"/>
      <c r="K686" s="22"/>
      <c r="L686" s="23"/>
    </row>
    <row r="687">
      <c r="J687" s="22"/>
      <c r="K687" s="22"/>
      <c r="L687" s="23"/>
    </row>
    <row r="688">
      <c r="J688" s="22"/>
      <c r="K688" s="22"/>
      <c r="L688" s="23"/>
    </row>
    <row r="689">
      <c r="J689" s="22"/>
      <c r="K689" s="22"/>
      <c r="L689" s="23"/>
    </row>
    <row r="690">
      <c r="J690" s="22"/>
      <c r="K690" s="22"/>
      <c r="L690" s="23"/>
    </row>
    <row r="691">
      <c r="J691" s="22"/>
      <c r="K691" s="22"/>
      <c r="L691" s="23"/>
    </row>
    <row r="692">
      <c r="J692" s="22"/>
      <c r="K692" s="22"/>
      <c r="L692" s="23"/>
    </row>
    <row r="693">
      <c r="J693" s="22"/>
      <c r="K693" s="22"/>
      <c r="L693" s="23"/>
    </row>
    <row r="694">
      <c r="J694" s="22"/>
      <c r="K694" s="22"/>
      <c r="L694" s="23"/>
    </row>
    <row r="695">
      <c r="J695" s="22"/>
      <c r="K695" s="22"/>
      <c r="L695" s="23"/>
    </row>
    <row r="696">
      <c r="J696" s="22"/>
      <c r="K696" s="22"/>
      <c r="L696" s="23"/>
    </row>
    <row r="697">
      <c r="J697" s="22"/>
      <c r="K697" s="22"/>
      <c r="L697" s="23"/>
    </row>
    <row r="698">
      <c r="J698" s="22"/>
      <c r="K698" s="22"/>
      <c r="L698" s="23"/>
    </row>
    <row r="699">
      <c r="J699" s="22"/>
      <c r="K699" s="22"/>
      <c r="L699" s="23"/>
    </row>
    <row r="700">
      <c r="J700" s="22"/>
      <c r="K700" s="22"/>
      <c r="L700" s="23"/>
    </row>
    <row r="701">
      <c r="J701" s="22"/>
      <c r="K701" s="22"/>
      <c r="L701" s="23"/>
    </row>
    <row r="702">
      <c r="J702" s="22"/>
      <c r="K702" s="22"/>
      <c r="L702" s="23"/>
    </row>
    <row r="703">
      <c r="J703" s="22"/>
      <c r="K703" s="22"/>
      <c r="L703" s="23"/>
    </row>
    <row r="704">
      <c r="J704" s="22"/>
      <c r="K704" s="22"/>
      <c r="L704" s="23"/>
    </row>
    <row r="705">
      <c r="J705" s="22"/>
      <c r="K705" s="22"/>
      <c r="L705" s="23"/>
    </row>
    <row r="706">
      <c r="J706" s="22"/>
      <c r="K706" s="22"/>
      <c r="L706" s="23"/>
    </row>
    <row r="707">
      <c r="J707" s="22"/>
      <c r="K707" s="22"/>
      <c r="L707" s="23"/>
    </row>
    <row r="708">
      <c r="J708" s="22"/>
      <c r="K708" s="22"/>
      <c r="L708" s="23"/>
    </row>
    <row r="709">
      <c r="J709" s="22"/>
      <c r="K709" s="22"/>
      <c r="L709" s="23"/>
    </row>
    <row r="710">
      <c r="J710" s="22"/>
      <c r="K710" s="22"/>
      <c r="L710" s="23"/>
    </row>
    <row r="711">
      <c r="J711" s="22"/>
      <c r="K711" s="22"/>
      <c r="L711" s="23"/>
    </row>
    <row r="712">
      <c r="J712" s="22"/>
      <c r="K712" s="22"/>
      <c r="L712" s="23"/>
    </row>
    <row r="713">
      <c r="J713" s="22"/>
      <c r="K713" s="22"/>
      <c r="L713" s="23"/>
    </row>
    <row r="714">
      <c r="J714" s="22"/>
      <c r="K714" s="22"/>
      <c r="L714" s="23"/>
    </row>
    <row r="715">
      <c r="J715" s="22"/>
      <c r="K715" s="22"/>
      <c r="L715" s="23"/>
    </row>
    <row r="716">
      <c r="J716" s="22"/>
      <c r="K716" s="22"/>
      <c r="L716" s="23"/>
    </row>
    <row r="717">
      <c r="J717" s="22"/>
      <c r="K717" s="22"/>
      <c r="L717" s="23"/>
    </row>
    <row r="718">
      <c r="J718" s="22"/>
      <c r="K718" s="22"/>
      <c r="L718" s="23"/>
    </row>
    <row r="719">
      <c r="J719" s="22"/>
      <c r="K719" s="22"/>
      <c r="L719" s="23"/>
    </row>
    <row r="720">
      <c r="J720" s="22"/>
      <c r="K720" s="22"/>
      <c r="L720" s="23"/>
    </row>
    <row r="721">
      <c r="J721" s="22"/>
      <c r="K721" s="22"/>
      <c r="L721" s="23"/>
    </row>
    <row r="722">
      <c r="J722" s="22"/>
      <c r="K722" s="22"/>
      <c r="L722" s="23"/>
    </row>
    <row r="723">
      <c r="J723" s="22"/>
      <c r="K723" s="22"/>
      <c r="L723" s="23"/>
    </row>
    <row r="724">
      <c r="J724" s="22"/>
      <c r="K724" s="22"/>
      <c r="L724" s="23"/>
    </row>
    <row r="725">
      <c r="J725" s="22"/>
      <c r="K725" s="22"/>
      <c r="L725" s="23"/>
    </row>
    <row r="726">
      <c r="J726" s="22"/>
      <c r="K726" s="22"/>
      <c r="L726" s="23"/>
    </row>
    <row r="727">
      <c r="J727" s="22"/>
      <c r="K727" s="22"/>
      <c r="L727" s="23"/>
    </row>
    <row r="728">
      <c r="J728" s="22"/>
      <c r="K728" s="22"/>
      <c r="L728" s="23"/>
    </row>
    <row r="729">
      <c r="J729" s="22"/>
      <c r="K729" s="22"/>
      <c r="L729" s="23"/>
    </row>
    <row r="730">
      <c r="J730" s="22"/>
      <c r="K730" s="22"/>
      <c r="L730" s="23"/>
    </row>
    <row r="731">
      <c r="J731" s="22"/>
      <c r="K731" s="22"/>
      <c r="L731" s="23"/>
    </row>
    <row r="732">
      <c r="J732" s="22"/>
      <c r="K732" s="22"/>
      <c r="L732" s="23"/>
    </row>
    <row r="733">
      <c r="J733" s="22"/>
      <c r="K733" s="22"/>
      <c r="L733" s="23"/>
    </row>
    <row r="734">
      <c r="J734" s="22"/>
      <c r="K734" s="22"/>
      <c r="L734" s="23"/>
    </row>
    <row r="735">
      <c r="J735" s="22"/>
      <c r="K735" s="22"/>
      <c r="L735" s="23"/>
    </row>
    <row r="736">
      <c r="J736" s="22"/>
      <c r="K736" s="22"/>
      <c r="L736" s="23"/>
    </row>
    <row r="737">
      <c r="J737" s="22"/>
      <c r="K737" s="22"/>
      <c r="L737" s="23"/>
    </row>
    <row r="738">
      <c r="J738" s="22"/>
      <c r="K738" s="22"/>
      <c r="L738" s="23"/>
    </row>
    <row r="739">
      <c r="J739" s="22"/>
      <c r="K739" s="22"/>
      <c r="L739" s="23"/>
    </row>
    <row r="740">
      <c r="J740" s="22"/>
      <c r="K740" s="22"/>
      <c r="L740" s="23"/>
    </row>
    <row r="741">
      <c r="J741" s="22"/>
      <c r="K741" s="22"/>
      <c r="L741" s="23"/>
    </row>
    <row r="742">
      <c r="J742" s="22"/>
      <c r="K742" s="22"/>
      <c r="L742" s="23"/>
    </row>
    <row r="743">
      <c r="J743" s="22"/>
      <c r="K743" s="22"/>
      <c r="L743" s="23"/>
    </row>
    <row r="744">
      <c r="J744" s="22"/>
      <c r="K744" s="22"/>
      <c r="L744" s="23"/>
    </row>
    <row r="745">
      <c r="J745" s="22"/>
      <c r="K745" s="22"/>
      <c r="L745" s="23"/>
    </row>
    <row r="746">
      <c r="J746" s="22"/>
      <c r="K746" s="22"/>
      <c r="L746" s="23"/>
    </row>
    <row r="747">
      <c r="J747" s="22"/>
      <c r="K747" s="22"/>
      <c r="L747" s="23"/>
    </row>
    <row r="748">
      <c r="J748" s="22"/>
      <c r="K748" s="22"/>
      <c r="L748" s="23"/>
    </row>
    <row r="749">
      <c r="J749" s="22"/>
      <c r="K749" s="22"/>
      <c r="L749" s="23"/>
    </row>
    <row r="750">
      <c r="J750" s="22"/>
      <c r="K750" s="22"/>
      <c r="L750" s="23"/>
    </row>
    <row r="751">
      <c r="J751" s="22"/>
      <c r="K751" s="22"/>
      <c r="L751" s="23"/>
    </row>
    <row r="752">
      <c r="J752" s="22"/>
      <c r="K752" s="22"/>
      <c r="L752" s="23"/>
    </row>
    <row r="753">
      <c r="J753" s="22"/>
      <c r="K753" s="22"/>
      <c r="L753" s="23"/>
    </row>
    <row r="754">
      <c r="J754" s="22"/>
      <c r="K754" s="22"/>
      <c r="L754" s="23"/>
    </row>
    <row r="755">
      <c r="J755" s="22"/>
      <c r="K755" s="22"/>
      <c r="L755" s="23"/>
    </row>
    <row r="756">
      <c r="J756" s="22"/>
      <c r="K756" s="22"/>
      <c r="L756" s="23"/>
    </row>
    <row r="757">
      <c r="J757" s="22"/>
      <c r="K757" s="22"/>
      <c r="L757" s="23"/>
    </row>
    <row r="758">
      <c r="J758" s="22"/>
      <c r="K758" s="22"/>
      <c r="L758" s="23"/>
    </row>
    <row r="759">
      <c r="J759" s="22"/>
      <c r="K759" s="22"/>
      <c r="L759" s="23"/>
    </row>
    <row r="760">
      <c r="J760" s="22"/>
      <c r="K760" s="22"/>
      <c r="L760" s="23"/>
    </row>
    <row r="761">
      <c r="J761" s="22"/>
      <c r="K761" s="22"/>
      <c r="L761" s="23"/>
    </row>
    <row r="762">
      <c r="J762" s="22"/>
      <c r="K762" s="22"/>
      <c r="L762" s="23"/>
    </row>
    <row r="763">
      <c r="J763" s="22"/>
      <c r="K763" s="22"/>
      <c r="L763" s="23"/>
    </row>
    <row r="764">
      <c r="J764" s="22"/>
      <c r="K764" s="22"/>
      <c r="L764" s="23"/>
    </row>
    <row r="765">
      <c r="J765" s="22"/>
      <c r="K765" s="22"/>
      <c r="L765" s="23"/>
    </row>
    <row r="766">
      <c r="J766" s="22"/>
      <c r="K766" s="22"/>
      <c r="L766" s="23"/>
    </row>
    <row r="767">
      <c r="J767" s="22"/>
      <c r="K767" s="22"/>
      <c r="L767" s="23"/>
    </row>
    <row r="768">
      <c r="J768" s="22"/>
      <c r="K768" s="22"/>
      <c r="L768" s="23"/>
    </row>
    <row r="769">
      <c r="J769" s="22"/>
      <c r="K769" s="22"/>
      <c r="L769" s="23"/>
    </row>
    <row r="770">
      <c r="J770" s="22"/>
      <c r="K770" s="22"/>
      <c r="L770" s="23"/>
    </row>
    <row r="771">
      <c r="J771" s="22"/>
      <c r="K771" s="22"/>
      <c r="L771" s="23"/>
    </row>
    <row r="772">
      <c r="J772" s="22"/>
      <c r="K772" s="22"/>
      <c r="L772" s="23"/>
    </row>
    <row r="773">
      <c r="J773" s="22"/>
      <c r="K773" s="22"/>
      <c r="L773" s="23"/>
    </row>
    <row r="774">
      <c r="J774" s="22"/>
      <c r="K774" s="22"/>
      <c r="L774" s="23"/>
    </row>
    <row r="775">
      <c r="J775" s="22"/>
      <c r="K775" s="22"/>
      <c r="L775" s="23"/>
    </row>
    <row r="776">
      <c r="J776" s="22"/>
      <c r="K776" s="22"/>
      <c r="L776" s="23"/>
    </row>
    <row r="777">
      <c r="J777" s="22"/>
      <c r="K777" s="22"/>
      <c r="L777" s="23"/>
    </row>
    <row r="778">
      <c r="J778" s="22"/>
      <c r="K778" s="22"/>
      <c r="L778" s="23"/>
    </row>
    <row r="779">
      <c r="J779" s="22"/>
      <c r="K779" s="22"/>
      <c r="L779" s="23"/>
    </row>
    <row r="780">
      <c r="J780" s="22"/>
      <c r="K780" s="22"/>
      <c r="L780" s="23"/>
    </row>
    <row r="781">
      <c r="J781" s="22"/>
      <c r="K781" s="22"/>
      <c r="L781" s="23"/>
    </row>
    <row r="782">
      <c r="J782" s="22"/>
      <c r="K782" s="22"/>
      <c r="L782" s="23"/>
    </row>
    <row r="783">
      <c r="J783" s="22"/>
      <c r="K783" s="22"/>
      <c r="L783" s="23"/>
    </row>
    <row r="784">
      <c r="J784" s="22"/>
      <c r="K784" s="22"/>
      <c r="L784" s="23"/>
    </row>
    <row r="785">
      <c r="J785" s="22"/>
      <c r="K785" s="22"/>
      <c r="L785" s="23"/>
    </row>
    <row r="786">
      <c r="J786" s="22"/>
      <c r="K786" s="22"/>
      <c r="L786" s="23"/>
    </row>
    <row r="787">
      <c r="J787" s="22"/>
      <c r="K787" s="22"/>
      <c r="L787" s="23"/>
    </row>
    <row r="788">
      <c r="J788" s="22"/>
      <c r="K788" s="22"/>
      <c r="L788" s="23"/>
    </row>
    <row r="789">
      <c r="J789" s="22"/>
      <c r="K789" s="22"/>
      <c r="L789" s="23"/>
    </row>
    <row r="790">
      <c r="J790" s="22"/>
      <c r="K790" s="22"/>
      <c r="L790" s="23"/>
    </row>
    <row r="791">
      <c r="J791" s="22"/>
      <c r="K791" s="22"/>
      <c r="L791" s="23"/>
    </row>
    <row r="792">
      <c r="J792" s="22"/>
      <c r="K792" s="22"/>
      <c r="L792" s="23"/>
    </row>
    <row r="793">
      <c r="J793" s="22"/>
      <c r="K793" s="22"/>
      <c r="L793" s="23"/>
    </row>
    <row r="794">
      <c r="J794" s="22"/>
      <c r="K794" s="22"/>
      <c r="L794" s="23"/>
    </row>
    <row r="795">
      <c r="J795" s="22"/>
      <c r="K795" s="22"/>
      <c r="L795" s="23"/>
    </row>
    <row r="796">
      <c r="J796" s="22"/>
      <c r="K796" s="22"/>
      <c r="L796" s="23"/>
    </row>
    <row r="797">
      <c r="J797" s="22"/>
      <c r="K797" s="22"/>
      <c r="L797" s="23"/>
    </row>
    <row r="798">
      <c r="J798" s="22"/>
      <c r="K798" s="22"/>
      <c r="L798" s="23"/>
    </row>
    <row r="799">
      <c r="J799" s="22"/>
      <c r="K799" s="22"/>
      <c r="L799" s="23"/>
    </row>
    <row r="800">
      <c r="J800" s="22"/>
      <c r="K800" s="22"/>
      <c r="L800" s="23"/>
    </row>
    <row r="801">
      <c r="J801" s="22"/>
      <c r="K801" s="22"/>
      <c r="L801" s="23"/>
    </row>
    <row r="802">
      <c r="J802" s="22"/>
      <c r="K802" s="22"/>
      <c r="L802" s="23"/>
    </row>
    <row r="803">
      <c r="J803" s="22"/>
      <c r="K803" s="22"/>
      <c r="L803" s="23"/>
    </row>
    <row r="804">
      <c r="J804" s="22"/>
      <c r="K804" s="22"/>
      <c r="L804" s="23"/>
    </row>
    <row r="805">
      <c r="J805" s="22"/>
      <c r="K805" s="22"/>
      <c r="L805" s="23"/>
    </row>
    <row r="806">
      <c r="J806" s="22"/>
      <c r="K806" s="22"/>
      <c r="L806" s="23"/>
    </row>
    <row r="807">
      <c r="J807" s="22"/>
      <c r="K807" s="22"/>
      <c r="L807" s="23"/>
    </row>
    <row r="808">
      <c r="J808" s="22"/>
      <c r="K808" s="22"/>
      <c r="L808" s="23"/>
    </row>
    <row r="809">
      <c r="J809" s="22"/>
      <c r="K809" s="22"/>
      <c r="L809" s="23"/>
    </row>
    <row r="810">
      <c r="J810" s="22"/>
      <c r="K810" s="22"/>
      <c r="L810" s="23"/>
    </row>
    <row r="811">
      <c r="J811" s="22"/>
      <c r="K811" s="22"/>
      <c r="L811" s="23"/>
    </row>
    <row r="812">
      <c r="J812" s="22"/>
      <c r="K812" s="22"/>
      <c r="L812" s="23"/>
    </row>
    <row r="813">
      <c r="J813" s="22"/>
      <c r="K813" s="22"/>
      <c r="L813" s="23"/>
    </row>
    <row r="814">
      <c r="J814" s="22"/>
      <c r="K814" s="22"/>
      <c r="L814" s="23"/>
    </row>
    <row r="815">
      <c r="J815" s="22"/>
      <c r="K815" s="22"/>
      <c r="L815" s="23"/>
    </row>
    <row r="816">
      <c r="J816" s="22"/>
      <c r="K816" s="22"/>
      <c r="L816" s="23"/>
    </row>
    <row r="817">
      <c r="J817" s="22"/>
      <c r="K817" s="22"/>
      <c r="L817" s="23"/>
    </row>
    <row r="818">
      <c r="J818" s="22"/>
      <c r="K818" s="22"/>
      <c r="L818" s="23"/>
    </row>
    <row r="819">
      <c r="J819" s="22"/>
      <c r="K819" s="22"/>
      <c r="L819" s="23"/>
    </row>
    <row r="820">
      <c r="J820" s="22"/>
      <c r="K820" s="22"/>
      <c r="L820" s="23"/>
    </row>
    <row r="821">
      <c r="J821" s="22"/>
      <c r="K821" s="22"/>
      <c r="L821" s="23"/>
    </row>
    <row r="822">
      <c r="J822" s="22"/>
      <c r="K822" s="22"/>
      <c r="L822" s="23"/>
    </row>
    <row r="823">
      <c r="J823" s="22"/>
      <c r="K823" s="22"/>
      <c r="L823" s="23"/>
    </row>
    <row r="824">
      <c r="J824" s="22"/>
      <c r="K824" s="22"/>
      <c r="L824" s="23"/>
    </row>
    <row r="825">
      <c r="J825" s="22"/>
      <c r="K825" s="22"/>
      <c r="L825" s="23"/>
    </row>
    <row r="826">
      <c r="J826" s="22"/>
      <c r="K826" s="22"/>
      <c r="L826" s="23"/>
    </row>
    <row r="827">
      <c r="J827" s="22"/>
      <c r="K827" s="22"/>
      <c r="L827" s="23"/>
    </row>
    <row r="828">
      <c r="J828" s="22"/>
      <c r="K828" s="22"/>
      <c r="L828" s="23"/>
    </row>
    <row r="829">
      <c r="J829" s="22"/>
      <c r="K829" s="22"/>
      <c r="L829" s="23"/>
    </row>
    <row r="830">
      <c r="J830" s="22"/>
      <c r="K830" s="22"/>
      <c r="L830" s="23"/>
    </row>
    <row r="831">
      <c r="J831" s="22"/>
      <c r="K831" s="22"/>
      <c r="L831" s="23"/>
    </row>
    <row r="832">
      <c r="J832" s="22"/>
      <c r="K832" s="22"/>
      <c r="L832" s="23"/>
    </row>
    <row r="833">
      <c r="J833" s="22"/>
      <c r="K833" s="22"/>
      <c r="L833" s="23"/>
    </row>
    <row r="834">
      <c r="J834" s="22"/>
      <c r="K834" s="22"/>
      <c r="L834" s="23"/>
    </row>
    <row r="835">
      <c r="J835" s="22"/>
      <c r="K835" s="22"/>
      <c r="L835" s="23"/>
    </row>
    <row r="836">
      <c r="J836" s="22"/>
      <c r="K836" s="22"/>
      <c r="L836" s="23"/>
    </row>
    <row r="837">
      <c r="J837" s="22"/>
      <c r="K837" s="22"/>
      <c r="L837" s="23"/>
    </row>
    <row r="838">
      <c r="J838" s="22"/>
      <c r="K838" s="22"/>
      <c r="L838" s="23"/>
    </row>
    <row r="839">
      <c r="J839" s="22"/>
      <c r="K839" s="22"/>
      <c r="L839" s="23"/>
    </row>
    <row r="840">
      <c r="J840" s="22"/>
      <c r="K840" s="22"/>
      <c r="L840" s="23"/>
    </row>
    <row r="841">
      <c r="J841" s="22"/>
      <c r="K841" s="22"/>
      <c r="L841" s="23"/>
    </row>
    <row r="842">
      <c r="J842" s="22"/>
      <c r="K842" s="22"/>
      <c r="L842" s="23"/>
    </row>
    <row r="843">
      <c r="J843" s="22"/>
      <c r="K843" s="22"/>
      <c r="L843" s="23"/>
    </row>
    <row r="844">
      <c r="J844" s="22"/>
      <c r="K844" s="22"/>
      <c r="L844" s="23"/>
    </row>
    <row r="845">
      <c r="J845" s="22"/>
      <c r="K845" s="22"/>
      <c r="L845" s="23"/>
    </row>
    <row r="846">
      <c r="J846" s="22"/>
      <c r="K846" s="22"/>
      <c r="L846" s="23"/>
    </row>
    <row r="847">
      <c r="J847" s="22"/>
      <c r="K847" s="22"/>
      <c r="L847" s="23"/>
    </row>
    <row r="848">
      <c r="J848" s="22"/>
      <c r="K848" s="22"/>
      <c r="L848" s="23"/>
    </row>
    <row r="849">
      <c r="J849" s="22"/>
      <c r="K849" s="22"/>
      <c r="L849" s="23"/>
    </row>
    <row r="850">
      <c r="J850" s="22"/>
      <c r="K850" s="22"/>
      <c r="L850" s="23"/>
    </row>
    <row r="851">
      <c r="J851" s="22"/>
      <c r="K851" s="22"/>
      <c r="L851" s="23"/>
    </row>
    <row r="852">
      <c r="J852" s="22"/>
      <c r="K852" s="22"/>
      <c r="L852" s="23"/>
    </row>
    <row r="853">
      <c r="J853" s="22"/>
      <c r="K853" s="22"/>
      <c r="L853" s="23"/>
    </row>
    <row r="854">
      <c r="J854" s="22"/>
      <c r="K854" s="22"/>
      <c r="L854" s="23"/>
    </row>
    <row r="855">
      <c r="J855" s="22"/>
      <c r="K855" s="22"/>
      <c r="L855" s="23"/>
    </row>
    <row r="856">
      <c r="J856" s="22"/>
      <c r="K856" s="22"/>
      <c r="L856" s="23"/>
    </row>
    <row r="857">
      <c r="J857" s="22"/>
      <c r="K857" s="22"/>
      <c r="L857" s="23"/>
    </row>
    <row r="858">
      <c r="J858" s="22"/>
      <c r="K858" s="22"/>
      <c r="L858" s="23"/>
    </row>
    <row r="859">
      <c r="J859" s="22"/>
      <c r="K859" s="22"/>
      <c r="L859" s="23"/>
    </row>
    <row r="860">
      <c r="J860" s="22"/>
      <c r="K860" s="22"/>
      <c r="L860" s="23"/>
    </row>
    <row r="861">
      <c r="J861" s="22"/>
      <c r="K861" s="22"/>
      <c r="L861" s="23"/>
    </row>
    <row r="862">
      <c r="J862" s="22"/>
      <c r="K862" s="22"/>
      <c r="L862" s="23"/>
    </row>
    <row r="863">
      <c r="J863" s="22"/>
      <c r="K863" s="22"/>
      <c r="L863" s="23"/>
    </row>
    <row r="864">
      <c r="J864" s="22"/>
      <c r="K864" s="22"/>
      <c r="L864" s="23"/>
    </row>
    <row r="865">
      <c r="J865" s="22"/>
      <c r="K865" s="22"/>
      <c r="L865" s="23"/>
    </row>
    <row r="866">
      <c r="J866" s="22"/>
      <c r="K866" s="22"/>
      <c r="L866" s="23"/>
    </row>
    <row r="867">
      <c r="J867" s="22"/>
      <c r="K867" s="22"/>
      <c r="L867" s="23"/>
    </row>
    <row r="868">
      <c r="J868" s="22"/>
      <c r="K868" s="22"/>
      <c r="L868" s="23"/>
    </row>
    <row r="869">
      <c r="J869" s="22"/>
      <c r="K869" s="22"/>
      <c r="L869" s="23"/>
    </row>
    <row r="870">
      <c r="J870" s="22"/>
      <c r="K870" s="22"/>
      <c r="L870" s="23"/>
    </row>
    <row r="871">
      <c r="J871" s="22"/>
      <c r="K871" s="22"/>
      <c r="L871" s="23"/>
    </row>
    <row r="872">
      <c r="J872" s="22"/>
      <c r="K872" s="22"/>
      <c r="L872" s="23"/>
    </row>
    <row r="873">
      <c r="J873" s="22"/>
      <c r="K873" s="22"/>
      <c r="L873" s="23"/>
    </row>
    <row r="874">
      <c r="J874" s="22"/>
      <c r="K874" s="22"/>
      <c r="L874" s="23"/>
    </row>
    <row r="875">
      <c r="J875" s="22"/>
      <c r="K875" s="22"/>
      <c r="L875" s="23"/>
    </row>
    <row r="876">
      <c r="J876" s="22"/>
      <c r="K876" s="22"/>
      <c r="L876" s="23"/>
    </row>
    <row r="877">
      <c r="J877" s="22"/>
      <c r="K877" s="22"/>
      <c r="L877" s="23"/>
    </row>
    <row r="878">
      <c r="J878" s="22"/>
      <c r="K878" s="22"/>
      <c r="L878" s="23"/>
    </row>
    <row r="879">
      <c r="J879" s="22"/>
      <c r="K879" s="22"/>
      <c r="L879" s="23"/>
    </row>
    <row r="880">
      <c r="J880" s="22"/>
      <c r="K880" s="22"/>
      <c r="L880" s="23"/>
    </row>
    <row r="881">
      <c r="J881" s="22"/>
      <c r="K881" s="22"/>
      <c r="L881" s="23"/>
    </row>
    <row r="882">
      <c r="J882" s="22"/>
      <c r="K882" s="22"/>
      <c r="L882" s="23"/>
    </row>
    <row r="883">
      <c r="J883" s="22"/>
      <c r="K883" s="22"/>
      <c r="L883" s="23"/>
    </row>
    <row r="884">
      <c r="J884" s="22"/>
      <c r="K884" s="22"/>
      <c r="L884" s="23"/>
    </row>
    <row r="885">
      <c r="J885" s="22"/>
      <c r="K885" s="22"/>
      <c r="L885" s="23"/>
    </row>
    <row r="886">
      <c r="J886" s="22"/>
      <c r="K886" s="22"/>
      <c r="L886" s="23"/>
    </row>
    <row r="887">
      <c r="J887" s="22"/>
      <c r="K887" s="22"/>
      <c r="L887" s="23"/>
    </row>
    <row r="888">
      <c r="J888" s="22"/>
      <c r="K888" s="22"/>
      <c r="L888" s="23"/>
    </row>
    <row r="889">
      <c r="J889" s="22"/>
      <c r="K889" s="22"/>
      <c r="L889" s="23"/>
    </row>
    <row r="890">
      <c r="J890" s="22"/>
      <c r="K890" s="22"/>
      <c r="L890" s="23"/>
    </row>
    <row r="891">
      <c r="J891" s="22"/>
      <c r="K891" s="22"/>
      <c r="L891" s="23"/>
    </row>
    <row r="892">
      <c r="J892" s="22"/>
      <c r="K892" s="22"/>
      <c r="L892" s="23"/>
    </row>
    <row r="893">
      <c r="J893" s="22"/>
      <c r="K893" s="22"/>
      <c r="L893" s="23"/>
    </row>
    <row r="894">
      <c r="J894" s="22"/>
      <c r="K894" s="22"/>
      <c r="L894" s="23"/>
    </row>
    <row r="895">
      <c r="J895" s="22"/>
      <c r="K895" s="22"/>
      <c r="L895" s="23"/>
    </row>
    <row r="896">
      <c r="J896" s="22"/>
      <c r="K896" s="22"/>
      <c r="L896" s="23"/>
    </row>
    <row r="897">
      <c r="J897" s="22"/>
      <c r="K897" s="22"/>
      <c r="L897" s="23"/>
    </row>
    <row r="898">
      <c r="J898" s="22"/>
      <c r="K898" s="22"/>
      <c r="L898" s="23"/>
    </row>
    <row r="899">
      <c r="J899" s="22"/>
      <c r="K899" s="22"/>
      <c r="L899" s="23"/>
    </row>
    <row r="900">
      <c r="J900" s="22"/>
      <c r="K900" s="22"/>
      <c r="L900" s="23"/>
    </row>
    <row r="901">
      <c r="J901" s="22"/>
      <c r="K901" s="22"/>
      <c r="L901" s="23"/>
    </row>
    <row r="902">
      <c r="J902" s="22"/>
      <c r="K902" s="22"/>
      <c r="L902" s="23"/>
    </row>
    <row r="903">
      <c r="J903" s="22"/>
      <c r="K903" s="22"/>
      <c r="L903" s="23"/>
    </row>
    <row r="904">
      <c r="J904" s="22"/>
      <c r="K904" s="22"/>
      <c r="L904" s="23"/>
    </row>
    <row r="905">
      <c r="J905" s="22"/>
      <c r="K905" s="22"/>
      <c r="L905" s="23"/>
    </row>
    <row r="906">
      <c r="J906" s="22"/>
      <c r="K906" s="22"/>
      <c r="L906" s="23"/>
    </row>
    <row r="907">
      <c r="J907" s="22"/>
      <c r="K907" s="22"/>
      <c r="L907" s="23"/>
    </row>
    <row r="908">
      <c r="J908" s="22"/>
      <c r="K908" s="22"/>
      <c r="L908" s="23"/>
    </row>
    <row r="909">
      <c r="J909" s="22"/>
      <c r="K909" s="22"/>
      <c r="L909" s="23"/>
    </row>
    <row r="910">
      <c r="J910" s="22"/>
      <c r="K910" s="22"/>
      <c r="L910" s="23"/>
    </row>
    <row r="911">
      <c r="J911" s="22"/>
      <c r="K911" s="22"/>
      <c r="L911" s="23"/>
    </row>
    <row r="912">
      <c r="J912" s="22"/>
      <c r="K912" s="22"/>
      <c r="L912" s="23"/>
    </row>
    <row r="913">
      <c r="J913" s="22"/>
      <c r="K913" s="22"/>
      <c r="L913" s="23"/>
    </row>
    <row r="914">
      <c r="J914" s="22"/>
      <c r="K914" s="22"/>
      <c r="L914" s="23"/>
    </row>
    <row r="915">
      <c r="J915" s="22"/>
      <c r="K915" s="22"/>
      <c r="L915" s="23"/>
    </row>
    <row r="916">
      <c r="J916" s="22"/>
      <c r="K916" s="22"/>
      <c r="L916" s="23"/>
    </row>
    <row r="917">
      <c r="J917" s="22"/>
      <c r="K917" s="22"/>
      <c r="L917" s="23"/>
    </row>
    <row r="918">
      <c r="J918" s="22"/>
      <c r="K918" s="22"/>
      <c r="L918" s="23"/>
    </row>
    <row r="919">
      <c r="J919" s="22"/>
      <c r="K919" s="22"/>
      <c r="L919" s="23"/>
    </row>
    <row r="920">
      <c r="J920" s="22"/>
      <c r="K920" s="22"/>
      <c r="L920" s="23"/>
    </row>
    <row r="921">
      <c r="J921" s="22"/>
      <c r="K921" s="22"/>
      <c r="L921" s="23"/>
    </row>
    <row r="922">
      <c r="J922" s="22"/>
      <c r="K922" s="22"/>
      <c r="L922" s="23"/>
    </row>
    <row r="923">
      <c r="J923" s="22"/>
      <c r="K923" s="22"/>
      <c r="L923" s="23"/>
    </row>
    <row r="924">
      <c r="J924" s="22"/>
      <c r="K924" s="22"/>
      <c r="L924" s="23"/>
    </row>
    <row r="925">
      <c r="J925" s="22"/>
      <c r="K925" s="22"/>
      <c r="L925" s="23"/>
    </row>
    <row r="926">
      <c r="J926" s="22"/>
      <c r="K926" s="22"/>
      <c r="L926" s="23"/>
    </row>
    <row r="927">
      <c r="J927" s="22"/>
      <c r="K927" s="22"/>
      <c r="L927" s="23"/>
    </row>
    <row r="928">
      <c r="J928" s="22"/>
      <c r="K928" s="22"/>
      <c r="L928" s="23"/>
    </row>
    <row r="929">
      <c r="J929" s="22"/>
      <c r="K929" s="22"/>
      <c r="L929" s="23"/>
    </row>
    <row r="930">
      <c r="J930" s="22"/>
      <c r="K930" s="22"/>
      <c r="L930" s="23"/>
    </row>
    <row r="931">
      <c r="J931" s="22"/>
      <c r="K931" s="22"/>
      <c r="L931" s="23"/>
    </row>
    <row r="932">
      <c r="J932" s="22"/>
      <c r="K932" s="22"/>
      <c r="L932" s="23"/>
    </row>
    <row r="933">
      <c r="J933" s="22"/>
      <c r="K933" s="22"/>
      <c r="L933" s="23"/>
    </row>
    <row r="934">
      <c r="J934" s="22"/>
      <c r="K934" s="22"/>
      <c r="L934" s="23"/>
    </row>
    <row r="935">
      <c r="J935" s="22"/>
      <c r="K935" s="22"/>
      <c r="L935" s="23"/>
    </row>
    <row r="936">
      <c r="J936" s="22"/>
      <c r="K936" s="22"/>
      <c r="L936" s="23"/>
    </row>
    <row r="937">
      <c r="J937" s="22"/>
      <c r="K937" s="22"/>
      <c r="L937" s="23"/>
    </row>
    <row r="938">
      <c r="J938" s="22"/>
      <c r="K938" s="22"/>
      <c r="L938" s="23"/>
    </row>
    <row r="939">
      <c r="J939" s="22"/>
      <c r="K939" s="22"/>
      <c r="L939" s="23"/>
    </row>
    <row r="940">
      <c r="J940" s="22"/>
      <c r="K940" s="22"/>
      <c r="L940" s="23"/>
    </row>
    <row r="941">
      <c r="J941" s="22"/>
      <c r="K941" s="22"/>
      <c r="L941" s="23"/>
    </row>
    <row r="942">
      <c r="J942" s="22"/>
      <c r="K942" s="22"/>
      <c r="L942" s="23"/>
    </row>
    <row r="943">
      <c r="J943" s="22"/>
      <c r="K943" s="22"/>
      <c r="L943" s="23"/>
    </row>
    <row r="944">
      <c r="J944" s="22"/>
      <c r="K944" s="22"/>
      <c r="L944" s="23"/>
    </row>
    <row r="945">
      <c r="J945" s="22"/>
      <c r="K945" s="22"/>
      <c r="L945" s="23"/>
    </row>
    <row r="946">
      <c r="J946" s="22"/>
      <c r="K946" s="22"/>
      <c r="L946" s="23"/>
    </row>
    <row r="947">
      <c r="J947" s="22"/>
      <c r="K947" s="22"/>
      <c r="L947" s="23"/>
    </row>
    <row r="948">
      <c r="J948" s="22"/>
      <c r="K948" s="22"/>
      <c r="L948" s="23"/>
    </row>
    <row r="949">
      <c r="J949" s="22"/>
      <c r="K949" s="22"/>
      <c r="L949" s="23"/>
    </row>
    <row r="950">
      <c r="J950" s="22"/>
      <c r="K950" s="22"/>
      <c r="L950" s="23"/>
    </row>
    <row r="951">
      <c r="J951" s="22"/>
      <c r="K951" s="22"/>
      <c r="L951" s="23"/>
    </row>
    <row r="952">
      <c r="J952" s="22"/>
      <c r="K952" s="22"/>
      <c r="L952" s="23"/>
    </row>
    <row r="953">
      <c r="J953" s="22"/>
      <c r="K953" s="22"/>
      <c r="L953" s="23"/>
    </row>
    <row r="954">
      <c r="J954" s="22"/>
      <c r="K954" s="22"/>
      <c r="L954" s="23"/>
    </row>
    <row r="955">
      <c r="J955" s="22"/>
      <c r="K955" s="22"/>
      <c r="L955" s="23"/>
    </row>
    <row r="956">
      <c r="J956" s="22"/>
      <c r="K956" s="22"/>
      <c r="L956" s="23"/>
    </row>
    <row r="957">
      <c r="J957" s="22"/>
      <c r="K957" s="22"/>
      <c r="L957" s="23"/>
    </row>
    <row r="958">
      <c r="J958" s="22"/>
      <c r="K958" s="22"/>
      <c r="L958" s="23"/>
    </row>
    <row r="959">
      <c r="J959" s="22"/>
      <c r="K959" s="22"/>
      <c r="L959" s="23"/>
    </row>
    <row r="960">
      <c r="J960" s="22"/>
      <c r="K960" s="22"/>
      <c r="L960" s="23"/>
    </row>
    <row r="961">
      <c r="J961" s="22"/>
      <c r="K961" s="22"/>
      <c r="L961" s="23"/>
    </row>
    <row r="962">
      <c r="J962" s="22"/>
      <c r="K962" s="22"/>
      <c r="L962" s="23"/>
    </row>
    <row r="963">
      <c r="J963" s="22"/>
      <c r="K963" s="22"/>
      <c r="L963" s="23"/>
    </row>
    <row r="964">
      <c r="J964" s="22"/>
      <c r="K964" s="22"/>
      <c r="L964" s="23"/>
    </row>
    <row r="965">
      <c r="J965" s="22"/>
      <c r="K965" s="22"/>
      <c r="L965" s="23"/>
    </row>
    <row r="966">
      <c r="J966" s="22"/>
      <c r="K966" s="22"/>
      <c r="L966" s="23"/>
    </row>
    <row r="967">
      <c r="J967" s="22"/>
      <c r="K967" s="22"/>
      <c r="L967" s="23"/>
    </row>
    <row r="968">
      <c r="J968" s="22"/>
      <c r="K968" s="22"/>
      <c r="L968" s="23"/>
    </row>
    <row r="969">
      <c r="J969" s="22"/>
      <c r="K969" s="22"/>
      <c r="L969" s="23"/>
    </row>
    <row r="970">
      <c r="J970" s="22"/>
      <c r="K970" s="22"/>
      <c r="L970" s="23"/>
    </row>
    <row r="971">
      <c r="J971" s="22"/>
      <c r="K971" s="22"/>
      <c r="L971" s="23"/>
    </row>
    <row r="972">
      <c r="J972" s="22"/>
      <c r="K972" s="22"/>
      <c r="L972" s="23"/>
    </row>
    <row r="973">
      <c r="J973" s="22"/>
      <c r="K973" s="22"/>
      <c r="L973" s="23"/>
    </row>
    <row r="974">
      <c r="J974" s="22"/>
      <c r="K974" s="22"/>
      <c r="L974" s="23"/>
    </row>
    <row r="975">
      <c r="J975" s="22"/>
      <c r="K975" s="22"/>
      <c r="L975" s="23"/>
    </row>
    <row r="976">
      <c r="J976" s="22"/>
      <c r="K976" s="22"/>
      <c r="L976" s="23"/>
    </row>
    <row r="977">
      <c r="J977" s="22"/>
      <c r="K977" s="22"/>
      <c r="L977" s="23"/>
    </row>
    <row r="978">
      <c r="J978" s="22"/>
      <c r="K978" s="22"/>
      <c r="L978" s="23"/>
    </row>
    <row r="979">
      <c r="J979" s="22"/>
      <c r="K979" s="22"/>
      <c r="L979" s="23"/>
    </row>
    <row r="980">
      <c r="J980" s="22"/>
      <c r="K980" s="22"/>
      <c r="L980" s="23"/>
    </row>
    <row r="981">
      <c r="J981" s="22"/>
      <c r="K981" s="22"/>
      <c r="L981" s="23"/>
    </row>
    <row r="982">
      <c r="J982" s="22"/>
      <c r="K982" s="22"/>
      <c r="L982" s="23"/>
    </row>
    <row r="983">
      <c r="J983" s="22"/>
      <c r="K983" s="22"/>
      <c r="L983" s="23"/>
    </row>
    <row r="984">
      <c r="J984" s="22"/>
      <c r="K984" s="22"/>
      <c r="L984" s="23"/>
    </row>
    <row r="985">
      <c r="J985" s="22"/>
      <c r="K985" s="22"/>
      <c r="L985" s="23"/>
    </row>
    <row r="986">
      <c r="J986" s="22"/>
      <c r="K986" s="22"/>
      <c r="L986" s="23"/>
    </row>
    <row r="987">
      <c r="J987" s="22"/>
      <c r="K987" s="22"/>
      <c r="L987" s="23"/>
    </row>
    <row r="988">
      <c r="J988" s="22"/>
      <c r="K988" s="22"/>
      <c r="L988" s="23"/>
    </row>
    <row r="989">
      <c r="J989" s="22"/>
      <c r="K989" s="22"/>
      <c r="L989" s="23"/>
    </row>
    <row r="990">
      <c r="J990" s="22"/>
      <c r="K990" s="22"/>
      <c r="L990" s="23"/>
    </row>
    <row r="991">
      <c r="J991" s="22"/>
      <c r="K991" s="22"/>
      <c r="L991" s="23"/>
    </row>
    <row r="992">
      <c r="J992" s="22"/>
      <c r="K992" s="22"/>
      <c r="L992" s="23"/>
    </row>
    <row r="993">
      <c r="J993" s="22"/>
      <c r="K993" s="22"/>
      <c r="L993" s="23"/>
    </row>
    <row r="994">
      <c r="J994" s="22"/>
      <c r="K994" s="22"/>
      <c r="L994" s="23"/>
    </row>
    <row r="995">
      <c r="J995" s="22"/>
      <c r="K995" s="22"/>
      <c r="L995" s="23"/>
    </row>
    <row r="996">
      <c r="J996" s="22"/>
      <c r="K996" s="22"/>
      <c r="L996" s="23"/>
    </row>
    <row r="997">
      <c r="J997" s="22"/>
      <c r="K997" s="22"/>
      <c r="L997" s="23"/>
    </row>
    <row r="998">
      <c r="J998" s="22"/>
      <c r="K998" s="22"/>
      <c r="L998" s="23"/>
    </row>
    <row r="999">
      <c r="J999" s="22"/>
      <c r="K999" s="22"/>
      <c r="L999" s="23"/>
    </row>
    <row r="1000">
      <c r="J1000" s="22"/>
      <c r="K1000" s="22"/>
      <c r="L1000" s="23"/>
    </row>
  </sheetData>
  <conditionalFormatting sqref="D1:D1000">
    <cfRule type="expression" dxfId="2" priority="1">
      <formula>D1=MAX($D$2:$D$1000)</formula>
    </cfRule>
  </conditionalFormatting>
  <conditionalFormatting sqref="E1:F1000">
    <cfRule type="expression" dxfId="3" priority="2">
      <formula>E1=MAX($E$2:$E$1000)</formula>
    </cfRule>
  </conditionalFormatting>
  <conditionalFormatting sqref="F1:F1000">
    <cfRule type="expression" dxfId="3" priority="3">
      <formula>F1=MAX($F$2:$F$1000)</formula>
    </cfRule>
  </conditionalFormatting>
  <conditionalFormatting sqref="C1:C1000">
    <cfRule type="expression" dxfId="2" priority="4">
      <formula>C1=MAX($C$2:$C$1000)</formula>
    </cfRule>
  </conditionalFormatting>
  <conditionalFormatting sqref="B1:B1000">
    <cfRule type="expression" dxfId="4" priority="5">
      <formula>B1=MAX($B$2:$B$1000)</formula>
    </cfRule>
  </conditionalFormatting>
  <conditionalFormatting sqref="G1:G1000">
    <cfRule type="expression" dxfId="2" priority="6">
      <formula>G1=MIN($G$2:$G$1000)</formula>
    </cfRule>
  </conditionalFormatting>
  <conditionalFormatting sqref="H1:H1000 I2:I25">
    <cfRule type="expression" dxfId="3" priority="7">
      <formula>H1=MAX($H$2:$H$1000)</formula>
    </cfRule>
  </conditionalFormatting>
  <conditionalFormatting sqref="I1:J1000">
    <cfRule type="expression" dxfId="4" priority="8">
      <formula>I1=MAX($J$2:$J$1000)</formula>
    </cfRule>
  </conditionalFormatting>
  <conditionalFormatting sqref="I1:I1000">
    <cfRule type="expression" dxfId="3" priority="9">
      <formula>I1=MAX($I$2:$I$1000)</formula>
    </cfRule>
  </conditionalFormatting>
  <conditionalFormatting sqref="I1:I1000">
    <cfRule type="expression" dxfId="0" priority="10">
      <formula>I1=MIN($I$2:$I$1000)</formula>
    </cfRule>
  </conditionalFormatting>
  <conditionalFormatting sqref="K1:K1000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5"/>
    <col customWidth="1" min="2" max="11" width="7.38"/>
    <col customWidth="1" min="12" max="12" width="7.0"/>
    <col customWidth="1" min="13" max="32" width="7.38"/>
  </cols>
  <sheetData>
    <row r="1">
      <c r="A1" s="24" t="s">
        <v>102</v>
      </c>
      <c r="B1" s="24" t="s">
        <v>91</v>
      </c>
      <c r="C1" s="24" t="s">
        <v>92</v>
      </c>
      <c r="D1" s="25" t="s">
        <v>93</v>
      </c>
      <c r="E1" s="24" t="s">
        <v>94</v>
      </c>
      <c r="F1" s="25" t="s">
        <v>95</v>
      </c>
      <c r="G1" s="24" t="s">
        <v>96</v>
      </c>
      <c r="H1" s="24" t="s">
        <v>97</v>
      </c>
      <c r="I1" s="26" t="s">
        <v>98</v>
      </c>
      <c r="J1" s="24" t="s">
        <v>99</v>
      </c>
      <c r="K1" s="24" t="s">
        <v>100</v>
      </c>
      <c r="L1" s="27" t="s">
        <v>101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>
      <c r="A2" s="28" t="str">
        <f>('Pivot (dont edit)'!A4)</f>
        <v>aa</v>
      </c>
      <c r="B2" s="22">
        <f>count('Pivot (dont edit)'!4:4)</f>
        <v>1</v>
      </c>
      <c r="C2" s="22">
        <f>COUNTIF('Raw Games'!AL:AL,$A2)</f>
        <v>0</v>
      </c>
      <c r="D2" s="29" t="str">
        <f>IF($B2&gt;'Constants (dont edit)'!$B$3,C2/$B2,"")</f>
        <v/>
      </c>
      <c r="E2" s="22">
        <f>COUNTIF('Raw Games'!AM:AM,$A2)</f>
        <v>0</v>
      </c>
      <c r="F2" s="29" t="str">
        <f>IF($B2&gt;'Constants (dont edit)'!$B$3,E2/$B2,"")</f>
        <v/>
      </c>
      <c r="G2" s="22">
        <f>MIN('Pivot (dont edit)'!4:4)</f>
        <v>150</v>
      </c>
      <c r="H2" s="22">
        <f>MAX('Pivot (dont edit)'!4:4)</f>
        <v>150</v>
      </c>
      <c r="I2" s="30" t="str">
        <f>if(AND(B2&gt;='Constants (dont edit)'!$B$4,SUM('Pivot (dont edit)'!4:4)&gt;0), AVERAGE('Pivot (dont edit)'!4:4), "")</f>
        <v/>
      </c>
      <c r="J2" s="22">
        <f>sum('Pivot (dont edit)'!4:4)</f>
        <v>150</v>
      </c>
      <c r="K2" s="22">
        <f t="shared" ref="K2:K29" si="1">RANK(L2,L:L)</f>
        <v>11</v>
      </c>
      <c r="L2" s="31">
        <f>IF($B2&gt;'Constants (dont edit)'!$B$3,(SUMIF('Raw Games'!AL:AL,$A2,'Raw Games'!AN:AN)-SUMIF('Raw Games'!AM:AM,$A2,'Raw Games'!AN:AN)/B2)/B2,0)</f>
        <v>0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>
      <c r="A3" s="28" t="str">
        <f>('Pivot (dont edit)'!A5)</f>
        <v>Alizé</v>
      </c>
      <c r="B3" s="22">
        <f>count('Pivot (dont edit)'!5:5)</f>
        <v>1</v>
      </c>
      <c r="C3" s="22">
        <f>COUNTIF('Raw Games'!AL:AL,$A3)</f>
        <v>0</v>
      </c>
      <c r="D3" s="29" t="str">
        <f>IF($B3&gt;'Constants (dont edit)'!$B$3,C3/$B3,"")</f>
        <v/>
      </c>
      <c r="E3" s="22">
        <f>COUNTIF('Raw Games'!AM:AM,$A3)</f>
        <v>0</v>
      </c>
      <c r="F3" s="29" t="str">
        <f>IF($B3&gt;'Constants (dont edit)'!$B$3,E3/$B3,"")</f>
        <v/>
      </c>
      <c r="G3" s="22">
        <f>MIN('Pivot (dont edit)'!5:5)</f>
        <v>355</v>
      </c>
      <c r="H3" s="22">
        <f>MAX('Pivot (dont edit)'!5:5)</f>
        <v>355</v>
      </c>
      <c r="I3" s="30" t="str">
        <f>if(AND(B3&gt;='Constants (dont edit)'!$B$4,SUM('Pivot (dont edit)'!5:5)&gt;0), AVERAGE('Pivot (dont edit)'!5:5), "")</f>
        <v/>
      </c>
      <c r="J3" s="22">
        <f>sum('Pivot (dont edit)'!5:5)</f>
        <v>355</v>
      </c>
      <c r="K3" s="22">
        <f t="shared" si="1"/>
        <v>11</v>
      </c>
      <c r="L3" s="31">
        <f>IF($B3&gt;'Constants (dont edit)'!$B$3,(SUMIF('Raw Games'!AL:AL,$A3,'Raw Games'!AN:AN)-SUMIF('Raw Games'!AM:AM,$A3,'Raw Games'!AN:AN)/B3)/B3,0)</f>
        <v>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>
      <c r="A4" s="28" t="str">
        <f>('Pivot (dont edit)'!A6)</f>
        <v>Allyn</v>
      </c>
      <c r="B4" s="22">
        <f>count('Pivot (dont edit)'!6:6)</f>
        <v>9</v>
      </c>
      <c r="C4" s="22">
        <f>COUNTIF('Raw Games'!AL:AL,$A4)</f>
        <v>2</v>
      </c>
      <c r="D4" s="29" t="str">
        <f>IF($B4&gt;'Constants (dont edit)'!$B$3,C4/$B4,"")</f>
        <v/>
      </c>
      <c r="E4" s="22">
        <f>COUNTIF('Raw Games'!AM:AM,$A4)</f>
        <v>3</v>
      </c>
      <c r="F4" s="29" t="str">
        <f>IF($B4&gt;'Constants (dont edit)'!$B$3,E4/$B4,"")</f>
        <v/>
      </c>
      <c r="G4" s="22">
        <f>MIN('Pivot (dont edit)'!6:6)</f>
        <v>80</v>
      </c>
      <c r="H4" s="22">
        <f>MAX('Pivot (dont edit)'!6:6)</f>
        <v>750</v>
      </c>
      <c r="I4" s="30">
        <f>if(AND(B4&gt;='Constants (dont edit)'!$B$4,SUM('Pivot (dont edit)'!6:6)&gt;0), AVERAGE('Pivot (dont edit)'!6:6), "")</f>
        <v>378.8888889</v>
      </c>
      <c r="J4" s="22">
        <f>sum('Pivot (dont edit)'!6:6)</f>
        <v>3410</v>
      </c>
      <c r="K4" s="22">
        <f t="shared" si="1"/>
        <v>11</v>
      </c>
      <c r="L4" s="31">
        <f>IF($B4&gt;'Constants (dont edit)'!$B$3,(SUMIF('Raw Games'!AL:AL,$A4,'Raw Games'!AN:AN)-SUMIF('Raw Games'!AM:AM,$A4,'Raw Games'!AN:AN)/B4)/B4,0)</f>
        <v>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>
      <c r="A5" s="28" t="str">
        <f>('Pivot (dont edit)'!A7)</f>
        <v>Bo</v>
      </c>
      <c r="B5" s="22">
        <f>count('Pivot (dont edit)'!7:7)</f>
        <v>1</v>
      </c>
      <c r="C5" s="22">
        <f>COUNTIF('Raw Games'!AL:AL,$A5)</f>
        <v>0</v>
      </c>
      <c r="D5" s="29" t="str">
        <f>IF($B5&gt;'Constants (dont edit)'!$B$3,C5/$B5,"")</f>
        <v/>
      </c>
      <c r="E5" s="22">
        <f>COUNTIF('Raw Games'!AM:AM,$A5)</f>
        <v>0</v>
      </c>
      <c r="F5" s="29" t="str">
        <f>IF($B5&gt;'Constants (dont edit)'!$B$3,E5/$B5,"")</f>
        <v/>
      </c>
      <c r="G5" s="22">
        <f>MIN('Pivot (dont edit)'!7:7)</f>
        <v>390</v>
      </c>
      <c r="H5" s="22">
        <f>MAX('Pivot (dont edit)'!7:7)</f>
        <v>390</v>
      </c>
      <c r="I5" s="30" t="str">
        <f>if(AND(B5&gt;='Constants (dont edit)'!$B$4,SUM('Pivot (dont edit)'!7:7)&gt;0), AVERAGE('Pivot (dont edit)'!7:7), "")</f>
        <v/>
      </c>
      <c r="J5" s="22">
        <f>sum('Pivot (dont edit)'!7:7)</f>
        <v>390</v>
      </c>
      <c r="K5" s="22">
        <f t="shared" si="1"/>
        <v>11</v>
      </c>
      <c r="L5" s="31">
        <f>IF($B5&gt;'Constants (dont edit)'!$B$3,(SUMIF('Raw Games'!AL:AL,$A5,'Raw Games'!AN:AN)-SUMIF('Raw Games'!AM:AM,$A5,'Raw Games'!AN:AN)/B5)/B5,0)</f>
        <v>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>
      <c r="A6" s="28" t="str">
        <f>('Pivot (dont edit)'!A8)</f>
        <v>Candace</v>
      </c>
      <c r="B6" s="22">
        <f>count('Pivot (dont edit)'!8:8)</f>
        <v>3</v>
      </c>
      <c r="C6" s="22">
        <f>COUNTIF('Raw Games'!AL:AL,$A6)</f>
        <v>1</v>
      </c>
      <c r="D6" s="29" t="str">
        <f>IF($B6&gt;'Constants (dont edit)'!$B$3,C6/$B6,"")</f>
        <v/>
      </c>
      <c r="E6" s="22">
        <f>COUNTIF('Raw Games'!AM:AM,$A6)</f>
        <v>0</v>
      </c>
      <c r="F6" s="29" t="str">
        <f>IF($B6&gt;'Constants (dont edit)'!$B$3,E6/$B6,"")</f>
        <v/>
      </c>
      <c r="G6" s="22">
        <f>MIN('Pivot (dont edit)'!8:8)</f>
        <v>170</v>
      </c>
      <c r="H6" s="22">
        <f>MAX('Pivot (dont edit)'!8:8)</f>
        <v>540</v>
      </c>
      <c r="I6" s="30">
        <f>if(AND(B6&gt;='Constants (dont edit)'!$B$4,SUM('Pivot (dont edit)'!8:8)&gt;0), AVERAGE('Pivot (dont edit)'!8:8), "")</f>
        <v>376.6666667</v>
      </c>
      <c r="J6" s="22">
        <f>sum('Pivot (dont edit)'!8:8)</f>
        <v>1130</v>
      </c>
      <c r="K6" s="22">
        <f t="shared" si="1"/>
        <v>11</v>
      </c>
      <c r="L6" s="31">
        <f>IF($B6&gt;'Constants (dont edit)'!$B$3,(SUMIF('Raw Games'!AL:AL,$A6,'Raw Games'!AN:AN)-SUMIF('Raw Games'!AM:AM,$A6,'Raw Games'!AN:AN)/B6)/B6,0)</f>
        <v>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>
      <c r="A7" s="28" t="str">
        <f>('Pivot (dont edit)'!A9)</f>
        <v>Charlene</v>
      </c>
      <c r="B7" s="22">
        <f>count('Pivot (dont edit)'!9:9)</f>
        <v>342</v>
      </c>
      <c r="C7" s="22">
        <f>COUNTIF('Raw Games'!AL:AL,$A7)</f>
        <v>89</v>
      </c>
      <c r="D7" s="29">
        <f>IF($B7&gt;'Constants (dont edit)'!$B$3,C7/$B7,"")</f>
        <v>0.2602339181</v>
      </c>
      <c r="E7" s="22">
        <f>COUNTIF('Raw Games'!AM:AM,$A7)</f>
        <v>75</v>
      </c>
      <c r="F7" s="29">
        <f>IF($B7&gt;'Constants (dont edit)'!$B$3,E7/$B7,"")</f>
        <v>0.2192982456</v>
      </c>
      <c r="G7" s="22">
        <f>MIN('Pivot (dont edit)'!9:9)</f>
        <v>45</v>
      </c>
      <c r="H7" s="22">
        <f>MAX('Pivot (dont edit)'!9:9)</f>
        <v>1020</v>
      </c>
      <c r="I7" s="30">
        <f>if(AND(B7&gt;='Constants (dont edit)'!$B$4,SUM('Pivot (dont edit)'!9:9)&gt;0), AVERAGE('Pivot (dont edit)'!9:9), "")</f>
        <v>416.9590643</v>
      </c>
      <c r="J7" s="22">
        <f>sum('Pivot (dont edit)'!9:9)</f>
        <v>142600</v>
      </c>
      <c r="K7" s="22">
        <f t="shared" si="1"/>
        <v>5</v>
      </c>
      <c r="L7" s="31">
        <f>IF($B7&gt;'Constants (dont edit)'!$B$3,(SUMIF('Raw Games'!AL:AL,$A7,'Raw Games'!AN:AN)-SUMIF('Raw Games'!AM:AM,$A7,'Raw Games'!AN:AN)/B7)/B7,0)</f>
        <v>1.0734585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>
      <c r="A8" s="28" t="str">
        <f>('Pivot (dont edit)'!A10)</f>
        <v>Clelia</v>
      </c>
      <c r="B8" s="22">
        <f>count('Pivot (dont edit)'!10:10)</f>
        <v>3</v>
      </c>
      <c r="C8" s="22">
        <f>COUNTIF('Raw Games'!AL:AL,$A8)</f>
        <v>0</v>
      </c>
      <c r="D8" s="29" t="str">
        <f>IF($B8&gt;'Constants (dont edit)'!$B$3,C8/$B8,"")</f>
        <v/>
      </c>
      <c r="E8" s="22">
        <f>COUNTIF('Raw Games'!AM:AM,$A8)</f>
        <v>1</v>
      </c>
      <c r="F8" s="29" t="str">
        <f>IF($B8&gt;'Constants (dont edit)'!$B$3,E8/$B8,"")</f>
        <v/>
      </c>
      <c r="G8" s="22">
        <f>MIN('Pivot (dont edit)'!10:10)</f>
        <v>205</v>
      </c>
      <c r="H8" s="22">
        <f>MAX('Pivot (dont edit)'!10:10)</f>
        <v>645</v>
      </c>
      <c r="I8" s="30">
        <f>if(AND(B8&gt;='Constants (dont edit)'!$B$4,SUM('Pivot (dont edit)'!10:10)&gt;0), AVERAGE('Pivot (dont edit)'!10:10), "")</f>
        <v>395</v>
      </c>
      <c r="J8" s="22">
        <f>sum('Pivot (dont edit)'!10:10)</f>
        <v>1185</v>
      </c>
      <c r="K8" s="22">
        <f t="shared" si="1"/>
        <v>11</v>
      </c>
      <c r="L8" s="31">
        <f>IF($B8&gt;'Constants (dont edit)'!$B$3,(SUMIF('Raw Games'!AL:AL,$A8,'Raw Games'!AN:AN)-SUMIF('Raw Games'!AM:AM,$A8,'Raw Games'!AN:AN)/B8)/B8,0)</f>
        <v>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>
      <c r="A9" s="28" t="str">
        <f>('Pivot (dont edit)'!A11)</f>
        <v>David</v>
      </c>
      <c r="B9" s="22">
        <f>count('Pivot (dont edit)'!11:11)</f>
        <v>493</v>
      </c>
      <c r="C9" s="22">
        <f>COUNTIF('Raw Games'!AL:AL,$A9)</f>
        <v>148</v>
      </c>
      <c r="D9" s="29">
        <f>IF($B9&gt;'Constants (dont edit)'!$B$3,C9/$B9,"")</f>
        <v>0.3002028398</v>
      </c>
      <c r="E9" s="22">
        <f>COUNTIF('Raw Games'!AM:AM,$A9)</f>
        <v>98</v>
      </c>
      <c r="F9" s="29">
        <f>IF($B9&gt;'Constants (dont edit)'!$B$3,E9/$B9,"")</f>
        <v>0.1987829615</v>
      </c>
      <c r="G9" s="22">
        <f>MIN('Pivot (dont edit)'!11:11)</f>
        <v>5</v>
      </c>
      <c r="H9" s="22">
        <f>MAX('Pivot (dont edit)'!11:11)</f>
        <v>1080</v>
      </c>
      <c r="I9" s="30">
        <f>if(AND(B9&gt;='Constants (dont edit)'!$B$4,SUM('Pivot (dont edit)'!11:11)&gt;0), AVERAGE('Pivot (dont edit)'!11:11), "")</f>
        <v>396.8762677</v>
      </c>
      <c r="J9" s="22">
        <f>sum('Pivot (dont edit)'!11:11)</f>
        <v>195660</v>
      </c>
      <c r="K9" s="22">
        <f t="shared" si="1"/>
        <v>3</v>
      </c>
      <c r="L9" s="31">
        <f>IF($B9&gt;'Constants (dont edit)'!$B$3,(SUMIF('Raw Games'!AL:AL,$A9,'Raw Games'!AN:AN)-SUMIF('Raw Games'!AM:AM,$A9,'Raw Games'!AN:AN)/B9)/B9,0)</f>
        <v>1.138387733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>
      <c r="A10" s="28" t="str">
        <f>('Pivot (dont edit)'!A12)</f>
        <v>Debby</v>
      </c>
      <c r="B10" s="22">
        <f>count('Pivot (dont edit)'!12:12)</f>
        <v>184</v>
      </c>
      <c r="C10" s="22">
        <f>COUNTIF('Raw Games'!AL:AL,$A10)</f>
        <v>43</v>
      </c>
      <c r="D10" s="29">
        <f>IF($B10&gt;'Constants (dont edit)'!$B$3,C10/$B10,"")</f>
        <v>0.2336956522</v>
      </c>
      <c r="E10" s="22">
        <f>COUNTIF('Raw Games'!AM:AM,$A10)</f>
        <v>55</v>
      </c>
      <c r="F10" s="29">
        <f>IF($B10&gt;'Constants (dont edit)'!$B$3,E10/$B10,"")</f>
        <v>0.2989130435</v>
      </c>
      <c r="G10" s="22">
        <f>MIN('Pivot (dont edit)'!12:12)</f>
        <v>25</v>
      </c>
      <c r="H10" s="22">
        <f>MAX('Pivot (dont edit)'!12:12)</f>
        <v>1025</v>
      </c>
      <c r="I10" s="30">
        <f>if(AND(B10&gt;='Constants (dont edit)'!$B$4,SUM('Pivot (dont edit)'!12:12)&gt;0), AVERAGE('Pivot (dont edit)'!12:12), "")</f>
        <v>459.1304348</v>
      </c>
      <c r="J10" s="22">
        <f>sum('Pivot (dont edit)'!12:12)</f>
        <v>84480</v>
      </c>
      <c r="K10" s="22">
        <f t="shared" si="1"/>
        <v>7</v>
      </c>
      <c r="L10" s="31">
        <f>IF($B10&gt;'Constants (dont edit)'!$B$3,(SUMIF('Raw Games'!AL:AL,$A10,'Raw Games'!AN:AN)-SUMIF('Raw Games'!AM:AM,$A10,'Raw Games'!AN:AN)/B10)/B10,0)</f>
        <v>0.9771089319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>
      <c r="A11" s="28" t="str">
        <f>('Pivot (dont edit)'!A13)</f>
        <v>Espy</v>
      </c>
      <c r="B11" s="22">
        <f>count('Pivot (dont edit)'!13:13)</f>
        <v>7</v>
      </c>
      <c r="C11" s="22">
        <f>COUNTIF('Raw Games'!AL:AL,$A11)</f>
        <v>0</v>
      </c>
      <c r="D11" s="29" t="str">
        <f>IF($B11&gt;'Constants (dont edit)'!$B$3,C11/$B11,"")</f>
        <v/>
      </c>
      <c r="E11" s="22">
        <f>COUNTIF('Raw Games'!AM:AM,$A11)</f>
        <v>3</v>
      </c>
      <c r="F11" s="29" t="str">
        <f>IF($B11&gt;'Constants (dont edit)'!$B$3,E11/$B11,"")</f>
        <v/>
      </c>
      <c r="G11" s="22">
        <f>MIN('Pivot (dont edit)'!13:13)</f>
        <v>345</v>
      </c>
      <c r="H11" s="22">
        <f>MAX('Pivot (dont edit)'!13:13)</f>
        <v>730</v>
      </c>
      <c r="I11" s="30">
        <f>if(AND(B11&gt;='Constants (dont edit)'!$B$4,SUM('Pivot (dont edit)'!13:13)&gt;0), AVERAGE('Pivot (dont edit)'!13:13), "")</f>
        <v>562.1428571</v>
      </c>
      <c r="J11" s="22">
        <f>sum('Pivot (dont edit)'!13:13)</f>
        <v>3935</v>
      </c>
      <c r="K11" s="22">
        <f t="shared" si="1"/>
        <v>11</v>
      </c>
      <c r="L11" s="31">
        <f>IF($B11&gt;'Constants (dont edit)'!$B$3,(SUMIF('Raw Games'!AL:AL,$A11,'Raw Games'!AN:AN)-SUMIF('Raw Games'!AM:AM,$A11,'Raw Games'!AN:AN)/B11)/B11,0)</f>
        <v>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>
      <c r="A12" s="28" t="str">
        <f>('Pivot (dont edit)'!A14)</f>
        <v>Jack</v>
      </c>
      <c r="B12" s="22">
        <f>count('Pivot (dont edit)'!14:14)</f>
        <v>6</v>
      </c>
      <c r="C12" s="22">
        <f>COUNTIF('Raw Games'!AL:AL,$A12)</f>
        <v>1</v>
      </c>
      <c r="D12" s="29" t="str">
        <f>IF($B12&gt;'Constants (dont edit)'!$B$3,C12/$B12,"")</f>
        <v/>
      </c>
      <c r="E12" s="22">
        <f>COUNTIF('Raw Games'!AM:AM,$A12)</f>
        <v>2</v>
      </c>
      <c r="F12" s="29" t="str">
        <f>IF($B12&gt;'Constants (dont edit)'!$B$3,E12/$B12,"")</f>
        <v/>
      </c>
      <c r="G12" s="22">
        <f>MIN('Pivot (dont edit)'!14:14)</f>
        <v>300</v>
      </c>
      <c r="H12" s="22">
        <f>MAX('Pivot (dont edit)'!14:14)</f>
        <v>630</v>
      </c>
      <c r="I12" s="30">
        <f>if(AND(B12&gt;='Constants (dont edit)'!$B$4,SUM('Pivot (dont edit)'!14:14)&gt;0), AVERAGE('Pivot (dont edit)'!14:14), "")</f>
        <v>457.5</v>
      </c>
      <c r="J12" s="22">
        <f>sum('Pivot (dont edit)'!14:14)</f>
        <v>2745</v>
      </c>
      <c r="K12" s="22">
        <f t="shared" si="1"/>
        <v>11</v>
      </c>
      <c r="L12" s="31">
        <f>IF($B12&gt;'Constants (dont edit)'!$B$3,(SUMIF('Raw Games'!AL:AL,$A12,'Raw Games'!AN:AN)-SUMIF('Raw Games'!AM:AM,$A12,'Raw Games'!AN:AN)/B12)/B12,0)</f>
        <v>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>
      <c r="A13" s="28" t="str">
        <f>('Pivot (dont edit)'!A15)</f>
        <v>Jake</v>
      </c>
      <c r="B13" s="22">
        <f>count('Pivot (dont edit)'!15:15)</f>
        <v>1</v>
      </c>
      <c r="C13" s="22">
        <f>COUNTIF('Raw Games'!AL:AL,$A13)</f>
        <v>0</v>
      </c>
      <c r="D13" s="29" t="str">
        <f>IF($B13&gt;'Constants (dont edit)'!$B$3,C13/$B13,"")</f>
        <v/>
      </c>
      <c r="E13" s="22">
        <f>COUNTIF('Raw Games'!AM:AM,$A13)</f>
        <v>1</v>
      </c>
      <c r="F13" s="29" t="str">
        <f>IF($B13&gt;'Constants (dont edit)'!$B$3,E13/$B13,"")</f>
        <v/>
      </c>
      <c r="G13" s="22">
        <f>MIN('Pivot (dont edit)'!15:15)</f>
        <v>620</v>
      </c>
      <c r="H13" s="22">
        <f>MAX('Pivot (dont edit)'!15:15)</f>
        <v>620</v>
      </c>
      <c r="I13" s="30" t="str">
        <f>if(AND(B13&gt;='Constants (dont edit)'!$B$4,SUM('Pivot (dont edit)'!15:15)&gt;0), AVERAGE('Pivot (dont edit)'!15:15), "")</f>
        <v/>
      </c>
      <c r="J13" s="22">
        <f>sum('Pivot (dont edit)'!15:15)</f>
        <v>620</v>
      </c>
      <c r="K13" s="22">
        <f t="shared" si="1"/>
        <v>11</v>
      </c>
      <c r="L13" s="31">
        <f>IF($B13&gt;'Constants (dont edit)'!$B$3,(SUMIF('Raw Games'!AL:AL,$A13,'Raw Games'!AN:AN)-SUMIF('Raw Games'!AM:AM,$A13,'Raw Games'!AN:AN)/B13)/B13,0)</f>
        <v>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>
      <c r="A14" s="28" t="str">
        <f>('Pivot (dont edit)'!A16)</f>
        <v>Jan</v>
      </c>
      <c r="B14" s="22">
        <f>count('Pivot (dont edit)'!16:16)</f>
        <v>3</v>
      </c>
      <c r="C14" s="22">
        <f>COUNTIF('Raw Games'!AL:AL,$A14)</f>
        <v>1</v>
      </c>
      <c r="D14" s="29" t="str">
        <f>IF($B14&gt;'Constants (dont edit)'!$B$3,C14/$B14,"")</f>
        <v/>
      </c>
      <c r="E14" s="22">
        <f>COUNTIF('Raw Games'!AM:AM,$A14)</f>
        <v>0</v>
      </c>
      <c r="F14" s="29" t="str">
        <f>IF($B14&gt;'Constants (dont edit)'!$B$3,E14/$B14,"")</f>
        <v/>
      </c>
      <c r="G14" s="22">
        <f>MIN('Pivot (dont edit)'!16:16)</f>
        <v>425</v>
      </c>
      <c r="H14" s="22">
        <f>MAX('Pivot (dont edit)'!16:16)</f>
        <v>755</v>
      </c>
      <c r="I14" s="30">
        <f>if(AND(B14&gt;='Constants (dont edit)'!$B$4,SUM('Pivot (dont edit)'!16:16)&gt;0), AVERAGE('Pivot (dont edit)'!16:16), "")</f>
        <v>538.3333333</v>
      </c>
      <c r="J14" s="22">
        <f>sum('Pivot (dont edit)'!16:16)</f>
        <v>1615</v>
      </c>
      <c r="K14" s="22">
        <f t="shared" si="1"/>
        <v>11</v>
      </c>
      <c r="L14" s="31">
        <f>IF($B14&gt;'Constants (dont edit)'!$B$3,(SUMIF('Raw Games'!AL:AL,$A14,'Raw Games'!AN:AN)-SUMIF('Raw Games'!AM:AM,$A14,'Raw Games'!AN:AN)/B14)/B14,0)</f>
        <v>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>
      <c r="A15" s="28" t="str">
        <f>('Pivot (dont edit)'!A17)</f>
        <v>Jeff M</v>
      </c>
      <c r="B15" s="22">
        <f>count('Pivot (dont edit)'!17:17)</f>
        <v>81</v>
      </c>
      <c r="C15" s="22">
        <f>COUNTIF('Raw Games'!AL:AL,$A15)</f>
        <v>23</v>
      </c>
      <c r="D15" s="29">
        <f>IF($B15&gt;'Constants (dont edit)'!$B$3,C15/$B15,"")</f>
        <v>0.2839506173</v>
      </c>
      <c r="E15" s="22">
        <f>COUNTIF('Raw Games'!AM:AM,$A15)</f>
        <v>26</v>
      </c>
      <c r="F15" s="29">
        <f>IF($B15&gt;'Constants (dont edit)'!$B$3,E15/$B15,"")</f>
        <v>0.3209876543</v>
      </c>
      <c r="G15" s="22">
        <f>MIN('Pivot (dont edit)'!17:17)</f>
        <v>15</v>
      </c>
      <c r="H15" s="22">
        <f>MAX('Pivot (dont edit)'!17:17)</f>
        <v>1310</v>
      </c>
      <c r="I15" s="30">
        <f>if(AND(B15&gt;='Constants (dont edit)'!$B$4,SUM('Pivot (dont edit)'!17:17)&gt;0), AVERAGE('Pivot (dont edit)'!17:17), "")</f>
        <v>428.4567901</v>
      </c>
      <c r="J15" s="22">
        <f>sum('Pivot (dont edit)'!17:17)</f>
        <v>34705</v>
      </c>
      <c r="K15" s="22">
        <f t="shared" si="1"/>
        <v>2</v>
      </c>
      <c r="L15" s="31">
        <f>IF($B15&gt;'Constants (dont edit)'!$B$3,(SUMIF('Raw Games'!AL:AL,$A15,'Raw Games'!AN:AN)-SUMIF('Raw Games'!AM:AM,$A15,'Raw Games'!AN:AN)/B15)/B15,0)</f>
        <v>1.156683432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>
      <c r="A16" s="28" t="str">
        <f>('Pivot (dont edit)'!A18)</f>
        <v>Jeff P</v>
      </c>
      <c r="B16" s="22">
        <f>count('Pivot (dont edit)'!18:18)</f>
        <v>1</v>
      </c>
      <c r="C16" s="22">
        <f>COUNTIF('Raw Games'!AL:AL,$A16)</f>
        <v>0</v>
      </c>
      <c r="D16" s="29" t="str">
        <f>IF($B16&gt;'Constants (dont edit)'!$B$3,C16/$B16,"")</f>
        <v/>
      </c>
      <c r="E16" s="22">
        <f>COUNTIF('Raw Games'!AM:AM,$A16)</f>
        <v>1</v>
      </c>
      <c r="F16" s="29" t="str">
        <f>IF($B16&gt;'Constants (dont edit)'!$B$3,E16/$B16,"")</f>
        <v/>
      </c>
      <c r="G16" s="22">
        <f>MIN('Pivot (dont edit)'!18:18)</f>
        <v>1155</v>
      </c>
      <c r="H16" s="22">
        <f>MAX('Pivot (dont edit)'!18:18)</f>
        <v>1155</v>
      </c>
      <c r="I16" s="30" t="str">
        <f>if(AND(B16&gt;='Constants (dont edit)'!$B$4,SUM('Pivot (dont edit)'!18:18)&gt;0), AVERAGE('Pivot (dont edit)'!18:18), "")</f>
        <v/>
      </c>
      <c r="J16" s="22">
        <f>sum('Pivot (dont edit)'!18:18)</f>
        <v>1155</v>
      </c>
      <c r="K16" s="22">
        <f t="shared" si="1"/>
        <v>11</v>
      </c>
      <c r="L16" s="31">
        <f>IF($B16&gt;'Constants (dont edit)'!$B$3,(SUMIF('Raw Games'!AL:AL,$A16,'Raw Games'!AN:AN)-SUMIF('Raw Games'!AM:AM,$A16,'Raw Games'!AN:AN)/B16)/B16,0)</f>
        <v>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>
      <c r="A17" s="28" t="str">
        <f>('Pivot (dont edit)'!A19)</f>
        <v>Jeremy</v>
      </c>
      <c r="B17" s="22">
        <f>count('Pivot (dont edit)'!19:19)</f>
        <v>2</v>
      </c>
      <c r="C17" s="22">
        <f>COUNTIF('Raw Games'!AL:AL,$A17)</f>
        <v>1</v>
      </c>
      <c r="D17" s="29" t="str">
        <f>IF($B17&gt;'Constants (dont edit)'!$B$3,C17/$B17,"")</f>
        <v/>
      </c>
      <c r="E17" s="22">
        <f>COUNTIF('Raw Games'!AM:AM,$A17)</f>
        <v>0</v>
      </c>
      <c r="F17" s="29" t="str">
        <f>IF($B17&gt;'Constants (dont edit)'!$B$3,E17/$B17,"")</f>
        <v/>
      </c>
      <c r="G17" s="22">
        <f>MIN('Pivot (dont edit)'!19:19)</f>
        <v>400</v>
      </c>
      <c r="H17" s="22">
        <f>MAX('Pivot (dont edit)'!19:19)</f>
        <v>645</v>
      </c>
      <c r="I17" s="30" t="str">
        <f>if(AND(B17&gt;='Constants (dont edit)'!$B$4,SUM('Pivot (dont edit)'!19:19)&gt;0), AVERAGE('Pivot (dont edit)'!19:19), "")</f>
        <v/>
      </c>
      <c r="J17" s="22">
        <f>sum('Pivot (dont edit)'!19:19)</f>
        <v>1045</v>
      </c>
      <c r="K17" s="22">
        <f t="shared" si="1"/>
        <v>11</v>
      </c>
      <c r="L17" s="31">
        <f>IF($B17&gt;'Constants (dont edit)'!$B$3,(SUMIF('Raw Games'!AL:AL,$A17,'Raw Games'!AN:AN)-SUMIF('Raw Games'!AM:AM,$A17,'Raw Games'!AN:AN)/B17)/B17,0)</f>
        <v>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>
      <c r="A18" s="28" t="str">
        <f>('Pivot (dont edit)'!A20)</f>
        <v>Jordan</v>
      </c>
      <c r="B18" s="22">
        <f>count('Pivot (dont edit)'!20:20)</f>
        <v>2</v>
      </c>
      <c r="C18" s="22">
        <f>COUNTIF('Raw Games'!AL:AL,$A18)</f>
        <v>0</v>
      </c>
      <c r="D18" s="29" t="str">
        <f>IF($B18&gt;'Constants (dont edit)'!$B$3,C18/$B18,"")</f>
        <v/>
      </c>
      <c r="E18" s="22">
        <f>COUNTIF('Raw Games'!AM:AM,$A18)</f>
        <v>2</v>
      </c>
      <c r="F18" s="29" t="str">
        <f>IF($B18&gt;'Constants (dont edit)'!$B$3,E18/$B18,"")</f>
        <v/>
      </c>
      <c r="G18" s="22">
        <f>MIN('Pivot (dont edit)'!20:20)</f>
        <v>675</v>
      </c>
      <c r="H18" s="22">
        <f>MAX('Pivot (dont edit)'!20:20)</f>
        <v>905</v>
      </c>
      <c r="I18" s="30" t="str">
        <f>if(AND(B18&gt;='Constants (dont edit)'!$B$4,SUM('Pivot (dont edit)'!20:20)&gt;0), AVERAGE('Pivot (dont edit)'!20:20), "")</f>
        <v/>
      </c>
      <c r="J18" s="22">
        <f>sum('Pivot (dont edit)'!20:20)</f>
        <v>1580</v>
      </c>
      <c r="K18" s="22">
        <f t="shared" si="1"/>
        <v>11</v>
      </c>
      <c r="L18" s="31">
        <f>IF($B18&gt;'Constants (dont edit)'!$B$3,(SUMIF('Raw Games'!AL:AL,$A18,'Raw Games'!AN:AN)-SUMIF('Raw Games'!AM:AM,$A18,'Raw Games'!AN:AN)/B18)/B18,0)</f>
        <v>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>
      <c r="A19" s="28" t="str">
        <f>('Pivot (dont edit)'!A21)</f>
        <v>Karenina</v>
      </c>
      <c r="B19" s="22">
        <f>count('Pivot (dont edit)'!21:21)</f>
        <v>18</v>
      </c>
      <c r="C19" s="22">
        <f>COUNTIF('Raw Games'!AL:AL,$A19)</f>
        <v>6</v>
      </c>
      <c r="D19" s="29">
        <f>IF($B19&gt;'Constants (dont edit)'!$B$3,C19/$B19,"")</f>
        <v>0.3333333333</v>
      </c>
      <c r="E19" s="22">
        <f>COUNTIF('Raw Games'!AM:AM,$A19)</f>
        <v>2</v>
      </c>
      <c r="F19" s="29">
        <f>IF($B19&gt;'Constants (dont edit)'!$B$3,E19/$B19,"")</f>
        <v>0.1111111111</v>
      </c>
      <c r="G19" s="22">
        <f>MIN('Pivot (dont edit)'!21:21)</f>
        <v>60</v>
      </c>
      <c r="H19" s="22">
        <f>MAX('Pivot (dont edit)'!21:21)</f>
        <v>800</v>
      </c>
      <c r="I19" s="30">
        <f>if(AND(B19&gt;='Constants (dont edit)'!$B$4,SUM('Pivot (dont edit)'!21:21)&gt;0), AVERAGE('Pivot (dont edit)'!21:21), "")</f>
        <v>359.4444444</v>
      </c>
      <c r="J19" s="22">
        <f>sum('Pivot (dont edit)'!21:21)</f>
        <v>6470</v>
      </c>
      <c r="K19" s="22">
        <f t="shared" si="1"/>
        <v>1</v>
      </c>
      <c r="L19" s="31">
        <f>IF($B19&gt;'Constants (dont edit)'!$B$3,(SUMIF('Raw Games'!AL:AL,$A19,'Raw Games'!AN:AN)-SUMIF('Raw Games'!AM:AM,$A19,'Raw Games'!AN:AN)/B19)/B19,0)</f>
        <v>1.583333333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>
      <c r="A20" s="28" t="str">
        <f>('Pivot (dont edit)'!A22)</f>
        <v>Karen</v>
      </c>
      <c r="B20" s="22">
        <f>count('Pivot (dont edit)'!22:22)</f>
        <v>34</v>
      </c>
      <c r="C20" s="22">
        <f>COUNTIF('Raw Games'!AL:AL,$A20)</f>
        <v>9</v>
      </c>
      <c r="D20" s="29">
        <f>IF($B20&gt;'Constants (dont edit)'!$B$3,C20/$B20,"")</f>
        <v>0.2647058824</v>
      </c>
      <c r="E20" s="22">
        <f>COUNTIF('Raw Games'!AM:AM,$A20)</f>
        <v>12</v>
      </c>
      <c r="F20" s="29">
        <f>IF($B20&gt;'Constants (dont edit)'!$B$3,E20/$B20,"")</f>
        <v>0.3529411765</v>
      </c>
      <c r="G20" s="22">
        <f>MIN('Pivot (dont edit)'!22:22)</f>
        <v>55</v>
      </c>
      <c r="H20" s="22">
        <f>MAX('Pivot (dont edit)'!22:22)</f>
        <v>890</v>
      </c>
      <c r="I20" s="30">
        <f>if(AND(B20&gt;='Constants (dont edit)'!$B$4,SUM('Pivot (dont edit)'!22:22)&gt;0), AVERAGE('Pivot (dont edit)'!22:22), "")</f>
        <v>430.1470588</v>
      </c>
      <c r="J20" s="22">
        <f>sum('Pivot (dont edit)'!22:22)</f>
        <v>14625</v>
      </c>
      <c r="K20" s="22">
        <f t="shared" si="1"/>
        <v>4</v>
      </c>
      <c r="L20" s="31">
        <f>IF($B20&gt;'Constants (dont edit)'!$B$3,(SUMIF('Raw Games'!AL:AL,$A20,'Raw Games'!AN:AN)-SUMIF('Raw Games'!AM:AM,$A20,'Raw Games'!AN:AN)/B20)/B20,0)</f>
        <v>1.103806228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>
      <c r="A21" s="28" t="str">
        <f>('Pivot (dont edit)'!A23)</f>
        <v>Kas</v>
      </c>
      <c r="B21" s="22">
        <f>count('Pivot (dont edit)'!23:23)</f>
        <v>6</v>
      </c>
      <c r="C21" s="22">
        <f>COUNTIF('Raw Games'!AL:AL,$A21)</f>
        <v>0</v>
      </c>
      <c r="D21" s="29" t="str">
        <f>IF($B21&gt;'Constants (dont edit)'!$B$3,C21/$B21,"")</f>
        <v/>
      </c>
      <c r="E21" s="22">
        <f>COUNTIF('Raw Games'!AM:AM,$A21)</f>
        <v>1</v>
      </c>
      <c r="F21" s="29" t="str">
        <f>IF($B21&gt;'Constants (dont edit)'!$B$3,E21/$B21,"")</f>
        <v/>
      </c>
      <c r="G21" s="22">
        <f>MIN('Pivot (dont edit)'!23:23)</f>
        <v>365</v>
      </c>
      <c r="H21" s="22">
        <f>MAX('Pivot (dont edit)'!23:23)</f>
        <v>830</v>
      </c>
      <c r="I21" s="30">
        <f>if(AND(B21&gt;='Constants (dont edit)'!$B$4,SUM('Pivot (dont edit)'!23:23)&gt;0), AVERAGE('Pivot (dont edit)'!23:23), "")</f>
        <v>618.3333333</v>
      </c>
      <c r="J21" s="22">
        <f>sum('Pivot (dont edit)'!23:23)</f>
        <v>3710</v>
      </c>
      <c r="K21" s="22">
        <f t="shared" si="1"/>
        <v>11</v>
      </c>
      <c r="L21" s="31">
        <f>IF($B21&gt;'Constants (dont edit)'!$B$3,(SUMIF('Raw Games'!AL:AL,$A21,'Raw Games'!AN:AN)-SUMIF('Raw Games'!AM:AM,$A21,'Raw Games'!AN:AN)/B21)/B21,0)</f>
        <v>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>
      <c r="A22" s="28" t="str">
        <f>('Pivot (dont edit)'!A24)</f>
        <v>Melissa</v>
      </c>
      <c r="B22" s="22">
        <f>count('Pivot (dont edit)'!24:24)</f>
        <v>5</v>
      </c>
      <c r="C22" s="22">
        <f>COUNTIF('Raw Games'!AL:AL,$A22)</f>
        <v>1</v>
      </c>
      <c r="D22" s="29" t="str">
        <f>IF($B22&gt;'Constants (dont edit)'!$B$3,C22/$B22,"")</f>
        <v/>
      </c>
      <c r="E22" s="22">
        <f>COUNTIF('Raw Games'!AM:AM,$A22)</f>
        <v>2</v>
      </c>
      <c r="F22" s="29" t="str">
        <f>IF($B22&gt;'Constants (dont edit)'!$B$3,E22/$B22,"")</f>
        <v/>
      </c>
      <c r="G22" s="22">
        <f>MIN('Pivot (dont edit)'!24:24)</f>
        <v>215</v>
      </c>
      <c r="H22" s="22">
        <f>MAX('Pivot (dont edit)'!24:24)</f>
        <v>740</v>
      </c>
      <c r="I22" s="30">
        <f>if(AND(B22&gt;='Constants (dont edit)'!$B$4,SUM('Pivot (dont edit)'!24:24)&gt;0), AVERAGE('Pivot (dont edit)'!24:24), "")</f>
        <v>518</v>
      </c>
      <c r="J22" s="22">
        <f>sum('Pivot (dont edit)'!24:24)</f>
        <v>2590</v>
      </c>
      <c r="K22" s="22">
        <f t="shared" si="1"/>
        <v>11</v>
      </c>
      <c r="L22" s="31">
        <f>IF($B22&gt;'Constants (dont edit)'!$B$3,(SUMIF('Raw Games'!AL:AL,$A22,'Raw Games'!AN:AN)-SUMIF('Raw Games'!AM:AM,$A22,'Raw Games'!AN:AN)/B22)/B22,0)</f>
        <v>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>
      <c r="A23" s="28" t="str">
        <f>('Pivot (dont edit)'!A25)</f>
        <v>Nancy</v>
      </c>
      <c r="B23" s="22">
        <f>count('Pivot (dont edit)'!25:25)</f>
        <v>514</v>
      </c>
      <c r="C23" s="22">
        <f>COUNTIF('Raw Games'!AL:AL,$A23)</f>
        <v>137</v>
      </c>
      <c r="D23" s="29">
        <f>IF($B23&gt;'Constants (dont edit)'!$B$3,C23/$B23,"")</f>
        <v>0.266536965</v>
      </c>
      <c r="E23" s="22">
        <f>COUNTIF('Raw Games'!AM:AM,$A23)</f>
        <v>114</v>
      </c>
      <c r="F23" s="29">
        <f>IF($B23&gt;'Constants (dont edit)'!$B$3,E23/$B23,"")</f>
        <v>0.2217898833</v>
      </c>
      <c r="G23" s="22">
        <f>MIN('Pivot (dont edit)'!25:25)</f>
        <v>30</v>
      </c>
      <c r="H23" s="22">
        <f>MAX('Pivot (dont edit)'!25:25)</f>
        <v>1100</v>
      </c>
      <c r="I23" s="30">
        <f>if(AND(B23&gt;='Constants (dont edit)'!$B$4,SUM('Pivot (dont edit)'!25:25)&gt;0), AVERAGE('Pivot (dont edit)'!25:25), "")</f>
        <v>406.0389105</v>
      </c>
      <c r="J23" s="22">
        <f>sum('Pivot (dont edit)'!25:25)</f>
        <v>208704</v>
      </c>
      <c r="K23" s="22">
        <f t="shared" si="1"/>
        <v>6</v>
      </c>
      <c r="L23" s="31">
        <f>IF($B23&gt;'Constants (dont edit)'!$B$3,(SUMIF('Raw Games'!AL:AL,$A23,'Raw Games'!AN:AN)-SUMIF('Raw Games'!AM:AM,$A23,'Raw Games'!AN:AN)/B23)/B23,0)</f>
        <v>1.0275553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>
      <c r="A24" s="28" t="str">
        <f>('Pivot (dont edit)'!A26)</f>
        <v>Ray</v>
      </c>
      <c r="B24" s="22">
        <f>count('Pivot (dont edit)'!26:26)</f>
        <v>4</v>
      </c>
      <c r="C24" s="22">
        <f>COUNTIF('Raw Games'!AL:AL,$A24)</f>
        <v>0</v>
      </c>
      <c r="D24" s="29" t="str">
        <f>IF($B24&gt;'Constants (dont edit)'!$B$3,C24/$B24,"")</f>
        <v/>
      </c>
      <c r="E24" s="22">
        <f>COUNTIF('Raw Games'!AM:AM,$A24)</f>
        <v>1</v>
      </c>
      <c r="F24" s="29" t="str">
        <f>IF($B24&gt;'Constants (dont edit)'!$B$3,E24/$B24,"")</f>
        <v/>
      </c>
      <c r="G24" s="22">
        <f>MIN('Pivot (dont edit)'!26:26)</f>
        <v>110</v>
      </c>
      <c r="H24" s="22">
        <f>MAX('Pivot (dont edit)'!26:26)</f>
        <v>775</v>
      </c>
      <c r="I24" s="30">
        <f>if(AND(B24&gt;='Constants (dont edit)'!$B$4,SUM('Pivot (dont edit)'!26:26)&gt;0), AVERAGE('Pivot (dont edit)'!26:26), "")</f>
        <v>412.5</v>
      </c>
      <c r="J24" s="22">
        <f>sum('Pivot (dont edit)'!26:26)</f>
        <v>1650</v>
      </c>
      <c r="K24" s="22">
        <f t="shared" si="1"/>
        <v>11</v>
      </c>
      <c r="L24" s="31">
        <f>IF($B24&gt;'Constants (dont edit)'!$B$3,(SUMIF('Raw Games'!AL:AL,$A24,'Raw Games'!AN:AN)-SUMIF('Raw Games'!AM:AM,$A24,'Raw Games'!AN:AN)/B24)/B24,0)</f>
        <v>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>
      <c r="A25" s="28" t="str">
        <f>('Pivot (dont edit)'!A27)</f>
        <v>Sally</v>
      </c>
      <c r="B25" s="22">
        <f>count('Pivot (dont edit)'!27:27)</f>
        <v>207</v>
      </c>
      <c r="C25" s="22">
        <f>COUNTIF('Raw Games'!AL:AL,$A25)</f>
        <v>45</v>
      </c>
      <c r="D25" s="29">
        <f>IF($B25&gt;'Constants (dont edit)'!$B$3,C25/$B25,"")</f>
        <v>0.2173913043</v>
      </c>
      <c r="E25" s="22">
        <f>COUNTIF('Raw Games'!AM:AM,$A25)</f>
        <v>78</v>
      </c>
      <c r="F25" s="29">
        <f>IF($B25&gt;'Constants (dont edit)'!$B$3,E25/$B25,"")</f>
        <v>0.3768115942</v>
      </c>
      <c r="G25" s="22">
        <f>MIN('Pivot (dont edit)'!27:27)</f>
        <v>40</v>
      </c>
      <c r="H25" s="22">
        <f>MAX('Pivot (dont edit)'!27:27)</f>
        <v>1185</v>
      </c>
      <c r="I25" s="30">
        <f>if(AND(B25&gt;='Constants (dont edit)'!$B$4,SUM('Pivot (dont edit)'!27:27)&gt;0), AVERAGE('Pivot (dont edit)'!27:27), "")</f>
        <v>446.7149758</v>
      </c>
      <c r="J25" s="22">
        <f>sum('Pivot (dont edit)'!27:27)</f>
        <v>92470</v>
      </c>
      <c r="K25" s="22">
        <f t="shared" si="1"/>
        <v>8</v>
      </c>
      <c r="L25" s="31">
        <f>IF($B25&gt;'Constants (dont edit)'!$B$3,(SUMIF('Raw Games'!AL:AL,$A25,'Raw Games'!AN:AN)-SUMIF('Raw Games'!AM:AM,$A25,'Raw Games'!AN:AN)/B25)/B25,0)</f>
        <v>0.766108894</v>
      </c>
      <c r="M25" s="28" t="str">
        <f>('Pivot (dont edit)'!M27)</f>
        <v/>
      </c>
      <c r="N25" s="22">
        <f>count('Pivot (dont edit)'!27:27)</f>
        <v>207</v>
      </c>
      <c r="O25" s="22">
        <f>COUNTIF('Raw Games'!AX:AX,$A25)</f>
        <v>0</v>
      </c>
      <c r="P25" s="29">
        <f>IF($B25&gt;'Constants (dont edit)'!$B$3,O25/$B25,"")</f>
        <v>0</v>
      </c>
      <c r="Q25" s="22">
        <f>COUNTIF('Raw Games'!AY:AY,$A25)</f>
        <v>0</v>
      </c>
      <c r="R25" s="29">
        <f>IF($B25&gt;'Constants (dont edit)'!$B$3,Q25/$B25,"")</f>
        <v>0</v>
      </c>
      <c r="S25" s="22">
        <f>MIN('Pivot (dont edit)'!27:27)</f>
        <v>40</v>
      </c>
      <c r="T25" s="22">
        <f>MAX('Pivot (dont edit)'!27:27)</f>
        <v>1185</v>
      </c>
      <c r="U25" s="30">
        <f>if(AND(N25&gt;='Constants (dont edit)'!$B$4,SUM('Pivot (dont edit)'!27:27)&gt;0), AVERAGE('Pivot (dont edit)'!27:27), "")</f>
        <v>446.7149758</v>
      </c>
      <c r="V25" s="22">
        <f>sum('Pivot (dont edit)'!27:27)</f>
        <v>92470</v>
      </c>
      <c r="W25" s="22">
        <f t="shared" ref="W25:W29" si="2">RANK(X25,X:X)</f>
        <v>1</v>
      </c>
      <c r="X25" s="31">
        <f>IF($B25&gt;'Constants (dont edit)'!$B$3,(SUMIF('Raw Games'!AX:AX,$A25,'Raw Games'!AZ:AZ)-SUMIF('Raw Games'!AY:AY,$A25,'Raw Games'!AZ:AZ)/N25)/N25,0)</f>
        <v>0</v>
      </c>
      <c r="Y25" s="28" t="str">
        <f>('Pivot (dont edit)'!Y27)</f>
        <v/>
      </c>
      <c r="Z25" s="22">
        <f>count('Pivot (dont edit)'!27:27)</f>
        <v>207</v>
      </c>
      <c r="AA25" s="22">
        <f>COUNTIF('Raw Games'!BJ:BJ,$A25)</f>
        <v>0</v>
      </c>
      <c r="AB25" s="29">
        <f>IF($B25&gt;'Constants (dont edit)'!$B$3,AA25/$B25,"")</f>
        <v>0</v>
      </c>
      <c r="AC25" s="22">
        <f>COUNTIF('Raw Games'!BK:BK,$A25)</f>
        <v>0</v>
      </c>
      <c r="AD25" s="29">
        <f>IF($B25&gt;'Constants (dont edit)'!$B$3,AC25/$B25,"")</f>
        <v>0</v>
      </c>
      <c r="AE25" s="22">
        <f>MIN('Pivot (dont edit)'!27:27)</f>
        <v>40</v>
      </c>
      <c r="AF25" s="22">
        <f>MAX('Pivot (dont edit)'!27:27)</f>
        <v>1185</v>
      </c>
    </row>
    <row r="26">
      <c r="A26" s="28" t="str">
        <f>('Pivot (dont edit)'!A28)</f>
        <v>Sandy</v>
      </c>
      <c r="B26" s="22">
        <f>count('Pivot (dont edit)'!28:28)</f>
        <v>138</v>
      </c>
      <c r="C26" s="22">
        <f>COUNTIF('Raw Games'!AL:AL,$A26)</f>
        <v>21</v>
      </c>
      <c r="D26" s="29">
        <f>IF($B26&gt;'Constants (dont edit)'!$B$3,C26/$B26,"")</f>
        <v>0.152173913</v>
      </c>
      <c r="E26" s="22">
        <f>COUNTIF('Raw Games'!AM:AM,$A26)</f>
        <v>43</v>
      </c>
      <c r="F26" s="29">
        <f>IF($B26&gt;'Constants (dont edit)'!$B$3,E26/$B26,"")</f>
        <v>0.3115942029</v>
      </c>
      <c r="G26" s="22">
        <f>MIN('Pivot (dont edit)'!28:28)</f>
        <v>40</v>
      </c>
      <c r="H26" s="22">
        <f>MAX('Pivot (dont edit)'!28:28)</f>
        <v>1120</v>
      </c>
      <c r="I26" s="30">
        <f>if(AND(B26&gt;='Constants (dont edit)'!$B$4,SUM('Pivot (dont edit)'!28:28)&gt;0), AVERAGE('Pivot (dont edit)'!28:28), "")</f>
        <v>501.884058</v>
      </c>
      <c r="J26" s="22">
        <f>sum('Pivot (dont edit)'!28:28)</f>
        <v>69260</v>
      </c>
      <c r="K26" s="22">
        <f t="shared" si="1"/>
        <v>10</v>
      </c>
      <c r="L26" s="31">
        <f>IF($B26&gt;'Constants (dont edit)'!$B$3,(SUMIF('Raw Games'!AL:AL,$A26,'Raw Games'!AN:AN)-SUMIF('Raw Games'!AM:AM,$A26,'Raw Games'!AN:AN)/B26)/B26,0)</f>
        <v>0.6570048309</v>
      </c>
      <c r="M26" s="28" t="str">
        <f>('Pivot (dont edit)'!M28)</f>
        <v/>
      </c>
      <c r="N26" s="22">
        <f>count('Pivot (dont edit)'!28:28)</f>
        <v>138</v>
      </c>
      <c r="O26" s="22">
        <f>COUNTIF('Raw Games'!AX:AX,$A26)</f>
        <v>0</v>
      </c>
      <c r="P26" s="29">
        <f>IF($B26&gt;'Constants (dont edit)'!$B$3,O26/$B26,"")</f>
        <v>0</v>
      </c>
      <c r="Q26" s="22">
        <f>COUNTIF('Raw Games'!AY:AY,$A26)</f>
        <v>0</v>
      </c>
      <c r="R26" s="29">
        <f>IF($B26&gt;'Constants (dont edit)'!$B$3,Q26/$B26,"")</f>
        <v>0</v>
      </c>
      <c r="S26" s="22">
        <f>MIN('Pivot (dont edit)'!28:28)</f>
        <v>40</v>
      </c>
      <c r="T26" s="22">
        <f>MAX('Pivot (dont edit)'!28:28)</f>
        <v>1120</v>
      </c>
      <c r="U26" s="30">
        <f>if(AND(N26&gt;='Constants (dont edit)'!$B$4,SUM('Pivot (dont edit)'!28:28)&gt;0), AVERAGE('Pivot (dont edit)'!28:28), "")</f>
        <v>501.884058</v>
      </c>
      <c r="V26" s="22">
        <f>sum('Pivot (dont edit)'!28:28)</f>
        <v>69260</v>
      </c>
      <c r="W26" s="22">
        <f t="shared" si="2"/>
        <v>1</v>
      </c>
      <c r="X26" s="31">
        <f>IF($B26&gt;'Constants (dont edit)'!$B$3,(SUMIF('Raw Games'!AX:AX,$A26,'Raw Games'!AZ:AZ)-SUMIF('Raw Games'!AY:AY,$A26,'Raw Games'!AZ:AZ)/N26)/N26,0)</f>
        <v>0</v>
      </c>
      <c r="Y26" s="28">
        <f>('Pivot (dont edit)'!Y28)</f>
        <v>895</v>
      </c>
      <c r="Z26" s="22">
        <f>count('Pivot (dont edit)'!28:28)</f>
        <v>138</v>
      </c>
      <c r="AA26" s="22">
        <f>COUNTIF('Raw Games'!BJ:BJ,$A26)</f>
        <v>0</v>
      </c>
      <c r="AB26" s="29">
        <f>IF($B26&gt;'Constants (dont edit)'!$B$3,AA26/$B26,"")</f>
        <v>0</v>
      </c>
      <c r="AC26" s="22">
        <f>COUNTIF('Raw Games'!BK:BK,$A26)</f>
        <v>0</v>
      </c>
      <c r="AD26" s="29">
        <f>IF($B26&gt;'Constants (dont edit)'!$B$3,AC26/$B26,"")</f>
        <v>0</v>
      </c>
      <c r="AE26" s="22">
        <f>MIN('Pivot (dont edit)'!28:28)</f>
        <v>40</v>
      </c>
      <c r="AF26" s="22">
        <f>MAX('Pivot (dont edit)'!28:28)</f>
        <v>1120</v>
      </c>
    </row>
    <row r="27">
      <c r="A27" s="28" t="str">
        <f>('Pivot (dont edit)'!A29)</f>
        <v>Sara</v>
      </c>
      <c r="B27" s="22">
        <f>count('Pivot (dont edit)'!29:29)</f>
        <v>26</v>
      </c>
      <c r="C27" s="22">
        <f>COUNTIF('Raw Games'!AL:AL,$A27)</f>
        <v>5</v>
      </c>
      <c r="D27" s="29">
        <f>IF($B27&gt;'Constants (dont edit)'!$B$3,C27/$B27,"")</f>
        <v>0.1923076923</v>
      </c>
      <c r="E27" s="22">
        <f>COUNTIF('Raw Games'!AM:AM,$A27)</f>
        <v>7</v>
      </c>
      <c r="F27" s="29">
        <f>IF($B27&gt;'Constants (dont edit)'!$B$3,E27/$B27,"")</f>
        <v>0.2692307692</v>
      </c>
      <c r="G27" s="22">
        <f>MIN('Pivot (dont edit)'!29:29)</f>
        <v>45</v>
      </c>
      <c r="H27" s="22">
        <f>MAX('Pivot (dont edit)'!29:29)</f>
        <v>940</v>
      </c>
      <c r="I27" s="30">
        <f>if(AND(B27&gt;='Constants (dont edit)'!$B$4,SUM('Pivot (dont edit)'!29:29)&gt;0), AVERAGE('Pivot (dont edit)'!29:29), "")</f>
        <v>367.6923077</v>
      </c>
      <c r="J27" s="22">
        <f>sum('Pivot (dont edit)'!29:29)</f>
        <v>9560</v>
      </c>
      <c r="K27" s="22">
        <f t="shared" si="1"/>
        <v>9</v>
      </c>
      <c r="L27" s="31">
        <f>IF($B27&gt;'Constants (dont edit)'!$B$3,(SUMIF('Raw Games'!AL:AL,$A27,'Raw Games'!AN:AN)-SUMIF('Raw Games'!AM:AM,$A27,'Raw Games'!AN:AN)/B27)/B27,0)</f>
        <v>0.6923076923</v>
      </c>
      <c r="M27" s="28" t="str">
        <f>('Pivot (dont edit)'!M29)</f>
        <v/>
      </c>
      <c r="N27" s="22">
        <f>count('Pivot (dont edit)'!29:29)</f>
        <v>26</v>
      </c>
      <c r="O27" s="22">
        <f>COUNTIF('Raw Games'!AX:AX,$A27)</f>
        <v>0</v>
      </c>
      <c r="P27" s="29">
        <f>IF($B27&gt;'Constants (dont edit)'!$B$3,O27/$B27,"")</f>
        <v>0</v>
      </c>
      <c r="Q27" s="22">
        <f>COUNTIF('Raw Games'!AY:AY,$A27)</f>
        <v>0</v>
      </c>
      <c r="R27" s="29">
        <f>IF($B27&gt;'Constants (dont edit)'!$B$3,Q27/$B27,"")</f>
        <v>0</v>
      </c>
      <c r="S27" s="22">
        <f>MIN('Pivot (dont edit)'!29:29)</f>
        <v>45</v>
      </c>
      <c r="T27" s="22">
        <f>MAX('Pivot (dont edit)'!29:29)</f>
        <v>940</v>
      </c>
      <c r="U27" s="30">
        <f>if(AND(N27&gt;='Constants (dont edit)'!$B$4,SUM('Pivot (dont edit)'!29:29)&gt;0), AVERAGE('Pivot (dont edit)'!29:29), "")</f>
        <v>367.6923077</v>
      </c>
      <c r="V27" s="22">
        <f>sum('Pivot (dont edit)'!29:29)</f>
        <v>9560</v>
      </c>
      <c r="W27" s="22">
        <f t="shared" si="2"/>
        <v>1</v>
      </c>
      <c r="X27" s="31">
        <f>IF($B27&gt;'Constants (dont edit)'!$B$3,(SUMIF('Raw Games'!AX:AX,$A27,'Raw Games'!AZ:AZ)-SUMIF('Raw Games'!AY:AY,$A27,'Raw Games'!AZ:AZ)/N27)/N27,0)</f>
        <v>0</v>
      </c>
      <c r="Y27" s="28" t="str">
        <f>('Pivot (dont edit)'!Y29)</f>
        <v/>
      </c>
      <c r="Z27" s="22">
        <f>count('Pivot (dont edit)'!29:29)</f>
        <v>26</v>
      </c>
      <c r="AA27" s="22">
        <f>COUNTIF('Raw Games'!BJ:BJ,$A27)</f>
        <v>0</v>
      </c>
      <c r="AB27" s="29">
        <f>IF($B27&gt;'Constants (dont edit)'!$B$3,AA27/$B27,"")</f>
        <v>0</v>
      </c>
      <c r="AC27" s="22">
        <f>COUNTIF('Raw Games'!BK:BK,$A27)</f>
        <v>0</v>
      </c>
      <c r="AD27" s="29">
        <f>IF($B27&gt;'Constants (dont edit)'!$B$3,AC27/$B27,"")</f>
        <v>0</v>
      </c>
      <c r="AE27" s="22">
        <f>MIN('Pivot (dont edit)'!29:29)</f>
        <v>45</v>
      </c>
      <c r="AF27" s="22">
        <f>MAX('Pivot (dont edit)'!29:29)</f>
        <v>940</v>
      </c>
    </row>
    <row r="28">
      <c r="A28" s="28" t="str">
        <f>('Pivot (dont edit)'!A30)</f>
        <v>Scott</v>
      </c>
      <c r="B28" s="22">
        <f>count('Pivot (dont edit)'!30:30)</f>
        <v>1</v>
      </c>
      <c r="C28" s="22">
        <f>COUNTIF('Raw Games'!AL:AL,$A28)</f>
        <v>0</v>
      </c>
      <c r="D28" s="29" t="str">
        <f>IF($B28&gt;'Constants (dont edit)'!$B$3,C28/$B28,"")</f>
        <v/>
      </c>
      <c r="E28" s="22">
        <f>COUNTIF('Raw Games'!AM:AM,$A28)</f>
        <v>1</v>
      </c>
      <c r="F28" s="29" t="str">
        <f>IF($B28&gt;'Constants (dont edit)'!$B$3,E28/$B28,"")</f>
        <v/>
      </c>
      <c r="G28" s="22">
        <f>MIN('Pivot (dont edit)'!30:30)</f>
        <v>380</v>
      </c>
      <c r="H28" s="22">
        <f>MAX('Pivot (dont edit)'!30:30)</f>
        <v>380</v>
      </c>
      <c r="I28" s="30" t="str">
        <f>if(AND(B28&gt;='Constants (dont edit)'!$B$4,SUM('Pivot (dont edit)'!30:30)&gt;0), AVERAGE('Pivot (dont edit)'!30:30), "")</f>
        <v/>
      </c>
      <c r="J28" s="22">
        <f>sum('Pivot (dont edit)'!30:30)</f>
        <v>380</v>
      </c>
      <c r="K28" s="22">
        <f t="shared" si="1"/>
        <v>11</v>
      </c>
      <c r="L28" s="31">
        <f>IF($B28&gt;'Constants (dont edit)'!$B$3,(SUMIF('Raw Games'!AL:AL,$A28,'Raw Games'!AN:AN)-SUMIF('Raw Games'!AM:AM,$A28,'Raw Games'!AN:AN)/B28)/B28,0)</f>
        <v>0</v>
      </c>
      <c r="M28" s="28" t="str">
        <f>('Pivot (dont edit)'!M30)</f>
        <v/>
      </c>
      <c r="N28" s="22">
        <f>count('Pivot (dont edit)'!30:30)</f>
        <v>1</v>
      </c>
      <c r="O28" s="22">
        <f>COUNTIF('Raw Games'!AX:AX,$A28)</f>
        <v>0</v>
      </c>
      <c r="P28" s="29" t="str">
        <f>IF($B28&gt;'Constants (dont edit)'!$B$3,O28/$B28,"")</f>
        <v/>
      </c>
      <c r="Q28" s="22">
        <f>COUNTIF('Raw Games'!AY:AY,$A28)</f>
        <v>0</v>
      </c>
      <c r="R28" s="29" t="str">
        <f>IF($B28&gt;'Constants (dont edit)'!$B$3,Q28/$B28,"")</f>
        <v/>
      </c>
      <c r="S28" s="22">
        <f>MIN('Pivot (dont edit)'!30:30)</f>
        <v>380</v>
      </c>
      <c r="T28" s="22">
        <f>MAX('Pivot (dont edit)'!30:30)</f>
        <v>380</v>
      </c>
      <c r="U28" s="30" t="str">
        <f>if(AND(N28&gt;='Constants (dont edit)'!$B$4,SUM('Pivot (dont edit)'!30:30)&gt;0), AVERAGE('Pivot (dont edit)'!30:30), "")</f>
        <v/>
      </c>
      <c r="V28" s="22">
        <f>sum('Pivot (dont edit)'!30:30)</f>
        <v>380</v>
      </c>
      <c r="W28" s="22">
        <f t="shared" si="2"/>
        <v>1</v>
      </c>
      <c r="X28" s="31">
        <f>IF($B28&gt;'Constants (dont edit)'!$B$3,(SUMIF('Raw Games'!AX:AX,$A28,'Raw Games'!AZ:AZ)-SUMIF('Raw Games'!AY:AY,$A28,'Raw Games'!AZ:AZ)/N28)/N28,0)</f>
        <v>0</v>
      </c>
      <c r="Y28" s="28" t="str">
        <f>('Pivot (dont edit)'!Y30)</f>
        <v/>
      </c>
      <c r="Z28" s="22">
        <f>count('Pivot (dont edit)'!30:30)</f>
        <v>1</v>
      </c>
      <c r="AA28" s="22">
        <f>COUNTIF('Raw Games'!BJ:BJ,$A28)</f>
        <v>0</v>
      </c>
      <c r="AB28" s="29" t="str">
        <f>IF($B28&gt;'Constants (dont edit)'!$B$3,AA28/$B28,"")</f>
        <v/>
      </c>
      <c r="AC28" s="22">
        <f>COUNTIF('Raw Games'!BK:BK,$A28)</f>
        <v>0</v>
      </c>
      <c r="AD28" s="29" t="str">
        <f>IF($B28&gt;'Constants (dont edit)'!$B$3,AC28/$B28,"")</f>
        <v/>
      </c>
      <c r="AE28" s="22">
        <f>MIN('Pivot (dont edit)'!30:30)</f>
        <v>380</v>
      </c>
      <c r="AF28" s="22">
        <f>MAX('Pivot (dont edit)'!30:30)</f>
        <v>380</v>
      </c>
    </row>
    <row r="29">
      <c r="A29" s="28" t="str">
        <f>('Pivot (dont edit)'!A31)</f>
        <v>Simon</v>
      </c>
      <c r="B29" s="22">
        <f>count('Pivot (dont edit)'!31:31)</f>
        <v>3</v>
      </c>
      <c r="C29" s="22">
        <f>COUNTIF('Raw Games'!AL:AL,$A29)</f>
        <v>0</v>
      </c>
      <c r="D29" s="29" t="str">
        <f>IF($B29&gt;'Constants (dont edit)'!$B$3,C29/$B29,"")</f>
        <v/>
      </c>
      <c r="E29" s="22">
        <f>COUNTIF('Raw Games'!AM:AM,$A29)</f>
        <v>0</v>
      </c>
      <c r="F29" s="29" t="str">
        <f>IF($B29&gt;'Constants (dont edit)'!$B$3,E29/$B29,"")</f>
        <v/>
      </c>
      <c r="G29" s="22">
        <f>MIN('Pivot (dont edit)'!31:31)</f>
        <v>100</v>
      </c>
      <c r="H29" s="22">
        <f>MAX('Pivot (dont edit)'!31:31)</f>
        <v>670</v>
      </c>
      <c r="I29" s="30">
        <f>if(AND(B29&gt;='Constants (dont edit)'!$B$4,SUM('Pivot (dont edit)'!31:31)&gt;0), AVERAGE('Pivot (dont edit)'!31:31), "")</f>
        <v>458.3333333</v>
      </c>
      <c r="J29" s="22">
        <f>sum('Pivot (dont edit)'!31:31)</f>
        <v>1375</v>
      </c>
      <c r="K29" s="22">
        <f t="shared" si="1"/>
        <v>11</v>
      </c>
      <c r="L29" s="31">
        <f>IF($B29&gt;'Constants (dont edit)'!$B$3,(SUMIF('Raw Games'!AL:AL,$A29,'Raw Games'!AN:AN)-SUMIF('Raw Games'!AM:AM,$A29,'Raw Games'!AN:AN)/B29)/B29,0)</f>
        <v>0</v>
      </c>
      <c r="M29" s="28" t="str">
        <f>('Pivot (dont edit)'!M31)</f>
        <v/>
      </c>
      <c r="N29" s="22">
        <f>count('Pivot (dont edit)'!31:31)</f>
        <v>3</v>
      </c>
      <c r="O29" s="22">
        <f>COUNTIF('Raw Games'!AX:AX,$A29)</f>
        <v>0</v>
      </c>
      <c r="P29" s="29" t="str">
        <f>IF($B29&gt;'Constants (dont edit)'!$B$3,O29/$B29,"")</f>
        <v/>
      </c>
      <c r="Q29" s="22">
        <f>COUNTIF('Raw Games'!AY:AY,$A29)</f>
        <v>0</v>
      </c>
      <c r="R29" s="29" t="str">
        <f>IF($B29&gt;'Constants (dont edit)'!$B$3,Q29/$B29,"")</f>
        <v/>
      </c>
      <c r="S29" s="22">
        <f>MIN('Pivot (dont edit)'!31:31)</f>
        <v>100</v>
      </c>
      <c r="T29" s="22">
        <f>MAX('Pivot (dont edit)'!31:31)</f>
        <v>670</v>
      </c>
      <c r="U29" s="30">
        <f>if(AND(N29&gt;='Constants (dont edit)'!$B$4,SUM('Pivot (dont edit)'!31:31)&gt;0), AVERAGE('Pivot (dont edit)'!31:31), "")</f>
        <v>458.3333333</v>
      </c>
      <c r="V29" s="22">
        <f>sum('Pivot (dont edit)'!31:31)</f>
        <v>1375</v>
      </c>
      <c r="W29" s="22">
        <f t="shared" si="2"/>
        <v>1</v>
      </c>
      <c r="X29" s="31">
        <f>IF($B29&gt;'Constants (dont edit)'!$B$3,(SUMIF('Raw Games'!AX:AX,$A29,'Raw Games'!AZ:AZ)-SUMIF('Raw Games'!AY:AY,$A29,'Raw Games'!AZ:AZ)/N29)/N29,0)</f>
        <v>0</v>
      </c>
      <c r="Y29" s="28" t="str">
        <f>('Pivot (dont edit)'!Y31)</f>
        <v/>
      </c>
      <c r="Z29" s="22">
        <f>count('Pivot (dont edit)'!31:31)</f>
        <v>3</v>
      </c>
      <c r="AA29" s="22">
        <f>COUNTIF('Raw Games'!BJ:BJ,$A29)</f>
        <v>0</v>
      </c>
      <c r="AB29" s="29" t="str">
        <f>IF($B29&gt;'Constants (dont edit)'!$B$3,AA29/$B29,"")</f>
        <v/>
      </c>
      <c r="AC29" s="22">
        <f>COUNTIF('Raw Games'!BK:BK,$A29)</f>
        <v>0</v>
      </c>
      <c r="AD29" s="29" t="str">
        <f>IF($B29&gt;'Constants (dont edit)'!$B$3,AC29/$B29,"")</f>
        <v/>
      </c>
      <c r="AE29" s="22">
        <f>MIN('Pivot (dont edit)'!31:31)</f>
        <v>100</v>
      </c>
      <c r="AF29" s="22">
        <f>MAX('Pivot (dont edit)'!31:31)</f>
        <v>670</v>
      </c>
    </row>
    <row r="30">
      <c r="A30" s="28"/>
      <c r="B30" s="22"/>
      <c r="C30" s="22"/>
      <c r="D30" s="29"/>
      <c r="E30" s="22"/>
      <c r="F30" s="29"/>
      <c r="G30" s="22"/>
      <c r="H30" s="22"/>
      <c r="I30" s="30"/>
      <c r="J30" s="22"/>
      <c r="K30" s="22"/>
      <c r="L30" s="3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>
      <c r="A31" s="28"/>
      <c r="B31" s="22"/>
      <c r="C31" s="22"/>
      <c r="D31" s="29"/>
      <c r="E31" s="22"/>
      <c r="F31" s="29"/>
      <c r="G31" s="22"/>
      <c r="H31" s="22"/>
      <c r="I31" s="30"/>
      <c r="J31" s="22"/>
      <c r="K31" s="22"/>
      <c r="L31" s="3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>
      <c r="A32" s="28"/>
      <c r="B32" s="22"/>
      <c r="C32" s="22"/>
      <c r="D32" s="29"/>
      <c r="E32" s="22"/>
      <c r="F32" s="29"/>
      <c r="G32" s="22"/>
      <c r="H32" s="22"/>
      <c r="I32" s="30"/>
      <c r="J32" s="22"/>
      <c r="K32" s="22"/>
      <c r="L32" s="3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>
      <c r="A33" s="28"/>
      <c r="B33" s="22"/>
      <c r="C33" s="22"/>
      <c r="D33" s="29"/>
      <c r="E33" s="22"/>
      <c r="F33" s="29"/>
      <c r="G33" s="22"/>
      <c r="H33" s="22"/>
      <c r="I33" s="30"/>
      <c r="J33" s="22"/>
      <c r="K33" s="22"/>
      <c r="L33" s="3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>
      <c r="A34" s="28"/>
      <c r="B34" s="22"/>
      <c r="C34" s="22"/>
      <c r="D34" s="29"/>
      <c r="E34" s="22"/>
      <c r="F34" s="29"/>
      <c r="G34" s="22"/>
      <c r="H34" s="22"/>
      <c r="I34" s="30"/>
      <c r="J34" s="22"/>
      <c r="K34" s="22"/>
      <c r="L34" s="3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>
      <c r="A35" s="28"/>
      <c r="B35" s="22"/>
      <c r="C35" s="22"/>
      <c r="D35" s="29"/>
      <c r="E35" s="22"/>
      <c r="F35" s="29"/>
      <c r="G35" s="22"/>
      <c r="H35" s="22"/>
      <c r="I35" s="30"/>
      <c r="J35" s="22"/>
      <c r="K35" s="22"/>
      <c r="L35" s="3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>
      <c r="A36" s="28"/>
      <c r="B36" s="22"/>
      <c r="C36" s="22"/>
      <c r="D36" s="29"/>
      <c r="E36" s="22"/>
      <c r="F36" s="29"/>
      <c r="G36" s="22"/>
      <c r="H36" s="22"/>
      <c r="I36" s="30"/>
      <c r="J36" s="22"/>
      <c r="K36" s="22"/>
      <c r="L36" s="3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>
      <c r="A37" s="28"/>
      <c r="B37" s="22"/>
      <c r="C37" s="22"/>
      <c r="D37" s="29"/>
      <c r="E37" s="22"/>
      <c r="F37" s="29"/>
      <c r="G37" s="22"/>
      <c r="H37" s="22"/>
      <c r="I37" s="30"/>
      <c r="J37" s="22"/>
      <c r="K37" s="22"/>
      <c r="L37" s="3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>
      <c r="A38" s="28"/>
      <c r="B38" s="22"/>
      <c r="C38" s="22"/>
      <c r="D38" s="29"/>
      <c r="E38" s="22"/>
      <c r="F38" s="29"/>
      <c r="G38" s="22"/>
      <c r="H38" s="22"/>
      <c r="I38" s="30"/>
      <c r="J38" s="22"/>
      <c r="K38" s="22"/>
      <c r="L38" s="3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>
      <c r="A39" s="28"/>
      <c r="B39" s="22"/>
      <c r="C39" s="22"/>
      <c r="D39" s="29"/>
      <c r="E39" s="22"/>
      <c r="F39" s="29"/>
      <c r="G39" s="22"/>
      <c r="H39" s="22"/>
      <c r="I39" s="30"/>
      <c r="J39" s="22"/>
      <c r="K39" s="22"/>
      <c r="L39" s="3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>
      <c r="A40" s="28"/>
      <c r="B40" s="22"/>
      <c r="C40" s="22"/>
      <c r="D40" s="29"/>
      <c r="E40" s="22"/>
      <c r="F40" s="29"/>
      <c r="G40" s="22"/>
      <c r="H40" s="22"/>
      <c r="I40" s="30"/>
      <c r="J40" s="22"/>
      <c r="K40" s="22"/>
      <c r="L40" s="3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>
      <c r="A41" s="28"/>
      <c r="B41" s="22"/>
      <c r="C41" s="22"/>
      <c r="D41" s="29"/>
      <c r="E41" s="22"/>
      <c r="F41" s="29"/>
      <c r="G41" s="22"/>
      <c r="H41" s="22"/>
      <c r="I41" s="30"/>
      <c r="J41" s="22"/>
      <c r="K41" s="22"/>
      <c r="L41" s="3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>
      <c r="A42" s="28"/>
      <c r="B42" s="22"/>
      <c r="C42" s="22"/>
      <c r="D42" s="29"/>
      <c r="E42" s="22"/>
      <c r="F42" s="29"/>
      <c r="G42" s="22"/>
      <c r="H42" s="22"/>
      <c r="I42" s="30"/>
      <c r="J42" s="22"/>
      <c r="K42" s="22"/>
      <c r="L42" s="3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>
      <c r="A43" s="28"/>
      <c r="B43" s="22"/>
      <c r="C43" s="22"/>
      <c r="D43" s="29"/>
      <c r="E43" s="22"/>
      <c r="F43" s="29"/>
      <c r="G43" s="22"/>
      <c r="H43" s="22"/>
      <c r="I43" s="30"/>
      <c r="J43" s="22"/>
      <c r="K43" s="22"/>
      <c r="L43" s="3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>
      <c r="A44" s="28"/>
      <c r="B44" s="22"/>
      <c r="C44" s="22"/>
      <c r="D44" s="29"/>
      <c r="E44" s="22"/>
      <c r="F44" s="29"/>
      <c r="G44" s="22"/>
      <c r="H44" s="22"/>
      <c r="I44" s="30"/>
      <c r="J44" s="22"/>
      <c r="K44" s="22"/>
      <c r="L44" s="3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>
      <c r="A45" s="28"/>
      <c r="B45" s="22"/>
      <c r="C45" s="22"/>
      <c r="D45" s="29"/>
      <c r="E45" s="22"/>
      <c r="F45" s="29"/>
      <c r="G45" s="22"/>
      <c r="H45" s="22"/>
      <c r="I45" s="30"/>
      <c r="J45" s="22"/>
      <c r="K45" s="22"/>
      <c r="L45" s="3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>
      <c r="A46" s="28"/>
      <c r="B46" s="22"/>
      <c r="C46" s="22"/>
      <c r="D46" s="29"/>
      <c r="E46" s="22"/>
      <c r="F46" s="29"/>
      <c r="G46" s="22"/>
      <c r="H46" s="22"/>
      <c r="I46" s="30"/>
      <c r="J46" s="22"/>
      <c r="K46" s="22"/>
      <c r="L46" s="3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</row>
    <row r="47">
      <c r="A47" s="28"/>
      <c r="B47" s="22"/>
      <c r="C47" s="22"/>
      <c r="D47" s="29"/>
      <c r="E47" s="22"/>
      <c r="F47" s="29"/>
      <c r="G47" s="22"/>
      <c r="H47" s="22"/>
      <c r="I47" s="30"/>
      <c r="J47" s="22"/>
      <c r="K47" s="22"/>
      <c r="L47" s="3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>
      <c r="A48" s="28"/>
      <c r="B48" s="22"/>
      <c r="C48" s="22"/>
      <c r="D48" s="29"/>
      <c r="E48" s="22"/>
      <c r="F48" s="29"/>
      <c r="G48" s="22"/>
      <c r="H48" s="22"/>
      <c r="I48" s="30"/>
      <c r="J48" s="22"/>
      <c r="K48" s="22"/>
      <c r="L48" s="3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</row>
    <row r="49">
      <c r="A49" s="28"/>
      <c r="B49" s="22"/>
      <c r="C49" s="22"/>
      <c r="D49" s="29"/>
      <c r="E49" s="22"/>
      <c r="F49" s="29"/>
      <c r="G49" s="22"/>
      <c r="H49" s="22"/>
      <c r="I49" s="30"/>
      <c r="J49" s="22"/>
      <c r="K49" s="22"/>
      <c r="L49" s="3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>
      <c r="A50" s="28"/>
      <c r="B50" s="22"/>
      <c r="C50" s="22"/>
      <c r="D50" s="29"/>
      <c r="E50" s="22"/>
      <c r="F50" s="29"/>
      <c r="G50" s="22"/>
      <c r="H50" s="22"/>
      <c r="I50" s="30"/>
      <c r="J50" s="22"/>
      <c r="K50" s="22"/>
      <c r="L50" s="3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>
      <c r="A51" s="28"/>
      <c r="B51" s="22"/>
      <c r="C51" s="22"/>
      <c r="D51" s="29"/>
      <c r="E51" s="22"/>
      <c r="F51" s="29"/>
      <c r="G51" s="22"/>
      <c r="H51" s="22"/>
      <c r="I51" s="30"/>
      <c r="J51" s="22"/>
      <c r="K51" s="22"/>
      <c r="L51" s="3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>
      <c r="A52" s="28"/>
      <c r="B52" s="22"/>
      <c r="C52" s="22"/>
      <c r="D52" s="29"/>
      <c r="E52" s="22"/>
      <c r="F52" s="29"/>
      <c r="G52" s="22"/>
      <c r="H52" s="22"/>
      <c r="I52" s="30"/>
      <c r="J52" s="22"/>
      <c r="K52" s="22"/>
      <c r="L52" s="3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</row>
    <row r="53">
      <c r="A53" s="28"/>
      <c r="B53" s="22"/>
      <c r="C53" s="22"/>
      <c r="D53" s="29"/>
      <c r="E53" s="22"/>
      <c r="F53" s="29"/>
      <c r="G53" s="22"/>
      <c r="H53" s="22"/>
      <c r="I53" s="30"/>
      <c r="J53" s="22"/>
      <c r="K53" s="22"/>
      <c r="L53" s="3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>
      <c r="A54" s="28"/>
      <c r="B54" s="22"/>
      <c r="C54" s="22"/>
      <c r="D54" s="29"/>
      <c r="E54" s="22"/>
      <c r="F54" s="29"/>
      <c r="G54" s="22"/>
      <c r="H54" s="22"/>
      <c r="I54" s="30"/>
      <c r="J54" s="22"/>
      <c r="K54" s="22"/>
      <c r="L54" s="3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</row>
    <row r="55">
      <c r="A55" s="28"/>
      <c r="B55" s="22"/>
      <c r="C55" s="22"/>
      <c r="D55" s="29"/>
      <c r="E55" s="22"/>
      <c r="F55" s="29"/>
      <c r="G55" s="22"/>
      <c r="H55" s="22"/>
      <c r="I55" s="30"/>
      <c r="J55" s="22"/>
      <c r="K55" s="22"/>
      <c r="L55" s="3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>
      <c r="A56" s="28"/>
      <c r="B56" s="22"/>
      <c r="C56" s="22"/>
      <c r="D56" s="29"/>
      <c r="E56" s="22"/>
      <c r="F56" s="29"/>
      <c r="G56" s="22"/>
      <c r="H56" s="22"/>
      <c r="I56" s="30"/>
      <c r="J56" s="22"/>
      <c r="K56" s="22"/>
      <c r="L56" s="3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>
      <c r="A57" s="28"/>
      <c r="B57" s="22"/>
      <c r="C57" s="22"/>
      <c r="D57" s="29"/>
      <c r="E57" s="22"/>
      <c r="F57" s="29"/>
      <c r="G57" s="22"/>
      <c r="H57" s="22"/>
      <c r="I57" s="30"/>
      <c r="J57" s="22"/>
      <c r="K57" s="22"/>
      <c r="L57" s="3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>
      <c r="A58" s="28"/>
      <c r="B58" s="22"/>
      <c r="C58" s="22"/>
      <c r="D58" s="29"/>
      <c r="E58" s="22"/>
      <c r="F58" s="29"/>
      <c r="G58" s="22"/>
      <c r="H58" s="22"/>
      <c r="I58" s="30"/>
      <c r="J58" s="22"/>
      <c r="K58" s="22"/>
      <c r="L58" s="3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>
      <c r="A59" s="28"/>
      <c r="B59" s="22"/>
      <c r="C59" s="22"/>
      <c r="D59" s="29"/>
      <c r="E59" s="22"/>
      <c r="F59" s="29"/>
      <c r="G59" s="22"/>
      <c r="H59" s="22"/>
      <c r="I59" s="30"/>
      <c r="J59" s="22"/>
      <c r="K59" s="22"/>
      <c r="L59" s="3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>
      <c r="A60" s="28"/>
      <c r="B60" s="22"/>
      <c r="C60" s="22"/>
      <c r="D60" s="29"/>
      <c r="E60" s="22"/>
      <c r="F60" s="29"/>
      <c r="G60" s="22"/>
      <c r="H60" s="22"/>
      <c r="I60" s="30"/>
      <c r="J60" s="22"/>
      <c r="K60" s="22"/>
      <c r="L60" s="3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>
      <c r="A61" s="28"/>
      <c r="B61" s="22"/>
      <c r="C61" s="22"/>
      <c r="D61" s="29"/>
      <c r="E61" s="22"/>
      <c r="F61" s="29"/>
      <c r="G61" s="22"/>
      <c r="H61" s="22"/>
      <c r="I61" s="30"/>
      <c r="J61" s="22"/>
      <c r="K61" s="22"/>
      <c r="L61" s="3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>
      <c r="A62" s="28"/>
      <c r="B62" s="22"/>
      <c r="C62" s="22"/>
      <c r="D62" s="29"/>
      <c r="E62" s="22"/>
      <c r="F62" s="29"/>
      <c r="G62" s="22"/>
      <c r="H62" s="22"/>
      <c r="I62" s="30"/>
      <c r="J62" s="22"/>
      <c r="K62" s="22"/>
      <c r="L62" s="3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>
      <c r="A63" s="28"/>
      <c r="B63" s="22"/>
      <c r="C63" s="22"/>
      <c r="D63" s="29"/>
      <c r="E63" s="22"/>
      <c r="F63" s="29"/>
      <c r="G63" s="22"/>
      <c r="H63" s="22"/>
      <c r="I63" s="30"/>
      <c r="J63" s="22"/>
      <c r="K63" s="22"/>
      <c r="L63" s="3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>
      <c r="A64" s="28"/>
      <c r="B64" s="22"/>
      <c r="C64" s="22"/>
      <c r="D64" s="29"/>
      <c r="E64" s="22"/>
      <c r="F64" s="29"/>
      <c r="G64" s="22"/>
      <c r="H64" s="22"/>
      <c r="I64" s="30"/>
      <c r="J64" s="22"/>
      <c r="K64" s="22"/>
      <c r="L64" s="3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>
      <c r="A65" s="28"/>
      <c r="B65" s="22"/>
      <c r="C65" s="22"/>
      <c r="D65" s="29"/>
      <c r="E65" s="22"/>
      <c r="F65" s="29"/>
      <c r="G65" s="22"/>
      <c r="H65" s="22"/>
      <c r="I65" s="30"/>
      <c r="J65" s="22"/>
      <c r="K65" s="22"/>
      <c r="L65" s="3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>
      <c r="A66" s="28"/>
      <c r="B66" s="22"/>
      <c r="C66" s="22"/>
      <c r="D66" s="29"/>
      <c r="E66" s="22"/>
      <c r="F66" s="29"/>
      <c r="G66" s="22"/>
      <c r="H66" s="22"/>
      <c r="I66" s="30"/>
      <c r="J66" s="22"/>
      <c r="K66" s="22"/>
      <c r="L66" s="3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>
      <c r="A67" s="28"/>
      <c r="B67" s="22"/>
      <c r="C67" s="22"/>
      <c r="D67" s="29"/>
      <c r="E67" s="22"/>
      <c r="F67" s="29"/>
      <c r="G67" s="22"/>
      <c r="H67" s="22"/>
      <c r="I67" s="30"/>
      <c r="J67" s="22"/>
      <c r="K67" s="22"/>
      <c r="L67" s="3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>
      <c r="A68" s="28"/>
      <c r="B68" s="22"/>
      <c r="C68" s="22"/>
      <c r="D68" s="29"/>
      <c r="E68" s="22"/>
      <c r="F68" s="29"/>
      <c r="G68" s="22"/>
      <c r="H68" s="22"/>
      <c r="I68" s="30"/>
      <c r="J68" s="22"/>
      <c r="K68" s="22"/>
      <c r="L68" s="3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>
      <c r="A69" s="28"/>
      <c r="B69" s="22"/>
      <c r="C69" s="22"/>
      <c r="D69" s="29"/>
      <c r="E69" s="22"/>
      <c r="F69" s="29"/>
      <c r="G69" s="22"/>
      <c r="H69" s="22"/>
      <c r="I69" s="30"/>
      <c r="J69" s="22"/>
      <c r="K69" s="22"/>
      <c r="L69" s="3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>
      <c r="A70" s="28"/>
      <c r="B70" s="22"/>
      <c r="C70" s="22"/>
      <c r="D70" s="29"/>
      <c r="E70" s="22"/>
      <c r="F70" s="29"/>
      <c r="G70" s="22"/>
      <c r="H70" s="22"/>
      <c r="I70" s="30"/>
      <c r="J70" s="22"/>
      <c r="K70" s="22"/>
      <c r="L70" s="3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>
      <c r="A71" s="28"/>
      <c r="B71" s="22"/>
      <c r="C71" s="22"/>
      <c r="D71" s="29"/>
      <c r="E71" s="22"/>
      <c r="F71" s="29"/>
      <c r="G71" s="22"/>
      <c r="H71" s="22"/>
      <c r="I71" s="30"/>
      <c r="J71" s="22"/>
      <c r="K71" s="22"/>
      <c r="L71" s="3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>
      <c r="A72" s="28"/>
      <c r="B72" s="22"/>
      <c r="C72" s="22"/>
      <c r="D72" s="29"/>
      <c r="E72" s="22"/>
      <c r="F72" s="29"/>
      <c r="G72" s="22"/>
      <c r="H72" s="22"/>
      <c r="I72" s="30"/>
      <c r="J72" s="22"/>
      <c r="K72" s="22"/>
      <c r="L72" s="3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>
      <c r="A73" s="28"/>
      <c r="B73" s="22"/>
      <c r="C73" s="22"/>
      <c r="D73" s="29"/>
      <c r="E73" s="22"/>
      <c r="F73" s="29"/>
      <c r="G73" s="22"/>
      <c r="H73" s="22"/>
      <c r="I73" s="30"/>
      <c r="J73" s="22"/>
      <c r="K73" s="22"/>
      <c r="L73" s="3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>
      <c r="A74" s="28"/>
      <c r="B74" s="22"/>
      <c r="C74" s="22"/>
      <c r="D74" s="29"/>
      <c r="E74" s="22"/>
      <c r="F74" s="29"/>
      <c r="G74" s="22"/>
      <c r="H74" s="22"/>
      <c r="I74" s="30"/>
      <c r="J74" s="22"/>
      <c r="K74" s="22"/>
      <c r="L74" s="3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>
      <c r="A75" s="28"/>
      <c r="B75" s="22"/>
      <c r="C75" s="22"/>
      <c r="D75" s="29"/>
      <c r="E75" s="22"/>
      <c r="F75" s="29"/>
      <c r="G75" s="22"/>
      <c r="H75" s="22"/>
      <c r="I75" s="30"/>
      <c r="J75" s="22"/>
      <c r="K75" s="22"/>
      <c r="L75" s="3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>
      <c r="A76" s="28"/>
      <c r="B76" s="22"/>
      <c r="C76" s="22"/>
      <c r="D76" s="29"/>
      <c r="E76" s="22"/>
      <c r="F76" s="29"/>
      <c r="G76" s="22"/>
      <c r="H76" s="22"/>
      <c r="I76" s="30"/>
      <c r="J76" s="22"/>
      <c r="K76" s="22"/>
      <c r="L76" s="3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</row>
    <row r="77">
      <c r="A77" s="28"/>
      <c r="B77" s="22"/>
      <c r="C77" s="22"/>
      <c r="D77" s="29"/>
      <c r="E77" s="22"/>
      <c r="F77" s="29"/>
      <c r="G77" s="22"/>
      <c r="H77" s="22"/>
      <c r="I77" s="30"/>
      <c r="J77" s="22"/>
      <c r="K77" s="22"/>
      <c r="L77" s="3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>
      <c r="A78" s="28"/>
      <c r="B78" s="22"/>
      <c r="C78" s="22"/>
      <c r="D78" s="29"/>
      <c r="E78" s="22"/>
      <c r="F78" s="29"/>
      <c r="G78" s="22"/>
      <c r="H78" s="22"/>
      <c r="I78" s="30"/>
      <c r="J78" s="22"/>
      <c r="K78" s="22"/>
      <c r="L78" s="3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>
      <c r="A79" s="28"/>
      <c r="B79" s="22"/>
      <c r="C79" s="22"/>
      <c r="D79" s="29"/>
      <c r="E79" s="22"/>
      <c r="F79" s="29"/>
      <c r="G79" s="22"/>
      <c r="H79" s="22"/>
      <c r="I79" s="30"/>
      <c r="J79" s="22"/>
      <c r="K79" s="22"/>
      <c r="L79" s="3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>
      <c r="A80" s="28"/>
      <c r="B80" s="22"/>
      <c r="C80" s="22"/>
      <c r="D80" s="29"/>
      <c r="E80" s="22"/>
      <c r="F80" s="29"/>
      <c r="G80" s="22"/>
      <c r="H80" s="22"/>
      <c r="I80" s="30"/>
      <c r="J80" s="22"/>
      <c r="K80" s="22"/>
      <c r="L80" s="3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>
      <c r="A81" s="28"/>
      <c r="B81" s="22"/>
      <c r="C81" s="22"/>
      <c r="D81" s="29"/>
      <c r="E81" s="22"/>
      <c r="F81" s="29"/>
      <c r="G81" s="22"/>
      <c r="H81" s="22"/>
      <c r="I81" s="30"/>
      <c r="J81" s="22"/>
      <c r="K81" s="22"/>
      <c r="L81" s="3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>
      <c r="A82" s="28"/>
      <c r="B82" s="22"/>
      <c r="C82" s="22"/>
      <c r="D82" s="29"/>
      <c r="E82" s="22"/>
      <c r="F82" s="29"/>
      <c r="G82" s="22"/>
      <c r="H82" s="22"/>
      <c r="I82" s="30"/>
      <c r="J82" s="22"/>
      <c r="K82" s="22"/>
      <c r="L82" s="3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>
      <c r="A83" s="28"/>
      <c r="B83" s="22"/>
      <c r="C83" s="22"/>
      <c r="D83" s="29"/>
      <c r="E83" s="22"/>
      <c r="F83" s="29"/>
      <c r="G83" s="22"/>
      <c r="H83" s="22"/>
      <c r="I83" s="30"/>
      <c r="J83" s="22"/>
      <c r="K83" s="22"/>
      <c r="L83" s="3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>
      <c r="A84" s="28"/>
      <c r="B84" s="22"/>
      <c r="C84" s="22"/>
      <c r="D84" s="29"/>
      <c r="E84" s="22"/>
      <c r="F84" s="29"/>
      <c r="G84" s="22"/>
      <c r="H84" s="22"/>
      <c r="I84" s="30"/>
      <c r="J84" s="22"/>
      <c r="K84" s="22"/>
      <c r="L84" s="3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>
      <c r="A85" s="28"/>
      <c r="B85" s="22"/>
      <c r="C85" s="22"/>
      <c r="D85" s="29"/>
      <c r="E85" s="22"/>
      <c r="F85" s="29"/>
      <c r="G85" s="22"/>
      <c r="H85" s="22"/>
      <c r="I85" s="30"/>
      <c r="J85" s="22"/>
      <c r="K85" s="22"/>
      <c r="L85" s="3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>
      <c r="A86" s="28"/>
      <c r="B86" s="22"/>
      <c r="C86" s="22"/>
      <c r="D86" s="29"/>
      <c r="E86" s="22"/>
      <c r="F86" s="29"/>
      <c r="G86" s="22"/>
      <c r="H86" s="22"/>
      <c r="I86" s="30"/>
      <c r="J86" s="22"/>
      <c r="K86" s="22"/>
      <c r="L86" s="3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>
      <c r="A87" s="28"/>
      <c r="B87" s="22"/>
      <c r="C87" s="22"/>
      <c r="D87" s="29"/>
      <c r="E87" s="22"/>
      <c r="F87" s="29"/>
      <c r="G87" s="22"/>
      <c r="H87" s="22"/>
      <c r="I87" s="30"/>
      <c r="J87" s="22"/>
      <c r="K87" s="22"/>
      <c r="L87" s="3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>
      <c r="A88" s="28"/>
      <c r="B88" s="22"/>
      <c r="C88" s="22"/>
      <c r="D88" s="29"/>
      <c r="E88" s="22"/>
      <c r="F88" s="29"/>
      <c r="G88" s="22"/>
      <c r="H88" s="22"/>
      <c r="I88" s="30"/>
      <c r="J88" s="22"/>
      <c r="K88" s="22"/>
      <c r="L88" s="3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>
      <c r="A89" s="28"/>
      <c r="B89" s="22"/>
      <c r="C89" s="22"/>
      <c r="D89" s="29"/>
      <c r="E89" s="22"/>
      <c r="F89" s="29"/>
      <c r="G89" s="22"/>
      <c r="H89" s="22"/>
      <c r="I89" s="30"/>
      <c r="J89" s="22"/>
      <c r="K89" s="22"/>
      <c r="L89" s="3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>
      <c r="A90" s="28"/>
      <c r="B90" s="22"/>
      <c r="C90" s="22"/>
      <c r="D90" s="29"/>
      <c r="E90" s="22"/>
      <c r="F90" s="29"/>
      <c r="G90" s="22"/>
      <c r="H90" s="22"/>
      <c r="I90" s="30"/>
      <c r="J90" s="22"/>
      <c r="K90" s="22"/>
      <c r="L90" s="3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</row>
    <row r="91">
      <c r="A91" s="28"/>
      <c r="B91" s="22"/>
      <c r="C91" s="22"/>
      <c r="D91" s="29"/>
      <c r="E91" s="22"/>
      <c r="F91" s="29"/>
      <c r="G91" s="22"/>
      <c r="H91" s="22"/>
      <c r="I91" s="30"/>
      <c r="J91" s="22"/>
      <c r="K91" s="22"/>
      <c r="L91" s="3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>
      <c r="A92" s="28"/>
      <c r="B92" s="22"/>
      <c r="C92" s="22"/>
      <c r="D92" s="29"/>
      <c r="E92" s="22"/>
      <c r="F92" s="29"/>
      <c r="G92" s="22"/>
      <c r="H92" s="22"/>
      <c r="I92" s="30"/>
      <c r="J92" s="22"/>
      <c r="K92" s="22"/>
      <c r="L92" s="3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>
      <c r="A93" s="28"/>
      <c r="B93" s="22"/>
      <c r="C93" s="22"/>
      <c r="D93" s="29"/>
      <c r="E93" s="22"/>
      <c r="F93" s="29"/>
      <c r="G93" s="22"/>
      <c r="H93" s="22"/>
      <c r="I93" s="30"/>
      <c r="J93" s="22"/>
      <c r="K93" s="22"/>
      <c r="L93" s="3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>
      <c r="A94" s="28"/>
      <c r="B94" s="22"/>
      <c r="C94" s="22"/>
      <c r="D94" s="29"/>
      <c r="E94" s="22"/>
      <c r="F94" s="29"/>
      <c r="G94" s="22"/>
      <c r="H94" s="22"/>
      <c r="I94" s="30"/>
      <c r="J94" s="22"/>
      <c r="K94" s="22"/>
      <c r="L94" s="3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</row>
    <row r="95">
      <c r="A95" s="28"/>
      <c r="B95" s="22"/>
      <c r="C95" s="22"/>
      <c r="D95" s="29"/>
      <c r="E95" s="22"/>
      <c r="F95" s="29"/>
      <c r="G95" s="22"/>
      <c r="H95" s="22"/>
      <c r="I95" s="30"/>
      <c r="J95" s="22"/>
      <c r="K95" s="22"/>
      <c r="L95" s="3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>
      <c r="A96" s="28"/>
      <c r="B96" s="22"/>
      <c r="C96" s="22"/>
      <c r="D96" s="29"/>
      <c r="E96" s="22"/>
      <c r="F96" s="29"/>
      <c r="G96" s="22"/>
      <c r="H96" s="22"/>
      <c r="I96" s="30"/>
      <c r="J96" s="22"/>
      <c r="K96" s="22"/>
      <c r="L96" s="3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>
      <c r="A97" s="28"/>
      <c r="B97" s="22"/>
      <c r="C97" s="22"/>
      <c r="D97" s="29"/>
      <c r="E97" s="22"/>
      <c r="F97" s="29"/>
      <c r="G97" s="22"/>
      <c r="H97" s="22"/>
      <c r="I97" s="30"/>
      <c r="J97" s="22"/>
      <c r="K97" s="22"/>
      <c r="L97" s="3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>
      <c r="A98" s="28"/>
      <c r="B98" s="22"/>
      <c r="C98" s="22"/>
      <c r="D98" s="29"/>
      <c r="E98" s="22"/>
      <c r="F98" s="29"/>
      <c r="G98" s="22"/>
      <c r="H98" s="22"/>
      <c r="I98" s="30"/>
      <c r="J98" s="22"/>
      <c r="K98" s="22"/>
      <c r="L98" s="3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>
      <c r="A99" s="28"/>
      <c r="B99" s="22"/>
      <c r="C99" s="22"/>
      <c r="D99" s="29"/>
      <c r="E99" s="22"/>
      <c r="F99" s="29"/>
      <c r="G99" s="22"/>
      <c r="H99" s="22"/>
      <c r="I99" s="30"/>
      <c r="J99" s="22"/>
      <c r="K99" s="22"/>
      <c r="L99" s="3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>
      <c r="A100" s="28"/>
      <c r="B100" s="22"/>
      <c r="C100" s="22"/>
      <c r="D100" s="29"/>
      <c r="E100" s="22"/>
      <c r="F100" s="29"/>
      <c r="G100" s="22"/>
      <c r="H100" s="22"/>
      <c r="I100" s="30"/>
      <c r="J100" s="22"/>
      <c r="K100" s="22"/>
      <c r="L100" s="3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</row>
    <row r="101">
      <c r="A101" s="28"/>
      <c r="B101" s="22"/>
      <c r="C101" s="22"/>
      <c r="D101" s="29"/>
      <c r="E101" s="22"/>
      <c r="F101" s="29"/>
      <c r="G101" s="22"/>
      <c r="H101" s="22"/>
      <c r="I101" s="30"/>
      <c r="J101" s="22"/>
      <c r="K101" s="22"/>
      <c r="L101" s="3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>
      <c r="A102" s="28"/>
      <c r="B102" s="22"/>
      <c r="C102" s="22"/>
      <c r="D102" s="29"/>
      <c r="E102" s="22"/>
      <c r="F102" s="29"/>
      <c r="G102" s="22"/>
      <c r="H102" s="22"/>
      <c r="I102" s="30"/>
      <c r="J102" s="22"/>
      <c r="K102" s="22"/>
      <c r="L102" s="3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</row>
    <row r="103">
      <c r="A103" s="28"/>
      <c r="B103" s="22"/>
      <c r="C103" s="22"/>
      <c r="D103" s="29"/>
      <c r="E103" s="22"/>
      <c r="F103" s="29"/>
      <c r="G103" s="22"/>
      <c r="H103" s="22"/>
      <c r="I103" s="30"/>
      <c r="J103" s="22"/>
      <c r="K103" s="22"/>
      <c r="L103" s="3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>
      <c r="A104" s="28"/>
      <c r="B104" s="22"/>
      <c r="C104" s="22"/>
      <c r="D104" s="29"/>
      <c r="E104" s="22"/>
      <c r="F104" s="29"/>
      <c r="G104" s="22"/>
      <c r="H104" s="22"/>
      <c r="I104" s="30"/>
      <c r="J104" s="22"/>
      <c r="K104" s="22"/>
      <c r="L104" s="3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>
      <c r="A105" s="28"/>
      <c r="B105" s="22"/>
      <c r="C105" s="22"/>
      <c r="D105" s="29"/>
      <c r="E105" s="22"/>
      <c r="F105" s="29"/>
      <c r="G105" s="22"/>
      <c r="H105" s="22"/>
      <c r="I105" s="30"/>
      <c r="J105" s="22"/>
      <c r="K105" s="22"/>
      <c r="L105" s="3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>
      <c r="A106" s="28"/>
      <c r="B106" s="22"/>
      <c r="C106" s="22"/>
      <c r="D106" s="29"/>
      <c r="E106" s="22"/>
      <c r="F106" s="29"/>
      <c r="G106" s="22"/>
      <c r="H106" s="22"/>
      <c r="I106" s="30"/>
      <c r="J106" s="22"/>
      <c r="K106" s="22"/>
      <c r="L106" s="3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</row>
    <row r="107">
      <c r="A107" s="28"/>
      <c r="B107" s="22"/>
      <c r="C107" s="22"/>
      <c r="D107" s="29"/>
      <c r="E107" s="22"/>
      <c r="F107" s="29"/>
      <c r="G107" s="22"/>
      <c r="H107" s="22"/>
      <c r="I107" s="30"/>
      <c r="J107" s="22"/>
      <c r="K107" s="22"/>
      <c r="L107" s="3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>
      <c r="A108" s="28"/>
      <c r="B108" s="22"/>
      <c r="C108" s="22"/>
      <c r="D108" s="29"/>
      <c r="E108" s="22"/>
      <c r="F108" s="29"/>
      <c r="G108" s="22"/>
      <c r="H108" s="22"/>
      <c r="I108" s="30"/>
      <c r="J108" s="22"/>
      <c r="K108" s="22"/>
      <c r="L108" s="3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>
      <c r="A109" s="28"/>
      <c r="B109" s="22"/>
      <c r="C109" s="22"/>
      <c r="D109" s="29"/>
      <c r="E109" s="22"/>
      <c r="F109" s="29"/>
      <c r="G109" s="22"/>
      <c r="H109" s="22"/>
      <c r="I109" s="30"/>
      <c r="J109" s="22"/>
      <c r="K109" s="22"/>
      <c r="L109" s="3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>
      <c r="A110" s="28"/>
      <c r="B110" s="22"/>
      <c r="C110" s="22"/>
      <c r="D110" s="29"/>
      <c r="E110" s="22"/>
      <c r="F110" s="29"/>
      <c r="G110" s="22"/>
      <c r="H110" s="22"/>
      <c r="I110" s="30"/>
      <c r="J110" s="22"/>
      <c r="K110" s="22"/>
      <c r="L110" s="3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>
      <c r="A111" s="28"/>
      <c r="B111" s="22"/>
      <c r="C111" s="22"/>
      <c r="D111" s="29"/>
      <c r="E111" s="22"/>
      <c r="F111" s="29"/>
      <c r="G111" s="22"/>
      <c r="H111" s="22"/>
      <c r="I111" s="30"/>
      <c r="J111" s="22"/>
      <c r="K111" s="22"/>
      <c r="L111" s="3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>
      <c r="A112" s="28"/>
      <c r="B112" s="22"/>
      <c r="C112" s="22"/>
      <c r="D112" s="29"/>
      <c r="E112" s="22"/>
      <c r="F112" s="29"/>
      <c r="G112" s="22"/>
      <c r="H112" s="22"/>
      <c r="I112" s="30"/>
      <c r="J112" s="22"/>
      <c r="K112" s="22"/>
      <c r="L112" s="3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>
      <c r="A113" s="28"/>
      <c r="B113" s="22"/>
      <c r="C113" s="22"/>
      <c r="D113" s="29"/>
      <c r="E113" s="22"/>
      <c r="F113" s="29"/>
      <c r="G113" s="22"/>
      <c r="H113" s="22"/>
      <c r="I113" s="30"/>
      <c r="J113" s="22"/>
      <c r="K113" s="22"/>
      <c r="L113" s="3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>
      <c r="A114" s="28"/>
      <c r="B114" s="22"/>
      <c r="C114" s="22"/>
      <c r="D114" s="29"/>
      <c r="E114" s="22"/>
      <c r="F114" s="29"/>
      <c r="G114" s="22"/>
      <c r="H114" s="22"/>
      <c r="I114" s="30"/>
      <c r="J114" s="22"/>
      <c r="K114" s="22"/>
      <c r="L114" s="3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  <row r="115">
      <c r="A115" s="28"/>
      <c r="B115" s="22"/>
      <c r="C115" s="22"/>
      <c r="D115" s="29"/>
      <c r="E115" s="22"/>
      <c r="F115" s="29"/>
      <c r="G115" s="22"/>
      <c r="H115" s="22"/>
      <c r="I115" s="30"/>
      <c r="J115" s="22"/>
      <c r="K115" s="22"/>
      <c r="L115" s="3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>
      <c r="A116" s="28"/>
      <c r="B116" s="22"/>
      <c r="C116" s="22"/>
      <c r="D116" s="29"/>
      <c r="E116" s="22"/>
      <c r="F116" s="29"/>
      <c r="G116" s="22"/>
      <c r="H116" s="22"/>
      <c r="I116" s="30"/>
      <c r="J116" s="22"/>
      <c r="K116" s="22"/>
      <c r="L116" s="3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>
      <c r="A117" s="28"/>
      <c r="B117" s="22"/>
      <c r="C117" s="22"/>
      <c r="D117" s="29"/>
      <c r="E117" s="22"/>
      <c r="F117" s="29"/>
      <c r="G117" s="22"/>
      <c r="H117" s="22"/>
      <c r="I117" s="30"/>
      <c r="J117" s="22"/>
      <c r="K117" s="22"/>
      <c r="L117" s="3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>
      <c r="A118" s="28"/>
      <c r="B118" s="22"/>
      <c r="C118" s="22"/>
      <c r="D118" s="29"/>
      <c r="E118" s="22"/>
      <c r="F118" s="29"/>
      <c r="G118" s="22"/>
      <c r="H118" s="22"/>
      <c r="I118" s="30"/>
      <c r="J118" s="22"/>
      <c r="K118" s="22"/>
      <c r="L118" s="3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</row>
    <row r="119">
      <c r="A119" s="28"/>
      <c r="B119" s="22"/>
      <c r="C119" s="22"/>
      <c r="D119" s="29"/>
      <c r="E119" s="22"/>
      <c r="F119" s="29"/>
      <c r="G119" s="22"/>
      <c r="H119" s="22"/>
      <c r="I119" s="30"/>
      <c r="J119" s="22"/>
      <c r="K119" s="22"/>
      <c r="L119" s="3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>
      <c r="A120" s="28"/>
      <c r="B120" s="22"/>
      <c r="C120" s="22"/>
      <c r="D120" s="29"/>
      <c r="E120" s="22"/>
      <c r="F120" s="29"/>
      <c r="G120" s="22"/>
      <c r="H120" s="22"/>
      <c r="I120" s="30"/>
      <c r="J120" s="22"/>
      <c r="K120" s="22"/>
      <c r="L120" s="3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>
      <c r="A121" s="28"/>
      <c r="B121" s="22"/>
      <c r="C121" s="22"/>
      <c r="D121" s="29"/>
      <c r="E121" s="22"/>
      <c r="F121" s="29"/>
      <c r="G121" s="22"/>
      <c r="H121" s="22"/>
      <c r="I121" s="30"/>
      <c r="J121" s="22"/>
      <c r="K121" s="22"/>
      <c r="L121" s="3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>
      <c r="A122" s="28"/>
      <c r="B122" s="22"/>
      <c r="C122" s="22"/>
      <c r="D122" s="29"/>
      <c r="E122" s="22"/>
      <c r="F122" s="29"/>
      <c r="G122" s="22"/>
      <c r="H122" s="22"/>
      <c r="I122" s="30"/>
      <c r="J122" s="22"/>
      <c r="K122" s="22"/>
      <c r="L122" s="3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>
      <c r="A123" s="28"/>
      <c r="B123" s="22"/>
      <c r="C123" s="22"/>
      <c r="D123" s="29"/>
      <c r="E123" s="22"/>
      <c r="F123" s="29"/>
      <c r="G123" s="22"/>
      <c r="H123" s="22"/>
      <c r="I123" s="30"/>
      <c r="J123" s="22"/>
      <c r="K123" s="22"/>
      <c r="L123" s="3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>
      <c r="A124" s="28"/>
      <c r="B124" s="22"/>
      <c r="C124" s="22"/>
      <c r="D124" s="29"/>
      <c r="E124" s="22"/>
      <c r="F124" s="29"/>
      <c r="G124" s="22"/>
      <c r="H124" s="22"/>
      <c r="I124" s="30"/>
      <c r="J124" s="22"/>
      <c r="K124" s="22"/>
      <c r="L124" s="3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>
      <c r="A125" s="28"/>
      <c r="B125" s="22"/>
      <c r="C125" s="22"/>
      <c r="D125" s="29"/>
      <c r="E125" s="22"/>
      <c r="F125" s="29"/>
      <c r="G125" s="22"/>
      <c r="H125" s="22"/>
      <c r="I125" s="30"/>
      <c r="J125" s="22"/>
      <c r="K125" s="22"/>
      <c r="L125" s="3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>
      <c r="A126" s="28"/>
      <c r="B126" s="22"/>
      <c r="C126" s="22"/>
      <c r="D126" s="29"/>
      <c r="E126" s="22"/>
      <c r="F126" s="29"/>
      <c r="G126" s="22"/>
      <c r="H126" s="22"/>
      <c r="I126" s="30"/>
      <c r="J126" s="22"/>
      <c r="K126" s="22"/>
      <c r="L126" s="3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>
      <c r="A127" s="28"/>
      <c r="B127" s="22"/>
      <c r="C127" s="22"/>
      <c r="D127" s="29"/>
      <c r="E127" s="22"/>
      <c r="F127" s="29"/>
      <c r="G127" s="22"/>
      <c r="H127" s="22"/>
      <c r="I127" s="30"/>
      <c r="J127" s="22"/>
      <c r="K127" s="22"/>
      <c r="L127" s="3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>
      <c r="A128" s="28"/>
      <c r="B128" s="22"/>
      <c r="C128" s="22"/>
      <c r="D128" s="29"/>
      <c r="E128" s="22"/>
      <c r="F128" s="29"/>
      <c r="G128" s="22"/>
      <c r="H128" s="22"/>
      <c r="I128" s="30"/>
      <c r="J128" s="22"/>
      <c r="K128" s="22"/>
      <c r="L128" s="3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>
      <c r="A129" s="28"/>
      <c r="B129" s="22"/>
      <c r="C129" s="22"/>
      <c r="D129" s="29"/>
      <c r="E129" s="22"/>
      <c r="F129" s="29"/>
      <c r="G129" s="22"/>
      <c r="H129" s="22"/>
      <c r="I129" s="30"/>
      <c r="J129" s="22"/>
      <c r="K129" s="22"/>
      <c r="L129" s="3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>
      <c r="A130" s="28"/>
      <c r="B130" s="22"/>
      <c r="C130" s="22"/>
      <c r="D130" s="29"/>
      <c r="E130" s="22"/>
      <c r="F130" s="29"/>
      <c r="G130" s="22"/>
      <c r="H130" s="22"/>
      <c r="I130" s="30"/>
      <c r="J130" s="22"/>
      <c r="K130" s="22"/>
      <c r="L130" s="3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>
      <c r="A131" s="28"/>
      <c r="B131" s="22"/>
      <c r="C131" s="22"/>
      <c r="D131" s="29"/>
      <c r="E131" s="22"/>
      <c r="F131" s="29"/>
      <c r="G131" s="22"/>
      <c r="H131" s="22"/>
      <c r="I131" s="30"/>
      <c r="J131" s="22"/>
      <c r="K131" s="22"/>
      <c r="L131" s="3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>
      <c r="A132" s="28"/>
      <c r="B132" s="22"/>
      <c r="C132" s="22"/>
      <c r="D132" s="29"/>
      <c r="E132" s="22"/>
      <c r="F132" s="29"/>
      <c r="G132" s="22"/>
      <c r="H132" s="22"/>
      <c r="I132" s="30"/>
      <c r="J132" s="22"/>
      <c r="K132" s="22"/>
      <c r="L132" s="3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>
      <c r="A133" s="28"/>
      <c r="B133" s="22"/>
      <c r="C133" s="22"/>
      <c r="D133" s="29"/>
      <c r="E133" s="22"/>
      <c r="F133" s="29"/>
      <c r="G133" s="22"/>
      <c r="H133" s="22"/>
      <c r="I133" s="30"/>
      <c r="J133" s="22"/>
      <c r="K133" s="22"/>
      <c r="L133" s="3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>
      <c r="A134" s="28"/>
      <c r="B134" s="22"/>
      <c r="C134" s="22"/>
      <c r="D134" s="29"/>
      <c r="E134" s="22"/>
      <c r="F134" s="29"/>
      <c r="G134" s="22"/>
      <c r="H134" s="22"/>
      <c r="I134" s="30"/>
      <c r="J134" s="22"/>
      <c r="K134" s="22"/>
      <c r="L134" s="3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>
      <c r="A135" s="28"/>
      <c r="B135" s="22"/>
      <c r="C135" s="22"/>
      <c r="D135" s="29"/>
      <c r="E135" s="22"/>
      <c r="F135" s="29"/>
      <c r="G135" s="22"/>
      <c r="H135" s="22"/>
      <c r="I135" s="30"/>
      <c r="J135" s="22"/>
      <c r="K135" s="22"/>
      <c r="L135" s="3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>
      <c r="A136" s="28"/>
      <c r="B136" s="22"/>
      <c r="C136" s="22"/>
      <c r="D136" s="29"/>
      <c r="E136" s="22"/>
      <c r="F136" s="29"/>
      <c r="G136" s="22"/>
      <c r="H136" s="22"/>
      <c r="I136" s="30"/>
      <c r="J136" s="22"/>
      <c r="K136" s="22"/>
      <c r="L136" s="3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>
      <c r="A137" s="28"/>
      <c r="B137" s="22"/>
      <c r="C137" s="22"/>
      <c r="D137" s="29"/>
      <c r="E137" s="22"/>
      <c r="F137" s="29"/>
      <c r="G137" s="22"/>
      <c r="H137" s="22"/>
      <c r="I137" s="30"/>
      <c r="J137" s="22"/>
      <c r="K137" s="22"/>
      <c r="L137" s="3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>
      <c r="A138" s="28"/>
      <c r="B138" s="22"/>
      <c r="C138" s="22"/>
      <c r="D138" s="29"/>
      <c r="E138" s="22"/>
      <c r="F138" s="29"/>
      <c r="G138" s="22"/>
      <c r="H138" s="22"/>
      <c r="I138" s="30"/>
      <c r="J138" s="22"/>
      <c r="K138" s="22"/>
      <c r="L138" s="3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>
      <c r="A139" s="28"/>
      <c r="B139" s="22"/>
      <c r="C139" s="22"/>
      <c r="D139" s="29"/>
      <c r="E139" s="22"/>
      <c r="F139" s="29"/>
      <c r="G139" s="22"/>
      <c r="H139" s="22"/>
      <c r="I139" s="30"/>
      <c r="J139" s="22"/>
      <c r="K139" s="22"/>
      <c r="L139" s="3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>
      <c r="A140" s="28"/>
      <c r="B140" s="22"/>
      <c r="C140" s="22"/>
      <c r="D140" s="29"/>
      <c r="E140" s="22"/>
      <c r="F140" s="29"/>
      <c r="G140" s="22"/>
      <c r="H140" s="22"/>
      <c r="I140" s="30"/>
      <c r="J140" s="22"/>
      <c r="K140" s="22"/>
      <c r="L140" s="3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>
      <c r="A141" s="28"/>
      <c r="B141" s="22"/>
      <c r="C141" s="22"/>
      <c r="D141" s="29"/>
      <c r="E141" s="22"/>
      <c r="F141" s="29"/>
      <c r="G141" s="22"/>
      <c r="H141" s="22"/>
      <c r="I141" s="30"/>
      <c r="J141" s="22"/>
      <c r="K141" s="22"/>
      <c r="L141" s="3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>
      <c r="A142" s="28"/>
      <c r="B142" s="22"/>
      <c r="C142" s="22"/>
      <c r="D142" s="29"/>
      <c r="E142" s="22"/>
      <c r="F142" s="29"/>
      <c r="G142" s="22"/>
      <c r="H142" s="22"/>
      <c r="I142" s="30"/>
      <c r="J142" s="22"/>
      <c r="K142" s="22"/>
      <c r="L142" s="3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>
      <c r="A143" s="28"/>
      <c r="B143" s="22"/>
      <c r="C143" s="22"/>
      <c r="D143" s="29"/>
      <c r="E143" s="22"/>
      <c r="F143" s="29"/>
      <c r="G143" s="22"/>
      <c r="H143" s="22"/>
      <c r="I143" s="30"/>
      <c r="J143" s="22"/>
      <c r="K143" s="22"/>
      <c r="L143" s="3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>
      <c r="A144" s="28"/>
      <c r="B144" s="22"/>
      <c r="C144" s="22"/>
      <c r="D144" s="29"/>
      <c r="E144" s="22"/>
      <c r="F144" s="29"/>
      <c r="G144" s="22"/>
      <c r="H144" s="22"/>
      <c r="I144" s="30"/>
      <c r="J144" s="22"/>
      <c r="K144" s="22"/>
      <c r="L144" s="3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>
      <c r="A145" s="28"/>
      <c r="B145" s="22"/>
      <c r="C145" s="22"/>
      <c r="D145" s="29"/>
      <c r="E145" s="22"/>
      <c r="F145" s="29"/>
      <c r="G145" s="22"/>
      <c r="H145" s="22"/>
      <c r="I145" s="30"/>
      <c r="J145" s="22"/>
      <c r="K145" s="22"/>
      <c r="L145" s="3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>
      <c r="A146" s="28"/>
      <c r="B146" s="22"/>
      <c r="C146" s="22"/>
      <c r="D146" s="29"/>
      <c r="E146" s="22"/>
      <c r="F146" s="29"/>
      <c r="G146" s="22"/>
      <c r="H146" s="22"/>
      <c r="I146" s="30"/>
      <c r="J146" s="22"/>
      <c r="K146" s="22"/>
      <c r="L146" s="3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>
      <c r="A147" s="28"/>
      <c r="B147" s="22"/>
      <c r="C147" s="22"/>
      <c r="D147" s="29"/>
      <c r="E147" s="22"/>
      <c r="F147" s="29"/>
      <c r="G147" s="22"/>
      <c r="H147" s="22"/>
      <c r="I147" s="30"/>
      <c r="J147" s="22"/>
      <c r="K147" s="22"/>
      <c r="L147" s="3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>
      <c r="A148" s="28"/>
      <c r="B148" s="22"/>
      <c r="C148" s="22"/>
      <c r="D148" s="29"/>
      <c r="E148" s="22"/>
      <c r="F148" s="29"/>
      <c r="G148" s="22"/>
      <c r="H148" s="22"/>
      <c r="I148" s="30"/>
      <c r="J148" s="22"/>
      <c r="K148" s="22"/>
      <c r="L148" s="3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>
      <c r="A149" s="28"/>
      <c r="B149" s="22"/>
      <c r="C149" s="22"/>
      <c r="D149" s="29"/>
      <c r="E149" s="22"/>
      <c r="F149" s="29"/>
      <c r="G149" s="22"/>
      <c r="H149" s="22"/>
      <c r="I149" s="30"/>
      <c r="J149" s="22"/>
      <c r="K149" s="22"/>
      <c r="L149" s="3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>
      <c r="A150" s="28"/>
      <c r="B150" s="22"/>
      <c r="C150" s="22"/>
      <c r="D150" s="29"/>
      <c r="E150" s="22"/>
      <c r="F150" s="29"/>
      <c r="G150" s="22"/>
      <c r="H150" s="22"/>
      <c r="I150" s="30"/>
      <c r="J150" s="22"/>
      <c r="K150" s="22"/>
      <c r="L150" s="3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>
      <c r="A151" s="28"/>
      <c r="B151" s="22"/>
      <c r="C151" s="22"/>
      <c r="D151" s="29"/>
      <c r="E151" s="22"/>
      <c r="F151" s="29"/>
      <c r="G151" s="22"/>
      <c r="H151" s="22"/>
      <c r="I151" s="30"/>
      <c r="J151" s="22"/>
      <c r="K151" s="22"/>
      <c r="L151" s="3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>
      <c r="A152" s="28"/>
      <c r="B152" s="22"/>
      <c r="C152" s="22"/>
      <c r="D152" s="29"/>
      <c r="E152" s="22"/>
      <c r="F152" s="29"/>
      <c r="G152" s="22"/>
      <c r="H152" s="22"/>
      <c r="I152" s="30"/>
      <c r="J152" s="22"/>
      <c r="K152" s="22"/>
      <c r="L152" s="3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>
      <c r="A153" s="28"/>
      <c r="B153" s="22"/>
      <c r="C153" s="22"/>
      <c r="D153" s="29"/>
      <c r="E153" s="22"/>
      <c r="F153" s="29"/>
      <c r="G153" s="22"/>
      <c r="H153" s="22"/>
      <c r="I153" s="30"/>
      <c r="J153" s="22"/>
      <c r="K153" s="22"/>
      <c r="L153" s="3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>
      <c r="A154" s="28"/>
      <c r="B154" s="22"/>
      <c r="C154" s="22"/>
      <c r="D154" s="29"/>
      <c r="E154" s="22"/>
      <c r="F154" s="29"/>
      <c r="G154" s="22"/>
      <c r="H154" s="22"/>
      <c r="I154" s="30"/>
      <c r="J154" s="22"/>
      <c r="K154" s="22"/>
      <c r="L154" s="3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>
      <c r="A155" s="28"/>
      <c r="B155" s="22"/>
      <c r="C155" s="22"/>
      <c r="D155" s="29"/>
      <c r="E155" s="22"/>
      <c r="F155" s="29"/>
      <c r="G155" s="22"/>
      <c r="H155" s="22"/>
      <c r="I155" s="30"/>
      <c r="J155" s="22"/>
      <c r="K155" s="22"/>
      <c r="L155" s="3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>
      <c r="A156" s="28"/>
      <c r="B156" s="22"/>
      <c r="C156" s="22"/>
      <c r="D156" s="29"/>
      <c r="E156" s="22"/>
      <c r="F156" s="29"/>
      <c r="G156" s="22"/>
      <c r="H156" s="22"/>
      <c r="I156" s="30"/>
      <c r="J156" s="22"/>
      <c r="K156" s="22"/>
      <c r="L156" s="3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>
      <c r="A157" s="28"/>
      <c r="B157" s="22"/>
      <c r="C157" s="22"/>
      <c r="D157" s="29"/>
      <c r="E157" s="22"/>
      <c r="F157" s="29"/>
      <c r="G157" s="22"/>
      <c r="H157" s="22"/>
      <c r="I157" s="30"/>
      <c r="J157" s="22"/>
      <c r="K157" s="22"/>
      <c r="L157" s="3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>
      <c r="A158" s="28"/>
      <c r="B158" s="22"/>
      <c r="C158" s="22"/>
      <c r="D158" s="29"/>
      <c r="E158" s="22"/>
      <c r="F158" s="29"/>
      <c r="G158" s="22"/>
      <c r="H158" s="22"/>
      <c r="I158" s="30"/>
      <c r="J158" s="22"/>
      <c r="K158" s="22"/>
      <c r="L158" s="3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>
      <c r="A159" s="28"/>
      <c r="B159" s="22"/>
      <c r="C159" s="22"/>
      <c r="D159" s="29"/>
      <c r="E159" s="22"/>
      <c r="F159" s="29"/>
      <c r="G159" s="22"/>
      <c r="H159" s="22"/>
      <c r="I159" s="30"/>
      <c r="J159" s="22"/>
      <c r="K159" s="22"/>
      <c r="L159" s="3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</row>
    <row r="160">
      <c r="A160" s="28"/>
      <c r="B160" s="22"/>
      <c r="C160" s="22"/>
      <c r="D160" s="29"/>
      <c r="E160" s="22"/>
      <c r="F160" s="29"/>
      <c r="G160" s="22"/>
      <c r="H160" s="22"/>
      <c r="I160" s="30"/>
      <c r="J160" s="22"/>
      <c r="K160" s="22"/>
      <c r="L160" s="3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>
      <c r="A161" s="28"/>
      <c r="B161" s="22"/>
      <c r="C161" s="22"/>
      <c r="D161" s="29"/>
      <c r="E161" s="22"/>
      <c r="F161" s="29"/>
      <c r="G161" s="22"/>
      <c r="H161" s="22"/>
      <c r="I161" s="30"/>
      <c r="J161" s="22"/>
      <c r="K161" s="22"/>
      <c r="L161" s="3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>
      <c r="A162" s="28"/>
      <c r="B162" s="22"/>
      <c r="C162" s="22"/>
      <c r="D162" s="29"/>
      <c r="E162" s="22"/>
      <c r="F162" s="29"/>
      <c r="G162" s="22"/>
      <c r="H162" s="22"/>
      <c r="I162" s="30"/>
      <c r="J162" s="22"/>
      <c r="K162" s="22"/>
      <c r="L162" s="3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>
      <c r="A163" s="28"/>
      <c r="B163" s="22"/>
      <c r="C163" s="22"/>
      <c r="D163" s="29"/>
      <c r="E163" s="22"/>
      <c r="F163" s="29"/>
      <c r="G163" s="22"/>
      <c r="H163" s="22"/>
      <c r="I163" s="30"/>
      <c r="J163" s="22"/>
      <c r="K163" s="22"/>
      <c r="L163" s="3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>
      <c r="A164" s="28"/>
      <c r="B164" s="22"/>
      <c r="C164" s="22"/>
      <c r="D164" s="29"/>
      <c r="E164" s="22"/>
      <c r="F164" s="29"/>
      <c r="G164" s="22"/>
      <c r="H164" s="22"/>
      <c r="I164" s="30"/>
      <c r="J164" s="22"/>
      <c r="K164" s="22"/>
      <c r="L164" s="3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>
      <c r="A165" s="28"/>
      <c r="B165" s="22"/>
      <c r="C165" s="22"/>
      <c r="D165" s="29"/>
      <c r="E165" s="22"/>
      <c r="F165" s="29"/>
      <c r="G165" s="22"/>
      <c r="H165" s="22"/>
      <c r="I165" s="30"/>
      <c r="J165" s="22"/>
      <c r="K165" s="22"/>
      <c r="L165" s="3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>
      <c r="A166" s="28"/>
      <c r="B166" s="22"/>
      <c r="C166" s="22"/>
      <c r="D166" s="29"/>
      <c r="E166" s="22"/>
      <c r="F166" s="29"/>
      <c r="G166" s="22"/>
      <c r="H166" s="22"/>
      <c r="I166" s="30"/>
      <c r="J166" s="22"/>
      <c r="K166" s="22"/>
      <c r="L166" s="3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>
      <c r="A167" s="28"/>
      <c r="B167" s="22"/>
      <c r="C167" s="22"/>
      <c r="D167" s="29"/>
      <c r="E167" s="22"/>
      <c r="F167" s="29"/>
      <c r="G167" s="22"/>
      <c r="H167" s="22"/>
      <c r="I167" s="30"/>
      <c r="J167" s="22"/>
      <c r="K167" s="22"/>
      <c r="L167" s="3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>
      <c r="A168" s="28"/>
      <c r="B168" s="22"/>
      <c r="C168" s="22"/>
      <c r="D168" s="29"/>
      <c r="E168" s="22"/>
      <c r="F168" s="29"/>
      <c r="G168" s="22"/>
      <c r="H168" s="22"/>
      <c r="I168" s="30"/>
      <c r="J168" s="22"/>
      <c r="K168" s="22"/>
      <c r="L168" s="3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>
      <c r="A169" s="28"/>
      <c r="B169" s="22"/>
      <c r="C169" s="22"/>
      <c r="D169" s="29"/>
      <c r="E169" s="22"/>
      <c r="F169" s="29"/>
      <c r="G169" s="22"/>
      <c r="H169" s="22"/>
      <c r="I169" s="30"/>
      <c r="J169" s="22"/>
      <c r="K169" s="22"/>
      <c r="L169" s="3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>
      <c r="A170" s="28"/>
      <c r="B170" s="22"/>
      <c r="C170" s="22"/>
      <c r="D170" s="29"/>
      <c r="E170" s="22"/>
      <c r="F170" s="29"/>
      <c r="G170" s="22"/>
      <c r="H170" s="22"/>
      <c r="I170" s="30"/>
      <c r="J170" s="22"/>
      <c r="K170" s="22"/>
      <c r="L170" s="3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>
      <c r="A171" s="28"/>
      <c r="B171" s="22"/>
      <c r="C171" s="22"/>
      <c r="D171" s="29"/>
      <c r="E171" s="22"/>
      <c r="F171" s="29"/>
      <c r="G171" s="22"/>
      <c r="H171" s="22"/>
      <c r="I171" s="30"/>
      <c r="J171" s="22"/>
      <c r="K171" s="22"/>
      <c r="L171" s="3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>
      <c r="A172" s="28"/>
      <c r="B172" s="22"/>
      <c r="C172" s="22"/>
      <c r="D172" s="29"/>
      <c r="E172" s="22"/>
      <c r="F172" s="29"/>
      <c r="G172" s="22"/>
      <c r="H172" s="22"/>
      <c r="I172" s="30"/>
      <c r="J172" s="22"/>
      <c r="K172" s="22"/>
      <c r="L172" s="3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>
      <c r="A173" s="28"/>
      <c r="B173" s="22"/>
      <c r="C173" s="22"/>
      <c r="D173" s="29"/>
      <c r="E173" s="22"/>
      <c r="F173" s="29"/>
      <c r="G173" s="22"/>
      <c r="H173" s="22"/>
      <c r="I173" s="30"/>
      <c r="J173" s="22"/>
      <c r="K173" s="22"/>
      <c r="L173" s="3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</row>
    <row r="174">
      <c r="A174" s="28"/>
      <c r="B174" s="22"/>
      <c r="C174" s="22"/>
      <c r="D174" s="29"/>
      <c r="E174" s="22"/>
      <c r="F174" s="29"/>
      <c r="G174" s="22"/>
      <c r="H174" s="22"/>
      <c r="I174" s="30"/>
      <c r="J174" s="22"/>
      <c r="K174" s="22"/>
      <c r="L174" s="3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>
      <c r="A175" s="28"/>
      <c r="B175" s="22"/>
      <c r="C175" s="22"/>
      <c r="D175" s="29"/>
      <c r="E175" s="22"/>
      <c r="F175" s="29"/>
      <c r="G175" s="22"/>
      <c r="H175" s="22"/>
      <c r="I175" s="30"/>
      <c r="J175" s="22"/>
      <c r="K175" s="22"/>
      <c r="L175" s="3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>
      <c r="A176" s="28"/>
      <c r="B176" s="22"/>
      <c r="C176" s="22"/>
      <c r="D176" s="29"/>
      <c r="E176" s="22"/>
      <c r="F176" s="29"/>
      <c r="G176" s="22"/>
      <c r="H176" s="22"/>
      <c r="I176" s="30"/>
      <c r="J176" s="22"/>
      <c r="K176" s="22"/>
      <c r="L176" s="3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>
      <c r="A177" s="28"/>
      <c r="B177" s="22"/>
      <c r="C177" s="22"/>
      <c r="D177" s="29"/>
      <c r="E177" s="22"/>
      <c r="F177" s="29"/>
      <c r="G177" s="22"/>
      <c r="H177" s="22"/>
      <c r="I177" s="30"/>
      <c r="J177" s="22"/>
      <c r="K177" s="22"/>
      <c r="L177" s="3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>
      <c r="A178" s="28"/>
      <c r="B178" s="22"/>
      <c r="C178" s="22"/>
      <c r="D178" s="29"/>
      <c r="E178" s="22"/>
      <c r="F178" s="29"/>
      <c r="G178" s="22"/>
      <c r="H178" s="22"/>
      <c r="I178" s="30"/>
      <c r="J178" s="22"/>
      <c r="K178" s="22"/>
      <c r="L178" s="3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>
      <c r="A179" s="28"/>
      <c r="B179" s="22"/>
      <c r="C179" s="22"/>
      <c r="D179" s="29"/>
      <c r="E179" s="22"/>
      <c r="F179" s="29"/>
      <c r="G179" s="22"/>
      <c r="H179" s="22"/>
      <c r="I179" s="30"/>
      <c r="J179" s="22"/>
      <c r="K179" s="22"/>
      <c r="L179" s="3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</row>
    <row r="180">
      <c r="A180" s="28"/>
      <c r="B180" s="22"/>
      <c r="C180" s="22"/>
      <c r="D180" s="29"/>
      <c r="E180" s="22"/>
      <c r="F180" s="29"/>
      <c r="G180" s="22"/>
      <c r="H180" s="22"/>
      <c r="I180" s="30"/>
      <c r="J180" s="22"/>
      <c r="K180" s="22"/>
      <c r="L180" s="3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>
      <c r="A181" s="28"/>
      <c r="B181" s="22"/>
      <c r="C181" s="22"/>
      <c r="D181" s="29"/>
      <c r="E181" s="22"/>
      <c r="F181" s="29"/>
      <c r="G181" s="22"/>
      <c r="H181" s="22"/>
      <c r="I181" s="30"/>
      <c r="J181" s="22"/>
      <c r="K181" s="22"/>
      <c r="L181" s="3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>
      <c r="A182" s="28"/>
      <c r="B182" s="22"/>
      <c r="C182" s="22"/>
      <c r="D182" s="29"/>
      <c r="E182" s="22"/>
      <c r="F182" s="29"/>
      <c r="G182" s="22"/>
      <c r="H182" s="22"/>
      <c r="I182" s="30"/>
      <c r="J182" s="22"/>
      <c r="K182" s="22"/>
      <c r="L182" s="3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>
      <c r="A183" s="28"/>
      <c r="B183" s="22"/>
      <c r="C183" s="22"/>
      <c r="D183" s="29"/>
      <c r="E183" s="22"/>
      <c r="F183" s="29"/>
      <c r="G183" s="22"/>
      <c r="H183" s="22"/>
      <c r="I183" s="30"/>
      <c r="J183" s="22"/>
      <c r="K183" s="22"/>
      <c r="L183" s="3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>
      <c r="A184" s="28"/>
      <c r="B184" s="22"/>
      <c r="C184" s="22"/>
      <c r="D184" s="29"/>
      <c r="E184" s="22"/>
      <c r="F184" s="29"/>
      <c r="G184" s="22"/>
      <c r="H184" s="22"/>
      <c r="I184" s="30"/>
      <c r="J184" s="22"/>
      <c r="K184" s="22"/>
      <c r="L184" s="3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>
      <c r="A185" s="28"/>
      <c r="B185" s="22"/>
      <c r="C185" s="22"/>
      <c r="D185" s="29"/>
      <c r="E185" s="22"/>
      <c r="F185" s="29"/>
      <c r="G185" s="22"/>
      <c r="H185" s="22"/>
      <c r="I185" s="30"/>
      <c r="J185" s="22"/>
      <c r="K185" s="22"/>
      <c r="L185" s="3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>
      <c r="A186" s="28"/>
      <c r="B186" s="22"/>
      <c r="C186" s="22"/>
      <c r="D186" s="29"/>
      <c r="E186" s="22"/>
      <c r="F186" s="29"/>
      <c r="G186" s="22"/>
      <c r="H186" s="22"/>
      <c r="I186" s="30"/>
      <c r="J186" s="22"/>
      <c r="K186" s="22"/>
      <c r="L186" s="3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>
      <c r="A187" s="28"/>
      <c r="B187" s="22"/>
      <c r="C187" s="22"/>
      <c r="D187" s="29"/>
      <c r="E187" s="22"/>
      <c r="F187" s="29"/>
      <c r="G187" s="22"/>
      <c r="H187" s="22"/>
      <c r="I187" s="30"/>
      <c r="J187" s="22"/>
      <c r="K187" s="22"/>
      <c r="L187" s="3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>
      <c r="A188" s="28"/>
      <c r="B188" s="22"/>
      <c r="C188" s="22"/>
      <c r="D188" s="29"/>
      <c r="E188" s="22"/>
      <c r="F188" s="29"/>
      <c r="G188" s="22"/>
      <c r="H188" s="22"/>
      <c r="I188" s="30"/>
      <c r="J188" s="22"/>
      <c r="K188" s="22"/>
      <c r="L188" s="3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>
      <c r="A189" s="28"/>
      <c r="B189" s="22"/>
      <c r="C189" s="22"/>
      <c r="D189" s="29"/>
      <c r="E189" s="22"/>
      <c r="F189" s="29"/>
      <c r="G189" s="22"/>
      <c r="H189" s="22"/>
      <c r="I189" s="30"/>
      <c r="J189" s="22"/>
      <c r="K189" s="22"/>
      <c r="L189" s="3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>
      <c r="A190" s="28"/>
      <c r="B190" s="22"/>
      <c r="C190" s="22"/>
      <c r="D190" s="29"/>
      <c r="E190" s="22"/>
      <c r="F190" s="29"/>
      <c r="G190" s="22"/>
      <c r="H190" s="22"/>
      <c r="I190" s="30"/>
      <c r="J190" s="22"/>
      <c r="K190" s="22"/>
      <c r="L190" s="3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>
      <c r="A191" s="28"/>
      <c r="B191" s="22"/>
      <c r="C191" s="22"/>
      <c r="D191" s="29"/>
      <c r="E191" s="22"/>
      <c r="F191" s="29"/>
      <c r="G191" s="22"/>
      <c r="H191" s="22"/>
      <c r="I191" s="30"/>
      <c r="J191" s="22"/>
      <c r="K191" s="22"/>
      <c r="L191" s="3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>
      <c r="A192" s="28"/>
      <c r="B192" s="22"/>
      <c r="C192" s="22"/>
      <c r="D192" s="29"/>
      <c r="E192" s="22"/>
      <c r="F192" s="29"/>
      <c r="G192" s="22"/>
      <c r="H192" s="22"/>
      <c r="I192" s="30"/>
      <c r="J192" s="22"/>
      <c r="K192" s="22"/>
      <c r="L192" s="3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>
      <c r="A193" s="28"/>
      <c r="B193" s="22"/>
      <c r="C193" s="22"/>
      <c r="D193" s="29"/>
      <c r="E193" s="22"/>
      <c r="F193" s="29"/>
      <c r="G193" s="22"/>
      <c r="H193" s="22"/>
      <c r="I193" s="30"/>
      <c r="J193" s="22"/>
      <c r="K193" s="22"/>
      <c r="L193" s="3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>
      <c r="A194" s="28"/>
      <c r="B194" s="22"/>
      <c r="C194" s="22"/>
      <c r="D194" s="29"/>
      <c r="E194" s="22"/>
      <c r="F194" s="29"/>
      <c r="G194" s="22"/>
      <c r="H194" s="22"/>
      <c r="I194" s="30"/>
      <c r="J194" s="22"/>
      <c r="K194" s="22"/>
      <c r="L194" s="3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>
      <c r="A195" s="28"/>
      <c r="B195" s="22"/>
      <c r="C195" s="22"/>
      <c r="D195" s="29"/>
      <c r="E195" s="22"/>
      <c r="F195" s="29"/>
      <c r="G195" s="22"/>
      <c r="H195" s="22"/>
      <c r="I195" s="30"/>
      <c r="J195" s="22"/>
      <c r="K195" s="22"/>
      <c r="L195" s="3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>
      <c r="A196" s="28"/>
      <c r="B196" s="22"/>
      <c r="C196" s="22"/>
      <c r="D196" s="29"/>
      <c r="E196" s="22"/>
      <c r="F196" s="29"/>
      <c r="G196" s="22"/>
      <c r="H196" s="22"/>
      <c r="I196" s="30"/>
      <c r="J196" s="22"/>
      <c r="K196" s="22"/>
      <c r="L196" s="3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>
      <c r="A197" s="28"/>
      <c r="B197" s="22"/>
      <c r="C197" s="22"/>
      <c r="D197" s="29"/>
      <c r="E197" s="22"/>
      <c r="F197" s="29"/>
      <c r="G197" s="22"/>
      <c r="H197" s="22"/>
      <c r="I197" s="30"/>
      <c r="J197" s="22"/>
      <c r="K197" s="22"/>
      <c r="L197" s="3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>
      <c r="A198" s="28"/>
      <c r="B198" s="22"/>
      <c r="C198" s="22"/>
      <c r="D198" s="29"/>
      <c r="E198" s="22"/>
      <c r="F198" s="29"/>
      <c r="G198" s="22"/>
      <c r="H198" s="22"/>
      <c r="I198" s="30"/>
      <c r="J198" s="22"/>
      <c r="K198" s="22"/>
      <c r="L198" s="3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>
      <c r="A199" s="28"/>
      <c r="B199" s="22"/>
      <c r="C199" s="22"/>
      <c r="D199" s="29"/>
      <c r="E199" s="22"/>
      <c r="F199" s="29"/>
      <c r="G199" s="22"/>
      <c r="H199" s="22"/>
      <c r="I199" s="30"/>
      <c r="J199" s="22"/>
      <c r="K199" s="22"/>
      <c r="L199" s="3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>
      <c r="A200" s="28"/>
      <c r="B200" s="22"/>
      <c r="C200" s="22"/>
      <c r="D200" s="29"/>
      <c r="E200" s="22"/>
      <c r="F200" s="29"/>
      <c r="G200" s="22"/>
      <c r="H200" s="22"/>
      <c r="I200" s="30"/>
      <c r="J200" s="22"/>
      <c r="K200" s="22"/>
      <c r="L200" s="3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>
      <c r="A201" s="28"/>
      <c r="B201" s="22"/>
      <c r="C201" s="22"/>
      <c r="D201" s="29"/>
      <c r="E201" s="22"/>
      <c r="F201" s="29"/>
      <c r="G201" s="22"/>
      <c r="H201" s="22"/>
      <c r="I201" s="30"/>
      <c r="J201" s="22"/>
      <c r="K201" s="22"/>
      <c r="L201" s="3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</row>
    <row r="202">
      <c r="A202" s="28"/>
      <c r="B202" s="22"/>
      <c r="C202" s="22"/>
      <c r="D202" s="29"/>
      <c r="E202" s="22"/>
      <c r="F202" s="29"/>
      <c r="G202" s="22"/>
      <c r="H202" s="22"/>
      <c r="I202" s="30"/>
      <c r="J202" s="22"/>
      <c r="K202" s="22"/>
      <c r="L202" s="3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>
      <c r="A203" s="28"/>
      <c r="B203" s="22"/>
      <c r="C203" s="22"/>
      <c r="D203" s="29"/>
      <c r="E203" s="22"/>
      <c r="F203" s="29"/>
      <c r="G203" s="22"/>
      <c r="H203" s="22"/>
      <c r="I203" s="30"/>
      <c r="J203" s="22"/>
      <c r="K203" s="22"/>
      <c r="L203" s="3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>
      <c r="A204" s="28"/>
      <c r="B204" s="22"/>
      <c r="C204" s="22"/>
      <c r="D204" s="29"/>
      <c r="E204" s="22"/>
      <c r="F204" s="29"/>
      <c r="G204" s="22"/>
      <c r="H204" s="22"/>
      <c r="I204" s="30"/>
      <c r="J204" s="22"/>
      <c r="K204" s="22"/>
      <c r="L204" s="3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>
      <c r="A205" s="28"/>
      <c r="B205" s="22"/>
      <c r="C205" s="22"/>
      <c r="D205" s="29"/>
      <c r="E205" s="22"/>
      <c r="F205" s="29"/>
      <c r="G205" s="22"/>
      <c r="H205" s="22"/>
      <c r="I205" s="30"/>
      <c r="J205" s="22"/>
      <c r="K205" s="22"/>
      <c r="L205" s="3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>
      <c r="A206" s="28"/>
      <c r="B206" s="22"/>
      <c r="C206" s="22"/>
      <c r="D206" s="29"/>
      <c r="E206" s="22"/>
      <c r="F206" s="29"/>
      <c r="G206" s="22"/>
      <c r="H206" s="22"/>
      <c r="I206" s="30"/>
      <c r="J206" s="22"/>
      <c r="K206" s="22"/>
      <c r="L206" s="3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>
      <c r="A207" s="28"/>
      <c r="B207" s="22"/>
      <c r="C207" s="22"/>
      <c r="D207" s="29"/>
      <c r="E207" s="22"/>
      <c r="F207" s="29"/>
      <c r="G207" s="22"/>
      <c r="H207" s="22"/>
      <c r="I207" s="30"/>
      <c r="J207" s="22"/>
      <c r="K207" s="22"/>
      <c r="L207" s="3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>
      <c r="A208" s="28"/>
      <c r="B208" s="22"/>
      <c r="C208" s="22"/>
      <c r="D208" s="29"/>
      <c r="E208" s="22"/>
      <c r="F208" s="29"/>
      <c r="G208" s="22"/>
      <c r="H208" s="22"/>
      <c r="I208" s="30"/>
      <c r="J208" s="22"/>
      <c r="K208" s="22"/>
      <c r="L208" s="3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>
      <c r="A209" s="28"/>
      <c r="B209" s="22"/>
      <c r="C209" s="22"/>
      <c r="D209" s="29"/>
      <c r="E209" s="22"/>
      <c r="F209" s="29"/>
      <c r="G209" s="22"/>
      <c r="H209" s="22"/>
      <c r="I209" s="30"/>
      <c r="J209" s="22"/>
      <c r="K209" s="22"/>
      <c r="L209" s="3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</row>
    <row r="210">
      <c r="A210" s="28"/>
      <c r="B210" s="22"/>
      <c r="C210" s="22"/>
      <c r="D210" s="29"/>
      <c r="E210" s="22"/>
      <c r="F210" s="29"/>
      <c r="G210" s="22"/>
      <c r="H210" s="22"/>
      <c r="I210" s="30"/>
      <c r="J210" s="22"/>
      <c r="K210" s="22"/>
      <c r="L210" s="3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>
      <c r="A211" s="28"/>
      <c r="B211" s="22"/>
      <c r="C211" s="22"/>
      <c r="D211" s="29"/>
      <c r="E211" s="22"/>
      <c r="F211" s="29"/>
      <c r="G211" s="22"/>
      <c r="H211" s="22"/>
      <c r="I211" s="30"/>
      <c r="J211" s="22"/>
      <c r="K211" s="22"/>
      <c r="L211" s="3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>
      <c r="A212" s="28"/>
      <c r="B212" s="22"/>
      <c r="C212" s="22"/>
      <c r="D212" s="29"/>
      <c r="E212" s="22"/>
      <c r="F212" s="29"/>
      <c r="G212" s="22"/>
      <c r="H212" s="22"/>
      <c r="I212" s="30"/>
      <c r="J212" s="22"/>
      <c r="K212" s="22"/>
      <c r="L212" s="3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>
      <c r="A213" s="28"/>
      <c r="B213" s="22"/>
      <c r="C213" s="22"/>
      <c r="D213" s="29"/>
      <c r="E213" s="22"/>
      <c r="F213" s="29"/>
      <c r="G213" s="22"/>
      <c r="H213" s="22"/>
      <c r="I213" s="30"/>
      <c r="J213" s="22"/>
      <c r="K213" s="22"/>
      <c r="L213" s="3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</row>
    <row r="214">
      <c r="A214" s="28"/>
      <c r="B214" s="22"/>
      <c r="C214" s="22"/>
      <c r="D214" s="29"/>
      <c r="E214" s="22"/>
      <c r="F214" s="29"/>
      <c r="G214" s="22"/>
      <c r="H214" s="22"/>
      <c r="I214" s="30"/>
      <c r="J214" s="22"/>
      <c r="K214" s="22"/>
      <c r="L214" s="3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>
      <c r="A215" s="28"/>
      <c r="B215" s="22"/>
      <c r="C215" s="22"/>
      <c r="D215" s="29"/>
      <c r="E215" s="22"/>
      <c r="F215" s="29"/>
      <c r="G215" s="22"/>
      <c r="H215" s="22"/>
      <c r="I215" s="30"/>
      <c r="J215" s="22"/>
      <c r="K215" s="22"/>
      <c r="L215" s="3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</row>
    <row r="216">
      <c r="A216" s="28"/>
      <c r="B216" s="22"/>
      <c r="C216" s="22"/>
      <c r="D216" s="29"/>
      <c r="E216" s="22"/>
      <c r="F216" s="29"/>
      <c r="G216" s="22"/>
      <c r="H216" s="22"/>
      <c r="I216" s="30"/>
      <c r="J216" s="22"/>
      <c r="K216" s="22"/>
      <c r="L216" s="3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>
      <c r="A217" s="28"/>
      <c r="B217" s="22"/>
      <c r="C217" s="22"/>
      <c r="D217" s="29"/>
      <c r="E217" s="22"/>
      <c r="F217" s="29"/>
      <c r="G217" s="22"/>
      <c r="H217" s="22"/>
      <c r="I217" s="30"/>
      <c r="J217" s="22"/>
      <c r="K217" s="22"/>
      <c r="L217" s="3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>
      <c r="A218" s="28"/>
      <c r="B218" s="22"/>
      <c r="C218" s="22"/>
      <c r="D218" s="29"/>
      <c r="E218" s="22"/>
      <c r="F218" s="29"/>
      <c r="G218" s="22"/>
      <c r="H218" s="22"/>
      <c r="I218" s="30"/>
      <c r="J218" s="22"/>
      <c r="K218" s="22"/>
      <c r="L218" s="3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>
      <c r="A219" s="28"/>
      <c r="B219" s="22"/>
      <c r="C219" s="22"/>
      <c r="D219" s="29"/>
      <c r="E219" s="22"/>
      <c r="F219" s="29"/>
      <c r="G219" s="22"/>
      <c r="H219" s="22"/>
      <c r="I219" s="30"/>
      <c r="J219" s="22"/>
      <c r="K219" s="22"/>
      <c r="L219" s="3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>
      <c r="A220" s="28"/>
      <c r="B220" s="22"/>
      <c r="C220" s="22"/>
      <c r="D220" s="29"/>
      <c r="E220" s="22"/>
      <c r="F220" s="29"/>
      <c r="G220" s="22"/>
      <c r="H220" s="22"/>
      <c r="I220" s="30"/>
      <c r="J220" s="22"/>
      <c r="K220" s="22"/>
      <c r="L220" s="3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>
      <c r="A221" s="28"/>
      <c r="B221" s="22"/>
      <c r="C221" s="22"/>
      <c r="D221" s="29"/>
      <c r="E221" s="22"/>
      <c r="F221" s="29"/>
      <c r="G221" s="22"/>
      <c r="H221" s="22"/>
      <c r="I221" s="30"/>
      <c r="J221" s="22"/>
      <c r="K221" s="22"/>
      <c r="L221" s="3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>
      <c r="A222" s="28"/>
      <c r="B222" s="22"/>
      <c r="C222" s="22"/>
      <c r="D222" s="29"/>
      <c r="E222" s="22"/>
      <c r="F222" s="29"/>
      <c r="G222" s="22"/>
      <c r="H222" s="22"/>
      <c r="I222" s="30"/>
      <c r="J222" s="22"/>
      <c r="K222" s="22"/>
      <c r="L222" s="3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>
      <c r="A223" s="28"/>
      <c r="B223" s="22"/>
      <c r="C223" s="22"/>
      <c r="D223" s="29"/>
      <c r="E223" s="22"/>
      <c r="F223" s="29"/>
      <c r="G223" s="22"/>
      <c r="H223" s="22"/>
      <c r="I223" s="30"/>
      <c r="J223" s="22"/>
      <c r="K223" s="22"/>
      <c r="L223" s="3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>
      <c r="A224" s="28"/>
      <c r="B224" s="22"/>
      <c r="C224" s="22"/>
      <c r="D224" s="29"/>
      <c r="E224" s="22"/>
      <c r="F224" s="29"/>
      <c r="G224" s="22"/>
      <c r="H224" s="22"/>
      <c r="I224" s="30"/>
      <c r="J224" s="22"/>
      <c r="K224" s="22"/>
      <c r="L224" s="3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>
      <c r="A225" s="28"/>
      <c r="B225" s="22"/>
      <c r="C225" s="22"/>
      <c r="D225" s="29"/>
      <c r="E225" s="22"/>
      <c r="F225" s="29"/>
      <c r="G225" s="22"/>
      <c r="H225" s="22"/>
      <c r="I225" s="30"/>
      <c r="J225" s="22"/>
      <c r="K225" s="22"/>
      <c r="L225" s="3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</row>
    <row r="226">
      <c r="A226" s="28"/>
      <c r="B226" s="22"/>
      <c r="C226" s="22"/>
      <c r="D226" s="29"/>
      <c r="E226" s="22"/>
      <c r="F226" s="29"/>
      <c r="G226" s="22"/>
      <c r="H226" s="22"/>
      <c r="I226" s="30"/>
      <c r="J226" s="22"/>
      <c r="K226" s="22"/>
      <c r="L226" s="3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>
      <c r="A227" s="28"/>
      <c r="B227" s="22"/>
      <c r="C227" s="22"/>
      <c r="D227" s="29"/>
      <c r="E227" s="22"/>
      <c r="F227" s="29"/>
      <c r="G227" s="22"/>
      <c r="H227" s="22"/>
      <c r="I227" s="30"/>
      <c r="J227" s="22"/>
      <c r="K227" s="22"/>
      <c r="L227" s="3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>
      <c r="A228" s="28"/>
      <c r="B228" s="22"/>
      <c r="C228" s="22"/>
      <c r="D228" s="29"/>
      <c r="E228" s="22"/>
      <c r="F228" s="29"/>
      <c r="G228" s="22"/>
      <c r="H228" s="22"/>
      <c r="I228" s="30"/>
      <c r="J228" s="22"/>
      <c r="K228" s="22"/>
      <c r="L228" s="3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>
      <c r="A229" s="28"/>
      <c r="B229" s="22"/>
      <c r="C229" s="22"/>
      <c r="D229" s="29"/>
      <c r="E229" s="22"/>
      <c r="F229" s="29"/>
      <c r="G229" s="22"/>
      <c r="H229" s="22"/>
      <c r="I229" s="30"/>
      <c r="J229" s="22"/>
      <c r="K229" s="22"/>
      <c r="L229" s="3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>
      <c r="A230" s="28"/>
      <c r="B230" s="22"/>
      <c r="C230" s="22"/>
      <c r="D230" s="29"/>
      <c r="E230" s="22"/>
      <c r="F230" s="29"/>
      <c r="G230" s="22"/>
      <c r="H230" s="22"/>
      <c r="I230" s="30"/>
      <c r="J230" s="22"/>
      <c r="K230" s="22"/>
      <c r="L230" s="3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>
      <c r="A231" s="28"/>
      <c r="B231" s="22"/>
      <c r="C231" s="22"/>
      <c r="D231" s="29"/>
      <c r="E231" s="22"/>
      <c r="F231" s="29"/>
      <c r="G231" s="22"/>
      <c r="H231" s="22"/>
      <c r="I231" s="30"/>
      <c r="J231" s="22"/>
      <c r="K231" s="22"/>
      <c r="L231" s="3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>
      <c r="A232" s="28"/>
      <c r="B232" s="22"/>
      <c r="C232" s="22"/>
      <c r="D232" s="29"/>
      <c r="E232" s="22"/>
      <c r="F232" s="29"/>
      <c r="G232" s="22"/>
      <c r="H232" s="22"/>
      <c r="I232" s="30"/>
      <c r="J232" s="22"/>
      <c r="K232" s="22"/>
      <c r="L232" s="3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>
      <c r="A233" s="28"/>
      <c r="B233" s="22"/>
      <c r="C233" s="22"/>
      <c r="D233" s="29"/>
      <c r="E233" s="22"/>
      <c r="F233" s="29"/>
      <c r="G233" s="22"/>
      <c r="H233" s="22"/>
      <c r="I233" s="30"/>
      <c r="J233" s="22"/>
      <c r="K233" s="22"/>
      <c r="L233" s="3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>
      <c r="A234" s="28"/>
      <c r="B234" s="22"/>
      <c r="C234" s="22"/>
      <c r="D234" s="29"/>
      <c r="E234" s="22"/>
      <c r="F234" s="29"/>
      <c r="G234" s="22"/>
      <c r="H234" s="22"/>
      <c r="I234" s="30"/>
      <c r="J234" s="22"/>
      <c r="K234" s="22"/>
      <c r="L234" s="3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>
      <c r="A235" s="28"/>
      <c r="B235" s="22"/>
      <c r="C235" s="22"/>
      <c r="D235" s="29"/>
      <c r="E235" s="22"/>
      <c r="F235" s="29"/>
      <c r="G235" s="22"/>
      <c r="H235" s="22"/>
      <c r="I235" s="30"/>
      <c r="J235" s="22"/>
      <c r="K235" s="22"/>
      <c r="L235" s="3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>
      <c r="A236" s="28"/>
      <c r="B236" s="22"/>
      <c r="C236" s="22"/>
      <c r="D236" s="29"/>
      <c r="E236" s="22"/>
      <c r="F236" s="29"/>
      <c r="G236" s="22"/>
      <c r="H236" s="22"/>
      <c r="I236" s="30"/>
      <c r="J236" s="22"/>
      <c r="K236" s="22"/>
      <c r="L236" s="3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>
      <c r="A237" s="28"/>
      <c r="B237" s="22"/>
      <c r="C237" s="22"/>
      <c r="D237" s="29"/>
      <c r="E237" s="22"/>
      <c r="F237" s="29"/>
      <c r="G237" s="22"/>
      <c r="H237" s="22"/>
      <c r="I237" s="30"/>
      <c r="J237" s="22"/>
      <c r="K237" s="22"/>
      <c r="L237" s="3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>
      <c r="A238" s="28"/>
      <c r="B238" s="22"/>
      <c r="C238" s="22"/>
      <c r="D238" s="29"/>
      <c r="E238" s="22"/>
      <c r="F238" s="29"/>
      <c r="G238" s="22"/>
      <c r="H238" s="22"/>
      <c r="I238" s="30"/>
      <c r="J238" s="22"/>
      <c r="K238" s="22"/>
      <c r="L238" s="3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>
      <c r="A239" s="28"/>
      <c r="B239" s="22"/>
      <c r="C239" s="22"/>
      <c r="D239" s="29"/>
      <c r="E239" s="22"/>
      <c r="F239" s="29"/>
      <c r="G239" s="22"/>
      <c r="H239" s="22"/>
      <c r="I239" s="30"/>
      <c r="J239" s="22"/>
      <c r="K239" s="22"/>
      <c r="L239" s="3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</row>
    <row r="240">
      <c r="A240" s="28"/>
      <c r="B240" s="22"/>
      <c r="C240" s="22"/>
      <c r="D240" s="29"/>
      <c r="E240" s="22"/>
      <c r="F240" s="29"/>
      <c r="G240" s="22"/>
      <c r="H240" s="22"/>
      <c r="I240" s="30"/>
      <c r="J240" s="22"/>
      <c r="K240" s="22"/>
      <c r="L240" s="3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>
      <c r="A241" s="28"/>
      <c r="B241" s="22"/>
      <c r="C241" s="22"/>
      <c r="D241" s="29"/>
      <c r="E241" s="22"/>
      <c r="F241" s="29"/>
      <c r="G241" s="22"/>
      <c r="H241" s="22"/>
      <c r="I241" s="30"/>
      <c r="J241" s="22"/>
      <c r="K241" s="22"/>
      <c r="L241" s="3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>
      <c r="A242" s="28"/>
      <c r="B242" s="22"/>
      <c r="C242" s="22"/>
      <c r="D242" s="29"/>
      <c r="E242" s="22"/>
      <c r="F242" s="29"/>
      <c r="G242" s="22"/>
      <c r="H242" s="22"/>
      <c r="I242" s="30"/>
      <c r="J242" s="22"/>
      <c r="K242" s="22"/>
      <c r="L242" s="3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>
      <c r="A243" s="28"/>
      <c r="B243" s="22"/>
      <c r="C243" s="22"/>
      <c r="D243" s="29"/>
      <c r="E243" s="22"/>
      <c r="F243" s="29"/>
      <c r="G243" s="22"/>
      <c r="H243" s="22"/>
      <c r="I243" s="30"/>
      <c r="J243" s="22"/>
      <c r="K243" s="22"/>
      <c r="L243" s="3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>
      <c r="A244" s="28"/>
      <c r="B244" s="22"/>
      <c r="C244" s="22"/>
      <c r="D244" s="29"/>
      <c r="E244" s="22"/>
      <c r="F244" s="29"/>
      <c r="G244" s="22"/>
      <c r="H244" s="22"/>
      <c r="I244" s="30"/>
      <c r="J244" s="22"/>
      <c r="K244" s="22"/>
      <c r="L244" s="3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>
      <c r="A245" s="28"/>
      <c r="B245" s="22"/>
      <c r="C245" s="22"/>
      <c r="D245" s="29"/>
      <c r="E245" s="22"/>
      <c r="F245" s="29"/>
      <c r="G245" s="22"/>
      <c r="H245" s="22"/>
      <c r="I245" s="30"/>
      <c r="J245" s="22"/>
      <c r="K245" s="22"/>
      <c r="L245" s="3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>
      <c r="A246" s="28"/>
      <c r="B246" s="22"/>
      <c r="C246" s="22"/>
      <c r="D246" s="29"/>
      <c r="E246" s="22"/>
      <c r="F246" s="29"/>
      <c r="G246" s="22"/>
      <c r="H246" s="22"/>
      <c r="I246" s="30"/>
      <c r="J246" s="22"/>
      <c r="K246" s="22"/>
      <c r="L246" s="3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>
      <c r="A247" s="28"/>
      <c r="B247" s="22"/>
      <c r="C247" s="22"/>
      <c r="D247" s="29"/>
      <c r="E247" s="22"/>
      <c r="F247" s="29"/>
      <c r="G247" s="22"/>
      <c r="H247" s="22"/>
      <c r="I247" s="30"/>
      <c r="J247" s="22"/>
      <c r="K247" s="22"/>
      <c r="L247" s="3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>
      <c r="A248" s="28"/>
      <c r="B248" s="22"/>
      <c r="C248" s="22"/>
      <c r="D248" s="29"/>
      <c r="E248" s="22"/>
      <c r="F248" s="29"/>
      <c r="G248" s="22"/>
      <c r="H248" s="22"/>
      <c r="I248" s="30"/>
      <c r="J248" s="22"/>
      <c r="K248" s="22"/>
      <c r="L248" s="3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>
      <c r="A249" s="28"/>
      <c r="B249" s="22"/>
      <c r="C249" s="22"/>
      <c r="D249" s="29"/>
      <c r="E249" s="22"/>
      <c r="F249" s="29"/>
      <c r="G249" s="22"/>
      <c r="H249" s="22"/>
      <c r="I249" s="30"/>
      <c r="J249" s="22"/>
      <c r="K249" s="22"/>
      <c r="L249" s="3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>
      <c r="A250" s="28"/>
      <c r="B250" s="22"/>
      <c r="C250" s="22"/>
      <c r="D250" s="29"/>
      <c r="E250" s="22"/>
      <c r="F250" s="29"/>
      <c r="G250" s="22"/>
      <c r="H250" s="22"/>
      <c r="I250" s="30"/>
      <c r="J250" s="22"/>
      <c r="K250" s="22"/>
      <c r="L250" s="3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>
      <c r="A251" s="28"/>
      <c r="B251" s="22"/>
      <c r="C251" s="22"/>
      <c r="D251" s="29"/>
      <c r="E251" s="22"/>
      <c r="F251" s="29"/>
      <c r="G251" s="22"/>
      <c r="H251" s="22"/>
      <c r="I251" s="30"/>
      <c r="J251" s="22"/>
      <c r="K251" s="22"/>
      <c r="L251" s="3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</row>
    <row r="252">
      <c r="A252" s="28"/>
      <c r="B252" s="22"/>
      <c r="C252" s="22"/>
      <c r="D252" s="29"/>
      <c r="E252" s="22"/>
      <c r="F252" s="29"/>
      <c r="G252" s="22"/>
      <c r="H252" s="22"/>
      <c r="I252" s="30"/>
      <c r="J252" s="22"/>
      <c r="K252" s="22"/>
      <c r="L252" s="3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>
      <c r="A253" s="28"/>
      <c r="B253" s="22"/>
      <c r="C253" s="22"/>
      <c r="D253" s="29"/>
      <c r="E253" s="22"/>
      <c r="F253" s="29"/>
      <c r="G253" s="22"/>
      <c r="H253" s="22"/>
      <c r="I253" s="30"/>
      <c r="J253" s="22"/>
      <c r="K253" s="22"/>
      <c r="L253" s="3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>
      <c r="A254" s="28"/>
      <c r="B254" s="22"/>
      <c r="C254" s="22"/>
      <c r="D254" s="29"/>
      <c r="E254" s="22"/>
      <c r="F254" s="29"/>
      <c r="G254" s="22"/>
      <c r="H254" s="22"/>
      <c r="I254" s="30"/>
      <c r="J254" s="22"/>
      <c r="K254" s="22"/>
      <c r="L254" s="3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>
      <c r="A255" s="28"/>
      <c r="B255" s="22"/>
      <c r="C255" s="22"/>
      <c r="D255" s="29"/>
      <c r="E255" s="22"/>
      <c r="F255" s="29"/>
      <c r="G255" s="22"/>
      <c r="H255" s="22"/>
      <c r="I255" s="30"/>
      <c r="J255" s="22"/>
      <c r="K255" s="22"/>
      <c r="L255" s="3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>
      <c r="A256" s="28"/>
      <c r="B256" s="22"/>
      <c r="C256" s="22"/>
      <c r="D256" s="29"/>
      <c r="E256" s="22"/>
      <c r="F256" s="29"/>
      <c r="G256" s="22"/>
      <c r="H256" s="22"/>
      <c r="I256" s="30"/>
      <c r="J256" s="22"/>
      <c r="K256" s="22"/>
      <c r="L256" s="3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>
      <c r="A257" s="28"/>
      <c r="B257" s="22"/>
      <c r="C257" s="22"/>
      <c r="D257" s="29"/>
      <c r="E257" s="22"/>
      <c r="F257" s="29"/>
      <c r="G257" s="22"/>
      <c r="H257" s="22"/>
      <c r="I257" s="30"/>
      <c r="J257" s="22"/>
      <c r="K257" s="22"/>
      <c r="L257" s="3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</row>
    <row r="258">
      <c r="A258" s="28"/>
      <c r="B258" s="22"/>
      <c r="C258" s="22"/>
      <c r="D258" s="29"/>
      <c r="E258" s="22"/>
      <c r="F258" s="29"/>
      <c r="G258" s="22"/>
      <c r="H258" s="22"/>
      <c r="I258" s="30"/>
      <c r="J258" s="22"/>
      <c r="K258" s="22"/>
      <c r="L258" s="3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>
      <c r="A259" s="28"/>
      <c r="B259" s="22"/>
      <c r="C259" s="22"/>
      <c r="D259" s="29"/>
      <c r="E259" s="22"/>
      <c r="F259" s="29"/>
      <c r="G259" s="22"/>
      <c r="H259" s="22"/>
      <c r="I259" s="30"/>
      <c r="J259" s="22"/>
      <c r="K259" s="22"/>
      <c r="L259" s="3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>
      <c r="A260" s="28"/>
      <c r="B260" s="22"/>
      <c r="C260" s="22"/>
      <c r="D260" s="29"/>
      <c r="E260" s="22"/>
      <c r="F260" s="29"/>
      <c r="G260" s="22"/>
      <c r="H260" s="22"/>
      <c r="I260" s="30"/>
      <c r="J260" s="22"/>
      <c r="K260" s="22"/>
      <c r="L260" s="3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>
      <c r="A261" s="28"/>
      <c r="B261" s="22"/>
      <c r="C261" s="22"/>
      <c r="D261" s="29"/>
      <c r="E261" s="22"/>
      <c r="F261" s="29"/>
      <c r="G261" s="22"/>
      <c r="H261" s="22"/>
      <c r="I261" s="30"/>
      <c r="J261" s="22"/>
      <c r="K261" s="22"/>
      <c r="L261" s="3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>
      <c r="A262" s="28"/>
      <c r="B262" s="22"/>
      <c r="C262" s="22"/>
      <c r="D262" s="29"/>
      <c r="E262" s="22"/>
      <c r="F262" s="29"/>
      <c r="G262" s="22"/>
      <c r="H262" s="22"/>
      <c r="I262" s="30"/>
      <c r="J262" s="22"/>
      <c r="K262" s="22"/>
      <c r="L262" s="3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>
      <c r="A263" s="28"/>
      <c r="B263" s="22"/>
      <c r="C263" s="22"/>
      <c r="D263" s="29"/>
      <c r="E263" s="22"/>
      <c r="F263" s="29"/>
      <c r="G263" s="22"/>
      <c r="H263" s="22"/>
      <c r="I263" s="30"/>
      <c r="J263" s="22"/>
      <c r="K263" s="22"/>
      <c r="L263" s="3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>
      <c r="A264" s="28"/>
      <c r="B264" s="22"/>
      <c r="C264" s="22"/>
      <c r="D264" s="29"/>
      <c r="E264" s="22"/>
      <c r="F264" s="29"/>
      <c r="G264" s="22"/>
      <c r="H264" s="22"/>
      <c r="I264" s="30"/>
      <c r="J264" s="22"/>
      <c r="K264" s="22"/>
      <c r="L264" s="3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>
      <c r="A265" s="28"/>
      <c r="B265" s="22"/>
      <c r="C265" s="22"/>
      <c r="D265" s="29"/>
      <c r="E265" s="22"/>
      <c r="F265" s="29"/>
      <c r="G265" s="22"/>
      <c r="H265" s="22"/>
      <c r="I265" s="30"/>
      <c r="J265" s="22"/>
      <c r="K265" s="22"/>
      <c r="L265" s="3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>
      <c r="A266" s="28"/>
      <c r="B266" s="22"/>
      <c r="C266" s="22"/>
      <c r="D266" s="29"/>
      <c r="E266" s="22"/>
      <c r="F266" s="29"/>
      <c r="G266" s="22"/>
      <c r="H266" s="22"/>
      <c r="I266" s="30"/>
      <c r="J266" s="22"/>
      <c r="K266" s="22"/>
      <c r="L266" s="3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</row>
    <row r="267">
      <c r="A267" s="28"/>
      <c r="B267" s="22"/>
      <c r="C267" s="22"/>
      <c r="D267" s="29"/>
      <c r="E267" s="22"/>
      <c r="F267" s="29"/>
      <c r="G267" s="22"/>
      <c r="H267" s="22"/>
      <c r="I267" s="30"/>
      <c r="J267" s="22"/>
      <c r="K267" s="22"/>
      <c r="L267" s="3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>
      <c r="A268" s="28"/>
      <c r="B268" s="22"/>
      <c r="C268" s="22"/>
      <c r="D268" s="29"/>
      <c r="E268" s="22"/>
      <c r="F268" s="29"/>
      <c r="G268" s="22"/>
      <c r="H268" s="22"/>
      <c r="I268" s="30"/>
      <c r="J268" s="22"/>
      <c r="K268" s="22"/>
      <c r="L268" s="3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</row>
    <row r="269">
      <c r="A269" s="28"/>
      <c r="B269" s="22"/>
      <c r="C269" s="22"/>
      <c r="D269" s="29"/>
      <c r="E269" s="22"/>
      <c r="F269" s="29"/>
      <c r="G269" s="22"/>
      <c r="H269" s="22"/>
      <c r="I269" s="30"/>
      <c r="J269" s="22"/>
      <c r="K269" s="22"/>
      <c r="L269" s="3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>
      <c r="A270" s="28"/>
      <c r="B270" s="22"/>
      <c r="C270" s="22"/>
      <c r="D270" s="29"/>
      <c r="E270" s="22"/>
      <c r="F270" s="29"/>
      <c r="G270" s="22"/>
      <c r="H270" s="22"/>
      <c r="I270" s="30"/>
      <c r="J270" s="22"/>
      <c r="K270" s="22"/>
      <c r="L270" s="3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>
      <c r="A271" s="28"/>
      <c r="B271" s="22"/>
      <c r="C271" s="22"/>
      <c r="D271" s="29"/>
      <c r="E271" s="22"/>
      <c r="F271" s="29"/>
      <c r="G271" s="22"/>
      <c r="H271" s="22"/>
      <c r="I271" s="30"/>
      <c r="J271" s="22"/>
      <c r="K271" s="22"/>
      <c r="L271" s="3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>
      <c r="A272" s="28"/>
      <c r="B272" s="22"/>
      <c r="C272" s="22"/>
      <c r="D272" s="29"/>
      <c r="E272" s="22"/>
      <c r="F272" s="29"/>
      <c r="G272" s="22"/>
      <c r="H272" s="22"/>
      <c r="I272" s="30"/>
      <c r="J272" s="22"/>
      <c r="K272" s="22"/>
      <c r="L272" s="3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</row>
    <row r="273">
      <c r="A273" s="28"/>
      <c r="B273" s="22"/>
      <c r="C273" s="22"/>
      <c r="D273" s="29"/>
      <c r="E273" s="22"/>
      <c r="F273" s="29"/>
      <c r="G273" s="22"/>
      <c r="H273" s="22"/>
      <c r="I273" s="30"/>
      <c r="J273" s="22"/>
      <c r="K273" s="22"/>
      <c r="L273" s="3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>
      <c r="A274" s="28"/>
      <c r="B274" s="22"/>
      <c r="C274" s="22"/>
      <c r="D274" s="29"/>
      <c r="E274" s="22"/>
      <c r="F274" s="29"/>
      <c r="G274" s="22"/>
      <c r="H274" s="22"/>
      <c r="I274" s="30"/>
      <c r="J274" s="22"/>
      <c r="K274" s="22"/>
      <c r="L274" s="3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>
      <c r="A275" s="28"/>
      <c r="B275" s="22"/>
      <c r="C275" s="22"/>
      <c r="D275" s="29"/>
      <c r="E275" s="22"/>
      <c r="F275" s="29"/>
      <c r="G275" s="22"/>
      <c r="H275" s="22"/>
      <c r="I275" s="30"/>
      <c r="J275" s="22"/>
      <c r="K275" s="22"/>
      <c r="L275" s="3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>
      <c r="A276" s="28"/>
      <c r="B276" s="22"/>
      <c r="C276" s="22"/>
      <c r="D276" s="29"/>
      <c r="E276" s="22"/>
      <c r="F276" s="29"/>
      <c r="G276" s="22"/>
      <c r="H276" s="22"/>
      <c r="I276" s="30"/>
      <c r="J276" s="22"/>
      <c r="K276" s="22"/>
      <c r="L276" s="3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>
      <c r="A277" s="28"/>
      <c r="B277" s="22"/>
      <c r="C277" s="22"/>
      <c r="D277" s="29"/>
      <c r="E277" s="22"/>
      <c r="F277" s="29"/>
      <c r="G277" s="22"/>
      <c r="H277" s="22"/>
      <c r="I277" s="30"/>
      <c r="J277" s="22"/>
      <c r="K277" s="22"/>
      <c r="L277" s="3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>
      <c r="A278" s="28"/>
      <c r="B278" s="22"/>
      <c r="C278" s="22"/>
      <c r="D278" s="29"/>
      <c r="E278" s="22"/>
      <c r="F278" s="29"/>
      <c r="G278" s="22"/>
      <c r="H278" s="22"/>
      <c r="I278" s="30"/>
      <c r="J278" s="22"/>
      <c r="K278" s="22"/>
      <c r="L278" s="3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>
      <c r="A279" s="28"/>
      <c r="B279" s="22"/>
      <c r="C279" s="22"/>
      <c r="D279" s="29"/>
      <c r="E279" s="22"/>
      <c r="F279" s="29"/>
      <c r="G279" s="22"/>
      <c r="H279" s="22"/>
      <c r="I279" s="30"/>
      <c r="J279" s="22"/>
      <c r="K279" s="22"/>
      <c r="L279" s="3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>
      <c r="A280" s="28"/>
      <c r="B280" s="22"/>
      <c r="C280" s="22"/>
      <c r="D280" s="29"/>
      <c r="E280" s="22"/>
      <c r="F280" s="29"/>
      <c r="G280" s="22"/>
      <c r="H280" s="22"/>
      <c r="I280" s="30"/>
      <c r="J280" s="22"/>
      <c r="K280" s="22"/>
      <c r="L280" s="3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>
      <c r="A281" s="28"/>
      <c r="B281" s="22"/>
      <c r="C281" s="22"/>
      <c r="D281" s="29"/>
      <c r="E281" s="22"/>
      <c r="F281" s="29"/>
      <c r="G281" s="22"/>
      <c r="H281" s="22"/>
      <c r="I281" s="30"/>
      <c r="J281" s="22"/>
      <c r="K281" s="22"/>
      <c r="L281" s="3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>
      <c r="A282" s="28"/>
      <c r="B282" s="22"/>
      <c r="C282" s="22"/>
      <c r="D282" s="29"/>
      <c r="E282" s="22"/>
      <c r="F282" s="29"/>
      <c r="G282" s="22"/>
      <c r="H282" s="22"/>
      <c r="I282" s="30"/>
      <c r="J282" s="22"/>
      <c r="K282" s="22"/>
      <c r="L282" s="3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>
      <c r="A283" s="28"/>
      <c r="B283" s="22"/>
      <c r="C283" s="22"/>
      <c r="D283" s="29"/>
      <c r="E283" s="22"/>
      <c r="F283" s="29"/>
      <c r="G283" s="22"/>
      <c r="H283" s="22"/>
      <c r="I283" s="30"/>
      <c r="J283" s="22"/>
      <c r="K283" s="22"/>
      <c r="L283" s="3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>
      <c r="A284" s="28"/>
      <c r="B284" s="22"/>
      <c r="C284" s="22"/>
      <c r="D284" s="29"/>
      <c r="E284" s="22"/>
      <c r="F284" s="29"/>
      <c r="G284" s="22"/>
      <c r="H284" s="22"/>
      <c r="I284" s="30"/>
      <c r="J284" s="22"/>
      <c r="K284" s="22"/>
      <c r="L284" s="3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</row>
    <row r="285">
      <c r="A285" s="28"/>
      <c r="B285" s="22"/>
      <c r="C285" s="22"/>
      <c r="D285" s="29"/>
      <c r="E285" s="22"/>
      <c r="F285" s="29"/>
      <c r="G285" s="22"/>
      <c r="H285" s="22"/>
      <c r="I285" s="30"/>
      <c r="J285" s="22"/>
      <c r="K285" s="22"/>
      <c r="L285" s="3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>
      <c r="A286" s="28"/>
      <c r="B286" s="22"/>
      <c r="C286" s="22"/>
      <c r="D286" s="29"/>
      <c r="E286" s="22"/>
      <c r="F286" s="29"/>
      <c r="G286" s="22"/>
      <c r="H286" s="22"/>
      <c r="I286" s="30"/>
      <c r="J286" s="22"/>
      <c r="K286" s="22"/>
      <c r="L286" s="3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</row>
    <row r="287">
      <c r="A287" s="28"/>
      <c r="B287" s="22"/>
      <c r="C287" s="22"/>
      <c r="D287" s="29"/>
      <c r="E287" s="22"/>
      <c r="F287" s="29"/>
      <c r="G287" s="22"/>
      <c r="H287" s="22"/>
      <c r="I287" s="30"/>
      <c r="J287" s="22"/>
      <c r="K287" s="22"/>
      <c r="L287" s="3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>
      <c r="A288" s="28"/>
      <c r="B288" s="22"/>
      <c r="C288" s="22"/>
      <c r="D288" s="29"/>
      <c r="E288" s="22"/>
      <c r="F288" s="29"/>
      <c r="G288" s="22"/>
      <c r="H288" s="22"/>
      <c r="I288" s="30"/>
      <c r="J288" s="22"/>
      <c r="K288" s="22"/>
      <c r="L288" s="3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>
      <c r="A289" s="28"/>
      <c r="B289" s="22"/>
      <c r="C289" s="22"/>
      <c r="D289" s="29"/>
      <c r="E289" s="22"/>
      <c r="F289" s="29"/>
      <c r="G289" s="22"/>
      <c r="H289" s="22"/>
      <c r="I289" s="30"/>
      <c r="J289" s="22"/>
      <c r="K289" s="22"/>
      <c r="L289" s="3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>
      <c r="A290" s="28"/>
      <c r="B290" s="22"/>
      <c r="C290" s="22"/>
      <c r="D290" s="29"/>
      <c r="E290" s="22"/>
      <c r="F290" s="29"/>
      <c r="G290" s="22"/>
      <c r="H290" s="22"/>
      <c r="I290" s="30"/>
      <c r="J290" s="22"/>
      <c r="K290" s="22"/>
      <c r="L290" s="3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>
      <c r="A291" s="28"/>
      <c r="B291" s="22"/>
      <c r="C291" s="22"/>
      <c r="D291" s="29"/>
      <c r="E291" s="22"/>
      <c r="F291" s="29"/>
      <c r="G291" s="22"/>
      <c r="H291" s="22"/>
      <c r="I291" s="30"/>
      <c r="J291" s="22"/>
      <c r="K291" s="22"/>
      <c r="L291" s="3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>
      <c r="A292" s="28"/>
      <c r="B292" s="22"/>
      <c r="C292" s="22"/>
      <c r="D292" s="29"/>
      <c r="E292" s="22"/>
      <c r="F292" s="29"/>
      <c r="G292" s="22"/>
      <c r="H292" s="22"/>
      <c r="I292" s="30"/>
      <c r="J292" s="22"/>
      <c r="K292" s="22"/>
      <c r="L292" s="3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</row>
    <row r="293">
      <c r="A293" s="28"/>
      <c r="B293" s="22"/>
      <c r="C293" s="22"/>
      <c r="D293" s="29"/>
      <c r="E293" s="22"/>
      <c r="F293" s="29"/>
      <c r="G293" s="22"/>
      <c r="H293" s="22"/>
      <c r="I293" s="30"/>
      <c r="J293" s="22"/>
      <c r="K293" s="22"/>
      <c r="L293" s="3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>
      <c r="A294" s="28"/>
      <c r="B294" s="22"/>
      <c r="C294" s="22"/>
      <c r="D294" s="29"/>
      <c r="E294" s="22"/>
      <c r="F294" s="29"/>
      <c r="G294" s="22"/>
      <c r="H294" s="22"/>
      <c r="I294" s="30"/>
      <c r="J294" s="22"/>
      <c r="K294" s="22"/>
      <c r="L294" s="3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>
      <c r="A295" s="28"/>
      <c r="B295" s="22"/>
      <c r="C295" s="22"/>
      <c r="D295" s="29"/>
      <c r="E295" s="22"/>
      <c r="F295" s="29"/>
      <c r="G295" s="22"/>
      <c r="H295" s="22"/>
      <c r="I295" s="30"/>
      <c r="J295" s="22"/>
      <c r="K295" s="22"/>
      <c r="L295" s="3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>
      <c r="A296" s="28"/>
      <c r="B296" s="22"/>
      <c r="C296" s="22"/>
      <c r="D296" s="29"/>
      <c r="E296" s="22"/>
      <c r="F296" s="29"/>
      <c r="G296" s="22"/>
      <c r="H296" s="22"/>
      <c r="I296" s="30"/>
      <c r="J296" s="22"/>
      <c r="K296" s="22"/>
      <c r="L296" s="3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</row>
    <row r="297">
      <c r="A297" s="28"/>
      <c r="B297" s="22"/>
      <c r="C297" s="22"/>
      <c r="D297" s="29"/>
      <c r="E297" s="22"/>
      <c r="F297" s="29"/>
      <c r="G297" s="22"/>
      <c r="H297" s="22"/>
      <c r="I297" s="30"/>
      <c r="J297" s="22"/>
      <c r="K297" s="22"/>
      <c r="L297" s="3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>
      <c r="A298" s="28"/>
      <c r="B298" s="22"/>
      <c r="C298" s="22"/>
      <c r="D298" s="29"/>
      <c r="E298" s="22"/>
      <c r="F298" s="29"/>
      <c r="G298" s="22"/>
      <c r="H298" s="22"/>
      <c r="I298" s="30"/>
      <c r="J298" s="22"/>
      <c r="K298" s="22"/>
      <c r="L298" s="3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</row>
    <row r="299">
      <c r="A299" s="28"/>
      <c r="B299" s="22"/>
      <c r="C299" s="22"/>
      <c r="D299" s="29"/>
      <c r="E299" s="22"/>
      <c r="F299" s="29"/>
      <c r="G299" s="22"/>
      <c r="H299" s="22"/>
      <c r="I299" s="30"/>
      <c r="J299" s="22"/>
      <c r="K299" s="22"/>
      <c r="L299" s="3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>
      <c r="A300" s="28"/>
      <c r="B300" s="22"/>
      <c r="C300" s="22"/>
      <c r="D300" s="29"/>
      <c r="E300" s="22"/>
      <c r="F300" s="29"/>
      <c r="G300" s="22"/>
      <c r="H300" s="22"/>
      <c r="I300" s="30"/>
      <c r="J300" s="22"/>
      <c r="K300" s="22"/>
      <c r="L300" s="3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>
      <c r="A301" s="28"/>
      <c r="B301" s="22"/>
      <c r="C301" s="22"/>
      <c r="D301" s="29"/>
      <c r="E301" s="22"/>
      <c r="F301" s="29"/>
      <c r="G301" s="22"/>
      <c r="H301" s="22"/>
      <c r="I301" s="30"/>
      <c r="J301" s="22"/>
      <c r="K301" s="22"/>
      <c r="L301" s="3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>
      <c r="A302" s="28"/>
      <c r="B302" s="22"/>
      <c r="C302" s="22"/>
      <c r="D302" s="29"/>
      <c r="E302" s="22"/>
      <c r="F302" s="29"/>
      <c r="G302" s="22"/>
      <c r="H302" s="22"/>
      <c r="I302" s="30"/>
      <c r="J302" s="22"/>
      <c r="K302" s="22"/>
      <c r="L302" s="3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</row>
    <row r="303">
      <c r="A303" s="28"/>
      <c r="B303" s="22"/>
      <c r="C303" s="22"/>
      <c r="D303" s="29"/>
      <c r="E303" s="22"/>
      <c r="F303" s="29"/>
      <c r="G303" s="22"/>
      <c r="H303" s="22"/>
      <c r="I303" s="30"/>
      <c r="J303" s="22"/>
      <c r="K303" s="22"/>
      <c r="L303" s="3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>
      <c r="A304" s="28"/>
      <c r="B304" s="22"/>
      <c r="C304" s="22"/>
      <c r="D304" s="29"/>
      <c r="E304" s="22"/>
      <c r="F304" s="29"/>
      <c r="G304" s="22"/>
      <c r="H304" s="22"/>
      <c r="I304" s="30"/>
      <c r="J304" s="22"/>
      <c r="K304" s="22"/>
      <c r="L304" s="3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</row>
    <row r="305">
      <c r="A305" s="28"/>
      <c r="B305" s="22"/>
      <c r="C305" s="22"/>
      <c r="D305" s="29"/>
      <c r="E305" s="22"/>
      <c r="F305" s="29"/>
      <c r="G305" s="22"/>
      <c r="H305" s="22"/>
      <c r="I305" s="30"/>
      <c r="J305" s="22"/>
      <c r="K305" s="22"/>
      <c r="L305" s="3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>
      <c r="A306" s="28"/>
      <c r="B306" s="22"/>
      <c r="C306" s="22"/>
      <c r="D306" s="29"/>
      <c r="E306" s="22"/>
      <c r="F306" s="29"/>
      <c r="G306" s="22"/>
      <c r="H306" s="22"/>
      <c r="I306" s="30"/>
      <c r="J306" s="22"/>
      <c r="K306" s="22"/>
      <c r="L306" s="3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>
      <c r="A307" s="28"/>
      <c r="B307" s="22"/>
      <c r="C307" s="22"/>
      <c r="D307" s="29"/>
      <c r="E307" s="22"/>
      <c r="F307" s="29"/>
      <c r="G307" s="22"/>
      <c r="H307" s="22"/>
      <c r="I307" s="30"/>
      <c r="J307" s="22"/>
      <c r="K307" s="22"/>
      <c r="L307" s="3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>
      <c r="A308" s="28"/>
      <c r="B308" s="22"/>
      <c r="C308" s="22"/>
      <c r="D308" s="29"/>
      <c r="E308" s="22"/>
      <c r="F308" s="29"/>
      <c r="G308" s="22"/>
      <c r="H308" s="22"/>
      <c r="I308" s="30"/>
      <c r="J308" s="22"/>
      <c r="K308" s="22"/>
      <c r="L308" s="3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</row>
    <row r="309">
      <c r="A309" s="28"/>
      <c r="B309" s="22"/>
      <c r="C309" s="22"/>
      <c r="D309" s="29"/>
      <c r="E309" s="22"/>
      <c r="F309" s="29"/>
      <c r="G309" s="22"/>
      <c r="H309" s="22"/>
      <c r="I309" s="30"/>
      <c r="J309" s="22"/>
      <c r="K309" s="22"/>
      <c r="L309" s="3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>
      <c r="A310" s="28"/>
      <c r="B310" s="22"/>
      <c r="C310" s="22"/>
      <c r="D310" s="29"/>
      <c r="E310" s="22"/>
      <c r="F310" s="29"/>
      <c r="G310" s="22"/>
      <c r="H310" s="22"/>
      <c r="I310" s="30"/>
      <c r="J310" s="22"/>
      <c r="K310" s="22"/>
      <c r="L310" s="3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>
      <c r="A311" s="28"/>
      <c r="B311" s="22"/>
      <c r="C311" s="22"/>
      <c r="D311" s="29"/>
      <c r="E311" s="22"/>
      <c r="F311" s="29"/>
      <c r="G311" s="22"/>
      <c r="H311" s="22"/>
      <c r="I311" s="30"/>
      <c r="J311" s="22"/>
      <c r="K311" s="22"/>
      <c r="L311" s="3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>
      <c r="A312" s="28"/>
      <c r="B312" s="22"/>
      <c r="C312" s="22"/>
      <c r="D312" s="29"/>
      <c r="E312" s="22"/>
      <c r="F312" s="29"/>
      <c r="G312" s="22"/>
      <c r="H312" s="22"/>
      <c r="I312" s="30"/>
      <c r="J312" s="22"/>
      <c r="K312" s="22"/>
      <c r="L312" s="3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>
      <c r="A313" s="28"/>
      <c r="B313" s="22"/>
      <c r="C313" s="22"/>
      <c r="D313" s="29"/>
      <c r="E313" s="22"/>
      <c r="F313" s="29"/>
      <c r="G313" s="22"/>
      <c r="H313" s="22"/>
      <c r="I313" s="30"/>
      <c r="J313" s="22"/>
      <c r="K313" s="22"/>
      <c r="L313" s="3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>
      <c r="A314" s="28"/>
      <c r="B314" s="22"/>
      <c r="C314" s="22"/>
      <c r="D314" s="29"/>
      <c r="E314" s="22"/>
      <c r="F314" s="29"/>
      <c r="G314" s="22"/>
      <c r="H314" s="22"/>
      <c r="I314" s="30"/>
      <c r="J314" s="22"/>
      <c r="K314" s="22"/>
      <c r="L314" s="3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</row>
    <row r="315">
      <c r="A315" s="28"/>
      <c r="B315" s="22"/>
      <c r="C315" s="22"/>
      <c r="D315" s="29"/>
      <c r="E315" s="22"/>
      <c r="F315" s="29"/>
      <c r="G315" s="22"/>
      <c r="H315" s="22"/>
      <c r="I315" s="30"/>
      <c r="J315" s="22"/>
      <c r="K315" s="22"/>
      <c r="L315" s="3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>
      <c r="A316" s="28"/>
      <c r="B316" s="22"/>
      <c r="C316" s="22"/>
      <c r="D316" s="29"/>
      <c r="E316" s="22"/>
      <c r="F316" s="29"/>
      <c r="G316" s="22"/>
      <c r="H316" s="22"/>
      <c r="I316" s="30"/>
      <c r="J316" s="22"/>
      <c r="K316" s="22"/>
      <c r="L316" s="3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>
      <c r="A317" s="28"/>
      <c r="B317" s="22"/>
      <c r="C317" s="22"/>
      <c r="D317" s="29"/>
      <c r="E317" s="22"/>
      <c r="F317" s="29"/>
      <c r="G317" s="22"/>
      <c r="H317" s="22"/>
      <c r="I317" s="30"/>
      <c r="J317" s="22"/>
      <c r="K317" s="22"/>
      <c r="L317" s="3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>
      <c r="A318" s="28"/>
      <c r="B318" s="22"/>
      <c r="C318" s="22"/>
      <c r="D318" s="29"/>
      <c r="E318" s="22"/>
      <c r="F318" s="29"/>
      <c r="G318" s="22"/>
      <c r="H318" s="22"/>
      <c r="I318" s="30"/>
      <c r="J318" s="22"/>
      <c r="K318" s="22"/>
      <c r="L318" s="3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>
      <c r="A319" s="28"/>
      <c r="B319" s="22"/>
      <c r="C319" s="22"/>
      <c r="D319" s="29"/>
      <c r="E319" s="22"/>
      <c r="F319" s="29"/>
      <c r="G319" s="22"/>
      <c r="H319" s="22"/>
      <c r="I319" s="30"/>
      <c r="J319" s="22"/>
      <c r="K319" s="22"/>
      <c r="L319" s="3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>
      <c r="A320" s="28"/>
      <c r="B320" s="22"/>
      <c r="C320" s="22"/>
      <c r="D320" s="29"/>
      <c r="E320" s="22"/>
      <c r="F320" s="29"/>
      <c r="G320" s="22"/>
      <c r="H320" s="22"/>
      <c r="I320" s="30"/>
      <c r="J320" s="22"/>
      <c r="K320" s="22"/>
      <c r="L320" s="3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</row>
    <row r="321">
      <c r="A321" s="28"/>
      <c r="B321" s="22"/>
      <c r="C321" s="22"/>
      <c r="D321" s="29"/>
      <c r="E321" s="22"/>
      <c r="F321" s="29"/>
      <c r="G321" s="22"/>
      <c r="H321" s="22"/>
      <c r="I321" s="30"/>
      <c r="J321" s="22"/>
      <c r="K321" s="22"/>
      <c r="L321" s="3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>
      <c r="A322" s="28"/>
      <c r="B322" s="22"/>
      <c r="C322" s="22"/>
      <c r="D322" s="29"/>
      <c r="E322" s="22"/>
      <c r="F322" s="29"/>
      <c r="G322" s="22"/>
      <c r="H322" s="22"/>
      <c r="I322" s="30"/>
      <c r="J322" s="22"/>
      <c r="K322" s="22"/>
      <c r="L322" s="3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</row>
    <row r="323">
      <c r="A323" s="28"/>
      <c r="B323" s="22"/>
      <c r="C323" s="22"/>
      <c r="D323" s="29"/>
      <c r="E323" s="22"/>
      <c r="F323" s="29"/>
      <c r="G323" s="22"/>
      <c r="H323" s="22"/>
      <c r="I323" s="30"/>
      <c r="J323" s="22"/>
      <c r="K323" s="22"/>
      <c r="L323" s="3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>
      <c r="A324" s="28"/>
      <c r="B324" s="22"/>
      <c r="C324" s="22"/>
      <c r="D324" s="29"/>
      <c r="E324" s="22"/>
      <c r="F324" s="29"/>
      <c r="G324" s="22"/>
      <c r="H324" s="22"/>
      <c r="I324" s="30"/>
      <c r="J324" s="22"/>
      <c r="K324" s="22"/>
      <c r="L324" s="3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>
      <c r="A325" s="28"/>
      <c r="B325" s="22"/>
      <c r="C325" s="22"/>
      <c r="D325" s="29"/>
      <c r="E325" s="22"/>
      <c r="F325" s="29"/>
      <c r="G325" s="22"/>
      <c r="H325" s="22"/>
      <c r="I325" s="30"/>
      <c r="J325" s="22"/>
      <c r="K325" s="22"/>
      <c r="L325" s="3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>
      <c r="A326" s="28"/>
      <c r="B326" s="22"/>
      <c r="C326" s="22"/>
      <c r="D326" s="29"/>
      <c r="E326" s="22"/>
      <c r="F326" s="29"/>
      <c r="G326" s="22"/>
      <c r="H326" s="22"/>
      <c r="I326" s="30"/>
      <c r="J326" s="22"/>
      <c r="K326" s="22"/>
      <c r="L326" s="3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</row>
    <row r="327">
      <c r="A327" s="28"/>
      <c r="B327" s="22"/>
      <c r="C327" s="22"/>
      <c r="D327" s="29"/>
      <c r="E327" s="22"/>
      <c r="F327" s="29"/>
      <c r="G327" s="22"/>
      <c r="H327" s="22"/>
      <c r="I327" s="30"/>
      <c r="J327" s="22"/>
      <c r="K327" s="22"/>
      <c r="L327" s="3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>
      <c r="A328" s="28"/>
      <c r="B328" s="22"/>
      <c r="C328" s="22"/>
      <c r="D328" s="29"/>
      <c r="E328" s="22"/>
      <c r="F328" s="29"/>
      <c r="G328" s="22"/>
      <c r="H328" s="22"/>
      <c r="I328" s="30"/>
      <c r="J328" s="22"/>
      <c r="K328" s="22"/>
      <c r="L328" s="3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>
      <c r="A329" s="28"/>
      <c r="B329" s="22"/>
      <c r="C329" s="22"/>
      <c r="D329" s="29"/>
      <c r="E329" s="22"/>
      <c r="F329" s="29"/>
      <c r="G329" s="22"/>
      <c r="H329" s="22"/>
      <c r="I329" s="30"/>
      <c r="J329" s="22"/>
      <c r="K329" s="22"/>
      <c r="L329" s="3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>
      <c r="A330" s="28"/>
      <c r="B330" s="22"/>
      <c r="C330" s="22"/>
      <c r="D330" s="29"/>
      <c r="E330" s="22"/>
      <c r="F330" s="29"/>
      <c r="G330" s="22"/>
      <c r="H330" s="22"/>
      <c r="I330" s="30"/>
      <c r="J330" s="22"/>
      <c r="K330" s="22"/>
      <c r="L330" s="3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>
      <c r="A331" s="28"/>
      <c r="B331" s="22"/>
      <c r="C331" s="22"/>
      <c r="D331" s="29"/>
      <c r="E331" s="22"/>
      <c r="F331" s="29"/>
      <c r="G331" s="22"/>
      <c r="H331" s="22"/>
      <c r="I331" s="30"/>
      <c r="J331" s="22"/>
      <c r="K331" s="22"/>
      <c r="L331" s="3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>
      <c r="A332" s="28"/>
      <c r="B332" s="22"/>
      <c r="C332" s="22"/>
      <c r="D332" s="29"/>
      <c r="E332" s="22"/>
      <c r="F332" s="29"/>
      <c r="G332" s="22"/>
      <c r="H332" s="22"/>
      <c r="I332" s="30"/>
      <c r="J332" s="22"/>
      <c r="K332" s="22"/>
      <c r="L332" s="3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>
      <c r="A333" s="28"/>
      <c r="B333" s="22"/>
      <c r="C333" s="22"/>
      <c r="D333" s="29"/>
      <c r="E333" s="22"/>
      <c r="F333" s="29"/>
      <c r="G333" s="22"/>
      <c r="H333" s="22"/>
      <c r="I333" s="30"/>
      <c r="J333" s="22"/>
      <c r="K333" s="22"/>
      <c r="L333" s="3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>
      <c r="A334" s="28"/>
      <c r="B334" s="22"/>
      <c r="C334" s="22"/>
      <c r="D334" s="29"/>
      <c r="E334" s="22"/>
      <c r="F334" s="29"/>
      <c r="G334" s="22"/>
      <c r="H334" s="22"/>
      <c r="I334" s="30"/>
      <c r="J334" s="22"/>
      <c r="K334" s="22"/>
      <c r="L334" s="3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</row>
    <row r="335">
      <c r="A335" s="28"/>
      <c r="B335" s="22"/>
      <c r="C335" s="22"/>
      <c r="D335" s="29"/>
      <c r="E335" s="22"/>
      <c r="F335" s="29"/>
      <c r="G335" s="22"/>
      <c r="H335" s="22"/>
      <c r="I335" s="30"/>
      <c r="J335" s="22"/>
      <c r="K335" s="22"/>
      <c r="L335" s="3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>
      <c r="A336" s="28"/>
      <c r="B336" s="22"/>
      <c r="C336" s="22"/>
      <c r="D336" s="29"/>
      <c r="E336" s="22"/>
      <c r="F336" s="29"/>
      <c r="G336" s="22"/>
      <c r="H336" s="22"/>
      <c r="I336" s="30"/>
      <c r="J336" s="22"/>
      <c r="K336" s="22"/>
      <c r="L336" s="3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>
      <c r="A337" s="28"/>
      <c r="B337" s="22"/>
      <c r="C337" s="22"/>
      <c r="D337" s="29"/>
      <c r="E337" s="22"/>
      <c r="F337" s="29"/>
      <c r="G337" s="22"/>
      <c r="H337" s="22"/>
      <c r="I337" s="30"/>
      <c r="J337" s="22"/>
      <c r="K337" s="22"/>
      <c r="L337" s="3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>
      <c r="A338" s="28"/>
      <c r="B338" s="22"/>
      <c r="C338" s="22"/>
      <c r="D338" s="29"/>
      <c r="E338" s="22"/>
      <c r="F338" s="29"/>
      <c r="G338" s="22"/>
      <c r="H338" s="22"/>
      <c r="I338" s="30"/>
      <c r="J338" s="22"/>
      <c r="K338" s="22"/>
      <c r="L338" s="3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>
      <c r="A339" s="28"/>
      <c r="B339" s="22"/>
      <c r="C339" s="22"/>
      <c r="D339" s="29"/>
      <c r="E339" s="22"/>
      <c r="F339" s="29"/>
      <c r="G339" s="22"/>
      <c r="H339" s="22"/>
      <c r="I339" s="30"/>
      <c r="J339" s="22"/>
      <c r="K339" s="22"/>
      <c r="L339" s="3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>
      <c r="A340" s="28"/>
      <c r="B340" s="22"/>
      <c r="C340" s="22"/>
      <c r="D340" s="29"/>
      <c r="E340" s="22"/>
      <c r="F340" s="29"/>
      <c r="G340" s="22"/>
      <c r="H340" s="22"/>
      <c r="I340" s="30"/>
      <c r="J340" s="22"/>
      <c r="K340" s="22"/>
      <c r="L340" s="3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>
      <c r="A341" s="28"/>
      <c r="B341" s="22"/>
      <c r="C341" s="22"/>
      <c r="D341" s="29"/>
      <c r="E341" s="22"/>
      <c r="F341" s="29"/>
      <c r="G341" s="22"/>
      <c r="H341" s="22"/>
      <c r="I341" s="30"/>
      <c r="J341" s="22"/>
      <c r="K341" s="22"/>
      <c r="L341" s="3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>
      <c r="A342" s="28"/>
      <c r="B342" s="22"/>
      <c r="C342" s="22"/>
      <c r="D342" s="29"/>
      <c r="E342" s="22"/>
      <c r="F342" s="29"/>
      <c r="G342" s="22"/>
      <c r="H342" s="22"/>
      <c r="I342" s="30"/>
      <c r="J342" s="22"/>
      <c r="K342" s="22"/>
      <c r="L342" s="3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>
      <c r="A343" s="28"/>
      <c r="B343" s="22"/>
      <c r="C343" s="22"/>
      <c r="D343" s="29"/>
      <c r="E343" s="22"/>
      <c r="F343" s="29"/>
      <c r="G343" s="22"/>
      <c r="H343" s="22"/>
      <c r="I343" s="30"/>
      <c r="J343" s="22"/>
      <c r="K343" s="22"/>
      <c r="L343" s="3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>
      <c r="A344" s="28"/>
      <c r="B344" s="22"/>
      <c r="C344" s="22"/>
      <c r="D344" s="29"/>
      <c r="E344" s="22"/>
      <c r="F344" s="29"/>
      <c r="G344" s="22"/>
      <c r="H344" s="22"/>
      <c r="I344" s="30"/>
      <c r="J344" s="22"/>
      <c r="K344" s="22"/>
      <c r="L344" s="3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>
      <c r="A345" s="28"/>
      <c r="B345" s="22"/>
      <c r="C345" s="22"/>
      <c r="D345" s="29"/>
      <c r="E345" s="22"/>
      <c r="F345" s="29"/>
      <c r="G345" s="22"/>
      <c r="H345" s="22"/>
      <c r="I345" s="30"/>
      <c r="J345" s="22"/>
      <c r="K345" s="22"/>
      <c r="L345" s="3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>
      <c r="A346" s="28"/>
      <c r="B346" s="22"/>
      <c r="C346" s="22"/>
      <c r="D346" s="29"/>
      <c r="E346" s="22"/>
      <c r="F346" s="29"/>
      <c r="G346" s="22"/>
      <c r="H346" s="22"/>
      <c r="I346" s="30"/>
      <c r="J346" s="22"/>
      <c r="K346" s="22"/>
      <c r="L346" s="3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>
      <c r="A347" s="28"/>
      <c r="B347" s="22"/>
      <c r="C347" s="22"/>
      <c r="D347" s="29"/>
      <c r="E347" s="22"/>
      <c r="F347" s="29"/>
      <c r="G347" s="22"/>
      <c r="H347" s="22"/>
      <c r="I347" s="30"/>
      <c r="J347" s="22"/>
      <c r="K347" s="22"/>
      <c r="L347" s="3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>
      <c r="A348" s="28"/>
      <c r="B348" s="22"/>
      <c r="C348" s="22"/>
      <c r="D348" s="29"/>
      <c r="E348" s="22"/>
      <c r="F348" s="29"/>
      <c r="G348" s="22"/>
      <c r="H348" s="22"/>
      <c r="I348" s="30"/>
      <c r="J348" s="22"/>
      <c r="K348" s="22"/>
      <c r="L348" s="3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>
      <c r="A349" s="28"/>
      <c r="B349" s="22"/>
      <c r="C349" s="22"/>
      <c r="D349" s="29"/>
      <c r="E349" s="22"/>
      <c r="F349" s="29"/>
      <c r="G349" s="22"/>
      <c r="H349" s="22"/>
      <c r="I349" s="30"/>
      <c r="J349" s="22"/>
      <c r="K349" s="22"/>
      <c r="L349" s="3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>
      <c r="A350" s="28"/>
      <c r="B350" s="22"/>
      <c r="C350" s="22"/>
      <c r="D350" s="29"/>
      <c r="E350" s="22"/>
      <c r="F350" s="29"/>
      <c r="G350" s="22"/>
      <c r="H350" s="22"/>
      <c r="I350" s="30"/>
      <c r="J350" s="22"/>
      <c r="K350" s="22"/>
      <c r="L350" s="3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</row>
    <row r="351">
      <c r="A351" s="28"/>
      <c r="B351" s="22"/>
      <c r="C351" s="22"/>
      <c r="D351" s="29"/>
      <c r="E351" s="22"/>
      <c r="F351" s="29"/>
      <c r="G351" s="22"/>
      <c r="H351" s="22"/>
      <c r="I351" s="30"/>
      <c r="J351" s="22"/>
      <c r="K351" s="22"/>
      <c r="L351" s="3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>
      <c r="A352" s="28"/>
      <c r="B352" s="22"/>
      <c r="C352" s="22"/>
      <c r="D352" s="29"/>
      <c r="E352" s="22"/>
      <c r="F352" s="29"/>
      <c r="G352" s="22"/>
      <c r="H352" s="22"/>
      <c r="I352" s="30"/>
      <c r="J352" s="22"/>
      <c r="K352" s="22"/>
      <c r="L352" s="3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>
      <c r="A353" s="28"/>
      <c r="B353" s="22"/>
      <c r="C353" s="22"/>
      <c r="D353" s="29"/>
      <c r="E353" s="22"/>
      <c r="F353" s="29"/>
      <c r="G353" s="22"/>
      <c r="H353" s="22"/>
      <c r="I353" s="30"/>
      <c r="J353" s="22"/>
      <c r="K353" s="22"/>
      <c r="L353" s="3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>
      <c r="A354" s="28"/>
      <c r="B354" s="22"/>
      <c r="C354" s="22"/>
      <c r="D354" s="29"/>
      <c r="E354" s="22"/>
      <c r="F354" s="29"/>
      <c r="G354" s="22"/>
      <c r="H354" s="22"/>
      <c r="I354" s="30"/>
      <c r="J354" s="22"/>
      <c r="K354" s="22"/>
      <c r="L354" s="3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>
      <c r="A355" s="28"/>
      <c r="B355" s="22"/>
      <c r="C355" s="22"/>
      <c r="D355" s="29"/>
      <c r="E355" s="22"/>
      <c r="F355" s="29"/>
      <c r="G355" s="22"/>
      <c r="H355" s="22"/>
      <c r="I355" s="30"/>
      <c r="J355" s="22"/>
      <c r="K355" s="22"/>
      <c r="L355" s="3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>
      <c r="A356" s="28"/>
      <c r="B356" s="22"/>
      <c r="C356" s="22"/>
      <c r="D356" s="29"/>
      <c r="E356" s="22"/>
      <c r="F356" s="29"/>
      <c r="G356" s="22"/>
      <c r="H356" s="22"/>
      <c r="I356" s="30"/>
      <c r="J356" s="22"/>
      <c r="K356" s="22"/>
      <c r="L356" s="3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>
      <c r="A357" s="28"/>
      <c r="B357" s="22"/>
      <c r="C357" s="22"/>
      <c r="D357" s="29"/>
      <c r="E357" s="22"/>
      <c r="F357" s="29"/>
      <c r="G357" s="22"/>
      <c r="H357" s="22"/>
      <c r="I357" s="30"/>
      <c r="J357" s="22"/>
      <c r="K357" s="22"/>
      <c r="L357" s="3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>
      <c r="A358" s="28"/>
      <c r="B358" s="22"/>
      <c r="C358" s="22"/>
      <c r="D358" s="29"/>
      <c r="E358" s="22"/>
      <c r="F358" s="29"/>
      <c r="G358" s="22"/>
      <c r="H358" s="22"/>
      <c r="I358" s="30"/>
      <c r="J358" s="22"/>
      <c r="K358" s="22"/>
      <c r="L358" s="3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>
      <c r="A359" s="28"/>
      <c r="B359" s="22"/>
      <c r="C359" s="22"/>
      <c r="D359" s="29"/>
      <c r="E359" s="22"/>
      <c r="F359" s="29"/>
      <c r="G359" s="22"/>
      <c r="H359" s="22"/>
      <c r="I359" s="30"/>
      <c r="J359" s="22"/>
      <c r="K359" s="22"/>
      <c r="L359" s="3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>
      <c r="A360" s="28"/>
      <c r="B360" s="22"/>
      <c r="C360" s="22"/>
      <c r="D360" s="29"/>
      <c r="E360" s="22"/>
      <c r="F360" s="29"/>
      <c r="G360" s="22"/>
      <c r="H360" s="22"/>
      <c r="I360" s="30"/>
      <c r="J360" s="22"/>
      <c r="K360" s="22"/>
      <c r="L360" s="3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>
      <c r="A361" s="28"/>
      <c r="B361" s="22"/>
      <c r="C361" s="22"/>
      <c r="D361" s="29"/>
      <c r="E361" s="22"/>
      <c r="F361" s="29"/>
      <c r="G361" s="22"/>
      <c r="H361" s="22"/>
      <c r="I361" s="30"/>
      <c r="J361" s="22"/>
      <c r="K361" s="22"/>
      <c r="L361" s="3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>
      <c r="A362" s="28"/>
      <c r="B362" s="22"/>
      <c r="C362" s="22"/>
      <c r="D362" s="29"/>
      <c r="E362" s="22"/>
      <c r="F362" s="29"/>
      <c r="G362" s="22"/>
      <c r="H362" s="22"/>
      <c r="I362" s="30"/>
      <c r="J362" s="22"/>
      <c r="K362" s="22"/>
      <c r="L362" s="3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</row>
    <row r="363">
      <c r="A363" s="28"/>
      <c r="B363" s="22"/>
      <c r="C363" s="22"/>
      <c r="D363" s="29"/>
      <c r="E363" s="22"/>
      <c r="F363" s="29"/>
      <c r="G363" s="22"/>
      <c r="H363" s="22"/>
      <c r="I363" s="30"/>
      <c r="J363" s="22"/>
      <c r="K363" s="22"/>
      <c r="L363" s="3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>
      <c r="A364" s="28"/>
      <c r="B364" s="22"/>
      <c r="C364" s="22"/>
      <c r="D364" s="29"/>
      <c r="E364" s="22"/>
      <c r="F364" s="29"/>
      <c r="G364" s="22"/>
      <c r="H364" s="22"/>
      <c r="I364" s="30"/>
      <c r="J364" s="22"/>
      <c r="K364" s="22"/>
      <c r="L364" s="3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</row>
    <row r="365">
      <c r="A365" s="28"/>
      <c r="B365" s="22"/>
      <c r="C365" s="22"/>
      <c r="D365" s="29"/>
      <c r="E365" s="22"/>
      <c r="F365" s="29"/>
      <c r="G365" s="22"/>
      <c r="H365" s="22"/>
      <c r="I365" s="30"/>
      <c r="J365" s="22"/>
      <c r="K365" s="22"/>
      <c r="L365" s="3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>
      <c r="A366" s="28"/>
      <c r="B366" s="22"/>
      <c r="C366" s="22"/>
      <c r="D366" s="29"/>
      <c r="E366" s="22"/>
      <c r="F366" s="29"/>
      <c r="G366" s="22"/>
      <c r="H366" s="22"/>
      <c r="I366" s="30"/>
      <c r="J366" s="22"/>
      <c r="K366" s="22"/>
      <c r="L366" s="3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>
      <c r="A367" s="28"/>
      <c r="B367" s="22"/>
      <c r="C367" s="22"/>
      <c r="D367" s="29"/>
      <c r="E367" s="22"/>
      <c r="F367" s="29"/>
      <c r="G367" s="22"/>
      <c r="H367" s="22"/>
      <c r="I367" s="30"/>
      <c r="J367" s="22"/>
      <c r="K367" s="22"/>
      <c r="L367" s="3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>
      <c r="A368" s="28"/>
      <c r="B368" s="22"/>
      <c r="C368" s="22"/>
      <c r="D368" s="29"/>
      <c r="E368" s="22"/>
      <c r="F368" s="29"/>
      <c r="G368" s="22"/>
      <c r="H368" s="22"/>
      <c r="I368" s="30"/>
      <c r="J368" s="22"/>
      <c r="K368" s="22"/>
      <c r="L368" s="3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</row>
    <row r="369">
      <c r="A369" s="28"/>
      <c r="B369" s="22"/>
      <c r="C369" s="22"/>
      <c r="D369" s="29"/>
      <c r="E369" s="22"/>
      <c r="F369" s="29"/>
      <c r="G369" s="22"/>
      <c r="H369" s="22"/>
      <c r="I369" s="30"/>
      <c r="J369" s="22"/>
      <c r="K369" s="22"/>
      <c r="L369" s="3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>
      <c r="A370" s="28"/>
      <c r="B370" s="22"/>
      <c r="C370" s="22"/>
      <c r="D370" s="29"/>
      <c r="E370" s="22"/>
      <c r="F370" s="29"/>
      <c r="G370" s="22"/>
      <c r="H370" s="22"/>
      <c r="I370" s="30"/>
      <c r="J370" s="22"/>
      <c r="K370" s="22"/>
      <c r="L370" s="3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</row>
    <row r="371">
      <c r="A371" s="28"/>
      <c r="B371" s="22"/>
      <c r="C371" s="22"/>
      <c r="D371" s="29"/>
      <c r="E371" s="22"/>
      <c r="F371" s="29"/>
      <c r="G371" s="22"/>
      <c r="H371" s="22"/>
      <c r="I371" s="30"/>
      <c r="J371" s="22"/>
      <c r="K371" s="22"/>
      <c r="L371" s="3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>
      <c r="A372" s="28"/>
      <c r="B372" s="22"/>
      <c r="C372" s="22"/>
      <c r="D372" s="29"/>
      <c r="E372" s="22"/>
      <c r="F372" s="29"/>
      <c r="G372" s="22"/>
      <c r="H372" s="22"/>
      <c r="I372" s="30"/>
      <c r="J372" s="22"/>
      <c r="K372" s="22"/>
      <c r="L372" s="3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>
      <c r="A373" s="28"/>
      <c r="B373" s="22"/>
      <c r="C373" s="22"/>
      <c r="D373" s="29"/>
      <c r="E373" s="22"/>
      <c r="F373" s="29"/>
      <c r="G373" s="22"/>
      <c r="H373" s="22"/>
      <c r="I373" s="30"/>
      <c r="J373" s="22"/>
      <c r="K373" s="22"/>
      <c r="L373" s="3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>
      <c r="A374" s="28"/>
      <c r="B374" s="22"/>
      <c r="C374" s="22"/>
      <c r="D374" s="29"/>
      <c r="E374" s="22"/>
      <c r="F374" s="29"/>
      <c r="G374" s="22"/>
      <c r="H374" s="22"/>
      <c r="I374" s="30"/>
      <c r="J374" s="22"/>
      <c r="K374" s="22"/>
      <c r="L374" s="3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</row>
    <row r="375">
      <c r="A375" s="28"/>
      <c r="B375" s="22"/>
      <c r="C375" s="22"/>
      <c r="D375" s="29"/>
      <c r="E375" s="22"/>
      <c r="F375" s="29"/>
      <c r="G375" s="22"/>
      <c r="H375" s="22"/>
      <c r="I375" s="30"/>
      <c r="J375" s="22"/>
      <c r="K375" s="22"/>
      <c r="L375" s="3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>
      <c r="A376" s="28"/>
      <c r="B376" s="22"/>
      <c r="C376" s="22"/>
      <c r="D376" s="29"/>
      <c r="E376" s="22"/>
      <c r="F376" s="29"/>
      <c r="G376" s="22"/>
      <c r="H376" s="22"/>
      <c r="I376" s="30"/>
      <c r="J376" s="22"/>
      <c r="K376" s="22"/>
      <c r="L376" s="3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</row>
    <row r="377">
      <c r="A377" s="28"/>
      <c r="B377" s="22"/>
      <c r="C377" s="22"/>
      <c r="D377" s="29"/>
      <c r="E377" s="22"/>
      <c r="F377" s="29"/>
      <c r="G377" s="22"/>
      <c r="H377" s="22"/>
      <c r="I377" s="30"/>
      <c r="J377" s="22"/>
      <c r="K377" s="22"/>
      <c r="L377" s="3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>
      <c r="A378" s="28"/>
      <c r="B378" s="22"/>
      <c r="C378" s="22"/>
      <c r="D378" s="29"/>
      <c r="E378" s="22"/>
      <c r="F378" s="29"/>
      <c r="G378" s="22"/>
      <c r="H378" s="22"/>
      <c r="I378" s="30"/>
      <c r="J378" s="22"/>
      <c r="K378" s="22"/>
      <c r="L378" s="3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>
      <c r="A379" s="28"/>
      <c r="B379" s="22"/>
      <c r="C379" s="22"/>
      <c r="D379" s="29"/>
      <c r="E379" s="22"/>
      <c r="F379" s="29"/>
      <c r="G379" s="22"/>
      <c r="H379" s="22"/>
      <c r="I379" s="30"/>
      <c r="J379" s="22"/>
      <c r="K379" s="22"/>
      <c r="L379" s="3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>
      <c r="A380" s="28"/>
      <c r="B380" s="22"/>
      <c r="C380" s="22"/>
      <c r="D380" s="29"/>
      <c r="E380" s="22"/>
      <c r="F380" s="29"/>
      <c r="G380" s="22"/>
      <c r="H380" s="22"/>
      <c r="I380" s="30"/>
      <c r="J380" s="22"/>
      <c r="K380" s="22"/>
      <c r="L380" s="3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>
      <c r="A381" s="28"/>
      <c r="B381" s="22"/>
      <c r="C381" s="22"/>
      <c r="D381" s="29"/>
      <c r="E381" s="22"/>
      <c r="F381" s="29"/>
      <c r="G381" s="22"/>
      <c r="H381" s="22"/>
      <c r="I381" s="30"/>
      <c r="J381" s="22"/>
      <c r="K381" s="22"/>
      <c r="L381" s="3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>
      <c r="A382" s="28"/>
      <c r="B382" s="22"/>
      <c r="C382" s="22"/>
      <c r="D382" s="29"/>
      <c r="E382" s="22"/>
      <c r="F382" s="29"/>
      <c r="G382" s="22"/>
      <c r="H382" s="22"/>
      <c r="I382" s="30"/>
      <c r="J382" s="22"/>
      <c r="K382" s="22"/>
      <c r="L382" s="3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>
      <c r="A383" s="28"/>
      <c r="B383" s="22"/>
      <c r="C383" s="22"/>
      <c r="D383" s="29"/>
      <c r="E383" s="22"/>
      <c r="F383" s="29"/>
      <c r="G383" s="22"/>
      <c r="H383" s="22"/>
      <c r="I383" s="30"/>
      <c r="J383" s="22"/>
      <c r="K383" s="22"/>
      <c r="L383" s="3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>
      <c r="A384" s="28"/>
      <c r="B384" s="22"/>
      <c r="C384" s="22"/>
      <c r="D384" s="29"/>
      <c r="E384" s="22"/>
      <c r="F384" s="29"/>
      <c r="G384" s="22"/>
      <c r="H384" s="22"/>
      <c r="I384" s="30"/>
      <c r="J384" s="22"/>
      <c r="K384" s="22"/>
      <c r="L384" s="3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>
      <c r="A385" s="28"/>
      <c r="B385" s="22"/>
      <c r="C385" s="22"/>
      <c r="D385" s="29"/>
      <c r="E385" s="22"/>
      <c r="F385" s="29"/>
      <c r="G385" s="22"/>
      <c r="H385" s="22"/>
      <c r="I385" s="30"/>
      <c r="J385" s="22"/>
      <c r="K385" s="22"/>
      <c r="L385" s="3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>
      <c r="A386" s="28"/>
      <c r="B386" s="22"/>
      <c r="C386" s="22"/>
      <c r="D386" s="29"/>
      <c r="E386" s="22"/>
      <c r="F386" s="29"/>
      <c r="G386" s="22"/>
      <c r="H386" s="22"/>
      <c r="I386" s="30"/>
      <c r="J386" s="22"/>
      <c r="K386" s="22"/>
      <c r="L386" s="3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>
      <c r="A387" s="28"/>
      <c r="B387" s="22"/>
      <c r="C387" s="22"/>
      <c r="D387" s="29"/>
      <c r="E387" s="22"/>
      <c r="F387" s="29"/>
      <c r="G387" s="22"/>
      <c r="H387" s="22"/>
      <c r="I387" s="30"/>
      <c r="J387" s="22"/>
      <c r="K387" s="22"/>
      <c r="L387" s="3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>
      <c r="A388" s="28"/>
      <c r="B388" s="22"/>
      <c r="C388" s="22"/>
      <c r="D388" s="29"/>
      <c r="E388" s="22"/>
      <c r="F388" s="29"/>
      <c r="G388" s="22"/>
      <c r="H388" s="22"/>
      <c r="I388" s="30"/>
      <c r="J388" s="22"/>
      <c r="K388" s="22"/>
      <c r="L388" s="3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>
      <c r="A389" s="28"/>
      <c r="B389" s="22"/>
      <c r="C389" s="22"/>
      <c r="D389" s="29"/>
      <c r="E389" s="22"/>
      <c r="F389" s="29"/>
      <c r="G389" s="22"/>
      <c r="H389" s="22"/>
      <c r="I389" s="30"/>
      <c r="J389" s="22"/>
      <c r="K389" s="22"/>
      <c r="L389" s="3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>
      <c r="A390" s="28"/>
      <c r="B390" s="22"/>
      <c r="C390" s="22"/>
      <c r="D390" s="29"/>
      <c r="E390" s="22"/>
      <c r="F390" s="29"/>
      <c r="G390" s="22"/>
      <c r="H390" s="22"/>
      <c r="I390" s="30"/>
      <c r="J390" s="22"/>
      <c r="K390" s="22"/>
      <c r="L390" s="3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>
      <c r="A391" s="28"/>
      <c r="B391" s="22"/>
      <c r="C391" s="22"/>
      <c r="D391" s="29"/>
      <c r="E391" s="22"/>
      <c r="F391" s="29"/>
      <c r="G391" s="22"/>
      <c r="H391" s="22"/>
      <c r="I391" s="30"/>
      <c r="J391" s="22"/>
      <c r="K391" s="22"/>
      <c r="L391" s="3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>
      <c r="A392" s="28"/>
      <c r="B392" s="22"/>
      <c r="C392" s="22"/>
      <c r="D392" s="29"/>
      <c r="E392" s="22"/>
      <c r="F392" s="29"/>
      <c r="G392" s="22"/>
      <c r="H392" s="22"/>
      <c r="I392" s="30"/>
      <c r="J392" s="22"/>
      <c r="K392" s="22"/>
      <c r="L392" s="3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>
      <c r="A393" s="28"/>
      <c r="B393" s="22"/>
      <c r="C393" s="22"/>
      <c r="D393" s="29"/>
      <c r="E393" s="22"/>
      <c r="F393" s="29"/>
      <c r="G393" s="22"/>
      <c r="H393" s="22"/>
      <c r="I393" s="30"/>
      <c r="J393" s="22"/>
      <c r="K393" s="22"/>
      <c r="L393" s="3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>
      <c r="A394" s="28"/>
      <c r="B394" s="22"/>
      <c r="C394" s="22"/>
      <c r="D394" s="29"/>
      <c r="E394" s="22"/>
      <c r="F394" s="29"/>
      <c r="G394" s="22"/>
      <c r="H394" s="22"/>
      <c r="I394" s="30"/>
      <c r="J394" s="22"/>
      <c r="K394" s="22"/>
      <c r="L394" s="3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>
      <c r="A395" s="28"/>
      <c r="B395" s="22"/>
      <c r="C395" s="22"/>
      <c r="D395" s="29"/>
      <c r="E395" s="22"/>
      <c r="F395" s="29"/>
      <c r="G395" s="22"/>
      <c r="H395" s="22"/>
      <c r="I395" s="30"/>
      <c r="J395" s="22"/>
      <c r="K395" s="22"/>
      <c r="L395" s="3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>
      <c r="A396" s="28"/>
      <c r="B396" s="22"/>
      <c r="C396" s="22"/>
      <c r="D396" s="29"/>
      <c r="E396" s="22"/>
      <c r="F396" s="29"/>
      <c r="G396" s="22"/>
      <c r="H396" s="22"/>
      <c r="I396" s="30"/>
      <c r="J396" s="22"/>
      <c r="K396" s="22"/>
      <c r="L396" s="3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>
      <c r="A397" s="28"/>
      <c r="B397" s="22"/>
      <c r="C397" s="22"/>
      <c r="D397" s="29"/>
      <c r="E397" s="22"/>
      <c r="F397" s="29"/>
      <c r="G397" s="22"/>
      <c r="H397" s="22"/>
      <c r="I397" s="30"/>
      <c r="J397" s="22"/>
      <c r="K397" s="22"/>
      <c r="L397" s="3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>
      <c r="A398" s="28"/>
      <c r="B398" s="22"/>
      <c r="C398" s="22"/>
      <c r="D398" s="29"/>
      <c r="E398" s="22"/>
      <c r="F398" s="29"/>
      <c r="G398" s="22"/>
      <c r="H398" s="22"/>
      <c r="I398" s="30"/>
      <c r="J398" s="22"/>
      <c r="K398" s="22"/>
      <c r="L398" s="3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>
      <c r="A399" s="28"/>
      <c r="B399" s="22"/>
      <c r="C399" s="22"/>
      <c r="D399" s="29"/>
      <c r="E399" s="22"/>
      <c r="F399" s="29"/>
      <c r="G399" s="22"/>
      <c r="H399" s="22"/>
      <c r="I399" s="30"/>
      <c r="J399" s="22"/>
      <c r="K399" s="22"/>
      <c r="L399" s="3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>
      <c r="A400" s="28"/>
      <c r="B400" s="22"/>
      <c r="C400" s="22"/>
      <c r="D400" s="29"/>
      <c r="E400" s="22"/>
      <c r="F400" s="29"/>
      <c r="G400" s="22"/>
      <c r="H400" s="22"/>
      <c r="I400" s="30"/>
      <c r="J400" s="22"/>
      <c r="K400" s="22"/>
      <c r="L400" s="3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</row>
    <row r="401">
      <c r="A401" s="28"/>
      <c r="B401" s="22"/>
      <c r="C401" s="22"/>
      <c r="D401" s="29"/>
      <c r="E401" s="22"/>
      <c r="F401" s="29"/>
      <c r="G401" s="22"/>
      <c r="H401" s="22"/>
      <c r="I401" s="30"/>
      <c r="J401" s="22"/>
      <c r="K401" s="22"/>
      <c r="L401" s="3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>
      <c r="A402" s="28"/>
      <c r="B402" s="22"/>
      <c r="C402" s="22"/>
      <c r="D402" s="29"/>
      <c r="E402" s="22"/>
      <c r="F402" s="29"/>
      <c r="G402" s="22"/>
      <c r="H402" s="22"/>
      <c r="I402" s="30"/>
      <c r="J402" s="22"/>
      <c r="K402" s="22"/>
      <c r="L402" s="3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>
      <c r="A403" s="28"/>
      <c r="B403" s="22"/>
      <c r="C403" s="22"/>
      <c r="D403" s="29"/>
      <c r="E403" s="22"/>
      <c r="F403" s="29"/>
      <c r="G403" s="22"/>
      <c r="H403" s="22"/>
      <c r="I403" s="30"/>
      <c r="J403" s="22"/>
      <c r="K403" s="22"/>
      <c r="L403" s="3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>
      <c r="A404" s="28"/>
      <c r="B404" s="22"/>
      <c r="C404" s="22"/>
      <c r="D404" s="29"/>
      <c r="E404" s="22"/>
      <c r="F404" s="29"/>
      <c r="G404" s="22"/>
      <c r="H404" s="22"/>
      <c r="I404" s="30"/>
      <c r="J404" s="22"/>
      <c r="K404" s="22"/>
      <c r="L404" s="3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</row>
    <row r="405">
      <c r="A405" s="28"/>
      <c r="B405" s="22"/>
      <c r="C405" s="22"/>
      <c r="D405" s="29"/>
      <c r="E405" s="22"/>
      <c r="F405" s="29"/>
      <c r="G405" s="22"/>
      <c r="H405" s="22"/>
      <c r="I405" s="30"/>
      <c r="J405" s="22"/>
      <c r="K405" s="22"/>
      <c r="L405" s="3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>
      <c r="A406" s="28"/>
      <c r="B406" s="22"/>
      <c r="C406" s="22"/>
      <c r="D406" s="29"/>
      <c r="E406" s="22"/>
      <c r="F406" s="29"/>
      <c r="G406" s="22"/>
      <c r="H406" s="22"/>
      <c r="I406" s="30"/>
      <c r="J406" s="22"/>
      <c r="K406" s="22"/>
      <c r="L406" s="3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>
      <c r="A407" s="28"/>
      <c r="B407" s="22"/>
      <c r="C407" s="22"/>
      <c r="D407" s="29"/>
      <c r="E407" s="22"/>
      <c r="F407" s="29"/>
      <c r="G407" s="22"/>
      <c r="H407" s="22"/>
      <c r="I407" s="30"/>
      <c r="J407" s="22"/>
      <c r="K407" s="22"/>
      <c r="L407" s="3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>
      <c r="A408" s="28"/>
      <c r="B408" s="22"/>
      <c r="C408" s="22"/>
      <c r="D408" s="29"/>
      <c r="E408" s="22"/>
      <c r="F408" s="29"/>
      <c r="G408" s="22"/>
      <c r="H408" s="22"/>
      <c r="I408" s="30"/>
      <c r="J408" s="22"/>
      <c r="K408" s="22"/>
      <c r="L408" s="3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>
      <c r="A409" s="28"/>
      <c r="B409" s="22"/>
      <c r="C409" s="22"/>
      <c r="D409" s="29"/>
      <c r="E409" s="22"/>
      <c r="F409" s="29"/>
      <c r="G409" s="22"/>
      <c r="H409" s="22"/>
      <c r="I409" s="30"/>
      <c r="J409" s="22"/>
      <c r="K409" s="22"/>
      <c r="L409" s="3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>
      <c r="A410" s="28"/>
      <c r="B410" s="22"/>
      <c r="C410" s="22"/>
      <c r="D410" s="29"/>
      <c r="E410" s="22"/>
      <c r="F410" s="29"/>
      <c r="G410" s="22"/>
      <c r="H410" s="22"/>
      <c r="I410" s="30"/>
      <c r="J410" s="22"/>
      <c r="K410" s="22"/>
      <c r="L410" s="3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>
      <c r="A411" s="28"/>
      <c r="B411" s="22"/>
      <c r="C411" s="22"/>
      <c r="D411" s="29"/>
      <c r="E411" s="22"/>
      <c r="F411" s="29"/>
      <c r="G411" s="22"/>
      <c r="H411" s="22"/>
      <c r="I411" s="30"/>
      <c r="J411" s="22"/>
      <c r="K411" s="22"/>
      <c r="L411" s="3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>
      <c r="A412" s="28"/>
      <c r="B412" s="22"/>
      <c r="C412" s="22"/>
      <c r="D412" s="29"/>
      <c r="E412" s="22"/>
      <c r="F412" s="29"/>
      <c r="G412" s="22"/>
      <c r="H412" s="22"/>
      <c r="I412" s="30"/>
      <c r="J412" s="22"/>
      <c r="K412" s="22"/>
      <c r="L412" s="3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>
      <c r="A413" s="28"/>
      <c r="B413" s="22"/>
      <c r="C413" s="22"/>
      <c r="D413" s="29"/>
      <c r="E413" s="22"/>
      <c r="F413" s="29"/>
      <c r="G413" s="22"/>
      <c r="H413" s="22"/>
      <c r="I413" s="30"/>
      <c r="J413" s="22"/>
      <c r="K413" s="22"/>
      <c r="L413" s="3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>
      <c r="A414" s="28"/>
      <c r="B414" s="22"/>
      <c r="C414" s="22"/>
      <c r="D414" s="29"/>
      <c r="E414" s="22"/>
      <c r="F414" s="29"/>
      <c r="G414" s="22"/>
      <c r="H414" s="22"/>
      <c r="I414" s="30"/>
      <c r="J414" s="22"/>
      <c r="K414" s="22"/>
      <c r="L414" s="3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>
      <c r="A415" s="28"/>
      <c r="B415" s="22"/>
      <c r="C415" s="22"/>
      <c r="D415" s="29"/>
      <c r="E415" s="22"/>
      <c r="F415" s="29"/>
      <c r="G415" s="22"/>
      <c r="H415" s="22"/>
      <c r="I415" s="30"/>
      <c r="J415" s="22"/>
      <c r="K415" s="22"/>
      <c r="L415" s="3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>
      <c r="A416" s="28"/>
      <c r="B416" s="22"/>
      <c r="C416" s="22"/>
      <c r="D416" s="29"/>
      <c r="E416" s="22"/>
      <c r="F416" s="29"/>
      <c r="G416" s="22"/>
      <c r="H416" s="22"/>
      <c r="I416" s="30"/>
      <c r="J416" s="22"/>
      <c r="K416" s="22"/>
      <c r="L416" s="3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>
      <c r="A417" s="28"/>
      <c r="B417" s="22"/>
      <c r="C417" s="22"/>
      <c r="D417" s="29"/>
      <c r="E417" s="22"/>
      <c r="F417" s="29"/>
      <c r="G417" s="22"/>
      <c r="H417" s="22"/>
      <c r="I417" s="30"/>
      <c r="J417" s="22"/>
      <c r="K417" s="22"/>
      <c r="L417" s="3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>
      <c r="A418" s="28"/>
      <c r="B418" s="22"/>
      <c r="C418" s="22"/>
      <c r="D418" s="29"/>
      <c r="E418" s="22"/>
      <c r="F418" s="29"/>
      <c r="G418" s="22"/>
      <c r="H418" s="22"/>
      <c r="I418" s="30"/>
      <c r="J418" s="22"/>
      <c r="K418" s="22"/>
      <c r="L418" s="3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>
      <c r="A419" s="28"/>
      <c r="B419" s="22"/>
      <c r="C419" s="22"/>
      <c r="D419" s="29"/>
      <c r="E419" s="22"/>
      <c r="F419" s="29"/>
      <c r="G419" s="22"/>
      <c r="H419" s="22"/>
      <c r="I419" s="30"/>
      <c r="J419" s="22"/>
      <c r="K419" s="22"/>
      <c r="L419" s="3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>
      <c r="A420" s="28"/>
      <c r="B420" s="22"/>
      <c r="C420" s="22"/>
      <c r="D420" s="29"/>
      <c r="E420" s="22"/>
      <c r="F420" s="29"/>
      <c r="G420" s="22"/>
      <c r="H420" s="22"/>
      <c r="I420" s="30"/>
      <c r="J420" s="22"/>
      <c r="K420" s="22"/>
      <c r="L420" s="3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>
      <c r="A421" s="28"/>
      <c r="B421" s="22"/>
      <c r="C421" s="22"/>
      <c r="D421" s="29"/>
      <c r="E421" s="22"/>
      <c r="F421" s="29"/>
      <c r="G421" s="22"/>
      <c r="H421" s="22"/>
      <c r="I421" s="30"/>
      <c r="J421" s="22"/>
      <c r="K421" s="22"/>
      <c r="L421" s="3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>
      <c r="A422" s="28"/>
      <c r="B422" s="22"/>
      <c r="C422" s="22"/>
      <c r="D422" s="29"/>
      <c r="E422" s="22"/>
      <c r="F422" s="29"/>
      <c r="G422" s="22"/>
      <c r="H422" s="22"/>
      <c r="I422" s="30"/>
      <c r="J422" s="22"/>
      <c r="K422" s="22"/>
      <c r="L422" s="3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>
      <c r="A423" s="28"/>
      <c r="B423" s="22"/>
      <c r="C423" s="22"/>
      <c r="D423" s="29"/>
      <c r="E423" s="22"/>
      <c r="F423" s="29"/>
      <c r="G423" s="22"/>
      <c r="H423" s="22"/>
      <c r="I423" s="30"/>
      <c r="J423" s="22"/>
      <c r="K423" s="22"/>
      <c r="L423" s="3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>
      <c r="A424" s="28"/>
      <c r="B424" s="22"/>
      <c r="C424" s="22"/>
      <c r="D424" s="29"/>
      <c r="E424" s="22"/>
      <c r="F424" s="29"/>
      <c r="G424" s="22"/>
      <c r="H424" s="22"/>
      <c r="I424" s="30"/>
      <c r="J424" s="22"/>
      <c r="K424" s="22"/>
      <c r="L424" s="3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>
      <c r="A425" s="28"/>
      <c r="B425" s="22"/>
      <c r="C425" s="22"/>
      <c r="D425" s="29"/>
      <c r="E425" s="22"/>
      <c r="F425" s="29"/>
      <c r="G425" s="22"/>
      <c r="H425" s="22"/>
      <c r="I425" s="30"/>
      <c r="J425" s="22"/>
      <c r="K425" s="22"/>
      <c r="L425" s="3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>
      <c r="A426" s="28"/>
      <c r="B426" s="22"/>
      <c r="C426" s="22"/>
      <c r="D426" s="29"/>
      <c r="E426" s="22"/>
      <c r="F426" s="29"/>
      <c r="G426" s="22"/>
      <c r="H426" s="22"/>
      <c r="I426" s="30"/>
      <c r="J426" s="22"/>
      <c r="K426" s="22"/>
      <c r="L426" s="3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>
      <c r="A427" s="28"/>
      <c r="B427" s="22"/>
      <c r="C427" s="22"/>
      <c r="D427" s="29"/>
      <c r="E427" s="22"/>
      <c r="F427" s="29"/>
      <c r="G427" s="22"/>
      <c r="H427" s="22"/>
      <c r="I427" s="30"/>
      <c r="J427" s="22"/>
      <c r="K427" s="22"/>
      <c r="L427" s="3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>
      <c r="A428" s="28"/>
      <c r="B428" s="22"/>
      <c r="C428" s="22"/>
      <c r="D428" s="29"/>
      <c r="E428" s="22"/>
      <c r="F428" s="29"/>
      <c r="G428" s="22"/>
      <c r="H428" s="22"/>
      <c r="I428" s="30"/>
      <c r="J428" s="22"/>
      <c r="K428" s="22"/>
      <c r="L428" s="3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>
      <c r="A429" s="28"/>
      <c r="B429" s="22"/>
      <c r="C429" s="22"/>
      <c r="D429" s="29"/>
      <c r="E429" s="22"/>
      <c r="F429" s="29"/>
      <c r="G429" s="22"/>
      <c r="H429" s="22"/>
      <c r="I429" s="30"/>
      <c r="J429" s="22"/>
      <c r="K429" s="22"/>
      <c r="L429" s="3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>
      <c r="A430" s="28"/>
      <c r="B430" s="22"/>
      <c r="C430" s="22"/>
      <c r="D430" s="29"/>
      <c r="E430" s="22"/>
      <c r="F430" s="29"/>
      <c r="G430" s="22"/>
      <c r="H430" s="22"/>
      <c r="I430" s="30"/>
      <c r="J430" s="22"/>
      <c r="K430" s="22"/>
      <c r="L430" s="3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>
      <c r="A431" s="28"/>
      <c r="B431" s="22"/>
      <c r="C431" s="22"/>
      <c r="D431" s="29"/>
      <c r="E431" s="22"/>
      <c r="F431" s="29"/>
      <c r="G431" s="22"/>
      <c r="H431" s="22"/>
      <c r="I431" s="30"/>
      <c r="J431" s="22"/>
      <c r="K431" s="22"/>
      <c r="L431" s="3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>
      <c r="A432" s="28"/>
      <c r="B432" s="22"/>
      <c r="C432" s="22"/>
      <c r="D432" s="29"/>
      <c r="E432" s="22"/>
      <c r="F432" s="29"/>
      <c r="G432" s="22"/>
      <c r="H432" s="22"/>
      <c r="I432" s="30"/>
      <c r="J432" s="22"/>
      <c r="K432" s="22"/>
      <c r="L432" s="3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>
      <c r="A433" s="28"/>
      <c r="B433" s="22"/>
      <c r="C433" s="22"/>
      <c r="D433" s="29"/>
      <c r="E433" s="22"/>
      <c r="F433" s="29"/>
      <c r="G433" s="22"/>
      <c r="H433" s="22"/>
      <c r="I433" s="30"/>
      <c r="J433" s="22"/>
      <c r="K433" s="22"/>
      <c r="L433" s="3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>
      <c r="A434" s="28"/>
      <c r="B434" s="22"/>
      <c r="C434" s="22"/>
      <c r="D434" s="29"/>
      <c r="E434" s="22"/>
      <c r="F434" s="29"/>
      <c r="G434" s="22"/>
      <c r="H434" s="22"/>
      <c r="I434" s="30"/>
      <c r="J434" s="22"/>
      <c r="K434" s="22"/>
      <c r="L434" s="3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>
      <c r="A435" s="28"/>
      <c r="B435" s="22"/>
      <c r="C435" s="22"/>
      <c r="D435" s="29"/>
      <c r="E435" s="22"/>
      <c r="F435" s="29"/>
      <c r="G435" s="22"/>
      <c r="H435" s="22"/>
      <c r="I435" s="30"/>
      <c r="J435" s="22"/>
      <c r="K435" s="22"/>
      <c r="L435" s="3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>
      <c r="A436" s="28"/>
      <c r="B436" s="22"/>
      <c r="C436" s="22"/>
      <c r="D436" s="29"/>
      <c r="E436" s="22"/>
      <c r="F436" s="29"/>
      <c r="G436" s="22"/>
      <c r="H436" s="22"/>
      <c r="I436" s="30"/>
      <c r="J436" s="22"/>
      <c r="K436" s="22"/>
      <c r="L436" s="3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>
      <c r="A437" s="28"/>
      <c r="B437" s="22"/>
      <c r="C437" s="22"/>
      <c r="D437" s="29"/>
      <c r="E437" s="22"/>
      <c r="F437" s="29"/>
      <c r="G437" s="22"/>
      <c r="H437" s="22"/>
      <c r="I437" s="30"/>
      <c r="J437" s="22"/>
      <c r="K437" s="22"/>
      <c r="L437" s="3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>
      <c r="A438" s="28"/>
      <c r="B438" s="22"/>
      <c r="C438" s="22"/>
      <c r="D438" s="29"/>
      <c r="E438" s="22"/>
      <c r="F438" s="29"/>
      <c r="G438" s="22"/>
      <c r="H438" s="22"/>
      <c r="I438" s="30"/>
      <c r="J438" s="22"/>
      <c r="K438" s="22"/>
      <c r="L438" s="3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>
      <c r="A439" s="28"/>
      <c r="B439" s="22"/>
      <c r="C439" s="22"/>
      <c r="D439" s="29"/>
      <c r="E439" s="22"/>
      <c r="F439" s="29"/>
      <c r="G439" s="22"/>
      <c r="H439" s="22"/>
      <c r="I439" s="30"/>
      <c r="J439" s="22"/>
      <c r="K439" s="22"/>
      <c r="L439" s="3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>
      <c r="A440" s="28"/>
      <c r="B440" s="22"/>
      <c r="C440" s="22"/>
      <c r="D440" s="29"/>
      <c r="E440" s="22"/>
      <c r="F440" s="29"/>
      <c r="G440" s="22"/>
      <c r="H440" s="22"/>
      <c r="I440" s="30"/>
      <c r="J440" s="22"/>
      <c r="K440" s="22"/>
      <c r="L440" s="3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>
      <c r="A441" s="28"/>
      <c r="B441" s="22"/>
      <c r="C441" s="22"/>
      <c r="D441" s="29"/>
      <c r="E441" s="22"/>
      <c r="F441" s="29"/>
      <c r="G441" s="22"/>
      <c r="H441" s="22"/>
      <c r="I441" s="30"/>
      <c r="J441" s="22"/>
      <c r="K441" s="22"/>
      <c r="L441" s="3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>
      <c r="A442" s="28"/>
      <c r="B442" s="22"/>
      <c r="C442" s="22"/>
      <c r="D442" s="29"/>
      <c r="E442" s="22"/>
      <c r="F442" s="29"/>
      <c r="G442" s="22"/>
      <c r="H442" s="22"/>
      <c r="I442" s="30"/>
      <c r="J442" s="22"/>
      <c r="K442" s="22"/>
      <c r="L442" s="3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>
      <c r="A443" s="28"/>
      <c r="B443" s="22"/>
      <c r="C443" s="22"/>
      <c r="D443" s="29"/>
      <c r="E443" s="22"/>
      <c r="F443" s="29"/>
      <c r="G443" s="22"/>
      <c r="H443" s="22"/>
      <c r="I443" s="30"/>
      <c r="J443" s="22"/>
      <c r="K443" s="22"/>
      <c r="L443" s="3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>
      <c r="A444" s="28"/>
      <c r="B444" s="22"/>
      <c r="C444" s="22"/>
      <c r="D444" s="29"/>
      <c r="E444" s="22"/>
      <c r="F444" s="29"/>
      <c r="G444" s="22"/>
      <c r="H444" s="22"/>
      <c r="I444" s="30"/>
      <c r="J444" s="22"/>
      <c r="K444" s="22"/>
      <c r="L444" s="3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>
      <c r="A445" s="28"/>
      <c r="B445" s="22"/>
      <c r="C445" s="22"/>
      <c r="D445" s="29"/>
      <c r="E445" s="22"/>
      <c r="F445" s="29"/>
      <c r="G445" s="22"/>
      <c r="H445" s="22"/>
      <c r="I445" s="30"/>
      <c r="J445" s="22"/>
      <c r="K445" s="22"/>
      <c r="L445" s="3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>
      <c r="A446" s="28"/>
      <c r="B446" s="22"/>
      <c r="C446" s="22"/>
      <c r="D446" s="29"/>
      <c r="E446" s="22"/>
      <c r="F446" s="29"/>
      <c r="G446" s="22"/>
      <c r="H446" s="22"/>
      <c r="I446" s="30"/>
      <c r="J446" s="22"/>
      <c r="K446" s="22"/>
      <c r="L446" s="3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>
      <c r="A447" s="28"/>
      <c r="B447" s="22"/>
      <c r="C447" s="22"/>
      <c r="D447" s="29"/>
      <c r="E447" s="22"/>
      <c r="F447" s="29"/>
      <c r="G447" s="22"/>
      <c r="H447" s="22"/>
      <c r="I447" s="30"/>
      <c r="J447" s="22"/>
      <c r="K447" s="22"/>
      <c r="L447" s="3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>
      <c r="A448" s="28"/>
      <c r="B448" s="22"/>
      <c r="C448" s="22"/>
      <c r="D448" s="29"/>
      <c r="E448" s="22"/>
      <c r="F448" s="29"/>
      <c r="G448" s="22"/>
      <c r="H448" s="22"/>
      <c r="I448" s="30"/>
      <c r="J448" s="22"/>
      <c r="K448" s="22"/>
      <c r="L448" s="3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>
      <c r="A449" s="28"/>
      <c r="B449" s="22"/>
      <c r="C449" s="22"/>
      <c r="D449" s="29"/>
      <c r="E449" s="22"/>
      <c r="F449" s="29"/>
      <c r="G449" s="22"/>
      <c r="H449" s="22"/>
      <c r="I449" s="30"/>
      <c r="J449" s="22"/>
      <c r="K449" s="22"/>
      <c r="L449" s="3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>
      <c r="A450" s="28"/>
      <c r="B450" s="22"/>
      <c r="C450" s="22"/>
      <c r="D450" s="29"/>
      <c r="E450" s="22"/>
      <c r="F450" s="29"/>
      <c r="G450" s="22"/>
      <c r="H450" s="22"/>
      <c r="I450" s="30"/>
      <c r="J450" s="22"/>
      <c r="K450" s="22"/>
      <c r="L450" s="3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>
      <c r="A451" s="28"/>
      <c r="B451" s="22"/>
      <c r="C451" s="22"/>
      <c r="D451" s="29"/>
      <c r="E451" s="22"/>
      <c r="F451" s="29"/>
      <c r="G451" s="22"/>
      <c r="H451" s="22"/>
      <c r="I451" s="30"/>
      <c r="J451" s="22"/>
      <c r="K451" s="22"/>
      <c r="L451" s="3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>
      <c r="A452" s="28"/>
      <c r="B452" s="22"/>
      <c r="C452" s="22"/>
      <c r="D452" s="29"/>
      <c r="E452" s="22"/>
      <c r="F452" s="29"/>
      <c r="G452" s="22"/>
      <c r="H452" s="22"/>
      <c r="I452" s="30"/>
      <c r="J452" s="22"/>
      <c r="K452" s="22"/>
      <c r="L452" s="3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>
      <c r="A453" s="28"/>
      <c r="B453" s="22"/>
      <c r="C453" s="22"/>
      <c r="D453" s="29"/>
      <c r="E453" s="22"/>
      <c r="F453" s="29"/>
      <c r="G453" s="22"/>
      <c r="H453" s="22"/>
      <c r="I453" s="30"/>
      <c r="J453" s="22"/>
      <c r="K453" s="22"/>
      <c r="L453" s="3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>
      <c r="A454" s="28"/>
      <c r="B454" s="22"/>
      <c r="C454" s="22"/>
      <c r="D454" s="29"/>
      <c r="E454" s="22"/>
      <c r="F454" s="29"/>
      <c r="G454" s="22"/>
      <c r="H454" s="22"/>
      <c r="I454" s="30"/>
      <c r="J454" s="22"/>
      <c r="K454" s="22"/>
      <c r="L454" s="3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>
      <c r="A455" s="28"/>
      <c r="B455" s="22"/>
      <c r="C455" s="22"/>
      <c r="D455" s="29"/>
      <c r="E455" s="22"/>
      <c r="F455" s="29"/>
      <c r="G455" s="22"/>
      <c r="H455" s="22"/>
      <c r="I455" s="30"/>
      <c r="J455" s="22"/>
      <c r="K455" s="22"/>
      <c r="L455" s="3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>
      <c r="A456" s="28"/>
      <c r="B456" s="22"/>
      <c r="C456" s="22"/>
      <c r="D456" s="29"/>
      <c r="E456" s="22"/>
      <c r="F456" s="29"/>
      <c r="G456" s="22"/>
      <c r="H456" s="22"/>
      <c r="I456" s="30"/>
      <c r="J456" s="22"/>
      <c r="K456" s="22"/>
      <c r="L456" s="3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>
      <c r="A457" s="28"/>
      <c r="B457" s="22"/>
      <c r="C457" s="22"/>
      <c r="D457" s="29"/>
      <c r="E457" s="22"/>
      <c r="F457" s="29"/>
      <c r="G457" s="22"/>
      <c r="H457" s="22"/>
      <c r="I457" s="30"/>
      <c r="J457" s="22"/>
      <c r="K457" s="22"/>
      <c r="L457" s="3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>
      <c r="A458" s="28"/>
      <c r="B458" s="22"/>
      <c r="C458" s="22"/>
      <c r="D458" s="29"/>
      <c r="E458" s="22"/>
      <c r="F458" s="29"/>
      <c r="G458" s="22"/>
      <c r="H458" s="22"/>
      <c r="I458" s="30"/>
      <c r="J458" s="22"/>
      <c r="K458" s="22"/>
      <c r="L458" s="3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>
      <c r="A459" s="28"/>
      <c r="B459" s="22"/>
      <c r="C459" s="22"/>
      <c r="D459" s="29"/>
      <c r="E459" s="22"/>
      <c r="F459" s="29"/>
      <c r="G459" s="22"/>
      <c r="H459" s="22"/>
      <c r="I459" s="30"/>
      <c r="J459" s="22"/>
      <c r="K459" s="22"/>
      <c r="L459" s="3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>
      <c r="A460" s="28"/>
      <c r="B460" s="22"/>
      <c r="C460" s="22"/>
      <c r="D460" s="29"/>
      <c r="E460" s="22"/>
      <c r="F460" s="29"/>
      <c r="G460" s="22"/>
      <c r="H460" s="22"/>
      <c r="I460" s="30"/>
      <c r="J460" s="22"/>
      <c r="K460" s="22"/>
      <c r="L460" s="3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>
      <c r="A461" s="28"/>
      <c r="B461" s="22"/>
      <c r="C461" s="22"/>
      <c r="D461" s="29"/>
      <c r="E461" s="22"/>
      <c r="F461" s="29"/>
      <c r="G461" s="22"/>
      <c r="H461" s="22"/>
      <c r="I461" s="30"/>
      <c r="J461" s="22"/>
      <c r="K461" s="22"/>
      <c r="L461" s="3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>
      <c r="A462" s="28"/>
      <c r="B462" s="22"/>
      <c r="C462" s="22"/>
      <c r="D462" s="29"/>
      <c r="E462" s="22"/>
      <c r="F462" s="29"/>
      <c r="G462" s="22"/>
      <c r="H462" s="22"/>
      <c r="I462" s="30"/>
      <c r="J462" s="22"/>
      <c r="K462" s="22"/>
      <c r="L462" s="3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>
      <c r="A463" s="28"/>
      <c r="B463" s="22"/>
      <c r="C463" s="22"/>
      <c r="D463" s="29"/>
      <c r="E463" s="22"/>
      <c r="F463" s="29"/>
      <c r="G463" s="22"/>
      <c r="H463" s="22"/>
      <c r="I463" s="30"/>
      <c r="J463" s="22"/>
      <c r="K463" s="22"/>
      <c r="L463" s="3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>
      <c r="A464" s="28"/>
      <c r="B464" s="22"/>
      <c r="C464" s="22"/>
      <c r="D464" s="29"/>
      <c r="E464" s="22"/>
      <c r="F464" s="29"/>
      <c r="G464" s="22"/>
      <c r="H464" s="22"/>
      <c r="I464" s="30"/>
      <c r="J464" s="22"/>
      <c r="K464" s="22"/>
      <c r="L464" s="3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>
      <c r="A465" s="28"/>
      <c r="B465" s="22"/>
      <c r="C465" s="22"/>
      <c r="D465" s="29"/>
      <c r="E465" s="22"/>
      <c r="F465" s="29"/>
      <c r="G465" s="22"/>
      <c r="H465" s="22"/>
      <c r="I465" s="30"/>
      <c r="J465" s="22"/>
      <c r="K465" s="22"/>
      <c r="L465" s="3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>
      <c r="A466" s="28"/>
      <c r="B466" s="22"/>
      <c r="C466" s="22"/>
      <c r="D466" s="29"/>
      <c r="E466" s="22"/>
      <c r="F466" s="29"/>
      <c r="G466" s="22"/>
      <c r="H466" s="22"/>
      <c r="I466" s="30"/>
      <c r="J466" s="22"/>
      <c r="K466" s="22"/>
      <c r="L466" s="3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>
      <c r="A467" s="28"/>
      <c r="B467" s="22"/>
      <c r="C467" s="22"/>
      <c r="D467" s="29"/>
      <c r="E467" s="22"/>
      <c r="F467" s="29"/>
      <c r="G467" s="22"/>
      <c r="H467" s="22"/>
      <c r="I467" s="30"/>
      <c r="J467" s="22"/>
      <c r="K467" s="22"/>
      <c r="L467" s="3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>
      <c r="A468" s="28"/>
      <c r="B468" s="22"/>
      <c r="C468" s="22"/>
      <c r="D468" s="29"/>
      <c r="E468" s="22"/>
      <c r="F468" s="29"/>
      <c r="G468" s="22"/>
      <c r="H468" s="22"/>
      <c r="I468" s="30"/>
      <c r="J468" s="22"/>
      <c r="K468" s="22"/>
      <c r="L468" s="3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>
      <c r="A469" s="28"/>
      <c r="B469" s="22"/>
      <c r="C469" s="22"/>
      <c r="D469" s="29"/>
      <c r="E469" s="22"/>
      <c r="F469" s="29"/>
      <c r="G469" s="22"/>
      <c r="H469" s="22"/>
      <c r="I469" s="30"/>
      <c r="J469" s="22"/>
      <c r="K469" s="22"/>
      <c r="L469" s="3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>
      <c r="A470" s="28"/>
      <c r="B470" s="22"/>
      <c r="C470" s="22"/>
      <c r="D470" s="29"/>
      <c r="E470" s="22"/>
      <c r="F470" s="29"/>
      <c r="G470" s="22"/>
      <c r="H470" s="22"/>
      <c r="I470" s="30"/>
      <c r="J470" s="22"/>
      <c r="K470" s="22"/>
      <c r="L470" s="3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>
      <c r="A471" s="28"/>
      <c r="B471" s="22"/>
      <c r="C471" s="22"/>
      <c r="D471" s="29"/>
      <c r="E471" s="22"/>
      <c r="F471" s="29"/>
      <c r="G471" s="22"/>
      <c r="H471" s="22"/>
      <c r="I471" s="30"/>
      <c r="J471" s="22"/>
      <c r="K471" s="22"/>
      <c r="L471" s="3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>
      <c r="A472" s="28"/>
      <c r="B472" s="22"/>
      <c r="C472" s="22"/>
      <c r="D472" s="29"/>
      <c r="E472" s="22"/>
      <c r="F472" s="29"/>
      <c r="G472" s="22"/>
      <c r="H472" s="22"/>
      <c r="I472" s="30"/>
      <c r="J472" s="22"/>
      <c r="K472" s="22"/>
      <c r="L472" s="3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>
      <c r="A473" s="28"/>
      <c r="B473" s="22"/>
      <c r="C473" s="22"/>
      <c r="D473" s="29"/>
      <c r="E473" s="22"/>
      <c r="F473" s="29"/>
      <c r="G473" s="22"/>
      <c r="H473" s="22"/>
      <c r="I473" s="30"/>
      <c r="J473" s="22"/>
      <c r="K473" s="22"/>
      <c r="L473" s="3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>
      <c r="A474" s="28"/>
      <c r="B474" s="22"/>
      <c r="C474" s="22"/>
      <c r="D474" s="29"/>
      <c r="E474" s="22"/>
      <c r="F474" s="29"/>
      <c r="G474" s="22"/>
      <c r="H474" s="22"/>
      <c r="I474" s="30"/>
      <c r="J474" s="22"/>
      <c r="K474" s="22"/>
      <c r="L474" s="3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>
      <c r="A475" s="28"/>
      <c r="B475" s="22"/>
      <c r="C475" s="22"/>
      <c r="D475" s="29"/>
      <c r="E475" s="22"/>
      <c r="F475" s="29"/>
      <c r="G475" s="22"/>
      <c r="H475" s="22"/>
      <c r="I475" s="30"/>
      <c r="J475" s="22"/>
      <c r="K475" s="22"/>
      <c r="L475" s="3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>
      <c r="A476" s="28"/>
      <c r="B476" s="22"/>
      <c r="C476" s="22"/>
      <c r="D476" s="29"/>
      <c r="E476" s="22"/>
      <c r="F476" s="29"/>
      <c r="G476" s="22"/>
      <c r="H476" s="22"/>
      <c r="I476" s="30"/>
      <c r="J476" s="22"/>
      <c r="K476" s="22"/>
      <c r="L476" s="3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>
      <c r="A477" s="28"/>
      <c r="B477" s="22"/>
      <c r="C477" s="22"/>
      <c r="D477" s="29"/>
      <c r="E477" s="22"/>
      <c r="F477" s="29"/>
      <c r="G477" s="22"/>
      <c r="H477" s="22"/>
      <c r="I477" s="30"/>
      <c r="J477" s="22"/>
      <c r="K477" s="22"/>
      <c r="L477" s="3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>
      <c r="A478" s="28"/>
      <c r="B478" s="22"/>
      <c r="C478" s="22"/>
      <c r="D478" s="29"/>
      <c r="E478" s="22"/>
      <c r="F478" s="29"/>
      <c r="G478" s="22"/>
      <c r="H478" s="22"/>
      <c r="I478" s="30"/>
      <c r="J478" s="22"/>
      <c r="K478" s="22"/>
      <c r="L478" s="3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>
      <c r="A479" s="28"/>
      <c r="B479" s="22"/>
      <c r="C479" s="22"/>
      <c r="D479" s="29"/>
      <c r="E479" s="22"/>
      <c r="F479" s="29"/>
      <c r="G479" s="22"/>
      <c r="H479" s="22"/>
      <c r="I479" s="30"/>
      <c r="J479" s="22"/>
      <c r="K479" s="22"/>
      <c r="L479" s="3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>
      <c r="A480" s="28"/>
      <c r="B480" s="22"/>
      <c r="C480" s="22"/>
      <c r="D480" s="29"/>
      <c r="E480" s="22"/>
      <c r="F480" s="29"/>
      <c r="G480" s="22"/>
      <c r="H480" s="22"/>
      <c r="I480" s="30"/>
      <c r="J480" s="22"/>
      <c r="K480" s="22"/>
      <c r="L480" s="3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>
      <c r="A481" s="28"/>
      <c r="B481" s="22"/>
      <c r="C481" s="22"/>
      <c r="D481" s="29"/>
      <c r="E481" s="22"/>
      <c r="F481" s="29"/>
      <c r="G481" s="22"/>
      <c r="H481" s="22"/>
      <c r="I481" s="30"/>
      <c r="J481" s="22"/>
      <c r="K481" s="22"/>
      <c r="L481" s="3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>
      <c r="A482" s="28"/>
      <c r="B482" s="22"/>
      <c r="C482" s="22"/>
      <c r="D482" s="29"/>
      <c r="E482" s="22"/>
      <c r="F482" s="29"/>
      <c r="G482" s="22"/>
      <c r="H482" s="22"/>
      <c r="I482" s="30"/>
      <c r="J482" s="22"/>
      <c r="K482" s="22"/>
      <c r="L482" s="3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>
      <c r="A483" s="28"/>
      <c r="B483" s="22"/>
      <c r="C483" s="22"/>
      <c r="D483" s="29"/>
      <c r="E483" s="22"/>
      <c r="F483" s="29"/>
      <c r="G483" s="22"/>
      <c r="H483" s="22"/>
      <c r="I483" s="30"/>
      <c r="J483" s="22"/>
      <c r="K483" s="22"/>
      <c r="L483" s="3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>
      <c r="A484" s="28"/>
      <c r="B484" s="22"/>
      <c r="C484" s="22"/>
      <c r="D484" s="29"/>
      <c r="E484" s="22"/>
      <c r="F484" s="29"/>
      <c r="G484" s="22"/>
      <c r="H484" s="22"/>
      <c r="I484" s="30"/>
      <c r="J484" s="22"/>
      <c r="K484" s="22"/>
      <c r="L484" s="3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>
      <c r="A485" s="28"/>
      <c r="B485" s="22"/>
      <c r="C485" s="22"/>
      <c r="D485" s="29"/>
      <c r="E485" s="22"/>
      <c r="F485" s="29"/>
      <c r="G485" s="22"/>
      <c r="H485" s="22"/>
      <c r="I485" s="30"/>
      <c r="J485" s="22"/>
      <c r="K485" s="22"/>
      <c r="L485" s="3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>
      <c r="A486" s="28"/>
      <c r="B486" s="22"/>
      <c r="C486" s="22"/>
      <c r="D486" s="29"/>
      <c r="E486" s="22"/>
      <c r="F486" s="29"/>
      <c r="G486" s="22"/>
      <c r="H486" s="22"/>
      <c r="I486" s="30"/>
      <c r="J486" s="22"/>
      <c r="K486" s="22"/>
      <c r="L486" s="3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>
      <c r="A487" s="28"/>
      <c r="B487" s="22"/>
      <c r="C487" s="22"/>
      <c r="D487" s="29"/>
      <c r="E487" s="22"/>
      <c r="F487" s="29"/>
      <c r="G487" s="22"/>
      <c r="H487" s="22"/>
      <c r="I487" s="30"/>
      <c r="J487" s="22"/>
      <c r="K487" s="22"/>
      <c r="L487" s="3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>
      <c r="A488" s="28"/>
      <c r="B488" s="22"/>
      <c r="C488" s="22"/>
      <c r="D488" s="29"/>
      <c r="E488" s="22"/>
      <c r="F488" s="29"/>
      <c r="G488" s="22"/>
      <c r="H488" s="22"/>
      <c r="I488" s="30"/>
      <c r="J488" s="22"/>
      <c r="K488" s="22"/>
      <c r="L488" s="3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>
      <c r="A489" s="28"/>
      <c r="B489" s="22"/>
      <c r="C489" s="22"/>
      <c r="D489" s="29"/>
      <c r="E489" s="22"/>
      <c r="F489" s="29"/>
      <c r="G489" s="22"/>
      <c r="H489" s="22"/>
      <c r="I489" s="30"/>
      <c r="J489" s="22"/>
      <c r="K489" s="22"/>
      <c r="L489" s="3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>
      <c r="A490" s="28"/>
      <c r="B490" s="22"/>
      <c r="C490" s="22"/>
      <c r="D490" s="29"/>
      <c r="E490" s="22"/>
      <c r="F490" s="29"/>
      <c r="G490" s="22"/>
      <c r="H490" s="22"/>
      <c r="I490" s="30"/>
      <c r="J490" s="22"/>
      <c r="K490" s="22"/>
      <c r="L490" s="3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>
      <c r="A491" s="28"/>
      <c r="B491" s="22"/>
      <c r="C491" s="22"/>
      <c r="D491" s="29"/>
      <c r="E491" s="22"/>
      <c r="F491" s="29"/>
      <c r="G491" s="22"/>
      <c r="H491" s="22"/>
      <c r="I491" s="30"/>
      <c r="J491" s="22"/>
      <c r="K491" s="22"/>
      <c r="L491" s="3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>
      <c r="A492" s="28"/>
      <c r="B492" s="22"/>
      <c r="C492" s="22"/>
      <c r="D492" s="29"/>
      <c r="E492" s="22"/>
      <c r="F492" s="29"/>
      <c r="G492" s="22"/>
      <c r="H492" s="22"/>
      <c r="I492" s="30"/>
      <c r="J492" s="22"/>
      <c r="K492" s="22"/>
      <c r="L492" s="3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>
      <c r="A493" s="28"/>
      <c r="B493" s="22"/>
      <c r="C493" s="22"/>
      <c r="D493" s="29"/>
      <c r="E493" s="22"/>
      <c r="F493" s="29"/>
      <c r="G493" s="22"/>
      <c r="H493" s="22"/>
      <c r="I493" s="30"/>
      <c r="J493" s="22"/>
      <c r="K493" s="22"/>
      <c r="L493" s="3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>
      <c r="A494" s="28"/>
      <c r="B494" s="22"/>
      <c r="C494" s="22"/>
      <c r="D494" s="29"/>
      <c r="E494" s="22"/>
      <c r="F494" s="29"/>
      <c r="G494" s="22"/>
      <c r="H494" s="22"/>
      <c r="I494" s="30"/>
      <c r="J494" s="22"/>
      <c r="K494" s="22"/>
      <c r="L494" s="3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>
      <c r="A495" s="28"/>
      <c r="B495" s="22"/>
      <c r="C495" s="22"/>
      <c r="D495" s="29"/>
      <c r="E495" s="22"/>
      <c r="F495" s="29"/>
      <c r="G495" s="22"/>
      <c r="H495" s="22"/>
      <c r="I495" s="30"/>
      <c r="J495" s="22"/>
      <c r="K495" s="22"/>
      <c r="L495" s="3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>
      <c r="A496" s="28"/>
      <c r="B496" s="22"/>
      <c r="C496" s="22"/>
      <c r="D496" s="29"/>
      <c r="E496" s="22"/>
      <c r="F496" s="29"/>
      <c r="G496" s="22"/>
      <c r="H496" s="22"/>
      <c r="I496" s="30"/>
      <c r="J496" s="22"/>
      <c r="K496" s="22"/>
      <c r="L496" s="3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>
      <c r="A497" s="28"/>
      <c r="B497" s="22"/>
      <c r="C497" s="22"/>
      <c r="D497" s="29"/>
      <c r="E497" s="22"/>
      <c r="F497" s="29"/>
      <c r="G497" s="22"/>
      <c r="H497" s="22"/>
      <c r="I497" s="30"/>
      <c r="J497" s="22"/>
      <c r="K497" s="22"/>
      <c r="L497" s="3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>
      <c r="A498" s="28"/>
      <c r="B498" s="22"/>
      <c r="C498" s="22"/>
      <c r="D498" s="29"/>
      <c r="E498" s="22"/>
      <c r="F498" s="29"/>
      <c r="G498" s="22"/>
      <c r="H498" s="22"/>
      <c r="I498" s="30"/>
      <c r="J498" s="22"/>
      <c r="K498" s="22"/>
      <c r="L498" s="3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>
      <c r="A499" s="28"/>
      <c r="B499" s="22"/>
      <c r="C499" s="22"/>
      <c r="D499" s="29"/>
      <c r="E499" s="22"/>
      <c r="F499" s="29"/>
      <c r="G499" s="22"/>
      <c r="H499" s="22"/>
      <c r="I499" s="30"/>
      <c r="J499" s="22"/>
      <c r="K499" s="22"/>
      <c r="L499" s="3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>
      <c r="A500" s="28"/>
      <c r="B500" s="22"/>
      <c r="C500" s="22"/>
      <c r="D500" s="29"/>
      <c r="E500" s="22"/>
      <c r="F500" s="29"/>
      <c r="G500" s="22"/>
      <c r="H500" s="22"/>
      <c r="I500" s="30"/>
      <c r="J500" s="22"/>
      <c r="K500" s="22"/>
      <c r="L500" s="3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>
      <c r="A501" s="28"/>
      <c r="B501" s="22"/>
      <c r="C501" s="22"/>
      <c r="D501" s="29"/>
      <c r="E501" s="22"/>
      <c r="F501" s="29"/>
      <c r="G501" s="22"/>
      <c r="H501" s="22"/>
      <c r="I501" s="30"/>
      <c r="J501" s="22"/>
      <c r="K501" s="22"/>
      <c r="L501" s="3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>
      <c r="A502" s="28"/>
      <c r="B502" s="22"/>
      <c r="C502" s="22"/>
      <c r="D502" s="29"/>
      <c r="E502" s="22"/>
      <c r="F502" s="29"/>
      <c r="G502" s="22"/>
      <c r="H502" s="22"/>
      <c r="I502" s="30"/>
      <c r="J502" s="22"/>
      <c r="K502" s="22"/>
      <c r="L502" s="3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>
      <c r="A503" s="28"/>
      <c r="B503" s="22"/>
      <c r="C503" s="22"/>
      <c r="D503" s="29"/>
      <c r="E503" s="22"/>
      <c r="F503" s="29"/>
      <c r="G503" s="22"/>
      <c r="H503" s="22"/>
      <c r="I503" s="30"/>
      <c r="J503" s="22"/>
      <c r="K503" s="22"/>
      <c r="L503" s="3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>
      <c r="A504" s="28"/>
      <c r="B504" s="22"/>
      <c r="C504" s="22"/>
      <c r="D504" s="29"/>
      <c r="E504" s="22"/>
      <c r="F504" s="29"/>
      <c r="G504" s="22"/>
      <c r="H504" s="22"/>
      <c r="I504" s="30"/>
      <c r="J504" s="22"/>
      <c r="K504" s="22"/>
      <c r="L504" s="3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>
      <c r="A505" s="28"/>
      <c r="B505" s="22"/>
      <c r="C505" s="22"/>
      <c r="D505" s="29"/>
      <c r="E505" s="22"/>
      <c r="F505" s="29"/>
      <c r="G505" s="22"/>
      <c r="H505" s="22"/>
      <c r="I505" s="30"/>
      <c r="J505" s="22"/>
      <c r="K505" s="22"/>
      <c r="L505" s="3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>
      <c r="A506" s="28"/>
      <c r="B506" s="22"/>
      <c r="C506" s="22"/>
      <c r="D506" s="29"/>
      <c r="E506" s="22"/>
      <c r="F506" s="29"/>
      <c r="G506" s="22"/>
      <c r="H506" s="22"/>
      <c r="I506" s="30"/>
      <c r="J506" s="22"/>
      <c r="K506" s="22"/>
      <c r="L506" s="3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>
      <c r="A507" s="28"/>
      <c r="B507" s="22"/>
      <c r="C507" s="22"/>
      <c r="D507" s="29"/>
      <c r="E507" s="22"/>
      <c r="F507" s="29"/>
      <c r="G507" s="22"/>
      <c r="H507" s="22"/>
      <c r="I507" s="30"/>
      <c r="J507" s="22"/>
      <c r="K507" s="22"/>
      <c r="L507" s="3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>
      <c r="A508" s="28"/>
      <c r="B508" s="22"/>
      <c r="C508" s="22"/>
      <c r="D508" s="29"/>
      <c r="E508" s="22"/>
      <c r="F508" s="29"/>
      <c r="G508" s="22"/>
      <c r="H508" s="22"/>
      <c r="I508" s="30"/>
      <c r="J508" s="22"/>
      <c r="K508" s="22"/>
      <c r="L508" s="3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>
      <c r="A509" s="28"/>
      <c r="B509" s="22"/>
      <c r="C509" s="22"/>
      <c r="D509" s="29"/>
      <c r="E509" s="22"/>
      <c r="F509" s="29"/>
      <c r="G509" s="22"/>
      <c r="H509" s="22"/>
      <c r="I509" s="30"/>
      <c r="J509" s="22"/>
      <c r="K509" s="22"/>
      <c r="L509" s="3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>
      <c r="A510" s="28"/>
      <c r="B510" s="22"/>
      <c r="C510" s="22"/>
      <c r="D510" s="29"/>
      <c r="E510" s="22"/>
      <c r="F510" s="29"/>
      <c r="G510" s="22"/>
      <c r="H510" s="22"/>
      <c r="I510" s="30"/>
      <c r="J510" s="22"/>
      <c r="K510" s="22"/>
      <c r="L510" s="3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>
      <c r="A511" s="28"/>
      <c r="B511" s="22"/>
      <c r="C511" s="22"/>
      <c r="D511" s="29"/>
      <c r="E511" s="22"/>
      <c r="F511" s="29"/>
      <c r="G511" s="22"/>
      <c r="H511" s="22"/>
      <c r="I511" s="30"/>
      <c r="J511" s="22"/>
      <c r="K511" s="22"/>
      <c r="L511" s="3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>
      <c r="A512" s="28"/>
      <c r="B512" s="22"/>
      <c r="C512" s="22"/>
      <c r="D512" s="29"/>
      <c r="E512" s="22"/>
      <c r="F512" s="29"/>
      <c r="G512" s="22"/>
      <c r="H512" s="22"/>
      <c r="I512" s="30"/>
      <c r="J512" s="22"/>
      <c r="K512" s="22"/>
      <c r="L512" s="3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>
      <c r="A513" s="28"/>
      <c r="B513" s="22"/>
      <c r="C513" s="22"/>
      <c r="D513" s="29"/>
      <c r="E513" s="22"/>
      <c r="F513" s="29"/>
      <c r="G513" s="22"/>
      <c r="H513" s="22"/>
      <c r="I513" s="30"/>
      <c r="J513" s="22"/>
      <c r="K513" s="22"/>
      <c r="L513" s="3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>
      <c r="A514" s="28"/>
      <c r="B514" s="22"/>
      <c r="C514" s="22"/>
      <c r="D514" s="29"/>
      <c r="E514" s="22"/>
      <c r="F514" s="29"/>
      <c r="G514" s="22"/>
      <c r="H514" s="22"/>
      <c r="I514" s="30"/>
      <c r="J514" s="22"/>
      <c r="K514" s="22"/>
      <c r="L514" s="3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>
      <c r="A515" s="28"/>
      <c r="B515" s="22"/>
      <c r="C515" s="22"/>
      <c r="D515" s="29"/>
      <c r="E515" s="22"/>
      <c r="F515" s="29"/>
      <c r="G515" s="22"/>
      <c r="H515" s="22"/>
      <c r="I515" s="30"/>
      <c r="J515" s="22"/>
      <c r="K515" s="22"/>
      <c r="L515" s="3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>
      <c r="A516" s="28"/>
      <c r="B516" s="22"/>
      <c r="C516" s="22"/>
      <c r="D516" s="29"/>
      <c r="E516" s="22"/>
      <c r="F516" s="29"/>
      <c r="G516" s="22"/>
      <c r="H516" s="22"/>
      <c r="I516" s="30"/>
      <c r="J516" s="22"/>
      <c r="K516" s="22"/>
      <c r="L516" s="3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>
      <c r="A517" s="28"/>
      <c r="B517" s="22"/>
      <c r="C517" s="22"/>
      <c r="D517" s="29"/>
      <c r="E517" s="22"/>
      <c r="F517" s="29"/>
      <c r="G517" s="22"/>
      <c r="H517" s="22"/>
      <c r="I517" s="30"/>
      <c r="J517" s="22"/>
      <c r="K517" s="22"/>
      <c r="L517" s="3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>
      <c r="A518" s="28"/>
      <c r="B518" s="22"/>
      <c r="C518" s="22"/>
      <c r="D518" s="29"/>
      <c r="E518" s="22"/>
      <c r="F518" s="29"/>
      <c r="G518" s="22"/>
      <c r="H518" s="22"/>
      <c r="I518" s="30"/>
      <c r="J518" s="22"/>
      <c r="K518" s="22"/>
      <c r="L518" s="3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>
      <c r="A519" s="28"/>
      <c r="B519" s="22"/>
      <c r="C519" s="22"/>
      <c r="D519" s="29"/>
      <c r="E519" s="22"/>
      <c r="F519" s="29"/>
      <c r="G519" s="22"/>
      <c r="H519" s="22"/>
      <c r="I519" s="30"/>
      <c r="J519" s="22"/>
      <c r="K519" s="22"/>
      <c r="L519" s="3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>
      <c r="A520" s="28"/>
      <c r="B520" s="22"/>
      <c r="C520" s="22"/>
      <c r="D520" s="29"/>
      <c r="E520" s="22"/>
      <c r="F520" s="29"/>
      <c r="G520" s="22"/>
      <c r="H520" s="22"/>
      <c r="I520" s="30"/>
      <c r="J520" s="22"/>
      <c r="K520" s="22"/>
      <c r="L520" s="3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>
      <c r="A521" s="28"/>
      <c r="B521" s="22"/>
      <c r="C521" s="22"/>
      <c r="D521" s="29"/>
      <c r="E521" s="22"/>
      <c r="F521" s="29"/>
      <c r="G521" s="22"/>
      <c r="H521" s="22"/>
      <c r="I521" s="30"/>
      <c r="J521" s="22"/>
      <c r="K521" s="22"/>
      <c r="L521" s="3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>
      <c r="A522" s="28"/>
      <c r="B522" s="22"/>
      <c r="C522" s="22"/>
      <c r="D522" s="29"/>
      <c r="E522" s="22"/>
      <c r="F522" s="29"/>
      <c r="G522" s="22"/>
      <c r="H522" s="22"/>
      <c r="I522" s="30"/>
      <c r="J522" s="22"/>
      <c r="K522" s="22"/>
      <c r="L522" s="3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>
      <c r="A523" s="28"/>
      <c r="B523" s="22"/>
      <c r="C523" s="22"/>
      <c r="D523" s="29"/>
      <c r="E523" s="22"/>
      <c r="F523" s="29"/>
      <c r="G523" s="22"/>
      <c r="H523" s="22"/>
      <c r="I523" s="30"/>
      <c r="J523" s="22"/>
      <c r="K523" s="22"/>
      <c r="L523" s="3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>
      <c r="A524" s="28"/>
      <c r="B524" s="22"/>
      <c r="C524" s="22"/>
      <c r="D524" s="29"/>
      <c r="E524" s="22"/>
      <c r="F524" s="29"/>
      <c r="G524" s="22"/>
      <c r="H524" s="22"/>
      <c r="I524" s="30"/>
      <c r="J524" s="22"/>
      <c r="K524" s="22"/>
      <c r="L524" s="3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>
      <c r="A525" s="28"/>
      <c r="B525" s="22"/>
      <c r="C525" s="22"/>
      <c r="D525" s="29"/>
      <c r="E525" s="22"/>
      <c r="F525" s="29"/>
      <c r="G525" s="22"/>
      <c r="H525" s="22"/>
      <c r="I525" s="30"/>
      <c r="J525" s="22"/>
      <c r="K525" s="22"/>
      <c r="L525" s="3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>
      <c r="A526" s="28"/>
      <c r="B526" s="22"/>
      <c r="C526" s="22"/>
      <c r="D526" s="29"/>
      <c r="E526" s="22"/>
      <c r="F526" s="29"/>
      <c r="G526" s="22"/>
      <c r="H526" s="22"/>
      <c r="I526" s="30"/>
      <c r="J526" s="22"/>
      <c r="K526" s="22"/>
      <c r="L526" s="3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>
      <c r="A527" s="28"/>
      <c r="B527" s="22"/>
      <c r="C527" s="22"/>
      <c r="D527" s="29"/>
      <c r="E527" s="22"/>
      <c r="F527" s="29"/>
      <c r="G527" s="22"/>
      <c r="H527" s="22"/>
      <c r="I527" s="30"/>
      <c r="J527" s="22"/>
      <c r="K527" s="22"/>
      <c r="L527" s="3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>
      <c r="A528" s="28"/>
      <c r="B528" s="22"/>
      <c r="C528" s="22"/>
      <c r="D528" s="29"/>
      <c r="E528" s="22"/>
      <c r="F528" s="29"/>
      <c r="G528" s="22"/>
      <c r="H528" s="22"/>
      <c r="I528" s="30"/>
      <c r="J528" s="22"/>
      <c r="K528" s="22"/>
      <c r="L528" s="3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>
      <c r="A529" s="28"/>
      <c r="B529" s="22"/>
      <c r="C529" s="22"/>
      <c r="D529" s="29"/>
      <c r="E529" s="22"/>
      <c r="F529" s="29"/>
      <c r="G529" s="22"/>
      <c r="H529" s="22"/>
      <c r="I529" s="30"/>
      <c r="J529" s="22"/>
      <c r="K529" s="22"/>
      <c r="L529" s="3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>
      <c r="A530" s="28"/>
      <c r="B530" s="22"/>
      <c r="C530" s="22"/>
      <c r="D530" s="29"/>
      <c r="E530" s="22"/>
      <c r="F530" s="29"/>
      <c r="G530" s="22"/>
      <c r="H530" s="22"/>
      <c r="I530" s="30"/>
      <c r="J530" s="22"/>
      <c r="K530" s="22"/>
      <c r="L530" s="3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>
      <c r="A531" s="28"/>
      <c r="B531" s="22"/>
      <c r="C531" s="22"/>
      <c r="D531" s="29"/>
      <c r="E531" s="22"/>
      <c r="F531" s="29"/>
      <c r="G531" s="22"/>
      <c r="H531" s="22"/>
      <c r="I531" s="30"/>
      <c r="J531" s="22"/>
      <c r="K531" s="22"/>
      <c r="L531" s="3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>
      <c r="A532" s="28"/>
      <c r="B532" s="22"/>
      <c r="C532" s="22"/>
      <c r="D532" s="29"/>
      <c r="E532" s="22"/>
      <c r="F532" s="29"/>
      <c r="G532" s="22"/>
      <c r="H532" s="22"/>
      <c r="I532" s="30"/>
      <c r="J532" s="22"/>
      <c r="K532" s="22"/>
      <c r="L532" s="3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>
      <c r="A533" s="28"/>
      <c r="B533" s="22"/>
      <c r="C533" s="22"/>
      <c r="D533" s="29"/>
      <c r="E533" s="22"/>
      <c r="F533" s="29"/>
      <c r="G533" s="22"/>
      <c r="H533" s="22"/>
      <c r="I533" s="30"/>
      <c r="J533" s="22"/>
      <c r="K533" s="22"/>
      <c r="L533" s="3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>
      <c r="A534" s="28"/>
      <c r="B534" s="22"/>
      <c r="C534" s="22"/>
      <c r="D534" s="29"/>
      <c r="E534" s="22"/>
      <c r="F534" s="29"/>
      <c r="G534" s="22"/>
      <c r="H534" s="22"/>
      <c r="I534" s="30"/>
      <c r="J534" s="22"/>
      <c r="K534" s="22"/>
      <c r="L534" s="3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>
      <c r="A535" s="28"/>
      <c r="B535" s="22"/>
      <c r="C535" s="22"/>
      <c r="D535" s="29"/>
      <c r="E535" s="22"/>
      <c r="F535" s="29"/>
      <c r="G535" s="22"/>
      <c r="H535" s="22"/>
      <c r="I535" s="30"/>
      <c r="J535" s="22"/>
      <c r="K535" s="22"/>
      <c r="L535" s="3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>
      <c r="A536" s="28"/>
      <c r="B536" s="22"/>
      <c r="C536" s="22"/>
      <c r="D536" s="29"/>
      <c r="E536" s="22"/>
      <c r="F536" s="29"/>
      <c r="G536" s="22"/>
      <c r="H536" s="22"/>
      <c r="I536" s="30"/>
      <c r="J536" s="22"/>
      <c r="K536" s="22"/>
      <c r="L536" s="3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>
      <c r="A537" s="28"/>
      <c r="B537" s="22"/>
      <c r="C537" s="22"/>
      <c r="D537" s="29"/>
      <c r="E537" s="22"/>
      <c r="F537" s="29"/>
      <c r="G537" s="22"/>
      <c r="H537" s="22"/>
      <c r="I537" s="30"/>
      <c r="J537" s="22"/>
      <c r="K537" s="22"/>
      <c r="L537" s="3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>
      <c r="A538" s="28"/>
      <c r="B538" s="22"/>
      <c r="C538" s="22"/>
      <c r="D538" s="29"/>
      <c r="E538" s="22"/>
      <c r="F538" s="29"/>
      <c r="G538" s="22"/>
      <c r="H538" s="22"/>
      <c r="I538" s="30"/>
      <c r="J538" s="22"/>
      <c r="K538" s="22"/>
      <c r="L538" s="3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>
      <c r="A539" s="28"/>
      <c r="B539" s="22"/>
      <c r="C539" s="22"/>
      <c r="D539" s="29"/>
      <c r="E539" s="22"/>
      <c r="F539" s="29"/>
      <c r="G539" s="22"/>
      <c r="H539" s="22"/>
      <c r="I539" s="30"/>
      <c r="J539" s="22"/>
      <c r="K539" s="22"/>
      <c r="L539" s="3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>
      <c r="A540" s="28"/>
      <c r="B540" s="22"/>
      <c r="C540" s="22"/>
      <c r="D540" s="29"/>
      <c r="E540" s="22"/>
      <c r="F540" s="29"/>
      <c r="G540" s="22"/>
      <c r="H540" s="22"/>
      <c r="I540" s="30"/>
      <c r="J540" s="22"/>
      <c r="K540" s="22"/>
      <c r="L540" s="3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>
      <c r="A541" s="28"/>
      <c r="B541" s="22"/>
      <c r="C541" s="22"/>
      <c r="D541" s="29"/>
      <c r="E541" s="22"/>
      <c r="F541" s="29"/>
      <c r="G541" s="22"/>
      <c r="H541" s="22"/>
      <c r="I541" s="30"/>
      <c r="J541" s="22"/>
      <c r="K541" s="22"/>
      <c r="L541" s="3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>
      <c r="A542" s="28"/>
      <c r="B542" s="22"/>
      <c r="C542" s="22"/>
      <c r="D542" s="29"/>
      <c r="E542" s="22"/>
      <c r="F542" s="29"/>
      <c r="G542" s="22"/>
      <c r="H542" s="22"/>
      <c r="I542" s="30"/>
      <c r="J542" s="22"/>
      <c r="K542" s="22"/>
      <c r="L542" s="3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>
      <c r="A543" s="28"/>
      <c r="B543" s="22"/>
      <c r="C543" s="22"/>
      <c r="D543" s="29"/>
      <c r="E543" s="22"/>
      <c r="F543" s="29"/>
      <c r="G543" s="22"/>
      <c r="H543" s="22"/>
      <c r="I543" s="30"/>
      <c r="J543" s="22"/>
      <c r="K543" s="22"/>
      <c r="L543" s="3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>
      <c r="A544" s="28"/>
      <c r="B544" s="22"/>
      <c r="C544" s="22"/>
      <c r="D544" s="29"/>
      <c r="E544" s="22"/>
      <c r="F544" s="29"/>
      <c r="G544" s="22"/>
      <c r="H544" s="22"/>
      <c r="I544" s="30"/>
      <c r="J544" s="22"/>
      <c r="K544" s="22"/>
      <c r="L544" s="3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>
      <c r="A545" s="28"/>
      <c r="B545" s="22"/>
      <c r="C545" s="22"/>
      <c r="D545" s="29"/>
      <c r="E545" s="22"/>
      <c r="F545" s="29"/>
      <c r="G545" s="22"/>
      <c r="H545" s="22"/>
      <c r="I545" s="30"/>
      <c r="J545" s="22"/>
      <c r="K545" s="22"/>
      <c r="L545" s="3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>
      <c r="A546" s="28"/>
      <c r="B546" s="22"/>
      <c r="C546" s="22"/>
      <c r="D546" s="29"/>
      <c r="E546" s="22"/>
      <c r="F546" s="29"/>
      <c r="G546" s="22"/>
      <c r="H546" s="22"/>
      <c r="I546" s="30"/>
      <c r="J546" s="22"/>
      <c r="K546" s="22"/>
      <c r="L546" s="3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>
      <c r="A547" s="28"/>
      <c r="B547" s="22"/>
      <c r="C547" s="22"/>
      <c r="D547" s="29"/>
      <c r="E547" s="22"/>
      <c r="F547" s="29"/>
      <c r="G547" s="22"/>
      <c r="H547" s="22"/>
      <c r="I547" s="30"/>
      <c r="J547" s="22"/>
      <c r="K547" s="22"/>
      <c r="L547" s="3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>
      <c r="A548" s="28"/>
      <c r="B548" s="22"/>
      <c r="C548" s="22"/>
      <c r="D548" s="29"/>
      <c r="E548" s="22"/>
      <c r="F548" s="29"/>
      <c r="G548" s="22"/>
      <c r="H548" s="22"/>
      <c r="I548" s="30"/>
      <c r="J548" s="22"/>
      <c r="K548" s="22"/>
      <c r="L548" s="3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>
      <c r="A549" s="28"/>
      <c r="B549" s="22"/>
      <c r="C549" s="22"/>
      <c r="D549" s="29"/>
      <c r="E549" s="22"/>
      <c r="F549" s="29"/>
      <c r="G549" s="22"/>
      <c r="H549" s="22"/>
      <c r="I549" s="30"/>
      <c r="J549" s="22"/>
      <c r="K549" s="22"/>
      <c r="L549" s="3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>
      <c r="A550" s="28"/>
      <c r="B550" s="22"/>
      <c r="C550" s="22"/>
      <c r="D550" s="29"/>
      <c r="E550" s="22"/>
      <c r="F550" s="29"/>
      <c r="G550" s="22"/>
      <c r="H550" s="22"/>
      <c r="I550" s="30"/>
      <c r="J550" s="22"/>
      <c r="K550" s="22"/>
      <c r="L550" s="3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>
      <c r="A551" s="28"/>
      <c r="B551" s="22"/>
      <c r="C551" s="22"/>
      <c r="D551" s="29"/>
      <c r="E551" s="22"/>
      <c r="F551" s="29"/>
      <c r="G551" s="22"/>
      <c r="H551" s="22"/>
      <c r="I551" s="30"/>
      <c r="J551" s="22"/>
      <c r="K551" s="22"/>
      <c r="L551" s="3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>
      <c r="A552" s="28"/>
      <c r="B552" s="22"/>
      <c r="C552" s="22"/>
      <c r="D552" s="29"/>
      <c r="E552" s="22"/>
      <c r="F552" s="29"/>
      <c r="G552" s="22"/>
      <c r="H552" s="22"/>
      <c r="I552" s="30"/>
      <c r="J552" s="22"/>
      <c r="K552" s="22"/>
      <c r="L552" s="3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>
      <c r="A553" s="28"/>
      <c r="B553" s="22"/>
      <c r="C553" s="22"/>
      <c r="D553" s="29"/>
      <c r="E553" s="22"/>
      <c r="F553" s="29"/>
      <c r="G553" s="22"/>
      <c r="H553" s="22"/>
      <c r="I553" s="30"/>
      <c r="J553" s="22"/>
      <c r="K553" s="22"/>
      <c r="L553" s="3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>
      <c r="A554" s="28"/>
      <c r="B554" s="22"/>
      <c r="C554" s="22"/>
      <c r="D554" s="29"/>
      <c r="E554" s="22"/>
      <c r="F554" s="29"/>
      <c r="G554" s="22"/>
      <c r="H554" s="22"/>
      <c r="I554" s="30"/>
      <c r="J554" s="22"/>
      <c r="K554" s="22"/>
      <c r="L554" s="3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>
      <c r="A555" s="28"/>
      <c r="B555" s="22"/>
      <c r="C555" s="22"/>
      <c r="D555" s="29"/>
      <c r="E555" s="22"/>
      <c r="F555" s="29"/>
      <c r="G555" s="22"/>
      <c r="H555" s="22"/>
      <c r="I555" s="30"/>
      <c r="J555" s="22"/>
      <c r="K555" s="22"/>
      <c r="L555" s="3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>
      <c r="A556" s="28"/>
      <c r="B556" s="22"/>
      <c r="C556" s="22"/>
      <c r="D556" s="29"/>
      <c r="E556" s="22"/>
      <c r="F556" s="29"/>
      <c r="G556" s="22"/>
      <c r="H556" s="22"/>
      <c r="I556" s="30"/>
      <c r="J556" s="22"/>
      <c r="K556" s="22"/>
      <c r="L556" s="3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>
      <c r="A557" s="28"/>
      <c r="B557" s="22"/>
      <c r="C557" s="22"/>
      <c r="D557" s="29"/>
      <c r="E557" s="22"/>
      <c r="F557" s="29"/>
      <c r="G557" s="22"/>
      <c r="H557" s="22"/>
      <c r="I557" s="30"/>
      <c r="J557" s="22"/>
      <c r="K557" s="22"/>
      <c r="L557" s="3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>
      <c r="A558" s="28"/>
      <c r="B558" s="22"/>
      <c r="C558" s="22"/>
      <c r="D558" s="29"/>
      <c r="E558" s="22"/>
      <c r="F558" s="29"/>
      <c r="G558" s="22"/>
      <c r="H558" s="22"/>
      <c r="I558" s="30"/>
      <c r="J558" s="22"/>
      <c r="K558" s="22"/>
      <c r="L558" s="3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>
      <c r="A559" s="28"/>
      <c r="B559" s="22"/>
      <c r="C559" s="22"/>
      <c r="D559" s="29"/>
      <c r="E559" s="22"/>
      <c r="F559" s="29"/>
      <c r="G559" s="22"/>
      <c r="H559" s="22"/>
      <c r="I559" s="30"/>
      <c r="J559" s="22"/>
      <c r="K559" s="22"/>
      <c r="L559" s="3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>
      <c r="A560" s="28"/>
      <c r="B560" s="22"/>
      <c r="C560" s="22"/>
      <c r="D560" s="29"/>
      <c r="E560" s="22"/>
      <c r="F560" s="29"/>
      <c r="G560" s="22"/>
      <c r="H560" s="22"/>
      <c r="I560" s="30"/>
      <c r="J560" s="22"/>
      <c r="K560" s="22"/>
      <c r="L560" s="3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>
      <c r="A561" s="28"/>
      <c r="B561" s="22"/>
      <c r="C561" s="22"/>
      <c r="D561" s="29"/>
      <c r="E561" s="22"/>
      <c r="F561" s="29"/>
      <c r="G561" s="22"/>
      <c r="H561" s="22"/>
      <c r="I561" s="30"/>
      <c r="J561" s="22"/>
      <c r="K561" s="22"/>
      <c r="L561" s="3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>
      <c r="A562" s="28"/>
      <c r="B562" s="22"/>
      <c r="C562" s="22"/>
      <c r="D562" s="29"/>
      <c r="E562" s="22"/>
      <c r="F562" s="29"/>
      <c r="G562" s="22"/>
      <c r="H562" s="22"/>
      <c r="I562" s="30"/>
      <c r="J562" s="22"/>
      <c r="K562" s="22"/>
      <c r="L562" s="3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>
      <c r="A563" s="28"/>
      <c r="B563" s="22"/>
      <c r="C563" s="22"/>
      <c r="D563" s="29"/>
      <c r="E563" s="22"/>
      <c r="F563" s="29"/>
      <c r="G563" s="22"/>
      <c r="H563" s="22"/>
      <c r="I563" s="30"/>
      <c r="J563" s="22"/>
      <c r="K563" s="22"/>
      <c r="L563" s="3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>
      <c r="A564" s="28"/>
      <c r="B564" s="22"/>
      <c r="C564" s="22"/>
      <c r="D564" s="29"/>
      <c r="E564" s="22"/>
      <c r="F564" s="29"/>
      <c r="G564" s="22"/>
      <c r="H564" s="22"/>
      <c r="I564" s="30"/>
      <c r="J564" s="22"/>
      <c r="K564" s="22"/>
      <c r="L564" s="3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>
      <c r="A565" s="28"/>
      <c r="B565" s="22"/>
      <c r="C565" s="22"/>
      <c r="D565" s="29"/>
      <c r="E565" s="22"/>
      <c r="F565" s="29"/>
      <c r="G565" s="22"/>
      <c r="H565" s="22"/>
      <c r="I565" s="30"/>
      <c r="J565" s="22"/>
      <c r="K565" s="22"/>
      <c r="L565" s="3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>
      <c r="A566" s="28"/>
      <c r="B566" s="22"/>
      <c r="C566" s="22"/>
      <c r="D566" s="29"/>
      <c r="E566" s="22"/>
      <c r="F566" s="29"/>
      <c r="G566" s="22"/>
      <c r="H566" s="22"/>
      <c r="I566" s="30"/>
      <c r="J566" s="22"/>
      <c r="K566" s="22"/>
      <c r="L566" s="3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>
      <c r="A567" s="28"/>
      <c r="B567" s="22"/>
      <c r="C567" s="22"/>
      <c r="D567" s="29"/>
      <c r="E567" s="22"/>
      <c r="F567" s="29"/>
      <c r="G567" s="22"/>
      <c r="H567" s="22"/>
      <c r="I567" s="30"/>
      <c r="J567" s="22"/>
      <c r="K567" s="22"/>
      <c r="L567" s="3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>
      <c r="A568" s="28"/>
      <c r="B568" s="22"/>
      <c r="C568" s="22"/>
      <c r="D568" s="29"/>
      <c r="E568" s="22"/>
      <c r="F568" s="29"/>
      <c r="G568" s="22"/>
      <c r="H568" s="22"/>
      <c r="I568" s="30"/>
      <c r="J568" s="22"/>
      <c r="K568" s="22"/>
      <c r="L568" s="3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>
      <c r="A569" s="28"/>
      <c r="B569" s="22"/>
      <c r="C569" s="22"/>
      <c r="D569" s="29"/>
      <c r="E569" s="22"/>
      <c r="F569" s="29"/>
      <c r="G569" s="22"/>
      <c r="H569" s="22"/>
      <c r="I569" s="30"/>
      <c r="J569" s="22"/>
      <c r="K569" s="22"/>
      <c r="L569" s="3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>
      <c r="A570" s="28"/>
      <c r="B570" s="22"/>
      <c r="C570" s="22"/>
      <c r="D570" s="29"/>
      <c r="E570" s="22"/>
      <c r="F570" s="29"/>
      <c r="G570" s="22"/>
      <c r="H570" s="22"/>
      <c r="I570" s="30"/>
      <c r="J570" s="22"/>
      <c r="K570" s="22"/>
      <c r="L570" s="3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>
      <c r="A571" s="28"/>
      <c r="B571" s="22"/>
      <c r="C571" s="22"/>
      <c r="D571" s="29"/>
      <c r="E571" s="22"/>
      <c r="F571" s="29"/>
      <c r="G571" s="22"/>
      <c r="H571" s="22"/>
      <c r="I571" s="30"/>
      <c r="J571" s="22"/>
      <c r="K571" s="22"/>
      <c r="L571" s="3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>
      <c r="A572" s="28"/>
      <c r="B572" s="22"/>
      <c r="C572" s="22"/>
      <c r="D572" s="29"/>
      <c r="E572" s="22"/>
      <c r="F572" s="29"/>
      <c r="G572" s="22"/>
      <c r="H572" s="22"/>
      <c r="I572" s="30"/>
      <c r="J572" s="22"/>
      <c r="K572" s="22"/>
      <c r="L572" s="3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>
      <c r="A573" s="28"/>
      <c r="B573" s="22"/>
      <c r="C573" s="22"/>
      <c r="D573" s="29"/>
      <c r="E573" s="22"/>
      <c r="F573" s="29"/>
      <c r="G573" s="22"/>
      <c r="H573" s="22"/>
      <c r="I573" s="30"/>
      <c r="J573" s="22"/>
      <c r="K573" s="22"/>
      <c r="L573" s="3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>
      <c r="A574" s="28"/>
      <c r="B574" s="22"/>
      <c r="C574" s="22"/>
      <c r="D574" s="29"/>
      <c r="E574" s="22"/>
      <c r="F574" s="29"/>
      <c r="G574" s="22"/>
      <c r="H574" s="22"/>
      <c r="I574" s="30"/>
      <c r="J574" s="22"/>
      <c r="K574" s="22"/>
      <c r="L574" s="3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>
      <c r="A575" s="28"/>
      <c r="B575" s="22"/>
      <c r="C575" s="22"/>
      <c r="D575" s="29"/>
      <c r="E575" s="22"/>
      <c r="F575" s="29"/>
      <c r="G575" s="22"/>
      <c r="H575" s="22"/>
      <c r="I575" s="30"/>
      <c r="J575" s="22"/>
      <c r="K575" s="22"/>
      <c r="L575" s="3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>
      <c r="A576" s="28"/>
      <c r="B576" s="22"/>
      <c r="C576" s="22"/>
      <c r="D576" s="29"/>
      <c r="E576" s="22"/>
      <c r="F576" s="29"/>
      <c r="G576" s="22"/>
      <c r="H576" s="22"/>
      <c r="I576" s="30"/>
      <c r="J576" s="22"/>
      <c r="K576" s="22"/>
      <c r="L576" s="3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>
      <c r="A577" s="28"/>
      <c r="B577" s="22"/>
      <c r="C577" s="22"/>
      <c r="D577" s="29"/>
      <c r="E577" s="22"/>
      <c r="F577" s="29"/>
      <c r="G577" s="22"/>
      <c r="H577" s="22"/>
      <c r="I577" s="30"/>
      <c r="J577" s="22"/>
      <c r="K577" s="22"/>
      <c r="L577" s="3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>
      <c r="A578" s="28"/>
      <c r="B578" s="22"/>
      <c r="C578" s="22"/>
      <c r="D578" s="29"/>
      <c r="E578" s="22"/>
      <c r="F578" s="29"/>
      <c r="G578" s="22"/>
      <c r="H578" s="22"/>
      <c r="I578" s="30"/>
      <c r="J578" s="22"/>
      <c r="K578" s="22"/>
      <c r="L578" s="3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>
      <c r="A579" s="28"/>
      <c r="B579" s="22"/>
      <c r="C579" s="22"/>
      <c r="D579" s="29"/>
      <c r="E579" s="22"/>
      <c r="F579" s="29"/>
      <c r="G579" s="22"/>
      <c r="H579" s="22"/>
      <c r="I579" s="30"/>
      <c r="J579" s="22"/>
      <c r="K579" s="22"/>
      <c r="L579" s="3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>
      <c r="A580" s="28"/>
      <c r="B580" s="22"/>
      <c r="C580" s="22"/>
      <c r="D580" s="29"/>
      <c r="E580" s="22"/>
      <c r="F580" s="29"/>
      <c r="G580" s="22"/>
      <c r="H580" s="22"/>
      <c r="I580" s="30"/>
      <c r="J580" s="22"/>
      <c r="K580" s="22"/>
      <c r="L580" s="3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>
      <c r="A581" s="28"/>
      <c r="B581" s="22"/>
      <c r="C581" s="22"/>
      <c r="D581" s="29"/>
      <c r="E581" s="22"/>
      <c r="F581" s="29"/>
      <c r="G581" s="22"/>
      <c r="H581" s="22"/>
      <c r="I581" s="30"/>
      <c r="J581" s="22"/>
      <c r="K581" s="22"/>
      <c r="L581" s="3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>
      <c r="A582" s="28"/>
      <c r="B582" s="22"/>
      <c r="C582" s="22"/>
      <c r="D582" s="29"/>
      <c r="E582" s="22"/>
      <c r="F582" s="29"/>
      <c r="G582" s="22"/>
      <c r="H582" s="22"/>
      <c r="I582" s="30"/>
      <c r="J582" s="22"/>
      <c r="K582" s="22"/>
      <c r="L582" s="3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>
      <c r="A583" s="28"/>
      <c r="B583" s="22"/>
      <c r="C583" s="22"/>
      <c r="D583" s="29"/>
      <c r="E583" s="22"/>
      <c r="F583" s="29"/>
      <c r="G583" s="22"/>
      <c r="H583" s="22"/>
      <c r="I583" s="30"/>
      <c r="J583" s="22"/>
      <c r="K583" s="22"/>
      <c r="L583" s="3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>
      <c r="A584" s="28"/>
      <c r="B584" s="22"/>
      <c r="C584" s="22"/>
      <c r="D584" s="29"/>
      <c r="E584" s="22"/>
      <c r="F584" s="29"/>
      <c r="G584" s="22"/>
      <c r="H584" s="22"/>
      <c r="I584" s="30"/>
      <c r="J584" s="22"/>
      <c r="K584" s="22"/>
      <c r="L584" s="3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>
      <c r="A585" s="28"/>
      <c r="B585" s="22"/>
      <c r="C585" s="22"/>
      <c r="D585" s="29"/>
      <c r="E585" s="22"/>
      <c r="F585" s="29"/>
      <c r="G585" s="22"/>
      <c r="H585" s="22"/>
      <c r="I585" s="30"/>
      <c r="J585" s="22"/>
      <c r="K585" s="22"/>
      <c r="L585" s="3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>
      <c r="A586" s="28"/>
      <c r="B586" s="22"/>
      <c r="C586" s="22"/>
      <c r="D586" s="29"/>
      <c r="E586" s="22"/>
      <c r="F586" s="29"/>
      <c r="G586" s="22"/>
      <c r="H586" s="22"/>
      <c r="I586" s="30"/>
      <c r="J586" s="22"/>
      <c r="K586" s="22"/>
      <c r="L586" s="3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>
      <c r="A587" s="28"/>
      <c r="B587" s="22"/>
      <c r="C587" s="22"/>
      <c r="D587" s="29"/>
      <c r="E587" s="22"/>
      <c r="F587" s="29"/>
      <c r="G587" s="22"/>
      <c r="H587" s="22"/>
      <c r="I587" s="30"/>
      <c r="J587" s="22"/>
      <c r="K587" s="22"/>
      <c r="L587" s="3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>
      <c r="A588" s="28"/>
      <c r="B588" s="22"/>
      <c r="C588" s="22"/>
      <c r="D588" s="29"/>
      <c r="E588" s="22"/>
      <c r="F588" s="29"/>
      <c r="G588" s="22"/>
      <c r="H588" s="22"/>
      <c r="I588" s="30"/>
      <c r="J588" s="22"/>
      <c r="K588" s="22"/>
      <c r="L588" s="3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>
      <c r="A589" s="28"/>
      <c r="B589" s="22"/>
      <c r="C589" s="22"/>
      <c r="D589" s="29"/>
      <c r="E589" s="22"/>
      <c r="F589" s="29"/>
      <c r="G589" s="22"/>
      <c r="H589" s="22"/>
      <c r="I589" s="30"/>
      <c r="J589" s="22"/>
      <c r="K589" s="22"/>
      <c r="L589" s="3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>
      <c r="A590" s="28"/>
      <c r="B590" s="22"/>
      <c r="C590" s="22"/>
      <c r="D590" s="29"/>
      <c r="E590" s="22"/>
      <c r="F590" s="29"/>
      <c r="G590" s="22"/>
      <c r="H590" s="22"/>
      <c r="I590" s="30"/>
      <c r="J590" s="22"/>
      <c r="K590" s="22"/>
      <c r="L590" s="3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>
      <c r="A591" s="28"/>
      <c r="B591" s="22"/>
      <c r="C591" s="22"/>
      <c r="D591" s="29"/>
      <c r="E591" s="22"/>
      <c r="F591" s="29"/>
      <c r="G591" s="22"/>
      <c r="H591" s="22"/>
      <c r="I591" s="30"/>
      <c r="J591" s="22"/>
      <c r="K591" s="22"/>
      <c r="L591" s="3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>
      <c r="A592" s="28"/>
      <c r="B592" s="22"/>
      <c r="C592" s="22"/>
      <c r="D592" s="29"/>
      <c r="E592" s="22"/>
      <c r="F592" s="29"/>
      <c r="G592" s="22"/>
      <c r="H592" s="22"/>
      <c r="I592" s="30"/>
      <c r="J592" s="22"/>
      <c r="K592" s="22"/>
      <c r="L592" s="3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>
      <c r="A593" s="28"/>
      <c r="B593" s="22"/>
      <c r="C593" s="22"/>
      <c r="D593" s="29"/>
      <c r="E593" s="22"/>
      <c r="F593" s="29"/>
      <c r="G593" s="22"/>
      <c r="H593" s="22"/>
      <c r="I593" s="30"/>
      <c r="J593" s="22"/>
      <c r="K593" s="22"/>
      <c r="L593" s="3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>
      <c r="A594" s="28"/>
      <c r="B594" s="22"/>
      <c r="C594" s="22"/>
      <c r="D594" s="29"/>
      <c r="E594" s="22"/>
      <c r="F594" s="29"/>
      <c r="G594" s="22"/>
      <c r="H594" s="22"/>
      <c r="I594" s="30"/>
      <c r="J594" s="22"/>
      <c r="K594" s="22"/>
      <c r="L594" s="3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>
      <c r="A595" s="28"/>
      <c r="B595" s="22"/>
      <c r="C595" s="22"/>
      <c r="D595" s="29"/>
      <c r="E595" s="22"/>
      <c r="F595" s="29"/>
      <c r="G595" s="22"/>
      <c r="H595" s="22"/>
      <c r="I595" s="30"/>
      <c r="J595" s="22"/>
      <c r="K595" s="22"/>
      <c r="L595" s="3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>
      <c r="A596" s="28"/>
      <c r="B596" s="22"/>
      <c r="C596" s="22"/>
      <c r="D596" s="29"/>
      <c r="E596" s="22"/>
      <c r="F596" s="29"/>
      <c r="G596" s="22"/>
      <c r="H596" s="22"/>
      <c r="I596" s="30"/>
      <c r="J596" s="22"/>
      <c r="K596" s="22"/>
      <c r="L596" s="3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>
      <c r="A597" s="28"/>
      <c r="B597" s="22"/>
      <c r="C597" s="22"/>
      <c r="D597" s="29"/>
      <c r="E597" s="22"/>
      <c r="F597" s="29"/>
      <c r="G597" s="22"/>
      <c r="H597" s="22"/>
      <c r="I597" s="30"/>
      <c r="J597" s="22"/>
      <c r="K597" s="22"/>
      <c r="L597" s="3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>
      <c r="A598" s="28"/>
      <c r="B598" s="22"/>
      <c r="C598" s="22"/>
      <c r="D598" s="29"/>
      <c r="E598" s="22"/>
      <c r="F598" s="29"/>
      <c r="G598" s="22"/>
      <c r="H598" s="22"/>
      <c r="I598" s="30"/>
      <c r="J598" s="22"/>
      <c r="K598" s="22"/>
      <c r="L598" s="3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</row>
    <row r="599">
      <c r="A599" s="28"/>
      <c r="B599" s="22"/>
      <c r="C599" s="22"/>
      <c r="D599" s="29"/>
      <c r="E599" s="22"/>
      <c r="F599" s="29"/>
      <c r="G599" s="22"/>
      <c r="H599" s="22"/>
      <c r="I599" s="30"/>
      <c r="J599" s="22"/>
      <c r="K599" s="22"/>
      <c r="L599" s="3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>
      <c r="A600" s="28"/>
      <c r="B600" s="22"/>
      <c r="C600" s="22"/>
      <c r="D600" s="29"/>
      <c r="E600" s="22"/>
      <c r="F600" s="29"/>
      <c r="G600" s="22"/>
      <c r="H600" s="22"/>
      <c r="I600" s="30"/>
      <c r="J600" s="22"/>
      <c r="K600" s="22"/>
      <c r="L600" s="3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>
      <c r="A601" s="28"/>
      <c r="B601" s="22"/>
      <c r="C601" s="22"/>
      <c r="D601" s="29"/>
      <c r="E601" s="22"/>
      <c r="F601" s="29"/>
      <c r="G601" s="22"/>
      <c r="H601" s="22"/>
      <c r="I601" s="30"/>
      <c r="J601" s="22"/>
      <c r="K601" s="22"/>
      <c r="L601" s="3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>
      <c r="A602" s="28"/>
      <c r="B602" s="22"/>
      <c r="C602" s="22"/>
      <c r="D602" s="29"/>
      <c r="E602" s="22"/>
      <c r="F602" s="29"/>
      <c r="G602" s="22"/>
      <c r="H602" s="22"/>
      <c r="I602" s="30"/>
      <c r="J602" s="22"/>
      <c r="K602" s="22"/>
      <c r="L602" s="3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</row>
    <row r="603">
      <c r="A603" s="28"/>
      <c r="B603" s="22"/>
      <c r="C603" s="22"/>
      <c r="D603" s="29"/>
      <c r="E603" s="22"/>
      <c r="F603" s="29"/>
      <c r="G603" s="22"/>
      <c r="H603" s="22"/>
      <c r="I603" s="30"/>
      <c r="J603" s="22"/>
      <c r="K603" s="22"/>
      <c r="L603" s="3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>
      <c r="A604" s="28"/>
      <c r="B604" s="22"/>
      <c r="C604" s="22"/>
      <c r="D604" s="29"/>
      <c r="E604" s="22"/>
      <c r="F604" s="29"/>
      <c r="G604" s="22"/>
      <c r="H604" s="22"/>
      <c r="I604" s="30"/>
      <c r="J604" s="22"/>
      <c r="K604" s="22"/>
      <c r="L604" s="3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>
      <c r="A605" s="28"/>
      <c r="B605" s="22"/>
      <c r="C605" s="22"/>
      <c r="D605" s="29"/>
      <c r="E605" s="22"/>
      <c r="F605" s="29"/>
      <c r="G605" s="22"/>
      <c r="H605" s="22"/>
      <c r="I605" s="30"/>
      <c r="J605" s="22"/>
      <c r="K605" s="22"/>
      <c r="L605" s="3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>
      <c r="A606" s="28"/>
      <c r="B606" s="22"/>
      <c r="C606" s="22"/>
      <c r="D606" s="29"/>
      <c r="E606" s="22"/>
      <c r="F606" s="29"/>
      <c r="G606" s="22"/>
      <c r="H606" s="22"/>
      <c r="I606" s="30"/>
      <c r="J606" s="22"/>
      <c r="K606" s="22"/>
      <c r="L606" s="3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>
      <c r="A607" s="28"/>
      <c r="B607" s="22"/>
      <c r="C607" s="22"/>
      <c r="D607" s="29"/>
      <c r="E607" s="22"/>
      <c r="F607" s="29"/>
      <c r="G607" s="22"/>
      <c r="H607" s="22"/>
      <c r="I607" s="30"/>
      <c r="J607" s="22"/>
      <c r="K607" s="22"/>
      <c r="L607" s="3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>
      <c r="A608" s="28"/>
      <c r="B608" s="22"/>
      <c r="C608" s="22"/>
      <c r="D608" s="29"/>
      <c r="E608" s="22"/>
      <c r="F608" s="29"/>
      <c r="G608" s="22"/>
      <c r="H608" s="22"/>
      <c r="I608" s="30"/>
      <c r="J608" s="22"/>
      <c r="K608" s="22"/>
      <c r="L608" s="3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>
      <c r="A609" s="28"/>
      <c r="B609" s="22"/>
      <c r="C609" s="22"/>
      <c r="D609" s="29"/>
      <c r="E609" s="22"/>
      <c r="F609" s="29"/>
      <c r="G609" s="22"/>
      <c r="H609" s="22"/>
      <c r="I609" s="30"/>
      <c r="J609" s="22"/>
      <c r="K609" s="22"/>
      <c r="L609" s="3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>
      <c r="A610" s="28"/>
      <c r="B610" s="22"/>
      <c r="C610" s="22"/>
      <c r="D610" s="29"/>
      <c r="E610" s="22"/>
      <c r="F610" s="29"/>
      <c r="G610" s="22"/>
      <c r="H610" s="22"/>
      <c r="I610" s="30"/>
      <c r="J610" s="22"/>
      <c r="K610" s="22"/>
      <c r="L610" s="3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>
      <c r="A611" s="28"/>
      <c r="B611" s="22"/>
      <c r="C611" s="22"/>
      <c r="D611" s="29"/>
      <c r="E611" s="22"/>
      <c r="F611" s="29"/>
      <c r="G611" s="22"/>
      <c r="H611" s="22"/>
      <c r="I611" s="30"/>
      <c r="J611" s="22"/>
      <c r="K611" s="22"/>
      <c r="L611" s="3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>
      <c r="A612" s="28"/>
      <c r="B612" s="22"/>
      <c r="C612" s="22"/>
      <c r="D612" s="29"/>
      <c r="E612" s="22"/>
      <c r="F612" s="29"/>
      <c r="G612" s="22"/>
      <c r="H612" s="22"/>
      <c r="I612" s="30"/>
      <c r="J612" s="22"/>
      <c r="K612" s="22"/>
      <c r="L612" s="3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>
      <c r="A613" s="28"/>
      <c r="B613" s="22"/>
      <c r="C613" s="22"/>
      <c r="D613" s="29"/>
      <c r="E613" s="22"/>
      <c r="F613" s="29"/>
      <c r="G613" s="22"/>
      <c r="H613" s="22"/>
      <c r="I613" s="30"/>
      <c r="J613" s="22"/>
      <c r="K613" s="22"/>
      <c r="L613" s="3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>
      <c r="A614" s="28"/>
      <c r="B614" s="22"/>
      <c r="C614" s="22"/>
      <c r="D614" s="29"/>
      <c r="E614" s="22"/>
      <c r="F614" s="29"/>
      <c r="G614" s="22"/>
      <c r="H614" s="22"/>
      <c r="I614" s="30"/>
      <c r="J614" s="22"/>
      <c r="K614" s="22"/>
      <c r="L614" s="3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>
      <c r="A615" s="28"/>
      <c r="B615" s="22"/>
      <c r="C615" s="22"/>
      <c r="D615" s="29"/>
      <c r="E615" s="22"/>
      <c r="F615" s="29"/>
      <c r="G615" s="22"/>
      <c r="H615" s="22"/>
      <c r="I615" s="30"/>
      <c r="J615" s="22"/>
      <c r="K615" s="22"/>
      <c r="L615" s="3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>
      <c r="A616" s="28"/>
      <c r="B616" s="22"/>
      <c r="C616" s="22"/>
      <c r="D616" s="29"/>
      <c r="E616" s="22"/>
      <c r="F616" s="29"/>
      <c r="G616" s="22"/>
      <c r="H616" s="22"/>
      <c r="I616" s="30"/>
      <c r="J616" s="22"/>
      <c r="K616" s="22"/>
      <c r="L616" s="3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>
      <c r="A617" s="28"/>
      <c r="B617" s="22"/>
      <c r="C617" s="22"/>
      <c r="D617" s="29"/>
      <c r="E617" s="22"/>
      <c r="F617" s="29"/>
      <c r="G617" s="22"/>
      <c r="H617" s="22"/>
      <c r="I617" s="30"/>
      <c r="J617" s="22"/>
      <c r="K617" s="22"/>
      <c r="L617" s="3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>
      <c r="A618" s="28"/>
      <c r="B618" s="22"/>
      <c r="C618" s="22"/>
      <c r="D618" s="29"/>
      <c r="E618" s="22"/>
      <c r="F618" s="29"/>
      <c r="G618" s="22"/>
      <c r="H618" s="22"/>
      <c r="I618" s="30"/>
      <c r="J618" s="22"/>
      <c r="K618" s="22"/>
      <c r="L618" s="3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>
      <c r="A619" s="28"/>
      <c r="B619" s="22"/>
      <c r="C619" s="22"/>
      <c r="D619" s="29"/>
      <c r="E619" s="22"/>
      <c r="F619" s="29"/>
      <c r="G619" s="22"/>
      <c r="H619" s="22"/>
      <c r="I619" s="30"/>
      <c r="J619" s="22"/>
      <c r="K619" s="22"/>
      <c r="L619" s="3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>
      <c r="A620" s="28"/>
      <c r="B620" s="22"/>
      <c r="C620" s="22"/>
      <c r="D620" s="29"/>
      <c r="E620" s="22"/>
      <c r="F620" s="29"/>
      <c r="G620" s="22"/>
      <c r="H620" s="22"/>
      <c r="I620" s="30"/>
      <c r="J620" s="22"/>
      <c r="K620" s="22"/>
      <c r="L620" s="3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</row>
    <row r="621">
      <c r="A621" s="28"/>
      <c r="B621" s="22"/>
      <c r="C621" s="22"/>
      <c r="D621" s="29"/>
      <c r="E621" s="22"/>
      <c r="F621" s="29"/>
      <c r="G621" s="22"/>
      <c r="H621" s="22"/>
      <c r="I621" s="30"/>
      <c r="J621" s="22"/>
      <c r="K621" s="22"/>
      <c r="L621" s="3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>
      <c r="A622" s="28"/>
      <c r="B622" s="22"/>
      <c r="C622" s="22"/>
      <c r="D622" s="29"/>
      <c r="E622" s="22"/>
      <c r="F622" s="29"/>
      <c r="G622" s="22"/>
      <c r="H622" s="22"/>
      <c r="I622" s="30"/>
      <c r="J622" s="22"/>
      <c r="K622" s="22"/>
      <c r="L622" s="3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>
      <c r="A623" s="28"/>
      <c r="B623" s="22"/>
      <c r="C623" s="22"/>
      <c r="D623" s="29"/>
      <c r="E623" s="22"/>
      <c r="F623" s="29"/>
      <c r="G623" s="22"/>
      <c r="H623" s="22"/>
      <c r="I623" s="30"/>
      <c r="J623" s="22"/>
      <c r="K623" s="22"/>
      <c r="L623" s="3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>
      <c r="A624" s="28"/>
      <c r="B624" s="22"/>
      <c r="C624" s="22"/>
      <c r="D624" s="29"/>
      <c r="E624" s="22"/>
      <c r="F624" s="29"/>
      <c r="G624" s="22"/>
      <c r="H624" s="22"/>
      <c r="I624" s="30"/>
      <c r="J624" s="22"/>
      <c r="K624" s="22"/>
      <c r="L624" s="3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>
      <c r="A625" s="28"/>
      <c r="B625" s="22"/>
      <c r="C625" s="22"/>
      <c r="D625" s="29"/>
      <c r="E625" s="22"/>
      <c r="F625" s="29"/>
      <c r="G625" s="22"/>
      <c r="H625" s="22"/>
      <c r="I625" s="30"/>
      <c r="J625" s="22"/>
      <c r="K625" s="22"/>
      <c r="L625" s="3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>
      <c r="A626" s="28"/>
      <c r="B626" s="22"/>
      <c r="C626" s="22"/>
      <c r="D626" s="29"/>
      <c r="E626" s="22"/>
      <c r="F626" s="29"/>
      <c r="G626" s="22"/>
      <c r="H626" s="22"/>
      <c r="I626" s="30"/>
      <c r="J626" s="22"/>
      <c r="K626" s="22"/>
      <c r="L626" s="3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>
      <c r="A627" s="28"/>
      <c r="B627" s="22"/>
      <c r="C627" s="22"/>
      <c r="D627" s="29"/>
      <c r="E627" s="22"/>
      <c r="F627" s="29"/>
      <c r="G627" s="22"/>
      <c r="H627" s="22"/>
      <c r="I627" s="30"/>
      <c r="J627" s="22"/>
      <c r="K627" s="22"/>
      <c r="L627" s="3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>
      <c r="A628" s="28"/>
      <c r="B628" s="22"/>
      <c r="C628" s="22"/>
      <c r="D628" s="29"/>
      <c r="E628" s="22"/>
      <c r="F628" s="29"/>
      <c r="G628" s="22"/>
      <c r="H628" s="22"/>
      <c r="I628" s="30"/>
      <c r="J628" s="22"/>
      <c r="K628" s="22"/>
      <c r="L628" s="3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>
      <c r="A629" s="28"/>
      <c r="B629" s="22"/>
      <c r="C629" s="22"/>
      <c r="D629" s="29"/>
      <c r="E629" s="22"/>
      <c r="F629" s="29"/>
      <c r="G629" s="22"/>
      <c r="H629" s="22"/>
      <c r="I629" s="30"/>
      <c r="J629" s="22"/>
      <c r="K629" s="22"/>
      <c r="L629" s="3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>
      <c r="A630" s="28"/>
      <c r="B630" s="22"/>
      <c r="C630" s="22"/>
      <c r="D630" s="29"/>
      <c r="E630" s="22"/>
      <c r="F630" s="29"/>
      <c r="G630" s="22"/>
      <c r="H630" s="22"/>
      <c r="I630" s="30"/>
      <c r="J630" s="22"/>
      <c r="K630" s="22"/>
      <c r="L630" s="3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>
      <c r="A631" s="28"/>
      <c r="B631" s="22"/>
      <c r="C631" s="22"/>
      <c r="D631" s="29"/>
      <c r="E631" s="22"/>
      <c r="F631" s="29"/>
      <c r="G631" s="22"/>
      <c r="H631" s="22"/>
      <c r="I631" s="30"/>
      <c r="J631" s="22"/>
      <c r="K631" s="22"/>
      <c r="L631" s="3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>
      <c r="A632" s="28"/>
      <c r="B632" s="22"/>
      <c r="C632" s="22"/>
      <c r="D632" s="29"/>
      <c r="E632" s="22"/>
      <c r="F632" s="29"/>
      <c r="G632" s="22"/>
      <c r="H632" s="22"/>
      <c r="I632" s="30"/>
      <c r="J632" s="22"/>
      <c r="K632" s="22"/>
      <c r="L632" s="3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</row>
    <row r="633">
      <c r="A633" s="28"/>
      <c r="B633" s="22"/>
      <c r="C633" s="22"/>
      <c r="D633" s="29"/>
      <c r="E633" s="22"/>
      <c r="F633" s="29"/>
      <c r="G633" s="22"/>
      <c r="H633" s="22"/>
      <c r="I633" s="30"/>
      <c r="J633" s="22"/>
      <c r="K633" s="22"/>
      <c r="L633" s="3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>
      <c r="A634" s="28"/>
      <c r="B634" s="22"/>
      <c r="C634" s="22"/>
      <c r="D634" s="29"/>
      <c r="E634" s="22"/>
      <c r="F634" s="29"/>
      <c r="G634" s="22"/>
      <c r="H634" s="22"/>
      <c r="I634" s="30"/>
      <c r="J634" s="22"/>
      <c r="K634" s="22"/>
      <c r="L634" s="3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>
      <c r="A635" s="28"/>
      <c r="B635" s="22"/>
      <c r="C635" s="22"/>
      <c r="D635" s="29"/>
      <c r="E635" s="22"/>
      <c r="F635" s="29"/>
      <c r="G635" s="22"/>
      <c r="H635" s="22"/>
      <c r="I635" s="30"/>
      <c r="J635" s="22"/>
      <c r="K635" s="22"/>
      <c r="L635" s="3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>
      <c r="A636" s="28"/>
      <c r="B636" s="22"/>
      <c r="C636" s="22"/>
      <c r="D636" s="29"/>
      <c r="E636" s="22"/>
      <c r="F636" s="29"/>
      <c r="G636" s="22"/>
      <c r="H636" s="22"/>
      <c r="I636" s="30"/>
      <c r="J636" s="22"/>
      <c r="K636" s="22"/>
      <c r="L636" s="3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>
      <c r="A637" s="28"/>
      <c r="B637" s="22"/>
      <c r="C637" s="22"/>
      <c r="D637" s="29"/>
      <c r="E637" s="22"/>
      <c r="F637" s="29"/>
      <c r="G637" s="22"/>
      <c r="H637" s="22"/>
      <c r="I637" s="30"/>
      <c r="J637" s="22"/>
      <c r="K637" s="22"/>
      <c r="L637" s="3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>
      <c r="A638" s="28"/>
      <c r="B638" s="22"/>
      <c r="C638" s="22"/>
      <c r="D638" s="29"/>
      <c r="E638" s="22"/>
      <c r="F638" s="29"/>
      <c r="G638" s="22"/>
      <c r="H638" s="22"/>
      <c r="I638" s="30"/>
      <c r="J638" s="22"/>
      <c r="K638" s="22"/>
      <c r="L638" s="3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>
      <c r="A639" s="28"/>
      <c r="B639" s="22"/>
      <c r="C639" s="22"/>
      <c r="D639" s="29"/>
      <c r="E639" s="22"/>
      <c r="F639" s="29"/>
      <c r="G639" s="22"/>
      <c r="H639" s="22"/>
      <c r="I639" s="30"/>
      <c r="J639" s="22"/>
      <c r="K639" s="22"/>
      <c r="L639" s="3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>
      <c r="A640" s="28"/>
      <c r="B640" s="22"/>
      <c r="C640" s="22"/>
      <c r="D640" s="29"/>
      <c r="E640" s="22"/>
      <c r="F640" s="29"/>
      <c r="G640" s="22"/>
      <c r="H640" s="22"/>
      <c r="I640" s="30"/>
      <c r="J640" s="22"/>
      <c r="K640" s="22"/>
      <c r="L640" s="3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>
      <c r="A641" s="28"/>
      <c r="B641" s="22"/>
      <c r="C641" s="22"/>
      <c r="D641" s="29"/>
      <c r="E641" s="22"/>
      <c r="F641" s="29"/>
      <c r="G641" s="22"/>
      <c r="H641" s="22"/>
      <c r="I641" s="30"/>
      <c r="J641" s="22"/>
      <c r="K641" s="22"/>
      <c r="L641" s="3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>
      <c r="A642" s="28"/>
      <c r="B642" s="22"/>
      <c r="C642" s="22"/>
      <c r="D642" s="29"/>
      <c r="E642" s="22"/>
      <c r="F642" s="29"/>
      <c r="G642" s="22"/>
      <c r="H642" s="22"/>
      <c r="I642" s="30"/>
      <c r="J642" s="22"/>
      <c r="K642" s="22"/>
      <c r="L642" s="3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>
      <c r="A643" s="28"/>
      <c r="B643" s="22"/>
      <c r="C643" s="22"/>
      <c r="D643" s="29"/>
      <c r="E643" s="22"/>
      <c r="F643" s="29"/>
      <c r="G643" s="22"/>
      <c r="H643" s="22"/>
      <c r="I643" s="30"/>
      <c r="J643" s="22"/>
      <c r="K643" s="22"/>
      <c r="L643" s="3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>
      <c r="A644" s="28"/>
      <c r="B644" s="22"/>
      <c r="C644" s="22"/>
      <c r="D644" s="29"/>
      <c r="E644" s="22"/>
      <c r="F644" s="29"/>
      <c r="G644" s="22"/>
      <c r="H644" s="22"/>
      <c r="I644" s="30"/>
      <c r="J644" s="22"/>
      <c r="K644" s="22"/>
      <c r="L644" s="3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>
      <c r="A645" s="28"/>
      <c r="B645" s="22"/>
      <c r="C645" s="22"/>
      <c r="D645" s="29"/>
      <c r="E645" s="22"/>
      <c r="F645" s="29"/>
      <c r="G645" s="22"/>
      <c r="H645" s="22"/>
      <c r="I645" s="30"/>
      <c r="J645" s="22"/>
      <c r="K645" s="22"/>
      <c r="L645" s="3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>
      <c r="A646" s="28"/>
      <c r="B646" s="22"/>
      <c r="C646" s="22"/>
      <c r="D646" s="29"/>
      <c r="E646" s="22"/>
      <c r="F646" s="29"/>
      <c r="G646" s="22"/>
      <c r="H646" s="22"/>
      <c r="I646" s="30"/>
      <c r="J646" s="22"/>
      <c r="K646" s="22"/>
      <c r="L646" s="3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>
      <c r="A647" s="28"/>
      <c r="B647" s="22"/>
      <c r="C647" s="22"/>
      <c r="D647" s="29"/>
      <c r="E647" s="22"/>
      <c r="F647" s="29"/>
      <c r="G647" s="22"/>
      <c r="H647" s="22"/>
      <c r="I647" s="30"/>
      <c r="J647" s="22"/>
      <c r="K647" s="22"/>
      <c r="L647" s="3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>
      <c r="A648" s="28"/>
      <c r="B648" s="22"/>
      <c r="C648" s="22"/>
      <c r="D648" s="29"/>
      <c r="E648" s="22"/>
      <c r="F648" s="29"/>
      <c r="G648" s="22"/>
      <c r="H648" s="22"/>
      <c r="I648" s="30"/>
      <c r="J648" s="22"/>
      <c r="K648" s="22"/>
      <c r="L648" s="3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>
      <c r="A649" s="28"/>
      <c r="B649" s="22"/>
      <c r="C649" s="22"/>
      <c r="D649" s="29"/>
      <c r="E649" s="22"/>
      <c r="F649" s="29"/>
      <c r="G649" s="22"/>
      <c r="H649" s="22"/>
      <c r="I649" s="30"/>
      <c r="J649" s="22"/>
      <c r="K649" s="22"/>
      <c r="L649" s="3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>
      <c r="A650" s="28"/>
      <c r="B650" s="22"/>
      <c r="C650" s="22"/>
      <c r="D650" s="29"/>
      <c r="E650" s="22"/>
      <c r="F650" s="29"/>
      <c r="G650" s="22"/>
      <c r="H650" s="22"/>
      <c r="I650" s="30"/>
      <c r="J650" s="22"/>
      <c r="K650" s="22"/>
      <c r="L650" s="3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>
      <c r="A651" s="28"/>
      <c r="B651" s="22"/>
      <c r="C651" s="22"/>
      <c r="D651" s="29"/>
      <c r="E651" s="22"/>
      <c r="F651" s="29"/>
      <c r="G651" s="22"/>
      <c r="H651" s="22"/>
      <c r="I651" s="30"/>
      <c r="J651" s="22"/>
      <c r="K651" s="22"/>
      <c r="L651" s="3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>
      <c r="A652" s="28"/>
      <c r="B652" s="22"/>
      <c r="C652" s="22"/>
      <c r="D652" s="29"/>
      <c r="E652" s="22"/>
      <c r="F652" s="29"/>
      <c r="G652" s="22"/>
      <c r="H652" s="22"/>
      <c r="I652" s="30"/>
      <c r="J652" s="22"/>
      <c r="K652" s="22"/>
      <c r="L652" s="3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>
      <c r="A653" s="28"/>
      <c r="B653" s="22"/>
      <c r="C653" s="22"/>
      <c r="D653" s="29"/>
      <c r="E653" s="22"/>
      <c r="F653" s="29"/>
      <c r="G653" s="22"/>
      <c r="H653" s="22"/>
      <c r="I653" s="30"/>
      <c r="J653" s="22"/>
      <c r="K653" s="22"/>
      <c r="L653" s="3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>
      <c r="A654" s="28"/>
      <c r="B654" s="22"/>
      <c r="C654" s="22"/>
      <c r="D654" s="29"/>
      <c r="E654" s="22"/>
      <c r="F654" s="29"/>
      <c r="G654" s="22"/>
      <c r="H654" s="22"/>
      <c r="I654" s="30"/>
      <c r="J654" s="22"/>
      <c r="K654" s="22"/>
      <c r="L654" s="3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>
      <c r="A655" s="28"/>
      <c r="B655" s="22"/>
      <c r="C655" s="22"/>
      <c r="D655" s="29"/>
      <c r="E655" s="22"/>
      <c r="F655" s="29"/>
      <c r="G655" s="22"/>
      <c r="H655" s="22"/>
      <c r="I655" s="30"/>
      <c r="J655" s="22"/>
      <c r="K655" s="22"/>
      <c r="L655" s="3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>
      <c r="A656" s="28"/>
      <c r="B656" s="22"/>
      <c r="C656" s="22"/>
      <c r="D656" s="29"/>
      <c r="E656" s="22"/>
      <c r="F656" s="29"/>
      <c r="G656" s="22"/>
      <c r="H656" s="22"/>
      <c r="I656" s="30"/>
      <c r="J656" s="22"/>
      <c r="K656" s="22"/>
      <c r="L656" s="3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>
      <c r="A657" s="28"/>
      <c r="B657" s="22"/>
      <c r="C657" s="22"/>
      <c r="D657" s="29"/>
      <c r="E657" s="22"/>
      <c r="F657" s="29"/>
      <c r="G657" s="22"/>
      <c r="H657" s="22"/>
      <c r="I657" s="30"/>
      <c r="J657" s="22"/>
      <c r="K657" s="22"/>
      <c r="L657" s="3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>
      <c r="A658" s="28"/>
      <c r="B658" s="22"/>
      <c r="C658" s="22"/>
      <c r="D658" s="29"/>
      <c r="E658" s="22"/>
      <c r="F658" s="29"/>
      <c r="G658" s="22"/>
      <c r="H658" s="22"/>
      <c r="I658" s="30"/>
      <c r="J658" s="22"/>
      <c r="K658" s="22"/>
      <c r="L658" s="3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>
      <c r="A659" s="28"/>
      <c r="B659" s="22"/>
      <c r="C659" s="22"/>
      <c r="D659" s="29"/>
      <c r="E659" s="22"/>
      <c r="F659" s="29"/>
      <c r="G659" s="22"/>
      <c r="H659" s="22"/>
      <c r="I659" s="30"/>
      <c r="J659" s="22"/>
      <c r="K659" s="22"/>
      <c r="L659" s="3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>
      <c r="A660" s="28"/>
      <c r="B660" s="22"/>
      <c r="C660" s="22"/>
      <c r="D660" s="29"/>
      <c r="E660" s="22"/>
      <c r="F660" s="29"/>
      <c r="G660" s="22"/>
      <c r="H660" s="22"/>
      <c r="I660" s="30"/>
      <c r="J660" s="22"/>
      <c r="K660" s="22"/>
      <c r="L660" s="3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>
      <c r="A661" s="28"/>
      <c r="B661" s="22"/>
      <c r="C661" s="22"/>
      <c r="D661" s="29"/>
      <c r="E661" s="22"/>
      <c r="F661" s="29"/>
      <c r="G661" s="22"/>
      <c r="H661" s="22"/>
      <c r="I661" s="30"/>
      <c r="J661" s="22"/>
      <c r="K661" s="22"/>
      <c r="L661" s="3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>
      <c r="A662" s="28"/>
      <c r="B662" s="22"/>
      <c r="C662" s="22"/>
      <c r="D662" s="29"/>
      <c r="E662" s="22"/>
      <c r="F662" s="29"/>
      <c r="G662" s="22"/>
      <c r="H662" s="22"/>
      <c r="I662" s="30"/>
      <c r="J662" s="22"/>
      <c r="K662" s="22"/>
      <c r="L662" s="3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>
      <c r="A663" s="28"/>
      <c r="B663" s="22"/>
      <c r="C663" s="22"/>
      <c r="D663" s="29"/>
      <c r="E663" s="22"/>
      <c r="F663" s="29"/>
      <c r="G663" s="22"/>
      <c r="H663" s="22"/>
      <c r="I663" s="30"/>
      <c r="J663" s="22"/>
      <c r="K663" s="22"/>
      <c r="L663" s="3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>
      <c r="A664" s="28"/>
      <c r="B664" s="22"/>
      <c r="C664" s="22"/>
      <c r="D664" s="29"/>
      <c r="E664" s="22"/>
      <c r="F664" s="29"/>
      <c r="G664" s="22"/>
      <c r="H664" s="22"/>
      <c r="I664" s="30"/>
      <c r="J664" s="22"/>
      <c r="K664" s="22"/>
      <c r="L664" s="3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</row>
    <row r="665">
      <c r="A665" s="28"/>
      <c r="B665" s="22"/>
      <c r="C665" s="22"/>
      <c r="D665" s="29"/>
      <c r="E665" s="22"/>
      <c r="F665" s="29"/>
      <c r="G665" s="22"/>
      <c r="H665" s="22"/>
      <c r="I665" s="30"/>
      <c r="J665" s="22"/>
      <c r="K665" s="22"/>
      <c r="L665" s="3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>
      <c r="A666" s="28"/>
      <c r="B666" s="22"/>
      <c r="C666" s="22"/>
      <c r="D666" s="29"/>
      <c r="E666" s="22"/>
      <c r="F666" s="29"/>
      <c r="G666" s="22"/>
      <c r="H666" s="22"/>
      <c r="I666" s="30"/>
      <c r="J666" s="22"/>
      <c r="K666" s="22"/>
      <c r="L666" s="3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>
      <c r="A667" s="28"/>
      <c r="B667" s="22"/>
      <c r="C667" s="22"/>
      <c r="D667" s="29"/>
      <c r="E667" s="22"/>
      <c r="F667" s="29"/>
      <c r="G667" s="22"/>
      <c r="H667" s="22"/>
      <c r="I667" s="30"/>
      <c r="J667" s="22"/>
      <c r="K667" s="22"/>
      <c r="L667" s="3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>
      <c r="A668" s="28"/>
      <c r="B668" s="22"/>
      <c r="C668" s="22"/>
      <c r="D668" s="29"/>
      <c r="E668" s="22"/>
      <c r="F668" s="29"/>
      <c r="G668" s="22"/>
      <c r="H668" s="22"/>
      <c r="I668" s="30"/>
      <c r="J668" s="22"/>
      <c r="K668" s="22"/>
      <c r="L668" s="3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>
      <c r="A669" s="28"/>
      <c r="B669" s="22"/>
      <c r="C669" s="22"/>
      <c r="D669" s="29"/>
      <c r="E669" s="22"/>
      <c r="F669" s="29"/>
      <c r="G669" s="22"/>
      <c r="H669" s="22"/>
      <c r="I669" s="30"/>
      <c r="J669" s="22"/>
      <c r="K669" s="22"/>
      <c r="L669" s="3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>
      <c r="A670" s="28"/>
      <c r="B670" s="22"/>
      <c r="C670" s="22"/>
      <c r="D670" s="29"/>
      <c r="E670" s="22"/>
      <c r="F670" s="29"/>
      <c r="G670" s="22"/>
      <c r="H670" s="22"/>
      <c r="I670" s="30"/>
      <c r="J670" s="22"/>
      <c r="K670" s="22"/>
      <c r="L670" s="3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>
      <c r="A671" s="28"/>
      <c r="B671" s="22"/>
      <c r="C671" s="22"/>
      <c r="D671" s="29"/>
      <c r="E671" s="22"/>
      <c r="F671" s="29"/>
      <c r="G671" s="22"/>
      <c r="H671" s="22"/>
      <c r="I671" s="30"/>
      <c r="J671" s="22"/>
      <c r="K671" s="22"/>
      <c r="L671" s="3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>
      <c r="A672" s="28"/>
      <c r="B672" s="22"/>
      <c r="C672" s="22"/>
      <c r="D672" s="29"/>
      <c r="E672" s="22"/>
      <c r="F672" s="29"/>
      <c r="G672" s="22"/>
      <c r="H672" s="22"/>
      <c r="I672" s="30"/>
      <c r="J672" s="22"/>
      <c r="K672" s="22"/>
      <c r="L672" s="3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>
      <c r="A673" s="28"/>
      <c r="B673" s="22"/>
      <c r="C673" s="22"/>
      <c r="D673" s="29"/>
      <c r="E673" s="22"/>
      <c r="F673" s="29"/>
      <c r="G673" s="22"/>
      <c r="H673" s="22"/>
      <c r="I673" s="30"/>
      <c r="J673" s="22"/>
      <c r="K673" s="22"/>
      <c r="L673" s="3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>
      <c r="A674" s="28"/>
      <c r="B674" s="22"/>
      <c r="C674" s="22"/>
      <c r="D674" s="29"/>
      <c r="E674" s="22"/>
      <c r="F674" s="29"/>
      <c r="G674" s="22"/>
      <c r="H674" s="22"/>
      <c r="I674" s="30"/>
      <c r="J674" s="22"/>
      <c r="K674" s="22"/>
      <c r="L674" s="3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</row>
    <row r="675">
      <c r="A675" s="28"/>
      <c r="B675" s="22"/>
      <c r="C675" s="22"/>
      <c r="D675" s="29"/>
      <c r="E675" s="22"/>
      <c r="F675" s="29"/>
      <c r="G675" s="22"/>
      <c r="H675" s="22"/>
      <c r="I675" s="30"/>
      <c r="J675" s="22"/>
      <c r="K675" s="22"/>
      <c r="L675" s="3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>
      <c r="A676" s="28"/>
      <c r="B676" s="22"/>
      <c r="C676" s="22"/>
      <c r="D676" s="29"/>
      <c r="E676" s="22"/>
      <c r="F676" s="29"/>
      <c r="G676" s="22"/>
      <c r="H676" s="22"/>
      <c r="I676" s="30"/>
      <c r="J676" s="22"/>
      <c r="K676" s="22"/>
      <c r="L676" s="3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>
      <c r="A677" s="28"/>
      <c r="B677" s="22"/>
      <c r="C677" s="22"/>
      <c r="D677" s="29"/>
      <c r="E677" s="22"/>
      <c r="F677" s="29"/>
      <c r="G677" s="22"/>
      <c r="H677" s="22"/>
      <c r="I677" s="30"/>
      <c r="J677" s="22"/>
      <c r="K677" s="22"/>
      <c r="L677" s="3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>
      <c r="A678" s="28"/>
      <c r="B678" s="22"/>
      <c r="C678" s="22"/>
      <c r="D678" s="29"/>
      <c r="E678" s="22"/>
      <c r="F678" s="29"/>
      <c r="G678" s="22"/>
      <c r="H678" s="22"/>
      <c r="I678" s="30"/>
      <c r="J678" s="22"/>
      <c r="K678" s="22"/>
      <c r="L678" s="3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>
      <c r="A679" s="28"/>
      <c r="B679" s="22"/>
      <c r="C679" s="22"/>
      <c r="D679" s="29"/>
      <c r="E679" s="22"/>
      <c r="F679" s="29"/>
      <c r="G679" s="22"/>
      <c r="H679" s="22"/>
      <c r="I679" s="30"/>
      <c r="J679" s="22"/>
      <c r="K679" s="22"/>
      <c r="L679" s="3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>
      <c r="A680" s="28"/>
      <c r="B680" s="22"/>
      <c r="C680" s="22"/>
      <c r="D680" s="29"/>
      <c r="E680" s="22"/>
      <c r="F680" s="29"/>
      <c r="G680" s="22"/>
      <c r="H680" s="22"/>
      <c r="I680" s="30"/>
      <c r="J680" s="22"/>
      <c r="K680" s="22"/>
      <c r="L680" s="3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>
      <c r="A681" s="28"/>
      <c r="B681" s="22"/>
      <c r="C681" s="22"/>
      <c r="D681" s="29"/>
      <c r="E681" s="22"/>
      <c r="F681" s="29"/>
      <c r="G681" s="22"/>
      <c r="H681" s="22"/>
      <c r="I681" s="30"/>
      <c r="J681" s="22"/>
      <c r="K681" s="22"/>
      <c r="L681" s="3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>
      <c r="A682" s="28"/>
      <c r="B682" s="22"/>
      <c r="C682" s="22"/>
      <c r="D682" s="29"/>
      <c r="E682" s="22"/>
      <c r="F682" s="29"/>
      <c r="G682" s="22"/>
      <c r="H682" s="22"/>
      <c r="I682" s="30"/>
      <c r="J682" s="22"/>
      <c r="K682" s="22"/>
      <c r="L682" s="3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>
      <c r="A683" s="28"/>
      <c r="B683" s="22"/>
      <c r="C683" s="22"/>
      <c r="D683" s="29"/>
      <c r="E683" s="22"/>
      <c r="F683" s="29"/>
      <c r="G683" s="22"/>
      <c r="H683" s="22"/>
      <c r="I683" s="30"/>
      <c r="J683" s="22"/>
      <c r="K683" s="22"/>
      <c r="L683" s="3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>
      <c r="A684" s="28"/>
      <c r="B684" s="22"/>
      <c r="C684" s="22"/>
      <c r="D684" s="29"/>
      <c r="E684" s="22"/>
      <c r="F684" s="29"/>
      <c r="G684" s="22"/>
      <c r="H684" s="22"/>
      <c r="I684" s="30"/>
      <c r="J684" s="22"/>
      <c r="K684" s="22"/>
      <c r="L684" s="3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>
      <c r="A685" s="28"/>
      <c r="B685" s="22"/>
      <c r="C685" s="22"/>
      <c r="D685" s="29"/>
      <c r="E685" s="22"/>
      <c r="F685" s="29"/>
      <c r="G685" s="22"/>
      <c r="H685" s="22"/>
      <c r="I685" s="30"/>
      <c r="J685" s="22"/>
      <c r="K685" s="22"/>
      <c r="L685" s="3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>
      <c r="A686" s="28"/>
      <c r="B686" s="22"/>
      <c r="C686" s="22"/>
      <c r="D686" s="29"/>
      <c r="E686" s="22"/>
      <c r="F686" s="29"/>
      <c r="G686" s="22"/>
      <c r="H686" s="22"/>
      <c r="I686" s="30"/>
      <c r="J686" s="22"/>
      <c r="K686" s="22"/>
      <c r="L686" s="3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>
      <c r="A687" s="28"/>
      <c r="B687" s="22"/>
      <c r="C687" s="22"/>
      <c r="D687" s="29"/>
      <c r="E687" s="22"/>
      <c r="F687" s="29"/>
      <c r="G687" s="22"/>
      <c r="H687" s="22"/>
      <c r="I687" s="30"/>
      <c r="J687" s="22"/>
      <c r="K687" s="22"/>
      <c r="L687" s="3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>
      <c r="A688" s="28"/>
      <c r="B688" s="22"/>
      <c r="C688" s="22"/>
      <c r="D688" s="29"/>
      <c r="E688" s="22"/>
      <c r="F688" s="29"/>
      <c r="G688" s="22"/>
      <c r="H688" s="22"/>
      <c r="I688" s="30"/>
      <c r="J688" s="22"/>
      <c r="K688" s="22"/>
      <c r="L688" s="3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>
      <c r="A689" s="28"/>
      <c r="B689" s="22"/>
      <c r="C689" s="22"/>
      <c r="D689" s="29"/>
      <c r="E689" s="22"/>
      <c r="F689" s="29"/>
      <c r="G689" s="22"/>
      <c r="H689" s="22"/>
      <c r="I689" s="30"/>
      <c r="J689" s="22"/>
      <c r="K689" s="22"/>
      <c r="L689" s="3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>
      <c r="A690" s="28"/>
      <c r="B690" s="22"/>
      <c r="C690" s="22"/>
      <c r="D690" s="29"/>
      <c r="E690" s="22"/>
      <c r="F690" s="29"/>
      <c r="G690" s="22"/>
      <c r="H690" s="22"/>
      <c r="I690" s="30"/>
      <c r="J690" s="22"/>
      <c r="K690" s="22"/>
      <c r="L690" s="3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>
      <c r="A691" s="28"/>
      <c r="B691" s="22"/>
      <c r="C691" s="22"/>
      <c r="D691" s="29"/>
      <c r="E691" s="22"/>
      <c r="F691" s="29"/>
      <c r="G691" s="22"/>
      <c r="H691" s="22"/>
      <c r="I691" s="30"/>
      <c r="J691" s="22"/>
      <c r="K691" s="22"/>
      <c r="L691" s="3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>
      <c r="A692" s="28"/>
      <c r="B692" s="22"/>
      <c r="C692" s="22"/>
      <c r="D692" s="29"/>
      <c r="E692" s="22"/>
      <c r="F692" s="29"/>
      <c r="G692" s="22"/>
      <c r="H692" s="22"/>
      <c r="I692" s="30"/>
      <c r="J692" s="22"/>
      <c r="K692" s="22"/>
      <c r="L692" s="3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>
      <c r="A693" s="28"/>
      <c r="B693" s="22"/>
      <c r="C693" s="22"/>
      <c r="D693" s="29"/>
      <c r="E693" s="22"/>
      <c r="F693" s="29"/>
      <c r="G693" s="22"/>
      <c r="H693" s="22"/>
      <c r="I693" s="30"/>
      <c r="J693" s="22"/>
      <c r="K693" s="22"/>
      <c r="L693" s="3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>
      <c r="A694" s="28"/>
      <c r="B694" s="22"/>
      <c r="C694" s="22"/>
      <c r="D694" s="29"/>
      <c r="E694" s="22"/>
      <c r="F694" s="29"/>
      <c r="G694" s="22"/>
      <c r="H694" s="22"/>
      <c r="I694" s="30"/>
      <c r="J694" s="22"/>
      <c r="K694" s="22"/>
      <c r="L694" s="3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>
      <c r="A695" s="28"/>
      <c r="B695" s="22"/>
      <c r="C695" s="22"/>
      <c r="D695" s="29"/>
      <c r="E695" s="22"/>
      <c r="F695" s="29"/>
      <c r="G695" s="22"/>
      <c r="H695" s="22"/>
      <c r="I695" s="30"/>
      <c r="J695" s="22"/>
      <c r="K695" s="22"/>
      <c r="L695" s="3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>
      <c r="A696" s="28"/>
      <c r="B696" s="22"/>
      <c r="C696" s="22"/>
      <c r="D696" s="29"/>
      <c r="E696" s="22"/>
      <c r="F696" s="29"/>
      <c r="G696" s="22"/>
      <c r="H696" s="22"/>
      <c r="I696" s="30"/>
      <c r="J696" s="22"/>
      <c r="K696" s="22"/>
      <c r="L696" s="3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>
      <c r="A697" s="28"/>
      <c r="B697" s="22"/>
      <c r="C697" s="22"/>
      <c r="D697" s="29"/>
      <c r="E697" s="22"/>
      <c r="F697" s="29"/>
      <c r="G697" s="22"/>
      <c r="H697" s="22"/>
      <c r="I697" s="30"/>
      <c r="J697" s="22"/>
      <c r="K697" s="22"/>
      <c r="L697" s="3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>
      <c r="A698" s="28"/>
      <c r="B698" s="22"/>
      <c r="C698" s="22"/>
      <c r="D698" s="29"/>
      <c r="E698" s="22"/>
      <c r="F698" s="29"/>
      <c r="G698" s="22"/>
      <c r="H698" s="22"/>
      <c r="I698" s="30"/>
      <c r="J698" s="22"/>
      <c r="K698" s="22"/>
      <c r="L698" s="3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>
      <c r="A699" s="28"/>
      <c r="B699" s="22"/>
      <c r="C699" s="22"/>
      <c r="D699" s="29"/>
      <c r="E699" s="22"/>
      <c r="F699" s="29"/>
      <c r="G699" s="22"/>
      <c r="H699" s="22"/>
      <c r="I699" s="30"/>
      <c r="J699" s="22"/>
      <c r="K699" s="22"/>
      <c r="L699" s="3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>
      <c r="A700" s="28"/>
      <c r="B700" s="22"/>
      <c r="C700" s="22"/>
      <c r="D700" s="29"/>
      <c r="E700" s="22"/>
      <c r="F700" s="29"/>
      <c r="G700" s="22"/>
      <c r="H700" s="22"/>
      <c r="I700" s="30"/>
      <c r="J700" s="22"/>
      <c r="K700" s="22"/>
      <c r="L700" s="3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>
      <c r="A701" s="28"/>
      <c r="B701" s="22"/>
      <c r="C701" s="22"/>
      <c r="D701" s="29"/>
      <c r="E701" s="22"/>
      <c r="F701" s="29"/>
      <c r="G701" s="22"/>
      <c r="H701" s="22"/>
      <c r="I701" s="30"/>
      <c r="J701" s="22"/>
      <c r="K701" s="22"/>
      <c r="L701" s="3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>
      <c r="A702" s="28"/>
      <c r="B702" s="22"/>
      <c r="C702" s="22"/>
      <c r="D702" s="29"/>
      <c r="E702" s="22"/>
      <c r="F702" s="29"/>
      <c r="G702" s="22"/>
      <c r="H702" s="22"/>
      <c r="I702" s="30"/>
      <c r="J702" s="22"/>
      <c r="K702" s="22"/>
      <c r="L702" s="3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>
      <c r="A703" s="28"/>
      <c r="B703" s="22"/>
      <c r="C703" s="22"/>
      <c r="D703" s="29"/>
      <c r="E703" s="22"/>
      <c r="F703" s="29"/>
      <c r="G703" s="22"/>
      <c r="H703" s="22"/>
      <c r="I703" s="30"/>
      <c r="J703" s="22"/>
      <c r="K703" s="22"/>
      <c r="L703" s="3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>
      <c r="A704" s="28"/>
      <c r="B704" s="22"/>
      <c r="C704" s="22"/>
      <c r="D704" s="29"/>
      <c r="E704" s="22"/>
      <c r="F704" s="29"/>
      <c r="G704" s="22"/>
      <c r="H704" s="22"/>
      <c r="I704" s="30"/>
      <c r="J704" s="22"/>
      <c r="K704" s="22"/>
      <c r="L704" s="3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>
      <c r="A705" s="28"/>
      <c r="B705" s="22"/>
      <c r="C705" s="22"/>
      <c r="D705" s="29"/>
      <c r="E705" s="22"/>
      <c r="F705" s="29"/>
      <c r="G705" s="22"/>
      <c r="H705" s="22"/>
      <c r="I705" s="30"/>
      <c r="J705" s="22"/>
      <c r="K705" s="22"/>
      <c r="L705" s="3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>
      <c r="A706" s="28"/>
      <c r="B706" s="22"/>
      <c r="C706" s="22"/>
      <c r="D706" s="29"/>
      <c r="E706" s="22"/>
      <c r="F706" s="29"/>
      <c r="G706" s="22"/>
      <c r="H706" s="22"/>
      <c r="I706" s="30"/>
      <c r="J706" s="22"/>
      <c r="K706" s="22"/>
      <c r="L706" s="3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</row>
    <row r="707">
      <c r="A707" s="28"/>
      <c r="B707" s="22"/>
      <c r="C707" s="22"/>
      <c r="D707" s="29"/>
      <c r="E707" s="22"/>
      <c r="F707" s="29"/>
      <c r="G707" s="22"/>
      <c r="H707" s="22"/>
      <c r="I707" s="30"/>
      <c r="J707" s="22"/>
      <c r="K707" s="22"/>
      <c r="L707" s="3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>
      <c r="A708" s="28"/>
      <c r="B708" s="22"/>
      <c r="C708" s="22"/>
      <c r="D708" s="29"/>
      <c r="E708" s="22"/>
      <c r="F708" s="29"/>
      <c r="G708" s="22"/>
      <c r="H708" s="22"/>
      <c r="I708" s="30"/>
      <c r="J708" s="22"/>
      <c r="K708" s="22"/>
      <c r="L708" s="3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>
      <c r="A709" s="28"/>
      <c r="B709" s="22"/>
      <c r="C709" s="22"/>
      <c r="D709" s="29"/>
      <c r="E709" s="22"/>
      <c r="F709" s="29"/>
      <c r="G709" s="22"/>
      <c r="H709" s="22"/>
      <c r="I709" s="30"/>
      <c r="J709" s="22"/>
      <c r="K709" s="22"/>
      <c r="L709" s="3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>
      <c r="A710" s="28"/>
      <c r="B710" s="22"/>
      <c r="C710" s="22"/>
      <c r="D710" s="29"/>
      <c r="E710" s="22"/>
      <c r="F710" s="29"/>
      <c r="G710" s="22"/>
      <c r="H710" s="22"/>
      <c r="I710" s="30"/>
      <c r="J710" s="22"/>
      <c r="K710" s="22"/>
      <c r="L710" s="3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</row>
    <row r="711">
      <c r="A711" s="28"/>
      <c r="B711" s="22"/>
      <c r="C711" s="22"/>
      <c r="D711" s="29"/>
      <c r="E711" s="22"/>
      <c r="F711" s="29"/>
      <c r="G711" s="22"/>
      <c r="H711" s="22"/>
      <c r="I711" s="30"/>
      <c r="J711" s="22"/>
      <c r="K711" s="22"/>
      <c r="L711" s="3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>
      <c r="A712" s="28"/>
      <c r="B712" s="22"/>
      <c r="C712" s="22"/>
      <c r="D712" s="29"/>
      <c r="E712" s="22"/>
      <c r="F712" s="29"/>
      <c r="G712" s="22"/>
      <c r="H712" s="22"/>
      <c r="I712" s="30"/>
      <c r="J712" s="22"/>
      <c r="K712" s="22"/>
      <c r="L712" s="3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>
      <c r="A713" s="28"/>
      <c r="B713" s="22"/>
      <c r="C713" s="22"/>
      <c r="D713" s="29"/>
      <c r="E713" s="22"/>
      <c r="F713" s="29"/>
      <c r="G713" s="22"/>
      <c r="H713" s="22"/>
      <c r="I713" s="30"/>
      <c r="J713" s="22"/>
      <c r="K713" s="22"/>
      <c r="L713" s="3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>
      <c r="A714" s="28"/>
      <c r="B714" s="22"/>
      <c r="C714" s="22"/>
      <c r="D714" s="29"/>
      <c r="E714" s="22"/>
      <c r="F714" s="29"/>
      <c r="G714" s="22"/>
      <c r="H714" s="22"/>
      <c r="I714" s="30"/>
      <c r="J714" s="22"/>
      <c r="K714" s="22"/>
      <c r="L714" s="3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>
      <c r="A715" s="28"/>
      <c r="B715" s="22"/>
      <c r="C715" s="22"/>
      <c r="D715" s="29"/>
      <c r="E715" s="22"/>
      <c r="F715" s="29"/>
      <c r="G715" s="22"/>
      <c r="H715" s="22"/>
      <c r="I715" s="30"/>
      <c r="J715" s="22"/>
      <c r="K715" s="22"/>
      <c r="L715" s="3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>
      <c r="A716" s="28"/>
      <c r="B716" s="22"/>
      <c r="C716" s="22"/>
      <c r="D716" s="29"/>
      <c r="E716" s="22"/>
      <c r="F716" s="29"/>
      <c r="G716" s="22"/>
      <c r="H716" s="22"/>
      <c r="I716" s="30"/>
      <c r="J716" s="22"/>
      <c r="K716" s="22"/>
      <c r="L716" s="3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</row>
    <row r="717">
      <c r="A717" s="28"/>
      <c r="B717" s="22"/>
      <c r="C717" s="22"/>
      <c r="D717" s="29"/>
      <c r="E717" s="22"/>
      <c r="F717" s="29"/>
      <c r="G717" s="22"/>
      <c r="H717" s="22"/>
      <c r="I717" s="30"/>
      <c r="J717" s="22"/>
      <c r="K717" s="22"/>
      <c r="L717" s="3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>
      <c r="A718" s="28"/>
      <c r="B718" s="22"/>
      <c r="C718" s="22"/>
      <c r="D718" s="29"/>
      <c r="E718" s="22"/>
      <c r="F718" s="29"/>
      <c r="G718" s="22"/>
      <c r="H718" s="22"/>
      <c r="I718" s="30"/>
      <c r="J718" s="22"/>
      <c r="K718" s="22"/>
      <c r="L718" s="3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>
      <c r="A719" s="28"/>
      <c r="B719" s="22"/>
      <c r="C719" s="22"/>
      <c r="D719" s="29"/>
      <c r="E719" s="22"/>
      <c r="F719" s="29"/>
      <c r="G719" s="22"/>
      <c r="H719" s="22"/>
      <c r="I719" s="30"/>
      <c r="J719" s="22"/>
      <c r="K719" s="22"/>
      <c r="L719" s="3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>
      <c r="A720" s="28"/>
      <c r="B720" s="22"/>
      <c r="C720" s="22"/>
      <c r="D720" s="29"/>
      <c r="E720" s="22"/>
      <c r="F720" s="29"/>
      <c r="G720" s="22"/>
      <c r="H720" s="22"/>
      <c r="I720" s="30"/>
      <c r="J720" s="22"/>
      <c r="K720" s="22"/>
      <c r="L720" s="3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>
      <c r="A721" s="28"/>
      <c r="B721" s="22"/>
      <c r="C721" s="22"/>
      <c r="D721" s="29"/>
      <c r="E721" s="22"/>
      <c r="F721" s="29"/>
      <c r="G721" s="22"/>
      <c r="H721" s="22"/>
      <c r="I721" s="30"/>
      <c r="J721" s="22"/>
      <c r="K721" s="22"/>
      <c r="L721" s="3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>
      <c r="A722" s="28"/>
      <c r="B722" s="22"/>
      <c r="C722" s="22"/>
      <c r="D722" s="29"/>
      <c r="E722" s="22"/>
      <c r="F722" s="29"/>
      <c r="G722" s="22"/>
      <c r="H722" s="22"/>
      <c r="I722" s="30"/>
      <c r="J722" s="22"/>
      <c r="K722" s="22"/>
      <c r="L722" s="3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</row>
    <row r="723">
      <c r="A723" s="28"/>
      <c r="B723" s="22"/>
      <c r="C723" s="22"/>
      <c r="D723" s="29"/>
      <c r="E723" s="22"/>
      <c r="F723" s="29"/>
      <c r="G723" s="22"/>
      <c r="H723" s="22"/>
      <c r="I723" s="30"/>
      <c r="J723" s="22"/>
      <c r="K723" s="22"/>
      <c r="L723" s="3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>
      <c r="A724" s="28"/>
      <c r="B724" s="22"/>
      <c r="C724" s="22"/>
      <c r="D724" s="29"/>
      <c r="E724" s="22"/>
      <c r="F724" s="29"/>
      <c r="G724" s="22"/>
      <c r="H724" s="22"/>
      <c r="I724" s="30"/>
      <c r="J724" s="22"/>
      <c r="K724" s="22"/>
      <c r="L724" s="3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>
      <c r="A725" s="28"/>
      <c r="B725" s="22"/>
      <c r="C725" s="22"/>
      <c r="D725" s="29"/>
      <c r="E725" s="22"/>
      <c r="F725" s="29"/>
      <c r="G725" s="22"/>
      <c r="H725" s="22"/>
      <c r="I725" s="30"/>
      <c r="J725" s="22"/>
      <c r="K725" s="22"/>
      <c r="L725" s="3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>
      <c r="A726" s="28"/>
      <c r="B726" s="22"/>
      <c r="C726" s="22"/>
      <c r="D726" s="29"/>
      <c r="E726" s="22"/>
      <c r="F726" s="29"/>
      <c r="G726" s="22"/>
      <c r="H726" s="22"/>
      <c r="I726" s="30"/>
      <c r="J726" s="22"/>
      <c r="K726" s="22"/>
      <c r="L726" s="3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>
      <c r="A727" s="28"/>
      <c r="B727" s="22"/>
      <c r="C727" s="22"/>
      <c r="D727" s="29"/>
      <c r="E727" s="22"/>
      <c r="F727" s="29"/>
      <c r="G727" s="22"/>
      <c r="H727" s="22"/>
      <c r="I727" s="30"/>
      <c r="J727" s="22"/>
      <c r="K727" s="22"/>
      <c r="L727" s="3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>
      <c r="A728" s="28"/>
      <c r="B728" s="22"/>
      <c r="C728" s="22"/>
      <c r="D728" s="29"/>
      <c r="E728" s="22"/>
      <c r="F728" s="29"/>
      <c r="G728" s="22"/>
      <c r="H728" s="22"/>
      <c r="I728" s="30"/>
      <c r="J728" s="22"/>
      <c r="K728" s="22"/>
      <c r="L728" s="3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</row>
    <row r="729">
      <c r="A729" s="28"/>
      <c r="B729" s="22"/>
      <c r="C729" s="22"/>
      <c r="D729" s="29"/>
      <c r="E729" s="22"/>
      <c r="F729" s="29"/>
      <c r="G729" s="22"/>
      <c r="H729" s="22"/>
      <c r="I729" s="30"/>
      <c r="J729" s="22"/>
      <c r="K729" s="22"/>
      <c r="L729" s="3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>
      <c r="A730" s="28"/>
      <c r="B730" s="22"/>
      <c r="C730" s="22"/>
      <c r="D730" s="29"/>
      <c r="E730" s="22"/>
      <c r="F730" s="29"/>
      <c r="G730" s="22"/>
      <c r="H730" s="22"/>
      <c r="I730" s="30"/>
      <c r="J730" s="22"/>
      <c r="K730" s="22"/>
      <c r="L730" s="3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</row>
    <row r="731">
      <c r="A731" s="28"/>
      <c r="B731" s="22"/>
      <c r="C731" s="22"/>
      <c r="D731" s="29"/>
      <c r="E731" s="22"/>
      <c r="F731" s="29"/>
      <c r="G731" s="22"/>
      <c r="H731" s="22"/>
      <c r="I731" s="30"/>
      <c r="J731" s="22"/>
      <c r="K731" s="22"/>
      <c r="L731" s="3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>
      <c r="A732" s="28"/>
      <c r="B732" s="22"/>
      <c r="C732" s="22"/>
      <c r="D732" s="29"/>
      <c r="E732" s="22"/>
      <c r="F732" s="29"/>
      <c r="G732" s="22"/>
      <c r="H732" s="22"/>
      <c r="I732" s="30"/>
      <c r="J732" s="22"/>
      <c r="K732" s="22"/>
      <c r="L732" s="3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>
      <c r="A733" s="28"/>
      <c r="B733" s="22"/>
      <c r="C733" s="22"/>
      <c r="D733" s="29"/>
      <c r="E733" s="22"/>
      <c r="F733" s="29"/>
      <c r="G733" s="22"/>
      <c r="H733" s="22"/>
      <c r="I733" s="30"/>
      <c r="J733" s="22"/>
      <c r="K733" s="22"/>
      <c r="L733" s="3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>
      <c r="A734" s="28"/>
      <c r="B734" s="22"/>
      <c r="C734" s="22"/>
      <c r="D734" s="29"/>
      <c r="E734" s="22"/>
      <c r="F734" s="29"/>
      <c r="G734" s="22"/>
      <c r="H734" s="22"/>
      <c r="I734" s="30"/>
      <c r="J734" s="22"/>
      <c r="K734" s="22"/>
      <c r="L734" s="3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>
      <c r="A735" s="28"/>
      <c r="B735" s="22"/>
      <c r="C735" s="22"/>
      <c r="D735" s="29"/>
      <c r="E735" s="22"/>
      <c r="F735" s="29"/>
      <c r="G735" s="22"/>
      <c r="H735" s="22"/>
      <c r="I735" s="30"/>
      <c r="J735" s="22"/>
      <c r="K735" s="22"/>
      <c r="L735" s="3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>
      <c r="A736" s="28"/>
      <c r="B736" s="22"/>
      <c r="C736" s="22"/>
      <c r="D736" s="29"/>
      <c r="E736" s="22"/>
      <c r="F736" s="29"/>
      <c r="G736" s="22"/>
      <c r="H736" s="22"/>
      <c r="I736" s="30"/>
      <c r="J736" s="22"/>
      <c r="K736" s="22"/>
      <c r="L736" s="3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>
      <c r="A737" s="28"/>
      <c r="B737" s="22"/>
      <c r="C737" s="22"/>
      <c r="D737" s="29"/>
      <c r="E737" s="22"/>
      <c r="F737" s="29"/>
      <c r="G737" s="22"/>
      <c r="H737" s="22"/>
      <c r="I737" s="30"/>
      <c r="J737" s="22"/>
      <c r="K737" s="22"/>
      <c r="L737" s="3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>
      <c r="A738" s="28"/>
      <c r="B738" s="22"/>
      <c r="C738" s="22"/>
      <c r="D738" s="29"/>
      <c r="E738" s="22"/>
      <c r="F738" s="29"/>
      <c r="G738" s="22"/>
      <c r="H738" s="22"/>
      <c r="I738" s="30"/>
      <c r="J738" s="22"/>
      <c r="K738" s="22"/>
      <c r="L738" s="3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>
      <c r="A739" s="28"/>
      <c r="B739" s="22"/>
      <c r="C739" s="22"/>
      <c r="D739" s="29"/>
      <c r="E739" s="22"/>
      <c r="F739" s="29"/>
      <c r="G739" s="22"/>
      <c r="H739" s="22"/>
      <c r="I739" s="30"/>
      <c r="J739" s="22"/>
      <c r="K739" s="22"/>
      <c r="L739" s="3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>
      <c r="A740" s="28"/>
      <c r="B740" s="22"/>
      <c r="C740" s="22"/>
      <c r="D740" s="29"/>
      <c r="E740" s="22"/>
      <c r="F740" s="29"/>
      <c r="G740" s="22"/>
      <c r="H740" s="22"/>
      <c r="I740" s="30"/>
      <c r="J740" s="22"/>
      <c r="K740" s="22"/>
      <c r="L740" s="3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>
      <c r="A741" s="28"/>
      <c r="B741" s="22"/>
      <c r="C741" s="22"/>
      <c r="D741" s="29"/>
      <c r="E741" s="22"/>
      <c r="F741" s="29"/>
      <c r="G741" s="22"/>
      <c r="H741" s="22"/>
      <c r="I741" s="30"/>
      <c r="J741" s="22"/>
      <c r="K741" s="22"/>
      <c r="L741" s="3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>
      <c r="A742" s="28"/>
      <c r="B742" s="22"/>
      <c r="C742" s="22"/>
      <c r="D742" s="29"/>
      <c r="E742" s="22"/>
      <c r="F742" s="29"/>
      <c r="G742" s="22"/>
      <c r="H742" s="22"/>
      <c r="I742" s="30"/>
      <c r="J742" s="22"/>
      <c r="K742" s="22"/>
      <c r="L742" s="3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>
      <c r="A743" s="28"/>
      <c r="B743" s="22"/>
      <c r="C743" s="22"/>
      <c r="D743" s="29"/>
      <c r="E743" s="22"/>
      <c r="F743" s="29"/>
      <c r="G743" s="22"/>
      <c r="H743" s="22"/>
      <c r="I743" s="30"/>
      <c r="J743" s="22"/>
      <c r="K743" s="22"/>
      <c r="L743" s="3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>
      <c r="A744" s="28"/>
      <c r="B744" s="22"/>
      <c r="C744" s="22"/>
      <c r="D744" s="29"/>
      <c r="E744" s="22"/>
      <c r="F744" s="29"/>
      <c r="G744" s="22"/>
      <c r="H744" s="22"/>
      <c r="I744" s="30"/>
      <c r="J744" s="22"/>
      <c r="K744" s="22"/>
      <c r="L744" s="3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>
      <c r="A745" s="28"/>
      <c r="B745" s="22"/>
      <c r="C745" s="22"/>
      <c r="D745" s="29"/>
      <c r="E745" s="22"/>
      <c r="F745" s="29"/>
      <c r="G745" s="22"/>
      <c r="H745" s="22"/>
      <c r="I745" s="30"/>
      <c r="J745" s="22"/>
      <c r="K745" s="22"/>
      <c r="L745" s="3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>
      <c r="A746" s="28"/>
      <c r="B746" s="22"/>
      <c r="C746" s="22"/>
      <c r="D746" s="29"/>
      <c r="E746" s="22"/>
      <c r="F746" s="29"/>
      <c r="G746" s="22"/>
      <c r="H746" s="22"/>
      <c r="I746" s="30"/>
      <c r="J746" s="22"/>
      <c r="K746" s="22"/>
      <c r="L746" s="3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</row>
    <row r="747">
      <c r="A747" s="28"/>
      <c r="B747" s="22"/>
      <c r="C747" s="22"/>
      <c r="D747" s="29"/>
      <c r="E747" s="22"/>
      <c r="F747" s="29"/>
      <c r="G747" s="22"/>
      <c r="H747" s="22"/>
      <c r="I747" s="30"/>
      <c r="J747" s="22"/>
      <c r="K747" s="22"/>
      <c r="L747" s="3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>
      <c r="A748" s="28"/>
      <c r="B748" s="22"/>
      <c r="C748" s="22"/>
      <c r="D748" s="29"/>
      <c r="E748" s="22"/>
      <c r="F748" s="29"/>
      <c r="G748" s="22"/>
      <c r="H748" s="22"/>
      <c r="I748" s="30"/>
      <c r="J748" s="22"/>
      <c r="K748" s="22"/>
      <c r="L748" s="3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</row>
    <row r="749">
      <c r="A749" s="28"/>
      <c r="B749" s="22"/>
      <c r="C749" s="22"/>
      <c r="D749" s="29"/>
      <c r="E749" s="22"/>
      <c r="F749" s="29"/>
      <c r="G749" s="22"/>
      <c r="H749" s="22"/>
      <c r="I749" s="30"/>
      <c r="J749" s="22"/>
      <c r="K749" s="22"/>
      <c r="L749" s="3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>
      <c r="A750" s="28"/>
      <c r="B750" s="22"/>
      <c r="C750" s="22"/>
      <c r="D750" s="29"/>
      <c r="E750" s="22"/>
      <c r="F750" s="29"/>
      <c r="G750" s="22"/>
      <c r="H750" s="22"/>
      <c r="I750" s="30"/>
      <c r="J750" s="22"/>
      <c r="K750" s="22"/>
      <c r="L750" s="3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>
      <c r="A751" s="28"/>
      <c r="B751" s="22"/>
      <c r="C751" s="22"/>
      <c r="D751" s="29"/>
      <c r="E751" s="22"/>
      <c r="F751" s="29"/>
      <c r="G751" s="22"/>
      <c r="H751" s="22"/>
      <c r="I751" s="30"/>
      <c r="J751" s="22"/>
      <c r="K751" s="22"/>
      <c r="L751" s="3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>
      <c r="A752" s="28"/>
      <c r="B752" s="22"/>
      <c r="C752" s="22"/>
      <c r="D752" s="29"/>
      <c r="E752" s="22"/>
      <c r="F752" s="29"/>
      <c r="G752" s="22"/>
      <c r="H752" s="22"/>
      <c r="I752" s="30"/>
      <c r="J752" s="22"/>
      <c r="K752" s="22"/>
      <c r="L752" s="3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>
      <c r="A753" s="28"/>
      <c r="B753" s="22"/>
      <c r="C753" s="22"/>
      <c r="D753" s="29"/>
      <c r="E753" s="22"/>
      <c r="F753" s="29"/>
      <c r="G753" s="22"/>
      <c r="H753" s="22"/>
      <c r="I753" s="30"/>
      <c r="J753" s="22"/>
      <c r="K753" s="22"/>
      <c r="L753" s="3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>
      <c r="A754" s="28"/>
      <c r="B754" s="22"/>
      <c r="C754" s="22"/>
      <c r="D754" s="29"/>
      <c r="E754" s="22"/>
      <c r="F754" s="29"/>
      <c r="G754" s="22"/>
      <c r="H754" s="22"/>
      <c r="I754" s="30"/>
      <c r="J754" s="22"/>
      <c r="K754" s="22"/>
      <c r="L754" s="3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>
      <c r="A755" s="28"/>
      <c r="B755" s="22"/>
      <c r="C755" s="22"/>
      <c r="D755" s="29"/>
      <c r="E755" s="22"/>
      <c r="F755" s="29"/>
      <c r="G755" s="22"/>
      <c r="H755" s="22"/>
      <c r="I755" s="30"/>
      <c r="J755" s="22"/>
      <c r="K755" s="22"/>
      <c r="L755" s="3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>
      <c r="A756" s="28"/>
      <c r="B756" s="22"/>
      <c r="C756" s="22"/>
      <c r="D756" s="29"/>
      <c r="E756" s="22"/>
      <c r="F756" s="29"/>
      <c r="G756" s="22"/>
      <c r="H756" s="22"/>
      <c r="I756" s="30"/>
      <c r="J756" s="22"/>
      <c r="K756" s="22"/>
      <c r="L756" s="3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>
      <c r="A757" s="28"/>
      <c r="B757" s="22"/>
      <c r="C757" s="22"/>
      <c r="D757" s="29"/>
      <c r="E757" s="22"/>
      <c r="F757" s="29"/>
      <c r="G757" s="22"/>
      <c r="H757" s="22"/>
      <c r="I757" s="30"/>
      <c r="J757" s="22"/>
      <c r="K757" s="22"/>
      <c r="L757" s="3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>
      <c r="A758" s="28"/>
      <c r="B758" s="22"/>
      <c r="C758" s="22"/>
      <c r="D758" s="29"/>
      <c r="E758" s="22"/>
      <c r="F758" s="29"/>
      <c r="G758" s="22"/>
      <c r="H758" s="22"/>
      <c r="I758" s="30"/>
      <c r="J758" s="22"/>
      <c r="K758" s="22"/>
      <c r="L758" s="3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</row>
    <row r="759">
      <c r="A759" s="28"/>
      <c r="B759" s="22"/>
      <c r="C759" s="22"/>
      <c r="D759" s="29"/>
      <c r="E759" s="22"/>
      <c r="F759" s="29"/>
      <c r="G759" s="22"/>
      <c r="H759" s="22"/>
      <c r="I759" s="30"/>
      <c r="J759" s="22"/>
      <c r="K759" s="22"/>
      <c r="L759" s="3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>
      <c r="A760" s="28"/>
      <c r="B760" s="22"/>
      <c r="C760" s="22"/>
      <c r="D760" s="29"/>
      <c r="E760" s="22"/>
      <c r="F760" s="29"/>
      <c r="G760" s="22"/>
      <c r="H760" s="22"/>
      <c r="I760" s="30"/>
      <c r="J760" s="22"/>
      <c r="K760" s="22"/>
      <c r="L760" s="3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</row>
    <row r="761">
      <c r="A761" s="28"/>
      <c r="B761" s="22"/>
      <c r="C761" s="22"/>
      <c r="D761" s="29"/>
      <c r="E761" s="22"/>
      <c r="F761" s="29"/>
      <c r="G761" s="22"/>
      <c r="H761" s="22"/>
      <c r="I761" s="30"/>
      <c r="J761" s="22"/>
      <c r="K761" s="22"/>
      <c r="L761" s="3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>
      <c r="A762" s="28"/>
      <c r="B762" s="22"/>
      <c r="C762" s="22"/>
      <c r="D762" s="29"/>
      <c r="E762" s="22"/>
      <c r="F762" s="29"/>
      <c r="G762" s="22"/>
      <c r="H762" s="22"/>
      <c r="I762" s="30"/>
      <c r="J762" s="22"/>
      <c r="K762" s="22"/>
      <c r="L762" s="3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>
      <c r="A763" s="28"/>
      <c r="B763" s="22"/>
      <c r="C763" s="22"/>
      <c r="D763" s="29"/>
      <c r="E763" s="22"/>
      <c r="F763" s="29"/>
      <c r="G763" s="22"/>
      <c r="H763" s="22"/>
      <c r="I763" s="30"/>
      <c r="J763" s="22"/>
      <c r="K763" s="22"/>
      <c r="L763" s="3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>
      <c r="A764" s="28"/>
      <c r="B764" s="22"/>
      <c r="C764" s="22"/>
      <c r="D764" s="29"/>
      <c r="E764" s="22"/>
      <c r="F764" s="29"/>
      <c r="G764" s="22"/>
      <c r="H764" s="22"/>
      <c r="I764" s="30"/>
      <c r="J764" s="22"/>
      <c r="K764" s="22"/>
      <c r="L764" s="3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>
      <c r="A765" s="28"/>
      <c r="B765" s="22"/>
      <c r="C765" s="22"/>
      <c r="D765" s="29"/>
      <c r="E765" s="22"/>
      <c r="F765" s="29"/>
      <c r="G765" s="22"/>
      <c r="H765" s="22"/>
      <c r="I765" s="30"/>
      <c r="J765" s="22"/>
      <c r="K765" s="22"/>
      <c r="L765" s="3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>
      <c r="A766" s="28"/>
      <c r="B766" s="22"/>
      <c r="C766" s="22"/>
      <c r="D766" s="29"/>
      <c r="E766" s="22"/>
      <c r="F766" s="29"/>
      <c r="G766" s="22"/>
      <c r="H766" s="22"/>
      <c r="I766" s="30"/>
      <c r="J766" s="22"/>
      <c r="K766" s="22"/>
      <c r="L766" s="3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</row>
    <row r="767">
      <c r="A767" s="28"/>
      <c r="B767" s="22"/>
      <c r="C767" s="22"/>
      <c r="D767" s="29"/>
      <c r="E767" s="22"/>
      <c r="F767" s="29"/>
      <c r="G767" s="22"/>
      <c r="H767" s="22"/>
      <c r="I767" s="30"/>
      <c r="J767" s="22"/>
      <c r="K767" s="22"/>
      <c r="L767" s="3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>
      <c r="A768" s="28"/>
      <c r="B768" s="22"/>
      <c r="C768" s="22"/>
      <c r="D768" s="29"/>
      <c r="E768" s="22"/>
      <c r="F768" s="29"/>
      <c r="G768" s="22"/>
      <c r="H768" s="22"/>
      <c r="I768" s="30"/>
      <c r="J768" s="22"/>
      <c r="K768" s="22"/>
      <c r="L768" s="3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>
      <c r="A769" s="28"/>
      <c r="B769" s="22"/>
      <c r="C769" s="22"/>
      <c r="D769" s="29"/>
      <c r="E769" s="22"/>
      <c r="F769" s="29"/>
      <c r="G769" s="22"/>
      <c r="H769" s="22"/>
      <c r="I769" s="30"/>
      <c r="J769" s="22"/>
      <c r="K769" s="22"/>
      <c r="L769" s="3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>
      <c r="A770" s="28"/>
      <c r="B770" s="22"/>
      <c r="C770" s="22"/>
      <c r="D770" s="29"/>
      <c r="E770" s="22"/>
      <c r="F770" s="29"/>
      <c r="G770" s="22"/>
      <c r="H770" s="22"/>
      <c r="I770" s="30"/>
      <c r="J770" s="22"/>
      <c r="K770" s="22"/>
      <c r="L770" s="3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>
      <c r="A771" s="28"/>
      <c r="B771" s="22"/>
      <c r="C771" s="22"/>
      <c r="D771" s="29"/>
      <c r="E771" s="22"/>
      <c r="F771" s="29"/>
      <c r="G771" s="22"/>
      <c r="H771" s="22"/>
      <c r="I771" s="30"/>
      <c r="J771" s="22"/>
      <c r="K771" s="22"/>
      <c r="L771" s="3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>
      <c r="A772" s="28"/>
      <c r="B772" s="22"/>
      <c r="C772" s="22"/>
      <c r="D772" s="29"/>
      <c r="E772" s="22"/>
      <c r="F772" s="29"/>
      <c r="G772" s="22"/>
      <c r="H772" s="22"/>
      <c r="I772" s="30"/>
      <c r="J772" s="22"/>
      <c r="K772" s="22"/>
      <c r="L772" s="3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</row>
    <row r="773">
      <c r="A773" s="28"/>
      <c r="B773" s="22"/>
      <c r="C773" s="22"/>
      <c r="D773" s="29"/>
      <c r="E773" s="22"/>
      <c r="F773" s="29"/>
      <c r="G773" s="22"/>
      <c r="H773" s="22"/>
      <c r="I773" s="30"/>
      <c r="J773" s="22"/>
      <c r="K773" s="22"/>
      <c r="L773" s="3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>
      <c r="A774" s="28"/>
      <c r="B774" s="22"/>
      <c r="C774" s="22"/>
      <c r="D774" s="29"/>
      <c r="E774" s="22"/>
      <c r="F774" s="29"/>
      <c r="G774" s="22"/>
      <c r="H774" s="22"/>
      <c r="I774" s="30"/>
      <c r="J774" s="22"/>
      <c r="K774" s="22"/>
      <c r="L774" s="3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>
      <c r="A775" s="28"/>
      <c r="B775" s="22"/>
      <c r="C775" s="22"/>
      <c r="D775" s="29"/>
      <c r="E775" s="22"/>
      <c r="F775" s="29"/>
      <c r="G775" s="22"/>
      <c r="H775" s="22"/>
      <c r="I775" s="30"/>
      <c r="J775" s="22"/>
      <c r="K775" s="22"/>
      <c r="L775" s="3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>
      <c r="A776" s="28"/>
      <c r="B776" s="22"/>
      <c r="C776" s="22"/>
      <c r="D776" s="29"/>
      <c r="E776" s="22"/>
      <c r="F776" s="29"/>
      <c r="G776" s="22"/>
      <c r="H776" s="22"/>
      <c r="I776" s="30"/>
      <c r="J776" s="22"/>
      <c r="K776" s="22"/>
      <c r="L776" s="3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>
      <c r="A777" s="28"/>
      <c r="B777" s="22"/>
      <c r="C777" s="22"/>
      <c r="D777" s="29"/>
      <c r="E777" s="22"/>
      <c r="F777" s="29"/>
      <c r="G777" s="22"/>
      <c r="H777" s="22"/>
      <c r="I777" s="30"/>
      <c r="J777" s="22"/>
      <c r="K777" s="22"/>
      <c r="L777" s="3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>
      <c r="A778" s="28"/>
      <c r="B778" s="22"/>
      <c r="C778" s="22"/>
      <c r="D778" s="29"/>
      <c r="E778" s="22"/>
      <c r="F778" s="29"/>
      <c r="G778" s="22"/>
      <c r="H778" s="22"/>
      <c r="I778" s="30"/>
      <c r="J778" s="22"/>
      <c r="K778" s="22"/>
      <c r="L778" s="3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>
      <c r="A779" s="28"/>
      <c r="B779" s="22"/>
      <c r="C779" s="22"/>
      <c r="D779" s="29"/>
      <c r="E779" s="22"/>
      <c r="F779" s="29"/>
      <c r="G779" s="22"/>
      <c r="H779" s="22"/>
      <c r="I779" s="30"/>
      <c r="J779" s="22"/>
      <c r="K779" s="22"/>
      <c r="L779" s="3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>
      <c r="A780" s="28"/>
      <c r="B780" s="22"/>
      <c r="C780" s="22"/>
      <c r="D780" s="29"/>
      <c r="E780" s="22"/>
      <c r="F780" s="29"/>
      <c r="G780" s="22"/>
      <c r="H780" s="22"/>
      <c r="I780" s="30"/>
      <c r="J780" s="22"/>
      <c r="K780" s="22"/>
      <c r="L780" s="3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>
      <c r="A781" s="28"/>
      <c r="B781" s="22"/>
      <c r="C781" s="22"/>
      <c r="D781" s="29"/>
      <c r="E781" s="22"/>
      <c r="F781" s="29"/>
      <c r="G781" s="22"/>
      <c r="H781" s="22"/>
      <c r="I781" s="30"/>
      <c r="J781" s="22"/>
      <c r="K781" s="22"/>
      <c r="L781" s="3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>
      <c r="A782" s="28"/>
      <c r="B782" s="22"/>
      <c r="C782" s="22"/>
      <c r="D782" s="29"/>
      <c r="E782" s="22"/>
      <c r="F782" s="29"/>
      <c r="G782" s="22"/>
      <c r="H782" s="22"/>
      <c r="I782" s="30"/>
      <c r="J782" s="22"/>
      <c r="K782" s="22"/>
      <c r="L782" s="3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</row>
    <row r="783">
      <c r="A783" s="28"/>
      <c r="B783" s="22"/>
      <c r="C783" s="22"/>
      <c r="D783" s="29"/>
      <c r="E783" s="22"/>
      <c r="F783" s="29"/>
      <c r="G783" s="22"/>
      <c r="H783" s="22"/>
      <c r="I783" s="30"/>
      <c r="J783" s="22"/>
      <c r="K783" s="22"/>
      <c r="L783" s="3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>
      <c r="A784" s="28"/>
      <c r="B784" s="22"/>
      <c r="C784" s="22"/>
      <c r="D784" s="29"/>
      <c r="E784" s="22"/>
      <c r="F784" s="29"/>
      <c r="G784" s="22"/>
      <c r="H784" s="22"/>
      <c r="I784" s="30"/>
      <c r="J784" s="22"/>
      <c r="K784" s="22"/>
      <c r="L784" s="3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>
      <c r="A785" s="28"/>
      <c r="B785" s="22"/>
      <c r="C785" s="22"/>
      <c r="D785" s="29"/>
      <c r="E785" s="22"/>
      <c r="F785" s="29"/>
      <c r="G785" s="22"/>
      <c r="H785" s="22"/>
      <c r="I785" s="30"/>
      <c r="J785" s="22"/>
      <c r="K785" s="22"/>
      <c r="L785" s="3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>
      <c r="A786" s="28"/>
      <c r="B786" s="22"/>
      <c r="C786" s="22"/>
      <c r="D786" s="29"/>
      <c r="E786" s="22"/>
      <c r="F786" s="29"/>
      <c r="G786" s="22"/>
      <c r="H786" s="22"/>
      <c r="I786" s="30"/>
      <c r="J786" s="22"/>
      <c r="K786" s="22"/>
      <c r="L786" s="3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>
      <c r="A787" s="28"/>
      <c r="B787" s="22"/>
      <c r="C787" s="22"/>
      <c r="D787" s="29"/>
      <c r="E787" s="22"/>
      <c r="F787" s="29"/>
      <c r="G787" s="22"/>
      <c r="H787" s="22"/>
      <c r="I787" s="30"/>
      <c r="J787" s="22"/>
      <c r="K787" s="22"/>
      <c r="L787" s="3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>
      <c r="A788" s="28"/>
      <c r="B788" s="22"/>
      <c r="C788" s="22"/>
      <c r="D788" s="29"/>
      <c r="E788" s="22"/>
      <c r="F788" s="29"/>
      <c r="G788" s="22"/>
      <c r="H788" s="22"/>
      <c r="I788" s="30"/>
      <c r="J788" s="22"/>
      <c r="K788" s="22"/>
      <c r="L788" s="3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>
      <c r="A789" s="28"/>
      <c r="B789" s="22"/>
      <c r="C789" s="22"/>
      <c r="D789" s="29"/>
      <c r="E789" s="22"/>
      <c r="F789" s="29"/>
      <c r="G789" s="22"/>
      <c r="H789" s="22"/>
      <c r="I789" s="30"/>
      <c r="J789" s="22"/>
      <c r="K789" s="22"/>
      <c r="L789" s="3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>
      <c r="A790" s="28"/>
      <c r="B790" s="22"/>
      <c r="C790" s="22"/>
      <c r="D790" s="29"/>
      <c r="E790" s="22"/>
      <c r="F790" s="29"/>
      <c r="G790" s="22"/>
      <c r="H790" s="22"/>
      <c r="I790" s="30"/>
      <c r="J790" s="22"/>
      <c r="K790" s="22"/>
      <c r="L790" s="3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>
      <c r="A791" s="28"/>
      <c r="B791" s="22"/>
      <c r="C791" s="22"/>
      <c r="D791" s="29"/>
      <c r="E791" s="22"/>
      <c r="F791" s="29"/>
      <c r="G791" s="22"/>
      <c r="H791" s="22"/>
      <c r="I791" s="30"/>
      <c r="J791" s="22"/>
      <c r="K791" s="22"/>
      <c r="L791" s="3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>
      <c r="A792" s="28"/>
      <c r="B792" s="22"/>
      <c r="C792" s="22"/>
      <c r="D792" s="29"/>
      <c r="E792" s="22"/>
      <c r="F792" s="29"/>
      <c r="G792" s="22"/>
      <c r="H792" s="22"/>
      <c r="I792" s="30"/>
      <c r="J792" s="22"/>
      <c r="K792" s="22"/>
      <c r="L792" s="3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>
      <c r="A793" s="28"/>
      <c r="B793" s="22"/>
      <c r="C793" s="22"/>
      <c r="D793" s="29"/>
      <c r="E793" s="22"/>
      <c r="F793" s="29"/>
      <c r="G793" s="22"/>
      <c r="H793" s="22"/>
      <c r="I793" s="30"/>
      <c r="J793" s="22"/>
      <c r="K793" s="22"/>
      <c r="L793" s="3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>
      <c r="A794" s="28"/>
      <c r="B794" s="22"/>
      <c r="C794" s="22"/>
      <c r="D794" s="29"/>
      <c r="E794" s="22"/>
      <c r="F794" s="29"/>
      <c r="G794" s="22"/>
      <c r="H794" s="22"/>
      <c r="I794" s="30"/>
      <c r="J794" s="22"/>
      <c r="K794" s="22"/>
      <c r="L794" s="3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>
      <c r="A795" s="28"/>
      <c r="B795" s="22"/>
      <c r="C795" s="22"/>
      <c r="D795" s="29"/>
      <c r="E795" s="22"/>
      <c r="F795" s="29"/>
      <c r="G795" s="22"/>
      <c r="H795" s="22"/>
      <c r="I795" s="30"/>
      <c r="J795" s="22"/>
      <c r="K795" s="22"/>
      <c r="L795" s="3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>
      <c r="A796" s="28"/>
      <c r="B796" s="22"/>
      <c r="C796" s="22"/>
      <c r="D796" s="29"/>
      <c r="E796" s="22"/>
      <c r="F796" s="29"/>
      <c r="G796" s="22"/>
      <c r="H796" s="22"/>
      <c r="I796" s="30"/>
      <c r="J796" s="22"/>
      <c r="K796" s="22"/>
      <c r="L796" s="3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>
      <c r="A797" s="28"/>
      <c r="B797" s="22"/>
      <c r="C797" s="22"/>
      <c r="D797" s="29"/>
      <c r="E797" s="22"/>
      <c r="F797" s="29"/>
      <c r="G797" s="22"/>
      <c r="H797" s="22"/>
      <c r="I797" s="30"/>
      <c r="J797" s="22"/>
      <c r="K797" s="22"/>
      <c r="L797" s="3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>
      <c r="A798" s="28"/>
      <c r="B798" s="22"/>
      <c r="C798" s="22"/>
      <c r="D798" s="29"/>
      <c r="E798" s="22"/>
      <c r="F798" s="29"/>
      <c r="G798" s="22"/>
      <c r="H798" s="22"/>
      <c r="I798" s="30"/>
      <c r="J798" s="22"/>
      <c r="K798" s="22"/>
      <c r="L798" s="3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>
      <c r="A799" s="28"/>
      <c r="B799" s="22"/>
      <c r="C799" s="22"/>
      <c r="D799" s="29"/>
      <c r="E799" s="22"/>
      <c r="F799" s="29"/>
      <c r="G799" s="22"/>
      <c r="H799" s="22"/>
      <c r="I799" s="30"/>
      <c r="J799" s="22"/>
      <c r="K799" s="22"/>
      <c r="L799" s="3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>
      <c r="A800" s="28"/>
      <c r="B800" s="22"/>
      <c r="C800" s="22"/>
      <c r="D800" s="29"/>
      <c r="E800" s="22"/>
      <c r="F800" s="29"/>
      <c r="G800" s="22"/>
      <c r="H800" s="22"/>
      <c r="I800" s="30"/>
      <c r="J800" s="22"/>
      <c r="K800" s="22"/>
      <c r="L800" s="3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>
      <c r="A801" s="28"/>
      <c r="B801" s="22"/>
      <c r="C801" s="22"/>
      <c r="D801" s="29"/>
      <c r="E801" s="22"/>
      <c r="F801" s="29"/>
      <c r="G801" s="22"/>
      <c r="H801" s="22"/>
      <c r="I801" s="30"/>
      <c r="J801" s="22"/>
      <c r="K801" s="22"/>
      <c r="L801" s="3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>
      <c r="A802" s="28"/>
      <c r="B802" s="22"/>
      <c r="C802" s="22"/>
      <c r="D802" s="29"/>
      <c r="E802" s="22"/>
      <c r="F802" s="29"/>
      <c r="G802" s="22"/>
      <c r="H802" s="22"/>
      <c r="I802" s="30"/>
      <c r="J802" s="22"/>
      <c r="K802" s="22"/>
      <c r="L802" s="3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>
      <c r="A803" s="28"/>
      <c r="B803" s="22"/>
      <c r="C803" s="22"/>
      <c r="D803" s="29"/>
      <c r="E803" s="22"/>
      <c r="F803" s="29"/>
      <c r="G803" s="22"/>
      <c r="H803" s="22"/>
      <c r="I803" s="30"/>
      <c r="J803" s="22"/>
      <c r="K803" s="22"/>
      <c r="L803" s="3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>
      <c r="A804" s="28"/>
      <c r="B804" s="22"/>
      <c r="C804" s="22"/>
      <c r="D804" s="29"/>
      <c r="E804" s="22"/>
      <c r="F804" s="29"/>
      <c r="G804" s="22"/>
      <c r="H804" s="22"/>
      <c r="I804" s="30"/>
      <c r="J804" s="22"/>
      <c r="K804" s="22"/>
      <c r="L804" s="3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>
      <c r="A805" s="28"/>
      <c r="B805" s="22"/>
      <c r="C805" s="22"/>
      <c r="D805" s="29"/>
      <c r="E805" s="22"/>
      <c r="F805" s="29"/>
      <c r="G805" s="22"/>
      <c r="H805" s="22"/>
      <c r="I805" s="30"/>
      <c r="J805" s="22"/>
      <c r="K805" s="22"/>
      <c r="L805" s="3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>
      <c r="A806" s="28"/>
      <c r="B806" s="22"/>
      <c r="C806" s="22"/>
      <c r="D806" s="29"/>
      <c r="E806" s="22"/>
      <c r="F806" s="29"/>
      <c r="G806" s="22"/>
      <c r="H806" s="22"/>
      <c r="I806" s="30"/>
      <c r="J806" s="22"/>
      <c r="K806" s="22"/>
      <c r="L806" s="3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>
      <c r="A807" s="28"/>
      <c r="B807" s="22"/>
      <c r="C807" s="22"/>
      <c r="D807" s="29"/>
      <c r="E807" s="22"/>
      <c r="F807" s="29"/>
      <c r="G807" s="22"/>
      <c r="H807" s="22"/>
      <c r="I807" s="30"/>
      <c r="J807" s="22"/>
      <c r="K807" s="22"/>
      <c r="L807" s="3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>
      <c r="A808" s="28"/>
      <c r="B808" s="22"/>
      <c r="C808" s="22"/>
      <c r="D808" s="29"/>
      <c r="E808" s="22"/>
      <c r="F808" s="29"/>
      <c r="G808" s="22"/>
      <c r="H808" s="22"/>
      <c r="I808" s="30"/>
      <c r="J808" s="22"/>
      <c r="K808" s="22"/>
      <c r="L808" s="3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>
      <c r="A809" s="28"/>
      <c r="B809" s="22"/>
      <c r="C809" s="22"/>
      <c r="D809" s="29"/>
      <c r="E809" s="22"/>
      <c r="F809" s="29"/>
      <c r="G809" s="22"/>
      <c r="H809" s="22"/>
      <c r="I809" s="30"/>
      <c r="J809" s="22"/>
      <c r="K809" s="22"/>
      <c r="L809" s="3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>
      <c r="A810" s="28"/>
      <c r="B810" s="22"/>
      <c r="C810" s="22"/>
      <c r="D810" s="29"/>
      <c r="E810" s="22"/>
      <c r="F810" s="29"/>
      <c r="G810" s="22"/>
      <c r="H810" s="22"/>
      <c r="I810" s="30"/>
      <c r="J810" s="22"/>
      <c r="K810" s="22"/>
      <c r="L810" s="3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>
      <c r="A811" s="28"/>
      <c r="B811" s="22"/>
      <c r="C811" s="22"/>
      <c r="D811" s="29"/>
      <c r="E811" s="22"/>
      <c r="F811" s="29"/>
      <c r="G811" s="22"/>
      <c r="H811" s="22"/>
      <c r="I811" s="30"/>
      <c r="J811" s="22"/>
      <c r="K811" s="22"/>
      <c r="L811" s="3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>
      <c r="A812" s="28"/>
      <c r="B812" s="22"/>
      <c r="C812" s="22"/>
      <c r="D812" s="29"/>
      <c r="E812" s="22"/>
      <c r="F812" s="29"/>
      <c r="G812" s="22"/>
      <c r="H812" s="22"/>
      <c r="I812" s="30"/>
      <c r="J812" s="22"/>
      <c r="K812" s="22"/>
      <c r="L812" s="3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</row>
    <row r="813">
      <c r="A813" s="28"/>
      <c r="B813" s="22"/>
      <c r="C813" s="22"/>
      <c r="D813" s="29"/>
      <c r="E813" s="22"/>
      <c r="F813" s="29"/>
      <c r="G813" s="22"/>
      <c r="H813" s="22"/>
      <c r="I813" s="30"/>
      <c r="J813" s="22"/>
      <c r="K813" s="22"/>
      <c r="L813" s="3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>
      <c r="A814" s="28"/>
      <c r="B814" s="22"/>
      <c r="C814" s="22"/>
      <c r="D814" s="29"/>
      <c r="E814" s="22"/>
      <c r="F814" s="29"/>
      <c r="G814" s="22"/>
      <c r="H814" s="22"/>
      <c r="I814" s="30"/>
      <c r="J814" s="22"/>
      <c r="K814" s="22"/>
      <c r="L814" s="3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>
      <c r="A815" s="28"/>
      <c r="B815" s="22"/>
      <c r="C815" s="22"/>
      <c r="D815" s="29"/>
      <c r="E815" s="22"/>
      <c r="F815" s="29"/>
      <c r="G815" s="22"/>
      <c r="H815" s="22"/>
      <c r="I815" s="30"/>
      <c r="J815" s="22"/>
      <c r="K815" s="22"/>
      <c r="L815" s="3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>
      <c r="A816" s="28"/>
      <c r="B816" s="22"/>
      <c r="C816" s="22"/>
      <c r="D816" s="29"/>
      <c r="E816" s="22"/>
      <c r="F816" s="29"/>
      <c r="G816" s="22"/>
      <c r="H816" s="22"/>
      <c r="I816" s="30"/>
      <c r="J816" s="22"/>
      <c r="K816" s="22"/>
      <c r="L816" s="3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>
      <c r="A817" s="28"/>
      <c r="B817" s="22"/>
      <c r="C817" s="22"/>
      <c r="D817" s="29"/>
      <c r="E817" s="22"/>
      <c r="F817" s="29"/>
      <c r="G817" s="22"/>
      <c r="H817" s="22"/>
      <c r="I817" s="30"/>
      <c r="J817" s="22"/>
      <c r="K817" s="22"/>
      <c r="L817" s="3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>
      <c r="A818" s="28"/>
      <c r="B818" s="22"/>
      <c r="C818" s="22"/>
      <c r="D818" s="29"/>
      <c r="E818" s="22"/>
      <c r="F818" s="29"/>
      <c r="G818" s="22"/>
      <c r="H818" s="22"/>
      <c r="I818" s="30"/>
      <c r="J818" s="22"/>
      <c r="K818" s="22"/>
      <c r="L818" s="3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</row>
    <row r="819">
      <c r="A819" s="28"/>
      <c r="B819" s="22"/>
      <c r="C819" s="22"/>
      <c r="D819" s="29"/>
      <c r="E819" s="22"/>
      <c r="F819" s="29"/>
      <c r="G819" s="22"/>
      <c r="H819" s="22"/>
      <c r="I819" s="30"/>
      <c r="J819" s="22"/>
      <c r="K819" s="22"/>
      <c r="L819" s="3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>
      <c r="A820" s="28"/>
      <c r="B820" s="22"/>
      <c r="C820" s="22"/>
      <c r="D820" s="29"/>
      <c r="E820" s="22"/>
      <c r="F820" s="29"/>
      <c r="G820" s="22"/>
      <c r="H820" s="22"/>
      <c r="I820" s="30"/>
      <c r="J820" s="22"/>
      <c r="K820" s="22"/>
      <c r="L820" s="3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>
      <c r="A821" s="28"/>
      <c r="B821" s="22"/>
      <c r="C821" s="22"/>
      <c r="D821" s="29"/>
      <c r="E821" s="22"/>
      <c r="F821" s="29"/>
      <c r="G821" s="22"/>
      <c r="H821" s="22"/>
      <c r="I821" s="30"/>
      <c r="J821" s="22"/>
      <c r="K821" s="22"/>
      <c r="L821" s="3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>
      <c r="A822" s="28"/>
      <c r="B822" s="22"/>
      <c r="C822" s="22"/>
      <c r="D822" s="29"/>
      <c r="E822" s="22"/>
      <c r="F822" s="29"/>
      <c r="G822" s="22"/>
      <c r="H822" s="22"/>
      <c r="I822" s="30"/>
      <c r="J822" s="22"/>
      <c r="K822" s="22"/>
      <c r="L822" s="3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>
      <c r="A823" s="28"/>
      <c r="B823" s="22"/>
      <c r="C823" s="22"/>
      <c r="D823" s="29"/>
      <c r="E823" s="22"/>
      <c r="F823" s="29"/>
      <c r="G823" s="22"/>
      <c r="H823" s="22"/>
      <c r="I823" s="30"/>
      <c r="J823" s="22"/>
      <c r="K823" s="22"/>
      <c r="L823" s="3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>
      <c r="A824" s="28"/>
      <c r="B824" s="22"/>
      <c r="C824" s="22"/>
      <c r="D824" s="29"/>
      <c r="E824" s="22"/>
      <c r="F824" s="29"/>
      <c r="G824" s="22"/>
      <c r="H824" s="22"/>
      <c r="I824" s="30"/>
      <c r="J824" s="22"/>
      <c r="K824" s="22"/>
      <c r="L824" s="3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</row>
    <row r="825">
      <c r="A825" s="28"/>
      <c r="B825" s="22"/>
      <c r="C825" s="22"/>
      <c r="D825" s="29"/>
      <c r="E825" s="22"/>
      <c r="F825" s="29"/>
      <c r="G825" s="22"/>
      <c r="H825" s="22"/>
      <c r="I825" s="30"/>
      <c r="J825" s="22"/>
      <c r="K825" s="22"/>
      <c r="L825" s="3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>
      <c r="A826" s="28"/>
      <c r="B826" s="22"/>
      <c r="C826" s="22"/>
      <c r="D826" s="29"/>
      <c r="E826" s="22"/>
      <c r="F826" s="29"/>
      <c r="G826" s="22"/>
      <c r="H826" s="22"/>
      <c r="I826" s="30"/>
      <c r="J826" s="22"/>
      <c r="K826" s="22"/>
      <c r="L826" s="3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</row>
    <row r="827">
      <c r="A827" s="28"/>
      <c r="B827" s="22"/>
      <c r="C827" s="22"/>
      <c r="D827" s="29"/>
      <c r="E827" s="22"/>
      <c r="F827" s="29"/>
      <c r="G827" s="22"/>
      <c r="H827" s="22"/>
      <c r="I827" s="30"/>
      <c r="J827" s="22"/>
      <c r="K827" s="22"/>
      <c r="L827" s="3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>
      <c r="A828" s="28"/>
      <c r="B828" s="22"/>
      <c r="C828" s="22"/>
      <c r="D828" s="29"/>
      <c r="E828" s="22"/>
      <c r="F828" s="29"/>
      <c r="G828" s="22"/>
      <c r="H828" s="22"/>
      <c r="I828" s="30"/>
      <c r="J828" s="22"/>
      <c r="K828" s="22"/>
      <c r="L828" s="3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>
      <c r="A829" s="28"/>
      <c r="B829" s="22"/>
      <c r="C829" s="22"/>
      <c r="D829" s="29"/>
      <c r="E829" s="22"/>
      <c r="F829" s="29"/>
      <c r="G829" s="22"/>
      <c r="H829" s="22"/>
      <c r="I829" s="30"/>
      <c r="J829" s="22"/>
      <c r="K829" s="22"/>
      <c r="L829" s="3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>
      <c r="A830" s="28"/>
      <c r="B830" s="22"/>
      <c r="C830" s="22"/>
      <c r="D830" s="29"/>
      <c r="E830" s="22"/>
      <c r="F830" s="29"/>
      <c r="G830" s="22"/>
      <c r="H830" s="22"/>
      <c r="I830" s="30"/>
      <c r="J830" s="22"/>
      <c r="K830" s="22"/>
      <c r="L830" s="3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>
      <c r="A831" s="28"/>
      <c r="B831" s="22"/>
      <c r="C831" s="22"/>
      <c r="D831" s="29"/>
      <c r="E831" s="22"/>
      <c r="F831" s="29"/>
      <c r="G831" s="22"/>
      <c r="H831" s="22"/>
      <c r="I831" s="30"/>
      <c r="J831" s="22"/>
      <c r="K831" s="22"/>
      <c r="L831" s="3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>
      <c r="A832" s="28"/>
      <c r="B832" s="22"/>
      <c r="C832" s="22"/>
      <c r="D832" s="29"/>
      <c r="E832" s="22"/>
      <c r="F832" s="29"/>
      <c r="G832" s="22"/>
      <c r="H832" s="22"/>
      <c r="I832" s="30"/>
      <c r="J832" s="22"/>
      <c r="K832" s="22"/>
      <c r="L832" s="3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>
      <c r="A833" s="28"/>
      <c r="B833" s="22"/>
      <c r="C833" s="22"/>
      <c r="D833" s="29"/>
      <c r="E833" s="22"/>
      <c r="F833" s="29"/>
      <c r="G833" s="22"/>
      <c r="H833" s="22"/>
      <c r="I833" s="30"/>
      <c r="J833" s="22"/>
      <c r="K833" s="22"/>
      <c r="L833" s="3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>
      <c r="A834" s="28"/>
      <c r="B834" s="22"/>
      <c r="C834" s="22"/>
      <c r="D834" s="29"/>
      <c r="E834" s="22"/>
      <c r="F834" s="29"/>
      <c r="G834" s="22"/>
      <c r="H834" s="22"/>
      <c r="I834" s="30"/>
      <c r="J834" s="22"/>
      <c r="K834" s="22"/>
      <c r="L834" s="3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>
      <c r="A835" s="28"/>
      <c r="B835" s="22"/>
      <c r="C835" s="22"/>
      <c r="D835" s="29"/>
      <c r="E835" s="22"/>
      <c r="F835" s="29"/>
      <c r="G835" s="22"/>
      <c r="H835" s="22"/>
      <c r="I835" s="30"/>
      <c r="J835" s="22"/>
      <c r="K835" s="22"/>
      <c r="L835" s="3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>
      <c r="A836" s="28"/>
      <c r="B836" s="22"/>
      <c r="C836" s="22"/>
      <c r="D836" s="29"/>
      <c r="E836" s="22"/>
      <c r="F836" s="29"/>
      <c r="G836" s="22"/>
      <c r="H836" s="22"/>
      <c r="I836" s="30"/>
      <c r="J836" s="22"/>
      <c r="K836" s="22"/>
      <c r="L836" s="3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>
      <c r="A837" s="28"/>
      <c r="B837" s="22"/>
      <c r="C837" s="22"/>
      <c r="D837" s="29"/>
      <c r="E837" s="22"/>
      <c r="F837" s="29"/>
      <c r="G837" s="22"/>
      <c r="H837" s="22"/>
      <c r="I837" s="30"/>
      <c r="J837" s="22"/>
      <c r="K837" s="22"/>
      <c r="L837" s="3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>
      <c r="A838" s="28"/>
      <c r="B838" s="22"/>
      <c r="C838" s="22"/>
      <c r="D838" s="29"/>
      <c r="E838" s="22"/>
      <c r="F838" s="29"/>
      <c r="G838" s="22"/>
      <c r="H838" s="22"/>
      <c r="I838" s="30"/>
      <c r="J838" s="22"/>
      <c r="K838" s="22"/>
      <c r="L838" s="3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>
      <c r="A839" s="28"/>
      <c r="B839" s="22"/>
      <c r="C839" s="22"/>
      <c r="D839" s="29"/>
      <c r="E839" s="22"/>
      <c r="F839" s="29"/>
      <c r="G839" s="22"/>
      <c r="H839" s="22"/>
      <c r="I839" s="30"/>
      <c r="J839" s="22"/>
      <c r="K839" s="22"/>
      <c r="L839" s="3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>
      <c r="A840" s="28"/>
      <c r="B840" s="22"/>
      <c r="C840" s="22"/>
      <c r="D840" s="29"/>
      <c r="E840" s="22"/>
      <c r="F840" s="29"/>
      <c r="G840" s="22"/>
      <c r="H840" s="22"/>
      <c r="I840" s="30"/>
      <c r="J840" s="22"/>
      <c r="K840" s="22"/>
      <c r="L840" s="3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>
      <c r="A841" s="28"/>
      <c r="B841" s="22"/>
      <c r="C841" s="22"/>
      <c r="D841" s="29"/>
      <c r="E841" s="22"/>
      <c r="F841" s="29"/>
      <c r="G841" s="22"/>
      <c r="H841" s="22"/>
      <c r="I841" s="30"/>
      <c r="J841" s="22"/>
      <c r="K841" s="22"/>
      <c r="L841" s="3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>
      <c r="A842" s="28"/>
      <c r="B842" s="22"/>
      <c r="C842" s="22"/>
      <c r="D842" s="29"/>
      <c r="E842" s="22"/>
      <c r="F842" s="29"/>
      <c r="G842" s="22"/>
      <c r="H842" s="22"/>
      <c r="I842" s="30"/>
      <c r="J842" s="22"/>
      <c r="K842" s="22"/>
      <c r="L842" s="3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>
      <c r="A843" s="28"/>
      <c r="B843" s="22"/>
      <c r="C843" s="22"/>
      <c r="D843" s="29"/>
      <c r="E843" s="22"/>
      <c r="F843" s="29"/>
      <c r="G843" s="22"/>
      <c r="H843" s="22"/>
      <c r="I843" s="30"/>
      <c r="J843" s="22"/>
      <c r="K843" s="22"/>
      <c r="L843" s="3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>
      <c r="A844" s="28"/>
      <c r="B844" s="22"/>
      <c r="C844" s="22"/>
      <c r="D844" s="29"/>
      <c r="E844" s="22"/>
      <c r="F844" s="29"/>
      <c r="G844" s="22"/>
      <c r="H844" s="22"/>
      <c r="I844" s="30"/>
      <c r="J844" s="22"/>
      <c r="K844" s="22"/>
      <c r="L844" s="3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</row>
    <row r="845">
      <c r="A845" s="28"/>
      <c r="B845" s="22"/>
      <c r="C845" s="22"/>
      <c r="D845" s="29"/>
      <c r="E845" s="22"/>
      <c r="F845" s="29"/>
      <c r="G845" s="22"/>
      <c r="H845" s="22"/>
      <c r="I845" s="30"/>
      <c r="J845" s="22"/>
      <c r="K845" s="22"/>
      <c r="L845" s="3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>
      <c r="A846" s="28"/>
      <c r="B846" s="22"/>
      <c r="C846" s="22"/>
      <c r="D846" s="29"/>
      <c r="E846" s="22"/>
      <c r="F846" s="29"/>
      <c r="G846" s="22"/>
      <c r="H846" s="22"/>
      <c r="I846" s="30"/>
      <c r="J846" s="22"/>
      <c r="K846" s="22"/>
      <c r="L846" s="3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>
      <c r="A847" s="28"/>
      <c r="B847" s="22"/>
      <c r="C847" s="22"/>
      <c r="D847" s="29"/>
      <c r="E847" s="22"/>
      <c r="F847" s="29"/>
      <c r="G847" s="22"/>
      <c r="H847" s="22"/>
      <c r="I847" s="30"/>
      <c r="J847" s="22"/>
      <c r="K847" s="22"/>
      <c r="L847" s="3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>
      <c r="A848" s="28"/>
      <c r="B848" s="22"/>
      <c r="C848" s="22"/>
      <c r="D848" s="29"/>
      <c r="E848" s="22"/>
      <c r="F848" s="29"/>
      <c r="G848" s="22"/>
      <c r="H848" s="22"/>
      <c r="I848" s="30"/>
      <c r="J848" s="22"/>
      <c r="K848" s="22"/>
      <c r="L848" s="3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</row>
    <row r="849">
      <c r="A849" s="28"/>
      <c r="B849" s="22"/>
      <c r="C849" s="22"/>
      <c r="D849" s="29"/>
      <c r="E849" s="22"/>
      <c r="F849" s="29"/>
      <c r="G849" s="22"/>
      <c r="H849" s="22"/>
      <c r="I849" s="30"/>
      <c r="J849" s="22"/>
      <c r="K849" s="22"/>
      <c r="L849" s="3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>
      <c r="A850" s="28"/>
      <c r="B850" s="22"/>
      <c r="C850" s="22"/>
      <c r="D850" s="29"/>
      <c r="E850" s="22"/>
      <c r="F850" s="29"/>
      <c r="G850" s="22"/>
      <c r="H850" s="22"/>
      <c r="I850" s="30"/>
      <c r="J850" s="22"/>
      <c r="K850" s="22"/>
      <c r="L850" s="3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</row>
    <row r="851">
      <c r="A851" s="28"/>
      <c r="B851" s="22"/>
      <c r="C851" s="22"/>
      <c r="D851" s="29"/>
      <c r="E851" s="22"/>
      <c r="F851" s="29"/>
      <c r="G851" s="22"/>
      <c r="H851" s="22"/>
      <c r="I851" s="30"/>
      <c r="J851" s="22"/>
      <c r="K851" s="22"/>
      <c r="L851" s="3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>
      <c r="A852" s="28"/>
      <c r="B852" s="22"/>
      <c r="C852" s="22"/>
      <c r="D852" s="29"/>
      <c r="E852" s="22"/>
      <c r="F852" s="29"/>
      <c r="G852" s="22"/>
      <c r="H852" s="22"/>
      <c r="I852" s="30"/>
      <c r="J852" s="22"/>
      <c r="K852" s="22"/>
      <c r="L852" s="3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>
      <c r="A853" s="28"/>
      <c r="B853" s="22"/>
      <c r="C853" s="22"/>
      <c r="D853" s="29"/>
      <c r="E853" s="22"/>
      <c r="F853" s="29"/>
      <c r="G853" s="22"/>
      <c r="H853" s="22"/>
      <c r="I853" s="30"/>
      <c r="J853" s="22"/>
      <c r="K853" s="22"/>
      <c r="L853" s="3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>
      <c r="A854" s="28"/>
      <c r="B854" s="22"/>
      <c r="C854" s="22"/>
      <c r="D854" s="29"/>
      <c r="E854" s="22"/>
      <c r="F854" s="29"/>
      <c r="G854" s="22"/>
      <c r="H854" s="22"/>
      <c r="I854" s="30"/>
      <c r="J854" s="22"/>
      <c r="K854" s="22"/>
      <c r="L854" s="3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>
      <c r="A855" s="28"/>
      <c r="B855" s="22"/>
      <c r="C855" s="22"/>
      <c r="D855" s="29"/>
      <c r="E855" s="22"/>
      <c r="F855" s="29"/>
      <c r="G855" s="22"/>
      <c r="H855" s="22"/>
      <c r="I855" s="30"/>
      <c r="J855" s="22"/>
      <c r="K855" s="22"/>
      <c r="L855" s="3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>
      <c r="A856" s="28"/>
      <c r="B856" s="22"/>
      <c r="C856" s="22"/>
      <c r="D856" s="29"/>
      <c r="E856" s="22"/>
      <c r="F856" s="29"/>
      <c r="G856" s="22"/>
      <c r="H856" s="22"/>
      <c r="I856" s="30"/>
      <c r="J856" s="22"/>
      <c r="K856" s="22"/>
      <c r="L856" s="3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</row>
    <row r="857">
      <c r="A857" s="28"/>
      <c r="B857" s="22"/>
      <c r="C857" s="22"/>
      <c r="D857" s="29"/>
      <c r="E857" s="22"/>
      <c r="F857" s="29"/>
      <c r="G857" s="22"/>
      <c r="H857" s="22"/>
      <c r="I857" s="30"/>
      <c r="J857" s="22"/>
      <c r="K857" s="22"/>
      <c r="L857" s="3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>
      <c r="A858" s="28"/>
      <c r="B858" s="22"/>
      <c r="C858" s="22"/>
      <c r="D858" s="29"/>
      <c r="E858" s="22"/>
      <c r="F858" s="29"/>
      <c r="G858" s="22"/>
      <c r="H858" s="22"/>
      <c r="I858" s="30"/>
      <c r="J858" s="22"/>
      <c r="K858" s="22"/>
      <c r="L858" s="3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>
      <c r="A859" s="28"/>
      <c r="B859" s="22"/>
      <c r="C859" s="22"/>
      <c r="D859" s="29"/>
      <c r="E859" s="22"/>
      <c r="F859" s="29"/>
      <c r="G859" s="22"/>
      <c r="H859" s="22"/>
      <c r="I859" s="30"/>
      <c r="J859" s="22"/>
      <c r="K859" s="22"/>
      <c r="L859" s="3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>
      <c r="A860" s="28"/>
      <c r="B860" s="22"/>
      <c r="C860" s="22"/>
      <c r="D860" s="29"/>
      <c r="E860" s="22"/>
      <c r="F860" s="29"/>
      <c r="G860" s="22"/>
      <c r="H860" s="22"/>
      <c r="I860" s="30"/>
      <c r="J860" s="22"/>
      <c r="K860" s="22"/>
      <c r="L860" s="3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>
      <c r="A861" s="28"/>
      <c r="B861" s="22"/>
      <c r="C861" s="22"/>
      <c r="D861" s="29"/>
      <c r="E861" s="22"/>
      <c r="F861" s="29"/>
      <c r="G861" s="22"/>
      <c r="H861" s="22"/>
      <c r="I861" s="30"/>
      <c r="J861" s="22"/>
      <c r="K861" s="22"/>
      <c r="L861" s="3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>
      <c r="A862" s="28"/>
      <c r="B862" s="22"/>
      <c r="C862" s="22"/>
      <c r="D862" s="29"/>
      <c r="E862" s="22"/>
      <c r="F862" s="29"/>
      <c r="G862" s="22"/>
      <c r="H862" s="22"/>
      <c r="I862" s="30"/>
      <c r="J862" s="22"/>
      <c r="K862" s="22"/>
      <c r="L862" s="3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>
      <c r="A863" s="28"/>
      <c r="B863" s="22"/>
      <c r="C863" s="22"/>
      <c r="D863" s="29"/>
      <c r="E863" s="22"/>
      <c r="F863" s="29"/>
      <c r="G863" s="22"/>
      <c r="H863" s="22"/>
      <c r="I863" s="30"/>
      <c r="J863" s="22"/>
      <c r="K863" s="22"/>
      <c r="L863" s="3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>
      <c r="A864" s="28"/>
      <c r="B864" s="22"/>
      <c r="C864" s="22"/>
      <c r="D864" s="29"/>
      <c r="E864" s="22"/>
      <c r="F864" s="29"/>
      <c r="G864" s="22"/>
      <c r="H864" s="22"/>
      <c r="I864" s="30"/>
      <c r="J864" s="22"/>
      <c r="K864" s="22"/>
      <c r="L864" s="3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>
      <c r="A865" s="28"/>
      <c r="B865" s="22"/>
      <c r="C865" s="22"/>
      <c r="D865" s="29"/>
      <c r="E865" s="22"/>
      <c r="F865" s="29"/>
      <c r="G865" s="22"/>
      <c r="H865" s="22"/>
      <c r="I865" s="30"/>
      <c r="J865" s="22"/>
      <c r="K865" s="22"/>
      <c r="L865" s="3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>
      <c r="A866" s="28"/>
      <c r="B866" s="22"/>
      <c r="C866" s="22"/>
      <c r="D866" s="29"/>
      <c r="E866" s="22"/>
      <c r="F866" s="29"/>
      <c r="G866" s="22"/>
      <c r="H866" s="22"/>
      <c r="I866" s="30"/>
      <c r="J866" s="22"/>
      <c r="K866" s="22"/>
      <c r="L866" s="3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</row>
    <row r="867">
      <c r="A867" s="28"/>
      <c r="B867" s="22"/>
      <c r="C867" s="22"/>
      <c r="D867" s="29"/>
      <c r="E867" s="22"/>
      <c r="F867" s="29"/>
      <c r="G867" s="22"/>
      <c r="H867" s="22"/>
      <c r="I867" s="30"/>
      <c r="J867" s="22"/>
      <c r="K867" s="22"/>
      <c r="L867" s="3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>
      <c r="A868" s="28"/>
      <c r="B868" s="22"/>
      <c r="C868" s="22"/>
      <c r="D868" s="29"/>
      <c r="E868" s="22"/>
      <c r="F868" s="29"/>
      <c r="G868" s="22"/>
      <c r="H868" s="22"/>
      <c r="I868" s="30"/>
      <c r="J868" s="22"/>
      <c r="K868" s="22"/>
      <c r="L868" s="3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</row>
    <row r="869">
      <c r="A869" s="28"/>
      <c r="B869" s="22"/>
      <c r="C869" s="22"/>
      <c r="D869" s="29"/>
      <c r="E869" s="22"/>
      <c r="F869" s="29"/>
      <c r="G869" s="22"/>
      <c r="H869" s="22"/>
      <c r="I869" s="30"/>
      <c r="J869" s="22"/>
      <c r="K869" s="22"/>
      <c r="L869" s="3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>
      <c r="A870" s="28"/>
      <c r="B870" s="22"/>
      <c r="C870" s="22"/>
      <c r="D870" s="29"/>
      <c r="E870" s="22"/>
      <c r="F870" s="29"/>
      <c r="G870" s="22"/>
      <c r="H870" s="22"/>
      <c r="I870" s="30"/>
      <c r="J870" s="22"/>
      <c r="K870" s="22"/>
      <c r="L870" s="3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>
      <c r="A871" s="28"/>
      <c r="B871" s="22"/>
      <c r="C871" s="22"/>
      <c r="D871" s="29"/>
      <c r="E871" s="22"/>
      <c r="F871" s="29"/>
      <c r="G871" s="22"/>
      <c r="H871" s="22"/>
      <c r="I871" s="30"/>
      <c r="J871" s="22"/>
      <c r="K871" s="22"/>
      <c r="L871" s="3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>
      <c r="A872" s="28"/>
      <c r="B872" s="22"/>
      <c r="C872" s="22"/>
      <c r="D872" s="29"/>
      <c r="E872" s="22"/>
      <c r="F872" s="29"/>
      <c r="G872" s="22"/>
      <c r="H872" s="22"/>
      <c r="I872" s="30"/>
      <c r="J872" s="22"/>
      <c r="K872" s="22"/>
      <c r="L872" s="3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</row>
    <row r="873">
      <c r="A873" s="28"/>
      <c r="B873" s="22"/>
      <c r="C873" s="22"/>
      <c r="D873" s="29"/>
      <c r="E873" s="22"/>
      <c r="F873" s="29"/>
      <c r="G873" s="22"/>
      <c r="H873" s="22"/>
      <c r="I873" s="30"/>
      <c r="J873" s="22"/>
      <c r="K873" s="22"/>
      <c r="L873" s="3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>
      <c r="A874" s="28"/>
      <c r="B874" s="22"/>
      <c r="C874" s="22"/>
      <c r="D874" s="29"/>
      <c r="E874" s="22"/>
      <c r="F874" s="29"/>
      <c r="G874" s="22"/>
      <c r="H874" s="22"/>
      <c r="I874" s="30"/>
      <c r="J874" s="22"/>
      <c r="K874" s="22"/>
      <c r="L874" s="3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</row>
    <row r="875">
      <c r="A875" s="28"/>
      <c r="B875" s="22"/>
      <c r="C875" s="22"/>
      <c r="D875" s="29"/>
      <c r="E875" s="22"/>
      <c r="F875" s="29"/>
      <c r="G875" s="22"/>
      <c r="H875" s="22"/>
      <c r="I875" s="30"/>
      <c r="J875" s="22"/>
      <c r="K875" s="22"/>
      <c r="L875" s="3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>
      <c r="A876" s="28"/>
      <c r="B876" s="22"/>
      <c r="C876" s="22"/>
      <c r="D876" s="29"/>
      <c r="E876" s="22"/>
      <c r="F876" s="29"/>
      <c r="G876" s="22"/>
      <c r="H876" s="22"/>
      <c r="I876" s="30"/>
      <c r="J876" s="22"/>
      <c r="K876" s="22"/>
      <c r="L876" s="3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>
      <c r="A877" s="28"/>
      <c r="B877" s="22"/>
      <c r="C877" s="22"/>
      <c r="D877" s="29"/>
      <c r="E877" s="22"/>
      <c r="F877" s="29"/>
      <c r="G877" s="22"/>
      <c r="H877" s="22"/>
      <c r="I877" s="30"/>
      <c r="J877" s="22"/>
      <c r="K877" s="22"/>
      <c r="L877" s="3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>
      <c r="A878" s="28"/>
      <c r="B878" s="22"/>
      <c r="C878" s="22"/>
      <c r="D878" s="29"/>
      <c r="E878" s="22"/>
      <c r="F878" s="29"/>
      <c r="G878" s="22"/>
      <c r="H878" s="22"/>
      <c r="I878" s="30"/>
      <c r="J878" s="22"/>
      <c r="K878" s="22"/>
      <c r="L878" s="3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</row>
    <row r="879">
      <c r="A879" s="28"/>
      <c r="B879" s="22"/>
      <c r="C879" s="22"/>
      <c r="D879" s="29"/>
      <c r="E879" s="22"/>
      <c r="F879" s="29"/>
      <c r="G879" s="22"/>
      <c r="H879" s="22"/>
      <c r="I879" s="30"/>
      <c r="J879" s="22"/>
      <c r="K879" s="22"/>
      <c r="L879" s="3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>
      <c r="A880" s="28"/>
      <c r="B880" s="22"/>
      <c r="C880" s="22"/>
      <c r="D880" s="29"/>
      <c r="E880" s="22"/>
      <c r="F880" s="29"/>
      <c r="G880" s="22"/>
      <c r="H880" s="22"/>
      <c r="I880" s="30"/>
      <c r="J880" s="22"/>
      <c r="K880" s="22"/>
      <c r="L880" s="3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</row>
    <row r="881">
      <c r="A881" s="28"/>
      <c r="B881" s="22"/>
      <c r="C881" s="22"/>
      <c r="D881" s="29"/>
      <c r="E881" s="22"/>
      <c r="F881" s="29"/>
      <c r="G881" s="22"/>
      <c r="H881" s="22"/>
      <c r="I881" s="30"/>
      <c r="J881" s="22"/>
      <c r="K881" s="22"/>
      <c r="L881" s="3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>
      <c r="A882" s="28"/>
      <c r="B882" s="22"/>
      <c r="C882" s="22"/>
      <c r="D882" s="29"/>
      <c r="E882" s="22"/>
      <c r="F882" s="29"/>
      <c r="G882" s="22"/>
      <c r="H882" s="22"/>
      <c r="I882" s="30"/>
      <c r="J882" s="22"/>
      <c r="K882" s="22"/>
      <c r="L882" s="3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>
      <c r="A883" s="28"/>
      <c r="B883" s="22"/>
      <c r="C883" s="22"/>
      <c r="D883" s="29"/>
      <c r="E883" s="22"/>
      <c r="F883" s="29"/>
      <c r="G883" s="22"/>
      <c r="H883" s="22"/>
      <c r="I883" s="30"/>
      <c r="J883" s="22"/>
      <c r="K883" s="22"/>
      <c r="L883" s="3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>
      <c r="A884" s="28"/>
      <c r="B884" s="22"/>
      <c r="C884" s="22"/>
      <c r="D884" s="29"/>
      <c r="E884" s="22"/>
      <c r="F884" s="29"/>
      <c r="G884" s="22"/>
      <c r="H884" s="22"/>
      <c r="I884" s="30"/>
      <c r="J884" s="22"/>
      <c r="K884" s="22"/>
      <c r="L884" s="3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</row>
    <row r="885">
      <c r="A885" s="28"/>
      <c r="B885" s="22"/>
      <c r="C885" s="22"/>
      <c r="D885" s="29"/>
      <c r="E885" s="22"/>
      <c r="F885" s="29"/>
      <c r="G885" s="22"/>
      <c r="H885" s="22"/>
      <c r="I885" s="30"/>
      <c r="J885" s="22"/>
      <c r="K885" s="22"/>
      <c r="L885" s="3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>
      <c r="A886" s="28"/>
      <c r="B886" s="22"/>
      <c r="C886" s="22"/>
      <c r="D886" s="29"/>
      <c r="E886" s="22"/>
      <c r="F886" s="29"/>
      <c r="G886" s="22"/>
      <c r="H886" s="22"/>
      <c r="I886" s="30"/>
      <c r="J886" s="22"/>
      <c r="K886" s="22"/>
      <c r="L886" s="3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</row>
    <row r="887">
      <c r="A887" s="28"/>
      <c r="B887" s="22"/>
      <c r="C887" s="22"/>
      <c r="D887" s="29"/>
      <c r="E887" s="22"/>
      <c r="F887" s="29"/>
      <c r="G887" s="22"/>
      <c r="H887" s="22"/>
      <c r="I887" s="30"/>
      <c r="J887" s="22"/>
      <c r="K887" s="22"/>
      <c r="L887" s="3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>
      <c r="A888" s="28"/>
      <c r="B888" s="22"/>
      <c r="C888" s="22"/>
      <c r="D888" s="29"/>
      <c r="E888" s="22"/>
      <c r="F888" s="29"/>
      <c r="G888" s="22"/>
      <c r="H888" s="22"/>
      <c r="I888" s="30"/>
      <c r="J888" s="22"/>
      <c r="K888" s="22"/>
      <c r="L888" s="3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>
      <c r="A889" s="28"/>
      <c r="B889" s="22"/>
      <c r="C889" s="22"/>
      <c r="D889" s="29"/>
      <c r="E889" s="22"/>
      <c r="F889" s="29"/>
      <c r="G889" s="22"/>
      <c r="H889" s="22"/>
      <c r="I889" s="30"/>
      <c r="J889" s="22"/>
      <c r="K889" s="22"/>
      <c r="L889" s="3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>
      <c r="A890" s="28"/>
      <c r="B890" s="22"/>
      <c r="C890" s="22"/>
      <c r="D890" s="29"/>
      <c r="E890" s="22"/>
      <c r="F890" s="29"/>
      <c r="G890" s="22"/>
      <c r="H890" s="22"/>
      <c r="I890" s="30"/>
      <c r="J890" s="22"/>
      <c r="K890" s="22"/>
      <c r="L890" s="3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</row>
    <row r="891">
      <c r="A891" s="28"/>
      <c r="B891" s="22"/>
      <c r="C891" s="22"/>
      <c r="D891" s="29"/>
      <c r="E891" s="22"/>
      <c r="F891" s="29"/>
      <c r="G891" s="22"/>
      <c r="H891" s="22"/>
      <c r="I891" s="30"/>
      <c r="J891" s="22"/>
      <c r="K891" s="22"/>
      <c r="L891" s="3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>
      <c r="A892" s="28"/>
      <c r="B892" s="22"/>
      <c r="C892" s="22"/>
      <c r="D892" s="29"/>
      <c r="E892" s="22"/>
      <c r="F892" s="29"/>
      <c r="G892" s="22"/>
      <c r="H892" s="22"/>
      <c r="I892" s="30"/>
      <c r="J892" s="22"/>
      <c r="K892" s="22"/>
      <c r="L892" s="3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</row>
    <row r="893">
      <c r="A893" s="28"/>
      <c r="B893" s="22"/>
      <c r="C893" s="22"/>
      <c r="D893" s="29"/>
      <c r="E893" s="22"/>
      <c r="F893" s="29"/>
      <c r="G893" s="22"/>
      <c r="H893" s="22"/>
      <c r="I893" s="30"/>
      <c r="J893" s="22"/>
      <c r="K893" s="22"/>
      <c r="L893" s="3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>
      <c r="A894" s="28"/>
      <c r="B894" s="22"/>
      <c r="C894" s="22"/>
      <c r="D894" s="29"/>
      <c r="E894" s="22"/>
      <c r="F894" s="29"/>
      <c r="G894" s="22"/>
      <c r="H894" s="22"/>
      <c r="I894" s="30"/>
      <c r="J894" s="22"/>
      <c r="K894" s="22"/>
      <c r="L894" s="3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>
      <c r="A895" s="28"/>
      <c r="B895" s="22"/>
      <c r="C895" s="22"/>
      <c r="D895" s="29"/>
      <c r="E895" s="22"/>
      <c r="F895" s="29"/>
      <c r="G895" s="22"/>
      <c r="H895" s="22"/>
      <c r="I895" s="30"/>
      <c r="J895" s="22"/>
      <c r="K895" s="22"/>
      <c r="L895" s="3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>
      <c r="A896" s="28"/>
      <c r="B896" s="22"/>
      <c r="C896" s="22"/>
      <c r="D896" s="29"/>
      <c r="E896" s="22"/>
      <c r="F896" s="29"/>
      <c r="G896" s="22"/>
      <c r="H896" s="22"/>
      <c r="I896" s="30"/>
      <c r="J896" s="22"/>
      <c r="K896" s="22"/>
      <c r="L896" s="3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</row>
    <row r="897">
      <c r="A897" s="28"/>
      <c r="B897" s="22"/>
      <c r="C897" s="22"/>
      <c r="D897" s="29"/>
      <c r="E897" s="22"/>
      <c r="F897" s="29"/>
      <c r="G897" s="22"/>
      <c r="H897" s="22"/>
      <c r="I897" s="30"/>
      <c r="J897" s="22"/>
      <c r="K897" s="22"/>
      <c r="L897" s="3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>
      <c r="A898" s="28"/>
      <c r="B898" s="22"/>
      <c r="C898" s="22"/>
      <c r="D898" s="29"/>
      <c r="E898" s="22"/>
      <c r="F898" s="29"/>
      <c r="G898" s="22"/>
      <c r="H898" s="22"/>
      <c r="I898" s="30"/>
      <c r="J898" s="22"/>
      <c r="K898" s="22"/>
      <c r="L898" s="3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</row>
    <row r="899">
      <c r="A899" s="28"/>
      <c r="B899" s="22"/>
      <c r="C899" s="22"/>
      <c r="D899" s="29"/>
      <c r="E899" s="22"/>
      <c r="F899" s="29"/>
      <c r="G899" s="22"/>
      <c r="H899" s="22"/>
      <c r="I899" s="30"/>
      <c r="J899" s="22"/>
      <c r="K899" s="22"/>
      <c r="L899" s="3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  <row r="900">
      <c r="A900" s="28"/>
      <c r="B900" s="22"/>
      <c r="C900" s="22"/>
      <c r="D900" s="29"/>
      <c r="E900" s="22"/>
      <c r="F900" s="29"/>
      <c r="G900" s="22"/>
      <c r="H900" s="22"/>
      <c r="I900" s="30"/>
      <c r="J900" s="22"/>
      <c r="K900" s="22"/>
      <c r="L900" s="3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>
      <c r="A901" s="28"/>
      <c r="B901" s="22"/>
      <c r="C901" s="22"/>
      <c r="D901" s="29"/>
      <c r="E901" s="22"/>
      <c r="F901" s="29"/>
      <c r="G901" s="22"/>
      <c r="H901" s="22"/>
      <c r="I901" s="30"/>
      <c r="J901" s="22"/>
      <c r="K901" s="22"/>
      <c r="L901" s="3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>
      <c r="A902" s="28"/>
      <c r="B902" s="22"/>
      <c r="C902" s="22"/>
      <c r="D902" s="29"/>
      <c r="E902" s="22"/>
      <c r="F902" s="29"/>
      <c r="G902" s="22"/>
      <c r="H902" s="22"/>
      <c r="I902" s="30"/>
      <c r="J902" s="22"/>
      <c r="K902" s="22"/>
      <c r="L902" s="3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>
      <c r="A903" s="28"/>
      <c r="B903" s="22"/>
      <c r="C903" s="22"/>
      <c r="D903" s="29"/>
      <c r="E903" s="22"/>
      <c r="F903" s="29"/>
      <c r="G903" s="22"/>
      <c r="H903" s="22"/>
      <c r="I903" s="30"/>
      <c r="J903" s="22"/>
      <c r="K903" s="22"/>
      <c r="L903" s="3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>
      <c r="A904" s="28"/>
      <c r="B904" s="22"/>
      <c r="C904" s="22"/>
      <c r="D904" s="29"/>
      <c r="E904" s="22"/>
      <c r="F904" s="29"/>
      <c r="G904" s="22"/>
      <c r="H904" s="22"/>
      <c r="I904" s="30"/>
      <c r="J904" s="22"/>
      <c r="K904" s="22"/>
      <c r="L904" s="3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</row>
    <row r="905">
      <c r="A905" s="28"/>
      <c r="B905" s="22"/>
      <c r="C905" s="22"/>
      <c r="D905" s="29"/>
      <c r="E905" s="22"/>
      <c r="F905" s="29"/>
      <c r="G905" s="22"/>
      <c r="H905" s="22"/>
      <c r="I905" s="30"/>
      <c r="J905" s="22"/>
      <c r="K905" s="22"/>
      <c r="L905" s="3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</row>
    <row r="906">
      <c r="A906" s="28"/>
      <c r="B906" s="22"/>
      <c r="C906" s="22"/>
      <c r="D906" s="29"/>
      <c r="E906" s="22"/>
      <c r="F906" s="29"/>
      <c r="G906" s="22"/>
      <c r="H906" s="22"/>
      <c r="I906" s="30"/>
      <c r="J906" s="22"/>
      <c r="K906" s="22"/>
      <c r="L906" s="3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</row>
    <row r="907">
      <c r="A907" s="28"/>
      <c r="B907" s="22"/>
      <c r="C907" s="22"/>
      <c r="D907" s="29"/>
      <c r="E907" s="22"/>
      <c r="F907" s="29"/>
      <c r="G907" s="22"/>
      <c r="H907" s="22"/>
      <c r="I907" s="30"/>
      <c r="J907" s="22"/>
      <c r="K907" s="22"/>
      <c r="L907" s="3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</row>
    <row r="908">
      <c r="A908" s="28"/>
      <c r="B908" s="22"/>
      <c r="C908" s="22"/>
      <c r="D908" s="29"/>
      <c r="E908" s="22"/>
      <c r="F908" s="29"/>
      <c r="G908" s="22"/>
      <c r="H908" s="22"/>
      <c r="I908" s="30"/>
      <c r="J908" s="22"/>
      <c r="K908" s="22"/>
      <c r="L908" s="3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</row>
    <row r="909">
      <c r="A909" s="28"/>
      <c r="B909" s="22"/>
      <c r="C909" s="22"/>
      <c r="D909" s="29"/>
      <c r="E909" s="22"/>
      <c r="F909" s="29"/>
      <c r="G909" s="22"/>
      <c r="H909" s="22"/>
      <c r="I909" s="30"/>
      <c r="J909" s="22"/>
      <c r="K909" s="22"/>
      <c r="L909" s="3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</row>
    <row r="910">
      <c r="A910" s="28"/>
      <c r="B910" s="22"/>
      <c r="C910" s="22"/>
      <c r="D910" s="29"/>
      <c r="E910" s="22"/>
      <c r="F910" s="29"/>
      <c r="G910" s="22"/>
      <c r="H910" s="22"/>
      <c r="I910" s="30"/>
      <c r="J910" s="22"/>
      <c r="K910" s="22"/>
      <c r="L910" s="3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</row>
    <row r="911">
      <c r="A911" s="28"/>
      <c r="B911" s="22"/>
      <c r="C911" s="22"/>
      <c r="D911" s="29"/>
      <c r="E911" s="22"/>
      <c r="F911" s="29"/>
      <c r="G911" s="22"/>
      <c r="H911" s="22"/>
      <c r="I911" s="30"/>
      <c r="J911" s="22"/>
      <c r="K911" s="22"/>
      <c r="L911" s="3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</row>
    <row r="912">
      <c r="A912" s="28"/>
      <c r="B912" s="22"/>
      <c r="C912" s="22"/>
      <c r="D912" s="29"/>
      <c r="E912" s="22"/>
      <c r="F912" s="29"/>
      <c r="G912" s="22"/>
      <c r="H912" s="22"/>
      <c r="I912" s="30"/>
      <c r="J912" s="22"/>
      <c r="K912" s="22"/>
      <c r="L912" s="3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>
      <c r="A913" s="28"/>
      <c r="B913" s="22"/>
      <c r="C913" s="22"/>
      <c r="D913" s="29"/>
      <c r="E913" s="22"/>
      <c r="F913" s="29"/>
      <c r="G913" s="22"/>
      <c r="H913" s="22"/>
      <c r="I913" s="30"/>
      <c r="J913" s="22"/>
      <c r="K913" s="22"/>
      <c r="L913" s="3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</row>
    <row r="914">
      <c r="A914" s="28"/>
      <c r="B914" s="22"/>
      <c r="C914" s="22"/>
      <c r="D914" s="29"/>
      <c r="E914" s="22"/>
      <c r="F914" s="29"/>
      <c r="G914" s="22"/>
      <c r="H914" s="22"/>
      <c r="I914" s="30"/>
      <c r="J914" s="22"/>
      <c r="K914" s="22"/>
      <c r="L914" s="3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>
      <c r="A915" s="28"/>
      <c r="B915" s="22"/>
      <c r="C915" s="22"/>
      <c r="D915" s="29"/>
      <c r="E915" s="22"/>
      <c r="F915" s="29"/>
      <c r="G915" s="22"/>
      <c r="H915" s="22"/>
      <c r="I915" s="30"/>
      <c r="J915" s="22"/>
      <c r="K915" s="22"/>
      <c r="L915" s="3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>
      <c r="A916" s="28"/>
      <c r="B916" s="22"/>
      <c r="C916" s="22"/>
      <c r="D916" s="29"/>
      <c r="E916" s="22"/>
      <c r="F916" s="29"/>
      <c r="G916" s="22"/>
      <c r="H916" s="22"/>
      <c r="I916" s="30"/>
      <c r="J916" s="22"/>
      <c r="K916" s="22"/>
      <c r="L916" s="3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>
      <c r="A917" s="28"/>
      <c r="B917" s="22"/>
      <c r="C917" s="22"/>
      <c r="D917" s="29"/>
      <c r="E917" s="22"/>
      <c r="F917" s="29"/>
      <c r="G917" s="22"/>
      <c r="H917" s="22"/>
      <c r="I917" s="30"/>
      <c r="J917" s="22"/>
      <c r="K917" s="22"/>
      <c r="L917" s="3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</row>
    <row r="918">
      <c r="A918" s="28"/>
      <c r="B918" s="22"/>
      <c r="C918" s="22"/>
      <c r="D918" s="29"/>
      <c r="E918" s="22"/>
      <c r="F918" s="29"/>
      <c r="G918" s="22"/>
      <c r="H918" s="22"/>
      <c r="I918" s="30"/>
      <c r="J918" s="22"/>
      <c r="K918" s="22"/>
      <c r="L918" s="3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</row>
    <row r="919">
      <c r="A919" s="28"/>
      <c r="B919" s="22"/>
      <c r="C919" s="22"/>
      <c r="D919" s="29"/>
      <c r="E919" s="22"/>
      <c r="F919" s="29"/>
      <c r="G919" s="22"/>
      <c r="H919" s="22"/>
      <c r="I919" s="30"/>
      <c r="J919" s="22"/>
      <c r="K919" s="22"/>
      <c r="L919" s="3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</row>
    <row r="920">
      <c r="A920" s="28"/>
      <c r="B920" s="22"/>
      <c r="C920" s="22"/>
      <c r="D920" s="29"/>
      <c r="E920" s="22"/>
      <c r="F920" s="29"/>
      <c r="G920" s="22"/>
      <c r="H920" s="22"/>
      <c r="I920" s="30"/>
      <c r="J920" s="22"/>
      <c r="K920" s="22"/>
      <c r="L920" s="3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>
      <c r="A921" s="28"/>
      <c r="B921" s="22"/>
      <c r="C921" s="22"/>
      <c r="D921" s="29"/>
      <c r="E921" s="22"/>
      <c r="F921" s="29"/>
      <c r="G921" s="22"/>
      <c r="H921" s="22"/>
      <c r="I921" s="30"/>
      <c r="J921" s="22"/>
      <c r="K921" s="22"/>
      <c r="L921" s="3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</row>
    <row r="922">
      <c r="A922" s="28"/>
      <c r="B922" s="22"/>
      <c r="C922" s="22"/>
      <c r="D922" s="29"/>
      <c r="E922" s="22"/>
      <c r="F922" s="29"/>
      <c r="G922" s="22"/>
      <c r="H922" s="22"/>
      <c r="I922" s="30"/>
      <c r="J922" s="22"/>
      <c r="K922" s="22"/>
      <c r="L922" s="3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</row>
    <row r="923">
      <c r="A923" s="28"/>
      <c r="B923" s="22"/>
      <c r="C923" s="22"/>
      <c r="D923" s="29"/>
      <c r="E923" s="22"/>
      <c r="F923" s="29"/>
      <c r="G923" s="22"/>
      <c r="H923" s="22"/>
      <c r="I923" s="30"/>
      <c r="J923" s="22"/>
      <c r="K923" s="22"/>
      <c r="L923" s="3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</row>
    <row r="924">
      <c r="A924" s="28"/>
      <c r="B924" s="22"/>
      <c r="C924" s="22"/>
      <c r="D924" s="29"/>
      <c r="E924" s="22"/>
      <c r="F924" s="29"/>
      <c r="G924" s="22"/>
      <c r="H924" s="22"/>
      <c r="I924" s="30"/>
      <c r="J924" s="22"/>
      <c r="K924" s="22"/>
      <c r="L924" s="3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</row>
    <row r="925">
      <c r="A925" s="28"/>
      <c r="B925" s="22"/>
      <c r="C925" s="22"/>
      <c r="D925" s="29"/>
      <c r="E925" s="22"/>
      <c r="F925" s="29"/>
      <c r="G925" s="22"/>
      <c r="H925" s="22"/>
      <c r="I925" s="30"/>
      <c r="J925" s="22"/>
      <c r="K925" s="22"/>
      <c r="L925" s="3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</row>
    <row r="926">
      <c r="A926" s="28"/>
      <c r="B926" s="22"/>
      <c r="C926" s="22"/>
      <c r="D926" s="29"/>
      <c r="E926" s="22"/>
      <c r="F926" s="29"/>
      <c r="G926" s="22"/>
      <c r="H926" s="22"/>
      <c r="I926" s="30"/>
      <c r="J926" s="22"/>
      <c r="K926" s="22"/>
      <c r="L926" s="3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</row>
    <row r="927">
      <c r="A927" s="28"/>
      <c r="B927" s="22"/>
      <c r="C927" s="22"/>
      <c r="D927" s="29"/>
      <c r="E927" s="22"/>
      <c r="F927" s="29"/>
      <c r="G927" s="22"/>
      <c r="H927" s="22"/>
      <c r="I927" s="30"/>
      <c r="J927" s="22"/>
      <c r="K927" s="22"/>
      <c r="L927" s="3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</row>
    <row r="928">
      <c r="A928" s="28"/>
      <c r="B928" s="22"/>
      <c r="C928" s="22"/>
      <c r="D928" s="29"/>
      <c r="E928" s="22"/>
      <c r="F928" s="29"/>
      <c r="G928" s="22"/>
      <c r="H928" s="22"/>
      <c r="I928" s="30"/>
      <c r="J928" s="22"/>
      <c r="K928" s="22"/>
      <c r="L928" s="3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>
      <c r="A929" s="28"/>
      <c r="B929" s="22"/>
      <c r="C929" s="22"/>
      <c r="D929" s="29"/>
      <c r="E929" s="22"/>
      <c r="F929" s="29"/>
      <c r="G929" s="22"/>
      <c r="H929" s="22"/>
      <c r="I929" s="30"/>
      <c r="J929" s="22"/>
      <c r="K929" s="22"/>
      <c r="L929" s="3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>
      <c r="A930" s="28"/>
      <c r="B930" s="22"/>
      <c r="C930" s="22"/>
      <c r="D930" s="29"/>
      <c r="E930" s="22"/>
      <c r="F930" s="29"/>
      <c r="G930" s="22"/>
      <c r="H930" s="22"/>
      <c r="I930" s="30"/>
      <c r="J930" s="22"/>
      <c r="K930" s="22"/>
      <c r="L930" s="3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</row>
    <row r="931">
      <c r="A931" s="28"/>
      <c r="B931" s="22"/>
      <c r="C931" s="22"/>
      <c r="D931" s="29"/>
      <c r="E931" s="22"/>
      <c r="F931" s="29"/>
      <c r="G931" s="22"/>
      <c r="H931" s="22"/>
      <c r="I931" s="30"/>
      <c r="J931" s="22"/>
      <c r="K931" s="22"/>
      <c r="L931" s="3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</row>
    <row r="932">
      <c r="A932" s="28"/>
      <c r="B932" s="22"/>
      <c r="C932" s="22"/>
      <c r="D932" s="29"/>
      <c r="E932" s="22"/>
      <c r="F932" s="29"/>
      <c r="G932" s="22"/>
      <c r="H932" s="22"/>
      <c r="I932" s="30"/>
      <c r="J932" s="22"/>
      <c r="K932" s="22"/>
      <c r="L932" s="3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</row>
    <row r="933">
      <c r="A933" s="28"/>
      <c r="B933" s="22"/>
      <c r="C933" s="22"/>
      <c r="D933" s="29"/>
      <c r="E933" s="22"/>
      <c r="F933" s="29"/>
      <c r="G933" s="22"/>
      <c r="H933" s="22"/>
      <c r="I933" s="30"/>
      <c r="J933" s="22"/>
      <c r="K933" s="22"/>
      <c r="L933" s="3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</row>
    <row r="934">
      <c r="A934" s="28"/>
      <c r="B934" s="22"/>
      <c r="C934" s="22"/>
      <c r="D934" s="29"/>
      <c r="E934" s="22"/>
      <c r="F934" s="29"/>
      <c r="G934" s="22"/>
      <c r="H934" s="22"/>
      <c r="I934" s="30"/>
      <c r="J934" s="22"/>
      <c r="K934" s="22"/>
      <c r="L934" s="3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</row>
    <row r="935">
      <c r="A935" s="28"/>
      <c r="B935" s="22"/>
      <c r="C935" s="22"/>
      <c r="D935" s="29"/>
      <c r="E935" s="22"/>
      <c r="F935" s="29"/>
      <c r="G935" s="22"/>
      <c r="H935" s="22"/>
      <c r="I935" s="30"/>
      <c r="J935" s="22"/>
      <c r="K935" s="22"/>
      <c r="L935" s="3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</row>
    <row r="936">
      <c r="A936" s="28"/>
      <c r="B936" s="22"/>
      <c r="C936" s="22"/>
      <c r="D936" s="29"/>
      <c r="E936" s="22"/>
      <c r="F936" s="29"/>
      <c r="G936" s="22"/>
      <c r="H936" s="22"/>
      <c r="I936" s="30"/>
      <c r="J936" s="22"/>
      <c r="K936" s="22"/>
      <c r="L936" s="3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</row>
    <row r="937">
      <c r="A937" s="28"/>
      <c r="B937" s="22"/>
      <c r="C937" s="22"/>
      <c r="D937" s="29"/>
      <c r="E937" s="22"/>
      <c r="F937" s="29"/>
      <c r="G937" s="22"/>
      <c r="H937" s="22"/>
      <c r="I937" s="30"/>
      <c r="J937" s="22"/>
      <c r="K937" s="22"/>
      <c r="L937" s="3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</row>
    <row r="938">
      <c r="A938" s="28"/>
      <c r="B938" s="22"/>
      <c r="C938" s="22"/>
      <c r="D938" s="29"/>
      <c r="E938" s="22"/>
      <c r="F938" s="29"/>
      <c r="G938" s="22"/>
      <c r="H938" s="22"/>
      <c r="I938" s="30"/>
      <c r="J938" s="22"/>
      <c r="K938" s="22"/>
      <c r="L938" s="3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</row>
    <row r="939">
      <c r="A939" s="28"/>
      <c r="B939" s="22"/>
      <c r="C939" s="22"/>
      <c r="D939" s="29"/>
      <c r="E939" s="22"/>
      <c r="F939" s="29"/>
      <c r="G939" s="22"/>
      <c r="H939" s="22"/>
      <c r="I939" s="30"/>
      <c r="J939" s="22"/>
      <c r="K939" s="22"/>
      <c r="L939" s="3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</row>
    <row r="940">
      <c r="A940" s="28"/>
      <c r="B940" s="22"/>
      <c r="C940" s="22"/>
      <c r="D940" s="29"/>
      <c r="E940" s="22"/>
      <c r="F940" s="29"/>
      <c r="G940" s="22"/>
      <c r="H940" s="22"/>
      <c r="I940" s="30"/>
      <c r="J940" s="22"/>
      <c r="K940" s="22"/>
      <c r="L940" s="3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</row>
    <row r="941">
      <c r="A941" s="28"/>
      <c r="B941" s="22"/>
      <c r="C941" s="22"/>
      <c r="D941" s="29"/>
      <c r="E941" s="22"/>
      <c r="F941" s="29"/>
      <c r="G941" s="22"/>
      <c r="H941" s="22"/>
      <c r="I941" s="30"/>
      <c r="J941" s="22"/>
      <c r="K941" s="22"/>
      <c r="L941" s="3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</row>
    <row r="942">
      <c r="A942" s="28"/>
      <c r="B942" s="22"/>
      <c r="C942" s="22"/>
      <c r="D942" s="29"/>
      <c r="E942" s="22"/>
      <c r="F942" s="29"/>
      <c r="G942" s="22"/>
      <c r="H942" s="22"/>
      <c r="I942" s="30"/>
      <c r="J942" s="22"/>
      <c r="K942" s="22"/>
      <c r="L942" s="3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</row>
    <row r="943">
      <c r="A943" s="28"/>
      <c r="B943" s="22"/>
      <c r="C943" s="22"/>
      <c r="D943" s="29"/>
      <c r="E943" s="22"/>
      <c r="F943" s="29"/>
      <c r="G943" s="22"/>
      <c r="H943" s="22"/>
      <c r="I943" s="30"/>
      <c r="J943" s="22"/>
      <c r="K943" s="22"/>
      <c r="L943" s="3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</row>
    <row r="944">
      <c r="A944" s="28"/>
      <c r="B944" s="22"/>
      <c r="C944" s="22"/>
      <c r="D944" s="29"/>
      <c r="E944" s="22"/>
      <c r="F944" s="29"/>
      <c r="G944" s="22"/>
      <c r="H944" s="22"/>
      <c r="I944" s="30"/>
      <c r="J944" s="22"/>
      <c r="K944" s="22"/>
      <c r="L944" s="3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</row>
    <row r="945">
      <c r="A945" s="28"/>
      <c r="B945" s="22"/>
      <c r="C945" s="22"/>
      <c r="D945" s="29"/>
      <c r="E945" s="22"/>
      <c r="F945" s="29"/>
      <c r="G945" s="22"/>
      <c r="H945" s="22"/>
      <c r="I945" s="30"/>
      <c r="J945" s="22"/>
      <c r="K945" s="22"/>
      <c r="L945" s="3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</row>
    <row r="946">
      <c r="A946" s="28"/>
      <c r="B946" s="22"/>
      <c r="C946" s="22"/>
      <c r="D946" s="29"/>
      <c r="E946" s="22"/>
      <c r="F946" s="29"/>
      <c r="G946" s="22"/>
      <c r="H946" s="22"/>
      <c r="I946" s="30"/>
      <c r="J946" s="22"/>
      <c r="K946" s="22"/>
      <c r="L946" s="3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>
      <c r="A947" s="28"/>
      <c r="B947" s="22"/>
      <c r="C947" s="22"/>
      <c r="D947" s="29"/>
      <c r="E947" s="22"/>
      <c r="F947" s="29"/>
      <c r="G947" s="22"/>
      <c r="H947" s="22"/>
      <c r="I947" s="30"/>
      <c r="J947" s="22"/>
      <c r="K947" s="22"/>
      <c r="L947" s="3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</row>
    <row r="948">
      <c r="A948" s="28"/>
      <c r="B948" s="22"/>
      <c r="C948" s="22"/>
      <c r="D948" s="29"/>
      <c r="E948" s="22"/>
      <c r="F948" s="29"/>
      <c r="G948" s="22"/>
      <c r="H948" s="22"/>
      <c r="I948" s="30"/>
      <c r="J948" s="22"/>
      <c r="K948" s="22"/>
      <c r="L948" s="3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</row>
    <row r="949">
      <c r="A949" s="28"/>
      <c r="B949" s="22"/>
      <c r="C949" s="22"/>
      <c r="D949" s="29"/>
      <c r="E949" s="22"/>
      <c r="F949" s="29"/>
      <c r="G949" s="22"/>
      <c r="H949" s="22"/>
      <c r="I949" s="30"/>
      <c r="J949" s="22"/>
      <c r="K949" s="22"/>
      <c r="L949" s="3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</row>
    <row r="950">
      <c r="A950" s="28"/>
      <c r="B950" s="22"/>
      <c r="C950" s="22"/>
      <c r="D950" s="29"/>
      <c r="E950" s="22"/>
      <c r="F950" s="29"/>
      <c r="G950" s="22"/>
      <c r="H950" s="22"/>
      <c r="I950" s="30"/>
      <c r="J950" s="22"/>
      <c r="K950" s="22"/>
      <c r="L950" s="3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>
      <c r="A951" s="28"/>
      <c r="B951" s="22"/>
      <c r="C951" s="22"/>
      <c r="D951" s="29"/>
      <c r="E951" s="22"/>
      <c r="F951" s="29"/>
      <c r="G951" s="22"/>
      <c r="H951" s="22"/>
      <c r="I951" s="30"/>
      <c r="J951" s="22"/>
      <c r="K951" s="22"/>
      <c r="L951" s="3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</row>
    <row r="952">
      <c r="A952" s="28"/>
      <c r="B952" s="22"/>
      <c r="C952" s="22"/>
      <c r="D952" s="29"/>
      <c r="E952" s="22"/>
      <c r="F952" s="29"/>
      <c r="G952" s="22"/>
      <c r="H952" s="22"/>
      <c r="I952" s="30"/>
      <c r="J952" s="22"/>
      <c r="K952" s="22"/>
      <c r="L952" s="3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</row>
    <row r="953">
      <c r="A953" s="28"/>
      <c r="B953" s="22"/>
      <c r="C953" s="22"/>
      <c r="D953" s="29"/>
      <c r="E953" s="22"/>
      <c r="F953" s="29"/>
      <c r="G953" s="22"/>
      <c r="H953" s="22"/>
      <c r="I953" s="30"/>
      <c r="J953" s="22"/>
      <c r="K953" s="22"/>
      <c r="L953" s="3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</row>
    <row r="954">
      <c r="A954" s="28"/>
      <c r="B954" s="22"/>
      <c r="C954" s="22"/>
      <c r="D954" s="29"/>
      <c r="E954" s="22"/>
      <c r="F954" s="29"/>
      <c r="G954" s="22"/>
      <c r="H954" s="22"/>
      <c r="I954" s="30"/>
      <c r="J954" s="22"/>
      <c r="K954" s="22"/>
      <c r="L954" s="3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</row>
    <row r="955">
      <c r="A955" s="28"/>
      <c r="B955" s="22"/>
      <c r="C955" s="22"/>
      <c r="D955" s="29"/>
      <c r="E955" s="22"/>
      <c r="F955" s="29"/>
      <c r="G955" s="22"/>
      <c r="H955" s="22"/>
      <c r="I955" s="30"/>
      <c r="J955" s="22"/>
      <c r="K955" s="22"/>
      <c r="L955" s="3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>
      <c r="A956" s="28"/>
      <c r="B956" s="22"/>
      <c r="C956" s="22"/>
      <c r="D956" s="29"/>
      <c r="E956" s="22"/>
      <c r="F956" s="29"/>
      <c r="G956" s="22"/>
      <c r="H956" s="22"/>
      <c r="I956" s="30"/>
      <c r="J956" s="22"/>
      <c r="K956" s="22"/>
      <c r="L956" s="3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</row>
    <row r="957">
      <c r="A957" s="28"/>
      <c r="B957" s="22"/>
      <c r="C957" s="22"/>
      <c r="D957" s="29"/>
      <c r="E957" s="22"/>
      <c r="F957" s="29"/>
      <c r="G957" s="22"/>
      <c r="H957" s="22"/>
      <c r="I957" s="30"/>
      <c r="J957" s="22"/>
      <c r="K957" s="22"/>
      <c r="L957" s="3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</row>
    <row r="958">
      <c r="A958" s="28"/>
      <c r="B958" s="22"/>
      <c r="C958" s="22"/>
      <c r="D958" s="29"/>
      <c r="E958" s="22"/>
      <c r="F958" s="29"/>
      <c r="G958" s="22"/>
      <c r="H958" s="22"/>
      <c r="I958" s="30"/>
      <c r="J958" s="22"/>
      <c r="K958" s="22"/>
      <c r="L958" s="3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</row>
    <row r="959">
      <c r="A959" s="28"/>
      <c r="B959" s="22"/>
      <c r="C959" s="22"/>
      <c r="D959" s="29"/>
      <c r="E959" s="22"/>
      <c r="F959" s="29"/>
      <c r="G959" s="22"/>
      <c r="H959" s="22"/>
      <c r="I959" s="30"/>
      <c r="J959" s="22"/>
      <c r="K959" s="22"/>
      <c r="L959" s="3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</row>
    <row r="960">
      <c r="A960" s="28"/>
      <c r="B960" s="22"/>
      <c r="C960" s="22"/>
      <c r="D960" s="29"/>
      <c r="E960" s="22"/>
      <c r="F960" s="29"/>
      <c r="G960" s="22"/>
      <c r="H960" s="22"/>
      <c r="I960" s="30"/>
      <c r="J960" s="22"/>
      <c r="K960" s="22"/>
      <c r="L960" s="3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</row>
    <row r="961">
      <c r="A961" s="28"/>
      <c r="B961" s="22"/>
      <c r="C961" s="22"/>
      <c r="D961" s="29"/>
      <c r="E961" s="22"/>
      <c r="F961" s="29"/>
      <c r="G961" s="22"/>
      <c r="H961" s="22"/>
      <c r="I961" s="30"/>
      <c r="J961" s="22"/>
      <c r="K961" s="22"/>
      <c r="L961" s="3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</row>
    <row r="962">
      <c r="A962" s="28"/>
      <c r="B962" s="22"/>
      <c r="C962" s="22"/>
      <c r="D962" s="29"/>
      <c r="E962" s="22"/>
      <c r="F962" s="29"/>
      <c r="G962" s="22"/>
      <c r="H962" s="22"/>
      <c r="I962" s="30"/>
      <c r="J962" s="22"/>
      <c r="K962" s="22"/>
      <c r="L962" s="3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</row>
    <row r="963">
      <c r="A963" s="28"/>
      <c r="B963" s="22"/>
      <c r="C963" s="22"/>
      <c r="D963" s="29"/>
      <c r="E963" s="22"/>
      <c r="F963" s="29"/>
      <c r="G963" s="22"/>
      <c r="H963" s="22"/>
      <c r="I963" s="30"/>
      <c r="J963" s="22"/>
      <c r="K963" s="22"/>
      <c r="L963" s="3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</row>
    <row r="964">
      <c r="A964" s="28"/>
      <c r="B964" s="22"/>
      <c r="C964" s="22"/>
      <c r="D964" s="29"/>
      <c r="E964" s="22"/>
      <c r="F964" s="29"/>
      <c r="G964" s="22"/>
      <c r="H964" s="22"/>
      <c r="I964" s="30"/>
      <c r="J964" s="22"/>
      <c r="K964" s="22"/>
      <c r="L964" s="3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</row>
    <row r="965">
      <c r="A965" s="28"/>
      <c r="B965" s="22"/>
      <c r="C965" s="22"/>
      <c r="D965" s="29"/>
      <c r="E965" s="22"/>
      <c r="F965" s="29"/>
      <c r="G965" s="22"/>
      <c r="H965" s="22"/>
      <c r="I965" s="30"/>
      <c r="J965" s="22"/>
      <c r="K965" s="22"/>
      <c r="L965" s="3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</row>
    <row r="966">
      <c r="A966" s="28"/>
      <c r="B966" s="22"/>
      <c r="C966" s="22"/>
      <c r="D966" s="29"/>
      <c r="E966" s="22"/>
      <c r="F966" s="29"/>
      <c r="G966" s="22"/>
      <c r="H966" s="22"/>
      <c r="I966" s="30"/>
      <c r="J966" s="22"/>
      <c r="K966" s="22"/>
      <c r="L966" s="3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</row>
    <row r="967">
      <c r="A967" s="28"/>
      <c r="B967" s="22"/>
      <c r="C967" s="22"/>
      <c r="D967" s="29"/>
      <c r="E967" s="22"/>
      <c r="F967" s="29"/>
      <c r="G967" s="22"/>
      <c r="H967" s="22"/>
      <c r="I967" s="30"/>
      <c r="J967" s="22"/>
      <c r="K967" s="22"/>
      <c r="L967" s="3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</row>
    <row r="968">
      <c r="A968" s="28"/>
      <c r="B968" s="22"/>
      <c r="C968" s="22"/>
      <c r="D968" s="29"/>
      <c r="E968" s="22"/>
      <c r="F968" s="29"/>
      <c r="G968" s="22"/>
      <c r="H968" s="22"/>
      <c r="I968" s="30"/>
      <c r="J968" s="22"/>
      <c r="K968" s="22"/>
      <c r="L968" s="3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</row>
    <row r="969">
      <c r="A969" s="28"/>
      <c r="B969" s="22"/>
      <c r="C969" s="22"/>
      <c r="D969" s="29"/>
      <c r="E969" s="22"/>
      <c r="F969" s="29"/>
      <c r="G969" s="22"/>
      <c r="H969" s="22"/>
      <c r="I969" s="30"/>
      <c r="J969" s="22"/>
      <c r="K969" s="22"/>
      <c r="L969" s="3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</row>
    <row r="970">
      <c r="A970" s="28"/>
      <c r="B970" s="22"/>
      <c r="C970" s="22"/>
      <c r="D970" s="29"/>
      <c r="E970" s="22"/>
      <c r="F970" s="29"/>
      <c r="G970" s="22"/>
      <c r="H970" s="22"/>
      <c r="I970" s="30"/>
      <c r="J970" s="22"/>
      <c r="K970" s="22"/>
      <c r="L970" s="3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>
      <c r="A971" s="28"/>
      <c r="B971" s="22"/>
      <c r="C971" s="22"/>
      <c r="D971" s="29"/>
      <c r="E971" s="22"/>
      <c r="F971" s="29"/>
      <c r="G971" s="22"/>
      <c r="H971" s="22"/>
      <c r="I971" s="30"/>
      <c r="J971" s="22"/>
      <c r="K971" s="22"/>
      <c r="L971" s="3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</row>
    <row r="972">
      <c r="A972" s="28"/>
      <c r="B972" s="22"/>
      <c r="C972" s="22"/>
      <c r="D972" s="29"/>
      <c r="E972" s="22"/>
      <c r="F972" s="29"/>
      <c r="G972" s="22"/>
      <c r="H972" s="22"/>
      <c r="I972" s="30"/>
      <c r="J972" s="22"/>
      <c r="K972" s="22"/>
      <c r="L972" s="3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</row>
    <row r="973">
      <c r="A973" s="28"/>
      <c r="B973" s="22"/>
      <c r="C973" s="22"/>
      <c r="D973" s="29"/>
      <c r="E973" s="22"/>
      <c r="F973" s="29"/>
      <c r="G973" s="22"/>
      <c r="H973" s="22"/>
      <c r="I973" s="30"/>
      <c r="J973" s="22"/>
      <c r="K973" s="22"/>
      <c r="L973" s="3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</row>
    <row r="974">
      <c r="A974" s="28"/>
      <c r="B974" s="22"/>
      <c r="C974" s="22"/>
      <c r="D974" s="29"/>
      <c r="E974" s="22"/>
      <c r="F974" s="29"/>
      <c r="G974" s="22"/>
      <c r="H974" s="22"/>
      <c r="I974" s="30"/>
      <c r="J974" s="22"/>
      <c r="K974" s="22"/>
      <c r="L974" s="3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</row>
    <row r="975">
      <c r="A975" s="28"/>
      <c r="B975" s="22"/>
      <c r="C975" s="22"/>
      <c r="D975" s="29"/>
      <c r="E975" s="22"/>
      <c r="F975" s="29"/>
      <c r="G975" s="22"/>
      <c r="H975" s="22"/>
      <c r="I975" s="30"/>
      <c r="J975" s="22"/>
      <c r="K975" s="22"/>
      <c r="L975" s="3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>
      <c r="A976" s="28"/>
      <c r="B976" s="22"/>
      <c r="C976" s="22"/>
      <c r="D976" s="29"/>
      <c r="E976" s="22"/>
      <c r="F976" s="29"/>
      <c r="G976" s="22"/>
      <c r="H976" s="22"/>
      <c r="I976" s="30"/>
      <c r="J976" s="22"/>
      <c r="K976" s="22"/>
      <c r="L976" s="3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>
      <c r="A977" s="28"/>
      <c r="B977" s="22"/>
      <c r="C977" s="22"/>
      <c r="D977" s="29"/>
      <c r="E977" s="22"/>
      <c r="F977" s="29"/>
      <c r="G977" s="22"/>
      <c r="H977" s="22"/>
      <c r="I977" s="30"/>
      <c r="J977" s="22"/>
      <c r="K977" s="22"/>
      <c r="L977" s="3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</row>
    <row r="978">
      <c r="A978" s="28"/>
      <c r="B978" s="22"/>
      <c r="C978" s="22"/>
      <c r="D978" s="29"/>
      <c r="E978" s="22"/>
      <c r="F978" s="29"/>
      <c r="G978" s="22"/>
      <c r="H978" s="22"/>
      <c r="I978" s="30"/>
      <c r="J978" s="22"/>
      <c r="K978" s="22"/>
      <c r="L978" s="3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>
      <c r="A979" s="28"/>
      <c r="B979" s="22"/>
      <c r="C979" s="22"/>
      <c r="D979" s="29"/>
      <c r="E979" s="22"/>
      <c r="F979" s="29"/>
      <c r="G979" s="22"/>
      <c r="H979" s="22"/>
      <c r="I979" s="30"/>
      <c r="J979" s="22"/>
      <c r="K979" s="22"/>
      <c r="L979" s="3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>
      <c r="A980" s="28"/>
      <c r="B980" s="22"/>
      <c r="C980" s="22"/>
      <c r="D980" s="29"/>
      <c r="E980" s="22"/>
      <c r="F980" s="29"/>
      <c r="G980" s="22"/>
      <c r="H980" s="22"/>
      <c r="I980" s="30"/>
      <c r="J980" s="22"/>
      <c r="K980" s="22"/>
      <c r="L980" s="3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</row>
    <row r="981">
      <c r="A981" s="28"/>
      <c r="B981" s="22"/>
      <c r="C981" s="22"/>
      <c r="D981" s="29"/>
      <c r="E981" s="22"/>
      <c r="F981" s="29"/>
      <c r="G981" s="22"/>
      <c r="H981" s="22"/>
      <c r="I981" s="30"/>
      <c r="J981" s="22"/>
      <c r="K981" s="22"/>
      <c r="L981" s="3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</row>
    <row r="982">
      <c r="A982" s="28"/>
      <c r="B982" s="22"/>
      <c r="C982" s="22"/>
      <c r="D982" s="29"/>
      <c r="E982" s="22"/>
      <c r="F982" s="29"/>
      <c r="G982" s="22"/>
      <c r="H982" s="22"/>
      <c r="I982" s="30"/>
      <c r="J982" s="22"/>
      <c r="K982" s="22"/>
      <c r="L982" s="3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</row>
    <row r="983">
      <c r="A983" s="28"/>
      <c r="B983" s="22"/>
      <c r="C983" s="22"/>
      <c r="D983" s="29"/>
      <c r="E983" s="22"/>
      <c r="F983" s="29"/>
      <c r="G983" s="22"/>
      <c r="H983" s="22"/>
      <c r="I983" s="30"/>
      <c r="J983" s="22"/>
      <c r="K983" s="22"/>
      <c r="L983" s="3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</row>
    <row r="984">
      <c r="A984" s="28"/>
      <c r="B984" s="22"/>
      <c r="C984" s="22"/>
      <c r="D984" s="29"/>
      <c r="E984" s="22"/>
      <c r="F984" s="29"/>
      <c r="G984" s="22"/>
      <c r="H984" s="22"/>
      <c r="I984" s="30"/>
      <c r="J984" s="22"/>
      <c r="K984" s="22"/>
      <c r="L984" s="3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</row>
    <row r="985">
      <c r="A985" s="28"/>
      <c r="B985" s="22"/>
      <c r="C985" s="22"/>
      <c r="D985" s="29"/>
      <c r="E985" s="22"/>
      <c r="F985" s="29"/>
      <c r="G985" s="22"/>
      <c r="H985" s="22"/>
      <c r="I985" s="30"/>
      <c r="J985" s="22"/>
      <c r="K985" s="22"/>
      <c r="L985" s="3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</row>
    <row r="986">
      <c r="A986" s="28"/>
      <c r="B986" s="22"/>
      <c r="C986" s="22"/>
      <c r="D986" s="29"/>
      <c r="E986" s="22"/>
      <c r="F986" s="29"/>
      <c r="G986" s="22"/>
      <c r="H986" s="22"/>
      <c r="I986" s="30"/>
      <c r="J986" s="22"/>
      <c r="K986" s="22"/>
      <c r="L986" s="3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</row>
    <row r="987">
      <c r="A987" s="28"/>
      <c r="B987" s="22"/>
      <c r="C987" s="22"/>
      <c r="D987" s="29"/>
      <c r="E987" s="22"/>
      <c r="F987" s="29"/>
      <c r="G987" s="22"/>
      <c r="H987" s="22"/>
      <c r="I987" s="30"/>
      <c r="J987" s="22"/>
      <c r="K987" s="22"/>
      <c r="L987" s="3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</row>
    <row r="988">
      <c r="A988" s="28"/>
      <c r="B988" s="22"/>
      <c r="C988" s="22"/>
      <c r="D988" s="29"/>
      <c r="E988" s="22"/>
      <c r="F988" s="29"/>
      <c r="G988" s="22"/>
      <c r="H988" s="22"/>
      <c r="I988" s="30"/>
      <c r="J988" s="22"/>
      <c r="K988" s="22"/>
      <c r="L988" s="3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</row>
    <row r="989">
      <c r="A989" s="28"/>
      <c r="B989" s="22"/>
      <c r="C989" s="22"/>
      <c r="D989" s="29"/>
      <c r="E989" s="22"/>
      <c r="F989" s="29"/>
      <c r="G989" s="22"/>
      <c r="H989" s="22"/>
      <c r="I989" s="30"/>
      <c r="J989" s="22"/>
      <c r="K989" s="22"/>
      <c r="L989" s="3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>
      <c r="A990" s="28"/>
      <c r="B990" s="22"/>
      <c r="C990" s="22"/>
      <c r="D990" s="29"/>
      <c r="E990" s="22"/>
      <c r="F990" s="29"/>
      <c r="G990" s="22"/>
      <c r="H990" s="22"/>
      <c r="I990" s="30"/>
      <c r="J990" s="22"/>
      <c r="K990" s="22"/>
      <c r="L990" s="3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>
      <c r="A991" s="28"/>
      <c r="B991" s="22"/>
      <c r="C991" s="22"/>
      <c r="D991" s="29"/>
      <c r="E991" s="22"/>
      <c r="F991" s="29"/>
      <c r="G991" s="22"/>
      <c r="H991" s="22"/>
      <c r="I991" s="30"/>
      <c r="J991" s="22"/>
      <c r="K991" s="22"/>
      <c r="L991" s="3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</row>
    <row r="992">
      <c r="A992" s="28"/>
      <c r="B992" s="22"/>
      <c r="C992" s="22"/>
      <c r="D992" s="29"/>
      <c r="E992" s="22"/>
      <c r="F992" s="29"/>
      <c r="G992" s="22"/>
      <c r="H992" s="22"/>
      <c r="I992" s="30"/>
      <c r="J992" s="22"/>
      <c r="K992" s="22"/>
      <c r="L992" s="3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</row>
    <row r="993">
      <c r="A993" s="28"/>
      <c r="B993" s="22"/>
      <c r="C993" s="22"/>
      <c r="D993" s="29"/>
      <c r="E993" s="22"/>
      <c r="F993" s="29"/>
      <c r="G993" s="22"/>
      <c r="H993" s="22"/>
      <c r="I993" s="30"/>
      <c r="J993" s="22"/>
      <c r="K993" s="22"/>
      <c r="L993" s="3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>
      <c r="A994" s="28"/>
      <c r="B994" s="22"/>
      <c r="C994" s="22"/>
      <c r="D994" s="29"/>
      <c r="E994" s="22"/>
      <c r="F994" s="29"/>
      <c r="G994" s="22"/>
      <c r="H994" s="22"/>
      <c r="I994" s="30"/>
      <c r="J994" s="22"/>
      <c r="K994" s="22"/>
      <c r="L994" s="3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>
      <c r="A995" s="28"/>
      <c r="B995" s="22"/>
      <c r="C995" s="22"/>
      <c r="D995" s="29"/>
      <c r="E995" s="22"/>
      <c r="F995" s="29"/>
      <c r="G995" s="22"/>
      <c r="H995" s="22"/>
      <c r="I995" s="30"/>
      <c r="J995" s="22"/>
      <c r="K995" s="22"/>
      <c r="L995" s="3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>
      <c r="A996" s="28"/>
      <c r="B996" s="22"/>
      <c r="C996" s="22"/>
      <c r="D996" s="29"/>
      <c r="E996" s="22"/>
      <c r="F996" s="29"/>
      <c r="G996" s="22"/>
      <c r="H996" s="22"/>
      <c r="I996" s="30"/>
      <c r="J996" s="22"/>
      <c r="K996" s="22"/>
      <c r="L996" s="3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</row>
    <row r="997">
      <c r="A997" s="28"/>
      <c r="B997" s="22"/>
      <c r="C997" s="22"/>
      <c r="D997" s="29"/>
      <c r="E997" s="22"/>
      <c r="F997" s="29"/>
      <c r="G997" s="22"/>
      <c r="H997" s="22"/>
      <c r="I997" s="30"/>
      <c r="J997" s="22"/>
      <c r="K997" s="22"/>
      <c r="L997" s="3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</row>
    <row r="998">
      <c r="A998" s="28"/>
      <c r="B998" s="22"/>
      <c r="C998" s="22"/>
      <c r="D998" s="29"/>
      <c r="E998" s="22"/>
      <c r="F998" s="29"/>
      <c r="G998" s="22"/>
      <c r="H998" s="22"/>
      <c r="I998" s="30"/>
      <c r="J998" s="22"/>
      <c r="K998" s="22"/>
      <c r="L998" s="3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>
      <c r="A999" s="28"/>
      <c r="B999" s="22"/>
      <c r="C999" s="22"/>
      <c r="D999" s="29"/>
      <c r="E999" s="22"/>
      <c r="F999" s="29"/>
      <c r="G999" s="22"/>
      <c r="H999" s="22"/>
      <c r="I999" s="30"/>
      <c r="J999" s="22"/>
      <c r="K999" s="22"/>
      <c r="L999" s="3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</row>
    <row r="1000">
      <c r="A1000" s="28"/>
      <c r="B1000" s="22"/>
      <c r="C1000" s="22"/>
      <c r="D1000" s="29"/>
      <c r="E1000" s="22"/>
      <c r="F1000" s="29"/>
      <c r="G1000" s="22"/>
      <c r="H1000" s="22"/>
      <c r="I1000" s="30"/>
      <c r="J1000" s="22"/>
      <c r="K1000" s="22"/>
      <c r="L1000" s="3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</row>
  </sheetData>
  <conditionalFormatting sqref="D1:D1000 P25:P29 AB25:AB29">
    <cfRule type="expression" dxfId="2" priority="1">
      <formula>D1=MAX($D$2:$D$1000)</formula>
    </cfRule>
  </conditionalFormatting>
  <conditionalFormatting sqref="E1:F1000 Q25:R29 AC25:AD29">
    <cfRule type="expression" dxfId="3" priority="2">
      <formula>E1=MAX($E$2:$E$1000)</formula>
    </cfRule>
  </conditionalFormatting>
  <conditionalFormatting sqref="F1:F1000 R25:R29 AD25:AD29">
    <cfRule type="expression" dxfId="3" priority="3">
      <formula>F1=MAX($F$2:$F$1000)</formula>
    </cfRule>
  </conditionalFormatting>
  <conditionalFormatting sqref="C1:C1000 O25:O29 AA25:AA29">
    <cfRule type="expression" dxfId="2" priority="4">
      <formula>C1=MAX($C$2:$C$1000)</formula>
    </cfRule>
  </conditionalFormatting>
  <conditionalFormatting sqref="B1:B1000 N25:N29 Z25:Z29">
    <cfRule type="expression" dxfId="4" priority="5">
      <formula>B1=MAX($B$2:$B$1000)</formula>
    </cfRule>
  </conditionalFormatting>
  <conditionalFormatting sqref="G1:G1000 S25:S29 AE25:AE29">
    <cfRule type="expression" dxfId="2" priority="6">
      <formula>G1=MIN($G$2:$G$1000)</formula>
    </cfRule>
  </conditionalFormatting>
  <conditionalFormatting sqref="H1:H1000 I2:I29 T25:U29 AF25:AF29">
    <cfRule type="expression" dxfId="3" priority="7">
      <formula>H1=MAX($H$2:$H$1000)</formula>
    </cfRule>
  </conditionalFormatting>
  <conditionalFormatting sqref="I1:J1000 U25:V29">
    <cfRule type="expression" dxfId="4" priority="8">
      <formula>I1=MAX($J$2:$J$1000)</formula>
    </cfRule>
  </conditionalFormatting>
  <conditionalFormatting sqref="I1:I1000 U25:U29">
    <cfRule type="expression" dxfId="3" priority="9">
      <formula>I1=MAX($I$2:$I$1000)</formula>
    </cfRule>
  </conditionalFormatting>
  <conditionalFormatting sqref="I1:I1000 U25:U29">
    <cfRule type="expression" dxfId="0" priority="10">
      <formula>I1=MIN($I$2:$I$1000)</formula>
    </cfRule>
  </conditionalFormatting>
  <conditionalFormatting sqref="K1:K1000 W25:W29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conditionalFormatting sqref="L1 L26:L1000 X26:X29">
    <cfRule type="expression" dxfId="0" priority="12">
      <formula>L1=MAX($L$2:$L$1000)</formula>
    </cfRule>
  </conditionalFormatting>
  <conditionalFormatting sqref="H1:H1000 T25:T29 AF25:AF29">
    <cfRule type="cellIs" dxfId="5" priority="13" operator="greaterThanOrEqual">
      <formula>1000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</cols>
  <sheetData>
    <row r="1">
      <c r="A1" s="33" t="s">
        <v>102</v>
      </c>
      <c r="B1" s="24" t="s">
        <v>103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3" t="s">
        <v>104</v>
      </c>
      <c r="B2" s="34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35" t="s">
        <v>105</v>
      </c>
      <c r="B3" s="34">
        <v>15.0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5" t="s">
        <v>106</v>
      </c>
      <c r="B4" s="34">
        <v>3.0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5" t="s">
        <v>107</v>
      </c>
      <c r="B5" s="34">
        <v>1000.0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6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3" t="s">
        <v>108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5" t="s">
        <v>109</v>
      </c>
      <c r="B8" s="22">
        <f>COUNTA('Raw Games'!A:A)-1</f>
        <v>538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5" t="s">
        <v>110</v>
      </c>
      <c r="B9" s="22">
        <f>B8-B10</f>
        <v>480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5" t="s">
        <v>111</v>
      </c>
      <c r="B10" s="22">
        <f>COUNTIF('Raw Games'!C:C,"=Yes")</f>
        <v>58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5" t="s">
        <v>112</v>
      </c>
      <c r="B11" s="37">
        <f>AVERAGE('Raw Games'!F:AI)</f>
        <v>423.7932171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5" t="s">
        <v>113</v>
      </c>
      <c r="B12" s="22">
        <f>MAX('Raw Games'!F:AI)</f>
        <v>1310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5" t="s">
        <v>114</v>
      </c>
      <c r="B13" s="22">
        <f>MIN('Raw Games'!F:AI)</f>
        <v>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5" t="s">
        <v>115</v>
      </c>
      <c r="B14" s="22">
        <f>COUNTIF('Raw Games'!F:AI,"&gt;=1000")</f>
        <v>18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6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3" t="s">
        <v>116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5" t="s">
        <v>117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5" t="s">
        <v>118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5" t="s">
        <v>119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5" t="s">
        <v>120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5" t="s">
        <v>121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5" t="s">
        <v>122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6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6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6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36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6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36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36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6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36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6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36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6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36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6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36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36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6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36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36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36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36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6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36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36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36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36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36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36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36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36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36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36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36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36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36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36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36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36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36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36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36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36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36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36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36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36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36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36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36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36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36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36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36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36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36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36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36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36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36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36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36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36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36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36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36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36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36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36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36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36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36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36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36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36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36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36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36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36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36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36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36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36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36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36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36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36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36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36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36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36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36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36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36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36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36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36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36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36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36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36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36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36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36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36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36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36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36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36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36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36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36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36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36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36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36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36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36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36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36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36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36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36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36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36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36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36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36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36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36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36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36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36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36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36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36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36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36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36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36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36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36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36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36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36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36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36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36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36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36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36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36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36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36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36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36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36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36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36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36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36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36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36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36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36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36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36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36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36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36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36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36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36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36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36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36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36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36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36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36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36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36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36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36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36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36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36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36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36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36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36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36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36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36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36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36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36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36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36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36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36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36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36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36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36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36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36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36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36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36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36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36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36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36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36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36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36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36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36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36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36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36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36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36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36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36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36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36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36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36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36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36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36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36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36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36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36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36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36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36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36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36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36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36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36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36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36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36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36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36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36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36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36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36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36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36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36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36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36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36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36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36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36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36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36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36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36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36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36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36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36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36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36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36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36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36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36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36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36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36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36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36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36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36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36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36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36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36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36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36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36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36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36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36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36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36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36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36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36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36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36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36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36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36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36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36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36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36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36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36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36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36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36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36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36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36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36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36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36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36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36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36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36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36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36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36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36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36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36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36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36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36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36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36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36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36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36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36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36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36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36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36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36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36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36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36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36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36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36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36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36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36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36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36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36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36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36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36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36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36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36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36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36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36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36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36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36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36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36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36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36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36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36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36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36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36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36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36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36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36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36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36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36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36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36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36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36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36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36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36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36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36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36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36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36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36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36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36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36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36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36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36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36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36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36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36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36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36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36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36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36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36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36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36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36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36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36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36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36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36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36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36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36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36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36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36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36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36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36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36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36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36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36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36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36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36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36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36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36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36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36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36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36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36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36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36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36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36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36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36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36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36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36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36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36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36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36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36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36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36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36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36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36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36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36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36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36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36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36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36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36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36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36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36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36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36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36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36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36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36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36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36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36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36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36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36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36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36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36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36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36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36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36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36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36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36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36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36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36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36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36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36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36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36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36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36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36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36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36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36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36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36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36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36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36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36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36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36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36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36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36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36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36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36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36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36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36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36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36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36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36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36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36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36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36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36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36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36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36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36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36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36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36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36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36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36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36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36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36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36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36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36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36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36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36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36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36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36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36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36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36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36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36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36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36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36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36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36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36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36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36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36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36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36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36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36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36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36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36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36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36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36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36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36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36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36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36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36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36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36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36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36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36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36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36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36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36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36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36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36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36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36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36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36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36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36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36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36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36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36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36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36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36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36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36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36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36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36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36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36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36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36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36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36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36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36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36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36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36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36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36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36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36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36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36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36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36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36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36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36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36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36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36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36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36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36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36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36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36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36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36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36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36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36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36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36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36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36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36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36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36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36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36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36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36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36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36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36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36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36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36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36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36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36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36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36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36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36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36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36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36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36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36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36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36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36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36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36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36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36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36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36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36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36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36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36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36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36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36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36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36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36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36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36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36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36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36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36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36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36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36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36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36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36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36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36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36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36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36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36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36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36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36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36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36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36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36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36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36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36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36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36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36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36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36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36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36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36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36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36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36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36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36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36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36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36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36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36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36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36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36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36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36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36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36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36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36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36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36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36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36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36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36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36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36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36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36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36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36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36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36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36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36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36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36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36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36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36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36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36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36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36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36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36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36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36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36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36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36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36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36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36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36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36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36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36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36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36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36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36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36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36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36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36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36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36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36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36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36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36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36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36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36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36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36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36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36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36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36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36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36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36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36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36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36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36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36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36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36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36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36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36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36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36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36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36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36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36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36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36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36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36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36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36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36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36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36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36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36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36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36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36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36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36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36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36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36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36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36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36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36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36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36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36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36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36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36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36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36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36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36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36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36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36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36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36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36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36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36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36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36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36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36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36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36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36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36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36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36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36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36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36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36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36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36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36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36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36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36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36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36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36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36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36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36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36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36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36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36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36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36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36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36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36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36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36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36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36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36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36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36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36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36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36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36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36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36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36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36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36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36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36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36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36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36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36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36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36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36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36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36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36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36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36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36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36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36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36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36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36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36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36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36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36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36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36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36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36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36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36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36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36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36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36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36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36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36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36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36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36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36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36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36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36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36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36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36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36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>
      <c r="A1003" s="36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>
      <c r="A1004" s="36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>
      <c r="A1005" s="36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>
      <c r="A1006" s="36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tr">
        <f t="array" ref="A1:AMH57">TRANSPOSE('Raw Games'!1:1022)</f>
        <v>Date</v>
      </c>
      <c r="B1" s="38" t="s">
        <v>39</v>
      </c>
      <c r="C1" s="38" t="s">
        <v>39</v>
      </c>
      <c r="D1" s="38" t="s">
        <v>39</v>
      </c>
      <c r="E1" s="38" t="s">
        <v>39</v>
      </c>
      <c r="F1" s="38" t="s">
        <v>39</v>
      </c>
      <c r="G1" s="38" t="s">
        <v>39</v>
      </c>
      <c r="H1" s="38" t="s">
        <v>39</v>
      </c>
      <c r="I1" s="38" t="s">
        <v>39</v>
      </c>
      <c r="J1" s="38" t="s">
        <v>39</v>
      </c>
      <c r="K1" s="38" t="s">
        <v>39</v>
      </c>
      <c r="L1" s="38" t="s">
        <v>39</v>
      </c>
      <c r="M1" s="38" t="s">
        <v>39</v>
      </c>
      <c r="N1" s="38" t="s">
        <v>39</v>
      </c>
      <c r="O1" s="38" t="s">
        <v>39</v>
      </c>
      <c r="P1" s="38" t="s">
        <v>39</v>
      </c>
      <c r="Q1" s="38" t="s">
        <v>39</v>
      </c>
      <c r="R1" s="38" t="s">
        <v>39</v>
      </c>
      <c r="S1" s="38" t="s">
        <v>39</v>
      </c>
      <c r="T1" s="38" t="s">
        <v>39</v>
      </c>
      <c r="U1" s="38" t="s">
        <v>39</v>
      </c>
      <c r="V1" s="38" t="s">
        <v>39</v>
      </c>
      <c r="W1" s="38" t="s">
        <v>39</v>
      </c>
      <c r="X1" s="38" t="s">
        <v>39</v>
      </c>
      <c r="Y1" s="38" t="s">
        <v>39</v>
      </c>
      <c r="Z1" s="38" t="s">
        <v>39</v>
      </c>
      <c r="AA1" s="38" t="s">
        <v>39</v>
      </c>
      <c r="AB1" s="38" t="s">
        <v>39</v>
      </c>
      <c r="AC1" s="38" t="s">
        <v>39</v>
      </c>
      <c r="AD1" s="38" t="s">
        <v>39</v>
      </c>
      <c r="AE1" s="38" t="s">
        <v>39</v>
      </c>
      <c r="AF1" s="38" t="s">
        <v>39</v>
      </c>
      <c r="AG1" s="38" t="s">
        <v>39</v>
      </c>
      <c r="AH1" s="38" t="s">
        <v>39</v>
      </c>
      <c r="AI1" s="38" t="s">
        <v>39</v>
      </c>
      <c r="AJ1" s="38" t="s">
        <v>39</v>
      </c>
      <c r="AK1" s="38" t="s">
        <v>39</v>
      </c>
      <c r="AL1" s="38" t="s">
        <v>39</v>
      </c>
      <c r="AM1" s="38" t="s">
        <v>39</v>
      </c>
      <c r="AN1" s="38" t="s">
        <v>39</v>
      </c>
      <c r="AO1" s="38" t="s">
        <v>39</v>
      </c>
      <c r="AP1" s="38" t="s">
        <v>39</v>
      </c>
      <c r="AQ1" s="38" t="s">
        <v>39</v>
      </c>
      <c r="AR1" s="38" t="s">
        <v>39</v>
      </c>
      <c r="AS1" s="38" t="s">
        <v>39</v>
      </c>
      <c r="AT1" s="38" t="s">
        <v>39</v>
      </c>
      <c r="AU1" s="38" t="s">
        <v>39</v>
      </c>
      <c r="AV1" s="38" t="s">
        <v>39</v>
      </c>
      <c r="AW1" s="38" t="s">
        <v>39</v>
      </c>
      <c r="AX1" s="38" t="s">
        <v>39</v>
      </c>
      <c r="AY1" s="38" t="s">
        <v>39</v>
      </c>
      <c r="AZ1" s="38" t="s">
        <v>39</v>
      </c>
      <c r="BA1" s="38" t="s">
        <v>39</v>
      </c>
      <c r="BB1" s="38" t="s">
        <v>39</v>
      </c>
      <c r="BC1" s="38" t="s">
        <v>39</v>
      </c>
      <c r="BD1" s="38" t="s">
        <v>39</v>
      </c>
      <c r="BE1" s="38" t="s">
        <v>39</v>
      </c>
      <c r="BF1" s="38" t="s">
        <v>39</v>
      </c>
      <c r="BG1" s="38" t="s">
        <v>39</v>
      </c>
      <c r="BH1" s="38" t="s">
        <v>39</v>
      </c>
      <c r="BI1" s="38" t="s">
        <v>39</v>
      </c>
      <c r="BJ1" s="38" t="s">
        <v>39</v>
      </c>
      <c r="BK1" s="38" t="s">
        <v>39</v>
      </c>
      <c r="BL1" s="38" t="s">
        <v>39</v>
      </c>
      <c r="BM1" s="38" t="s">
        <v>39</v>
      </c>
      <c r="BN1" s="38" t="s">
        <v>39</v>
      </c>
      <c r="BO1" s="38" t="s">
        <v>39</v>
      </c>
      <c r="BP1" s="38" t="s">
        <v>39</v>
      </c>
      <c r="BQ1" s="38" t="s">
        <v>39</v>
      </c>
      <c r="BR1" s="38" t="s">
        <v>39</v>
      </c>
      <c r="BS1" s="38" t="s">
        <v>39</v>
      </c>
      <c r="BT1" s="38" t="s">
        <v>39</v>
      </c>
      <c r="BU1" s="38" t="s">
        <v>39</v>
      </c>
      <c r="BV1" s="38" t="s">
        <v>39</v>
      </c>
      <c r="BW1" s="38" t="s">
        <v>39</v>
      </c>
      <c r="BX1" s="38" t="s">
        <v>39</v>
      </c>
      <c r="BY1" s="38" t="s">
        <v>39</v>
      </c>
      <c r="BZ1" s="38" t="s">
        <v>39</v>
      </c>
      <c r="CA1" s="38" t="s">
        <v>39</v>
      </c>
      <c r="CB1" s="38" t="s">
        <v>39</v>
      </c>
      <c r="CC1" s="38" t="s">
        <v>39</v>
      </c>
      <c r="CD1" s="38" t="s">
        <v>39</v>
      </c>
      <c r="CE1" s="38" t="s">
        <v>39</v>
      </c>
      <c r="CF1" s="38" t="s">
        <v>39</v>
      </c>
      <c r="CG1" s="38" t="s">
        <v>39</v>
      </c>
      <c r="CH1" s="38" t="s">
        <v>39</v>
      </c>
      <c r="CI1" s="38" t="s">
        <v>39</v>
      </c>
      <c r="CJ1" s="38" t="s">
        <v>39</v>
      </c>
      <c r="CK1" s="38" t="s">
        <v>39</v>
      </c>
      <c r="CL1" s="38" t="s">
        <v>39</v>
      </c>
      <c r="CM1" s="38" t="s">
        <v>39</v>
      </c>
      <c r="CN1" s="38" t="s">
        <v>39</v>
      </c>
      <c r="CO1" s="38" t="s">
        <v>39</v>
      </c>
      <c r="CP1" s="38" t="s">
        <v>39</v>
      </c>
      <c r="CQ1" s="38" t="s">
        <v>39</v>
      </c>
      <c r="CR1" s="38" t="s">
        <v>39</v>
      </c>
      <c r="CS1" s="38" t="s">
        <v>39</v>
      </c>
      <c r="CT1" s="38" t="s">
        <v>39</v>
      </c>
      <c r="CU1" s="38" t="s">
        <v>39</v>
      </c>
      <c r="CV1" s="38" t="s">
        <v>39</v>
      </c>
      <c r="CW1" s="38" t="s">
        <v>39</v>
      </c>
      <c r="CX1" s="38" t="s">
        <v>39</v>
      </c>
      <c r="CY1" s="38" t="s">
        <v>39</v>
      </c>
      <c r="CZ1" s="38" t="s">
        <v>39</v>
      </c>
      <c r="DA1" s="38" t="s">
        <v>39</v>
      </c>
      <c r="DB1" s="38" t="s">
        <v>39</v>
      </c>
      <c r="DC1" s="38" t="s">
        <v>39</v>
      </c>
      <c r="DD1" s="38" t="s">
        <v>39</v>
      </c>
      <c r="DE1" s="38" t="s">
        <v>39</v>
      </c>
      <c r="DF1" s="38" t="s">
        <v>39</v>
      </c>
      <c r="DG1" s="38" t="s">
        <v>39</v>
      </c>
      <c r="DH1" s="38" t="s">
        <v>39</v>
      </c>
      <c r="DI1" s="38" t="s">
        <v>39</v>
      </c>
      <c r="DJ1" s="38" t="s">
        <v>39</v>
      </c>
      <c r="DK1" s="38" t="s">
        <v>39</v>
      </c>
      <c r="DL1" s="38" t="s">
        <v>39</v>
      </c>
      <c r="DM1" s="38" t="s">
        <v>39</v>
      </c>
      <c r="DN1" s="38" t="s">
        <v>39</v>
      </c>
      <c r="DO1" s="38" t="s">
        <v>39</v>
      </c>
      <c r="DP1" s="38" t="s">
        <v>39</v>
      </c>
      <c r="DQ1" s="38" t="s">
        <v>39</v>
      </c>
      <c r="DR1" s="38" t="s">
        <v>39</v>
      </c>
      <c r="DS1" s="38" t="s">
        <v>39</v>
      </c>
      <c r="DT1" s="38" t="s">
        <v>39</v>
      </c>
      <c r="DU1" s="38" t="s">
        <v>39</v>
      </c>
      <c r="DV1" s="38" t="s">
        <v>39</v>
      </c>
      <c r="DW1" s="38" t="s">
        <v>39</v>
      </c>
      <c r="DX1" s="38">
        <v>43485.0</v>
      </c>
      <c r="DY1" s="38">
        <v>44086.0</v>
      </c>
      <c r="DZ1" s="38">
        <v>44087.0</v>
      </c>
      <c r="EA1" s="38">
        <v>44089.0</v>
      </c>
      <c r="EB1" s="38">
        <v>44092.0</v>
      </c>
      <c r="EC1" s="38">
        <v>44098.0</v>
      </c>
      <c r="ED1" s="38">
        <v>44100.0</v>
      </c>
      <c r="EE1" s="38">
        <v>44107.0</v>
      </c>
      <c r="EF1" s="38">
        <v>44108.0</v>
      </c>
      <c r="EG1" s="38">
        <v>44112.0</v>
      </c>
      <c r="EH1" s="38">
        <v>44114.0</v>
      </c>
      <c r="EI1" s="38">
        <v>44121.0</v>
      </c>
      <c r="EJ1" s="38">
        <v>44122.0</v>
      </c>
      <c r="EK1" s="38">
        <v>44127.0</v>
      </c>
      <c r="EL1" s="38">
        <v>44129.0</v>
      </c>
      <c r="EM1" s="38">
        <v>44132.0</v>
      </c>
      <c r="EN1" s="38">
        <v>44135.0</v>
      </c>
      <c r="EO1" s="38">
        <v>44137.0</v>
      </c>
      <c r="EP1" s="38">
        <v>44140.0</v>
      </c>
      <c r="EQ1" s="38">
        <v>44142.0</v>
      </c>
      <c r="ER1" s="38">
        <v>44146.0</v>
      </c>
      <c r="ES1" s="38">
        <v>44148.0</v>
      </c>
      <c r="ET1" s="38">
        <v>44151.0</v>
      </c>
      <c r="EU1" s="38">
        <v>44156.0</v>
      </c>
      <c r="EV1" s="38">
        <v>44158.0</v>
      </c>
      <c r="EW1" s="38">
        <v>44164.0</v>
      </c>
      <c r="EX1" s="38">
        <v>44170.0</v>
      </c>
      <c r="EY1" s="38">
        <v>44170.0</v>
      </c>
      <c r="EZ1" s="38">
        <v>44173.0</v>
      </c>
      <c r="FA1" s="38">
        <v>44175.0</v>
      </c>
      <c r="FB1" s="38">
        <v>44176.0</v>
      </c>
      <c r="FC1" s="38">
        <v>44183.0</v>
      </c>
      <c r="FD1" s="38">
        <v>44186.0</v>
      </c>
      <c r="FE1" s="38">
        <v>44187.0</v>
      </c>
      <c r="FF1" s="38">
        <v>44200.0</v>
      </c>
      <c r="FG1" s="38">
        <v>44203.0</v>
      </c>
      <c r="FH1" s="38">
        <v>44204.0</v>
      </c>
      <c r="FI1" s="38">
        <v>44205.0</v>
      </c>
      <c r="FJ1" s="38">
        <v>44206.0</v>
      </c>
      <c r="FK1" s="38">
        <v>44210.0</v>
      </c>
      <c r="FL1" s="38">
        <v>44224.0</v>
      </c>
      <c r="FM1" s="38">
        <v>44225.0</v>
      </c>
      <c r="FN1" s="38">
        <v>44226.0</v>
      </c>
      <c r="FO1" s="38">
        <v>44239.0</v>
      </c>
      <c r="FP1" s="38">
        <v>44240.0</v>
      </c>
      <c r="FQ1" s="38">
        <v>44241.0</v>
      </c>
      <c r="FR1" s="38">
        <v>44242.0</v>
      </c>
      <c r="FS1" s="38">
        <v>44254.0</v>
      </c>
      <c r="FT1" s="38">
        <v>44256.0</v>
      </c>
      <c r="FU1" s="38">
        <v>44260.0</v>
      </c>
      <c r="FV1" s="38">
        <v>44264.0</v>
      </c>
      <c r="FW1" s="38">
        <v>44267.0</v>
      </c>
      <c r="FX1" s="38">
        <v>44272.0</v>
      </c>
      <c r="FY1" s="38">
        <v>44273.0</v>
      </c>
      <c r="FZ1" s="38">
        <v>44274.0</v>
      </c>
      <c r="GA1" s="38">
        <v>44276.0</v>
      </c>
      <c r="GB1" s="38">
        <v>44279.0</v>
      </c>
      <c r="GC1" s="38">
        <v>44281.0</v>
      </c>
      <c r="GD1" s="38">
        <v>44285.0</v>
      </c>
      <c r="GE1" s="38">
        <v>44288.0</v>
      </c>
      <c r="GF1" s="38">
        <v>44292.0</v>
      </c>
      <c r="GG1" s="38">
        <v>44293.0</v>
      </c>
      <c r="GH1" s="38">
        <v>44297.0</v>
      </c>
      <c r="GI1" s="38">
        <v>44297.0</v>
      </c>
      <c r="GJ1" s="38">
        <v>44297.0</v>
      </c>
      <c r="GK1" s="38">
        <v>44298.0</v>
      </c>
      <c r="GL1" s="38">
        <v>44299.0</v>
      </c>
      <c r="GM1" s="38">
        <v>44300.0</v>
      </c>
      <c r="GN1" s="38">
        <v>44302.0</v>
      </c>
      <c r="GO1" s="38">
        <v>44307.0</v>
      </c>
      <c r="GP1" s="38">
        <v>44312.0</v>
      </c>
      <c r="GQ1" s="38">
        <v>44318.0</v>
      </c>
      <c r="GR1" s="38">
        <v>44329.0</v>
      </c>
      <c r="GS1" s="38">
        <v>44342.0</v>
      </c>
      <c r="GT1" s="38">
        <v>44343.0</v>
      </c>
      <c r="GU1" s="38">
        <v>44344.0</v>
      </c>
      <c r="GV1" s="38">
        <v>44346.0</v>
      </c>
      <c r="GW1" s="38">
        <v>44347.0</v>
      </c>
      <c r="GX1" s="38">
        <v>44352.0</v>
      </c>
      <c r="GY1" s="38">
        <v>44362.0</v>
      </c>
      <c r="GZ1" s="38">
        <v>44370.0</v>
      </c>
      <c r="HA1" s="38">
        <v>44374.0</v>
      </c>
      <c r="HB1" s="38">
        <v>44375.0</v>
      </c>
      <c r="HC1" s="38">
        <v>44416.0</v>
      </c>
      <c r="HD1" s="38">
        <v>44422.0</v>
      </c>
      <c r="HE1" s="38">
        <v>44422.0</v>
      </c>
      <c r="HF1" s="38">
        <v>44423.0</v>
      </c>
      <c r="HG1" s="38">
        <v>44428.0</v>
      </c>
      <c r="HH1" s="38">
        <v>44437.0</v>
      </c>
      <c r="HI1" s="38">
        <v>44500.0</v>
      </c>
      <c r="HJ1" s="38">
        <v>44500.0</v>
      </c>
      <c r="HK1" s="38">
        <v>44538.0</v>
      </c>
      <c r="HL1" s="38">
        <v>44539.0</v>
      </c>
      <c r="HM1" s="38">
        <v>44562.0</v>
      </c>
      <c r="HN1" s="38">
        <v>44581.0</v>
      </c>
      <c r="HO1" s="38">
        <v>44595.0</v>
      </c>
      <c r="HP1" s="38">
        <v>44602.0</v>
      </c>
      <c r="HQ1" s="38">
        <v>44623.0</v>
      </c>
      <c r="HR1" s="38">
        <v>44664.0</v>
      </c>
      <c r="HS1" s="38">
        <v>44665.0</v>
      </c>
      <c r="HT1" s="38">
        <v>44673.0</v>
      </c>
      <c r="HU1" s="38">
        <v>44679.0</v>
      </c>
      <c r="HV1" s="38">
        <v>44681.0</v>
      </c>
      <c r="HW1" s="38">
        <v>44686.0</v>
      </c>
      <c r="HX1" s="38">
        <v>44688.0</v>
      </c>
      <c r="HY1" s="38">
        <v>44689.0</v>
      </c>
      <c r="HZ1" s="38">
        <v>44700.0</v>
      </c>
      <c r="IA1" s="38">
        <v>44702.0</v>
      </c>
      <c r="IB1" s="38">
        <v>44709.0</v>
      </c>
      <c r="IC1" s="38">
        <v>44710.0</v>
      </c>
      <c r="ID1" s="38">
        <v>44711.0</v>
      </c>
      <c r="IE1" s="38">
        <v>44712.0</v>
      </c>
      <c r="IF1" s="38">
        <v>44751.0</v>
      </c>
      <c r="IG1" s="38">
        <v>44756.0</v>
      </c>
      <c r="IH1" s="38">
        <v>44778.0</v>
      </c>
      <c r="II1" s="38">
        <v>44787.0</v>
      </c>
      <c r="IJ1" s="38">
        <v>44791.0</v>
      </c>
      <c r="IK1" s="38">
        <v>44793.0</v>
      </c>
      <c r="IL1" s="38">
        <v>44798.0</v>
      </c>
      <c r="IM1" s="38">
        <v>44815.0</v>
      </c>
      <c r="IN1" s="38">
        <v>44819.0</v>
      </c>
      <c r="IO1" s="38">
        <v>44836.0</v>
      </c>
      <c r="IP1" s="38">
        <v>44839.0</v>
      </c>
      <c r="IQ1" s="38">
        <v>44850.0</v>
      </c>
      <c r="IR1" s="38">
        <v>44852.0</v>
      </c>
      <c r="IS1" s="38">
        <v>44864.0</v>
      </c>
      <c r="IT1" s="38">
        <v>44870.0</v>
      </c>
      <c r="IU1" s="38">
        <v>44871.0</v>
      </c>
      <c r="IV1" s="38">
        <v>44875.0</v>
      </c>
      <c r="IW1" s="38">
        <v>44878.0</v>
      </c>
      <c r="IX1" s="38">
        <v>44880.0</v>
      </c>
      <c r="IY1" s="38">
        <v>44887.0</v>
      </c>
      <c r="IZ1" s="38">
        <v>44896.0</v>
      </c>
      <c r="JA1" s="38">
        <v>44903.0</v>
      </c>
      <c r="JB1" s="38">
        <v>44927.0</v>
      </c>
      <c r="JC1" s="38">
        <v>44933.0</v>
      </c>
      <c r="JD1" s="38">
        <v>44938.0</v>
      </c>
      <c r="JE1" s="38">
        <v>44945.0</v>
      </c>
      <c r="JF1" s="38">
        <v>44953.0</v>
      </c>
      <c r="JG1" s="38">
        <v>44954.0</v>
      </c>
      <c r="JH1" s="38">
        <v>44961.0</v>
      </c>
      <c r="JI1" s="38">
        <v>44966.0</v>
      </c>
      <c r="JJ1" s="38">
        <v>44968.0</v>
      </c>
      <c r="JK1" s="38">
        <v>44989.0</v>
      </c>
      <c r="JL1" s="38">
        <v>44990.0</v>
      </c>
      <c r="JM1" s="38">
        <v>44996.0</v>
      </c>
      <c r="JN1" s="38">
        <v>44999.0</v>
      </c>
      <c r="JO1" s="38">
        <v>45001.0</v>
      </c>
      <c r="JP1" s="38">
        <v>45003.0</v>
      </c>
      <c r="JQ1" s="38">
        <v>45008.0</v>
      </c>
      <c r="JR1" s="38">
        <v>45008.0</v>
      </c>
      <c r="JS1" s="38">
        <v>45010.0</v>
      </c>
      <c r="JT1" s="38">
        <v>45016.0</v>
      </c>
      <c r="JU1" s="38">
        <v>45022.0</v>
      </c>
      <c r="JV1" s="38">
        <v>45025.0</v>
      </c>
      <c r="JW1" s="38">
        <v>45027.0</v>
      </c>
      <c r="JX1" s="38">
        <v>45029.0</v>
      </c>
      <c r="JY1" s="38">
        <v>45031.0</v>
      </c>
      <c r="JZ1" s="38">
        <v>45031.0</v>
      </c>
      <c r="KA1" s="38">
        <v>45041.0</v>
      </c>
      <c r="KB1" s="38">
        <v>45043.0</v>
      </c>
      <c r="KC1" s="38">
        <v>45045.0</v>
      </c>
      <c r="KD1" s="38">
        <v>45051.0</v>
      </c>
      <c r="KE1" s="38">
        <v>45055.0</v>
      </c>
      <c r="KF1" s="38">
        <v>45057.0</v>
      </c>
      <c r="KG1" s="38">
        <v>45058.0</v>
      </c>
      <c r="KH1" s="38">
        <v>45059.0</v>
      </c>
      <c r="KI1" s="38">
        <v>45064.0</v>
      </c>
      <c r="KJ1" s="38">
        <v>45066.0</v>
      </c>
      <c r="KK1" s="38">
        <v>45067.0</v>
      </c>
      <c r="KL1" s="38">
        <v>45071.0</v>
      </c>
      <c r="KM1" s="38">
        <v>45073.0</v>
      </c>
      <c r="KN1" s="38">
        <v>45074.0</v>
      </c>
      <c r="KO1" s="38">
        <v>45079.0</v>
      </c>
      <c r="KP1" s="38">
        <v>45081.0</v>
      </c>
      <c r="KQ1" s="38">
        <v>45085.0</v>
      </c>
      <c r="KR1" s="38">
        <v>45087.0</v>
      </c>
      <c r="KS1" s="38">
        <v>45089.0</v>
      </c>
      <c r="KT1" s="38">
        <v>45092.0</v>
      </c>
      <c r="KU1" s="38">
        <v>45094.0</v>
      </c>
      <c r="KV1" s="38">
        <v>45097.0</v>
      </c>
      <c r="KW1" s="38">
        <v>45099.0</v>
      </c>
      <c r="KX1" s="38">
        <v>45106.0</v>
      </c>
      <c r="KY1" s="38">
        <v>45107.0</v>
      </c>
      <c r="KZ1" s="38">
        <v>45109.0</v>
      </c>
      <c r="LA1" s="38">
        <v>45110.0</v>
      </c>
      <c r="LB1" s="38">
        <v>45111.0</v>
      </c>
      <c r="LC1" s="38">
        <v>45113.0</v>
      </c>
      <c r="LD1" s="38">
        <v>45116.0</v>
      </c>
      <c r="LE1" s="38">
        <v>45121.0</v>
      </c>
      <c r="LF1" s="38">
        <v>45122.0</v>
      </c>
      <c r="LG1" s="38">
        <v>45126.0</v>
      </c>
      <c r="LH1" s="38">
        <v>45129.0</v>
      </c>
      <c r="LI1" s="38">
        <v>45134.0</v>
      </c>
      <c r="LJ1" s="38">
        <v>45143.0</v>
      </c>
      <c r="LK1" s="38">
        <v>45147.0</v>
      </c>
      <c r="LL1" s="38">
        <v>45148.0</v>
      </c>
      <c r="LM1" s="38">
        <v>45150.0</v>
      </c>
      <c r="LN1" s="38">
        <v>45155.0</v>
      </c>
      <c r="LO1" s="38">
        <v>45156.0</v>
      </c>
      <c r="LP1" s="38">
        <v>45158.0</v>
      </c>
      <c r="LQ1" s="38">
        <v>45162.0</v>
      </c>
      <c r="LR1" s="38">
        <v>45167.0</v>
      </c>
      <c r="LS1" s="38">
        <v>45170.0</v>
      </c>
      <c r="LT1" s="38">
        <v>45172.0</v>
      </c>
      <c r="LU1" s="38">
        <v>45178.0</v>
      </c>
      <c r="LV1" s="38">
        <v>45181.0</v>
      </c>
      <c r="LW1" s="38">
        <v>45184.0</v>
      </c>
      <c r="LX1" s="38">
        <v>45185.0</v>
      </c>
      <c r="LY1" s="38">
        <v>45187.0</v>
      </c>
      <c r="LZ1" s="38">
        <v>45190.0</v>
      </c>
      <c r="MA1" s="38">
        <v>45191.0</v>
      </c>
      <c r="MB1" s="38">
        <v>45192.0</v>
      </c>
      <c r="MC1" s="38">
        <v>45193.0</v>
      </c>
      <c r="MD1" s="38">
        <v>45194.0</v>
      </c>
      <c r="ME1" s="38">
        <v>45197.0</v>
      </c>
      <c r="MF1" s="38">
        <v>45199.0</v>
      </c>
      <c r="MG1" s="38">
        <v>45202.0</v>
      </c>
      <c r="MH1" s="38">
        <v>45206.0</v>
      </c>
      <c r="MI1" s="38">
        <v>45212.0</v>
      </c>
      <c r="MJ1" s="38">
        <v>45218.0</v>
      </c>
      <c r="MK1" s="38">
        <v>45225.0</v>
      </c>
      <c r="ML1" s="38">
        <v>45227.0</v>
      </c>
      <c r="MM1" s="38">
        <v>45232.0</v>
      </c>
      <c r="MN1" s="38">
        <v>45237.0</v>
      </c>
      <c r="MO1" s="38">
        <v>45240.0</v>
      </c>
      <c r="MP1" s="38">
        <v>45242.0</v>
      </c>
      <c r="MQ1" s="38">
        <v>45243.0</v>
      </c>
      <c r="MR1" s="38">
        <v>45245.0</v>
      </c>
      <c r="MS1" s="38">
        <v>45246.0</v>
      </c>
      <c r="MT1" s="38">
        <v>45247.0</v>
      </c>
      <c r="MU1" s="38">
        <v>45248.0</v>
      </c>
      <c r="MV1" s="38">
        <v>45249.0</v>
      </c>
      <c r="MW1" s="38">
        <v>45252.0</v>
      </c>
      <c r="MX1" s="39">
        <v>45254.0</v>
      </c>
      <c r="MY1" s="38">
        <v>45255.0</v>
      </c>
      <c r="MZ1" s="38">
        <v>45256.0</v>
      </c>
      <c r="NA1" s="38">
        <v>45259.0</v>
      </c>
      <c r="NB1" s="38">
        <v>45262.0</v>
      </c>
      <c r="NC1" s="38">
        <v>45272.0</v>
      </c>
      <c r="ND1" s="38">
        <v>45274.0</v>
      </c>
      <c r="NE1" s="38">
        <v>45278.0</v>
      </c>
      <c r="NF1" s="38">
        <v>45281.0</v>
      </c>
      <c r="NG1" s="38">
        <v>45287.0</v>
      </c>
      <c r="NH1" s="38">
        <v>45291.0</v>
      </c>
      <c r="NI1" s="38">
        <v>45302.0</v>
      </c>
      <c r="NJ1" s="38">
        <v>45309.0</v>
      </c>
      <c r="NK1" s="38">
        <v>45311.0</v>
      </c>
      <c r="NL1" s="38">
        <v>45317.0</v>
      </c>
      <c r="NM1" s="38">
        <v>45318.0</v>
      </c>
      <c r="NN1" s="38">
        <v>45319.0</v>
      </c>
      <c r="NO1" s="38">
        <v>45323.0</v>
      </c>
      <c r="NP1" s="38">
        <v>45325.0</v>
      </c>
      <c r="NQ1" s="38">
        <v>45330.0</v>
      </c>
      <c r="NR1" s="38">
        <v>45332.0</v>
      </c>
      <c r="NS1" s="38">
        <v>45337.0</v>
      </c>
      <c r="NT1" s="38">
        <v>45339.0</v>
      </c>
      <c r="NU1" s="38">
        <v>45344.0</v>
      </c>
      <c r="NV1" s="38">
        <v>45650.0</v>
      </c>
      <c r="NW1" s="38">
        <v>45351.0</v>
      </c>
      <c r="NX1" s="38">
        <v>45353.0</v>
      </c>
      <c r="NY1" s="38">
        <v>45358.0</v>
      </c>
      <c r="NZ1" s="38">
        <v>45360.0</v>
      </c>
      <c r="OA1" s="38">
        <v>45364.0</v>
      </c>
      <c r="OB1" s="38">
        <v>45367.0</v>
      </c>
      <c r="OC1" s="38">
        <v>45372.0</v>
      </c>
      <c r="OD1" s="38">
        <v>45380.0</v>
      </c>
      <c r="OE1" s="38">
        <v>45381.0</v>
      </c>
      <c r="OF1" s="38">
        <v>45392.0</v>
      </c>
      <c r="OG1" s="38">
        <v>45393.0</v>
      </c>
      <c r="OH1" s="38">
        <v>45395.0</v>
      </c>
      <c r="OI1" s="38">
        <v>45397.0</v>
      </c>
      <c r="OJ1" s="38">
        <v>45398.0</v>
      </c>
      <c r="OK1" s="38">
        <v>45391.0</v>
      </c>
      <c r="OL1" s="38">
        <v>45407.0</v>
      </c>
      <c r="OM1" s="38">
        <v>45416.0</v>
      </c>
      <c r="ON1" s="38">
        <v>45424.0</v>
      </c>
      <c r="OO1" s="38">
        <v>45426.0</v>
      </c>
      <c r="OP1" s="38">
        <v>45430.0</v>
      </c>
      <c r="OQ1" s="38">
        <v>45438.0</v>
      </c>
      <c r="OR1" s="38">
        <v>45444.0</v>
      </c>
      <c r="OS1" s="38">
        <v>45451.0</v>
      </c>
      <c r="OT1" s="38">
        <v>45458.0</v>
      </c>
      <c r="OU1" s="38">
        <v>45465.0</v>
      </c>
      <c r="OV1" s="38">
        <v>45471.0</v>
      </c>
      <c r="OW1" s="38">
        <v>45472.0</v>
      </c>
      <c r="OX1" s="38">
        <v>45476.0</v>
      </c>
      <c r="OY1" s="38">
        <v>45481.0</v>
      </c>
      <c r="OZ1" s="38">
        <v>45485.0</v>
      </c>
      <c r="PA1" s="38">
        <v>45486.0</v>
      </c>
      <c r="PB1" s="38">
        <v>45493.0</v>
      </c>
      <c r="PC1" s="38">
        <v>45494.0</v>
      </c>
      <c r="PD1" s="38">
        <v>45497.0</v>
      </c>
      <c r="PE1" s="38">
        <v>45498.0</v>
      </c>
      <c r="PF1" s="38">
        <v>45516.0</v>
      </c>
      <c r="PG1" s="38">
        <v>45521.0</v>
      </c>
      <c r="PH1" s="38">
        <v>45534.0</v>
      </c>
      <c r="PI1" s="38">
        <v>45536.0</v>
      </c>
      <c r="PJ1" s="38">
        <v>45598.0</v>
      </c>
      <c r="PK1" s="38">
        <v>45611.0</v>
      </c>
      <c r="PL1" s="38">
        <v>45619.0</v>
      </c>
      <c r="PM1" s="38">
        <v>45624.0</v>
      </c>
      <c r="PN1" s="38">
        <v>45633.0</v>
      </c>
      <c r="PO1" s="38">
        <v>45637.0</v>
      </c>
      <c r="PP1" s="38">
        <v>45641.0</v>
      </c>
      <c r="PQ1" s="38">
        <v>45654.0</v>
      </c>
      <c r="PR1" s="38">
        <v>45655.0</v>
      </c>
      <c r="PS1" s="38">
        <v>45657.0</v>
      </c>
      <c r="PT1" s="38">
        <v>45661.0</v>
      </c>
      <c r="PU1" s="38">
        <v>45664.0</v>
      </c>
      <c r="PV1" s="38">
        <v>45666.0</v>
      </c>
      <c r="PW1" s="38">
        <v>45668.0</v>
      </c>
      <c r="PX1" s="38">
        <v>45675.0</v>
      </c>
      <c r="PY1" s="38">
        <v>45683.0</v>
      </c>
      <c r="PZ1" s="38">
        <v>45690.0</v>
      </c>
      <c r="QA1" s="38">
        <v>45696.0</v>
      </c>
      <c r="QB1" s="38">
        <v>45699.0</v>
      </c>
      <c r="QC1" s="38">
        <v>45704.0</v>
      </c>
      <c r="QD1" s="38">
        <v>45711.0</v>
      </c>
      <c r="QE1" s="38">
        <v>45719.0</v>
      </c>
      <c r="QF1" s="38">
        <v>45723.0</v>
      </c>
      <c r="QG1" s="38">
        <v>45731.0</v>
      </c>
      <c r="QH1" s="38">
        <v>45743.0</v>
      </c>
      <c r="QI1" s="38">
        <v>45745.0</v>
      </c>
      <c r="QJ1" s="38">
        <v>45752.0</v>
      </c>
      <c r="QK1" s="38">
        <v>45754.0</v>
      </c>
      <c r="QL1" s="38">
        <v>45757.0</v>
      </c>
      <c r="QM1" s="38">
        <v>45758.0</v>
      </c>
      <c r="QN1" s="38">
        <v>45759.0</v>
      </c>
      <c r="QO1" s="38">
        <v>45764.0</v>
      </c>
      <c r="QP1" s="38">
        <v>45772.0</v>
      </c>
      <c r="QQ1" s="38">
        <v>45773.0</v>
      </c>
      <c r="QR1" s="38">
        <v>45774.0</v>
      </c>
      <c r="QS1" s="38">
        <v>45775.0</v>
      </c>
      <c r="QT1" s="38">
        <v>45785.0</v>
      </c>
      <c r="QU1" s="38">
        <v>45788.0</v>
      </c>
      <c r="QV1" s="38">
        <v>45794.0</v>
      </c>
      <c r="QW1" s="38">
        <v>45799.0</v>
      </c>
      <c r="QX1" s="38">
        <v>45801.0</v>
      </c>
      <c r="QY1" s="38">
        <v>45807.0</v>
      </c>
      <c r="QZ1" s="38">
        <v>45808.0</v>
      </c>
      <c r="RA1" s="38">
        <v>45815.0</v>
      </c>
      <c r="RB1" s="38">
        <v>45821.0</v>
      </c>
      <c r="RC1" s="38">
        <v>45823.0</v>
      </c>
      <c r="RD1" s="38">
        <v>45829.0</v>
      </c>
      <c r="RE1" s="38">
        <v>45830.0</v>
      </c>
      <c r="RF1" s="38">
        <v>45836.0</v>
      </c>
      <c r="RG1" s="38">
        <v>45837.0</v>
      </c>
      <c r="RH1" s="38">
        <v>45838.0</v>
      </c>
      <c r="RI1" s="38">
        <v>45841.0</v>
      </c>
      <c r="RJ1" s="38">
        <v>45842.0</v>
      </c>
      <c r="RK1" s="38">
        <v>45844.0</v>
      </c>
      <c r="RL1" s="38">
        <v>45845.0</v>
      </c>
      <c r="RM1" s="38">
        <v>45853.0</v>
      </c>
      <c r="RN1" s="38">
        <v>45875.0</v>
      </c>
      <c r="RO1" s="38">
        <v>45879.0</v>
      </c>
      <c r="RP1" s="38">
        <v>45881.0</v>
      </c>
      <c r="RQ1" s="38">
        <v>45885.0</v>
      </c>
      <c r="RR1" s="38">
        <v>45886.0</v>
      </c>
      <c r="RS1" s="38">
        <v>45889.0</v>
      </c>
      <c r="RT1" s="38">
        <v>45892.0</v>
      </c>
      <c r="RU1" s="38">
        <v>45897.0</v>
      </c>
      <c r="RV1" s="38">
        <v>45898.0</v>
      </c>
      <c r="RW1" s="38">
        <v>45899.0</v>
      </c>
      <c r="RX1" s="38">
        <v>45900.0</v>
      </c>
      <c r="RY1" s="38">
        <v>45903.0</v>
      </c>
      <c r="RZ1" s="38">
        <v>45906.0</v>
      </c>
      <c r="SA1" s="38">
        <v>45914.0</v>
      </c>
      <c r="SB1" s="38">
        <v>45917.0</v>
      </c>
      <c r="SC1" s="38">
        <v>45922.0</v>
      </c>
      <c r="SD1" s="38">
        <v>45924.0</v>
      </c>
      <c r="SE1" s="38">
        <v>45930.0</v>
      </c>
      <c r="SF1" s="38">
        <v>45931.0</v>
      </c>
      <c r="SG1" s="38">
        <v>45934.0</v>
      </c>
      <c r="SH1" s="38">
        <v>45941.0</v>
      </c>
      <c r="SI1" s="38">
        <v>45948.0</v>
      </c>
      <c r="SJ1" s="38">
        <v>45961.0</v>
      </c>
      <c r="SK1" s="38">
        <v>45966.0</v>
      </c>
      <c r="SL1" s="38">
        <v>45968.0</v>
      </c>
      <c r="SM1" s="38">
        <v>45969.0</v>
      </c>
      <c r="SN1" s="38">
        <v>45970.0</v>
      </c>
      <c r="SO1" s="38">
        <v>45976.0</v>
      </c>
      <c r="SP1" s="38">
        <v>45983.0</v>
      </c>
      <c r="SQ1" s="38">
        <v>45983.0</v>
      </c>
      <c r="SR1" s="38">
        <v>45990.0</v>
      </c>
      <c r="SS1" s="38">
        <v>45991.0</v>
      </c>
      <c r="ST1" s="38">
        <v>45994.0</v>
      </c>
      <c r="SU1" s="38">
        <v>45997.0</v>
      </c>
      <c r="SV1" s="38">
        <v>46016.0</v>
      </c>
      <c r="SW1" s="38">
        <v>46017.0</v>
      </c>
      <c r="SX1" s="38">
        <v>46023.0</v>
      </c>
      <c r="SY1" s="38">
        <v>46025.0</v>
      </c>
      <c r="SZ1" s="38">
        <v>46032.0</v>
      </c>
      <c r="TA1" s="38">
        <v>46039.0</v>
      </c>
      <c r="TB1" s="38">
        <v>46041.0</v>
      </c>
      <c r="TC1" s="38">
        <v>46044.0</v>
      </c>
      <c r="TD1" s="38">
        <v>46050.0</v>
      </c>
      <c r="TE1" s="38">
        <v>46067.0</v>
      </c>
      <c r="TF1" s="38">
        <v>46074.0</v>
      </c>
      <c r="TG1" s="38">
        <v>46081.0</v>
      </c>
      <c r="TH1" s="38">
        <v>46084.0</v>
      </c>
      <c r="TI1" s="38">
        <v>46085.0</v>
      </c>
      <c r="TJ1" s="38">
        <v>46089.0</v>
      </c>
      <c r="TK1" s="38">
        <v>46091.0</v>
      </c>
      <c r="TL1" s="38">
        <v>46109.0</v>
      </c>
      <c r="TM1" s="38">
        <v>46121.0</v>
      </c>
      <c r="TN1" s="38">
        <v>46137.0</v>
      </c>
      <c r="TO1" s="38">
        <v>46156.0</v>
      </c>
      <c r="TP1" s="38">
        <v>46159.0</v>
      </c>
      <c r="TQ1" s="38">
        <v>46160.0</v>
      </c>
      <c r="TR1" s="38">
        <v>46167.0</v>
      </c>
      <c r="TS1" s="38">
        <v>46186.0</v>
      </c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8"/>
      <c r="AGR1" s="38"/>
      <c r="AGS1" s="38"/>
      <c r="AGT1" s="38"/>
      <c r="AGU1" s="38"/>
      <c r="AGV1" s="38"/>
      <c r="AGW1" s="38"/>
      <c r="AGX1" s="38"/>
      <c r="AGY1" s="38"/>
      <c r="AGZ1" s="38"/>
      <c r="AHA1" s="38"/>
      <c r="AHB1" s="38"/>
      <c r="AHC1" s="38"/>
      <c r="AHD1" s="38"/>
      <c r="AHE1" s="38"/>
      <c r="AHF1" s="38"/>
      <c r="AHG1" s="38"/>
      <c r="AHH1" s="38"/>
      <c r="AHI1" s="38"/>
      <c r="AHJ1" s="38"/>
      <c r="AHK1" s="38"/>
      <c r="AHL1" s="38"/>
      <c r="AHM1" s="38"/>
      <c r="AHN1" s="38"/>
      <c r="AHO1" s="38"/>
      <c r="AHP1" s="38"/>
    </row>
    <row r="2">
      <c r="A2" s="19" t="s">
        <v>1</v>
      </c>
      <c r="B2" s="19" t="s">
        <v>40</v>
      </c>
      <c r="C2" s="19" t="s">
        <v>40</v>
      </c>
      <c r="D2" s="19" t="s">
        <v>40</v>
      </c>
      <c r="E2" s="19" t="s">
        <v>40</v>
      </c>
      <c r="F2" s="19" t="s">
        <v>40</v>
      </c>
      <c r="G2" s="19" t="s">
        <v>39</v>
      </c>
      <c r="H2" s="19" t="s">
        <v>40</v>
      </c>
      <c r="I2" s="19" t="s">
        <v>40</v>
      </c>
      <c r="J2" s="19" t="s">
        <v>40</v>
      </c>
      <c r="K2" s="19" t="s">
        <v>40</v>
      </c>
      <c r="L2" s="19" t="s">
        <v>40</v>
      </c>
      <c r="M2" s="19" t="s">
        <v>40</v>
      </c>
      <c r="N2" s="19" t="s">
        <v>40</v>
      </c>
      <c r="O2" s="19" t="s">
        <v>40</v>
      </c>
      <c r="P2" s="19" t="s">
        <v>40</v>
      </c>
      <c r="Q2" s="19" t="s">
        <v>40</v>
      </c>
      <c r="R2" s="19" t="s">
        <v>40</v>
      </c>
      <c r="S2" s="19" t="s">
        <v>40</v>
      </c>
      <c r="T2" s="19" t="s">
        <v>40</v>
      </c>
      <c r="U2" s="19" t="s">
        <v>40</v>
      </c>
      <c r="V2" s="19" t="s">
        <v>40</v>
      </c>
      <c r="W2" s="19" t="s">
        <v>40</v>
      </c>
      <c r="X2" s="19" t="s">
        <v>42</v>
      </c>
      <c r="Y2" s="19" t="s">
        <v>40</v>
      </c>
      <c r="Z2" s="19" t="s">
        <v>42</v>
      </c>
      <c r="AA2" s="19" t="s">
        <v>42</v>
      </c>
      <c r="AB2" s="19" t="s">
        <v>40</v>
      </c>
      <c r="AC2" s="19" t="s">
        <v>40</v>
      </c>
      <c r="AD2" s="19" t="s">
        <v>40</v>
      </c>
      <c r="AE2" s="19" t="s">
        <v>40</v>
      </c>
      <c r="AF2" s="19" t="s">
        <v>42</v>
      </c>
      <c r="AG2" s="19" t="s">
        <v>40</v>
      </c>
      <c r="AH2" s="19" t="s">
        <v>42</v>
      </c>
      <c r="AI2" s="19" t="s">
        <v>40</v>
      </c>
      <c r="AJ2" s="19" t="s">
        <v>40</v>
      </c>
      <c r="AK2" s="19" t="s">
        <v>42</v>
      </c>
      <c r="AL2" s="19" t="s">
        <v>42</v>
      </c>
      <c r="AM2" s="19" t="s">
        <v>40</v>
      </c>
      <c r="AN2" s="19" t="s">
        <v>40</v>
      </c>
      <c r="AO2" s="19" t="s">
        <v>42</v>
      </c>
      <c r="AP2" s="19" t="s">
        <v>40</v>
      </c>
      <c r="AQ2" s="19" t="s">
        <v>42</v>
      </c>
      <c r="AR2" s="19" t="s">
        <v>42</v>
      </c>
      <c r="AS2" s="19" t="s">
        <v>40</v>
      </c>
      <c r="AT2" s="19" t="s">
        <v>42</v>
      </c>
      <c r="AU2" s="19" t="s">
        <v>42</v>
      </c>
      <c r="AV2" s="19" t="s">
        <v>40</v>
      </c>
      <c r="AW2" s="19" t="s">
        <v>40</v>
      </c>
      <c r="AX2" s="19" t="s">
        <v>40</v>
      </c>
      <c r="AY2" s="19" t="s">
        <v>43</v>
      </c>
      <c r="AZ2" s="19" t="s">
        <v>40</v>
      </c>
      <c r="BA2" s="19" t="s">
        <v>40</v>
      </c>
      <c r="BB2" s="19" t="s">
        <v>42</v>
      </c>
      <c r="BC2" s="19" t="s">
        <v>42</v>
      </c>
      <c r="BD2" s="19" t="s">
        <v>40</v>
      </c>
      <c r="BE2" s="19" t="s">
        <v>42</v>
      </c>
      <c r="BF2" s="19" t="s">
        <v>40</v>
      </c>
      <c r="BG2" s="19" t="s">
        <v>40</v>
      </c>
      <c r="BH2" s="19" t="s">
        <v>42</v>
      </c>
      <c r="BI2" s="19" t="s">
        <v>40</v>
      </c>
      <c r="BJ2" s="19" t="s">
        <v>42</v>
      </c>
      <c r="BK2" s="19" t="s">
        <v>40</v>
      </c>
      <c r="BL2" s="19" t="s">
        <v>40</v>
      </c>
      <c r="BM2" s="19" t="s">
        <v>40</v>
      </c>
      <c r="BN2" s="19" t="s">
        <v>40</v>
      </c>
      <c r="BO2" s="19" t="s">
        <v>40</v>
      </c>
      <c r="BP2" s="19" t="s">
        <v>40</v>
      </c>
      <c r="BQ2" s="19" t="s">
        <v>40</v>
      </c>
      <c r="BR2" s="19" t="s">
        <v>40</v>
      </c>
      <c r="BS2" s="19" t="s">
        <v>40</v>
      </c>
      <c r="BT2" s="19" t="s">
        <v>40</v>
      </c>
      <c r="BU2" s="19" t="s">
        <v>40</v>
      </c>
      <c r="BV2" s="19" t="s">
        <v>40</v>
      </c>
      <c r="BW2" s="19" t="s">
        <v>40</v>
      </c>
      <c r="BX2" s="19" t="s">
        <v>40</v>
      </c>
      <c r="BY2" s="19" t="s">
        <v>40</v>
      </c>
      <c r="BZ2" s="19" t="s">
        <v>40</v>
      </c>
      <c r="CA2" s="19" t="s">
        <v>40</v>
      </c>
      <c r="CB2" s="19" t="s">
        <v>40</v>
      </c>
      <c r="CC2" s="19" t="s">
        <v>40</v>
      </c>
      <c r="CD2" s="19" t="s">
        <v>40</v>
      </c>
      <c r="CE2" s="19" t="s">
        <v>40</v>
      </c>
      <c r="CF2" s="19" t="s">
        <v>42</v>
      </c>
      <c r="CG2" s="19" t="s">
        <v>42</v>
      </c>
      <c r="CH2" s="19" t="s">
        <v>42</v>
      </c>
      <c r="CI2" s="19" t="s">
        <v>42</v>
      </c>
      <c r="CJ2" s="19" t="s">
        <v>42</v>
      </c>
      <c r="CK2" s="19" t="s">
        <v>42</v>
      </c>
      <c r="CL2" s="19" t="s">
        <v>42</v>
      </c>
      <c r="CM2" s="19" t="s">
        <v>42</v>
      </c>
      <c r="CN2" s="19" t="s">
        <v>42</v>
      </c>
      <c r="CO2" s="19" t="s">
        <v>42</v>
      </c>
      <c r="CP2" s="19" t="s">
        <v>42</v>
      </c>
      <c r="CQ2" s="19" t="s">
        <v>42</v>
      </c>
      <c r="CR2" s="19" t="s">
        <v>42</v>
      </c>
      <c r="CS2" s="19" t="s">
        <v>42</v>
      </c>
      <c r="CT2" s="19" t="s">
        <v>42</v>
      </c>
      <c r="CU2" s="19" t="s">
        <v>42</v>
      </c>
      <c r="CV2" s="19" t="s">
        <v>42</v>
      </c>
      <c r="CW2" s="19" t="s">
        <v>42</v>
      </c>
      <c r="CX2" s="19" t="s">
        <v>42</v>
      </c>
      <c r="CY2" s="19" t="s">
        <v>42</v>
      </c>
      <c r="CZ2" s="19" t="s">
        <v>42</v>
      </c>
      <c r="DA2" s="19" t="s">
        <v>42</v>
      </c>
      <c r="DB2" s="19" t="s">
        <v>42</v>
      </c>
      <c r="DC2" s="19" t="s">
        <v>42</v>
      </c>
      <c r="DD2" s="19" t="s">
        <v>42</v>
      </c>
      <c r="DE2" s="19" t="s">
        <v>42</v>
      </c>
      <c r="DF2" s="19" t="s">
        <v>42</v>
      </c>
      <c r="DG2" s="19" t="s">
        <v>42</v>
      </c>
      <c r="DH2" s="19" t="s">
        <v>42</v>
      </c>
      <c r="DI2" s="19" t="s">
        <v>42</v>
      </c>
      <c r="DJ2" s="19" t="s">
        <v>42</v>
      </c>
      <c r="DK2" s="19" t="s">
        <v>42</v>
      </c>
      <c r="DL2" s="19" t="s">
        <v>42</v>
      </c>
      <c r="DM2" s="19" t="s">
        <v>42</v>
      </c>
      <c r="DN2" s="19" t="s">
        <v>42</v>
      </c>
      <c r="DO2" s="19" t="s">
        <v>42</v>
      </c>
      <c r="DP2" s="19" t="s">
        <v>42</v>
      </c>
      <c r="DQ2" s="19" t="s">
        <v>42</v>
      </c>
      <c r="DR2" s="19" t="s">
        <v>42</v>
      </c>
      <c r="DS2" s="19" t="s">
        <v>42</v>
      </c>
      <c r="DT2" s="19" t="s">
        <v>42</v>
      </c>
      <c r="DU2" s="19" t="s">
        <v>42</v>
      </c>
      <c r="DV2" s="19" t="s">
        <v>42</v>
      </c>
      <c r="DW2" s="19" t="s">
        <v>44</v>
      </c>
      <c r="DX2" s="19" t="s">
        <v>45</v>
      </c>
      <c r="DY2" s="19" t="s">
        <v>46</v>
      </c>
      <c r="DZ2" s="19" t="s">
        <v>46</v>
      </c>
      <c r="EA2" s="19" t="s">
        <v>42</v>
      </c>
      <c r="EB2" s="19" t="s">
        <v>40</v>
      </c>
      <c r="EC2" s="19" t="s">
        <v>40</v>
      </c>
      <c r="ED2" s="19" t="s">
        <v>42</v>
      </c>
      <c r="EE2" s="19" t="s">
        <v>40</v>
      </c>
      <c r="EF2" s="19" t="s">
        <v>40</v>
      </c>
      <c r="EG2" s="19" t="s">
        <v>40</v>
      </c>
      <c r="EH2" s="19" t="s">
        <v>42</v>
      </c>
      <c r="EI2" s="19" t="s">
        <v>40</v>
      </c>
      <c r="EJ2" s="19" t="s">
        <v>40</v>
      </c>
      <c r="EK2" s="19" t="s">
        <v>40</v>
      </c>
      <c r="EL2" s="19" t="s">
        <v>40</v>
      </c>
      <c r="EM2" s="19" t="s">
        <v>42</v>
      </c>
      <c r="EN2" s="19" t="s">
        <v>47</v>
      </c>
      <c r="EO2" s="19" t="s">
        <v>42</v>
      </c>
      <c r="EP2" s="19" t="s">
        <v>42</v>
      </c>
      <c r="EQ2" s="19" t="s">
        <v>42</v>
      </c>
      <c r="ER2" s="19" t="s">
        <v>42</v>
      </c>
      <c r="ES2" s="19" t="s">
        <v>40</v>
      </c>
      <c r="ET2" s="19" t="s">
        <v>40</v>
      </c>
      <c r="EU2" s="19" t="s">
        <v>48</v>
      </c>
      <c r="EV2" s="19" t="s">
        <v>40</v>
      </c>
      <c r="EW2" s="19" t="s">
        <v>42</v>
      </c>
      <c r="EX2" s="19" t="s">
        <v>42</v>
      </c>
      <c r="EY2" s="19" t="s">
        <v>42</v>
      </c>
      <c r="EZ2" s="19" t="s">
        <v>40</v>
      </c>
      <c r="FA2" s="19" t="s">
        <v>42</v>
      </c>
      <c r="FB2" s="19" t="s">
        <v>40</v>
      </c>
      <c r="FC2" s="19" t="s">
        <v>42</v>
      </c>
      <c r="FD2" s="19" t="s">
        <v>44</v>
      </c>
      <c r="FE2" s="19" t="s">
        <v>44</v>
      </c>
      <c r="FF2" s="19" t="s">
        <v>42</v>
      </c>
      <c r="FG2" s="19" t="s">
        <v>44</v>
      </c>
      <c r="FH2" s="19" t="s">
        <v>44</v>
      </c>
      <c r="FI2" s="19" t="s">
        <v>44</v>
      </c>
      <c r="FJ2" s="19" t="s">
        <v>42</v>
      </c>
      <c r="FK2" s="19" t="s">
        <v>40</v>
      </c>
      <c r="FL2" s="19" t="s">
        <v>44</v>
      </c>
      <c r="FM2" s="19" t="s">
        <v>44</v>
      </c>
      <c r="FN2" s="19" t="s">
        <v>44</v>
      </c>
      <c r="FO2" s="19" t="s">
        <v>40</v>
      </c>
      <c r="FP2" s="19" t="s">
        <v>40</v>
      </c>
      <c r="FQ2" s="19" t="s">
        <v>44</v>
      </c>
      <c r="FR2" s="19" t="s">
        <v>44</v>
      </c>
      <c r="FS2" s="19" t="s">
        <v>49</v>
      </c>
      <c r="FT2" s="19" t="s">
        <v>40</v>
      </c>
      <c r="FU2" s="19" t="s">
        <v>40</v>
      </c>
      <c r="FV2" s="19" t="s">
        <v>40</v>
      </c>
      <c r="FW2" s="19" t="s">
        <v>40</v>
      </c>
      <c r="FX2" s="19" t="s">
        <v>40</v>
      </c>
      <c r="FY2" s="19" t="s">
        <v>40</v>
      </c>
      <c r="FZ2" s="19" t="s">
        <v>40</v>
      </c>
      <c r="GA2" s="19" t="s">
        <v>40</v>
      </c>
      <c r="GB2" s="19" t="s">
        <v>40</v>
      </c>
      <c r="GC2" s="19" t="s">
        <v>40</v>
      </c>
      <c r="GD2" s="19" t="s">
        <v>42</v>
      </c>
      <c r="GE2" s="19" t="s">
        <v>42</v>
      </c>
      <c r="GF2" s="19" t="s">
        <v>42</v>
      </c>
      <c r="GG2" s="19" t="s">
        <v>40</v>
      </c>
      <c r="GH2" s="19" t="s">
        <v>50</v>
      </c>
      <c r="GI2" s="19" t="s">
        <v>50</v>
      </c>
      <c r="GJ2" s="19" t="s">
        <v>42</v>
      </c>
      <c r="GK2" s="19" t="s">
        <v>50</v>
      </c>
      <c r="GL2" s="19" t="s">
        <v>50</v>
      </c>
      <c r="GM2" s="19" t="s">
        <v>50</v>
      </c>
      <c r="GN2" s="19" t="s">
        <v>51</v>
      </c>
      <c r="GO2" s="19" t="s">
        <v>43</v>
      </c>
      <c r="GP2" s="19" t="s">
        <v>40</v>
      </c>
      <c r="GQ2" s="19" t="s">
        <v>40</v>
      </c>
      <c r="GR2" s="19" t="s">
        <v>40</v>
      </c>
      <c r="GS2" s="19" t="s">
        <v>44</v>
      </c>
      <c r="GT2" s="19" t="s">
        <v>44</v>
      </c>
      <c r="GU2" s="19" t="s">
        <v>44</v>
      </c>
      <c r="GV2" s="19" t="s">
        <v>40</v>
      </c>
      <c r="GW2" s="19" t="s">
        <v>42</v>
      </c>
      <c r="GX2" s="19" t="s">
        <v>44</v>
      </c>
      <c r="GY2" s="19" t="s">
        <v>42</v>
      </c>
      <c r="GZ2" s="19" t="s">
        <v>42</v>
      </c>
      <c r="HA2" s="19" t="s">
        <v>42</v>
      </c>
      <c r="HB2" s="19" t="s">
        <v>42</v>
      </c>
      <c r="HC2" s="19" t="s">
        <v>40</v>
      </c>
      <c r="HD2" s="19" t="s">
        <v>40</v>
      </c>
      <c r="HE2" s="19" t="s">
        <v>42</v>
      </c>
      <c r="HF2" s="19" t="s">
        <v>40</v>
      </c>
      <c r="HG2" s="19" t="s">
        <v>42</v>
      </c>
      <c r="HH2" s="19" t="s">
        <v>42</v>
      </c>
      <c r="HI2" s="19" t="s">
        <v>40</v>
      </c>
      <c r="HJ2" s="19" t="s">
        <v>40</v>
      </c>
      <c r="HK2" s="19" t="s">
        <v>44</v>
      </c>
      <c r="HL2" s="19" t="s">
        <v>44</v>
      </c>
      <c r="HM2" s="19" t="s">
        <v>42</v>
      </c>
      <c r="HN2" s="19" t="s">
        <v>40</v>
      </c>
      <c r="HO2" s="19" t="s">
        <v>40</v>
      </c>
      <c r="HP2" s="19" t="s">
        <v>40</v>
      </c>
      <c r="HQ2" s="19" t="s">
        <v>40</v>
      </c>
      <c r="HR2" s="19" t="s">
        <v>44</v>
      </c>
      <c r="HS2" s="19" t="s">
        <v>44</v>
      </c>
      <c r="HT2" s="19" t="s">
        <v>40</v>
      </c>
      <c r="HU2" s="19" t="s">
        <v>40</v>
      </c>
      <c r="HV2" s="19" t="s">
        <v>42</v>
      </c>
      <c r="HW2" s="19" t="s">
        <v>40</v>
      </c>
      <c r="HX2" s="19" t="s">
        <v>40</v>
      </c>
      <c r="HY2" s="19" t="s">
        <v>42</v>
      </c>
      <c r="HZ2" s="19" t="s">
        <v>40</v>
      </c>
      <c r="IA2" s="19" t="s">
        <v>42</v>
      </c>
      <c r="IB2" s="19" t="s">
        <v>40</v>
      </c>
      <c r="IC2" s="19" t="s">
        <v>52</v>
      </c>
      <c r="ID2" s="19" t="s">
        <v>53</v>
      </c>
      <c r="IE2" s="19" t="s">
        <v>40</v>
      </c>
      <c r="IF2" s="19" t="s">
        <v>42</v>
      </c>
      <c r="IG2" s="19" t="s">
        <v>40</v>
      </c>
      <c r="IH2" s="19" t="s">
        <v>42</v>
      </c>
      <c r="II2" s="19" t="s">
        <v>42</v>
      </c>
      <c r="IJ2" s="19" t="s">
        <v>40</v>
      </c>
      <c r="IK2" s="19" t="s">
        <v>40</v>
      </c>
      <c r="IL2" s="19" t="s">
        <v>40</v>
      </c>
      <c r="IM2" s="19" t="s">
        <v>42</v>
      </c>
      <c r="IN2" s="19" t="s">
        <v>40</v>
      </c>
      <c r="IO2" s="19" t="s">
        <v>42</v>
      </c>
      <c r="IP2" s="19" t="s">
        <v>40</v>
      </c>
      <c r="IQ2" s="19" t="s">
        <v>40</v>
      </c>
      <c r="IR2" s="19" t="s">
        <v>40</v>
      </c>
      <c r="IS2" s="19" t="s">
        <v>42</v>
      </c>
      <c r="IT2" s="19" t="s">
        <v>44</v>
      </c>
      <c r="IU2" s="19" t="s">
        <v>40</v>
      </c>
      <c r="IV2" s="19" t="s">
        <v>42</v>
      </c>
      <c r="IW2" s="19" t="s">
        <v>42</v>
      </c>
      <c r="IX2" s="19" t="s">
        <v>40</v>
      </c>
      <c r="IY2" s="19" t="s">
        <v>40</v>
      </c>
      <c r="IZ2" s="19" t="s">
        <v>42</v>
      </c>
      <c r="JA2" s="19" t="s">
        <v>42</v>
      </c>
      <c r="JB2" s="19" t="s">
        <v>42</v>
      </c>
      <c r="JC2" s="19" t="s">
        <v>42</v>
      </c>
      <c r="JD2" s="19" t="s">
        <v>42</v>
      </c>
      <c r="JE2" s="19" t="s">
        <v>42</v>
      </c>
      <c r="JF2" s="19" t="s">
        <v>44</v>
      </c>
      <c r="JG2" s="19" t="s">
        <v>42</v>
      </c>
      <c r="JH2" s="19" t="s">
        <v>42</v>
      </c>
      <c r="JI2" s="19" t="s">
        <v>42</v>
      </c>
      <c r="JJ2" s="19" t="s">
        <v>42</v>
      </c>
      <c r="JK2" s="19" t="s">
        <v>40</v>
      </c>
      <c r="JL2" s="19" t="s">
        <v>40</v>
      </c>
      <c r="JM2" s="19" t="s">
        <v>40</v>
      </c>
      <c r="JN2" s="19" t="s">
        <v>40</v>
      </c>
      <c r="JO2" s="19" t="s">
        <v>40</v>
      </c>
      <c r="JP2" s="19" t="s">
        <v>40</v>
      </c>
      <c r="JQ2" s="19" t="s">
        <v>40</v>
      </c>
      <c r="JR2" s="19" t="s">
        <v>40</v>
      </c>
      <c r="JS2" s="19" t="s">
        <v>40</v>
      </c>
      <c r="JT2" s="19" t="s">
        <v>49</v>
      </c>
      <c r="JU2" s="19" t="s">
        <v>40</v>
      </c>
      <c r="JV2" s="19" t="s">
        <v>54</v>
      </c>
      <c r="JW2" s="19" t="s">
        <v>42</v>
      </c>
      <c r="JX2" s="19" t="s">
        <v>40</v>
      </c>
      <c r="JY2" s="19" t="s">
        <v>42</v>
      </c>
      <c r="JZ2" s="19" t="s">
        <v>40</v>
      </c>
      <c r="KA2" s="19" t="s">
        <v>40</v>
      </c>
      <c r="KB2" s="19" t="s">
        <v>40</v>
      </c>
      <c r="KC2" s="19" t="s">
        <v>40</v>
      </c>
      <c r="KD2" s="19" t="s">
        <v>42</v>
      </c>
      <c r="KE2" s="19" t="s">
        <v>40</v>
      </c>
      <c r="KF2" s="19" t="s">
        <v>40</v>
      </c>
      <c r="KG2" s="19" t="s">
        <v>55</v>
      </c>
      <c r="KH2" s="19" t="s">
        <v>56</v>
      </c>
      <c r="KI2" s="19" t="s">
        <v>40</v>
      </c>
      <c r="KJ2" s="19" t="s">
        <v>56</v>
      </c>
      <c r="KK2" s="19" t="s">
        <v>40</v>
      </c>
      <c r="KL2" s="19" t="s">
        <v>40</v>
      </c>
      <c r="KM2" s="19" t="s">
        <v>57</v>
      </c>
      <c r="KN2" s="19" t="s">
        <v>57</v>
      </c>
      <c r="KO2" s="19" t="s">
        <v>40</v>
      </c>
      <c r="KP2" s="19" t="s">
        <v>40</v>
      </c>
      <c r="KQ2" s="19" t="s">
        <v>55</v>
      </c>
      <c r="KR2" s="19" t="s">
        <v>43</v>
      </c>
      <c r="KS2" s="19" t="s">
        <v>55</v>
      </c>
      <c r="KT2" s="19" t="s">
        <v>55</v>
      </c>
      <c r="KU2" s="19" t="s">
        <v>55</v>
      </c>
      <c r="KV2" s="19" t="s">
        <v>55</v>
      </c>
      <c r="KW2" s="19" t="s">
        <v>55</v>
      </c>
      <c r="KX2" s="19" t="s">
        <v>55</v>
      </c>
      <c r="KY2" s="19" t="s">
        <v>55</v>
      </c>
      <c r="KZ2" s="19" t="s">
        <v>58</v>
      </c>
      <c r="LA2" s="19" t="s">
        <v>58</v>
      </c>
      <c r="LB2" s="19" t="s">
        <v>58</v>
      </c>
      <c r="LC2" s="19" t="s">
        <v>55</v>
      </c>
      <c r="LD2" s="19" t="s">
        <v>55</v>
      </c>
      <c r="LE2" s="19" t="s">
        <v>55</v>
      </c>
      <c r="LF2" s="19" t="s">
        <v>42</v>
      </c>
      <c r="LG2" s="19" t="s">
        <v>55</v>
      </c>
      <c r="LH2" s="19" t="s">
        <v>55</v>
      </c>
      <c r="LI2" s="19" t="s">
        <v>55</v>
      </c>
      <c r="LJ2" s="19" t="s">
        <v>59</v>
      </c>
      <c r="LK2" s="19" t="s">
        <v>55</v>
      </c>
      <c r="LL2" s="19" t="s">
        <v>55</v>
      </c>
      <c r="LM2" s="19" t="s">
        <v>42</v>
      </c>
      <c r="LN2" s="19" t="s">
        <v>55</v>
      </c>
      <c r="LO2" s="19" t="s">
        <v>59</v>
      </c>
      <c r="LP2" s="19" t="s">
        <v>55</v>
      </c>
      <c r="LQ2" s="19" t="s">
        <v>55</v>
      </c>
      <c r="LR2" s="19" t="s">
        <v>55</v>
      </c>
      <c r="LS2" s="19" t="s">
        <v>44</v>
      </c>
      <c r="LT2" s="19" t="s">
        <v>44</v>
      </c>
      <c r="LU2" s="19" t="s">
        <v>42</v>
      </c>
      <c r="LV2" s="19" t="s">
        <v>55</v>
      </c>
      <c r="LW2" s="19" t="s">
        <v>60</v>
      </c>
      <c r="LX2" s="19" t="s">
        <v>61</v>
      </c>
      <c r="LY2" s="19" t="s">
        <v>61</v>
      </c>
      <c r="LZ2" s="19" t="s">
        <v>62</v>
      </c>
      <c r="MA2" s="19" t="s">
        <v>63</v>
      </c>
      <c r="MB2" s="19" t="s">
        <v>63</v>
      </c>
      <c r="MC2" s="19" t="s">
        <v>63</v>
      </c>
      <c r="MD2" s="19" t="s">
        <v>55</v>
      </c>
      <c r="ME2" s="19" t="s">
        <v>55</v>
      </c>
      <c r="MF2" s="19" t="s">
        <v>42</v>
      </c>
      <c r="MG2" s="19" t="s">
        <v>42</v>
      </c>
      <c r="MH2" s="19" t="s">
        <v>42</v>
      </c>
      <c r="MI2" s="19" t="s">
        <v>42</v>
      </c>
      <c r="MJ2" s="19" t="s">
        <v>55</v>
      </c>
      <c r="MK2" s="19" t="s">
        <v>55</v>
      </c>
      <c r="ML2" s="19" t="s">
        <v>42</v>
      </c>
      <c r="MM2" s="19" t="s">
        <v>55</v>
      </c>
      <c r="MN2" s="19" t="s">
        <v>55</v>
      </c>
      <c r="MO2" s="19" t="s">
        <v>64</v>
      </c>
      <c r="MP2" s="19" t="s">
        <v>65</v>
      </c>
      <c r="MQ2" s="19" t="s">
        <v>66</v>
      </c>
      <c r="MR2" s="19" t="s">
        <v>67</v>
      </c>
      <c r="MS2" s="19" t="s">
        <v>68</v>
      </c>
      <c r="MT2" s="19" t="s">
        <v>69</v>
      </c>
      <c r="MU2" s="19" t="s">
        <v>69</v>
      </c>
      <c r="MV2" s="19" t="s">
        <v>69</v>
      </c>
      <c r="MW2" s="19" t="s">
        <v>69</v>
      </c>
      <c r="MX2" s="19" t="s">
        <v>70</v>
      </c>
      <c r="MY2" s="19" t="s">
        <v>71</v>
      </c>
      <c r="MZ2" s="19" t="s">
        <v>72</v>
      </c>
      <c r="NA2" s="19" t="s">
        <v>73</v>
      </c>
      <c r="NB2" s="19" t="s">
        <v>74</v>
      </c>
      <c r="NC2" s="19" t="s">
        <v>48</v>
      </c>
      <c r="ND2" s="19" t="s">
        <v>55</v>
      </c>
      <c r="NE2" s="19" t="s">
        <v>56</v>
      </c>
      <c r="NF2" s="19" t="s">
        <v>55</v>
      </c>
      <c r="NG2" s="19" t="s">
        <v>55</v>
      </c>
      <c r="NH2" s="19" t="s">
        <v>55</v>
      </c>
      <c r="NI2" s="19" t="s">
        <v>55</v>
      </c>
      <c r="NJ2" s="19" t="s">
        <v>55</v>
      </c>
      <c r="NK2" s="19" t="s">
        <v>48</v>
      </c>
      <c r="NL2" s="19" t="s">
        <v>74</v>
      </c>
      <c r="NM2" s="19" t="s">
        <v>74</v>
      </c>
      <c r="NN2" s="19" t="s">
        <v>74</v>
      </c>
      <c r="NO2" s="19" t="s">
        <v>55</v>
      </c>
      <c r="NP2" s="19" t="s">
        <v>56</v>
      </c>
      <c r="NQ2" s="19" t="s">
        <v>55</v>
      </c>
      <c r="NR2" s="19" t="s">
        <v>55</v>
      </c>
      <c r="NS2" s="19" t="s">
        <v>55</v>
      </c>
      <c r="NT2" s="19" t="s">
        <v>56</v>
      </c>
      <c r="NU2" s="19" t="s">
        <v>55</v>
      </c>
      <c r="NV2" s="19" t="s">
        <v>55</v>
      </c>
      <c r="NW2" s="19" t="s">
        <v>55</v>
      </c>
      <c r="NX2" s="19" t="s">
        <v>56</v>
      </c>
      <c r="NY2" s="19" t="s">
        <v>55</v>
      </c>
      <c r="NZ2" s="19" t="s">
        <v>56</v>
      </c>
      <c r="OA2" s="19" t="s">
        <v>55</v>
      </c>
      <c r="OB2" s="19" t="s">
        <v>55</v>
      </c>
      <c r="OC2" s="19" t="s">
        <v>55</v>
      </c>
      <c r="OD2" s="19" t="s">
        <v>74</v>
      </c>
      <c r="OE2" s="19" t="s">
        <v>75</v>
      </c>
      <c r="OF2" s="19" t="s">
        <v>76</v>
      </c>
      <c r="OG2" s="19" t="s">
        <v>77</v>
      </c>
      <c r="OH2" s="19" t="s">
        <v>77</v>
      </c>
      <c r="OI2" s="19" t="s">
        <v>77</v>
      </c>
      <c r="OJ2" s="19" t="s">
        <v>77</v>
      </c>
      <c r="OK2" s="19" t="s">
        <v>78</v>
      </c>
      <c r="OL2" s="19" t="s">
        <v>55</v>
      </c>
      <c r="OM2" s="19" t="s">
        <v>55</v>
      </c>
      <c r="ON2" s="19" t="s">
        <v>55</v>
      </c>
      <c r="OO2" s="19" t="s">
        <v>55</v>
      </c>
      <c r="OP2" s="19" t="s">
        <v>55</v>
      </c>
      <c r="OQ2" s="19" t="s">
        <v>74</v>
      </c>
      <c r="OR2" s="19" t="s">
        <v>55</v>
      </c>
      <c r="OS2" s="19" t="s">
        <v>56</v>
      </c>
      <c r="OT2" s="19" t="s">
        <v>80</v>
      </c>
      <c r="OU2" s="19" t="s">
        <v>55</v>
      </c>
      <c r="OV2" s="19" t="s">
        <v>55</v>
      </c>
      <c r="OW2" s="19" t="s">
        <v>56</v>
      </c>
      <c r="OX2" s="19" t="s">
        <v>81</v>
      </c>
      <c r="OY2" s="19" t="s">
        <v>82</v>
      </c>
      <c r="OZ2" s="19" t="s">
        <v>83</v>
      </c>
      <c r="PA2" s="19" t="s">
        <v>55</v>
      </c>
      <c r="PB2" s="19" t="s">
        <v>56</v>
      </c>
      <c r="PC2" s="19" t="s">
        <v>55</v>
      </c>
      <c r="PD2" s="19" t="s">
        <v>55</v>
      </c>
      <c r="PE2" s="19" t="s">
        <v>55</v>
      </c>
      <c r="PF2" s="19" t="s">
        <v>56</v>
      </c>
      <c r="PG2" s="19" t="s">
        <v>56</v>
      </c>
      <c r="PH2" s="19" t="s">
        <v>74</v>
      </c>
      <c r="PI2" s="19" t="s">
        <v>56</v>
      </c>
      <c r="PJ2" s="19" t="s">
        <v>56</v>
      </c>
      <c r="PK2" s="19" t="s">
        <v>56</v>
      </c>
      <c r="PL2" s="19" t="s">
        <v>55</v>
      </c>
      <c r="PM2" s="19" t="s">
        <v>56</v>
      </c>
      <c r="PN2" s="19" t="s">
        <v>55</v>
      </c>
      <c r="PO2" s="19" t="s">
        <v>55</v>
      </c>
      <c r="PP2" s="19" t="s">
        <v>55</v>
      </c>
      <c r="PQ2" s="19" t="s">
        <v>55</v>
      </c>
      <c r="PR2" s="19" t="s">
        <v>55</v>
      </c>
      <c r="PS2" s="19" t="s">
        <v>55</v>
      </c>
      <c r="PT2" s="19" t="s">
        <v>56</v>
      </c>
      <c r="PU2" s="19" t="s">
        <v>74</v>
      </c>
      <c r="PV2" s="19" t="s">
        <v>74</v>
      </c>
      <c r="PW2" s="19" t="s">
        <v>48</v>
      </c>
      <c r="PX2" s="19" t="s">
        <v>55</v>
      </c>
      <c r="PY2" s="19" t="s">
        <v>74</v>
      </c>
      <c r="PZ2" s="19" t="s">
        <v>74</v>
      </c>
      <c r="QA2" s="19" t="s">
        <v>55</v>
      </c>
      <c r="QB2" s="19" t="s">
        <v>56</v>
      </c>
      <c r="QC2" s="19" t="s">
        <v>55</v>
      </c>
      <c r="QD2" s="19" t="s">
        <v>55</v>
      </c>
      <c r="QE2" s="19" t="s">
        <v>74</v>
      </c>
      <c r="QF2" s="19" t="s">
        <v>74</v>
      </c>
      <c r="QG2" s="19" t="s">
        <v>55</v>
      </c>
      <c r="QH2" s="19" t="s">
        <v>55</v>
      </c>
      <c r="QI2" s="19" t="s">
        <v>55</v>
      </c>
      <c r="QJ2" s="19" t="s">
        <v>55</v>
      </c>
      <c r="QK2" s="19" t="s">
        <v>55</v>
      </c>
      <c r="QL2" s="19" t="s">
        <v>74</v>
      </c>
      <c r="QM2" s="19" t="s">
        <v>84</v>
      </c>
      <c r="QN2" s="19" t="s">
        <v>84</v>
      </c>
      <c r="QO2" s="19" t="s">
        <v>55</v>
      </c>
      <c r="QP2" s="19" t="s">
        <v>74</v>
      </c>
      <c r="QQ2" s="19" t="s">
        <v>74</v>
      </c>
      <c r="QR2" s="19" t="s">
        <v>74</v>
      </c>
      <c r="QS2" s="19" t="s">
        <v>55</v>
      </c>
      <c r="QT2" s="19" t="s">
        <v>55</v>
      </c>
      <c r="QU2" s="19" t="s">
        <v>55</v>
      </c>
      <c r="QV2" s="19" t="s">
        <v>55</v>
      </c>
      <c r="QW2" s="19" t="s">
        <v>55</v>
      </c>
      <c r="QX2" s="19" t="s">
        <v>55</v>
      </c>
      <c r="QY2" s="19" t="s">
        <v>55</v>
      </c>
      <c r="QZ2" s="19" t="s">
        <v>55</v>
      </c>
      <c r="RA2" s="19" t="s">
        <v>55</v>
      </c>
      <c r="RB2" s="19" t="s">
        <v>55</v>
      </c>
      <c r="RC2" s="19" t="s">
        <v>55</v>
      </c>
      <c r="RD2" s="19" t="s">
        <v>74</v>
      </c>
      <c r="RE2" s="19" t="s">
        <v>42</v>
      </c>
      <c r="RF2" s="19" t="s">
        <v>55</v>
      </c>
      <c r="RG2" s="19" t="s">
        <v>74</v>
      </c>
      <c r="RH2" s="19" t="s">
        <v>74</v>
      </c>
      <c r="RI2" s="19" t="s">
        <v>55</v>
      </c>
      <c r="RJ2" s="19" t="s">
        <v>55</v>
      </c>
      <c r="RK2" s="19" t="s">
        <v>55</v>
      </c>
      <c r="RL2" s="19" t="s">
        <v>55</v>
      </c>
      <c r="RM2" s="19" t="s">
        <v>55</v>
      </c>
      <c r="RN2" s="19" t="s">
        <v>55</v>
      </c>
      <c r="RO2" s="19" t="s">
        <v>55</v>
      </c>
      <c r="RP2" s="19" t="s">
        <v>55</v>
      </c>
      <c r="RQ2" s="19" t="s">
        <v>85</v>
      </c>
      <c r="RR2" s="19" t="s">
        <v>85</v>
      </c>
      <c r="RS2" s="19" t="s">
        <v>55</v>
      </c>
      <c r="RT2" s="19" t="s">
        <v>55</v>
      </c>
      <c r="RU2" s="19" t="s">
        <v>55</v>
      </c>
      <c r="RV2" s="19" t="s">
        <v>74</v>
      </c>
      <c r="RW2" s="19" t="s">
        <v>74</v>
      </c>
      <c r="RX2" s="19" t="s">
        <v>74</v>
      </c>
      <c r="RY2" s="19" t="s">
        <v>55</v>
      </c>
      <c r="RZ2" s="19" t="s">
        <v>55</v>
      </c>
      <c r="SA2" s="19" t="s">
        <v>55</v>
      </c>
      <c r="SB2" s="19" t="s">
        <v>55</v>
      </c>
      <c r="SC2" s="19" t="s">
        <v>55</v>
      </c>
      <c r="SD2" s="19" t="s">
        <v>42</v>
      </c>
      <c r="SE2" s="19" t="s">
        <v>86</v>
      </c>
      <c r="SF2" s="19" t="s">
        <v>86</v>
      </c>
      <c r="SG2" s="19" t="s">
        <v>55</v>
      </c>
      <c r="SH2" s="19" t="s">
        <v>55</v>
      </c>
      <c r="SI2" s="19" t="s">
        <v>74</v>
      </c>
      <c r="SJ2" s="19" t="s">
        <v>55</v>
      </c>
      <c r="SK2" s="19" t="s">
        <v>74</v>
      </c>
      <c r="SL2" s="19" t="s">
        <v>74</v>
      </c>
      <c r="SM2" s="19" t="s">
        <v>74</v>
      </c>
      <c r="SN2" s="19" t="s">
        <v>55</v>
      </c>
      <c r="SO2" s="19" t="s">
        <v>55</v>
      </c>
      <c r="SP2" s="19" t="s">
        <v>55</v>
      </c>
      <c r="SQ2" s="19" t="s">
        <v>74</v>
      </c>
      <c r="SR2" s="19" t="s">
        <v>74</v>
      </c>
      <c r="SS2" s="19" t="s">
        <v>74</v>
      </c>
      <c r="ST2" s="19" t="s">
        <v>55</v>
      </c>
      <c r="SU2" s="19" t="s">
        <v>42</v>
      </c>
      <c r="SV2" s="19" t="s">
        <v>55</v>
      </c>
      <c r="SW2" s="19" t="s">
        <v>55</v>
      </c>
      <c r="SX2" s="19" t="s">
        <v>55</v>
      </c>
      <c r="SY2" s="19" t="s">
        <v>42</v>
      </c>
      <c r="SZ2" s="19" t="s">
        <v>55</v>
      </c>
      <c r="TA2" s="19" t="s">
        <v>42</v>
      </c>
      <c r="TB2" s="19" t="s">
        <v>87</v>
      </c>
      <c r="TC2" s="19" t="s">
        <v>74</v>
      </c>
      <c r="TD2" s="19" t="s">
        <v>74</v>
      </c>
      <c r="TE2" s="19" t="s">
        <v>42</v>
      </c>
      <c r="TF2" s="19" t="s">
        <v>55</v>
      </c>
      <c r="TG2" s="19" t="s">
        <v>42</v>
      </c>
      <c r="TH2" s="19" t="s">
        <v>74</v>
      </c>
      <c r="TI2" s="19" t="s">
        <v>74</v>
      </c>
      <c r="TJ2" s="19" t="s">
        <v>74</v>
      </c>
      <c r="TK2" s="19" t="s">
        <v>74</v>
      </c>
      <c r="TL2" s="19" t="s">
        <v>42</v>
      </c>
      <c r="TM2" s="19" t="s">
        <v>55</v>
      </c>
      <c r="TN2" s="19" t="s">
        <v>74</v>
      </c>
      <c r="TO2" s="19" t="s">
        <v>55</v>
      </c>
      <c r="TP2" s="19" t="s">
        <v>88</v>
      </c>
      <c r="TQ2" s="19" t="s">
        <v>88</v>
      </c>
      <c r="TR2" s="19" t="s">
        <v>74</v>
      </c>
      <c r="TS2" s="19" t="s">
        <v>89</v>
      </c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 t="s">
        <v>90</v>
      </c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</row>
    <row r="3">
      <c r="A3" s="19" t="s">
        <v>2</v>
      </c>
      <c r="B3" s="19"/>
      <c r="C3" s="19"/>
      <c r="D3" s="19"/>
      <c r="E3" s="19"/>
      <c r="F3" s="19"/>
      <c r="G3" s="19" t="s">
        <v>41</v>
      </c>
      <c r="H3" s="19"/>
      <c r="I3" s="19"/>
      <c r="J3" s="19"/>
      <c r="K3" s="19"/>
      <c r="L3" s="19"/>
      <c r="M3" s="19"/>
      <c r="N3" s="19"/>
      <c r="O3" s="19"/>
      <c r="P3" s="19"/>
      <c r="Q3" s="19" t="s">
        <v>41</v>
      </c>
      <c r="R3" s="19" t="s">
        <v>41</v>
      </c>
      <c r="S3" s="19"/>
      <c r="T3" s="19"/>
      <c r="U3" s="19" t="s">
        <v>41</v>
      </c>
      <c r="V3" s="19" t="s">
        <v>41</v>
      </c>
      <c r="W3" s="19"/>
      <c r="X3" s="19" t="s">
        <v>41</v>
      </c>
      <c r="Y3" s="19"/>
      <c r="Z3" s="19"/>
      <c r="AA3" s="19"/>
      <c r="AB3" s="19" t="s">
        <v>41</v>
      </c>
      <c r="AC3" s="19" t="s">
        <v>41</v>
      </c>
      <c r="AD3" s="19"/>
      <c r="AE3" s="19" t="s">
        <v>41</v>
      </c>
      <c r="AF3" s="19" t="s">
        <v>41</v>
      </c>
      <c r="AG3" s="19"/>
      <c r="AH3" s="19"/>
      <c r="AI3" s="19"/>
      <c r="AJ3" s="19"/>
      <c r="AK3" s="19"/>
      <c r="AL3" s="19"/>
      <c r="AM3" s="19"/>
      <c r="AN3" s="19" t="s">
        <v>41</v>
      </c>
      <c r="AO3" s="19" t="s">
        <v>41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 t="s">
        <v>41</v>
      </c>
      <c r="BA3" s="19"/>
      <c r="BB3" s="19"/>
      <c r="BC3" s="19"/>
      <c r="BD3" s="19"/>
      <c r="BE3" s="19"/>
      <c r="BF3" s="19" t="s">
        <v>41</v>
      </c>
      <c r="BG3" s="19" t="s">
        <v>41</v>
      </c>
      <c r="BH3" s="19"/>
      <c r="BI3" s="19"/>
      <c r="BJ3" s="19"/>
      <c r="BK3" s="19"/>
      <c r="BL3" s="19" t="s">
        <v>41</v>
      </c>
      <c r="BM3" s="19"/>
      <c r="BN3" s="19"/>
      <c r="BO3" s="19"/>
      <c r="BP3" s="19" t="s">
        <v>41</v>
      </c>
      <c r="BQ3" s="19" t="s">
        <v>41</v>
      </c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 t="s">
        <v>41</v>
      </c>
      <c r="CM3" s="19"/>
      <c r="CN3" s="19"/>
      <c r="CO3" s="19"/>
      <c r="CP3" s="19" t="s">
        <v>41</v>
      </c>
      <c r="CQ3" s="19" t="s">
        <v>41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 t="s">
        <v>41</v>
      </c>
      <c r="DD3" s="19"/>
      <c r="DE3" s="19"/>
      <c r="DF3" s="19"/>
      <c r="DG3" s="19" t="s">
        <v>41</v>
      </c>
      <c r="DH3" s="19" t="s">
        <v>41</v>
      </c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 t="s">
        <v>41</v>
      </c>
      <c r="DX3" s="19" t="s">
        <v>41</v>
      </c>
      <c r="DY3" s="19"/>
      <c r="DZ3" s="19"/>
      <c r="EA3" s="19"/>
      <c r="EB3" s="19" t="s">
        <v>41</v>
      </c>
      <c r="EC3" s="19" t="s">
        <v>41</v>
      </c>
      <c r="ED3" s="19"/>
      <c r="EE3" s="19"/>
      <c r="EF3" s="19" t="s">
        <v>41</v>
      </c>
      <c r="EG3" s="19"/>
      <c r="EH3" s="19"/>
      <c r="EI3" s="19"/>
      <c r="EJ3" s="19" t="s">
        <v>41</v>
      </c>
      <c r="EK3" s="19"/>
      <c r="EL3" s="19"/>
      <c r="EM3" s="19" t="s">
        <v>41</v>
      </c>
      <c r="EN3" s="19" t="s">
        <v>41</v>
      </c>
      <c r="EO3" s="19"/>
      <c r="EP3" s="19" t="s">
        <v>41</v>
      </c>
      <c r="EQ3" s="19"/>
      <c r="ER3" s="19"/>
      <c r="ES3" s="19"/>
      <c r="ET3" s="19" t="s">
        <v>41</v>
      </c>
      <c r="EU3" s="19"/>
      <c r="EV3" s="19"/>
      <c r="EW3" s="19"/>
      <c r="EX3" s="19"/>
      <c r="EY3" s="19"/>
      <c r="EZ3" s="19"/>
      <c r="FA3" s="19"/>
      <c r="FB3" s="19" t="s">
        <v>41</v>
      </c>
      <c r="FC3" s="19" t="s">
        <v>41</v>
      </c>
      <c r="FD3" s="19" t="s">
        <v>41</v>
      </c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 t="s">
        <v>41</v>
      </c>
      <c r="FR3" s="19"/>
      <c r="FS3" s="19" t="s">
        <v>41</v>
      </c>
      <c r="FT3" s="19" t="s">
        <v>41</v>
      </c>
      <c r="FU3" s="19"/>
      <c r="FV3" s="19"/>
      <c r="FW3" s="19" t="s">
        <v>41</v>
      </c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 t="s">
        <v>41</v>
      </c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 t="s">
        <v>41</v>
      </c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 t="s">
        <v>41</v>
      </c>
      <c r="HS3" s="19" t="s">
        <v>41</v>
      </c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 t="s">
        <v>41</v>
      </c>
      <c r="IJ3" s="19"/>
      <c r="IK3" s="19"/>
      <c r="IL3" s="19"/>
      <c r="IM3" s="19"/>
      <c r="IN3" s="19" t="s">
        <v>41</v>
      </c>
      <c r="IO3" s="19"/>
      <c r="IP3" s="19"/>
      <c r="IQ3" s="19"/>
      <c r="IR3" s="19" t="s">
        <v>41</v>
      </c>
      <c r="IS3" s="19"/>
      <c r="IT3" s="19"/>
      <c r="IU3" s="19" t="s">
        <v>41</v>
      </c>
      <c r="IV3" s="19"/>
      <c r="IW3" s="19"/>
      <c r="IX3" s="19" t="s">
        <v>41</v>
      </c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 t="s">
        <v>41</v>
      </c>
      <c r="KQ3" s="19" t="s">
        <v>41</v>
      </c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 t="s">
        <v>41</v>
      </c>
      <c r="PG3" s="19"/>
      <c r="PH3" s="19"/>
      <c r="PI3" s="19"/>
      <c r="PJ3" s="19"/>
      <c r="PK3" s="19"/>
      <c r="PL3" s="19"/>
      <c r="PM3" s="19"/>
      <c r="PN3" s="19"/>
      <c r="PO3" s="19" t="s">
        <v>41</v>
      </c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 t="s">
        <v>41</v>
      </c>
      <c r="TC3" s="19" t="s">
        <v>41</v>
      </c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 t="s">
        <v>41</v>
      </c>
      <c r="TP3" s="19"/>
      <c r="TQ3" s="19"/>
      <c r="TR3" s="19" t="s">
        <v>41</v>
      </c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</row>
    <row r="4">
      <c r="A4" s="19" t="s">
        <v>3</v>
      </c>
      <c r="B4" s="19"/>
      <c r="C4" s="19"/>
      <c r="D4" s="19"/>
      <c r="E4" s="19"/>
      <c r="F4" s="19"/>
      <c r="G4" s="19">
        <v>150.0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</row>
    <row r="5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>
        <v>355.0</v>
      </c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</row>
    <row r="6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>
        <v>80.0</v>
      </c>
      <c r="R6" s="19"/>
      <c r="S6" s="19"/>
      <c r="T6" s="19"/>
      <c r="U6" s="19">
        <v>490.0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>
        <v>375.0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>
        <v>750.0</v>
      </c>
      <c r="KB6" s="19"/>
      <c r="KC6" s="19"/>
      <c r="KD6" s="19"/>
      <c r="KE6" s="19">
        <v>310.0</v>
      </c>
      <c r="KF6" s="19"/>
      <c r="KG6" s="19"/>
      <c r="KH6" s="19"/>
      <c r="KI6" s="19">
        <v>380.0</v>
      </c>
      <c r="KJ6" s="19"/>
      <c r="KK6" s="19">
        <v>530.0</v>
      </c>
      <c r="KL6" s="19"/>
      <c r="KM6" s="19"/>
      <c r="KN6" s="19"/>
      <c r="KO6" s="19"/>
      <c r="KP6" s="19">
        <v>335.0</v>
      </c>
      <c r="KQ6" s="19"/>
      <c r="KR6" s="19"/>
      <c r="KS6" s="19"/>
      <c r="KT6" s="19"/>
      <c r="KU6" s="19"/>
      <c r="KV6" s="19">
        <v>160.0</v>
      </c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</row>
    <row r="7">
      <c r="A7" s="19" t="s">
        <v>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>
        <v>390.0</v>
      </c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</row>
    <row r="8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>
        <v>170.0</v>
      </c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>
        <v>420.0</v>
      </c>
      <c r="MH8" s="19"/>
      <c r="MI8" s="19">
        <v>540.0</v>
      </c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</row>
    <row r="9">
      <c r="A9" s="19" t="s">
        <v>8</v>
      </c>
      <c r="B9" s="19">
        <v>690.0</v>
      </c>
      <c r="C9" s="19"/>
      <c r="D9" s="19">
        <v>385.0</v>
      </c>
      <c r="E9" s="19">
        <v>495.0</v>
      </c>
      <c r="F9" s="19"/>
      <c r="G9" s="19"/>
      <c r="H9" s="19">
        <v>280.0</v>
      </c>
      <c r="I9" s="19">
        <v>460.0</v>
      </c>
      <c r="J9" s="19">
        <v>190.0</v>
      </c>
      <c r="K9" s="19">
        <v>400.0</v>
      </c>
      <c r="L9" s="19">
        <v>165.0</v>
      </c>
      <c r="M9" s="19">
        <v>445.0</v>
      </c>
      <c r="N9" s="19">
        <v>525.0</v>
      </c>
      <c r="O9" s="19">
        <v>405.0</v>
      </c>
      <c r="P9" s="19">
        <v>250.0</v>
      </c>
      <c r="Q9" s="19">
        <v>220.0</v>
      </c>
      <c r="R9" s="19">
        <v>95.0</v>
      </c>
      <c r="S9" s="19">
        <v>455.0</v>
      </c>
      <c r="T9" s="19">
        <v>430.0</v>
      </c>
      <c r="U9" s="19">
        <v>200.0</v>
      </c>
      <c r="V9" s="19"/>
      <c r="W9" s="19">
        <v>260.0</v>
      </c>
      <c r="X9" s="19">
        <v>245.0</v>
      </c>
      <c r="Y9" s="19">
        <v>440.0</v>
      </c>
      <c r="Z9" s="19">
        <v>575.0</v>
      </c>
      <c r="AA9" s="19">
        <v>95.0</v>
      </c>
      <c r="AB9" s="19">
        <v>155.0</v>
      </c>
      <c r="AC9" s="19">
        <v>235.0</v>
      </c>
      <c r="AD9" s="19"/>
      <c r="AE9" s="19"/>
      <c r="AF9" s="19">
        <v>75.0</v>
      </c>
      <c r="AG9" s="19">
        <v>125.0</v>
      </c>
      <c r="AH9" s="19">
        <v>175.0</v>
      </c>
      <c r="AI9" s="19">
        <v>595.0</v>
      </c>
      <c r="AJ9" s="19"/>
      <c r="AK9" s="19">
        <v>535.0</v>
      </c>
      <c r="AL9" s="19">
        <v>840.0</v>
      </c>
      <c r="AM9" s="19">
        <v>635.0</v>
      </c>
      <c r="AN9" s="19">
        <v>235.0</v>
      </c>
      <c r="AO9" s="19">
        <v>170.0</v>
      </c>
      <c r="AP9" s="19"/>
      <c r="AQ9" s="19">
        <v>125.0</v>
      </c>
      <c r="AR9" s="19">
        <v>595.0</v>
      </c>
      <c r="AS9" s="19"/>
      <c r="AT9" s="19">
        <v>485.0</v>
      </c>
      <c r="AU9" s="19">
        <v>330.0</v>
      </c>
      <c r="AV9" s="19"/>
      <c r="AW9" s="19">
        <v>100.0</v>
      </c>
      <c r="AX9" s="19"/>
      <c r="AY9" s="19"/>
      <c r="AZ9" s="19">
        <v>165.0</v>
      </c>
      <c r="BA9" s="19"/>
      <c r="BB9" s="19">
        <v>560.0</v>
      </c>
      <c r="BC9" s="19">
        <v>465.0</v>
      </c>
      <c r="BD9" s="19"/>
      <c r="BE9" s="19">
        <v>770.0</v>
      </c>
      <c r="BF9" s="19"/>
      <c r="BG9" s="19">
        <v>215.0</v>
      </c>
      <c r="BH9" s="19">
        <v>225.0</v>
      </c>
      <c r="BI9" s="19">
        <v>235.0</v>
      </c>
      <c r="BJ9" s="19">
        <v>385.0</v>
      </c>
      <c r="BK9" s="19">
        <v>465.0</v>
      </c>
      <c r="BL9" s="19"/>
      <c r="BM9" s="19">
        <v>330.0</v>
      </c>
      <c r="BN9" s="19">
        <v>95.0</v>
      </c>
      <c r="BO9" s="19">
        <v>195.0</v>
      </c>
      <c r="BP9" s="19"/>
      <c r="BQ9" s="19"/>
      <c r="BR9" s="19">
        <v>80.0</v>
      </c>
      <c r="BS9" s="19"/>
      <c r="BT9" s="19">
        <v>1020.0</v>
      </c>
      <c r="BU9" s="19"/>
      <c r="BV9" s="19">
        <v>570.0</v>
      </c>
      <c r="BW9" s="19">
        <v>345.0</v>
      </c>
      <c r="BX9" s="19"/>
      <c r="BY9" s="19"/>
      <c r="BZ9" s="19"/>
      <c r="CA9" s="19"/>
      <c r="CB9" s="19"/>
      <c r="CC9" s="19"/>
      <c r="CD9" s="19"/>
      <c r="CE9" s="19"/>
      <c r="CF9" s="19">
        <v>380.0</v>
      </c>
      <c r="CG9" s="19">
        <v>395.0</v>
      </c>
      <c r="CH9" s="19">
        <v>675.0</v>
      </c>
      <c r="CI9" s="19">
        <v>105.0</v>
      </c>
      <c r="CJ9" s="19">
        <v>765.0</v>
      </c>
      <c r="CK9" s="19">
        <v>760.0</v>
      </c>
      <c r="CL9" s="19">
        <v>215.0</v>
      </c>
      <c r="CM9" s="19">
        <v>755.0</v>
      </c>
      <c r="CN9" s="19">
        <v>390.0</v>
      </c>
      <c r="CO9" s="19">
        <v>620.0</v>
      </c>
      <c r="CP9" s="19">
        <v>380.0</v>
      </c>
      <c r="CQ9" s="19">
        <v>300.0</v>
      </c>
      <c r="CR9" s="19">
        <v>395.0</v>
      </c>
      <c r="CS9" s="19">
        <v>355.0</v>
      </c>
      <c r="CT9" s="19">
        <v>565.0</v>
      </c>
      <c r="CU9" s="19">
        <v>355.0</v>
      </c>
      <c r="CV9" s="19">
        <v>250.0</v>
      </c>
      <c r="CW9" s="19"/>
      <c r="CX9" s="19">
        <v>605.0</v>
      </c>
      <c r="CY9" s="19">
        <v>790.0</v>
      </c>
      <c r="CZ9" s="19">
        <v>370.0</v>
      </c>
      <c r="DA9" s="19">
        <v>365.0</v>
      </c>
      <c r="DB9" s="19">
        <v>585.0</v>
      </c>
      <c r="DC9" s="19">
        <v>245.0</v>
      </c>
      <c r="DD9" s="19">
        <v>325.0</v>
      </c>
      <c r="DE9" s="19">
        <v>630.0</v>
      </c>
      <c r="DF9" s="19">
        <v>210.0</v>
      </c>
      <c r="DG9" s="19">
        <v>170.0</v>
      </c>
      <c r="DH9" s="19">
        <v>285.0</v>
      </c>
      <c r="DI9" s="19">
        <v>210.0</v>
      </c>
      <c r="DJ9" s="19">
        <v>245.0</v>
      </c>
      <c r="DK9" s="19">
        <v>155.0</v>
      </c>
      <c r="DL9" s="19">
        <v>400.0</v>
      </c>
      <c r="DM9" s="19">
        <v>795.0</v>
      </c>
      <c r="DN9" s="19">
        <v>270.0</v>
      </c>
      <c r="DO9" s="19">
        <v>395.0</v>
      </c>
      <c r="DP9" s="19">
        <v>310.0</v>
      </c>
      <c r="DQ9" s="19">
        <v>440.0</v>
      </c>
      <c r="DR9" s="19">
        <v>325.0</v>
      </c>
      <c r="DS9" s="19">
        <v>590.0</v>
      </c>
      <c r="DT9" s="19">
        <v>235.0</v>
      </c>
      <c r="DU9" s="19">
        <v>315.0</v>
      </c>
      <c r="DV9" s="19">
        <v>190.0</v>
      </c>
      <c r="DW9" s="19"/>
      <c r="DX9" s="19"/>
      <c r="DY9" s="19"/>
      <c r="DZ9" s="19"/>
      <c r="EA9" s="19">
        <v>670.0</v>
      </c>
      <c r="EB9" s="19"/>
      <c r="EC9" s="19"/>
      <c r="ED9" s="19">
        <v>600.0</v>
      </c>
      <c r="EE9" s="19">
        <v>470.0</v>
      </c>
      <c r="EF9" s="19">
        <v>260.0</v>
      </c>
      <c r="EG9" s="19">
        <v>555.0</v>
      </c>
      <c r="EH9" s="19">
        <v>520.0</v>
      </c>
      <c r="EI9" s="19">
        <v>460.0</v>
      </c>
      <c r="EJ9" s="19"/>
      <c r="EK9" s="19">
        <v>430.0</v>
      </c>
      <c r="EL9" s="19">
        <v>435.0</v>
      </c>
      <c r="EM9" s="19">
        <v>395.0</v>
      </c>
      <c r="EN9" s="19">
        <v>155.0</v>
      </c>
      <c r="EO9" s="19">
        <v>345.0</v>
      </c>
      <c r="EP9" s="19">
        <v>115.0</v>
      </c>
      <c r="EQ9" s="19">
        <v>590.0</v>
      </c>
      <c r="ER9" s="19">
        <v>250.0</v>
      </c>
      <c r="ES9" s="19"/>
      <c r="ET9" s="19"/>
      <c r="EU9" s="19">
        <v>245.0</v>
      </c>
      <c r="EV9" s="19">
        <v>310.0</v>
      </c>
      <c r="EW9" s="19">
        <v>170.0</v>
      </c>
      <c r="EX9" s="19">
        <v>295.0</v>
      </c>
      <c r="EY9" s="19">
        <v>205.0</v>
      </c>
      <c r="EZ9" s="19">
        <v>445.0</v>
      </c>
      <c r="FA9" s="19">
        <v>360.0</v>
      </c>
      <c r="FB9" s="19"/>
      <c r="FC9" s="19">
        <v>220.0</v>
      </c>
      <c r="FD9" s="19"/>
      <c r="FE9" s="19"/>
      <c r="FF9" s="19">
        <v>895.0</v>
      </c>
      <c r="FG9" s="19"/>
      <c r="FH9" s="19"/>
      <c r="FI9" s="19"/>
      <c r="FJ9" s="19">
        <v>535.0</v>
      </c>
      <c r="FK9" s="19"/>
      <c r="FL9" s="19"/>
      <c r="FM9" s="19"/>
      <c r="FN9" s="19"/>
      <c r="FO9" s="19"/>
      <c r="FP9" s="19">
        <v>795.0</v>
      </c>
      <c r="FQ9" s="19"/>
      <c r="FR9" s="19"/>
      <c r="FS9" s="19"/>
      <c r="FT9" s="19"/>
      <c r="FU9" s="19"/>
      <c r="FV9" s="19">
        <v>215.0</v>
      </c>
      <c r="FW9" s="19"/>
      <c r="FX9" s="19">
        <v>310.0</v>
      </c>
      <c r="FY9" s="19"/>
      <c r="FZ9" s="19">
        <v>525.0</v>
      </c>
      <c r="GA9" s="19"/>
      <c r="GB9" s="19">
        <v>405.0</v>
      </c>
      <c r="GC9" s="19">
        <v>580.0</v>
      </c>
      <c r="GD9" s="19">
        <v>725.0</v>
      </c>
      <c r="GE9" s="19">
        <v>335.0</v>
      </c>
      <c r="GF9" s="19">
        <v>345.0</v>
      </c>
      <c r="GG9" s="19">
        <v>645.0</v>
      </c>
      <c r="GH9" s="19"/>
      <c r="GI9" s="19"/>
      <c r="GJ9" s="19">
        <v>540.0</v>
      </c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>
        <v>655.0</v>
      </c>
      <c r="GX9" s="19"/>
      <c r="GY9" s="19">
        <v>520.0</v>
      </c>
      <c r="GZ9" s="19">
        <v>385.0</v>
      </c>
      <c r="HA9" s="19">
        <v>505.0</v>
      </c>
      <c r="HB9" s="19">
        <v>320.0</v>
      </c>
      <c r="HC9" s="19"/>
      <c r="HD9" s="19"/>
      <c r="HE9" s="19">
        <v>300.0</v>
      </c>
      <c r="HF9" s="19">
        <v>260.0</v>
      </c>
      <c r="HG9" s="19">
        <v>640.0</v>
      </c>
      <c r="HH9" s="19">
        <v>645.0</v>
      </c>
      <c r="HI9" s="19"/>
      <c r="HJ9" s="19">
        <v>485.0</v>
      </c>
      <c r="HK9" s="19"/>
      <c r="HL9" s="19"/>
      <c r="HM9" s="19">
        <v>850.0</v>
      </c>
      <c r="HN9" s="19">
        <v>720.0</v>
      </c>
      <c r="HO9" s="19">
        <v>455.0</v>
      </c>
      <c r="HP9" s="19">
        <v>330.0</v>
      </c>
      <c r="HQ9" s="19">
        <v>605.0</v>
      </c>
      <c r="HR9" s="19"/>
      <c r="HS9" s="19"/>
      <c r="HT9" s="19">
        <v>555.0</v>
      </c>
      <c r="HU9" s="19">
        <v>625.0</v>
      </c>
      <c r="HV9" s="19">
        <v>410.0</v>
      </c>
      <c r="HW9" s="19">
        <v>335.0</v>
      </c>
      <c r="HX9" s="19">
        <v>355.0</v>
      </c>
      <c r="HY9" s="19">
        <v>160.0</v>
      </c>
      <c r="HZ9" s="19">
        <v>540.0</v>
      </c>
      <c r="IA9" s="19">
        <v>330.0</v>
      </c>
      <c r="IB9" s="19">
        <v>365.0</v>
      </c>
      <c r="IC9" s="19">
        <v>345.0</v>
      </c>
      <c r="ID9" s="19"/>
      <c r="IE9" s="19"/>
      <c r="IF9" s="19"/>
      <c r="IG9" s="19">
        <v>640.0</v>
      </c>
      <c r="IH9" s="19">
        <v>560.0</v>
      </c>
      <c r="II9" s="19">
        <v>255.0</v>
      </c>
      <c r="IJ9" s="19">
        <v>230.0</v>
      </c>
      <c r="IK9" s="19">
        <v>595.0</v>
      </c>
      <c r="IL9" s="19">
        <v>665.0</v>
      </c>
      <c r="IM9" s="19"/>
      <c r="IN9" s="19"/>
      <c r="IO9" s="19">
        <v>365.0</v>
      </c>
      <c r="IP9" s="19">
        <v>490.0</v>
      </c>
      <c r="IQ9" s="19">
        <v>620.0</v>
      </c>
      <c r="IR9" s="19">
        <v>165.0</v>
      </c>
      <c r="IS9" s="19">
        <v>365.0</v>
      </c>
      <c r="IT9" s="19"/>
      <c r="IU9" s="19">
        <v>115.0</v>
      </c>
      <c r="IV9" s="19">
        <v>405.0</v>
      </c>
      <c r="IW9" s="19">
        <v>425.0</v>
      </c>
      <c r="IX9" s="19"/>
      <c r="IY9" s="19"/>
      <c r="IZ9" s="19">
        <v>225.0</v>
      </c>
      <c r="JA9" s="19">
        <v>340.0</v>
      </c>
      <c r="JB9" s="19">
        <v>45.0</v>
      </c>
      <c r="JC9" s="19">
        <v>590.0</v>
      </c>
      <c r="JD9" s="19">
        <v>305.0</v>
      </c>
      <c r="JE9" s="19">
        <v>540.0</v>
      </c>
      <c r="JF9" s="19"/>
      <c r="JG9" s="19">
        <v>490.0</v>
      </c>
      <c r="JH9" s="19">
        <v>470.0</v>
      </c>
      <c r="JI9" s="19">
        <v>750.0</v>
      </c>
      <c r="JJ9" s="19">
        <v>405.0</v>
      </c>
      <c r="JK9" s="19">
        <v>255.0</v>
      </c>
      <c r="JL9" s="19">
        <v>530.0</v>
      </c>
      <c r="JM9" s="19">
        <v>265.0</v>
      </c>
      <c r="JN9" s="19">
        <v>650.0</v>
      </c>
      <c r="JO9" s="19">
        <v>160.0</v>
      </c>
      <c r="JP9" s="19">
        <v>440.0</v>
      </c>
      <c r="JQ9" s="19">
        <v>450.0</v>
      </c>
      <c r="JR9" s="19">
        <v>175.0</v>
      </c>
      <c r="JS9" s="19">
        <v>465.0</v>
      </c>
      <c r="JT9" s="19"/>
      <c r="JU9" s="19">
        <v>350.0</v>
      </c>
      <c r="JV9" s="19">
        <v>635.0</v>
      </c>
      <c r="JW9" s="19">
        <v>365.0</v>
      </c>
      <c r="JX9" s="19">
        <v>495.0</v>
      </c>
      <c r="JY9" s="19">
        <v>235.0</v>
      </c>
      <c r="JZ9" s="19">
        <v>625.0</v>
      </c>
      <c r="KA9" s="19">
        <v>420.0</v>
      </c>
      <c r="KB9" s="19">
        <v>530.0</v>
      </c>
      <c r="KC9" s="19">
        <v>680.0</v>
      </c>
      <c r="KD9" s="19">
        <v>585.0</v>
      </c>
      <c r="KE9" s="19">
        <v>205.0</v>
      </c>
      <c r="KF9" s="19">
        <v>220.0</v>
      </c>
      <c r="KG9" s="19"/>
      <c r="KH9" s="19">
        <v>610.0</v>
      </c>
      <c r="KI9" s="19"/>
      <c r="KJ9" s="19">
        <v>225.0</v>
      </c>
      <c r="KK9" s="19">
        <v>625.0</v>
      </c>
      <c r="KL9" s="19">
        <v>335.0</v>
      </c>
      <c r="KM9" s="19"/>
      <c r="KN9" s="19"/>
      <c r="KO9" s="19"/>
      <c r="KP9" s="19"/>
      <c r="KQ9" s="19"/>
      <c r="KR9" s="19"/>
      <c r="KS9" s="19">
        <v>625.0</v>
      </c>
      <c r="KT9" s="19">
        <v>295.0</v>
      </c>
      <c r="KU9" s="19">
        <v>225.0</v>
      </c>
      <c r="KV9" s="19"/>
      <c r="KW9" s="19">
        <v>225.0</v>
      </c>
      <c r="KX9" s="19">
        <v>345.0</v>
      </c>
      <c r="KY9" s="19">
        <v>835.0</v>
      </c>
      <c r="KZ9" s="19"/>
      <c r="LA9" s="19"/>
      <c r="LB9" s="19"/>
      <c r="LC9" s="19">
        <v>475.0</v>
      </c>
      <c r="LD9" s="19"/>
      <c r="LE9" s="19"/>
      <c r="LF9" s="19">
        <v>825.0</v>
      </c>
      <c r="LG9" s="19">
        <v>335.0</v>
      </c>
      <c r="LH9" s="19"/>
      <c r="LI9" s="19">
        <v>325.0</v>
      </c>
      <c r="LJ9" s="19"/>
      <c r="LK9" s="19">
        <v>165.0</v>
      </c>
      <c r="LL9" s="19">
        <v>715.0</v>
      </c>
      <c r="LM9" s="19">
        <v>680.0</v>
      </c>
      <c r="LN9" s="19">
        <v>270.0</v>
      </c>
      <c r="LO9" s="19"/>
      <c r="LP9" s="19">
        <v>625.0</v>
      </c>
      <c r="LQ9" s="19">
        <v>560.0</v>
      </c>
      <c r="LR9" s="19">
        <v>735.0</v>
      </c>
      <c r="LS9" s="19"/>
      <c r="LT9" s="19"/>
      <c r="LU9" s="19">
        <v>505.0</v>
      </c>
      <c r="LV9" s="19">
        <v>320.0</v>
      </c>
      <c r="LW9" s="19"/>
      <c r="LX9" s="19"/>
      <c r="LY9" s="19"/>
      <c r="LZ9" s="19"/>
      <c r="MA9" s="19"/>
      <c r="MB9" s="19"/>
      <c r="MC9" s="19"/>
      <c r="MD9" s="19">
        <v>640.0</v>
      </c>
      <c r="ME9" s="19">
        <v>555.0</v>
      </c>
      <c r="MF9" s="19">
        <v>590.0</v>
      </c>
      <c r="MG9" s="19"/>
      <c r="MH9" s="19">
        <v>260.0</v>
      </c>
      <c r="MI9" s="19"/>
      <c r="MJ9" s="19">
        <v>265.0</v>
      </c>
      <c r="MK9" s="19">
        <v>560.0</v>
      </c>
      <c r="ML9" s="19">
        <v>165.0</v>
      </c>
      <c r="MM9" s="19">
        <v>365.0</v>
      </c>
      <c r="MN9" s="19">
        <v>485.0</v>
      </c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>
        <v>690.0</v>
      </c>
      <c r="NE9" s="19">
        <v>100.0</v>
      </c>
      <c r="NF9" s="19">
        <v>500.0</v>
      </c>
      <c r="NG9" s="19">
        <v>595.0</v>
      </c>
      <c r="NH9" s="19">
        <v>205.0</v>
      </c>
      <c r="NI9" s="19">
        <v>195.0</v>
      </c>
      <c r="NJ9" s="19">
        <v>560.0</v>
      </c>
      <c r="NK9" s="19">
        <v>500.0</v>
      </c>
      <c r="NL9" s="19"/>
      <c r="NM9" s="19"/>
      <c r="NN9" s="19"/>
      <c r="NO9" s="19">
        <v>385.0</v>
      </c>
      <c r="NP9" s="19">
        <v>240.0</v>
      </c>
      <c r="NQ9" s="19">
        <v>260.0</v>
      </c>
      <c r="NR9" s="19">
        <v>675.0</v>
      </c>
      <c r="NS9" s="19">
        <v>495.0</v>
      </c>
      <c r="NT9" s="19">
        <v>340.0</v>
      </c>
      <c r="NU9" s="19">
        <v>355.0</v>
      </c>
      <c r="NV9" s="19">
        <v>610.0</v>
      </c>
      <c r="NW9" s="19">
        <v>485.0</v>
      </c>
      <c r="NX9" s="19">
        <v>390.0</v>
      </c>
      <c r="NY9" s="19"/>
      <c r="NZ9" s="19">
        <v>280.0</v>
      </c>
      <c r="OA9" s="19">
        <v>325.0</v>
      </c>
      <c r="OB9" s="19">
        <v>685.0</v>
      </c>
      <c r="OC9" s="19">
        <v>615.0</v>
      </c>
      <c r="OD9" s="19"/>
      <c r="OE9" s="19"/>
      <c r="OF9" s="19"/>
      <c r="OG9" s="19"/>
      <c r="OH9" s="19"/>
      <c r="OI9" s="19"/>
      <c r="OJ9" s="19"/>
      <c r="OK9" s="19"/>
      <c r="OL9" s="19">
        <v>245.0</v>
      </c>
      <c r="OM9" s="19"/>
      <c r="ON9" s="19">
        <v>385.0</v>
      </c>
      <c r="OO9" s="19">
        <v>515.0</v>
      </c>
      <c r="OP9" s="19">
        <v>385.0</v>
      </c>
      <c r="OQ9" s="19"/>
      <c r="OR9" s="19">
        <v>415.0</v>
      </c>
      <c r="OS9" s="19">
        <v>485.0</v>
      </c>
      <c r="OT9" s="19">
        <v>565.0</v>
      </c>
      <c r="OU9" s="19">
        <v>375.0</v>
      </c>
      <c r="OV9" s="19">
        <v>335.0</v>
      </c>
      <c r="OW9" s="19">
        <v>345.0</v>
      </c>
      <c r="OX9" s="19">
        <v>680.0</v>
      </c>
      <c r="OY9" s="19">
        <v>510.0</v>
      </c>
      <c r="OZ9" s="19">
        <v>205.0</v>
      </c>
      <c r="PA9" s="19">
        <v>455.0</v>
      </c>
      <c r="PB9" s="19">
        <v>530.0</v>
      </c>
      <c r="PC9" s="19">
        <v>210.0</v>
      </c>
      <c r="PD9" s="19"/>
      <c r="PE9" s="19">
        <v>330.0</v>
      </c>
      <c r="PF9" s="19">
        <v>405.0</v>
      </c>
      <c r="PG9" s="19">
        <v>170.0</v>
      </c>
      <c r="PH9" s="19"/>
      <c r="PI9" s="19">
        <v>740.0</v>
      </c>
      <c r="PJ9" s="19">
        <v>400.0</v>
      </c>
      <c r="PK9" s="19">
        <v>320.0</v>
      </c>
      <c r="PL9" s="19">
        <v>720.0</v>
      </c>
      <c r="PM9" s="19">
        <v>415.0</v>
      </c>
      <c r="PN9" s="19">
        <v>400.0</v>
      </c>
      <c r="PO9" s="19"/>
      <c r="PP9" s="19">
        <v>535.0</v>
      </c>
      <c r="PQ9" s="19">
        <v>335.0</v>
      </c>
      <c r="PR9" s="19">
        <v>370.0</v>
      </c>
      <c r="PS9" s="19">
        <v>375.0</v>
      </c>
      <c r="PT9" s="19">
        <v>545.0</v>
      </c>
      <c r="PU9" s="19"/>
      <c r="PV9" s="19"/>
      <c r="PW9" s="19">
        <v>870.0</v>
      </c>
      <c r="PX9" s="19">
        <v>110.0</v>
      </c>
      <c r="PY9" s="19"/>
      <c r="PZ9" s="19"/>
      <c r="QA9" s="19">
        <v>460.0</v>
      </c>
      <c r="QB9" s="19">
        <v>425.0</v>
      </c>
      <c r="QC9" s="19"/>
      <c r="QD9" s="19">
        <v>445.0</v>
      </c>
      <c r="QE9" s="19"/>
      <c r="QF9" s="19"/>
      <c r="QG9" s="19">
        <v>365.0</v>
      </c>
      <c r="QH9" s="19">
        <v>500.0</v>
      </c>
      <c r="QI9" s="19">
        <v>315.0</v>
      </c>
      <c r="QJ9" s="19">
        <v>215.0</v>
      </c>
      <c r="QK9" s="19">
        <v>380.0</v>
      </c>
      <c r="QL9" s="19"/>
      <c r="QM9" s="19"/>
      <c r="QN9" s="19"/>
      <c r="QO9" s="19">
        <v>325.0</v>
      </c>
      <c r="QP9" s="19"/>
      <c r="QQ9" s="19"/>
      <c r="QR9" s="19"/>
      <c r="QS9" s="19">
        <v>205.0</v>
      </c>
      <c r="QT9" s="19"/>
      <c r="QU9" s="19">
        <v>320.0</v>
      </c>
      <c r="QV9" s="19">
        <v>610.0</v>
      </c>
      <c r="QW9" s="19">
        <v>815.0</v>
      </c>
      <c r="QX9" s="19">
        <v>315.0</v>
      </c>
      <c r="QY9" s="19">
        <v>400.0</v>
      </c>
      <c r="QZ9" s="19">
        <v>515.0</v>
      </c>
      <c r="RA9" s="19">
        <v>90.0</v>
      </c>
      <c r="RB9" s="19">
        <v>80.0</v>
      </c>
      <c r="RC9" s="19">
        <v>510.0</v>
      </c>
      <c r="RD9" s="19"/>
      <c r="RE9" s="19">
        <v>725.0</v>
      </c>
      <c r="RF9" s="19"/>
      <c r="RG9" s="19"/>
      <c r="RH9" s="19"/>
      <c r="RI9" s="19">
        <v>365.0</v>
      </c>
      <c r="RJ9" s="19">
        <v>325.0</v>
      </c>
      <c r="RK9" s="19">
        <v>285.0</v>
      </c>
      <c r="RL9" s="19">
        <v>505.0</v>
      </c>
      <c r="RM9" s="19">
        <v>435.0</v>
      </c>
      <c r="RN9" s="19">
        <v>340.0</v>
      </c>
      <c r="RO9" s="19">
        <v>450.0</v>
      </c>
      <c r="RP9" s="19">
        <v>350.0</v>
      </c>
      <c r="RQ9" s="19"/>
      <c r="RR9" s="19"/>
      <c r="RS9" s="19">
        <v>285.0</v>
      </c>
      <c r="RT9" s="19">
        <v>470.0</v>
      </c>
      <c r="RU9" s="19">
        <v>300.0</v>
      </c>
      <c r="RV9" s="19"/>
      <c r="RW9" s="19"/>
      <c r="RX9" s="19"/>
      <c r="RY9" s="19">
        <v>455.0</v>
      </c>
      <c r="RZ9" s="19">
        <v>285.0</v>
      </c>
      <c r="SA9" s="19">
        <v>635.0</v>
      </c>
      <c r="SB9" s="19">
        <v>305.0</v>
      </c>
      <c r="SC9" s="19">
        <v>465.0</v>
      </c>
      <c r="SD9" s="19">
        <v>495.0</v>
      </c>
      <c r="SE9" s="19"/>
      <c r="SF9" s="19"/>
      <c r="SG9" s="19">
        <v>270.0</v>
      </c>
      <c r="SH9" s="19">
        <v>320.0</v>
      </c>
      <c r="SI9" s="19"/>
      <c r="SJ9" s="19"/>
      <c r="SK9" s="19"/>
      <c r="SL9" s="19"/>
      <c r="SM9" s="19"/>
      <c r="SN9" s="19">
        <v>275.0</v>
      </c>
      <c r="SO9" s="19">
        <v>640.0</v>
      </c>
      <c r="SP9" s="19">
        <v>700.0</v>
      </c>
      <c r="SQ9" s="19"/>
      <c r="SR9" s="19"/>
      <c r="SS9" s="19"/>
      <c r="ST9" s="19">
        <v>470.0</v>
      </c>
      <c r="SU9" s="19">
        <v>495.0</v>
      </c>
      <c r="SV9" s="19">
        <v>290.0</v>
      </c>
      <c r="SW9" s="19"/>
      <c r="SX9" s="19">
        <v>445.0</v>
      </c>
      <c r="SY9" s="19">
        <v>245.0</v>
      </c>
      <c r="SZ9" s="19">
        <v>775.0</v>
      </c>
      <c r="TA9" s="19">
        <v>735.0</v>
      </c>
      <c r="TB9" s="19"/>
      <c r="TC9" s="19"/>
      <c r="TD9" s="19"/>
      <c r="TE9" s="19">
        <v>435.0</v>
      </c>
      <c r="TF9" s="19">
        <v>185.0</v>
      </c>
      <c r="TG9" s="19">
        <v>360.0</v>
      </c>
      <c r="TH9" s="19"/>
      <c r="TI9" s="19"/>
      <c r="TJ9" s="19"/>
      <c r="TK9" s="19"/>
      <c r="TL9" s="19">
        <v>385.0</v>
      </c>
      <c r="TM9" s="19">
        <v>695.0</v>
      </c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</row>
    <row r="10">
      <c r="A10" s="19" t="s">
        <v>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>
        <v>335.0</v>
      </c>
      <c r="EC10" s="19"/>
      <c r="ED10" s="19"/>
      <c r="EE10" s="19"/>
      <c r="EF10" s="19"/>
      <c r="EG10" s="19"/>
      <c r="EH10" s="19"/>
      <c r="EI10" s="19"/>
      <c r="EJ10" s="19">
        <v>205.0</v>
      </c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>
        <v>645.0</v>
      </c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</row>
    <row r="11">
      <c r="A11" s="19" t="s">
        <v>10</v>
      </c>
      <c r="B11" s="19">
        <v>765.0</v>
      </c>
      <c r="C11" s="19">
        <v>380.0</v>
      </c>
      <c r="D11" s="19">
        <v>510.0</v>
      </c>
      <c r="E11" s="19">
        <v>195.0</v>
      </c>
      <c r="F11" s="19">
        <v>65.0</v>
      </c>
      <c r="G11" s="19"/>
      <c r="H11" s="19">
        <v>535.0</v>
      </c>
      <c r="I11" s="19">
        <v>225.0</v>
      </c>
      <c r="J11" s="19">
        <v>450.0</v>
      </c>
      <c r="K11" s="19"/>
      <c r="L11" s="19">
        <v>400.0</v>
      </c>
      <c r="M11" s="19"/>
      <c r="N11" s="19">
        <v>330.0</v>
      </c>
      <c r="O11" s="19">
        <v>385.0</v>
      </c>
      <c r="P11" s="19">
        <v>690.0</v>
      </c>
      <c r="Q11" s="19"/>
      <c r="R11" s="19">
        <v>240.0</v>
      </c>
      <c r="S11" s="19">
        <v>630.0</v>
      </c>
      <c r="T11" s="19">
        <v>290.0</v>
      </c>
      <c r="U11" s="19">
        <v>310.0</v>
      </c>
      <c r="V11" s="19">
        <v>465.0</v>
      </c>
      <c r="W11" s="19">
        <v>285.0</v>
      </c>
      <c r="X11" s="19"/>
      <c r="Y11" s="19">
        <v>420.0</v>
      </c>
      <c r="Z11" s="19">
        <v>510.0</v>
      </c>
      <c r="AA11" s="19">
        <v>705.0</v>
      </c>
      <c r="AB11" s="19">
        <v>100.0</v>
      </c>
      <c r="AC11" s="19">
        <v>135.0</v>
      </c>
      <c r="AD11" s="19"/>
      <c r="AE11" s="19">
        <v>160.0</v>
      </c>
      <c r="AF11" s="19">
        <v>325.0</v>
      </c>
      <c r="AG11" s="19">
        <v>655.0</v>
      </c>
      <c r="AH11" s="19">
        <v>625.0</v>
      </c>
      <c r="AI11" s="19">
        <v>455.0</v>
      </c>
      <c r="AJ11" s="19">
        <v>495.0</v>
      </c>
      <c r="AK11" s="19">
        <v>590.0</v>
      </c>
      <c r="AL11" s="19">
        <v>725.0</v>
      </c>
      <c r="AM11" s="19">
        <v>665.0</v>
      </c>
      <c r="AN11" s="19">
        <v>265.0</v>
      </c>
      <c r="AO11" s="19"/>
      <c r="AP11" s="19">
        <v>665.0</v>
      </c>
      <c r="AQ11" s="19">
        <v>240.0</v>
      </c>
      <c r="AR11" s="19">
        <v>715.0</v>
      </c>
      <c r="AS11" s="19">
        <v>130.0</v>
      </c>
      <c r="AT11" s="19">
        <v>180.0</v>
      </c>
      <c r="AU11" s="19">
        <v>480.0</v>
      </c>
      <c r="AV11" s="19">
        <v>115.0</v>
      </c>
      <c r="AW11" s="19">
        <v>485.0</v>
      </c>
      <c r="AX11" s="19">
        <v>325.0</v>
      </c>
      <c r="AY11" s="19">
        <v>490.0</v>
      </c>
      <c r="AZ11" s="19">
        <v>105.0</v>
      </c>
      <c r="BA11" s="19">
        <v>390.0</v>
      </c>
      <c r="BB11" s="19">
        <v>305.0</v>
      </c>
      <c r="BC11" s="19">
        <v>575.0</v>
      </c>
      <c r="BD11" s="19">
        <v>110.0</v>
      </c>
      <c r="BE11" s="19">
        <v>420.0</v>
      </c>
      <c r="BF11" s="19">
        <v>245.0</v>
      </c>
      <c r="BG11" s="19">
        <v>510.0</v>
      </c>
      <c r="BH11" s="19"/>
      <c r="BI11" s="19">
        <v>595.0</v>
      </c>
      <c r="BJ11" s="19">
        <v>585.0</v>
      </c>
      <c r="BK11" s="19">
        <v>1080.0</v>
      </c>
      <c r="BL11" s="19">
        <v>40.0</v>
      </c>
      <c r="BM11" s="19">
        <v>315.0</v>
      </c>
      <c r="BN11" s="19">
        <v>70.0</v>
      </c>
      <c r="BO11" s="19">
        <v>175.0</v>
      </c>
      <c r="BP11" s="19">
        <v>480.0</v>
      </c>
      <c r="BQ11" s="19">
        <v>195.0</v>
      </c>
      <c r="BR11" s="19"/>
      <c r="BS11" s="19">
        <v>300.0</v>
      </c>
      <c r="BT11" s="19">
        <v>440.0</v>
      </c>
      <c r="BU11" s="19">
        <v>530.0</v>
      </c>
      <c r="BV11" s="19">
        <v>730.0</v>
      </c>
      <c r="BW11" s="19">
        <v>390.0</v>
      </c>
      <c r="BX11" s="19">
        <v>295.0</v>
      </c>
      <c r="BY11" s="19">
        <v>245.0</v>
      </c>
      <c r="BZ11" s="19">
        <v>180.0</v>
      </c>
      <c r="CA11" s="19">
        <v>140.0</v>
      </c>
      <c r="CB11" s="19">
        <v>550.0</v>
      </c>
      <c r="CC11" s="19">
        <v>440.0</v>
      </c>
      <c r="CD11" s="19">
        <v>445.0</v>
      </c>
      <c r="CE11" s="19">
        <v>435.0</v>
      </c>
      <c r="CF11" s="19">
        <v>445.0</v>
      </c>
      <c r="CG11" s="19">
        <v>760.0</v>
      </c>
      <c r="CH11" s="19">
        <v>150.0</v>
      </c>
      <c r="CI11" s="19"/>
      <c r="CJ11" s="19">
        <v>565.0</v>
      </c>
      <c r="CK11" s="19">
        <v>570.0</v>
      </c>
      <c r="CL11" s="19"/>
      <c r="CM11" s="19">
        <v>815.0</v>
      </c>
      <c r="CN11" s="19">
        <v>310.0</v>
      </c>
      <c r="CO11" s="19">
        <v>500.0</v>
      </c>
      <c r="CP11" s="19">
        <v>150.0</v>
      </c>
      <c r="CQ11" s="19">
        <v>70.0</v>
      </c>
      <c r="CR11" s="19">
        <v>475.0</v>
      </c>
      <c r="CS11" s="19">
        <v>660.0</v>
      </c>
      <c r="CT11" s="19">
        <v>365.0</v>
      </c>
      <c r="CU11" s="19">
        <v>355.0</v>
      </c>
      <c r="CV11" s="19"/>
      <c r="CW11" s="19">
        <v>290.0</v>
      </c>
      <c r="CX11" s="19">
        <v>895.0</v>
      </c>
      <c r="CY11" s="19">
        <v>285.0</v>
      </c>
      <c r="CZ11" s="19">
        <v>585.0</v>
      </c>
      <c r="DA11" s="19">
        <v>755.0</v>
      </c>
      <c r="DB11" s="19">
        <v>595.0</v>
      </c>
      <c r="DC11" s="19">
        <v>305.0</v>
      </c>
      <c r="DD11" s="19">
        <v>420.0</v>
      </c>
      <c r="DE11" s="19">
        <v>530.0</v>
      </c>
      <c r="DF11" s="19">
        <v>330.0</v>
      </c>
      <c r="DG11" s="19"/>
      <c r="DH11" s="19">
        <v>200.0</v>
      </c>
      <c r="DI11" s="19">
        <v>465.0</v>
      </c>
      <c r="DJ11" s="19">
        <v>470.0</v>
      </c>
      <c r="DK11" s="19"/>
      <c r="DL11" s="19">
        <v>850.0</v>
      </c>
      <c r="DM11" s="19">
        <v>520.0</v>
      </c>
      <c r="DN11" s="19"/>
      <c r="DO11" s="19">
        <v>555.0</v>
      </c>
      <c r="DP11" s="19">
        <v>185.0</v>
      </c>
      <c r="DQ11" s="19">
        <v>670.0</v>
      </c>
      <c r="DR11" s="19">
        <v>280.0</v>
      </c>
      <c r="DS11" s="19">
        <v>190.0</v>
      </c>
      <c r="DT11" s="19">
        <v>385.0</v>
      </c>
      <c r="DU11" s="19">
        <v>385.0</v>
      </c>
      <c r="DV11" s="19">
        <v>290.0</v>
      </c>
      <c r="DW11" s="19"/>
      <c r="DX11" s="19"/>
      <c r="DY11" s="19">
        <v>420.0</v>
      </c>
      <c r="DZ11" s="19">
        <v>335.0</v>
      </c>
      <c r="EA11" s="19">
        <v>375.0</v>
      </c>
      <c r="EB11" s="19">
        <v>235.0</v>
      </c>
      <c r="EC11" s="19">
        <v>5.0</v>
      </c>
      <c r="ED11" s="19">
        <v>335.0</v>
      </c>
      <c r="EE11" s="19">
        <v>810.0</v>
      </c>
      <c r="EF11" s="19">
        <v>675.0</v>
      </c>
      <c r="EG11" s="19">
        <v>460.0</v>
      </c>
      <c r="EH11" s="19">
        <v>300.0</v>
      </c>
      <c r="EI11" s="19">
        <v>370.0</v>
      </c>
      <c r="EJ11" s="19">
        <v>130.0</v>
      </c>
      <c r="EK11" s="19">
        <v>355.0</v>
      </c>
      <c r="EL11" s="19">
        <v>165.0</v>
      </c>
      <c r="EM11" s="19">
        <v>340.0</v>
      </c>
      <c r="EN11" s="19">
        <v>5.0</v>
      </c>
      <c r="EO11" s="19">
        <v>255.0</v>
      </c>
      <c r="EP11" s="19">
        <v>15.0</v>
      </c>
      <c r="EQ11" s="19">
        <v>210.0</v>
      </c>
      <c r="ER11" s="19">
        <v>75.0</v>
      </c>
      <c r="ES11" s="19">
        <v>515.0</v>
      </c>
      <c r="ET11" s="19">
        <v>385.0</v>
      </c>
      <c r="EU11" s="19">
        <v>615.0</v>
      </c>
      <c r="EV11" s="19">
        <v>455.0</v>
      </c>
      <c r="EW11" s="19"/>
      <c r="EX11" s="19">
        <v>350.0</v>
      </c>
      <c r="EY11" s="19">
        <v>675.0</v>
      </c>
      <c r="EZ11" s="19">
        <v>945.0</v>
      </c>
      <c r="FA11" s="19">
        <v>215.0</v>
      </c>
      <c r="FB11" s="19">
        <v>140.0</v>
      </c>
      <c r="FC11" s="19">
        <v>320.0</v>
      </c>
      <c r="FD11" s="19">
        <v>115.0</v>
      </c>
      <c r="FE11" s="19"/>
      <c r="FF11" s="19">
        <v>470.0</v>
      </c>
      <c r="FG11" s="19"/>
      <c r="FH11" s="19"/>
      <c r="FI11" s="19"/>
      <c r="FJ11" s="19">
        <v>475.0</v>
      </c>
      <c r="FK11" s="19">
        <v>390.0</v>
      </c>
      <c r="FL11" s="19">
        <v>510.0</v>
      </c>
      <c r="FM11" s="19">
        <v>395.0</v>
      </c>
      <c r="FN11" s="19">
        <v>195.0</v>
      </c>
      <c r="FO11" s="19">
        <v>70.0</v>
      </c>
      <c r="FP11" s="19">
        <v>820.0</v>
      </c>
      <c r="FQ11" s="19"/>
      <c r="FR11" s="19">
        <v>345.0</v>
      </c>
      <c r="FS11" s="19">
        <v>335.0</v>
      </c>
      <c r="FT11" s="19">
        <v>35.0</v>
      </c>
      <c r="FU11" s="19">
        <v>485.0</v>
      </c>
      <c r="FV11" s="19"/>
      <c r="FW11" s="19">
        <v>105.0</v>
      </c>
      <c r="FX11" s="19">
        <v>510.0</v>
      </c>
      <c r="FY11" s="19">
        <v>235.0</v>
      </c>
      <c r="FZ11" s="19">
        <v>740.0</v>
      </c>
      <c r="GA11" s="19">
        <v>300.0</v>
      </c>
      <c r="GB11" s="19">
        <v>215.0</v>
      </c>
      <c r="GC11" s="19">
        <v>210.0</v>
      </c>
      <c r="GD11" s="19">
        <v>595.0</v>
      </c>
      <c r="GE11" s="19">
        <v>495.0</v>
      </c>
      <c r="GF11" s="19">
        <v>340.0</v>
      </c>
      <c r="GG11" s="19">
        <v>340.0</v>
      </c>
      <c r="GH11" s="19">
        <v>415.0</v>
      </c>
      <c r="GI11" s="19">
        <v>305.0</v>
      </c>
      <c r="GJ11" s="19"/>
      <c r="GK11" s="19">
        <v>315.0</v>
      </c>
      <c r="GL11" s="19">
        <v>350.0</v>
      </c>
      <c r="GM11" s="19">
        <v>310.0</v>
      </c>
      <c r="GN11" s="19">
        <v>335.0</v>
      </c>
      <c r="GO11" s="19">
        <v>470.0</v>
      </c>
      <c r="GP11" s="19">
        <v>215.0</v>
      </c>
      <c r="GQ11" s="19">
        <v>380.0</v>
      </c>
      <c r="GR11" s="19">
        <v>385.0</v>
      </c>
      <c r="GS11" s="19">
        <v>365.0</v>
      </c>
      <c r="GT11" s="19">
        <v>710.0</v>
      </c>
      <c r="GU11" s="19">
        <v>320.0</v>
      </c>
      <c r="GV11" s="19">
        <v>505.0</v>
      </c>
      <c r="GW11" s="19">
        <v>250.0</v>
      </c>
      <c r="GX11" s="19">
        <v>350.0</v>
      </c>
      <c r="GY11" s="19">
        <v>540.0</v>
      </c>
      <c r="GZ11" s="19">
        <v>695.0</v>
      </c>
      <c r="HA11" s="19">
        <v>185.0</v>
      </c>
      <c r="HB11" s="19">
        <v>270.0</v>
      </c>
      <c r="HC11" s="19">
        <v>225.0</v>
      </c>
      <c r="HD11" s="19">
        <v>135.0</v>
      </c>
      <c r="HE11" s="19">
        <v>525.0</v>
      </c>
      <c r="HF11" s="19">
        <v>655.0</v>
      </c>
      <c r="HG11" s="19">
        <v>455.0</v>
      </c>
      <c r="HH11" s="19">
        <v>705.0</v>
      </c>
      <c r="HI11" s="19">
        <v>290.0</v>
      </c>
      <c r="HJ11" s="19">
        <v>540.0</v>
      </c>
      <c r="HK11" s="19">
        <v>580.0</v>
      </c>
      <c r="HL11" s="19">
        <v>465.0</v>
      </c>
      <c r="HM11" s="19">
        <v>395.0</v>
      </c>
      <c r="HN11" s="19">
        <v>345.0</v>
      </c>
      <c r="HO11" s="19">
        <v>580.0</v>
      </c>
      <c r="HP11" s="19">
        <v>300.0</v>
      </c>
      <c r="HQ11" s="19">
        <v>200.0</v>
      </c>
      <c r="HR11" s="19"/>
      <c r="HS11" s="19">
        <v>20.0</v>
      </c>
      <c r="HT11" s="19">
        <v>490.0</v>
      </c>
      <c r="HU11" s="19">
        <v>495.0</v>
      </c>
      <c r="HV11" s="19"/>
      <c r="HW11" s="19">
        <v>285.0</v>
      </c>
      <c r="HX11" s="19">
        <v>250.0</v>
      </c>
      <c r="HY11" s="19">
        <v>445.0</v>
      </c>
      <c r="HZ11" s="19">
        <v>520.0</v>
      </c>
      <c r="IA11" s="19">
        <v>310.0</v>
      </c>
      <c r="IB11" s="19">
        <v>190.0</v>
      </c>
      <c r="IC11" s="19"/>
      <c r="ID11" s="19">
        <v>610.0</v>
      </c>
      <c r="IE11" s="19">
        <v>355.0</v>
      </c>
      <c r="IF11" s="19">
        <v>525.0</v>
      </c>
      <c r="IG11" s="19">
        <v>410.0</v>
      </c>
      <c r="IH11" s="19">
        <v>350.0</v>
      </c>
      <c r="II11" s="19">
        <v>150.0</v>
      </c>
      <c r="IJ11" s="19">
        <v>720.0</v>
      </c>
      <c r="IK11" s="19">
        <v>470.0</v>
      </c>
      <c r="IL11" s="19">
        <v>185.0</v>
      </c>
      <c r="IM11" s="19">
        <v>450.0</v>
      </c>
      <c r="IN11" s="19">
        <v>80.0</v>
      </c>
      <c r="IO11" s="19">
        <v>345.0</v>
      </c>
      <c r="IP11" s="19">
        <v>350.0</v>
      </c>
      <c r="IQ11" s="19">
        <v>450.0</v>
      </c>
      <c r="IR11" s="19">
        <v>105.0</v>
      </c>
      <c r="IS11" s="19">
        <v>375.0</v>
      </c>
      <c r="IT11" s="19">
        <v>430.0</v>
      </c>
      <c r="IU11" s="19">
        <v>105.0</v>
      </c>
      <c r="IV11" s="19">
        <v>470.0</v>
      </c>
      <c r="IW11" s="19">
        <v>885.0</v>
      </c>
      <c r="IX11" s="19">
        <v>240.0</v>
      </c>
      <c r="IY11" s="19">
        <v>560.0</v>
      </c>
      <c r="IZ11" s="19">
        <v>615.0</v>
      </c>
      <c r="JA11" s="19">
        <v>200.0</v>
      </c>
      <c r="JB11" s="19">
        <v>45.0</v>
      </c>
      <c r="JC11" s="19"/>
      <c r="JD11" s="19">
        <v>540.0</v>
      </c>
      <c r="JE11" s="19">
        <v>270.0</v>
      </c>
      <c r="JF11" s="19"/>
      <c r="JG11" s="19">
        <v>505.0</v>
      </c>
      <c r="JH11" s="19">
        <v>445.0</v>
      </c>
      <c r="JI11" s="19">
        <v>310.0</v>
      </c>
      <c r="JJ11" s="19">
        <v>175.0</v>
      </c>
      <c r="JK11" s="19">
        <v>240.0</v>
      </c>
      <c r="JL11" s="19">
        <v>680.0</v>
      </c>
      <c r="JM11" s="19">
        <v>260.0</v>
      </c>
      <c r="JN11" s="19">
        <v>240.0</v>
      </c>
      <c r="JO11" s="19">
        <v>345.0</v>
      </c>
      <c r="JP11" s="19">
        <v>195.0</v>
      </c>
      <c r="JQ11" s="19">
        <v>345.0</v>
      </c>
      <c r="JR11" s="19">
        <v>340.0</v>
      </c>
      <c r="JS11" s="19"/>
      <c r="JT11" s="19">
        <v>700.0</v>
      </c>
      <c r="JU11" s="19">
        <v>340.0</v>
      </c>
      <c r="JV11" s="19">
        <v>440.0</v>
      </c>
      <c r="JW11" s="19">
        <v>290.0</v>
      </c>
      <c r="JX11" s="19">
        <v>350.0</v>
      </c>
      <c r="JY11" s="19">
        <v>365.0</v>
      </c>
      <c r="JZ11" s="19">
        <v>570.0</v>
      </c>
      <c r="KA11" s="19">
        <v>345.0</v>
      </c>
      <c r="KB11" s="19">
        <v>150.0</v>
      </c>
      <c r="KC11" s="19">
        <v>270.0</v>
      </c>
      <c r="KD11" s="19">
        <v>605.0</v>
      </c>
      <c r="KE11" s="19">
        <v>400.0</v>
      </c>
      <c r="KF11" s="19">
        <v>170.0</v>
      </c>
      <c r="KG11" s="19">
        <v>545.0</v>
      </c>
      <c r="KH11" s="19">
        <v>445.0</v>
      </c>
      <c r="KI11" s="19">
        <v>385.0</v>
      </c>
      <c r="KJ11" s="19">
        <v>290.0</v>
      </c>
      <c r="KK11" s="19">
        <v>335.0</v>
      </c>
      <c r="KL11" s="19">
        <v>635.0</v>
      </c>
      <c r="KM11" s="19">
        <v>115.0</v>
      </c>
      <c r="KN11" s="19">
        <v>310.0</v>
      </c>
      <c r="KO11" s="19"/>
      <c r="KP11" s="19">
        <v>80.0</v>
      </c>
      <c r="KQ11" s="19">
        <v>220.0</v>
      </c>
      <c r="KR11" s="19">
        <v>710.0</v>
      </c>
      <c r="KS11" s="19">
        <v>310.0</v>
      </c>
      <c r="KT11" s="19">
        <v>465.0</v>
      </c>
      <c r="KU11" s="19">
        <v>190.0</v>
      </c>
      <c r="KV11" s="19">
        <v>265.0</v>
      </c>
      <c r="KW11" s="19">
        <v>465.0</v>
      </c>
      <c r="KX11" s="19">
        <v>565.0</v>
      </c>
      <c r="KY11" s="19">
        <v>410.0</v>
      </c>
      <c r="KZ11" s="19">
        <v>215.0</v>
      </c>
      <c r="LA11" s="19">
        <v>405.0</v>
      </c>
      <c r="LB11" s="19">
        <v>695.0</v>
      </c>
      <c r="LC11" s="19">
        <v>595.0</v>
      </c>
      <c r="LD11" s="19">
        <v>135.0</v>
      </c>
      <c r="LE11" s="19">
        <v>390.0</v>
      </c>
      <c r="LF11" s="19">
        <v>430.0</v>
      </c>
      <c r="LG11" s="19">
        <v>310.0</v>
      </c>
      <c r="LH11" s="19">
        <v>485.0</v>
      </c>
      <c r="LI11" s="19">
        <v>360.0</v>
      </c>
      <c r="LJ11" s="19">
        <v>265.0</v>
      </c>
      <c r="LK11" s="19">
        <v>460.0</v>
      </c>
      <c r="LL11" s="19">
        <v>440.0</v>
      </c>
      <c r="LM11" s="19">
        <v>365.0</v>
      </c>
      <c r="LN11" s="19">
        <v>310.0</v>
      </c>
      <c r="LO11" s="19">
        <v>310.0</v>
      </c>
      <c r="LP11" s="19">
        <v>395.0</v>
      </c>
      <c r="LQ11" s="19">
        <v>460.0</v>
      </c>
      <c r="LR11" s="19">
        <v>380.0</v>
      </c>
      <c r="LS11" s="19">
        <v>260.0</v>
      </c>
      <c r="LT11" s="19">
        <v>285.0</v>
      </c>
      <c r="LU11" s="19">
        <v>425.0</v>
      </c>
      <c r="LV11" s="19">
        <v>490.0</v>
      </c>
      <c r="LW11" s="19">
        <v>750.0</v>
      </c>
      <c r="LX11" s="19">
        <v>620.0</v>
      </c>
      <c r="LY11" s="19">
        <v>350.0</v>
      </c>
      <c r="LZ11" s="19">
        <v>245.0</v>
      </c>
      <c r="MA11" s="19">
        <v>605.0</v>
      </c>
      <c r="MB11" s="19">
        <v>590.0</v>
      </c>
      <c r="MC11" s="19">
        <v>220.0</v>
      </c>
      <c r="MD11" s="19">
        <v>435.0</v>
      </c>
      <c r="ME11" s="19">
        <v>270.0</v>
      </c>
      <c r="MF11" s="19">
        <v>495.0</v>
      </c>
      <c r="MG11" s="19">
        <v>540.0</v>
      </c>
      <c r="MH11" s="19">
        <v>75.0</v>
      </c>
      <c r="MI11" s="19">
        <v>365.0</v>
      </c>
      <c r="MJ11" s="19">
        <v>720.0</v>
      </c>
      <c r="MK11" s="19"/>
      <c r="ML11" s="19">
        <v>465.0</v>
      </c>
      <c r="MM11" s="19">
        <v>525.0</v>
      </c>
      <c r="MN11" s="19">
        <v>445.0</v>
      </c>
      <c r="MO11" s="19">
        <v>345.0</v>
      </c>
      <c r="MP11" s="19">
        <v>350.0</v>
      </c>
      <c r="MQ11" s="19">
        <v>250.0</v>
      </c>
      <c r="MR11" s="19">
        <v>305.0</v>
      </c>
      <c r="MS11" s="19">
        <v>370.0</v>
      </c>
      <c r="MT11" s="19">
        <v>360.0</v>
      </c>
      <c r="MU11" s="19">
        <v>220.0</v>
      </c>
      <c r="MV11" s="19">
        <v>315.0</v>
      </c>
      <c r="MW11" s="19"/>
      <c r="MX11" s="19">
        <v>480.0</v>
      </c>
      <c r="MY11" s="19">
        <v>190.0</v>
      </c>
      <c r="MZ11" s="19">
        <v>95.0</v>
      </c>
      <c r="NA11" s="19">
        <v>335.0</v>
      </c>
      <c r="NB11" s="19">
        <v>455.0</v>
      </c>
      <c r="NC11" s="19">
        <v>325.0</v>
      </c>
      <c r="ND11" s="19">
        <v>715.0</v>
      </c>
      <c r="NE11" s="19">
        <v>510.0</v>
      </c>
      <c r="NF11" s="19">
        <v>465.0</v>
      </c>
      <c r="NG11" s="19">
        <v>465.0</v>
      </c>
      <c r="NH11" s="19">
        <v>570.0</v>
      </c>
      <c r="NI11" s="19">
        <v>575.0</v>
      </c>
      <c r="NJ11" s="19">
        <v>745.0</v>
      </c>
      <c r="NK11" s="19">
        <v>475.0</v>
      </c>
      <c r="NL11" s="19">
        <v>520.0</v>
      </c>
      <c r="NM11" s="19">
        <v>195.0</v>
      </c>
      <c r="NN11" s="19">
        <v>140.0</v>
      </c>
      <c r="NO11" s="19">
        <v>315.0</v>
      </c>
      <c r="NP11" s="19">
        <v>380.0</v>
      </c>
      <c r="NQ11" s="19">
        <v>345.0</v>
      </c>
      <c r="NR11" s="19">
        <v>165.0</v>
      </c>
      <c r="NS11" s="19">
        <v>560.0</v>
      </c>
      <c r="NT11" s="19">
        <v>370.0</v>
      </c>
      <c r="NU11" s="19">
        <v>275.0</v>
      </c>
      <c r="NV11" s="19">
        <v>485.0</v>
      </c>
      <c r="NW11" s="19">
        <v>615.0</v>
      </c>
      <c r="NX11" s="19">
        <v>590.0</v>
      </c>
      <c r="NY11" s="19">
        <v>315.0</v>
      </c>
      <c r="NZ11" s="19">
        <v>655.0</v>
      </c>
      <c r="OA11" s="19">
        <v>405.0</v>
      </c>
      <c r="OB11" s="19">
        <v>520.0</v>
      </c>
      <c r="OC11" s="19">
        <v>260.0</v>
      </c>
      <c r="OD11" s="19">
        <v>325.0</v>
      </c>
      <c r="OE11" s="19">
        <v>190.0</v>
      </c>
      <c r="OF11" s="19">
        <v>320.0</v>
      </c>
      <c r="OG11" s="19">
        <v>420.0</v>
      </c>
      <c r="OH11" s="19">
        <v>180.0</v>
      </c>
      <c r="OI11" s="19">
        <v>545.0</v>
      </c>
      <c r="OJ11" s="19">
        <v>445.0</v>
      </c>
      <c r="OK11" s="19">
        <v>245.0</v>
      </c>
      <c r="OL11" s="19" t="s">
        <v>79</v>
      </c>
      <c r="OM11" s="19">
        <v>160.0</v>
      </c>
      <c r="ON11" s="19">
        <v>165.0</v>
      </c>
      <c r="OO11" s="19">
        <v>305.0</v>
      </c>
      <c r="OP11" s="19">
        <v>390.0</v>
      </c>
      <c r="OQ11" s="19">
        <v>170.0</v>
      </c>
      <c r="OR11" s="19">
        <v>300.0</v>
      </c>
      <c r="OS11" s="19">
        <v>525.0</v>
      </c>
      <c r="OT11" s="19">
        <v>295.0</v>
      </c>
      <c r="OU11" s="19">
        <v>740.0</v>
      </c>
      <c r="OV11" s="19">
        <v>565.0</v>
      </c>
      <c r="OW11" s="19">
        <v>675.0</v>
      </c>
      <c r="OX11" s="19">
        <v>520.0</v>
      </c>
      <c r="OY11" s="19">
        <v>660.0</v>
      </c>
      <c r="OZ11" s="19">
        <v>415.0</v>
      </c>
      <c r="PA11" s="19">
        <v>380.0</v>
      </c>
      <c r="PB11" s="19">
        <v>595.0</v>
      </c>
      <c r="PC11" s="19">
        <v>435.0</v>
      </c>
      <c r="PD11" s="19">
        <v>640.0</v>
      </c>
      <c r="PE11" s="19">
        <v>335.0</v>
      </c>
      <c r="PF11" s="19">
        <v>390.0</v>
      </c>
      <c r="PG11" s="19">
        <v>175.0</v>
      </c>
      <c r="PH11" s="19"/>
      <c r="PI11" s="19">
        <v>525.0</v>
      </c>
      <c r="PJ11" s="19">
        <v>215.0</v>
      </c>
      <c r="PK11" s="19">
        <v>550.0</v>
      </c>
      <c r="PL11" s="19">
        <v>570.0</v>
      </c>
      <c r="PM11" s="19">
        <v>560.0</v>
      </c>
      <c r="PN11" s="19">
        <v>340.0</v>
      </c>
      <c r="PO11" s="19">
        <v>530.0</v>
      </c>
      <c r="PP11" s="19">
        <v>425.0</v>
      </c>
      <c r="PQ11" s="19">
        <v>320.0</v>
      </c>
      <c r="PR11" s="19">
        <v>270.0</v>
      </c>
      <c r="PS11" s="19">
        <v>625.0</v>
      </c>
      <c r="PT11" s="19">
        <v>415.0</v>
      </c>
      <c r="PU11" s="19">
        <v>585.0</v>
      </c>
      <c r="PV11" s="19"/>
      <c r="PW11" s="19">
        <v>830.0</v>
      </c>
      <c r="PX11" s="19">
        <v>310.0</v>
      </c>
      <c r="PY11" s="19">
        <v>285.0</v>
      </c>
      <c r="PZ11" s="19">
        <v>780.0</v>
      </c>
      <c r="QA11" s="19">
        <v>590.0</v>
      </c>
      <c r="QB11" s="19">
        <v>225.0</v>
      </c>
      <c r="QC11" s="19">
        <v>215.0</v>
      </c>
      <c r="QD11" s="19">
        <v>595.0</v>
      </c>
      <c r="QE11" s="19">
        <v>245.0</v>
      </c>
      <c r="QF11" s="19">
        <v>260.0</v>
      </c>
      <c r="QG11" s="19">
        <v>295.0</v>
      </c>
      <c r="QH11" s="19">
        <v>200.0</v>
      </c>
      <c r="QI11" s="19">
        <v>265.0</v>
      </c>
      <c r="QJ11" s="19">
        <v>275.0</v>
      </c>
      <c r="QK11" s="19">
        <v>410.0</v>
      </c>
      <c r="QL11" s="19">
        <v>325.0</v>
      </c>
      <c r="QM11" s="19">
        <v>690.0</v>
      </c>
      <c r="QN11" s="19">
        <v>360.0</v>
      </c>
      <c r="QO11" s="19">
        <v>570.0</v>
      </c>
      <c r="QP11" s="19">
        <v>440.0</v>
      </c>
      <c r="QQ11" s="19">
        <v>220.0</v>
      </c>
      <c r="QR11" s="19">
        <v>755.0</v>
      </c>
      <c r="QS11" s="19">
        <v>385.0</v>
      </c>
      <c r="QT11" s="19">
        <v>235.0</v>
      </c>
      <c r="QU11" s="19">
        <v>375.0</v>
      </c>
      <c r="QV11" s="19"/>
      <c r="QW11" s="19">
        <v>575.0</v>
      </c>
      <c r="QX11" s="19">
        <v>330.0</v>
      </c>
      <c r="QY11" s="19">
        <v>280.0</v>
      </c>
      <c r="QZ11" s="19"/>
      <c r="RA11" s="19">
        <v>655.0</v>
      </c>
      <c r="RB11" s="19">
        <v>445.0</v>
      </c>
      <c r="RC11" s="19">
        <v>545.0</v>
      </c>
      <c r="RD11" s="19"/>
      <c r="RE11" s="19">
        <v>610.0</v>
      </c>
      <c r="RF11" s="19">
        <v>375.0</v>
      </c>
      <c r="RG11" s="19">
        <v>305.0</v>
      </c>
      <c r="RH11" s="19">
        <v>450.0</v>
      </c>
      <c r="RI11" s="19">
        <v>205.0</v>
      </c>
      <c r="RJ11" s="19">
        <v>365.0</v>
      </c>
      <c r="RK11" s="19">
        <v>200.0</v>
      </c>
      <c r="RL11" s="19">
        <v>505.0</v>
      </c>
      <c r="RM11" s="19"/>
      <c r="RN11" s="19">
        <v>590.0</v>
      </c>
      <c r="RO11" s="19">
        <v>490.0</v>
      </c>
      <c r="RP11" s="19"/>
      <c r="RQ11" s="19">
        <v>505.0</v>
      </c>
      <c r="RR11" s="19">
        <v>200.0</v>
      </c>
      <c r="RS11" s="19">
        <v>820.0</v>
      </c>
      <c r="RT11" s="19">
        <v>575.0</v>
      </c>
      <c r="RU11" s="19">
        <v>450.0</v>
      </c>
      <c r="RV11" s="19">
        <v>220.0</v>
      </c>
      <c r="RW11" s="19">
        <v>370.0</v>
      </c>
      <c r="RX11" s="19">
        <v>540.0</v>
      </c>
      <c r="RY11" s="19">
        <v>210.0</v>
      </c>
      <c r="RZ11" s="19">
        <v>670.0</v>
      </c>
      <c r="SA11" s="19">
        <v>515.0</v>
      </c>
      <c r="SB11" s="19">
        <v>235.0</v>
      </c>
      <c r="SC11" s="19">
        <v>365.0</v>
      </c>
      <c r="SD11" s="19">
        <v>135.0</v>
      </c>
      <c r="SE11" s="19">
        <v>260.0</v>
      </c>
      <c r="SF11" s="19">
        <v>255.0</v>
      </c>
      <c r="SG11" s="19">
        <v>1055.0</v>
      </c>
      <c r="SH11" s="19">
        <v>740.0</v>
      </c>
      <c r="SI11" s="19"/>
      <c r="SJ11" s="19">
        <v>155.0</v>
      </c>
      <c r="SK11" s="19">
        <v>480.0</v>
      </c>
      <c r="SL11" s="19">
        <v>215.0</v>
      </c>
      <c r="SM11" s="19">
        <v>385.0</v>
      </c>
      <c r="SN11" s="19">
        <v>390.0</v>
      </c>
      <c r="SO11" s="19"/>
      <c r="SP11" s="19"/>
      <c r="SQ11" s="19">
        <v>360.0</v>
      </c>
      <c r="SR11" s="19">
        <v>150.0</v>
      </c>
      <c r="SS11" s="19">
        <v>265.0</v>
      </c>
      <c r="ST11" s="19">
        <v>355.0</v>
      </c>
      <c r="SU11" s="19">
        <v>245.0</v>
      </c>
      <c r="SV11" s="19">
        <v>445.0</v>
      </c>
      <c r="SW11" s="19">
        <v>440.0</v>
      </c>
      <c r="SX11" s="19">
        <v>460.0</v>
      </c>
      <c r="SY11" s="19">
        <v>595.0</v>
      </c>
      <c r="SZ11" s="19">
        <v>640.0</v>
      </c>
      <c r="TA11" s="19">
        <v>950.0</v>
      </c>
      <c r="TB11" s="19">
        <v>450.0</v>
      </c>
      <c r="TC11" s="19">
        <v>475.0</v>
      </c>
      <c r="TD11" s="19">
        <v>235.0</v>
      </c>
      <c r="TE11" s="19">
        <v>570.0</v>
      </c>
      <c r="TF11" s="19">
        <v>665.0</v>
      </c>
      <c r="TG11" s="19">
        <v>515.0</v>
      </c>
      <c r="TH11" s="19">
        <v>160.0</v>
      </c>
      <c r="TI11" s="19">
        <v>410.0</v>
      </c>
      <c r="TJ11" s="19">
        <v>195.0</v>
      </c>
      <c r="TK11" s="19">
        <v>190.0</v>
      </c>
      <c r="TL11" s="19">
        <v>380.0</v>
      </c>
      <c r="TM11" s="19">
        <v>285.0</v>
      </c>
      <c r="TN11" s="19">
        <v>325.0</v>
      </c>
      <c r="TO11" s="19">
        <v>190.0</v>
      </c>
      <c r="TP11" s="19">
        <v>330.0</v>
      </c>
      <c r="TQ11" s="19">
        <v>50.0</v>
      </c>
      <c r="TR11" s="19">
        <v>170.0</v>
      </c>
      <c r="TS11" s="19">
        <v>185.0</v>
      </c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</row>
    <row r="12">
      <c r="A12" s="19" t="s">
        <v>11</v>
      </c>
      <c r="B12" s="19">
        <v>520.0</v>
      </c>
      <c r="C12" s="19"/>
      <c r="D12" s="19"/>
      <c r="E12" s="19">
        <v>795.0</v>
      </c>
      <c r="F12" s="19">
        <v>485.0</v>
      </c>
      <c r="G12" s="19">
        <v>130.0</v>
      </c>
      <c r="H12" s="19">
        <v>525.0</v>
      </c>
      <c r="I12" s="19">
        <v>395.0</v>
      </c>
      <c r="J12" s="19"/>
      <c r="K12" s="19">
        <v>235.0</v>
      </c>
      <c r="L12" s="19">
        <v>250.0</v>
      </c>
      <c r="M12" s="19">
        <v>370.0</v>
      </c>
      <c r="N12" s="19">
        <v>540.0</v>
      </c>
      <c r="O12" s="19">
        <v>630.0</v>
      </c>
      <c r="P12" s="19"/>
      <c r="Q12" s="19"/>
      <c r="R12" s="19"/>
      <c r="S12" s="19">
        <v>395.0</v>
      </c>
      <c r="T12" s="19"/>
      <c r="U12" s="19"/>
      <c r="V12" s="19">
        <v>405.0</v>
      </c>
      <c r="W12" s="19">
        <v>570.0</v>
      </c>
      <c r="X12" s="19"/>
      <c r="Y12" s="19">
        <v>625.0</v>
      </c>
      <c r="Z12" s="19"/>
      <c r="AA12" s="19"/>
      <c r="AB12" s="19">
        <v>495.0</v>
      </c>
      <c r="AC12" s="19">
        <v>375.0</v>
      </c>
      <c r="AD12" s="19">
        <v>155.0</v>
      </c>
      <c r="AE12" s="19">
        <v>335.0</v>
      </c>
      <c r="AF12" s="19"/>
      <c r="AG12" s="19">
        <v>720.0</v>
      </c>
      <c r="AH12" s="19">
        <v>285.0</v>
      </c>
      <c r="AI12" s="19">
        <v>585.0</v>
      </c>
      <c r="AJ12" s="19"/>
      <c r="AK12" s="19">
        <v>635.0</v>
      </c>
      <c r="AL12" s="19">
        <v>950.0</v>
      </c>
      <c r="AM12" s="19">
        <v>500.0</v>
      </c>
      <c r="AN12" s="19">
        <v>270.0</v>
      </c>
      <c r="AO12" s="19">
        <v>510.0</v>
      </c>
      <c r="AP12" s="19"/>
      <c r="AQ12" s="19"/>
      <c r="AR12" s="19"/>
      <c r="AS12" s="19"/>
      <c r="AT12" s="19">
        <v>330.0</v>
      </c>
      <c r="AU12" s="19">
        <v>270.0</v>
      </c>
      <c r="AV12" s="19"/>
      <c r="AW12" s="19"/>
      <c r="AX12" s="19">
        <v>330.0</v>
      </c>
      <c r="AY12" s="19"/>
      <c r="AZ12" s="19">
        <v>455.0</v>
      </c>
      <c r="BA12" s="19">
        <v>315.0</v>
      </c>
      <c r="BB12" s="19"/>
      <c r="BC12" s="19"/>
      <c r="BD12" s="19"/>
      <c r="BE12" s="19"/>
      <c r="BF12" s="19"/>
      <c r="BG12" s="19">
        <v>355.0</v>
      </c>
      <c r="BH12" s="19"/>
      <c r="BI12" s="19"/>
      <c r="BJ12" s="19">
        <v>600.0</v>
      </c>
      <c r="BK12" s="19"/>
      <c r="BL12" s="19">
        <v>525.0</v>
      </c>
      <c r="BM12" s="19"/>
      <c r="BN12" s="19"/>
      <c r="BO12" s="19"/>
      <c r="BP12" s="19">
        <v>235.0</v>
      </c>
      <c r="BQ12" s="19"/>
      <c r="BR12" s="19"/>
      <c r="BS12" s="19">
        <v>390.0</v>
      </c>
      <c r="BT12" s="19"/>
      <c r="BU12" s="19"/>
      <c r="BV12" s="19"/>
      <c r="BW12" s="19"/>
      <c r="BX12" s="19">
        <v>380.0</v>
      </c>
      <c r="BY12" s="19"/>
      <c r="BZ12" s="19"/>
      <c r="CA12" s="19"/>
      <c r="CB12" s="19"/>
      <c r="CC12" s="19"/>
      <c r="CD12" s="19"/>
      <c r="CE12" s="19"/>
      <c r="CF12" s="19">
        <v>730.0</v>
      </c>
      <c r="CG12" s="19"/>
      <c r="CH12" s="19"/>
      <c r="CI12" s="19"/>
      <c r="CJ12" s="19"/>
      <c r="CK12" s="19"/>
      <c r="CL12" s="19">
        <v>215.0</v>
      </c>
      <c r="CM12" s="19">
        <v>685.0</v>
      </c>
      <c r="CN12" s="19"/>
      <c r="CO12" s="19"/>
      <c r="CP12" s="19"/>
      <c r="CQ12" s="19">
        <v>85.0</v>
      </c>
      <c r="CR12" s="19"/>
      <c r="CS12" s="19">
        <v>475.0</v>
      </c>
      <c r="CT12" s="19"/>
      <c r="CU12" s="19"/>
      <c r="CV12" s="19">
        <v>805.0</v>
      </c>
      <c r="CW12" s="19">
        <v>495.0</v>
      </c>
      <c r="CX12" s="19">
        <v>475.0</v>
      </c>
      <c r="CY12" s="19"/>
      <c r="CZ12" s="19"/>
      <c r="DA12" s="19"/>
      <c r="DB12" s="19">
        <v>590.0</v>
      </c>
      <c r="DC12" s="19">
        <v>250.0</v>
      </c>
      <c r="DD12" s="19"/>
      <c r="DE12" s="19"/>
      <c r="DF12" s="19"/>
      <c r="DG12" s="19"/>
      <c r="DH12" s="19"/>
      <c r="DI12" s="19">
        <v>570.0</v>
      </c>
      <c r="DJ12" s="19"/>
      <c r="DK12" s="19"/>
      <c r="DL12" s="19"/>
      <c r="DM12" s="19"/>
      <c r="DN12" s="19"/>
      <c r="DO12" s="19">
        <v>510.0</v>
      </c>
      <c r="DP12" s="19"/>
      <c r="DQ12" s="19">
        <v>400.0</v>
      </c>
      <c r="DR12" s="19">
        <v>170.0</v>
      </c>
      <c r="DS12" s="19"/>
      <c r="DT12" s="19"/>
      <c r="DU12" s="19"/>
      <c r="DV12" s="19">
        <v>150.0</v>
      </c>
      <c r="DW12" s="19">
        <v>25.0</v>
      </c>
      <c r="DX12" s="19"/>
      <c r="DY12" s="19"/>
      <c r="DZ12" s="19"/>
      <c r="EA12" s="19"/>
      <c r="EB12" s="19"/>
      <c r="EC12" s="19">
        <v>185.0</v>
      </c>
      <c r="ED12" s="19"/>
      <c r="EE12" s="19"/>
      <c r="EF12" s="19"/>
      <c r="EG12" s="19"/>
      <c r="EH12" s="19"/>
      <c r="EI12" s="19"/>
      <c r="EJ12" s="19">
        <v>565.0</v>
      </c>
      <c r="EK12" s="19"/>
      <c r="EL12" s="19"/>
      <c r="EM12" s="19"/>
      <c r="EN12" s="19"/>
      <c r="EO12" s="19"/>
      <c r="EP12" s="19"/>
      <c r="EQ12" s="19"/>
      <c r="ER12" s="19"/>
      <c r="ES12" s="19">
        <v>200.0</v>
      </c>
      <c r="ET12" s="19"/>
      <c r="EU12" s="19"/>
      <c r="EV12" s="19"/>
      <c r="EW12" s="19"/>
      <c r="EX12" s="19"/>
      <c r="EY12" s="19"/>
      <c r="EZ12" s="19"/>
      <c r="FA12" s="19"/>
      <c r="FB12" s="19">
        <v>295.0</v>
      </c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>
        <v>300.0</v>
      </c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>
        <v>745.0</v>
      </c>
      <c r="GR12" s="19">
        <v>925.0</v>
      </c>
      <c r="GS12" s="19"/>
      <c r="GT12" s="19">
        <v>680.0</v>
      </c>
      <c r="GU12" s="19"/>
      <c r="GV12" s="19"/>
      <c r="GW12" s="19"/>
      <c r="GX12" s="19"/>
      <c r="GY12" s="19"/>
      <c r="GZ12" s="19"/>
      <c r="HA12" s="19"/>
      <c r="HB12" s="19"/>
      <c r="HC12" s="19"/>
      <c r="HD12" s="19">
        <v>190.0</v>
      </c>
      <c r="HE12" s="19"/>
      <c r="HF12" s="19">
        <v>245.0</v>
      </c>
      <c r="HG12" s="19"/>
      <c r="HH12" s="19">
        <v>745.0</v>
      </c>
      <c r="HI12" s="19"/>
      <c r="HJ12" s="19">
        <v>340.0</v>
      </c>
      <c r="HK12" s="19"/>
      <c r="HL12" s="19"/>
      <c r="HM12" s="19">
        <v>515.0</v>
      </c>
      <c r="HN12" s="19">
        <v>590.0</v>
      </c>
      <c r="HO12" s="19">
        <v>615.0</v>
      </c>
      <c r="HP12" s="19">
        <v>495.0</v>
      </c>
      <c r="HQ12" s="19">
        <v>630.0</v>
      </c>
      <c r="HR12" s="19"/>
      <c r="HS12" s="19"/>
      <c r="HT12" s="19">
        <v>475.0</v>
      </c>
      <c r="HU12" s="19">
        <v>705.0</v>
      </c>
      <c r="HV12" s="19">
        <v>605.0</v>
      </c>
      <c r="HW12" s="19"/>
      <c r="HX12" s="19"/>
      <c r="HY12" s="19"/>
      <c r="HZ12" s="19">
        <v>715.0</v>
      </c>
      <c r="IA12" s="19">
        <v>645.0</v>
      </c>
      <c r="IB12" s="19"/>
      <c r="IC12" s="19"/>
      <c r="ID12" s="19"/>
      <c r="IE12" s="19">
        <v>445.0</v>
      </c>
      <c r="IF12" s="19">
        <v>340.0</v>
      </c>
      <c r="IG12" s="19">
        <v>495.0</v>
      </c>
      <c r="IH12" s="19"/>
      <c r="II12" s="19">
        <v>435.0</v>
      </c>
      <c r="IJ12" s="19">
        <v>310.0</v>
      </c>
      <c r="IK12" s="19"/>
      <c r="IL12" s="19">
        <v>480.0</v>
      </c>
      <c r="IM12" s="19">
        <v>490.0</v>
      </c>
      <c r="IN12" s="19">
        <v>25.0</v>
      </c>
      <c r="IO12" s="19"/>
      <c r="IP12" s="19"/>
      <c r="IQ12" s="19">
        <v>220.0</v>
      </c>
      <c r="IR12" s="19"/>
      <c r="IS12" s="19"/>
      <c r="IT12" s="19"/>
      <c r="IU12" s="19"/>
      <c r="IV12" s="19">
        <v>300.0</v>
      </c>
      <c r="IW12" s="19">
        <v>340.0</v>
      </c>
      <c r="IX12" s="19"/>
      <c r="IY12" s="19"/>
      <c r="IZ12" s="19">
        <v>450.0</v>
      </c>
      <c r="JA12" s="19">
        <v>570.0</v>
      </c>
      <c r="JB12" s="19">
        <v>115.0</v>
      </c>
      <c r="JC12" s="19">
        <v>625.0</v>
      </c>
      <c r="JD12" s="19">
        <v>310.0</v>
      </c>
      <c r="JE12" s="19">
        <v>615.0</v>
      </c>
      <c r="JF12" s="19">
        <v>230.0</v>
      </c>
      <c r="JG12" s="19"/>
      <c r="JH12" s="19"/>
      <c r="JI12" s="19">
        <v>330.0</v>
      </c>
      <c r="JJ12" s="19"/>
      <c r="JK12" s="19"/>
      <c r="JL12" s="19">
        <v>395.0</v>
      </c>
      <c r="JM12" s="19">
        <v>380.0</v>
      </c>
      <c r="JN12" s="19">
        <v>225.0</v>
      </c>
      <c r="JO12" s="19">
        <v>630.0</v>
      </c>
      <c r="JP12" s="19"/>
      <c r="JQ12" s="19">
        <v>610.0</v>
      </c>
      <c r="JR12" s="19">
        <v>425.0</v>
      </c>
      <c r="JS12" s="19"/>
      <c r="JT12" s="19">
        <v>225.0</v>
      </c>
      <c r="JU12" s="19">
        <v>370.0</v>
      </c>
      <c r="JV12" s="19"/>
      <c r="JW12" s="19"/>
      <c r="JX12" s="19">
        <v>585.0</v>
      </c>
      <c r="JY12" s="19">
        <v>320.0</v>
      </c>
      <c r="JZ12" s="19">
        <v>525.0</v>
      </c>
      <c r="KA12" s="19"/>
      <c r="KB12" s="19">
        <v>400.0</v>
      </c>
      <c r="KC12" s="19"/>
      <c r="KD12" s="19"/>
      <c r="KE12" s="19"/>
      <c r="KF12" s="19">
        <v>595.0</v>
      </c>
      <c r="KG12" s="19"/>
      <c r="KH12" s="19"/>
      <c r="KI12" s="19">
        <v>220.0</v>
      </c>
      <c r="KJ12" s="19"/>
      <c r="KK12" s="19"/>
      <c r="KL12" s="19">
        <v>570.0</v>
      </c>
      <c r="KM12" s="19"/>
      <c r="KN12" s="19"/>
      <c r="KO12" s="19"/>
      <c r="KP12" s="19">
        <v>240.0</v>
      </c>
      <c r="KQ12" s="19"/>
      <c r="KR12" s="19"/>
      <c r="KS12" s="19">
        <v>710.0</v>
      </c>
      <c r="KT12" s="19"/>
      <c r="KU12" s="19"/>
      <c r="KV12" s="19"/>
      <c r="KW12" s="19">
        <v>450.0</v>
      </c>
      <c r="KX12" s="19">
        <v>365.0</v>
      </c>
      <c r="KY12" s="19"/>
      <c r="KZ12" s="19"/>
      <c r="LA12" s="19"/>
      <c r="LB12" s="19"/>
      <c r="LC12" s="19">
        <v>685.0</v>
      </c>
      <c r="LD12" s="19"/>
      <c r="LE12" s="19"/>
      <c r="LF12" s="19"/>
      <c r="LG12" s="19">
        <v>615.0</v>
      </c>
      <c r="LH12" s="19">
        <v>390.0</v>
      </c>
      <c r="LI12" s="19"/>
      <c r="LJ12" s="19"/>
      <c r="LK12" s="19"/>
      <c r="LL12" s="19">
        <v>715.0</v>
      </c>
      <c r="LM12" s="19"/>
      <c r="LN12" s="19">
        <v>845.0</v>
      </c>
      <c r="LO12" s="19"/>
      <c r="LP12" s="19"/>
      <c r="LQ12" s="19">
        <v>465.0</v>
      </c>
      <c r="LR12" s="19">
        <v>540.0</v>
      </c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>
        <v>240.0</v>
      </c>
      <c r="MF12" s="19"/>
      <c r="MG12" s="19"/>
      <c r="MH12" s="19">
        <v>130.0</v>
      </c>
      <c r="MI12" s="19"/>
      <c r="MJ12" s="19">
        <v>705.0</v>
      </c>
      <c r="MK12" s="19">
        <v>275.0</v>
      </c>
      <c r="ML12" s="19">
        <v>855.0</v>
      </c>
      <c r="MM12" s="19">
        <v>435.0</v>
      </c>
      <c r="MN12" s="19">
        <v>530.0</v>
      </c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>
        <v>690.0</v>
      </c>
      <c r="NE12" s="19"/>
      <c r="NF12" s="19">
        <v>555.0</v>
      </c>
      <c r="NG12" s="19"/>
      <c r="NH12" s="19">
        <v>155.0</v>
      </c>
      <c r="NI12" s="19"/>
      <c r="NJ12" s="19">
        <v>445.0</v>
      </c>
      <c r="NK12" s="19">
        <v>440.0</v>
      </c>
      <c r="NL12" s="19"/>
      <c r="NM12" s="19"/>
      <c r="NN12" s="19"/>
      <c r="NO12" s="19">
        <v>500.0</v>
      </c>
      <c r="NP12" s="19">
        <v>885.0</v>
      </c>
      <c r="NQ12" s="19">
        <v>450.0</v>
      </c>
      <c r="NR12" s="19">
        <v>325.0</v>
      </c>
      <c r="NS12" s="19">
        <v>250.0</v>
      </c>
      <c r="NT12" s="19"/>
      <c r="NU12" s="19"/>
      <c r="NV12" s="19"/>
      <c r="NW12" s="19">
        <v>395.0</v>
      </c>
      <c r="NX12" s="19"/>
      <c r="NY12" s="19">
        <v>135.0</v>
      </c>
      <c r="NZ12" s="19">
        <v>695.0</v>
      </c>
      <c r="OA12" s="19"/>
      <c r="OB12" s="19">
        <v>550.0</v>
      </c>
      <c r="OC12" s="19">
        <v>525.0</v>
      </c>
      <c r="OD12" s="19"/>
      <c r="OE12" s="19"/>
      <c r="OF12" s="19"/>
      <c r="OG12" s="19"/>
      <c r="OH12" s="19"/>
      <c r="OI12" s="19"/>
      <c r="OJ12" s="19"/>
      <c r="OK12" s="19"/>
      <c r="OL12" s="19">
        <v>500.0</v>
      </c>
      <c r="OM12" s="19">
        <v>445.0</v>
      </c>
      <c r="ON12" s="19"/>
      <c r="OO12" s="19">
        <v>335.0</v>
      </c>
      <c r="OP12" s="19"/>
      <c r="OQ12" s="19"/>
      <c r="OR12" s="19"/>
      <c r="OS12" s="19"/>
      <c r="OT12" s="19"/>
      <c r="OU12" s="19"/>
      <c r="OV12" s="19"/>
      <c r="OW12" s="19">
        <v>540.0</v>
      </c>
      <c r="OX12" s="19"/>
      <c r="OY12" s="19"/>
      <c r="OZ12" s="19"/>
      <c r="PA12" s="19"/>
      <c r="PB12" s="19"/>
      <c r="PC12" s="19"/>
      <c r="PD12" s="19">
        <v>265.0</v>
      </c>
      <c r="PE12" s="19"/>
      <c r="PF12" s="19"/>
      <c r="PG12" s="19">
        <v>375.0</v>
      </c>
      <c r="PH12" s="19"/>
      <c r="PI12" s="19"/>
      <c r="PJ12" s="19">
        <v>675.0</v>
      </c>
      <c r="PK12" s="19"/>
      <c r="PL12" s="19">
        <v>865.0</v>
      </c>
      <c r="PM12" s="19"/>
      <c r="PN12" s="19">
        <v>395.0</v>
      </c>
      <c r="PO12" s="19"/>
      <c r="PP12" s="19">
        <v>260.0</v>
      </c>
      <c r="PQ12" s="19"/>
      <c r="PR12" s="19"/>
      <c r="PS12" s="19">
        <v>665.0</v>
      </c>
      <c r="PT12" s="19">
        <v>380.0</v>
      </c>
      <c r="PU12" s="19"/>
      <c r="PV12" s="19"/>
      <c r="PW12" s="19"/>
      <c r="PX12" s="19"/>
      <c r="PY12" s="19"/>
      <c r="PZ12" s="19"/>
      <c r="QA12" s="19">
        <v>625.0</v>
      </c>
      <c r="QB12" s="19">
        <v>200.0</v>
      </c>
      <c r="QC12" s="19"/>
      <c r="QD12" s="19">
        <v>310.0</v>
      </c>
      <c r="QE12" s="19"/>
      <c r="QF12" s="19"/>
      <c r="QG12" s="19">
        <v>410.0</v>
      </c>
      <c r="QH12" s="19"/>
      <c r="QI12" s="19"/>
      <c r="QJ12" s="19"/>
      <c r="QK12" s="19"/>
      <c r="QL12" s="19"/>
      <c r="QM12" s="19"/>
      <c r="QN12" s="19"/>
      <c r="QO12" s="19">
        <v>470.0</v>
      </c>
      <c r="QP12" s="19"/>
      <c r="QQ12" s="19"/>
      <c r="QR12" s="19"/>
      <c r="QS12" s="19"/>
      <c r="QT12" s="19">
        <v>255.0</v>
      </c>
      <c r="QU12" s="19"/>
      <c r="QV12" s="19">
        <v>230.0</v>
      </c>
      <c r="QW12" s="19">
        <v>345.0</v>
      </c>
      <c r="QX12" s="19"/>
      <c r="QY12" s="19">
        <v>1025.0</v>
      </c>
      <c r="QZ12" s="19">
        <v>880.0</v>
      </c>
      <c r="RA12" s="19">
        <v>485.0</v>
      </c>
      <c r="RB12" s="19"/>
      <c r="RC12" s="19"/>
      <c r="RD12" s="19"/>
      <c r="RE12" s="19"/>
      <c r="RF12" s="19">
        <v>535.0</v>
      </c>
      <c r="RG12" s="19"/>
      <c r="RH12" s="19"/>
      <c r="RI12" s="19"/>
      <c r="RJ12" s="19"/>
      <c r="RK12" s="19"/>
      <c r="RL12" s="19"/>
      <c r="RM12" s="19"/>
      <c r="RN12" s="19"/>
      <c r="RO12" s="19"/>
      <c r="RP12" s="19">
        <v>570.0</v>
      </c>
      <c r="RQ12" s="19"/>
      <c r="RR12" s="19"/>
      <c r="RS12" s="19"/>
      <c r="RT12" s="19">
        <v>465.0</v>
      </c>
      <c r="RU12" s="19"/>
      <c r="RV12" s="19"/>
      <c r="RW12" s="19"/>
      <c r="RX12" s="19"/>
      <c r="RY12" s="19"/>
      <c r="RZ12" s="19">
        <v>805.0</v>
      </c>
      <c r="SA12" s="19"/>
      <c r="SB12" s="19"/>
      <c r="SC12" s="19">
        <v>400.0</v>
      </c>
      <c r="SD12" s="19"/>
      <c r="SE12" s="19"/>
      <c r="SF12" s="19"/>
      <c r="SG12" s="19">
        <v>270.0</v>
      </c>
      <c r="SH12" s="19">
        <v>950.0</v>
      </c>
      <c r="SI12" s="19"/>
      <c r="SJ12" s="19"/>
      <c r="SK12" s="19"/>
      <c r="SL12" s="19"/>
      <c r="SM12" s="19"/>
      <c r="SN12" s="19"/>
      <c r="SO12" s="19"/>
      <c r="SP12" s="19">
        <v>815.0</v>
      </c>
      <c r="SQ12" s="19"/>
      <c r="SR12" s="19"/>
      <c r="SS12" s="19"/>
      <c r="ST12" s="19"/>
      <c r="SU12" s="19">
        <v>185.0</v>
      </c>
      <c r="SV12" s="19"/>
      <c r="SW12" s="19"/>
      <c r="SX12" s="19">
        <v>885.0</v>
      </c>
      <c r="SY12" s="19">
        <v>310.0</v>
      </c>
      <c r="SZ12" s="19">
        <v>455.0</v>
      </c>
      <c r="TA12" s="19">
        <v>520.0</v>
      </c>
      <c r="TB12" s="19"/>
      <c r="TC12" s="19"/>
      <c r="TD12" s="19"/>
      <c r="TE12" s="19">
        <v>515.0</v>
      </c>
      <c r="TF12" s="19"/>
      <c r="TG12" s="19">
        <v>345.0</v>
      </c>
      <c r="TH12" s="19"/>
      <c r="TI12" s="19"/>
      <c r="TJ12" s="19"/>
      <c r="TK12" s="19"/>
      <c r="TL12" s="19"/>
      <c r="TM12" s="19">
        <v>135.0</v>
      </c>
      <c r="TN12" s="19"/>
      <c r="TO12" s="19">
        <v>245.0</v>
      </c>
      <c r="TP12" s="19"/>
      <c r="TQ12" s="19"/>
      <c r="TR12" s="19"/>
      <c r="TS12" s="19">
        <v>450.0</v>
      </c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</row>
    <row r="13">
      <c r="A13" s="19" t="s">
        <v>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>
        <v>725.0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>
        <v>620.0</v>
      </c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>
        <v>670.0</v>
      </c>
      <c r="OU13" s="19">
        <v>380.0</v>
      </c>
      <c r="OV13" s="19"/>
      <c r="OW13" s="19">
        <v>345.0</v>
      </c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>
        <v>730.0</v>
      </c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>
        <v>465.0</v>
      </c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</row>
    <row r="14">
      <c r="A14" s="19" t="s">
        <v>13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>
        <v>565.0</v>
      </c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>
        <v>630.0</v>
      </c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>
        <v>300.0</v>
      </c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>
        <v>315.0</v>
      </c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>
        <v>325.0</v>
      </c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>
        <v>610.0</v>
      </c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</row>
    <row r="15">
      <c r="A15" s="19" t="s">
        <v>14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>
        <v>620.0</v>
      </c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</row>
    <row r="16">
      <c r="A16" s="19" t="s">
        <v>15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>
        <v>425.0</v>
      </c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>
        <v>435.0</v>
      </c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>
        <v>755.0</v>
      </c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</row>
    <row r="17">
      <c r="A17" s="19" t="s">
        <v>16</v>
      </c>
      <c r="B17" s="19"/>
      <c r="C17" s="19"/>
      <c r="D17" s="19">
        <v>300.0</v>
      </c>
      <c r="E17" s="19"/>
      <c r="F17" s="19"/>
      <c r="G17" s="19"/>
      <c r="H17" s="19"/>
      <c r="I17" s="19"/>
      <c r="J17" s="19">
        <v>305.0</v>
      </c>
      <c r="K17" s="19"/>
      <c r="L17" s="19"/>
      <c r="M17" s="19">
        <v>465.0</v>
      </c>
      <c r="N17" s="19"/>
      <c r="O17" s="19"/>
      <c r="P17" s="19"/>
      <c r="Q17" s="19"/>
      <c r="R17" s="19">
        <v>95.0</v>
      </c>
      <c r="S17" s="19"/>
      <c r="T17" s="19"/>
      <c r="U17" s="19"/>
      <c r="V17" s="19"/>
      <c r="W17" s="19"/>
      <c r="X17" s="19"/>
      <c r="Y17" s="19"/>
      <c r="Z17" s="19">
        <v>565.0</v>
      </c>
      <c r="AA17" s="19">
        <v>775.0</v>
      </c>
      <c r="AB17" s="19">
        <v>240.0</v>
      </c>
      <c r="AC17" s="19"/>
      <c r="AD17" s="19">
        <v>655.0</v>
      </c>
      <c r="AE17" s="19"/>
      <c r="AF17" s="19"/>
      <c r="AG17" s="19"/>
      <c r="AH17" s="19"/>
      <c r="AI17" s="19"/>
      <c r="AJ17" s="19"/>
      <c r="AK17" s="19">
        <v>905.0</v>
      </c>
      <c r="AL17" s="19"/>
      <c r="AM17" s="19"/>
      <c r="AN17" s="19">
        <v>110.0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>
        <v>725.0</v>
      </c>
      <c r="BD17" s="19"/>
      <c r="BE17" s="19">
        <v>450.0</v>
      </c>
      <c r="BF17" s="19"/>
      <c r="BG17" s="19"/>
      <c r="BH17" s="19">
        <v>125.0</v>
      </c>
      <c r="BI17" s="19"/>
      <c r="BJ17" s="19"/>
      <c r="BK17" s="19"/>
      <c r="BL17" s="19"/>
      <c r="BM17" s="19">
        <v>640.0</v>
      </c>
      <c r="BN17" s="19">
        <v>210.0</v>
      </c>
      <c r="BO17" s="19">
        <v>360.0</v>
      </c>
      <c r="BP17" s="19"/>
      <c r="BQ17" s="19"/>
      <c r="BR17" s="19"/>
      <c r="BS17" s="19"/>
      <c r="BT17" s="19">
        <v>415.0</v>
      </c>
      <c r="BU17" s="19"/>
      <c r="BV17" s="19">
        <v>735.0</v>
      </c>
      <c r="BW17" s="19">
        <v>255.0</v>
      </c>
      <c r="BX17" s="19"/>
      <c r="BY17" s="19"/>
      <c r="BZ17" s="19"/>
      <c r="CA17" s="19"/>
      <c r="CB17" s="19"/>
      <c r="CC17" s="19"/>
      <c r="CD17" s="19"/>
      <c r="CE17" s="19"/>
      <c r="CF17" s="19">
        <v>840.0</v>
      </c>
      <c r="CG17" s="19"/>
      <c r="CH17" s="19"/>
      <c r="CI17" s="19">
        <v>180.0</v>
      </c>
      <c r="CJ17" s="19">
        <v>415.0</v>
      </c>
      <c r="CK17" s="19">
        <v>300.0</v>
      </c>
      <c r="CL17" s="19">
        <v>350.0</v>
      </c>
      <c r="CM17" s="19"/>
      <c r="CN17" s="19">
        <v>520.0</v>
      </c>
      <c r="CO17" s="19">
        <v>390.0</v>
      </c>
      <c r="CP17" s="19">
        <v>185.0</v>
      </c>
      <c r="CQ17" s="19"/>
      <c r="CR17" s="19">
        <v>460.0</v>
      </c>
      <c r="CS17" s="19"/>
      <c r="CT17" s="19"/>
      <c r="CU17" s="19"/>
      <c r="CV17" s="19">
        <v>705.0</v>
      </c>
      <c r="CW17" s="19"/>
      <c r="CX17" s="19"/>
      <c r="CY17" s="19"/>
      <c r="CZ17" s="19">
        <v>450.0</v>
      </c>
      <c r="DA17" s="19"/>
      <c r="DB17" s="19"/>
      <c r="DC17" s="19"/>
      <c r="DD17" s="19"/>
      <c r="DE17" s="19"/>
      <c r="DF17" s="19"/>
      <c r="DG17" s="19">
        <v>15.0</v>
      </c>
      <c r="DH17" s="19">
        <v>285.0</v>
      </c>
      <c r="DI17" s="19"/>
      <c r="DJ17" s="19">
        <v>555.0</v>
      </c>
      <c r="DK17" s="19"/>
      <c r="DL17" s="19"/>
      <c r="DM17" s="19">
        <v>580.0</v>
      </c>
      <c r="DN17" s="19">
        <v>650.0</v>
      </c>
      <c r="DO17" s="19"/>
      <c r="DP17" s="19">
        <v>845.0</v>
      </c>
      <c r="DQ17" s="19"/>
      <c r="DR17" s="19">
        <v>515.0</v>
      </c>
      <c r="DS17" s="19">
        <v>485.0</v>
      </c>
      <c r="DT17" s="19">
        <v>300.0</v>
      </c>
      <c r="DU17" s="19">
        <v>310.0</v>
      </c>
      <c r="DV17" s="19"/>
      <c r="DW17" s="19"/>
      <c r="DX17" s="19"/>
      <c r="DY17" s="19"/>
      <c r="DZ17" s="19"/>
      <c r="EA17" s="19">
        <v>665.0</v>
      </c>
      <c r="EB17" s="19"/>
      <c r="EC17" s="19"/>
      <c r="ED17" s="19"/>
      <c r="EE17" s="19"/>
      <c r="EF17" s="19">
        <v>550.0</v>
      </c>
      <c r="EG17" s="19">
        <v>315.0</v>
      </c>
      <c r="EH17" s="19"/>
      <c r="EI17" s="19"/>
      <c r="EJ17" s="19"/>
      <c r="EK17" s="19"/>
      <c r="EL17" s="19"/>
      <c r="EM17" s="19">
        <v>45.0</v>
      </c>
      <c r="EN17" s="19"/>
      <c r="EO17" s="19">
        <v>360.0</v>
      </c>
      <c r="EP17" s="19">
        <v>260.0</v>
      </c>
      <c r="EQ17" s="19"/>
      <c r="ER17" s="19">
        <v>335.0</v>
      </c>
      <c r="ES17" s="19"/>
      <c r="ET17" s="19"/>
      <c r="EU17" s="19"/>
      <c r="EV17" s="19">
        <v>705.0</v>
      </c>
      <c r="EW17" s="19">
        <v>225.0</v>
      </c>
      <c r="EX17" s="19"/>
      <c r="EY17" s="19">
        <v>365.0</v>
      </c>
      <c r="EZ17" s="19"/>
      <c r="FA17" s="19"/>
      <c r="FB17" s="19"/>
      <c r="FC17" s="19">
        <v>665.0</v>
      </c>
      <c r="FD17" s="19"/>
      <c r="FE17" s="19"/>
      <c r="FF17" s="19">
        <v>425.0</v>
      </c>
      <c r="FG17" s="19"/>
      <c r="FH17" s="19"/>
      <c r="FI17" s="19"/>
      <c r="FJ17" s="19">
        <v>695.0</v>
      </c>
      <c r="FK17" s="19"/>
      <c r="FL17" s="19"/>
      <c r="FM17" s="19"/>
      <c r="FN17" s="19"/>
      <c r="FO17" s="19"/>
      <c r="FP17" s="19">
        <v>595.0</v>
      </c>
      <c r="FQ17" s="19"/>
      <c r="FR17" s="19"/>
      <c r="FS17" s="19"/>
      <c r="FT17" s="19"/>
      <c r="FU17" s="19"/>
      <c r="FV17" s="19"/>
      <c r="FW17" s="19"/>
      <c r="FX17" s="19"/>
      <c r="FY17" s="19"/>
      <c r="FZ17" s="19">
        <v>185.0</v>
      </c>
      <c r="GA17" s="19"/>
      <c r="GB17" s="19"/>
      <c r="GC17" s="19"/>
      <c r="GD17" s="19"/>
      <c r="GE17" s="19">
        <v>615.0</v>
      </c>
      <c r="GF17" s="19">
        <v>310.0</v>
      </c>
      <c r="GG17" s="19">
        <v>315.0</v>
      </c>
      <c r="GH17" s="19"/>
      <c r="GI17" s="19"/>
      <c r="GJ17" s="19">
        <v>375.0</v>
      </c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>
        <v>585.0</v>
      </c>
      <c r="GZ17" s="19">
        <v>765.0</v>
      </c>
      <c r="HA17" s="19"/>
      <c r="HB17" s="19">
        <v>120.0</v>
      </c>
      <c r="HC17" s="19"/>
      <c r="HD17" s="19"/>
      <c r="HE17" s="19"/>
      <c r="HF17" s="19"/>
      <c r="HG17" s="19">
        <v>140.0</v>
      </c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>
        <v>330.0</v>
      </c>
      <c r="HW17" s="19">
        <v>140.0</v>
      </c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>
        <v>190.0</v>
      </c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>
        <v>420.0</v>
      </c>
      <c r="JD17" s="19"/>
      <c r="JE17" s="19"/>
      <c r="JF17" s="19"/>
      <c r="JG17" s="19">
        <v>270.0</v>
      </c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>
        <v>370.0</v>
      </c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>
        <v>335.0</v>
      </c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>
        <v>1310.0</v>
      </c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>
        <v>380.0</v>
      </c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>
        <v>1140.0</v>
      </c>
      <c r="OZ17" s="19"/>
      <c r="PA17" s="19"/>
      <c r="PB17" s="19"/>
      <c r="PC17" s="19"/>
      <c r="PD17" s="19"/>
      <c r="PE17" s="19"/>
      <c r="PF17" s="19">
        <v>75.0</v>
      </c>
      <c r="PG17" s="19"/>
      <c r="PH17" s="19"/>
      <c r="PI17" s="19"/>
      <c r="PJ17" s="19"/>
      <c r="PK17" s="19">
        <v>225.0</v>
      </c>
      <c r="PL17" s="19"/>
      <c r="PM17" s="19"/>
      <c r="PN17" s="19"/>
      <c r="PO17" s="19"/>
      <c r="PP17" s="19"/>
      <c r="PQ17" s="19">
        <v>545.0</v>
      </c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>
        <v>690.0</v>
      </c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>
        <v>220.0</v>
      </c>
      <c r="SB17" s="19"/>
      <c r="SC17" s="19"/>
      <c r="SD17" s="19">
        <v>240.0</v>
      </c>
      <c r="SE17" s="19"/>
      <c r="SF17" s="19"/>
      <c r="SG17" s="19"/>
      <c r="SH17" s="19"/>
      <c r="SI17" s="19"/>
      <c r="SJ17" s="19"/>
      <c r="SK17" s="19"/>
      <c r="SL17" s="19"/>
      <c r="SM17" s="19"/>
      <c r="SN17" s="19">
        <v>260.0</v>
      </c>
      <c r="SO17" s="19">
        <v>285.0</v>
      </c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</row>
    <row r="18">
      <c r="A18" s="19" t="s">
        <v>17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>
        <v>1155.0</v>
      </c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</row>
    <row r="19">
      <c r="A19" s="19" t="s">
        <v>18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>
        <v>400.0</v>
      </c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>
        <v>645.0</v>
      </c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</row>
    <row r="20">
      <c r="A20" s="19" t="s">
        <v>19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>
        <v>905.0</v>
      </c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>
        <v>675.0</v>
      </c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</row>
    <row r="21">
      <c r="A21" s="19" t="s">
        <v>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>
        <v>180.0</v>
      </c>
      <c r="Y21" s="19">
        <v>575.0</v>
      </c>
      <c r="Z21" s="19"/>
      <c r="AA21" s="19"/>
      <c r="AB21" s="19"/>
      <c r="AC21" s="19"/>
      <c r="AD21" s="19"/>
      <c r="AE21" s="19"/>
      <c r="AF21" s="19">
        <v>60.0</v>
      </c>
      <c r="AG21" s="19"/>
      <c r="AH21" s="19"/>
      <c r="AI21" s="19"/>
      <c r="AJ21" s="19"/>
      <c r="AK21" s="19"/>
      <c r="AL21" s="19"/>
      <c r="AM21" s="19"/>
      <c r="AN21" s="19"/>
      <c r="AO21" s="19">
        <v>120.0</v>
      </c>
      <c r="AP21" s="19"/>
      <c r="AQ21" s="19"/>
      <c r="AR21" s="19">
        <v>475.0</v>
      </c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>
        <v>85.0</v>
      </c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>
        <v>105.0</v>
      </c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>
        <v>110.0</v>
      </c>
      <c r="FT21" s="19">
        <v>85.0</v>
      </c>
      <c r="FU21" s="19"/>
      <c r="FV21" s="19">
        <v>580.0</v>
      </c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>
        <v>630.0</v>
      </c>
      <c r="HZ21" s="19"/>
      <c r="IA21" s="19"/>
      <c r="IB21" s="19"/>
      <c r="IC21" s="19"/>
      <c r="ID21" s="19"/>
      <c r="IE21" s="19"/>
      <c r="IF21" s="19"/>
      <c r="IG21" s="19"/>
      <c r="IH21" s="19">
        <v>485.0</v>
      </c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>
        <v>310.0</v>
      </c>
      <c r="KI21" s="19"/>
      <c r="KJ21" s="19"/>
      <c r="KK21" s="19"/>
      <c r="KL21" s="19"/>
      <c r="KM21" s="19"/>
      <c r="KN21" s="19"/>
      <c r="KO21" s="19"/>
      <c r="KP21" s="19"/>
      <c r="KQ21" s="19">
        <v>505.0</v>
      </c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>
        <v>715.0</v>
      </c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>
        <v>345.0</v>
      </c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>
        <v>305.0</v>
      </c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>
        <v>800.0</v>
      </c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</row>
    <row r="22">
      <c r="A22" s="19" t="s">
        <v>21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>
        <v>705.0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>
        <v>180.0</v>
      </c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>
        <v>150.0</v>
      </c>
      <c r="EU22" s="19"/>
      <c r="EV22" s="19"/>
      <c r="EW22" s="19"/>
      <c r="EX22" s="19"/>
      <c r="EY22" s="19"/>
      <c r="EZ22" s="19"/>
      <c r="FA22" s="19"/>
      <c r="FB22" s="19"/>
      <c r="FC22" s="19"/>
      <c r="FD22" s="19">
        <v>280.0</v>
      </c>
      <c r="FE22" s="19"/>
      <c r="FF22" s="19"/>
      <c r="FG22" s="19">
        <v>235.0</v>
      </c>
      <c r="FH22" s="19">
        <v>170.0</v>
      </c>
      <c r="FI22" s="19">
        <v>295.0</v>
      </c>
      <c r="FJ22" s="19"/>
      <c r="FK22" s="19"/>
      <c r="FL22" s="19"/>
      <c r="FM22" s="19"/>
      <c r="FN22" s="19"/>
      <c r="FO22" s="19"/>
      <c r="FP22" s="19"/>
      <c r="FQ22" s="19">
        <v>185.0</v>
      </c>
      <c r="FR22" s="19"/>
      <c r="FS22" s="19"/>
      <c r="FT22" s="19"/>
      <c r="FU22" s="19"/>
      <c r="FV22" s="19"/>
      <c r="FW22" s="19"/>
      <c r="FX22" s="19"/>
      <c r="FY22" s="19">
        <v>525.0</v>
      </c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>
        <v>65.0</v>
      </c>
      <c r="HS22" s="19">
        <v>235.0</v>
      </c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>
        <v>470.0</v>
      </c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>
        <v>700.0</v>
      </c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>
        <v>295.0</v>
      </c>
      <c r="KP22" s="19"/>
      <c r="KQ22" s="19"/>
      <c r="KR22" s="19"/>
      <c r="KS22" s="19"/>
      <c r="KT22" s="19"/>
      <c r="KU22" s="19"/>
      <c r="KV22" s="19"/>
      <c r="KW22" s="19"/>
      <c r="KX22" s="19">
        <v>565.0</v>
      </c>
      <c r="KY22" s="19"/>
      <c r="KZ22" s="19"/>
      <c r="LA22" s="19"/>
      <c r="LB22" s="19"/>
      <c r="LC22" s="19"/>
      <c r="LD22" s="19"/>
      <c r="LE22" s="19"/>
      <c r="LF22" s="19"/>
      <c r="LG22" s="19"/>
      <c r="LH22" s="19">
        <v>485.0</v>
      </c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>
        <v>65.0</v>
      </c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>
        <v>890.0</v>
      </c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>
        <v>745.0</v>
      </c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>
        <v>430.0</v>
      </c>
      <c r="OR22" s="19">
        <v>220.0</v>
      </c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>
        <v>870.0</v>
      </c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>
        <v>365.0</v>
      </c>
      <c r="PV22" s="19">
        <v>515.0</v>
      </c>
      <c r="PW22" s="19"/>
      <c r="PX22" s="19"/>
      <c r="PY22" s="19"/>
      <c r="PZ22" s="19">
        <v>410.0</v>
      </c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>
        <v>645.0</v>
      </c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>
        <v>190.0</v>
      </c>
      <c r="RW22" s="19">
        <v>835.0</v>
      </c>
      <c r="RX22" s="19">
        <v>850.0</v>
      </c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>
        <v>355.0</v>
      </c>
      <c r="SJ22" s="19"/>
      <c r="SK22" s="19"/>
      <c r="SL22" s="19"/>
      <c r="SM22" s="19"/>
      <c r="SN22" s="19"/>
      <c r="SO22" s="19"/>
      <c r="SP22" s="19"/>
      <c r="SQ22" s="19">
        <v>620.0</v>
      </c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>
        <v>55.0</v>
      </c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>
        <v>325.0</v>
      </c>
      <c r="TS22" s="19">
        <v>700.0</v>
      </c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</row>
    <row r="23">
      <c r="A23" s="19" t="s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>
        <v>695.0</v>
      </c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>
        <v>365.0</v>
      </c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>
        <v>775.0</v>
      </c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>
        <v>370.0</v>
      </c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>
        <v>830.0</v>
      </c>
      <c r="QW23" s="19"/>
      <c r="QX23" s="19"/>
      <c r="QY23" s="19"/>
      <c r="QZ23" s="19">
        <v>675.0</v>
      </c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  <c r="YR23" s="19"/>
      <c r="YS23" s="19"/>
      <c r="YT23" s="19"/>
      <c r="YU23" s="19"/>
      <c r="YV23" s="19"/>
      <c r="YW23" s="19"/>
      <c r="YX23" s="19"/>
      <c r="YY23" s="19"/>
      <c r="YZ23" s="19"/>
      <c r="ZA23" s="19"/>
      <c r="ZB23" s="19"/>
      <c r="ZC23" s="19"/>
      <c r="ZD23" s="19"/>
      <c r="ZE23" s="19"/>
      <c r="ZF23" s="19"/>
      <c r="ZG23" s="19"/>
      <c r="ZH23" s="19"/>
      <c r="ZI23" s="19"/>
      <c r="ZJ23" s="19"/>
      <c r="ZK23" s="19"/>
      <c r="ZL23" s="19"/>
      <c r="ZM23" s="19"/>
      <c r="ZN23" s="19"/>
      <c r="ZO23" s="19"/>
      <c r="ZP23" s="19"/>
      <c r="ZQ23" s="19"/>
      <c r="ZR23" s="19"/>
      <c r="ZS23" s="19"/>
      <c r="ZT23" s="19"/>
      <c r="ZU23" s="19"/>
      <c r="ZV23" s="19"/>
      <c r="ZW23" s="19"/>
      <c r="ZX23" s="19"/>
      <c r="ZY23" s="19"/>
      <c r="ZZ23" s="19"/>
      <c r="AAA23" s="19"/>
      <c r="AAB23" s="19"/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/>
      <c r="AAN23" s="19"/>
      <c r="AAO23" s="19"/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/>
      <c r="ABI23" s="19"/>
      <c r="ABJ23" s="19"/>
      <c r="ABK23" s="19"/>
      <c r="ABL23" s="19"/>
      <c r="ABM23" s="19"/>
      <c r="ABN23" s="19"/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/>
      <c r="ACN23" s="19"/>
      <c r="ACO23" s="19"/>
      <c r="ACP23" s="19"/>
      <c r="ACQ23" s="19"/>
      <c r="ACR23" s="19"/>
      <c r="ACS23" s="19"/>
      <c r="ACT23" s="19"/>
      <c r="ACU23" s="19"/>
      <c r="ACV23" s="19"/>
      <c r="ACW23" s="19"/>
      <c r="ACX23" s="19"/>
      <c r="ACY23" s="19"/>
      <c r="ACZ23" s="19"/>
      <c r="ADA23" s="19"/>
      <c r="ADB23" s="19"/>
      <c r="ADC23" s="19"/>
      <c r="ADD23" s="19"/>
      <c r="ADE23" s="19"/>
      <c r="ADF23" s="19"/>
      <c r="ADG23" s="19"/>
      <c r="ADH23" s="19"/>
      <c r="ADI23" s="19"/>
      <c r="ADJ23" s="19"/>
      <c r="ADK23" s="19"/>
      <c r="ADL23" s="19"/>
      <c r="ADM23" s="19"/>
      <c r="ADN23" s="19"/>
      <c r="ADO23" s="19"/>
      <c r="ADP23" s="19"/>
      <c r="ADQ23" s="19"/>
      <c r="ADR23" s="19"/>
      <c r="ADS23" s="19"/>
      <c r="ADT23" s="19"/>
      <c r="ADU23" s="19"/>
      <c r="ADV23" s="19"/>
      <c r="ADW23" s="19"/>
      <c r="ADX23" s="19"/>
      <c r="ADY23" s="19"/>
      <c r="ADZ23" s="19"/>
      <c r="AEA23" s="19"/>
      <c r="AEB23" s="19"/>
      <c r="AEC23" s="19"/>
      <c r="AED23" s="19"/>
      <c r="AEE23" s="19"/>
      <c r="AEF23" s="19"/>
      <c r="AEG23" s="19"/>
      <c r="AEH23" s="19"/>
      <c r="AEI23" s="19"/>
      <c r="AEJ23" s="19"/>
      <c r="AEK23" s="19"/>
      <c r="AEL23" s="19"/>
      <c r="AEM23" s="19"/>
      <c r="AEN23" s="19"/>
      <c r="AEO23" s="19"/>
      <c r="AEP23" s="19"/>
      <c r="AEQ23" s="19"/>
      <c r="AER23" s="19"/>
      <c r="AES23" s="19"/>
      <c r="AET23" s="19"/>
      <c r="AEU23" s="19"/>
      <c r="AEV23" s="19"/>
      <c r="AEW23" s="19"/>
      <c r="AEX23" s="19"/>
      <c r="AEY23" s="19"/>
      <c r="AEZ23" s="19"/>
      <c r="AFA23" s="19"/>
      <c r="AFB23" s="19"/>
      <c r="AFC23" s="19"/>
      <c r="AFD23" s="19"/>
      <c r="AFE23" s="19"/>
      <c r="AFF23" s="19"/>
      <c r="AFG23" s="19"/>
      <c r="AFH23" s="19"/>
      <c r="AFI23" s="19"/>
      <c r="AFJ23" s="19"/>
      <c r="AFK23" s="19"/>
      <c r="AFL23" s="19"/>
      <c r="AFM23" s="19"/>
      <c r="AFN23" s="19"/>
      <c r="AFO23" s="19"/>
      <c r="AFP23" s="19"/>
      <c r="AFQ23" s="19"/>
      <c r="AFR23" s="19"/>
      <c r="AFS23" s="19"/>
      <c r="AFT23" s="19"/>
      <c r="AFU23" s="19"/>
      <c r="AFV23" s="19"/>
      <c r="AFW23" s="19"/>
      <c r="AFX23" s="19"/>
      <c r="AFY23" s="19"/>
      <c r="AFZ23" s="19"/>
      <c r="AGA23" s="19"/>
      <c r="AGB23" s="19"/>
      <c r="AGC23" s="19"/>
      <c r="AGD23" s="19"/>
      <c r="AGE23" s="19"/>
      <c r="AGF23" s="19"/>
      <c r="AGG23" s="19"/>
      <c r="AGH23" s="19"/>
      <c r="AGI23" s="19"/>
      <c r="AGJ23" s="19"/>
      <c r="AGK23" s="19"/>
      <c r="AGL23" s="19"/>
      <c r="AGM23" s="19"/>
      <c r="AGN23" s="19"/>
      <c r="AGO23" s="19"/>
      <c r="AGP23" s="19"/>
      <c r="AGQ23" s="19"/>
      <c r="AGR23" s="19"/>
      <c r="AGS23" s="19"/>
      <c r="AGT23" s="19"/>
      <c r="AGU23" s="19"/>
      <c r="AGV23" s="19"/>
      <c r="AGW23" s="19"/>
      <c r="AGX23" s="19"/>
      <c r="AGY23" s="19"/>
      <c r="AGZ23" s="19"/>
      <c r="AHA23" s="19"/>
      <c r="AHB23" s="19"/>
      <c r="AHC23" s="19"/>
      <c r="AHD23" s="19"/>
      <c r="AHE23" s="19"/>
      <c r="AHF23" s="19"/>
      <c r="AHG23" s="19"/>
      <c r="AHH23" s="19"/>
      <c r="AHI23" s="19"/>
      <c r="AHJ23" s="19"/>
      <c r="AHK23" s="19"/>
      <c r="AHL23" s="19"/>
      <c r="AHM23" s="19"/>
      <c r="AHN23" s="19"/>
      <c r="AHO23" s="19"/>
      <c r="AHP23" s="19"/>
    </row>
    <row r="24">
      <c r="A24" s="19" t="s">
        <v>23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>
        <v>740.0</v>
      </c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>
        <v>585.0</v>
      </c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>
        <v>215.0</v>
      </c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>
        <v>740.0</v>
      </c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>
        <v>310.0</v>
      </c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</row>
    <row r="25">
      <c r="A25" s="19" t="s">
        <v>24</v>
      </c>
      <c r="B25" s="19">
        <v>695.0</v>
      </c>
      <c r="C25" s="19">
        <v>335.0</v>
      </c>
      <c r="D25" s="19">
        <v>365.0</v>
      </c>
      <c r="E25" s="19">
        <v>450.0</v>
      </c>
      <c r="F25" s="19">
        <v>540.0</v>
      </c>
      <c r="G25" s="19">
        <v>175.0</v>
      </c>
      <c r="H25" s="19">
        <v>900.0</v>
      </c>
      <c r="I25" s="19">
        <v>675.0</v>
      </c>
      <c r="J25" s="19">
        <v>550.0</v>
      </c>
      <c r="K25" s="19">
        <v>260.0</v>
      </c>
      <c r="L25" s="19">
        <v>190.0</v>
      </c>
      <c r="M25" s="19">
        <v>430.0</v>
      </c>
      <c r="N25" s="19">
        <v>675.0</v>
      </c>
      <c r="O25" s="19">
        <v>410.0</v>
      </c>
      <c r="P25" s="19">
        <v>515.0</v>
      </c>
      <c r="Q25" s="19">
        <v>145.0</v>
      </c>
      <c r="R25" s="19">
        <v>265.0</v>
      </c>
      <c r="S25" s="19">
        <v>380.0</v>
      </c>
      <c r="T25" s="19">
        <v>275.0</v>
      </c>
      <c r="U25" s="19">
        <v>160.0</v>
      </c>
      <c r="V25" s="19">
        <v>75.0</v>
      </c>
      <c r="W25" s="19">
        <v>695.0</v>
      </c>
      <c r="X25" s="19">
        <v>325.0</v>
      </c>
      <c r="Y25" s="19">
        <v>445.0</v>
      </c>
      <c r="Z25" s="19"/>
      <c r="AA25" s="19">
        <v>400.0</v>
      </c>
      <c r="AB25" s="19">
        <v>235.0</v>
      </c>
      <c r="AC25" s="19">
        <v>145.0</v>
      </c>
      <c r="AD25" s="19">
        <v>245.0</v>
      </c>
      <c r="AE25" s="19">
        <v>145.0</v>
      </c>
      <c r="AF25" s="19">
        <v>640.0</v>
      </c>
      <c r="AG25" s="19">
        <v>390.0</v>
      </c>
      <c r="AH25" s="19">
        <v>185.0</v>
      </c>
      <c r="AI25" s="19">
        <v>520.0</v>
      </c>
      <c r="AJ25" s="19">
        <v>730.0</v>
      </c>
      <c r="AK25" s="19">
        <v>480.0</v>
      </c>
      <c r="AL25" s="19">
        <v>150.0</v>
      </c>
      <c r="AM25" s="19">
        <v>520.0</v>
      </c>
      <c r="AN25" s="19">
        <v>360.0</v>
      </c>
      <c r="AO25" s="19"/>
      <c r="AP25" s="19">
        <v>285.0</v>
      </c>
      <c r="AQ25" s="19">
        <v>520.0</v>
      </c>
      <c r="AR25" s="19">
        <v>640.0</v>
      </c>
      <c r="AS25" s="19">
        <v>370.0</v>
      </c>
      <c r="AT25" s="19">
        <v>460.0</v>
      </c>
      <c r="AU25" s="19">
        <v>470.0</v>
      </c>
      <c r="AV25" s="19">
        <v>230.0</v>
      </c>
      <c r="AW25" s="19">
        <v>550.0</v>
      </c>
      <c r="AX25" s="19">
        <v>460.0</v>
      </c>
      <c r="AY25" s="19">
        <v>370.0</v>
      </c>
      <c r="AZ25" s="19">
        <v>250.0</v>
      </c>
      <c r="BA25" s="19">
        <v>325.0</v>
      </c>
      <c r="BB25" s="19">
        <v>195.0</v>
      </c>
      <c r="BC25" s="19">
        <v>405.0</v>
      </c>
      <c r="BD25" s="19">
        <v>310.0</v>
      </c>
      <c r="BE25" s="19">
        <v>630.0</v>
      </c>
      <c r="BF25" s="19">
        <v>165.0</v>
      </c>
      <c r="BG25" s="19">
        <v>205.0</v>
      </c>
      <c r="BH25" s="19"/>
      <c r="BI25" s="19">
        <v>325.0</v>
      </c>
      <c r="BJ25" s="19">
        <v>500.0</v>
      </c>
      <c r="BK25" s="19">
        <v>600.0</v>
      </c>
      <c r="BL25" s="19">
        <v>45.0</v>
      </c>
      <c r="BM25" s="19">
        <v>580.0</v>
      </c>
      <c r="BN25" s="19">
        <v>164.0</v>
      </c>
      <c r="BO25" s="19">
        <v>245.0</v>
      </c>
      <c r="BP25" s="19">
        <v>305.0</v>
      </c>
      <c r="BQ25" s="19">
        <v>215.0</v>
      </c>
      <c r="BR25" s="19">
        <v>485.0</v>
      </c>
      <c r="BS25" s="19">
        <v>190.0</v>
      </c>
      <c r="BT25" s="19">
        <v>255.0</v>
      </c>
      <c r="BU25" s="19">
        <v>90.0</v>
      </c>
      <c r="BV25" s="19">
        <v>520.0</v>
      </c>
      <c r="BW25" s="19">
        <v>235.0</v>
      </c>
      <c r="BX25" s="19">
        <v>375.0</v>
      </c>
      <c r="BY25" s="19">
        <v>205.0</v>
      </c>
      <c r="BZ25" s="19">
        <v>495.0</v>
      </c>
      <c r="CA25" s="19">
        <v>405.0</v>
      </c>
      <c r="CB25" s="19">
        <v>505.0</v>
      </c>
      <c r="CC25" s="19">
        <v>540.0</v>
      </c>
      <c r="CD25" s="19">
        <v>240.0</v>
      </c>
      <c r="CE25" s="19">
        <v>310.0</v>
      </c>
      <c r="CF25" s="19">
        <v>425.0</v>
      </c>
      <c r="CG25" s="19">
        <v>385.0</v>
      </c>
      <c r="CH25" s="19">
        <v>555.0</v>
      </c>
      <c r="CI25" s="19"/>
      <c r="CJ25" s="19">
        <v>555.0</v>
      </c>
      <c r="CK25" s="19">
        <v>455.0</v>
      </c>
      <c r="CL25" s="19"/>
      <c r="CM25" s="19">
        <v>270.0</v>
      </c>
      <c r="CN25" s="19"/>
      <c r="CO25" s="19">
        <v>295.0</v>
      </c>
      <c r="CP25" s="19">
        <v>330.0</v>
      </c>
      <c r="CQ25" s="19">
        <v>315.0</v>
      </c>
      <c r="CR25" s="19">
        <v>510.0</v>
      </c>
      <c r="CS25" s="19">
        <v>380.0</v>
      </c>
      <c r="CT25" s="19">
        <v>130.0</v>
      </c>
      <c r="CU25" s="19">
        <v>700.0</v>
      </c>
      <c r="CV25" s="19"/>
      <c r="CW25" s="19">
        <v>615.0</v>
      </c>
      <c r="CX25" s="19">
        <v>830.0</v>
      </c>
      <c r="CY25" s="19">
        <v>225.0</v>
      </c>
      <c r="CZ25" s="19">
        <v>420.0</v>
      </c>
      <c r="DA25" s="19">
        <v>365.0</v>
      </c>
      <c r="DB25" s="19">
        <v>885.0</v>
      </c>
      <c r="DC25" s="19">
        <v>65.0</v>
      </c>
      <c r="DD25" s="19">
        <v>470.0</v>
      </c>
      <c r="DE25" s="19">
        <v>220.0</v>
      </c>
      <c r="DF25" s="19">
        <v>795.0</v>
      </c>
      <c r="DG25" s="19">
        <v>95.0</v>
      </c>
      <c r="DH25" s="19"/>
      <c r="DI25" s="19">
        <v>590.0</v>
      </c>
      <c r="DJ25" s="19">
        <v>510.0</v>
      </c>
      <c r="DK25" s="19">
        <v>225.0</v>
      </c>
      <c r="DL25" s="19">
        <v>315.0</v>
      </c>
      <c r="DM25" s="19">
        <v>320.0</v>
      </c>
      <c r="DN25" s="19">
        <v>705.0</v>
      </c>
      <c r="DO25" s="19">
        <v>230.0</v>
      </c>
      <c r="DP25" s="19">
        <v>560.0</v>
      </c>
      <c r="DQ25" s="19">
        <v>660.0</v>
      </c>
      <c r="DR25" s="19">
        <v>330.0</v>
      </c>
      <c r="DS25" s="19">
        <v>500.0</v>
      </c>
      <c r="DT25" s="19">
        <v>240.0</v>
      </c>
      <c r="DU25" s="19">
        <v>560.0</v>
      </c>
      <c r="DV25" s="19">
        <v>535.0</v>
      </c>
      <c r="DW25" s="19">
        <v>460.0</v>
      </c>
      <c r="DX25" s="19">
        <v>185.0</v>
      </c>
      <c r="DY25" s="19">
        <v>380.0</v>
      </c>
      <c r="DZ25" s="19">
        <v>455.0</v>
      </c>
      <c r="EA25" s="19">
        <v>510.0</v>
      </c>
      <c r="EB25" s="19">
        <v>210.0</v>
      </c>
      <c r="EC25" s="19">
        <v>145.0</v>
      </c>
      <c r="ED25" s="19">
        <v>485.0</v>
      </c>
      <c r="EE25" s="19">
        <v>480.0</v>
      </c>
      <c r="EF25" s="19">
        <v>340.0</v>
      </c>
      <c r="EG25" s="19">
        <v>250.0</v>
      </c>
      <c r="EH25" s="19">
        <v>485.0</v>
      </c>
      <c r="EI25" s="19">
        <v>655.0</v>
      </c>
      <c r="EJ25" s="19">
        <v>375.0</v>
      </c>
      <c r="EK25" s="19">
        <v>355.0</v>
      </c>
      <c r="EL25" s="19">
        <v>335.0</v>
      </c>
      <c r="EM25" s="19">
        <v>235.0</v>
      </c>
      <c r="EN25" s="19">
        <v>215.0</v>
      </c>
      <c r="EO25" s="19">
        <v>310.0</v>
      </c>
      <c r="EP25" s="19">
        <v>350.0</v>
      </c>
      <c r="EQ25" s="19">
        <v>520.0</v>
      </c>
      <c r="ER25" s="19">
        <v>150.0</v>
      </c>
      <c r="ES25" s="19">
        <v>420.0</v>
      </c>
      <c r="ET25" s="19">
        <v>105.0</v>
      </c>
      <c r="EU25" s="19">
        <v>560.0</v>
      </c>
      <c r="EV25" s="19">
        <v>575.0</v>
      </c>
      <c r="EW25" s="19"/>
      <c r="EX25" s="19">
        <v>385.0</v>
      </c>
      <c r="EY25" s="19">
        <v>270.0</v>
      </c>
      <c r="EZ25" s="19">
        <v>420.0</v>
      </c>
      <c r="FA25" s="19">
        <v>215.0</v>
      </c>
      <c r="FB25" s="19">
        <v>140.0</v>
      </c>
      <c r="FC25" s="19">
        <v>300.0</v>
      </c>
      <c r="FD25" s="19">
        <v>245.0</v>
      </c>
      <c r="FE25" s="19"/>
      <c r="FF25" s="19">
        <v>480.0</v>
      </c>
      <c r="FG25" s="19">
        <v>430.0</v>
      </c>
      <c r="FH25" s="19">
        <v>290.0</v>
      </c>
      <c r="FI25" s="19">
        <v>180.0</v>
      </c>
      <c r="FJ25" s="19">
        <v>925.0</v>
      </c>
      <c r="FK25" s="19">
        <v>695.0</v>
      </c>
      <c r="FL25" s="19">
        <v>190.0</v>
      </c>
      <c r="FM25" s="19">
        <v>320.0</v>
      </c>
      <c r="FN25" s="19">
        <v>460.0</v>
      </c>
      <c r="FO25" s="19">
        <v>145.0</v>
      </c>
      <c r="FP25" s="19">
        <v>445.0</v>
      </c>
      <c r="FQ25" s="19"/>
      <c r="FR25" s="19">
        <v>420.0</v>
      </c>
      <c r="FS25" s="19">
        <v>330.0</v>
      </c>
      <c r="FT25" s="19">
        <v>200.0</v>
      </c>
      <c r="FU25" s="19">
        <v>435.0</v>
      </c>
      <c r="FV25" s="19">
        <v>360.0</v>
      </c>
      <c r="FW25" s="19">
        <v>100.0</v>
      </c>
      <c r="FX25" s="19">
        <v>380.0</v>
      </c>
      <c r="FY25" s="19">
        <v>435.0</v>
      </c>
      <c r="FZ25" s="19">
        <v>400.0</v>
      </c>
      <c r="GA25" s="19">
        <v>400.0</v>
      </c>
      <c r="GB25" s="19">
        <v>385.0</v>
      </c>
      <c r="GC25" s="19">
        <v>290.0</v>
      </c>
      <c r="GD25" s="19">
        <v>290.0</v>
      </c>
      <c r="GE25" s="19">
        <v>680.0</v>
      </c>
      <c r="GF25" s="19">
        <v>460.0</v>
      </c>
      <c r="GG25" s="19">
        <v>480.0</v>
      </c>
      <c r="GH25" s="19">
        <v>565.0</v>
      </c>
      <c r="GI25" s="19">
        <v>290.0</v>
      </c>
      <c r="GJ25" s="19"/>
      <c r="GK25" s="19">
        <v>435.0</v>
      </c>
      <c r="GL25" s="19">
        <v>475.0</v>
      </c>
      <c r="GM25" s="19">
        <v>390.0</v>
      </c>
      <c r="GN25" s="19">
        <v>390.0</v>
      </c>
      <c r="GO25" s="19">
        <v>720.0</v>
      </c>
      <c r="GP25" s="19">
        <v>35.0</v>
      </c>
      <c r="GQ25" s="19">
        <v>240.0</v>
      </c>
      <c r="GR25" s="19">
        <v>240.0</v>
      </c>
      <c r="GS25" s="19">
        <v>205.0</v>
      </c>
      <c r="GT25" s="19">
        <v>520.0</v>
      </c>
      <c r="GU25" s="19">
        <v>520.0</v>
      </c>
      <c r="GV25" s="19">
        <v>400.0</v>
      </c>
      <c r="GW25" s="19">
        <v>545.0</v>
      </c>
      <c r="GX25" s="19">
        <v>455.0</v>
      </c>
      <c r="GY25" s="19">
        <v>265.0</v>
      </c>
      <c r="GZ25" s="19">
        <v>265.0</v>
      </c>
      <c r="HA25" s="19">
        <v>260.0</v>
      </c>
      <c r="HB25" s="19">
        <v>300.0</v>
      </c>
      <c r="HC25" s="19">
        <v>325.0</v>
      </c>
      <c r="HD25" s="19">
        <v>40.0</v>
      </c>
      <c r="HE25" s="19">
        <v>525.0</v>
      </c>
      <c r="HF25" s="19">
        <v>235.0</v>
      </c>
      <c r="HG25" s="19">
        <v>810.0</v>
      </c>
      <c r="HH25" s="19">
        <v>255.0</v>
      </c>
      <c r="HI25" s="19">
        <v>360.0</v>
      </c>
      <c r="HJ25" s="19">
        <v>675.0</v>
      </c>
      <c r="HK25" s="19">
        <v>310.0</v>
      </c>
      <c r="HL25" s="19">
        <v>185.0</v>
      </c>
      <c r="HM25" s="19">
        <v>280.0</v>
      </c>
      <c r="HN25" s="19">
        <v>300.0</v>
      </c>
      <c r="HO25" s="19">
        <v>195.0</v>
      </c>
      <c r="HP25" s="19">
        <v>475.0</v>
      </c>
      <c r="HQ25" s="19">
        <v>285.0</v>
      </c>
      <c r="HR25" s="19"/>
      <c r="HS25" s="19">
        <v>170.0</v>
      </c>
      <c r="HT25" s="19">
        <v>345.0</v>
      </c>
      <c r="HU25" s="19">
        <v>450.0</v>
      </c>
      <c r="HV25" s="19"/>
      <c r="HW25" s="19">
        <v>465.0</v>
      </c>
      <c r="HX25" s="19">
        <v>330.0</v>
      </c>
      <c r="HY25" s="19">
        <v>705.0</v>
      </c>
      <c r="HZ25" s="19">
        <v>500.0</v>
      </c>
      <c r="IA25" s="19">
        <v>165.0</v>
      </c>
      <c r="IB25" s="19">
        <v>375.0</v>
      </c>
      <c r="IC25" s="19">
        <v>460.0</v>
      </c>
      <c r="ID25" s="19">
        <v>265.0</v>
      </c>
      <c r="IE25" s="19">
        <v>655.0</v>
      </c>
      <c r="IF25" s="19">
        <v>375.0</v>
      </c>
      <c r="IG25" s="19">
        <v>865.0</v>
      </c>
      <c r="IH25" s="19">
        <v>510.0</v>
      </c>
      <c r="II25" s="19">
        <v>185.0</v>
      </c>
      <c r="IJ25" s="19">
        <v>570.0</v>
      </c>
      <c r="IK25" s="19">
        <v>110.0</v>
      </c>
      <c r="IL25" s="19">
        <v>310.0</v>
      </c>
      <c r="IM25" s="19">
        <v>165.0</v>
      </c>
      <c r="IN25" s="19">
        <v>340.0</v>
      </c>
      <c r="IO25" s="19">
        <v>590.0</v>
      </c>
      <c r="IP25" s="19">
        <v>595.0</v>
      </c>
      <c r="IQ25" s="19">
        <v>290.0</v>
      </c>
      <c r="IR25" s="19">
        <v>260.0</v>
      </c>
      <c r="IS25" s="19">
        <v>460.0</v>
      </c>
      <c r="IT25" s="19">
        <v>220.0</v>
      </c>
      <c r="IU25" s="19">
        <v>580.0</v>
      </c>
      <c r="IV25" s="19">
        <v>605.0</v>
      </c>
      <c r="IW25" s="19">
        <v>350.0</v>
      </c>
      <c r="IX25" s="19">
        <v>285.0</v>
      </c>
      <c r="IY25" s="19">
        <v>390.0</v>
      </c>
      <c r="IZ25" s="19">
        <v>210.0</v>
      </c>
      <c r="JA25" s="19">
        <v>260.0</v>
      </c>
      <c r="JB25" s="19">
        <v>125.0</v>
      </c>
      <c r="JC25" s="19"/>
      <c r="JD25" s="19">
        <v>600.0</v>
      </c>
      <c r="JE25" s="19">
        <v>155.0</v>
      </c>
      <c r="JF25" s="19">
        <v>745.0</v>
      </c>
      <c r="JG25" s="19"/>
      <c r="JH25" s="19">
        <v>440.0</v>
      </c>
      <c r="JI25" s="19">
        <v>605.0</v>
      </c>
      <c r="JJ25" s="19">
        <v>285.0</v>
      </c>
      <c r="JK25" s="19">
        <v>270.0</v>
      </c>
      <c r="JL25" s="19">
        <v>760.0</v>
      </c>
      <c r="JM25" s="19">
        <v>130.0</v>
      </c>
      <c r="JN25" s="19">
        <v>465.0</v>
      </c>
      <c r="JO25" s="19">
        <v>740.0</v>
      </c>
      <c r="JP25" s="19">
        <v>575.0</v>
      </c>
      <c r="JQ25" s="19">
        <v>840.0</v>
      </c>
      <c r="JR25" s="19">
        <v>320.0</v>
      </c>
      <c r="JS25" s="19">
        <v>205.0</v>
      </c>
      <c r="JT25" s="19">
        <v>435.0</v>
      </c>
      <c r="JU25" s="19">
        <v>290.0</v>
      </c>
      <c r="JV25" s="19">
        <v>645.0</v>
      </c>
      <c r="JW25" s="19"/>
      <c r="JX25" s="19">
        <v>85.0</v>
      </c>
      <c r="JY25" s="19">
        <v>690.0</v>
      </c>
      <c r="JZ25" s="19">
        <v>495.0</v>
      </c>
      <c r="KA25" s="19">
        <v>395.0</v>
      </c>
      <c r="KB25" s="19">
        <v>365.0</v>
      </c>
      <c r="KC25" s="19">
        <v>330.0</v>
      </c>
      <c r="KD25" s="19">
        <v>230.0</v>
      </c>
      <c r="KE25" s="19">
        <v>265.0</v>
      </c>
      <c r="KF25" s="19">
        <v>310.0</v>
      </c>
      <c r="KG25" s="19">
        <v>405.0</v>
      </c>
      <c r="KH25" s="19">
        <v>515.0</v>
      </c>
      <c r="KI25" s="19">
        <v>235.0</v>
      </c>
      <c r="KJ25" s="19">
        <v>225.0</v>
      </c>
      <c r="KK25" s="19">
        <v>680.0</v>
      </c>
      <c r="KL25" s="19">
        <v>365.0</v>
      </c>
      <c r="KM25" s="19">
        <v>630.0</v>
      </c>
      <c r="KN25" s="19">
        <v>230.0</v>
      </c>
      <c r="KO25" s="19">
        <v>395.0</v>
      </c>
      <c r="KP25" s="19">
        <v>225.0</v>
      </c>
      <c r="KQ25" s="19">
        <v>130.0</v>
      </c>
      <c r="KR25" s="19">
        <v>435.0</v>
      </c>
      <c r="KS25" s="19">
        <v>290.0</v>
      </c>
      <c r="KT25" s="19">
        <v>665.0</v>
      </c>
      <c r="KU25" s="19">
        <v>335.0</v>
      </c>
      <c r="KV25" s="19">
        <v>135.0</v>
      </c>
      <c r="KW25" s="19">
        <v>385.0</v>
      </c>
      <c r="KX25" s="19">
        <v>225.0</v>
      </c>
      <c r="KY25" s="19">
        <v>140.0</v>
      </c>
      <c r="KZ25" s="19">
        <v>400.0</v>
      </c>
      <c r="LA25" s="19">
        <v>390.0</v>
      </c>
      <c r="LB25" s="19">
        <v>315.0</v>
      </c>
      <c r="LC25" s="19">
        <v>535.0</v>
      </c>
      <c r="LD25" s="19">
        <v>230.0</v>
      </c>
      <c r="LE25" s="19">
        <v>430.0</v>
      </c>
      <c r="LF25" s="19">
        <v>505.0</v>
      </c>
      <c r="LG25" s="19">
        <v>450.0</v>
      </c>
      <c r="LH25" s="19">
        <v>870.0</v>
      </c>
      <c r="LI25" s="19">
        <v>340.0</v>
      </c>
      <c r="LJ25" s="19">
        <v>135.0</v>
      </c>
      <c r="LK25" s="19">
        <v>460.0</v>
      </c>
      <c r="LL25" s="19">
        <v>660.0</v>
      </c>
      <c r="LM25" s="19">
        <v>505.0</v>
      </c>
      <c r="LN25" s="19">
        <v>415.0</v>
      </c>
      <c r="LO25" s="19">
        <v>130.0</v>
      </c>
      <c r="LP25" s="19">
        <v>280.0</v>
      </c>
      <c r="LQ25" s="19">
        <v>560.0</v>
      </c>
      <c r="LR25" s="19">
        <v>345.0</v>
      </c>
      <c r="LS25" s="19">
        <v>435.0</v>
      </c>
      <c r="LT25" s="19">
        <v>125.0</v>
      </c>
      <c r="LU25" s="19">
        <v>715.0</v>
      </c>
      <c r="LV25" s="19">
        <v>320.0</v>
      </c>
      <c r="LW25" s="19">
        <v>30.0</v>
      </c>
      <c r="LX25" s="19">
        <v>530.0</v>
      </c>
      <c r="LY25" s="19">
        <v>725.0</v>
      </c>
      <c r="LZ25" s="19">
        <v>415.0</v>
      </c>
      <c r="MA25" s="19">
        <v>355.0</v>
      </c>
      <c r="MB25" s="19">
        <v>510.0</v>
      </c>
      <c r="MC25" s="19">
        <v>335.0</v>
      </c>
      <c r="MD25" s="19">
        <v>490.0</v>
      </c>
      <c r="ME25" s="19">
        <v>470.0</v>
      </c>
      <c r="MF25" s="19">
        <v>870.0</v>
      </c>
      <c r="MG25" s="19"/>
      <c r="MH25" s="19"/>
      <c r="MI25" s="19">
        <v>795.0</v>
      </c>
      <c r="MJ25" s="19">
        <v>530.0</v>
      </c>
      <c r="MK25" s="19">
        <v>390.0</v>
      </c>
      <c r="ML25" s="19"/>
      <c r="MM25" s="19">
        <v>435.0</v>
      </c>
      <c r="MN25" s="19">
        <v>370.0</v>
      </c>
      <c r="MO25" s="19">
        <v>240.0</v>
      </c>
      <c r="MP25" s="19">
        <v>305.0</v>
      </c>
      <c r="MQ25" s="19">
        <v>895.0</v>
      </c>
      <c r="MR25" s="19">
        <v>340.0</v>
      </c>
      <c r="MS25" s="19">
        <v>280.0</v>
      </c>
      <c r="MT25" s="19">
        <v>410.0</v>
      </c>
      <c r="MU25" s="19">
        <v>525.0</v>
      </c>
      <c r="MV25" s="19">
        <v>450.0</v>
      </c>
      <c r="MW25" s="19">
        <v>385.0</v>
      </c>
      <c r="MX25" s="19">
        <v>150.0</v>
      </c>
      <c r="MY25" s="19">
        <v>490.0</v>
      </c>
      <c r="MZ25" s="19">
        <v>275.0</v>
      </c>
      <c r="NA25" s="19">
        <v>275.0</v>
      </c>
      <c r="NB25" s="19">
        <v>165.0</v>
      </c>
      <c r="NC25" s="19">
        <v>455.0</v>
      </c>
      <c r="ND25" s="19">
        <v>480.0</v>
      </c>
      <c r="NE25" s="19">
        <v>580.0</v>
      </c>
      <c r="NF25" s="19"/>
      <c r="NG25" s="19">
        <v>265.0</v>
      </c>
      <c r="NH25" s="19">
        <v>585.0</v>
      </c>
      <c r="NI25" s="19">
        <v>325.0</v>
      </c>
      <c r="NJ25" s="19">
        <v>605.0</v>
      </c>
      <c r="NK25" s="19">
        <v>505.0</v>
      </c>
      <c r="NL25" s="19">
        <v>460.0</v>
      </c>
      <c r="NM25" s="19">
        <v>180.0</v>
      </c>
      <c r="NN25" s="19">
        <v>630.0</v>
      </c>
      <c r="NO25" s="19">
        <v>165.0</v>
      </c>
      <c r="NP25" s="19"/>
      <c r="NQ25" s="19">
        <v>300.0</v>
      </c>
      <c r="NR25" s="19">
        <v>475.0</v>
      </c>
      <c r="NS25" s="19">
        <v>510.0</v>
      </c>
      <c r="NT25" s="19">
        <v>165.0</v>
      </c>
      <c r="NU25" s="19">
        <v>190.0</v>
      </c>
      <c r="NV25" s="19">
        <v>900.0</v>
      </c>
      <c r="NW25" s="19">
        <v>290.0</v>
      </c>
      <c r="NX25" s="19">
        <v>290.0</v>
      </c>
      <c r="NY25" s="19">
        <v>595.0</v>
      </c>
      <c r="NZ25" s="19">
        <v>485.0</v>
      </c>
      <c r="OA25" s="19">
        <v>375.0</v>
      </c>
      <c r="OB25" s="19">
        <v>630.0</v>
      </c>
      <c r="OC25" s="19">
        <v>790.0</v>
      </c>
      <c r="OD25" s="19">
        <v>460.0</v>
      </c>
      <c r="OE25" s="19">
        <v>275.0</v>
      </c>
      <c r="OF25" s="19">
        <v>365.0</v>
      </c>
      <c r="OG25" s="19">
        <v>370.0</v>
      </c>
      <c r="OH25" s="19">
        <v>570.0</v>
      </c>
      <c r="OI25" s="19">
        <v>315.0</v>
      </c>
      <c r="OJ25" s="19">
        <v>355.0</v>
      </c>
      <c r="OK25" s="19">
        <v>230.0</v>
      </c>
      <c r="OL25" s="19">
        <v>535.0</v>
      </c>
      <c r="OM25" s="19">
        <v>655.0</v>
      </c>
      <c r="ON25" s="19">
        <v>470.0</v>
      </c>
      <c r="OO25" s="19">
        <v>485.0</v>
      </c>
      <c r="OP25" s="19">
        <v>110.0</v>
      </c>
      <c r="OQ25" s="19">
        <v>490.0</v>
      </c>
      <c r="OR25" s="19">
        <v>485.0</v>
      </c>
      <c r="OS25" s="19">
        <v>400.0</v>
      </c>
      <c r="OT25" s="19">
        <v>840.0</v>
      </c>
      <c r="OU25" s="19">
        <v>695.0</v>
      </c>
      <c r="OV25" s="19">
        <v>1100.0</v>
      </c>
      <c r="OW25" s="19">
        <v>210.0</v>
      </c>
      <c r="OX25" s="19">
        <v>200.0</v>
      </c>
      <c r="OY25" s="19">
        <v>420.0</v>
      </c>
      <c r="OZ25" s="19">
        <v>220.0</v>
      </c>
      <c r="PA25" s="19">
        <v>385.0</v>
      </c>
      <c r="PB25" s="19">
        <v>355.0</v>
      </c>
      <c r="PC25" s="19">
        <v>420.0</v>
      </c>
      <c r="PD25" s="19">
        <v>490.0</v>
      </c>
      <c r="PE25" s="19">
        <v>410.0</v>
      </c>
      <c r="PF25" s="19">
        <v>235.0</v>
      </c>
      <c r="PG25" s="19">
        <v>675.0</v>
      </c>
      <c r="PH25" s="19">
        <v>170.0</v>
      </c>
      <c r="PI25" s="19">
        <v>240.0</v>
      </c>
      <c r="PJ25" s="19">
        <v>840.0</v>
      </c>
      <c r="PK25" s="19">
        <v>415.0</v>
      </c>
      <c r="PL25" s="19">
        <v>480.0</v>
      </c>
      <c r="PM25" s="19">
        <v>150.0</v>
      </c>
      <c r="PN25" s="19">
        <v>620.0</v>
      </c>
      <c r="PO25" s="19">
        <v>310.0</v>
      </c>
      <c r="PP25" s="19">
        <v>425.0</v>
      </c>
      <c r="PQ25" s="19">
        <v>690.0</v>
      </c>
      <c r="PR25" s="19"/>
      <c r="PS25" s="19">
        <v>385.0</v>
      </c>
      <c r="PT25" s="19">
        <v>180.0</v>
      </c>
      <c r="PU25" s="19">
        <v>815.0</v>
      </c>
      <c r="PV25" s="19">
        <v>310.0</v>
      </c>
      <c r="PW25" s="19">
        <v>440.0</v>
      </c>
      <c r="PX25" s="19">
        <v>325.0</v>
      </c>
      <c r="PY25" s="19">
        <v>135.0</v>
      </c>
      <c r="PZ25" s="19">
        <v>370.0</v>
      </c>
      <c r="QA25" s="19">
        <v>275.0</v>
      </c>
      <c r="QB25" s="19">
        <v>735.0</v>
      </c>
      <c r="QC25" s="19">
        <v>85.0</v>
      </c>
      <c r="QD25" s="19">
        <v>630.0</v>
      </c>
      <c r="QE25" s="19">
        <v>615.0</v>
      </c>
      <c r="QF25" s="19">
        <v>330.0</v>
      </c>
      <c r="QG25" s="19">
        <v>325.0</v>
      </c>
      <c r="QH25" s="19">
        <v>290.0</v>
      </c>
      <c r="QI25" s="19">
        <v>615.0</v>
      </c>
      <c r="QJ25" s="19">
        <v>945.0</v>
      </c>
      <c r="QK25" s="19">
        <v>700.0</v>
      </c>
      <c r="QL25" s="19">
        <v>440.0</v>
      </c>
      <c r="QM25" s="19">
        <v>560.0</v>
      </c>
      <c r="QN25" s="19">
        <v>615.0</v>
      </c>
      <c r="QO25" s="19">
        <v>225.0</v>
      </c>
      <c r="QP25" s="19">
        <v>385.0</v>
      </c>
      <c r="QQ25" s="19">
        <v>235.0</v>
      </c>
      <c r="QR25" s="19">
        <v>575.0</v>
      </c>
      <c r="QS25" s="19">
        <v>150.0</v>
      </c>
      <c r="QT25" s="19">
        <v>160.0</v>
      </c>
      <c r="QU25" s="19">
        <v>100.0</v>
      </c>
      <c r="QV25" s="19"/>
      <c r="QW25" s="19">
        <v>830.0</v>
      </c>
      <c r="QX25" s="19">
        <v>450.0</v>
      </c>
      <c r="QY25" s="19">
        <v>495.0</v>
      </c>
      <c r="QZ25" s="19">
        <v>375.0</v>
      </c>
      <c r="RA25" s="19">
        <v>460.0</v>
      </c>
      <c r="RB25" s="19">
        <v>315.0</v>
      </c>
      <c r="RC25" s="19">
        <v>510.0</v>
      </c>
      <c r="RD25" s="19">
        <v>545.0</v>
      </c>
      <c r="RE25" s="19">
        <v>330.0</v>
      </c>
      <c r="RF25" s="19">
        <v>250.0</v>
      </c>
      <c r="RG25" s="19">
        <v>120.0</v>
      </c>
      <c r="RH25" s="19">
        <v>220.0</v>
      </c>
      <c r="RI25" s="19">
        <v>555.0</v>
      </c>
      <c r="RJ25" s="19">
        <v>630.0</v>
      </c>
      <c r="RK25" s="19">
        <v>330.0</v>
      </c>
      <c r="RL25" s="19">
        <v>495.0</v>
      </c>
      <c r="RM25" s="19">
        <v>375.0</v>
      </c>
      <c r="RN25" s="19">
        <v>450.0</v>
      </c>
      <c r="RO25" s="19">
        <v>670.0</v>
      </c>
      <c r="RP25" s="19">
        <v>590.0</v>
      </c>
      <c r="RQ25" s="19">
        <v>110.0</v>
      </c>
      <c r="RR25" s="19">
        <v>415.0</v>
      </c>
      <c r="RS25" s="19">
        <v>130.0</v>
      </c>
      <c r="RT25" s="19">
        <v>420.0</v>
      </c>
      <c r="RU25" s="19">
        <v>515.0</v>
      </c>
      <c r="RV25" s="19">
        <v>175.0</v>
      </c>
      <c r="RW25" s="19">
        <v>180.0</v>
      </c>
      <c r="RX25" s="19">
        <v>350.0</v>
      </c>
      <c r="RY25" s="19">
        <v>325.0</v>
      </c>
      <c r="RZ25" s="19">
        <v>545.0</v>
      </c>
      <c r="SA25" s="19">
        <v>390.0</v>
      </c>
      <c r="SB25" s="19">
        <v>205.0</v>
      </c>
      <c r="SC25" s="19">
        <v>405.0</v>
      </c>
      <c r="SD25" s="19">
        <v>735.0</v>
      </c>
      <c r="SE25" s="19">
        <v>545.0</v>
      </c>
      <c r="SF25" s="19">
        <v>555.0</v>
      </c>
      <c r="SG25" s="19">
        <v>345.0</v>
      </c>
      <c r="SH25" s="19">
        <v>620.0</v>
      </c>
      <c r="SI25" s="19">
        <v>420.0</v>
      </c>
      <c r="SJ25" s="19">
        <v>460.0</v>
      </c>
      <c r="SK25" s="19">
        <v>300.0</v>
      </c>
      <c r="SL25" s="19">
        <v>495.0</v>
      </c>
      <c r="SM25" s="19">
        <v>640.0</v>
      </c>
      <c r="SN25" s="19">
        <v>535.0</v>
      </c>
      <c r="SO25" s="19">
        <v>515.0</v>
      </c>
      <c r="SP25" s="19">
        <v>415.0</v>
      </c>
      <c r="SQ25" s="19">
        <v>375.0</v>
      </c>
      <c r="SR25" s="19">
        <v>710.0</v>
      </c>
      <c r="SS25" s="19">
        <v>290.0</v>
      </c>
      <c r="ST25" s="19">
        <v>300.0</v>
      </c>
      <c r="SU25" s="19">
        <v>290.0</v>
      </c>
      <c r="SV25" s="19">
        <v>605.0</v>
      </c>
      <c r="SW25" s="19">
        <v>520.0</v>
      </c>
      <c r="SX25" s="19">
        <v>160.0</v>
      </c>
      <c r="SY25" s="19">
        <v>1055.0</v>
      </c>
      <c r="SZ25" s="19">
        <v>790.0</v>
      </c>
      <c r="TA25" s="19">
        <v>290.0</v>
      </c>
      <c r="TB25" s="19">
        <v>240.0</v>
      </c>
      <c r="TC25" s="19">
        <v>285.0</v>
      </c>
      <c r="TD25" s="19">
        <v>755.0</v>
      </c>
      <c r="TE25" s="19">
        <v>445.0</v>
      </c>
      <c r="TF25" s="19">
        <v>605.0</v>
      </c>
      <c r="TG25" s="19">
        <v>695.0</v>
      </c>
      <c r="TH25" s="19">
        <v>205.0</v>
      </c>
      <c r="TI25" s="19">
        <v>365.0</v>
      </c>
      <c r="TJ25" s="19">
        <v>605.0</v>
      </c>
      <c r="TK25" s="19">
        <v>325.0</v>
      </c>
      <c r="TL25" s="19">
        <v>345.0</v>
      </c>
      <c r="TM25" s="19">
        <v>290.0</v>
      </c>
      <c r="TN25" s="19">
        <v>525.0</v>
      </c>
      <c r="TO25" s="19">
        <v>315.0</v>
      </c>
      <c r="TP25" s="19">
        <v>405.0</v>
      </c>
      <c r="TQ25" s="19">
        <v>615.0</v>
      </c>
      <c r="TR25" s="19">
        <v>255.0</v>
      </c>
      <c r="TS25" s="19">
        <v>515.0</v>
      </c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</row>
    <row r="26">
      <c r="A26" s="19" t="s">
        <v>25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>
        <v>775.0</v>
      </c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>
        <v>385.0</v>
      </c>
      <c r="EJ26" s="19"/>
      <c r="EK26" s="19"/>
      <c r="EL26" s="19"/>
      <c r="EM26" s="19">
        <v>110.0</v>
      </c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>
        <v>380.0</v>
      </c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</row>
    <row r="27">
      <c r="A27" s="19" t="s">
        <v>26</v>
      </c>
      <c r="B27" s="19"/>
      <c r="C27" s="19">
        <v>775.0</v>
      </c>
      <c r="D27" s="19"/>
      <c r="E27" s="19"/>
      <c r="F27" s="19"/>
      <c r="G27" s="19"/>
      <c r="H27" s="19"/>
      <c r="I27" s="19"/>
      <c r="J27" s="19"/>
      <c r="K27" s="19">
        <v>240.0</v>
      </c>
      <c r="L27" s="19"/>
      <c r="M27" s="19"/>
      <c r="N27" s="19"/>
      <c r="O27" s="19">
        <v>380.0</v>
      </c>
      <c r="P27" s="19">
        <v>800.0</v>
      </c>
      <c r="Q27" s="19">
        <v>345.0</v>
      </c>
      <c r="R27" s="19"/>
      <c r="S27" s="19">
        <v>650.0</v>
      </c>
      <c r="T27" s="19"/>
      <c r="U27" s="19"/>
      <c r="V27" s="19"/>
      <c r="W27" s="19"/>
      <c r="X27" s="19"/>
      <c r="Y27" s="19"/>
      <c r="Z27" s="19">
        <v>400.0</v>
      </c>
      <c r="AA27" s="19"/>
      <c r="AB27" s="19"/>
      <c r="AC27" s="19">
        <v>120.0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>
        <v>605.0</v>
      </c>
      <c r="AQ27" s="19"/>
      <c r="AR27" s="19"/>
      <c r="AS27" s="19"/>
      <c r="AT27" s="19"/>
      <c r="AU27" s="19"/>
      <c r="AV27" s="19"/>
      <c r="AW27" s="19"/>
      <c r="AX27" s="19">
        <v>250.0</v>
      </c>
      <c r="AY27" s="19">
        <v>515.0</v>
      </c>
      <c r="AZ27" s="19"/>
      <c r="BA27" s="19"/>
      <c r="BB27" s="19"/>
      <c r="BC27" s="19"/>
      <c r="BD27" s="19">
        <v>110.0</v>
      </c>
      <c r="BE27" s="19">
        <v>1165.0</v>
      </c>
      <c r="BF27" s="19">
        <v>310.0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>
        <v>255.0</v>
      </c>
      <c r="BT27" s="19"/>
      <c r="BU27" s="19">
        <v>470.0</v>
      </c>
      <c r="BV27" s="19"/>
      <c r="BW27" s="19"/>
      <c r="BX27" s="19"/>
      <c r="BY27" s="19">
        <v>170.0</v>
      </c>
      <c r="BZ27" s="19">
        <v>580.0</v>
      </c>
      <c r="CA27" s="19">
        <v>105.0</v>
      </c>
      <c r="CB27" s="19">
        <v>310.0</v>
      </c>
      <c r="CC27" s="19">
        <v>280.0</v>
      </c>
      <c r="CD27" s="19">
        <v>445.0</v>
      </c>
      <c r="CE27" s="19">
        <v>765.0</v>
      </c>
      <c r="CF27" s="19"/>
      <c r="CG27" s="19">
        <v>830.0</v>
      </c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>
        <v>215.0</v>
      </c>
      <c r="DF27" s="19">
        <v>825.0</v>
      </c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>
        <v>325.0</v>
      </c>
      <c r="DR27" s="19"/>
      <c r="DS27" s="19"/>
      <c r="DT27" s="19"/>
      <c r="DU27" s="19"/>
      <c r="DV27" s="19"/>
      <c r="DW27" s="19">
        <v>475.0</v>
      </c>
      <c r="DX27" s="19">
        <v>405.0</v>
      </c>
      <c r="DY27" s="19">
        <v>815.0</v>
      </c>
      <c r="DZ27" s="19">
        <v>250.0</v>
      </c>
      <c r="EA27" s="19"/>
      <c r="EB27" s="19"/>
      <c r="EC27" s="19">
        <v>460.0</v>
      </c>
      <c r="ED27" s="19">
        <v>385.0</v>
      </c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>
        <v>40.0</v>
      </c>
      <c r="ET27" s="19">
        <v>565.0</v>
      </c>
      <c r="EU27" s="19"/>
      <c r="EV27" s="19"/>
      <c r="EW27" s="19"/>
      <c r="EX27" s="19"/>
      <c r="EY27" s="19"/>
      <c r="EZ27" s="19"/>
      <c r="FA27" s="19"/>
      <c r="FB27" s="19"/>
      <c r="FC27" s="19"/>
      <c r="FD27" s="19">
        <v>250.0</v>
      </c>
      <c r="FE27" s="19">
        <v>120.0</v>
      </c>
      <c r="FF27" s="19"/>
      <c r="FG27" s="19">
        <v>380.0</v>
      </c>
      <c r="FH27" s="19">
        <v>480.0</v>
      </c>
      <c r="FI27" s="19">
        <v>660.0</v>
      </c>
      <c r="FJ27" s="19"/>
      <c r="FK27" s="19"/>
      <c r="FL27" s="19">
        <v>855.0</v>
      </c>
      <c r="FM27" s="19">
        <v>555.0</v>
      </c>
      <c r="FN27" s="19">
        <v>405.0</v>
      </c>
      <c r="FO27" s="19"/>
      <c r="FP27" s="19"/>
      <c r="FQ27" s="19">
        <v>50.0</v>
      </c>
      <c r="FR27" s="19">
        <v>270.0</v>
      </c>
      <c r="FS27" s="19">
        <v>505.0</v>
      </c>
      <c r="FT27" s="19"/>
      <c r="FU27" s="19"/>
      <c r="FV27" s="19"/>
      <c r="FW27" s="19">
        <v>240.0</v>
      </c>
      <c r="FX27" s="19"/>
      <c r="FY27" s="19">
        <v>250.0</v>
      </c>
      <c r="FZ27" s="19">
        <v>515.0</v>
      </c>
      <c r="GA27" s="19">
        <v>265.0</v>
      </c>
      <c r="GB27" s="19">
        <v>355.0</v>
      </c>
      <c r="GC27" s="19">
        <v>465.0</v>
      </c>
      <c r="GD27" s="19"/>
      <c r="GE27" s="19"/>
      <c r="GF27" s="19"/>
      <c r="GG27" s="19"/>
      <c r="GH27" s="19">
        <v>400.0</v>
      </c>
      <c r="GI27" s="19">
        <v>390.0</v>
      </c>
      <c r="GJ27" s="19"/>
      <c r="GK27" s="19">
        <v>310.0</v>
      </c>
      <c r="GL27" s="19">
        <v>280.0</v>
      </c>
      <c r="GM27" s="19">
        <v>270.0</v>
      </c>
      <c r="GN27" s="19">
        <v>250.0</v>
      </c>
      <c r="GO27" s="19">
        <v>475.0</v>
      </c>
      <c r="GP27" s="19"/>
      <c r="GQ27" s="19"/>
      <c r="GR27" s="19"/>
      <c r="GS27" s="19">
        <v>615.0</v>
      </c>
      <c r="GT27" s="19">
        <v>380.0</v>
      </c>
      <c r="GU27" s="19">
        <v>470.0</v>
      </c>
      <c r="GV27" s="19">
        <v>595.0</v>
      </c>
      <c r="GW27" s="19">
        <v>450.0</v>
      </c>
      <c r="GX27" s="19">
        <v>445.0</v>
      </c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>
        <v>745.0</v>
      </c>
      <c r="HL27" s="19">
        <v>115.0</v>
      </c>
      <c r="HM27" s="19"/>
      <c r="HN27" s="19"/>
      <c r="HO27" s="19"/>
      <c r="HP27" s="19"/>
      <c r="HQ27" s="19"/>
      <c r="HR27" s="19">
        <v>160.0</v>
      </c>
      <c r="HS27" s="19">
        <v>270.0</v>
      </c>
      <c r="HT27" s="19"/>
      <c r="HU27" s="19"/>
      <c r="HV27" s="19"/>
      <c r="HW27" s="19"/>
      <c r="HX27" s="19"/>
      <c r="HY27" s="19"/>
      <c r="HZ27" s="19"/>
      <c r="IA27" s="19"/>
      <c r="IB27" s="19">
        <v>715.0</v>
      </c>
      <c r="IC27" s="19">
        <v>350.0</v>
      </c>
      <c r="ID27" s="19">
        <v>110.0</v>
      </c>
      <c r="IE27" s="19">
        <v>435.0</v>
      </c>
      <c r="IF27" s="19"/>
      <c r="IG27" s="19"/>
      <c r="IH27" s="19"/>
      <c r="II27" s="19"/>
      <c r="IJ27" s="19"/>
      <c r="IK27" s="19">
        <v>420.0</v>
      </c>
      <c r="IL27" s="19"/>
      <c r="IM27" s="19"/>
      <c r="IN27" s="19"/>
      <c r="IO27" s="19"/>
      <c r="IP27" s="19"/>
      <c r="IQ27" s="19"/>
      <c r="IR27" s="19"/>
      <c r="IS27" s="19"/>
      <c r="IT27" s="19">
        <v>495.0</v>
      </c>
      <c r="IU27" s="19"/>
      <c r="IV27" s="19"/>
      <c r="IW27" s="19"/>
      <c r="IX27" s="19">
        <v>90.0</v>
      </c>
      <c r="IY27" s="19"/>
      <c r="IZ27" s="19"/>
      <c r="JA27" s="19"/>
      <c r="JB27" s="19"/>
      <c r="JC27" s="19"/>
      <c r="JD27" s="19"/>
      <c r="JE27" s="19"/>
      <c r="JF27" s="19">
        <v>835.0</v>
      </c>
      <c r="JG27" s="19"/>
      <c r="JH27" s="19"/>
      <c r="JI27" s="19"/>
      <c r="JJ27" s="19"/>
      <c r="JK27" s="19"/>
      <c r="JL27" s="19"/>
      <c r="JM27" s="19"/>
      <c r="JN27" s="19"/>
      <c r="JO27" s="19"/>
      <c r="JP27" s="19">
        <v>705.0</v>
      </c>
      <c r="JQ27" s="19">
        <v>595.0</v>
      </c>
      <c r="JR27" s="19"/>
      <c r="JS27" s="19">
        <v>370.0</v>
      </c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>
        <v>560.0</v>
      </c>
      <c r="KM27" s="19">
        <v>680.0</v>
      </c>
      <c r="KN27" s="19">
        <v>505.0</v>
      </c>
      <c r="KO27" s="19">
        <v>420.0</v>
      </c>
      <c r="KP27" s="19"/>
      <c r="KQ27" s="19"/>
      <c r="KR27" s="19">
        <v>410.0</v>
      </c>
      <c r="KS27" s="19"/>
      <c r="KT27" s="19"/>
      <c r="KU27" s="19"/>
      <c r="KV27" s="19"/>
      <c r="KW27" s="19"/>
      <c r="KX27" s="19">
        <v>1030.0</v>
      </c>
      <c r="KY27" s="19">
        <v>165.0</v>
      </c>
      <c r="KZ27" s="19">
        <v>420.0</v>
      </c>
      <c r="LA27" s="19">
        <v>250.0</v>
      </c>
      <c r="LB27" s="19">
        <v>220.0</v>
      </c>
      <c r="LC27" s="19">
        <v>340.0</v>
      </c>
      <c r="LD27" s="19">
        <v>560.0</v>
      </c>
      <c r="LE27" s="19"/>
      <c r="LF27" s="19"/>
      <c r="LG27" s="19"/>
      <c r="LH27" s="19"/>
      <c r="LI27" s="19"/>
      <c r="LJ27" s="19"/>
      <c r="LK27" s="19">
        <v>325.0</v>
      </c>
      <c r="LL27" s="19">
        <v>810.0</v>
      </c>
      <c r="LM27" s="19">
        <v>605.0</v>
      </c>
      <c r="LN27" s="19">
        <v>450.0</v>
      </c>
      <c r="LO27" s="19">
        <v>360.0</v>
      </c>
      <c r="LP27" s="19">
        <v>665.0</v>
      </c>
      <c r="LQ27" s="19">
        <v>880.0</v>
      </c>
      <c r="LR27" s="19">
        <v>400.0</v>
      </c>
      <c r="LS27" s="19">
        <v>410.0</v>
      </c>
      <c r="LT27" s="19">
        <v>320.0</v>
      </c>
      <c r="LU27" s="19">
        <v>385.0</v>
      </c>
      <c r="LV27" s="19">
        <v>115.0</v>
      </c>
      <c r="LW27" s="19">
        <v>425.0</v>
      </c>
      <c r="LX27" s="19">
        <v>380.0</v>
      </c>
      <c r="LY27" s="19">
        <v>275.0</v>
      </c>
      <c r="LZ27" s="19">
        <v>530.0</v>
      </c>
      <c r="MA27" s="19">
        <v>1185.0</v>
      </c>
      <c r="MB27" s="19">
        <v>610.0</v>
      </c>
      <c r="MC27" s="19">
        <v>480.0</v>
      </c>
      <c r="MD27" s="19">
        <v>440.0</v>
      </c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>
        <v>245.0</v>
      </c>
      <c r="MP27" s="19">
        <v>785.0</v>
      </c>
      <c r="MQ27" s="19">
        <v>440.0</v>
      </c>
      <c r="MR27" s="19">
        <v>600.0</v>
      </c>
      <c r="MS27" s="19">
        <v>450.0</v>
      </c>
      <c r="MT27" s="19">
        <v>460.0</v>
      </c>
      <c r="MU27" s="19">
        <v>225.0</v>
      </c>
      <c r="MV27" s="19">
        <v>555.0</v>
      </c>
      <c r="MW27" s="19">
        <v>585.0</v>
      </c>
      <c r="MX27" s="19">
        <v>255.0</v>
      </c>
      <c r="MY27" s="19">
        <v>590.0</v>
      </c>
      <c r="MZ27" s="19">
        <v>510.0</v>
      </c>
      <c r="NA27" s="19">
        <v>165.0</v>
      </c>
      <c r="NB27" s="19">
        <v>230.0</v>
      </c>
      <c r="NC27" s="19">
        <v>610.0</v>
      </c>
      <c r="ND27" s="19">
        <v>250.0</v>
      </c>
      <c r="NE27" s="19">
        <v>1070.0</v>
      </c>
      <c r="NF27" s="19">
        <v>755.0</v>
      </c>
      <c r="NG27" s="19"/>
      <c r="NH27" s="19"/>
      <c r="NI27" s="19"/>
      <c r="NJ27" s="19"/>
      <c r="NK27" s="19"/>
      <c r="NL27" s="19">
        <v>465.0</v>
      </c>
      <c r="NM27" s="19">
        <v>215.0</v>
      </c>
      <c r="NN27" s="19">
        <v>205.0</v>
      </c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>
        <v>540.0</v>
      </c>
      <c r="OB27" s="19">
        <v>460.0</v>
      </c>
      <c r="OC27" s="19"/>
      <c r="OD27" s="19">
        <v>405.0</v>
      </c>
      <c r="OE27" s="19">
        <v>705.0</v>
      </c>
      <c r="OF27" s="19">
        <v>520.0</v>
      </c>
      <c r="OG27" s="19">
        <v>425.0</v>
      </c>
      <c r="OH27" s="19">
        <v>525.0</v>
      </c>
      <c r="OI27" s="19">
        <v>630.0</v>
      </c>
      <c r="OJ27" s="19">
        <v>240.0</v>
      </c>
      <c r="OK27" s="19">
        <v>150.0</v>
      </c>
      <c r="OL27" s="19"/>
      <c r="OM27" s="19"/>
      <c r="ON27" s="19"/>
      <c r="OO27" s="19"/>
      <c r="OP27" s="19"/>
      <c r="OQ27" s="19">
        <v>445.0</v>
      </c>
      <c r="OR27" s="19"/>
      <c r="OS27" s="19"/>
      <c r="OT27" s="19"/>
      <c r="OU27" s="19"/>
      <c r="OV27" s="19">
        <v>880.0</v>
      </c>
      <c r="OW27" s="19">
        <v>315.0</v>
      </c>
      <c r="OX27" s="19"/>
      <c r="OY27" s="19"/>
      <c r="OZ27" s="19"/>
      <c r="PA27" s="19">
        <v>505.0</v>
      </c>
      <c r="PB27" s="19">
        <v>255.0</v>
      </c>
      <c r="PC27" s="19">
        <v>315.0</v>
      </c>
      <c r="PD27" s="19">
        <v>405.0</v>
      </c>
      <c r="PE27" s="19">
        <v>355.0</v>
      </c>
      <c r="PF27" s="19"/>
      <c r="PG27" s="19"/>
      <c r="PH27" s="19">
        <v>210.0</v>
      </c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>
        <v>505.0</v>
      </c>
      <c r="PV27" s="19">
        <v>665.0</v>
      </c>
      <c r="PW27" s="19"/>
      <c r="PX27" s="19"/>
      <c r="PY27" s="19">
        <v>585.0</v>
      </c>
      <c r="PZ27" s="19">
        <v>495.0</v>
      </c>
      <c r="QA27" s="19"/>
      <c r="QB27" s="19"/>
      <c r="QC27" s="19">
        <v>330.0</v>
      </c>
      <c r="QD27" s="19"/>
      <c r="QE27" s="19">
        <v>390.0</v>
      </c>
      <c r="QF27" s="19">
        <v>455.0</v>
      </c>
      <c r="QG27" s="19"/>
      <c r="QH27" s="19"/>
      <c r="QI27" s="19"/>
      <c r="QJ27" s="19"/>
      <c r="QK27" s="19"/>
      <c r="QL27" s="19">
        <v>505.0</v>
      </c>
      <c r="QM27" s="19">
        <v>210.0</v>
      </c>
      <c r="QN27" s="19">
        <v>385.0</v>
      </c>
      <c r="QO27" s="19"/>
      <c r="QP27" s="19">
        <v>320.0</v>
      </c>
      <c r="QQ27" s="19">
        <v>425.0</v>
      </c>
      <c r="QR27" s="19">
        <v>635.0</v>
      </c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>
        <v>620.0</v>
      </c>
      <c r="RE27" s="19"/>
      <c r="RF27" s="19"/>
      <c r="RG27" s="19">
        <v>585.0</v>
      </c>
      <c r="RH27" s="19">
        <v>330.0</v>
      </c>
      <c r="RI27" s="19">
        <v>365.0</v>
      </c>
      <c r="RJ27" s="19">
        <v>840.0</v>
      </c>
      <c r="RK27" s="19">
        <v>455.0</v>
      </c>
      <c r="RL27" s="19">
        <v>505.0</v>
      </c>
      <c r="RM27" s="19">
        <v>230.0</v>
      </c>
      <c r="RN27" s="19">
        <v>470.0</v>
      </c>
      <c r="RO27" s="19">
        <v>1025.0</v>
      </c>
      <c r="RP27" s="19">
        <v>405.0</v>
      </c>
      <c r="RQ27" s="19">
        <v>300.0</v>
      </c>
      <c r="RR27" s="19">
        <v>635.0</v>
      </c>
      <c r="RS27" s="19">
        <v>715.0</v>
      </c>
      <c r="RT27" s="19">
        <v>645.0</v>
      </c>
      <c r="RU27" s="19">
        <v>415.0</v>
      </c>
      <c r="RV27" s="19">
        <v>525.0</v>
      </c>
      <c r="RW27" s="19">
        <v>705.0</v>
      </c>
      <c r="RX27" s="19">
        <v>535.0</v>
      </c>
      <c r="RY27" s="19"/>
      <c r="RZ27" s="19"/>
      <c r="SA27" s="19"/>
      <c r="SB27" s="19"/>
      <c r="SC27" s="19"/>
      <c r="SD27" s="19"/>
      <c r="SE27" s="19">
        <v>425.0</v>
      </c>
      <c r="SF27" s="19">
        <v>445.0</v>
      </c>
      <c r="SG27" s="19"/>
      <c r="SH27" s="19"/>
      <c r="SI27" s="19">
        <v>165.0</v>
      </c>
      <c r="SJ27" s="19"/>
      <c r="SK27" s="19">
        <v>400.0</v>
      </c>
      <c r="SL27" s="19">
        <v>720.0</v>
      </c>
      <c r="SM27" s="19">
        <v>230.0</v>
      </c>
      <c r="SN27" s="19"/>
      <c r="SO27" s="19"/>
      <c r="SP27" s="19"/>
      <c r="SQ27" s="19">
        <v>530.0</v>
      </c>
      <c r="SR27" s="19">
        <v>305.0</v>
      </c>
      <c r="SS27" s="19">
        <v>395.0</v>
      </c>
      <c r="ST27" s="19"/>
      <c r="SU27" s="19"/>
      <c r="SV27" s="19">
        <v>360.0</v>
      </c>
      <c r="SW27" s="19">
        <v>835.0</v>
      </c>
      <c r="SX27" s="19"/>
      <c r="SY27" s="19"/>
      <c r="SZ27" s="19"/>
      <c r="TA27" s="19"/>
      <c r="TB27" s="19">
        <v>145.0</v>
      </c>
      <c r="TC27" s="19">
        <v>230.0</v>
      </c>
      <c r="TD27" s="19">
        <v>425.0</v>
      </c>
      <c r="TE27" s="19"/>
      <c r="TF27" s="19"/>
      <c r="TG27" s="19"/>
      <c r="TH27" s="19">
        <v>355.0</v>
      </c>
      <c r="TI27" s="19">
        <v>230.0</v>
      </c>
      <c r="TJ27" s="19">
        <v>860.0</v>
      </c>
      <c r="TK27" s="19">
        <v>215.0</v>
      </c>
      <c r="TL27" s="19"/>
      <c r="TM27" s="19"/>
      <c r="TN27" s="19">
        <v>235.0</v>
      </c>
      <c r="TO27" s="19">
        <v>365.0</v>
      </c>
      <c r="TP27" s="19">
        <v>495.0</v>
      </c>
      <c r="TQ27" s="19">
        <v>250.0</v>
      </c>
      <c r="TR27" s="19">
        <v>90.0</v>
      </c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</row>
    <row r="28">
      <c r="A28" s="19" t="s">
        <v>27</v>
      </c>
      <c r="B28" s="19">
        <v>700.0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>
        <v>420.0</v>
      </c>
      <c r="W28" s="19">
        <v>780.0</v>
      </c>
      <c r="X28" s="19">
        <v>185.0</v>
      </c>
      <c r="Y28" s="19">
        <v>895.0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>
        <v>565.0</v>
      </c>
      <c r="AM28" s="19"/>
      <c r="AN28" s="19"/>
      <c r="AO28" s="19">
        <v>320.0</v>
      </c>
      <c r="AP28" s="19"/>
      <c r="AQ28" s="19">
        <v>495.0</v>
      </c>
      <c r="AR28" s="19">
        <v>565.0</v>
      </c>
      <c r="AS28" s="19"/>
      <c r="AT28" s="19"/>
      <c r="AU28" s="19"/>
      <c r="AV28" s="19"/>
      <c r="AW28" s="19">
        <v>800.0</v>
      </c>
      <c r="AX28" s="19"/>
      <c r="AY28" s="19"/>
      <c r="AZ28" s="19"/>
      <c r="BA28" s="19">
        <v>710.0</v>
      </c>
      <c r="BB28" s="19">
        <v>315.0</v>
      </c>
      <c r="BC28" s="19"/>
      <c r="BD28" s="19"/>
      <c r="BE28" s="19"/>
      <c r="BF28" s="19"/>
      <c r="BG28" s="19"/>
      <c r="BH28" s="19">
        <v>255.0</v>
      </c>
      <c r="BI28" s="19">
        <v>415.0</v>
      </c>
      <c r="BJ28" s="19"/>
      <c r="BK28" s="19">
        <v>480.0</v>
      </c>
      <c r="BL28" s="19"/>
      <c r="BM28" s="19"/>
      <c r="BN28" s="19"/>
      <c r="BO28" s="19"/>
      <c r="BP28" s="19"/>
      <c r="BQ28" s="19"/>
      <c r="BR28" s="19">
        <v>525.0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>
        <v>555.0</v>
      </c>
      <c r="CH28" s="19"/>
      <c r="CI28" s="19">
        <v>330.0</v>
      </c>
      <c r="CJ28" s="19"/>
      <c r="CK28" s="19"/>
      <c r="CL28" s="19">
        <v>40.0</v>
      </c>
      <c r="CM28" s="19">
        <v>870.0</v>
      </c>
      <c r="CN28" s="19">
        <v>400.0</v>
      </c>
      <c r="CO28" s="19"/>
      <c r="CP28" s="19"/>
      <c r="CQ28" s="19">
        <v>290.0</v>
      </c>
      <c r="CR28" s="19"/>
      <c r="CS28" s="19">
        <v>295.0</v>
      </c>
      <c r="CT28" s="19">
        <v>305.0</v>
      </c>
      <c r="CU28" s="19">
        <v>310.0</v>
      </c>
      <c r="CV28" s="19">
        <v>535.0</v>
      </c>
      <c r="CW28" s="19">
        <v>570.0</v>
      </c>
      <c r="CX28" s="19">
        <v>745.0</v>
      </c>
      <c r="CY28" s="19">
        <v>615.0</v>
      </c>
      <c r="CZ28" s="19"/>
      <c r="DA28" s="19">
        <v>790.0</v>
      </c>
      <c r="DB28" s="19">
        <v>540.0</v>
      </c>
      <c r="DC28" s="19">
        <v>305.0</v>
      </c>
      <c r="DD28" s="19">
        <v>200.0</v>
      </c>
      <c r="DE28" s="19">
        <v>300.0</v>
      </c>
      <c r="DF28" s="19">
        <v>485.0</v>
      </c>
      <c r="DG28" s="19"/>
      <c r="DH28" s="19">
        <v>430.0</v>
      </c>
      <c r="DI28" s="19">
        <v>530.0</v>
      </c>
      <c r="DJ28" s="19"/>
      <c r="DK28" s="19">
        <v>485.0</v>
      </c>
      <c r="DL28" s="19">
        <v>240.0</v>
      </c>
      <c r="DM28" s="19"/>
      <c r="DN28" s="19">
        <v>435.0</v>
      </c>
      <c r="DO28" s="19">
        <v>435.0</v>
      </c>
      <c r="DP28" s="19"/>
      <c r="DQ28" s="19">
        <v>255.0</v>
      </c>
      <c r="DR28" s="19"/>
      <c r="DS28" s="19"/>
      <c r="DT28" s="19"/>
      <c r="DU28" s="19"/>
      <c r="DV28" s="19">
        <v>690.0</v>
      </c>
      <c r="DW28" s="19"/>
      <c r="DX28" s="19"/>
      <c r="DY28" s="19"/>
      <c r="DZ28" s="19"/>
      <c r="EA28" s="19"/>
      <c r="EB28" s="19"/>
      <c r="EC28" s="19"/>
      <c r="ED28" s="19">
        <v>605.0</v>
      </c>
      <c r="EE28" s="19">
        <v>950.0</v>
      </c>
      <c r="EF28" s="19"/>
      <c r="EG28" s="19"/>
      <c r="EH28" s="19">
        <v>175.0</v>
      </c>
      <c r="EI28" s="19"/>
      <c r="EJ28" s="19"/>
      <c r="EK28" s="19"/>
      <c r="EL28" s="19">
        <v>365.0</v>
      </c>
      <c r="EM28" s="19"/>
      <c r="EN28" s="19">
        <v>550.0</v>
      </c>
      <c r="EO28" s="19"/>
      <c r="EP28" s="19"/>
      <c r="EQ28" s="19">
        <v>80.0</v>
      </c>
      <c r="ER28" s="19"/>
      <c r="ES28" s="19"/>
      <c r="ET28" s="19"/>
      <c r="EU28" s="19">
        <v>480.0</v>
      </c>
      <c r="EV28" s="19"/>
      <c r="EW28" s="19">
        <v>375.0</v>
      </c>
      <c r="EX28" s="19">
        <v>565.0</v>
      </c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>
        <v>720.0</v>
      </c>
      <c r="FQ28" s="19"/>
      <c r="FR28" s="19"/>
      <c r="FS28" s="19"/>
      <c r="FT28" s="19">
        <v>310.0</v>
      </c>
      <c r="FU28" s="19"/>
      <c r="FV28" s="19">
        <v>675.0</v>
      </c>
      <c r="FW28" s="19"/>
      <c r="FX28" s="19">
        <v>820.0</v>
      </c>
      <c r="FY28" s="19"/>
      <c r="FZ28" s="19"/>
      <c r="GA28" s="19"/>
      <c r="GB28" s="19"/>
      <c r="GC28" s="19"/>
      <c r="GD28" s="19">
        <v>400.0</v>
      </c>
      <c r="GE28" s="19"/>
      <c r="GF28" s="19"/>
      <c r="GG28" s="19"/>
      <c r="GH28" s="19"/>
      <c r="GI28" s="19"/>
      <c r="GJ28" s="19">
        <v>335.0</v>
      </c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>
        <v>580.0</v>
      </c>
      <c r="GX28" s="19"/>
      <c r="GY28" s="19"/>
      <c r="GZ28" s="19"/>
      <c r="HA28" s="19">
        <v>1085.0</v>
      </c>
      <c r="HB28" s="19"/>
      <c r="HC28" s="19">
        <v>420.0</v>
      </c>
      <c r="HD28" s="19"/>
      <c r="HE28" s="19">
        <v>680.0</v>
      </c>
      <c r="HF28" s="19"/>
      <c r="HG28" s="19"/>
      <c r="HH28" s="19"/>
      <c r="HI28" s="19"/>
      <c r="HJ28" s="19">
        <v>705.0</v>
      </c>
      <c r="HK28" s="19"/>
      <c r="HL28" s="19"/>
      <c r="HM28" s="19">
        <v>705.0</v>
      </c>
      <c r="HN28" s="19"/>
      <c r="HO28" s="19"/>
      <c r="HP28" s="19"/>
      <c r="HQ28" s="19"/>
      <c r="HR28" s="19"/>
      <c r="HS28" s="19"/>
      <c r="HT28" s="19"/>
      <c r="HU28" s="19"/>
      <c r="HV28" s="19">
        <v>375.0</v>
      </c>
      <c r="HW28" s="19"/>
      <c r="HX28" s="19">
        <v>645.0</v>
      </c>
      <c r="HY28" s="19">
        <v>660.0</v>
      </c>
      <c r="HZ28" s="19"/>
      <c r="IA28" s="19"/>
      <c r="IB28" s="19"/>
      <c r="IC28" s="19"/>
      <c r="ID28" s="19"/>
      <c r="IE28" s="19"/>
      <c r="IF28" s="19"/>
      <c r="IG28" s="19"/>
      <c r="IH28" s="19">
        <v>480.0</v>
      </c>
      <c r="II28" s="19">
        <v>310.0</v>
      </c>
      <c r="IJ28" s="19"/>
      <c r="IK28" s="19"/>
      <c r="IL28" s="19"/>
      <c r="IM28" s="19">
        <v>365.0</v>
      </c>
      <c r="IN28" s="19"/>
      <c r="IO28" s="19">
        <v>410.0</v>
      </c>
      <c r="IP28" s="19"/>
      <c r="IQ28" s="19">
        <v>350.0</v>
      </c>
      <c r="IR28" s="19"/>
      <c r="IS28" s="19">
        <v>465.0</v>
      </c>
      <c r="IT28" s="19"/>
      <c r="IU28" s="19"/>
      <c r="IV28" s="19"/>
      <c r="IW28" s="19">
        <v>825.0</v>
      </c>
      <c r="IX28" s="19"/>
      <c r="IY28" s="19"/>
      <c r="IZ28" s="19"/>
      <c r="JA28" s="19"/>
      <c r="JB28" s="19"/>
      <c r="JC28" s="19">
        <v>390.0</v>
      </c>
      <c r="JD28" s="19"/>
      <c r="JE28" s="19"/>
      <c r="JF28" s="19"/>
      <c r="JG28" s="19">
        <v>425.0</v>
      </c>
      <c r="JH28" s="19">
        <v>660.0</v>
      </c>
      <c r="JI28" s="19"/>
      <c r="JJ28" s="19">
        <v>495.0</v>
      </c>
      <c r="JK28" s="19"/>
      <c r="JL28" s="19">
        <v>840.0</v>
      </c>
      <c r="JM28" s="19"/>
      <c r="JN28" s="19"/>
      <c r="JO28" s="19"/>
      <c r="JP28" s="19">
        <v>705.0</v>
      </c>
      <c r="JQ28" s="19"/>
      <c r="JR28" s="19"/>
      <c r="JS28" s="19"/>
      <c r="JT28" s="19"/>
      <c r="JU28" s="19"/>
      <c r="JV28" s="19"/>
      <c r="JW28" s="19"/>
      <c r="JX28" s="19"/>
      <c r="JY28" s="19">
        <v>390.0</v>
      </c>
      <c r="JZ28" s="19">
        <v>660.0</v>
      </c>
      <c r="KA28" s="19"/>
      <c r="KB28" s="19"/>
      <c r="KC28" s="19">
        <v>170.0</v>
      </c>
      <c r="KD28" s="19">
        <v>630.0</v>
      </c>
      <c r="KE28" s="19"/>
      <c r="KF28" s="19"/>
      <c r="KG28" s="19"/>
      <c r="KH28" s="19">
        <v>195.0</v>
      </c>
      <c r="KI28" s="19"/>
      <c r="KJ28" s="19">
        <v>275.0</v>
      </c>
      <c r="KK28" s="19"/>
      <c r="KL28" s="19"/>
      <c r="KM28" s="19"/>
      <c r="KN28" s="19"/>
      <c r="KO28" s="19"/>
      <c r="KP28" s="19"/>
      <c r="KQ28" s="19">
        <v>185.0</v>
      </c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>
        <v>315.0</v>
      </c>
      <c r="LG28" s="19"/>
      <c r="LH28" s="19"/>
      <c r="LI28" s="19"/>
      <c r="LJ28" s="19">
        <v>475.0</v>
      </c>
      <c r="LK28" s="19"/>
      <c r="LL28" s="19"/>
      <c r="LM28" s="19">
        <v>215.0</v>
      </c>
      <c r="LN28" s="19"/>
      <c r="LO28" s="19"/>
      <c r="LP28" s="19"/>
      <c r="LQ28" s="19">
        <v>345.0</v>
      </c>
      <c r="LR28" s="19"/>
      <c r="LS28" s="19"/>
      <c r="LT28" s="19"/>
      <c r="LU28" s="19">
        <v>220.0</v>
      </c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>
        <v>395.0</v>
      </c>
      <c r="MG28" s="19">
        <v>360.0</v>
      </c>
      <c r="MH28" s="19">
        <v>150.0</v>
      </c>
      <c r="MI28" s="19">
        <v>820.0</v>
      </c>
      <c r="MJ28" s="19"/>
      <c r="MK28" s="19"/>
      <c r="ML28" s="19">
        <v>985.0</v>
      </c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>
        <v>515.0</v>
      </c>
      <c r="ND28" s="19"/>
      <c r="NE28" s="19"/>
      <c r="NF28" s="19"/>
      <c r="NG28" s="19"/>
      <c r="NH28" s="19"/>
      <c r="NI28" s="19"/>
      <c r="NJ28" s="19"/>
      <c r="NK28" s="19">
        <v>445.0</v>
      </c>
      <c r="NL28" s="19"/>
      <c r="NM28" s="19"/>
      <c r="NN28" s="19"/>
      <c r="NO28" s="19"/>
      <c r="NP28" s="19">
        <v>855.0</v>
      </c>
      <c r="NQ28" s="19"/>
      <c r="NR28" s="19">
        <v>465.0</v>
      </c>
      <c r="NS28" s="19"/>
      <c r="NT28" s="19">
        <v>940.0</v>
      </c>
      <c r="NU28" s="19"/>
      <c r="NV28" s="19">
        <v>365.0</v>
      </c>
      <c r="NW28" s="19"/>
      <c r="NX28" s="19">
        <v>775.0</v>
      </c>
      <c r="NY28" s="19"/>
      <c r="NZ28" s="19">
        <v>545.0</v>
      </c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>
        <v>490.0</v>
      </c>
      <c r="ON28" s="19"/>
      <c r="OO28" s="19"/>
      <c r="OP28" s="19">
        <v>265.0</v>
      </c>
      <c r="OQ28" s="19"/>
      <c r="OR28" s="19"/>
      <c r="OS28" s="19"/>
      <c r="OT28" s="19">
        <v>890.0</v>
      </c>
      <c r="OU28" s="19">
        <v>540.0</v>
      </c>
      <c r="OV28" s="19"/>
      <c r="OW28" s="19">
        <v>385.0</v>
      </c>
      <c r="OX28" s="19"/>
      <c r="OY28" s="19"/>
      <c r="OZ28" s="19"/>
      <c r="PA28" s="19"/>
      <c r="PB28" s="19">
        <v>530.0</v>
      </c>
      <c r="PC28" s="19"/>
      <c r="PD28" s="19"/>
      <c r="PE28" s="19"/>
      <c r="PF28" s="19"/>
      <c r="PG28" s="19">
        <v>640.0</v>
      </c>
      <c r="PH28" s="19"/>
      <c r="PI28" s="19">
        <v>285.0</v>
      </c>
      <c r="PJ28" s="19"/>
      <c r="PK28" s="19"/>
      <c r="PL28" s="19">
        <v>1050.0</v>
      </c>
      <c r="PM28" s="19">
        <v>460.0</v>
      </c>
      <c r="PN28" s="19"/>
      <c r="PO28" s="19"/>
      <c r="PP28" s="19"/>
      <c r="PQ28" s="19"/>
      <c r="PR28" s="19">
        <v>140.0</v>
      </c>
      <c r="PS28" s="19"/>
      <c r="PT28" s="19">
        <v>440.0</v>
      </c>
      <c r="PU28" s="19"/>
      <c r="PV28" s="19"/>
      <c r="PW28" s="19">
        <v>625.0</v>
      </c>
      <c r="PX28" s="19">
        <v>435.0</v>
      </c>
      <c r="PY28" s="19"/>
      <c r="PZ28" s="19"/>
      <c r="QA28" s="19"/>
      <c r="QB28" s="19"/>
      <c r="QC28" s="19"/>
      <c r="QD28" s="19"/>
      <c r="QE28" s="19"/>
      <c r="QF28" s="19"/>
      <c r="QG28" s="19">
        <v>675.0</v>
      </c>
      <c r="QH28" s="19"/>
      <c r="QI28" s="19">
        <v>545.0</v>
      </c>
      <c r="QJ28" s="19">
        <v>110.0</v>
      </c>
      <c r="QK28" s="19"/>
      <c r="QL28" s="19"/>
      <c r="QM28" s="19"/>
      <c r="QN28" s="19"/>
      <c r="QO28" s="19">
        <v>285.0</v>
      </c>
      <c r="QP28" s="19"/>
      <c r="QQ28" s="19"/>
      <c r="QR28" s="19"/>
      <c r="QS28" s="19"/>
      <c r="QT28" s="19"/>
      <c r="QU28" s="19">
        <v>380.0</v>
      </c>
      <c r="QV28" s="19">
        <v>285.0</v>
      </c>
      <c r="QW28" s="19"/>
      <c r="QX28" s="19">
        <v>620.0</v>
      </c>
      <c r="QY28" s="19"/>
      <c r="QZ28" s="19">
        <v>490.0</v>
      </c>
      <c r="RA28" s="19"/>
      <c r="RB28" s="19"/>
      <c r="RC28" s="19">
        <v>340.0</v>
      </c>
      <c r="RD28" s="19"/>
      <c r="RE28" s="19">
        <v>765.0</v>
      </c>
      <c r="RF28" s="19"/>
      <c r="RG28" s="19"/>
      <c r="RH28" s="19"/>
      <c r="RI28" s="19"/>
      <c r="RJ28" s="19">
        <v>810.0</v>
      </c>
      <c r="RK28" s="19"/>
      <c r="RL28" s="19"/>
      <c r="RM28" s="19"/>
      <c r="RN28" s="19"/>
      <c r="RO28" s="19">
        <v>625.0</v>
      </c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>
        <v>495.0</v>
      </c>
      <c r="SA28" s="19"/>
      <c r="SB28" s="19"/>
      <c r="SC28" s="19">
        <v>490.0</v>
      </c>
      <c r="SD28" s="19"/>
      <c r="SE28" s="19"/>
      <c r="SF28" s="19"/>
      <c r="SG28" s="19"/>
      <c r="SH28" s="19">
        <v>420.0</v>
      </c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>
        <v>1120.0</v>
      </c>
      <c r="TA28" s="19">
        <v>380.0</v>
      </c>
      <c r="TB28" s="19"/>
      <c r="TC28" s="19"/>
      <c r="TD28" s="19"/>
      <c r="TE28" s="19">
        <v>795.0</v>
      </c>
      <c r="TF28" s="19">
        <v>380.0</v>
      </c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</row>
    <row r="29">
      <c r="A29" s="19" t="s">
        <v>28</v>
      </c>
      <c r="B29" s="19"/>
      <c r="C29" s="19">
        <v>225.0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>
        <v>940.0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>
        <v>490.0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>
        <v>115.0</v>
      </c>
      <c r="AW29" s="19"/>
      <c r="AX29" s="19"/>
      <c r="AY29" s="19">
        <v>390.0</v>
      </c>
      <c r="AZ29" s="19"/>
      <c r="BA29" s="19"/>
      <c r="BB29" s="19"/>
      <c r="BC29" s="19"/>
      <c r="BD29" s="19"/>
      <c r="BE29" s="19"/>
      <c r="BF29" s="19"/>
      <c r="BG29" s="19">
        <v>545.0</v>
      </c>
      <c r="BH29" s="19"/>
      <c r="BI29" s="19"/>
      <c r="BJ29" s="19"/>
      <c r="BK29" s="19"/>
      <c r="BL29" s="19"/>
      <c r="BM29" s="19"/>
      <c r="BN29" s="19"/>
      <c r="BO29" s="19"/>
      <c r="BP29" s="19"/>
      <c r="BQ29" s="19">
        <v>385.0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>
        <v>605.0</v>
      </c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>
        <v>445.0</v>
      </c>
      <c r="DX29" s="19"/>
      <c r="DY29" s="19"/>
      <c r="DZ29" s="19"/>
      <c r="EA29" s="19"/>
      <c r="EB29" s="19">
        <v>45.0</v>
      </c>
      <c r="EC29" s="19"/>
      <c r="ED29" s="19"/>
      <c r="EE29" s="19"/>
      <c r="EF29" s="19"/>
      <c r="EG29" s="19"/>
      <c r="EH29" s="19"/>
      <c r="EI29" s="19"/>
      <c r="EJ29" s="19">
        <v>475.0</v>
      </c>
      <c r="EK29" s="19"/>
      <c r="EL29" s="19"/>
      <c r="EM29" s="19"/>
      <c r="EN29" s="19"/>
      <c r="EO29" s="19"/>
      <c r="EP29" s="19"/>
      <c r="EQ29" s="19"/>
      <c r="ER29" s="19"/>
      <c r="ES29" s="19"/>
      <c r="ET29" s="19">
        <v>60.0</v>
      </c>
      <c r="EU29" s="19"/>
      <c r="EV29" s="19"/>
      <c r="EW29" s="19"/>
      <c r="EX29" s="19"/>
      <c r="EY29" s="19"/>
      <c r="EZ29" s="19"/>
      <c r="FA29" s="19"/>
      <c r="FB29" s="19"/>
      <c r="FC29" s="19"/>
      <c r="FD29" s="19">
        <v>180.0</v>
      </c>
      <c r="FE29" s="19">
        <v>65.0</v>
      </c>
      <c r="FF29" s="19"/>
      <c r="FG29" s="19"/>
      <c r="FH29" s="19"/>
      <c r="FI29" s="19"/>
      <c r="FJ29" s="19"/>
      <c r="FK29" s="19">
        <v>90.0</v>
      </c>
      <c r="FL29" s="19"/>
      <c r="FM29" s="19"/>
      <c r="FN29" s="19"/>
      <c r="FO29" s="19">
        <v>260.0</v>
      </c>
      <c r="FP29" s="19"/>
      <c r="FQ29" s="19"/>
      <c r="FR29" s="19"/>
      <c r="FS29" s="19"/>
      <c r="FT29" s="19"/>
      <c r="FU29" s="19">
        <v>305.0</v>
      </c>
      <c r="FV29" s="19"/>
      <c r="FW29" s="19"/>
      <c r="FX29" s="19"/>
      <c r="FY29" s="19">
        <v>275.0</v>
      </c>
      <c r="FZ29" s="19"/>
      <c r="GA29" s="19">
        <v>315.0</v>
      </c>
      <c r="GB29" s="19"/>
      <c r="GC29" s="19"/>
      <c r="GD29" s="19"/>
      <c r="GE29" s="19"/>
      <c r="GF29" s="19"/>
      <c r="GG29" s="19">
        <v>460.0</v>
      </c>
      <c r="GH29" s="19"/>
      <c r="GI29" s="19"/>
      <c r="GJ29" s="19"/>
      <c r="GK29" s="19"/>
      <c r="GL29" s="19"/>
      <c r="GM29" s="19"/>
      <c r="GN29" s="19"/>
      <c r="GO29" s="19"/>
      <c r="GP29" s="19">
        <v>480.0</v>
      </c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>
        <v>385.0</v>
      </c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>
        <v>235.0</v>
      </c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>
        <v>455.0</v>
      </c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>
        <v>890.0</v>
      </c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>
        <v>445.0</v>
      </c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</row>
    <row r="30">
      <c r="A30" s="19" t="s">
        <v>29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>
        <v>380.0</v>
      </c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</row>
    <row r="31">
      <c r="A31" s="19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>
        <v>100.0</v>
      </c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>
        <v>670.0</v>
      </c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>
        <v>605.0</v>
      </c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</row>
    <row r="32">
      <c r="A32" s="19" t="s">
        <v>31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>
        <v>510.0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>
        <v>210.0</v>
      </c>
      <c r="DX32" s="19">
        <v>305.0</v>
      </c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>
        <v>75.0</v>
      </c>
      <c r="FF32" s="19"/>
      <c r="FG32" s="19">
        <v>1070.0</v>
      </c>
      <c r="FH32" s="19">
        <v>730.0</v>
      </c>
      <c r="FI32" s="19">
        <v>410.0</v>
      </c>
      <c r="FJ32" s="19"/>
      <c r="FK32" s="19"/>
      <c r="FL32" s="19">
        <v>230.0</v>
      </c>
      <c r="FM32" s="19">
        <v>725.0</v>
      </c>
      <c r="FN32" s="19">
        <v>365.0</v>
      </c>
      <c r="FO32" s="19"/>
      <c r="FP32" s="19"/>
      <c r="FQ32" s="19">
        <v>135.0</v>
      </c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>
        <v>825.0</v>
      </c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>
        <v>395.0</v>
      </c>
      <c r="KP32" s="19"/>
      <c r="KQ32" s="19"/>
      <c r="KR32" s="19">
        <v>440.0</v>
      </c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>
        <v>680.0</v>
      </c>
      <c r="MU32" s="19">
        <v>335.0</v>
      </c>
      <c r="MV32" s="19">
        <v>215.0</v>
      </c>
      <c r="MW32" s="19">
        <v>255.0</v>
      </c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>
        <v>735.0</v>
      </c>
      <c r="NM32" s="19">
        <v>640.0</v>
      </c>
      <c r="NN32" s="19">
        <v>780.0</v>
      </c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>
        <v>485.0</v>
      </c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>
        <v>305.0</v>
      </c>
      <c r="SW32" s="19">
        <v>180.0</v>
      </c>
      <c r="SX32" s="19"/>
      <c r="SY32" s="19"/>
      <c r="SZ32" s="19"/>
      <c r="TA32" s="19"/>
      <c r="TB32" s="19">
        <v>110.0</v>
      </c>
      <c r="TC32" s="19">
        <v>655.0</v>
      </c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</row>
    <row r="33">
      <c r="A33" s="19" t="s">
        <v>32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>
        <v>369.0</v>
      </c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>
        <v>475.0</v>
      </c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</row>
    <row r="34">
      <c r="A34" s="19" t="s">
        <v>33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>
        <v>20.0</v>
      </c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  <c r="OD35" s="19"/>
      <c r="OE35" s="19"/>
      <c r="OF35" s="19"/>
      <c r="OG35" s="19"/>
      <c r="OH35" s="19"/>
      <c r="OI35" s="19"/>
      <c r="OJ35" s="19"/>
      <c r="OK35" s="19"/>
      <c r="OL35" s="19"/>
      <c r="OM35" s="19"/>
      <c r="ON35" s="19"/>
      <c r="OO35" s="19"/>
      <c r="OP35" s="19"/>
      <c r="OQ35" s="19"/>
      <c r="OR35" s="19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  <c r="UR35" s="19"/>
      <c r="US35" s="19"/>
      <c r="UT35" s="19"/>
      <c r="UU35" s="19"/>
      <c r="UV35" s="19"/>
      <c r="UW35" s="19"/>
      <c r="UX35" s="19"/>
      <c r="UY35" s="19"/>
      <c r="UZ35" s="19"/>
      <c r="VA35" s="19"/>
      <c r="VB35" s="19"/>
      <c r="VC35" s="19"/>
      <c r="VD35" s="19"/>
      <c r="VE35" s="19"/>
      <c r="VF35" s="19"/>
      <c r="VG35" s="19"/>
      <c r="VH35" s="19"/>
      <c r="VI35" s="19"/>
      <c r="VJ35" s="19"/>
      <c r="VK35" s="19"/>
      <c r="VL35" s="19"/>
      <c r="VM35" s="19"/>
      <c r="VN35" s="19"/>
      <c r="VO35" s="19"/>
      <c r="VP35" s="19"/>
      <c r="VQ35" s="19"/>
      <c r="VR35" s="19"/>
      <c r="VS35" s="19"/>
      <c r="VT35" s="19"/>
      <c r="VU35" s="19"/>
      <c r="VV35" s="19"/>
      <c r="VW35" s="19"/>
      <c r="VX35" s="19"/>
      <c r="VY35" s="19"/>
      <c r="VZ35" s="19"/>
      <c r="WA35" s="19"/>
      <c r="WB35" s="19"/>
      <c r="WC35" s="19"/>
      <c r="WD35" s="19"/>
      <c r="WE35" s="19"/>
      <c r="WF35" s="19"/>
      <c r="WG35" s="19"/>
      <c r="WH35" s="19"/>
      <c r="WI35" s="19"/>
      <c r="WJ35" s="19"/>
      <c r="WK35" s="19"/>
      <c r="WL35" s="19"/>
      <c r="WM35" s="19"/>
      <c r="WN35" s="19"/>
      <c r="WO35" s="19"/>
      <c r="WP35" s="19"/>
      <c r="WQ35" s="19"/>
      <c r="WR35" s="19"/>
      <c r="WS35" s="19"/>
      <c r="WT35" s="19"/>
      <c r="WU35" s="19"/>
      <c r="WV35" s="19"/>
      <c r="WW35" s="19"/>
      <c r="WX35" s="19"/>
      <c r="WY35" s="19"/>
      <c r="WZ35" s="19"/>
      <c r="XA35" s="19"/>
      <c r="XB35" s="19"/>
      <c r="XC35" s="19"/>
      <c r="XD35" s="19"/>
      <c r="XE35" s="19"/>
      <c r="XF35" s="19"/>
      <c r="XG35" s="19"/>
      <c r="XH35" s="19"/>
      <c r="XI35" s="19"/>
      <c r="XJ35" s="19"/>
      <c r="XK35" s="19"/>
      <c r="XL35" s="19"/>
      <c r="XM35" s="19"/>
      <c r="XN35" s="19"/>
      <c r="XO35" s="19"/>
      <c r="XP35" s="19"/>
      <c r="XQ35" s="19"/>
      <c r="XR35" s="19"/>
      <c r="XS35" s="19"/>
      <c r="XT35" s="19"/>
      <c r="XU35" s="19"/>
      <c r="XV35" s="19"/>
      <c r="XW35" s="19"/>
      <c r="XX35" s="19"/>
      <c r="XY35" s="19"/>
      <c r="XZ35" s="19"/>
      <c r="YA35" s="19"/>
      <c r="YB35" s="19"/>
      <c r="YC35" s="19"/>
      <c r="YD35" s="19"/>
      <c r="YE35" s="19"/>
      <c r="YF35" s="19"/>
      <c r="YG35" s="19"/>
      <c r="YH35" s="19"/>
      <c r="YI35" s="19"/>
      <c r="YJ35" s="19"/>
      <c r="YK35" s="19"/>
      <c r="YL35" s="19"/>
      <c r="YM35" s="19"/>
      <c r="YN35" s="19"/>
      <c r="YO35" s="19"/>
      <c r="YP35" s="19"/>
      <c r="YQ35" s="19"/>
      <c r="YR35" s="19"/>
      <c r="YS35" s="19"/>
      <c r="YT35" s="19"/>
      <c r="YU35" s="19"/>
      <c r="YV35" s="19"/>
      <c r="YW35" s="19"/>
      <c r="YX35" s="19"/>
      <c r="YY35" s="19"/>
      <c r="YZ35" s="19"/>
      <c r="ZA35" s="19"/>
      <c r="ZB35" s="19"/>
      <c r="ZC35" s="19"/>
      <c r="ZD35" s="19"/>
      <c r="ZE35" s="19"/>
      <c r="ZF35" s="19"/>
      <c r="ZG35" s="19"/>
      <c r="ZH35" s="19"/>
      <c r="ZI35" s="19"/>
      <c r="ZJ35" s="19"/>
      <c r="ZK35" s="19"/>
      <c r="ZL35" s="19"/>
      <c r="ZM35" s="19"/>
      <c r="ZN35" s="19"/>
      <c r="ZO35" s="19"/>
      <c r="ZP35" s="19"/>
      <c r="ZQ35" s="19"/>
      <c r="ZR35" s="19"/>
      <c r="ZS35" s="19"/>
      <c r="ZT35" s="19"/>
      <c r="ZU35" s="19"/>
      <c r="ZV35" s="19"/>
      <c r="ZW35" s="19"/>
      <c r="ZX35" s="19"/>
      <c r="ZY35" s="19"/>
      <c r="ZZ35" s="19"/>
      <c r="AAA35" s="19"/>
      <c r="AAB35" s="19"/>
      <c r="AAC35" s="19"/>
      <c r="AAD35" s="19"/>
      <c r="AAE35" s="19"/>
      <c r="AAF35" s="19"/>
      <c r="AAG35" s="19"/>
      <c r="AAH35" s="19"/>
      <c r="AAI35" s="19"/>
      <c r="AAJ35" s="19"/>
      <c r="AAK35" s="19"/>
      <c r="AAL35" s="19"/>
      <c r="AAM35" s="19"/>
      <c r="AAN35" s="19"/>
      <c r="AAO35" s="19"/>
      <c r="AAP35" s="19"/>
      <c r="AAQ35" s="19"/>
      <c r="AAR35" s="19"/>
      <c r="AAS35" s="19"/>
      <c r="AAT35" s="19"/>
      <c r="AAU35" s="19"/>
      <c r="AAV35" s="19"/>
      <c r="AAW35" s="19"/>
      <c r="AAX35" s="19"/>
      <c r="AAY35" s="19"/>
      <c r="AAZ35" s="19"/>
      <c r="ABA35" s="19"/>
      <c r="ABB35" s="19"/>
      <c r="ABC35" s="19"/>
      <c r="ABD35" s="19"/>
      <c r="ABE35" s="19"/>
      <c r="ABF35" s="19"/>
      <c r="ABG35" s="19"/>
      <c r="ABH35" s="19"/>
      <c r="ABI35" s="19"/>
      <c r="ABJ35" s="19"/>
      <c r="ABK35" s="19"/>
      <c r="ABL35" s="19"/>
      <c r="ABM35" s="19"/>
      <c r="ABN35" s="19"/>
      <c r="ABO35" s="19"/>
      <c r="ABP35" s="19"/>
      <c r="ABQ35" s="19"/>
      <c r="ABR35" s="19"/>
      <c r="ABS35" s="19"/>
      <c r="ABT35" s="19"/>
      <c r="ABU35" s="19"/>
      <c r="ABV35" s="19"/>
      <c r="ABW35" s="19"/>
      <c r="ABX35" s="19"/>
      <c r="ABY35" s="19"/>
      <c r="ABZ35" s="19"/>
      <c r="ACA35" s="19"/>
      <c r="ACB35" s="19"/>
      <c r="ACC35" s="19"/>
      <c r="ACD35" s="19"/>
      <c r="ACE35" s="19"/>
      <c r="ACF35" s="19"/>
      <c r="ACG35" s="19"/>
      <c r="ACH35" s="19"/>
      <c r="ACI35" s="19"/>
      <c r="ACJ35" s="19"/>
      <c r="ACK35" s="19"/>
      <c r="ACL35" s="19"/>
      <c r="ACM35" s="19"/>
      <c r="ACN35" s="19"/>
      <c r="ACO35" s="19"/>
      <c r="ACP35" s="19"/>
      <c r="ACQ35" s="19"/>
      <c r="ACR35" s="19"/>
      <c r="ACS35" s="19"/>
      <c r="ACT35" s="19"/>
      <c r="ACU35" s="19"/>
      <c r="ACV35" s="19"/>
      <c r="ACW35" s="19"/>
      <c r="ACX35" s="19"/>
      <c r="ACY35" s="19"/>
      <c r="ACZ35" s="19"/>
      <c r="ADA35" s="19"/>
      <c r="ADB35" s="19"/>
      <c r="ADC35" s="19"/>
      <c r="ADD35" s="19"/>
      <c r="ADE35" s="19"/>
      <c r="ADF35" s="19"/>
      <c r="ADG35" s="19"/>
      <c r="ADH35" s="19"/>
      <c r="ADI35" s="19"/>
      <c r="ADJ35" s="19"/>
      <c r="ADK35" s="19"/>
      <c r="ADL35" s="19"/>
      <c r="ADM35" s="19"/>
      <c r="ADN35" s="19"/>
      <c r="ADO35" s="19"/>
      <c r="ADP35" s="19"/>
      <c r="ADQ35" s="19"/>
      <c r="ADR35" s="19"/>
      <c r="ADS35" s="19"/>
      <c r="ADT35" s="19"/>
      <c r="ADU35" s="19"/>
      <c r="ADV35" s="19"/>
      <c r="ADW35" s="19"/>
      <c r="ADX35" s="19"/>
      <c r="ADY35" s="19"/>
      <c r="ADZ35" s="19"/>
      <c r="AEA35" s="19"/>
      <c r="AEB35" s="19"/>
      <c r="AEC35" s="19"/>
      <c r="AED35" s="19"/>
      <c r="AEE35" s="19"/>
      <c r="AEF35" s="19"/>
      <c r="AEG35" s="19"/>
      <c r="AEH35" s="19"/>
      <c r="AEI35" s="19"/>
      <c r="AEJ35" s="19"/>
      <c r="AEK35" s="19"/>
      <c r="AEL35" s="19"/>
      <c r="AEM35" s="19"/>
      <c r="AEN35" s="19"/>
      <c r="AEO35" s="19"/>
      <c r="AEP35" s="19"/>
      <c r="AEQ35" s="19"/>
      <c r="AER35" s="19"/>
      <c r="AES35" s="19"/>
      <c r="AET35" s="19"/>
      <c r="AEU35" s="19"/>
      <c r="AEV35" s="19"/>
      <c r="AEW35" s="19"/>
      <c r="AEX35" s="19"/>
      <c r="AEY35" s="19"/>
      <c r="AEZ35" s="19"/>
      <c r="AFA35" s="19"/>
      <c r="AFB35" s="19"/>
      <c r="AFC35" s="19"/>
      <c r="AFD35" s="19"/>
      <c r="AFE35" s="19"/>
      <c r="AFF35" s="19"/>
      <c r="AFG35" s="19"/>
      <c r="AFH35" s="19"/>
      <c r="AFI35" s="19"/>
      <c r="AFJ35" s="19"/>
      <c r="AFK35" s="19"/>
      <c r="AFL35" s="19"/>
      <c r="AFM35" s="19"/>
      <c r="AFN35" s="19"/>
      <c r="AFO35" s="19"/>
      <c r="AFP35" s="19"/>
      <c r="AFQ35" s="19"/>
      <c r="AFR35" s="19"/>
      <c r="AFS35" s="19"/>
      <c r="AFT35" s="19"/>
      <c r="AFU35" s="19"/>
      <c r="AFV35" s="19"/>
      <c r="AFW35" s="19"/>
      <c r="AFX35" s="19"/>
      <c r="AFY35" s="19"/>
      <c r="AFZ35" s="19"/>
      <c r="AGA35" s="19"/>
      <c r="AGB35" s="19"/>
      <c r="AGC35" s="19"/>
      <c r="AGD35" s="19"/>
      <c r="AGE35" s="19"/>
      <c r="AGF35" s="19"/>
      <c r="AGG35" s="19"/>
      <c r="AGH35" s="19"/>
      <c r="AGI35" s="19"/>
      <c r="AGJ35" s="19"/>
      <c r="AGK35" s="19"/>
      <c r="AGL35" s="19"/>
      <c r="AGM35" s="19"/>
      <c r="AGN35" s="19"/>
      <c r="AGO35" s="19"/>
      <c r="AGP35" s="19"/>
      <c r="AGQ35" s="19"/>
      <c r="AGR35" s="19"/>
      <c r="AGS35" s="19"/>
      <c r="AGT35" s="19"/>
      <c r="AGU35" s="19"/>
      <c r="AGV35" s="19"/>
      <c r="AGW35" s="19"/>
      <c r="AGX35" s="19"/>
      <c r="AGY35" s="19"/>
      <c r="AGZ35" s="19"/>
      <c r="AHA35" s="19"/>
      <c r="AHB35" s="19"/>
      <c r="AHC35" s="19"/>
      <c r="AHD35" s="19"/>
      <c r="AHE35" s="19"/>
      <c r="AHF35" s="19"/>
      <c r="AHG35" s="19"/>
      <c r="AHH35" s="19"/>
      <c r="AHI35" s="19"/>
      <c r="AHJ35" s="19"/>
      <c r="AHK35" s="19"/>
      <c r="AHL35" s="19"/>
      <c r="AHM35" s="19"/>
      <c r="AHN35" s="19"/>
      <c r="AHO35" s="19"/>
      <c r="AHP35" s="19"/>
    </row>
    <row r="36">
      <c r="A36" s="19" t="s">
        <v>34</v>
      </c>
      <c r="B36" s="19">
        <v>520.0</v>
      </c>
      <c r="C36" s="19">
        <v>225.0</v>
      </c>
      <c r="D36" s="19">
        <v>300.0</v>
      </c>
      <c r="E36" s="19">
        <v>195.0</v>
      </c>
      <c r="F36" s="19">
        <v>65.0</v>
      </c>
      <c r="G36" s="19">
        <v>130.0</v>
      </c>
      <c r="H36" s="19">
        <v>280.0</v>
      </c>
      <c r="I36" s="19">
        <v>225.0</v>
      </c>
      <c r="J36" s="19">
        <v>190.0</v>
      </c>
      <c r="K36" s="19">
        <v>235.0</v>
      </c>
      <c r="L36" s="19">
        <v>165.0</v>
      </c>
      <c r="M36" s="19">
        <v>370.0</v>
      </c>
      <c r="N36" s="19">
        <v>330.0</v>
      </c>
      <c r="O36" s="19">
        <v>380.0</v>
      </c>
      <c r="P36" s="19">
        <v>250.0</v>
      </c>
      <c r="Q36" s="19">
        <v>80.0</v>
      </c>
      <c r="R36" s="19">
        <v>95.0</v>
      </c>
      <c r="S36" s="19">
        <v>380.0</v>
      </c>
      <c r="T36" s="19">
        <v>275.0</v>
      </c>
      <c r="U36" s="19">
        <v>160.0</v>
      </c>
      <c r="V36" s="19">
        <v>75.0</v>
      </c>
      <c r="W36" s="19">
        <v>260.0</v>
      </c>
      <c r="X36" s="19">
        <v>180.0</v>
      </c>
      <c r="Y36" s="19">
        <v>420.0</v>
      </c>
      <c r="Z36" s="19">
        <v>400.0</v>
      </c>
      <c r="AA36" s="19">
        <v>95.0</v>
      </c>
      <c r="AB36" s="19">
        <v>100.0</v>
      </c>
      <c r="AC36" s="19">
        <v>120.0</v>
      </c>
      <c r="AD36" s="19">
        <v>155.0</v>
      </c>
      <c r="AE36" s="19">
        <v>145.0</v>
      </c>
      <c r="AF36" s="19">
        <v>60.0</v>
      </c>
      <c r="AG36" s="19">
        <v>125.0</v>
      </c>
      <c r="AH36" s="19">
        <v>175.0</v>
      </c>
      <c r="AI36" s="19">
        <v>455.0</v>
      </c>
      <c r="AJ36" s="19">
        <v>375.0</v>
      </c>
      <c r="AK36" s="19">
        <v>480.0</v>
      </c>
      <c r="AL36" s="19">
        <v>150.0</v>
      </c>
      <c r="AM36" s="19">
        <v>500.0</v>
      </c>
      <c r="AN36" s="19">
        <v>110.0</v>
      </c>
      <c r="AO36" s="19">
        <v>120.0</v>
      </c>
      <c r="AP36" s="19">
        <v>285.0</v>
      </c>
      <c r="AQ36" s="19">
        <v>125.0</v>
      </c>
      <c r="AR36" s="19">
        <v>475.0</v>
      </c>
      <c r="AS36" s="19">
        <v>130.0</v>
      </c>
      <c r="AT36" s="19">
        <v>180.0</v>
      </c>
      <c r="AU36" s="19">
        <v>270.0</v>
      </c>
      <c r="AV36" s="19">
        <v>115.0</v>
      </c>
      <c r="AW36" s="19">
        <v>100.0</v>
      </c>
      <c r="AX36" s="19">
        <v>250.0</v>
      </c>
      <c r="AY36" s="19">
        <v>370.0</v>
      </c>
      <c r="AZ36" s="19">
        <v>105.0</v>
      </c>
      <c r="BA36" s="19">
        <v>315.0</v>
      </c>
      <c r="BB36" s="19">
        <v>195.0</v>
      </c>
      <c r="BC36" s="19">
        <v>405.0</v>
      </c>
      <c r="BD36" s="19">
        <v>110.0</v>
      </c>
      <c r="BE36" s="19">
        <v>420.0</v>
      </c>
      <c r="BF36" s="19">
        <v>165.0</v>
      </c>
      <c r="BG36" s="19">
        <v>205.0</v>
      </c>
      <c r="BH36" s="19">
        <v>125.0</v>
      </c>
      <c r="BI36" s="19">
        <v>235.0</v>
      </c>
      <c r="BJ36" s="19">
        <v>385.0</v>
      </c>
      <c r="BK36" s="19">
        <v>465.0</v>
      </c>
      <c r="BL36" s="19">
        <v>40.0</v>
      </c>
      <c r="BM36" s="19">
        <v>315.0</v>
      </c>
      <c r="BN36" s="19">
        <v>70.0</v>
      </c>
      <c r="BO36" s="19">
        <v>175.0</v>
      </c>
      <c r="BP36" s="19">
        <v>235.0</v>
      </c>
      <c r="BQ36" s="19">
        <v>195.0</v>
      </c>
      <c r="BR36" s="19">
        <v>80.0</v>
      </c>
      <c r="BS36" s="19">
        <v>190.0</v>
      </c>
      <c r="BT36" s="19">
        <v>255.0</v>
      </c>
      <c r="BU36" s="19">
        <v>90.0</v>
      </c>
      <c r="BV36" s="19">
        <v>520.0</v>
      </c>
      <c r="BW36" s="19">
        <v>235.0</v>
      </c>
      <c r="BX36" s="19">
        <v>295.0</v>
      </c>
      <c r="BY36" s="19">
        <v>170.0</v>
      </c>
      <c r="BZ36" s="19">
        <v>180.0</v>
      </c>
      <c r="CA36" s="19">
        <v>105.0</v>
      </c>
      <c r="CB36" s="19">
        <v>310.0</v>
      </c>
      <c r="CC36" s="19">
        <v>280.0</v>
      </c>
      <c r="CD36" s="19">
        <v>240.0</v>
      </c>
      <c r="CE36" s="19">
        <v>310.0</v>
      </c>
      <c r="CF36" s="19">
        <v>380.0</v>
      </c>
      <c r="CG36" s="19">
        <v>385.0</v>
      </c>
      <c r="CH36" s="19">
        <v>150.0</v>
      </c>
      <c r="CI36" s="19">
        <v>105.0</v>
      </c>
      <c r="CJ36" s="19">
        <v>415.0</v>
      </c>
      <c r="CK36" s="19">
        <v>300.0</v>
      </c>
      <c r="CL36" s="19">
        <v>40.0</v>
      </c>
      <c r="CM36" s="19">
        <v>270.0</v>
      </c>
      <c r="CN36" s="19">
        <v>310.0</v>
      </c>
      <c r="CO36" s="19">
        <v>295.0</v>
      </c>
      <c r="CP36" s="19">
        <v>150.0</v>
      </c>
      <c r="CQ36" s="19">
        <v>70.0</v>
      </c>
      <c r="CR36" s="19">
        <v>395.0</v>
      </c>
      <c r="CS36" s="19">
        <v>295.0</v>
      </c>
      <c r="CT36" s="19">
        <v>130.0</v>
      </c>
      <c r="CU36" s="19">
        <v>310.0</v>
      </c>
      <c r="CV36" s="19">
        <v>250.0</v>
      </c>
      <c r="CW36" s="19">
        <v>290.0</v>
      </c>
      <c r="CX36" s="19">
        <v>475.0</v>
      </c>
      <c r="CY36" s="19">
        <v>225.0</v>
      </c>
      <c r="CZ36" s="19">
        <v>370.0</v>
      </c>
      <c r="DA36" s="19">
        <v>365.0</v>
      </c>
      <c r="DB36" s="19">
        <v>540.0</v>
      </c>
      <c r="DC36" s="19">
        <v>65.0</v>
      </c>
      <c r="DD36" s="19">
        <v>200.0</v>
      </c>
      <c r="DE36" s="19">
        <v>215.0</v>
      </c>
      <c r="DF36" s="19">
        <v>210.0</v>
      </c>
      <c r="DG36" s="19">
        <v>15.0</v>
      </c>
      <c r="DH36" s="19">
        <v>200.0</v>
      </c>
      <c r="DI36" s="19">
        <v>210.0</v>
      </c>
      <c r="DJ36" s="19">
        <v>245.0</v>
      </c>
      <c r="DK36" s="19">
        <v>155.0</v>
      </c>
      <c r="DL36" s="19">
        <v>240.0</v>
      </c>
      <c r="DM36" s="19">
        <v>320.0</v>
      </c>
      <c r="DN36" s="19">
        <v>270.0</v>
      </c>
      <c r="DO36" s="19">
        <v>230.0</v>
      </c>
      <c r="DP36" s="19">
        <v>185.0</v>
      </c>
      <c r="DQ36" s="19">
        <v>255.0</v>
      </c>
      <c r="DR36" s="19">
        <v>170.0</v>
      </c>
      <c r="DS36" s="19">
        <v>190.0</v>
      </c>
      <c r="DT36" s="19">
        <v>235.0</v>
      </c>
      <c r="DU36" s="19">
        <v>310.0</v>
      </c>
      <c r="DV36" s="19">
        <v>150.0</v>
      </c>
      <c r="DW36" s="19">
        <v>25.0</v>
      </c>
      <c r="DX36" s="19">
        <v>180.0</v>
      </c>
      <c r="DY36" s="19">
        <v>380.0</v>
      </c>
      <c r="DZ36" s="19">
        <v>250.0</v>
      </c>
      <c r="EA36" s="19">
        <v>375.0</v>
      </c>
      <c r="EB36" s="19">
        <v>45.0</v>
      </c>
      <c r="EC36" s="19">
        <v>5.0</v>
      </c>
      <c r="ED36" s="19">
        <v>335.0</v>
      </c>
      <c r="EE36" s="19">
        <v>425.0</v>
      </c>
      <c r="EF36" s="19">
        <v>260.0</v>
      </c>
      <c r="EG36" s="19">
        <v>250.0</v>
      </c>
      <c r="EH36" s="19">
        <v>175.0</v>
      </c>
      <c r="EI36" s="19">
        <v>370.0</v>
      </c>
      <c r="EJ36" s="19">
        <v>130.0</v>
      </c>
      <c r="EK36" s="19">
        <v>355.0</v>
      </c>
      <c r="EL36" s="19">
        <v>165.0</v>
      </c>
      <c r="EM36" s="19">
        <v>45.0</v>
      </c>
      <c r="EN36" s="19">
        <v>5.0</v>
      </c>
      <c r="EO36" s="19">
        <v>255.0</v>
      </c>
      <c r="EP36" s="19">
        <v>15.0</v>
      </c>
      <c r="EQ36" s="19">
        <v>80.0</v>
      </c>
      <c r="ER36" s="19">
        <v>75.0</v>
      </c>
      <c r="ES36" s="19">
        <v>40.0</v>
      </c>
      <c r="ET36" s="19">
        <v>60.0</v>
      </c>
      <c r="EU36" s="19">
        <v>245.0</v>
      </c>
      <c r="EV36" s="19">
        <v>310.0</v>
      </c>
      <c r="EW36" s="19">
        <v>170.0</v>
      </c>
      <c r="EX36" s="19">
        <v>295.0</v>
      </c>
      <c r="EY36" s="19">
        <v>205.0</v>
      </c>
      <c r="EZ36" s="19">
        <v>420.0</v>
      </c>
      <c r="FA36" s="19">
        <v>215.0</v>
      </c>
      <c r="FB36" s="19">
        <v>140.0</v>
      </c>
      <c r="FC36" s="19">
        <v>220.0</v>
      </c>
      <c r="FD36" s="19">
        <v>115.0</v>
      </c>
      <c r="FE36" s="19">
        <v>65.0</v>
      </c>
      <c r="FF36" s="19">
        <v>425.0</v>
      </c>
      <c r="FG36" s="19">
        <v>235.0</v>
      </c>
      <c r="FH36" s="19">
        <v>170.0</v>
      </c>
      <c r="FI36" s="19">
        <v>180.0</v>
      </c>
      <c r="FJ36" s="19">
        <v>475.0</v>
      </c>
      <c r="FK36" s="19">
        <v>90.0</v>
      </c>
      <c r="FL36" s="19">
        <v>190.0</v>
      </c>
      <c r="FM36" s="19">
        <v>320.0</v>
      </c>
      <c r="FN36" s="19">
        <v>195.0</v>
      </c>
      <c r="FO36" s="19">
        <v>70.0</v>
      </c>
      <c r="FP36" s="19">
        <v>445.0</v>
      </c>
      <c r="FQ36" s="19">
        <v>50.0</v>
      </c>
      <c r="FR36" s="19">
        <v>270.0</v>
      </c>
      <c r="FS36" s="19">
        <v>110.0</v>
      </c>
      <c r="FT36" s="19">
        <v>35.0</v>
      </c>
      <c r="FU36" s="19">
        <v>300.0</v>
      </c>
      <c r="FV36" s="19">
        <v>215.0</v>
      </c>
      <c r="FW36" s="19">
        <v>100.0</v>
      </c>
      <c r="FX36" s="19">
        <v>310.0</v>
      </c>
      <c r="FY36" s="19">
        <v>235.0</v>
      </c>
      <c r="FZ36" s="19">
        <v>185.0</v>
      </c>
      <c r="GA36" s="19">
        <v>265.0</v>
      </c>
      <c r="GB36" s="19">
        <v>215.0</v>
      </c>
      <c r="GC36" s="19">
        <v>210.0</v>
      </c>
      <c r="GD36" s="19">
        <v>290.0</v>
      </c>
      <c r="GE36" s="19">
        <v>335.0</v>
      </c>
      <c r="GF36" s="19">
        <v>310.0</v>
      </c>
      <c r="GG36" s="19">
        <v>315.0</v>
      </c>
      <c r="GH36" s="19">
        <v>400.0</v>
      </c>
      <c r="GI36" s="19">
        <v>290.0</v>
      </c>
      <c r="GJ36" s="19">
        <v>335.0</v>
      </c>
      <c r="GK36" s="19">
        <v>310.0</v>
      </c>
      <c r="GL36" s="19">
        <v>280.0</v>
      </c>
      <c r="GM36" s="19">
        <v>270.0</v>
      </c>
      <c r="GN36" s="19">
        <v>250.0</v>
      </c>
      <c r="GO36" s="19">
        <v>470.0</v>
      </c>
      <c r="GP36" s="19">
        <v>20.0</v>
      </c>
      <c r="GQ36" s="19">
        <v>240.0</v>
      </c>
      <c r="GR36" s="19">
        <v>240.0</v>
      </c>
      <c r="GS36" s="19">
        <v>205.0</v>
      </c>
      <c r="GT36" s="19">
        <v>380.0</v>
      </c>
      <c r="GU36" s="19">
        <v>320.0</v>
      </c>
      <c r="GV36" s="19">
        <v>400.0</v>
      </c>
      <c r="GW36" s="19">
        <v>250.0</v>
      </c>
      <c r="GX36" s="19">
        <v>350.0</v>
      </c>
      <c r="GY36" s="19">
        <v>265.0</v>
      </c>
      <c r="GZ36" s="19">
        <v>265.0</v>
      </c>
      <c r="HA36" s="19">
        <v>185.0</v>
      </c>
      <c r="HB36" s="19">
        <v>120.0</v>
      </c>
      <c r="HC36" s="19">
        <v>225.0</v>
      </c>
      <c r="HD36" s="19">
        <v>40.0</v>
      </c>
      <c r="HE36" s="19">
        <v>300.0</v>
      </c>
      <c r="HF36" s="19">
        <v>235.0</v>
      </c>
      <c r="HG36" s="19">
        <v>140.0</v>
      </c>
      <c r="HH36" s="19">
        <v>255.0</v>
      </c>
      <c r="HI36" s="19">
        <v>290.0</v>
      </c>
      <c r="HJ36" s="19">
        <v>340.0</v>
      </c>
      <c r="HK36" s="19">
        <v>170.0</v>
      </c>
      <c r="HL36" s="19">
        <v>115.0</v>
      </c>
      <c r="HM36" s="19">
        <v>280.0</v>
      </c>
      <c r="HN36" s="19">
        <v>300.0</v>
      </c>
      <c r="HO36" s="19">
        <v>195.0</v>
      </c>
      <c r="HP36" s="19">
        <v>300.0</v>
      </c>
      <c r="HQ36" s="19">
        <v>200.0</v>
      </c>
      <c r="HR36" s="19">
        <v>65.0</v>
      </c>
      <c r="HS36" s="19">
        <v>20.0</v>
      </c>
      <c r="HT36" s="19">
        <v>345.0</v>
      </c>
      <c r="HU36" s="19">
        <v>450.0</v>
      </c>
      <c r="HV36" s="19">
        <v>330.0</v>
      </c>
      <c r="HW36" s="19">
        <v>140.0</v>
      </c>
      <c r="HX36" s="19">
        <v>250.0</v>
      </c>
      <c r="HY36" s="19">
        <v>160.0</v>
      </c>
      <c r="HZ36" s="19">
        <v>500.0</v>
      </c>
      <c r="IA36" s="19">
        <v>165.0</v>
      </c>
      <c r="IB36" s="19">
        <v>190.0</v>
      </c>
      <c r="IC36" s="19">
        <v>345.0</v>
      </c>
      <c r="ID36" s="19">
        <v>110.0</v>
      </c>
      <c r="IE36" s="19">
        <v>355.0</v>
      </c>
      <c r="IF36" s="19">
        <v>340.0</v>
      </c>
      <c r="IG36" s="19">
        <v>400.0</v>
      </c>
      <c r="IH36" s="19">
        <v>350.0</v>
      </c>
      <c r="II36" s="19">
        <v>150.0</v>
      </c>
      <c r="IJ36" s="19">
        <v>230.0</v>
      </c>
      <c r="IK36" s="19">
        <v>110.0</v>
      </c>
      <c r="IL36" s="19">
        <v>185.0</v>
      </c>
      <c r="IM36" s="19">
        <v>165.0</v>
      </c>
      <c r="IN36" s="19">
        <v>25.0</v>
      </c>
      <c r="IO36" s="19">
        <v>345.0</v>
      </c>
      <c r="IP36" s="19">
        <v>350.0</v>
      </c>
      <c r="IQ36" s="19">
        <v>220.0</v>
      </c>
      <c r="IR36" s="19">
        <v>105.0</v>
      </c>
      <c r="IS36" s="19">
        <v>365.0</v>
      </c>
      <c r="IT36" s="19">
        <v>220.0</v>
      </c>
      <c r="IU36" s="19">
        <v>105.0</v>
      </c>
      <c r="IV36" s="19">
        <v>300.0</v>
      </c>
      <c r="IW36" s="19">
        <v>340.0</v>
      </c>
      <c r="IX36" s="19">
        <v>90.0</v>
      </c>
      <c r="IY36" s="19">
        <v>390.0</v>
      </c>
      <c r="IZ36" s="19">
        <v>210.0</v>
      </c>
      <c r="JA36" s="19">
        <v>200.0</v>
      </c>
      <c r="JB36" s="19">
        <v>45.0</v>
      </c>
      <c r="JC36" s="19">
        <v>390.0</v>
      </c>
      <c r="JD36" s="19">
        <v>305.0</v>
      </c>
      <c r="JE36" s="19">
        <v>155.0</v>
      </c>
      <c r="JF36" s="19">
        <v>230.0</v>
      </c>
      <c r="JG36" s="19">
        <v>270.0</v>
      </c>
      <c r="JH36" s="19">
        <v>440.0</v>
      </c>
      <c r="JI36" s="19">
        <v>310.0</v>
      </c>
      <c r="JJ36" s="19">
        <v>175.0</v>
      </c>
      <c r="JK36" s="19">
        <v>240.0</v>
      </c>
      <c r="JL36" s="19">
        <v>395.0</v>
      </c>
      <c r="JM36" s="19">
        <v>130.0</v>
      </c>
      <c r="JN36" s="19">
        <v>225.0</v>
      </c>
      <c r="JO36" s="19">
        <v>160.0</v>
      </c>
      <c r="JP36" s="19">
        <v>195.0</v>
      </c>
      <c r="JQ36" s="19">
        <v>345.0</v>
      </c>
      <c r="JR36" s="19">
        <v>175.0</v>
      </c>
      <c r="JS36" s="19">
        <v>205.0</v>
      </c>
      <c r="JT36" s="19">
        <v>225.0</v>
      </c>
      <c r="JU36" s="19">
        <v>290.0</v>
      </c>
      <c r="JV36" s="19">
        <v>440.0</v>
      </c>
      <c r="JW36" s="19">
        <v>290.0</v>
      </c>
      <c r="JX36" s="19">
        <v>85.0</v>
      </c>
      <c r="JY36" s="19">
        <v>235.0</v>
      </c>
      <c r="JZ36" s="19">
        <v>495.0</v>
      </c>
      <c r="KA36" s="19">
        <v>345.0</v>
      </c>
      <c r="KB36" s="19">
        <v>150.0</v>
      </c>
      <c r="KC36" s="19">
        <v>170.0</v>
      </c>
      <c r="KD36" s="19">
        <v>230.0</v>
      </c>
      <c r="KE36" s="19">
        <v>205.0</v>
      </c>
      <c r="KF36" s="19">
        <v>170.0</v>
      </c>
      <c r="KG36" s="19">
        <v>215.0</v>
      </c>
      <c r="KH36" s="19">
        <v>195.0</v>
      </c>
      <c r="KI36" s="19">
        <v>220.0</v>
      </c>
      <c r="KJ36" s="19">
        <v>225.0</v>
      </c>
      <c r="KK36" s="19">
        <v>335.0</v>
      </c>
      <c r="KL36" s="19">
        <v>335.0</v>
      </c>
      <c r="KM36" s="19">
        <v>115.0</v>
      </c>
      <c r="KN36" s="19">
        <v>230.0</v>
      </c>
      <c r="KO36" s="19">
        <v>295.0</v>
      </c>
      <c r="KP36" s="19">
        <v>80.0</v>
      </c>
      <c r="KQ36" s="19">
        <v>130.0</v>
      </c>
      <c r="KR36" s="19">
        <v>410.0</v>
      </c>
      <c r="KS36" s="19">
        <v>290.0</v>
      </c>
      <c r="KT36" s="19">
        <v>295.0</v>
      </c>
      <c r="KU36" s="19">
        <v>190.0</v>
      </c>
      <c r="KV36" s="19">
        <v>135.0</v>
      </c>
      <c r="KW36" s="19">
        <v>225.0</v>
      </c>
      <c r="KX36" s="19">
        <v>225.0</v>
      </c>
      <c r="KY36" s="19">
        <v>140.0</v>
      </c>
      <c r="KZ36" s="19">
        <v>215.0</v>
      </c>
      <c r="LA36" s="19">
        <v>250.0</v>
      </c>
      <c r="LB36" s="19">
        <v>220.0</v>
      </c>
      <c r="LC36" s="19">
        <v>340.0</v>
      </c>
      <c r="LD36" s="19">
        <v>135.0</v>
      </c>
      <c r="LE36" s="19">
        <v>315.0</v>
      </c>
      <c r="LF36" s="19">
        <v>315.0</v>
      </c>
      <c r="LG36" s="19">
        <v>310.0</v>
      </c>
      <c r="LH36" s="19">
        <v>390.0</v>
      </c>
      <c r="LI36" s="19">
        <v>325.0</v>
      </c>
      <c r="LJ36" s="19">
        <v>135.0</v>
      </c>
      <c r="LK36" s="19">
        <v>165.0</v>
      </c>
      <c r="LL36" s="19">
        <v>440.0</v>
      </c>
      <c r="LM36" s="19">
        <v>215.0</v>
      </c>
      <c r="LN36" s="19">
        <v>270.0</v>
      </c>
      <c r="LO36" s="19">
        <v>130.0</v>
      </c>
      <c r="LP36" s="19">
        <v>280.0</v>
      </c>
      <c r="LQ36" s="19">
        <v>345.0</v>
      </c>
      <c r="LR36" s="19">
        <v>345.0</v>
      </c>
      <c r="LS36" s="19">
        <v>260.0</v>
      </c>
      <c r="LT36" s="19">
        <v>65.0</v>
      </c>
      <c r="LU36" s="19">
        <v>220.0</v>
      </c>
      <c r="LV36" s="19">
        <v>115.0</v>
      </c>
      <c r="LW36" s="19">
        <v>30.0</v>
      </c>
      <c r="LX36" s="19">
        <v>380.0</v>
      </c>
      <c r="LY36" s="19">
        <v>275.0</v>
      </c>
      <c r="LZ36" s="19">
        <v>245.0</v>
      </c>
      <c r="MA36" s="19">
        <v>355.0</v>
      </c>
      <c r="MB36" s="19">
        <v>510.0</v>
      </c>
      <c r="MC36" s="19">
        <v>220.0</v>
      </c>
      <c r="MD36" s="19">
        <v>435.0</v>
      </c>
      <c r="ME36" s="19">
        <v>240.0</v>
      </c>
      <c r="MF36" s="19">
        <v>380.0</v>
      </c>
      <c r="MG36" s="19">
        <v>360.0</v>
      </c>
      <c r="MH36" s="19">
        <v>75.0</v>
      </c>
      <c r="MI36" s="19">
        <v>365.0</v>
      </c>
      <c r="MJ36" s="19">
        <v>265.0</v>
      </c>
      <c r="MK36" s="19">
        <v>275.0</v>
      </c>
      <c r="ML36" s="19">
        <v>165.0</v>
      </c>
      <c r="MM36" s="19">
        <v>365.0</v>
      </c>
      <c r="MN36" s="19">
        <v>370.0</v>
      </c>
      <c r="MO36" s="19">
        <v>240.0</v>
      </c>
      <c r="MP36" s="19">
        <v>305.0</v>
      </c>
      <c r="MQ36" s="19">
        <v>250.0</v>
      </c>
      <c r="MR36" s="19">
        <v>305.0</v>
      </c>
      <c r="MS36" s="19">
        <v>280.0</v>
      </c>
      <c r="MT36" s="19">
        <v>360.0</v>
      </c>
      <c r="MU36" s="19">
        <v>220.0</v>
      </c>
      <c r="MV36" s="19">
        <v>215.0</v>
      </c>
      <c r="MW36" s="19">
        <v>255.0</v>
      </c>
      <c r="MX36" s="19">
        <v>150.0</v>
      </c>
      <c r="MY36" s="19">
        <v>190.0</v>
      </c>
      <c r="MZ36" s="19">
        <v>95.0</v>
      </c>
      <c r="NA36" s="19">
        <v>165.0</v>
      </c>
      <c r="NB36" s="19">
        <v>165.0</v>
      </c>
      <c r="NC36" s="19">
        <v>325.0</v>
      </c>
      <c r="ND36" s="19">
        <v>250.0</v>
      </c>
      <c r="NE36" s="19">
        <v>100.0</v>
      </c>
      <c r="NF36" s="19">
        <v>465.0</v>
      </c>
      <c r="NG36" s="19">
        <v>265.0</v>
      </c>
      <c r="NH36" s="19">
        <v>155.0</v>
      </c>
      <c r="NI36" s="19">
        <v>195.0</v>
      </c>
      <c r="NJ36" s="19">
        <v>445.0</v>
      </c>
      <c r="NK36" s="19">
        <v>440.0</v>
      </c>
      <c r="NL36" s="19">
        <v>460.0</v>
      </c>
      <c r="NM36" s="19">
        <v>180.0</v>
      </c>
      <c r="NN36" s="19">
        <v>140.0</v>
      </c>
      <c r="NO36" s="19">
        <v>165.0</v>
      </c>
      <c r="NP36" s="19">
        <v>240.0</v>
      </c>
      <c r="NQ36" s="19">
        <v>260.0</v>
      </c>
      <c r="NR36" s="19">
        <v>165.0</v>
      </c>
      <c r="NS36" s="19">
        <v>250.0</v>
      </c>
      <c r="NT36" s="19">
        <v>165.0</v>
      </c>
      <c r="NU36" s="19">
        <v>190.0</v>
      </c>
      <c r="NV36" s="19">
        <v>345.0</v>
      </c>
      <c r="NW36" s="19">
        <v>290.0</v>
      </c>
      <c r="NX36" s="19">
        <v>290.0</v>
      </c>
      <c r="NY36" s="19">
        <v>135.0</v>
      </c>
      <c r="NZ36" s="19">
        <v>280.0</v>
      </c>
      <c r="OA36" s="19">
        <v>325.0</v>
      </c>
      <c r="OB36" s="19">
        <v>460.0</v>
      </c>
      <c r="OC36" s="19">
        <v>260.0</v>
      </c>
      <c r="OD36" s="19">
        <v>325.0</v>
      </c>
      <c r="OE36" s="19">
        <v>190.0</v>
      </c>
      <c r="OF36" s="19">
        <v>320.0</v>
      </c>
      <c r="OG36" s="19">
        <v>370.0</v>
      </c>
      <c r="OH36" s="19">
        <v>180.0</v>
      </c>
      <c r="OI36" s="19">
        <v>315.0</v>
      </c>
      <c r="OJ36" s="19">
        <v>240.0</v>
      </c>
      <c r="OK36" s="19">
        <v>150.0</v>
      </c>
      <c r="OL36" s="19">
        <v>245.0</v>
      </c>
      <c r="OM36" s="19">
        <v>160.0</v>
      </c>
      <c r="ON36" s="19">
        <v>165.0</v>
      </c>
      <c r="OO36" s="19">
        <v>305.0</v>
      </c>
      <c r="OP36" s="19">
        <v>110.0</v>
      </c>
      <c r="OQ36" s="19">
        <v>170.0</v>
      </c>
      <c r="OR36" s="19">
        <v>220.0</v>
      </c>
      <c r="OS36" s="19">
        <v>400.0</v>
      </c>
      <c r="OT36" s="19">
        <v>295.0</v>
      </c>
      <c r="OU36" s="19">
        <v>375.0</v>
      </c>
      <c r="OV36" s="19">
        <v>335.0</v>
      </c>
      <c r="OW36" s="19">
        <v>210.0</v>
      </c>
      <c r="OX36" s="19">
        <v>200.0</v>
      </c>
      <c r="OY36" s="19">
        <v>420.0</v>
      </c>
      <c r="OZ36" s="19">
        <v>205.0</v>
      </c>
      <c r="PA36" s="19">
        <v>380.0</v>
      </c>
      <c r="PB36" s="19">
        <v>255.0</v>
      </c>
      <c r="PC36" s="19">
        <v>210.0</v>
      </c>
      <c r="PD36" s="19">
        <v>265.0</v>
      </c>
      <c r="PE36" s="19">
        <v>330.0</v>
      </c>
      <c r="PF36" s="19">
        <v>75.0</v>
      </c>
      <c r="PG36" s="19">
        <v>170.0</v>
      </c>
      <c r="PH36" s="19">
        <v>170.0</v>
      </c>
      <c r="PI36" s="19">
        <v>240.0</v>
      </c>
      <c r="PJ36" s="19">
        <v>215.0</v>
      </c>
      <c r="PK36" s="19">
        <v>225.0</v>
      </c>
      <c r="PL36" s="19">
        <v>480.0</v>
      </c>
      <c r="PM36" s="19">
        <v>150.0</v>
      </c>
      <c r="PN36" s="19">
        <v>340.0</v>
      </c>
      <c r="PO36" s="19">
        <v>310.0</v>
      </c>
      <c r="PP36" s="19">
        <v>260.0</v>
      </c>
      <c r="PQ36" s="19">
        <v>320.0</v>
      </c>
      <c r="PR36" s="19">
        <v>140.0</v>
      </c>
      <c r="PS36" s="19">
        <v>375.0</v>
      </c>
      <c r="PT36" s="19">
        <v>180.0</v>
      </c>
      <c r="PU36" s="19">
        <v>365.0</v>
      </c>
      <c r="PV36" s="19">
        <v>310.0</v>
      </c>
      <c r="PW36" s="19">
        <v>440.0</v>
      </c>
      <c r="PX36" s="19">
        <v>110.0</v>
      </c>
      <c r="PY36" s="19">
        <v>135.0</v>
      </c>
      <c r="PZ36" s="19">
        <v>370.0</v>
      </c>
      <c r="QA36" s="19">
        <v>275.0</v>
      </c>
      <c r="QB36" s="19">
        <v>200.0</v>
      </c>
      <c r="QC36" s="19">
        <v>85.0</v>
      </c>
      <c r="QD36" s="19">
        <v>310.0</v>
      </c>
      <c r="QE36" s="19">
        <v>245.0</v>
      </c>
      <c r="QF36" s="19">
        <v>260.0</v>
      </c>
      <c r="QG36" s="19">
        <v>295.0</v>
      </c>
      <c r="QH36" s="19">
        <v>200.0</v>
      </c>
      <c r="QI36" s="19">
        <v>265.0</v>
      </c>
      <c r="QJ36" s="19">
        <v>110.0</v>
      </c>
      <c r="QK36" s="19">
        <v>380.0</v>
      </c>
      <c r="QL36" s="19">
        <v>325.0</v>
      </c>
      <c r="QM36" s="19">
        <v>210.0</v>
      </c>
      <c r="QN36" s="19">
        <v>360.0</v>
      </c>
      <c r="QO36" s="19">
        <v>225.0</v>
      </c>
      <c r="QP36" s="19">
        <v>320.0</v>
      </c>
      <c r="QQ36" s="19">
        <v>220.0</v>
      </c>
      <c r="QR36" s="19">
        <v>575.0</v>
      </c>
      <c r="QS36" s="19">
        <v>150.0</v>
      </c>
      <c r="QT36" s="19">
        <v>160.0</v>
      </c>
      <c r="QU36" s="19">
        <v>100.0</v>
      </c>
      <c r="QV36" s="19">
        <v>230.0</v>
      </c>
      <c r="QW36" s="19">
        <v>345.0</v>
      </c>
      <c r="QX36" s="19">
        <v>315.0</v>
      </c>
      <c r="QY36" s="19">
        <v>280.0</v>
      </c>
      <c r="QZ36" s="19">
        <v>375.0</v>
      </c>
      <c r="RA36" s="19">
        <v>90.0</v>
      </c>
      <c r="RB36" s="19">
        <v>80.0</v>
      </c>
      <c r="RC36" s="19">
        <v>340.0</v>
      </c>
      <c r="RD36" s="19">
        <v>485.0</v>
      </c>
      <c r="RE36" s="19">
        <v>330.0</v>
      </c>
      <c r="RF36" s="19">
        <v>250.0</v>
      </c>
      <c r="RG36" s="19">
        <v>120.0</v>
      </c>
      <c r="RH36" s="19">
        <v>220.0</v>
      </c>
      <c r="RI36" s="19">
        <v>205.0</v>
      </c>
      <c r="RJ36" s="19">
        <v>325.0</v>
      </c>
      <c r="RK36" s="19">
        <v>200.0</v>
      </c>
      <c r="RL36" s="19">
        <v>495.0</v>
      </c>
      <c r="RM36" s="19">
        <v>230.0</v>
      </c>
      <c r="RN36" s="19">
        <v>340.0</v>
      </c>
      <c r="RO36" s="19">
        <v>450.0</v>
      </c>
      <c r="RP36" s="19">
        <v>350.0</v>
      </c>
      <c r="RQ36" s="19">
        <v>110.0</v>
      </c>
      <c r="RR36" s="19">
        <v>200.0</v>
      </c>
      <c r="RS36" s="19">
        <v>130.0</v>
      </c>
      <c r="RT36" s="19">
        <v>420.0</v>
      </c>
      <c r="RU36" s="19">
        <v>300.0</v>
      </c>
      <c r="RV36" s="19">
        <v>175.0</v>
      </c>
      <c r="RW36" s="19">
        <v>180.0</v>
      </c>
      <c r="RX36" s="19">
        <v>350.0</v>
      </c>
      <c r="RY36" s="19">
        <v>210.0</v>
      </c>
      <c r="RZ36" s="19">
        <v>285.0</v>
      </c>
      <c r="SA36" s="19">
        <v>220.0</v>
      </c>
      <c r="SB36" s="19">
        <v>205.0</v>
      </c>
      <c r="SC36" s="19">
        <v>365.0</v>
      </c>
      <c r="SD36" s="19">
        <v>135.0</v>
      </c>
      <c r="SE36" s="19">
        <v>260.0</v>
      </c>
      <c r="SF36" s="19">
        <v>255.0</v>
      </c>
      <c r="SG36" s="19">
        <v>270.0</v>
      </c>
      <c r="SH36" s="19">
        <v>320.0</v>
      </c>
      <c r="SI36" s="19">
        <v>165.0</v>
      </c>
      <c r="SJ36" s="19">
        <v>155.0</v>
      </c>
      <c r="SK36" s="19">
        <v>300.0</v>
      </c>
      <c r="SL36" s="19">
        <v>215.0</v>
      </c>
      <c r="SM36" s="19">
        <v>230.0</v>
      </c>
      <c r="SN36" s="19">
        <v>260.0</v>
      </c>
      <c r="SO36" s="19">
        <v>285.0</v>
      </c>
      <c r="SP36" s="19">
        <v>415.0</v>
      </c>
      <c r="SQ36" s="19">
        <v>360.0</v>
      </c>
      <c r="SR36" s="19">
        <v>150.0</v>
      </c>
      <c r="SS36" s="19">
        <v>265.0</v>
      </c>
      <c r="ST36" s="19">
        <v>300.0</v>
      </c>
      <c r="SU36" s="19">
        <v>185.0</v>
      </c>
      <c r="SV36" s="19">
        <v>290.0</v>
      </c>
      <c r="SW36" s="19">
        <v>180.0</v>
      </c>
      <c r="SX36" s="19">
        <v>160.0</v>
      </c>
      <c r="SY36" s="19">
        <v>245.0</v>
      </c>
      <c r="SZ36" s="19">
        <v>455.0</v>
      </c>
      <c r="TA36" s="19">
        <v>290.0</v>
      </c>
      <c r="TB36" s="19">
        <v>55.0</v>
      </c>
      <c r="TC36" s="19">
        <v>230.0</v>
      </c>
      <c r="TD36" s="19">
        <v>235.0</v>
      </c>
      <c r="TE36" s="19">
        <v>435.0</v>
      </c>
      <c r="TF36" s="19">
        <v>185.0</v>
      </c>
      <c r="TG36" s="19">
        <v>345.0</v>
      </c>
      <c r="TH36" s="19">
        <v>160.0</v>
      </c>
      <c r="TI36" s="19">
        <v>230.0</v>
      </c>
      <c r="TJ36" s="19">
        <v>195.0</v>
      </c>
      <c r="TK36" s="19">
        <v>190.0</v>
      </c>
      <c r="TL36" s="19">
        <v>345.0</v>
      </c>
      <c r="TM36" s="19">
        <v>135.0</v>
      </c>
      <c r="TN36" s="19">
        <v>235.0</v>
      </c>
      <c r="TO36" s="19">
        <v>190.0</v>
      </c>
      <c r="TP36" s="19">
        <v>330.0</v>
      </c>
      <c r="TQ36" s="19">
        <v>50.0</v>
      </c>
      <c r="TR36" s="19">
        <v>90.0</v>
      </c>
      <c r="TS36" s="19">
        <v>185.0</v>
      </c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</row>
    <row r="37">
      <c r="A37" s="19" t="s">
        <v>35</v>
      </c>
      <c r="B37" s="19">
        <v>765.0</v>
      </c>
      <c r="C37" s="19">
        <v>775.0</v>
      </c>
      <c r="D37" s="19">
        <v>510.0</v>
      </c>
      <c r="E37" s="19">
        <v>795.0</v>
      </c>
      <c r="F37" s="19">
        <v>540.0</v>
      </c>
      <c r="G37" s="19">
        <v>175.0</v>
      </c>
      <c r="H37" s="19">
        <v>900.0</v>
      </c>
      <c r="I37" s="19">
        <v>675.0</v>
      </c>
      <c r="J37" s="19">
        <v>550.0</v>
      </c>
      <c r="K37" s="19">
        <v>400.0</v>
      </c>
      <c r="L37" s="19">
        <v>400.0</v>
      </c>
      <c r="M37" s="19">
        <v>465.0</v>
      </c>
      <c r="N37" s="19">
        <v>675.0</v>
      </c>
      <c r="O37" s="19">
        <v>630.0</v>
      </c>
      <c r="P37" s="19">
        <v>800.0</v>
      </c>
      <c r="Q37" s="19">
        <v>345.0</v>
      </c>
      <c r="R37" s="19">
        <v>265.0</v>
      </c>
      <c r="S37" s="19">
        <v>650.0</v>
      </c>
      <c r="T37" s="19">
        <v>940.0</v>
      </c>
      <c r="U37" s="19">
        <v>490.0</v>
      </c>
      <c r="V37" s="19">
        <v>465.0</v>
      </c>
      <c r="W37" s="19">
        <v>780.0</v>
      </c>
      <c r="X37" s="19">
        <v>325.0</v>
      </c>
      <c r="Y37" s="19">
        <v>895.0</v>
      </c>
      <c r="Z37" s="19">
        <v>575.0</v>
      </c>
      <c r="AA37" s="19">
        <v>775.0</v>
      </c>
      <c r="AB37" s="19">
        <v>495.0</v>
      </c>
      <c r="AC37" s="19">
        <v>375.0</v>
      </c>
      <c r="AD37" s="19">
        <v>655.0</v>
      </c>
      <c r="AE37" s="19">
        <v>335.0</v>
      </c>
      <c r="AF37" s="19">
        <v>640.0</v>
      </c>
      <c r="AG37" s="19">
        <v>720.0</v>
      </c>
      <c r="AH37" s="19">
        <v>625.0</v>
      </c>
      <c r="AI37" s="19">
        <v>595.0</v>
      </c>
      <c r="AJ37" s="19">
        <v>730.0</v>
      </c>
      <c r="AK37" s="19">
        <v>905.0</v>
      </c>
      <c r="AL37" s="19">
        <v>950.0</v>
      </c>
      <c r="AM37" s="19">
        <v>665.0</v>
      </c>
      <c r="AN37" s="19">
        <v>360.0</v>
      </c>
      <c r="AO37" s="19">
        <v>510.0</v>
      </c>
      <c r="AP37" s="19">
        <v>705.0</v>
      </c>
      <c r="AQ37" s="19">
        <v>520.0</v>
      </c>
      <c r="AR37" s="19">
        <v>715.0</v>
      </c>
      <c r="AS37" s="19">
        <v>620.0</v>
      </c>
      <c r="AT37" s="19">
        <v>485.0</v>
      </c>
      <c r="AU37" s="19">
        <v>480.0</v>
      </c>
      <c r="AV37" s="19">
        <v>230.0</v>
      </c>
      <c r="AW37" s="19">
        <v>800.0</v>
      </c>
      <c r="AX37" s="19">
        <v>460.0</v>
      </c>
      <c r="AY37" s="19">
        <v>515.0</v>
      </c>
      <c r="AZ37" s="19">
        <v>455.0</v>
      </c>
      <c r="BA37" s="19">
        <v>710.0</v>
      </c>
      <c r="BB37" s="19">
        <v>560.0</v>
      </c>
      <c r="BC37" s="19">
        <v>725.0</v>
      </c>
      <c r="BD37" s="19">
        <v>310.0</v>
      </c>
      <c r="BE37" s="19">
        <v>1165.0</v>
      </c>
      <c r="BF37" s="19">
        <v>310.0</v>
      </c>
      <c r="BG37" s="19">
        <v>775.0</v>
      </c>
      <c r="BH37" s="19">
        <v>255.0</v>
      </c>
      <c r="BI37" s="19">
        <v>595.0</v>
      </c>
      <c r="BJ37" s="19">
        <v>600.0</v>
      </c>
      <c r="BK37" s="19">
        <v>1080.0</v>
      </c>
      <c r="BL37" s="19">
        <v>525.0</v>
      </c>
      <c r="BM37" s="19">
        <v>640.0</v>
      </c>
      <c r="BN37" s="19">
        <v>210.0</v>
      </c>
      <c r="BO37" s="19">
        <v>360.0</v>
      </c>
      <c r="BP37" s="19">
        <v>480.0</v>
      </c>
      <c r="BQ37" s="19">
        <v>385.0</v>
      </c>
      <c r="BR37" s="19">
        <v>725.0</v>
      </c>
      <c r="BS37" s="19">
        <v>390.0</v>
      </c>
      <c r="BT37" s="19">
        <v>1020.0</v>
      </c>
      <c r="BU37" s="19">
        <v>530.0</v>
      </c>
      <c r="BV37" s="19">
        <v>735.0</v>
      </c>
      <c r="BW37" s="19">
        <v>390.0</v>
      </c>
      <c r="BX37" s="19">
        <v>380.0</v>
      </c>
      <c r="BY37" s="19">
        <v>245.0</v>
      </c>
      <c r="BZ37" s="19">
        <v>580.0</v>
      </c>
      <c r="CA37" s="19">
        <v>405.0</v>
      </c>
      <c r="CB37" s="19">
        <v>550.0</v>
      </c>
      <c r="CC37" s="19">
        <v>540.0</v>
      </c>
      <c r="CD37" s="19">
        <v>445.0</v>
      </c>
      <c r="CE37" s="19">
        <v>765.0</v>
      </c>
      <c r="CF37" s="19">
        <v>840.0</v>
      </c>
      <c r="CG37" s="19">
        <v>830.0</v>
      </c>
      <c r="CH37" s="19">
        <v>675.0</v>
      </c>
      <c r="CI37" s="19">
        <v>330.0</v>
      </c>
      <c r="CJ37" s="19">
        <v>765.0</v>
      </c>
      <c r="CK37" s="19">
        <v>760.0</v>
      </c>
      <c r="CL37" s="19">
        <v>350.0</v>
      </c>
      <c r="CM37" s="19">
        <v>870.0</v>
      </c>
      <c r="CN37" s="19">
        <v>520.0</v>
      </c>
      <c r="CO37" s="19">
        <v>620.0</v>
      </c>
      <c r="CP37" s="19">
        <v>380.0</v>
      </c>
      <c r="CQ37" s="19">
        <v>315.0</v>
      </c>
      <c r="CR37" s="19">
        <v>510.0</v>
      </c>
      <c r="CS37" s="19">
        <v>660.0</v>
      </c>
      <c r="CT37" s="19">
        <v>565.0</v>
      </c>
      <c r="CU37" s="19">
        <v>700.0</v>
      </c>
      <c r="CV37" s="19">
        <v>805.0</v>
      </c>
      <c r="CW37" s="19">
        <v>615.0</v>
      </c>
      <c r="CX37" s="19">
        <v>895.0</v>
      </c>
      <c r="CY37" s="19">
        <v>790.0</v>
      </c>
      <c r="CZ37" s="19">
        <v>585.0</v>
      </c>
      <c r="DA37" s="19">
        <v>790.0</v>
      </c>
      <c r="DB37" s="19">
        <v>885.0</v>
      </c>
      <c r="DC37" s="19">
        <v>305.0</v>
      </c>
      <c r="DD37" s="19">
        <v>470.0</v>
      </c>
      <c r="DE37" s="19">
        <v>630.0</v>
      </c>
      <c r="DF37" s="19">
        <v>825.0</v>
      </c>
      <c r="DG37" s="19">
        <v>170.0</v>
      </c>
      <c r="DH37" s="19">
        <v>430.0</v>
      </c>
      <c r="DI37" s="19">
        <v>590.0</v>
      </c>
      <c r="DJ37" s="19">
        <v>555.0</v>
      </c>
      <c r="DK37" s="19">
        <v>485.0</v>
      </c>
      <c r="DL37" s="19">
        <v>850.0</v>
      </c>
      <c r="DM37" s="19">
        <v>795.0</v>
      </c>
      <c r="DN37" s="19">
        <v>705.0</v>
      </c>
      <c r="DO37" s="19">
        <v>555.0</v>
      </c>
      <c r="DP37" s="19">
        <v>845.0</v>
      </c>
      <c r="DQ37" s="19">
        <v>670.0</v>
      </c>
      <c r="DR37" s="19">
        <v>515.0</v>
      </c>
      <c r="DS37" s="19">
        <v>590.0</v>
      </c>
      <c r="DT37" s="19">
        <v>385.0</v>
      </c>
      <c r="DU37" s="19">
        <v>560.0</v>
      </c>
      <c r="DV37" s="19">
        <v>690.0</v>
      </c>
      <c r="DW37" s="19">
        <v>475.0</v>
      </c>
      <c r="DX37" s="19">
        <v>405.0</v>
      </c>
      <c r="DY37" s="19">
        <v>815.0</v>
      </c>
      <c r="DZ37" s="19">
        <v>455.0</v>
      </c>
      <c r="EA37" s="19">
        <v>670.0</v>
      </c>
      <c r="EB37" s="19">
        <v>335.0</v>
      </c>
      <c r="EC37" s="19">
        <v>460.0</v>
      </c>
      <c r="ED37" s="19">
        <v>605.0</v>
      </c>
      <c r="EE37" s="19">
        <v>950.0</v>
      </c>
      <c r="EF37" s="19">
        <v>675.0</v>
      </c>
      <c r="EG37" s="19">
        <v>555.0</v>
      </c>
      <c r="EH37" s="19">
        <v>520.0</v>
      </c>
      <c r="EI37" s="19">
        <v>655.0</v>
      </c>
      <c r="EJ37" s="19">
        <v>565.0</v>
      </c>
      <c r="EK37" s="19">
        <v>430.0</v>
      </c>
      <c r="EL37" s="19">
        <v>435.0</v>
      </c>
      <c r="EM37" s="19">
        <v>395.0</v>
      </c>
      <c r="EN37" s="19">
        <v>550.0</v>
      </c>
      <c r="EO37" s="19">
        <v>360.0</v>
      </c>
      <c r="EP37" s="19">
        <v>350.0</v>
      </c>
      <c r="EQ37" s="19">
        <v>590.0</v>
      </c>
      <c r="ER37" s="19">
        <v>335.0</v>
      </c>
      <c r="ES37" s="19">
        <v>515.0</v>
      </c>
      <c r="ET37" s="19">
        <v>565.0</v>
      </c>
      <c r="EU37" s="19">
        <v>615.0</v>
      </c>
      <c r="EV37" s="19">
        <v>705.0</v>
      </c>
      <c r="EW37" s="19">
        <v>375.0</v>
      </c>
      <c r="EX37" s="19">
        <v>565.0</v>
      </c>
      <c r="EY37" s="19">
        <v>675.0</v>
      </c>
      <c r="EZ37" s="19">
        <v>945.0</v>
      </c>
      <c r="FA37" s="19">
        <v>360.0</v>
      </c>
      <c r="FB37" s="19">
        <v>295.0</v>
      </c>
      <c r="FC37" s="19">
        <v>665.0</v>
      </c>
      <c r="FD37" s="19">
        <v>280.0</v>
      </c>
      <c r="FE37" s="19">
        <v>120.0</v>
      </c>
      <c r="FF37" s="19">
        <v>895.0</v>
      </c>
      <c r="FG37" s="19">
        <v>1070.0</v>
      </c>
      <c r="FH37" s="19">
        <v>730.0</v>
      </c>
      <c r="FI37" s="19">
        <v>660.0</v>
      </c>
      <c r="FJ37" s="19">
        <v>925.0</v>
      </c>
      <c r="FK37" s="19">
        <v>695.0</v>
      </c>
      <c r="FL37" s="19">
        <v>855.0</v>
      </c>
      <c r="FM37" s="19">
        <v>725.0</v>
      </c>
      <c r="FN37" s="19">
        <v>460.0</v>
      </c>
      <c r="FO37" s="19">
        <v>260.0</v>
      </c>
      <c r="FP37" s="19">
        <v>820.0</v>
      </c>
      <c r="FQ37" s="19">
        <v>185.0</v>
      </c>
      <c r="FR37" s="19">
        <v>420.0</v>
      </c>
      <c r="FS37" s="19">
        <v>505.0</v>
      </c>
      <c r="FT37" s="19">
        <v>310.0</v>
      </c>
      <c r="FU37" s="19">
        <v>485.0</v>
      </c>
      <c r="FV37" s="19">
        <v>675.0</v>
      </c>
      <c r="FW37" s="19">
        <v>240.0</v>
      </c>
      <c r="FX37" s="19">
        <v>820.0</v>
      </c>
      <c r="FY37" s="19">
        <v>525.0</v>
      </c>
      <c r="FZ37" s="19">
        <v>740.0</v>
      </c>
      <c r="GA37" s="19">
        <v>400.0</v>
      </c>
      <c r="GB37" s="19">
        <v>405.0</v>
      </c>
      <c r="GC37" s="19">
        <v>580.0</v>
      </c>
      <c r="GD37" s="19">
        <v>725.0</v>
      </c>
      <c r="GE37" s="19">
        <v>680.0</v>
      </c>
      <c r="GF37" s="19">
        <v>460.0</v>
      </c>
      <c r="GG37" s="19">
        <v>645.0</v>
      </c>
      <c r="GH37" s="19">
        <v>565.0</v>
      </c>
      <c r="GI37" s="19">
        <v>390.0</v>
      </c>
      <c r="GJ37" s="19">
        <v>540.0</v>
      </c>
      <c r="GK37" s="19">
        <v>435.0</v>
      </c>
      <c r="GL37" s="19">
        <v>475.0</v>
      </c>
      <c r="GM37" s="19">
        <v>390.0</v>
      </c>
      <c r="GN37" s="19">
        <v>390.0</v>
      </c>
      <c r="GO37" s="19">
        <v>720.0</v>
      </c>
      <c r="GP37" s="19">
        <v>480.0</v>
      </c>
      <c r="GQ37" s="19">
        <v>745.0</v>
      </c>
      <c r="GR37" s="19">
        <v>925.0</v>
      </c>
      <c r="GS37" s="19">
        <v>615.0</v>
      </c>
      <c r="GT37" s="19">
        <v>825.0</v>
      </c>
      <c r="GU37" s="19">
        <v>520.0</v>
      </c>
      <c r="GV37" s="19">
        <v>595.0</v>
      </c>
      <c r="GW37" s="19">
        <v>655.0</v>
      </c>
      <c r="GX37" s="19">
        <v>455.0</v>
      </c>
      <c r="GY37" s="19">
        <v>585.0</v>
      </c>
      <c r="GZ37" s="19">
        <v>765.0</v>
      </c>
      <c r="HA37" s="19">
        <v>1085.0</v>
      </c>
      <c r="HB37" s="19">
        <v>320.0</v>
      </c>
      <c r="HC37" s="19">
        <v>420.0</v>
      </c>
      <c r="HD37" s="19">
        <v>385.0</v>
      </c>
      <c r="HE37" s="19">
        <v>680.0</v>
      </c>
      <c r="HF37" s="19">
        <v>655.0</v>
      </c>
      <c r="HG37" s="19">
        <v>810.0</v>
      </c>
      <c r="HH37" s="19">
        <v>745.0</v>
      </c>
      <c r="HI37" s="19">
        <v>740.0</v>
      </c>
      <c r="HJ37" s="19">
        <v>705.0</v>
      </c>
      <c r="HK37" s="19">
        <v>745.0</v>
      </c>
      <c r="HL37" s="19">
        <v>465.0</v>
      </c>
      <c r="HM37" s="19">
        <v>850.0</v>
      </c>
      <c r="HN37" s="19">
        <v>720.0</v>
      </c>
      <c r="HO37" s="19">
        <v>615.0</v>
      </c>
      <c r="HP37" s="19">
        <v>495.0</v>
      </c>
      <c r="HQ37" s="19">
        <v>630.0</v>
      </c>
      <c r="HR37" s="19">
        <v>235.0</v>
      </c>
      <c r="HS37" s="19">
        <v>270.0</v>
      </c>
      <c r="HT37" s="19">
        <v>555.0</v>
      </c>
      <c r="HU37" s="19">
        <v>705.0</v>
      </c>
      <c r="HV37" s="19">
        <v>605.0</v>
      </c>
      <c r="HW37" s="19">
        <v>465.0</v>
      </c>
      <c r="HX37" s="19">
        <v>645.0</v>
      </c>
      <c r="HY37" s="19">
        <v>705.0</v>
      </c>
      <c r="HZ37" s="19">
        <v>715.0</v>
      </c>
      <c r="IA37" s="19">
        <v>645.0</v>
      </c>
      <c r="IB37" s="19">
        <v>715.0</v>
      </c>
      <c r="IC37" s="19">
        <v>620.0</v>
      </c>
      <c r="ID37" s="19">
        <v>610.0</v>
      </c>
      <c r="IE37" s="19">
        <v>655.0</v>
      </c>
      <c r="IF37" s="19">
        <v>525.0</v>
      </c>
      <c r="IG37" s="19">
        <v>905.0</v>
      </c>
      <c r="IH37" s="19">
        <v>560.0</v>
      </c>
      <c r="II37" s="19">
        <v>435.0</v>
      </c>
      <c r="IJ37" s="19">
        <v>720.0</v>
      </c>
      <c r="IK37" s="19">
        <v>595.0</v>
      </c>
      <c r="IL37" s="19">
        <v>665.0</v>
      </c>
      <c r="IM37" s="19">
        <v>490.0</v>
      </c>
      <c r="IN37" s="19">
        <v>340.0</v>
      </c>
      <c r="IO37" s="19">
        <v>590.0</v>
      </c>
      <c r="IP37" s="19">
        <v>630.0</v>
      </c>
      <c r="IQ37" s="19">
        <v>620.0</v>
      </c>
      <c r="IR37" s="19">
        <v>260.0</v>
      </c>
      <c r="IS37" s="19">
        <v>465.0</v>
      </c>
      <c r="IT37" s="19">
        <v>495.0</v>
      </c>
      <c r="IU37" s="19">
        <v>580.0</v>
      </c>
      <c r="IV37" s="19">
        <v>605.0</v>
      </c>
      <c r="IW37" s="19">
        <v>885.0</v>
      </c>
      <c r="IX37" s="19">
        <v>285.0</v>
      </c>
      <c r="IY37" s="19">
        <v>675.0</v>
      </c>
      <c r="IZ37" s="19">
        <v>615.0</v>
      </c>
      <c r="JA37" s="19">
        <v>570.0</v>
      </c>
      <c r="JB37" s="19">
        <v>125.0</v>
      </c>
      <c r="JC37" s="19">
        <v>625.0</v>
      </c>
      <c r="JD37" s="19">
        <v>600.0</v>
      </c>
      <c r="JE37" s="19">
        <v>615.0</v>
      </c>
      <c r="JF37" s="19">
        <v>835.0</v>
      </c>
      <c r="JG37" s="19">
        <v>505.0</v>
      </c>
      <c r="JH37" s="19">
        <v>660.0</v>
      </c>
      <c r="JI37" s="19">
        <v>750.0</v>
      </c>
      <c r="JJ37" s="19">
        <v>495.0</v>
      </c>
      <c r="JK37" s="19">
        <v>270.0</v>
      </c>
      <c r="JL37" s="19">
        <v>840.0</v>
      </c>
      <c r="JM37" s="19">
        <v>380.0</v>
      </c>
      <c r="JN37" s="19">
        <v>650.0</v>
      </c>
      <c r="JO37" s="19">
        <v>740.0</v>
      </c>
      <c r="JP37" s="19">
        <v>705.0</v>
      </c>
      <c r="JQ37" s="19">
        <v>840.0</v>
      </c>
      <c r="JR37" s="19">
        <v>425.0</v>
      </c>
      <c r="JS37" s="19">
        <v>465.0</v>
      </c>
      <c r="JT37" s="19">
        <v>700.0</v>
      </c>
      <c r="JU37" s="19">
        <v>370.0</v>
      </c>
      <c r="JV37" s="19">
        <v>645.0</v>
      </c>
      <c r="JW37" s="19">
        <v>370.0</v>
      </c>
      <c r="JX37" s="19">
        <v>585.0</v>
      </c>
      <c r="JY37" s="19">
        <v>690.0</v>
      </c>
      <c r="JZ37" s="19">
        <v>660.0</v>
      </c>
      <c r="KA37" s="19">
        <v>750.0</v>
      </c>
      <c r="KB37" s="19">
        <v>530.0</v>
      </c>
      <c r="KC37" s="19">
        <v>680.0</v>
      </c>
      <c r="KD37" s="19">
        <v>630.0</v>
      </c>
      <c r="KE37" s="19">
        <v>400.0</v>
      </c>
      <c r="KF37" s="19">
        <v>595.0</v>
      </c>
      <c r="KG37" s="19">
        <v>545.0</v>
      </c>
      <c r="KH37" s="19">
        <v>610.0</v>
      </c>
      <c r="KI37" s="19">
        <v>385.0</v>
      </c>
      <c r="KJ37" s="19">
        <v>290.0</v>
      </c>
      <c r="KK37" s="19">
        <v>680.0</v>
      </c>
      <c r="KL37" s="19">
        <v>635.0</v>
      </c>
      <c r="KM37" s="19">
        <v>680.0</v>
      </c>
      <c r="KN37" s="19">
        <v>505.0</v>
      </c>
      <c r="KO37" s="19">
        <v>455.0</v>
      </c>
      <c r="KP37" s="19">
        <v>335.0</v>
      </c>
      <c r="KQ37" s="19">
        <v>505.0</v>
      </c>
      <c r="KR37" s="19">
        <v>710.0</v>
      </c>
      <c r="KS37" s="19">
        <v>710.0</v>
      </c>
      <c r="KT37" s="19">
        <v>665.0</v>
      </c>
      <c r="KU37" s="19">
        <v>335.0</v>
      </c>
      <c r="KV37" s="19">
        <v>265.0</v>
      </c>
      <c r="KW37" s="19">
        <v>1155.0</v>
      </c>
      <c r="KX37" s="19">
        <v>1030.0</v>
      </c>
      <c r="KY37" s="19">
        <v>835.0</v>
      </c>
      <c r="KZ37" s="19">
        <v>420.0</v>
      </c>
      <c r="LA37" s="19">
        <v>405.0</v>
      </c>
      <c r="LB37" s="19">
        <v>695.0</v>
      </c>
      <c r="LC37" s="19">
        <v>685.0</v>
      </c>
      <c r="LD37" s="19">
        <v>560.0</v>
      </c>
      <c r="LE37" s="19">
        <v>740.0</v>
      </c>
      <c r="LF37" s="19">
        <v>825.0</v>
      </c>
      <c r="LG37" s="19">
        <v>615.0</v>
      </c>
      <c r="LH37" s="19">
        <v>870.0</v>
      </c>
      <c r="LI37" s="19">
        <v>360.0</v>
      </c>
      <c r="LJ37" s="19">
        <v>475.0</v>
      </c>
      <c r="LK37" s="19">
        <v>460.0</v>
      </c>
      <c r="LL37" s="19">
        <v>810.0</v>
      </c>
      <c r="LM37" s="19">
        <v>680.0</v>
      </c>
      <c r="LN37" s="19">
        <v>845.0</v>
      </c>
      <c r="LO37" s="19">
        <v>360.0</v>
      </c>
      <c r="LP37" s="19">
        <v>1310.0</v>
      </c>
      <c r="LQ37" s="19">
        <v>880.0</v>
      </c>
      <c r="LR37" s="19">
        <v>735.0</v>
      </c>
      <c r="LS37" s="19">
        <v>435.0</v>
      </c>
      <c r="LT37" s="19">
        <v>380.0</v>
      </c>
      <c r="LU37" s="19">
        <v>715.0</v>
      </c>
      <c r="LV37" s="19">
        <v>490.0</v>
      </c>
      <c r="LW37" s="19">
        <v>750.0</v>
      </c>
      <c r="LX37" s="19">
        <v>620.0</v>
      </c>
      <c r="LY37" s="19">
        <v>725.0</v>
      </c>
      <c r="LZ37" s="19">
        <v>530.0</v>
      </c>
      <c r="MA37" s="19">
        <v>1185.0</v>
      </c>
      <c r="MB37" s="19">
        <v>610.0</v>
      </c>
      <c r="MC37" s="19">
        <v>480.0</v>
      </c>
      <c r="MD37" s="19">
        <v>640.0</v>
      </c>
      <c r="ME37" s="19">
        <v>555.0</v>
      </c>
      <c r="MF37" s="19">
        <v>870.0</v>
      </c>
      <c r="MG37" s="19">
        <v>540.0</v>
      </c>
      <c r="MH37" s="19">
        <v>260.0</v>
      </c>
      <c r="MI37" s="19">
        <v>820.0</v>
      </c>
      <c r="MJ37" s="19">
        <v>720.0</v>
      </c>
      <c r="MK37" s="19">
        <v>890.0</v>
      </c>
      <c r="ML37" s="19">
        <v>985.0</v>
      </c>
      <c r="MM37" s="19">
        <v>525.0</v>
      </c>
      <c r="MN37" s="19">
        <v>530.0</v>
      </c>
      <c r="MO37" s="19">
        <v>345.0</v>
      </c>
      <c r="MP37" s="19">
        <v>785.0</v>
      </c>
      <c r="MQ37" s="19">
        <v>895.0</v>
      </c>
      <c r="MR37" s="19">
        <v>600.0</v>
      </c>
      <c r="MS37" s="19">
        <v>450.0</v>
      </c>
      <c r="MT37" s="19">
        <v>680.0</v>
      </c>
      <c r="MU37" s="19">
        <v>525.0</v>
      </c>
      <c r="MV37" s="19">
        <v>555.0</v>
      </c>
      <c r="MW37" s="19">
        <v>585.0</v>
      </c>
      <c r="MX37" s="19">
        <v>480.0</v>
      </c>
      <c r="MY37" s="19">
        <v>590.0</v>
      </c>
      <c r="MZ37" s="19">
        <v>510.0</v>
      </c>
      <c r="NA37" s="19">
        <v>335.0</v>
      </c>
      <c r="NB37" s="19">
        <v>455.0</v>
      </c>
      <c r="NC37" s="19">
        <v>610.0</v>
      </c>
      <c r="ND37" s="19">
        <v>715.0</v>
      </c>
      <c r="NE37" s="19">
        <v>1070.0</v>
      </c>
      <c r="NF37" s="19">
        <v>755.0</v>
      </c>
      <c r="NG37" s="19">
        <v>595.0</v>
      </c>
      <c r="NH37" s="19">
        <v>585.0</v>
      </c>
      <c r="NI37" s="19">
        <v>575.0</v>
      </c>
      <c r="NJ37" s="19">
        <v>745.0</v>
      </c>
      <c r="NK37" s="19">
        <v>505.0</v>
      </c>
      <c r="NL37" s="19">
        <v>735.0</v>
      </c>
      <c r="NM37" s="19">
        <v>640.0</v>
      </c>
      <c r="NN37" s="19">
        <v>780.0</v>
      </c>
      <c r="NO37" s="19">
        <v>500.0</v>
      </c>
      <c r="NP37" s="19">
        <v>885.0</v>
      </c>
      <c r="NQ37" s="19">
        <v>450.0</v>
      </c>
      <c r="NR37" s="19">
        <v>675.0</v>
      </c>
      <c r="NS37" s="19">
        <v>560.0</v>
      </c>
      <c r="NT37" s="19">
        <v>940.0</v>
      </c>
      <c r="NU37" s="19">
        <v>475.0</v>
      </c>
      <c r="NV37" s="19">
        <v>900.0</v>
      </c>
      <c r="NW37" s="19">
        <v>615.0</v>
      </c>
      <c r="NX37" s="19">
        <v>775.0</v>
      </c>
      <c r="NY37" s="19">
        <v>595.0</v>
      </c>
      <c r="NZ37" s="19">
        <v>695.0</v>
      </c>
      <c r="OA37" s="19">
        <v>540.0</v>
      </c>
      <c r="OB37" s="19">
        <v>685.0</v>
      </c>
      <c r="OC37" s="19">
        <v>790.0</v>
      </c>
      <c r="OD37" s="19">
        <v>460.0</v>
      </c>
      <c r="OE37" s="19">
        <v>705.0</v>
      </c>
      <c r="OF37" s="19">
        <v>520.0</v>
      </c>
      <c r="OG37" s="19">
        <v>425.0</v>
      </c>
      <c r="OH37" s="19">
        <v>570.0</v>
      </c>
      <c r="OI37" s="19">
        <v>630.0</v>
      </c>
      <c r="OJ37" s="19">
        <v>445.0</v>
      </c>
      <c r="OK37" s="19">
        <v>245.0</v>
      </c>
      <c r="OL37" s="19">
        <v>535.0</v>
      </c>
      <c r="OM37" s="19">
        <v>655.0</v>
      </c>
      <c r="ON37" s="19">
        <v>470.0</v>
      </c>
      <c r="OO37" s="19">
        <v>515.0</v>
      </c>
      <c r="OP37" s="19">
        <v>390.0</v>
      </c>
      <c r="OQ37" s="19">
        <v>490.0</v>
      </c>
      <c r="OR37" s="19">
        <v>485.0</v>
      </c>
      <c r="OS37" s="19">
        <v>525.0</v>
      </c>
      <c r="OT37" s="19">
        <v>890.0</v>
      </c>
      <c r="OU37" s="19">
        <v>740.0</v>
      </c>
      <c r="OV37" s="19">
        <v>1100.0</v>
      </c>
      <c r="OW37" s="19">
        <v>675.0</v>
      </c>
      <c r="OX37" s="19">
        <v>680.0</v>
      </c>
      <c r="OY37" s="19">
        <v>1140.0</v>
      </c>
      <c r="OZ37" s="19">
        <v>415.0</v>
      </c>
      <c r="PA37" s="19">
        <v>505.0</v>
      </c>
      <c r="PB37" s="19">
        <v>595.0</v>
      </c>
      <c r="PC37" s="19">
        <v>435.0</v>
      </c>
      <c r="PD37" s="19">
        <v>640.0</v>
      </c>
      <c r="PE37" s="19">
        <v>410.0</v>
      </c>
      <c r="PF37" s="19">
        <v>405.0</v>
      </c>
      <c r="PG37" s="19">
        <v>675.0</v>
      </c>
      <c r="PH37" s="19">
        <v>870.0</v>
      </c>
      <c r="PI37" s="19">
        <v>740.0</v>
      </c>
      <c r="PJ37" s="19">
        <v>840.0</v>
      </c>
      <c r="PK37" s="19">
        <v>550.0</v>
      </c>
      <c r="PL37" s="19">
        <v>1050.0</v>
      </c>
      <c r="PM37" s="19">
        <v>560.0</v>
      </c>
      <c r="PN37" s="19">
        <v>620.0</v>
      </c>
      <c r="PO37" s="19">
        <v>530.0</v>
      </c>
      <c r="PP37" s="19">
        <v>535.0</v>
      </c>
      <c r="PQ37" s="19">
        <v>690.0</v>
      </c>
      <c r="PR37" s="19">
        <v>370.0</v>
      </c>
      <c r="PS37" s="19">
        <v>665.0</v>
      </c>
      <c r="PT37" s="19">
        <v>545.0</v>
      </c>
      <c r="PU37" s="19">
        <v>815.0</v>
      </c>
      <c r="PV37" s="19">
        <v>665.0</v>
      </c>
      <c r="PW37" s="19">
        <v>870.0</v>
      </c>
      <c r="PX37" s="19">
        <v>435.0</v>
      </c>
      <c r="PY37" s="19">
        <v>585.0</v>
      </c>
      <c r="PZ37" s="19">
        <v>780.0</v>
      </c>
      <c r="QA37" s="19">
        <v>625.0</v>
      </c>
      <c r="QB37" s="19">
        <v>735.0</v>
      </c>
      <c r="QC37" s="19">
        <v>330.0</v>
      </c>
      <c r="QD37" s="19">
        <v>630.0</v>
      </c>
      <c r="QE37" s="19">
        <v>615.0</v>
      </c>
      <c r="QF37" s="19">
        <v>455.0</v>
      </c>
      <c r="QG37" s="19">
        <v>675.0</v>
      </c>
      <c r="QH37" s="19">
        <v>500.0</v>
      </c>
      <c r="QI37" s="19">
        <v>615.0</v>
      </c>
      <c r="QJ37" s="19">
        <v>945.0</v>
      </c>
      <c r="QK37" s="19">
        <v>700.0</v>
      </c>
      <c r="QL37" s="19">
        <v>505.0</v>
      </c>
      <c r="QM37" s="19">
        <v>690.0</v>
      </c>
      <c r="QN37" s="19">
        <v>615.0</v>
      </c>
      <c r="QO37" s="19">
        <v>570.0</v>
      </c>
      <c r="QP37" s="19">
        <v>440.0</v>
      </c>
      <c r="QQ37" s="19">
        <v>425.0</v>
      </c>
      <c r="QR37" s="19">
        <v>755.0</v>
      </c>
      <c r="QS37" s="19">
        <v>385.0</v>
      </c>
      <c r="QT37" s="19">
        <v>255.0</v>
      </c>
      <c r="QU37" s="19">
        <v>380.0</v>
      </c>
      <c r="QV37" s="19">
        <v>830.0</v>
      </c>
      <c r="QW37" s="19">
        <v>830.0</v>
      </c>
      <c r="QX37" s="19">
        <v>620.0</v>
      </c>
      <c r="QY37" s="19">
        <v>1025.0</v>
      </c>
      <c r="QZ37" s="19">
        <v>880.0</v>
      </c>
      <c r="RA37" s="19">
        <v>655.0</v>
      </c>
      <c r="RB37" s="19">
        <v>690.0</v>
      </c>
      <c r="RC37" s="19">
        <v>545.0</v>
      </c>
      <c r="RD37" s="19">
        <v>645.0</v>
      </c>
      <c r="RE37" s="19">
        <v>800.0</v>
      </c>
      <c r="RF37" s="19">
        <v>535.0</v>
      </c>
      <c r="RG37" s="19">
        <v>585.0</v>
      </c>
      <c r="RH37" s="19">
        <v>450.0</v>
      </c>
      <c r="RI37" s="19">
        <v>555.0</v>
      </c>
      <c r="RJ37" s="19">
        <v>840.0</v>
      </c>
      <c r="RK37" s="19">
        <v>455.0</v>
      </c>
      <c r="RL37" s="19">
        <v>505.0</v>
      </c>
      <c r="RM37" s="19">
        <v>435.0</v>
      </c>
      <c r="RN37" s="19">
        <v>590.0</v>
      </c>
      <c r="RO37" s="19">
        <v>1025.0</v>
      </c>
      <c r="RP37" s="19">
        <v>590.0</v>
      </c>
      <c r="RQ37" s="19">
        <v>505.0</v>
      </c>
      <c r="RR37" s="19">
        <v>635.0</v>
      </c>
      <c r="RS37" s="19">
        <v>820.0</v>
      </c>
      <c r="RT37" s="19">
        <v>645.0</v>
      </c>
      <c r="RU37" s="19">
        <v>515.0</v>
      </c>
      <c r="RV37" s="19">
        <v>525.0</v>
      </c>
      <c r="RW37" s="19">
        <v>835.0</v>
      </c>
      <c r="RX37" s="19">
        <v>850.0</v>
      </c>
      <c r="RY37" s="19">
        <v>455.0</v>
      </c>
      <c r="RZ37" s="19">
        <v>805.0</v>
      </c>
      <c r="SA37" s="19">
        <v>635.0</v>
      </c>
      <c r="SB37" s="19">
        <v>305.0</v>
      </c>
      <c r="SC37" s="19">
        <v>730.0</v>
      </c>
      <c r="SD37" s="19">
        <v>735.0</v>
      </c>
      <c r="SE37" s="19">
        <v>545.0</v>
      </c>
      <c r="SF37" s="19">
        <v>555.0</v>
      </c>
      <c r="SG37" s="19">
        <v>1055.0</v>
      </c>
      <c r="SH37" s="19">
        <v>950.0</v>
      </c>
      <c r="SI37" s="19">
        <v>420.0</v>
      </c>
      <c r="SJ37" s="19">
        <v>610.0</v>
      </c>
      <c r="SK37" s="19">
        <v>480.0</v>
      </c>
      <c r="SL37" s="19">
        <v>720.0</v>
      </c>
      <c r="SM37" s="19">
        <v>640.0</v>
      </c>
      <c r="SN37" s="19">
        <v>535.0</v>
      </c>
      <c r="SO37" s="19">
        <v>640.0</v>
      </c>
      <c r="SP37" s="19">
        <v>815.0</v>
      </c>
      <c r="SQ37" s="19">
        <v>620.0</v>
      </c>
      <c r="SR37" s="19">
        <v>710.0</v>
      </c>
      <c r="SS37" s="19">
        <v>395.0</v>
      </c>
      <c r="ST37" s="19">
        <v>470.0</v>
      </c>
      <c r="SU37" s="19">
        <v>495.0</v>
      </c>
      <c r="SV37" s="19">
        <v>605.0</v>
      </c>
      <c r="SW37" s="19">
        <v>835.0</v>
      </c>
      <c r="SX37" s="19">
        <v>885.0</v>
      </c>
      <c r="SY37" s="19">
        <v>1055.0</v>
      </c>
      <c r="SZ37" s="19">
        <v>1120.0</v>
      </c>
      <c r="TA37" s="19">
        <v>950.0</v>
      </c>
      <c r="TB37" s="19">
        <v>450.0</v>
      </c>
      <c r="TC37" s="19">
        <v>655.0</v>
      </c>
      <c r="TD37" s="19">
        <v>755.0</v>
      </c>
      <c r="TE37" s="19">
        <v>795.0</v>
      </c>
      <c r="TF37" s="19">
        <v>665.0</v>
      </c>
      <c r="TG37" s="19">
        <v>695.0</v>
      </c>
      <c r="TH37" s="19">
        <v>355.0</v>
      </c>
      <c r="TI37" s="19">
        <v>410.0</v>
      </c>
      <c r="TJ37" s="19">
        <v>860.0</v>
      </c>
      <c r="TK37" s="19">
        <v>325.0</v>
      </c>
      <c r="TL37" s="19">
        <v>385.0</v>
      </c>
      <c r="TM37" s="19">
        <v>695.0</v>
      </c>
      <c r="TN37" s="19">
        <v>525.0</v>
      </c>
      <c r="TO37" s="19">
        <v>365.0</v>
      </c>
      <c r="TP37" s="19">
        <v>495.0</v>
      </c>
      <c r="TQ37" s="19">
        <v>615.0</v>
      </c>
      <c r="TR37" s="19">
        <v>325.0</v>
      </c>
      <c r="TS37" s="19">
        <v>700.0</v>
      </c>
      <c r="TT37" s="19"/>
      <c r="TU37" s="19"/>
      <c r="TV37" s="19"/>
      <c r="TW37" s="19"/>
      <c r="TX37" s="19"/>
      <c r="TY37" s="19"/>
      <c r="TZ37" s="19"/>
      <c r="UA37" s="19"/>
      <c r="UB37" s="19"/>
      <c r="UC37" s="19"/>
      <c r="UD37" s="19"/>
      <c r="UE37" s="19"/>
      <c r="UF37" s="19"/>
      <c r="UG37" s="19"/>
      <c r="UH37" s="19"/>
      <c r="UI37" s="19"/>
      <c r="UJ37" s="19"/>
      <c r="UK37" s="19"/>
      <c r="UL37" s="19"/>
      <c r="UM37" s="19"/>
      <c r="UN37" s="19"/>
      <c r="UO37" s="19"/>
      <c r="UP37" s="19"/>
      <c r="UQ37" s="19"/>
      <c r="UR37" s="19"/>
      <c r="US37" s="19"/>
      <c r="UT37" s="19"/>
      <c r="UU37" s="19"/>
      <c r="UV37" s="19"/>
      <c r="UW37" s="19"/>
      <c r="UX37" s="19"/>
      <c r="UY37" s="19"/>
      <c r="UZ37" s="19"/>
      <c r="VA37" s="19"/>
      <c r="VB37" s="19"/>
      <c r="VC37" s="19"/>
      <c r="VD37" s="19"/>
      <c r="VE37" s="19"/>
      <c r="VF37" s="19"/>
      <c r="VG37" s="19"/>
      <c r="VH37" s="19"/>
      <c r="VI37" s="19"/>
      <c r="VJ37" s="19"/>
      <c r="VK37" s="19"/>
      <c r="VL37" s="19"/>
      <c r="VM37" s="19"/>
      <c r="VN37" s="19"/>
      <c r="VO37" s="19"/>
      <c r="VP37" s="19"/>
      <c r="VQ37" s="19"/>
      <c r="VR37" s="19"/>
      <c r="VS37" s="19"/>
      <c r="VT37" s="19"/>
      <c r="VU37" s="19"/>
      <c r="VV37" s="19"/>
      <c r="VW37" s="19"/>
      <c r="VX37" s="19"/>
      <c r="VY37" s="19"/>
      <c r="VZ37" s="19"/>
      <c r="WA37" s="19"/>
      <c r="WB37" s="19"/>
      <c r="WC37" s="19"/>
      <c r="WD37" s="19"/>
      <c r="WE37" s="19"/>
      <c r="WF37" s="19"/>
      <c r="WG37" s="19"/>
      <c r="WH37" s="19"/>
      <c r="WI37" s="19"/>
      <c r="WJ37" s="19"/>
      <c r="WK37" s="19"/>
      <c r="WL37" s="19"/>
      <c r="WM37" s="19"/>
      <c r="WN37" s="19"/>
      <c r="WO37" s="19"/>
      <c r="WP37" s="19"/>
      <c r="WQ37" s="19"/>
      <c r="WR37" s="19"/>
      <c r="WS37" s="19"/>
      <c r="WT37" s="19"/>
      <c r="WU37" s="19"/>
      <c r="WV37" s="19"/>
      <c r="WW37" s="19"/>
      <c r="WX37" s="19"/>
      <c r="WY37" s="19"/>
      <c r="WZ37" s="19"/>
      <c r="XA37" s="19"/>
      <c r="XB37" s="19"/>
      <c r="XC37" s="19"/>
      <c r="XD37" s="19"/>
      <c r="XE37" s="19"/>
      <c r="XF37" s="19"/>
      <c r="XG37" s="19"/>
      <c r="XH37" s="19"/>
      <c r="XI37" s="19"/>
      <c r="XJ37" s="19"/>
      <c r="XK37" s="19"/>
      <c r="XL37" s="19"/>
      <c r="XM37" s="19"/>
      <c r="XN37" s="19"/>
      <c r="XO37" s="19"/>
      <c r="XP37" s="19"/>
      <c r="XQ37" s="19"/>
      <c r="XR37" s="19"/>
      <c r="XS37" s="19"/>
      <c r="XT37" s="19"/>
      <c r="XU37" s="19"/>
      <c r="XV37" s="19"/>
      <c r="XW37" s="19"/>
      <c r="XX37" s="19"/>
      <c r="XY37" s="19"/>
      <c r="XZ37" s="19"/>
      <c r="YA37" s="19"/>
      <c r="YB37" s="19"/>
      <c r="YC37" s="19"/>
      <c r="YD37" s="19"/>
      <c r="YE37" s="19"/>
      <c r="YF37" s="19"/>
      <c r="YG37" s="19"/>
      <c r="YH37" s="19"/>
      <c r="YI37" s="19"/>
      <c r="YJ37" s="19"/>
      <c r="YK37" s="19"/>
      <c r="YL37" s="19"/>
      <c r="YM37" s="19"/>
      <c r="YN37" s="19"/>
      <c r="YO37" s="19"/>
      <c r="YP37" s="19"/>
      <c r="YQ37" s="19"/>
      <c r="YR37" s="19"/>
      <c r="YS37" s="19"/>
      <c r="YT37" s="19"/>
      <c r="YU37" s="19"/>
      <c r="YV37" s="19"/>
      <c r="YW37" s="19"/>
      <c r="YX37" s="19"/>
      <c r="YY37" s="19"/>
      <c r="YZ37" s="19"/>
      <c r="ZA37" s="19"/>
      <c r="ZB37" s="19"/>
      <c r="ZC37" s="19"/>
      <c r="ZD37" s="19"/>
      <c r="ZE37" s="19"/>
      <c r="ZF37" s="19"/>
      <c r="ZG37" s="19"/>
      <c r="ZH37" s="19"/>
      <c r="ZI37" s="19"/>
      <c r="ZJ37" s="19"/>
      <c r="ZK37" s="19"/>
      <c r="ZL37" s="19"/>
      <c r="ZM37" s="19"/>
      <c r="ZN37" s="19"/>
      <c r="ZO37" s="19"/>
      <c r="ZP37" s="19"/>
      <c r="ZQ37" s="19"/>
      <c r="ZR37" s="19"/>
      <c r="ZS37" s="19"/>
      <c r="ZT37" s="19"/>
      <c r="ZU37" s="19"/>
      <c r="ZV37" s="19"/>
      <c r="ZW37" s="19"/>
      <c r="ZX37" s="19"/>
      <c r="ZY37" s="19"/>
      <c r="ZZ37" s="19"/>
      <c r="AAA37" s="19"/>
      <c r="AAB37" s="19"/>
      <c r="AAC37" s="19"/>
      <c r="AAD37" s="19"/>
      <c r="AAE37" s="19"/>
      <c r="AAF37" s="19"/>
      <c r="AAG37" s="19"/>
      <c r="AAH37" s="19"/>
      <c r="AAI37" s="19"/>
      <c r="AAJ37" s="19"/>
      <c r="AAK37" s="19"/>
      <c r="AAL37" s="19"/>
      <c r="AAM37" s="19"/>
      <c r="AAN37" s="19"/>
      <c r="AAO37" s="19"/>
      <c r="AAP37" s="19"/>
      <c r="AAQ37" s="19"/>
      <c r="AAR37" s="19"/>
      <c r="AAS37" s="19"/>
      <c r="AAT37" s="19"/>
      <c r="AAU37" s="19"/>
      <c r="AAV37" s="19"/>
      <c r="AAW37" s="19"/>
      <c r="AAX37" s="19"/>
      <c r="AAY37" s="19"/>
      <c r="AAZ37" s="19"/>
      <c r="ABA37" s="19"/>
      <c r="ABB37" s="19"/>
      <c r="ABC37" s="19"/>
      <c r="ABD37" s="19"/>
      <c r="ABE37" s="19"/>
      <c r="ABF37" s="19"/>
      <c r="ABG37" s="19"/>
      <c r="ABH37" s="19"/>
      <c r="ABI37" s="19"/>
      <c r="ABJ37" s="19"/>
      <c r="ABK37" s="19"/>
      <c r="ABL37" s="19"/>
      <c r="ABM37" s="19"/>
      <c r="ABN37" s="19"/>
      <c r="ABO37" s="19"/>
      <c r="ABP37" s="19"/>
      <c r="ABQ37" s="19"/>
      <c r="ABR37" s="19"/>
      <c r="ABS37" s="19"/>
      <c r="ABT37" s="19"/>
      <c r="ABU37" s="19"/>
      <c r="ABV37" s="19"/>
      <c r="ABW37" s="19"/>
      <c r="ABX37" s="19"/>
      <c r="ABY37" s="19"/>
      <c r="ABZ37" s="19"/>
      <c r="ACA37" s="19"/>
      <c r="ACB37" s="19"/>
      <c r="ACC37" s="19"/>
      <c r="ACD37" s="19"/>
      <c r="ACE37" s="19"/>
      <c r="ACF37" s="19"/>
      <c r="ACG37" s="19"/>
      <c r="ACH37" s="19"/>
      <c r="ACI37" s="19"/>
      <c r="ACJ37" s="19"/>
      <c r="ACK37" s="19"/>
      <c r="ACL37" s="19"/>
      <c r="ACM37" s="19"/>
      <c r="ACN37" s="19"/>
      <c r="ACO37" s="19"/>
      <c r="ACP37" s="19"/>
      <c r="ACQ37" s="19"/>
      <c r="ACR37" s="19"/>
      <c r="ACS37" s="19"/>
      <c r="ACT37" s="19"/>
      <c r="ACU37" s="19"/>
      <c r="ACV37" s="19"/>
      <c r="ACW37" s="19"/>
      <c r="ACX37" s="19"/>
      <c r="ACY37" s="19"/>
      <c r="ACZ37" s="19"/>
      <c r="ADA37" s="19"/>
      <c r="ADB37" s="19"/>
      <c r="ADC37" s="19"/>
      <c r="ADD37" s="19"/>
      <c r="ADE37" s="19"/>
      <c r="ADF37" s="19"/>
      <c r="ADG37" s="19"/>
      <c r="ADH37" s="19"/>
      <c r="ADI37" s="19"/>
      <c r="ADJ37" s="19"/>
      <c r="ADK37" s="19"/>
      <c r="ADL37" s="19"/>
      <c r="ADM37" s="19"/>
      <c r="ADN37" s="19"/>
      <c r="ADO37" s="19"/>
      <c r="ADP37" s="19"/>
      <c r="ADQ37" s="19"/>
      <c r="ADR37" s="19"/>
      <c r="ADS37" s="19"/>
      <c r="ADT37" s="19"/>
      <c r="ADU37" s="19"/>
      <c r="ADV37" s="19"/>
      <c r="ADW37" s="19"/>
      <c r="ADX37" s="19"/>
      <c r="ADY37" s="19"/>
      <c r="ADZ37" s="19"/>
      <c r="AEA37" s="19"/>
      <c r="AEB37" s="19"/>
      <c r="AEC37" s="19"/>
      <c r="AED37" s="19"/>
      <c r="AEE37" s="19"/>
      <c r="AEF37" s="19"/>
      <c r="AEG37" s="19"/>
      <c r="AEH37" s="19"/>
      <c r="AEI37" s="19"/>
      <c r="AEJ37" s="19"/>
      <c r="AEK37" s="19"/>
      <c r="AEL37" s="19"/>
      <c r="AEM37" s="19"/>
      <c r="AEN37" s="19"/>
      <c r="AEO37" s="19"/>
      <c r="AEP37" s="19"/>
      <c r="AEQ37" s="19"/>
      <c r="AER37" s="19"/>
      <c r="AES37" s="19"/>
      <c r="AET37" s="19"/>
      <c r="AEU37" s="19"/>
      <c r="AEV37" s="19"/>
      <c r="AEW37" s="19"/>
      <c r="AEX37" s="19"/>
      <c r="AEY37" s="19"/>
      <c r="AEZ37" s="19"/>
      <c r="AFA37" s="19"/>
      <c r="AFB37" s="19"/>
      <c r="AFC37" s="19"/>
      <c r="AFD37" s="19"/>
      <c r="AFE37" s="19"/>
      <c r="AFF37" s="19"/>
      <c r="AFG37" s="19"/>
      <c r="AFH37" s="19"/>
      <c r="AFI37" s="19"/>
      <c r="AFJ37" s="19"/>
      <c r="AFK37" s="19"/>
      <c r="AFL37" s="19"/>
      <c r="AFM37" s="19"/>
      <c r="AFN37" s="19"/>
      <c r="AFO37" s="19"/>
      <c r="AFP37" s="19"/>
      <c r="AFQ37" s="19"/>
      <c r="AFR37" s="19"/>
      <c r="AFS37" s="19"/>
      <c r="AFT37" s="19"/>
      <c r="AFU37" s="19"/>
      <c r="AFV37" s="19"/>
      <c r="AFW37" s="19"/>
      <c r="AFX37" s="19"/>
      <c r="AFY37" s="19"/>
      <c r="AFZ37" s="19"/>
      <c r="AGA37" s="19"/>
      <c r="AGB37" s="19"/>
      <c r="AGC37" s="19"/>
      <c r="AGD37" s="19"/>
      <c r="AGE37" s="19"/>
      <c r="AGF37" s="19"/>
      <c r="AGG37" s="19"/>
      <c r="AGH37" s="19"/>
      <c r="AGI37" s="19"/>
      <c r="AGJ37" s="19"/>
      <c r="AGK37" s="19"/>
      <c r="AGL37" s="19"/>
      <c r="AGM37" s="19"/>
      <c r="AGN37" s="19"/>
      <c r="AGO37" s="19"/>
      <c r="AGP37" s="19"/>
      <c r="AGQ37" s="19"/>
      <c r="AGR37" s="19"/>
      <c r="AGS37" s="19"/>
      <c r="AGT37" s="19"/>
      <c r="AGU37" s="19"/>
      <c r="AGV37" s="19"/>
      <c r="AGW37" s="19"/>
      <c r="AGX37" s="19"/>
      <c r="AGY37" s="19"/>
      <c r="AGZ37" s="19"/>
      <c r="AHA37" s="19"/>
      <c r="AHB37" s="19"/>
      <c r="AHC37" s="19"/>
      <c r="AHD37" s="19"/>
      <c r="AHE37" s="19"/>
      <c r="AHF37" s="19"/>
      <c r="AHG37" s="19"/>
      <c r="AHH37" s="19"/>
      <c r="AHI37" s="19"/>
      <c r="AHJ37" s="19"/>
      <c r="AHK37" s="19"/>
      <c r="AHL37" s="19"/>
      <c r="AHM37" s="19"/>
      <c r="AHN37" s="19"/>
      <c r="AHO37" s="19"/>
      <c r="AHP37" s="19"/>
    </row>
    <row r="38">
      <c r="A38" s="19" t="s">
        <v>36</v>
      </c>
      <c r="B38" s="19" t="s">
        <v>11</v>
      </c>
      <c r="C38" s="19" t="s">
        <v>28</v>
      </c>
      <c r="D38" s="19" t="s">
        <v>16</v>
      </c>
      <c r="E38" s="19" t="s">
        <v>10</v>
      </c>
      <c r="F38" s="19" t="s">
        <v>10</v>
      </c>
      <c r="G38" s="19" t="s">
        <v>11</v>
      </c>
      <c r="H38" s="19" t="s">
        <v>8</v>
      </c>
      <c r="I38" s="19" t="s">
        <v>10</v>
      </c>
      <c r="J38" s="19" t="s">
        <v>8</v>
      </c>
      <c r="K38" s="19" t="s">
        <v>11</v>
      </c>
      <c r="L38" s="19" t="s">
        <v>8</v>
      </c>
      <c r="M38" s="19" t="s">
        <v>11</v>
      </c>
      <c r="N38" s="19" t="s">
        <v>10</v>
      </c>
      <c r="O38" s="19" t="s">
        <v>26</v>
      </c>
      <c r="P38" s="19" t="s">
        <v>8</v>
      </c>
      <c r="Q38" s="19" t="s">
        <v>5</v>
      </c>
      <c r="R38" s="19" t="s">
        <v>8</v>
      </c>
      <c r="S38" s="19" t="s">
        <v>24</v>
      </c>
      <c r="T38" s="19" t="s">
        <v>24</v>
      </c>
      <c r="U38" s="19" t="s">
        <v>24</v>
      </c>
      <c r="V38" s="19" t="s">
        <v>24</v>
      </c>
      <c r="W38" s="19" t="s">
        <v>8</v>
      </c>
      <c r="X38" s="19" t="s">
        <v>20</v>
      </c>
      <c r="Y38" s="19" t="s">
        <v>10</v>
      </c>
      <c r="Z38" s="19" t="s">
        <v>26</v>
      </c>
      <c r="AA38" s="19" t="s">
        <v>8</v>
      </c>
      <c r="AB38" s="19" t="s">
        <v>10</v>
      </c>
      <c r="AC38" s="19" t="s">
        <v>26</v>
      </c>
      <c r="AD38" s="19" t="s">
        <v>11</v>
      </c>
      <c r="AE38" s="19" t="s">
        <v>24</v>
      </c>
      <c r="AF38" s="19" t="s">
        <v>20</v>
      </c>
      <c r="AG38" s="19" t="s">
        <v>8</v>
      </c>
      <c r="AH38" s="19" t="s">
        <v>8</v>
      </c>
      <c r="AI38" s="19" t="s">
        <v>10</v>
      </c>
      <c r="AJ38" s="19" t="s">
        <v>5</v>
      </c>
      <c r="AK38" s="19" t="s">
        <v>24</v>
      </c>
      <c r="AL38" s="19" t="s">
        <v>24</v>
      </c>
      <c r="AM38" s="19" t="s">
        <v>11</v>
      </c>
      <c r="AN38" s="19" t="s">
        <v>16</v>
      </c>
      <c r="AO38" s="19" t="s">
        <v>20</v>
      </c>
      <c r="AP38" s="19" t="s">
        <v>24</v>
      </c>
      <c r="AQ38" s="19" t="s">
        <v>8</v>
      </c>
      <c r="AR38" s="19" t="s">
        <v>20</v>
      </c>
      <c r="AS38" s="19" t="s">
        <v>10</v>
      </c>
      <c r="AT38" s="19" t="s">
        <v>10</v>
      </c>
      <c r="AU38" s="19" t="s">
        <v>11</v>
      </c>
      <c r="AV38" s="19" t="s">
        <v>10</v>
      </c>
      <c r="AW38" s="19" t="s">
        <v>8</v>
      </c>
      <c r="AX38" s="19" t="s">
        <v>26</v>
      </c>
      <c r="AY38" s="19" t="s">
        <v>24</v>
      </c>
      <c r="AZ38" s="19" t="s">
        <v>10</v>
      </c>
      <c r="BA38" s="19" t="s">
        <v>11</v>
      </c>
      <c r="BB38" s="19" t="s">
        <v>24</v>
      </c>
      <c r="BC38" s="19" t="s">
        <v>24</v>
      </c>
      <c r="BD38" s="19" t="s">
        <v>10</v>
      </c>
      <c r="BE38" s="19" t="s">
        <v>10</v>
      </c>
      <c r="BF38" s="19" t="s">
        <v>24</v>
      </c>
      <c r="BG38" s="19" t="s">
        <v>24</v>
      </c>
      <c r="BH38" s="19" t="s">
        <v>16</v>
      </c>
      <c r="BI38" s="19" t="s">
        <v>8</v>
      </c>
      <c r="BJ38" s="19" t="s">
        <v>8</v>
      </c>
      <c r="BK38" s="19" t="s">
        <v>8</v>
      </c>
      <c r="BL38" s="19" t="s">
        <v>10</v>
      </c>
      <c r="BM38" s="19" t="s">
        <v>10</v>
      </c>
      <c r="BN38" s="19" t="s">
        <v>10</v>
      </c>
      <c r="BO38" s="19" t="s">
        <v>10</v>
      </c>
      <c r="BP38" s="19" t="s">
        <v>11</v>
      </c>
      <c r="BQ38" s="19" t="s">
        <v>10</v>
      </c>
      <c r="BR38" s="19" t="s">
        <v>8</v>
      </c>
      <c r="BS38" s="19" t="s">
        <v>24</v>
      </c>
      <c r="BT38" s="19" t="s">
        <v>24</v>
      </c>
      <c r="BU38" s="19" t="s">
        <v>24</v>
      </c>
      <c r="BV38" s="19" t="s">
        <v>24</v>
      </c>
      <c r="BW38" s="19" t="s">
        <v>24</v>
      </c>
      <c r="BX38" s="19" t="s">
        <v>10</v>
      </c>
      <c r="BY38" s="19" t="s">
        <v>26</v>
      </c>
      <c r="BZ38" s="19" t="s">
        <v>10</v>
      </c>
      <c r="CA38" s="19" t="s">
        <v>26</v>
      </c>
      <c r="CB38" s="19" t="s">
        <v>26</v>
      </c>
      <c r="CC38" s="19" t="s">
        <v>26</v>
      </c>
      <c r="CD38" s="19" t="s">
        <v>24</v>
      </c>
      <c r="CE38" s="19" t="s">
        <v>24</v>
      </c>
      <c r="CF38" s="19" t="s">
        <v>8</v>
      </c>
      <c r="CG38" s="19" t="s">
        <v>24</v>
      </c>
      <c r="CH38" s="19" t="s">
        <v>10</v>
      </c>
      <c r="CI38" s="19" t="s">
        <v>8</v>
      </c>
      <c r="CJ38" s="19" t="s">
        <v>16</v>
      </c>
      <c r="CK38" s="19" t="s">
        <v>16</v>
      </c>
      <c r="CL38" s="19" t="s">
        <v>27</v>
      </c>
      <c r="CM38" s="19" t="s">
        <v>24</v>
      </c>
      <c r="CN38" s="19" t="s">
        <v>10</v>
      </c>
      <c r="CO38" s="19" t="s">
        <v>24</v>
      </c>
      <c r="CP38" s="19" t="s">
        <v>10</v>
      </c>
      <c r="CQ38" s="19" t="s">
        <v>10</v>
      </c>
      <c r="CR38" s="19" t="s">
        <v>8</v>
      </c>
      <c r="CS38" s="19" t="s">
        <v>27</v>
      </c>
      <c r="CT38" s="19" t="s">
        <v>24</v>
      </c>
      <c r="CU38" s="19" t="s">
        <v>27</v>
      </c>
      <c r="CV38" s="19" t="s">
        <v>8</v>
      </c>
      <c r="CW38" s="19" t="s">
        <v>10</v>
      </c>
      <c r="CX38" s="19" t="s">
        <v>11</v>
      </c>
      <c r="CY38" s="19" t="s">
        <v>24</v>
      </c>
      <c r="CZ38" s="19" t="s">
        <v>8</v>
      </c>
      <c r="DA38" s="19" t="s">
        <v>8</v>
      </c>
      <c r="DB38" s="19" t="s">
        <v>27</v>
      </c>
      <c r="DC38" s="19" t="s">
        <v>24</v>
      </c>
      <c r="DD38" s="19" t="s">
        <v>27</v>
      </c>
      <c r="DE38" s="19" t="s">
        <v>26</v>
      </c>
      <c r="DF38" s="19" t="s">
        <v>8</v>
      </c>
      <c r="DG38" s="19" t="s">
        <v>16</v>
      </c>
      <c r="DH38" s="19" t="s">
        <v>10</v>
      </c>
      <c r="DI38" s="19" t="s">
        <v>8</v>
      </c>
      <c r="DJ38" s="19" t="s">
        <v>8</v>
      </c>
      <c r="DK38" s="19" t="s">
        <v>8</v>
      </c>
      <c r="DL38" s="19" t="s">
        <v>27</v>
      </c>
      <c r="DM38" s="19" t="s">
        <v>24</v>
      </c>
      <c r="DN38" s="19" t="s">
        <v>8</v>
      </c>
      <c r="DO38" s="19" t="s">
        <v>24</v>
      </c>
      <c r="DP38" s="19" t="s">
        <v>10</v>
      </c>
      <c r="DQ38" s="19" t="s">
        <v>27</v>
      </c>
      <c r="DR38" s="19" t="s">
        <v>11</v>
      </c>
      <c r="DS38" s="19" t="s">
        <v>10</v>
      </c>
      <c r="DT38" s="19" t="s">
        <v>8</v>
      </c>
      <c r="DU38" s="19" t="s">
        <v>16</v>
      </c>
      <c r="DV38" s="19" t="s">
        <v>11</v>
      </c>
      <c r="DW38" s="19" t="s">
        <v>11</v>
      </c>
      <c r="DX38" s="19" t="s">
        <v>21</v>
      </c>
      <c r="DY38" s="19" t="s">
        <v>24</v>
      </c>
      <c r="DZ38" s="19" t="s">
        <v>26</v>
      </c>
      <c r="EA38" s="19" t="s">
        <v>10</v>
      </c>
      <c r="EB38" s="19" t="s">
        <v>28</v>
      </c>
      <c r="EC38" s="19" t="s">
        <v>10</v>
      </c>
      <c r="ED38" s="19" t="s">
        <v>10</v>
      </c>
      <c r="EE38" s="19" t="s">
        <v>15</v>
      </c>
      <c r="EF38" s="19" t="s">
        <v>8</v>
      </c>
      <c r="EG38" s="19" t="s">
        <v>24</v>
      </c>
      <c r="EH38" s="19" t="s">
        <v>27</v>
      </c>
      <c r="EI38" s="19" t="s">
        <v>10</v>
      </c>
      <c r="EJ38" s="19" t="s">
        <v>10</v>
      </c>
      <c r="EK38" s="19" t="s">
        <v>10</v>
      </c>
      <c r="EL38" s="19" t="s">
        <v>10</v>
      </c>
      <c r="EM38" s="19" t="s">
        <v>16</v>
      </c>
      <c r="EN38" s="19" t="s">
        <v>10</v>
      </c>
      <c r="EO38" s="19" t="s">
        <v>10</v>
      </c>
      <c r="EP38" s="19" t="s">
        <v>10</v>
      </c>
      <c r="EQ38" s="19" t="s">
        <v>27</v>
      </c>
      <c r="ER38" s="19" t="s">
        <v>10</v>
      </c>
      <c r="ES38" s="19" t="s">
        <v>26</v>
      </c>
      <c r="ET38" s="19" t="s">
        <v>28</v>
      </c>
      <c r="EU38" s="19" t="s">
        <v>8</v>
      </c>
      <c r="EV38" s="19" t="s">
        <v>8</v>
      </c>
      <c r="EW38" s="19" t="s">
        <v>8</v>
      </c>
      <c r="EX38" s="19" t="s">
        <v>8</v>
      </c>
      <c r="EY38" s="19" t="s">
        <v>8</v>
      </c>
      <c r="EZ38" s="19" t="s">
        <v>24</v>
      </c>
      <c r="FA38" s="19" t="s">
        <v>10</v>
      </c>
      <c r="FB38" s="19" t="s">
        <v>10</v>
      </c>
      <c r="FC38" s="19" t="s">
        <v>8</v>
      </c>
      <c r="FD38" s="19" t="s">
        <v>10</v>
      </c>
      <c r="FE38" s="19" t="s">
        <v>28</v>
      </c>
      <c r="FF38" s="19" t="s">
        <v>16</v>
      </c>
      <c r="FG38" s="19" t="s">
        <v>21</v>
      </c>
      <c r="FH38" s="19" t="s">
        <v>21</v>
      </c>
      <c r="FI38" s="19" t="s">
        <v>24</v>
      </c>
      <c r="FJ38" s="19" t="s">
        <v>10</v>
      </c>
      <c r="FK38" s="19" t="s">
        <v>28</v>
      </c>
      <c r="FL38" s="19" t="s">
        <v>24</v>
      </c>
      <c r="FM38" s="19" t="s">
        <v>24</v>
      </c>
      <c r="FN38" s="19" t="s">
        <v>10</v>
      </c>
      <c r="FO38" s="19" t="s">
        <v>10</v>
      </c>
      <c r="FP38" s="19" t="s">
        <v>24</v>
      </c>
      <c r="FQ38" s="19" t="s">
        <v>26</v>
      </c>
      <c r="FR38" s="19" t="s">
        <v>26</v>
      </c>
      <c r="FS38" s="19" t="s">
        <v>20</v>
      </c>
      <c r="FT38" s="19" t="s">
        <v>10</v>
      </c>
      <c r="FU38" s="19" t="s">
        <v>11</v>
      </c>
      <c r="FV38" s="19" t="s">
        <v>8</v>
      </c>
      <c r="FW38" s="19" t="s">
        <v>24</v>
      </c>
      <c r="FX38" s="19" t="s">
        <v>8</v>
      </c>
      <c r="FY38" s="19" t="s">
        <v>10</v>
      </c>
      <c r="FZ38" s="19" t="s">
        <v>16</v>
      </c>
      <c r="GA38" s="19" t="s">
        <v>26</v>
      </c>
      <c r="GB38" s="19" t="s">
        <v>10</v>
      </c>
      <c r="GC38" s="19" t="s">
        <v>10</v>
      </c>
      <c r="GD38" s="19" t="s">
        <v>24</v>
      </c>
      <c r="GE38" s="19" t="s">
        <v>8</v>
      </c>
      <c r="GF38" s="19" t="s">
        <v>16</v>
      </c>
      <c r="GG38" s="19" t="s">
        <v>16</v>
      </c>
      <c r="GH38" s="19" t="s">
        <v>26</v>
      </c>
      <c r="GI38" s="19" t="s">
        <v>24</v>
      </c>
      <c r="GJ38" s="19" t="s">
        <v>27</v>
      </c>
      <c r="GK38" s="19" t="s">
        <v>26</v>
      </c>
      <c r="GL38" s="19" t="s">
        <v>26</v>
      </c>
      <c r="GM38" s="19" t="s">
        <v>26</v>
      </c>
      <c r="GN38" s="19" t="s">
        <v>26</v>
      </c>
      <c r="GO38" s="19" t="s">
        <v>10</v>
      </c>
      <c r="GP38" s="19" t="s">
        <v>33</v>
      </c>
      <c r="GQ38" s="19" t="s">
        <v>24</v>
      </c>
      <c r="GR38" s="19" t="s">
        <v>24</v>
      </c>
      <c r="GS38" s="19" t="s">
        <v>24</v>
      </c>
      <c r="GT38" s="19" t="s">
        <v>26</v>
      </c>
      <c r="GU38" s="19" t="s">
        <v>10</v>
      </c>
      <c r="GV38" s="19" t="s">
        <v>24</v>
      </c>
      <c r="GW38" s="19" t="s">
        <v>10</v>
      </c>
      <c r="GX38" s="19" t="s">
        <v>10</v>
      </c>
      <c r="GY38" s="19" t="s">
        <v>24</v>
      </c>
      <c r="GZ38" s="19" t="s">
        <v>24</v>
      </c>
      <c r="HA38" s="19" t="s">
        <v>10</v>
      </c>
      <c r="HB38" s="19" t="s">
        <v>16</v>
      </c>
      <c r="HC38" s="19" t="s">
        <v>10</v>
      </c>
      <c r="HD38" s="19" t="s">
        <v>24</v>
      </c>
      <c r="HE38" s="19" t="s">
        <v>8</v>
      </c>
      <c r="HF38" s="19" t="s">
        <v>24</v>
      </c>
      <c r="HG38" s="19" t="s">
        <v>16</v>
      </c>
      <c r="HH38" s="19" t="s">
        <v>24</v>
      </c>
      <c r="HI38" s="19" t="s">
        <v>10</v>
      </c>
      <c r="HJ38" s="19" t="s">
        <v>11</v>
      </c>
      <c r="HK38" s="19" t="s">
        <v>7</v>
      </c>
      <c r="HL38" s="19" t="s">
        <v>26</v>
      </c>
      <c r="HM38" s="19" t="s">
        <v>24</v>
      </c>
      <c r="HN38" s="19" t="s">
        <v>24</v>
      </c>
      <c r="HO38" s="19" t="s">
        <v>24</v>
      </c>
      <c r="HP38" s="19" t="s">
        <v>10</v>
      </c>
      <c r="HQ38" s="19" t="s">
        <v>10</v>
      </c>
      <c r="HR38" s="19" t="s">
        <v>21</v>
      </c>
      <c r="HS38" s="19" t="s">
        <v>10</v>
      </c>
      <c r="HT38" s="19" t="s">
        <v>24</v>
      </c>
      <c r="HU38" s="19" t="s">
        <v>24</v>
      </c>
      <c r="HV38" s="19" t="s">
        <v>16</v>
      </c>
      <c r="HW38" s="19" t="s">
        <v>16</v>
      </c>
      <c r="HX38" s="19" t="s">
        <v>10</v>
      </c>
      <c r="HY38" s="19" t="s">
        <v>8</v>
      </c>
      <c r="HZ38" s="19" t="s">
        <v>24</v>
      </c>
      <c r="IA38" s="19" t="s">
        <v>24</v>
      </c>
      <c r="IB38" s="19" t="s">
        <v>10</v>
      </c>
      <c r="IC38" s="19" t="s">
        <v>8</v>
      </c>
      <c r="ID38" s="19" t="s">
        <v>26</v>
      </c>
      <c r="IE38" s="19" t="s">
        <v>10</v>
      </c>
      <c r="IF38" s="19" t="s">
        <v>11</v>
      </c>
      <c r="IG38" s="19" t="s">
        <v>18</v>
      </c>
      <c r="IH38" s="19" t="s">
        <v>10</v>
      </c>
      <c r="II38" s="19" t="s">
        <v>10</v>
      </c>
      <c r="IJ38" s="19" t="s">
        <v>8</v>
      </c>
      <c r="IK38" s="19" t="s">
        <v>24</v>
      </c>
      <c r="IL38" s="19" t="s">
        <v>10</v>
      </c>
      <c r="IM38" s="19" t="s">
        <v>24</v>
      </c>
      <c r="IN38" s="19" t="s">
        <v>11</v>
      </c>
      <c r="IO38" s="19" t="s">
        <v>10</v>
      </c>
      <c r="IP38" s="19" t="s">
        <v>10</v>
      </c>
      <c r="IQ38" s="19" t="s">
        <v>11</v>
      </c>
      <c r="IR38" s="19" t="s">
        <v>10</v>
      </c>
      <c r="IS38" s="19" t="s">
        <v>8</v>
      </c>
      <c r="IT38" s="19" t="s">
        <v>24</v>
      </c>
      <c r="IU38" s="19" t="s">
        <v>10</v>
      </c>
      <c r="IV38" s="19" t="s">
        <v>11</v>
      </c>
      <c r="IW38" s="19" t="s">
        <v>11</v>
      </c>
      <c r="IX38" s="19" t="s">
        <v>26</v>
      </c>
      <c r="IY38" s="19" t="s">
        <v>24</v>
      </c>
      <c r="IZ38" s="19" t="s">
        <v>24</v>
      </c>
      <c r="JA38" s="19" t="s">
        <v>10</v>
      </c>
      <c r="JB38" s="19" t="s">
        <v>8</v>
      </c>
      <c r="JC38" s="19" t="s">
        <v>27</v>
      </c>
      <c r="JD38" s="19" t="s">
        <v>8</v>
      </c>
      <c r="JE38" s="19" t="s">
        <v>24</v>
      </c>
      <c r="JF38" s="19" t="s">
        <v>11</v>
      </c>
      <c r="JG38" s="19" t="s">
        <v>16</v>
      </c>
      <c r="JH38" s="19" t="s">
        <v>24</v>
      </c>
      <c r="JI38" s="19" t="s">
        <v>10</v>
      </c>
      <c r="JJ38" s="19" t="s">
        <v>10</v>
      </c>
      <c r="JK38" s="19" t="s">
        <v>10</v>
      </c>
      <c r="JL38" s="19" t="s">
        <v>11</v>
      </c>
      <c r="JM38" s="19" t="s">
        <v>24</v>
      </c>
      <c r="JN38" s="19" t="s">
        <v>11</v>
      </c>
      <c r="JO38" s="19" t="s">
        <v>8</v>
      </c>
      <c r="JP38" s="19" t="s">
        <v>10</v>
      </c>
      <c r="JQ38" s="19" t="s">
        <v>10</v>
      </c>
      <c r="JR38" s="19" t="s">
        <v>8</v>
      </c>
      <c r="JS38" s="19" t="s">
        <v>24</v>
      </c>
      <c r="JT38" s="19" t="s">
        <v>11</v>
      </c>
      <c r="JU38" s="19" t="s">
        <v>24</v>
      </c>
      <c r="JV38" s="19" t="s">
        <v>10</v>
      </c>
      <c r="JW38" s="19" t="s">
        <v>10</v>
      </c>
      <c r="JX38" s="19" t="s">
        <v>24</v>
      </c>
      <c r="JY38" s="19" t="s">
        <v>8</v>
      </c>
      <c r="JZ38" s="19" t="s">
        <v>24</v>
      </c>
      <c r="KA38" s="19" t="s">
        <v>10</v>
      </c>
      <c r="KB38" s="19" t="s">
        <v>10</v>
      </c>
      <c r="KC38" s="19" t="s">
        <v>27</v>
      </c>
      <c r="KD38" s="19" t="s">
        <v>24</v>
      </c>
      <c r="KE38" s="19" t="s">
        <v>8</v>
      </c>
      <c r="KF38" s="19" t="s">
        <v>10</v>
      </c>
      <c r="KG38" s="19" t="s">
        <v>23</v>
      </c>
      <c r="KH38" s="19" t="s">
        <v>27</v>
      </c>
      <c r="KI38" s="19" t="s">
        <v>11</v>
      </c>
      <c r="KJ38" s="19" t="s">
        <v>8</v>
      </c>
      <c r="KK38" s="19" t="s">
        <v>10</v>
      </c>
      <c r="KL38" s="19" t="s">
        <v>8</v>
      </c>
      <c r="KM38" s="19" t="s">
        <v>10</v>
      </c>
      <c r="KN38" s="19" t="s">
        <v>24</v>
      </c>
      <c r="KO38" s="19" t="s">
        <v>21</v>
      </c>
      <c r="KP38" s="19" t="s">
        <v>10</v>
      </c>
      <c r="KQ38" s="19" t="s">
        <v>24</v>
      </c>
      <c r="KR38" s="19" t="s">
        <v>26</v>
      </c>
      <c r="KS38" s="19" t="s">
        <v>24</v>
      </c>
      <c r="KT38" s="19" t="s">
        <v>8</v>
      </c>
      <c r="KU38" s="19" t="s">
        <v>10</v>
      </c>
      <c r="KV38" s="19" t="s">
        <v>24</v>
      </c>
      <c r="KW38" s="19" t="s">
        <v>8</v>
      </c>
      <c r="KX38" s="19" t="s">
        <v>24</v>
      </c>
      <c r="KY38" s="19" t="s">
        <v>24</v>
      </c>
      <c r="KZ38" s="19" t="s">
        <v>10</v>
      </c>
      <c r="LA38" s="19" t="s">
        <v>26</v>
      </c>
      <c r="LB38" s="19" t="s">
        <v>26</v>
      </c>
      <c r="LC38" s="19" t="s">
        <v>26</v>
      </c>
      <c r="LD38" s="19" t="s">
        <v>10</v>
      </c>
      <c r="LE38" s="19" t="s">
        <v>13</v>
      </c>
      <c r="LF38" s="19" t="s">
        <v>27</v>
      </c>
      <c r="LG38" s="19" t="s">
        <v>10</v>
      </c>
      <c r="LH38" s="19" t="s">
        <v>11</v>
      </c>
      <c r="LI38" s="19" t="s">
        <v>8</v>
      </c>
      <c r="LJ38" s="19" t="s">
        <v>24</v>
      </c>
      <c r="LK38" s="19" t="s">
        <v>8</v>
      </c>
      <c r="LL38" s="19" t="s">
        <v>10</v>
      </c>
      <c r="LM38" s="19" t="s">
        <v>27</v>
      </c>
      <c r="LN38" s="19" t="s">
        <v>8</v>
      </c>
      <c r="LO38" s="19" t="s">
        <v>24</v>
      </c>
      <c r="LP38" s="19" t="s">
        <v>24</v>
      </c>
      <c r="LQ38" s="19" t="s">
        <v>27</v>
      </c>
      <c r="LR38" s="19" t="s">
        <v>24</v>
      </c>
      <c r="LS38" s="19" t="s">
        <v>10</v>
      </c>
      <c r="LT38" s="19" t="s">
        <v>21</v>
      </c>
      <c r="LU38" s="19" t="s">
        <v>27</v>
      </c>
      <c r="LV38" s="19" t="s">
        <v>26</v>
      </c>
      <c r="LW38" s="19" t="s">
        <v>24</v>
      </c>
      <c r="LX38" s="19" t="s">
        <v>26</v>
      </c>
      <c r="LY38" s="19" t="s">
        <v>26</v>
      </c>
      <c r="LZ38" s="19" t="s">
        <v>10</v>
      </c>
      <c r="MA38" s="19" t="s">
        <v>24</v>
      </c>
      <c r="MB38" s="19" t="s">
        <v>24</v>
      </c>
      <c r="MC38" s="19" t="s">
        <v>10</v>
      </c>
      <c r="MD38" s="19" t="s">
        <v>10</v>
      </c>
      <c r="ME38" s="19" t="s">
        <v>11</v>
      </c>
      <c r="MF38" s="19" t="s">
        <v>16</v>
      </c>
      <c r="MG38" s="19" t="s">
        <v>27</v>
      </c>
      <c r="MH38" s="19" t="s">
        <v>10</v>
      </c>
      <c r="MI38" s="19" t="s">
        <v>10</v>
      </c>
      <c r="MJ38" s="19" t="s">
        <v>8</v>
      </c>
      <c r="MK38" s="19" t="s">
        <v>11</v>
      </c>
      <c r="ML38" s="19" t="s">
        <v>8</v>
      </c>
      <c r="MM38" s="19" t="s">
        <v>8</v>
      </c>
      <c r="MN38" s="19" t="s">
        <v>24</v>
      </c>
      <c r="MO38" s="19" t="s">
        <v>24</v>
      </c>
      <c r="MP38" s="19" t="s">
        <v>24</v>
      </c>
      <c r="MQ38" s="19" t="s">
        <v>10</v>
      </c>
      <c r="MR38" s="19" t="s">
        <v>10</v>
      </c>
      <c r="MS38" s="19" t="s">
        <v>24</v>
      </c>
      <c r="MT38" s="19" t="s">
        <v>10</v>
      </c>
      <c r="MU38" s="19" t="s">
        <v>10</v>
      </c>
      <c r="MV38" s="19" t="s">
        <v>31</v>
      </c>
      <c r="MW38" s="19" t="s">
        <v>31</v>
      </c>
      <c r="MX38" s="19" t="s">
        <v>24</v>
      </c>
      <c r="MY38" s="19" t="s">
        <v>10</v>
      </c>
      <c r="MZ38" s="19" t="s">
        <v>10</v>
      </c>
      <c r="NA38" s="19" t="s">
        <v>26</v>
      </c>
      <c r="NB38" s="19" t="s">
        <v>24</v>
      </c>
      <c r="NC38" s="19" t="s">
        <v>10</v>
      </c>
      <c r="ND38" s="19" t="s">
        <v>26</v>
      </c>
      <c r="NE38" s="19" t="s">
        <v>8</v>
      </c>
      <c r="NF38" s="19" t="s">
        <v>10</v>
      </c>
      <c r="NG38" s="19" t="s">
        <v>24</v>
      </c>
      <c r="NH38" s="19" t="s">
        <v>11</v>
      </c>
      <c r="NI38" s="19" t="s">
        <v>8</v>
      </c>
      <c r="NJ38" s="19" t="s">
        <v>11</v>
      </c>
      <c r="NK38" s="19" t="s">
        <v>11</v>
      </c>
      <c r="NL38" s="19" t="s">
        <v>24</v>
      </c>
      <c r="NM38" s="19" t="s">
        <v>24</v>
      </c>
      <c r="NN38" s="19" t="s">
        <v>10</v>
      </c>
      <c r="NO38" s="19" t="s">
        <v>24</v>
      </c>
      <c r="NP38" s="19" t="s">
        <v>8</v>
      </c>
      <c r="NQ38" s="19" t="s">
        <v>8</v>
      </c>
      <c r="NR38" s="19" t="s">
        <v>10</v>
      </c>
      <c r="NS38" s="19" t="s">
        <v>11</v>
      </c>
      <c r="NT38" s="19" t="s">
        <v>24</v>
      </c>
      <c r="NU38" s="19" t="s">
        <v>24</v>
      </c>
      <c r="NV38" s="19" t="s">
        <v>20</v>
      </c>
      <c r="NW38" s="19" t="s">
        <v>24</v>
      </c>
      <c r="NX38" s="19" t="s">
        <v>24</v>
      </c>
      <c r="NY38" s="19" t="s">
        <v>11</v>
      </c>
      <c r="NZ38" s="19" t="s">
        <v>8</v>
      </c>
      <c r="OA38" s="19" t="s">
        <v>8</v>
      </c>
      <c r="OB38" s="19" t="s">
        <v>26</v>
      </c>
      <c r="OC38" s="19" t="s">
        <v>10</v>
      </c>
      <c r="OD38" s="19" t="s">
        <v>10</v>
      </c>
      <c r="OE38" s="19" t="s">
        <v>10</v>
      </c>
      <c r="OF38" s="19" t="s">
        <v>10</v>
      </c>
      <c r="OG38" s="19" t="s">
        <v>24</v>
      </c>
      <c r="OH38" s="19" t="s">
        <v>10</v>
      </c>
      <c r="OI38" s="19" t="s">
        <v>24</v>
      </c>
      <c r="OJ38" s="19" t="s">
        <v>26</v>
      </c>
      <c r="OK38" s="19" t="s">
        <v>26</v>
      </c>
      <c r="OL38" s="19" t="s">
        <v>8</v>
      </c>
      <c r="OM38" s="19" t="s">
        <v>10</v>
      </c>
      <c r="ON38" s="19" t="s">
        <v>10</v>
      </c>
      <c r="OO38" s="19" t="s">
        <v>10</v>
      </c>
      <c r="OP38" s="19" t="s">
        <v>24</v>
      </c>
      <c r="OQ38" s="19" t="s">
        <v>10</v>
      </c>
      <c r="OR38" s="19" t="s">
        <v>21</v>
      </c>
      <c r="OS38" s="19" t="s">
        <v>24</v>
      </c>
      <c r="OT38" s="19" t="s">
        <v>10</v>
      </c>
      <c r="OU38" s="19" t="s">
        <v>8</v>
      </c>
      <c r="OV38" s="19" t="s">
        <v>8</v>
      </c>
      <c r="OW38" s="19" t="s">
        <v>24</v>
      </c>
      <c r="OX38" s="19" t="s">
        <v>24</v>
      </c>
      <c r="OY38" s="19" t="s">
        <v>24</v>
      </c>
      <c r="OZ38" s="19" t="s">
        <v>8</v>
      </c>
      <c r="PA38" s="19" t="s">
        <v>10</v>
      </c>
      <c r="PB38" s="19" t="s">
        <v>26</v>
      </c>
      <c r="PC38" s="19" t="s">
        <v>8</v>
      </c>
      <c r="PD38" s="19" t="s">
        <v>11</v>
      </c>
      <c r="PE38" s="19" t="s">
        <v>8</v>
      </c>
      <c r="PF38" s="19" t="s">
        <v>16</v>
      </c>
      <c r="PG38" s="19" t="s">
        <v>8</v>
      </c>
      <c r="PH38" s="19" t="s">
        <v>24</v>
      </c>
      <c r="PI38" s="19" t="s">
        <v>24</v>
      </c>
      <c r="PJ38" s="19" t="s">
        <v>10</v>
      </c>
      <c r="PK38" s="19" t="s">
        <v>16</v>
      </c>
      <c r="PL38" s="19" t="s">
        <v>24</v>
      </c>
      <c r="PM38" s="19" t="s">
        <v>24</v>
      </c>
      <c r="PN38" s="19" t="s">
        <v>10</v>
      </c>
      <c r="PO38" s="19" t="s">
        <v>24</v>
      </c>
      <c r="PP38" s="19" t="s">
        <v>11</v>
      </c>
      <c r="PQ38" s="19" t="s">
        <v>10</v>
      </c>
      <c r="PR38" s="19" t="s">
        <v>27</v>
      </c>
      <c r="PS38" s="19" t="s">
        <v>8</v>
      </c>
      <c r="PT38" s="19" t="s">
        <v>24</v>
      </c>
      <c r="PU38" s="19" t="s">
        <v>21</v>
      </c>
      <c r="PV38" s="19" t="s">
        <v>24</v>
      </c>
      <c r="PW38" s="19" t="s">
        <v>24</v>
      </c>
      <c r="PX38" s="19" t="s">
        <v>8</v>
      </c>
      <c r="PY38" s="19" t="s">
        <v>24</v>
      </c>
      <c r="PZ38" s="19" t="s">
        <v>24</v>
      </c>
      <c r="QA38" s="19" t="s">
        <v>24</v>
      </c>
      <c r="QB38" s="19" t="s">
        <v>11</v>
      </c>
      <c r="QC38" s="19" t="s">
        <v>24</v>
      </c>
      <c r="QD38" s="19" t="s">
        <v>11</v>
      </c>
      <c r="QE38" s="19" t="s">
        <v>10</v>
      </c>
      <c r="QF38" s="19" t="s">
        <v>10</v>
      </c>
      <c r="QG38" s="19" t="s">
        <v>10</v>
      </c>
      <c r="QH38" s="19" t="s">
        <v>10</v>
      </c>
      <c r="QI38" s="19" t="s">
        <v>10</v>
      </c>
      <c r="QJ38" s="19" t="s">
        <v>27</v>
      </c>
      <c r="QK38" s="19" t="s">
        <v>8</v>
      </c>
      <c r="QL38" s="19" t="s">
        <v>10</v>
      </c>
      <c r="QM38" s="19" t="s">
        <v>26</v>
      </c>
      <c r="QN38" s="19" t="s">
        <v>10</v>
      </c>
      <c r="QO38" s="19" t="s">
        <v>24</v>
      </c>
      <c r="QP38" s="19" t="s">
        <v>26</v>
      </c>
      <c r="QQ38" s="19" t="s">
        <v>10</v>
      </c>
      <c r="QR38" s="19" t="s">
        <v>24</v>
      </c>
      <c r="QS38" s="19" t="s">
        <v>24</v>
      </c>
      <c r="QT38" s="19" t="s">
        <v>24</v>
      </c>
      <c r="QU38" s="19" t="s">
        <v>24</v>
      </c>
      <c r="QV38" s="19" t="s">
        <v>11</v>
      </c>
      <c r="QW38" s="19" t="s">
        <v>11</v>
      </c>
      <c r="QX38" s="19" t="s">
        <v>8</v>
      </c>
      <c r="QY38" s="19" t="s">
        <v>10</v>
      </c>
      <c r="QZ38" s="19" t="s">
        <v>24</v>
      </c>
      <c r="RA38" s="19" t="s">
        <v>8</v>
      </c>
      <c r="RB38" s="19" t="s">
        <v>8</v>
      </c>
      <c r="RC38" s="19" t="s">
        <v>27</v>
      </c>
      <c r="RD38" s="19" t="s">
        <v>31</v>
      </c>
      <c r="RE38" s="19" t="s">
        <v>24</v>
      </c>
      <c r="RF38" s="19" t="s">
        <v>24</v>
      </c>
      <c r="RG38" s="19" t="s">
        <v>24</v>
      </c>
      <c r="RH38" s="19" t="s">
        <v>24</v>
      </c>
      <c r="RI38" s="19" t="s">
        <v>10</v>
      </c>
      <c r="RJ38" s="19" t="s">
        <v>8</v>
      </c>
      <c r="RK38" s="19" t="s">
        <v>10</v>
      </c>
      <c r="RL38" s="19" t="s">
        <v>24</v>
      </c>
      <c r="RM38" s="19" t="s">
        <v>26</v>
      </c>
      <c r="RN38" s="19" t="s">
        <v>8</v>
      </c>
      <c r="RO38" s="19" t="s">
        <v>8</v>
      </c>
      <c r="RP38" s="19" t="s">
        <v>8</v>
      </c>
      <c r="RQ38" s="19" t="s">
        <v>24</v>
      </c>
      <c r="RR38" s="19" t="s">
        <v>10</v>
      </c>
      <c r="RS38" s="19" t="s">
        <v>24</v>
      </c>
      <c r="RT38" s="19" t="s">
        <v>24</v>
      </c>
      <c r="RU38" s="19" t="s">
        <v>8</v>
      </c>
      <c r="RV38" s="19" t="s">
        <v>24</v>
      </c>
      <c r="RW38" s="19" t="s">
        <v>24</v>
      </c>
      <c r="RX38" s="19" t="s">
        <v>24</v>
      </c>
      <c r="RY38" s="19" t="s">
        <v>10</v>
      </c>
      <c r="RZ38" s="19" t="s">
        <v>8</v>
      </c>
      <c r="SA38" s="19" t="s">
        <v>16</v>
      </c>
      <c r="SB38" s="19" t="s">
        <v>24</v>
      </c>
      <c r="SC38" s="19" t="s">
        <v>10</v>
      </c>
      <c r="SD38" s="19" t="s">
        <v>10</v>
      </c>
      <c r="SE38" s="19" t="s">
        <v>10</v>
      </c>
      <c r="SF38" s="19" t="s">
        <v>10</v>
      </c>
      <c r="SG38" s="19" t="s">
        <v>8</v>
      </c>
      <c r="SH38" s="19" t="s">
        <v>8</v>
      </c>
      <c r="SI38" s="19" t="s">
        <v>26</v>
      </c>
      <c r="SJ38" s="19" t="s">
        <v>10</v>
      </c>
      <c r="SK38" s="19" t="s">
        <v>24</v>
      </c>
      <c r="SL38" s="19" t="s">
        <v>10</v>
      </c>
      <c r="SM38" s="19" t="s">
        <v>26</v>
      </c>
      <c r="SN38" s="19" t="s">
        <v>16</v>
      </c>
      <c r="SO38" s="19" t="s">
        <v>16</v>
      </c>
      <c r="SP38" s="19" t="s">
        <v>24</v>
      </c>
      <c r="SQ38" s="19" t="s">
        <v>10</v>
      </c>
      <c r="SR38" s="19" t="s">
        <v>10</v>
      </c>
      <c r="SS38" s="19" t="s">
        <v>10</v>
      </c>
      <c r="ST38" s="19" t="s">
        <v>24</v>
      </c>
      <c r="SU38" s="19" t="s">
        <v>11</v>
      </c>
      <c r="SV38" s="19" t="s">
        <v>8</v>
      </c>
      <c r="SW38" s="19" t="s">
        <v>31</v>
      </c>
      <c r="SX38" s="19" t="s">
        <v>24</v>
      </c>
      <c r="SY38" s="19" t="s">
        <v>8</v>
      </c>
      <c r="SZ38" s="19" t="s">
        <v>11</v>
      </c>
      <c r="TA38" s="19" t="s">
        <v>24</v>
      </c>
      <c r="TB38" s="19" t="s">
        <v>21</v>
      </c>
      <c r="TC38" s="19" t="s">
        <v>26</v>
      </c>
      <c r="TD38" s="19" t="s">
        <v>10</v>
      </c>
      <c r="TE38" s="19" t="s">
        <v>8</v>
      </c>
      <c r="TF38" s="19" t="s">
        <v>8</v>
      </c>
      <c r="TG38" s="19" t="s">
        <v>11</v>
      </c>
      <c r="TH38" s="19" t="s">
        <v>10</v>
      </c>
      <c r="TI38" s="19" t="s">
        <v>26</v>
      </c>
      <c r="TJ38" s="19" t="s">
        <v>10</v>
      </c>
      <c r="TK38" s="19" t="s">
        <v>10</v>
      </c>
      <c r="TL38" s="19" t="s">
        <v>24</v>
      </c>
      <c r="TM38" s="19" t="s">
        <v>11</v>
      </c>
      <c r="TN38" s="19" t="s">
        <v>26</v>
      </c>
      <c r="TO38" s="19" t="s">
        <v>10</v>
      </c>
      <c r="TP38" s="19" t="s">
        <v>10</v>
      </c>
      <c r="TQ38" s="19" t="s">
        <v>10</v>
      </c>
      <c r="TR38" s="19" t="s">
        <v>26</v>
      </c>
      <c r="TS38" s="19" t="s">
        <v>10</v>
      </c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</row>
    <row r="39">
      <c r="A39" s="19" t="s">
        <v>37</v>
      </c>
      <c r="B39" s="19" t="s">
        <v>10</v>
      </c>
      <c r="C39" s="19" t="s">
        <v>26</v>
      </c>
      <c r="D39" s="19" t="s">
        <v>10</v>
      </c>
      <c r="E39" s="19" t="s">
        <v>11</v>
      </c>
      <c r="F39" s="19" t="s">
        <v>24</v>
      </c>
      <c r="G39" s="19" t="s">
        <v>24</v>
      </c>
      <c r="H39" s="19" t="s">
        <v>24</v>
      </c>
      <c r="I39" s="19" t="s">
        <v>24</v>
      </c>
      <c r="J39" s="19" t="s">
        <v>24</v>
      </c>
      <c r="K39" s="19" t="s">
        <v>8</v>
      </c>
      <c r="L39" s="19" t="s">
        <v>10</v>
      </c>
      <c r="M39" s="19" t="s">
        <v>16</v>
      </c>
      <c r="N39" s="19" t="s">
        <v>24</v>
      </c>
      <c r="O39" s="19" t="s">
        <v>11</v>
      </c>
      <c r="P39" s="19" t="s">
        <v>26</v>
      </c>
      <c r="Q39" s="19" t="s">
        <v>26</v>
      </c>
      <c r="R39" s="19" t="s">
        <v>24</v>
      </c>
      <c r="S39" s="19" t="s">
        <v>26</v>
      </c>
      <c r="T39" s="19" t="s">
        <v>28</v>
      </c>
      <c r="U39" s="19" t="s">
        <v>5</v>
      </c>
      <c r="V39" s="19" t="s">
        <v>10</v>
      </c>
      <c r="W39" s="19" t="s">
        <v>27</v>
      </c>
      <c r="X39" s="19" t="s">
        <v>24</v>
      </c>
      <c r="Y39" s="19" t="s">
        <v>27</v>
      </c>
      <c r="Z39" s="19" t="s">
        <v>8</v>
      </c>
      <c r="AA39" s="19" t="s">
        <v>16</v>
      </c>
      <c r="AB39" s="19" t="s">
        <v>11</v>
      </c>
      <c r="AC39" s="19" t="s">
        <v>11</v>
      </c>
      <c r="AD39" s="19" t="s">
        <v>16</v>
      </c>
      <c r="AE39" s="19" t="s">
        <v>11</v>
      </c>
      <c r="AF39" s="19" t="s">
        <v>24</v>
      </c>
      <c r="AG39" s="19" t="s">
        <v>11</v>
      </c>
      <c r="AH39" s="19" t="s">
        <v>10</v>
      </c>
      <c r="AI39" s="19" t="s">
        <v>8</v>
      </c>
      <c r="AJ39" s="19" t="s">
        <v>24</v>
      </c>
      <c r="AK39" s="19" t="s">
        <v>16</v>
      </c>
      <c r="AL39" s="19" t="s">
        <v>11</v>
      </c>
      <c r="AM39" s="19" t="s">
        <v>10</v>
      </c>
      <c r="AN39" s="19" t="s">
        <v>24</v>
      </c>
      <c r="AO39" s="19" t="s">
        <v>11</v>
      </c>
      <c r="AP39" s="19" t="s">
        <v>21</v>
      </c>
      <c r="AQ39" s="19" t="s">
        <v>24</v>
      </c>
      <c r="AR39" s="19" t="s">
        <v>10</v>
      </c>
      <c r="AS39" s="19" t="s">
        <v>14</v>
      </c>
      <c r="AT39" s="19" t="s">
        <v>8</v>
      </c>
      <c r="AU39" s="19" t="s">
        <v>10</v>
      </c>
      <c r="AV39" s="19" t="s">
        <v>24</v>
      </c>
      <c r="AW39" s="19" t="s">
        <v>27</v>
      </c>
      <c r="AX39" s="19" t="s">
        <v>24</v>
      </c>
      <c r="AY39" s="19" t="s">
        <v>26</v>
      </c>
      <c r="AZ39" s="19" t="s">
        <v>11</v>
      </c>
      <c r="BA39" s="19" t="s">
        <v>27</v>
      </c>
      <c r="BB39" s="19" t="s">
        <v>8</v>
      </c>
      <c r="BC39" s="19" t="s">
        <v>16</v>
      </c>
      <c r="BD39" s="19" t="s">
        <v>24</v>
      </c>
      <c r="BE39" s="19" t="s">
        <v>26</v>
      </c>
      <c r="BF39" s="19" t="s">
        <v>26</v>
      </c>
      <c r="BG39" s="19" t="s">
        <v>25</v>
      </c>
      <c r="BH39" s="19" t="s">
        <v>27</v>
      </c>
      <c r="BI39" s="19" t="s">
        <v>10</v>
      </c>
      <c r="BJ39" s="19" t="s">
        <v>11</v>
      </c>
      <c r="BK39" s="19" t="s">
        <v>10</v>
      </c>
      <c r="BL39" s="19" t="s">
        <v>11</v>
      </c>
      <c r="BM39" s="19" t="s">
        <v>16</v>
      </c>
      <c r="BN39" s="19" t="s">
        <v>16</v>
      </c>
      <c r="BO39" s="19" t="s">
        <v>16</v>
      </c>
      <c r="BP39" s="19" t="s">
        <v>10</v>
      </c>
      <c r="BQ39" s="19" t="s">
        <v>28</v>
      </c>
      <c r="BR39" s="19" t="s">
        <v>12</v>
      </c>
      <c r="BS39" s="19" t="s">
        <v>11</v>
      </c>
      <c r="BT39" s="19" t="s">
        <v>8</v>
      </c>
      <c r="BU39" s="19" t="s">
        <v>10</v>
      </c>
      <c r="BV39" s="19" t="s">
        <v>16</v>
      </c>
      <c r="BW39" s="19" t="s">
        <v>10</v>
      </c>
      <c r="BX39" s="19" t="s">
        <v>11</v>
      </c>
      <c r="BY39" s="19" t="s">
        <v>10</v>
      </c>
      <c r="BZ39" s="19" t="s">
        <v>26</v>
      </c>
      <c r="CA39" s="19" t="s">
        <v>24</v>
      </c>
      <c r="CB39" s="19" t="s">
        <v>10</v>
      </c>
      <c r="CC39" s="19" t="s">
        <v>24</v>
      </c>
      <c r="CD39" s="19" t="s">
        <v>10</v>
      </c>
      <c r="CE39" s="19" t="s">
        <v>26</v>
      </c>
      <c r="CF39" s="19" t="s">
        <v>16</v>
      </c>
      <c r="CG39" s="19" t="s">
        <v>26</v>
      </c>
      <c r="CH39" s="19" t="s">
        <v>8</v>
      </c>
      <c r="CI39" s="19" t="s">
        <v>27</v>
      </c>
      <c r="CJ39" s="19" t="s">
        <v>8</v>
      </c>
      <c r="CK39" s="19" t="s">
        <v>8</v>
      </c>
      <c r="CL39" s="19" t="s">
        <v>16</v>
      </c>
      <c r="CM39" s="19" t="s">
        <v>27</v>
      </c>
      <c r="CN39" s="19" t="s">
        <v>16</v>
      </c>
      <c r="CO39" s="19" t="s">
        <v>8</v>
      </c>
      <c r="CP39" s="19" t="s">
        <v>8</v>
      </c>
      <c r="CQ39" s="19" t="s">
        <v>24</v>
      </c>
      <c r="CR39" s="19" t="s">
        <v>24</v>
      </c>
      <c r="CS39" s="19" t="s">
        <v>10</v>
      </c>
      <c r="CT39" s="19" t="s">
        <v>8</v>
      </c>
      <c r="CU39" s="19" t="s">
        <v>24</v>
      </c>
      <c r="CV39" s="19" t="s">
        <v>11</v>
      </c>
      <c r="CW39" s="19" t="s">
        <v>24</v>
      </c>
      <c r="CX39" s="19" t="s">
        <v>10</v>
      </c>
      <c r="CY39" s="19" t="s">
        <v>8</v>
      </c>
      <c r="CZ39" s="19" t="s">
        <v>10</v>
      </c>
      <c r="DA39" s="19" t="s">
        <v>27</v>
      </c>
      <c r="DB39" s="19" t="s">
        <v>24</v>
      </c>
      <c r="DC39" s="19" t="s">
        <v>10</v>
      </c>
      <c r="DD39" s="19" t="s">
        <v>24</v>
      </c>
      <c r="DE39" s="19" t="s">
        <v>8</v>
      </c>
      <c r="DF39" s="19" t="s">
        <v>26</v>
      </c>
      <c r="DG39" s="19" t="s">
        <v>8</v>
      </c>
      <c r="DH39" s="19" t="s">
        <v>27</v>
      </c>
      <c r="DI39" s="19" t="s">
        <v>24</v>
      </c>
      <c r="DJ39" s="19" t="s">
        <v>16</v>
      </c>
      <c r="DK39" s="19" t="s">
        <v>27</v>
      </c>
      <c r="DL39" s="19" t="s">
        <v>10</v>
      </c>
      <c r="DM39" s="19" t="s">
        <v>8</v>
      </c>
      <c r="DN39" s="19" t="s">
        <v>24</v>
      </c>
      <c r="DO39" s="19" t="s">
        <v>10</v>
      </c>
      <c r="DP39" s="19" t="s">
        <v>16</v>
      </c>
      <c r="DQ39" s="19" t="s">
        <v>10</v>
      </c>
      <c r="DR39" s="19" t="s">
        <v>16</v>
      </c>
      <c r="DS39" s="19" t="s">
        <v>8</v>
      </c>
      <c r="DT39" s="19" t="s">
        <v>10</v>
      </c>
      <c r="DU39" s="19" t="s">
        <v>24</v>
      </c>
      <c r="DV39" s="19" t="s">
        <v>27</v>
      </c>
      <c r="DW39" s="19" t="s">
        <v>26</v>
      </c>
      <c r="DX39" s="19" t="s">
        <v>26</v>
      </c>
      <c r="DY39" s="19" t="s">
        <v>26</v>
      </c>
      <c r="DZ39" s="19" t="s">
        <v>24</v>
      </c>
      <c r="EA39" s="19" t="s">
        <v>8</v>
      </c>
      <c r="EB39" s="19" t="s">
        <v>9</v>
      </c>
      <c r="EC39" s="19" t="s">
        <v>26</v>
      </c>
      <c r="ED39" s="19" t="s">
        <v>27</v>
      </c>
      <c r="EE39" s="19" t="s">
        <v>27</v>
      </c>
      <c r="EF39" s="19" t="s">
        <v>10</v>
      </c>
      <c r="EG39" s="19" t="s">
        <v>8</v>
      </c>
      <c r="EH39" s="19" t="s">
        <v>8</v>
      </c>
      <c r="EI39" s="19" t="s">
        <v>24</v>
      </c>
      <c r="EJ39" s="19" t="s">
        <v>11</v>
      </c>
      <c r="EK39" s="19" t="s">
        <v>8</v>
      </c>
      <c r="EL39" s="19" t="s">
        <v>8</v>
      </c>
      <c r="EM39" s="19" t="s">
        <v>8</v>
      </c>
      <c r="EN39" s="19" t="s">
        <v>27</v>
      </c>
      <c r="EO39" s="19" t="s">
        <v>16</v>
      </c>
      <c r="EP39" s="19" t="s">
        <v>24</v>
      </c>
      <c r="EQ39" s="19" t="s">
        <v>8</v>
      </c>
      <c r="ER39" s="19" t="s">
        <v>16</v>
      </c>
      <c r="ES39" s="19" t="s">
        <v>10</v>
      </c>
      <c r="ET39" s="19" t="s">
        <v>26</v>
      </c>
      <c r="EU39" s="19" t="s">
        <v>10</v>
      </c>
      <c r="EV39" s="19" t="s">
        <v>16</v>
      </c>
      <c r="EW39" s="19" t="s">
        <v>27</v>
      </c>
      <c r="EX39" s="19" t="s">
        <v>27</v>
      </c>
      <c r="EY39" s="19" t="s">
        <v>10</v>
      </c>
      <c r="EZ39" s="19" t="s">
        <v>10</v>
      </c>
      <c r="FA39" s="19" t="s">
        <v>8</v>
      </c>
      <c r="FB39" s="19" t="s">
        <v>11</v>
      </c>
      <c r="FC39" s="19" t="s">
        <v>16</v>
      </c>
      <c r="FD39" s="19" t="s">
        <v>21</v>
      </c>
      <c r="FE39" s="19" t="s">
        <v>26</v>
      </c>
      <c r="FF39" s="19" t="s">
        <v>8</v>
      </c>
      <c r="FG39" s="19" t="s">
        <v>31</v>
      </c>
      <c r="FH39" s="19" t="s">
        <v>31</v>
      </c>
      <c r="FI39" s="19" t="s">
        <v>26</v>
      </c>
      <c r="FJ39" s="19" t="s">
        <v>24</v>
      </c>
      <c r="FK39" s="19" t="s">
        <v>24</v>
      </c>
      <c r="FL39" s="19" t="s">
        <v>26</v>
      </c>
      <c r="FM39" s="19" t="s">
        <v>31</v>
      </c>
      <c r="FN39" s="19" t="s">
        <v>24</v>
      </c>
      <c r="FO39" s="19" t="s">
        <v>28</v>
      </c>
      <c r="FP39" s="19" t="s">
        <v>10</v>
      </c>
      <c r="FQ39" s="19" t="s">
        <v>21</v>
      </c>
      <c r="FR39" s="19" t="s">
        <v>24</v>
      </c>
      <c r="FS39" s="19" t="s">
        <v>26</v>
      </c>
      <c r="FT39" s="19" t="s">
        <v>27</v>
      </c>
      <c r="FU39" s="19" t="s">
        <v>10</v>
      </c>
      <c r="FV39" s="19" t="s">
        <v>27</v>
      </c>
      <c r="FW39" s="19" t="s">
        <v>26</v>
      </c>
      <c r="FX39" s="19" t="s">
        <v>27</v>
      </c>
      <c r="FY39" s="19" t="s">
        <v>21</v>
      </c>
      <c r="FZ39" s="19" t="s">
        <v>10</v>
      </c>
      <c r="GA39" s="19" t="s">
        <v>24</v>
      </c>
      <c r="GB39" s="19" t="s">
        <v>8</v>
      </c>
      <c r="GC39" s="19" t="s">
        <v>8</v>
      </c>
      <c r="GD39" s="19" t="s">
        <v>8</v>
      </c>
      <c r="GE39" s="19" t="s">
        <v>24</v>
      </c>
      <c r="GF39" s="19" t="s">
        <v>24</v>
      </c>
      <c r="GG39" s="19" t="s">
        <v>8</v>
      </c>
      <c r="GH39" s="19" t="s">
        <v>24</v>
      </c>
      <c r="GI39" s="19" t="s">
        <v>26</v>
      </c>
      <c r="GJ39" s="19" t="s">
        <v>8</v>
      </c>
      <c r="GK39" s="19" t="s">
        <v>24</v>
      </c>
      <c r="GL39" s="19" t="s">
        <v>24</v>
      </c>
      <c r="GM39" s="19" t="s">
        <v>24</v>
      </c>
      <c r="GN39" s="19" t="s">
        <v>24</v>
      </c>
      <c r="GO39" s="19" t="s">
        <v>24</v>
      </c>
      <c r="GP39" s="19" t="s">
        <v>28</v>
      </c>
      <c r="GQ39" s="19" t="s">
        <v>11</v>
      </c>
      <c r="GR39" s="19" t="s">
        <v>11</v>
      </c>
      <c r="GS39" s="19" t="s">
        <v>26</v>
      </c>
      <c r="GT39" s="19" t="s">
        <v>31</v>
      </c>
      <c r="GU39" s="19" t="s">
        <v>24</v>
      </c>
      <c r="GV39" s="19" t="s">
        <v>26</v>
      </c>
      <c r="GW39" s="19" t="s">
        <v>8</v>
      </c>
      <c r="GX39" s="19" t="s">
        <v>24</v>
      </c>
      <c r="GY39" s="19" t="s">
        <v>16</v>
      </c>
      <c r="GZ39" s="19" t="s">
        <v>16</v>
      </c>
      <c r="HA39" s="19" t="s">
        <v>27</v>
      </c>
      <c r="HB39" s="19" t="s">
        <v>8</v>
      </c>
      <c r="HC39" s="19" t="s">
        <v>27</v>
      </c>
      <c r="HD39" s="19" t="s">
        <v>28</v>
      </c>
      <c r="HE39" s="19" t="s">
        <v>27</v>
      </c>
      <c r="HF39" s="19" t="s">
        <v>10</v>
      </c>
      <c r="HG39" s="19" t="s">
        <v>24</v>
      </c>
      <c r="HH39" s="19" t="s">
        <v>11</v>
      </c>
      <c r="HI39" s="19" t="s">
        <v>23</v>
      </c>
      <c r="HJ39" s="19" t="s">
        <v>27</v>
      </c>
      <c r="HK39" s="19" t="s">
        <v>26</v>
      </c>
      <c r="HL39" s="19" t="s">
        <v>10</v>
      </c>
      <c r="HM39" s="19" t="s">
        <v>8</v>
      </c>
      <c r="HN39" s="19" t="s">
        <v>8</v>
      </c>
      <c r="HO39" s="19" t="s">
        <v>11</v>
      </c>
      <c r="HP39" s="19" t="s">
        <v>11</v>
      </c>
      <c r="HQ39" s="19" t="s">
        <v>11</v>
      </c>
      <c r="HR39" s="19" t="s">
        <v>28</v>
      </c>
      <c r="HS39" s="19" t="s">
        <v>26</v>
      </c>
      <c r="HT39" s="19" t="s">
        <v>8</v>
      </c>
      <c r="HU39" s="19" t="s">
        <v>11</v>
      </c>
      <c r="HV39" s="19" t="s">
        <v>11</v>
      </c>
      <c r="HW39" s="19" t="s">
        <v>24</v>
      </c>
      <c r="HX39" s="19" t="s">
        <v>27</v>
      </c>
      <c r="HY39" s="19" t="s">
        <v>24</v>
      </c>
      <c r="HZ39" s="19" t="s">
        <v>11</v>
      </c>
      <c r="IA39" s="19" t="s">
        <v>11</v>
      </c>
      <c r="IB39" s="19" t="s">
        <v>26</v>
      </c>
      <c r="IC39" s="19" t="s">
        <v>12</v>
      </c>
      <c r="ID39" s="19" t="s">
        <v>10</v>
      </c>
      <c r="IE39" s="19" t="s">
        <v>24</v>
      </c>
      <c r="IF39" s="19" t="s">
        <v>10</v>
      </c>
      <c r="IG39" s="19" t="s">
        <v>19</v>
      </c>
      <c r="IH39" s="19" t="s">
        <v>8</v>
      </c>
      <c r="II39" s="19" t="s">
        <v>11</v>
      </c>
      <c r="IJ39" s="19" t="s">
        <v>10</v>
      </c>
      <c r="IK39" s="19" t="s">
        <v>8</v>
      </c>
      <c r="IL39" s="19" t="s">
        <v>8</v>
      </c>
      <c r="IM39" s="19" t="s">
        <v>11</v>
      </c>
      <c r="IN39" s="19" t="s">
        <v>24</v>
      </c>
      <c r="IO39" s="19" t="s">
        <v>24</v>
      </c>
      <c r="IP39" s="19" t="s">
        <v>13</v>
      </c>
      <c r="IQ39" s="19" t="s">
        <v>8</v>
      </c>
      <c r="IR39" s="19" t="s">
        <v>24</v>
      </c>
      <c r="IS39" s="19" t="s">
        <v>27</v>
      </c>
      <c r="IT39" s="19" t="s">
        <v>26</v>
      </c>
      <c r="IU39" s="19" t="s">
        <v>24</v>
      </c>
      <c r="IV39" s="19" t="s">
        <v>24</v>
      </c>
      <c r="IW39" s="19" t="s">
        <v>10</v>
      </c>
      <c r="IX39" s="19" t="s">
        <v>24</v>
      </c>
      <c r="IY39" s="19" t="s">
        <v>19</v>
      </c>
      <c r="IZ39" s="19" t="s">
        <v>10</v>
      </c>
      <c r="JA39" s="19" t="s">
        <v>11</v>
      </c>
      <c r="JB39" s="19" t="s">
        <v>24</v>
      </c>
      <c r="JC39" s="19" t="s">
        <v>11</v>
      </c>
      <c r="JD39" s="19" t="s">
        <v>24</v>
      </c>
      <c r="JE39" s="19" t="s">
        <v>11</v>
      </c>
      <c r="JF39" s="19" t="s">
        <v>26</v>
      </c>
      <c r="JG39" s="19" t="s">
        <v>10</v>
      </c>
      <c r="JH39" s="19" t="s">
        <v>27</v>
      </c>
      <c r="JI39" s="19" t="s">
        <v>8</v>
      </c>
      <c r="JJ39" s="19" t="s">
        <v>27</v>
      </c>
      <c r="JK39" s="19" t="s">
        <v>24</v>
      </c>
      <c r="JL39" s="19" t="s">
        <v>27</v>
      </c>
      <c r="JM39" s="19" t="s">
        <v>11</v>
      </c>
      <c r="JN39" s="19" t="s">
        <v>8</v>
      </c>
      <c r="JO39" s="19" t="s">
        <v>24</v>
      </c>
      <c r="JP39" s="19" t="s">
        <v>26</v>
      </c>
      <c r="JQ39" s="19" t="s">
        <v>24</v>
      </c>
      <c r="JR39" s="19" t="s">
        <v>11</v>
      </c>
      <c r="JS39" s="19" t="s">
        <v>8</v>
      </c>
      <c r="JT39" s="19" t="s">
        <v>10</v>
      </c>
      <c r="JU39" s="19" t="s">
        <v>11</v>
      </c>
      <c r="JV39" s="19" t="s">
        <v>24</v>
      </c>
      <c r="JW39" s="19" t="s">
        <v>16</v>
      </c>
      <c r="JX39" s="19" t="s">
        <v>11</v>
      </c>
      <c r="JY39" s="19" t="s">
        <v>24</v>
      </c>
      <c r="JZ39" s="19" t="s">
        <v>27</v>
      </c>
      <c r="KA39" s="19" t="s">
        <v>5</v>
      </c>
      <c r="KB39" s="19" t="s">
        <v>8</v>
      </c>
      <c r="KC39" s="19" t="s">
        <v>8</v>
      </c>
      <c r="KD39" s="19" t="s">
        <v>27</v>
      </c>
      <c r="KE39" s="19" t="s">
        <v>10</v>
      </c>
      <c r="KF39" s="19" t="s">
        <v>11</v>
      </c>
      <c r="KG39" s="19" t="s">
        <v>10</v>
      </c>
      <c r="KH39" s="19" t="s">
        <v>8</v>
      </c>
      <c r="KI39" s="19" t="s">
        <v>10</v>
      </c>
      <c r="KJ39" s="19" t="s">
        <v>10</v>
      </c>
      <c r="KK39" s="19" t="s">
        <v>24</v>
      </c>
      <c r="KL39" s="19" t="s">
        <v>10</v>
      </c>
      <c r="KM39" s="19" t="s">
        <v>26</v>
      </c>
      <c r="KN39" s="19" t="s">
        <v>26</v>
      </c>
      <c r="KO39" s="19" t="s">
        <v>28</v>
      </c>
      <c r="KP39" s="19" t="s">
        <v>5</v>
      </c>
      <c r="KQ39" s="19" t="s">
        <v>20</v>
      </c>
      <c r="KR39" s="19" t="s">
        <v>10</v>
      </c>
      <c r="KS39" s="19" t="s">
        <v>11</v>
      </c>
      <c r="KT39" s="19" t="s">
        <v>24</v>
      </c>
      <c r="KU39" s="19" t="s">
        <v>16</v>
      </c>
      <c r="KV39" s="19" t="s">
        <v>10</v>
      </c>
      <c r="KW39" s="19" t="s">
        <v>17</v>
      </c>
      <c r="KX39" s="19" t="s">
        <v>26</v>
      </c>
      <c r="KY39" s="19" t="s">
        <v>8</v>
      </c>
      <c r="KZ39" s="19" t="s">
        <v>26</v>
      </c>
      <c r="LA39" s="19" t="s">
        <v>10</v>
      </c>
      <c r="LB39" s="19" t="s">
        <v>10</v>
      </c>
      <c r="LC39" s="19" t="s">
        <v>11</v>
      </c>
      <c r="LD39" s="19" t="s">
        <v>26</v>
      </c>
      <c r="LE39" s="19" t="s">
        <v>23</v>
      </c>
      <c r="LF39" s="19" t="s">
        <v>8</v>
      </c>
      <c r="LG39" s="19" t="s">
        <v>11</v>
      </c>
      <c r="LH39" s="19" t="s">
        <v>24</v>
      </c>
      <c r="LI39" s="19" t="s">
        <v>10</v>
      </c>
      <c r="LJ39" s="19" t="s">
        <v>27</v>
      </c>
      <c r="LK39" s="19" t="s">
        <v>10</v>
      </c>
      <c r="LL39" s="19" t="s">
        <v>26</v>
      </c>
      <c r="LM39" s="19" t="s">
        <v>8</v>
      </c>
      <c r="LN39" s="19" t="s">
        <v>11</v>
      </c>
      <c r="LO39" s="19" t="s">
        <v>26</v>
      </c>
      <c r="LP39" s="19" t="s">
        <v>16</v>
      </c>
      <c r="LQ39" s="19" t="s">
        <v>26</v>
      </c>
      <c r="LR39" s="19" t="s">
        <v>8</v>
      </c>
      <c r="LS39" s="19" t="s">
        <v>24</v>
      </c>
      <c r="LT39" s="19" t="s">
        <v>29</v>
      </c>
      <c r="LU39" s="19" t="s">
        <v>24</v>
      </c>
      <c r="LV39" s="19" t="s">
        <v>10</v>
      </c>
      <c r="LW39" s="19" t="s">
        <v>10</v>
      </c>
      <c r="LX39" s="19" t="s">
        <v>10</v>
      </c>
      <c r="LY39" s="19" t="s">
        <v>24</v>
      </c>
      <c r="LZ39" s="19" t="s">
        <v>26</v>
      </c>
      <c r="MA39" s="19" t="s">
        <v>26</v>
      </c>
      <c r="MB39" s="19" t="s">
        <v>26</v>
      </c>
      <c r="MC39" s="19" t="s">
        <v>26</v>
      </c>
      <c r="MD39" s="19" t="s">
        <v>8</v>
      </c>
      <c r="ME39" s="19" t="s">
        <v>8</v>
      </c>
      <c r="MF39" s="19" t="s">
        <v>24</v>
      </c>
      <c r="MG39" s="19" t="s">
        <v>10</v>
      </c>
      <c r="MH39" s="19" t="s">
        <v>8</v>
      </c>
      <c r="MI39" s="19" t="s">
        <v>27</v>
      </c>
      <c r="MJ39" s="19" t="s">
        <v>10</v>
      </c>
      <c r="MK39" s="19" t="s">
        <v>21</v>
      </c>
      <c r="ML39" s="19" t="s">
        <v>27</v>
      </c>
      <c r="MM39" s="19" t="s">
        <v>10</v>
      </c>
      <c r="MN39" s="19" t="s">
        <v>11</v>
      </c>
      <c r="MO39" s="19" t="s">
        <v>10</v>
      </c>
      <c r="MP39" s="19" t="s">
        <v>26</v>
      </c>
      <c r="MQ39" s="19" t="s">
        <v>24</v>
      </c>
      <c r="MR39" s="19" t="s">
        <v>26</v>
      </c>
      <c r="MS39" s="19" t="s">
        <v>26</v>
      </c>
      <c r="MT39" s="19" t="s">
        <v>31</v>
      </c>
      <c r="MU39" s="19" t="s">
        <v>24</v>
      </c>
      <c r="MV39" s="19" t="s">
        <v>26</v>
      </c>
      <c r="MW39" s="19" t="s">
        <v>26</v>
      </c>
      <c r="MX39" s="19" t="s">
        <v>10</v>
      </c>
      <c r="MY39" s="19" t="s">
        <v>26</v>
      </c>
      <c r="MZ39" s="19" t="s">
        <v>26</v>
      </c>
      <c r="NA39" s="19" t="s">
        <v>10</v>
      </c>
      <c r="NB39" s="19" t="s">
        <v>10</v>
      </c>
      <c r="NC39" s="19" t="s">
        <v>26</v>
      </c>
      <c r="ND39" s="19" t="s">
        <v>10</v>
      </c>
      <c r="NE39" s="19" t="s">
        <v>26</v>
      </c>
      <c r="NF39" s="19" t="s">
        <v>26</v>
      </c>
      <c r="NG39" s="19" t="s">
        <v>8</v>
      </c>
      <c r="NH39" s="19" t="s">
        <v>24</v>
      </c>
      <c r="NI39" s="19" t="s">
        <v>10</v>
      </c>
      <c r="NJ39" s="19" t="s">
        <v>10</v>
      </c>
      <c r="NK39" s="19" t="s">
        <v>24</v>
      </c>
      <c r="NL39" s="19" t="s">
        <v>31</v>
      </c>
      <c r="NM39" s="19" t="s">
        <v>31</v>
      </c>
      <c r="NN39" s="19" t="s">
        <v>31</v>
      </c>
      <c r="NO39" s="19" t="s">
        <v>11</v>
      </c>
      <c r="NP39" s="19" t="s">
        <v>11</v>
      </c>
      <c r="NQ39" s="19" t="s">
        <v>11</v>
      </c>
      <c r="NR39" s="19" t="s">
        <v>8</v>
      </c>
      <c r="NS39" s="19" t="s">
        <v>10</v>
      </c>
      <c r="NT39" s="19" t="s">
        <v>27</v>
      </c>
      <c r="NU39" s="19" t="s">
        <v>32</v>
      </c>
      <c r="NV39" s="19" t="s">
        <v>24</v>
      </c>
      <c r="NW39" s="19" t="s">
        <v>10</v>
      </c>
      <c r="NX39" s="19" t="s">
        <v>27</v>
      </c>
      <c r="NY39" s="19" t="s">
        <v>24</v>
      </c>
      <c r="NZ39" s="19" t="s">
        <v>11</v>
      </c>
      <c r="OA39" s="19" t="s">
        <v>26</v>
      </c>
      <c r="OB39" s="19" t="s">
        <v>8</v>
      </c>
      <c r="OC39" s="19" t="s">
        <v>24</v>
      </c>
      <c r="OD39" s="19" t="s">
        <v>24</v>
      </c>
      <c r="OE39" s="19" t="s">
        <v>26</v>
      </c>
      <c r="OF39" s="19" t="s">
        <v>26</v>
      </c>
      <c r="OG39" s="19" t="s">
        <v>26</v>
      </c>
      <c r="OH39" s="19" t="s">
        <v>24</v>
      </c>
      <c r="OI39" s="19" t="s">
        <v>26</v>
      </c>
      <c r="OJ39" s="19" t="s">
        <v>10</v>
      </c>
      <c r="OK39" s="19" t="s">
        <v>10</v>
      </c>
      <c r="OL39" s="19" t="s">
        <v>24</v>
      </c>
      <c r="OM39" s="19" t="s">
        <v>24</v>
      </c>
      <c r="ON39" s="19" t="s">
        <v>24</v>
      </c>
      <c r="OO39" s="19" t="s">
        <v>8</v>
      </c>
      <c r="OP39" s="19" t="s">
        <v>10</v>
      </c>
      <c r="OQ39" s="19" t="s">
        <v>24</v>
      </c>
      <c r="OR39" s="19" t="s">
        <v>24</v>
      </c>
      <c r="OS39" s="19" t="s">
        <v>10</v>
      </c>
      <c r="OT39" s="19" t="s">
        <v>27</v>
      </c>
      <c r="OU39" s="19" t="s">
        <v>10</v>
      </c>
      <c r="OV39" s="19" t="s">
        <v>24</v>
      </c>
      <c r="OW39" s="19" t="s">
        <v>10</v>
      </c>
      <c r="OX39" s="19" t="s">
        <v>8</v>
      </c>
      <c r="OY39" s="19" t="s">
        <v>16</v>
      </c>
      <c r="OZ39" s="19" t="s">
        <v>10</v>
      </c>
      <c r="PA39" s="19" t="s">
        <v>26</v>
      </c>
      <c r="PB39" s="19" t="s">
        <v>10</v>
      </c>
      <c r="PC39" s="19" t="s">
        <v>10</v>
      </c>
      <c r="PD39" s="19" t="s">
        <v>10</v>
      </c>
      <c r="PE39" s="19" t="s">
        <v>24</v>
      </c>
      <c r="PF39" s="19" t="s">
        <v>8</v>
      </c>
      <c r="PG39" s="19" t="s">
        <v>24</v>
      </c>
      <c r="PH39" s="19" t="s">
        <v>21</v>
      </c>
      <c r="PI39" s="19" t="s">
        <v>8</v>
      </c>
      <c r="PJ39" s="19" t="s">
        <v>24</v>
      </c>
      <c r="PK39" s="19" t="s">
        <v>10</v>
      </c>
      <c r="PL39" s="19" t="s">
        <v>27</v>
      </c>
      <c r="PM39" s="19" t="s">
        <v>10</v>
      </c>
      <c r="PN39" s="19" t="s">
        <v>24</v>
      </c>
      <c r="PO39" s="19" t="s">
        <v>10</v>
      </c>
      <c r="PP39" s="19" t="s">
        <v>8</v>
      </c>
      <c r="PQ39" s="19" t="s">
        <v>24</v>
      </c>
      <c r="PR39" s="19" t="s">
        <v>8</v>
      </c>
      <c r="PS39" s="19" t="s">
        <v>11</v>
      </c>
      <c r="PT39" s="19" t="s">
        <v>8</v>
      </c>
      <c r="PU39" s="19" t="s">
        <v>24</v>
      </c>
      <c r="PV39" s="19" t="s">
        <v>26</v>
      </c>
      <c r="PW39" s="19" t="s">
        <v>8</v>
      </c>
      <c r="PX39" s="19" t="s">
        <v>27</v>
      </c>
      <c r="PY39" s="19" t="s">
        <v>26</v>
      </c>
      <c r="PZ39" s="19" t="s">
        <v>10</v>
      </c>
      <c r="QA39" s="19" t="s">
        <v>11</v>
      </c>
      <c r="QB39" s="19" t="s">
        <v>24</v>
      </c>
      <c r="QC39" s="19" t="s">
        <v>26</v>
      </c>
      <c r="QD39" s="19" t="s">
        <v>24</v>
      </c>
      <c r="QE39" s="19" t="s">
        <v>24</v>
      </c>
      <c r="QF39" s="19" t="s">
        <v>26</v>
      </c>
      <c r="QG39" s="19" t="s">
        <v>27</v>
      </c>
      <c r="QH39" s="19" t="s">
        <v>8</v>
      </c>
      <c r="QI39" s="19" t="s">
        <v>24</v>
      </c>
      <c r="QJ39" s="19" t="s">
        <v>24</v>
      </c>
      <c r="QK39" s="19" t="s">
        <v>24</v>
      </c>
      <c r="QL39" s="19" t="s">
        <v>26</v>
      </c>
      <c r="QM39" s="19" t="s">
        <v>10</v>
      </c>
      <c r="QN39" s="19" t="s">
        <v>24</v>
      </c>
      <c r="QO39" s="19" t="s">
        <v>10</v>
      </c>
      <c r="QP39" s="19" t="s">
        <v>10</v>
      </c>
      <c r="QQ39" s="19" t="s">
        <v>26</v>
      </c>
      <c r="QR39" s="19" t="s">
        <v>10</v>
      </c>
      <c r="QS39" s="19" t="s">
        <v>10</v>
      </c>
      <c r="QT39" s="19" t="s">
        <v>11</v>
      </c>
      <c r="QU39" s="19" t="s">
        <v>27</v>
      </c>
      <c r="QV39" s="19" t="s">
        <v>22</v>
      </c>
      <c r="QW39" s="19" t="s">
        <v>24</v>
      </c>
      <c r="QX39" s="19" t="s">
        <v>27</v>
      </c>
      <c r="QY39" s="19" t="s">
        <v>11</v>
      </c>
      <c r="QZ39" s="19" t="s">
        <v>11</v>
      </c>
      <c r="RA39" s="19" t="s">
        <v>10</v>
      </c>
      <c r="RB39" s="19" t="s">
        <v>16</v>
      </c>
      <c r="RC39" s="19" t="s">
        <v>10</v>
      </c>
      <c r="RD39" s="19" t="s">
        <v>21</v>
      </c>
      <c r="RE39" s="19" t="s">
        <v>20</v>
      </c>
      <c r="RF39" s="19" t="s">
        <v>11</v>
      </c>
      <c r="RG39" s="19" t="s">
        <v>26</v>
      </c>
      <c r="RH39" s="19" t="s">
        <v>10</v>
      </c>
      <c r="RI39" s="19" t="s">
        <v>24</v>
      </c>
      <c r="RJ39" s="19" t="s">
        <v>26</v>
      </c>
      <c r="RK39" s="19" t="s">
        <v>26</v>
      </c>
      <c r="RL39" s="19" t="s">
        <v>8</v>
      </c>
      <c r="RM39" s="19" t="s">
        <v>8</v>
      </c>
      <c r="RN39" s="19" t="s">
        <v>10</v>
      </c>
      <c r="RO39" s="19" t="s">
        <v>26</v>
      </c>
      <c r="RP39" s="19" t="s">
        <v>24</v>
      </c>
      <c r="RQ39" s="19" t="s">
        <v>10</v>
      </c>
      <c r="RR39" s="19" t="s">
        <v>26</v>
      </c>
      <c r="RS39" s="19" t="s">
        <v>10</v>
      </c>
      <c r="RT39" s="19" t="s">
        <v>26</v>
      </c>
      <c r="RU39" s="19" t="s">
        <v>24</v>
      </c>
      <c r="RV39" s="19" t="s">
        <v>26</v>
      </c>
      <c r="RW39" s="19" t="s">
        <v>21</v>
      </c>
      <c r="RX39" s="19" t="s">
        <v>21</v>
      </c>
      <c r="RY39" s="19" t="s">
        <v>8</v>
      </c>
      <c r="RZ39" s="19" t="s">
        <v>11</v>
      </c>
      <c r="SA39" s="19" t="s">
        <v>8</v>
      </c>
      <c r="SB39" s="19" t="s">
        <v>8</v>
      </c>
      <c r="SC39" s="19" t="s">
        <v>12</v>
      </c>
      <c r="SD39" s="19" t="s">
        <v>24</v>
      </c>
      <c r="SE39" s="19" t="s">
        <v>24</v>
      </c>
      <c r="SF39" s="19" t="s">
        <v>24</v>
      </c>
      <c r="SG39" s="19" t="s">
        <v>10</v>
      </c>
      <c r="SH39" s="19" t="s">
        <v>11</v>
      </c>
      <c r="SI39" s="19" t="s">
        <v>24</v>
      </c>
      <c r="SJ39" s="19" t="s">
        <v>13</v>
      </c>
      <c r="SK39" s="19" t="s">
        <v>10</v>
      </c>
      <c r="SL39" s="19" t="s">
        <v>26</v>
      </c>
      <c r="SM39" s="19" t="s">
        <v>24</v>
      </c>
      <c r="SN39" s="19" t="s">
        <v>24</v>
      </c>
      <c r="SO39" s="19" t="s">
        <v>8</v>
      </c>
      <c r="SP39" s="19" t="s">
        <v>11</v>
      </c>
      <c r="SQ39" s="19" t="s">
        <v>21</v>
      </c>
      <c r="SR39" s="19" t="s">
        <v>24</v>
      </c>
      <c r="SS39" s="19" t="s">
        <v>26</v>
      </c>
      <c r="ST39" s="19" t="s">
        <v>8</v>
      </c>
      <c r="SU39" s="19" t="s">
        <v>8</v>
      </c>
      <c r="SV39" s="19" t="s">
        <v>24</v>
      </c>
      <c r="SW39" s="19" t="s">
        <v>26</v>
      </c>
      <c r="SX39" s="19" t="s">
        <v>11</v>
      </c>
      <c r="SY39" s="19" t="s">
        <v>24</v>
      </c>
      <c r="SZ39" s="19" t="s">
        <v>27</v>
      </c>
      <c r="TA39" s="19" t="s">
        <v>10</v>
      </c>
      <c r="TB39" s="19" t="s">
        <v>10</v>
      </c>
      <c r="TC39" s="19" t="s">
        <v>31</v>
      </c>
      <c r="TD39" s="19" t="s">
        <v>24</v>
      </c>
      <c r="TE39" s="19" t="s">
        <v>27</v>
      </c>
      <c r="TF39" s="19" t="s">
        <v>10</v>
      </c>
      <c r="TG39" s="19" t="s">
        <v>24</v>
      </c>
      <c r="TH39" s="19" t="s">
        <v>26</v>
      </c>
      <c r="TI39" s="19" t="s">
        <v>10</v>
      </c>
      <c r="TJ39" s="19" t="s">
        <v>26</v>
      </c>
      <c r="TK39" s="19" t="s">
        <v>24</v>
      </c>
      <c r="TL39" s="19" t="s">
        <v>8</v>
      </c>
      <c r="TM39" s="19" t="s">
        <v>8</v>
      </c>
      <c r="TN39" s="19" t="s">
        <v>24</v>
      </c>
      <c r="TO39" s="19" t="s">
        <v>26</v>
      </c>
      <c r="TP39" s="19" t="s">
        <v>26</v>
      </c>
      <c r="TQ39" s="19" t="s">
        <v>24</v>
      </c>
      <c r="TR39" s="19" t="s">
        <v>21</v>
      </c>
      <c r="TS39" s="19" t="s">
        <v>21</v>
      </c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  <c r="YR39" s="19"/>
      <c r="YS39" s="19"/>
      <c r="YT39" s="19"/>
      <c r="YU39" s="19"/>
      <c r="YV39" s="19"/>
      <c r="YW39" s="19"/>
      <c r="YX39" s="19"/>
      <c r="YY39" s="19"/>
      <c r="YZ39" s="19"/>
      <c r="ZA39" s="19"/>
      <c r="ZB39" s="19"/>
      <c r="ZC39" s="19"/>
      <c r="ZD39" s="19"/>
      <c r="ZE39" s="19"/>
      <c r="ZF39" s="19"/>
      <c r="ZG39" s="19"/>
      <c r="ZH39" s="19"/>
      <c r="ZI39" s="19"/>
      <c r="ZJ39" s="19"/>
      <c r="ZK39" s="19"/>
      <c r="ZL39" s="19"/>
      <c r="ZM39" s="19"/>
      <c r="ZN39" s="19"/>
      <c r="ZO39" s="19"/>
      <c r="ZP39" s="19"/>
      <c r="ZQ39" s="19"/>
      <c r="ZR39" s="19"/>
      <c r="ZS39" s="19"/>
      <c r="ZT39" s="19"/>
      <c r="ZU39" s="19"/>
      <c r="ZV39" s="19"/>
      <c r="ZW39" s="19"/>
      <c r="ZX39" s="19"/>
      <c r="ZY39" s="19"/>
      <c r="ZZ39" s="19"/>
      <c r="AAA39" s="19"/>
      <c r="AAB39" s="19"/>
      <c r="AAC39" s="19"/>
      <c r="AAD39" s="19"/>
      <c r="AAE39" s="19"/>
      <c r="AAF39" s="19"/>
      <c r="AAG39" s="19"/>
      <c r="AAH39" s="19"/>
      <c r="AAI39" s="19"/>
      <c r="AAJ39" s="19"/>
      <c r="AAK39" s="19"/>
      <c r="AAL39" s="19"/>
      <c r="AAM39" s="19"/>
      <c r="AAN39" s="19"/>
      <c r="AAO39" s="19"/>
      <c r="AAP39" s="19"/>
      <c r="AAQ39" s="19"/>
      <c r="AAR39" s="19"/>
      <c r="AAS39" s="19"/>
      <c r="AAT39" s="19"/>
      <c r="AAU39" s="19"/>
      <c r="AAV39" s="19"/>
      <c r="AAW39" s="19"/>
      <c r="AAX39" s="19"/>
      <c r="AAY39" s="19"/>
      <c r="AAZ39" s="19"/>
      <c r="ABA39" s="19"/>
      <c r="ABB39" s="19"/>
      <c r="ABC39" s="19"/>
      <c r="ABD39" s="19"/>
      <c r="ABE39" s="19"/>
      <c r="ABF39" s="19"/>
      <c r="ABG39" s="19"/>
      <c r="ABH39" s="19"/>
      <c r="ABI39" s="19"/>
      <c r="ABJ39" s="19"/>
      <c r="ABK39" s="19"/>
      <c r="ABL39" s="19"/>
      <c r="ABM39" s="19"/>
      <c r="ABN39" s="19"/>
      <c r="ABO39" s="19"/>
      <c r="ABP39" s="19"/>
      <c r="ABQ39" s="19"/>
      <c r="ABR39" s="19"/>
      <c r="ABS39" s="19"/>
      <c r="ABT39" s="19"/>
      <c r="ABU39" s="19"/>
      <c r="ABV39" s="19"/>
      <c r="ABW39" s="19"/>
      <c r="ABX39" s="19"/>
      <c r="ABY39" s="19"/>
      <c r="ABZ39" s="19"/>
      <c r="ACA39" s="19"/>
      <c r="ACB39" s="19"/>
      <c r="ACC39" s="19"/>
      <c r="ACD39" s="19"/>
      <c r="ACE39" s="19"/>
      <c r="ACF39" s="19"/>
      <c r="ACG39" s="19"/>
      <c r="ACH39" s="19"/>
      <c r="ACI39" s="19"/>
      <c r="ACJ39" s="19"/>
      <c r="ACK39" s="19"/>
      <c r="ACL39" s="19"/>
      <c r="ACM39" s="19"/>
      <c r="ACN39" s="19"/>
      <c r="ACO39" s="19"/>
      <c r="ACP39" s="19"/>
      <c r="ACQ39" s="19"/>
      <c r="ACR39" s="19"/>
      <c r="ACS39" s="19"/>
      <c r="ACT39" s="19"/>
      <c r="ACU39" s="19"/>
      <c r="ACV39" s="19"/>
      <c r="ACW39" s="19"/>
      <c r="ACX39" s="19"/>
      <c r="ACY39" s="19"/>
      <c r="ACZ39" s="19"/>
      <c r="ADA39" s="19"/>
      <c r="ADB39" s="19"/>
      <c r="ADC39" s="19"/>
      <c r="ADD39" s="19"/>
      <c r="ADE39" s="19"/>
      <c r="ADF39" s="19"/>
      <c r="ADG39" s="19"/>
      <c r="ADH39" s="19"/>
      <c r="ADI39" s="19"/>
      <c r="ADJ39" s="19"/>
      <c r="ADK39" s="19"/>
      <c r="ADL39" s="19"/>
      <c r="ADM39" s="19"/>
      <c r="ADN39" s="19"/>
      <c r="ADO39" s="19"/>
      <c r="ADP39" s="19"/>
      <c r="ADQ39" s="19"/>
      <c r="ADR39" s="19"/>
      <c r="ADS39" s="19"/>
      <c r="ADT39" s="19"/>
      <c r="ADU39" s="19"/>
      <c r="ADV39" s="19"/>
      <c r="ADW39" s="19"/>
      <c r="ADX39" s="19"/>
      <c r="ADY39" s="19"/>
      <c r="ADZ39" s="19"/>
      <c r="AEA39" s="19"/>
      <c r="AEB39" s="19"/>
      <c r="AEC39" s="19"/>
      <c r="AED39" s="19"/>
      <c r="AEE39" s="19"/>
      <c r="AEF39" s="19"/>
      <c r="AEG39" s="19"/>
      <c r="AEH39" s="19"/>
      <c r="AEI39" s="19"/>
      <c r="AEJ39" s="19"/>
      <c r="AEK39" s="19"/>
      <c r="AEL39" s="19"/>
      <c r="AEM39" s="19"/>
      <c r="AEN39" s="19"/>
      <c r="AEO39" s="19"/>
      <c r="AEP39" s="19"/>
      <c r="AEQ39" s="19"/>
      <c r="AER39" s="19"/>
      <c r="AES39" s="19"/>
      <c r="AET39" s="19"/>
      <c r="AEU39" s="19"/>
      <c r="AEV39" s="19"/>
      <c r="AEW39" s="19"/>
      <c r="AEX39" s="19"/>
      <c r="AEY39" s="19"/>
      <c r="AEZ39" s="19"/>
      <c r="AFA39" s="19"/>
      <c r="AFB39" s="19"/>
      <c r="AFC39" s="19"/>
      <c r="AFD39" s="19"/>
      <c r="AFE39" s="19"/>
      <c r="AFF39" s="19"/>
      <c r="AFG39" s="19"/>
      <c r="AFH39" s="19"/>
      <c r="AFI39" s="19"/>
      <c r="AFJ39" s="19"/>
      <c r="AFK39" s="19"/>
      <c r="AFL39" s="19"/>
      <c r="AFM39" s="19"/>
      <c r="AFN39" s="19"/>
      <c r="AFO39" s="19"/>
      <c r="AFP39" s="19"/>
      <c r="AFQ39" s="19"/>
      <c r="AFR39" s="19"/>
      <c r="AFS39" s="19"/>
      <c r="AFT39" s="19"/>
      <c r="AFU39" s="19"/>
      <c r="AFV39" s="19"/>
      <c r="AFW39" s="19"/>
      <c r="AFX39" s="19"/>
      <c r="AFY39" s="19"/>
      <c r="AFZ39" s="19"/>
      <c r="AGA39" s="19"/>
      <c r="AGB39" s="19"/>
      <c r="AGC39" s="19"/>
      <c r="AGD39" s="19"/>
      <c r="AGE39" s="19"/>
      <c r="AGF39" s="19"/>
      <c r="AGG39" s="19"/>
      <c r="AGH39" s="19"/>
      <c r="AGI39" s="19"/>
      <c r="AGJ39" s="19"/>
      <c r="AGK39" s="19"/>
      <c r="AGL39" s="19"/>
      <c r="AGM39" s="19"/>
      <c r="AGN39" s="19"/>
      <c r="AGO39" s="19"/>
      <c r="AGP39" s="19"/>
      <c r="AGQ39" s="19"/>
      <c r="AGR39" s="19"/>
      <c r="AGS39" s="19"/>
      <c r="AGT39" s="19"/>
      <c r="AGU39" s="19"/>
      <c r="AGV39" s="19"/>
      <c r="AGW39" s="19"/>
      <c r="AGX39" s="19"/>
      <c r="AGY39" s="19"/>
      <c r="AGZ39" s="19"/>
      <c r="AHA39" s="19"/>
      <c r="AHB39" s="19"/>
      <c r="AHC39" s="19"/>
      <c r="AHD39" s="19"/>
      <c r="AHE39" s="19"/>
      <c r="AHF39" s="19"/>
      <c r="AHG39" s="19"/>
      <c r="AHH39" s="19"/>
      <c r="AHI39" s="19"/>
      <c r="AHJ39" s="19"/>
      <c r="AHK39" s="19"/>
      <c r="AHL39" s="19"/>
      <c r="AHM39" s="19"/>
      <c r="AHN39" s="19"/>
      <c r="AHO39" s="19"/>
      <c r="AHP39" s="19"/>
    </row>
    <row r="40">
      <c r="A40" s="19" t="s">
        <v>38</v>
      </c>
      <c r="B40" s="19">
        <v>5.0</v>
      </c>
      <c r="C40" s="19">
        <v>4.0</v>
      </c>
      <c r="D40" s="19">
        <v>4.0</v>
      </c>
      <c r="E40" s="19">
        <v>4.0</v>
      </c>
      <c r="F40" s="19">
        <v>3.0</v>
      </c>
      <c r="G40" s="19">
        <v>3.0</v>
      </c>
      <c r="H40" s="19">
        <v>4.0</v>
      </c>
      <c r="I40" s="19">
        <v>4.0</v>
      </c>
      <c r="J40" s="19">
        <v>4.0</v>
      </c>
      <c r="K40" s="19">
        <v>4.0</v>
      </c>
      <c r="L40" s="19">
        <v>4.0</v>
      </c>
      <c r="M40" s="19">
        <v>4.0</v>
      </c>
      <c r="N40" s="19">
        <v>4.0</v>
      </c>
      <c r="O40" s="19">
        <v>5.0</v>
      </c>
      <c r="P40" s="19">
        <v>4.0</v>
      </c>
      <c r="Q40" s="19">
        <v>4.0</v>
      </c>
      <c r="R40" s="19">
        <v>4.0</v>
      </c>
      <c r="S40" s="19">
        <v>5.0</v>
      </c>
      <c r="T40" s="19">
        <v>4.0</v>
      </c>
      <c r="U40" s="19">
        <v>4.0</v>
      </c>
      <c r="V40" s="19">
        <v>4.0</v>
      </c>
      <c r="W40" s="19">
        <v>5.0</v>
      </c>
      <c r="X40" s="19">
        <v>4.0</v>
      </c>
      <c r="Y40" s="19">
        <v>6.0</v>
      </c>
      <c r="Z40" s="19">
        <v>4.0</v>
      </c>
      <c r="AA40" s="19">
        <v>4.0</v>
      </c>
      <c r="AB40" s="19">
        <v>5.0</v>
      </c>
      <c r="AC40" s="19">
        <v>5.0</v>
      </c>
      <c r="AD40" s="19">
        <v>3.0</v>
      </c>
      <c r="AE40" s="19">
        <v>3.0</v>
      </c>
      <c r="AF40" s="19">
        <v>5.0</v>
      </c>
      <c r="AG40" s="19">
        <v>4.0</v>
      </c>
      <c r="AH40" s="19">
        <v>4.0</v>
      </c>
      <c r="AI40" s="19">
        <v>4.0</v>
      </c>
      <c r="AJ40" s="19">
        <v>4.0</v>
      </c>
      <c r="AK40" s="19">
        <v>5.0</v>
      </c>
      <c r="AL40" s="19">
        <v>5.0</v>
      </c>
      <c r="AM40" s="19">
        <v>4.0</v>
      </c>
      <c r="AN40" s="19">
        <v>5.0</v>
      </c>
      <c r="AO40" s="19">
        <v>4.0</v>
      </c>
      <c r="AP40" s="19">
        <v>4.0</v>
      </c>
      <c r="AQ40" s="19">
        <v>4.0</v>
      </c>
      <c r="AR40" s="19">
        <v>6.0</v>
      </c>
      <c r="AS40" s="19">
        <v>3.0</v>
      </c>
      <c r="AT40" s="19">
        <v>4.0</v>
      </c>
      <c r="AU40" s="19">
        <v>4.0</v>
      </c>
      <c r="AV40" s="19">
        <v>3.0</v>
      </c>
      <c r="AW40" s="19">
        <v>4.0</v>
      </c>
      <c r="AX40" s="19">
        <v>4.0</v>
      </c>
      <c r="AY40" s="19">
        <v>5.0</v>
      </c>
      <c r="AZ40" s="19">
        <v>4.0</v>
      </c>
      <c r="BA40" s="19">
        <v>4.0</v>
      </c>
      <c r="BB40" s="19">
        <v>4.0</v>
      </c>
      <c r="BC40" s="19">
        <v>4.0</v>
      </c>
      <c r="BD40" s="19">
        <v>3.0</v>
      </c>
      <c r="BE40" s="19">
        <v>5.0</v>
      </c>
      <c r="BF40" s="19">
        <v>3.0</v>
      </c>
      <c r="BG40" s="19">
        <v>6.0</v>
      </c>
      <c r="BH40" s="19">
        <v>3.0</v>
      </c>
      <c r="BI40" s="19">
        <v>4.0</v>
      </c>
      <c r="BJ40" s="19">
        <v>4.0</v>
      </c>
      <c r="BK40" s="19">
        <v>4.0</v>
      </c>
      <c r="BL40" s="19">
        <v>3.0</v>
      </c>
      <c r="BM40" s="19">
        <v>4.0</v>
      </c>
      <c r="BN40" s="19">
        <v>4.0</v>
      </c>
      <c r="BO40" s="19">
        <v>4.0</v>
      </c>
      <c r="BP40" s="19">
        <v>3.0</v>
      </c>
      <c r="BQ40" s="19">
        <v>3.0</v>
      </c>
      <c r="BR40" s="19">
        <v>4.0</v>
      </c>
      <c r="BS40" s="19">
        <v>4.0</v>
      </c>
      <c r="BT40" s="19">
        <v>4.0</v>
      </c>
      <c r="BU40" s="19">
        <v>3.0</v>
      </c>
      <c r="BV40" s="19">
        <v>4.0</v>
      </c>
      <c r="BW40" s="19">
        <v>4.0</v>
      </c>
      <c r="BX40" s="19">
        <v>3.0</v>
      </c>
      <c r="BY40" s="19">
        <v>3.0</v>
      </c>
      <c r="BZ40" s="19">
        <v>3.0</v>
      </c>
      <c r="CA40" s="19">
        <v>3.0</v>
      </c>
      <c r="CB40" s="19">
        <v>3.0</v>
      </c>
      <c r="CC40" s="19">
        <v>3.0</v>
      </c>
      <c r="CD40" s="19">
        <v>3.0</v>
      </c>
      <c r="CE40" s="19">
        <v>3.0</v>
      </c>
      <c r="CF40" s="19">
        <v>5.0</v>
      </c>
      <c r="CG40" s="19">
        <v>5.0</v>
      </c>
      <c r="CH40" s="19">
        <v>4.0</v>
      </c>
      <c r="CI40" s="19">
        <v>3.0</v>
      </c>
      <c r="CJ40" s="19">
        <v>4.0</v>
      </c>
      <c r="CK40" s="19">
        <v>4.0</v>
      </c>
      <c r="CL40" s="19">
        <v>4.0</v>
      </c>
      <c r="CM40" s="19">
        <v>5.0</v>
      </c>
      <c r="CN40" s="19">
        <v>4.0</v>
      </c>
      <c r="CO40" s="19">
        <v>4.0</v>
      </c>
      <c r="CP40" s="19">
        <v>4.0</v>
      </c>
      <c r="CQ40" s="19">
        <v>5.0</v>
      </c>
      <c r="CR40" s="19">
        <v>4.0</v>
      </c>
      <c r="CS40" s="19">
        <v>5.0</v>
      </c>
      <c r="CT40" s="19">
        <v>4.0</v>
      </c>
      <c r="CU40" s="19">
        <v>4.0</v>
      </c>
      <c r="CV40" s="19">
        <v>4.0</v>
      </c>
      <c r="CW40" s="19">
        <v>4.0</v>
      </c>
      <c r="CX40" s="19">
        <v>5.0</v>
      </c>
      <c r="CY40" s="19">
        <v>4.0</v>
      </c>
      <c r="CZ40" s="19">
        <v>4.0</v>
      </c>
      <c r="DA40" s="19">
        <v>4.0</v>
      </c>
      <c r="DB40" s="19">
        <v>5.0</v>
      </c>
      <c r="DC40" s="19">
        <v>6.0</v>
      </c>
      <c r="DD40" s="19">
        <v>4.0</v>
      </c>
      <c r="DE40" s="19">
        <v>5.0</v>
      </c>
      <c r="DF40" s="19">
        <v>5.0</v>
      </c>
      <c r="DG40" s="19">
        <v>3.0</v>
      </c>
      <c r="DH40" s="19">
        <v>4.0</v>
      </c>
      <c r="DI40" s="19">
        <v>5.0</v>
      </c>
      <c r="DJ40" s="19">
        <v>4.0</v>
      </c>
      <c r="DK40" s="19">
        <v>3.0</v>
      </c>
      <c r="DL40" s="19">
        <v>4.0</v>
      </c>
      <c r="DM40" s="19">
        <v>4.0</v>
      </c>
      <c r="DN40" s="19">
        <v>4.0</v>
      </c>
      <c r="DO40" s="19">
        <v>5.0</v>
      </c>
      <c r="DP40" s="19">
        <v>4.0</v>
      </c>
      <c r="DQ40" s="19">
        <v>6.0</v>
      </c>
      <c r="DR40" s="19">
        <v>5.0</v>
      </c>
      <c r="DS40" s="19">
        <v>4.0</v>
      </c>
      <c r="DT40" s="19">
        <v>4.0</v>
      </c>
      <c r="DU40" s="19">
        <v>4.0</v>
      </c>
      <c r="DV40" s="19">
        <v>5.0</v>
      </c>
      <c r="DW40" s="19">
        <v>5.0</v>
      </c>
      <c r="DX40" s="19">
        <v>5.0</v>
      </c>
      <c r="DY40" s="19">
        <v>3.0</v>
      </c>
      <c r="DZ40" s="19">
        <v>3.0</v>
      </c>
      <c r="EA40" s="19">
        <v>4.0</v>
      </c>
      <c r="EB40" s="19">
        <v>4.0</v>
      </c>
      <c r="EC40" s="19">
        <v>4.0</v>
      </c>
      <c r="ED40" s="19">
        <v>5.0</v>
      </c>
      <c r="EE40" s="19">
        <v>5.0</v>
      </c>
      <c r="EF40" s="19">
        <v>4.0</v>
      </c>
      <c r="EG40" s="19">
        <v>4.0</v>
      </c>
      <c r="EH40" s="19">
        <v>4.0</v>
      </c>
      <c r="EI40" s="19">
        <v>4.0</v>
      </c>
      <c r="EJ40" s="19">
        <v>5.0</v>
      </c>
      <c r="EK40" s="19">
        <v>3.0</v>
      </c>
      <c r="EL40" s="19">
        <v>4.0</v>
      </c>
      <c r="EM40" s="19">
        <v>5.0</v>
      </c>
      <c r="EN40" s="19">
        <v>5.0</v>
      </c>
      <c r="EO40" s="19">
        <v>4.0</v>
      </c>
      <c r="EP40" s="19">
        <v>4.0</v>
      </c>
      <c r="EQ40" s="19">
        <v>4.0</v>
      </c>
      <c r="ER40" s="19">
        <v>4.0</v>
      </c>
      <c r="ES40" s="19">
        <v>4.0</v>
      </c>
      <c r="ET40" s="19">
        <v>5.0</v>
      </c>
      <c r="EU40" s="19">
        <v>4.0</v>
      </c>
      <c r="EV40" s="19">
        <v>4.0</v>
      </c>
      <c r="EW40" s="19">
        <v>3.0</v>
      </c>
      <c r="EX40" s="19">
        <v>4.0</v>
      </c>
      <c r="EY40" s="19">
        <v>4.0</v>
      </c>
      <c r="EZ40" s="19">
        <v>3.0</v>
      </c>
      <c r="FA40" s="19">
        <v>3.0</v>
      </c>
      <c r="FB40" s="19">
        <v>3.0</v>
      </c>
      <c r="FC40" s="19">
        <v>4.0</v>
      </c>
      <c r="FD40" s="19">
        <v>5.0</v>
      </c>
      <c r="FE40" s="19">
        <v>3.0</v>
      </c>
      <c r="FF40" s="19">
        <v>4.0</v>
      </c>
      <c r="FG40" s="19">
        <v>4.0</v>
      </c>
      <c r="FH40" s="19">
        <v>4.0</v>
      </c>
      <c r="FI40" s="19">
        <v>4.0</v>
      </c>
      <c r="FJ40" s="19">
        <v>4.0</v>
      </c>
      <c r="FK40" s="19">
        <v>3.0</v>
      </c>
      <c r="FL40" s="19">
        <v>4.0</v>
      </c>
      <c r="FM40" s="19">
        <v>4.0</v>
      </c>
      <c r="FN40" s="19">
        <v>4.0</v>
      </c>
      <c r="FO40" s="19">
        <v>3.0</v>
      </c>
      <c r="FP40" s="19">
        <v>5.0</v>
      </c>
      <c r="FQ40" s="19">
        <v>3.0</v>
      </c>
      <c r="FR40" s="19">
        <v>3.0</v>
      </c>
      <c r="FS40" s="19">
        <v>5.0</v>
      </c>
      <c r="FT40" s="19">
        <v>4.0</v>
      </c>
      <c r="FU40" s="19">
        <v>4.0</v>
      </c>
      <c r="FV40" s="19">
        <v>4.0</v>
      </c>
      <c r="FW40" s="19">
        <v>3.0</v>
      </c>
      <c r="FX40" s="19">
        <v>4.0</v>
      </c>
      <c r="FY40" s="19">
        <v>5.0</v>
      </c>
      <c r="FZ40" s="19">
        <v>5.0</v>
      </c>
      <c r="GA40" s="19">
        <v>4.0</v>
      </c>
      <c r="GB40" s="19">
        <v>4.0</v>
      </c>
      <c r="GC40" s="19">
        <v>4.0</v>
      </c>
      <c r="GD40" s="19">
        <v>4.0</v>
      </c>
      <c r="GE40" s="19">
        <v>4.0</v>
      </c>
      <c r="GF40" s="19">
        <v>4.0</v>
      </c>
      <c r="GG40" s="19">
        <v>5.0</v>
      </c>
      <c r="GH40" s="19">
        <v>3.0</v>
      </c>
      <c r="GI40" s="19">
        <v>3.0</v>
      </c>
      <c r="GJ40" s="19">
        <v>3.0</v>
      </c>
      <c r="GK40" s="19">
        <v>3.0</v>
      </c>
      <c r="GL40" s="19">
        <v>3.0</v>
      </c>
      <c r="GM40" s="19">
        <v>3.0</v>
      </c>
      <c r="GN40" s="19">
        <v>3.0</v>
      </c>
      <c r="GO40" s="19">
        <v>3.0</v>
      </c>
      <c r="GP40" s="19">
        <v>4.0</v>
      </c>
      <c r="GQ40" s="19">
        <v>3.0</v>
      </c>
      <c r="GR40" s="19">
        <v>3.0</v>
      </c>
      <c r="GS40" s="19">
        <v>3.0</v>
      </c>
      <c r="GT40" s="19">
        <v>5.0</v>
      </c>
      <c r="GU40" s="19">
        <v>3.0</v>
      </c>
      <c r="GV40" s="19">
        <v>3.0</v>
      </c>
      <c r="GW40" s="19">
        <v>5.0</v>
      </c>
      <c r="GX40" s="19">
        <v>3.0</v>
      </c>
      <c r="GY40" s="19">
        <v>4.0</v>
      </c>
      <c r="GZ40" s="19">
        <v>4.0</v>
      </c>
      <c r="HA40" s="19">
        <v>4.0</v>
      </c>
      <c r="HB40" s="19">
        <v>4.0</v>
      </c>
      <c r="HC40" s="19">
        <v>3.0</v>
      </c>
      <c r="HD40" s="19">
        <v>4.0</v>
      </c>
      <c r="HE40" s="19">
        <v>4.0</v>
      </c>
      <c r="HF40" s="19">
        <v>4.0</v>
      </c>
      <c r="HG40" s="19">
        <v>4.0</v>
      </c>
      <c r="HH40" s="19">
        <v>4.0</v>
      </c>
      <c r="HI40" s="19">
        <v>4.0</v>
      </c>
      <c r="HJ40" s="19">
        <v>5.0</v>
      </c>
      <c r="HK40" s="19">
        <v>4.0</v>
      </c>
      <c r="HL40" s="19">
        <v>3.0</v>
      </c>
      <c r="HM40" s="19">
        <v>5.0</v>
      </c>
      <c r="HN40" s="19">
        <v>4.0</v>
      </c>
      <c r="HO40" s="19">
        <v>4.0</v>
      </c>
      <c r="HP40" s="19">
        <v>4.0</v>
      </c>
      <c r="HQ40" s="19">
        <v>4.0</v>
      </c>
      <c r="HR40" s="19">
        <v>3.0</v>
      </c>
      <c r="HS40" s="19">
        <v>4.0</v>
      </c>
      <c r="HT40" s="19">
        <v>4.0</v>
      </c>
      <c r="HU40" s="19">
        <v>4.0</v>
      </c>
      <c r="HV40" s="19">
        <v>4.0</v>
      </c>
      <c r="HW40" s="19">
        <v>4.0</v>
      </c>
      <c r="HX40" s="19">
        <v>4.0</v>
      </c>
      <c r="HY40" s="19">
        <v>6.0</v>
      </c>
      <c r="HZ40" s="19">
        <v>4.0</v>
      </c>
      <c r="IA40" s="19">
        <v>4.0</v>
      </c>
      <c r="IB40" s="19">
        <v>4.0</v>
      </c>
      <c r="IC40" s="19">
        <v>4.0</v>
      </c>
      <c r="ID40" s="19">
        <v>3.0</v>
      </c>
      <c r="IE40" s="19">
        <v>4.0</v>
      </c>
      <c r="IF40" s="19">
        <v>3.0</v>
      </c>
      <c r="IG40" s="19">
        <v>6.0</v>
      </c>
      <c r="IH40" s="19">
        <v>5.0</v>
      </c>
      <c r="II40" s="19">
        <v>5.0</v>
      </c>
      <c r="IJ40" s="19">
        <v>4.0</v>
      </c>
      <c r="IK40" s="19">
        <v>4.0</v>
      </c>
      <c r="IL40" s="19">
        <v>4.0</v>
      </c>
      <c r="IM40" s="19">
        <v>4.0</v>
      </c>
      <c r="IN40" s="19">
        <v>3.0</v>
      </c>
      <c r="IO40" s="19">
        <v>4.0</v>
      </c>
      <c r="IP40" s="19">
        <v>5.0</v>
      </c>
      <c r="IQ40" s="19">
        <v>5.0</v>
      </c>
      <c r="IR40" s="19">
        <v>4.0</v>
      </c>
      <c r="IS40" s="19">
        <v>4.0</v>
      </c>
      <c r="IT40" s="19">
        <v>4.0</v>
      </c>
      <c r="IU40" s="19">
        <v>3.0</v>
      </c>
      <c r="IV40" s="19">
        <v>4.0</v>
      </c>
      <c r="IW40" s="19">
        <v>5.0</v>
      </c>
      <c r="IX40" s="19">
        <v>3.0</v>
      </c>
      <c r="IY40" s="19">
        <v>4.0</v>
      </c>
      <c r="IZ40" s="19">
        <v>4.0</v>
      </c>
      <c r="JA40" s="19">
        <v>4.0</v>
      </c>
      <c r="JB40" s="19">
        <v>4.0</v>
      </c>
      <c r="JC40" s="19">
        <v>4.0</v>
      </c>
      <c r="JD40" s="19">
        <v>4.0</v>
      </c>
      <c r="JE40" s="19">
        <v>4.0</v>
      </c>
      <c r="JF40" s="19">
        <v>5.0</v>
      </c>
      <c r="JG40" s="19">
        <v>4.0</v>
      </c>
      <c r="JH40" s="19">
        <v>4.0</v>
      </c>
      <c r="JI40" s="19">
        <v>4.0</v>
      </c>
      <c r="JJ40" s="19">
        <v>4.0</v>
      </c>
      <c r="JK40" s="19">
        <v>3.0</v>
      </c>
      <c r="JL40" s="19">
        <v>5.0</v>
      </c>
      <c r="JM40" s="19">
        <v>4.0</v>
      </c>
      <c r="JN40" s="19">
        <v>4.0</v>
      </c>
      <c r="JO40" s="19">
        <v>4.0</v>
      </c>
      <c r="JP40" s="19">
        <v>5.0</v>
      </c>
      <c r="JQ40" s="19">
        <v>5.0</v>
      </c>
      <c r="JR40" s="19">
        <v>4.0</v>
      </c>
      <c r="JS40" s="19">
        <v>3.0</v>
      </c>
      <c r="JT40" s="19">
        <v>4.0</v>
      </c>
      <c r="JU40" s="19">
        <v>4.0</v>
      </c>
      <c r="JV40" s="19">
        <v>3.0</v>
      </c>
      <c r="JW40" s="19">
        <v>3.0</v>
      </c>
      <c r="JX40" s="19">
        <v>4.0</v>
      </c>
      <c r="JY40" s="19">
        <v>5.0</v>
      </c>
      <c r="JZ40" s="19">
        <v>5.0</v>
      </c>
      <c r="KA40" s="19">
        <v>4.0</v>
      </c>
      <c r="KB40" s="19">
        <v>4.0</v>
      </c>
      <c r="KC40" s="19">
        <v>4.0</v>
      </c>
      <c r="KD40" s="19">
        <v>4.0</v>
      </c>
      <c r="KE40" s="19">
        <v>4.0</v>
      </c>
      <c r="KF40" s="19">
        <v>4.0</v>
      </c>
      <c r="KG40" s="19">
        <v>4.0</v>
      </c>
      <c r="KH40" s="19">
        <v>5.0</v>
      </c>
      <c r="KI40" s="19">
        <v>4.0</v>
      </c>
      <c r="KJ40" s="19">
        <v>4.0</v>
      </c>
      <c r="KK40" s="19">
        <v>4.0</v>
      </c>
      <c r="KL40" s="19">
        <v>5.0</v>
      </c>
      <c r="KM40" s="19">
        <v>3.0</v>
      </c>
      <c r="KN40" s="19">
        <v>3.0</v>
      </c>
      <c r="KO40" s="19">
        <v>5.0</v>
      </c>
      <c r="KP40" s="19">
        <v>4.0</v>
      </c>
      <c r="KQ40" s="19">
        <v>4.0</v>
      </c>
      <c r="KR40" s="19">
        <v>4.0</v>
      </c>
      <c r="KS40" s="19">
        <v>4.0</v>
      </c>
      <c r="KT40" s="19">
        <v>3.0</v>
      </c>
      <c r="KU40" s="19">
        <v>4.0</v>
      </c>
      <c r="KV40" s="19">
        <v>3.0</v>
      </c>
      <c r="KW40" s="19">
        <v>5.0</v>
      </c>
      <c r="KX40" s="19">
        <v>6.0</v>
      </c>
      <c r="KY40" s="19">
        <v>4.0</v>
      </c>
      <c r="KZ40" s="19">
        <v>3.0</v>
      </c>
      <c r="LA40" s="19">
        <v>3.0</v>
      </c>
      <c r="LB40" s="19">
        <v>3.0</v>
      </c>
      <c r="LC40" s="19">
        <v>5.0</v>
      </c>
      <c r="LD40" s="19">
        <v>3.0</v>
      </c>
      <c r="LE40" s="19">
        <v>4.0</v>
      </c>
      <c r="LF40" s="19">
        <v>5.0</v>
      </c>
      <c r="LG40" s="19">
        <v>4.0</v>
      </c>
      <c r="LH40" s="19">
        <v>5.0</v>
      </c>
      <c r="LI40" s="19">
        <v>3.0</v>
      </c>
      <c r="LJ40" s="19">
        <v>3.0</v>
      </c>
      <c r="LK40" s="19">
        <v>4.0</v>
      </c>
      <c r="LL40" s="19">
        <v>5.0</v>
      </c>
      <c r="LM40" s="19">
        <v>5.0</v>
      </c>
      <c r="LN40" s="19">
        <v>5.0</v>
      </c>
      <c r="LO40" s="19">
        <v>3.0</v>
      </c>
      <c r="LP40" s="19">
        <v>5.0</v>
      </c>
      <c r="LQ40" s="19">
        <v>6.0</v>
      </c>
      <c r="LR40" s="19">
        <v>5.0</v>
      </c>
      <c r="LS40" s="19">
        <v>3.0</v>
      </c>
      <c r="LT40" s="19">
        <v>5.0</v>
      </c>
      <c r="LU40" s="19">
        <v>5.0</v>
      </c>
      <c r="LV40" s="19">
        <v>4.0</v>
      </c>
      <c r="LW40" s="19">
        <v>3.0</v>
      </c>
      <c r="LX40" s="19">
        <v>3.0</v>
      </c>
      <c r="LY40" s="19">
        <v>3.0</v>
      </c>
      <c r="LZ40" s="19">
        <v>3.0</v>
      </c>
      <c r="MA40" s="19">
        <v>3.0</v>
      </c>
      <c r="MB40" s="19">
        <v>3.0</v>
      </c>
      <c r="MC40" s="19">
        <v>3.0</v>
      </c>
      <c r="MD40" s="19">
        <v>4.0</v>
      </c>
      <c r="ME40" s="19">
        <v>4.0</v>
      </c>
      <c r="MF40" s="19">
        <v>6.0</v>
      </c>
      <c r="MG40" s="19">
        <v>3.0</v>
      </c>
      <c r="MH40" s="19">
        <v>4.0</v>
      </c>
      <c r="MI40" s="19">
        <v>5.0</v>
      </c>
      <c r="MJ40" s="19">
        <v>4.0</v>
      </c>
      <c r="MK40" s="19">
        <v>6.0</v>
      </c>
      <c r="ML40" s="19">
        <v>5.0</v>
      </c>
      <c r="MM40" s="19">
        <v>4.0</v>
      </c>
      <c r="MN40" s="19">
        <v>4.0</v>
      </c>
      <c r="MO40" s="19">
        <v>3.0</v>
      </c>
      <c r="MP40" s="19">
        <v>3.0</v>
      </c>
      <c r="MQ40" s="19">
        <v>3.0</v>
      </c>
      <c r="MR40" s="19">
        <v>3.0</v>
      </c>
      <c r="MS40" s="19">
        <v>3.0</v>
      </c>
      <c r="MT40" s="19">
        <v>4.0</v>
      </c>
      <c r="MU40" s="19">
        <v>4.0</v>
      </c>
      <c r="MV40" s="19">
        <v>4.0</v>
      </c>
      <c r="MW40" s="19">
        <v>4.0</v>
      </c>
      <c r="MX40" s="19">
        <v>3.0</v>
      </c>
      <c r="MY40" s="19">
        <v>3.0</v>
      </c>
      <c r="MZ40" s="19">
        <v>3.0</v>
      </c>
      <c r="NA40" s="19">
        <v>3.0</v>
      </c>
      <c r="NB40" s="19">
        <v>3.0</v>
      </c>
      <c r="NC40" s="19">
        <v>4.0</v>
      </c>
      <c r="ND40" s="19">
        <v>5.0</v>
      </c>
      <c r="NE40" s="19">
        <v>4.0</v>
      </c>
      <c r="NF40" s="19">
        <v>5.0</v>
      </c>
      <c r="NG40" s="19">
        <v>3.0</v>
      </c>
      <c r="NH40" s="19">
        <v>4.0</v>
      </c>
      <c r="NI40" s="19">
        <v>3.0</v>
      </c>
      <c r="NJ40" s="19">
        <v>4.0</v>
      </c>
      <c r="NK40" s="19">
        <v>5.0</v>
      </c>
      <c r="NL40" s="19">
        <v>4.0</v>
      </c>
      <c r="NM40" s="19">
        <v>4.0</v>
      </c>
      <c r="NN40" s="19">
        <v>4.0</v>
      </c>
      <c r="NO40" s="19">
        <v>4.0</v>
      </c>
      <c r="NP40" s="19">
        <v>4.0</v>
      </c>
      <c r="NQ40" s="19">
        <v>4.0</v>
      </c>
      <c r="NR40" s="19">
        <v>5.0</v>
      </c>
      <c r="NS40" s="19">
        <v>4.0</v>
      </c>
      <c r="NT40" s="19">
        <v>4.0</v>
      </c>
      <c r="NU40" s="19">
        <v>4.0</v>
      </c>
      <c r="NV40" s="19">
        <v>5.0</v>
      </c>
      <c r="NW40" s="19">
        <v>4.0</v>
      </c>
      <c r="NX40" s="19">
        <v>4.0</v>
      </c>
      <c r="NY40" s="19">
        <v>3.0</v>
      </c>
      <c r="NZ40" s="19">
        <v>5.0</v>
      </c>
      <c r="OA40" s="19">
        <v>4.0</v>
      </c>
      <c r="OB40" s="19">
        <v>5.0</v>
      </c>
      <c r="OC40" s="19">
        <v>4.0</v>
      </c>
      <c r="OD40" s="19">
        <v>3.0</v>
      </c>
      <c r="OE40" s="19">
        <v>3.0</v>
      </c>
      <c r="OF40" s="19">
        <v>3.0</v>
      </c>
      <c r="OG40" s="19">
        <v>3.0</v>
      </c>
      <c r="OH40" s="19">
        <v>3.0</v>
      </c>
      <c r="OI40" s="19">
        <v>3.0</v>
      </c>
      <c r="OJ40" s="19">
        <v>3.0</v>
      </c>
      <c r="OK40" s="19">
        <v>3.0</v>
      </c>
      <c r="OL40" s="19">
        <v>3.0</v>
      </c>
      <c r="OM40" s="19">
        <v>4.0</v>
      </c>
      <c r="ON40" s="19">
        <v>3.0</v>
      </c>
      <c r="OO40" s="19">
        <v>4.0</v>
      </c>
      <c r="OP40" s="19">
        <v>4.0</v>
      </c>
      <c r="OQ40" s="19">
        <v>4.0</v>
      </c>
      <c r="OR40" s="19">
        <v>4.0</v>
      </c>
      <c r="OS40" s="19">
        <v>3.0</v>
      </c>
      <c r="OT40" s="19">
        <v>5.0</v>
      </c>
      <c r="OU40" s="19">
        <v>5.0</v>
      </c>
      <c r="OV40" s="19">
        <v>4.0</v>
      </c>
      <c r="OW40" s="19">
        <v>7.0</v>
      </c>
      <c r="OX40" s="19">
        <v>3.0</v>
      </c>
      <c r="OY40" s="19">
        <v>4.0</v>
      </c>
      <c r="OZ40" s="19">
        <v>3.0</v>
      </c>
      <c r="PA40" s="19">
        <v>4.0</v>
      </c>
      <c r="PB40" s="19">
        <v>5.0</v>
      </c>
      <c r="PC40" s="19">
        <v>4.0</v>
      </c>
      <c r="PD40" s="19">
        <v>4.0</v>
      </c>
      <c r="PE40" s="19">
        <v>4.0</v>
      </c>
      <c r="PF40" s="19">
        <v>4.0</v>
      </c>
      <c r="PG40" s="19">
        <v>5.0</v>
      </c>
      <c r="PH40" s="19">
        <v>3.0</v>
      </c>
      <c r="PI40" s="19">
        <v>4.0</v>
      </c>
      <c r="PJ40" s="19">
        <v>4.0</v>
      </c>
      <c r="PK40" s="19">
        <v>4.0</v>
      </c>
      <c r="PL40" s="19">
        <v>5.0</v>
      </c>
      <c r="PM40" s="19">
        <v>4.0</v>
      </c>
      <c r="PN40" s="19">
        <v>4.0</v>
      </c>
      <c r="PO40" s="19">
        <v>3.0</v>
      </c>
      <c r="PP40" s="19">
        <v>4.0</v>
      </c>
      <c r="PQ40" s="19">
        <v>4.0</v>
      </c>
      <c r="PR40" s="19">
        <v>4.0</v>
      </c>
      <c r="PS40" s="19">
        <v>4.0</v>
      </c>
      <c r="PT40" s="19">
        <v>5.0</v>
      </c>
      <c r="PU40" s="19">
        <v>4.0</v>
      </c>
      <c r="PV40" s="19">
        <v>4.0</v>
      </c>
      <c r="PW40" s="19">
        <v>4.0</v>
      </c>
      <c r="PX40" s="19">
        <v>4.0</v>
      </c>
      <c r="PY40" s="19">
        <v>3.0</v>
      </c>
      <c r="PZ40" s="19">
        <v>4.0</v>
      </c>
      <c r="QA40" s="19">
        <v>4.0</v>
      </c>
      <c r="QB40" s="19">
        <v>4.0</v>
      </c>
      <c r="QC40" s="19">
        <v>3.0</v>
      </c>
      <c r="QD40" s="19">
        <v>4.0</v>
      </c>
      <c r="QE40" s="19">
        <v>3.0</v>
      </c>
      <c r="QF40" s="19">
        <v>3.0</v>
      </c>
      <c r="QG40" s="19">
        <v>5.0</v>
      </c>
      <c r="QH40" s="19">
        <v>3.0</v>
      </c>
      <c r="QI40" s="19">
        <v>4.0</v>
      </c>
      <c r="QJ40" s="19">
        <v>4.0</v>
      </c>
      <c r="QK40" s="19">
        <v>3.0</v>
      </c>
      <c r="QL40" s="19">
        <v>3.0</v>
      </c>
      <c r="QM40" s="19">
        <v>3.0</v>
      </c>
      <c r="QN40" s="19">
        <v>3.0</v>
      </c>
      <c r="QO40" s="19">
        <v>5.0</v>
      </c>
      <c r="QP40" s="19">
        <v>3.0</v>
      </c>
      <c r="QQ40" s="19">
        <v>3.0</v>
      </c>
      <c r="QR40" s="19">
        <v>3.0</v>
      </c>
      <c r="QS40" s="19">
        <v>3.0</v>
      </c>
      <c r="QT40" s="19">
        <v>3.0</v>
      </c>
      <c r="QU40" s="19">
        <v>4.0</v>
      </c>
      <c r="QV40" s="19">
        <v>4.0</v>
      </c>
      <c r="QW40" s="19">
        <v>4.0</v>
      </c>
      <c r="QX40" s="19">
        <v>4.0</v>
      </c>
      <c r="QY40" s="19">
        <v>4.0</v>
      </c>
      <c r="QZ40" s="19">
        <v>5.0</v>
      </c>
      <c r="RA40" s="19">
        <v>4.0</v>
      </c>
      <c r="RB40" s="19">
        <v>4.0</v>
      </c>
      <c r="RC40" s="19">
        <v>4.0</v>
      </c>
      <c r="RD40" s="19">
        <v>4.0</v>
      </c>
      <c r="RE40" s="19">
        <v>5.0</v>
      </c>
      <c r="RF40" s="19">
        <v>3.0</v>
      </c>
      <c r="RG40" s="19">
        <v>3.0</v>
      </c>
      <c r="RH40" s="19">
        <v>3.0</v>
      </c>
      <c r="RI40" s="19">
        <v>4.0</v>
      </c>
      <c r="RJ40" s="19">
        <v>5.0</v>
      </c>
      <c r="RK40" s="19">
        <v>4.0</v>
      </c>
      <c r="RL40" s="19">
        <v>4.0</v>
      </c>
      <c r="RM40" s="19">
        <v>3.0</v>
      </c>
      <c r="RN40" s="19">
        <v>4.0</v>
      </c>
      <c r="RO40" s="19">
        <v>5.0</v>
      </c>
      <c r="RP40" s="19">
        <v>4.0</v>
      </c>
      <c r="RQ40" s="19">
        <v>3.0</v>
      </c>
      <c r="RR40" s="19">
        <v>3.0</v>
      </c>
      <c r="RS40" s="19">
        <v>4.0</v>
      </c>
      <c r="RT40" s="19">
        <v>5.0</v>
      </c>
      <c r="RU40" s="19">
        <v>4.0</v>
      </c>
      <c r="RV40" s="19">
        <v>4.0</v>
      </c>
      <c r="RW40" s="19">
        <v>4.0</v>
      </c>
      <c r="RX40" s="19">
        <v>4.0</v>
      </c>
      <c r="RY40" s="19">
        <v>3.0</v>
      </c>
      <c r="RZ40" s="19">
        <v>5.0</v>
      </c>
      <c r="SA40" s="19">
        <v>4.0</v>
      </c>
      <c r="SB40" s="19">
        <v>3.0</v>
      </c>
      <c r="SC40" s="19">
        <v>6.0</v>
      </c>
      <c r="SD40" s="19">
        <v>4.0</v>
      </c>
      <c r="SE40" s="19">
        <v>3.0</v>
      </c>
      <c r="SF40" s="19">
        <v>3.0</v>
      </c>
      <c r="SG40" s="19">
        <v>4.0</v>
      </c>
      <c r="SH40" s="19">
        <v>5.0</v>
      </c>
      <c r="SI40" s="19">
        <v>3.0</v>
      </c>
      <c r="SJ40" s="19">
        <v>4.0</v>
      </c>
      <c r="SK40" s="19">
        <v>3.0</v>
      </c>
      <c r="SL40" s="19">
        <v>3.0</v>
      </c>
      <c r="SM40" s="19">
        <v>3.0</v>
      </c>
      <c r="SN40" s="19">
        <v>4.0</v>
      </c>
      <c r="SO40" s="19">
        <v>3.0</v>
      </c>
      <c r="SP40" s="19">
        <v>3.0</v>
      </c>
      <c r="SQ40" s="19">
        <v>4.0</v>
      </c>
      <c r="SR40" s="19">
        <v>3.0</v>
      </c>
      <c r="SS40" s="19">
        <v>3.0</v>
      </c>
      <c r="ST40" s="19">
        <v>3.0</v>
      </c>
      <c r="SU40" s="19">
        <v>4.0</v>
      </c>
      <c r="SV40" s="19">
        <v>5.0</v>
      </c>
      <c r="SW40" s="19">
        <v>4.0</v>
      </c>
      <c r="SX40" s="19">
        <v>4.0</v>
      </c>
      <c r="SY40" s="19">
        <v>4.0</v>
      </c>
      <c r="SZ40" s="19">
        <v>5.0</v>
      </c>
      <c r="TA40" s="19">
        <v>5.0</v>
      </c>
      <c r="TB40" s="19">
        <v>5.0</v>
      </c>
      <c r="TC40" s="19">
        <v>5.0</v>
      </c>
      <c r="TD40" s="19">
        <v>3.0</v>
      </c>
      <c r="TE40" s="19">
        <v>5.0</v>
      </c>
      <c r="TF40" s="19">
        <v>5.0</v>
      </c>
      <c r="TG40" s="19">
        <v>4.0</v>
      </c>
      <c r="TH40" s="19">
        <v>3.0</v>
      </c>
      <c r="TI40" s="19">
        <v>3.0</v>
      </c>
      <c r="TJ40" s="19">
        <v>3.0</v>
      </c>
      <c r="TK40" s="19">
        <v>3.0</v>
      </c>
      <c r="TL40" s="19">
        <v>3.0</v>
      </c>
      <c r="TM40" s="19">
        <v>4.0</v>
      </c>
      <c r="TN40" s="19">
        <v>3.0</v>
      </c>
      <c r="TO40" s="19">
        <v>4.0</v>
      </c>
      <c r="TP40" s="19">
        <v>3.0</v>
      </c>
      <c r="TQ40" s="19">
        <v>3.0</v>
      </c>
      <c r="TR40" s="19">
        <v>4.0</v>
      </c>
      <c r="TS40" s="19">
        <v>4.0</v>
      </c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  <c r="YR40" s="19"/>
      <c r="YS40" s="19"/>
      <c r="YT40" s="19"/>
      <c r="YU40" s="19"/>
      <c r="YV40" s="19"/>
      <c r="YW40" s="19"/>
      <c r="YX40" s="19"/>
      <c r="YY40" s="19"/>
      <c r="YZ40" s="19"/>
      <c r="ZA40" s="19"/>
      <c r="ZB40" s="19"/>
      <c r="ZC40" s="19"/>
      <c r="ZD40" s="19"/>
      <c r="ZE40" s="19"/>
      <c r="ZF40" s="19"/>
      <c r="ZG40" s="19"/>
      <c r="ZH40" s="19"/>
      <c r="ZI40" s="19"/>
      <c r="ZJ40" s="19"/>
      <c r="ZK40" s="19"/>
      <c r="ZL40" s="19"/>
      <c r="ZM40" s="19"/>
      <c r="ZN40" s="19"/>
      <c r="ZO40" s="19"/>
      <c r="ZP40" s="19"/>
      <c r="ZQ40" s="19"/>
      <c r="ZR40" s="19"/>
      <c r="ZS40" s="19"/>
      <c r="ZT40" s="19"/>
      <c r="ZU40" s="19"/>
      <c r="ZV40" s="19"/>
      <c r="ZW40" s="19"/>
      <c r="ZX40" s="19"/>
      <c r="ZY40" s="19"/>
      <c r="ZZ40" s="19"/>
      <c r="AAA40" s="19"/>
      <c r="AAB40" s="19"/>
      <c r="AAC40" s="19"/>
      <c r="AAD40" s="19"/>
      <c r="AAE40" s="19"/>
      <c r="AAF40" s="19"/>
      <c r="AAG40" s="19"/>
      <c r="AAH40" s="19"/>
      <c r="AAI40" s="19"/>
      <c r="AAJ40" s="19"/>
      <c r="AAK40" s="19"/>
      <c r="AAL40" s="19"/>
      <c r="AAM40" s="19"/>
      <c r="AAN40" s="19"/>
      <c r="AAO40" s="19"/>
      <c r="AAP40" s="19"/>
      <c r="AAQ40" s="19"/>
      <c r="AAR40" s="19"/>
      <c r="AAS40" s="19"/>
      <c r="AAT40" s="19"/>
      <c r="AAU40" s="19"/>
      <c r="AAV40" s="19"/>
      <c r="AAW40" s="19"/>
      <c r="AAX40" s="19"/>
      <c r="AAY40" s="19"/>
      <c r="AAZ40" s="19"/>
      <c r="ABA40" s="19"/>
      <c r="ABB40" s="19"/>
      <c r="ABC40" s="19"/>
      <c r="ABD40" s="19"/>
      <c r="ABE40" s="19"/>
      <c r="ABF40" s="19"/>
      <c r="ABG40" s="19"/>
      <c r="ABH40" s="19"/>
      <c r="ABI40" s="19"/>
      <c r="ABJ40" s="19"/>
      <c r="ABK40" s="19"/>
      <c r="ABL40" s="19"/>
      <c r="ABM40" s="19"/>
      <c r="ABN40" s="19"/>
      <c r="ABO40" s="19"/>
      <c r="ABP40" s="19"/>
      <c r="ABQ40" s="19"/>
      <c r="ABR40" s="19"/>
      <c r="ABS40" s="19"/>
      <c r="ABT40" s="19"/>
      <c r="ABU40" s="19"/>
      <c r="ABV40" s="19"/>
      <c r="ABW40" s="19"/>
      <c r="ABX40" s="19"/>
      <c r="ABY40" s="19"/>
      <c r="ABZ40" s="19"/>
      <c r="ACA40" s="19"/>
      <c r="ACB40" s="19"/>
      <c r="ACC40" s="19"/>
      <c r="ACD40" s="19"/>
      <c r="ACE40" s="19"/>
      <c r="ACF40" s="19"/>
      <c r="ACG40" s="19"/>
      <c r="ACH40" s="19"/>
      <c r="ACI40" s="19"/>
      <c r="ACJ40" s="19"/>
      <c r="ACK40" s="19"/>
      <c r="ACL40" s="19"/>
      <c r="ACM40" s="19"/>
      <c r="ACN40" s="19"/>
      <c r="ACO40" s="19"/>
      <c r="ACP40" s="19"/>
      <c r="ACQ40" s="19"/>
      <c r="ACR40" s="19"/>
      <c r="ACS40" s="19"/>
      <c r="ACT40" s="19"/>
      <c r="ACU40" s="19"/>
      <c r="ACV40" s="19"/>
      <c r="ACW40" s="19"/>
      <c r="ACX40" s="19"/>
      <c r="ACY40" s="19"/>
      <c r="ACZ40" s="19"/>
      <c r="ADA40" s="19"/>
      <c r="ADB40" s="19"/>
      <c r="ADC40" s="19"/>
      <c r="ADD40" s="19"/>
      <c r="ADE40" s="19"/>
      <c r="ADF40" s="19"/>
      <c r="ADG40" s="19"/>
      <c r="ADH40" s="19"/>
      <c r="ADI40" s="19"/>
      <c r="ADJ40" s="19"/>
      <c r="ADK40" s="19"/>
      <c r="ADL40" s="19"/>
      <c r="ADM40" s="19"/>
      <c r="ADN40" s="19"/>
      <c r="ADO40" s="19"/>
      <c r="ADP40" s="19"/>
      <c r="ADQ40" s="19"/>
      <c r="ADR40" s="19"/>
      <c r="ADS40" s="19"/>
      <c r="ADT40" s="19"/>
      <c r="ADU40" s="19"/>
      <c r="ADV40" s="19"/>
      <c r="ADW40" s="19"/>
      <c r="ADX40" s="19"/>
      <c r="ADY40" s="19"/>
      <c r="ADZ40" s="19"/>
      <c r="AEA40" s="19"/>
      <c r="AEB40" s="19"/>
      <c r="AEC40" s="19"/>
      <c r="AED40" s="19"/>
      <c r="AEE40" s="19"/>
      <c r="AEF40" s="19"/>
      <c r="AEG40" s="19"/>
      <c r="AEH40" s="19"/>
      <c r="AEI40" s="19"/>
      <c r="AEJ40" s="19"/>
      <c r="AEK40" s="19"/>
      <c r="AEL40" s="19"/>
      <c r="AEM40" s="19"/>
      <c r="AEN40" s="19"/>
      <c r="AEO40" s="19"/>
      <c r="AEP40" s="19"/>
      <c r="AEQ40" s="19"/>
      <c r="AER40" s="19"/>
      <c r="AES40" s="19"/>
      <c r="AET40" s="19"/>
      <c r="AEU40" s="19"/>
      <c r="AEV40" s="19"/>
      <c r="AEW40" s="19"/>
      <c r="AEX40" s="19"/>
      <c r="AEY40" s="19"/>
      <c r="AEZ40" s="19"/>
      <c r="AFA40" s="19"/>
      <c r="AFB40" s="19"/>
      <c r="AFC40" s="19"/>
      <c r="AFD40" s="19"/>
      <c r="AFE40" s="19"/>
      <c r="AFF40" s="19"/>
      <c r="AFG40" s="19"/>
      <c r="AFH40" s="19"/>
      <c r="AFI40" s="19"/>
      <c r="AFJ40" s="19"/>
      <c r="AFK40" s="19"/>
      <c r="AFL40" s="19"/>
      <c r="AFM40" s="19"/>
      <c r="AFN40" s="19"/>
      <c r="AFO40" s="19"/>
      <c r="AFP40" s="19"/>
      <c r="AFQ40" s="19"/>
      <c r="AFR40" s="19"/>
      <c r="AFS40" s="19"/>
      <c r="AFT40" s="19"/>
      <c r="AFU40" s="19"/>
      <c r="AFV40" s="19"/>
      <c r="AFW40" s="19"/>
      <c r="AFX40" s="19"/>
      <c r="AFY40" s="19"/>
      <c r="AFZ40" s="19"/>
      <c r="AGA40" s="19"/>
      <c r="AGB40" s="19"/>
      <c r="AGC40" s="19"/>
      <c r="AGD40" s="19"/>
      <c r="AGE40" s="19"/>
      <c r="AGF40" s="19"/>
      <c r="AGG40" s="19"/>
      <c r="AGH40" s="19"/>
      <c r="AGI40" s="19"/>
      <c r="AGJ40" s="19"/>
      <c r="AGK40" s="19"/>
      <c r="AGL40" s="19"/>
      <c r="AGM40" s="19"/>
      <c r="AGN40" s="19"/>
      <c r="AGO40" s="19"/>
      <c r="AGP40" s="19"/>
      <c r="AGQ40" s="19"/>
      <c r="AGR40" s="19"/>
      <c r="AGS40" s="19"/>
      <c r="AGT40" s="19"/>
      <c r="AGU40" s="19"/>
      <c r="AGV40" s="19"/>
      <c r="AGW40" s="19"/>
      <c r="AGX40" s="19"/>
      <c r="AGY40" s="19"/>
      <c r="AGZ40" s="19"/>
      <c r="AHA40" s="19"/>
      <c r="AHB40" s="19"/>
      <c r="AHC40" s="19"/>
      <c r="AHD40" s="19"/>
      <c r="AHE40" s="19"/>
      <c r="AHF40" s="19"/>
      <c r="AHG40" s="19"/>
      <c r="AHH40" s="19"/>
      <c r="AHI40" s="19"/>
      <c r="AHJ40" s="19"/>
      <c r="AHK40" s="19"/>
      <c r="AHL40" s="19"/>
      <c r="AHM40" s="19"/>
      <c r="AHN40" s="19"/>
      <c r="AHO40" s="19"/>
      <c r="AHP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>
        <v>890.0</v>
      </c>
      <c r="ML41" s="19">
        <v>985.0</v>
      </c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  <c r="YR41" s="19"/>
      <c r="YS41" s="19"/>
      <c r="YT41" s="19"/>
      <c r="YU41" s="19"/>
      <c r="YV41" s="19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19"/>
      <c r="ZI41" s="19"/>
      <c r="ZJ41" s="19"/>
      <c r="ZK41" s="19"/>
      <c r="ZL41" s="19"/>
      <c r="ZM41" s="19"/>
      <c r="ZN41" s="19"/>
      <c r="ZO41" s="19"/>
      <c r="ZP41" s="19"/>
      <c r="ZQ41" s="19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19"/>
      <c r="AAD41" s="19"/>
      <c r="AAE41" s="19"/>
      <c r="AAF41" s="19"/>
      <c r="AAG41" s="19"/>
      <c r="AAH41" s="19"/>
      <c r="AAI41" s="19"/>
      <c r="AAJ41" s="19"/>
      <c r="AAK41" s="19"/>
      <c r="AAL41" s="19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19"/>
      <c r="AAY41" s="19"/>
      <c r="AAZ41" s="19"/>
      <c r="ABA41" s="19"/>
      <c r="ABB41" s="19"/>
      <c r="ABC41" s="19"/>
      <c r="ABD41" s="19"/>
      <c r="ABE41" s="19"/>
      <c r="ABF41" s="19"/>
      <c r="ABG41" s="19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19"/>
      <c r="ABT41" s="19"/>
      <c r="ABU41" s="19"/>
      <c r="ABV41" s="19"/>
      <c r="ABW41" s="19"/>
      <c r="ABX41" s="19"/>
      <c r="ABY41" s="19"/>
      <c r="ABZ41" s="19"/>
      <c r="ACA41" s="19"/>
      <c r="ACB41" s="19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19"/>
      <c r="ACO41" s="19"/>
      <c r="ACP41" s="19"/>
      <c r="ACQ41" s="19"/>
      <c r="ACR41" s="19"/>
      <c r="ACS41" s="19"/>
      <c r="ACT41" s="19"/>
      <c r="ACU41" s="19"/>
      <c r="ACV41" s="19"/>
      <c r="ACW41" s="19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19"/>
      <c r="ADJ41" s="19"/>
      <c r="ADK41" s="19"/>
      <c r="ADL41" s="19"/>
      <c r="ADM41" s="19"/>
      <c r="ADN41" s="19"/>
      <c r="ADO41" s="19"/>
      <c r="ADP41" s="19"/>
      <c r="ADQ41" s="19"/>
      <c r="ADR41" s="19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19"/>
      <c r="AEE41" s="19"/>
      <c r="AEF41" s="19"/>
      <c r="AEG41" s="19"/>
      <c r="AEH41" s="19"/>
      <c r="AEI41" s="19"/>
      <c r="AEJ41" s="19"/>
      <c r="AEK41" s="19"/>
      <c r="AEL41" s="19"/>
      <c r="AEM41" s="19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19"/>
      <c r="AEZ41" s="19"/>
      <c r="AFA41" s="19"/>
      <c r="AFB41" s="19"/>
      <c r="AFC41" s="19"/>
      <c r="AFD41" s="19"/>
      <c r="AFE41" s="19"/>
      <c r="AFF41" s="19"/>
      <c r="AFG41" s="19"/>
      <c r="AFH41" s="19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19"/>
      <c r="AFU41" s="19"/>
      <c r="AFV41" s="19"/>
      <c r="AFW41" s="19"/>
      <c r="AFX41" s="19"/>
      <c r="AFY41" s="19"/>
      <c r="AFZ41" s="19"/>
      <c r="AGA41" s="19"/>
      <c r="AGB41" s="19"/>
      <c r="AGC41" s="19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19"/>
      <c r="AGP41" s="19"/>
      <c r="AGQ41" s="19"/>
      <c r="AGR41" s="19"/>
      <c r="AGS41" s="19"/>
      <c r="AGT41" s="19"/>
      <c r="AGU41" s="19"/>
      <c r="AGV41" s="19"/>
      <c r="AGW41" s="19"/>
      <c r="AGX41" s="19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19"/>
      <c r="AHK41" s="19"/>
      <c r="AHL41" s="19"/>
      <c r="AHM41" s="19"/>
      <c r="AHN41" s="19"/>
      <c r="AHO41" s="19"/>
      <c r="AHP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 t="e">
        <v>#N/A</v>
      </c>
      <c r="ML42" s="19" t="e">
        <v>#N/A</v>
      </c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  <c r="YR42" s="19"/>
      <c r="YS42" s="19"/>
      <c r="YT42" s="19"/>
      <c r="YU42" s="19"/>
      <c r="YV42" s="19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19"/>
      <c r="ZI42" s="19"/>
      <c r="ZJ42" s="19"/>
      <c r="ZK42" s="19"/>
      <c r="ZL42" s="19"/>
      <c r="ZM42" s="19"/>
      <c r="ZN42" s="19"/>
      <c r="ZO42" s="19"/>
      <c r="ZP42" s="19"/>
      <c r="ZQ42" s="19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19"/>
      <c r="AAD42" s="19"/>
      <c r="AAE42" s="19"/>
      <c r="AAF42" s="19"/>
      <c r="AAG42" s="19"/>
      <c r="AAH42" s="19"/>
      <c r="AAI42" s="19"/>
      <c r="AAJ42" s="19"/>
      <c r="AAK42" s="19"/>
      <c r="AAL42" s="19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19"/>
      <c r="AAY42" s="19"/>
      <c r="AAZ42" s="19"/>
      <c r="ABA42" s="19"/>
      <c r="ABB42" s="19"/>
      <c r="ABC42" s="19"/>
      <c r="ABD42" s="19"/>
      <c r="ABE42" s="19"/>
      <c r="ABF42" s="19"/>
      <c r="ABG42" s="19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19"/>
      <c r="ACO42" s="19"/>
      <c r="ACP42" s="19"/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/>
      <c r="ADM42" s="19"/>
      <c r="ADN42" s="19"/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/>
      <c r="AEE42" s="19"/>
      <c r="AEF42" s="19"/>
      <c r="AEG42" s="19"/>
      <c r="AEH42" s="19"/>
      <c r="AEI42" s="19"/>
      <c r="AEJ42" s="19"/>
      <c r="AEK42" s="19"/>
      <c r="AEL42" s="19"/>
      <c r="AEM42" s="19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19"/>
      <c r="AFU42" s="19"/>
      <c r="AFV42" s="19"/>
      <c r="AFW42" s="19"/>
      <c r="AFX42" s="19"/>
      <c r="AFY42" s="19"/>
      <c r="AFZ42" s="19"/>
      <c r="AGA42" s="19"/>
      <c r="AGB42" s="19"/>
      <c r="AGC42" s="19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19"/>
      <c r="AGP42" s="19"/>
      <c r="AGQ42" s="19"/>
      <c r="AGR42" s="19"/>
      <c r="AGS42" s="19"/>
      <c r="AGT42" s="19"/>
      <c r="AGU42" s="19"/>
      <c r="AGV42" s="19"/>
      <c r="AGW42" s="19"/>
      <c r="AGX42" s="19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19"/>
      <c r="AHK42" s="19"/>
      <c r="AHL42" s="19"/>
      <c r="AHM42" s="19"/>
      <c r="AHN42" s="19"/>
      <c r="AHO42" s="19"/>
      <c r="AHP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 t="s">
        <v>21</v>
      </c>
      <c r="ML43" s="19" t="s">
        <v>27</v>
      </c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>
        <v>7.0</v>
      </c>
      <c r="ML44" s="19">
        <v>6.0</v>
      </c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>
        <v>890.0</v>
      </c>
      <c r="ML45" s="19">
        <v>985.0</v>
      </c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 t="e">
        <v>#N/A</v>
      </c>
      <c r="ML46" s="19" t="e">
        <v>#N/A</v>
      </c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 t="s">
        <v>21</v>
      </c>
      <c r="ML47" s="19" t="s">
        <v>27</v>
      </c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  <c r="AAF51" s="19"/>
      <c r="AAG51" s="19"/>
      <c r="AAH51" s="19"/>
      <c r="AAI51" s="19"/>
      <c r="AAJ51" s="19"/>
      <c r="AAK51" s="19"/>
      <c r="AAL51" s="19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19"/>
      <c r="AAY51" s="19"/>
      <c r="AAZ51" s="19"/>
      <c r="ABA51" s="19"/>
      <c r="ABB51" s="19"/>
      <c r="ABC51" s="19"/>
      <c r="ABD51" s="19"/>
      <c r="ABE51" s="19"/>
      <c r="ABF51" s="19"/>
      <c r="ABG51" s="19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19"/>
      <c r="ABT51" s="19"/>
      <c r="ABU51" s="19"/>
      <c r="ABV51" s="19"/>
      <c r="ABW51" s="19"/>
      <c r="ABX51" s="19"/>
      <c r="ABY51" s="19"/>
      <c r="ABZ51" s="19"/>
      <c r="ACA51" s="19"/>
      <c r="ACB51" s="19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19"/>
      <c r="ACO51" s="19"/>
      <c r="ACP51" s="19"/>
      <c r="ACQ51" s="19"/>
      <c r="ACR51" s="19"/>
      <c r="ACS51" s="19"/>
      <c r="ACT51" s="19"/>
      <c r="ACU51" s="19"/>
      <c r="ACV51" s="19"/>
      <c r="ACW51" s="19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19"/>
      <c r="ADJ51" s="19"/>
      <c r="ADK51" s="19"/>
      <c r="ADL51" s="19"/>
      <c r="ADM51" s="19"/>
      <c r="ADN51" s="19"/>
      <c r="ADO51" s="19"/>
      <c r="ADP51" s="19"/>
      <c r="ADQ51" s="19"/>
      <c r="ADR51" s="19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19"/>
      <c r="AEE51" s="19"/>
      <c r="AEF51" s="19"/>
      <c r="AEG51" s="19"/>
      <c r="AEH51" s="19"/>
      <c r="AEI51" s="19"/>
      <c r="AEJ51" s="19"/>
      <c r="AEK51" s="19"/>
      <c r="AEL51" s="19"/>
      <c r="AEM51" s="19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19"/>
      <c r="AEZ51" s="19"/>
      <c r="AFA51" s="19"/>
      <c r="AFB51" s="19"/>
      <c r="AFC51" s="19"/>
      <c r="AFD51" s="19"/>
      <c r="AFE51" s="19"/>
      <c r="AFF51" s="19"/>
      <c r="AFG51" s="19"/>
      <c r="AFH51" s="19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19"/>
      <c r="AFU51" s="19"/>
      <c r="AFV51" s="19"/>
      <c r="AFW51" s="19"/>
      <c r="AFX51" s="19"/>
      <c r="AFY51" s="19"/>
      <c r="AFZ51" s="19"/>
      <c r="AGA51" s="19"/>
      <c r="AGB51" s="19"/>
      <c r="AGC51" s="19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19"/>
      <c r="AGP51" s="19"/>
      <c r="AGQ51" s="19"/>
      <c r="AGR51" s="19"/>
      <c r="AGS51" s="19"/>
      <c r="AGT51" s="19"/>
      <c r="AGU51" s="19"/>
      <c r="AGV51" s="19"/>
      <c r="AGW51" s="19"/>
      <c r="AGX51" s="19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19"/>
      <c r="AHK51" s="19"/>
      <c r="AHL51" s="19"/>
      <c r="AHM51" s="19"/>
      <c r="AHN51" s="19"/>
      <c r="AHO51" s="19"/>
      <c r="AHP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9"/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  <c r="YR54" s="19"/>
      <c r="YS54" s="19"/>
      <c r="YT54" s="19"/>
      <c r="YU54" s="19"/>
      <c r="YV54" s="19"/>
      <c r="YW54" s="19"/>
      <c r="YX54" s="19"/>
      <c r="YY54" s="19"/>
      <c r="YZ54" s="19"/>
      <c r="ZA54" s="19"/>
      <c r="ZB54" s="19"/>
      <c r="ZC54" s="19"/>
      <c r="ZD54" s="19"/>
      <c r="ZE54" s="19"/>
      <c r="ZF54" s="19"/>
      <c r="ZG54" s="19"/>
      <c r="ZH54" s="19"/>
      <c r="ZI54" s="19"/>
      <c r="ZJ54" s="19"/>
      <c r="ZK54" s="19"/>
      <c r="ZL54" s="19"/>
      <c r="ZM54" s="19"/>
      <c r="ZN54" s="19"/>
      <c r="ZO54" s="19"/>
      <c r="ZP54" s="19"/>
      <c r="ZQ54" s="19"/>
      <c r="ZR54" s="19"/>
      <c r="ZS54" s="19"/>
      <c r="ZT54" s="19"/>
      <c r="ZU54" s="19"/>
      <c r="ZV54" s="19"/>
      <c r="ZW54" s="19"/>
      <c r="ZX54" s="19"/>
      <c r="ZY54" s="19"/>
      <c r="ZZ54" s="19"/>
      <c r="AAA54" s="19"/>
      <c r="AAB54" s="19"/>
      <c r="AAC54" s="19"/>
      <c r="AAD54" s="19"/>
      <c r="AAE54" s="19"/>
      <c r="AAF54" s="19"/>
      <c r="AAG54" s="19"/>
      <c r="AAH54" s="19"/>
      <c r="AAI54" s="19"/>
      <c r="AAJ54" s="19"/>
      <c r="AAK54" s="19"/>
      <c r="AAL54" s="19"/>
      <c r="AAM54" s="19"/>
      <c r="AAN54" s="19"/>
      <c r="AAO54" s="19"/>
      <c r="AAP54" s="19"/>
      <c r="AAQ54" s="19"/>
      <c r="AAR54" s="19"/>
      <c r="AAS54" s="19"/>
      <c r="AAT54" s="19"/>
      <c r="AAU54" s="19"/>
      <c r="AAV54" s="19"/>
      <c r="AAW54" s="19"/>
      <c r="AAX54" s="19"/>
      <c r="AAY54" s="19"/>
      <c r="AAZ54" s="19"/>
      <c r="ABA54" s="19"/>
      <c r="ABB54" s="19"/>
      <c r="ABC54" s="19"/>
      <c r="ABD54" s="19"/>
      <c r="ABE54" s="19"/>
      <c r="ABF54" s="19"/>
      <c r="ABG54" s="19"/>
      <c r="ABH54" s="19"/>
      <c r="ABI54" s="19"/>
      <c r="ABJ54" s="19"/>
      <c r="ABK54" s="19"/>
      <c r="ABL54" s="19"/>
      <c r="ABM54" s="19"/>
      <c r="ABN54" s="19"/>
      <c r="ABO54" s="19"/>
      <c r="ABP54" s="19"/>
      <c r="ABQ54" s="19"/>
      <c r="ABR54" s="19"/>
      <c r="ABS54" s="19"/>
      <c r="ABT54" s="19"/>
      <c r="ABU54" s="19"/>
      <c r="ABV54" s="19"/>
      <c r="ABW54" s="19"/>
      <c r="ABX54" s="19"/>
      <c r="ABY54" s="19"/>
      <c r="ABZ54" s="19"/>
      <c r="ACA54" s="19"/>
      <c r="ACB54" s="19"/>
      <c r="ACC54" s="19"/>
      <c r="ACD54" s="19"/>
      <c r="ACE54" s="19"/>
      <c r="ACF54" s="19"/>
      <c r="ACG54" s="19"/>
      <c r="ACH54" s="19"/>
      <c r="ACI54" s="19"/>
      <c r="ACJ54" s="19"/>
      <c r="ACK54" s="19"/>
      <c r="ACL54" s="19"/>
      <c r="ACM54" s="19"/>
      <c r="ACN54" s="19"/>
      <c r="ACO54" s="19"/>
      <c r="ACP54" s="19"/>
      <c r="ACQ54" s="19"/>
      <c r="ACR54" s="19"/>
      <c r="ACS54" s="19"/>
      <c r="ACT54" s="19"/>
      <c r="ACU54" s="19"/>
      <c r="ACV54" s="19"/>
      <c r="ACW54" s="19"/>
      <c r="ACX54" s="19"/>
      <c r="ACY54" s="19"/>
      <c r="ACZ54" s="19"/>
      <c r="ADA54" s="19"/>
      <c r="ADB54" s="19"/>
      <c r="ADC54" s="19"/>
      <c r="ADD54" s="19"/>
      <c r="ADE54" s="19"/>
      <c r="ADF54" s="19"/>
      <c r="ADG54" s="19"/>
      <c r="ADH54" s="19"/>
      <c r="ADI54" s="19"/>
      <c r="ADJ54" s="19"/>
      <c r="ADK54" s="19"/>
      <c r="ADL54" s="19"/>
      <c r="ADM54" s="19"/>
      <c r="ADN54" s="19"/>
      <c r="ADO54" s="19"/>
      <c r="ADP54" s="19"/>
      <c r="ADQ54" s="19"/>
      <c r="ADR54" s="19"/>
      <c r="ADS54" s="19"/>
      <c r="ADT54" s="19"/>
      <c r="ADU54" s="19"/>
      <c r="ADV54" s="19"/>
      <c r="ADW54" s="19"/>
      <c r="ADX54" s="19"/>
      <c r="ADY54" s="19"/>
      <c r="ADZ54" s="19"/>
      <c r="AEA54" s="19"/>
      <c r="AEB54" s="19"/>
      <c r="AEC54" s="19"/>
      <c r="AED54" s="19"/>
      <c r="AEE54" s="19"/>
      <c r="AEF54" s="19"/>
      <c r="AEG54" s="19"/>
      <c r="AEH54" s="19"/>
      <c r="AEI54" s="19"/>
      <c r="AEJ54" s="19"/>
      <c r="AEK54" s="19"/>
      <c r="AEL54" s="19"/>
      <c r="AEM54" s="19"/>
      <c r="AEN54" s="19"/>
      <c r="AEO54" s="19"/>
      <c r="AEP54" s="19"/>
      <c r="AEQ54" s="19"/>
      <c r="AER54" s="19"/>
      <c r="AES54" s="19"/>
      <c r="AET54" s="19"/>
      <c r="AEU54" s="19"/>
      <c r="AEV54" s="19"/>
      <c r="AEW54" s="19"/>
      <c r="AEX54" s="19"/>
      <c r="AEY54" s="19"/>
      <c r="AEZ54" s="19"/>
      <c r="AFA54" s="19"/>
      <c r="AFB54" s="19"/>
      <c r="AFC54" s="19"/>
      <c r="AFD54" s="19"/>
      <c r="AFE54" s="19"/>
      <c r="AFF54" s="19"/>
      <c r="AFG54" s="19"/>
      <c r="AFH54" s="19"/>
      <c r="AFI54" s="19"/>
      <c r="AFJ54" s="19"/>
      <c r="AFK54" s="19"/>
      <c r="AFL54" s="19"/>
      <c r="AFM54" s="19"/>
      <c r="AFN54" s="19"/>
      <c r="AFO54" s="19"/>
      <c r="AFP54" s="19"/>
      <c r="AFQ54" s="19"/>
      <c r="AFR54" s="19"/>
      <c r="AFS54" s="19"/>
      <c r="AFT54" s="19"/>
      <c r="AFU54" s="19"/>
      <c r="AFV54" s="19"/>
      <c r="AFW54" s="19"/>
      <c r="AFX54" s="19"/>
      <c r="AFY54" s="19"/>
      <c r="AFZ54" s="19"/>
      <c r="AGA54" s="19"/>
      <c r="AGB54" s="19"/>
      <c r="AGC54" s="19"/>
      <c r="AGD54" s="19"/>
      <c r="AGE54" s="19"/>
      <c r="AGF54" s="19"/>
      <c r="AGG54" s="19"/>
      <c r="AGH54" s="19"/>
      <c r="AGI54" s="19"/>
      <c r="AGJ54" s="19"/>
      <c r="AGK54" s="19"/>
      <c r="AGL54" s="19"/>
      <c r="AGM54" s="19"/>
      <c r="AGN54" s="19"/>
      <c r="AGO54" s="19"/>
      <c r="AGP54" s="19"/>
      <c r="AGQ54" s="19"/>
      <c r="AGR54" s="19"/>
      <c r="AGS54" s="19"/>
      <c r="AGT54" s="19"/>
      <c r="AGU54" s="19"/>
      <c r="AGV54" s="19"/>
      <c r="AGW54" s="19"/>
      <c r="AGX54" s="19"/>
      <c r="AGY54" s="19"/>
      <c r="AGZ54" s="19"/>
      <c r="AHA54" s="19"/>
      <c r="AHB54" s="19"/>
      <c r="AHC54" s="19"/>
      <c r="AHD54" s="19"/>
      <c r="AHE54" s="19"/>
      <c r="AHF54" s="19"/>
      <c r="AHG54" s="19"/>
      <c r="AHH54" s="19"/>
      <c r="AHI54" s="19"/>
      <c r="AHJ54" s="19"/>
      <c r="AHK54" s="19"/>
      <c r="AHL54" s="19"/>
      <c r="AHM54" s="19"/>
      <c r="AHN54" s="19"/>
      <c r="AHO54" s="19"/>
      <c r="AHP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/>
      <c r="OF55" s="19"/>
      <c r="OG55" s="19"/>
      <c r="OH55" s="19"/>
      <c r="OI55" s="19"/>
      <c r="OJ55" s="19"/>
      <c r="OK55" s="19"/>
      <c r="OL55" s="19"/>
      <c r="OM55" s="19"/>
      <c r="ON55" s="19"/>
      <c r="OO55" s="19"/>
      <c r="OP55" s="19"/>
      <c r="OQ55" s="19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  <c r="YR55" s="19"/>
      <c r="YS55" s="19"/>
      <c r="YT55" s="19"/>
      <c r="YU55" s="19"/>
      <c r="YV55" s="19"/>
      <c r="YW55" s="19"/>
      <c r="YX55" s="19"/>
      <c r="YY55" s="19"/>
      <c r="YZ55" s="19"/>
      <c r="ZA55" s="19"/>
      <c r="ZB55" s="19"/>
      <c r="ZC55" s="19"/>
      <c r="ZD55" s="19"/>
      <c r="ZE55" s="19"/>
      <c r="ZF55" s="19"/>
      <c r="ZG55" s="19"/>
      <c r="ZH55" s="19"/>
      <c r="ZI55" s="19"/>
      <c r="ZJ55" s="19"/>
      <c r="ZK55" s="19"/>
      <c r="ZL55" s="19"/>
      <c r="ZM55" s="19"/>
      <c r="ZN55" s="19"/>
      <c r="ZO55" s="19"/>
      <c r="ZP55" s="19"/>
      <c r="ZQ55" s="19"/>
      <c r="ZR55" s="19"/>
      <c r="ZS55" s="19"/>
      <c r="ZT55" s="19"/>
      <c r="ZU55" s="19"/>
      <c r="ZV55" s="19"/>
      <c r="ZW55" s="19"/>
      <c r="ZX55" s="19"/>
      <c r="ZY55" s="19"/>
      <c r="ZZ55" s="19"/>
      <c r="AAA55" s="19"/>
      <c r="AAB55" s="19"/>
      <c r="AAC55" s="19"/>
      <c r="AAD55" s="19"/>
      <c r="AAE55" s="19"/>
      <c r="AAF55" s="19"/>
      <c r="AAG55" s="19"/>
      <c r="AAH55" s="19"/>
      <c r="AAI55" s="19"/>
      <c r="AAJ55" s="19"/>
      <c r="AAK55" s="19"/>
      <c r="AAL55" s="19"/>
      <c r="AAM55" s="19"/>
      <c r="AAN55" s="19"/>
      <c r="AAO55" s="19"/>
      <c r="AAP55" s="19"/>
      <c r="AAQ55" s="19"/>
      <c r="AAR55" s="19"/>
      <c r="AAS55" s="19"/>
      <c r="AAT55" s="19"/>
      <c r="AAU55" s="19"/>
      <c r="AAV55" s="19"/>
      <c r="AAW55" s="19"/>
      <c r="AAX55" s="19"/>
      <c r="AAY55" s="19"/>
      <c r="AAZ55" s="19"/>
      <c r="ABA55" s="19"/>
      <c r="ABB55" s="19"/>
      <c r="ABC55" s="19"/>
      <c r="ABD55" s="19"/>
      <c r="ABE55" s="19"/>
      <c r="ABF55" s="19"/>
      <c r="ABG55" s="19"/>
      <c r="ABH55" s="19"/>
      <c r="ABI55" s="19"/>
      <c r="ABJ55" s="19"/>
      <c r="ABK55" s="19"/>
      <c r="ABL55" s="19"/>
      <c r="ABM55" s="19"/>
      <c r="ABN55" s="19"/>
      <c r="ABO55" s="19"/>
      <c r="ABP55" s="19"/>
      <c r="ABQ55" s="19"/>
      <c r="ABR55" s="19"/>
      <c r="ABS55" s="19"/>
      <c r="ABT55" s="19"/>
      <c r="ABU55" s="19"/>
      <c r="ABV55" s="19"/>
      <c r="ABW55" s="19"/>
      <c r="ABX55" s="19"/>
      <c r="ABY55" s="19"/>
      <c r="ABZ55" s="19"/>
      <c r="ACA55" s="19"/>
      <c r="ACB55" s="19"/>
      <c r="ACC55" s="19"/>
      <c r="ACD55" s="19"/>
      <c r="ACE55" s="19"/>
      <c r="ACF55" s="19"/>
      <c r="ACG55" s="19"/>
      <c r="ACH55" s="19"/>
      <c r="ACI55" s="19"/>
      <c r="ACJ55" s="19"/>
      <c r="ACK55" s="19"/>
      <c r="ACL55" s="19"/>
      <c r="ACM55" s="19"/>
      <c r="ACN55" s="19"/>
      <c r="ACO55" s="19"/>
      <c r="ACP55" s="19"/>
      <c r="ACQ55" s="19"/>
      <c r="ACR55" s="19"/>
      <c r="ACS55" s="19"/>
      <c r="ACT55" s="19"/>
      <c r="ACU55" s="19"/>
      <c r="ACV55" s="19"/>
      <c r="ACW55" s="19"/>
      <c r="ACX55" s="19"/>
      <c r="ACY55" s="19"/>
      <c r="ACZ55" s="19"/>
      <c r="ADA55" s="19"/>
      <c r="ADB55" s="19"/>
      <c r="ADC55" s="19"/>
      <c r="ADD55" s="19"/>
      <c r="ADE55" s="19"/>
      <c r="ADF55" s="19"/>
      <c r="ADG55" s="19"/>
      <c r="ADH55" s="19"/>
      <c r="ADI55" s="19"/>
      <c r="ADJ55" s="19"/>
      <c r="ADK55" s="19"/>
      <c r="ADL55" s="19"/>
      <c r="ADM55" s="19"/>
      <c r="ADN55" s="19"/>
      <c r="ADO55" s="19"/>
      <c r="ADP55" s="19"/>
      <c r="ADQ55" s="19"/>
      <c r="ADR55" s="19"/>
      <c r="ADS55" s="19"/>
      <c r="ADT55" s="19"/>
      <c r="ADU55" s="19"/>
      <c r="ADV55" s="19"/>
      <c r="ADW55" s="19"/>
      <c r="ADX55" s="19"/>
      <c r="ADY55" s="19"/>
      <c r="ADZ55" s="19"/>
      <c r="AEA55" s="19"/>
      <c r="AEB55" s="19"/>
      <c r="AEC55" s="19"/>
      <c r="AED55" s="19"/>
      <c r="AEE55" s="19"/>
      <c r="AEF55" s="19"/>
      <c r="AEG55" s="19"/>
      <c r="AEH55" s="19"/>
      <c r="AEI55" s="19"/>
      <c r="AEJ55" s="19"/>
      <c r="AEK55" s="19"/>
      <c r="AEL55" s="19"/>
      <c r="AEM55" s="19"/>
      <c r="AEN55" s="19"/>
      <c r="AEO55" s="19"/>
      <c r="AEP55" s="19"/>
      <c r="AEQ55" s="19"/>
      <c r="AER55" s="19"/>
      <c r="AES55" s="19"/>
      <c r="AET55" s="19"/>
      <c r="AEU55" s="19"/>
      <c r="AEV55" s="19"/>
      <c r="AEW55" s="19"/>
      <c r="AEX55" s="19"/>
      <c r="AEY55" s="19"/>
      <c r="AEZ55" s="19"/>
      <c r="AFA55" s="19"/>
      <c r="AFB55" s="19"/>
      <c r="AFC55" s="19"/>
      <c r="AFD55" s="19"/>
      <c r="AFE55" s="19"/>
      <c r="AFF55" s="19"/>
      <c r="AFG55" s="19"/>
      <c r="AFH55" s="19"/>
      <c r="AFI55" s="19"/>
      <c r="AFJ55" s="19"/>
      <c r="AFK55" s="19"/>
      <c r="AFL55" s="19"/>
      <c r="AFM55" s="19"/>
      <c r="AFN55" s="19"/>
      <c r="AFO55" s="19"/>
      <c r="AFP55" s="19"/>
      <c r="AFQ55" s="19"/>
      <c r="AFR55" s="19"/>
      <c r="AFS55" s="19"/>
      <c r="AFT55" s="19"/>
      <c r="AFU55" s="19"/>
      <c r="AFV55" s="19"/>
      <c r="AFW55" s="19"/>
      <c r="AFX55" s="19"/>
      <c r="AFY55" s="19"/>
      <c r="AFZ55" s="19"/>
      <c r="AGA55" s="19"/>
      <c r="AGB55" s="19"/>
      <c r="AGC55" s="19"/>
      <c r="AGD55" s="19"/>
      <c r="AGE55" s="19"/>
      <c r="AGF55" s="19"/>
      <c r="AGG55" s="19"/>
      <c r="AGH55" s="19"/>
      <c r="AGI55" s="19"/>
      <c r="AGJ55" s="19"/>
      <c r="AGK55" s="19"/>
      <c r="AGL55" s="19"/>
      <c r="AGM55" s="19"/>
      <c r="AGN55" s="19"/>
      <c r="AGO55" s="19"/>
      <c r="AGP55" s="19"/>
      <c r="AGQ55" s="19"/>
      <c r="AGR55" s="19"/>
      <c r="AGS55" s="19"/>
      <c r="AGT55" s="19"/>
      <c r="AGU55" s="19"/>
      <c r="AGV55" s="19"/>
      <c r="AGW55" s="19"/>
      <c r="AGX55" s="19"/>
      <c r="AGY55" s="19"/>
      <c r="AGZ55" s="19"/>
      <c r="AHA55" s="19"/>
      <c r="AHB55" s="19"/>
      <c r="AHC55" s="19"/>
      <c r="AHD55" s="19"/>
      <c r="AHE55" s="19"/>
      <c r="AHF55" s="19"/>
      <c r="AHG55" s="19"/>
      <c r="AHH55" s="19"/>
      <c r="AHI55" s="19"/>
      <c r="AHJ55" s="19"/>
      <c r="AHK55" s="19"/>
      <c r="AHL55" s="19"/>
      <c r="AHM55" s="19"/>
      <c r="AHN55" s="19"/>
      <c r="AHO55" s="19"/>
      <c r="AHP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/>
      <c r="OI56" s="19"/>
      <c r="OJ56" s="19"/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  <c r="YR56" s="19"/>
      <c r="YS56" s="19"/>
      <c r="YT56" s="19"/>
      <c r="YU56" s="19"/>
      <c r="YV56" s="19"/>
      <c r="YW56" s="19"/>
      <c r="YX56" s="19"/>
      <c r="YY56" s="19"/>
      <c r="YZ56" s="19"/>
      <c r="ZA56" s="19"/>
      <c r="ZB56" s="19"/>
      <c r="ZC56" s="19"/>
      <c r="ZD56" s="19"/>
      <c r="ZE56" s="19"/>
      <c r="ZF56" s="19"/>
      <c r="ZG56" s="19"/>
      <c r="ZH56" s="19"/>
      <c r="ZI56" s="19"/>
      <c r="ZJ56" s="19"/>
      <c r="ZK56" s="19"/>
      <c r="ZL56" s="19"/>
      <c r="ZM56" s="19"/>
      <c r="ZN56" s="19"/>
      <c r="ZO56" s="19"/>
      <c r="ZP56" s="19"/>
      <c r="ZQ56" s="19"/>
      <c r="ZR56" s="19"/>
      <c r="ZS56" s="19"/>
      <c r="ZT56" s="19"/>
      <c r="ZU56" s="19"/>
      <c r="ZV56" s="19"/>
      <c r="ZW56" s="19"/>
      <c r="ZX56" s="19"/>
      <c r="ZY56" s="19"/>
      <c r="ZZ56" s="19"/>
      <c r="AAA56" s="19"/>
      <c r="AAB56" s="19"/>
      <c r="AAC56" s="19"/>
      <c r="AAD56" s="19"/>
      <c r="AAE56" s="19"/>
      <c r="AAF56" s="19"/>
      <c r="AAG56" s="19"/>
      <c r="AAH56" s="19"/>
      <c r="AAI56" s="19"/>
      <c r="AAJ56" s="19"/>
      <c r="AAK56" s="19"/>
      <c r="AAL56" s="19"/>
      <c r="AAM56" s="19"/>
      <c r="AAN56" s="19"/>
      <c r="AAO56" s="19"/>
      <c r="AAP56" s="19"/>
      <c r="AAQ56" s="19"/>
      <c r="AAR56" s="19"/>
      <c r="AAS56" s="19"/>
      <c r="AAT56" s="19"/>
      <c r="AAU56" s="19"/>
      <c r="AAV56" s="19"/>
      <c r="AAW56" s="19"/>
      <c r="AAX56" s="19"/>
      <c r="AAY56" s="19"/>
      <c r="AAZ56" s="19"/>
      <c r="ABA56" s="19"/>
      <c r="ABB56" s="19"/>
      <c r="ABC56" s="19"/>
      <c r="ABD56" s="19"/>
      <c r="ABE56" s="19"/>
      <c r="ABF56" s="19"/>
      <c r="ABG56" s="19"/>
      <c r="ABH56" s="19"/>
      <c r="ABI56" s="19"/>
      <c r="ABJ56" s="19"/>
      <c r="ABK56" s="19"/>
      <c r="ABL56" s="19"/>
      <c r="ABM56" s="19"/>
      <c r="ABN56" s="19"/>
      <c r="ABO56" s="19"/>
      <c r="ABP56" s="19"/>
      <c r="ABQ56" s="19"/>
      <c r="ABR56" s="19"/>
      <c r="ABS56" s="19"/>
      <c r="ABT56" s="19"/>
      <c r="ABU56" s="19"/>
      <c r="ABV56" s="19"/>
      <c r="ABW56" s="19"/>
      <c r="ABX56" s="19"/>
      <c r="ABY56" s="19"/>
      <c r="ABZ56" s="19"/>
      <c r="ACA56" s="19"/>
      <c r="ACB56" s="19"/>
      <c r="ACC56" s="19"/>
      <c r="ACD56" s="19"/>
      <c r="ACE56" s="19"/>
      <c r="ACF56" s="19"/>
      <c r="ACG56" s="19"/>
      <c r="ACH56" s="19"/>
      <c r="ACI56" s="19"/>
      <c r="ACJ56" s="19"/>
      <c r="ACK56" s="19"/>
      <c r="ACL56" s="19"/>
      <c r="ACM56" s="19"/>
      <c r="ACN56" s="19"/>
      <c r="ACO56" s="19"/>
      <c r="ACP56" s="19"/>
      <c r="ACQ56" s="19"/>
      <c r="ACR56" s="19"/>
      <c r="ACS56" s="19"/>
      <c r="ACT56" s="19"/>
      <c r="ACU56" s="19"/>
      <c r="ACV56" s="19"/>
      <c r="ACW56" s="19"/>
      <c r="ACX56" s="19"/>
      <c r="ACY56" s="19"/>
      <c r="ACZ56" s="19"/>
      <c r="ADA56" s="19"/>
      <c r="ADB56" s="19"/>
      <c r="ADC56" s="19"/>
      <c r="ADD56" s="19"/>
      <c r="ADE56" s="19"/>
      <c r="ADF56" s="19"/>
      <c r="ADG56" s="19"/>
      <c r="ADH56" s="19"/>
      <c r="ADI56" s="19"/>
      <c r="ADJ56" s="19"/>
      <c r="ADK56" s="19"/>
      <c r="ADL56" s="19"/>
      <c r="ADM56" s="19"/>
      <c r="ADN56" s="19"/>
      <c r="ADO56" s="19"/>
      <c r="ADP56" s="19"/>
      <c r="ADQ56" s="19"/>
      <c r="ADR56" s="19"/>
      <c r="ADS56" s="19"/>
      <c r="ADT56" s="19"/>
      <c r="ADU56" s="19"/>
      <c r="ADV56" s="19"/>
      <c r="ADW56" s="19"/>
      <c r="ADX56" s="19"/>
      <c r="ADY56" s="19"/>
      <c r="ADZ56" s="19"/>
      <c r="AEA56" s="19"/>
      <c r="AEB56" s="19"/>
      <c r="AEC56" s="19"/>
      <c r="AED56" s="19"/>
      <c r="AEE56" s="19"/>
      <c r="AEF56" s="19"/>
      <c r="AEG56" s="19"/>
      <c r="AEH56" s="19"/>
      <c r="AEI56" s="19"/>
      <c r="AEJ56" s="19"/>
      <c r="AEK56" s="19"/>
      <c r="AEL56" s="19"/>
      <c r="AEM56" s="19"/>
      <c r="AEN56" s="19"/>
      <c r="AEO56" s="19"/>
      <c r="AEP56" s="19"/>
      <c r="AEQ56" s="19"/>
      <c r="AER56" s="19"/>
      <c r="AES56" s="19"/>
      <c r="AET56" s="19"/>
      <c r="AEU56" s="19"/>
      <c r="AEV56" s="19"/>
      <c r="AEW56" s="19"/>
      <c r="AEX56" s="19"/>
      <c r="AEY56" s="19"/>
      <c r="AEZ56" s="19"/>
      <c r="AFA56" s="19"/>
      <c r="AFB56" s="19"/>
      <c r="AFC56" s="19"/>
      <c r="AFD56" s="19"/>
      <c r="AFE56" s="19"/>
      <c r="AFF56" s="19"/>
      <c r="AFG56" s="19"/>
      <c r="AFH56" s="19"/>
      <c r="AFI56" s="19"/>
      <c r="AFJ56" s="19"/>
      <c r="AFK56" s="19"/>
      <c r="AFL56" s="19"/>
      <c r="AFM56" s="19"/>
      <c r="AFN56" s="19"/>
      <c r="AFO56" s="19"/>
      <c r="AFP56" s="19"/>
      <c r="AFQ56" s="19"/>
      <c r="AFR56" s="19"/>
      <c r="AFS56" s="19"/>
      <c r="AFT56" s="19"/>
      <c r="AFU56" s="19"/>
      <c r="AFV56" s="19"/>
      <c r="AFW56" s="19"/>
      <c r="AFX56" s="19"/>
      <c r="AFY56" s="19"/>
      <c r="AFZ56" s="19"/>
      <c r="AGA56" s="19"/>
      <c r="AGB56" s="19"/>
      <c r="AGC56" s="19"/>
      <c r="AGD56" s="19"/>
      <c r="AGE56" s="19"/>
      <c r="AGF56" s="19"/>
      <c r="AGG56" s="19"/>
      <c r="AGH56" s="19"/>
      <c r="AGI56" s="19"/>
      <c r="AGJ56" s="19"/>
      <c r="AGK56" s="19"/>
      <c r="AGL56" s="19"/>
      <c r="AGM56" s="19"/>
      <c r="AGN56" s="19"/>
      <c r="AGO56" s="19"/>
      <c r="AGP56" s="19"/>
      <c r="AGQ56" s="19"/>
      <c r="AGR56" s="19"/>
      <c r="AGS56" s="19"/>
      <c r="AGT56" s="19"/>
      <c r="AGU56" s="19"/>
      <c r="AGV56" s="19"/>
      <c r="AGW56" s="19"/>
      <c r="AGX56" s="19"/>
      <c r="AGY56" s="19"/>
      <c r="AGZ56" s="19"/>
      <c r="AHA56" s="19"/>
      <c r="AHB56" s="19"/>
      <c r="AHC56" s="19"/>
      <c r="AHD56" s="19"/>
      <c r="AHE56" s="19"/>
      <c r="AHF56" s="19"/>
      <c r="AHG56" s="19"/>
      <c r="AHH56" s="19"/>
      <c r="AHI56" s="19"/>
      <c r="AHJ56" s="19"/>
      <c r="AHK56" s="19"/>
      <c r="AHL56" s="19"/>
      <c r="AHM56" s="19"/>
      <c r="AHN56" s="19"/>
      <c r="AHO56" s="19"/>
      <c r="AHP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</row>
  </sheetData>
  <drawing r:id="rId1"/>
</worksheet>
</file>