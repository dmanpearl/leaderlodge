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oreKee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d&quot;, &quot;mmm&quot; &quot;d&quot;, &quot;yyyy"/>
    <numFmt numFmtId="165" formatCode="ddd, mmm d, yyyy"/>
    <numFmt numFmtId="166" formatCode="m/d"/>
  </numFmts>
  <fonts count="5">
    <font>
      <name val="Arial"/>
      <color rgb="FF000000"/>
      <sz val="10"/>
    </font>
    <font>
      <name val="Arial"/>
      <b val="1"/>
    </font>
    <font>
      <name val="Arial"/>
    </font>
    <font>
      <name val="&quot;Google Sans Mono&quot;"/>
      <color rgb="FF000000"/>
      <sz val="9"/>
    </font>
    <font/>
  </fonts>
  <fills count="4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1">
    <border/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EFFFF"/>
          <bgColor rgb="FFBE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FF"/>
      </font>
      <fill>
        <patternFill patternType="solid">
          <fgColor rgb="FF00FF00"/>
          <bgColor rgb="FF00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45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5.13" defaultRowHeight="15.75" customHeight="1"/>
  <cols>
    <col width="16" customWidth="1" style="27" min="1" max="1"/>
    <col width="7.38" customWidth="1" style="27" min="2" max="3"/>
    <col width="24.5" customWidth="1" style="27" min="4" max="4"/>
    <col width="8.130000000000001" customWidth="1" style="27" min="5" max="5"/>
    <col width="8.5" customWidth="1" style="27" min="6" max="6"/>
    <col width="5.38" customWidth="1" style="27" min="7" max="7"/>
    <col width="6.88" customWidth="1" style="27" min="8" max="9"/>
    <col width="5.88" customWidth="1" style="27" min="10" max="10"/>
    <col width="5.38" customWidth="1" style="27" min="11" max="11"/>
    <col width="4.5" customWidth="1" style="27" min="12" max="12"/>
  </cols>
  <sheetData>
    <row r="1">
      <c r="A1" s="1" t="inlineStr">
        <is>
          <t>Date</t>
        </is>
      </c>
      <c r="B1" s="4" t="inlineStr">
        <is>
          <t>Nancy</t>
        </is>
      </c>
      <c r="C1" s="4" t="inlineStr">
        <is>
          <t>David</t>
        </is>
      </c>
      <c r="D1" s="4" t="inlineStr">
        <is>
          <t>Where</t>
        </is>
      </c>
      <c r="E1" s="4" t="inlineStr">
        <is>
          <t>Nancy</t>
        </is>
      </c>
      <c r="F1" s="4" t="inlineStr">
        <is>
          <t>David</t>
        </is>
      </c>
      <c r="G1" s="4" t="inlineStr">
        <is>
          <t>Diff</t>
        </is>
      </c>
      <c r="H1" s="4" t="inlineStr">
        <is>
          <t>Nancy</t>
        </is>
      </c>
      <c r="I1" s="4" t="inlineStr">
        <is>
          <t>David</t>
        </is>
      </c>
      <c r="J1" s="4" t="inlineStr">
        <is>
          <t>Nancy</t>
        </is>
      </c>
      <c r="K1" s="4" t="inlineStr">
        <is>
          <t>David</t>
        </is>
      </c>
      <c r="L1" s="4" t="inlineStr">
        <is>
          <t>Diff</t>
        </is>
      </c>
      <c r="M1" s="4" t="n"/>
      <c r="N1" s="4" t="n"/>
      <c r="O1" s="4" t="n"/>
      <c r="P1" s="4" t="n"/>
      <c r="Q1" s="4" t="n"/>
      <c r="R1" s="4" t="n"/>
      <c r="S1" s="4" t="n"/>
    </row>
    <row r="2">
      <c r="A2" s="1" t="inlineStr">
        <is>
          <t>Totals</t>
        </is>
      </c>
      <c r="B2" s="4">
        <f>sum(B3:B22333)</f>
        <v/>
      </c>
      <c r="C2" s="4">
        <f>sum(C3:C22333)</f>
        <v/>
      </c>
      <c r="D2" s="4" t="n"/>
      <c r="E2" s="4">
        <f>SUM(B3:B22333)</f>
        <v/>
      </c>
      <c r="F2" s="4">
        <f>sum(C3:C22333)</f>
        <v/>
      </c>
      <c r="G2" s="4" t="n"/>
      <c r="H2" s="4">
        <f>SUM(H3:H22333)</f>
        <v/>
      </c>
      <c r="I2" s="4">
        <f>sum(I3:I22333)</f>
        <v/>
      </c>
      <c r="J2" s="4" t="inlineStr">
        <is>
          <t>Total</t>
        </is>
      </c>
      <c r="K2" s="4" t="inlineStr">
        <is>
          <t>Total</t>
        </is>
      </c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15" t="n">
        <v>41695</v>
      </c>
      <c r="B3" s="9" t="n">
        <v>25</v>
      </c>
      <c r="C3" s="10" t="n">
        <v>30</v>
      </c>
      <c r="D3" s="17" t="n"/>
      <c r="E3" s="9">
        <f>B3</f>
        <v/>
      </c>
      <c r="F3" s="10">
        <f>C3</f>
        <v/>
      </c>
      <c r="G3" s="11">
        <f>IF($A3&lt;&gt;"",IF(F3-E3=0,"tie",IF(F3-E3&gt;0,"+"&amp;F3-E3,"+"&amp;E3-F3)),"")</f>
        <v/>
      </c>
      <c r="H3" s="12">
        <f>if($A3&lt;&gt;"",if(B3&gt;C3,if(B3&lt;60,1,2),""),"")</f>
        <v/>
      </c>
      <c r="I3" s="12">
        <f>if($A3&lt;&gt;"",if(C3&gt;B3,if(C3&lt;60,1,2),""),"")</f>
        <v/>
      </c>
      <c r="J3" s="9">
        <f>H3</f>
        <v/>
      </c>
      <c r="K3" s="9">
        <f>I3</f>
        <v/>
      </c>
      <c r="L3" s="11">
        <f>IF($A3&lt;&gt;"",IF(K3-J3=0,"tie",IF(K3-J3&gt;0,"+"&amp;K3-J3,"+"&amp;J3-K3)),"")</f>
        <v/>
      </c>
      <c r="M3" s="17" t="n"/>
      <c r="N3" s="17" t="n"/>
      <c r="O3" s="17" t="n"/>
      <c r="P3" s="17" t="n"/>
      <c r="Q3" s="17" t="n"/>
      <c r="R3" s="17" t="n"/>
      <c r="S3" s="17" t="n"/>
    </row>
    <row r="4">
      <c r="A4" s="15" t="n">
        <v>41696</v>
      </c>
      <c r="B4" s="10" t="n">
        <v>30</v>
      </c>
      <c r="C4" s="9" t="n">
        <v>25</v>
      </c>
      <c r="D4" s="17" t="n"/>
      <c r="E4" s="16">
        <f>if($A4&lt;&gt;"",E3+B4,"")</f>
        <v/>
      </c>
      <c r="F4" s="16">
        <f>if($A4&lt;&gt;"",F3+C4,"")</f>
        <v/>
      </c>
      <c r="G4" s="11">
        <f>IF($A4&lt;&gt;"",IF(F4-E4=0,"tie",IF(F4-E4&gt;0,"+"&amp;F4-E4,"+"&amp;E4-F4)),"")</f>
        <v/>
      </c>
      <c r="H4" s="12">
        <f>if($A4&lt;&gt;"",if(B4&gt;C4,if(B4&lt;60,1,2),""),"")</f>
        <v/>
      </c>
      <c r="I4" s="12">
        <f>if($A4&lt;&gt;"",if(C4&gt;B4,if(C4&lt;60,1,2),""),"")</f>
        <v/>
      </c>
      <c r="J4" s="9">
        <f>if($A4&lt;&gt;"",J3+H4,"")</f>
        <v/>
      </c>
      <c r="K4" s="9">
        <f>if($A4&lt;&gt;"",K3+I4,"")</f>
        <v/>
      </c>
      <c r="L4" s="11">
        <f>IF($A4&lt;&gt;"",IF(K4-J4=0,"tie",IF(K4-J4&gt;0,"+"&amp;K4-J4,"+"&amp;J4-K4)),"")</f>
        <v/>
      </c>
      <c r="M4" s="17" t="n"/>
      <c r="N4" s="17" t="n"/>
      <c r="O4" s="17" t="n"/>
      <c r="P4" s="17" t="n"/>
      <c r="Q4" s="17" t="n"/>
      <c r="R4" s="17" t="n"/>
      <c r="S4" s="17" t="n"/>
    </row>
    <row r="5">
      <c r="A5" s="15" t="n">
        <v>41697</v>
      </c>
      <c r="B5" s="9" t="n">
        <v>25</v>
      </c>
      <c r="C5" s="10" t="n">
        <v>30</v>
      </c>
      <c r="D5" s="17" t="n"/>
      <c r="E5" s="9">
        <f>if($A5&lt;&gt;"",E4+B5,"")</f>
        <v/>
      </c>
      <c r="F5" s="10">
        <f>if($A5&lt;&gt;"",F4+C5,"")</f>
        <v/>
      </c>
      <c r="G5" s="11">
        <f>IF($A5&lt;&gt;"",IF(F5-E5=0,"tie",IF(F5-E5&gt;0,"+"&amp;F5-E5,"+"&amp;E5-F5)),"")</f>
        <v/>
      </c>
      <c r="H5" s="12">
        <f>if($A5&lt;&gt;"",if(B5&gt;C5,if(B5&lt;60,1,2),""),"")</f>
        <v/>
      </c>
      <c r="I5" s="12">
        <f>if($A5&lt;&gt;"",if(C5&gt;B5,if(C5&lt;60,1,2),""),"")</f>
        <v/>
      </c>
      <c r="J5" s="9">
        <f>if($A5&lt;&gt;"",J4+H5,"")</f>
        <v/>
      </c>
      <c r="K5" s="9">
        <f>if($A5&lt;&gt;"",K4+I5,"")</f>
        <v/>
      </c>
      <c r="L5" s="11">
        <f>IF($A5&lt;&gt;"",IF(K5-J5=0,"tie",IF(K5-J5&gt;0,"+"&amp;K5-J5,"+"&amp;J5-K5)),"")</f>
        <v/>
      </c>
      <c r="M5" s="17" t="n"/>
      <c r="N5" s="17" t="n"/>
      <c r="O5" s="17" t="n"/>
      <c r="P5" s="17" t="n"/>
      <c r="Q5" s="17" t="n"/>
      <c r="R5" s="17" t="n"/>
      <c r="S5" s="17" t="n"/>
    </row>
    <row r="6">
      <c r="A6" s="15" t="n">
        <v>41701</v>
      </c>
      <c r="B6" s="10" t="n">
        <v>30</v>
      </c>
      <c r="C6" s="9" t="n">
        <v>25</v>
      </c>
      <c r="D6" s="17" t="n"/>
      <c r="E6" s="16">
        <f>if($A6&lt;&gt;"",E5+B6,"")</f>
        <v/>
      </c>
      <c r="F6" s="16">
        <f>if($A6&lt;&gt;"",F5+C6,"")</f>
        <v/>
      </c>
      <c r="G6" s="11">
        <f>IF($A6&lt;&gt;"",IF(F6-E6=0,"tie",IF(F6-E6&gt;0,"+"&amp;F6-E6,"+"&amp;E6-F6)),"")</f>
        <v/>
      </c>
      <c r="H6" s="12">
        <f>if($A6&lt;&gt;"",if(B6&gt;C6,if(B6&lt;60,1,2),""),"")</f>
        <v/>
      </c>
      <c r="I6" s="12">
        <f>if($A6&lt;&gt;"",if(C6&gt;B6,if(C6&lt;60,1,2),""),"")</f>
        <v/>
      </c>
      <c r="J6" s="9">
        <f>if($A6&lt;&gt;"",J5+H6,"")</f>
        <v/>
      </c>
      <c r="K6" s="9">
        <f>if($A6&lt;&gt;"",K5+I6,"")</f>
        <v/>
      </c>
      <c r="L6" s="11">
        <f>IF($A6&lt;&gt;"",IF(K6-J6=0,"tie",IF(K6-J6&gt;0,"+"&amp;K6-J6,"+"&amp;J6-K6)),"")</f>
        <v/>
      </c>
      <c r="M6" s="17" t="n"/>
      <c r="N6" s="17" t="n"/>
      <c r="O6" s="17" t="n"/>
      <c r="P6" s="17" t="n"/>
      <c r="Q6" s="17" t="n"/>
      <c r="R6" s="17" t="n"/>
      <c r="S6" s="17" t="n"/>
    </row>
    <row r="7">
      <c r="A7" s="15" t="n">
        <v>41708</v>
      </c>
      <c r="B7" s="10" t="n">
        <v>30</v>
      </c>
      <c r="C7" s="9" t="n">
        <v>25</v>
      </c>
      <c r="D7" s="17" t="n"/>
      <c r="E7" s="10">
        <f>if($A7&lt;&gt;"",E6+B7,"")</f>
        <v/>
      </c>
      <c r="F7" s="9">
        <f>if($A7&lt;&gt;"",F6+C7,"")</f>
        <v/>
      </c>
      <c r="G7" s="11">
        <f>IF($A7&lt;&gt;"",IF(F7-E7=0,"tie",IF(F7-E7&gt;0,"+"&amp;F7-E7,"+"&amp;E7-F7)),"")</f>
        <v/>
      </c>
      <c r="H7" s="12">
        <f>if($A7&lt;&gt;"",if(B7&gt;C7,if(B7&lt;60,1,2),""),"")</f>
        <v/>
      </c>
      <c r="I7" s="12">
        <f>if($A7&lt;&gt;"",if(C7&gt;B7,if(C7&lt;60,1,2),""),"")</f>
        <v/>
      </c>
      <c r="J7" s="9">
        <f>if($A7&lt;&gt;"",J6+H7,"")</f>
        <v/>
      </c>
      <c r="K7" s="9">
        <f>if($A7&lt;&gt;"",K6+I7,"")</f>
        <v/>
      </c>
      <c r="L7" s="11">
        <f>IF($A7&lt;&gt;"",IF(K7-J7=0,"tie",IF(K7-J7&gt;0,"+"&amp;K7-J7,"+"&amp;J7-K7)),"")</f>
        <v/>
      </c>
      <c r="M7" s="17" t="n"/>
      <c r="N7" s="17" t="n"/>
      <c r="O7" s="17" t="n"/>
      <c r="P7" s="17" t="n"/>
      <c r="Q7" s="17" t="n"/>
      <c r="R7" s="17" t="n"/>
      <c r="S7" s="17" t="n"/>
    </row>
    <row r="8">
      <c r="A8" s="15" t="n">
        <v>41710</v>
      </c>
      <c r="B8" s="9" t="n">
        <v>25</v>
      </c>
      <c r="C8" s="10" t="n">
        <v>30</v>
      </c>
      <c r="D8" s="17" t="n"/>
      <c r="E8" s="16">
        <f>if($A8&lt;&gt;"",E7+B8,"")</f>
        <v/>
      </c>
      <c r="F8" s="16">
        <f>if($A8&lt;&gt;"",F7+C8,"")</f>
        <v/>
      </c>
      <c r="G8" s="11">
        <f>IF($A8&lt;&gt;"",IF(F8-E8=0,"tie",IF(F8-E8&gt;0,"+"&amp;F8-E8,"+"&amp;E8-F8)),"")</f>
        <v/>
      </c>
      <c r="H8" s="12">
        <f>if($A8&lt;&gt;"",if(B8&gt;C8,if(B8&lt;60,1,2),""),"")</f>
        <v/>
      </c>
      <c r="I8" s="12">
        <f>if($A8&lt;&gt;"",if(C8&gt;B8,if(C8&lt;60,1,2),""),"")</f>
        <v/>
      </c>
      <c r="J8" s="9">
        <f>if($A8&lt;&gt;"",J7+H8,"")</f>
        <v/>
      </c>
      <c r="K8" s="9">
        <f>if($A8&lt;&gt;"",K7+I8,"")</f>
        <v/>
      </c>
      <c r="L8" s="11">
        <f>IF($A8&lt;&gt;"",IF(K8-J8=0,"tie",IF(K8-J8&gt;0,"+"&amp;K8-J8,"+"&amp;J8-K8)),"")</f>
        <v/>
      </c>
      <c r="M8" s="17" t="n"/>
      <c r="N8" s="17" t="n"/>
      <c r="O8" s="17" t="n"/>
      <c r="P8" s="17" t="n"/>
      <c r="Q8" s="17" t="n"/>
      <c r="R8" s="17" t="n"/>
      <c r="S8" s="17" t="n"/>
    </row>
    <row r="9">
      <c r="A9" s="15" t="n">
        <v>41710</v>
      </c>
      <c r="B9" s="9" t="n">
        <v>25</v>
      </c>
      <c r="C9" s="10" t="n">
        <v>30</v>
      </c>
      <c r="D9" s="17" t="n"/>
      <c r="E9" s="9">
        <f>if($A9&lt;&gt;"",E8+B9,"")</f>
        <v/>
      </c>
      <c r="F9" s="10">
        <f>if($A9&lt;&gt;"",F8+C9,"")</f>
        <v/>
      </c>
      <c r="G9" s="11">
        <f>IF($A9&lt;&gt;"",IF(F9-E9=0,"tie",IF(F9-E9&gt;0,"+"&amp;F9-E9,"+"&amp;E9-F9)),"")</f>
        <v/>
      </c>
      <c r="H9" s="12">
        <f>if($A9&lt;&gt;"",if(B9&gt;C9,if(B9&lt;60,1,2),""),"")</f>
        <v/>
      </c>
      <c r="I9" s="12">
        <f>if($A9&lt;&gt;"",if(C9&gt;B9,if(C9&lt;60,1,2),""),"")</f>
        <v/>
      </c>
      <c r="J9" s="9">
        <f>if($A9&lt;&gt;"",J8+H9,"")</f>
        <v/>
      </c>
      <c r="K9" s="9">
        <f>if($A9&lt;&gt;"",K8+I9,"")</f>
        <v/>
      </c>
      <c r="L9" s="11">
        <f>IF($A9&lt;&gt;"",IF(K9-J9=0,"tie",IF(K9-J9&gt;0,"+"&amp;K9-J9,"+"&amp;J9-K9)),"")</f>
        <v/>
      </c>
      <c r="M9" s="17" t="n"/>
      <c r="N9" s="17" t="n"/>
      <c r="O9" s="17" t="n"/>
      <c r="P9" s="17" t="n"/>
      <c r="Q9" s="17" t="n"/>
      <c r="R9" s="17" t="n"/>
      <c r="S9" s="17" t="n"/>
    </row>
    <row r="10">
      <c r="A10" s="15" t="n">
        <v>41714</v>
      </c>
      <c r="B10" s="9" t="n">
        <v>25</v>
      </c>
      <c r="C10" s="10" t="n">
        <v>30</v>
      </c>
      <c r="D10" s="17" t="n"/>
      <c r="E10" s="9">
        <f>if($A10&lt;&gt;"",E9+B10,"")</f>
        <v/>
      </c>
      <c r="F10" s="10">
        <f>if($A10&lt;&gt;"",F9+C10,"")</f>
        <v/>
      </c>
      <c r="G10" s="11">
        <f>IF($A10&lt;&gt;"",IF(F10-E10=0,"tie",IF(F10-E10&gt;0,"+"&amp;F10-E10,"+"&amp;E10-F10)),"")</f>
        <v/>
      </c>
      <c r="H10" s="12">
        <f>if($A10&lt;&gt;"",if(B10&gt;C10,if(B10&lt;60,1,2),""),"")</f>
        <v/>
      </c>
      <c r="I10" s="12">
        <f>if($A10&lt;&gt;"",if(C10&gt;B10,if(C10&lt;60,1,2),""),"")</f>
        <v/>
      </c>
      <c r="J10" s="9">
        <f>if($A10&lt;&gt;"",J9+H10,"")</f>
        <v/>
      </c>
      <c r="K10" s="9">
        <f>if($A10&lt;&gt;"",K9+I10,"")</f>
        <v/>
      </c>
      <c r="L10" s="11">
        <f>IF($A10&lt;&gt;"",IF(K10-J10=0,"tie",IF(K10-J10&gt;0,"+"&amp;K10-J10,"+"&amp;J10-K10)),"")</f>
        <v/>
      </c>
      <c r="M10" s="17" t="n"/>
      <c r="N10" s="17" t="n"/>
      <c r="O10" s="17" t="n"/>
      <c r="P10" s="17" t="n"/>
      <c r="Q10" s="17" t="n"/>
      <c r="R10" s="17" t="n"/>
      <c r="S10" s="17" t="n"/>
    </row>
    <row r="11">
      <c r="A11" s="15" t="n">
        <v>41717</v>
      </c>
      <c r="B11" s="9" t="n">
        <v>25</v>
      </c>
      <c r="C11" s="10" t="n">
        <v>30</v>
      </c>
      <c r="D11" s="17" t="n"/>
      <c r="E11" s="9">
        <f>if($A11&lt;&gt;"",E10+B11,"")</f>
        <v/>
      </c>
      <c r="F11" s="10">
        <f>if($A11&lt;&gt;"",F10+C11,"")</f>
        <v/>
      </c>
      <c r="G11" s="11">
        <f>IF($A11&lt;&gt;"",IF(F11-E11=0,"tie",IF(F11-E11&gt;0,"+"&amp;F11-E11,"+"&amp;E11-F11)),"")</f>
        <v/>
      </c>
      <c r="H11" s="12">
        <f>if($A11&lt;&gt;"",if(B11&gt;C11,if(B11&lt;60,1,2),""),"")</f>
        <v/>
      </c>
      <c r="I11" s="12">
        <f>if($A11&lt;&gt;"",if(C11&gt;B11,if(C11&lt;60,1,2),""),"")</f>
        <v/>
      </c>
      <c r="J11" s="9">
        <f>if($A11&lt;&gt;"",J10+H11,"")</f>
        <v/>
      </c>
      <c r="K11" s="9">
        <f>if($A11&lt;&gt;"",K10+I11,"")</f>
        <v/>
      </c>
      <c r="L11" s="11">
        <f>IF($A11&lt;&gt;"",IF(K11-J11=0,"tie",IF(K11-J11&gt;0,"+"&amp;K11-J11,"+"&amp;J11-K11)),"")</f>
        <v/>
      </c>
      <c r="M11" s="17" t="n"/>
      <c r="N11" s="17" t="n"/>
      <c r="O11" s="17" t="n"/>
      <c r="P11" s="17" t="n"/>
      <c r="Q11" s="17" t="n"/>
      <c r="R11" s="17" t="n"/>
      <c r="S11" s="17" t="n"/>
    </row>
    <row r="12">
      <c r="A12" s="15" t="n">
        <v>41718</v>
      </c>
      <c r="B12" s="10" t="n">
        <v>30</v>
      </c>
      <c r="C12" s="9" t="n">
        <v>25</v>
      </c>
      <c r="D12" s="17" t="n"/>
      <c r="E12" s="9">
        <f>if($A12&lt;&gt;"",E11+B12,"")</f>
        <v/>
      </c>
      <c r="F12" s="10">
        <f>if($A12&lt;&gt;"",F11+C12,"")</f>
        <v/>
      </c>
      <c r="G12" s="11">
        <f>IF($A12&lt;&gt;"",IF(F12-E12=0,"tie",IF(F12-E12&gt;0,"+"&amp;F12-E12,"+"&amp;E12-F12)),"")</f>
        <v/>
      </c>
      <c r="H12" s="12">
        <f>if($A12&lt;&gt;"",if(B12&gt;C12,if(B12&lt;60,1,2),""),"")</f>
        <v/>
      </c>
      <c r="I12" s="12">
        <f>if($A12&lt;&gt;"",if(C12&gt;B12,if(C12&lt;60,1,2),""),"")</f>
        <v/>
      </c>
      <c r="J12" s="9">
        <f>if($A12&lt;&gt;"",J11+H12,"")</f>
        <v/>
      </c>
      <c r="K12" s="9">
        <f>if($A12&lt;&gt;"",K11+I12,"")</f>
        <v/>
      </c>
      <c r="L12" s="11">
        <f>IF($A12&lt;&gt;"",IF(K12-J12=0,"tie",IF(K12-J12&gt;0,"+"&amp;K12-J12,"+"&amp;J12-K12)),"")</f>
        <v/>
      </c>
      <c r="M12" s="17" t="n"/>
      <c r="N12" s="17" t="n"/>
      <c r="O12" s="17" t="n"/>
      <c r="P12" s="17" t="n"/>
      <c r="Q12" s="17" t="n"/>
      <c r="R12" s="17" t="n"/>
      <c r="S12" s="17" t="n"/>
    </row>
    <row r="13">
      <c r="A13" s="15" t="n">
        <v>41721</v>
      </c>
      <c r="B13" s="10" t="n">
        <v>30</v>
      </c>
      <c r="C13" s="9" t="n">
        <v>25</v>
      </c>
      <c r="D13" s="17" t="n"/>
      <c r="E13" s="9">
        <f>if($A13&lt;&gt;"",E12+B13,"")</f>
        <v/>
      </c>
      <c r="F13" s="10">
        <f>if($A13&lt;&gt;"",F12+C13,"")</f>
        <v/>
      </c>
      <c r="G13" s="11">
        <f>IF($A13&lt;&gt;"",IF(F13-E13=0,"tie",IF(F13-E13&gt;0,"+"&amp;F13-E13,"+"&amp;E13-F13)),"")</f>
        <v/>
      </c>
      <c r="H13" s="12">
        <f>if($A13&lt;&gt;"",if(B13&gt;C13,if(B13&lt;60,1,2),""),"")</f>
        <v/>
      </c>
      <c r="I13" s="12">
        <f>if($A13&lt;&gt;"",if(C13&gt;B13,if(C13&lt;60,1,2),""),"")</f>
        <v/>
      </c>
      <c r="J13" s="9">
        <f>if($A13&lt;&gt;"",J12+H13,"")</f>
        <v/>
      </c>
      <c r="K13" s="9">
        <f>if($A13&lt;&gt;"",K12+I13,"")</f>
        <v/>
      </c>
      <c r="L13" s="11">
        <f>IF($A13&lt;&gt;"",IF(K13-J13=0,"tie",IF(K13-J13&gt;0,"+"&amp;K13-J13,"+"&amp;J13-K13)),"")</f>
        <v/>
      </c>
      <c r="M13" s="17" t="n"/>
      <c r="N13" s="17" t="n"/>
      <c r="O13" s="17" t="n"/>
      <c r="P13" s="17" t="n"/>
      <c r="Q13" s="17" t="n"/>
      <c r="R13" s="17" t="n"/>
      <c r="S13" s="17" t="n"/>
    </row>
    <row r="14">
      <c r="A14" s="15" t="n">
        <v>41722</v>
      </c>
      <c r="B14" s="10" t="n">
        <v>30</v>
      </c>
      <c r="C14" s="9" t="n">
        <v>25</v>
      </c>
      <c r="D14" s="17" t="n"/>
      <c r="E14" s="16">
        <f>if($A14&lt;&gt;"",E13+B14,"")</f>
        <v/>
      </c>
      <c r="F14" s="16">
        <f>if($A14&lt;&gt;"",F13+C14,"")</f>
        <v/>
      </c>
      <c r="G14" s="11">
        <f>IF($A14&lt;&gt;"",IF(F14-E14=0,"tie",IF(F14-E14&gt;0,"+"&amp;F14-E14,"+"&amp;E14-F14)),"")</f>
        <v/>
      </c>
      <c r="H14" s="12">
        <f>if($A14&lt;&gt;"",if(B14&gt;C14,if(B14&lt;60,1,2),""),"")</f>
        <v/>
      </c>
      <c r="I14" s="12">
        <f>if($A14&lt;&gt;"",if(C14&gt;B14,if(C14&lt;60,1,2),""),"")</f>
        <v/>
      </c>
      <c r="J14" s="9">
        <f>if($A14&lt;&gt;"",J13+H14,"")</f>
        <v/>
      </c>
      <c r="K14" s="9">
        <f>if($A14&lt;&gt;"",K13+I14,"")</f>
        <v/>
      </c>
      <c r="L14" s="11">
        <f>IF($A14&lt;&gt;"",IF(K14-J14=0,"tie",IF(K14-J14&gt;0,"+"&amp;K14-J14,"+"&amp;J14-K14)),"")</f>
        <v/>
      </c>
      <c r="M14" s="17" t="n"/>
      <c r="N14" s="17" t="n"/>
      <c r="O14" s="17" t="n"/>
      <c r="P14" s="17" t="n"/>
      <c r="Q14" s="17" t="n"/>
      <c r="R14" s="17" t="n"/>
      <c r="S14" s="17" t="n"/>
    </row>
    <row r="15">
      <c r="A15" s="15" t="n">
        <v>41723</v>
      </c>
      <c r="B15" s="9" t="n">
        <v>25</v>
      </c>
      <c r="C15" s="10" t="n">
        <v>30</v>
      </c>
      <c r="D15" s="17" t="n"/>
      <c r="E15" s="9">
        <f>if($A15&lt;&gt;"",E14+B15,"")</f>
        <v/>
      </c>
      <c r="F15" s="10">
        <f>if($A15&lt;&gt;"",F14+C15,"")</f>
        <v/>
      </c>
      <c r="G15" s="11">
        <f>IF($A15&lt;&gt;"",IF(F15-E15=0,"tie",IF(F15-E15&gt;0,"+"&amp;F15-E15,"+"&amp;E15-F15)),"")</f>
        <v/>
      </c>
      <c r="H15" s="12">
        <f>if($A15&lt;&gt;"",if(B15&gt;C15,if(B15&lt;60,1,2),""),"")</f>
        <v/>
      </c>
      <c r="I15" s="12">
        <f>if($A15&lt;&gt;"",if(C15&gt;B15,if(C15&lt;60,1,2),""),"")</f>
        <v/>
      </c>
      <c r="J15" s="9">
        <f>if($A15&lt;&gt;"",J14+H15,"")</f>
        <v/>
      </c>
      <c r="K15" s="9">
        <f>if($A15&lt;&gt;"",K14+I15,"")</f>
        <v/>
      </c>
      <c r="L15" s="11">
        <f>IF($A15&lt;&gt;"",IF(K15-J15=0,"tie",IF(K15-J15&gt;0,"+"&amp;K15-J15,"+"&amp;J15-K15)),"")</f>
        <v/>
      </c>
      <c r="M15" s="17" t="n"/>
      <c r="N15" s="17" t="n"/>
      <c r="O15" s="17" t="n"/>
      <c r="P15" s="17" t="n"/>
      <c r="Q15" s="17" t="n"/>
      <c r="R15" s="17" t="n"/>
      <c r="S15" s="17" t="n"/>
    </row>
    <row r="16">
      <c r="A16" s="15" t="n">
        <v>41724</v>
      </c>
      <c r="B16" s="10" t="n">
        <v>30</v>
      </c>
      <c r="C16" s="9" t="n">
        <v>25</v>
      </c>
      <c r="D16" s="17" t="n"/>
      <c r="E16" s="16">
        <f>if($A16&lt;&gt;"",E15+B16,"")</f>
        <v/>
      </c>
      <c r="F16" s="16">
        <f>if($A16&lt;&gt;"",F15+C16,"")</f>
        <v/>
      </c>
      <c r="G16" s="11">
        <f>IF($A16&lt;&gt;"",IF(F16-E16=0,"tie",IF(F16-E16&gt;0,"+"&amp;F16-E16,"+"&amp;E16-F16)),"")</f>
        <v/>
      </c>
      <c r="H16" s="12">
        <f>if($A16&lt;&gt;"",if(B16&gt;C16,if(B16&lt;60,1,2),""),"")</f>
        <v/>
      </c>
      <c r="I16" s="12">
        <f>if($A16&lt;&gt;"",if(C16&gt;B16,if(C16&lt;60,1,2),""),"")</f>
        <v/>
      </c>
      <c r="J16" s="9">
        <f>if($A16&lt;&gt;"",J15+H16,"")</f>
        <v/>
      </c>
      <c r="K16" s="9">
        <f>if($A16&lt;&gt;"",K15+I16,"")</f>
        <v/>
      </c>
      <c r="L16" s="11">
        <f>IF($A16&lt;&gt;"",IF(K16-J16=0,"tie",IF(K16-J16&gt;0,"+"&amp;K16-J16,"+"&amp;J16-K16)),"")</f>
        <v/>
      </c>
      <c r="M16" s="17" t="n"/>
      <c r="N16" s="17" t="n"/>
      <c r="O16" s="17" t="n"/>
      <c r="P16" s="17" t="n"/>
      <c r="Q16" s="17" t="n"/>
      <c r="R16" s="17" t="n"/>
      <c r="S16" s="17" t="n"/>
    </row>
    <row r="17">
      <c r="A17" s="15" t="n">
        <v>41726</v>
      </c>
      <c r="B17" s="10" t="n">
        <v>30</v>
      </c>
      <c r="C17" s="9" t="n">
        <v>25</v>
      </c>
      <c r="D17" s="17" t="n"/>
      <c r="E17" s="10">
        <f>if($A17&lt;&gt;"",E16+B17,"")</f>
        <v/>
      </c>
      <c r="F17" s="9">
        <f>if($A17&lt;&gt;"",F16+C17,"")</f>
        <v/>
      </c>
      <c r="G17" s="11">
        <f>IF($A17&lt;&gt;"",IF(F17-E17=0,"tie",IF(F17-E17&gt;0,"+"&amp;F17-E17,"+"&amp;E17-F17)),"")</f>
        <v/>
      </c>
      <c r="H17" s="12">
        <f>if($A17&lt;&gt;"",if(B17&gt;C17,if(B17&lt;60,1,2),""),"")</f>
        <v/>
      </c>
      <c r="I17" s="12">
        <f>if($A17&lt;&gt;"",if(C17&gt;B17,if(C17&lt;60,1,2),""),"")</f>
        <v/>
      </c>
      <c r="J17" s="9">
        <f>if($A17&lt;&gt;"",J16+H17,"")</f>
        <v/>
      </c>
      <c r="K17" s="9">
        <f>if($A17&lt;&gt;"",K16+I17,"")</f>
        <v/>
      </c>
      <c r="L17" s="11">
        <f>IF($A17&lt;&gt;"",IF(K17-J17=0,"tie",IF(K17-J17&gt;0,"+"&amp;K17-J17,"+"&amp;J17-K17)),"")</f>
        <v/>
      </c>
      <c r="M17" s="17" t="n"/>
      <c r="N17" s="17" t="n"/>
      <c r="O17" s="17" t="n"/>
      <c r="P17" s="17" t="n"/>
      <c r="Q17" s="17" t="n"/>
      <c r="R17" s="17" t="n"/>
      <c r="S17" s="17" t="n"/>
    </row>
    <row r="18">
      <c r="A18" s="15" t="n">
        <v>41727</v>
      </c>
      <c r="B18" s="10" t="n">
        <v>30</v>
      </c>
      <c r="C18" s="9" t="n">
        <v>25</v>
      </c>
      <c r="D18" s="17" t="n"/>
      <c r="E18" s="10">
        <f>if($A18&lt;&gt;"",E17+B18,"")</f>
        <v/>
      </c>
      <c r="F18" s="9">
        <f>if($A18&lt;&gt;"",F17+C18,"")</f>
        <v/>
      </c>
      <c r="G18" s="11">
        <f>IF($A18&lt;&gt;"",IF(F18-E18=0,"tie",IF(F18-E18&gt;0,"+"&amp;F18-E18,"+"&amp;E18-F18)),"")</f>
        <v/>
      </c>
      <c r="H18" s="12">
        <f>if($A18&lt;&gt;"",if(B18&gt;C18,if(B18&lt;60,1,2),""),"")</f>
        <v/>
      </c>
      <c r="I18" s="12">
        <f>if($A18&lt;&gt;"",if(C18&gt;B18,if(C18&lt;60,1,2),""),"")</f>
        <v/>
      </c>
      <c r="J18" s="9">
        <f>if($A18&lt;&gt;"",J17+H18,"")</f>
        <v/>
      </c>
      <c r="K18" s="9">
        <f>if($A18&lt;&gt;"",K17+I18,"")</f>
        <v/>
      </c>
      <c r="L18" s="11">
        <f>IF($A18&lt;&gt;"",IF(K18-J18=0,"tie",IF(K18-J18&gt;0,"+"&amp;K18-J18,"+"&amp;J18-K18)),"")</f>
        <v/>
      </c>
      <c r="M18" s="17" t="n"/>
      <c r="N18" s="17" t="n"/>
      <c r="O18" s="17" t="n"/>
      <c r="P18" s="17" t="n"/>
      <c r="Q18" s="17" t="n"/>
      <c r="R18" s="17" t="n"/>
      <c r="S18" s="17" t="n"/>
    </row>
    <row r="19">
      <c r="A19" s="15" t="n">
        <v>41729</v>
      </c>
      <c r="B19" s="10" t="n">
        <v>30</v>
      </c>
      <c r="C19" s="9" t="n">
        <v>25</v>
      </c>
      <c r="D19" s="17" t="inlineStr">
        <is>
          <t>Swingers, Santa Monica</t>
        </is>
      </c>
      <c r="E19" s="10">
        <f>if($A19&lt;&gt;"",E18+B19,"")</f>
        <v/>
      </c>
      <c r="F19" s="9">
        <f>if($A19&lt;&gt;"",F18+C19,"")</f>
        <v/>
      </c>
      <c r="G19" s="11">
        <f>IF($A19&lt;&gt;"",IF(F19-E19=0,"tie",IF(F19-E19&gt;0,"+"&amp;F19-E19,"+"&amp;E19-F19)),"")</f>
        <v/>
      </c>
      <c r="H19" s="12">
        <f>if($A19&lt;&gt;"",if(B19&gt;C19,if(B19&lt;60,1,2),""),"")</f>
        <v/>
      </c>
      <c r="I19" s="12">
        <f>if($A19&lt;&gt;"",if(C19&gt;B19,if(C19&lt;60,1,2),""),"")</f>
        <v/>
      </c>
      <c r="J19" s="9">
        <f>if($A19&lt;&gt;"",J18+H19,"")</f>
        <v/>
      </c>
      <c r="K19" s="9">
        <f>if($A19&lt;&gt;"",K18+I19,"")</f>
        <v/>
      </c>
      <c r="L19" s="11">
        <f>IF($A19&lt;&gt;"",IF(K19-J19=0,"tie",IF(K19-J19&gt;0,"+"&amp;K19-J19,"+"&amp;J19-K19)),"")</f>
        <v/>
      </c>
      <c r="M19" s="17" t="n"/>
      <c r="N19" s="17" t="n"/>
      <c r="O19" s="17" t="n"/>
      <c r="P19" s="17" t="n"/>
      <c r="Q19" s="17" t="n"/>
      <c r="R19" s="17" t="n"/>
      <c r="S19" s="17" t="n"/>
    </row>
    <row r="20">
      <c r="A20" s="15" t="n">
        <v>41729</v>
      </c>
      <c r="B20" s="9" t="n">
        <v>25</v>
      </c>
      <c r="C20" s="10" t="n">
        <v>30</v>
      </c>
      <c r="D20" s="17" t="inlineStr">
        <is>
          <t>Preston Way</t>
        </is>
      </c>
      <c r="E20" s="10">
        <f>if($A20&lt;&gt;"",E19+B20,"")</f>
        <v/>
      </c>
      <c r="F20" s="9">
        <f>if($A20&lt;&gt;"",F19+C20,"")</f>
        <v/>
      </c>
      <c r="G20" s="11">
        <f>IF($A20&lt;&gt;"",IF(F20-E20=0,"tie",IF(F20-E20&gt;0,"+"&amp;F20-E20,"+"&amp;E20-F20)),"")</f>
        <v/>
      </c>
      <c r="H20" s="12">
        <f>if($A20&lt;&gt;"",if(B20&gt;C20,if(B20&lt;60,1,2),""),"")</f>
        <v/>
      </c>
      <c r="I20" s="12">
        <f>if($A20&lt;&gt;"",if(C20&gt;B20,if(C20&lt;60,1,2),""),"")</f>
        <v/>
      </c>
      <c r="J20" s="9">
        <f>if($A20&lt;&gt;"",J19+H20,"")</f>
        <v/>
      </c>
      <c r="K20" s="9">
        <f>if($A20&lt;&gt;"",K19+I20,"")</f>
        <v/>
      </c>
      <c r="L20" s="11">
        <f>IF($A20&lt;&gt;"",IF(K20-J20=0,"tie",IF(K20-J20&gt;0,"+"&amp;K20-J20,"+"&amp;J20-K20)),"")</f>
        <v/>
      </c>
      <c r="M20" s="17" t="n"/>
      <c r="N20" s="17" t="n"/>
      <c r="O20" s="17" t="n"/>
      <c r="P20" s="17" t="n"/>
      <c r="Q20" s="17" t="n"/>
      <c r="R20" s="17" t="n"/>
      <c r="S20" s="17" t="n"/>
    </row>
    <row r="21">
      <c r="A21" s="15" t="n">
        <v>41731</v>
      </c>
      <c r="B21" s="10" t="n">
        <v>30</v>
      </c>
      <c r="C21" s="9" t="n">
        <v>25</v>
      </c>
      <c r="D21" s="17" t="n"/>
      <c r="E21" s="10">
        <f>if($A21&lt;&gt;"",E20+B21,"")</f>
        <v/>
      </c>
      <c r="F21" s="9">
        <f>if($A21&lt;&gt;"",F20+C21,"")</f>
        <v/>
      </c>
      <c r="G21" s="11">
        <f>IF($A21&lt;&gt;"",IF(F21-E21=0,"tie",IF(F21-E21&gt;0,"+"&amp;F21-E21,"+"&amp;E21-F21)),"")</f>
        <v/>
      </c>
      <c r="H21" s="12">
        <f>if($A21&lt;&gt;"",if(B21&gt;C21,if(B21&lt;60,1,2),""),"")</f>
        <v/>
      </c>
      <c r="I21" s="12">
        <f>if($A21&lt;&gt;"",if(C21&gt;B21,if(C21&lt;60,1,2),""),"")</f>
        <v/>
      </c>
      <c r="J21" s="9">
        <f>if($A21&lt;&gt;"",J20+H21,"")</f>
        <v/>
      </c>
      <c r="K21" s="9">
        <f>if($A21&lt;&gt;"",K20+I21,"")</f>
        <v/>
      </c>
      <c r="L21" s="11">
        <f>IF($A21&lt;&gt;"",IF(K21-J21=0,"tie",IF(K21-J21&gt;0,"+"&amp;K21-J21,"+"&amp;J21-K21)),"")</f>
        <v/>
      </c>
      <c r="M21" s="17" t="n"/>
      <c r="N21" s="17" t="n"/>
      <c r="O21" s="17" t="n"/>
      <c r="P21" s="17" t="n"/>
      <c r="Q21" s="17" t="n"/>
      <c r="R21" s="17" t="n"/>
      <c r="S21" s="17" t="n"/>
    </row>
    <row r="22">
      <c r="A22" s="15" t="n">
        <v>41736</v>
      </c>
      <c r="B22" s="9" t="n">
        <v>25</v>
      </c>
      <c r="C22" s="10" t="n">
        <v>30</v>
      </c>
      <c r="D22" s="17" t="inlineStr">
        <is>
          <t>Spitfire, Santa Monica</t>
        </is>
      </c>
      <c r="E22" s="10">
        <f>if($A22&lt;&gt;"",E21+B22,"")</f>
        <v/>
      </c>
      <c r="F22" s="9">
        <f>if($A22&lt;&gt;"",F21+C22,"")</f>
        <v/>
      </c>
      <c r="G22" s="11">
        <f>IF($A22&lt;&gt;"",IF(F22-E22=0,"tie",IF(F22-E22&gt;0,"+"&amp;F22-E22,"+"&amp;E22-F22)),"")</f>
        <v/>
      </c>
      <c r="H22" s="12">
        <f>if($A22&lt;&gt;"",if(B22&gt;C22,if(B22&lt;60,1,2),""),"")</f>
        <v/>
      </c>
      <c r="I22" s="12">
        <f>if($A22&lt;&gt;"",if(C22&gt;B22,if(C22&lt;60,1,2),""),"")</f>
        <v/>
      </c>
      <c r="J22" s="9">
        <f>if($A22&lt;&gt;"",J21+H22,"")</f>
        <v/>
      </c>
      <c r="K22" s="9">
        <f>if($A22&lt;&gt;"",K21+I22,"")</f>
        <v/>
      </c>
      <c r="L22" s="11">
        <f>IF($A22&lt;&gt;"",IF(K22-J22=0,"tie",IF(K22-J22&gt;0,"+"&amp;K22-J22,"+"&amp;J22-K22)),"")</f>
        <v/>
      </c>
      <c r="M22" s="17" t="n"/>
      <c r="N22" s="17" t="n"/>
      <c r="O22" s="17" t="n"/>
      <c r="P22" s="17" t="n"/>
      <c r="Q22" s="17" t="n"/>
      <c r="R22" s="17" t="n"/>
      <c r="S22" s="17" t="n"/>
    </row>
    <row r="23">
      <c r="A23" s="15" t="n">
        <v>41737</v>
      </c>
      <c r="B23" s="9" t="n">
        <v>25</v>
      </c>
      <c r="C23" s="10" t="n">
        <v>30</v>
      </c>
      <c r="D23" s="17" t="inlineStr">
        <is>
          <t>On Montana</t>
        </is>
      </c>
      <c r="E23" s="10">
        <f>if($A23&lt;&gt;"",E22+B23,"")</f>
        <v/>
      </c>
      <c r="F23" s="9">
        <f>if($A23&lt;&gt;"",F22+C23,"")</f>
        <v/>
      </c>
      <c r="G23" s="11">
        <f>IF($A23&lt;&gt;"",IF(F23-E23=0,"tie",IF(F23-E23&gt;0,"+"&amp;F23-E23,"+"&amp;E23-F23)),"")</f>
        <v/>
      </c>
      <c r="H23" s="12">
        <f>if($A23&lt;&gt;"",if(B23&gt;C23,if(B23&lt;60,1,2),""),"")</f>
        <v/>
      </c>
      <c r="I23" s="12">
        <f>if($A23&lt;&gt;"",if(C23&gt;B23,if(C23&lt;60,1,2),""),"")</f>
        <v/>
      </c>
      <c r="J23" s="9">
        <f>if($A23&lt;&gt;"",J22+H23,"")</f>
        <v/>
      </c>
      <c r="K23" s="9">
        <f>if($A23&lt;&gt;"",K22+I23,"")</f>
        <v/>
      </c>
      <c r="L23" s="11">
        <f>IF($A23&lt;&gt;"",IF(K23-J23=0,"tie",IF(K23-J23&gt;0,"+"&amp;K23-J23,"+"&amp;J23-K23)),"")</f>
        <v/>
      </c>
      <c r="M23" s="17" t="n"/>
      <c r="N23" s="17" t="n"/>
      <c r="O23" s="17" t="n"/>
      <c r="P23" s="17" t="n"/>
      <c r="Q23" s="17" t="n"/>
      <c r="R23" s="17" t="n"/>
      <c r="S23" s="17" t="n"/>
    </row>
    <row r="24">
      <c r="A24" s="15" t="n">
        <v>41738</v>
      </c>
      <c r="B24" s="10" t="n">
        <v>30</v>
      </c>
      <c r="C24" s="9" t="n">
        <v>25</v>
      </c>
      <c r="D24" s="17" t="inlineStr">
        <is>
          <t>Backyard</t>
        </is>
      </c>
      <c r="E24" s="10">
        <f>if($A24&lt;&gt;"",E23+B24,"")</f>
        <v/>
      </c>
      <c r="F24" s="9">
        <f>if($A24&lt;&gt;"",F23+C24,"")</f>
        <v/>
      </c>
      <c r="G24" s="11">
        <f>IF($A24&lt;&gt;"",IF(F24-E24=0,"tie",IF(F24-E24&gt;0,"+"&amp;F24-E24,"+"&amp;E24-F24)),"")</f>
        <v/>
      </c>
      <c r="H24" s="12">
        <f>if($A24&lt;&gt;"",if(B24&gt;C24,if(B24&lt;60,1,2),""),"")</f>
        <v/>
      </c>
      <c r="I24" s="12">
        <f>if($A24&lt;&gt;"",if(C24&gt;B24,if(C24&lt;60,1,2),""),"")</f>
        <v/>
      </c>
      <c r="J24" s="9">
        <f>if($A24&lt;&gt;"",J23+H24,"")</f>
        <v/>
      </c>
      <c r="K24" s="9">
        <f>if($A24&lt;&gt;"",K23+I24,"")</f>
        <v/>
      </c>
      <c r="L24" s="11">
        <f>IF($A24&lt;&gt;"",IF(K24-J24=0,"tie",IF(K24-J24&gt;0,"+"&amp;K24-J24,"+"&amp;J24-K24)),"")</f>
        <v/>
      </c>
      <c r="M24" s="17" t="n"/>
      <c r="N24" s="17" t="n"/>
      <c r="O24" s="17" t="n"/>
      <c r="P24" s="17" t="n"/>
      <c r="Q24" s="17" t="n"/>
      <c r="R24" s="17" t="n"/>
      <c r="S24" s="17" t="n"/>
    </row>
    <row r="25">
      <c r="A25" s="15" t="n">
        <v>41739</v>
      </c>
      <c r="B25" s="9" t="n">
        <v>25</v>
      </c>
      <c r="C25" s="10" t="n">
        <v>30</v>
      </c>
      <c r="D25" s="17" t="inlineStr">
        <is>
          <t>Meet me in Paris, Culver City</t>
        </is>
      </c>
      <c r="E25" s="10">
        <f>if($A25&lt;&gt;"",E24+B25,"")</f>
        <v/>
      </c>
      <c r="F25" s="9">
        <f>if($A25&lt;&gt;"",F24+C25,"")</f>
        <v/>
      </c>
      <c r="G25" s="11">
        <f>IF($A25&lt;&gt;"",IF(F25-E25=0,"tie",IF(F25-E25&gt;0,"+"&amp;F25-E25,"+"&amp;E25-F25)),"")</f>
        <v/>
      </c>
      <c r="H25" s="12">
        <f>if($A25&lt;&gt;"",if(B25&gt;C25,if(B25&lt;60,1,2),""),"")</f>
        <v/>
      </c>
      <c r="I25" s="12">
        <f>if($A25&lt;&gt;"",if(C25&gt;B25,if(C25&lt;60,1,2),""),"")</f>
        <v/>
      </c>
      <c r="J25" s="9">
        <f>if($A25&lt;&gt;"",J24+H25,"")</f>
        <v/>
      </c>
      <c r="K25" s="9">
        <f>if($A25&lt;&gt;"",K24+I25,"")</f>
        <v/>
      </c>
      <c r="L25" s="11">
        <f>IF($A25&lt;&gt;"",IF(K25-J25=0,"tie",IF(K25-J25&gt;0,"+"&amp;K25-J25,"+"&amp;J25-K25)),"")</f>
        <v/>
      </c>
      <c r="M25" s="17" t="n"/>
      <c r="N25" s="17" t="n"/>
      <c r="O25" s="17" t="n"/>
      <c r="P25" s="17" t="n"/>
      <c r="Q25" s="17" t="n"/>
      <c r="R25" s="17" t="n"/>
      <c r="S25" s="17" t="n"/>
    </row>
    <row r="26">
      <c r="A26" s="15" t="n">
        <v>41740</v>
      </c>
      <c r="B26" s="10" t="n">
        <v>30</v>
      </c>
      <c r="C26" s="9" t="n">
        <v>25</v>
      </c>
      <c r="D26" s="17" t="inlineStr">
        <is>
          <t>Bob's Big Boy, L.A. on Wilshire</t>
        </is>
      </c>
      <c r="E26" s="10">
        <f>if($A26&lt;&gt;"",E25+B26,"")</f>
        <v/>
      </c>
      <c r="F26" s="9">
        <f>if($A26&lt;&gt;"",F25+C26,"")</f>
        <v/>
      </c>
      <c r="G26" s="11">
        <f>IF($A26&lt;&gt;"",IF(F26-E26=0,"tie",IF(F26-E26&gt;0,"+"&amp;F26-E26,"+"&amp;E26-F26)),"")</f>
        <v/>
      </c>
      <c r="H26" s="12">
        <f>if($A26&lt;&gt;"",if(B26&gt;C26,if(B26&lt;60,1,2),""),"")</f>
        <v/>
      </c>
      <c r="I26" s="12">
        <f>if($A26&lt;&gt;"",if(C26&gt;B26,if(C26&lt;60,1,2),""),"")</f>
        <v/>
      </c>
      <c r="J26" s="9">
        <f>if($A26&lt;&gt;"",J25+H26,"")</f>
        <v/>
      </c>
      <c r="K26" s="9">
        <f>if($A26&lt;&gt;"",K25+I26,"")</f>
        <v/>
      </c>
      <c r="L26" s="11">
        <f>IF($A26&lt;&gt;"",IF(K26-J26=0,"tie",IF(K26-J26&gt;0,"+"&amp;K26-J26,"+"&amp;J26-K26)),"")</f>
        <v/>
      </c>
      <c r="M26" s="17" t="n"/>
      <c r="N26" s="17" t="n"/>
      <c r="O26" s="17" t="n"/>
      <c r="P26" s="17" t="n"/>
      <c r="Q26" s="17" t="n"/>
      <c r="R26" s="17" t="n"/>
      <c r="S26" s="17" t="n"/>
    </row>
    <row r="27">
      <c r="A27" s="15" t="n">
        <v>41742</v>
      </c>
      <c r="B27" s="10" t="n">
        <v>30</v>
      </c>
      <c r="C27" s="9" t="n">
        <v>25</v>
      </c>
      <c r="D27" s="17" t="inlineStr">
        <is>
          <t>Café 50's, Venice</t>
        </is>
      </c>
      <c r="E27" s="10">
        <f>if($A27&lt;&gt;"",E26+B27,"")</f>
        <v/>
      </c>
      <c r="F27" s="9">
        <f>if($A27&lt;&gt;"",F26+C27,"")</f>
        <v/>
      </c>
      <c r="G27" s="11">
        <f>IF($A27&lt;&gt;"",IF(F27-E27=0,"tie",IF(F27-E27&gt;0,"+"&amp;F27-E27,"+"&amp;E27-F27)),"")</f>
        <v/>
      </c>
      <c r="H27" s="12">
        <f>if($A27&lt;&gt;"",if(B27&gt;C27,if(B27&lt;60,1,2),""),"")</f>
        <v/>
      </c>
      <c r="I27" s="12">
        <f>if($A27&lt;&gt;"",if(C27&gt;B27,if(C27&lt;60,1,2),""),"")</f>
        <v/>
      </c>
      <c r="J27" s="9">
        <f>if($A27&lt;&gt;"",J26+H27,"")</f>
        <v/>
      </c>
      <c r="K27" s="9">
        <f>if($A27&lt;&gt;"",K26+I27,"")</f>
        <v/>
      </c>
      <c r="L27" s="11">
        <f>IF($A27&lt;&gt;"",IF(K27-J27=0,"tie",IF(K27-J27&gt;0,"+"&amp;K27-J27,"+"&amp;J27-K27)),"")</f>
        <v/>
      </c>
      <c r="M27" s="17" t="n"/>
      <c r="N27" s="17" t="n"/>
      <c r="O27" s="17" t="n"/>
      <c r="P27" s="17" t="n"/>
      <c r="Q27" s="17" t="n"/>
      <c r="R27" s="17" t="n"/>
      <c r="S27" s="17" t="n"/>
    </row>
    <row r="28">
      <c r="A28" s="15" t="n">
        <v>41743</v>
      </c>
      <c r="B28" s="9" t="n">
        <v>25</v>
      </c>
      <c r="C28" s="10" t="n">
        <v>30</v>
      </c>
      <c r="D28" s="17" t="inlineStr">
        <is>
          <t>Upper West</t>
        </is>
      </c>
      <c r="E28" s="10">
        <f>if($A28&lt;&gt;"",E27+B28,"")</f>
        <v/>
      </c>
      <c r="F28" s="9">
        <f>if($A28&lt;&gt;"",F27+C28,"")</f>
        <v/>
      </c>
      <c r="G28" s="11">
        <f>IF($A28&lt;&gt;"",IF(F28-E28=0,"tie",IF(F28-E28&gt;0,"+"&amp;F28-E28,"+"&amp;E28-F28)),"")</f>
        <v/>
      </c>
      <c r="H28" s="12">
        <f>if($A28&lt;&gt;"",if(B28&gt;C28,if(B28&lt;60,1,2),""),"")</f>
        <v/>
      </c>
      <c r="I28" s="12">
        <f>if($A28&lt;&gt;"",if(C28&gt;B28,if(C28&lt;60,1,2),""),"")</f>
        <v/>
      </c>
      <c r="J28" s="9">
        <f>if($A28&lt;&gt;"",J27+H28,"")</f>
        <v/>
      </c>
      <c r="K28" s="9">
        <f>if($A28&lt;&gt;"",K27+I28,"")</f>
        <v/>
      </c>
      <c r="L28" s="11">
        <f>IF($A28&lt;&gt;"",IF(K28-J28=0,"tie",IF(K28-J28&gt;0,"+"&amp;K28-J28,"+"&amp;J28-K28)),"")</f>
        <v/>
      </c>
      <c r="M28" s="17" t="n"/>
      <c r="N28" s="17" t="n"/>
      <c r="O28" s="17" t="n"/>
      <c r="P28" s="17" t="n"/>
      <c r="Q28" s="17" t="n"/>
      <c r="R28" s="17" t="n"/>
      <c r="S28" s="17" t="n"/>
    </row>
    <row r="29">
      <c r="A29" s="15" t="n">
        <v>41744</v>
      </c>
      <c r="B29" s="10" t="n">
        <v>30</v>
      </c>
      <c r="C29" s="9" t="n">
        <v>25</v>
      </c>
      <c r="D29" s="17" t="inlineStr">
        <is>
          <t>Wurshkuke, Venice</t>
        </is>
      </c>
      <c r="E29" s="10">
        <f>if($A29&lt;&gt;"",E28+B29,"")</f>
        <v/>
      </c>
      <c r="F29" s="9">
        <f>if($A29&lt;&gt;"",F28+C29,"")</f>
        <v/>
      </c>
      <c r="G29" s="11">
        <f>IF($A29&lt;&gt;"",IF(F29-E29=0,"tie",IF(F29-E29&gt;0,"+"&amp;F29-E29,"+"&amp;E29-F29)),"")</f>
        <v/>
      </c>
      <c r="H29" s="12">
        <f>if($A29&lt;&gt;"",if(B29&gt;C29,if(B29&lt;60,1,2),""),"")</f>
        <v/>
      </c>
      <c r="I29" s="12">
        <f>if($A29&lt;&gt;"",if(C29&gt;B29,if(C29&lt;60,1,2),""),"")</f>
        <v/>
      </c>
      <c r="J29" s="9">
        <f>if($A29&lt;&gt;"",J28+H29,"")</f>
        <v/>
      </c>
      <c r="K29" s="9">
        <f>if($A29&lt;&gt;"",K28+I29,"")</f>
        <v/>
      </c>
      <c r="L29" s="11">
        <f>IF($A29&lt;&gt;"",IF(K29-J29=0,"tie",IF(K29-J29&gt;0,"+"&amp;K29-J29,"+"&amp;J29-K29)),"")</f>
        <v/>
      </c>
      <c r="M29" s="17" t="n"/>
      <c r="N29" s="17" t="n"/>
      <c r="O29" s="17" t="n"/>
      <c r="P29" s="17" t="n"/>
      <c r="Q29" s="17" t="n"/>
      <c r="R29" s="17" t="n"/>
      <c r="S29" s="17" t="n"/>
    </row>
    <row r="30">
      <c r="A30" s="15" t="n">
        <v>41746</v>
      </c>
      <c r="B30" s="10" t="n">
        <v>30</v>
      </c>
      <c r="C30" s="9" t="n">
        <v>25</v>
      </c>
      <c r="D30" s="17" t="inlineStr">
        <is>
          <t>Backyard, Venice</t>
        </is>
      </c>
      <c r="E30" s="10">
        <f>if($A30&lt;&gt;"",E29+B30,"")</f>
        <v/>
      </c>
      <c r="F30" s="9">
        <f>if($A30&lt;&gt;"",F29+C30,"")</f>
        <v/>
      </c>
      <c r="G30" s="11">
        <f>IF($A30&lt;&gt;"",IF(F30-E30=0,"tie",IF(F30-E30&gt;0,"+"&amp;F30-E30,"+"&amp;E30-F30)),"")</f>
        <v/>
      </c>
      <c r="H30" s="12">
        <f>if($A30&lt;&gt;"",if(B30&gt;C30,if(B30&lt;60,1,2),""),"")</f>
        <v/>
      </c>
      <c r="I30" s="12">
        <f>if($A30&lt;&gt;"",if(C30&gt;B30,if(C30&lt;60,1,2),""),"")</f>
        <v/>
      </c>
      <c r="J30" s="9">
        <f>if($A30&lt;&gt;"",J29+H30,"")</f>
        <v/>
      </c>
      <c r="K30" s="9">
        <f>if($A30&lt;&gt;"",K29+I30,"")</f>
        <v/>
      </c>
      <c r="L30" s="11">
        <f>IF($A30&lt;&gt;"",IF(K30-J30=0,"tie",IF(K30-J30&gt;0,"+"&amp;K30-J30,"+"&amp;J30-K30)),"")</f>
        <v/>
      </c>
      <c r="M30" s="17" t="n"/>
      <c r="N30" s="17" t="n"/>
      <c r="O30" s="17" t="n"/>
      <c r="P30" s="17" t="n"/>
      <c r="Q30" s="17" t="n"/>
      <c r="R30" s="17" t="n"/>
      <c r="S30" s="17" t="n"/>
    </row>
    <row r="31">
      <c r="A31" s="15" t="n">
        <v>41748</v>
      </c>
      <c r="B31" s="10" t="n">
        <v>30</v>
      </c>
      <c r="C31" s="9" t="n">
        <v>25</v>
      </c>
      <c r="D31" s="17" t="inlineStr">
        <is>
          <t>101 Cafe, Hollywood</t>
        </is>
      </c>
      <c r="E31" s="10">
        <f>if($A31&lt;&gt;"",E30+B31,"")</f>
        <v/>
      </c>
      <c r="F31" s="9">
        <f>if($A31&lt;&gt;"",F30+C31,"")</f>
        <v/>
      </c>
      <c r="G31" s="11">
        <f>IF($A31&lt;&gt;"",IF(F31-E31=0,"tie",IF(F31-E31&gt;0,"+"&amp;F31-E31,"+"&amp;E31-F31)),"")</f>
        <v/>
      </c>
      <c r="H31" s="12">
        <f>if($A31&lt;&gt;"",if(B31&gt;C31,if(B31&lt;60,1,2),""),"")</f>
        <v/>
      </c>
      <c r="I31" s="12">
        <f>if($A31&lt;&gt;"",if(C31&gt;B31,if(C31&lt;60,1,2),""),"")</f>
        <v/>
      </c>
      <c r="J31" s="9">
        <f>if($A31&lt;&gt;"",J30+H31,"")</f>
        <v/>
      </c>
      <c r="K31" s="9">
        <f>if($A31&lt;&gt;"",K30+I31,"")</f>
        <v/>
      </c>
      <c r="L31" s="11">
        <f>IF($A31&lt;&gt;"",IF(K31-J31=0,"tie",IF(K31-J31&gt;0,"+"&amp;K31-J31,"+"&amp;J31-K31)),"")</f>
        <v/>
      </c>
      <c r="M31" s="17" t="n"/>
      <c r="N31" s="17" t="n"/>
      <c r="O31" s="17" t="n"/>
      <c r="P31" s="17" t="n"/>
      <c r="Q31" s="17" t="n"/>
      <c r="R31" s="17" t="n"/>
      <c r="S31" s="17" t="n"/>
    </row>
    <row r="32">
      <c r="A32" s="15" t="n">
        <v>41751</v>
      </c>
      <c r="B32" s="10" t="n">
        <v>30</v>
      </c>
      <c r="C32" s="9" t="n">
        <v>25</v>
      </c>
      <c r="D32" s="17" t="inlineStr">
        <is>
          <t>Solerno beach</t>
        </is>
      </c>
      <c r="E32" s="10">
        <f>if($A32&lt;&gt;"",E31+B32,"")</f>
        <v/>
      </c>
      <c r="F32" s="9">
        <f>if($A32&lt;&gt;"",F31+C32,"")</f>
        <v/>
      </c>
      <c r="G32" s="11">
        <f>IF($A32&lt;&gt;"",IF(F32-E32=0,"tie",IF(F32-E32&gt;0,"+"&amp;F32-E32,"+"&amp;E32-F32)),"")</f>
        <v/>
      </c>
      <c r="H32" s="12">
        <f>if($A32&lt;&gt;"",if(B32&gt;C32,if(B32&lt;60,1,2),""),"")</f>
        <v/>
      </c>
      <c r="I32" s="12">
        <f>if($A32&lt;&gt;"",if(C32&gt;B32,if(C32&lt;60,1,2),""),"")</f>
        <v/>
      </c>
      <c r="J32" s="9">
        <f>if($A32&lt;&gt;"",J31+H32,"")</f>
        <v/>
      </c>
      <c r="K32" s="9">
        <f>if($A32&lt;&gt;"",K31+I32,"")</f>
        <v/>
      </c>
      <c r="L32" s="11">
        <f>IF($A32&lt;&gt;"",IF(K32-J32=0,"tie",IF(K32-J32&gt;0,"+"&amp;K32-J32,"+"&amp;J32-K32)),"")</f>
        <v/>
      </c>
      <c r="M32" s="17" t="n"/>
      <c r="N32" s="17" t="n"/>
      <c r="O32" s="17" t="n"/>
      <c r="P32" s="17" t="n"/>
      <c r="Q32" s="17" t="n"/>
      <c r="R32" s="17" t="n"/>
      <c r="S32" s="17" t="n"/>
    </row>
    <row r="33">
      <c r="A33" s="15" t="n">
        <v>41754</v>
      </c>
      <c r="B33" s="9" t="n">
        <v>25</v>
      </c>
      <c r="C33" s="10" t="n">
        <v>30</v>
      </c>
      <c r="D33" s="17" t="inlineStr">
        <is>
          <t>Café 50's, Venice</t>
        </is>
      </c>
      <c r="E33" s="10">
        <f>if($A33&lt;&gt;"",E32+B33,"")</f>
        <v/>
      </c>
      <c r="F33" s="9">
        <f>if($A33&lt;&gt;"",F32+C33,"")</f>
        <v/>
      </c>
      <c r="G33" s="11">
        <f>IF($A33&lt;&gt;"",IF(F33-E33=0,"tie",IF(F33-E33&gt;0,"+"&amp;F33-E33,"+"&amp;E33-F33)),"")</f>
        <v/>
      </c>
      <c r="H33" s="12">
        <f>if($A33&lt;&gt;"",if(B33&gt;C33,if(B33&lt;60,1,2),""),"")</f>
        <v/>
      </c>
      <c r="I33" s="12">
        <f>if($A33&lt;&gt;"",if(C33&gt;B33,if(C33&lt;60,1,2),""),"")</f>
        <v/>
      </c>
      <c r="J33" s="9">
        <f>if($A33&lt;&gt;"",J32+H33,"")</f>
        <v/>
      </c>
      <c r="K33" s="9">
        <f>if($A33&lt;&gt;"",K32+I33,"")</f>
        <v/>
      </c>
      <c r="L33" s="11">
        <f>IF($A33&lt;&gt;"",IF(K33-J33=0,"tie",IF(K33-J33&gt;0,"+"&amp;K33-J33,"+"&amp;J33-K33)),"")</f>
        <v/>
      </c>
      <c r="M33" s="17" t="n"/>
      <c r="N33" s="17" t="n"/>
      <c r="O33" s="17" t="n"/>
      <c r="P33" s="17" t="n"/>
      <c r="Q33" s="17" t="n"/>
      <c r="R33" s="17" t="n"/>
      <c r="S33" s="17" t="n"/>
    </row>
    <row r="34">
      <c r="A34" s="15" t="n">
        <v>41761</v>
      </c>
      <c r="B34" s="10" t="n">
        <v>30</v>
      </c>
      <c r="C34" s="9" t="n">
        <v>25</v>
      </c>
      <c r="D34" s="17" t="inlineStr">
        <is>
          <t>Swingers</t>
        </is>
      </c>
      <c r="E34" s="10">
        <f>if($A34&lt;&gt;"",E33+B34,"")</f>
        <v/>
      </c>
      <c r="F34" s="9">
        <f>if($A34&lt;&gt;"",F33+C34,"")</f>
        <v/>
      </c>
      <c r="G34" s="11">
        <f>IF($A34&lt;&gt;"",IF(F34-E34=0,"tie",IF(F34-E34&gt;0,"+"&amp;F34-E34,"+"&amp;E34-F34)),"")</f>
        <v/>
      </c>
      <c r="H34" s="12">
        <f>if($A34&lt;&gt;"",if(B34&gt;C34,if(B34&lt;60,1,2),""),"")</f>
        <v/>
      </c>
      <c r="I34" s="12">
        <f>if($A34&lt;&gt;"",if(C34&gt;B34,if(C34&lt;60,1,2),""),"")</f>
        <v/>
      </c>
      <c r="J34" s="9">
        <f>if($A34&lt;&gt;"",J33+H34,"")</f>
        <v/>
      </c>
      <c r="K34" s="9">
        <f>if($A34&lt;&gt;"",K33+I34,"")</f>
        <v/>
      </c>
      <c r="L34" s="11">
        <f>IF($A34&lt;&gt;"",IF(K34-J34=0,"tie",IF(K34-J34&gt;0,"+"&amp;K34-J34,"+"&amp;J34-K34)),"")</f>
        <v/>
      </c>
      <c r="M34" s="17" t="n"/>
      <c r="N34" s="17" t="n"/>
      <c r="O34" s="17" t="n"/>
      <c r="P34" s="17" t="n"/>
      <c r="Q34" s="17" t="n"/>
      <c r="R34" s="17" t="n"/>
      <c r="S34" s="17" t="n"/>
    </row>
    <row r="35">
      <c r="A35" s="15" t="n">
        <v>41767</v>
      </c>
      <c r="B35" s="10" t="n">
        <v>30</v>
      </c>
      <c r="C35" s="9" t="n">
        <v>25</v>
      </c>
      <c r="D35" s="17" t="inlineStr">
        <is>
          <t>Abbot's Habit</t>
        </is>
      </c>
      <c r="E35" s="10">
        <f>if($A35&lt;&gt;"",E34+B35,"")</f>
        <v/>
      </c>
      <c r="F35" s="9">
        <f>if($A35&lt;&gt;"",F34+C35,"")</f>
        <v/>
      </c>
      <c r="G35" s="11">
        <f>IF($A35&lt;&gt;"",IF(F35-E35=0,"tie",IF(F35-E35&gt;0,"+"&amp;F35-E35,"+"&amp;E35-F35)),"")</f>
        <v/>
      </c>
      <c r="H35" s="12">
        <f>if($A35&lt;&gt;"",if(B35&gt;C35,if(B35&lt;60,1,2),""),"")</f>
        <v/>
      </c>
      <c r="I35" s="12">
        <f>if($A35&lt;&gt;"",if(C35&gt;B35,if(C35&lt;60,1,2),""),"")</f>
        <v/>
      </c>
      <c r="J35" s="9">
        <f>if($A35&lt;&gt;"",J34+H35,"")</f>
        <v/>
      </c>
      <c r="K35" s="9">
        <f>if($A35&lt;&gt;"",K34+I35,"")</f>
        <v/>
      </c>
      <c r="L35" s="11">
        <f>IF($A35&lt;&gt;"",IF(K35-J35=0,"tie",IF(K35-J35&gt;0,"+"&amp;K35-J35,"+"&amp;J35-K35)),"")</f>
        <v/>
      </c>
      <c r="M35" s="17" t="n"/>
      <c r="N35" s="17" t="n"/>
      <c r="O35" s="17" t="n"/>
      <c r="P35" s="17" t="n"/>
      <c r="Q35" s="17" t="n"/>
      <c r="R35" s="17" t="n"/>
      <c r="S35" s="17" t="n"/>
    </row>
    <row r="36">
      <c r="A36" s="15" t="n">
        <v>41774</v>
      </c>
      <c r="B36" s="9" t="n">
        <v>25</v>
      </c>
      <c r="C36" s="10" t="n">
        <v>30</v>
      </c>
      <c r="D36" s="17" t="inlineStr">
        <is>
          <t>Centanni</t>
        </is>
      </c>
      <c r="E36" s="10">
        <f>if($A36&lt;&gt;"",E35+B36,"")</f>
        <v/>
      </c>
      <c r="F36" s="9">
        <f>if($A36&lt;&gt;"",F35+C36,"")</f>
        <v/>
      </c>
      <c r="G36" s="11">
        <f>IF($A36&lt;&gt;"",IF(F36-E36=0,"tie",IF(F36-E36&gt;0,"+"&amp;F36-E36,"+"&amp;E36-F36)),"")</f>
        <v/>
      </c>
      <c r="H36" s="12">
        <f>if($A36&lt;&gt;"",if(B36&gt;C36,if(B36&lt;60,1,2),""),"")</f>
        <v/>
      </c>
      <c r="I36" s="12">
        <f>if($A36&lt;&gt;"",if(C36&gt;B36,if(C36&lt;60,1,2),""),"")</f>
        <v/>
      </c>
      <c r="J36" s="9">
        <f>if($A36&lt;&gt;"",J35+H36,"")</f>
        <v/>
      </c>
      <c r="K36" s="9">
        <f>if($A36&lt;&gt;"",K35+I36,"")</f>
        <v/>
      </c>
      <c r="L36" s="11">
        <f>IF($A36&lt;&gt;"",IF(K36-J36=0,"tie",IF(K36-J36&gt;0,"+"&amp;K36-J36,"+"&amp;J36-K36)),"")</f>
        <v/>
      </c>
      <c r="M36" s="17" t="n"/>
      <c r="N36" s="17" t="n"/>
      <c r="O36" s="17" t="n"/>
      <c r="P36" s="17" t="n"/>
      <c r="Q36" s="17" t="n"/>
      <c r="R36" s="17" t="n"/>
      <c r="S36" s="17" t="n"/>
    </row>
    <row r="37">
      <c r="A37" s="15" t="n">
        <v>41782</v>
      </c>
      <c r="B37" s="9" t="n">
        <v>25</v>
      </c>
      <c r="C37" s="10" t="n">
        <v>30</v>
      </c>
      <c r="D37" s="17" t="inlineStr">
        <is>
          <t>Café 50's, Venice</t>
        </is>
      </c>
      <c r="E37" s="10">
        <f>if($A37&lt;&gt;"",E36+B37,"")</f>
        <v/>
      </c>
      <c r="F37" s="9">
        <f>if($A37&lt;&gt;"",F36+C37,"")</f>
        <v/>
      </c>
      <c r="G37" s="11">
        <f>IF($A37&lt;&gt;"",IF(F37-E37=0,"tie",IF(F37-E37&gt;0,"+"&amp;F37-E37,"+"&amp;E37-F37)),"")</f>
        <v/>
      </c>
      <c r="H37" s="12">
        <f>if($A37&lt;&gt;"",if(B37&gt;C37,if(B37&lt;60,1,2),""),"")</f>
        <v/>
      </c>
      <c r="I37" s="12">
        <f>if($A37&lt;&gt;"",if(C37&gt;B37,if(C37&lt;60,1,2),""),"")</f>
        <v/>
      </c>
      <c r="J37" s="9">
        <f>if($A37&lt;&gt;"",J36+H37,"")</f>
        <v/>
      </c>
      <c r="K37" s="9">
        <f>if($A37&lt;&gt;"",K36+I37,"")</f>
        <v/>
      </c>
      <c r="L37" s="11">
        <f>IF($A37&lt;&gt;"",IF(K37-J37=0,"tie",IF(K37-J37&gt;0,"+"&amp;K37-J37,"+"&amp;J37-K37)),"")</f>
        <v/>
      </c>
      <c r="M37" s="17" t="n"/>
      <c r="N37" s="17" t="n"/>
      <c r="O37" s="17" t="n"/>
      <c r="P37" s="17" t="n"/>
      <c r="Q37" s="17" t="n"/>
      <c r="R37" s="17" t="n"/>
      <c r="S37" s="17" t="n"/>
    </row>
    <row r="38">
      <c r="A38" s="15" t="n">
        <v>41785</v>
      </c>
      <c r="B38" s="9" t="n">
        <v>25</v>
      </c>
      <c r="C38" s="10" t="n">
        <v>30</v>
      </c>
      <c r="D38" s="17" t="inlineStr">
        <is>
          <t>Engine Co. 28</t>
        </is>
      </c>
      <c r="E38" s="10">
        <f>if($A38&lt;&gt;"",E37+B38,"")</f>
        <v/>
      </c>
      <c r="F38" s="9">
        <f>if($A38&lt;&gt;"",F37+C38,"")</f>
        <v/>
      </c>
      <c r="G38" s="11">
        <f>IF($A38&lt;&gt;"",IF(F38-E38=0,"tie",IF(F38-E38&gt;0,"+"&amp;F38-E38,"+"&amp;E38-F38)),"")</f>
        <v/>
      </c>
      <c r="H38" s="12">
        <f>if($A38&lt;&gt;"",if(B38&gt;C38,if(B38&lt;60,1,2),""),"")</f>
        <v/>
      </c>
      <c r="I38" s="12">
        <f>if($A38&lt;&gt;"",if(C38&gt;B38,if(C38&lt;60,1,2),""),"")</f>
        <v/>
      </c>
      <c r="J38" s="9">
        <f>if($A38&lt;&gt;"",J37+H38,"")</f>
        <v/>
      </c>
      <c r="K38" s="9">
        <f>if($A38&lt;&gt;"",K37+I38,"")</f>
        <v/>
      </c>
      <c r="L38" s="11">
        <f>IF($A38&lt;&gt;"",IF(K38-J38=0,"tie",IF(K38-J38&gt;0,"+"&amp;K38-J38,"+"&amp;J38-K38)),"")</f>
        <v/>
      </c>
      <c r="M38" s="17" t="n"/>
      <c r="N38" s="17" t="n"/>
      <c r="O38" s="17" t="n"/>
      <c r="P38" s="17" t="n"/>
      <c r="Q38" s="17" t="n"/>
      <c r="R38" s="17" t="n"/>
      <c r="S38" s="17" t="n"/>
    </row>
    <row r="39">
      <c r="A39" s="15" t="n">
        <v>41786</v>
      </c>
      <c r="B39" s="9" t="n">
        <v>25</v>
      </c>
      <c r="C39" s="10" t="n">
        <v>30</v>
      </c>
      <c r="D39" s="17" t="inlineStr">
        <is>
          <t>Café 50's, Venice</t>
        </is>
      </c>
      <c r="E39" s="10">
        <f>if($A39&lt;&gt;"",E38+B39,"")</f>
        <v/>
      </c>
      <c r="F39" s="9">
        <f>if($A39&lt;&gt;"",F38+C39,"")</f>
        <v/>
      </c>
      <c r="G39" s="11">
        <f>IF($A39&lt;&gt;"",IF(F39-E39=0,"tie",IF(F39-E39&gt;0,"+"&amp;F39-E39,"+"&amp;E39-F39)),"")</f>
        <v/>
      </c>
      <c r="H39" s="12">
        <f>if($A39&lt;&gt;"",if(B39&gt;C39,if(B39&lt;60,1,2),""),"")</f>
        <v/>
      </c>
      <c r="I39" s="12">
        <f>if($A39&lt;&gt;"",if(C39&gt;B39,if(C39&lt;60,1,2),""),"")</f>
        <v/>
      </c>
      <c r="J39" s="9">
        <f>if($A39&lt;&gt;"",J38+H39,"")</f>
        <v/>
      </c>
      <c r="K39" s="9">
        <f>if($A39&lt;&gt;"",K38+I39,"")</f>
        <v/>
      </c>
      <c r="L39" s="11">
        <f>IF($A39&lt;&gt;"",IF(K39-J39=0,"tie",IF(K39-J39&gt;0,"+"&amp;K39-J39,"+"&amp;J39-K39)),"")</f>
        <v/>
      </c>
      <c r="M39" s="17" t="n"/>
      <c r="N39" s="17" t="n"/>
      <c r="O39" s="17" t="n"/>
      <c r="P39" s="17" t="n"/>
      <c r="Q39" s="17" t="n"/>
      <c r="R39" s="17" t="n"/>
      <c r="S39" s="17" t="n"/>
    </row>
    <row r="40">
      <c r="A40" s="15" t="n">
        <v>41788</v>
      </c>
      <c r="B40" s="9" t="n">
        <v>25</v>
      </c>
      <c r="C40" s="10" t="n">
        <v>30</v>
      </c>
      <c r="D40" s="17" t="inlineStr">
        <is>
          <t>Abbott's Habit</t>
        </is>
      </c>
      <c r="E40" s="10">
        <f>if($A40&lt;&gt;"",E39+B40,"")</f>
        <v/>
      </c>
      <c r="F40" s="9">
        <f>if($A40&lt;&gt;"",F39+C40,"")</f>
        <v/>
      </c>
      <c r="G40" s="11">
        <f>IF($A40&lt;&gt;"",IF(F40-E40=0,"tie",IF(F40-E40&gt;0,"+"&amp;F40-E40,"+"&amp;E40-F40)),"")</f>
        <v/>
      </c>
      <c r="H40" s="12">
        <f>if($A40&lt;&gt;"",if(B40&gt;C40,if(B40&lt;60,1,2),""),"")</f>
        <v/>
      </c>
      <c r="I40" s="12">
        <f>if($A40&lt;&gt;"",if(C40&gt;B40,if(C40&lt;60,1,2),""),"")</f>
        <v/>
      </c>
      <c r="J40" s="9">
        <f>if($A40&lt;&gt;"",J39+H40,"")</f>
        <v/>
      </c>
      <c r="K40" s="9">
        <f>if($A40&lt;&gt;"",K39+I40,"")</f>
        <v/>
      </c>
      <c r="L40" s="11">
        <f>IF($A40&lt;&gt;"",IF(K40-J40=0,"tie",IF(K40-J40&gt;0,"+"&amp;K40-J40,"+"&amp;J40-K40)),"")</f>
        <v/>
      </c>
      <c r="M40" s="17" t="n"/>
      <c r="N40" s="17" t="n"/>
      <c r="O40" s="17" t="n"/>
      <c r="P40" s="17" t="n"/>
      <c r="Q40" s="17" t="n"/>
      <c r="R40" s="17" t="n"/>
      <c r="S40" s="17" t="n"/>
    </row>
    <row r="41">
      <c r="A41" s="15" t="n">
        <v>41789</v>
      </c>
      <c r="B41" s="10" t="n">
        <v>30</v>
      </c>
      <c r="C41" s="9" t="n">
        <v>25</v>
      </c>
      <c r="D41" s="17" t="inlineStr">
        <is>
          <t>Westside Tavern</t>
        </is>
      </c>
      <c r="E41" s="10">
        <f>if($A41&lt;&gt;"",E40+B41,"")</f>
        <v/>
      </c>
      <c r="F41" s="9">
        <f>if($A41&lt;&gt;"",F40+C41,"")</f>
        <v/>
      </c>
      <c r="G41" s="11">
        <f>IF($A41&lt;&gt;"",IF(F41-E41=0,"tie",IF(F41-E41&gt;0,"+"&amp;F41-E41,"+"&amp;E41-F41)),"")</f>
        <v/>
      </c>
      <c r="H41" s="12">
        <f>if($A41&lt;&gt;"",if(B41&gt;C41,if(B41&lt;60,1,2),""),"")</f>
        <v/>
      </c>
      <c r="I41" s="12">
        <f>if($A41&lt;&gt;"",if(C41&gt;B41,if(C41&lt;60,1,2),""),"")</f>
        <v/>
      </c>
      <c r="J41" s="9">
        <f>if($A41&lt;&gt;"",J40+H41,"")</f>
        <v/>
      </c>
      <c r="K41" s="9">
        <f>if($A41&lt;&gt;"",K40+I41,"")</f>
        <v/>
      </c>
      <c r="L41" s="11">
        <f>IF($A41&lt;&gt;"",IF(K41-J41=0,"tie",IF(K41-J41&gt;0,"+"&amp;K41-J41,"+"&amp;J41-K41)),"")</f>
        <v/>
      </c>
      <c r="M41" s="17" t="n"/>
      <c r="N41" s="17" t="n"/>
      <c r="O41" s="17" t="n"/>
      <c r="P41" s="17" t="n"/>
      <c r="Q41" s="17" t="n"/>
      <c r="R41" s="17" t="n"/>
      <c r="S41" s="17" t="n"/>
    </row>
    <row r="42">
      <c r="A42" s="15" t="n">
        <v>41795</v>
      </c>
      <c r="B42" s="10" t="n">
        <v>30</v>
      </c>
      <c r="C42" s="9" t="n">
        <v>25</v>
      </c>
      <c r="D42" s="17" t="inlineStr">
        <is>
          <t>Maxwells</t>
        </is>
      </c>
      <c r="E42" s="10">
        <f>if($A42&lt;&gt;"",E41+B42,"")</f>
        <v/>
      </c>
      <c r="F42" s="9">
        <f>if($A42&lt;&gt;"",F41+C42,"")</f>
        <v/>
      </c>
      <c r="G42" s="11">
        <f>IF($A42&lt;&gt;"",IF(F42-E42=0,"tie",IF(F42-E42&gt;0,"+"&amp;F42-E42,"+"&amp;E42-F42)),"")</f>
        <v/>
      </c>
      <c r="H42" s="12">
        <f>if($A42&lt;&gt;"",if(B42&gt;C42,if(B42&lt;60,1,2),""),"")</f>
        <v/>
      </c>
      <c r="I42" s="12">
        <f>if($A42&lt;&gt;"",if(C42&gt;B42,if(C42&lt;60,1,2),""),"")</f>
        <v/>
      </c>
      <c r="J42" s="9">
        <f>if($A42&lt;&gt;"",J41+H42,"")</f>
        <v/>
      </c>
      <c r="K42" s="9">
        <f>if($A42&lt;&gt;"",K41+I42,"")</f>
        <v/>
      </c>
      <c r="L42" s="11">
        <f>IF($A42&lt;&gt;"",IF(K42-J42=0,"tie",IF(K42-J42&gt;0,"+"&amp;K42-J42,"+"&amp;J42-K42)),"")</f>
        <v/>
      </c>
      <c r="M42" s="17" t="n"/>
      <c r="N42" s="17" t="n"/>
      <c r="O42" s="17" t="n"/>
      <c r="P42" s="17" t="n"/>
      <c r="Q42" s="17" t="n"/>
      <c r="R42" s="17" t="n"/>
      <c r="S42" s="17" t="n"/>
    </row>
    <row r="43">
      <c r="A43" s="15" t="n">
        <v>41799</v>
      </c>
      <c r="B43" s="10" t="n">
        <v>30</v>
      </c>
      <c r="C43" s="9" t="n">
        <v>25</v>
      </c>
      <c r="D43" s="17" t="inlineStr">
        <is>
          <t>Pitfire</t>
        </is>
      </c>
      <c r="E43" s="10">
        <f>if($A43&lt;&gt;"",E42+B43,"")</f>
        <v/>
      </c>
      <c r="F43" s="9">
        <f>if($A43&lt;&gt;"",F42+C43,"")</f>
        <v/>
      </c>
      <c r="G43" s="11">
        <f>IF($A43&lt;&gt;"",IF(F43-E43=0,"tie",IF(F43-E43&gt;0,"+"&amp;F43-E43,"+"&amp;E43-F43)),"")</f>
        <v/>
      </c>
      <c r="H43" s="12">
        <f>if($A43&lt;&gt;"",if(B43&gt;C43,if(B43&lt;60,1,2),""),"")</f>
        <v/>
      </c>
      <c r="I43" s="12">
        <f>if($A43&lt;&gt;"",if(C43&gt;B43,if(C43&lt;60,1,2),""),"")</f>
        <v/>
      </c>
      <c r="J43" s="9">
        <f>if($A43&lt;&gt;"",J42+H43,"")</f>
        <v/>
      </c>
      <c r="K43" s="9">
        <f>if($A43&lt;&gt;"",K42+I43,"")</f>
        <v/>
      </c>
      <c r="L43" s="11">
        <f>IF($A43&lt;&gt;"",IF(K43-J43=0,"tie",IF(K43-J43&gt;0,"+"&amp;K43-J43,"+"&amp;J43-K43)),"")</f>
        <v/>
      </c>
      <c r="M43" s="17" t="n"/>
      <c r="N43" s="17" t="n"/>
      <c r="O43" s="17" t="n"/>
      <c r="P43" s="17" t="n"/>
      <c r="Q43" s="17" t="n"/>
      <c r="R43" s="17" t="n"/>
      <c r="S43" s="17" t="n"/>
    </row>
    <row r="44">
      <c r="A44" s="15" t="n">
        <v>41800</v>
      </c>
      <c r="B44" s="9" t="n">
        <v>25</v>
      </c>
      <c r="C44" s="10" t="n">
        <v>30</v>
      </c>
      <c r="D44" s="17" t="inlineStr">
        <is>
          <t>Literati cafe</t>
        </is>
      </c>
      <c r="E44" s="10">
        <f>if($A44&lt;&gt;"",E43+B44,"")</f>
        <v/>
      </c>
      <c r="F44" s="9">
        <f>if($A44&lt;&gt;"",F43+C44,"")</f>
        <v/>
      </c>
      <c r="G44" s="11">
        <f>IF($A44&lt;&gt;"",IF(F44-E44=0,"tie",IF(F44-E44&gt;0,"+"&amp;F44-E44,"+"&amp;E44-F44)),"")</f>
        <v/>
      </c>
      <c r="H44" s="12">
        <f>if($A44&lt;&gt;"",if(B44&gt;C44,if(B44&lt;60,1,2),""),"")</f>
        <v/>
      </c>
      <c r="I44" s="12">
        <f>if($A44&lt;&gt;"",if(C44&gt;B44,if(C44&lt;60,1,2),""),"")</f>
        <v/>
      </c>
      <c r="J44" s="9">
        <f>if($A44&lt;&gt;"",J43+H44,"")</f>
        <v/>
      </c>
      <c r="K44" s="9">
        <f>if($A44&lt;&gt;"",K43+I44,"")</f>
        <v/>
      </c>
      <c r="L44" s="11">
        <f>IF($A44&lt;&gt;"",IF(K44-J44=0,"tie",IF(K44-J44&gt;0,"+"&amp;K44-J44,"+"&amp;J44-K44)),"")</f>
        <v/>
      </c>
      <c r="M44" s="17" t="n"/>
      <c r="N44" s="17" t="n"/>
      <c r="O44" s="17" t="n"/>
      <c r="P44" s="17" t="n"/>
      <c r="Q44" s="17" t="n"/>
      <c r="R44" s="17" t="n"/>
      <c r="S44" s="17" t="n"/>
    </row>
    <row r="45">
      <c r="A45" s="15" t="n">
        <v>41801</v>
      </c>
      <c r="B45" s="10" t="n">
        <v>30</v>
      </c>
      <c r="C45" s="9" t="n">
        <v>25</v>
      </c>
      <c r="D45" s="17" t="inlineStr">
        <is>
          <t>Centanni</t>
        </is>
      </c>
      <c r="E45" s="10">
        <f>if($A45&lt;&gt;"",E44+B45,"")</f>
        <v/>
      </c>
      <c r="F45" s="9">
        <f>if($A45&lt;&gt;"",F44+C45,"")</f>
        <v/>
      </c>
      <c r="G45" s="11">
        <f>IF($A45&lt;&gt;"",IF(F45-E45=0,"tie",IF(F45-E45&gt;0,"+"&amp;F45-E45,"+"&amp;E45-F45)),"")</f>
        <v/>
      </c>
      <c r="H45" s="12">
        <f>if($A45&lt;&gt;"",if(B45&gt;C45,if(B45&lt;60,1,2),""),"")</f>
        <v/>
      </c>
      <c r="I45" s="12">
        <f>if($A45&lt;&gt;"",if(C45&gt;B45,if(C45&lt;60,1,2),""),"")</f>
        <v/>
      </c>
      <c r="J45" s="9">
        <f>if($A45&lt;&gt;"",J44+H45,"")</f>
        <v/>
      </c>
      <c r="K45" s="9">
        <f>if($A45&lt;&gt;"",K44+I45,"")</f>
        <v/>
      </c>
      <c r="L45" s="11">
        <f>IF($A45&lt;&gt;"",IF(K45-J45=0,"tie",IF(K45-J45&gt;0,"+"&amp;K45-J45,"+"&amp;J45-K45)),"")</f>
        <v/>
      </c>
      <c r="M45" s="17" t="n"/>
      <c r="N45" s="17" t="n"/>
      <c r="O45" s="17" t="n"/>
      <c r="P45" s="17" t="n"/>
      <c r="Q45" s="17" t="n"/>
      <c r="R45" s="17" t="n"/>
      <c r="S45" s="17" t="n"/>
    </row>
    <row r="46">
      <c r="A46" s="15" t="n">
        <v>41837</v>
      </c>
      <c r="B46" s="10" t="n">
        <v>30</v>
      </c>
      <c r="C46" s="9" t="n">
        <v>25</v>
      </c>
      <c r="D46" s="17" t="inlineStr">
        <is>
          <t>Centanni</t>
        </is>
      </c>
      <c r="E46" s="10">
        <f>if($A46&lt;&gt;"",E45+B46,"")</f>
        <v/>
      </c>
      <c r="F46" s="9">
        <f>if($A46&lt;&gt;"",F45+C46,"")</f>
        <v/>
      </c>
      <c r="G46" s="11">
        <f>IF($A46&lt;&gt;"",IF(F46-E46=0,"tie",IF(F46-E46&gt;0,"+"&amp;F46-E46,"+"&amp;E46-F46)),"")</f>
        <v/>
      </c>
      <c r="H46" s="12">
        <f>if($A46&lt;&gt;"",if(B46&gt;C46,if(B46&lt;60,1,2),""),"")</f>
        <v/>
      </c>
      <c r="I46" s="12">
        <f>if($A46&lt;&gt;"",if(C46&gt;B46,if(C46&lt;60,1,2),""),"")</f>
        <v/>
      </c>
      <c r="J46" s="9">
        <f>if($A46&lt;&gt;"",J45+H46,"")</f>
        <v/>
      </c>
      <c r="K46" s="9">
        <f>if($A46&lt;&gt;"",K45+I46,"")</f>
        <v/>
      </c>
      <c r="L46" s="11">
        <f>IF($A46&lt;&gt;"",IF(K46-J46=0,"tie",IF(K46-J46&gt;0,"+"&amp;K46-J46,"+"&amp;J46-K46)),"")</f>
        <v/>
      </c>
      <c r="M46" s="17" t="n"/>
      <c r="N46" s="17" t="n"/>
      <c r="O46" s="17" t="n"/>
      <c r="P46" s="17" t="n"/>
      <c r="Q46" s="17" t="n"/>
      <c r="R46" s="17" t="n"/>
      <c r="S46" s="17" t="n"/>
    </row>
    <row r="47">
      <c r="A47" s="15" t="n">
        <v>41837</v>
      </c>
      <c r="B47" s="10" t="n">
        <v>30</v>
      </c>
      <c r="C47" s="9" t="n">
        <v>25</v>
      </c>
      <c r="D47" s="17" t="inlineStr">
        <is>
          <t>Café 50's, Venice</t>
        </is>
      </c>
      <c r="E47" s="10">
        <f>if($A47&lt;&gt;"",E46+B47,"")</f>
        <v/>
      </c>
      <c r="F47" s="9">
        <f>if($A47&lt;&gt;"",F46+C47,"")</f>
        <v/>
      </c>
      <c r="G47" s="11">
        <f>IF($A47&lt;&gt;"",IF(F47-E47=0,"tie",IF(F47-E47&gt;0,"+"&amp;F47-E47,"+"&amp;E47-F47)),"")</f>
        <v/>
      </c>
      <c r="H47" s="12">
        <f>if($A47&lt;&gt;"",if(B47&gt;C47,if(B47&lt;60,1,2),""),"")</f>
        <v/>
      </c>
      <c r="I47" s="12">
        <f>if($A47&lt;&gt;"",if(C47&gt;B47,if(C47&lt;60,1,2),""),"")</f>
        <v/>
      </c>
      <c r="J47" s="9">
        <f>if($A47&lt;&gt;"",J46+H47,"")</f>
        <v/>
      </c>
      <c r="K47" s="9">
        <f>if($A47&lt;&gt;"",K46+I47,"")</f>
        <v/>
      </c>
      <c r="L47" s="11">
        <f>IF($A47&lt;&gt;"",IF(K47-J47=0,"tie",IF(K47-J47&gt;0,"+"&amp;K47-J47,"+"&amp;J47-K47)),"")</f>
        <v/>
      </c>
      <c r="M47" s="17" t="n"/>
      <c r="N47" s="17" t="n"/>
      <c r="O47" s="17" t="n"/>
      <c r="P47" s="17" t="n"/>
      <c r="Q47" s="17" t="n"/>
      <c r="R47" s="17" t="n"/>
      <c r="S47" s="17" t="n"/>
    </row>
    <row r="48">
      <c r="A48" s="15" t="n">
        <v>41838</v>
      </c>
      <c r="B48" s="9" t="n">
        <v>25</v>
      </c>
      <c r="C48" s="10" t="n">
        <v>30</v>
      </c>
      <c r="D48" s="17" t="inlineStr">
        <is>
          <t>Watergrill, Santa Monica</t>
        </is>
      </c>
      <c r="E48" s="10">
        <f>if($A48&lt;&gt;"",E47+B48,"")</f>
        <v/>
      </c>
      <c r="F48" s="9">
        <f>if($A48&lt;&gt;"",F47+C48,"")</f>
        <v/>
      </c>
      <c r="G48" s="11">
        <f>IF($A48&lt;&gt;"",IF(F48-E48=0,"tie",IF(F48-E48&gt;0,"+"&amp;F48-E48,"+"&amp;E48-F48)),"")</f>
        <v/>
      </c>
      <c r="H48" s="12">
        <f>if($A48&lt;&gt;"",if(B48&gt;C48,if(B48&lt;60,1,2),""),"")</f>
        <v/>
      </c>
      <c r="I48" s="12">
        <f>if($A48&lt;&gt;"",if(C48&gt;B48,if(C48&lt;60,1,2),""),"")</f>
        <v/>
      </c>
      <c r="J48" s="9">
        <f>if($A48&lt;&gt;"",J47+H48,"")</f>
        <v/>
      </c>
      <c r="K48" s="9">
        <f>if($A48&lt;&gt;"",K47+I48,"")</f>
        <v/>
      </c>
      <c r="L48" s="11">
        <f>IF($A48&lt;&gt;"",IF(K48-J48=0,"tie",IF(K48-J48&gt;0,"+"&amp;K48-J48,"+"&amp;J48-K48)),"")</f>
        <v/>
      </c>
      <c r="M48" s="17" t="n"/>
      <c r="N48" s="17" t="n"/>
      <c r="O48" s="17" t="n"/>
      <c r="P48" s="17" t="n"/>
      <c r="Q48" s="17" t="n"/>
      <c r="R48" s="17" t="n"/>
      <c r="S48" s="17" t="n"/>
    </row>
    <row r="49">
      <c r="A49" s="15" t="n">
        <v>41840</v>
      </c>
      <c r="B49" s="10" t="n">
        <v>30</v>
      </c>
      <c r="C49" s="9" t="n">
        <v>25</v>
      </c>
      <c r="D49" s="17" t="inlineStr">
        <is>
          <t>Café 50's, Venice</t>
        </is>
      </c>
      <c r="E49" s="10">
        <f>if($A49&lt;&gt;"",E48+B49,"")</f>
        <v/>
      </c>
      <c r="F49" s="9">
        <f>if($A49&lt;&gt;"",F48+C49,"")</f>
        <v/>
      </c>
      <c r="G49" s="11">
        <f>IF($A49&lt;&gt;"",IF(F49-E49=0,"tie",IF(F49-E49&gt;0,"+"&amp;F49-E49,"+"&amp;E49-F49)),"")</f>
        <v/>
      </c>
      <c r="H49" s="12">
        <f>if($A49&lt;&gt;"",if(B49&gt;C49,if(B49&lt;60,1,2),""),"")</f>
        <v/>
      </c>
      <c r="I49" s="12">
        <f>if($A49&lt;&gt;"",if(C49&gt;B49,if(C49&lt;60,1,2),""),"")</f>
        <v/>
      </c>
      <c r="J49" s="9">
        <f>if($A49&lt;&gt;"",J48+H49,"")</f>
        <v/>
      </c>
      <c r="K49" s="9">
        <f>if($A49&lt;&gt;"",K48+I49,"")</f>
        <v/>
      </c>
      <c r="L49" s="11">
        <f>IF($A49&lt;&gt;"",IF(K49-J49=0,"tie",IF(K49-J49&gt;0,"+"&amp;K49-J49,"+"&amp;J49-K49)),"")</f>
        <v/>
      </c>
      <c r="M49" s="17" t="n"/>
      <c r="N49" s="17" t="n"/>
      <c r="O49" s="17" t="n"/>
      <c r="P49" s="17" t="n"/>
      <c r="Q49" s="17" t="n"/>
      <c r="R49" s="17" t="n"/>
      <c r="S49" s="17" t="n"/>
    </row>
    <row r="50">
      <c r="A50" s="15" t="n">
        <v>41841</v>
      </c>
      <c r="B50" s="9" t="n">
        <v>25</v>
      </c>
      <c r="C50" s="10" t="n">
        <v>30</v>
      </c>
      <c r="D50" s="17" t="inlineStr">
        <is>
          <t>Rick's Tavern, Santa Monica</t>
        </is>
      </c>
      <c r="E50" s="10">
        <f>if($A50&lt;&gt;"",E49+B50,"")</f>
        <v/>
      </c>
      <c r="F50" s="9">
        <f>if($A50&lt;&gt;"",F49+C50,"")</f>
        <v/>
      </c>
      <c r="G50" s="11">
        <f>IF($A50&lt;&gt;"",IF(F50-E50=0,"tie",IF(F50-E50&gt;0,"+"&amp;F50-E50,"+"&amp;E50-F50)),"")</f>
        <v/>
      </c>
      <c r="H50" s="12">
        <f>if($A50&lt;&gt;"",if(B50&gt;C50,if(B50&lt;60,1,2),""),"")</f>
        <v/>
      </c>
      <c r="I50" s="12">
        <f>if($A50&lt;&gt;"",if(C50&gt;B50,if(C50&lt;60,1,2),""),"")</f>
        <v/>
      </c>
      <c r="J50" s="9">
        <f>if($A50&lt;&gt;"",J49+H50,"")</f>
        <v/>
      </c>
      <c r="K50" s="9">
        <f>if($A50&lt;&gt;"",K49+I50,"")</f>
        <v/>
      </c>
      <c r="L50" s="11">
        <f>IF($A50&lt;&gt;"",IF(K50-J50=0,"tie",IF(K50-J50&gt;0,"+"&amp;K50-J50,"+"&amp;J50-K50)),"")</f>
        <v/>
      </c>
      <c r="M50" s="17" t="n"/>
      <c r="N50" s="17" t="n"/>
      <c r="O50" s="17" t="n"/>
      <c r="P50" s="17" t="n"/>
      <c r="Q50" s="17" t="n"/>
      <c r="R50" s="17" t="n"/>
      <c r="S50" s="17" t="n"/>
    </row>
    <row r="51">
      <c r="A51" s="15" t="n">
        <v>41844</v>
      </c>
      <c r="B51" s="10" t="n">
        <v>30</v>
      </c>
      <c r="C51" s="9" t="n">
        <v>25</v>
      </c>
      <c r="D51" s="17" t="inlineStr">
        <is>
          <t>Centanni</t>
        </is>
      </c>
      <c r="E51" s="10">
        <f>if($A51&lt;&gt;"",E50+B51,"")</f>
        <v/>
      </c>
      <c r="F51" s="9">
        <f>if($A51&lt;&gt;"",F50+C51,"")</f>
        <v/>
      </c>
      <c r="G51" s="11">
        <f>IF($A51&lt;&gt;"",IF(F51-E51=0,"tie",IF(F51-E51&gt;0,"+"&amp;F51-E51,"+"&amp;E51-F51)),"")</f>
        <v/>
      </c>
      <c r="H51" s="12">
        <f>if($A51&lt;&gt;"",if(B51&gt;C51,if(B51&lt;60,1,2),""),"")</f>
        <v/>
      </c>
      <c r="I51" s="12">
        <f>if($A51&lt;&gt;"",if(C51&gt;B51,if(C51&lt;60,1,2),""),"")</f>
        <v/>
      </c>
      <c r="J51" s="9">
        <f>if($A51&lt;&gt;"",J50+H51,"")</f>
        <v/>
      </c>
      <c r="K51" s="9">
        <f>if($A51&lt;&gt;"",K50+I51,"")</f>
        <v/>
      </c>
      <c r="L51" s="11">
        <f>IF($A51&lt;&gt;"",IF(K51-J51=0,"tie",IF(K51-J51&gt;0,"+"&amp;K51-J51,"+"&amp;J51-K51)),"")</f>
        <v/>
      </c>
      <c r="M51" s="17" t="n"/>
      <c r="N51" s="17" t="n"/>
      <c r="O51" s="17" t="n"/>
      <c r="P51" s="17" t="n"/>
      <c r="Q51" s="17" t="n"/>
      <c r="R51" s="17" t="n"/>
      <c r="S51" s="17" t="n"/>
    </row>
    <row r="52">
      <c r="A52" s="15" t="n">
        <v>41864</v>
      </c>
      <c r="B52" s="9" t="n">
        <v>25</v>
      </c>
      <c r="C52" s="10" t="n">
        <v>30</v>
      </c>
      <c r="D52" s="17" t="inlineStr">
        <is>
          <t>Café 50's, Venice</t>
        </is>
      </c>
      <c r="E52" s="10">
        <f>if($A52&lt;&gt;"",E51+B52,"")</f>
        <v/>
      </c>
      <c r="F52" s="9">
        <f>if($A52&lt;&gt;"",F51+C52,"")</f>
        <v/>
      </c>
      <c r="G52" s="11">
        <f>IF($A52&lt;&gt;"",IF(F52-E52=0,"tie",IF(F52-E52&gt;0,"+"&amp;F52-E52,"+"&amp;E52-F52)),"")</f>
        <v/>
      </c>
      <c r="H52" s="12">
        <f>if($A52&lt;&gt;"",if(B52&gt;C52,if(B52&lt;60,1,2),""),"")</f>
        <v/>
      </c>
      <c r="I52" s="12">
        <f>if($A52&lt;&gt;"",if(C52&gt;B52,if(C52&lt;60,1,2),""),"")</f>
        <v/>
      </c>
      <c r="J52" s="9">
        <f>if($A52&lt;&gt;"",J51+H52,"")</f>
        <v/>
      </c>
      <c r="K52" s="9">
        <f>if($A52&lt;&gt;"",K51+I52,"")</f>
        <v/>
      </c>
      <c r="L52" s="11">
        <f>IF($A52&lt;&gt;"",IF(K52-J52=0,"tie",IF(K52-J52&gt;0,"+"&amp;K52-J52,"+"&amp;J52-K52)),"")</f>
        <v/>
      </c>
      <c r="M52" s="17" t="n"/>
      <c r="N52" s="17" t="n"/>
      <c r="O52" s="17" t="n"/>
      <c r="P52" s="17" t="n"/>
      <c r="Q52" s="17" t="n"/>
      <c r="R52" s="17" t="n"/>
      <c r="S52" s="17" t="n"/>
    </row>
    <row r="53">
      <c r="A53" s="15" t="n">
        <v>41901</v>
      </c>
      <c r="B53" s="10" t="n">
        <v>30</v>
      </c>
      <c r="C53" s="9" t="n">
        <v>25</v>
      </c>
      <c r="D53" s="17" t="inlineStr">
        <is>
          <t>Venice Bistro, Venice, CA</t>
        </is>
      </c>
      <c r="E53" s="10">
        <f>if($A53&lt;&gt;"",E52+B53,"")</f>
        <v/>
      </c>
      <c r="F53" s="9">
        <f>if($A53&lt;&gt;"",F52+C53,"")</f>
        <v/>
      </c>
      <c r="G53" s="11">
        <f>IF($A53&lt;&gt;"",IF(F53-E53=0,"tie",IF(F53-E53&gt;0,"+"&amp;F53-E53,"+"&amp;E53-F53)),"")</f>
        <v/>
      </c>
      <c r="H53" s="12">
        <f>if($A53&lt;&gt;"",if(B53&gt;C53,if(B53&lt;60,1,2),""),"")</f>
        <v/>
      </c>
      <c r="I53" s="12">
        <f>if($A53&lt;&gt;"",if(C53&gt;B53,if(C53&lt;60,1,2),""),"")</f>
        <v/>
      </c>
      <c r="J53" s="9">
        <f>if($A53&lt;&gt;"",J52+H53,"")</f>
        <v/>
      </c>
      <c r="K53" s="9">
        <f>if($A53&lt;&gt;"",K52+I53,"")</f>
        <v/>
      </c>
      <c r="L53" s="11">
        <f>IF($A53&lt;&gt;"",IF(K53-J53=0,"tie",IF(K53-J53&gt;0,"+"&amp;K53-J53,"+"&amp;J53-K53)),"")</f>
        <v/>
      </c>
      <c r="M53" s="17" t="n"/>
      <c r="N53" s="17" t="n"/>
      <c r="O53" s="17" t="n"/>
      <c r="P53" s="17" t="n"/>
      <c r="Q53" s="17" t="n"/>
      <c r="R53" s="17" t="n"/>
      <c r="S53" s="17" t="n"/>
    </row>
    <row r="54">
      <c r="A54" s="15" t="n">
        <v>41901</v>
      </c>
      <c r="B54" s="9" t="n">
        <v>25</v>
      </c>
      <c r="C54" s="10" t="n">
        <v>30</v>
      </c>
      <c r="D54" s="17" t="inlineStr">
        <is>
          <t>Abbott Habit, Venice, CA</t>
        </is>
      </c>
      <c r="E54" s="10">
        <f>if($A54&lt;&gt;"",E53+B54,"")</f>
        <v/>
      </c>
      <c r="F54" s="9">
        <f>if($A54&lt;&gt;"",F53+C54,"")</f>
        <v/>
      </c>
      <c r="G54" s="11">
        <f>IF($A54&lt;&gt;"",IF(F54-E54=0,"tie",IF(F54-E54&gt;0,"+"&amp;F54-E54,"+"&amp;E54-F54)),"")</f>
        <v/>
      </c>
      <c r="H54" s="12">
        <f>if($A54&lt;&gt;"",if(B54&gt;C54,if(B54&lt;60,1,2),""),"")</f>
        <v/>
      </c>
      <c r="I54" s="12">
        <f>if($A54&lt;&gt;"",if(C54&gt;B54,if(C54&lt;60,1,2),""),"")</f>
        <v/>
      </c>
      <c r="J54" s="9">
        <f>if($A54&lt;&gt;"",J53+H54,"")</f>
        <v/>
      </c>
      <c r="K54" s="9">
        <f>if($A54&lt;&gt;"",K53+I54,"")</f>
        <v/>
      </c>
      <c r="L54" s="11">
        <f>IF($A54&lt;&gt;"",IF(K54-J54=0,"tie",IF(K54-J54&gt;0,"+"&amp;K54-J54,"+"&amp;J54-K54)),"")</f>
        <v/>
      </c>
      <c r="M54" s="17" t="n"/>
      <c r="N54" s="17" t="n"/>
      <c r="O54" s="17" t="n"/>
      <c r="P54" s="17" t="n"/>
      <c r="Q54" s="17" t="n"/>
      <c r="R54" s="17" t="n"/>
      <c r="S54" s="17" t="n"/>
    </row>
    <row r="55">
      <c r="A55" s="15" t="n">
        <v>41908</v>
      </c>
      <c r="B55" s="9" t="n">
        <v>25</v>
      </c>
      <c r="C55" s="10" t="n">
        <v>30</v>
      </c>
      <c r="D55" s="17" t="inlineStr">
        <is>
          <t>Westside Tavern after movie 'Boyhood'.</t>
        </is>
      </c>
      <c r="E55" s="10">
        <f>if($A55&lt;&gt;"",E54+B55,"")</f>
        <v/>
      </c>
      <c r="F55" s="9">
        <f>if($A55&lt;&gt;"",F54+C55,"")</f>
        <v/>
      </c>
      <c r="G55" s="11">
        <f>IF($A55&lt;&gt;"",IF(F55-E55=0,"tie",IF(F55-E55&gt;0,"+"&amp;F55-E55,"+"&amp;E55-F55)),"")</f>
        <v/>
      </c>
      <c r="H55" s="12">
        <f>if($A55&lt;&gt;"",if(B55&gt;C55,if(B55&lt;60,1,2),""),"")</f>
        <v/>
      </c>
      <c r="I55" s="12">
        <f>if($A55&lt;&gt;"",if(C55&gt;B55,if(C55&lt;60,1,2),""),"")</f>
        <v/>
      </c>
      <c r="J55" s="9">
        <f>if($A55&lt;&gt;"",J54+H55,"")</f>
        <v/>
      </c>
      <c r="K55" s="9">
        <f>if($A55&lt;&gt;"",K54+I55,"")</f>
        <v/>
      </c>
      <c r="L55" s="11">
        <f>IF($A55&lt;&gt;"",IF(K55-J55=0,"tie",IF(K55-J55&gt;0,"+"&amp;K55-J55,"+"&amp;J55-K55)),"")</f>
        <v/>
      </c>
      <c r="M55" s="17" t="n"/>
      <c r="N55" s="17" t="n"/>
      <c r="O55" s="17" t="n"/>
      <c r="P55" s="17" t="n"/>
      <c r="Q55" s="17" t="n"/>
      <c r="R55" s="17" t="n"/>
      <c r="S55" s="17" t="n"/>
    </row>
    <row r="56">
      <c r="A56" s="15" t="n">
        <v>41990</v>
      </c>
      <c r="B56" s="10" t="n">
        <v>30</v>
      </c>
      <c r="C56" s="9" t="n">
        <v>25</v>
      </c>
      <c r="D56" s="17" t="inlineStr">
        <is>
          <t>Warehouse</t>
        </is>
      </c>
      <c r="E56" s="10">
        <f>if($A56&lt;&gt;"",E55+B56,"")</f>
        <v/>
      </c>
      <c r="F56" s="9">
        <f>if($A56&lt;&gt;"",F55+C56,"")</f>
        <v/>
      </c>
      <c r="G56" s="11">
        <f>IF($A56&lt;&gt;"",IF(F56-E56=0,"tie",IF(F56-E56&gt;0,"+"&amp;F56-E56,"+"&amp;E56-F56)),"")</f>
        <v/>
      </c>
      <c r="H56" s="12">
        <f>if($A56&lt;&gt;"",if(B56&gt;C56,if(B56&lt;60,1,2),""),"")</f>
        <v/>
      </c>
      <c r="I56" s="12">
        <f>if($A56&lt;&gt;"",if(C56&gt;B56,if(C56&lt;60,1,2),""),"")</f>
        <v/>
      </c>
      <c r="J56" s="9">
        <f>if($A56&lt;&gt;"",J55+H56,"")</f>
        <v/>
      </c>
      <c r="K56" s="9">
        <f>if($A56&lt;&gt;"",K55+I56,"")</f>
        <v/>
      </c>
      <c r="L56" s="11">
        <f>IF($A56&lt;&gt;"",IF(K56-J56=0,"tie",IF(K56-J56&gt;0,"+"&amp;K56-J56,"+"&amp;J56-K56)),"")</f>
        <v/>
      </c>
      <c r="M56" s="17" t="n"/>
      <c r="N56" s="17" t="n"/>
      <c r="O56" s="17" t="n"/>
      <c r="P56" s="17" t="n"/>
      <c r="Q56" s="17" t="n"/>
      <c r="R56" s="17" t="n"/>
      <c r="S56" s="17" t="n"/>
    </row>
    <row r="57">
      <c r="A57" s="15" t="n">
        <v>41996</v>
      </c>
      <c r="B57" s="9" t="n">
        <v>25</v>
      </c>
      <c r="C57" s="10" t="n">
        <v>30</v>
      </c>
      <c r="D57" s="17" t="inlineStr">
        <is>
          <t>Café 50's, Venice</t>
        </is>
      </c>
      <c r="E57" s="10">
        <f>if($A57&lt;&gt;"",E56+B57,"")</f>
        <v/>
      </c>
      <c r="F57" s="9">
        <f>if($A57&lt;&gt;"",F56+C57,"")</f>
        <v/>
      </c>
      <c r="G57" s="11">
        <f>IF($A57&lt;&gt;"",IF(F57-E57=0,"tie",IF(F57-E57&gt;0,"+"&amp;F57-E57,"+"&amp;E57-F57)),"")</f>
        <v/>
      </c>
      <c r="H57" s="12">
        <f>if($A57&lt;&gt;"",if(B57&gt;C57,if(B57&lt;60,1,2),""),"")</f>
        <v/>
      </c>
      <c r="I57" s="12">
        <f>if($A57&lt;&gt;"",if(C57&gt;B57,if(C57&lt;60,1,2),""),"")</f>
        <v/>
      </c>
      <c r="J57" s="9">
        <f>if($A57&lt;&gt;"",J56+H57,"")</f>
        <v/>
      </c>
      <c r="K57" s="9">
        <f>if($A57&lt;&gt;"",K56+I57,"")</f>
        <v/>
      </c>
      <c r="L57" s="11">
        <f>IF($A57&lt;&gt;"",IF(K57-J57=0,"tie",IF(K57-J57&gt;0,"+"&amp;K57-J57,"+"&amp;J57-K57)),"")</f>
        <v/>
      </c>
      <c r="M57" s="17" t="n"/>
      <c r="N57" s="17" t="n"/>
      <c r="O57" s="17" t="n"/>
      <c r="P57" s="17" t="n"/>
      <c r="Q57" s="17" t="n"/>
      <c r="R57" s="17" t="n"/>
      <c r="S57" s="17" t="n"/>
    </row>
    <row r="58">
      <c r="A58" s="15" t="n">
        <v>42017</v>
      </c>
      <c r="B58" s="9" t="n">
        <v>25</v>
      </c>
      <c r="C58" s="10" t="n">
        <v>30</v>
      </c>
      <c r="D58" s="17" t="inlineStr">
        <is>
          <t>El Charro</t>
        </is>
      </c>
      <c r="E58" s="10">
        <f>if($A58&lt;&gt;"",E57+B58,"")</f>
        <v/>
      </c>
      <c r="F58" s="9">
        <f>if($A58&lt;&gt;"",F57+C58,"")</f>
        <v/>
      </c>
      <c r="G58" s="11">
        <f>IF($A58&lt;&gt;"",IF(F58-E58=0,"tie",IF(F58-E58&gt;0,"+"&amp;F58-E58,"+"&amp;E58-F58)),"")</f>
        <v/>
      </c>
      <c r="H58" s="12">
        <f>if($A58&lt;&gt;"",if(B58&gt;C58,if(B58&lt;60,1,2),""),"")</f>
        <v/>
      </c>
      <c r="I58" s="12">
        <f>if($A58&lt;&gt;"",if(C58&gt;B58,if(C58&lt;60,1,2),""),"")</f>
        <v/>
      </c>
      <c r="J58" s="9">
        <f>if($A58&lt;&gt;"",J57+H58,"")</f>
        <v/>
      </c>
      <c r="K58" s="9">
        <f>if($A58&lt;&gt;"",K57+I58,"")</f>
        <v/>
      </c>
      <c r="L58" s="11">
        <f>IF($A58&lt;&gt;"",IF(K58-J58=0,"tie",IF(K58-J58&gt;0,"+"&amp;K58-J58,"+"&amp;J58-K58)),"")</f>
        <v/>
      </c>
      <c r="M58" s="17" t="n"/>
      <c r="N58" s="17" t="n"/>
      <c r="O58" s="17" t="n"/>
      <c r="P58" s="17" t="n"/>
      <c r="Q58" s="17" t="n"/>
      <c r="R58" s="17" t="n"/>
      <c r="S58" s="17" t="n"/>
    </row>
    <row r="59">
      <c r="A59" s="15" t="n">
        <v>42024</v>
      </c>
      <c r="B59" s="10" t="n">
        <v>30</v>
      </c>
      <c r="C59" s="9" t="n">
        <v>25</v>
      </c>
      <c r="D59" s="17" t="inlineStr">
        <is>
          <t>Gilly's, Los Gatos (visited Zach, Alize, Kristen, Kyle, Marie, Jim, Soren)</t>
        </is>
      </c>
      <c r="E59" s="10">
        <f>if($A59&lt;&gt;"",E58+B59,"")</f>
        <v/>
      </c>
      <c r="F59" s="9">
        <f>if($A59&lt;&gt;"",F58+C59,"")</f>
        <v/>
      </c>
      <c r="G59" s="11">
        <f>IF($A59&lt;&gt;"",IF(F59-E59=0,"tie",IF(F59-E59&gt;0,"+"&amp;F59-E59,"+"&amp;E59-F59)),"")</f>
        <v/>
      </c>
      <c r="H59" s="12">
        <f>if($A59&lt;&gt;"",if(B59&gt;C59,if(B59&lt;60,1,2),""),"")</f>
        <v/>
      </c>
      <c r="I59" s="12">
        <f>if($A59&lt;&gt;"",if(C59&gt;B59,if(C59&lt;60,1,2),""),"")</f>
        <v/>
      </c>
      <c r="J59" s="9">
        <f>if($A59&lt;&gt;"",J58+H59,"")</f>
        <v/>
      </c>
      <c r="K59" s="9">
        <f>if($A59&lt;&gt;"",K58+I59,"")</f>
        <v/>
      </c>
      <c r="L59" s="11">
        <f>IF($A59&lt;&gt;"",IF(K59-J59=0,"tie",IF(K59-J59&gt;0,"+"&amp;K59-J59,"+"&amp;J59-K59)),"")</f>
        <v/>
      </c>
      <c r="M59" s="17" t="n"/>
      <c r="N59" s="17" t="n"/>
      <c r="O59" s="17" t="n"/>
      <c r="P59" s="17" t="n"/>
      <c r="Q59" s="17" t="n"/>
      <c r="R59" s="17" t="n"/>
      <c r="S59" s="17" t="n"/>
    </row>
    <row r="60">
      <c r="A60" s="15" t="n">
        <v>42026</v>
      </c>
      <c r="B60" s="10" t="n">
        <v>30</v>
      </c>
      <c r="C60" s="9" t="n">
        <v>25</v>
      </c>
      <c r="D60" s="17" t="inlineStr">
        <is>
          <t>Café 50's, Venice</t>
        </is>
      </c>
      <c r="E60" s="10">
        <f>if($A60&lt;&gt;"",E59+B60,"")</f>
        <v/>
      </c>
      <c r="F60" s="9">
        <f>if($A60&lt;&gt;"",F59+C60,"")</f>
        <v/>
      </c>
      <c r="G60" s="11">
        <f>IF($A60&lt;&gt;"",IF(F60-E60=0,"tie",IF(F60-E60&gt;0,"+"&amp;F60-E60,"+"&amp;E60-F60)),"")</f>
        <v/>
      </c>
      <c r="H60" s="12">
        <f>if($A60&lt;&gt;"",if(B60&gt;C60,if(B60&lt;60,1,2),""),"")</f>
        <v/>
      </c>
      <c r="I60" s="12">
        <f>if($A60&lt;&gt;"",if(C60&gt;B60,if(C60&lt;60,1,2),""),"")</f>
        <v/>
      </c>
      <c r="J60" s="9">
        <f>if($A60&lt;&gt;"",J59+H60,"")</f>
        <v/>
      </c>
      <c r="K60" s="9">
        <f>if($A60&lt;&gt;"",K59+I60,"")</f>
        <v/>
      </c>
      <c r="L60" s="11">
        <f>IF($A60&lt;&gt;"",IF(K60-J60=0,"tie",IF(K60-J60&gt;0,"+"&amp;K60-J60,"+"&amp;J60-K60)),"")</f>
        <v/>
      </c>
      <c r="M60" s="17" t="n"/>
      <c r="N60" s="17" t="n"/>
      <c r="O60" s="17" t="n"/>
      <c r="P60" s="17" t="n"/>
      <c r="Q60" s="17" t="n"/>
      <c r="R60" s="17" t="n"/>
      <c r="S60" s="17" t="n"/>
    </row>
    <row r="61">
      <c r="A61" s="15" t="n">
        <v>42030</v>
      </c>
      <c r="B61" s="9" t="n">
        <v>25</v>
      </c>
      <c r="C61" s="10" t="n">
        <v>30</v>
      </c>
      <c r="D61" s="17" t="inlineStr">
        <is>
          <t>jnicohls</t>
        </is>
      </c>
      <c r="E61" s="10">
        <f>if($A61&lt;&gt;"",E60+B61,"")</f>
        <v/>
      </c>
      <c r="F61" s="9">
        <f>if($A61&lt;&gt;"",F60+C61,"")</f>
        <v/>
      </c>
      <c r="G61" s="11">
        <f>IF($A61&lt;&gt;"",IF(F61-E61=0,"tie",IF(F61-E61&gt;0,"+"&amp;F61-E61,"+"&amp;E61-F61)),"")</f>
        <v/>
      </c>
      <c r="H61" s="12">
        <f>if($A61&lt;&gt;"",if(B61&gt;C61,if(B61&lt;60,1,2),""),"")</f>
        <v/>
      </c>
      <c r="I61" s="12">
        <f>if($A61&lt;&gt;"",if(C61&gt;B61,if(C61&lt;60,1,2),""),"")</f>
        <v/>
      </c>
      <c r="J61" s="9">
        <f>if($A61&lt;&gt;"",J60+H61,"")</f>
        <v/>
      </c>
      <c r="K61" s="9">
        <f>if($A61&lt;&gt;"",K60+I61,"")</f>
        <v/>
      </c>
      <c r="L61" s="11">
        <f>IF($A61&lt;&gt;"",IF(K61-J61=0,"tie",IF(K61-J61&gt;0,"+"&amp;K61-J61,"+"&amp;J61-K61)),"")</f>
        <v/>
      </c>
      <c r="M61" s="17" t="n"/>
      <c r="N61" s="17" t="n"/>
      <c r="O61" s="17" t="n"/>
      <c r="P61" s="17" t="n"/>
      <c r="Q61" s="17" t="n"/>
      <c r="R61" s="17" t="n"/>
      <c r="S61" s="17" t="n"/>
    </row>
    <row r="62">
      <c r="A62" s="15" t="n">
        <v>42034</v>
      </c>
      <c r="B62" s="10" t="n">
        <v>30</v>
      </c>
      <c r="C62" s="9" t="n">
        <v>25</v>
      </c>
      <c r="D62" s="17" t="inlineStr">
        <is>
          <t>Swingers</t>
        </is>
      </c>
      <c r="E62" s="10">
        <f>if($A62&lt;&gt;"",E61+B62,"")</f>
        <v/>
      </c>
      <c r="F62" s="9">
        <f>if($A62&lt;&gt;"",F61+C62,"")</f>
        <v/>
      </c>
      <c r="G62" s="11">
        <f>IF($A62&lt;&gt;"",IF(F62-E62=0,"tie",IF(F62-E62&gt;0,"+"&amp;F62-E62,"+"&amp;E62-F62)),"")</f>
        <v/>
      </c>
      <c r="H62" s="12">
        <f>if($A62&lt;&gt;"",if(B62&gt;C62,if(B62&lt;60,1,2),""),"")</f>
        <v/>
      </c>
      <c r="I62" s="12">
        <f>if($A62&lt;&gt;"",if(C62&gt;B62,if(C62&lt;60,1,2),""),"")</f>
        <v/>
      </c>
      <c r="J62" s="9">
        <f>if($A62&lt;&gt;"",J61+H62,"")</f>
        <v/>
      </c>
      <c r="K62" s="9">
        <f>if($A62&lt;&gt;"",K61+I62,"")</f>
        <v/>
      </c>
      <c r="L62" s="11">
        <f>IF($A62&lt;&gt;"",IF(K62-J62=0,"tie",IF(K62-J62&gt;0,"+"&amp;K62-J62,"+"&amp;J62-K62)),"")</f>
        <v/>
      </c>
      <c r="M62" s="17" t="n"/>
      <c r="N62" s="17" t="n"/>
      <c r="O62" s="17" t="n"/>
      <c r="P62" s="17" t="n"/>
      <c r="Q62" s="17" t="n"/>
      <c r="R62" s="17" t="n"/>
      <c r="S62" s="17" t="n"/>
    </row>
    <row r="63">
      <c r="A63" s="15" t="n">
        <v>42038</v>
      </c>
      <c r="B63" s="10" t="n">
        <v>30</v>
      </c>
      <c r="C63" s="9" t="n">
        <v>25</v>
      </c>
      <c r="D63" s="17" t="inlineStr">
        <is>
          <t>Preston Way</t>
        </is>
      </c>
      <c r="E63" s="10">
        <f>if($A63&lt;&gt;"",E62+B63,"")</f>
        <v/>
      </c>
      <c r="F63" s="9">
        <f>if($A63&lt;&gt;"",F62+C63,"")</f>
        <v/>
      </c>
      <c r="G63" s="11">
        <f>IF($A63&lt;&gt;"",IF(F63-E63=0,"tie",IF(F63-E63&gt;0,"+"&amp;F63-E63,"+"&amp;E63-F63)),"")</f>
        <v/>
      </c>
      <c r="H63" s="12">
        <f>if($A63&lt;&gt;"",if(B63&gt;C63,if(B63&lt;60,1,2),""),"")</f>
        <v/>
      </c>
      <c r="I63" s="12">
        <f>if($A63&lt;&gt;"",if(C63&gt;B63,if(C63&lt;60,1,2),""),"")</f>
        <v/>
      </c>
      <c r="J63" s="9">
        <f>if($A63&lt;&gt;"",J62+H63,"")</f>
        <v/>
      </c>
      <c r="K63" s="9">
        <f>if($A63&lt;&gt;"",K62+I63,"")</f>
        <v/>
      </c>
      <c r="L63" s="11">
        <f>IF($A63&lt;&gt;"",IF(K63-J63=0,"tie",IF(K63-J63&gt;0,"+"&amp;K63-J63,"+"&amp;J63-K63)),"")</f>
        <v/>
      </c>
      <c r="M63" s="17" t="n"/>
      <c r="N63" s="17" t="n"/>
      <c r="O63" s="17" t="n"/>
      <c r="P63" s="17" t="n"/>
      <c r="Q63" s="17" t="n"/>
      <c r="R63" s="17" t="n"/>
      <c r="S63" s="17" t="n"/>
    </row>
    <row r="64">
      <c r="A64" s="15" t="n">
        <v>42045</v>
      </c>
      <c r="B64" s="9" t="n">
        <v>25</v>
      </c>
      <c r="C64" s="10" t="n">
        <v>30</v>
      </c>
      <c r="D64" s="17" t="inlineStr">
        <is>
          <t>Carl's Jr. Sepulveda and Venice</t>
        </is>
      </c>
      <c r="E64" s="10">
        <f>if($A64&lt;&gt;"",E63+B64,"")</f>
        <v/>
      </c>
      <c r="F64" s="9">
        <f>if($A64&lt;&gt;"",F63+C64,"")</f>
        <v/>
      </c>
      <c r="G64" s="11">
        <f>IF($A64&lt;&gt;"",IF(F64-E64=0,"tie",IF(F64-E64&gt;0,"+"&amp;F64-E64,"+"&amp;E64-F64)),"")</f>
        <v/>
      </c>
      <c r="H64" s="12">
        <f>if($A64&lt;&gt;"",if(B64&gt;C64,if(B64&lt;60,1,2),""),"")</f>
        <v/>
      </c>
      <c r="I64" s="12">
        <f>if($A64&lt;&gt;"",if(C64&gt;B64,if(C64&lt;60,1,2),""),"")</f>
        <v/>
      </c>
      <c r="J64" s="9">
        <f>if($A64&lt;&gt;"",J63+H64,"")</f>
        <v/>
      </c>
      <c r="K64" s="9">
        <f>if($A64&lt;&gt;"",K63+I64,"")</f>
        <v/>
      </c>
      <c r="L64" s="11">
        <f>IF($A64&lt;&gt;"",IF(K64-J64=0,"tie",IF(K64-J64&gt;0,"+"&amp;K64-J64,"+"&amp;J64-K64)),"")</f>
        <v/>
      </c>
      <c r="M64" s="17" t="n"/>
      <c r="N64" s="17" t="n"/>
      <c r="O64" s="17" t="n"/>
      <c r="P64" s="17" t="n"/>
      <c r="Q64" s="17" t="n"/>
      <c r="R64" s="17" t="n"/>
      <c r="S64" s="17" t="n"/>
    </row>
    <row r="65">
      <c r="A65" s="15" t="n">
        <v>42046</v>
      </c>
      <c r="B65" s="10" t="n">
        <v>30</v>
      </c>
      <c r="C65" s="9" t="n">
        <v>25</v>
      </c>
      <c r="D65" s="17" t="inlineStr">
        <is>
          <t>Joe's Crab Shack, Montebello</t>
        </is>
      </c>
      <c r="E65" s="10">
        <f>if($A65&lt;&gt;"",E64+B65,"")</f>
        <v/>
      </c>
      <c r="F65" s="9">
        <f>if($A65&lt;&gt;"",F64+C65,"")</f>
        <v/>
      </c>
      <c r="G65" s="11">
        <f>IF($A65&lt;&gt;"",IF(F65-E65=0,"tie",IF(F65-E65&gt;0,"+"&amp;F65-E65,"+"&amp;E65-F65)),"")</f>
        <v/>
      </c>
      <c r="H65" s="12">
        <f>if($A65&lt;&gt;"",if(B65&gt;C65,if(B65&lt;60,1,2),""),"")</f>
        <v/>
      </c>
      <c r="I65" s="12">
        <f>if($A65&lt;&gt;"",if(C65&gt;B65,if(C65&lt;60,1,2),""),"")</f>
        <v/>
      </c>
      <c r="J65" s="9">
        <f>if($A65&lt;&gt;"",J64+H65,"")</f>
        <v/>
      </c>
      <c r="K65" s="9">
        <f>if($A65&lt;&gt;"",K64+I65,"")</f>
        <v/>
      </c>
      <c r="L65" s="11">
        <f>IF($A65&lt;&gt;"",IF(K65-J65=0,"tie",IF(K65-J65&gt;0,"+"&amp;K65-J65,"+"&amp;J65-K65)),"")</f>
        <v/>
      </c>
      <c r="M65" s="17" t="n"/>
      <c r="N65" s="17" t="n"/>
      <c r="O65" s="17" t="n"/>
      <c r="P65" s="17" t="n"/>
      <c r="Q65" s="17" t="n"/>
      <c r="R65" s="17" t="n"/>
      <c r="S65" s="17" t="n"/>
    </row>
    <row r="66">
      <c r="A66" s="15" t="n">
        <v>42050</v>
      </c>
      <c r="B66" s="9" t="n">
        <v>25</v>
      </c>
      <c r="C66" s="10" t="n">
        <v>30</v>
      </c>
      <c r="D66" s="17" t="inlineStr">
        <is>
          <t>Solano's Café, La Quinta</t>
        </is>
      </c>
      <c r="E66" s="10">
        <f>if($A66&lt;&gt;"",E65+B66,"")</f>
        <v/>
      </c>
      <c r="F66" s="9">
        <f>if($A66&lt;&gt;"",F65+C66,"")</f>
        <v/>
      </c>
      <c r="G66" s="11">
        <f>IF($A66&lt;&gt;"",IF(F66-E66=0,"tie",IF(F66-E66&gt;0,"+"&amp;F66-E66,"+"&amp;E66-F66)),"")</f>
        <v/>
      </c>
      <c r="H66" s="12">
        <f>if($A66&lt;&gt;"",if(B66&gt;C66,if(B66&lt;60,1,2),""),"")</f>
        <v/>
      </c>
      <c r="I66" s="12">
        <f>if($A66&lt;&gt;"",if(C66&gt;B66,if(C66&lt;60,1,2),""),"")</f>
        <v/>
      </c>
      <c r="J66" s="9">
        <f>if($A66&lt;&gt;"",J65+H66,"")</f>
        <v/>
      </c>
      <c r="K66" s="9">
        <f>if($A66&lt;&gt;"",K65+I66,"")</f>
        <v/>
      </c>
      <c r="L66" s="11">
        <f>IF($A66&lt;&gt;"",IF(K66-J66=0,"tie",IF(K66-J66&gt;0,"+"&amp;K66-J66,"+"&amp;J66-K66)),"")</f>
        <v/>
      </c>
      <c r="M66" s="17" t="n"/>
      <c r="N66" s="17" t="n"/>
      <c r="O66" s="17" t="n"/>
      <c r="P66" s="17" t="n"/>
      <c r="Q66" s="17" t="n"/>
      <c r="R66" s="17" t="n"/>
      <c r="S66" s="17" t="n"/>
    </row>
    <row r="67">
      <c r="A67" s="15" t="n">
        <v>42057</v>
      </c>
      <c r="B67" s="9" t="n">
        <v>25</v>
      </c>
      <c r="C67" s="10" t="n">
        <v>30</v>
      </c>
      <c r="D67" s="17" t="inlineStr">
        <is>
          <t>iHop, MDR</t>
        </is>
      </c>
      <c r="E67" s="10">
        <f>if($A67&lt;&gt;"",E66+B67,"")</f>
        <v/>
      </c>
      <c r="F67" s="9">
        <f>if($A67&lt;&gt;"",F66+C67,"")</f>
        <v/>
      </c>
      <c r="G67" s="11">
        <f>IF($A67&lt;&gt;"",IF(F67-E67=0,"tie",IF(F67-E67&gt;0,"+"&amp;F67-E67,"+"&amp;E67-F67)),"")</f>
        <v/>
      </c>
      <c r="H67" s="12">
        <f>if($A67&lt;&gt;"",if(B67&gt;C67,if(B67&lt;60,1,2),""),"")</f>
        <v/>
      </c>
      <c r="I67" s="12">
        <f>if($A67&lt;&gt;"",if(C67&gt;B67,if(C67&lt;60,1,2),""),"")</f>
        <v/>
      </c>
      <c r="J67" s="9">
        <f>if($A67&lt;&gt;"",J66+H67,"")</f>
        <v/>
      </c>
      <c r="K67" s="9">
        <f>if($A67&lt;&gt;"",K66+I67,"")</f>
        <v/>
      </c>
      <c r="L67" s="11">
        <f>IF($A67&lt;&gt;"",IF(K67-J67=0,"tie",IF(K67-J67&gt;0,"+"&amp;K67-J67,"+"&amp;J67-K67)),"")</f>
        <v/>
      </c>
      <c r="M67" s="17" t="n"/>
      <c r="N67" s="17" t="n"/>
      <c r="O67" s="17" t="n"/>
      <c r="P67" s="17" t="n"/>
      <c r="Q67" s="17" t="n"/>
      <c r="R67" s="17" t="n"/>
      <c r="S67" s="17" t="n"/>
    </row>
    <row r="68">
      <c r="A68" s="15" t="n">
        <v>42059</v>
      </c>
      <c r="B68" s="9" t="n">
        <v>25</v>
      </c>
      <c r="C68" s="10" t="n">
        <v>30</v>
      </c>
      <c r="D68" s="17" t="inlineStr">
        <is>
          <t>Lara's Mexican, Santa Monica</t>
        </is>
      </c>
      <c r="E68" s="10">
        <f>if($A68&lt;&gt;"",E67+B68,"")</f>
        <v/>
      </c>
      <c r="F68" s="9">
        <f>if($A68&lt;&gt;"",F67+C68,"")</f>
        <v/>
      </c>
      <c r="G68" s="11">
        <f>IF($A68&lt;&gt;"",IF(F68-E68=0,"tie",IF(F68-E68&gt;0,"+"&amp;F68-E68,"+"&amp;E68-F68)),"")</f>
        <v/>
      </c>
      <c r="H68" s="12">
        <f>if($A68&lt;&gt;"",if(B68&gt;C68,if(B68&lt;60,1,2),""),"")</f>
        <v/>
      </c>
      <c r="I68" s="12">
        <f>if($A68&lt;&gt;"",if(C68&gt;B68,if(C68&lt;60,1,2),""),"")</f>
        <v/>
      </c>
      <c r="J68" s="9">
        <f>if($A68&lt;&gt;"",J67+H68,"")</f>
        <v/>
      </c>
      <c r="K68" s="9">
        <f>if($A68&lt;&gt;"",K67+I68,"")</f>
        <v/>
      </c>
      <c r="L68" s="11">
        <f>IF($A68&lt;&gt;"",IF(K68-J68=0,"tie",IF(K68-J68&gt;0,"+"&amp;K68-J68,"+"&amp;J68-K68)),"")</f>
        <v/>
      </c>
      <c r="M68" s="17" t="n"/>
      <c r="N68" s="17" t="n"/>
      <c r="O68" s="17" t="n"/>
      <c r="P68" s="17" t="n"/>
      <c r="Q68" s="17" t="n"/>
      <c r="R68" s="17" t="n"/>
      <c r="S68" s="17" t="n"/>
    </row>
    <row r="69">
      <c r="A69" s="15" t="n">
        <v>42061</v>
      </c>
      <c r="B69" s="10" t="n">
        <v>30</v>
      </c>
      <c r="C69" s="9" t="n">
        <v>25</v>
      </c>
      <c r="D69" s="17" t="inlineStr">
        <is>
          <t>Clutch, Venice (six days after opening)</t>
        </is>
      </c>
      <c r="E69" s="10">
        <f>if($A69&lt;&gt;"",E68+B69,"")</f>
        <v/>
      </c>
      <c r="F69" s="9">
        <f>if($A69&lt;&gt;"",F68+C69,"")</f>
        <v/>
      </c>
      <c r="G69" s="11">
        <f>IF($A69&lt;&gt;"",IF(F69-E69=0,"tie",IF(F69-E69&gt;0,"+"&amp;F69-E69,"+"&amp;E69-F69)),"")</f>
        <v/>
      </c>
      <c r="H69" s="12">
        <f>if($A69&lt;&gt;"",if(B69&gt;C69,if(B69&lt;60,1,2),""),"")</f>
        <v/>
      </c>
      <c r="I69" s="12">
        <f>if($A69&lt;&gt;"",if(C69&gt;B69,if(C69&lt;60,1,2),""),"")</f>
        <v/>
      </c>
      <c r="J69" s="9">
        <f>if($A69&lt;&gt;"",J68+H69,"")</f>
        <v/>
      </c>
      <c r="K69" s="9">
        <f>if($A69&lt;&gt;"",K68+I69,"")</f>
        <v/>
      </c>
      <c r="L69" s="11">
        <f>IF($A69&lt;&gt;"",IF(K69-J69=0,"tie",IF(K69-J69&gt;0,"+"&amp;K69-J69,"+"&amp;J69-K69)),"")</f>
        <v/>
      </c>
      <c r="M69" s="17" t="n"/>
      <c r="N69" s="17" t="n"/>
      <c r="O69" s="17" t="n"/>
      <c r="P69" s="17" t="n"/>
      <c r="Q69" s="17" t="n"/>
      <c r="R69" s="17" t="n"/>
      <c r="S69" s="17" t="n"/>
    </row>
    <row r="70">
      <c r="A70" s="15" t="n">
        <v>42065</v>
      </c>
      <c r="B70" s="10" t="n">
        <v>30</v>
      </c>
      <c r="C70" s="9" t="n">
        <v>25</v>
      </c>
      <c r="D70" s="17" t="inlineStr">
        <is>
          <t>Westside Tavern</t>
        </is>
      </c>
      <c r="E70" s="10">
        <f>if($A70&lt;&gt;"",E69+B70,"")</f>
        <v/>
      </c>
      <c r="F70" s="9">
        <f>if($A70&lt;&gt;"",F69+C70,"")</f>
        <v/>
      </c>
      <c r="G70" s="11">
        <f>IF($A70&lt;&gt;"",IF(F70-E70=0,"tie",IF(F70-E70&gt;0,"+"&amp;F70-E70,"+"&amp;E70-F70)),"")</f>
        <v/>
      </c>
      <c r="H70" s="12">
        <f>if($A70&lt;&gt;"",if(B70&gt;C70,if(B70&lt;60,1,2),""),"")</f>
        <v/>
      </c>
      <c r="I70" s="12">
        <f>if($A70&lt;&gt;"",if(C70&gt;B70,if(C70&lt;60,1,2),""),"")</f>
        <v/>
      </c>
      <c r="J70" s="9">
        <f>if($A70&lt;&gt;"",J69+H70,"")</f>
        <v/>
      </c>
      <c r="K70" s="9">
        <f>if($A70&lt;&gt;"",K69+I70,"")</f>
        <v/>
      </c>
      <c r="L70" s="11">
        <f>IF($A70&lt;&gt;"",IF(K70-J70=0,"tie",IF(K70-J70&gt;0,"+"&amp;K70-J70,"+"&amp;J70-K70)),"")</f>
        <v/>
      </c>
      <c r="M70" s="17" t="n"/>
      <c r="N70" s="17" t="n"/>
      <c r="O70" s="17" t="n"/>
      <c r="P70" s="17" t="n"/>
      <c r="Q70" s="17" t="n"/>
      <c r="R70" s="17" t="n"/>
      <c r="S70" s="17" t="n"/>
    </row>
    <row r="71">
      <c r="A71" s="15" t="n">
        <v>42067</v>
      </c>
      <c r="B71" s="9" t="n">
        <v>25</v>
      </c>
      <c r="C71" s="10" t="n">
        <v>30</v>
      </c>
      <c r="D71" s="17" t="inlineStr">
        <is>
          <t>C and O Trattoria, Venice</t>
        </is>
      </c>
      <c r="E71" s="10">
        <f>if($A71&lt;&gt;"",E70+B71,"")</f>
        <v/>
      </c>
      <c r="F71" s="9">
        <f>if($A71&lt;&gt;"",F70+C71,"")</f>
        <v/>
      </c>
      <c r="G71" s="11">
        <f>IF($A71&lt;&gt;"",IF(F71-E71=0,"tie",IF(F71-E71&gt;0,"+"&amp;F71-E71,"+"&amp;E71-F71)),"")</f>
        <v/>
      </c>
      <c r="H71" s="12">
        <f>if($A71&lt;&gt;"",if(B71&gt;C71,if(B71&lt;60,1,2),""),"")</f>
        <v/>
      </c>
      <c r="I71" s="12">
        <f>if($A71&lt;&gt;"",if(C71&gt;B71,if(C71&lt;60,1,2),""),"")</f>
        <v/>
      </c>
      <c r="J71" s="9">
        <f>if($A71&lt;&gt;"",J70+H71,"")</f>
        <v/>
      </c>
      <c r="K71" s="9">
        <f>if($A71&lt;&gt;"",K70+I71,"")</f>
        <v/>
      </c>
      <c r="L71" s="11">
        <f>IF($A71&lt;&gt;"",IF(K71-J71=0,"tie",IF(K71-J71&gt;0,"+"&amp;K71-J71,"+"&amp;J71-K71)),"")</f>
        <v/>
      </c>
      <c r="M71" s="17" t="n"/>
      <c r="N71" s="17" t="n"/>
      <c r="O71" s="17" t="n"/>
      <c r="P71" s="17" t="n"/>
      <c r="Q71" s="17" t="n"/>
      <c r="R71" s="17" t="n"/>
      <c r="S71" s="17" t="n"/>
    </row>
    <row r="72">
      <c r="A72" s="15" t="n">
        <v>42068</v>
      </c>
      <c r="B72" s="10" t="n">
        <v>30</v>
      </c>
      <c r="C72" s="9" t="n">
        <v>25</v>
      </c>
      <c r="D72" s="17" t="inlineStr">
        <is>
          <t>Westside Tavern</t>
        </is>
      </c>
      <c r="E72" s="10">
        <f>if($A72&lt;&gt;"",E71+B72,"")</f>
        <v/>
      </c>
      <c r="F72" s="9">
        <f>if($A72&lt;&gt;"",F71+C72,"")</f>
        <v/>
      </c>
      <c r="G72" s="11">
        <f>IF($A72&lt;&gt;"",IF(F72-E72=0,"tie",IF(F72-E72&gt;0,"+"&amp;F72-E72,"+"&amp;E72-F72)),"")</f>
        <v/>
      </c>
      <c r="H72" s="12">
        <f>if($A72&lt;&gt;"",if(B72&gt;C72,if(B72&lt;60,1,2),""),"")</f>
        <v/>
      </c>
      <c r="I72" s="12">
        <f>if($A72&lt;&gt;"",if(C72&gt;B72,if(C72&lt;60,1,2),""),"")</f>
        <v/>
      </c>
      <c r="J72" s="9">
        <f>if($A72&lt;&gt;"",J71+H72,"")</f>
        <v/>
      </c>
      <c r="K72" s="9">
        <f>if($A72&lt;&gt;"",K71+I72,"")</f>
        <v/>
      </c>
      <c r="L72" s="11">
        <f>IF($A72&lt;&gt;"",IF(K72-J72=0,"tie",IF(K72-J72&gt;0,"+"&amp;K72-J72,"+"&amp;J72-K72)),"")</f>
        <v/>
      </c>
      <c r="M72" s="17" t="n"/>
      <c r="N72" s="17" t="n"/>
      <c r="O72" s="17" t="n"/>
      <c r="P72" s="17" t="n"/>
      <c r="Q72" s="17" t="n"/>
      <c r="R72" s="17" t="n"/>
      <c r="S72" s="17" t="n"/>
    </row>
    <row r="73">
      <c r="A73" s="15" t="n">
        <v>42069</v>
      </c>
      <c r="B73" s="10" t="n">
        <v>30</v>
      </c>
      <c r="C73" s="9" t="n">
        <v>25</v>
      </c>
      <c r="D73" s="17" t="inlineStr">
        <is>
          <t>J Nichols, MDR</t>
        </is>
      </c>
      <c r="E73" s="10">
        <f>if($A73&lt;&gt;"",E72+B73,"")</f>
        <v/>
      </c>
      <c r="F73" s="9">
        <f>if($A73&lt;&gt;"",F72+C73,"")</f>
        <v/>
      </c>
      <c r="G73" s="11">
        <f>IF($A73&lt;&gt;"",IF(F73-E73=0,"tie",IF(F73-E73&gt;0,"+"&amp;F73-E73,"+"&amp;E73-F73)),"")</f>
        <v/>
      </c>
      <c r="H73" s="12">
        <f>if($A73&lt;&gt;"",if(B73&gt;C73,if(B73&lt;60,1,2),""),"")</f>
        <v/>
      </c>
      <c r="I73" s="12">
        <f>if($A73&lt;&gt;"",if(C73&gt;B73,if(C73&lt;60,1,2),""),"")</f>
        <v/>
      </c>
      <c r="J73" s="9">
        <f>if($A73&lt;&gt;"",J72+H73,"")</f>
        <v/>
      </c>
      <c r="K73" s="9">
        <f>if($A73&lt;&gt;"",K72+I73,"")</f>
        <v/>
      </c>
      <c r="L73" s="11">
        <f>IF($A73&lt;&gt;"",IF(K73-J73=0,"tie",IF(K73-J73&gt;0,"+"&amp;K73-J73,"+"&amp;J73-K73)),"")</f>
        <v/>
      </c>
      <c r="M73" s="17" t="n"/>
      <c r="N73" s="17" t="n"/>
      <c r="O73" s="17" t="n"/>
      <c r="P73" s="17" t="n"/>
      <c r="Q73" s="17" t="n"/>
      <c r="R73" s="17" t="n"/>
      <c r="S73" s="17" t="n"/>
    </row>
    <row r="74">
      <c r="A74" s="15" t="n">
        <v>42071</v>
      </c>
      <c r="B74" s="10" t="n">
        <v>30</v>
      </c>
      <c r="C74" s="9" t="n">
        <v>25</v>
      </c>
      <c r="D74" s="17" t="inlineStr">
        <is>
          <t>Baja Cantina (brunch we won at Thursday Night Football)</t>
        </is>
      </c>
      <c r="E74" s="10">
        <f>if($A74&lt;&gt;"",E73+B74,"")</f>
        <v/>
      </c>
      <c r="F74" s="9">
        <f>if($A74&lt;&gt;"",F73+C74,"")</f>
        <v/>
      </c>
      <c r="G74" s="11">
        <f>IF($A74&lt;&gt;"",IF(F74-E74=0,"tie",IF(F74-E74&gt;0,"+"&amp;F74-E74,"+"&amp;E74-F74)),"")</f>
        <v/>
      </c>
      <c r="H74" s="12">
        <f>if($A74&lt;&gt;"",if(B74&gt;C74,if(B74&lt;60,1,2),""),"")</f>
        <v/>
      </c>
      <c r="I74" s="12">
        <f>if($A74&lt;&gt;"",if(C74&gt;B74,if(C74&lt;60,1,2),""),"")</f>
        <v/>
      </c>
      <c r="J74" s="9">
        <f>if($A74&lt;&gt;"",J73+H74,"")</f>
        <v/>
      </c>
      <c r="K74" s="9">
        <f>if($A74&lt;&gt;"",K73+I74,"")</f>
        <v/>
      </c>
      <c r="L74" s="11">
        <f>IF($A74&lt;&gt;"",IF(K74-J74=0,"tie",IF(K74-J74&gt;0,"+"&amp;K74-J74,"+"&amp;J74-K74)),"")</f>
        <v/>
      </c>
      <c r="M74" s="17" t="n"/>
      <c r="N74" s="17" t="n"/>
      <c r="O74" s="17" t="n"/>
      <c r="P74" s="17" t="n"/>
      <c r="Q74" s="17" t="n"/>
      <c r="R74" s="17" t="n"/>
      <c r="S74" s="17" t="n"/>
    </row>
    <row r="75">
      <c r="A75" s="15" t="n">
        <v>42072</v>
      </c>
      <c r="B75" s="9" t="n">
        <v>25</v>
      </c>
      <c r="C75" s="10" t="n">
        <v>30</v>
      </c>
      <c r="D75" s="17" t="inlineStr">
        <is>
          <t>Bossa Nova, WLA</t>
        </is>
      </c>
      <c r="E75" s="10">
        <f>if($A75&lt;&gt;"",E74+B75,"")</f>
        <v/>
      </c>
      <c r="F75" s="9">
        <f>if($A75&lt;&gt;"",F74+C75,"")</f>
        <v/>
      </c>
      <c r="G75" s="11">
        <f>IF($A75&lt;&gt;"",IF(F75-E75=0,"tie",IF(F75-E75&gt;0,"+"&amp;F75-E75,"+"&amp;E75-F75)),"")</f>
        <v/>
      </c>
      <c r="H75" s="12">
        <f>if($A75&lt;&gt;"",if(B75&gt;C75,if(B75&lt;60,1,2),""),"")</f>
        <v/>
      </c>
      <c r="I75" s="12">
        <f>if($A75&lt;&gt;"",if(C75&gt;B75,if(C75&lt;60,1,2),""),"")</f>
        <v/>
      </c>
      <c r="J75" s="9">
        <f>if($A75&lt;&gt;"",J74+H75,"")</f>
        <v/>
      </c>
      <c r="K75" s="9">
        <f>if($A75&lt;&gt;"",K74+I75,"")</f>
        <v/>
      </c>
      <c r="L75" s="11">
        <f>IF($A75&lt;&gt;"",IF(K75-J75=0,"tie",IF(K75-J75&gt;0,"+"&amp;K75-J75,"+"&amp;J75-K75)),"")</f>
        <v/>
      </c>
      <c r="M75" s="17" t="n"/>
      <c r="N75" s="17" t="n"/>
      <c r="O75" s="17" t="n"/>
      <c r="P75" s="17" t="n"/>
      <c r="Q75" s="17" t="n"/>
      <c r="R75" s="17" t="n"/>
      <c r="S75" s="17" t="n"/>
    </row>
    <row r="76">
      <c r="A76" s="15" t="n">
        <v>42073</v>
      </c>
      <c r="B76" s="10" t="n">
        <v>30</v>
      </c>
      <c r="C76" s="9" t="n">
        <v>25</v>
      </c>
      <c r="D76" s="17" t="inlineStr">
        <is>
          <t>Preston Way</t>
        </is>
      </c>
      <c r="E76" s="10">
        <f>if($A76&lt;&gt;"",E75+B76,"")</f>
        <v/>
      </c>
      <c r="F76" s="9">
        <f>if($A76&lt;&gt;"",F75+C76,"")</f>
        <v/>
      </c>
      <c r="G76" s="11">
        <f>IF($A76&lt;&gt;"",IF(F76-E76=0,"tie",IF(F76-E76&gt;0,"+"&amp;F76-E76,"+"&amp;E76-F76)),"")</f>
        <v/>
      </c>
      <c r="H76" s="12">
        <f>if($A76&lt;&gt;"",if(B76&gt;C76,if(B76&lt;60,1,2),""),"")</f>
        <v/>
      </c>
      <c r="I76" s="12">
        <f>if($A76&lt;&gt;"",if(C76&gt;B76,if(C76&lt;60,1,2),""),"")</f>
        <v/>
      </c>
      <c r="J76" s="9">
        <f>if($A76&lt;&gt;"",J75+H76,"")</f>
        <v/>
      </c>
      <c r="K76" s="9">
        <f>if($A76&lt;&gt;"",K75+I76,"")</f>
        <v/>
      </c>
      <c r="L76" s="11">
        <f>IF($A76&lt;&gt;"",IF(K76-J76=0,"tie",IF(K76-J76&gt;0,"+"&amp;K76-J76,"+"&amp;J76-K76)),"")</f>
        <v/>
      </c>
      <c r="M76" s="17" t="n"/>
      <c r="N76" s="17" t="n"/>
      <c r="O76" s="17" t="n"/>
      <c r="P76" s="17" t="n"/>
      <c r="Q76" s="17" t="n"/>
      <c r="R76" s="17" t="n"/>
      <c r="S76" s="17" t="n"/>
    </row>
    <row r="77">
      <c r="A77" s="15" t="n">
        <v>42075</v>
      </c>
      <c r="B77" s="10" t="n">
        <v>30</v>
      </c>
      <c r="C77" s="9" t="n">
        <v>25</v>
      </c>
      <c r="D77" s="17" t="inlineStr">
        <is>
          <t>Counter, MDR</t>
        </is>
      </c>
      <c r="E77" s="10">
        <f>if($A77&lt;&gt;"",E76+B77,"")</f>
        <v/>
      </c>
      <c r="F77" s="9">
        <f>if($A77&lt;&gt;"",F76+C77,"")</f>
        <v/>
      </c>
      <c r="G77" s="11">
        <f>IF($A77&lt;&gt;"",IF(F77-E77=0,"tie",IF(F77-E77&gt;0,"+"&amp;F77-E77,"+"&amp;E77-F77)),"")</f>
        <v/>
      </c>
      <c r="H77" s="12">
        <f>if($A77&lt;&gt;"",if(B77&gt;C77,if(B77&lt;60,1,2),""),"")</f>
        <v/>
      </c>
      <c r="I77" s="12">
        <f>if($A77&lt;&gt;"",if(C77&gt;B77,if(C77&lt;60,1,2),""),"")</f>
        <v/>
      </c>
      <c r="J77" s="9">
        <f>if($A77&lt;&gt;"",J76+H77,"")</f>
        <v/>
      </c>
      <c r="K77" s="9">
        <f>if($A77&lt;&gt;"",K76+I77,"")</f>
        <v/>
      </c>
      <c r="L77" s="11">
        <f>IF($A77&lt;&gt;"",IF(K77-J77=0,"tie",IF(K77-J77&gt;0,"+"&amp;K77-J77,"+"&amp;J77-K77)),"")</f>
        <v/>
      </c>
      <c r="M77" s="17" t="n"/>
      <c r="N77" s="17" t="n"/>
      <c r="O77" s="17" t="n"/>
      <c r="P77" s="17" t="n"/>
      <c r="Q77" s="17" t="n"/>
      <c r="R77" s="17" t="n"/>
      <c r="S77" s="17" t="n"/>
    </row>
    <row r="78">
      <c r="A78" s="15" t="n">
        <v>42075</v>
      </c>
      <c r="B78" s="10" t="n">
        <v>30</v>
      </c>
      <c r="C78" s="9" t="n">
        <v>25</v>
      </c>
      <c r="D78" s="17" t="inlineStr">
        <is>
          <t>Superba Bread &amp; Food, Venice</t>
        </is>
      </c>
      <c r="E78" s="10">
        <f>if($A78&lt;&gt;"",E77+B78,"")</f>
        <v/>
      </c>
      <c r="F78" s="9">
        <f>if($A78&lt;&gt;"",F77+C78,"")</f>
        <v/>
      </c>
      <c r="G78" s="11">
        <f>IF($A78&lt;&gt;"",IF(F78-E78=0,"tie",IF(F78-E78&gt;0,"+"&amp;F78-E78,"+"&amp;E78-F78)),"")</f>
        <v/>
      </c>
      <c r="H78" s="12">
        <f>if($A78&lt;&gt;"",if(B78&gt;C78,if(B78&lt;60,1,2),""),"")</f>
        <v/>
      </c>
      <c r="I78" s="12">
        <f>if($A78&lt;&gt;"",if(C78&gt;B78,if(C78&lt;60,1,2),""),"")</f>
        <v/>
      </c>
      <c r="J78" s="9">
        <f>if($A78&lt;&gt;"",J77+H78,"")</f>
        <v/>
      </c>
      <c r="K78" s="9">
        <f>if($A78&lt;&gt;"",K77+I78,"")</f>
        <v/>
      </c>
      <c r="L78" s="11">
        <f>IF($A78&lt;&gt;"",IF(K78-J78=0,"tie",IF(K78-J78&gt;0,"+"&amp;K78-J78,"+"&amp;J78-K78)),"")</f>
        <v/>
      </c>
      <c r="M78" s="17" t="n"/>
      <c r="N78" s="17" t="n"/>
      <c r="O78" s="17" t="n"/>
      <c r="P78" s="17" t="n"/>
      <c r="Q78" s="17" t="n"/>
      <c r="R78" s="17" t="n"/>
      <c r="S78" s="17" t="n"/>
    </row>
    <row r="79">
      <c r="A79" s="15" t="n">
        <v>42086</v>
      </c>
      <c r="B79" s="9" t="n">
        <v>25</v>
      </c>
      <c r="C79" s="10" t="n">
        <v>30</v>
      </c>
      <c r="D79" s="17" t="inlineStr">
        <is>
          <t>Café 50's, Venice</t>
        </is>
      </c>
      <c r="E79" s="10">
        <f>if($A79&lt;&gt;"",E78+B79,"")</f>
        <v/>
      </c>
      <c r="F79" s="9">
        <f>if($A79&lt;&gt;"",F78+C79,"")</f>
        <v/>
      </c>
      <c r="G79" s="11">
        <f>IF($A79&lt;&gt;"",IF(F79-E79=0,"tie",IF(F79-E79&gt;0,"+"&amp;F79-E79,"+"&amp;E79-F79)),"")</f>
        <v/>
      </c>
      <c r="H79" s="12">
        <f>if($A79&lt;&gt;"",if(B79&gt;C79,if(B79&lt;60,1,2),""),"")</f>
        <v/>
      </c>
      <c r="I79" s="12">
        <f>if($A79&lt;&gt;"",if(C79&gt;B79,if(C79&lt;60,1,2),""),"")</f>
        <v/>
      </c>
      <c r="J79" s="9">
        <f>if($A79&lt;&gt;"",J78+H79,"")</f>
        <v/>
      </c>
      <c r="K79" s="9">
        <f>if($A79&lt;&gt;"",K78+I79,"")</f>
        <v/>
      </c>
      <c r="L79" s="11">
        <f>IF($A79&lt;&gt;"",IF(K79-J79=0,"tie",IF(K79-J79&gt;0,"+"&amp;K79-J79,"+"&amp;J79-K79)),"")</f>
        <v/>
      </c>
      <c r="M79" s="17" t="n"/>
      <c r="N79" s="17" t="n"/>
      <c r="O79" s="17" t="n"/>
      <c r="P79" s="17" t="n"/>
      <c r="Q79" s="17" t="n"/>
      <c r="R79" s="17" t="n"/>
      <c r="S79" s="17" t="n"/>
    </row>
    <row r="80">
      <c r="A80" s="15" t="n">
        <v>42087</v>
      </c>
      <c r="B80" s="9" t="n">
        <v>25</v>
      </c>
      <c r="C80" s="10" t="n">
        <v>30</v>
      </c>
      <c r="D80" s="17" t="inlineStr">
        <is>
          <t>J Nichols, MDR</t>
        </is>
      </c>
      <c r="E80" s="10">
        <f>if($A80&lt;&gt;"",E79+B80,"")</f>
        <v/>
      </c>
      <c r="F80" s="9">
        <f>if($A80&lt;&gt;"",F79+C80,"")</f>
        <v/>
      </c>
      <c r="G80" s="11">
        <f>IF($A80&lt;&gt;"",IF(F80-E80=0,"tie",IF(F80-E80&gt;0,"+"&amp;F80-E80,"+"&amp;E80-F80)),"")</f>
        <v/>
      </c>
      <c r="H80" s="12">
        <f>if($A80&lt;&gt;"",if(B80&gt;C80,if(B80&lt;60,1,2),""),"")</f>
        <v/>
      </c>
      <c r="I80" s="12">
        <f>if($A80&lt;&gt;"",if(C80&gt;B80,if(C80&lt;60,1,2),""),"")</f>
        <v/>
      </c>
      <c r="J80" s="9">
        <f>if($A80&lt;&gt;"",J79+H80,"")</f>
        <v/>
      </c>
      <c r="K80" s="9">
        <f>if($A80&lt;&gt;"",K79+I80,"")</f>
        <v/>
      </c>
      <c r="L80" s="11">
        <f>IF($A80&lt;&gt;"",IF(K80-J80=0,"tie",IF(K80-J80&gt;0,"+"&amp;K80-J80,"+"&amp;J80-K80)),"")</f>
        <v/>
      </c>
      <c r="M80" s="17" t="n"/>
      <c r="N80" s="17" t="n"/>
      <c r="O80" s="17" t="n"/>
      <c r="P80" s="17" t="n"/>
      <c r="Q80" s="17" t="n"/>
      <c r="R80" s="17" t="n"/>
      <c r="S80" s="17" t="n"/>
    </row>
    <row r="81">
      <c r="A81" s="15" t="n">
        <v>42090</v>
      </c>
      <c r="B81" s="10" t="n">
        <v>30</v>
      </c>
      <c r="C81" s="9" t="n">
        <v>25</v>
      </c>
      <c r="D81" s="17" t="inlineStr">
        <is>
          <t>Clutch, Venice</t>
        </is>
      </c>
      <c r="E81" s="10">
        <f>if($A81&lt;&gt;"",E80+B81,"")</f>
        <v/>
      </c>
      <c r="F81" s="9">
        <f>if($A81&lt;&gt;"",F80+C81,"")</f>
        <v/>
      </c>
      <c r="G81" s="11">
        <f>IF($A81&lt;&gt;"",IF(F81-E81=0,"tie",IF(F81-E81&gt;0,"+"&amp;F81-E81,"+"&amp;E81-F81)),"")</f>
        <v/>
      </c>
      <c r="H81" s="12">
        <f>if($A81&lt;&gt;"",if(B81&gt;C81,if(B81&lt;60,1,2),""),"")</f>
        <v/>
      </c>
      <c r="I81" s="12">
        <f>if($A81&lt;&gt;"",if(C81&gt;B81,if(C81&lt;60,1,2),""),"")</f>
        <v/>
      </c>
      <c r="J81" s="9">
        <f>if($A81&lt;&gt;"",J80+H81,"")</f>
        <v/>
      </c>
      <c r="K81" s="9">
        <f>if($A81&lt;&gt;"",K80+I81,"")</f>
        <v/>
      </c>
      <c r="L81" s="11">
        <f>IF($A81&lt;&gt;"",IF(K81-J81=0,"tie",IF(K81-J81&gt;0,"+"&amp;K81-J81,"+"&amp;J81-K81)),"")</f>
        <v/>
      </c>
      <c r="M81" s="17" t="n"/>
      <c r="N81" s="17" t="n"/>
      <c r="O81" s="17" t="n"/>
      <c r="P81" s="17" t="n"/>
      <c r="Q81" s="17" t="n"/>
      <c r="R81" s="17" t="n"/>
      <c r="S81" s="17" t="n"/>
    </row>
    <row r="82">
      <c r="A82" s="15" t="n">
        <v>42092</v>
      </c>
      <c r="B82" s="9" t="n">
        <v>25</v>
      </c>
      <c r="C82" s="10" t="n">
        <v>30</v>
      </c>
      <c r="D82" s="17" t="inlineStr">
        <is>
          <t>Pann's</t>
        </is>
      </c>
      <c r="E82" s="10">
        <f>if($A82&lt;&gt;"",E81+B82,"")</f>
        <v/>
      </c>
      <c r="F82" s="9">
        <f>if($A82&lt;&gt;"",F81+C82,"")</f>
        <v/>
      </c>
      <c r="G82" s="11">
        <f>IF($A82&lt;&gt;"",IF(F82-E82=0,"tie",IF(F82-E82&gt;0,"+"&amp;F82-E82,"+"&amp;E82-F82)),"")</f>
        <v/>
      </c>
      <c r="H82" s="12">
        <f>if($A82&lt;&gt;"",if(B82&gt;C82,if(B82&lt;60,1,2),""),"")</f>
        <v/>
      </c>
      <c r="I82" s="12">
        <f>if($A82&lt;&gt;"",if(C82&gt;B82,if(C82&lt;60,1,2),""),"")</f>
        <v/>
      </c>
      <c r="J82" s="9">
        <f>if($A82&lt;&gt;"",J81+H82,"")</f>
        <v/>
      </c>
      <c r="K82" s="9">
        <f>if($A82&lt;&gt;"",K81+I82,"")</f>
        <v/>
      </c>
      <c r="L82" s="11">
        <f>IF($A82&lt;&gt;"",IF(K82-J82=0,"tie",IF(K82-J82&gt;0,"+"&amp;K82-J82,"+"&amp;J82-K82)),"")</f>
        <v/>
      </c>
      <c r="M82" s="17" t="n"/>
      <c r="N82" s="17" t="n"/>
      <c r="O82" s="17" t="n"/>
      <c r="P82" s="17" t="n"/>
      <c r="Q82" s="17" t="n"/>
      <c r="R82" s="17" t="n"/>
      <c r="S82" s="17" t="n"/>
    </row>
    <row r="83">
      <c r="A83" s="15" t="n">
        <v>42097</v>
      </c>
      <c r="B83" s="10" t="n">
        <v>30</v>
      </c>
      <c r="C83" s="9" t="n">
        <v>25</v>
      </c>
      <c r="D83" s="17" t="inlineStr">
        <is>
          <t>Terrace Café, Marina Del Rey</t>
        </is>
      </c>
      <c r="E83" s="10">
        <f>if($A83&lt;&gt;"",E82+B83,"")</f>
        <v/>
      </c>
      <c r="F83" s="9">
        <f>if($A83&lt;&gt;"",F82+C83,"")</f>
        <v/>
      </c>
      <c r="G83" s="11">
        <f>IF($A83&lt;&gt;"",IF(F83-E83=0,"tie",IF(F83-E83&gt;0,"+"&amp;F83-E83,"+"&amp;E83-F83)),"")</f>
        <v/>
      </c>
      <c r="H83" s="12">
        <f>if($A83&lt;&gt;"",if(B83&gt;C83,if(B83&lt;60,1,2),""),"")</f>
        <v/>
      </c>
      <c r="I83" s="12">
        <f>if($A83&lt;&gt;"",if(C83&gt;B83,if(C83&lt;60,1,2),""),"")</f>
        <v/>
      </c>
      <c r="J83" s="9">
        <f>if($A83&lt;&gt;"",J82+H83,"")</f>
        <v/>
      </c>
      <c r="K83" s="9">
        <f>if($A83&lt;&gt;"",K82+I83,"")</f>
        <v/>
      </c>
      <c r="L83" s="11">
        <f>IF($A83&lt;&gt;"",IF(K83-J83=0,"tie",IF(K83-J83&gt;0,"+"&amp;K83-J83,"+"&amp;J83-K83)),"")</f>
        <v/>
      </c>
      <c r="M83" s="17" t="n"/>
      <c r="N83" s="17" t="n"/>
      <c r="O83" s="17" t="n"/>
      <c r="P83" s="17" t="n"/>
      <c r="Q83" s="17" t="n"/>
      <c r="R83" s="17" t="n"/>
      <c r="S83" s="17" t="n"/>
    </row>
    <row r="84">
      <c r="A84" s="15" t="n">
        <v>42099</v>
      </c>
      <c r="B84" s="10" t="n">
        <v>30</v>
      </c>
      <c r="C84" s="9" t="n">
        <v>25</v>
      </c>
      <c r="D84" s="17" t="inlineStr">
        <is>
          <t>Waterfront Grill, Santa Monica on Easter Sunday</t>
        </is>
      </c>
      <c r="E84" s="10">
        <f>if($A84&lt;&gt;"",E83+B84,"")</f>
        <v/>
      </c>
      <c r="F84" s="9">
        <f>if($A84&lt;&gt;"",F83+C84,"")</f>
        <v/>
      </c>
      <c r="G84" s="11">
        <f>IF($A84&lt;&gt;"",IF(F84-E84=0,"tie",IF(F84-E84&gt;0,"+"&amp;F84-E84,"+"&amp;E84-F84)),"")</f>
        <v/>
      </c>
      <c r="H84" s="12">
        <f>if($A84&lt;&gt;"",if(B84&gt;C84,if(B84&lt;60,1,2),""),"")</f>
        <v/>
      </c>
      <c r="I84" s="12">
        <f>if($A84&lt;&gt;"",if(C84&gt;B84,if(C84&lt;60,1,2),""),"")</f>
        <v/>
      </c>
      <c r="J84" s="9">
        <f>if($A84&lt;&gt;"",J83+H84,"")</f>
        <v/>
      </c>
      <c r="K84" s="9">
        <f>if($A84&lt;&gt;"",K83+I84,"")</f>
        <v/>
      </c>
      <c r="L84" s="11">
        <f>IF($A84&lt;&gt;"",IF(K84-J84=0,"tie",IF(K84-J84&gt;0,"+"&amp;K84-J84,"+"&amp;J84-K84)),"")</f>
        <v/>
      </c>
      <c r="M84" s="17" t="n"/>
      <c r="N84" s="17" t="n"/>
      <c r="O84" s="17" t="n"/>
      <c r="P84" s="17" t="n"/>
      <c r="Q84" s="17" t="n"/>
      <c r="R84" s="17" t="n"/>
      <c r="S84" s="17" t="n"/>
    </row>
    <row r="85">
      <c r="A85" s="15" t="n">
        <v>42111</v>
      </c>
      <c r="B85" s="10" t="n">
        <v>30</v>
      </c>
      <c r="C85" s="9" t="n">
        <v>25</v>
      </c>
      <c r="D85" s="17" t="inlineStr">
        <is>
          <t>Watergrill, Santa Monica</t>
        </is>
      </c>
      <c r="E85" s="10">
        <f>if($A85&lt;&gt;"",E84+B85,"")</f>
        <v/>
      </c>
      <c r="F85" s="9">
        <f>if($A85&lt;&gt;"",F84+C85,"")</f>
        <v/>
      </c>
      <c r="G85" s="11">
        <f>IF($A85&lt;&gt;"",IF(F85-E85=0,"tie",IF(F85-E85&gt;0,"+"&amp;F85-E85,"+"&amp;E85-F85)),"")</f>
        <v/>
      </c>
      <c r="H85" s="12">
        <f>if($A85&lt;&gt;"",if(B85&gt;C85,if(B85&lt;60,1,2),""),"")</f>
        <v/>
      </c>
      <c r="I85" s="12">
        <f>if($A85&lt;&gt;"",if(C85&gt;B85,if(C85&lt;60,1,2),""),"")</f>
        <v/>
      </c>
      <c r="J85" s="9">
        <f>if($A85&lt;&gt;"",J84+H85,"")</f>
        <v/>
      </c>
      <c r="K85" s="9">
        <f>if($A85&lt;&gt;"",K84+I85,"")</f>
        <v/>
      </c>
      <c r="L85" s="11">
        <f>IF($A85&lt;&gt;"",IF(K85-J85=0,"tie",IF(K85-J85&gt;0,"+"&amp;K85-J85,"+"&amp;J85-K85)),"")</f>
        <v/>
      </c>
      <c r="M85" s="17" t="n"/>
      <c r="N85" s="17" t="n"/>
      <c r="O85" s="17" t="n"/>
      <c r="P85" s="17" t="n"/>
      <c r="Q85" s="17" t="n"/>
      <c r="R85" s="17" t="n"/>
      <c r="S85" s="17" t="n"/>
    </row>
    <row r="86">
      <c r="A86" s="15" t="n">
        <v>42112</v>
      </c>
      <c r="B86" s="9" t="n">
        <v>25</v>
      </c>
      <c r="C86" s="10" t="n">
        <v>30</v>
      </c>
      <c r="D86" s="17" t="inlineStr">
        <is>
          <t>The Kettle, Manhattan Beach</t>
        </is>
      </c>
      <c r="E86" s="10">
        <f>if($A86&lt;&gt;"",E85+B86,"")</f>
        <v/>
      </c>
      <c r="F86" s="9">
        <f>if($A86&lt;&gt;"",F85+C86,"")</f>
        <v/>
      </c>
      <c r="G86" s="11">
        <f>IF($A86&lt;&gt;"",IF(F86-E86=0,"tie",IF(F86-E86&gt;0,"+"&amp;F86-E86,"+"&amp;E86-F86)),"")</f>
        <v/>
      </c>
      <c r="H86" s="12">
        <f>if($A86&lt;&gt;"",if(B86&gt;C86,if(B86&lt;60,1,2),""),"")</f>
        <v/>
      </c>
      <c r="I86" s="12">
        <f>if($A86&lt;&gt;"",if(C86&gt;B86,if(C86&lt;60,1,2),""),"")</f>
        <v/>
      </c>
      <c r="J86" s="9">
        <f>if($A86&lt;&gt;"",J85+H86,"")</f>
        <v/>
      </c>
      <c r="K86" s="9">
        <f>if($A86&lt;&gt;"",K85+I86,"")</f>
        <v/>
      </c>
      <c r="L86" s="11">
        <f>IF($A86&lt;&gt;"",IF(K86-J86=0,"tie",IF(K86-J86&gt;0,"+"&amp;K86-J86,"+"&amp;J86-K86)),"")</f>
        <v/>
      </c>
      <c r="M86" s="17" t="n"/>
      <c r="N86" s="17" t="n"/>
      <c r="O86" s="17" t="n"/>
      <c r="P86" s="17" t="n"/>
      <c r="Q86" s="17" t="n"/>
      <c r="R86" s="17" t="n"/>
      <c r="S86" s="17" t="n"/>
    </row>
    <row r="87">
      <c r="A87" s="15" t="n">
        <v>42114</v>
      </c>
      <c r="B87" s="9" t="n">
        <v>25</v>
      </c>
      <c r="C87" s="10" t="n">
        <v>30</v>
      </c>
      <c r="D87" s="17" t="inlineStr">
        <is>
          <t>Café 50's, Venice</t>
        </is>
      </c>
      <c r="E87" s="10">
        <f>if($A87&lt;&gt;"",E86+B87,"")</f>
        <v/>
      </c>
      <c r="F87" s="9">
        <f>if($A87&lt;&gt;"",F86+C87,"")</f>
        <v/>
      </c>
      <c r="G87" s="11">
        <f>IF($A87&lt;&gt;"",IF(F87-E87=0,"tie",IF(F87-E87&gt;0,"+"&amp;F87-E87,"+"&amp;E87-F87)),"")</f>
        <v/>
      </c>
      <c r="H87" s="12">
        <f>if($A87&lt;&gt;"",if(B87&gt;C87,if(B87&lt;60,1,2),""),"")</f>
        <v/>
      </c>
      <c r="I87" s="12">
        <f>if($A87&lt;&gt;"",if(C87&gt;B87,if(C87&lt;60,1,2),""),"")</f>
        <v/>
      </c>
      <c r="J87" s="9">
        <f>if($A87&lt;&gt;"",J86+H87,"")</f>
        <v/>
      </c>
      <c r="K87" s="9">
        <f>if($A87&lt;&gt;"",K86+I87,"")</f>
        <v/>
      </c>
      <c r="L87" s="11">
        <f>IF($A87&lt;&gt;"",IF(K87-J87=0,"tie",IF(K87-J87&gt;0,"+"&amp;K87-J87,"+"&amp;J87-K87)),"")</f>
        <v/>
      </c>
      <c r="M87" s="17" t="n"/>
      <c r="N87" s="17" t="n"/>
      <c r="O87" s="17" t="n"/>
      <c r="P87" s="17" t="n"/>
      <c r="Q87" s="17" t="n"/>
      <c r="R87" s="17" t="n"/>
      <c r="S87" s="17" t="n"/>
    </row>
    <row r="88">
      <c r="A88" s="15" t="n">
        <v>42119</v>
      </c>
      <c r="B88" s="10" t="n">
        <v>30</v>
      </c>
      <c r="C88" s="9" t="n">
        <v>25</v>
      </c>
      <c r="D88" s="17" t="inlineStr">
        <is>
          <t>Lost On Hwy 111, Palm Desert</t>
        </is>
      </c>
      <c r="E88" s="10">
        <f>if($A88&lt;&gt;"",E87+B88,"")</f>
        <v/>
      </c>
      <c r="F88" s="9">
        <f>if($A88&lt;&gt;"",F87+C88,"")</f>
        <v/>
      </c>
      <c r="G88" s="11">
        <f>IF($A88&lt;&gt;"",IF(F88-E88=0,"tie",IF(F88-E88&gt;0,"+"&amp;F88-E88,"+"&amp;E88-F88)),"")</f>
        <v/>
      </c>
      <c r="H88" s="12">
        <f>if($A88&lt;&gt;"",if(B88&gt;C88,if(B88&lt;60,1,2),""),"")</f>
        <v/>
      </c>
      <c r="I88" s="12">
        <f>if($A88&lt;&gt;"",if(C88&gt;B88,if(C88&lt;60,1,2),""),"")</f>
        <v/>
      </c>
      <c r="J88" s="9">
        <f>if($A88&lt;&gt;"",J87+H88,"")</f>
        <v/>
      </c>
      <c r="K88" s="9">
        <f>if($A88&lt;&gt;"",K87+I88,"")</f>
        <v/>
      </c>
      <c r="L88" s="11">
        <f>IF($A88&lt;&gt;"",IF(K88-J88=0,"tie",IF(K88-J88&gt;0,"+"&amp;K88-J88,"+"&amp;J88-K88)),"")</f>
        <v/>
      </c>
      <c r="M88" s="17" t="n"/>
      <c r="N88" s="17" t="n"/>
      <c r="O88" s="17" t="n"/>
      <c r="P88" s="17" t="n"/>
      <c r="Q88" s="17" t="n"/>
      <c r="R88" s="17" t="n"/>
      <c r="S88" s="17" t="n"/>
    </row>
    <row r="89">
      <c r="A89" s="15" t="n">
        <v>42120</v>
      </c>
      <c r="B89" s="9" t="n">
        <v>25</v>
      </c>
      <c r="C89" s="10" t="n">
        <v>30</v>
      </c>
      <c r="D89" s="17" t="inlineStr">
        <is>
          <t>Bob's Big Boy, Calimesa</t>
        </is>
      </c>
      <c r="E89" s="10">
        <f>if($A89&lt;&gt;"",E88+B89,"")</f>
        <v/>
      </c>
      <c r="F89" s="9">
        <f>if($A89&lt;&gt;"",F88+C89,"")</f>
        <v/>
      </c>
      <c r="G89" s="11">
        <f>IF($A89&lt;&gt;"",IF(F89-E89=0,"tie",IF(F89-E89&gt;0,"+"&amp;F89-E89,"+"&amp;E89-F89)),"")</f>
        <v/>
      </c>
      <c r="H89" s="12">
        <f>if($A89&lt;&gt;"",if(B89&gt;C89,if(B89&lt;60,1,2),""),"")</f>
        <v/>
      </c>
      <c r="I89" s="12">
        <f>if($A89&lt;&gt;"",if(C89&gt;B89,if(C89&lt;60,1,2),""),"")</f>
        <v/>
      </c>
      <c r="J89" s="9">
        <f>if($A89&lt;&gt;"",J88+H89,"")</f>
        <v/>
      </c>
      <c r="K89" s="9">
        <f>if($A89&lt;&gt;"",K88+I89,"")</f>
        <v/>
      </c>
      <c r="L89" s="11">
        <f>IF($A89&lt;&gt;"",IF(K89-J89=0,"tie",IF(K89-J89&gt;0,"+"&amp;K89-J89,"+"&amp;J89-K89)),"")</f>
        <v/>
      </c>
      <c r="M89" s="17" t="n"/>
      <c r="N89" s="17" t="n"/>
      <c r="O89" s="17" t="n"/>
      <c r="P89" s="17" t="n"/>
      <c r="Q89" s="17" t="n"/>
      <c r="R89" s="17" t="n"/>
      <c r="S89" s="17" t="n"/>
    </row>
    <row r="90">
      <c r="A90" s="15" t="n">
        <v>42122</v>
      </c>
      <c r="B90" s="9" t="n">
        <v>25</v>
      </c>
      <c r="C90" s="10" t="n">
        <v>30</v>
      </c>
      <c r="D90" s="17" t="inlineStr">
        <is>
          <t>Centanni, Venice</t>
        </is>
      </c>
      <c r="E90" s="10">
        <f>if($A90&lt;&gt;"",E89+B90,"")</f>
        <v/>
      </c>
      <c r="F90" s="9">
        <f>if($A90&lt;&gt;"",F89+C90,"")</f>
        <v/>
      </c>
      <c r="G90" s="11">
        <f>IF($A90&lt;&gt;"",IF(F90-E90=0,"tie",IF(F90-E90&gt;0,"+"&amp;F90-E90,"+"&amp;E90-F90)),"")</f>
        <v/>
      </c>
      <c r="H90" s="12">
        <f>if($A90&lt;&gt;"",if(B90&gt;C90,if(B90&lt;60,1,2),""),"")</f>
        <v/>
      </c>
      <c r="I90" s="12">
        <f>if($A90&lt;&gt;"",if(C90&gt;B90,if(C90&lt;60,1,2),""),"")</f>
        <v/>
      </c>
      <c r="J90" s="9">
        <f>if($A90&lt;&gt;"",J89+H90,"")</f>
        <v/>
      </c>
      <c r="K90" s="9">
        <f>if($A90&lt;&gt;"",K89+I90,"")</f>
        <v/>
      </c>
      <c r="L90" s="11">
        <f>IF($A90&lt;&gt;"",IF(K90-J90=0,"tie",IF(K90-J90&gt;0,"+"&amp;K90-J90,"+"&amp;J90-K90)),"")</f>
        <v/>
      </c>
      <c r="M90" s="17" t="n"/>
      <c r="N90" s="17" t="n"/>
      <c r="O90" s="17" t="n"/>
      <c r="P90" s="17" t="n"/>
      <c r="Q90" s="17" t="n"/>
      <c r="R90" s="17" t="n"/>
      <c r="S90" s="17" t="n"/>
    </row>
    <row r="91">
      <c r="A91" s="15" t="n">
        <v>42131</v>
      </c>
      <c r="B91" s="10" t="n">
        <v>30</v>
      </c>
      <c r="C91" s="9" t="n">
        <v>25</v>
      </c>
      <c r="D91" s="17" t="inlineStr">
        <is>
          <t>Killer Shrimp Cafe, MDR</t>
        </is>
      </c>
      <c r="E91" s="10">
        <f>if($A91&lt;&gt;"",E90+B91,"")</f>
        <v/>
      </c>
      <c r="F91" s="9">
        <f>if($A91&lt;&gt;"",F90+C91,"")</f>
        <v/>
      </c>
      <c r="G91" s="11">
        <f>IF($A91&lt;&gt;"",IF(F91-E91=0,"tie",IF(F91-E91&gt;0,"+"&amp;F91-E91,"+"&amp;E91-F91)),"")</f>
        <v/>
      </c>
      <c r="H91" s="12">
        <f>if($A91&lt;&gt;"",if(B91&gt;C91,if(B91&lt;60,1,2),""),"")</f>
        <v/>
      </c>
      <c r="I91" s="12">
        <f>if($A91&lt;&gt;"",if(C91&gt;B91,if(C91&lt;60,1,2),""),"")</f>
        <v/>
      </c>
      <c r="J91" s="9">
        <f>if($A91&lt;&gt;"",J90+H91,"")</f>
        <v/>
      </c>
      <c r="K91" s="9">
        <f>if($A91&lt;&gt;"",K90+I91,"")</f>
        <v/>
      </c>
      <c r="L91" s="11">
        <f>IF($A91&lt;&gt;"",IF(K91-J91=0,"tie",IF(K91-J91&gt;0,"+"&amp;K91-J91,"+"&amp;J91-K91)),"")</f>
        <v/>
      </c>
      <c r="M91" s="17" t="n"/>
      <c r="N91" s="17" t="n"/>
      <c r="O91" s="17" t="n"/>
      <c r="P91" s="17" t="n"/>
      <c r="Q91" s="17" t="n"/>
      <c r="R91" s="17" t="n"/>
      <c r="S91" s="17" t="n"/>
    </row>
    <row r="92">
      <c r="A92" s="15" t="n">
        <v>42133</v>
      </c>
      <c r="B92" s="9" t="n">
        <v>25</v>
      </c>
      <c r="C92" s="10" t="n">
        <v>30</v>
      </c>
      <c r="D92" s="17" t="inlineStr">
        <is>
          <t>Café 50's, Venice</t>
        </is>
      </c>
      <c r="E92" s="10">
        <f>if($A92&lt;&gt;"",E91+B92,"")</f>
        <v/>
      </c>
      <c r="F92" s="9">
        <f>if($A92&lt;&gt;"",F91+C92,"")</f>
        <v/>
      </c>
      <c r="G92" s="11">
        <f>IF($A92&lt;&gt;"",IF(F92-E92=0,"tie",IF(F92-E92&gt;0,"+"&amp;F92-E92,"+"&amp;E92-F92)),"")</f>
        <v/>
      </c>
      <c r="H92" s="12">
        <f>if($A92&lt;&gt;"",if(B92&gt;C92,if(B92&lt;60,1,2),""),"")</f>
        <v/>
      </c>
      <c r="I92" s="12">
        <f>if($A92&lt;&gt;"",if(C92&gt;B92,if(C92&lt;60,1,2),""),"")</f>
        <v/>
      </c>
      <c r="J92" s="9">
        <f>if($A92&lt;&gt;"",J91+H92,"")</f>
        <v/>
      </c>
      <c r="K92" s="9">
        <f>if($A92&lt;&gt;"",K91+I92,"")</f>
        <v/>
      </c>
      <c r="L92" s="11">
        <f>IF($A92&lt;&gt;"",IF(K92-J92=0,"tie",IF(K92-J92&gt;0,"+"&amp;K92-J92,"+"&amp;J92-K92)),"")</f>
        <v/>
      </c>
      <c r="M92" s="17" t="n"/>
      <c r="N92" s="17" t="n"/>
      <c r="O92" s="17" t="n"/>
      <c r="P92" s="17" t="n"/>
      <c r="Q92" s="17" t="n"/>
      <c r="R92" s="17" t="n"/>
      <c r="S92" s="17" t="n"/>
    </row>
    <row r="93">
      <c r="A93" s="15" t="n">
        <v>42134</v>
      </c>
      <c r="B93" s="9" t="n">
        <v>25</v>
      </c>
      <c r="C93" s="10" t="n">
        <v>30</v>
      </c>
      <c r="D93" s="17" t="inlineStr">
        <is>
          <t>Preston Way</t>
        </is>
      </c>
      <c r="E93" s="10">
        <f>if($A93&lt;&gt;"",E92+B93,"")</f>
        <v/>
      </c>
      <c r="F93" s="9">
        <f>if($A93&lt;&gt;"",F92+C93,"")</f>
        <v/>
      </c>
      <c r="G93" s="11">
        <f>IF($A93&lt;&gt;"",IF(F93-E93=0,"tie",IF(F93-E93&gt;0,"+"&amp;F93-E93,"+"&amp;E93-F93)),"")</f>
        <v/>
      </c>
      <c r="H93" s="12">
        <f>if($A93&lt;&gt;"",if(B93&gt;C93,if(B93&lt;60,1,2),""),"")</f>
        <v/>
      </c>
      <c r="I93" s="12">
        <f>if($A93&lt;&gt;"",if(C93&gt;B93,if(C93&lt;60,1,2),""),"")</f>
        <v/>
      </c>
      <c r="J93" s="9">
        <f>if($A93&lt;&gt;"",J92+H93,"")</f>
        <v/>
      </c>
      <c r="K93" s="9">
        <f>if($A93&lt;&gt;"",K92+I93,"")</f>
        <v/>
      </c>
      <c r="L93" s="11">
        <f>IF($A93&lt;&gt;"",IF(K93-J93=0,"tie",IF(K93-J93&gt;0,"+"&amp;K93-J93,"+"&amp;J93-K93)),"")</f>
        <v/>
      </c>
      <c r="M93" s="17" t="n"/>
      <c r="N93" s="17" t="n"/>
      <c r="O93" s="17" t="n"/>
      <c r="P93" s="17" t="n"/>
      <c r="Q93" s="17" t="n"/>
      <c r="R93" s="17" t="n"/>
      <c r="S93" s="17" t="n"/>
    </row>
    <row r="94">
      <c r="A94" s="15" t="n">
        <v>42136</v>
      </c>
      <c r="B94" s="9" t="n">
        <v>25</v>
      </c>
      <c r="C94" s="10" t="n">
        <v>30</v>
      </c>
      <c r="D94" s="17" t="inlineStr">
        <is>
          <t>Bossa Nova, WLA</t>
        </is>
      </c>
      <c r="E94" s="10">
        <f>if($A94&lt;&gt;"",E93+B94,"")</f>
        <v/>
      </c>
      <c r="F94" s="9">
        <f>if($A94&lt;&gt;"",F93+C94,"")</f>
        <v/>
      </c>
      <c r="G94" s="11">
        <f>IF($A94&lt;&gt;"",IF(F94-E94=0,"tie",IF(F94-E94&gt;0,"+"&amp;F94-E94,"+"&amp;E94-F94)),"")</f>
        <v/>
      </c>
      <c r="H94" s="12">
        <f>if($A94&lt;&gt;"",if(B94&gt;C94,if(B94&lt;60,1,2),""),"")</f>
        <v/>
      </c>
      <c r="I94" s="12">
        <f>if($A94&lt;&gt;"",if(C94&gt;B94,if(C94&lt;60,1,2),""),"")</f>
        <v/>
      </c>
      <c r="J94" s="9">
        <f>if($A94&lt;&gt;"",J93+H94,"")</f>
        <v/>
      </c>
      <c r="K94" s="9">
        <f>if($A94&lt;&gt;"",K93+I94,"")</f>
        <v/>
      </c>
      <c r="L94" s="11">
        <f>IF($A94&lt;&gt;"",IF(K94-J94=0,"tie",IF(K94-J94&gt;0,"+"&amp;K94-J94,"+"&amp;J94-K94)),"")</f>
        <v/>
      </c>
      <c r="M94" s="17" t="n"/>
      <c r="N94" s="17" t="n"/>
      <c r="O94" s="17" t="n"/>
      <c r="P94" s="17" t="n"/>
      <c r="Q94" s="17" t="n"/>
      <c r="R94" s="17" t="n"/>
      <c r="S94" s="17" t="n"/>
    </row>
    <row r="95">
      <c r="A95" s="15" t="n">
        <v>42138</v>
      </c>
      <c r="B95" s="9" t="n">
        <v>25</v>
      </c>
      <c r="C95" s="10" t="n">
        <v>30</v>
      </c>
      <c r="D95" s="17" t="inlineStr">
        <is>
          <t>Preston Way</t>
        </is>
      </c>
      <c r="E95" s="10">
        <f>if($A95&lt;&gt;"",E94+B95,"")</f>
        <v/>
      </c>
      <c r="F95" s="9">
        <f>if($A95&lt;&gt;"",F94+C95,"")</f>
        <v/>
      </c>
      <c r="G95" s="11">
        <f>IF($A95&lt;&gt;"",IF(F95-E95=0,"tie",IF(F95-E95&gt;0,"+"&amp;F95-E95,"+"&amp;E95-F95)),"")</f>
        <v/>
      </c>
      <c r="H95" s="12">
        <f>if($A95&lt;&gt;"",if(B95&gt;C95,if(B95&lt;60,1,2),""),"")</f>
        <v/>
      </c>
      <c r="I95" s="12">
        <f>if($A95&lt;&gt;"",if(C95&gt;B95,if(C95&lt;60,1,2),""),"")</f>
        <v/>
      </c>
      <c r="J95" s="9">
        <f>if($A95&lt;&gt;"",J94+H95,"")</f>
        <v/>
      </c>
      <c r="K95" s="9">
        <f>if($A95&lt;&gt;"",K94+I95,"")</f>
        <v/>
      </c>
      <c r="L95" s="11">
        <f>IF($A95&lt;&gt;"",IF(K95-J95=0,"tie",IF(K95-J95&gt;0,"+"&amp;K95-J95,"+"&amp;J95-K95)),"")</f>
        <v/>
      </c>
      <c r="M95" s="17" t="n"/>
      <c r="N95" s="17" t="n"/>
      <c r="O95" s="17" t="n"/>
      <c r="P95" s="17" t="n"/>
      <c r="Q95" s="17" t="n"/>
      <c r="R95" s="17" t="n"/>
      <c r="S95" s="17" t="n"/>
    </row>
    <row r="96">
      <c r="A96" s="15" t="n">
        <v>42140</v>
      </c>
      <c r="B96" s="10" t="n">
        <v>30</v>
      </c>
      <c r="C96" s="9" t="n">
        <v>25</v>
      </c>
      <c r="D96" s="17" t="inlineStr">
        <is>
          <t>The Apricot Tree, Firebaugh, CA</t>
        </is>
      </c>
      <c r="E96" s="10">
        <f>if($A96&lt;&gt;"",E95+B96,"")</f>
        <v/>
      </c>
      <c r="F96" s="9">
        <f>if($A96&lt;&gt;"",F95+C96,"")</f>
        <v/>
      </c>
      <c r="G96" s="11">
        <f>IF($A96&lt;&gt;"",IF(F96-E96=0,"tie",IF(F96-E96&gt;0,"+"&amp;F96-E96,"+"&amp;E96-F96)),"")</f>
        <v/>
      </c>
      <c r="H96" s="12">
        <f>if($A96&lt;&gt;"",if(B96&gt;C96,if(B96&lt;60,1,2),""),"")</f>
        <v/>
      </c>
      <c r="I96" s="12">
        <f>if($A96&lt;&gt;"",if(C96&gt;B96,if(C96&lt;60,1,2),""),"")</f>
        <v/>
      </c>
      <c r="J96" s="9">
        <f>if($A96&lt;&gt;"",J95+H96,"")</f>
        <v/>
      </c>
      <c r="K96" s="9">
        <f>if($A96&lt;&gt;"",K95+I96,"")</f>
        <v/>
      </c>
      <c r="L96" s="11">
        <f>IF($A96&lt;&gt;"",IF(K96-J96=0,"tie",IF(K96-J96&gt;0,"+"&amp;K96-J96,"+"&amp;J96-K96)),"")</f>
        <v/>
      </c>
      <c r="M96" s="17" t="n"/>
      <c r="N96" s="17" t="n"/>
      <c r="O96" s="17" t="n"/>
      <c r="P96" s="17" t="n"/>
      <c r="Q96" s="17" t="n"/>
      <c r="R96" s="17" t="n"/>
      <c r="S96" s="17" t="n"/>
    </row>
    <row r="97">
      <c r="A97" s="15" t="n">
        <v>42141</v>
      </c>
      <c r="B97" s="9" t="n">
        <v>25</v>
      </c>
      <c r="C97" s="10" t="n">
        <v>30</v>
      </c>
      <c r="D97" s="17" t="inlineStr">
        <is>
          <t>Peets, Oakland, CA</t>
        </is>
      </c>
      <c r="E97" s="10">
        <f>if($A97&lt;&gt;"",E96+B97,"")</f>
        <v/>
      </c>
      <c r="F97" s="9">
        <f>if($A97&lt;&gt;"",F96+C97,"")</f>
        <v/>
      </c>
      <c r="G97" s="11">
        <f>IF($A97&lt;&gt;"",IF(F97-E97=0,"tie",IF(F97-E97&gt;0,"+"&amp;F97-E97,"+"&amp;E97-F97)),"")</f>
        <v/>
      </c>
      <c r="H97" s="12">
        <f>if($A97&lt;&gt;"",if(B97&gt;C97,if(B97&lt;60,1,2),""),"")</f>
        <v/>
      </c>
      <c r="I97" s="12">
        <f>if($A97&lt;&gt;"",if(C97&gt;B97,if(C97&lt;60,1,2),""),"")</f>
        <v/>
      </c>
      <c r="J97" s="9">
        <f>if($A97&lt;&gt;"",J96+H97,"")</f>
        <v/>
      </c>
      <c r="K97" s="9">
        <f>if($A97&lt;&gt;"",K96+I97,"")</f>
        <v/>
      </c>
      <c r="L97" s="11">
        <f>IF($A97&lt;&gt;"",IF(K97-J97=0,"tie",IF(K97-J97&gt;0,"+"&amp;K97-J97,"+"&amp;J97-K97)),"")</f>
        <v/>
      </c>
      <c r="M97" s="17" t="n"/>
      <c r="N97" s="17" t="n"/>
      <c r="O97" s="17" t="n"/>
      <c r="P97" s="17" t="n"/>
      <c r="Q97" s="17" t="n"/>
      <c r="R97" s="17" t="n"/>
      <c r="S97" s="17" t="n"/>
    </row>
    <row r="98">
      <c r="A98" s="15" t="n">
        <v>42145</v>
      </c>
      <c r="B98" s="10" t="n">
        <v>30</v>
      </c>
      <c r="C98" s="9" t="n">
        <v>25</v>
      </c>
      <c r="D98" s="17" t="inlineStr">
        <is>
          <t>Preston Way</t>
        </is>
      </c>
      <c r="E98" s="10">
        <f>if($A98&lt;&gt;"",E97+B98,"")</f>
        <v/>
      </c>
      <c r="F98" s="9">
        <f>if($A98&lt;&gt;"",F97+C98,"")</f>
        <v/>
      </c>
      <c r="G98" s="11">
        <f>IF($A98&lt;&gt;"",IF(F98-E98=0,"tie",IF(F98-E98&gt;0,"+"&amp;F98-E98,"+"&amp;E98-F98)),"")</f>
        <v/>
      </c>
      <c r="H98" s="12">
        <f>if($A98&lt;&gt;"",if(B98&gt;C98,if(B98&lt;60,1,2),""),"")</f>
        <v/>
      </c>
      <c r="I98" s="12">
        <f>if($A98&lt;&gt;"",if(C98&gt;B98,if(C98&lt;60,1,2),""),"")</f>
        <v/>
      </c>
      <c r="J98" s="9">
        <f>if($A98&lt;&gt;"",J97+H98,"")</f>
        <v/>
      </c>
      <c r="K98" s="9">
        <f>if($A98&lt;&gt;"",K97+I98,"")</f>
        <v/>
      </c>
      <c r="L98" s="11">
        <f>IF($A98&lt;&gt;"",IF(K98-J98=0,"tie",IF(K98-J98&gt;0,"+"&amp;K98-J98,"+"&amp;J98-K98)),"")</f>
        <v/>
      </c>
      <c r="M98" s="17" t="n"/>
      <c r="N98" s="17" t="n"/>
      <c r="O98" s="17" t="n"/>
      <c r="P98" s="17" t="n"/>
      <c r="Q98" s="17" t="n"/>
      <c r="R98" s="17" t="n"/>
      <c r="S98" s="17" t="n"/>
    </row>
    <row r="99">
      <c r="A99" s="15" t="n">
        <v>42145</v>
      </c>
      <c r="B99" s="9" t="n">
        <v>25</v>
      </c>
      <c r="C99" s="10" t="n">
        <v>30</v>
      </c>
      <c r="D99" s="17" t="inlineStr">
        <is>
          <t>Denny's, Hacienda Heights</t>
        </is>
      </c>
      <c r="E99" s="10">
        <f>if($A99&lt;&gt;"",E98+B99,"")</f>
        <v/>
      </c>
      <c r="F99" s="9">
        <f>if($A99&lt;&gt;"",F98+C99,"")</f>
        <v/>
      </c>
      <c r="G99" s="11">
        <f>IF($A99&lt;&gt;"",IF(F99-E99=0,"tie",IF(F99-E99&gt;0,"+"&amp;F99-E99,"+"&amp;E99-F99)),"")</f>
        <v/>
      </c>
      <c r="H99" s="12">
        <f>if($A99&lt;&gt;"",if(B99&gt;C99,if(B99&lt;60,1,2),""),"")</f>
        <v/>
      </c>
      <c r="I99" s="12">
        <f>if($A99&lt;&gt;"",if(C99&gt;B99,if(C99&lt;60,1,2),""),"")</f>
        <v/>
      </c>
      <c r="J99" s="9">
        <f>if($A99&lt;&gt;"",J98+H99,"")</f>
        <v/>
      </c>
      <c r="K99" s="9">
        <f>if($A99&lt;&gt;"",K98+I99,"")</f>
        <v/>
      </c>
      <c r="L99" s="11">
        <f>IF($A99&lt;&gt;"",IF(K99-J99=0,"tie",IF(K99-J99&gt;0,"+"&amp;K99-J99,"+"&amp;J99-K99)),"")</f>
        <v/>
      </c>
      <c r="M99" s="17" t="n"/>
      <c r="N99" s="17" t="n"/>
      <c r="O99" s="17" t="n"/>
      <c r="P99" s="17" t="n"/>
      <c r="Q99" s="17" t="n"/>
      <c r="R99" s="17" t="n"/>
      <c r="S99" s="17" t="n"/>
    </row>
    <row r="100">
      <c r="A100" s="15" t="n">
        <v>42147</v>
      </c>
      <c r="B100" s="9" t="n">
        <v>25</v>
      </c>
      <c r="C100" s="10" t="n">
        <v>30</v>
      </c>
      <c r="D100" s="17" t="inlineStr">
        <is>
          <t>Dakota Trail</t>
        </is>
      </c>
      <c r="E100" s="10">
        <f>if($A100&lt;&gt;"",E99+B100,"")</f>
        <v/>
      </c>
      <c r="F100" s="9">
        <f>if($A100&lt;&gt;"",F99+C100,"")</f>
        <v/>
      </c>
      <c r="G100" s="11">
        <f>IF($A100&lt;&gt;"",IF(F100-E100=0,"tie",IF(F100-E100&gt;0,"+"&amp;F100-E100,"+"&amp;E100-F100)),"")</f>
        <v/>
      </c>
      <c r="H100" s="12">
        <f>if($A100&lt;&gt;"",if(B100&gt;C100,if(B100&lt;60,1,2),""),"")</f>
        <v/>
      </c>
      <c r="I100" s="12">
        <f>if($A100&lt;&gt;"",if(C100&gt;B100,if(C100&lt;60,1,2),""),"")</f>
        <v/>
      </c>
      <c r="J100" s="9">
        <f>if($A100&lt;&gt;"",J99+H100,"")</f>
        <v/>
      </c>
      <c r="K100" s="9">
        <f>if($A100&lt;&gt;"",K99+I100,"")</f>
        <v/>
      </c>
      <c r="L100" s="11">
        <f>IF($A100&lt;&gt;"",IF(K100-J100=0,"tie",IF(K100-J100&gt;0,"+"&amp;K100-J100,"+"&amp;J100-K100)),"")</f>
        <v/>
      </c>
      <c r="M100" s="17" t="n"/>
      <c r="N100" s="17" t="n"/>
      <c r="O100" s="17" t="n"/>
      <c r="P100" s="17" t="n"/>
      <c r="Q100" s="17" t="n"/>
      <c r="R100" s="17" t="n"/>
      <c r="S100" s="17" t="n"/>
    </row>
    <row r="101">
      <c r="A101" s="15" t="n">
        <v>42148</v>
      </c>
      <c r="B101" s="10" t="n">
        <v>30</v>
      </c>
      <c r="C101" s="9" t="n">
        <v>25</v>
      </c>
      <c r="D101" s="17" t="inlineStr">
        <is>
          <t>Superba Bread &amp; Food, Venice</t>
        </is>
      </c>
      <c r="E101" s="10">
        <f>if($A101&lt;&gt;"",E100+B101,"")</f>
        <v/>
      </c>
      <c r="F101" s="9">
        <f>if($A101&lt;&gt;"",F100+C101,"")</f>
        <v/>
      </c>
      <c r="G101" s="11">
        <f>IF($A101&lt;&gt;"",IF(F101-E101=0,"tie",IF(F101-E101&gt;0,"+"&amp;F101-E101,"+"&amp;E101-F101)),"")</f>
        <v/>
      </c>
      <c r="H101" s="12">
        <f>if($A101&lt;&gt;"",if(B101&gt;C101,if(B101&lt;60,1,2),""),"")</f>
        <v/>
      </c>
      <c r="I101" s="12">
        <f>if($A101&lt;&gt;"",if(C101&gt;B101,if(C101&lt;60,1,2),""),"")</f>
        <v/>
      </c>
      <c r="J101" s="9">
        <f>if($A101&lt;&gt;"",J100+H101,"")</f>
        <v/>
      </c>
      <c r="K101" s="9">
        <f>if($A101&lt;&gt;"",K100+I101,"")</f>
        <v/>
      </c>
      <c r="L101" s="11">
        <f>IF($A101&lt;&gt;"",IF(K101-J101=0,"tie",IF(K101-J101&gt;0,"+"&amp;K101-J101,"+"&amp;J101-K101)),"")</f>
        <v/>
      </c>
      <c r="M101" s="17" t="n"/>
      <c r="N101" s="17" t="n"/>
      <c r="O101" s="17" t="n"/>
      <c r="P101" s="17" t="n"/>
      <c r="Q101" s="17" t="n"/>
      <c r="R101" s="17" t="n"/>
      <c r="S101" s="17" t="n"/>
    </row>
    <row r="102">
      <c r="A102" s="15" t="n">
        <v>42148</v>
      </c>
      <c r="B102" s="9" t="n">
        <v>25</v>
      </c>
      <c r="C102" s="10" t="n">
        <v>30</v>
      </c>
      <c r="D102" s="17" t="inlineStr">
        <is>
          <t>Bob's Big Boy, Calimesa</t>
        </is>
      </c>
      <c r="E102" s="10">
        <f>if($A102&lt;&gt;"",E101+B102,"")</f>
        <v/>
      </c>
      <c r="F102" s="9">
        <f>if($A102&lt;&gt;"",F101+C102,"")</f>
        <v/>
      </c>
      <c r="G102" s="11">
        <f>IF($A102&lt;&gt;"",IF(F102-E102=0,"tie",IF(F102-E102&gt;0,"+"&amp;F102-E102,"+"&amp;E102-F102)),"")</f>
        <v/>
      </c>
      <c r="H102" s="12">
        <f>if($A102&lt;&gt;"",if(B102&gt;C102,if(B102&lt;60,1,2),""),"")</f>
        <v/>
      </c>
      <c r="I102" s="12">
        <f>if($A102&lt;&gt;"",if(C102&gt;B102,if(C102&lt;60,1,2),""),"")</f>
        <v/>
      </c>
      <c r="J102" s="9">
        <f>if($A102&lt;&gt;"",J101+H102,"")</f>
        <v/>
      </c>
      <c r="K102" s="9">
        <f>if($A102&lt;&gt;"",K101+I102,"")</f>
        <v/>
      </c>
      <c r="L102" s="11">
        <f>IF($A102&lt;&gt;"",IF(K102-J102=0,"tie",IF(K102-J102&gt;0,"+"&amp;K102-J102,"+"&amp;J102-K102)),"")</f>
        <v/>
      </c>
      <c r="M102" s="17" t="n"/>
      <c r="N102" s="17" t="n"/>
      <c r="O102" s="17" t="n"/>
      <c r="P102" s="17" t="n"/>
      <c r="Q102" s="17" t="n"/>
      <c r="R102" s="17" t="n"/>
      <c r="S102" s="17" t="n"/>
    </row>
    <row r="103">
      <c r="A103" s="15" t="n">
        <v>42149</v>
      </c>
      <c r="B103" s="10" t="n">
        <v>30</v>
      </c>
      <c r="C103" s="9" t="n">
        <v>25</v>
      </c>
      <c r="D103" s="17" t="inlineStr">
        <is>
          <t>Preston Way</t>
        </is>
      </c>
      <c r="E103" s="10">
        <f>if($A103&lt;&gt;"",E102+B103,"")</f>
        <v/>
      </c>
      <c r="F103" s="9">
        <f>if($A103&lt;&gt;"",F102+C103,"")</f>
        <v/>
      </c>
      <c r="G103" s="11">
        <f>IF($A103&lt;&gt;"",IF(F103-E103=0,"tie",IF(F103-E103&gt;0,"+"&amp;F103-E103,"+"&amp;E103-F103)),"")</f>
        <v/>
      </c>
      <c r="H103" s="12">
        <f>if($A103&lt;&gt;"",if(B103&gt;C103,if(B103&lt;60,1,2),""),"")</f>
        <v/>
      </c>
      <c r="I103" s="12">
        <f>if($A103&lt;&gt;"",if(C103&gt;B103,if(C103&lt;60,1,2),""),"")</f>
        <v/>
      </c>
      <c r="J103" s="9">
        <f>if($A103&lt;&gt;"",J102+H103,"")</f>
        <v/>
      </c>
      <c r="K103" s="9">
        <f>if($A103&lt;&gt;"",K102+I103,"")</f>
        <v/>
      </c>
      <c r="L103" s="11">
        <f>IF($A103&lt;&gt;"",IF(K103-J103=0,"tie",IF(K103-J103&gt;0,"+"&amp;K103-J103,"+"&amp;J103-K103)),"")</f>
        <v/>
      </c>
      <c r="M103" s="17" t="n"/>
      <c r="N103" s="17" t="n"/>
      <c r="O103" s="17" t="n"/>
      <c r="P103" s="17" t="n"/>
      <c r="Q103" s="17" t="n"/>
      <c r="R103" s="17" t="n"/>
      <c r="S103" s="17" t="n"/>
    </row>
    <row r="104">
      <c r="A104" s="15" t="n">
        <v>42172</v>
      </c>
      <c r="B104" s="9" t="n">
        <v>25</v>
      </c>
      <c r="C104" s="10" t="n">
        <v>30</v>
      </c>
      <c r="D104" s="17" t="inlineStr">
        <is>
          <t>Centanni</t>
        </is>
      </c>
      <c r="E104" s="10">
        <f>if($A104&lt;&gt;"",E103+B104,"")</f>
        <v/>
      </c>
      <c r="F104" s="9">
        <f>if($A104&lt;&gt;"",F103+C104,"")</f>
        <v/>
      </c>
      <c r="G104" s="11">
        <f>IF($A104&lt;&gt;"",IF(F104-E104=0,"tie",IF(F104-E104&gt;0,"+"&amp;F104-E104,"+"&amp;E104-F104)),"")</f>
        <v/>
      </c>
      <c r="H104" s="12">
        <f>if($A104&lt;&gt;"",if(B104&gt;C104,if(B104&lt;60,1,2),""),"")</f>
        <v/>
      </c>
      <c r="I104" s="12">
        <f>if($A104&lt;&gt;"",if(C104&gt;B104,if(C104&lt;60,1,2),""),"")</f>
        <v/>
      </c>
      <c r="J104" s="9">
        <f>if($A104&lt;&gt;"",J103+H104,"")</f>
        <v/>
      </c>
      <c r="K104" s="9">
        <f>if($A104&lt;&gt;"",K103+I104,"")</f>
        <v/>
      </c>
      <c r="L104" s="11">
        <f>IF($A104&lt;&gt;"",IF(K104-J104=0,"tie",IF(K104-J104&gt;0,"+"&amp;K104-J104,"+"&amp;J104-K104)),"")</f>
        <v/>
      </c>
      <c r="M104" s="17" t="n"/>
      <c r="N104" s="17" t="n"/>
      <c r="O104" s="17" t="n"/>
      <c r="P104" s="17" t="n"/>
      <c r="Q104" s="17" t="n"/>
      <c r="R104" s="17" t="n"/>
      <c r="S104" s="17" t="n"/>
    </row>
    <row r="105">
      <c r="A105" s="15" t="n">
        <v>42180</v>
      </c>
      <c r="B105" s="9" t="n">
        <v>25</v>
      </c>
      <c r="C105" s="10" t="n">
        <v>30</v>
      </c>
      <c r="D105" s="17" t="inlineStr">
        <is>
          <t>35000 feet above Toronto enroute to Amsterdam</t>
        </is>
      </c>
      <c r="E105" s="10">
        <f>if($A105&lt;&gt;"",E104+B105,"")</f>
        <v/>
      </c>
      <c r="F105" s="9">
        <f>if($A105&lt;&gt;"",F104+C105,"")</f>
        <v/>
      </c>
      <c r="G105" s="11">
        <f>IF($A105&lt;&gt;"",IF(F105-E105=0,"tie",IF(F105-E105&gt;0,"+"&amp;F105-E105,"+"&amp;E105-F105)),"")</f>
        <v/>
      </c>
      <c r="H105" s="12">
        <f>if($A105&lt;&gt;"",if(B105&gt;C105,if(B105&lt;60,1,2),""),"")</f>
        <v/>
      </c>
      <c r="I105" s="12">
        <f>if($A105&lt;&gt;"",if(C105&gt;B105,if(C105&lt;60,1,2),""),"")</f>
        <v/>
      </c>
      <c r="J105" s="9">
        <f>if($A105&lt;&gt;"",J104+H105,"")</f>
        <v/>
      </c>
      <c r="K105" s="9">
        <f>if($A105&lt;&gt;"",K104+I105,"")</f>
        <v/>
      </c>
      <c r="L105" s="11">
        <f>IF($A105&lt;&gt;"",IF(K105-J105=0,"tie",IF(K105-J105&gt;0,"+"&amp;K105-J105,"+"&amp;J105-K105)),"")</f>
        <v/>
      </c>
      <c r="M105" s="17" t="n"/>
      <c r="N105" s="17" t="n"/>
      <c r="O105" s="17" t="n"/>
      <c r="P105" s="17" t="n"/>
      <c r="Q105" s="17" t="n"/>
      <c r="R105" s="17" t="n"/>
      <c r="S105" s="17" t="n"/>
    </row>
    <row r="106">
      <c r="A106" s="15" t="n">
        <v>42191</v>
      </c>
      <c r="B106" s="10" t="n">
        <v>30</v>
      </c>
      <c r="C106" s="9" t="n">
        <v>25</v>
      </c>
      <c r="D106" s="17" t="inlineStr">
        <is>
          <t>Kira Wira, Serengeti, Tanzenia, Africa</t>
        </is>
      </c>
      <c r="E106" s="10">
        <f>if($A106&lt;&gt;"",E105+B106,"")</f>
        <v/>
      </c>
      <c r="F106" s="9">
        <f>if($A106&lt;&gt;"",F105+C106,"")</f>
        <v/>
      </c>
      <c r="G106" s="11">
        <f>IF($A106&lt;&gt;"",IF(F106-E106=0,"tie",IF(F106-E106&gt;0,"+"&amp;F106-E106,"+"&amp;E106-F106)),"")</f>
        <v/>
      </c>
      <c r="H106" s="12">
        <f>if($A106&lt;&gt;"",if(B106&gt;C106,if(B106&lt;60,1,2),""),"")</f>
        <v/>
      </c>
      <c r="I106" s="12">
        <f>if($A106&lt;&gt;"",if(C106&gt;B106,if(C106&lt;60,1,2),""),"")</f>
        <v/>
      </c>
      <c r="J106" s="9">
        <f>if($A106&lt;&gt;"",J105+H106,"")</f>
        <v/>
      </c>
      <c r="K106" s="9">
        <f>if($A106&lt;&gt;"",K105+I106,"")</f>
        <v/>
      </c>
      <c r="L106" s="11">
        <f>IF($A106&lt;&gt;"",IF(K106-J106=0,"tie",IF(K106-J106&gt;0,"+"&amp;K106-J106,"+"&amp;J106-K106)),"")</f>
        <v/>
      </c>
      <c r="M106" s="17" t="n"/>
      <c r="N106" s="17" t="n"/>
      <c r="O106" s="17" t="n"/>
      <c r="P106" s="17" t="n"/>
      <c r="Q106" s="17" t="n"/>
      <c r="R106" s="17" t="n"/>
      <c r="S106" s="17" t="n"/>
    </row>
    <row r="107">
      <c r="A107" s="15" t="n">
        <v>42214</v>
      </c>
      <c r="B107" s="9" t="n">
        <v>25</v>
      </c>
      <c r="C107" s="10" t="n">
        <v>30</v>
      </c>
      <c r="D107" s="17" t="inlineStr">
        <is>
          <t>Café 50's, Venice</t>
        </is>
      </c>
      <c r="E107" s="10">
        <f>if($A107&lt;&gt;"",E106+B107,"")</f>
        <v/>
      </c>
      <c r="F107" s="9">
        <f>if($A107&lt;&gt;"",F106+C107,"")</f>
        <v/>
      </c>
      <c r="G107" s="11">
        <f>IF($A107&lt;&gt;"",IF(F107-E107=0,"tie",IF(F107-E107&gt;0,"+"&amp;F107-E107,"+"&amp;E107-F107)),"")</f>
        <v/>
      </c>
      <c r="H107" s="12">
        <f>if($A107&lt;&gt;"",if(B107&gt;C107,if(B107&lt;60,1,2),""),"")</f>
        <v/>
      </c>
      <c r="I107" s="12">
        <f>if($A107&lt;&gt;"",if(C107&gt;B107,if(C107&lt;60,1,2),""),"")</f>
        <v/>
      </c>
      <c r="J107" s="9">
        <f>if($A107&lt;&gt;"",J106+H107,"")</f>
        <v/>
      </c>
      <c r="K107" s="9">
        <f>if($A107&lt;&gt;"",K106+I107,"")</f>
        <v/>
      </c>
      <c r="L107" s="11">
        <f>IF($A107&lt;&gt;"",IF(K107-J107=0,"tie",IF(K107-J107&gt;0,"+"&amp;K107-J107,"+"&amp;J107-K107)),"")</f>
        <v/>
      </c>
      <c r="M107" s="17" t="n"/>
      <c r="N107" s="17" t="n"/>
      <c r="O107" s="17" t="n"/>
      <c r="P107" s="17" t="n"/>
      <c r="Q107" s="17" t="n"/>
      <c r="R107" s="17" t="n"/>
      <c r="S107" s="17" t="n"/>
    </row>
    <row r="108">
      <c r="A108" s="15" t="n">
        <v>42215</v>
      </c>
      <c r="B108" s="9" t="n">
        <v>25</v>
      </c>
      <c r="C108" s="10" t="n">
        <v>30</v>
      </c>
      <c r="D108" s="17" t="inlineStr">
        <is>
          <t>Café 50's, Venice</t>
        </is>
      </c>
      <c r="E108" s="10">
        <f>if($A108&lt;&gt;"",E107+B108,"")</f>
        <v/>
      </c>
      <c r="F108" s="9">
        <f>if($A108&lt;&gt;"",F107+C108,"")</f>
        <v/>
      </c>
      <c r="G108" s="11">
        <f>IF($A108&lt;&gt;"",IF(F108-E108=0,"tie",IF(F108-E108&gt;0,"+"&amp;F108-E108,"+"&amp;E108-F108)),"")</f>
        <v/>
      </c>
      <c r="H108" s="12">
        <f>if($A108&lt;&gt;"",if(B108&gt;C108,if(B108&lt;60,1,2),""),"")</f>
        <v/>
      </c>
      <c r="I108" s="12">
        <f>if($A108&lt;&gt;"",if(C108&gt;B108,if(C108&lt;60,1,2),""),"")</f>
        <v/>
      </c>
      <c r="J108" s="9">
        <f>if($A108&lt;&gt;"",J107+H108,"")</f>
        <v/>
      </c>
      <c r="K108" s="9">
        <f>if($A108&lt;&gt;"",K107+I108,"")</f>
        <v/>
      </c>
      <c r="L108" s="11">
        <f>IF($A108&lt;&gt;"",IF(K108-J108=0,"tie",IF(K108-J108&gt;0,"+"&amp;K108-J108,"+"&amp;J108-K108)),"")</f>
        <v/>
      </c>
      <c r="M108" s="17" t="n"/>
      <c r="N108" s="17" t="n"/>
      <c r="O108" s="17" t="n"/>
      <c r="P108" s="17" t="n"/>
      <c r="Q108" s="17" t="n"/>
      <c r="R108" s="17" t="n"/>
      <c r="S108" s="17" t="n"/>
    </row>
    <row r="109">
      <c r="A109" s="15" t="n">
        <v>42225</v>
      </c>
      <c r="B109" s="9" t="n">
        <v>25</v>
      </c>
      <c r="C109" s="10" t="n">
        <v>30</v>
      </c>
      <c r="D109" s="17" t="inlineStr">
        <is>
          <t>Café 50's, Venice</t>
        </is>
      </c>
      <c r="E109" s="10">
        <f>if($A109&lt;&gt;"",E108+B109,"")</f>
        <v/>
      </c>
      <c r="F109" s="9">
        <f>if($A109&lt;&gt;"",F108+C109,"")</f>
        <v/>
      </c>
      <c r="G109" s="11">
        <f>IF($A109&lt;&gt;"",IF(F109-E109=0,"tie",IF(F109-E109&gt;0,"+"&amp;F109-E109,"+"&amp;E109-F109)),"")</f>
        <v/>
      </c>
      <c r="H109" s="12">
        <f>if($A109&lt;&gt;"",if(B109&gt;C109,if(B109&lt;60,1,2),""),"")</f>
        <v/>
      </c>
      <c r="I109" s="12">
        <f>if($A109&lt;&gt;"",if(C109&gt;B109,if(C109&lt;60,1,2),""),"")</f>
        <v/>
      </c>
      <c r="J109" s="9">
        <f>if($A109&lt;&gt;"",J108+H109,"")</f>
        <v/>
      </c>
      <c r="K109" s="9">
        <f>if($A109&lt;&gt;"",K108+I109,"")</f>
        <v/>
      </c>
      <c r="L109" s="11">
        <f>IF($A109&lt;&gt;"",IF(K109-J109=0,"tie",IF(K109-J109&gt;0,"+"&amp;K109-J109,"+"&amp;J109-K109)),"")</f>
        <v/>
      </c>
      <c r="M109" s="17" t="n"/>
      <c r="N109" s="17" t="n"/>
      <c r="O109" s="17" t="n"/>
      <c r="P109" s="17" t="n"/>
      <c r="Q109" s="17" t="n"/>
      <c r="R109" s="17" t="n"/>
      <c r="S109" s="17" t="n"/>
    </row>
    <row r="110">
      <c r="A110" s="15" t="n">
        <v>42226</v>
      </c>
      <c r="B110" s="10" t="n">
        <v>30</v>
      </c>
      <c r="C110" s="9" t="n">
        <v>25</v>
      </c>
      <c r="D110" s="17" t="inlineStr">
        <is>
          <t>Café 50's, Venice</t>
        </is>
      </c>
      <c r="E110" s="10">
        <f>if($A110&lt;&gt;"",E109+B110,"")</f>
        <v/>
      </c>
      <c r="F110" s="9">
        <f>if($A110&lt;&gt;"",F109+C110,"")</f>
        <v/>
      </c>
      <c r="G110" s="11">
        <f>IF($A110&lt;&gt;"",IF(F110-E110=0,"tie",IF(F110-E110&gt;0,"+"&amp;F110-E110,"+"&amp;E110-F110)),"")</f>
        <v/>
      </c>
      <c r="H110" s="12">
        <f>if($A110&lt;&gt;"",if(B110&gt;C110,if(B110&lt;60,1,2),""),"")</f>
        <v/>
      </c>
      <c r="I110" s="12">
        <f>if($A110&lt;&gt;"",if(C110&gt;B110,if(C110&lt;60,1,2),""),"")</f>
        <v/>
      </c>
      <c r="J110" s="9">
        <f>if($A110&lt;&gt;"",J109+H110,"")</f>
        <v/>
      </c>
      <c r="K110" s="9">
        <f>if($A110&lt;&gt;"",K109+I110,"")</f>
        <v/>
      </c>
      <c r="L110" s="11">
        <f>IF($A110&lt;&gt;"",IF(K110-J110=0,"tie",IF(K110-J110&gt;0,"+"&amp;K110-J110,"+"&amp;J110-K110)),"")</f>
        <v/>
      </c>
      <c r="M110" s="17" t="n"/>
      <c r="N110" s="17" t="n"/>
      <c r="O110" s="17" t="n"/>
      <c r="P110" s="17" t="n"/>
      <c r="Q110" s="17" t="n"/>
      <c r="R110" s="17" t="n"/>
      <c r="S110" s="17" t="n"/>
    </row>
    <row r="111">
      <c r="A111" s="15" t="n">
        <v>42241</v>
      </c>
      <c r="B111" s="9" t="n">
        <v>25</v>
      </c>
      <c r="C111" s="10" t="n">
        <v>30</v>
      </c>
      <c r="D111" s="17" t="inlineStr">
        <is>
          <t>Café 50's, Venice</t>
        </is>
      </c>
      <c r="E111" s="10">
        <f>if($A111&lt;&gt;"",E110+B111,"")</f>
        <v/>
      </c>
      <c r="F111" s="9">
        <f>if($A111&lt;&gt;"",F110+C111,"")</f>
        <v/>
      </c>
      <c r="G111" s="11">
        <f>IF($A111&lt;&gt;"",IF(F111-E111=0,"tie",IF(F111-E111&gt;0,"+"&amp;F111-E111,"+"&amp;E111-F111)),"")</f>
        <v/>
      </c>
      <c r="H111" s="12">
        <f>if($A111&lt;&gt;"",if(B111&gt;C111,if(B111&lt;60,1,2),""),"")</f>
        <v/>
      </c>
      <c r="I111" s="12">
        <f>if($A111&lt;&gt;"",if(C111&gt;B111,if(C111&lt;60,1,2),""),"")</f>
        <v/>
      </c>
      <c r="J111" s="9">
        <f>if($A111&lt;&gt;"",J110+H111,"")</f>
        <v/>
      </c>
      <c r="K111" s="9">
        <f>if($A111&lt;&gt;"",K110+I111,"")</f>
        <v/>
      </c>
      <c r="L111" s="11">
        <f>IF($A111&lt;&gt;"",IF(K111-J111=0,"tie",IF(K111-J111&gt;0,"+"&amp;K111-J111,"+"&amp;J111-K111)),"")</f>
        <v/>
      </c>
      <c r="M111" s="17" t="n"/>
      <c r="N111" s="17" t="n"/>
      <c r="O111" s="17" t="n"/>
      <c r="P111" s="17" t="n"/>
      <c r="Q111" s="17" t="n"/>
      <c r="R111" s="17" t="n"/>
      <c r="S111" s="17" t="n"/>
    </row>
    <row r="112">
      <c r="A112" s="15" t="n">
        <v>42245</v>
      </c>
      <c r="B112" s="9" t="n">
        <v>25</v>
      </c>
      <c r="C112" s="10" t="n">
        <v>30</v>
      </c>
      <c r="D112" s="17" t="inlineStr">
        <is>
          <t>iHop, MDR</t>
        </is>
      </c>
      <c r="E112" s="16">
        <f>if($A112&lt;&gt;"",E111+B112,"")</f>
        <v/>
      </c>
      <c r="F112" s="16">
        <f>if($A112&lt;&gt;"",F111+C112,"")</f>
        <v/>
      </c>
      <c r="G112" s="11">
        <f>IF($A112&lt;&gt;"",IF(F112-E112=0,"tie",IF(F112-E112&gt;0,"+"&amp;F112-E112,"+"&amp;E112-F112)),"")</f>
        <v/>
      </c>
      <c r="H112" s="12">
        <f>if($A112&lt;&gt;"",if(B112&gt;C112,if(B112&lt;60,1,2),""),"")</f>
        <v/>
      </c>
      <c r="I112" s="12">
        <f>if($A112&lt;&gt;"",if(C112&gt;B112,if(C112&lt;60,1,2),""),"")</f>
        <v/>
      </c>
      <c r="J112" s="9">
        <f>if($A112&lt;&gt;"",J111+H112,"")</f>
        <v/>
      </c>
      <c r="K112" s="9">
        <f>if($A112&lt;&gt;"",K111+I112,"")</f>
        <v/>
      </c>
      <c r="L112" s="11">
        <f>IF($A112&lt;&gt;"",IF(K112-J112=0,"tie",IF(K112-J112&gt;0,"+"&amp;K112-J112,"+"&amp;J112-K112)),"")</f>
        <v/>
      </c>
      <c r="M112" s="17" t="n"/>
      <c r="N112" s="17" t="n"/>
      <c r="O112" s="17" t="n"/>
      <c r="P112" s="17" t="n"/>
      <c r="Q112" s="17" t="n"/>
      <c r="R112" s="17" t="n"/>
      <c r="S112" s="17" t="n"/>
    </row>
    <row r="113">
      <c r="A113" s="15" t="n">
        <v>42246</v>
      </c>
      <c r="B113" s="9" t="n">
        <v>25</v>
      </c>
      <c r="C113" s="10" t="n">
        <v>30</v>
      </c>
      <c r="D113" s="17" t="inlineStr">
        <is>
          <t>Preston Way</t>
        </is>
      </c>
      <c r="E113" s="9">
        <f>if($A113&lt;&gt;"",E112+B113,"")</f>
        <v/>
      </c>
      <c r="F113" s="10">
        <f>if($A113&lt;&gt;"",F112+C113,"")</f>
        <v/>
      </c>
      <c r="G113" s="11">
        <f>IF($A113&lt;&gt;"",IF(F113-E113=0,"tie",IF(F113-E113&gt;0,"+"&amp;F113-E113,"+"&amp;E113-F113)),"")</f>
        <v/>
      </c>
      <c r="H113" s="12">
        <f>if($A113&lt;&gt;"",if(B113&gt;C113,if(B113&lt;60,1,2),""),"")</f>
        <v/>
      </c>
      <c r="I113" s="12">
        <f>if($A113&lt;&gt;"",if(C113&gt;B113,if(C113&lt;60,1,2),""),"")</f>
        <v/>
      </c>
      <c r="J113" s="9">
        <f>if($A113&lt;&gt;"",J112+H113,"")</f>
        <v/>
      </c>
      <c r="K113" s="9">
        <f>if($A113&lt;&gt;"",K112+I113,"")</f>
        <v/>
      </c>
      <c r="L113" s="11">
        <f>IF($A113&lt;&gt;"",IF(K113-J113=0,"tie",IF(K113-J113&gt;0,"+"&amp;K113-J113,"+"&amp;J113-K113)),"")</f>
        <v/>
      </c>
      <c r="M113" s="17" t="n"/>
      <c r="N113" s="17" t="n"/>
      <c r="O113" s="17" t="n"/>
      <c r="P113" s="17" t="n"/>
      <c r="Q113" s="17" t="n"/>
      <c r="R113" s="17" t="n"/>
      <c r="S113" s="17" t="n"/>
    </row>
    <row r="114">
      <c r="A114" s="15" t="n">
        <v>42254</v>
      </c>
      <c r="B114" s="9" t="n">
        <v>25</v>
      </c>
      <c r="C114" s="10" t="n">
        <v>30</v>
      </c>
      <c r="D114" s="17" t="inlineStr">
        <is>
          <t>Café 50's, Venice</t>
        </is>
      </c>
      <c r="E114" s="9">
        <f>if($A114&lt;&gt;"",E113+B114,"")</f>
        <v/>
      </c>
      <c r="F114" s="10">
        <f>if($A114&lt;&gt;"",F113+C114,"")</f>
        <v/>
      </c>
      <c r="G114" s="11">
        <f>IF($A114&lt;&gt;"",IF(F114-E114=0,"tie",IF(F114-E114&gt;0,"+"&amp;F114-E114,"+"&amp;E114-F114)),"")</f>
        <v/>
      </c>
      <c r="H114" s="12">
        <f>if($A114&lt;&gt;"",if(B114&gt;C114,if(B114&lt;60,1,2),""),"")</f>
        <v/>
      </c>
      <c r="I114" s="12">
        <f>if($A114&lt;&gt;"",if(C114&gt;B114,if(C114&lt;60,1,2),""),"")</f>
        <v/>
      </c>
      <c r="J114" s="9">
        <f>if($A114&lt;&gt;"",J113+H114,"")</f>
        <v/>
      </c>
      <c r="K114" s="9">
        <f>if($A114&lt;&gt;"",K113+I114,"")</f>
        <v/>
      </c>
      <c r="L114" s="11">
        <f>IF($A114&lt;&gt;"",IF(K114-J114=0,"tie",IF(K114-J114&gt;0,"+"&amp;K114-J114,"+"&amp;J114-K114)),"")</f>
        <v/>
      </c>
      <c r="M114" s="17" t="n"/>
      <c r="N114" s="17" t="n"/>
      <c r="O114" s="17" t="n"/>
      <c r="P114" s="17" t="n"/>
      <c r="Q114" s="17" t="n"/>
      <c r="R114" s="17" t="n"/>
      <c r="S114" s="17" t="n"/>
    </row>
    <row r="115">
      <c r="A115" s="15" t="n">
        <v>42259</v>
      </c>
      <c r="B115" s="10" t="n">
        <v>30</v>
      </c>
      <c r="C115" s="9" t="n">
        <v>25</v>
      </c>
      <c r="D115" s="17" t="inlineStr">
        <is>
          <t>Café 50's, Venice</t>
        </is>
      </c>
      <c r="E115" s="9">
        <f>if($A115&lt;&gt;"",E114+B115,"")</f>
        <v/>
      </c>
      <c r="F115" s="10">
        <f>if($A115&lt;&gt;"",F114+C115,"")</f>
        <v/>
      </c>
      <c r="G115" s="11">
        <f>IF($A115&lt;&gt;"",IF(F115-E115=0,"tie",IF(F115-E115&gt;0,"+"&amp;F115-E115,"+"&amp;E115-F115)),"")</f>
        <v/>
      </c>
      <c r="H115" s="12">
        <f>if($A115&lt;&gt;"",if(B115&gt;C115,if(B115&lt;60,1,2),""),"")</f>
        <v/>
      </c>
      <c r="I115" s="12">
        <f>if($A115&lt;&gt;"",if(C115&gt;B115,if(C115&lt;60,1,2),""),"")</f>
        <v/>
      </c>
      <c r="J115" s="9">
        <f>if($A115&lt;&gt;"",J114+H115,"")</f>
        <v/>
      </c>
      <c r="K115" s="9">
        <f>if($A115&lt;&gt;"",K114+I115,"")</f>
        <v/>
      </c>
      <c r="L115" s="11">
        <f>IF($A115&lt;&gt;"",IF(K115-J115=0,"tie",IF(K115-J115&gt;0,"+"&amp;K115-J115,"+"&amp;J115-K115)),"")</f>
        <v/>
      </c>
      <c r="M115" s="17" t="n"/>
      <c r="N115" s="17" t="n"/>
      <c r="O115" s="17" t="n"/>
      <c r="P115" s="17" t="n"/>
      <c r="Q115" s="17" t="n"/>
      <c r="R115" s="17" t="n"/>
      <c r="S115" s="17" t="n"/>
    </row>
    <row r="116">
      <c r="A116" s="15" t="n">
        <v>42261</v>
      </c>
      <c r="B116" s="9" t="n">
        <v>25</v>
      </c>
      <c r="C116" s="10" t="n">
        <v>30</v>
      </c>
      <c r="D116" s="17" t="inlineStr">
        <is>
          <t>Ruth's Chris, MDR</t>
        </is>
      </c>
      <c r="E116" s="9">
        <f>if($A116&lt;&gt;"",E115+B116,"")</f>
        <v/>
      </c>
      <c r="F116" s="10">
        <f>if($A116&lt;&gt;"",F115+C116,"")</f>
        <v/>
      </c>
      <c r="G116" s="11">
        <f>IF($A116&lt;&gt;"",IF(F116-E116=0,"tie",IF(F116-E116&gt;0,"+"&amp;F116-E116,"+"&amp;E116-F116)),"")</f>
        <v/>
      </c>
      <c r="H116" s="12">
        <f>if($A116&lt;&gt;"",if(B116&gt;C116,if(B116&lt;60,1,2),""),"")</f>
        <v/>
      </c>
      <c r="I116" s="12">
        <f>if($A116&lt;&gt;"",if(C116&gt;B116,if(C116&lt;60,1,2),""),"")</f>
        <v/>
      </c>
      <c r="J116" s="9">
        <f>if($A116&lt;&gt;"",J115+H116,"")</f>
        <v/>
      </c>
      <c r="K116" s="9">
        <f>if($A116&lt;&gt;"",K115+I116,"")</f>
        <v/>
      </c>
      <c r="L116" s="11">
        <f>IF($A116&lt;&gt;"",IF(K116-J116=0,"tie",IF(K116-J116&gt;0,"+"&amp;K116-J116,"+"&amp;J116-K116)),"")</f>
        <v/>
      </c>
      <c r="M116" s="17" t="n"/>
      <c r="N116" s="17" t="n"/>
      <c r="O116" s="17" t="n"/>
      <c r="P116" s="17" t="n"/>
      <c r="Q116" s="17" t="n"/>
      <c r="R116" s="17" t="n"/>
      <c r="S116" s="17" t="n"/>
    </row>
    <row r="117">
      <c r="A117" s="15" t="n">
        <v>42263</v>
      </c>
      <c r="B117" s="9" t="n">
        <v>25</v>
      </c>
      <c r="C117" s="10" t="n">
        <v>30</v>
      </c>
      <c r="D117" s="17" t="inlineStr">
        <is>
          <t>Café 50's, Venice</t>
        </is>
      </c>
      <c r="E117" s="9">
        <f>if($A117&lt;&gt;"",E116+B117,"")</f>
        <v/>
      </c>
      <c r="F117" s="10">
        <f>if($A117&lt;&gt;"",F116+C117,"")</f>
        <v/>
      </c>
      <c r="G117" s="11">
        <f>IF($A117&lt;&gt;"",IF(F117-E117=0,"tie",IF(F117-E117&gt;0,"+"&amp;F117-E117,"+"&amp;E117-F117)),"")</f>
        <v/>
      </c>
      <c r="H117" s="12">
        <f>if($A117&lt;&gt;"",if(B117&gt;C117,if(B117&lt;60,1,2),""),"")</f>
        <v/>
      </c>
      <c r="I117" s="12">
        <f>if($A117&lt;&gt;"",if(C117&gt;B117,if(C117&lt;60,1,2),""),"")</f>
        <v/>
      </c>
      <c r="J117" s="9">
        <f>if($A117&lt;&gt;"",J116+H117,"")</f>
        <v/>
      </c>
      <c r="K117" s="9">
        <f>if($A117&lt;&gt;"",K116+I117,"")</f>
        <v/>
      </c>
      <c r="L117" s="11">
        <f>IF($A117&lt;&gt;"",IF(K117-J117=0,"tie",IF(K117-J117&gt;0,"+"&amp;K117-J117,"+"&amp;J117-K117)),"")</f>
        <v/>
      </c>
      <c r="M117" s="17" t="n"/>
      <c r="N117" s="17" t="n"/>
      <c r="O117" s="17" t="n"/>
      <c r="P117" s="17" t="n"/>
      <c r="Q117" s="17" t="n"/>
      <c r="R117" s="17" t="n"/>
      <c r="S117" s="17" t="n"/>
    </row>
    <row r="118">
      <c r="A118" s="15" t="n">
        <v>42269</v>
      </c>
      <c r="B118" s="10" t="n">
        <v>30</v>
      </c>
      <c r="C118" s="9" t="n">
        <v>25</v>
      </c>
      <c r="D118" s="17" t="inlineStr">
        <is>
          <t>Café 50's, Venice</t>
        </is>
      </c>
      <c r="E118" s="9">
        <f>if($A118&lt;&gt;"",E117+B118,"")</f>
        <v/>
      </c>
      <c r="F118" s="10">
        <f>if($A118&lt;&gt;"",F117+C118,"")</f>
        <v/>
      </c>
      <c r="G118" s="11">
        <f>IF($A118&lt;&gt;"",IF(F118-E118=0,"tie",IF(F118-E118&gt;0,"+"&amp;F118-E118,"+"&amp;E118-F118)),"")</f>
        <v/>
      </c>
      <c r="H118" s="12">
        <f>if($A118&lt;&gt;"",if(B118&gt;C118,if(B118&lt;60,1,2),""),"")</f>
        <v/>
      </c>
      <c r="I118" s="12">
        <f>if($A118&lt;&gt;"",if(C118&gt;B118,if(C118&lt;60,1,2),""),"")</f>
        <v/>
      </c>
      <c r="J118" s="9">
        <f>if($A118&lt;&gt;"",J117+H118,"")</f>
        <v/>
      </c>
      <c r="K118" s="9">
        <f>if($A118&lt;&gt;"",K117+I118,"")</f>
        <v/>
      </c>
      <c r="L118" s="11">
        <f>IF($A118&lt;&gt;"",IF(K118-J118=0,"tie",IF(K118-J118&gt;0,"+"&amp;K118-J118,"+"&amp;J118-K118)),"")</f>
        <v/>
      </c>
      <c r="M118" s="17" t="n"/>
      <c r="N118" s="17" t="n"/>
      <c r="O118" s="17" t="n"/>
      <c r="P118" s="17" t="n"/>
      <c r="Q118" s="17" t="n"/>
      <c r="R118" s="17" t="n"/>
      <c r="S118" s="17" t="n"/>
    </row>
    <row r="119">
      <c r="A119" s="15" t="n">
        <v>42275</v>
      </c>
      <c r="B119" s="10" t="n">
        <v>30</v>
      </c>
      <c r="C119" s="9" t="n">
        <v>25</v>
      </c>
      <c r="D119" s="17" t="inlineStr">
        <is>
          <t>Café 50's, Venice</t>
        </is>
      </c>
      <c r="E119" s="9">
        <f>if($A119&lt;&gt;"",E118+B119,"")</f>
        <v/>
      </c>
      <c r="F119" s="10">
        <f>if($A119&lt;&gt;"",F118+C119,"")</f>
        <v/>
      </c>
      <c r="G119" s="11">
        <f>IF($A119&lt;&gt;"",IF(F119-E119=0,"tie",IF(F119-E119&gt;0,"+"&amp;F119-E119,"+"&amp;E119-F119)),"")</f>
        <v/>
      </c>
      <c r="H119" s="12">
        <f>if($A119&lt;&gt;"",if(B119&gt;C119,if(B119&lt;60,1,2),""),"")</f>
        <v/>
      </c>
      <c r="I119" s="12">
        <f>if($A119&lt;&gt;"",if(C119&gt;B119,if(C119&lt;60,1,2),""),"")</f>
        <v/>
      </c>
      <c r="J119" s="9">
        <f>if($A119&lt;&gt;"",J118+H119,"")</f>
        <v/>
      </c>
      <c r="K119" s="9">
        <f>if($A119&lt;&gt;"",K118+I119,"")</f>
        <v/>
      </c>
      <c r="L119" s="11">
        <f>IF($A119&lt;&gt;"",IF(K119-J119=0,"tie",IF(K119-J119&gt;0,"+"&amp;K119-J119,"+"&amp;J119-K119)),"")</f>
        <v/>
      </c>
      <c r="M119" s="17" t="n"/>
      <c r="N119" s="17" t="n"/>
      <c r="O119" s="17" t="n"/>
      <c r="P119" s="17" t="n"/>
      <c r="Q119" s="17" t="n"/>
      <c r="R119" s="17" t="n"/>
      <c r="S119" s="17" t="n"/>
    </row>
    <row r="120">
      <c r="A120" s="15" t="n">
        <v>42276</v>
      </c>
      <c r="B120" s="10" t="n">
        <v>30</v>
      </c>
      <c r="C120" s="9" t="n">
        <v>25</v>
      </c>
      <c r="D120" s="17" t="inlineStr">
        <is>
          <t>Preston Way</t>
        </is>
      </c>
      <c r="E120" s="16">
        <f>if($A120&lt;&gt;"",E119+B120,"")</f>
        <v/>
      </c>
      <c r="F120" s="16">
        <f>if($A120&lt;&gt;"",F119+C120,"")</f>
        <v/>
      </c>
      <c r="G120" s="11">
        <f>IF($A120&lt;&gt;"",IF(F120-E120=0,"tie",IF(F120-E120&gt;0,"+"&amp;F120-E120,"+"&amp;E120-F120)),"")</f>
        <v/>
      </c>
      <c r="H120" s="12">
        <f>if($A120&lt;&gt;"",if(B120&gt;C120,if(B120&lt;60,1,2),""),"")</f>
        <v/>
      </c>
      <c r="I120" s="12">
        <f>if($A120&lt;&gt;"",if(C120&gt;B120,if(C120&lt;60,1,2),""),"")</f>
        <v/>
      </c>
      <c r="J120" s="9">
        <f>if($A120&lt;&gt;"",J119+H120,"")</f>
        <v/>
      </c>
      <c r="K120" s="9">
        <f>if($A120&lt;&gt;"",K119+I120,"")</f>
        <v/>
      </c>
      <c r="L120" s="11">
        <f>IF($A120&lt;&gt;"",IF(K120-J120=0,"tie",IF(K120-J120&gt;0,"+"&amp;K120-J120,"+"&amp;J120-K120)),"")</f>
        <v/>
      </c>
      <c r="M120" s="17" t="n"/>
      <c r="N120" s="17" t="n"/>
      <c r="O120" s="17" t="n"/>
      <c r="P120" s="17" t="n"/>
      <c r="Q120" s="17" t="n"/>
      <c r="R120" s="17" t="n"/>
      <c r="S120" s="17" t="n"/>
    </row>
    <row r="121">
      <c r="A121" s="15" t="n">
        <v>42277</v>
      </c>
      <c r="B121" s="10" t="n">
        <v>30</v>
      </c>
      <c r="C121" s="9" t="n">
        <v>25</v>
      </c>
      <c r="D121" s="17" t="inlineStr">
        <is>
          <t>Baby Blues BBQ</t>
        </is>
      </c>
      <c r="E121" s="10">
        <f>if($A121&lt;&gt;"",E120+B121,"")</f>
        <v/>
      </c>
      <c r="F121" s="9">
        <f>if($A121&lt;&gt;"",F120+C121,"")</f>
        <v/>
      </c>
      <c r="G121" s="11">
        <f>IF($A121&lt;&gt;"",IF(F121-E121=0,"tie",IF(F121-E121&gt;0,"+"&amp;F121-E121,"+"&amp;E121-F121)),"")</f>
        <v/>
      </c>
      <c r="H121" s="12">
        <f>if($A121&lt;&gt;"",if(B121&gt;C121,if(B121&lt;60,1,2),""),"")</f>
        <v/>
      </c>
      <c r="I121" s="12">
        <f>if($A121&lt;&gt;"",if(C121&gt;B121,if(C121&lt;60,1,2),""),"")</f>
        <v/>
      </c>
      <c r="J121" s="9">
        <f>if($A121&lt;&gt;"",J120+H121,"")</f>
        <v/>
      </c>
      <c r="K121" s="9">
        <f>if($A121&lt;&gt;"",K120+I121,"")</f>
        <v/>
      </c>
      <c r="L121" s="11">
        <f>IF($A121&lt;&gt;"",IF(K121-J121=0,"tie",IF(K121-J121&gt;0,"+"&amp;K121-J121,"+"&amp;J121-K121)),"")</f>
        <v/>
      </c>
      <c r="M121" s="17" t="n"/>
      <c r="N121" s="17" t="n"/>
      <c r="O121" s="17" t="n"/>
      <c r="P121" s="17" t="n"/>
      <c r="Q121" s="17" t="n"/>
      <c r="R121" s="17" t="n"/>
      <c r="S121" s="17" t="n"/>
    </row>
    <row r="122">
      <c r="A122" s="15" t="n">
        <v>42282</v>
      </c>
      <c r="B122" s="10" t="n">
        <v>30</v>
      </c>
      <c r="C122" s="9" t="n">
        <v>25</v>
      </c>
      <c r="D122" s="17" t="inlineStr">
        <is>
          <t>Yard House, MDR</t>
        </is>
      </c>
      <c r="E122" s="10">
        <f>if($A122&lt;&gt;"",E121+B122,"")</f>
        <v/>
      </c>
      <c r="F122" s="9">
        <f>if($A122&lt;&gt;"",F121+C122,"")</f>
        <v/>
      </c>
      <c r="G122" s="11">
        <f>IF($A122&lt;&gt;"",IF(F122-E122=0,"tie",IF(F122-E122&gt;0,"+"&amp;F122-E122,"+"&amp;E122-F122)),"")</f>
        <v/>
      </c>
      <c r="H122" s="12">
        <f>if($A122&lt;&gt;"",if(B122&gt;C122,if(B122&lt;60,1,2),""),"")</f>
        <v/>
      </c>
      <c r="I122" s="12">
        <f>if($A122&lt;&gt;"",if(C122&gt;B122,if(C122&lt;60,1,2),""),"")</f>
        <v/>
      </c>
      <c r="J122" s="9">
        <f>if($A122&lt;&gt;"",J121+H122,"")</f>
        <v/>
      </c>
      <c r="K122" s="9">
        <f>if($A122&lt;&gt;"",K121+I122,"")</f>
        <v/>
      </c>
      <c r="L122" s="11">
        <f>IF($A122&lt;&gt;"",IF(K122-J122=0,"tie",IF(K122-J122&gt;0,"+"&amp;K122-J122,"+"&amp;J122-K122)),"")</f>
        <v/>
      </c>
      <c r="M122" s="17" t="n"/>
      <c r="N122" s="17" t="n"/>
      <c r="O122" s="17" t="n"/>
      <c r="P122" s="17" t="n"/>
      <c r="Q122" s="17" t="n"/>
      <c r="R122" s="17" t="n"/>
      <c r="S122" s="17" t="n"/>
    </row>
    <row r="123">
      <c r="A123" s="15" t="n">
        <v>42283</v>
      </c>
      <c r="B123" s="9" t="n">
        <v>25</v>
      </c>
      <c r="C123" s="10" t="n">
        <v>30</v>
      </c>
      <c r="D123" s="17" t="inlineStr">
        <is>
          <t>Café 50's, Venice</t>
        </is>
      </c>
      <c r="E123" s="10">
        <f>if($A123&lt;&gt;"",E122+B123,"")</f>
        <v/>
      </c>
      <c r="F123" s="9">
        <f>if($A123&lt;&gt;"",F122+C123,"")</f>
        <v/>
      </c>
      <c r="G123" s="11">
        <f>IF($A123&lt;&gt;"",IF(F123-E123=0,"tie",IF(F123-E123&gt;0,"+"&amp;F123-E123,"+"&amp;E123-F123)),"")</f>
        <v/>
      </c>
      <c r="H123" s="12">
        <f>if($A123&lt;&gt;"",if(B123&gt;C123,if(B123&lt;60,1,2),""),"")</f>
        <v/>
      </c>
      <c r="I123" s="12">
        <f>if($A123&lt;&gt;"",if(C123&gt;B123,if(C123&lt;60,1,2),""),"")</f>
        <v/>
      </c>
      <c r="J123" s="9">
        <f>if($A123&lt;&gt;"",J122+H123,"")</f>
        <v/>
      </c>
      <c r="K123" s="9">
        <f>if($A123&lt;&gt;"",K122+I123,"")</f>
        <v/>
      </c>
      <c r="L123" s="11">
        <f>IF($A123&lt;&gt;"",IF(K123-J123=0,"tie",IF(K123-J123&gt;0,"+"&amp;K123-J123,"+"&amp;J123-K123)),"")</f>
        <v/>
      </c>
      <c r="M123" s="17" t="n"/>
      <c r="N123" s="17" t="n"/>
      <c r="O123" s="17" t="n"/>
      <c r="P123" s="17" t="n"/>
      <c r="Q123" s="17" t="n"/>
      <c r="R123" s="17" t="n"/>
      <c r="S123" s="17" t="n"/>
    </row>
    <row r="124">
      <c r="A124" s="15" t="n">
        <v>42287</v>
      </c>
      <c r="B124" s="10" t="n">
        <v>30</v>
      </c>
      <c r="C124" s="9" t="n">
        <v>25</v>
      </c>
      <c r="D124" s="17" t="inlineStr">
        <is>
          <t>Venice Cucina on Nancy's 6th AA Bday</t>
        </is>
      </c>
      <c r="E124" s="10">
        <f>if($A124&lt;&gt;"",E123+B124,"")</f>
        <v/>
      </c>
      <c r="F124" s="9">
        <f>if($A124&lt;&gt;"",F123+C124,"")</f>
        <v/>
      </c>
      <c r="G124" s="11">
        <f>IF($A124&lt;&gt;"",IF(F124-E124=0,"tie",IF(F124-E124&gt;0,"+"&amp;F124-E124,"+"&amp;E124-F124)),"")</f>
        <v/>
      </c>
      <c r="H124" s="12">
        <f>if($A124&lt;&gt;"",if(B124&gt;C124,if(B124&lt;60,1,2),""),"")</f>
        <v/>
      </c>
      <c r="I124" s="12">
        <f>if($A124&lt;&gt;"",if(C124&gt;B124,if(C124&lt;60,1,2),""),"")</f>
        <v/>
      </c>
      <c r="J124" s="9">
        <f>if($A124&lt;&gt;"",J123+H124,"")</f>
        <v/>
      </c>
      <c r="K124" s="9">
        <f>if($A124&lt;&gt;"",K123+I124,"")</f>
        <v/>
      </c>
      <c r="L124" s="11">
        <f>IF($A124&lt;&gt;"",IF(K124-J124=0,"tie",IF(K124-J124&gt;0,"+"&amp;K124-J124,"+"&amp;J124-K124)),"")</f>
        <v/>
      </c>
      <c r="M124" s="17" t="n"/>
      <c r="N124" s="17" t="n"/>
      <c r="O124" s="17" t="n"/>
      <c r="P124" s="17" t="n"/>
      <c r="Q124" s="17" t="n"/>
      <c r="R124" s="17" t="n"/>
      <c r="S124" s="17" t="n"/>
    </row>
    <row r="125">
      <c r="A125" s="15" t="n">
        <v>42288</v>
      </c>
      <c r="B125" s="10" t="n">
        <v>30</v>
      </c>
      <c r="C125" s="9" t="n">
        <v>25</v>
      </c>
      <c r="D125" s="17" t="inlineStr">
        <is>
          <t>Preston Way</t>
        </is>
      </c>
      <c r="E125" s="10">
        <f>if($A125&lt;&gt;"",E124+B125,"")</f>
        <v/>
      </c>
      <c r="F125" s="9">
        <f>if($A125&lt;&gt;"",F124+C125,"")</f>
        <v/>
      </c>
      <c r="G125" s="11">
        <f>IF($A125&lt;&gt;"",IF(F125-E125=0,"tie",IF(F125-E125&gt;0,"+"&amp;F125-E125,"+"&amp;E125-F125)),"")</f>
        <v/>
      </c>
      <c r="H125" s="12">
        <f>if($A125&lt;&gt;"",if(B125&gt;C125,if(B125&lt;60,1,2),""),"")</f>
        <v/>
      </c>
      <c r="I125" s="12">
        <f>if($A125&lt;&gt;"",if(C125&gt;B125,if(C125&lt;60,1,2),""),"")</f>
        <v/>
      </c>
      <c r="J125" s="9">
        <f>if($A125&lt;&gt;"",J124+H125,"")</f>
        <v/>
      </c>
      <c r="K125" s="9">
        <f>if($A125&lt;&gt;"",K124+I125,"")</f>
        <v/>
      </c>
      <c r="L125" s="11">
        <f>IF($A125&lt;&gt;"",IF(K125-J125=0,"tie",IF(K125-J125&gt;0,"+"&amp;K125-J125,"+"&amp;J125-K125)),"")</f>
        <v/>
      </c>
      <c r="M125" s="17" t="n"/>
      <c r="N125" s="17" t="n"/>
      <c r="O125" s="17" t="n"/>
      <c r="P125" s="17" t="n"/>
      <c r="Q125" s="17" t="n"/>
      <c r="R125" s="17" t="n"/>
      <c r="S125" s="17" t="n"/>
    </row>
    <row r="126">
      <c r="A126" s="15" t="n">
        <v>42299</v>
      </c>
      <c r="B126" s="9" t="n">
        <v>25</v>
      </c>
      <c r="C126" s="10" t="n">
        <v>30</v>
      </c>
      <c r="D126" s="17" t="inlineStr">
        <is>
          <t>Hopdaddy - Playa Vista, CA</t>
        </is>
      </c>
      <c r="E126" s="10">
        <f>if($A126&lt;&gt;"",E125+B126,"")</f>
        <v/>
      </c>
      <c r="F126" s="9">
        <f>if($A126&lt;&gt;"",F125+C126,"")</f>
        <v/>
      </c>
      <c r="G126" s="11">
        <f>IF($A126&lt;&gt;"",IF(F126-E126=0,"tie",IF(F126-E126&gt;0,"+"&amp;F126-E126,"+"&amp;E126-F126)),"")</f>
        <v/>
      </c>
      <c r="H126" s="12">
        <f>if($A126&lt;&gt;"",if(B126&gt;C126,if(B126&lt;60,1,2),""),"")</f>
        <v/>
      </c>
      <c r="I126" s="12">
        <f>if($A126&lt;&gt;"",if(C126&gt;B126,if(C126&lt;60,1,2),""),"")</f>
        <v/>
      </c>
      <c r="J126" s="9">
        <f>if($A126&lt;&gt;"",J125+H126,"")</f>
        <v/>
      </c>
      <c r="K126" s="9">
        <f>if($A126&lt;&gt;"",K125+I126,"")</f>
        <v/>
      </c>
      <c r="L126" s="11">
        <f>IF($A126&lt;&gt;"",IF(K126-J126=0,"tie",IF(K126-J126&gt;0,"+"&amp;K126-J126,"+"&amp;J126-K126)),"")</f>
        <v/>
      </c>
      <c r="M126" s="17" t="n"/>
      <c r="N126" s="17" t="n"/>
      <c r="O126" s="17" t="n"/>
      <c r="P126" s="17" t="n"/>
      <c r="Q126" s="17" t="n"/>
      <c r="R126" s="17" t="n"/>
      <c r="S126" s="17" t="n"/>
    </row>
    <row r="127">
      <c r="A127" s="15" t="n">
        <v>42301</v>
      </c>
      <c r="B127" s="10" t="n">
        <v>30</v>
      </c>
      <c r="C127" s="9" t="n">
        <v>25</v>
      </c>
      <c r="D127" s="17" t="inlineStr">
        <is>
          <t>Plancha Tacos, Venice - After Gordon's Halloween party.</t>
        </is>
      </c>
      <c r="E127" s="10">
        <f>if($A127&lt;&gt;"",E126+B127,"")</f>
        <v/>
      </c>
      <c r="F127" s="9">
        <f>if($A127&lt;&gt;"",F126+C127,"")</f>
        <v/>
      </c>
      <c r="G127" s="11">
        <f>IF($A127&lt;&gt;"",IF(F127-E127=0,"tie",IF(F127-E127&gt;0,"+"&amp;F127-E127,"+"&amp;E127-F127)),"")</f>
        <v/>
      </c>
      <c r="H127" s="12">
        <f>if($A127&lt;&gt;"",if(B127&gt;C127,if(B127&lt;60,1,2),""),"")</f>
        <v/>
      </c>
      <c r="I127" s="12">
        <f>if($A127&lt;&gt;"",if(C127&gt;B127,if(C127&lt;60,1,2),""),"")</f>
        <v/>
      </c>
      <c r="J127" s="9">
        <f>if($A127&lt;&gt;"",J126+H127,"")</f>
        <v/>
      </c>
      <c r="K127" s="9">
        <f>if($A127&lt;&gt;"",K126+I127,"")</f>
        <v/>
      </c>
      <c r="L127" s="11">
        <f>IF($A127&lt;&gt;"",IF(K127-J127=0,"tie",IF(K127-J127&gt;0,"+"&amp;K127-J127,"+"&amp;J127-K127)),"")</f>
        <v/>
      </c>
      <c r="M127" s="17" t="n"/>
      <c r="N127" s="17" t="n"/>
      <c r="O127" s="17" t="n"/>
      <c r="P127" s="17" t="n"/>
      <c r="Q127" s="17" t="n"/>
      <c r="R127" s="17" t="n"/>
      <c r="S127" s="17" t="n"/>
    </row>
    <row r="128">
      <c r="A128" s="15" t="n">
        <v>42308</v>
      </c>
      <c r="B128" s="10" t="n">
        <v>30</v>
      </c>
      <c r="C128" s="9" t="n">
        <v>25</v>
      </c>
      <c r="D128" s="17" t="inlineStr">
        <is>
          <t>Casa Linda, Venice</t>
        </is>
      </c>
      <c r="E128" s="10">
        <f>if($A128&lt;&gt;"",E127+B128,"")</f>
        <v/>
      </c>
      <c r="F128" s="9">
        <f>if($A128&lt;&gt;"",F127+C128,"")</f>
        <v/>
      </c>
      <c r="G128" s="11">
        <f>IF($A128&lt;&gt;"",IF(F128-E128=0,"tie",IF(F128-E128&gt;0,"+"&amp;F128-E128,"+"&amp;E128-F128)),"")</f>
        <v/>
      </c>
      <c r="H128" s="12">
        <f>if($A128&lt;&gt;"",if(B128&gt;C128,if(B128&lt;60,1,2),""),"")</f>
        <v/>
      </c>
      <c r="I128" s="12">
        <f>if($A128&lt;&gt;"",if(C128&gt;B128,if(C128&lt;60,1,2),""),"")</f>
        <v/>
      </c>
      <c r="J128" s="9">
        <f>if($A128&lt;&gt;"",J127+H128,"")</f>
        <v/>
      </c>
      <c r="K128" s="9">
        <f>if($A128&lt;&gt;"",K127+I128,"")</f>
        <v/>
      </c>
      <c r="L128" s="11">
        <f>IF($A128&lt;&gt;"",IF(K128-J128=0,"tie",IF(K128-J128&gt;0,"+"&amp;K128-J128,"+"&amp;J128-K128)),"")</f>
        <v/>
      </c>
      <c r="M128" s="17" t="n"/>
      <c r="N128" s="17" t="n"/>
      <c r="O128" s="17" t="n"/>
      <c r="P128" s="17" t="n"/>
      <c r="Q128" s="17" t="n"/>
      <c r="R128" s="17" t="n"/>
      <c r="S128" s="17" t="n"/>
    </row>
    <row r="129">
      <c r="A129" s="15" t="n">
        <v>42308</v>
      </c>
      <c r="B129" s="9" t="n">
        <v>25</v>
      </c>
      <c r="C129" s="10" t="n">
        <v>30</v>
      </c>
      <c r="D129" s="17" t="inlineStr">
        <is>
          <t>Preston Way</t>
        </is>
      </c>
      <c r="E129" s="10">
        <f>if($A129&lt;&gt;"",E128+B129,"")</f>
        <v/>
      </c>
      <c r="F129" s="9">
        <f>if($A129&lt;&gt;"",F128+C129,"")</f>
        <v/>
      </c>
      <c r="G129" s="11">
        <f>IF($A129&lt;&gt;"",IF(F129-E129=0,"tie",IF(F129-E129&gt;0,"+"&amp;F129-E129,"+"&amp;E129-F129)),"")</f>
        <v/>
      </c>
      <c r="H129" s="12">
        <f>if($A129&lt;&gt;"",if(B129&gt;C129,if(B129&lt;60,1,2),""),"")</f>
        <v/>
      </c>
      <c r="I129" s="12">
        <f>if($A129&lt;&gt;"",if(C129&gt;B129,if(C129&lt;60,1,2),""),"")</f>
        <v/>
      </c>
      <c r="J129" s="9">
        <f>if($A129&lt;&gt;"",J128+H129,"")</f>
        <v/>
      </c>
      <c r="K129" s="9">
        <f>if($A129&lt;&gt;"",K128+I129,"")</f>
        <v/>
      </c>
      <c r="L129" s="11">
        <f>IF($A129&lt;&gt;"",IF(K129-J129=0,"tie",IF(K129-J129&gt;0,"+"&amp;K129-J129,"+"&amp;J129-K129)),"")</f>
        <v/>
      </c>
      <c r="M129" s="17" t="n"/>
      <c r="N129" s="17" t="n"/>
      <c r="O129" s="17" t="n"/>
      <c r="P129" s="17" t="n"/>
      <c r="Q129" s="17" t="n"/>
      <c r="R129" s="17" t="n"/>
      <c r="S129" s="17" t="n"/>
    </row>
    <row r="130">
      <c r="A130" s="15" t="n">
        <v>42308</v>
      </c>
      <c r="B130" s="9" t="n">
        <v>25</v>
      </c>
      <c r="C130" s="10" t="n">
        <v>30</v>
      </c>
      <c r="D130" s="17" t="inlineStr">
        <is>
          <t>Terrace Cafe, MDR</t>
        </is>
      </c>
      <c r="E130" s="10">
        <f>if($A130&lt;&gt;"",E129+B130,"")</f>
        <v/>
      </c>
      <c r="F130" s="9">
        <f>if($A130&lt;&gt;"",F129+C130,"")</f>
        <v/>
      </c>
      <c r="G130" s="11">
        <f>IF($A130&lt;&gt;"",IF(F130-E130=0,"tie",IF(F130-E130&gt;0,"+"&amp;F130-E130,"+"&amp;E130-F130)),"")</f>
        <v/>
      </c>
      <c r="H130" s="12">
        <f>if($A130&lt;&gt;"",if(B130&gt;C130,if(B130&lt;60,1,2),""),"")</f>
        <v/>
      </c>
      <c r="I130" s="12">
        <f>if($A130&lt;&gt;"",if(C130&gt;B130,if(C130&lt;60,1,2),""),"")</f>
        <v/>
      </c>
      <c r="J130" s="9">
        <f>if($A130&lt;&gt;"",J129+H130,"")</f>
        <v/>
      </c>
      <c r="K130" s="9">
        <f>if($A130&lt;&gt;"",K129+I130,"")</f>
        <v/>
      </c>
      <c r="L130" s="11">
        <f>IF($A130&lt;&gt;"",IF(K130-J130=0,"tie",IF(K130-J130&gt;0,"+"&amp;K130-J130,"+"&amp;J130-K130)),"")</f>
        <v/>
      </c>
      <c r="M130" s="17" t="n"/>
      <c r="N130" s="17" t="n"/>
      <c r="O130" s="17" t="n"/>
      <c r="P130" s="17" t="n"/>
      <c r="Q130" s="17" t="n"/>
      <c r="R130" s="17" t="n"/>
      <c r="S130" s="17" t="n"/>
    </row>
    <row r="131">
      <c r="A131" s="15" t="n">
        <v>42313</v>
      </c>
      <c r="B131" s="9" t="n">
        <v>25</v>
      </c>
      <c r="C131" s="10" t="n">
        <v>30</v>
      </c>
      <c r="D131" s="17" t="inlineStr">
        <is>
          <t>Preston Way</t>
        </is>
      </c>
      <c r="E131" s="10">
        <f>if($A131&lt;&gt;"",E130+B131,"")</f>
        <v/>
      </c>
      <c r="F131" s="9">
        <f>if($A131&lt;&gt;"",F130+C131,"")</f>
        <v/>
      </c>
      <c r="G131" s="11">
        <f>IF($A131&lt;&gt;"",IF(F131-E131=0,"tie",IF(F131-E131&gt;0,"+"&amp;F131-E131,"+"&amp;E131-F131)),"")</f>
        <v/>
      </c>
      <c r="H131" s="12">
        <f>if($A131&lt;&gt;"",if(B131&gt;C131,if(B131&lt;60,1,2),""),"")</f>
        <v/>
      </c>
      <c r="I131" s="12">
        <f>if($A131&lt;&gt;"",if(C131&gt;B131,if(C131&lt;60,1,2),""),"")</f>
        <v/>
      </c>
      <c r="J131" s="9">
        <f>if($A131&lt;&gt;"",J130+H131,"")</f>
        <v/>
      </c>
      <c r="K131" s="9">
        <f>if($A131&lt;&gt;"",K130+I131,"")</f>
        <v/>
      </c>
      <c r="L131" s="11">
        <f>IF($A131&lt;&gt;"",IF(K131-J131=0,"tie",IF(K131-J131&gt;0,"+"&amp;K131-J131,"+"&amp;J131-K131)),"")</f>
        <v/>
      </c>
      <c r="M131" s="17" t="n"/>
      <c r="N131" s="17" t="n"/>
      <c r="O131" s="17" t="n"/>
      <c r="P131" s="17" t="n"/>
      <c r="Q131" s="17" t="n"/>
      <c r="R131" s="17" t="n"/>
      <c r="S131" s="17" t="n"/>
    </row>
    <row r="132">
      <c r="A132" s="15" t="n">
        <v>42314</v>
      </c>
      <c r="B132" s="10" t="n">
        <v>30</v>
      </c>
      <c r="C132" s="9" t="n">
        <v>25</v>
      </c>
      <c r="D132" s="17" t="inlineStr">
        <is>
          <t>Preston Way</t>
        </is>
      </c>
      <c r="E132" s="10">
        <f>if($A132&lt;&gt;"",E131+B132,"")</f>
        <v/>
      </c>
      <c r="F132" s="9">
        <f>if($A132&lt;&gt;"",F131+C132,"")</f>
        <v/>
      </c>
      <c r="G132" s="11">
        <f>IF($A132&lt;&gt;"",IF(F132-E132=0,"tie",IF(F132-E132&gt;0,"+"&amp;F132-E132,"+"&amp;E132-F132)),"")</f>
        <v/>
      </c>
      <c r="H132" s="12">
        <f>if($A132&lt;&gt;"",if(B132&gt;C132,if(B132&lt;60,1,2),""),"")</f>
        <v/>
      </c>
      <c r="I132" s="12">
        <f>if($A132&lt;&gt;"",if(C132&gt;B132,if(C132&lt;60,1,2),""),"")</f>
        <v/>
      </c>
      <c r="J132" s="9">
        <f>if($A132&lt;&gt;"",J131+H132,"")</f>
        <v/>
      </c>
      <c r="K132" s="9">
        <f>if($A132&lt;&gt;"",K131+I132,"")</f>
        <v/>
      </c>
      <c r="L132" s="11">
        <f>IF($A132&lt;&gt;"",IF(K132-J132=0,"tie",IF(K132-J132&gt;0,"+"&amp;K132-J132,"+"&amp;J132-K132)),"")</f>
        <v/>
      </c>
      <c r="M132" s="17" t="n"/>
      <c r="N132" s="17" t="n"/>
      <c r="O132" s="17" t="n"/>
      <c r="P132" s="17" t="n"/>
      <c r="Q132" s="17" t="n"/>
      <c r="R132" s="17" t="n"/>
      <c r="S132" s="17" t="n"/>
    </row>
    <row r="133">
      <c r="A133" s="15" t="n">
        <v>42314</v>
      </c>
      <c r="B133" s="10" t="n">
        <v>30</v>
      </c>
      <c r="C133" s="9" t="n">
        <v>25</v>
      </c>
      <c r="D133" s="17" t="inlineStr">
        <is>
          <t>Centanni</t>
        </is>
      </c>
      <c r="E133" s="10">
        <f>if($A133&lt;&gt;"",E132+B133,"")</f>
        <v/>
      </c>
      <c r="F133" s="9">
        <f>if($A133&lt;&gt;"",F132+C133,"")</f>
        <v/>
      </c>
      <c r="G133" s="11">
        <f>IF($A133&lt;&gt;"",IF(F133-E133=0,"tie",IF(F133-E133&gt;0,"+"&amp;F133-E133,"+"&amp;E133-F133)),"")</f>
        <v/>
      </c>
      <c r="H133" s="12">
        <f>if($A133&lt;&gt;"",if(B133&gt;C133,if(B133&lt;60,1,2),""),"")</f>
        <v/>
      </c>
      <c r="I133" s="12">
        <f>if($A133&lt;&gt;"",if(C133&gt;B133,if(C133&lt;60,1,2),""),"")</f>
        <v/>
      </c>
      <c r="J133" s="9">
        <f>if($A133&lt;&gt;"",J132+H133,"")</f>
        <v/>
      </c>
      <c r="K133" s="9">
        <f>if($A133&lt;&gt;"",K132+I133,"")</f>
        <v/>
      </c>
      <c r="L133" s="11">
        <f>IF($A133&lt;&gt;"",IF(K133-J133=0,"tie",IF(K133-J133&gt;0,"+"&amp;K133-J133,"+"&amp;J133-K133)),"")</f>
        <v/>
      </c>
      <c r="M133" s="17" t="n"/>
      <c r="N133" s="17" t="n"/>
      <c r="O133" s="17" t="n"/>
      <c r="P133" s="17" t="n"/>
      <c r="Q133" s="17" t="n"/>
      <c r="R133" s="17" t="n"/>
      <c r="S133" s="17" t="n"/>
    </row>
    <row r="134">
      <c r="A134" s="15" t="n">
        <v>42318</v>
      </c>
      <c r="B134" s="10" t="n">
        <v>30</v>
      </c>
      <c r="C134" s="9" t="n">
        <v>25</v>
      </c>
      <c r="D134" s="17" t="inlineStr">
        <is>
          <t>Café 50's, Venice</t>
        </is>
      </c>
      <c r="E134" s="10">
        <f>if($A134&lt;&gt;"",E133+B134,"")</f>
        <v/>
      </c>
      <c r="F134" s="9">
        <f>if($A134&lt;&gt;"",F133+C134,"")</f>
        <v/>
      </c>
      <c r="G134" s="11">
        <f>IF($A134&lt;&gt;"",IF(F134-E134=0,"tie",IF(F134-E134&gt;0,"+"&amp;F134-E134,"+"&amp;E134-F134)),"")</f>
        <v/>
      </c>
      <c r="H134" s="12">
        <f>if($A134&lt;&gt;"",if(B134&gt;C134,if(B134&lt;60,1,2),""),"")</f>
        <v/>
      </c>
      <c r="I134" s="12">
        <f>if($A134&lt;&gt;"",if(C134&gt;B134,if(C134&lt;60,1,2),""),"")</f>
        <v/>
      </c>
      <c r="J134" s="9">
        <f>if($A134&lt;&gt;"",J133+H134,"")</f>
        <v/>
      </c>
      <c r="K134" s="9">
        <f>if($A134&lt;&gt;"",K133+I134,"")</f>
        <v/>
      </c>
      <c r="L134" s="11">
        <f>IF($A134&lt;&gt;"",IF(K134-J134=0,"tie",IF(K134-J134&gt;0,"+"&amp;K134-J134,"+"&amp;J134-K134)),"")</f>
        <v/>
      </c>
      <c r="M134" s="17" t="n"/>
      <c r="N134" s="17" t="n"/>
      <c r="O134" s="17" t="n"/>
      <c r="P134" s="17" t="n"/>
      <c r="Q134" s="17" t="n"/>
      <c r="R134" s="17" t="n"/>
      <c r="S134" s="17" t="n"/>
    </row>
    <row r="135">
      <c r="A135" s="15" t="n">
        <v>42322</v>
      </c>
      <c r="B135" s="10" t="n">
        <v>30</v>
      </c>
      <c r="C135" s="9" t="n">
        <v>25</v>
      </c>
      <c r="D135" s="17" t="inlineStr">
        <is>
          <t>The Anchor, Venice</t>
        </is>
      </c>
      <c r="E135" s="10">
        <f>if($A135&lt;&gt;"",E134+B135,"")</f>
        <v/>
      </c>
      <c r="F135" s="9">
        <f>if($A135&lt;&gt;"",F134+C135,"")</f>
        <v/>
      </c>
      <c r="G135" s="11">
        <f>IF($A135&lt;&gt;"",IF(F135-E135=0,"tie",IF(F135-E135&gt;0,"+"&amp;F135-E135,"+"&amp;E135-F135)),"")</f>
        <v/>
      </c>
      <c r="H135" s="12">
        <f>if($A135&lt;&gt;"",if(B135&gt;C135,if(B135&lt;60,1,2),""),"")</f>
        <v/>
      </c>
      <c r="I135" s="12">
        <f>if($A135&lt;&gt;"",if(C135&gt;B135,if(C135&lt;60,1,2),""),"")</f>
        <v/>
      </c>
      <c r="J135" s="9">
        <f>if($A135&lt;&gt;"",J134+H135,"")</f>
        <v/>
      </c>
      <c r="K135" s="9">
        <f>if($A135&lt;&gt;"",K134+I135,"")</f>
        <v/>
      </c>
      <c r="L135" s="11">
        <f>IF($A135&lt;&gt;"",IF(K135-J135=0,"tie",IF(K135-J135&gt;0,"+"&amp;K135-J135,"+"&amp;J135-K135)),"")</f>
        <v/>
      </c>
      <c r="M135" s="17" t="n"/>
      <c r="N135" s="17" t="n"/>
      <c r="O135" s="17" t="n"/>
      <c r="P135" s="17" t="n"/>
      <c r="Q135" s="17" t="n"/>
      <c r="R135" s="17" t="n"/>
      <c r="S135" s="17" t="n"/>
    </row>
    <row r="136">
      <c r="A136" s="15" t="n">
        <v>42325</v>
      </c>
      <c r="B136" s="10" t="n">
        <v>30</v>
      </c>
      <c r="C136" s="9" t="n">
        <v>25</v>
      </c>
      <c r="D136" s="17" t="inlineStr">
        <is>
          <t>Café 50's, Venice</t>
        </is>
      </c>
      <c r="E136" s="10">
        <f>if($A136&lt;&gt;"",E135+B136,"")</f>
        <v/>
      </c>
      <c r="F136" s="9">
        <f>if($A136&lt;&gt;"",F135+C136,"")</f>
        <v/>
      </c>
      <c r="G136" s="11">
        <f>IF($A136&lt;&gt;"",IF(F136-E136=0,"tie",IF(F136-E136&gt;0,"+"&amp;F136-E136,"+"&amp;E136-F136)),"")</f>
        <v/>
      </c>
      <c r="H136" s="12">
        <f>if($A136&lt;&gt;"",if(B136&gt;C136,if(B136&lt;60,1,2),""),"")</f>
        <v/>
      </c>
      <c r="I136" s="12">
        <f>if($A136&lt;&gt;"",if(C136&gt;B136,if(C136&lt;60,1,2),""),"")</f>
        <v/>
      </c>
      <c r="J136" s="9">
        <f>if($A136&lt;&gt;"",J135+H136,"")</f>
        <v/>
      </c>
      <c r="K136" s="9">
        <f>if($A136&lt;&gt;"",K135+I136,"")</f>
        <v/>
      </c>
      <c r="L136" s="11">
        <f>IF($A136&lt;&gt;"",IF(K136-J136=0,"tie",IF(K136-J136&gt;0,"+"&amp;K136-J136,"+"&amp;J136-K136)),"")</f>
        <v/>
      </c>
      <c r="M136" s="17" t="n"/>
      <c r="N136" s="17" t="n"/>
      <c r="O136" s="17" t="n"/>
      <c r="P136" s="17" t="n"/>
      <c r="Q136" s="17" t="n"/>
      <c r="R136" s="17" t="n"/>
      <c r="S136" s="17" t="n"/>
    </row>
    <row r="137">
      <c r="A137" s="15" t="n">
        <v>42328</v>
      </c>
      <c r="B137" s="9" t="n">
        <v>25</v>
      </c>
      <c r="C137" s="10" t="n">
        <v>30</v>
      </c>
      <c r="D137" s="17" t="inlineStr">
        <is>
          <t>Jerry's Deli, MDR</t>
        </is>
      </c>
      <c r="E137" s="10">
        <f>if($A137&lt;&gt;"",E136+B137,"")</f>
        <v/>
      </c>
      <c r="F137" s="9">
        <f>if($A137&lt;&gt;"",F136+C137,"")</f>
        <v/>
      </c>
      <c r="G137" s="11">
        <f>IF($A137&lt;&gt;"",IF(F137-E137=0,"tie",IF(F137-E137&gt;0,"+"&amp;F137-E137,"+"&amp;E137-F137)),"")</f>
        <v/>
      </c>
      <c r="H137" s="12">
        <f>if($A137&lt;&gt;"",if(B137&gt;C137,if(B137&lt;60,1,2),""),"")</f>
        <v/>
      </c>
      <c r="I137" s="12">
        <f>if($A137&lt;&gt;"",if(C137&gt;B137,if(C137&lt;60,1,2),""),"")</f>
        <v/>
      </c>
      <c r="J137" s="9">
        <f>if($A137&lt;&gt;"",J136+H137,"")</f>
        <v/>
      </c>
      <c r="K137" s="9">
        <f>if($A137&lt;&gt;"",K136+I137,"")</f>
        <v/>
      </c>
      <c r="L137" s="11">
        <f>IF($A137&lt;&gt;"",IF(K137-J137=0,"tie",IF(K137-J137&gt;0,"+"&amp;K137-J137,"+"&amp;J137-K137)),"")</f>
        <v/>
      </c>
      <c r="M137" s="17" t="n"/>
      <c r="N137" s="17" t="n"/>
      <c r="O137" s="17" t="n"/>
      <c r="P137" s="17" t="n"/>
      <c r="Q137" s="17" t="n"/>
      <c r="R137" s="17" t="n"/>
      <c r="S137" s="17" t="n"/>
    </row>
    <row r="138">
      <c r="A138" s="15" t="n">
        <v>42336</v>
      </c>
      <c r="B138" s="9" t="n">
        <v>25</v>
      </c>
      <c r="C138" s="10" t="n">
        <v>30</v>
      </c>
      <c r="D138" s="17" t="inlineStr">
        <is>
          <t>Abbots Habit, Abbot Kinney, Venice</t>
        </is>
      </c>
      <c r="E138" s="10">
        <f>if($A138&lt;&gt;"",E137+B138,"")</f>
        <v/>
      </c>
      <c r="F138" s="9">
        <f>if($A138&lt;&gt;"",F137+C138,"")</f>
        <v/>
      </c>
      <c r="G138" s="11">
        <f>IF($A138&lt;&gt;"",IF(F138-E138=0,"tie",IF(F138-E138&gt;0,"+"&amp;F138-E138,"+"&amp;E138-F138)),"")</f>
        <v/>
      </c>
      <c r="H138" s="12">
        <f>if($A138&lt;&gt;"",if(B138&gt;C138,if(B138&lt;60,1,2),""),"")</f>
        <v/>
      </c>
      <c r="I138" s="12">
        <f>if($A138&lt;&gt;"",if(C138&gt;B138,if(C138&lt;60,1,2),""),"")</f>
        <v/>
      </c>
      <c r="J138" s="9">
        <f>if($A138&lt;&gt;"",J137+H138,"")</f>
        <v/>
      </c>
      <c r="K138" s="9">
        <f>if($A138&lt;&gt;"",K137+I138,"")</f>
        <v/>
      </c>
      <c r="L138" s="11">
        <f>IF($A138&lt;&gt;"",IF(K138-J138=0,"tie",IF(K138-J138&gt;0,"+"&amp;K138-J138,"+"&amp;J138-K138)),"")</f>
        <v/>
      </c>
      <c r="M138" s="17" t="n"/>
      <c r="N138" s="17" t="n"/>
      <c r="O138" s="17" t="n"/>
      <c r="P138" s="17" t="n"/>
      <c r="Q138" s="17" t="n"/>
      <c r="R138" s="17" t="n"/>
      <c r="S138" s="17" t="n"/>
    </row>
    <row r="139">
      <c r="A139" s="15" t="n">
        <v>42336</v>
      </c>
      <c r="B139" s="9" t="n">
        <v>25</v>
      </c>
      <c r="C139" s="10" t="n">
        <v>30</v>
      </c>
      <c r="D139" s="17" t="inlineStr">
        <is>
          <t>Rose Cafe, Venice - reopening</t>
        </is>
      </c>
      <c r="E139" s="10">
        <f>if($A139&lt;&gt;"",E138+B139,"")</f>
        <v/>
      </c>
      <c r="F139" s="9">
        <f>if($A139&lt;&gt;"",F138+C139,"")</f>
        <v/>
      </c>
      <c r="G139" s="11">
        <f>IF($A139&lt;&gt;"",IF(F139-E139=0,"tie",IF(F139-E139&gt;0,"+"&amp;F139-E139,"+"&amp;E139-F139)),"")</f>
        <v/>
      </c>
      <c r="H139" s="12">
        <f>if($A139&lt;&gt;"",if(B139&gt;C139,if(B139&lt;60,1,2),""),"")</f>
        <v/>
      </c>
      <c r="I139" s="12">
        <f>if($A139&lt;&gt;"",if(C139&gt;B139,if(C139&lt;60,1,2),""),"")</f>
        <v/>
      </c>
      <c r="J139" s="9">
        <f>if($A139&lt;&gt;"",J138+H139,"")</f>
        <v/>
      </c>
      <c r="K139" s="9">
        <f>if($A139&lt;&gt;"",K138+I139,"")</f>
        <v/>
      </c>
      <c r="L139" s="11">
        <f>IF($A139&lt;&gt;"",IF(K139-J139=0,"tie",IF(K139-J139&gt;0,"+"&amp;K139-J139,"+"&amp;J139-K139)),"")</f>
        <v/>
      </c>
      <c r="M139" s="17" t="n"/>
      <c r="N139" s="17" t="n"/>
      <c r="O139" s="17" t="n"/>
      <c r="P139" s="17" t="n"/>
      <c r="Q139" s="17" t="n"/>
      <c r="R139" s="17" t="n"/>
      <c r="S139" s="17" t="n"/>
    </row>
    <row r="140">
      <c r="A140" s="15" t="n">
        <v>42339</v>
      </c>
      <c r="B140" s="10" t="n">
        <v>30</v>
      </c>
      <c r="C140" s="9" t="n">
        <v>25</v>
      </c>
      <c r="D140" s="17" t="inlineStr">
        <is>
          <t>Café 50's, Venice</t>
        </is>
      </c>
      <c r="E140" s="10">
        <f>if($A140&lt;&gt;"",E139+B140,"")</f>
        <v/>
      </c>
      <c r="F140" s="9">
        <f>if($A140&lt;&gt;"",F139+C140,"")</f>
        <v/>
      </c>
      <c r="G140" s="11">
        <f>IF($A140&lt;&gt;"",IF(F140-E140=0,"tie",IF(F140-E140&gt;0,"+"&amp;F140-E140,"+"&amp;E140-F140)),"")</f>
        <v/>
      </c>
      <c r="H140" s="12">
        <f>if($A140&lt;&gt;"",if(B140&gt;C140,if(B140&lt;60,1,2),""),"")</f>
        <v/>
      </c>
      <c r="I140" s="12">
        <f>if($A140&lt;&gt;"",if(C140&gt;B140,if(C140&lt;60,1,2),""),"")</f>
        <v/>
      </c>
      <c r="J140" s="9">
        <f>if($A140&lt;&gt;"",J139+H140,"")</f>
        <v/>
      </c>
      <c r="K140" s="9">
        <f>if($A140&lt;&gt;"",K139+I140,"")</f>
        <v/>
      </c>
      <c r="L140" s="11">
        <f>IF($A140&lt;&gt;"",IF(K140-J140=0,"tie",IF(K140-J140&gt;0,"+"&amp;K140-J140,"+"&amp;J140-K140)),"")</f>
        <v/>
      </c>
      <c r="M140" s="17" t="n"/>
      <c r="N140" s="17" t="n"/>
      <c r="O140" s="17" t="n"/>
      <c r="P140" s="17" t="n"/>
      <c r="Q140" s="17" t="n"/>
      <c r="R140" s="17" t="n"/>
      <c r="S140" s="17" t="n"/>
    </row>
    <row r="141">
      <c r="A141" s="15" t="n">
        <v>42340</v>
      </c>
      <c r="B141" s="9" t="n">
        <v>25</v>
      </c>
      <c r="C141" s="10" t="n">
        <v>30</v>
      </c>
      <c r="D141" s="17" t="inlineStr">
        <is>
          <t>Preston Way</t>
        </is>
      </c>
      <c r="E141" s="10">
        <f>if($A141&lt;&gt;"",E140+B141,"")</f>
        <v/>
      </c>
      <c r="F141" s="9">
        <f>if($A141&lt;&gt;"",F140+C141,"")</f>
        <v/>
      </c>
      <c r="G141" s="11">
        <f>IF($A141&lt;&gt;"",IF(F141-E141=0,"tie",IF(F141-E141&gt;0,"+"&amp;F141-E141,"+"&amp;E141-F141)),"")</f>
        <v/>
      </c>
      <c r="H141" s="12">
        <f>if($A141&lt;&gt;"",if(B141&gt;C141,if(B141&lt;60,1,2),""),"")</f>
        <v/>
      </c>
      <c r="I141" s="12">
        <f>if($A141&lt;&gt;"",if(C141&gt;B141,if(C141&lt;60,1,2),""),"")</f>
        <v/>
      </c>
      <c r="J141" s="9">
        <f>if($A141&lt;&gt;"",J140+H141,"")</f>
        <v/>
      </c>
      <c r="K141" s="9">
        <f>if($A141&lt;&gt;"",K140+I141,"")</f>
        <v/>
      </c>
      <c r="L141" s="11">
        <f>IF($A141&lt;&gt;"",IF(K141-J141=0,"tie",IF(K141-J141&gt;0,"+"&amp;K141-J141,"+"&amp;J141-K141)),"")</f>
        <v/>
      </c>
      <c r="M141" s="17" t="n"/>
      <c r="N141" s="17" t="n"/>
      <c r="O141" s="17" t="n"/>
      <c r="P141" s="17" t="n"/>
      <c r="Q141" s="17" t="n"/>
      <c r="R141" s="17" t="n"/>
      <c r="S141" s="17" t="n"/>
    </row>
    <row r="142">
      <c r="A142" s="15" t="n">
        <v>42341</v>
      </c>
      <c r="B142" s="9" t="n">
        <v>25</v>
      </c>
      <c r="C142" s="10" t="n">
        <v>30</v>
      </c>
      <c r="D142" s="17" t="inlineStr">
        <is>
          <t>George's Burgers, Santa Monica</t>
        </is>
      </c>
      <c r="E142" s="10">
        <f>if($A142&lt;&gt;"",E141+B142,"")</f>
        <v/>
      </c>
      <c r="F142" s="9">
        <f>if($A142&lt;&gt;"",F141+C142,"")</f>
        <v/>
      </c>
      <c r="G142" s="11">
        <f>IF($A142&lt;&gt;"",IF(F142-E142=0,"tie",IF(F142-E142&gt;0,"+"&amp;F142-E142,"+"&amp;E142-F142)),"")</f>
        <v/>
      </c>
      <c r="H142" s="12">
        <f>if($A142&lt;&gt;"",if(B142&gt;C142,if(B142&lt;60,1,2),""),"")</f>
        <v/>
      </c>
      <c r="I142" s="12">
        <f>if($A142&lt;&gt;"",if(C142&gt;B142,if(C142&lt;60,1,2),""),"")</f>
        <v/>
      </c>
      <c r="J142" s="9">
        <f>if($A142&lt;&gt;"",J141+H142,"")</f>
        <v/>
      </c>
      <c r="K142" s="9">
        <f>if($A142&lt;&gt;"",K141+I142,"")</f>
        <v/>
      </c>
      <c r="L142" s="11">
        <f>IF($A142&lt;&gt;"",IF(K142-J142=0,"tie",IF(K142-J142&gt;0,"+"&amp;K142-J142,"+"&amp;J142-K142)),"")</f>
        <v/>
      </c>
      <c r="M142" s="17" t="n"/>
      <c r="N142" s="17" t="n"/>
      <c r="O142" s="17" t="n"/>
      <c r="P142" s="17" t="n"/>
      <c r="Q142" s="17" t="n"/>
      <c r="R142" s="17" t="n"/>
      <c r="S142" s="17" t="n"/>
    </row>
    <row r="143">
      <c r="A143" s="15" t="n">
        <v>42342</v>
      </c>
      <c r="B143" s="9" t="n">
        <v>25</v>
      </c>
      <c r="C143" s="10" t="n">
        <v>30</v>
      </c>
      <c r="D143" s="17" t="inlineStr">
        <is>
          <t>The Independence, Santa Monica</t>
        </is>
      </c>
      <c r="E143" s="10">
        <f>if($A143&lt;&gt;"",E142+B143,"")</f>
        <v/>
      </c>
      <c r="F143" s="9">
        <f>if($A143&lt;&gt;"",F142+C143,"")</f>
        <v/>
      </c>
      <c r="G143" s="11">
        <f>IF($A143&lt;&gt;"",IF(F143-E143=0,"tie",IF(F143-E143&gt;0,"+"&amp;F143-E143,"+"&amp;E143-F143)),"")</f>
        <v/>
      </c>
      <c r="H143" s="12">
        <f>if($A143&lt;&gt;"",if(B143&gt;C143,if(B143&lt;60,1,2),""),"")</f>
        <v/>
      </c>
      <c r="I143" s="12">
        <f>if($A143&lt;&gt;"",if(C143&gt;B143,if(C143&lt;60,1,2),""),"")</f>
        <v/>
      </c>
      <c r="J143" s="9">
        <f>if($A143&lt;&gt;"",J142+H143,"")</f>
        <v/>
      </c>
      <c r="K143" s="9">
        <f>if($A143&lt;&gt;"",K142+I143,"")</f>
        <v/>
      </c>
      <c r="L143" s="11">
        <f>IF($A143&lt;&gt;"",IF(K143-J143=0,"tie",IF(K143-J143&gt;0,"+"&amp;K143-J143,"+"&amp;J143-K143)),"")</f>
        <v/>
      </c>
      <c r="M143" s="17" t="n"/>
      <c r="N143" s="17" t="n"/>
      <c r="O143" s="17" t="n"/>
      <c r="P143" s="17" t="n"/>
      <c r="Q143" s="17" t="n"/>
      <c r="R143" s="17" t="n"/>
      <c r="S143" s="17" t="n"/>
    </row>
    <row r="144">
      <c r="A144" s="15" t="n">
        <v>42343</v>
      </c>
      <c r="B144" s="10" t="n">
        <v>30</v>
      </c>
      <c r="C144" s="9" t="n">
        <v>25</v>
      </c>
      <c r="D144" s="17" t="inlineStr">
        <is>
          <t>Café 50's, Venice</t>
        </is>
      </c>
      <c r="E144" s="10">
        <f>if($A144&lt;&gt;"",E143+B144,"")</f>
        <v/>
      </c>
      <c r="F144" s="9">
        <f>if($A144&lt;&gt;"",F143+C144,"")</f>
        <v/>
      </c>
      <c r="G144" s="11">
        <f>IF($A144&lt;&gt;"",IF(F144-E144=0,"tie",IF(F144-E144&gt;0,"+"&amp;F144-E144,"+"&amp;E144-F144)),"")</f>
        <v/>
      </c>
      <c r="H144" s="12">
        <f>if($A144&lt;&gt;"",if(B144&gt;C144,if(B144&lt;60,1,2),""),"")</f>
        <v/>
      </c>
      <c r="I144" s="12">
        <f>if($A144&lt;&gt;"",if(C144&gt;B144,if(C144&lt;60,1,2),""),"")</f>
        <v/>
      </c>
      <c r="J144" s="9">
        <f>if($A144&lt;&gt;"",J143+H144,"")</f>
        <v/>
      </c>
      <c r="K144" s="9">
        <f>if($A144&lt;&gt;"",K143+I144,"")</f>
        <v/>
      </c>
      <c r="L144" s="11">
        <f>IF($A144&lt;&gt;"",IF(K144-J144=0,"tie",IF(K144-J144&gt;0,"+"&amp;K144-J144,"+"&amp;J144-K144)),"")</f>
        <v/>
      </c>
      <c r="M144" s="17" t="n"/>
      <c r="N144" s="17" t="n"/>
      <c r="O144" s="17" t="n"/>
      <c r="P144" s="17" t="n"/>
      <c r="Q144" s="17" t="n"/>
      <c r="R144" s="17" t="n"/>
      <c r="S144" s="17" t="n"/>
    </row>
    <row r="145">
      <c r="A145" s="15" t="n">
        <v>42347</v>
      </c>
      <c r="B145" s="10" t="n">
        <v>30</v>
      </c>
      <c r="C145" s="9" t="n">
        <v>25</v>
      </c>
      <c r="D145" s="17" t="inlineStr">
        <is>
          <t>Swingers, Santa Monica</t>
        </is>
      </c>
      <c r="E145" s="10">
        <f>if($A145&lt;&gt;"",E144+B145,"")</f>
        <v/>
      </c>
      <c r="F145" s="9">
        <f>if($A145&lt;&gt;"",F144+C145,"")</f>
        <v/>
      </c>
      <c r="G145" s="11">
        <f>IF($A145&lt;&gt;"",IF(F145-E145=0,"tie",IF(F145-E145&gt;0,"+"&amp;F145-E145,"+"&amp;E145-F145)),"")</f>
        <v/>
      </c>
      <c r="H145" s="12">
        <f>if($A145&lt;&gt;"",if(B145&gt;C145,if(B145&lt;60,1,2),""),"")</f>
        <v/>
      </c>
      <c r="I145" s="12">
        <f>if($A145&lt;&gt;"",if(C145&gt;B145,if(C145&lt;60,1,2),""),"")</f>
        <v/>
      </c>
      <c r="J145" s="9">
        <f>if($A145&lt;&gt;"",J144+H145,"")</f>
        <v/>
      </c>
      <c r="K145" s="9">
        <f>if($A145&lt;&gt;"",K144+I145,"")</f>
        <v/>
      </c>
      <c r="L145" s="11">
        <f>IF($A145&lt;&gt;"",IF(K145-J145=0,"tie",IF(K145-J145&gt;0,"+"&amp;K145-J145,"+"&amp;J145-K145)),"")</f>
        <v/>
      </c>
      <c r="M145" s="17" t="n"/>
      <c r="N145" s="17" t="n"/>
      <c r="O145" s="17" t="n"/>
      <c r="P145" s="17" t="n"/>
      <c r="Q145" s="17" t="n"/>
      <c r="R145" s="17" t="n"/>
      <c r="S145" s="17" t="n"/>
    </row>
    <row r="146">
      <c r="A146" s="15" t="n">
        <v>42366</v>
      </c>
      <c r="B146" s="9" t="n">
        <v>25</v>
      </c>
      <c r="C146" s="10" t="n">
        <v>30</v>
      </c>
      <c r="D146" s="17" t="inlineStr">
        <is>
          <t>George's Burgers, Santa Monica</t>
        </is>
      </c>
      <c r="E146" s="10">
        <f>if($A146&lt;&gt;"",E145+B146,"")</f>
        <v/>
      </c>
      <c r="F146" s="9">
        <f>if($A146&lt;&gt;"",F145+C146,"")</f>
        <v/>
      </c>
      <c r="G146" s="11">
        <f>IF($A146&lt;&gt;"",IF(F146-E146=0,"tie",IF(F146-E146&gt;0,"+"&amp;F146-E146,"+"&amp;E146-F146)),"")</f>
        <v/>
      </c>
      <c r="H146" s="12">
        <f>if($A146&lt;&gt;"",if(B146&gt;C146,if(B146&lt;60,1,2),""),"")</f>
        <v/>
      </c>
      <c r="I146" s="12">
        <f>if($A146&lt;&gt;"",if(C146&gt;B146,if(C146&lt;60,1,2),""),"")</f>
        <v/>
      </c>
      <c r="J146" s="9">
        <f>if($A146&lt;&gt;"",J145+H146,"")</f>
        <v/>
      </c>
      <c r="K146" s="9">
        <f>if($A146&lt;&gt;"",K145+I146,"")</f>
        <v/>
      </c>
      <c r="L146" s="11">
        <f>IF($A146&lt;&gt;"",IF(K146-J146=0,"tie",IF(K146-J146&gt;0,"+"&amp;K146-J146,"+"&amp;J146-K146)),"")</f>
        <v/>
      </c>
      <c r="M146" s="17" t="n"/>
      <c r="N146" s="17" t="n"/>
      <c r="O146" s="17" t="n"/>
      <c r="P146" s="17" t="n"/>
      <c r="Q146" s="17" t="n"/>
      <c r="R146" s="17" t="n"/>
      <c r="S146" s="17" t="n"/>
    </row>
    <row r="147">
      <c r="A147" s="15" t="n">
        <v>42368</v>
      </c>
      <c r="B147" s="10" t="n">
        <v>30</v>
      </c>
      <c r="C147" s="9" t="n">
        <v>25</v>
      </c>
      <c r="D147" s="17" t="inlineStr">
        <is>
          <t>Superba Bread &amp; Food</t>
        </is>
      </c>
      <c r="E147" s="10">
        <f>if($A147&lt;&gt;"",E146+B147,"")</f>
        <v/>
      </c>
      <c r="F147" s="9">
        <f>if($A147&lt;&gt;"",F146+C147,"")</f>
        <v/>
      </c>
      <c r="G147" s="11">
        <f>IF($A147&lt;&gt;"",IF(F147-E147=0,"tie",IF(F147-E147&gt;0,"+"&amp;F147-E147,"+"&amp;E147-F147)),"")</f>
        <v/>
      </c>
      <c r="H147" s="12">
        <f>if($A147&lt;&gt;"",if(B147&gt;C147,if(B147&lt;60,1,2),""),"")</f>
        <v/>
      </c>
      <c r="I147" s="12">
        <f>if($A147&lt;&gt;"",if(C147&gt;B147,if(C147&lt;60,1,2),""),"")</f>
        <v/>
      </c>
      <c r="J147" s="9">
        <f>if($A147&lt;&gt;"",J146+H147,"")</f>
        <v/>
      </c>
      <c r="K147" s="9">
        <f>if($A147&lt;&gt;"",K146+I147,"")</f>
        <v/>
      </c>
      <c r="L147" s="11">
        <f>IF($A147&lt;&gt;"",IF(K147-J147=0,"tie",IF(K147-J147&gt;0,"+"&amp;K147-J147,"+"&amp;J147-K147)),"")</f>
        <v/>
      </c>
      <c r="M147" s="17" t="n"/>
      <c r="N147" s="17" t="n"/>
      <c r="O147" s="17" t="n"/>
      <c r="P147" s="17" t="n"/>
      <c r="Q147" s="17" t="n"/>
      <c r="R147" s="17" t="n"/>
      <c r="S147" s="17" t="n"/>
    </row>
    <row r="148">
      <c r="A148" s="15" t="n">
        <v>42372</v>
      </c>
      <c r="B148" s="9" t="n">
        <v>25</v>
      </c>
      <c r="C148" s="10" t="n">
        <v>30</v>
      </c>
      <c r="D148" s="17" t="inlineStr">
        <is>
          <t>Café 50's, Venice</t>
        </is>
      </c>
      <c r="E148" s="10">
        <f>if($A148&lt;&gt;"",E147+B148,"")</f>
        <v/>
      </c>
      <c r="F148" s="9">
        <f>if($A148&lt;&gt;"",F147+C148,"")</f>
        <v/>
      </c>
      <c r="G148" s="11">
        <f>IF($A148&lt;&gt;"",IF(F148-E148=0,"tie",IF(F148-E148&gt;0,"+"&amp;F148-E148,"+"&amp;E148-F148)),"")</f>
        <v/>
      </c>
      <c r="H148" s="12">
        <f>if($A148&lt;&gt;"",if(B148&gt;C148,if(B148&lt;60,1,2),""),"")</f>
        <v/>
      </c>
      <c r="I148" s="12">
        <f>if($A148&lt;&gt;"",if(C148&gt;B148,if(C148&lt;60,1,2),""),"")</f>
        <v/>
      </c>
      <c r="J148" s="9">
        <f>if($A148&lt;&gt;"",J147+H148,"")</f>
        <v/>
      </c>
      <c r="K148" s="9">
        <f>if($A148&lt;&gt;"",K147+I148,"")</f>
        <v/>
      </c>
      <c r="L148" s="11">
        <f>IF($A148&lt;&gt;"",IF(K148-J148=0,"tie",IF(K148-J148&gt;0,"+"&amp;K148-J148,"+"&amp;J148-K148)),"")</f>
        <v/>
      </c>
      <c r="M148" s="17" t="n"/>
      <c r="N148" s="17" t="n"/>
      <c r="O148" s="17" t="n"/>
      <c r="P148" s="17" t="n"/>
      <c r="Q148" s="17" t="n"/>
      <c r="R148" s="17" t="n"/>
      <c r="S148" s="17" t="n"/>
    </row>
    <row r="149">
      <c r="A149" s="15" t="n">
        <v>42376</v>
      </c>
      <c r="B149" s="10" t="n">
        <v>30</v>
      </c>
      <c r="C149" s="9" t="n">
        <v>25</v>
      </c>
      <c r="D149" s="17" t="inlineStr">
        <is>
          <t>Mill Creek Inn, Mentone</t>
        </is>
      </c>
      <c r="E149" s="10">
        <f>if($A149&lt;&gt;"",E148+B149,"")</f>
        <v/>
      </c>
      <c r="F149" s="9">
        <f>if($A149&lt;&gt;"",F148+C149,"")</f>
        <v/>
      </c>
      <c r="G149" s="11">
        <f>IF($A149&lt;&gt;"",IF(F149-E149=0,"tie",IF(F149-E149&gt;0,"+"&amp;F149-E149,"+"&amp;E149-F149)),"")</f>
        <v/>
      </c>
      <c r="H149" s="12">
        <f>if($A149&lt;&gt;"",if(B149&gt;C149,if(B149&lt;60,1,2),""),"")</f>
        <v/>
      </c>
      <c r="I149" s="12">
        <f>if($A149&lt;&gt;"",if(C149&gt;B149,if(C149&lt;60,1,2),""),"")</f>
        <v/>
      </c>
      <c r="J149" s="9">
        <f>if($A149&lt;&gt;"",J148+H149,"")</f>
        <v/>
      </c>
      <c r="K149" s="9">
        <f>if($A149&lt;&gt;"",K148+I149,"")</f>
        <v/>
      </c>
      <c r="L149" s="11">
        <f>IF($A149&lt;&gt;"",IF(K149-J149=0,"tie",IF(K149-J149&gt;0,"+"&amp;K149-J149,"+"&amp;J149-K149)),"")</f>
        <v/>
      </c>
      <c r="M149" s="17" t="n"/>
      <c r="N149" s="17" t="n"/>
      <c r="O149" s="17" t="n"/>
      <c r="P149" s="17" t="n"/>
      <c r="Q149" s="17" t="n"/>
      <c r="R149" s="17" t="n"/>
      <c r="S149" s="17" t="n"/>
    </row>
    <row r="150">
      <c r="A150" s="15" t="n">
        <v>42384</v>
      </c>
      <c r="B150" s="10" t="n">
        <v>30</v>
      </c>
      <c r="C150" s="9" t="n">
        <v>25</v>
      </c>
      <c r="D150" s="17" t="inlineStr">
        <is>
          <t>Islands, Marina Del Rey</t>
        </is>
      </c>
      <c r="E150" s="9">
        <f>if($A150&lt;&gt;"",E149+B150,"")</f>
        <v/>
      </c>
      <c r="F150" s="10">
        <f>if($A150&lt;&gt;"",F149+C150,"")</f>
        <v/>
      </c>
      <c r="G150" s="11">
        <f>IF($A150&lt;&gt;"",IF(F150-E150=0,"tie",IF(F150-E150&gt;0,"+"&amp;F150-E150,"+"&amp;E150-F150)),"")</f>
        <v/>
      </c>
      <c r="H150" s="12">
        <f>if($A150&lt;&gt;"",if(B150&gt;C150,if(B150&lt;60,1,2),""),"")</f>
        <v/>
      </c>
      <c r="I150" s="12">
        <f>if($A150&lt;&gt;"",if(C150&gt;B150,if(C150&lt;60,1,2),""),"")</f>
        <v/>
      </c>
      <c r="J150" s="9">
        <f>if($A150&lt;&gt;"",J149+H150,"")</f>
        <v/>
      </c>
      <c r="K150" s="9">
        <f>if($A150&lt;&gt;"",K149+I150,"")</f>
        <v/>
      </c>
      <c r="L150" s="11">
        <f>IF($A150&lt;&gt;"",IF(K150-J150=0,"tie",IF(K150-J150&gt;0,"+"&amp;K150-J150,"+"&amp;J150-K150)),"")</f>
        <v/>
      </c>
      <c r="M150" s="17" t="n"/>
      <c r="N150" s="17" t="n"/>
      <c r="O150" s="17" t="n"/>
      <c r="P150" s="17" t="n"/>
      <c r="Q150" s="17" t="n"/>
      <c r="R150" s="17" t="n"/>
      <c r="S150" s="17" t="n"/>
    </row>
    <row r="151">
      <c r="A151" s="15" t="n">
        <v>42387</v>
      </c>
      <c r="B151" s="10" t="n">
        <v>30</v>
      </c>
      <c r="C151" s="9" t="n">
        <v>25</v>
      </c>
      <c r="D151" s="17" t="inlineStr">
        <is>
          <t>Bob's Big Boy, Calemesa</t>
        </is>
      </c>
      <c r="E151" s="10">
        <f>if($A151&lt;&gt;"",E150+B151,"")</f>
        <v/>
      </c>
      <c r="F151" s="9">
        <f>if($A151&lt;&gt;"",F150+C151,"")</f>
        <v/>
      </c>
      <c r="G151" s="11">
        <f>IF($A151&lt;&gt;"",IF(F151-E151=0,"tie",IF(F151-E151&gt;0,"+"&amp;F151-E151,"+"&amp;E151-F151)),"")</f>
        <v/>
      </c>
      <c r="H151" s="12">
        <f>if($A151&lt;&gt;"",if(B151&gt;C151,if(B151&lt;60,1,2),""),"")</f>
        <v/>
      </c>
      <c r="I151" s="12">
        <f>if($A151&lt;&gt;"",if(C151&gt;B151,if(C151&lt;60,1,2),""),"")</f>
        <v/>
      </c>
      <c r="J151" s="9">
        <f>if($A151&lt;&gt;"",J150+H151,"")</f>
        <v/>
      </c>
      <c r="K151" s="9">
        <f>if($A151&lt;&gt;"",K150+I151,"")</f>
        <v/>
      </c>
      <c r="L151" s="11">
        <f>IF($A151&lt;&gt;"",IF(K151-J151=0,"tie",IF(K151-J151&gt;0,"+"&amp;K151-J151,"+"&amp;J151-K151)),"")</f>
        <v/>
      </c>
      <c r="M151" s="17" t="n"/>
      <c r="N151" s="17" t="n"/>
      <c r="O151" s="17" t="n"/>
      <c r="P151" s="17" t="n"/>
      <c r="Q151" s="17" t="n"/>
      <c r="R151" s="17" t="n"/>
      <c r="S151" s="17" t="n"/>
    </row>
    <row r="152">
      <c r="A152" s="15" t="n">
        <v>42388</v>
      </c>
      <c r="B152" s="9" t="n">
        <v>25</v>
      </c>
      <c r="C152" s="10" t="n">
        <v>30</v>
      </c>
      <c r="D152" s="17" t="inlineStr">
        <is>
          <t>Café 50's, Venice</t>
        </is>
      </c>
      <c r="E152" s="10">
        <f>if($A152&lt;&gt;"",E151+B152,"")</f>
        <v/>
      </c>
      <c r="F152" s="9">
        <f>if($A152&lt;&gt;"",F151+C152,"")</f>
        <v/>
      </c>
      <c r="G152" s="11">
        <f>IF($A152&lt;&gt;"",IF(F152-E152=0,"tie",IF(F152-E152&gt;0,"+"&amp;F152-E152,"+"&amp;E152-F152)),"")</f>
        <v/>
      </c>
      <c r="H152" s="12">
        <f>if($A152&lt;&gt;"",if(B152&gt;C152,if(B152&lt;60,1,2),""),"")</f>
        <v/>
      </c>
      <c r="I152" s="12">
        <f>if($A152&lt;&gt;"",if(C152&gt;B152,if(C152&lt;60,1,2),""),"")</f>
        <v/>
      </c>
      <c r="J152" s="9">
        <f>if($A152&lt;&gt;"",J151+H152,"")</f>
        <v/>
      </c>
      <c r="K152" s="9">
        <f>if($A152&lt;&gt;"",K151+I152,"")</f>
        <v/>
      </c>
      <c r="L152" s="11">
        <f>IF($A152&lt;&gt;"",IF(K152-J152=0,"tie",IF(K152-J152&gt;0,"+"&amp;K152-J152,"+"&amp;J152-K152)),"")</f>
        <v/>
      </c>
      <c r="M152" s="17" t="n"/>
      <c r="N152" s="17" t="n"/>
      <c r="O152" s="17" t="n"/>
      <c r="P152" s="17" t="n"/>
      <c r="Q152" s="17" t="n"/>
      <c r="R152" s="17" t="n"/>
      <c r="S152" s="17" t="n"/>
    </row>
    <row r="153">
      <c r="A153" s="15" t="n">
        <v>42395</v>
      </c>
      <c r="B153" s="9" t="n">
        <v>25</v>
      </c>
      <c r="C153" s="10" t="n">
        <v>30</v>
      </c>
      <c r="D153" s="17" t="inlineStr">
        <is>
          <t>Dan Tana's</t>
        </is>
      </c>
      <c r="E153" s="10">
        <f>if($A153&lt;&gt;"",E152+B153,"")</f>
        <v/>
      </c>
      <c r="F153" s="9">
        <f>if($A153&lt;&gt;"",F152+C153,"")</f>
        <v/>
      </c>
      <c r="G153" s="11">
        <f>IF($A153&lt;&gt;"",IF(F153-E153=0,"tie",IF(F153-E153&gt;0,"+"&amp;F153-E153,"+"&amp;E153-F153)),"")</f>
        <v/>
      </c>
      <c r="H153" s="12">
        <f>if($A153&lt;&gt;"",if(B153&gt;C153,if(B153&lt;60,1,2),""),"")</f>
        <v/>
      </c>
      <c r="I153" s="12">
        <f>if($A153&lt;&gt;"",if(C153&gt;B153,if(C153&lt;60,1,2),""),"")</f>
        <v/>
      </c>
      <c r="J153" s="9">
        <f>if($A153&lt;&gt;"",J152+H153,"")</f>
        <v/>
      </c>
      <c r="K153" s="9">
        <f>if($A153&lt;&gt;"",K152+I153,"")</f>
        <v/>
      </c>
      <c r="L153" s="11">
        <f>IF($A153&lt;&gt;"",IF(K153-J153=0,"tie",IF(K153-J153&gt;0,"+"&amp;K153-J153,"+"&amp;J153-K153)),"")</f>
        <v/>
      </c>
      <c r="M153" s="17" t="n"/>
      <c r="N153" s="17" t="n"/>
      <c r="O153" s="17" t="n"/>
      <c r="P153" s="17" t="n"/>
      <c r="Q153" s="17" t="n"/>
      <c r="R153" s="17" t="n"/>
      <c r="S153" s="17" t="n"/>
    </row>
    <row r="154">
      <c r="A154" s="15" t="n">
        <v>42399</v>
      </c>
      <c r="B154" s="9" t="n">
        <v>25</v>
      </c>
      <c r="C154" s="10" t="n">
        <v>30</v>
      </c>
      <c r="D154" s="17" t="inlineStr">
        <is>
          <t>Cairo Cowboy, Venice</t>
        </is>
      </c>
      <c r="E154" s="10">
        <f>if($A154&lt;&gt;"",E153+B154,"")</f>
        <v/>
      </c>
      <c r="F154" s="9">
        <f>if($A154&lt;&gt;"",F153+C154,"")</f>
        <v/>
      </c>
      <c r="G154" s="11">
        <f>IF($A154&lt;&gt;"",IF(F154-E154=0,"tie",IF(F154-E154&gt;0,"+"&amp;F154-E154,"+"&amp;E154-F154)),"")</f>
        <v/>
      </c>
      <c r="H154" s="12">
        <f>if($A154&lt;&gt;"",if(B154&gt;C154,if(B154&lt;60,1,2),""),"")</f>
        <v/>
      </c>
      <c r="I154" s="12">
        <f>if($A154&lt;&gt;"",if(C154&gt;B154,if(C154&lt;60,1,2),""),"")</f>
        <v/>
      </c>
      <c r="J154" s="9">
        <f>if($A154&lt;&gt;"",J153+H154,"")</f>
        <v/>
      </c>
      <c r="K154" s="9">
        <f>if($A154&lt;&gt;"",K153+I154,"")</f>
        <v/>
      </c>
      <c r="L154" s="11">
        <f>IF($A154&lt;&gt;"",IF(K154-J154=0,"tie",IF(K154-J154&gt;0,"+"&amp;K154-J154,"+"&amp;J154-K154)),"")</f>
        <v/>
      </c>
      <c r="M154" s="17" t="n"/>
      <c r="N154" s="17" t="n"/>
      <c r="O154" s="17" t="n"/>
      <c r="P154" s="17" t="n"/>
      <c r="Q154" s="17" t="n"/>
      <c r="R154" s="17" t="n"/>
      <c r="S154" s="17" t="n"/>
    </row>
    <row r="155">
      <c r="A155" s="15" t="n">
        <v>42402</v>
      </c>
      <c r="B155" s="10" t="n">
        <v>30</v>
      </c>
      <c r="C155" s="9" t="n">
        <v>25</v>
      </c>
      <c r="D155" s="17" t="inlineStr">
        <is>
          <t>Café 50's, Venice</t>
        </is>
      </c>
      <c r="E155" s="10">
        <f>if($A155&lt;&gt;"",E154+B155,"")</f>
        <v/>
      </c>
      <c r="F155" s="9">
        <f>if($A155&lt;&gt;"",F154+C155,"")</f>
        <v/>
      </c>
      <c r="G155" s="11">
        <f>IF($A155&lt;&gt;"",IF(F155-E155=0,"tie",IF(F155-E155&gt;0,"+"&amp;F155-E155,"+"&amp;E155-F155)),"")</f>
        <v/>
      </c>
      <c r="H155" s="12">
        <f>if($A155&lt;&gt;"",if(B155&gt;C155,if(B155&lt;60,1,2),""),"")</f>
        <v/>
      </c>
      <c r="I155" s="12">
        <f>if($A155&lt;&gt;"",if(C155&gt;B155,if(C155&lt;60,1,2),""),"")</f>
        <v/>
      </c>
      <c r="J155" s="9">
        <f>if($A155&lt;&gt;"",J154+H155,"")</f>
        <v/>
      </c>
      <c r="K155" s="9">
        <f>if($A155&lt;&gt;"",K154+I155,"")</f>
        <v/>
      </c>
      <c r="L155" s="11">
        <f>IF($A155&lt;&gt;"",IF(K155-J155=0,"tie",IF(K155-J155&gt;0,"+"&amp;K155-J155,"+"&amp;J155-K155)),"")</f>
        <v/>
      </c>
      <c r="M155" s="17" t="n"/>
      <c r="N155" s="17" t="n"/>
      <c r="O155" s="17" t="n"/>
      <c r="P155" s="17" t="n"/>
      <c r="Q155" s="17" t="n"/>
      <c r="R155" s="17" t="n"/>
      <c r="S155" s="17" t="n"/>
    </row>
    <row r="156">
      <c r="A156" s="15" t="n">
        <v>42404</v>
      </c>
      <c r="B156" s="10" t="n">
        <v>30</v>
      </c>
      <c r="C156" s="9" t="n">
        <v>25</v>
      </c>
      <c r="D156" s="17" t="inlineStr">
        <is>
          <t>Izzy's Deli, Santa Monica</t>
        </is>
      </c>
      <c r="E156" s="10">
        <f>if($A156&lt;&gt;"",E155+B156,"")</f>
        <v/>
      </c>
      <c r="F156" s="9">
        <f>if($A156&lt;&gt;"",F155+C156,"")</f>
        <v/>
      </c>
      <c r="G156" s="11">
        <f>IF($A156&lt;&gt;"",IF(F156-E156=0,"tie",IF(F156-E156&gt;0,"+"&amp;F156-E156,"+"&amp;E156-F156)),"")</f>
        <v/>
      </c>
      <c r="H156" s="12">
        <f>if($A156&lt;&gt;"",if(B156&gt;C156,if(B156&lt;60,1,2),""),"")</f>
        <v/>
      </c>
      <c r="I156" s="12">
        <f>if($A156&lt;&gt;"",if(C156&gt;B156,if(C156&lt;60,1,2),""),"")</f>
        <v/>
      </c>
      <c r="J156" s="9">
        <f>if($A156&lt;&gt;"",J155+H156,"")</f>
        <v/>
      </c>
      <c r="K156" s="9">
        <f>if($A156&lt;&gt;"",K155+I156,"")</f>
        <v/>
      </c>
      <c r="L156" s="11">
        <f>IF($A156&lt;&gt;"",IF(K156-J156=0,"tie",IF(K156-J156&gt;0,"+"&amp;K156-J156,"+"&amp;J156-K156)),"")</f>
        <v/>
      </c>
      <c r="M156" s="17" t="n"/>
      <c r="N156" s="17" t="n"/>
      <c r="O156" s="17" t="n"/>
      <c r="P156" s="17" t="n"/>
      <c r="Q156" s="17" t="n"/>
      <c r="R156" s="17" t="n"/>
      <c r="S156" s="17" t="n"/>
    </row>
    <row r="157">
      <c r="A157" s="15" t="n">
        <v>42404</v>
      </c>
      <c r="B157" s="9" t="n">
        <v>25</v>
      </c>
      <c r="C157" s="10" t="n">
        <v>30</v>
      </c>
      <c r="D157" s="17" t="inlineStr">
        <is>
          <t>Café 50's, Venice</t>
        </is>
      </c>
      <c r="E157" s="10">
        <f>if($A157&lt;&gt;"",E156+B157,"")</f>
        <v/>
      </c>
      <c r="F157" s="9">
        <f>if($A157&lt;&gt;"",F156+C157,"")</f>
        <v/>
      </c>
      <c r="G157" s="11">
        <f>IF($A157&lt;&gt;"",IF(F157-E157=0,"tie",IF(F157-E157&gt;0,"+"&amp;F157-E157,"+"&amp;E157-F157)),"")</f>
        <v/>
      </c>
      <c r="H157" s="12">
        <f>if($A157&lt;&gt;"",if(B157&gt;C157,if(B157&lt;60,1,2),""),"")</f>
        <v/>
      </c>
      <c r="I157" s="12">
        <f>if($A157&lt;&gt;"",if(C157&gt;B157,if(C157&lt;60,1,2),""),"")</f>
        <v/>
      </c>
      <c r="J157" s="9">
        <f>if($A157&lt;&gt;"",J156+H157,"")</f>
        <v/>
      </c>
      <c r="K157" s="9">
        <f>if($A157&lt;&gt;"",K156+I157,"")</f>
        <v/>
      </c>
      <c r="L157" s="11">
        <f>IF($A157&lt;&gt;"",IF(K157-J157=0,"tie",IF(K157-J157&gt;0,"+"&amp;K157-J157,"+"&amp;J157-K157)),"")</f>
        <v/>
      </c>
      <c r="M157" s="17" t="n"/>
      <c r="N157" s="17" t="n"/>
      <c r="O157" s="17" t="n"/>
      <c r="P157" s="17" t="n"/>
      <c r="Q157" s="17" t="n"/>
      <c r="R157" s="17" t="n"/>
      <c r="S157" s="17" t="n"/>
    </row>
    <row r="158">
      <c r="A158" s="15" t="n">
        <v>42404</v>
      </c>
      <c r="B158" s="9" t="n">
        <v>25</v>
      </c>
      <c r="C158" s="10" t="n">
        <v>30</v>
      </c>
      <c r="D158" s="17" t="inlineStr">
        <is>
          <t>iHop, MDR</t>
        </is>
      </c>
      <c r="E158" s="10">
        <f>if($A158&lt;&gt;"",E157+B158,"")</f>
        <v/>
      </c>
      <c r="F158" s="9">
        <f>if($A158&lt;&gt;"",F157+C158,"")</f>
        <v/>
      </c>
      <c r="G158" s="11">
        <f>IF($A158&lt;&gt;"",IF(F158-E158=0,"tie",IF(F158-E158&gt;0,"+"&amp;F158-E158,"+"&amp;E158-F158)),"")</f>
        <v/>
      </c>
      <c r="H158" s="12">
        <f>if($A158&lt;&gt;"",if(B158&gt;C158,if(B158&lt;60,1,2),""),"")</f>
        <v/>
      </c>
      <c r="I158" s="12">
        <f>if($A158&lt;&gt;"",if(C158&gt;B158,if(C158&lt;60,1,2),""),"")</f>
        <v/>
      </c>
      <c r="J158" s="9">
        <f>if($A158&lt;&gt;"",J157+H158,"")</f>
        <v/>
      </c>
      <c r="K158" s="9">
        <f>if($A158&lt;&gt;"",K157+I158,"")</f>
        <v/>
      </c>
      <c r="L158" s="11">
        <f>IF($A158&lt;&gt;"",IF(K158-J158=0,"tie",IF(K158-J158&gt;0,"+"&amp;K158-J158,"+"&amp;J158-K158)),"")</f>
        <v/>
      </c>
      <c r="M158" s="17" t="n"/>
      <c r="N158" s="17" t="n"/>
      <c r="O158" s="17" t="n"/>
      <c r="P158" s="17" t="n"/>
      <c r="Q158" s="17" t="n"/>
      <c r="R158" s="17" t="n"/>
      <c r="S158" s="17" t="n"/>
    </row>
    <row r="159">
      <c r="A159" s="15" t="n">
        <v>42405</v>
      </c>
      <c r="B159" s="10" t="n">
        <v>30</v>
      </c>
      <c r="C159" s="9" t="n">
        <v>25</v>
      </c>
      <c r="D159" s="17" t="inlineStr">
        <is>
          <t>Boss's Nova, WLA</t>
        </is>
      </c>
      <c r="E159" s="10">
        <f>if($A159&lt;&gt;"",E158+B159,"")</f>
        <v/>
      </c>
      <c r="F159" s="9">
        <f>if($A159&lt;&gt;"",F158+C159,"")</f>
        <v/>
      </c>
      <c r="G159" s="11">
        <f>IF($A159&lt;&gt;"",IF(F159-E159=0,"tie",IF(F159-E159&gt;0,"+"&amp;F159-E159,"+"&amp;E159-F159)),"")</f>
        <v/>
      </c>
      <c r="H159" s="12">
        <f>if($A159&lt;&gt;"",if(B159&gt;C159,if(B159&lt;60,1,2),""),"")</f>
        <v/>
      </c>
      <c r="I159" s="12">
        <f>if($A159&lt;&gt;"",if(C159&gt;B159,if(C159&lt;60,1,2),""),"")</f>
        <v/>
      </c>
      <c r="J159" s="9">
        <f>if($A159&lt;&gt;"",J158+H159,"")</f>
        <v/>
      </c>
      <c r="K159" s="9">
        <f>if($A159&lt;&gt;"",K158+I159,"")</f>
        <v/>
      </c>
      <c r="L159" s="11">
        <f>IF($A159&lt;&gt;"",IF(K159-J159=0,"tie",IF(K159-J159&gt;0,"+"&amp;K159-J159,"+"&amp;J159-K159)),"")</f>
        <v/>
      </c>
      <c r="M159" s="17" t="n"/>
      <c r="N159" s="17" t="n"/>
      <c r="O159" s="17" t="n"/>
      <c r="P159" s="17" t="n"/>
      <c r="Q159" s="17" t="n"/>
      <c r="R159" s="17" t="n"/>
      <c r="S159" s="17" t="n"/>
    </row>
    <row r="160">
      <c r="A160" s="15" t="n">
        <v>42409</v>
      </c>
      <c r="B160" s="9" t="n">
        <v>25</v>
      </c>
      <c r="C160" s="10" t="n">
        <v>30</v>
      </c>
      <c r="D160" s="17" t="inlineStr">
        <is>
          <t>Café 50's, Venice</t>
        </is>
      </c>
      <c r="E160" s="10">
        <f>if($A160&lt;&gt;"",E159+B160,"")</f>
        <v/>
      </c>
      <c r="F160" s="9">
        <f>if($A160&lt;&gt;"",F159+C160,"")</f>
        <v/>
      </c>
      <c r="G160" s="11">
        <f>IF($A160&lt;&gt;"",IF(F160-E160=0,"tie",IF(F160-E160&gt;0,"+"&amp;F160-E160,"+"&amp;E160-F160)),"")</f>
        <v/>
      </c>
      <c r="H160" s="12">
        <f>if($A160&lt;&gt;"",if(B160&gt;C160,if(B160&lt;60,1,2),""),"")</f>
        <v/>
      </c>
      <c r="I160" s="12">
        <f>if($A160&lt;&gt;"",if(C160&gt;B160,if(C160&lt;60,1,2),""),"")</f>
        <v/>
      </c>
      <c r="J160" s="9">
        <f>if($A160&lt;&gt;"",J159+H160,"")</f>
        <v/>
      </c>
      <c r="K160" s="9">
        <f>if($A160&lt;&gt;"",K159+I160,"")</f>
        <v/>
      </c>
      <c r="L160" s="11">
        <f>IF($A160&lt;&gt;"",IF(K160-J160=0,"tie",IF(K160-J160&gt;0,"+"&amp;K160-J160,"+"&amp;J160-K160)),"")</f>
        <v/>
      </c>
      <c r="M160" s="17" t="n"/>
      <c r="N160" s="17" t="n"/>
      <c r="O160" s="17" t="n"/>
      <c r="P160" s="17" t="n"/>
      <c r="Q160" s="17" t="n"/>
      <c r="R160" s="17" t="n"/>
      <c r="S160" s="17" t="n"/>
    </row>
    <row r="161">
      <c r="A161" s="15" t="n">
        <v>42410</v>
      </c>
      <c r="B161" s="10" t="n">
        <v>30</v>
      </c>
      <c r="C161" s="9" t="n">
        <v>25</v>
      </c>
      <c r="D161" s="17" t="inlineStr">
        <is>
          <t>Wurstüche, Venice</t>
        </is>
      </c>
      <c r="E161" s="10">
        <f>if($A161&lt;&gt;"",E160+B161,"")</f>
        <v/>
      </c>
      <c r="F161" s="9">
        <f>if($A161&lt;&gt;"",F160+C161,"")</f>
        <v/>
      </c>
      <c r="G161" s="11">
        <f>IF($A161&lt;&gt;"",IF(F161-E161=0,"tie",IF(F161-E161&gt;0,"+"&amp;F161-E161,"+"&amp;E161-F161)),"")</f>
        <v/>
      </c>
      <c r="H161" s="12">
        <f>if($A161&lt;&gt;"",if(B161&gt;C161,if(B161&lt;60,1,2),""),"")</f>
        <v/>
      </c>
      <c r="I161" s="12">
        <f>if($A161&lt;&gt;"",if(C161&gt;B161,if(C161&lt;60,1,2),""),"")</f>
        <v/>
      </c>
      <c r="J161" s="9">
        <f>if($A161&lt;&gt;"",J160+H161,"")</f>
        <v/>
      </c>
      <c r="K161" s="9">
        <f>if($A161&lt;&gt;"",K160+I161,"")</f>
        <v/>
      </c>
      <c r="L161" s="11">
        <f>IF($A161&lt;&gt;"",IF(K161-J161=0,"tie",IF(K161-J161&gt;0,"+"&amp;K161-J161,"+"&amp;J161-K161)),"")</f>
        <v/>
      </c>
      <c r="M161" s="17" t="n"/>
      <c r="N161" s="17" t="n"/>
      <c r="O161" s="17" t="n"/>
      <c r="P161" s="17" t="n"/>
      <c r="Q161" s="17" t="n"/>
      <c r="R161" s="17" t="n"/>
      <c r="S161" s="17" t="n"/>
    </row>
    <row r="162">
      <c r="A162" s="15" t="n">
        <v>42410</v>
      </c>
      <c r="B162" s="9" t="n">
        <v>25</v>
      </c>
      <c r="C162" s="10" t="n">
        <v>30</v>
      </c>
      <c r="D162" s="17" t="inlineStr">
        <is>
          <t>Taco Bell, Corona</t>
        </is>
      </c>
      <c r="E162" s="10">
        <f>if($A162&lt;&gt;"",E161+B162,"")</f>
        <v/>
      </c>
      <c r="F162" s="9">
        <f>if($A162&lt;&gt;"",F161+C162,"")</f>
        <v/>
      </c>
      <c r="G162" s="11">
        <f>IF($A162&lt;&gt;"",IF(F162-E162=0,"tie",IF(F162-E162&gt;0,"+"&amp;F162-E162,"+"&amp;E162-F162)),"")</f>
        <v/>
      </c>
      <c r="H162" s="12">
        <f>if($A162&lt;&gt;"",if(B162&gt;C162,if(B162&lt;60,1,2),""),"")</f>
        <v/>
      </c>
      <c r="I162" s="12">
        <f>if($A162&lt;&gt;"",if(C162&gt;B162,if(C162&lt;60,1,2),""),"")</f>
        <v/>
      </c>
      <c r="J162" s="9">
        <f>if($A162&lt;&gt;"",J161+H162,"")</f>
        <v/>
      </c>
      <c r="K162" s="9">
        <f>if($A162&lt;&gt;"",K161+I162,"")</f>
        <v/>
      </c>
      <c r="L162" s="11">
        <f>IF($A162&lt;&gt;"",IF(K162-J162=0,"tie",IF(K162-J162&gt;0,"+"&amp;K162-J162,"+"&amp;J162-K162)),"")</f>
        <v/>
      </c>
      <c r="M162" s="17" t="n"/>
      <c r="N162" s="17" t="n"/>
      <c r="O162" s="17" t="n"/>
      <c r="P162" s="17" t="n"/>
      <c r="Q162" s="17" t="n"/>
      <c r="R162" s="17" t="n"/>
      <c r="S162" s="17" t="n"/>
    </row>
    <row r="163">
      <c r="A163" s="15" t="n">
        <v>42417</v>
      </c>
      <c r="B163" s="9" t="n">
        <v>25</v>
      </c>
      <c r="C163" s="10" t="n">
        <v>30</v>
      </c>
      <c r="D163" s="17" t="inlineStr">
        <is>
          <t>Café 50's, Venice</t>
        </is>
      </c>
      <c r="E163" s="16">
        <f>if($A163&lt;&gt;"",E162+B163,"")</f>
        <v/>
      </c>
      <c r="F163" s="16">
        <f>if($A163&lt;&gt;"",F162+C163,"")</f>
        <v/>
      </c>
      <c r="G163" s="11">
        <f>IF($A163&lt;&gt;"",IF(F163-E163=0,"tie",IF(F163-E163&gt;0,"+"&amp;F163-E163,"+"&amp;E163-F163)),"")</f>
        <v/>
      </c>
      <c r="H163" s="12">
        <f>if($A163&lt;&gt;"",if(B163&gt;C163,if(B163&lt;60,1,2),""),"")</f>
        <v/>
      </c>
      <c r="I163" s="12">
        <f>if($A163&lt;&gt;"",if(C163&gt;B163,if(C163&lt;60,1,2),""),"")</f>
        <v/>
      </c>
      <c r="J163" s="9">
        <f>if($A163&lt;&gt;"",J162+H163,"")</f>
        <v/>
      </c>
      <c r="K163" s="9">
        <f>if($A163&lt;&gt;"",K162+I163,"")</f>
        <v/>
      </c>
      <c r="L163" s="11">
        <f>IF($A163&lt;&gt;"",IF(K163-J163=0,"tie",IF(K163-J163&gt;0,"+"&amp;K163-J163,"+"&amp;J163-K163)),"")</f>
        <v/>
      </c>
      <c r="M163" s="17" t="n"/>
      <c r="N163" s="17" t="n"/>
      <c r="O163" s="17" t="n"/>
      <c r="P163" s="17" t="n"/>
      <c r="Q163" s="17" t="n"/>
      <c r="R163" s="17" t="n"/>
      <c r="S163" s="17" t="n"/>
    </row>
    <row r="164">
      <c r="A164" s="15" t="n">
        <v>42418</v>
      </c>
      <c r="B164" s="10" t="n">
        <v>30</v>
      </c>
      <c r="C164" s="9" t="n">
        <v>25</v>
      </c>
      <c r="D164" s="17" t="inlineStr">
        <is>
          <t>Café 50's, Venice</t>
        </is>
      </c>
      <c r="E164" s="10">
        <f>if($A164&lt;&gt;"",E163+B164,"")</f>
        <v/>
      </c>
      <c r="F164" s="9">
        <f>if($A164&lt;&gt;"",F163+C164,"")</f>
        <v/>
      </c>
      <c r="G164" s="11">
        <f>IF($A164&lt;&gt;"",IF(F164-E164=0,"tie",IF(F164-E164&gt;0,"+"&amp;F164-E164,"+"&amp;E164-F164)),"")</f>
        <v/>
      </c>
      <c r="H164" s="12">
        <f>if($A164&lt;&gt;"",if(B164&gt;C164,if(B164&lt;60,1,2),""),"")</f>
        <v/>
      </c>
      <c r="I164" s="12">
        <f>if($A164&lt;&gt;"",if(C164&gt;B164,if(C164&lt;60,1,2),""),"")</f>
        <v/>
      </c>
      <c r="J164" s="9">
        <f>if($A164&lt;&gt;"",J163+H164,"")</f>
        <v/>
      </c>
      <c r="K164" s="9">
        <f>if($A164&lt;&gt;"",K163+I164,"")</f>
        <v/>
      </c>
      <c r="L164" s="11">
        <f>IF($A164&lt;&gt;"",IF(K164-J164=0,"tie",IF(K164-J164&gt;0,"+"&amp;K164-J164,"+"&amp;J164-K164)),"")</f>
        <v/>
      </c>
      <c r="M164" s="17" t="n"/>
      <c r="N164" s="17" t="n"/>
      <c r="O164" s="17" t="n"/>
      <c r="P164" s="17" t="n"/>
      <c r="Q164" s="17" t="n"/>
      <c r="R164" s="17" t="n"/>
      <c r="S164" s="17" t="n"/>
    </row>
    <row r="165">
      <c r="A165" s="15" t="n">
        <v>42419</v>
      </c>
      <c r="B165" s="9" t="n">
        <v>25</v>
      </c>
      <c r="C165" s="10" t="n">
        <v>30</v>
      </c>
      <c r="D165" s="17" t="inlineStr">
        <is>
          <t>Mercedes</t>
        </is>
      </c>
      <c r="E165" s="16">
        <f>if($A165&lt;&gt;"",E164+B165,"")</f>
        <v/>
      </c>
      <c r="F165" s="16">
        <f>if($A165&lt;&gt;"",F164+C165,"")</f>
        <v/>
      </c>
      <c r="G165" s="11">
        <f>IF($A165&lt;&gt;"",IF(F165-E165=0,"tie",IF(F165-E165&gt;0,"+"&amp;F165-E165,"+"&amp;E165-F165)),"")</f>
        <v/>
      </c>
      <c r="H165" s="12">
        <f>if($A165&lt;&gt;"",if(B165&gt;C165,if(B165&lt;60,1,2),""),"")</f>
        <v/>
      </c>
      <c r="I165" s="12">
        <f>if($A165&lt;&gt;"",if(C165&gt;B165,if(C165&lt;60,1,2),""),"")</f>
        <v/>
      </c>
      <c r="J165" s="9">
        <f>if($A165&lt;&gt;"",J164+H165,"")</f>
        <v/>
      </c>
      <c r="K165" s="9">
        <f>if($A165&lt;&gt;"",K164+I165,"")</f>
        <v/>
      </c>
      <c r="L165" s="11">
        <f>IF($A165&lt;&gt;"",IF(K165-J165=0,"tie",IF(K165-J165&gt;0,"+"&amp;K165-J165,"+"&amp;J165-K165)),"")</f>
        <v/>
      </c>
      <c r="M165" s="17" t="n"/>
      <c r="N165" s="17" t="n"/>
      <c r="O165" s="17" t="n"/>
      <c r="P165" s="17" t="n"/>
      <c r="Q165" s="17" t="n"/>
      <c r="R165" s="17" t="n"/>
      <c r="S165" s="17" t="n"/>
    </row>
    <row r="166">
      <c r="A166" s="15" t="n">
        <v>42420</v>
      </c>
      <c r="B166" s="9" t="n">
        <v>25</v>
      </c>
      <c r="C166" s="10" t="n">
        <v>30</v>
      </c>
      <c r="D166" s="17" t="inlineStr">
        <is>
          <t>J Nichols, MDR</t>
        </is>
      </c>
      <c r="E166" s="9">
        <f>if($A166&lt;&gt;"",E165+B166,"")</f>
        <v/>
      </c>
      <c r="F166" s="10">
        <f>if($A166&lt;&gt;"",F165+C166,"")</f>
        <v/>
      </c>
      <c r="G166" s="11">
        <f>IF($A166&lt;&gt;"",IF(F166-E166=0,"tie",IF(F166-E166&gt;0,"+"&amp;F166-E166,"+"&amp;E166-F166)),"")</f>
        <v/>
      </c>
      <c r="H166" s="12">
        <f>if($A166&lt;&gt;"",if(B166&gt;C166,if(B166&lt;60,1,2),""),"")</f>
        <v/>
      </c>
      <c r="I166" s="12">
        <f>if($A166&lt;&gt;"",if(C166&gt;B166,if(C166&lt;60,1,2),""),"")</f>
        <v/>
      </c>
      <c r="J166" s="9">
        <f>if($A166&lt;&gt;"",J165+H166,"")</f>
        <v/>
      </c>
      <c r="K166" s="9">
        <f>if($A166&lt;&gt;"",K165+I166,"")</f>
        <v/>
      </c>
      <c r="L166" s="11">
        <f>IF($A166&lt;&gt;"",IF(K166-J166=0,"tie",IF(K166-J166&gt;0,"+"&amp;K166-J166,"+"&amp;J166-K166)),"")</f>
        <v/>
      </c>
      <c r="M166" s="17" t="n"/>
      <c r="N166" s="17" t="n"/>
      <c r="O166" s="17" t="n"/>
      <c r="P166" s="17" t="n"/>
      <c r="Q166" s="17" t="n"/>
      <c r="R166" s="17" t="n"/>
      <c r="S166" s="17" t="n"/>
    </row>
    <row r="167">
      <c r="A167" s="15" t="n">
        <v>42420</v>
      </c>
      <c r="B167" s="9" t="n">
        <v>25</v>
      </c>
      <c r="C167" s="10" t="n">
        <v>30</v>
      </c>
      <c r="D167" s="17" t="inlineStr">
        <is>
          <t>Preston Way</t>
        </is>
      </c>
      <c r="E167" s="9">
        <f>if($A167&lt;&gt;"",E166+B167,"")</f>
        <v/>
      </c>
      <c r="F167" s="10">
        <f>if($A167&lt;&gt;"",F166+C167,"")</f>
        <v/>
      </c>
      <c r="G167" s="11">
        <f>IF($A167&lt;&gt;"",IF(F167-E167=0,"tie",IF(F167-E167&gt;0,"+"&amp;F167-E167,"+"&amp;E167-F167)),"")</f>
        <v/>
      </c>
      <c r="H167" s="12">
        <f>if($A167&lt;&gt;"",if(B167&gt;C167,if(B167&lt;60,1,2),""),"")</f>
        <v/>
      </c>
      <c r="I167" s="12">
        <f>if($A167&lt;&gt;"",if(C167&gt;B167,if(C167&lt;60,1,2),""),"")</f>
        <v/>
      </c>
      <c r="J167" s="9">
        <f>if($A167&lt;&gt;"",J166+H167,"")</f>
        <v/>
      </c>
      <c r="K167" s="9">
        <f>if($A167&lt;&gt;"",K166+I167,"")</f>
        <v/>
      </c>
      <c r="L167" s="11">
        <f>IF($A167&lt;&gt;"",IF(K167-J167=0,"tie",IF(K167-J167&gt;0,"+"&amp;K167-J167,"+"&amp;J167-K167)),"")</f>
        <v/>
      </c>
      <c r="M167" s="17" t="n"/>
      <c r="N167" s="17" t="n"/>
      <c r="O167" s="17" t="n"/>
      <c r="P167" s="17" t="n"/>
      <c r="Q167" s="17" t="n"/>
      <c r="R167" s="17" t="n"/>
      <c r="S167" s="17" t="n"/>
    </row>
    <row r="168">
      <c r="A168" s="15" t="n">
        <v>42422</v>
      </c>
      <c r="B168" s="9" t="n">
        <v>25</v>
      </c>
      <c r="C168" s="10" t="n">
        <v>30</v>
      </c>
      <c r="D168" s="17" t="inlineStr">
        <is>
          <t>Café 50's, Venice</t>
        </is>
      </c>
      <c r="E168" s="9">
        <f>if($A168&lt;&gt;"",E167+B168,"")</f>
        <v/>
      </c>
      <c r="F168" s="10">
        <f>if($A168&lt;&gt;"",F167+C168,"")</f>
        <v/>
      </c>
      <c r="G168" s="11">
        <f>IF($A168&lt;&gt;"",IF(F168-E168=0,"tie",IF(F168-E168&gt;0,"+"&amp;F168-E168,"+"&amp;E168-F168)),"")</f>
        <v/>
      </c>
      <c r="H168" s="12">
        <f>if($A168&lt;&gt;"",if(B168&gt;C168,if(B168&lt;60,1,2),""),"")</f>
        <v/>
      </c>
      <c r="I168" s="12">
        <f>if($A168&lt;&gt;"",if(C168&gt;B168,if(C168&lt;60,1,2),""),"")</f>
        <v/>
      </c>
      <c r="J168" s="9">
        <f>if($A168&lt;&gt;"",J167+H168,"")</f>
        <v/>
      </c>
      <c r="K168" s="9">
        <f>if($A168&lt;&gt;"",K167+I168,"")</f>
        <v/>
      </c>
      <c r="L168" s="11">
        <f>IF($A168&lt;&gt;"",IF(K168-J168=0,"tie",IF(K168-J168&gt;0,"+"&amp;K168-J168,"+"&amp;J168-K168)),"")</f>
        <v/>
      </c>
      <c r="M168" s="17" t="n"/>
      <c r="N168" s="17" t="n"/>
      <c r="O168" s="17" t="n"/>
      <c r="P168" s="17" t="n"/>
      <c r="Q168" s="17" t="n"/>
      <c r="R168" s="17" t="n"/>
      <c r="S168" s="17" t="n"/>
    </row>
    <row r="169">
      <c r="A169" s="15" t="n">
        <v>42423</v>
      </c>
      <c r="B169" s="9" t="n">
        <v>25</v>
      </c>
      <c r="C169" s="10" t="n">
        <v>30</v>
      </c>
      <c r="D169" s="17" t="inlineStr">
        <is>
          <t>Café 50's, Venice</t>
        </is>
      </c>
      <c r="E169" s="9">
        <f>if($A169&lt;&gt;"",E168+B169,"")</f>
        <v/>
      </c>
      <c r="F169" s="10">
        <f>if($A169&lt;&gt;"",F168+C169,"")</f>
        <v/>
      </c>
      <c r="G169" s="11">
        <f>IF($A169&lt;&gt;"",IF(F169-E169=0,"tie",IF(F169-E169&gt;0,"+"&amp;F169-E169,"+"&amp;E169-F169)),"")</f>
        <v/>
      </c>
      <c r="H169" s="12">
        <f>if($A169&lt;&gt;"",if(B169&gt;C169,if(B169&lt;60,1,2),""),"")</f>
        <v/>
      </c>
      <c r="I169" s="12">
        <f>if($A169&lt;&gt;"",if(C169&gt;B169,if(C169&lt;60,1,2),""),"")</f>
        <v/>
      </c>
      <c r="J169" s="9">
        <f>if($A169&lt;&gt;"",J168+H169,"")</f>
        <v/>
      </c>
      <c r="K169" s="9">
        <f>if($A169&lt;&gt;"",K168+I169,"")</f>
        <v/>
      </c>
      <c r="L169" s="11">
        <f>IF($A169&lt;&gt;"",IF(K169-J169=0,"tie",IF(K169-J169&gt;0,"+"&amp;K169-J169,"+"&amp;J169-K169)),"")</f>
        <v/>
      </c>
      <c r="M169" s="17" t="n"/>
      <c r="N169" s="17" t="n"/>
      <c r="O169" s="17" t="n"/>
      <c r="P169" s="17" t="n"/>
      <c r="Q169" s="17" t="n"/>
      <c r="R169" s="17" t="n"/>
      <c r="S169" s="17" t="n"/>
    </row>
    <row r="170">
      <c r="A170" s="15" t="n">
        <v>42424</v>
      </c>
      <c r="B170" s="9" t="n">
        <v>25</v>
      </c>
      <c r="C170" s="10" t="n">
        <v>30</v>
      </c>
      <c r="D170" s="17" t="inlineStr">
        <is>
          <t>Simmzy's</t>
        </is>
      </c>
      <c r="E170" s="9">
        <f>if($A170&lt;&gt;"",E169+B170,"")</f>
        <v/>
      </c>
      <c r="F170" s="10">
        <f>if($A170&lt;&gt;"",F169+C170,"")</f>
        <v/>
      </c>
      <c r="G170" s="11">
        <f>IF($A170&lt;&gt;"",IF(F170-E170=0,"tie",IF(F170-E170&gt;0,"+"&amp;F170-E170,"+"&amp;E170-F170)),"")</f>
        <v/>
      </c>
      <c r="H170" s="12">
        <f>if($A170&lt;&gt;"",if(B170&gt;C170,if(B170&lt;60,1,2),""),"")</f>
        <v/>
      </c>
      <c r="I170" s="12">
        <f>if($A170&lt;&gt;"",if(C170&gt;B170,if(C170&lt;60,1,2),""),"")</f>
        <v/>
      </c>
      <c r="J170" s="9">
        <f>if($A170&lt;&gt;"",J169+H170,"")</f>
        <v/>
      </c>
      <c r="K170" s="9">
        <f>if($A170&lt;&gt;"",K169+I170,"")</f>
        <v/>
      </c>
      <c r="L170" s="11">
        <f>IF($A170&lt;&gt;"",IF(K170-J170=0,"tie",IF(K170-J170&gt;0,"+"&amp;K170-J170,"+"&amp;J170-K170)),"")</f>
        <v/>
      </c>
      <c r="M170" s="17" t="n"/>
      <c r="N170" s="17" t="n"/>
      <c r="O170" s="17" t="n"/>
      <c r="P170" s="17" t="n"/>
      <c r="Q170" s="17" t="n"/>
      <c r="R170" s="17" t="n"/>
      <c r="S170" s="17" t="n"/>
    </row>
    <row r="171">
      <c r="A171" s="15" t="n">
        <v>42428</v>
      </c>
      <c r="B171" s="10" t="n">
        <v>30</v>
      </c>
      <c r="C171" s="9" t="n">
        <v>25</v>
      </c>
      <c r="D171" s="17" t="inlineStr">
        <is>
          <t>Tommy's, Northridge</t>
        </is>
      </c>
      <c r="E171" s="9">
        <f>if($A171&lt;&gt;"",E170+B171,"")</f>
        <v/>
      </c>
      <c r="F171" s="10">
        <f>if($A171&lt;&gt;"",F170+C171,"")</f>
        <v/>
      </c>
      <c r="G171" s="11">
        <f>IF($A171&lt;&gt;"",IF(F171-E171=0,"tie",IF(F171-E171&gt;0,"+"&amp;F171-E171,"+"&amp;E171-F171)),"")</f>
        <v/>
      </c>
      <c r="H171" s="12">
        <f>if($A171&lt;&gt;"",if(B171&gt;C171,if(B171&lt;60,1,2),""),"")</f>
        <v/>
      </c>
      <c r="I171" s="12">
        <f>if($A171&lt;&gt;"",if(C171&gt;B171,if(C171&lt;60,1,2),""),"")</f>
        <v/>
      </c>
      <c r="J171" s="9">
        <f>if($A171&lt;&gt;"",J170+H171,"")</f>
        <v/>
      </c>
      <c r="K171" s="9">
        <f>if($A171&lt;&gt;"",K170+I171,"")</f>
        <v/>
      </c>
      <c r="L171" s="11">
        <f>IF($A171&lt;&gt;"",IF(K171-J171=0,"tie",IF(K171-J171&gt;0,"+"&amp;K171-J171,"+"&amp;J171-K171)),"")</f>
        <v/>
      </c>
      <c r="M171" s="17" t="n"/>
      <c r="N171" s="17" t="n"/>
      <c r="O171" s="17" t="n"/>
      <c r="P171" s="17" t="n"/>
      <c r="Q171" s="17" t="n"/>
      <c r="R171" s="17" t="n"/>
      <c r="S171" s="17" t="n"/>
    </row>
    <row r="172">
      <c r="A172" s="15" t="n">
        <v>42431</v>
      </c>
      <c r="B172" s="10" t="n">
        <v>30</v>
      </c>
      <c r="C172" s="9" t="n">
        <v>25</v>
      </c>
      <c r="D172" s="17" t="inlineStr">
        <is>
          <t>Café 50's, Venice</t>
        </is>
      </c>
      <c r="E172" s="9">
        <f>if($A172&lt;&gt;"",E171+B172,"")</f>
        <v/>
      </c>
      <c r="F172" s="10">
        <f>if($A172&lt;&gt;"",F171+C172,"")</f>
        <v/>
      </c>
      <c r="G172" s="11">
        <f>IF($A172&lt;&gt;"",IF(F172-E172=0,"tie",IF(F172-E172&gt;0,"+"&amp;F172-E172,"+"&amp;E172-F172)),"")</f>
        <v/>
      </c>
      <c r="H172" s="12">
        <f>if($A172&lt;&gt;"",if(B172&gt;C172,if(B172&lt;60,1,2),""),"")</f>
        <v/>
      </c>
      <c r="I172" s="12">
        <f>if($A172&lt;&gt;"",if(C172&gt;B172,if(C172&lt;60,1,2),""),"")</f>
        <v/>
      </c>
      <c r="J172" s="9">
        <f>if($A172&lt;&gt;"",J171+H172,"")</f>
        <v/>
      </c>
      <c r="K172" s="9">
        <f>if($A172&lt;&gt;"",K171+I172,"")</f>
        <v/>
      </c>
      <c r="L172" s="11">
        <f>IF($A172&lt;&gt;"",IF(K172-J172=0,"tie",IF(K172-J172&gt;0,"+"&amp;K172-J172,"+"&amp;J172-K172)),"")</f>
        <v/>
      </c>
      <c r="M172" s="17" t="n"/>
      <c r="N172" s="17" t="n"/>
      <c r="O172" s="17" t="n"/>
      <c r="P172" s="17" t="n"/>
      <c r="Q172" s="17" t="n"/>
      <c r="R172" s="17" t="n"/>
      <c r="S172" s="17" t="n"/>
    </row>
    <row r="173">
      <c r="A173" s="15" t="n">
        <v>42431</v>
      </c>
      <c r="B173" s="9" t="n">
        <v>25</v>
      </c>
      <c r="C173" s="10" t="n">
        <v>30</v>
      </c>
      <c r="D173" s="17" t="inlineStr">
        <is>
          <t>La Cabaña</t>
        </is>
      </c>
      <c r="E173" s="9">
        <f>if($A173&lt;&gt;"",E172+B173,"")</f>
        <v/>
      </c>
      <c r="F173" s="10">
        <f>if($A173&lt;&gt;"",F172+C173,"")</f>
        <v/>
      </c>
      <c r="G173" s="11">
        <f>IF($A173&lt;&gt;"",IF(F173-E173=0,"tie",IF(F173-E173&gt;0,"+"&amp;F173-E173,"+"&amp;E173-F173)),"")</f>
        <v/>
      </c>
      <c r="H173" s="12">
        <f>if($A173&lt;&gt;"",if(B173&gt;C173,if(B173&lt;60,1,2),""),"")</f>
        <v/>
      </c>
      <c r="I173" s="12">
        <f>if($A173&lt;&gt;"",if(C173&gt;B173,if(C173&lt;60,1,2),""),"")</f>
        <v/>
      </c>
      <c r="J173" s="9">
        <f>if($A173&lt;&gt;"",J172+H173,"")</f>
        <v/>
      </c>
      <c r="K173" s="9">
        <f>if($A173&lt;&gt;"",K172+I173,"")</f>
        <v/>
      </c>
      <c r="L173" s="11">
        <f>IF($A173&lt;&gt;"",IF(K173-J173=0,"tie",IF(K173-J173&gt;0,"+"&amp;K173-J173,"+"&amp;J173-K173)),"")</f>
        <v/>
      </c>
      <c r="M173" s="17" t="n"/>
      <c r="N173" s="17" t="n"/>
      <c r="O173" s="17" t="n"/>
      <c r="P173" s="17" t="n"/>
      <c r="Q173" s="17" t="n"/>
      <c r="R173" s="17" t="n"/>
      <c r="S173" s="17" t="n"/>
    </row>
    <row r="174">
      <c r="A174" s="15" t="n">
        <v>42436</v>
      </c>
      <c r="B174" s="9" t="n">
        <v>25</v>
      </c>
      <c r="C174" s="10" t="n">
        <v>30</v>
      </c>
      <c r="D174" s="17" t="inlineStr">
        <is>
          <t>Preston Way</t>
        </is>
      </c>
      <c r="E174" s="9">
        <f>if($A174&lt;&gt;"",E173+B174,"")</f>
        <v/>
      </c>
      <c r="F174" s="10">
        <f>if($A174&lt;&gt;"",F173+C174,"")</f>
        <v/>
      </c>
      <c r="G174" s="11">
        <f>IF($A174&lt;&gt;"",IF(F174-E174=0,"tie",IF(F174-E174&gt;0,"+"&amp;F174-E174,"+"&amp;E174-F174)),"")</f>
        <v/>
      </c>
      <c r="H174" s="12">
        <f>if($A174&lt;&gt;"",if(B174&gt;C174,if(B174&lt;60,1,2),""),"")</f>
        <v/>
      </c>
      <c r="I174" s="12">
        <f>if($A174&lt;&gt;"",if(C174&gt;B174,if(C174&lt;60,1,2),""),"")</f>
        <v/>
      </c>
      <c r="J174" s="9">
        <f>if($A174&lt;&gt;"",J173+H174,"")</f>
        <v/>
      </c>
      <c r="K174" s="9">
        <f>if($A174&lt;&gt;"",K173+I174,"")</f>
        <v/>
      </c>
      <c r="L174" s="11">
        <f>IF($A174&lt;&gt;"",IF(K174-J174=0,"tie",IF(K174-J174&gt;0,"+"&amp;K174-J174,"+"&amp;J174-K174)),"")</f>
        <v/>
      </c>
      <c r="M174" s="17" t="n"/>
      <c r="N174" s="17" t="n"/>
      <c r="O174" s="17" t="n"/>
      <c r="P174" s="17" t="n"/>
      <c r="Q174" s="17" t="n"/>
      <c r="R174" s="17" t="n"/>
      <c r="S174" s="17" t="n"/>
    </row>
    <row r="175">
      <c r="A175" s="15" t="n">
        <v>42438</v>
      </c>
      <c r="B175" s="10" t="n">
        <v>30</v>
      </c>
      <c r="C175" s="9" t="n">
        <v>25</v>
      </c>
      <c r="D175" s="17" t="inlineStr">
        <is>
          <t>Norms, West Covina</t>
        </is>
      </c>
      <c r="E175" s="9">
        <f>if($A175&lt;&gt;"",E174+B175,"")</f>
        <v/>
      </c>
      <c r="F175" s="10">
        <f>if($A175&lt;&gt;"",F174+C175,"")</f>
        <v/>
      </c>
      <c r="G175" s="11">
        <f>IF($A175&lt;&gt;"",IF(F175-E175=0,"tie",IF(F175-E175&gt;0,"+"&amp;F175-E175,"+"&amp;E175-F175)),"")</f>
        <v/>
      </c>
      <c r="H175" s="12">
        <f>if($A175&lt;&gt;"",if(B175&gt;C175,if(B175&lt;60,1,2),""),"")</f>
        <v/>
      </c>
      <c r="I175" s="12">
        <f>if($A175&lt;&gt;"",if(C175&gt;B175,if(C175&lt;60,1,2),""),"")</f>
        <v/>
      </c>
      <c r="J175" s="9">
        <f>if($A175&lt;&gt;"",J174+H175,"")</f>
        <v/>
      </c>
      <c r="K175" s="9">
        <f>if($A175&lt;&gt;"",K174+I175,"")</f>
        <v/>
      </c>
      <c r="L175" s="11">
        <f>IF($A175&lt;&gt;"",IF(K175-J175=0,"tie",IF(K175-J175&gt;0,"+"&amp;K175-J175,"+"&amp;J175-K175)),"")</f>
        <v/>
      </c>
      <c r="M175" s="17" t="n"/>
      <c r="N175" s="17" t="n"/>
      <c r="O175" s="17" t="n"/>
      <c r="P175" s="17" t="n"/>
      <c r="Q175" s="17" t="n"/>
      <c r="R175" s="17" t="n"/>
      <c r="S175" s="17" t="n"/>
    </row>
    <row r="176">
      <c r="A176" s="15" t="n">
        <v>42439</v>
      </c>
      <c r="B176" s="10" t="n">
        <v>30</v>
      </c>
      <c r="C176" s="9" t="n">
        <v>25</v>
      </c>
      <c r="D176" s="17" t="inlineStr">
        <is>
          <t>La Quinta Baking Co.</t>
        </is>
      </c>
      <c r="E176" s="9">
        <f>if($A176&lt;&gt;"",E175+B176,"")</f>
        <v/>
      </c>
      <c r="F176" s="10">
        <f>if($A176&lt;&gt;"",F175+C176,"")</f>
        <v/>
      </c>
      <c r="G176" s="11">
        <f>IF($A176&lt;&gt;"",IF(F176-E176=0,"tie",IF(F176-E176&gt;0,"+"&amp;F176-E176,"+"&amp;E176-F176)),"")</f>
        <v/>
      </c>
      <c r="H176" s="12">
        <f>if($A176&lt;&gt;"",if(B176&gt;C176,if(B176&lt;60,1,2),""),"")</f>
        <v/>
      </c>
      <c r="I176" s="12">
        <f>if($A176&lt;&gt;"",if(C176&gt;B176,if(C176&lt;60,1,2),""),"")</f>
        <v/>
      </c>
      <c r="J176" s="9">
        <f>if($A176&lt;&gt;"",J175+H176,"")</f>
        <v/>
      </c>
      <c r="K176" s="9">
        <f>if($A176&lt;&gt;"",K175+I176,"")</f>
        <v/>
      </c>
      <c r="L176" s="11">
        <f>IF($A176&lt;&gt;"",IF(K176-J176=0,"tie",IF(K176-J176&gt;0,"+"&amp;K176-J176,"+"&amp;J176-K176)),"")</f>
        <v/>
      </c>
      <c r="M176" s="17" t="n"/>
      <c r="N176" s="17" t="n"/>
      <c r="O176" s="17" t="n"/>
      <c r="P176" s="17" t="n"/>
      <c r="Q176" s="17" t="n"/>
      <c r="R176" s="17" t="n"/>
      <c r="S176" s="17" t="n"/>
    </row>
    <row r="177">
      <c r="A177" s="15" t="n">
        <v>42439</v>
      </c>
      <c r="B177" s="10" t="n">
        <v>30</v>
      </c>
      <c r="C177" s="9" t="n">
        <v>25</v>
      </c>
      <c r="D177" s="17" t="inlineStr">
        <is>
          <t>Bob's Big Boy, Calimesa</t>
        </is>
      </c>
      <c r="E177" s="9">
        <f>if($A177&lt;&gt;"",E176+B177,"")</f>
        <v/>
      </c>
      <c r="F177" s="10">
        <f>if($A177&lt;&gt;"",F176+C177,"")</f>
        <v/>
      </c>
      <c r="G177" s="11">
        <f>IF($A177&lt;&gt;"",IF(F177-E177=0,"tie",IF(F177-E177&gt;0,"+"&amp;F177-E177,"+"&amp;E177-F177)),"")</f>
        <v/>
      </c>
      <c r="H177" s="12">
        <f>if($A177&lt;&gt;"",if(B177&gt;C177,if(B177&lt;60,1,2),""),"")</f>
        <v/>
      </c>
      <c r="I177" s="12">
        <f>if($A177&lt;&gt;"",if(C177&gt;B177,if(C177&lt;60,1,2),""),"")</f>
        <v/>
      </c>
      <c r="J177" s="9">
        <f>if($A177&lt;&gt;"",J176+H177,"")</f>
        <v/>
      </c>
      <c r="K177" s="9">
        <f>if($A177&lt;&gt;"",K176+I177,"")</f>
        <v/>
      </c>
      <c r="L177" s="11">
        <f>IF($A177&lt;&gt;"",IF(K177-J177=0,"tie",IF(K177-J177&gt;0,"+"&amp;K177-J177,"+"&amp;J177-K177)),"")</f>
        <v/>
      </c>
      <c r="M177" s="17" t="n"/>
      <c r="N177" s="17" t="n"/>
      <c r="O177" s="17" t="n"/>
      <c r="P177" s="17" t="n"/>
      <c r="Q177" s="17" t="n"/>
      <c r="R177" s="17" t="n"/>
      <c r="S177" s="17" t="n"/>
    </row>
    <row r="178">
      <c r="A178" s="15" t="n">
        <v>42441</v>
      </c>
      <c r="B178" s="10" t="n">
        <v>30</v>
      </c>
      <c r="C178" s="9" t="n">
        <v>25</v>
      </c>
      <c r="D178" s="17" t="inlineStr">
        <is>
          <t>Westside Tavern, WLA</t>
        </is>
      </c>
      <c r="E178" s="9">
        <f>if($A178&lt;&gt;"",E177+B178,"")</f>
        <v/>
      </c>
      <c r="F178" s="10">
        <f>if($A178&lt;&gt;"",F177+C178,"")</f>
        <v/>
      </c>
      <c r="G178" s="11">
        <f>IF($A178&lt;&gt;"",IF(F178-E178=0,"tie",IF(F178-E178&gt;0,"+"&amp;F178-E178,"+"&amp;E178-F178)),"")</f>
        <v/>
      </c>
      <c r="H178" s="12">
        <f>if($A178&lt;&gt;"",if(B178&gt;C178,if(B178&lt;60,1,2),""),"")</f>
        <v/>
      </c>
      <c r="I178" s="12">
        <f>if($A178&lt;&gt;"",if(C178&gt;B178,if(C178&lt;60,1,2),""),"")</f>
        <v/>
      </c>
      <c r="J178" s="9">
        <f>if($A178&lt;&gt;"",J177+H178,"")</f>
        <v/>
      </c>
      <c r="K178" s="9">
        <f>if($A178&lt;&gt;"",K177+I178,"")</f>
        <v/>
      </c>
      <c r="L178" s="11">
        <f>IF($A178&lt;&gt;"",IF(K178-J178=0,"tie",IF(K178-J178&gt;0,"+"&amp;K178-J178,"+"&amp;J178-K178)),"")</f>
        <v/>
      </c>
      <c r="M178" s="17" t="n"/>
      <c r="N178" s="17" t="n"/>
      <c r="O178" s="17" t="n"/>
      <c r="P178" s="17" t="n"/>
      <c r="Q178" s="17" t="n"/>
      <c r="R178" s="17" t="n"/>
      <c r="S178" s="17" t="n"/>
    </row>
    <row r="179">
      <c r="A179" s="15" t="n">
        <v>42442</v>
      </c>
      <c r="B179" s="10" t="n">
        <v>30</v>
      </c>
      <c r="C179" s="9" t="n">
        <v>25</v>
      </c>
      <c r="D179" s="17" t="inlineStr">
        <is>
          <t>Café 50's, Venice</t>
        </is>
      </c>
      <c r="E179" s="16">
        <f>if($A179&lt;&gt;"",E178+B179,"")</f>
        <v/>
      </c>
      <c r="F179" s="16">
        <f>if($A179&lt;&gt;"",F178+C179,"")</f>
        <v/>
      </c>
      <c r="G179" s="11">
        <f>IF($A179&lt;&gt;"",IF(F179-E179=0,"tie",IF(F179-E179&gt;0,"+"&amp;F179-E179,"+"&amp;E179-F179)),"")</f>
        <v/>
      </c>
      <c r="H179" s="12">
        <f>if($A179&lt;&gt;"",if(B179&gt;C179,if(B179&lt;60,1,2),""),"")</f>
        <v/>
      </c>
      <c r="I179" s="12">
        <f>if($A179&lt;&gt;"",if(C179&gt;B179,if(C179&lt;60,1,2),""),"")</f>
        <v/>
      </c>
      <c r="J179" s="9">
        <f>if($A179&lt;&gt;"",J178+H179,"")</f>
        <v/>
      </c>
      <c r="K179" s="9">
        <f>if($A179&lt;&gt;"",K178+I179,"")</f>
        <v/>
      </c>
      <c r="L179" s="11">
        <f>IF($A179&lt;&gt;"",IF(K179-J179=0,"tie",IF(K179-J179&gt;0,"+"&amp;K179-J179,"+"&amp;J179-K179)),"")</f>
        <v/>
      </c>
      <c r="M179" s="17" t="n"/>
      <c r="N179" s="17" t="n"/>
      <c r="O179" s="17" t="n"/>
      <c r="P179" s="17" t="n"/>
      <c r="Q179" s="17" t="n"/>
      <c r="R179" s="17" t="n"/>
      <c r="S179" s="17" t="n"/>
    </row>
    <row r="180">
      <c r="A180" s="15" t="n">
        <v>42445</v>
      </c>
      <c r="B180" s="9" t="n">
        <v>25</v>
      </c>
      <c r="C180" s="10" t="n">
        <v>30</v>
      </c>
      <c r="D180" s="17" t="inlineStr">
        <is>
          <t>Swingers, Santa Monica</t>
        </is>
      </c>
      <c r="E180" s="9">
        <f>if($A180&lt;&gt;"",E179+B180,"")</f>
        <v/>
      </c>
      <c r="F180" s="10">
        <f>if($A180&lt;&gt;"",F179+C180,"")</f>
        <v/>
      </c>
      <c r="G180" s="11">
        <f>IF($A180&lt;&gt;"",IF(F180-E180=0,"tie",IF(F180-E180&gt;0,"+"&amp;F180-E180,"+"&amp;E180-F180)),"")</f>
        <v/>
      </c>
      <c r="H180" s="12">
        <f>if($A180&lt;&gt;"",if(B180&gt;C180,if(B180&lt;60,1,2),""),"")</f>
        <v/>
      </c>
      <c r="I180" s="12">
        <f>if($A180&lt;&gt;"",if(C180&gt;B180,if(C180&lt;60,1,2),""),"")</f>
        <v/>
      </c>
      <c r="J180" s="9">
        <f>if($A180&lt;&gt;"",J179+H180,"")</f>
        <v/>
      </c>
      <c r="K180" s="9">
        <f>if($A180&lt;&gt;"",K179+I180,"")</f>
        <v/>
      </c>
      <c r="L180" s="11">
        <f>IF($A180&lt;&gt;"",IF(K180-J180=0,"tie",IF(K180-J180&gt;0,"+"&amp;K180-J180,"+"&amp;J180-K180)),"")</f>
        <v/>
      </c>
      <c r="M180" s="17" t="n"/>
      <c r="N180" s="17" t="n"/>
      <c r="O180" s="17" t="n"/>
      <c r="P180" s="17" t="n"/>
      <c r="Q180" s="17" t="n"/>
      <c r="R180" s="17" t="n"/>
      <c r="S180" s="17" t="n"/>
    </row>
    <row r="181">
      <c r="A181" s="15" t="n">
        <v>42447</v>
      </c>
      <c r="B181" s="9" t="n">
        <v>25</v>
      </c>
      <c r="C181" s="10" t="n">
        <v>30</v>
      </c>
      <c r="D181" s="17" t="inlineStr">
        <is>
          <t>Café Vida, Culver City</t>
        </is>
      </c>
      <c r="E181" s="9">
        <f>if($A181&lt;&gt;"",E180+B181,"")</f>
        <v/>
      </c>
      <c r="F181" s="10">
        <f>if($A181&lt;&gt;"",F180+C181,"")</f>
        <v/>
      </c>
      <c r="G181" s="11">
        <f>IF($A181&lt;&gt;"",IF(F181-E181=0,"tie",IF(F181-E181&gt;0,"+"&amp;F181-E181,"+"&amp;E181-F181)),"")</f>
        <v/>
      </c>
      <c r="H181" s="12">
        <f>if($A181&lt;&gt;"",if(B181&gt;C181,if(B181&lt;60,1,2),""),"")</f>
        <v/>
      </c>
      <c r="I181" s="12">
        <f>if($A181&lt;&gt;"",if(C181&gt;B181,if(C181&lt;60,1,2),""),"")</f>
        <v/>
      </c>
      <c r="J181" s="9">
        <f>if($A181&lt;&gt;"",J180+H181,"")</f>
        <v/>
      </c>
      <c r="K181" s="9">
        <f>if($A181&lt;&gt;"",K180+I181,"")</f>
        <v/>
      </c>
      <c r="L181" s="11">
        <f>IF($A181&lt;&gt;"",IF(K181-J181=0,"tie",IF(K181-J181&gt;0,"+"&amp;K181-J181,"+"&amp;J181-K181)),"")</f>
        <v/>
      </c>
      <c r="M181" s="17" t="n"/>
      <c r="N181" s="17" t="n"/>
      <c r="O181" s="17" t="n"/>
      <c r="P181" s="17" t="n"/>
      <c r="Q181" s="17" t="n"/>
      <c r="R181" s="17" t="n"/>
      <c r="S181" s="17" t="n"/>
    </row>
    <row r="182">
      <c r="A182" s="15" t="n">
        <v>42449</v>
      </c>
      <c r="B182" s="10" t="n">
        <v>30</v>
      </c>
      <c r="C182" s="9" t="n">
        <v>25</v>
      </c>
      <c r="D182" s="17" t="inlineStr">
        <is>
          <t>Café 50's, Venice</t>
        </is>
      </c>
      <c r="E182" s="9">
        <f>if($A182&lt;&gt;"",E181+B182,"")</f>
        <v/>
      </c>
      <c r="F182" s="10">
        <f>if($A182&lt;&gt;"",F181+C182,"")</f>
        <v/>
      </c>
      <c r="G182" s="11">
        <f>IF($A182&lt;&gt;"",IF(F182-E182=0,"tie",IF(F182-E182&gt;0,"+"&amp;F182-E182,"+"&amp;E182-F182)),"")</f>
        <v/>
      </c>
      <c r="H182" s="12">
        <f>if($A182&lt;&gt;"",if(B182&gt;C182,if(B182&lt;60,1,2),""),"")</f>
        <v/>
      </c>
      <c r="I182" s="12">
        <f>if($A182&lt;&gt;"",if(C182&gt;B182,if(C182&lt;60,1,2),""),"")</f>
        <v/>
      </c>
      <c r="J182" s="9">
        <f>if($A182&lt;&gt;"",J181+H182,"")</f>
        <v/>
      </c>
      <c r="K182" s="9">
        <f>if($A182&lt;&gt;"",K181+I182,"")</f>
        <v/>
      </c>
      <c r="L182" s="11">
        <f>IF($A182&lt;&gt;"",IF(K182-J182=0,"tie",IF(K182-J182&gt;0,"+"&amp;K182-J182,"+"&amp;J182-K182)),"")</f>
        <v/>
      </c>
      <c r="M182" s="17" t="n"/>
      <c r="N182" s="17" t="n"/>
      <c r="O182" s="17" t="n"/>
      <c r="P182" s="17" t="n"/>
      <c r="Q182" s="17" t="n"/>
      <c r="R182" s="17" t="n"/>
      <c r="S182" s="17" t="n"/>
    </row>
    <row r="183">
      <c r="A183" s="15" t="n">
        <v>42449</v>
      </c>
      <c r="B183" s="9" t="n">
        <v>25</v>
      </c>
      <c r="C183" s="10" t="n">
        <v>30</v>
      </c>
      <c r="D183" s="17" t="inlineStr">
        <is>
          <t>Maria's Mariscos, Los Angeles</t>
        </is>
      </c>
      <c r="E183" s="9">
        <f>if($A183&lt;&gt;"",E182+B183,"")</f>
        <v/>
      </c>
      <c r="F183" s="10">
        <f>if($A183&lt;&gt;"",F182+C183,"")</f>
        <v/>
      </c>
      <c r="G183" s="11">
        <f>IF($A183&lt;&gt;"",IF(F183-E183=0,"tie",IF(F183-E183&gt;0,"+"&amp;F183-E183,"+"&amp;E183-F183)),"")</f>
        <v/>
      </c>
      <c r="H183" s="12">
        <f>if($A183&lt;&gt;"",if(B183&gt;C183,if(B183&lt;60,1,2),""),"")</f>
        <v/>
      </c>
      <c r="I183" s="12">
        <f>if($A183&lt;&gt;"",if(C183&gt;B183,if(C183&lt;60,1,2),""),"")</f>
        <v/>
      </c>
      <c r="J183" s="9">
        <f>if($A183&lt;&gt;"",J182+H183,"")</f>
        <v/>
      </c>
      <c r="K183" s="9">
        <f>if($A183&lt;&gt;"",K182+I183,"")</f>
        <v/>
      </c>
      <c r="L183" s="11">
        <f>IF($A183&lt;&gt;"",IF(K183-J183=0,"tie",IF(K183-J183&gt;0,"+"&amp;K183-J183,"+"&amp;J183-K183)),"")</f>
        <v/>
      </c>
      <c r="M183" s="17" t="n"/>
      <c r="N183" s="17" t="n"/>
      <c r="O183" s="17" t="n"/>
      <c r="P183" s="17" t="n"/>
      <c r="Q183" s="17" t="n"/>
      <c r="R183" s="17" t="n"/>
      <c r="S183" s="17" t="n"/>
    </row>
    <row r="184">
      <c r="A184" s="15" t="n">
        <v>42451</v>
      </c>
      <c r="B184" s="10" t="n">
        <v>30</v>
      </c>
      <c r="C184" s="9" t="n">
        <v>25</v>
      </c>
      <c r="D184" s="17" t="inlineStr">
        <is>
          <t>Preston Way</t>
        </is>
      </c>
      <c r="E184" s="9">
        <f>if($A184&lt;&gt;"",E183+B184,"")</f>
        <v/>
      </c>
      <c r="F184" s="10">
        <f>if($A184&lt;&gt;"",F183+C184,"")</f>
        <v/>
      </c>
      <c r="G184" s="11">
        <f>IF($A184&lt;&gt;"",IF(F184-E184=0,"tie",IF(F184-E184&gt;0,"+"&amp;F184-E184,"+"&amp;E184-F184)),"")</f>
        <v/>
      </c>
      <c r="H184" s="12">
        <f>if($A184&lt;&gt;"",if(B184&gt;C184,if(B184&lt;60,1,2),""),"")</f>
        <v/>
      </c>
      <c r="I184" s="12">
        <f>if($A184&lt;&gt;"",if(C184&gt;B184,if(C184&lt;60,1,2),""),"")</f>
        <v/>
      </c>
      <c r="J184" s="9">
        <f>if($A184&lt;&gt;"",J183+H184,"")</f>
        <v/>
      </c>
      <c r="K184" s="9">
        <f>if($A184&lt;&gt;"",K183+I184,"")</f>
        <v/>
      </c>
      <c r="L184" s="11">
        <f>IF($A184&lt;&gt;"",IF(K184-J184=0,"tie",IF(K184-J184&gt;0,"+"&amp;K184-J184,"+"&amp;J184-K184)),"")</f>
        <v/>
      </c>
      <c r="M184" s="17" t="n"/>
      <c r="N184" s="17" t="n"/>
      <c r="O184" s="17" t="n"/>
      <c r="P184" s="17" t="n"/>
      <c r="Q184" s="17" t="n"/>
      <c r="R184" s="17" t="n"/>
      <c r="S184" s="17" t="n"/>
    </row>
    <row r="185">
      <c r="A185" s="15" t="n">
        <v>42456</v>
      </c>
      <c r="B185" s="9" t="n">
        <v>25</v>
      </c>
      <c r="C185" s="10" t="n">
        <v>30</v>
      </c>
      <c r="D185" s="17" t="inlineStr">
        <is>
          <t>Indian Wells pool</t>
        </is>
      </c>
      <c r="E185" s="9">
        <f>if($A185&lt;&gt;"",E184+B185,"")</f>
        <v/>
      </c>
      <c r="F185" s="10">
        <f>if($A185&lt;&gt;"",F184+C185,"")</f>
        <v/>
      </c>
      <c r="G185" s="11">
        <f>IF($A185&lt;&gt;"",IF(F185-E185=0,"tie",IF(F185-E185&gt;0,"+"&amp;F185-E185,"+"&amp;E185-F185)),"")</f>
        <v/>
      </c>
      <c r="H185" s="12">
        <f>if($A185&lt;&gt;"",if(B185&gt;C185,if(B185&lt;60,1,2),""),"")</f>
        <v/>
      </c>
      <c r="I185" s="12">
        <f>if($A185&lt;&gt;"",if(C185&gt;B185,if(C185&lt;60,1,2),""),"")</f>
        <v/>
      </c>
      <c r="J185" s="9">
        <f>if($A185&lt;&gt;"",J184+H185,"")</f>
        <v/>
      </c>
      <c r="K185" s="9">
        <f>if($A185&lt;&gt;"",K184+I185,"")</f>
        <v/>
      </c>
      <c r="L185" s="11">
        <f>IF($A185&lt;&gt;"",IF(K185-J185=0,"tie",IF(K185-J185&gt;0,"+"&amp;K185-J185,"+"&amp;J185-K185)),"")</f>
        <v/>
      </c>
      <c r="M185" s="17" t="n"/>
      <c r="N185" s="17" t="n"/>
      <c r="O185" s="17" t="n"/>
      <c r="P185" s="17" t="n"/>
      <c r="Q185" s="17" t="n"/>
      <c r="R185" s="17" t="n"/>
      <c r="S185" s="17" t="n"/>
    </row>
    <row r="186">
      <c r="A186" s="15" t="n">
        <v>42457</v>
      </c>
      <c r="B186" s="9" t="n">
        <v>25</v>
      </c>
      <c r="C186" s="10" t="n">
        <v>30</v>
      </c>
      <c r="D186" s="17" t="inlineStr">
        <is>
          <t>Tender Tenders, Marina Del Rey</t>
        </is>
      </c>
      <c r="E186" s="9">
        <f>if($A186&lt;&gt;"",E185+B186,"")</f>
        <v/>
      </c>
      <c r="F186" s="10">
        <f>if($A186&lt;&gt;"",F185+C186,"")</f>
        <v/>
      </c>
      <c r="G186" s="11">
        <f>IF($A186&lt;&gt;"",IF(F186-E186=0,"tie",IF(F186-E186&gt;0,"+"&amp;F186-E186,"+"&amp;E186-F186)),"")</f>
        <v/>
      </c>
      <c r="H186" s="12">
        <f>if($A186&lt;&gt;"",if(B186&gt;C186,if(B186&lt;60,1,2),""),"")</f>
        <v/>
      </c>
      <c r="I186" s="12">
        <f>if($A186&lt;&gt;"",if(C186&gt;B186,if(C186&lt;60,1,2),""),"")</f>
        <v/>
      </c>
      <c r="J186" s="9">
        <f>if($A186&lt;&gt;"",J185+H186,"")</f>
        <v/>
      </c>
      <c r="K186" s="9">
        <f>if($A186&lt;&gt;"",K185+I186,"")</f>
        <v/>
      </c>
      <c r="L186" s="11">
        <f>IF($A186&lt;&gt;"",IF(K186-J186=0,"tie",IF(K186-J186&gt;0,"+"&amp;K186-J186,"+"&amp;J186-K186)),"")</f>
        <v/>
      </c>
      <c r="M186" s="17" t="n"/>
      <c r="N186" s="17" t="n"/>
      <c r="O186" s="17" t="n"/>
      <c r="P186" s="17" t="n"/>
      <c r="Q186" s="17" t="n"/>
      <c r="R186" s="17" t="n"/>
      <c r="S186" s="17" t="n"/>
    </row>
    <row r="187">
      <c r="A187" s="15" t="n">
        <v>42460</v>
      </c>
      <c r="B187" s="9" t="n">
        <v>25</v>
      </c>
      <c r="C187" s="10" t="n">
        <v>30</v>
      </c>
      <c r="D187" s="17" t="inlineStr">
        <is>
          <t>George's Burgers, Santa Monica</t>
        </is>
      </c>
      <c r="E187" s="9">
        <f>if($A187&lt;&gt;"",E186+B187,"")</f>
        <v/>
      </c>
      <c r="F187" s="10">
        <f>if($A187&lt;&gt;"",F186+C187,"")</f>
        <v/>
      </c>
      <c r="G187" s="11">
        <f>IF($A187&lt;&gt;"",IF(F187-E187=0,"tie",IF(F187-E187&gt;0,"+"&amp;F187-E187,"+"&amp;E187-F187)),"")</f>
        <v/>
      </c>
      <c r="H187" s="12">
        <f>if($A187&lt;&gt;"",if(B187&gt;C187,if(B187&lt;60,1,2),""),"")</f>
        <v/>
      </c>
      <c r="I187" s="12">
        <f>if($A187&lt;&gt;"",if(C187&gt;B187,if(C187&lt;60,1,2),""),"")</f>
        <v/>
      </c>
      <c r="J187" s="9">
        <f>if($A187&lt;&gt;"",J186+H187,"")</f>
        <v/>
      </c>
      <c r="K187" s="9">
        <f>if($A187&lt;&gt;"",K186+I187,"")</f>
        <v/>
      </c>
      <c r="L187" s="11">
        <f>IF($A187&lt;&gt;"",IF(K187-J187=0,"tie",IF(K187-J187&gt;0,"+"&amp;K187-J187,"+"&amp;J187-K187)),"")</f>
        <v/>
      </c>
      <c r="M187" s="17" t="n"/>
      <c r="N187" s="17" t="n"/>
      <c r="O187" s="17" t="n"/>
      <c r="P187" s="17" t="n"/>
      <c r="Q187" s="17" t="n"/>
      <c r="R187" s="17" t="n"/>
      <c r="S187" s="17" t="n"/>
    </row>
    <row r="188">
      <c r="A188" s="15" t="n">
        <v>42462</v>
      </c>
      <c r="B188" s="10" t="n">
        <v>30</v>
      </c>
      <c r="C188" s="9" t="n">
        <v>25</v>
      </c>
      <c r="D188" s="17" t="inlineStr">
        <is>
          <t>Bin 73, MDR</t>
        </is>
      </c>
      <c r="E188" s="9">
        <f>if($A188&lt;&gt;"",E187+B188,"")</f>
        <v/>
      </c>
      <c r="F188" s="10">
        <f>if($A188&lt;&gt;"",F187+C188,"")</f>
        <v/>
      </c>
      <c r="G188" s="11">
        <f>IF($A188&lt;&gt;"",IF(F188-E188=0,"tie",IF(F188-E188&gt;0,"+"&amp;F188-E188,"+"&amp;E188-F188)),"")</f>
        <v/>
      </c>
      <c r="H188" s="12">
        <f>if($A188&lt;&gt;"",if(B188&gt;C188,if(B188&lt;60,1,2),""),"")</f>
        <v/>
      </c>
      <c r="I188" s="12">
        <f>if($A188&lt;&gt;"",if(C188&gt;B188,if(C188&lt;60,1,2),""),"")</f>
        <v/>
      </c>
      <c r="J188" s="9">
        <f>if($A188&lt;&gt;"",J187+H188,"")</f>
        <v/>
      </c>
      <c r="K188" s="9">
        <f>if($A188&lt;&gt;"",K187+I188,"")</f>
        <v/>
      </c>
      <c r="L188" s="11">
        <f>IF($A188&lt;&gt;"",IF(K188-J188=0,"tie",IF(K188-J188&gt;0,"+"&amp;K188-J188,"+"&amp;J188-K188)),"")</f>
        <v/>
      </c>
      <c r="M188" s="17" t="n"/>
      <c r="N188" s="17" t="n"/>
      <c r="O188" s="17" t="n"/>
      <c r="P188" s="17" t="n"/>
      <c r="Q188" s="17" t="n"/>
      <c r="R188" s="17" t="n"/>
      <c r="S188" s="17" t="n"/>
    </row>
    <row r="189">
      <c r="A189" s="15" t="n">
        <v>42464</v>
      </c>
      <c r="B189" s="9" t="n">
        <v>25</v>
      </c>
      <c r="C189" s="10" t="n">
        <v>30</v>
      </c>
      <c r="D189" s="17" t="inlineStr">
        <is>
          <t>Preston Way</t>
        </is>
      </c>
      <c r="E189" s="9">
        <f>if($A189&lt;&gt;"",E188+B189,"")</f>
        <v/>
      </c>
      <c r="F189" s="10">
        <f>if($A189&lt;&gt;"",F188+C189,"")</f>
        <v/>
      </c>
      <c r="G189" s="11">
        <f>IF($A189&lt;&gt;"",IF(F189-E189=0,"tie",IF(F189-E189&gt;0,"+"&amp;F189-E189,"+"&amp;E189-F189)),"")</f>
        <v/>
      </c>
      <c r="H189" s="12">
        <f>if($A189&lt;&gt;"",if(B189&gt;C189,if(B189&lt;60,1,2),""),"")</f>
        <v/>
      </c>
      <c r="I189" s="12">
        <f>if($A189&lt;&gt;"",if(C189&gt;B189,if(C189&lt;60,1,2),""),"")</f>
        <v/>
      </c>
      <c r="J189" s="9">
        <f>if($A189&lt;&gt;"",J188+H189,"")</f>
        <v/>
      </c>
      <c r="K189" s="9">
        <f>if($A189&lt;&gt;"",K188+I189,"")</f>
        <v/>
      </c>
      <c r="L189" s="11">
        <f>IF($A189&lt;&gt;"",IF(K189-J189=0,"tie",IF(K189-J189&gt;0,"+"&amp;K189-J189,"+"&amp;J189-K189)),"")</f>
        <v/>
      </c>
      <c r="M189" s="17" t="n"/>
      <c r="N189" s="17" t="n"/>
      <c r="O189" s="17" t="n"/>
      <c r="P189" s="17" t="n"/>
      <c r="Q189" s="17" t="n"/>
      <c r="R189" s="17" t="n"/>
      <c r="S189" s="17" t="n"/>
    </row>
    <row r="190">
      <c r="A190" s="15" t="n">
        <v>42466</v>
      </c>
      <c r="B190" s="9" t="n">
        <v>25</v>
      </c>
      <c r="C190" s="10" t="n">
        <v>30</v>
      </c>
      <c r="D190" s="17" t="inlineStr">
        <is>
          <t>Café 50's, Venice</t>
        </is>
      </c>
      <c r="E190" s="9">
        <f>if($A190&lt;&gt;"",E189+B190,"")</f>
        <v/>
      </c>
      <c r="F190" s="10">
        <f>if($A190&lt;&gt;"",F189+C190,"")</f>
        <v/>
      </c>
      <c r="G190" s="11">
        <f>IF($A190&lt;&gt;"",IF(F190-E190=0,"tie",IF(F190-E190&gt;0,"+"&amp;F190-E190,"+"&amp;E190-F190)),"")</f>
        <v/>
      </c>
      <c r="H190" s="12">
        <f>if($A190&lt;&gt;"",if(B190&gt;C190,if(B190&lt;60,1,2),""),"")</f>
        <v/>
      </c>
      <c r="I190" s="12">
        <f>if($A190&lt;&gt;"",if(C190&gt;B190,if(C190&lt;60,1,2),""),"")</f>
        <v/>
      </c>
      <c r="J190" s="9">
        <f>if($A190&lt;&gt;"",J189+H190,"")</f>
        <v/>
      </c>
      <c r="K190" s="9">
        <f>if($A190&lt;&gt;"",K189+I190,"")</f>
        <v/>
      </c>
      <c r="L190" s="11">
        <f>IF($A190&lt;&gt;"",IF(K190-J190=0,"tie",IF(K190-J190&gt;0,"+"&amp;K190-J190,"+"&amp;J190-K190)),"")</f>
        <v/>
      </c>
      <c r="M190" s="17" t="n"/>
      <c r="N190" s="17" t="n"/>
      <c r="O190" s="17" t="n"/>
      <c r="P190" s="17" t="n"/>
      <c r="Q190" s="17" t="n"/>
      <c r="R190" s="17" t="n"/>
      <c r="S190" s="17" t="n"/>
    </row>
    <row r="191">
      <c r="A191" s="15" t="n">
        <v>42470</v>
      </c>
      <c r="B191" s="10" t="n">
        <v>30</v>
      </c>
      <c r="C191" s="9" t="n">
        <v>25</v>
      </c>
      <c r="D191" s="17" t="inlineStr">
        <is>
          <t>Firestone Walker Brewery, MDR (just opened)</t>
        </is>
      </c>
      <c r="E191" s="9">
        <f>if($A191&lt;&gt;"",E190+B191,"")</f>
        <v/>
      </c>
      <c r="F191" s="10">
        <f>if($A191&lt;&gt;"",F190+C191,"")</f>
        <v/>
      </c>
      <c r="G191" s="11">
        <f>IF($A191&lt;&gt;"",IF(F191-E191=0,"tie",IF(F191-E191&gt;0,"+"&amp;F191-E191,"+"&amp;E191-F191)),"")</f>
        <v/>
      </c>
      <c r="H191" s="12">
        <f>if($A191&lt;&gt;"",if(B191&gt;C191,if(B191&lt;60,1,2),""),"")</f>
        <v/>
      </c>
      <c r="I191" s="12">
        <f>if($A191&lt;&gt;"",if(C191&gt;B191,if(C191&lt;60,1,2),""),"")</f>
        <v/>
      </c>
      <c r="J191" s="9">
        <f>if($A191&lt;&gt;"",J190+H191,"")</f>
        <v/>
      </c>
      <c r="K191" s="9">
        <f>if($A191&lt;&gt;"",K190+I191,"")</f>
        <v/>
      </c>
      <c r="L191" s="11">
        <f>IF($A191&lt;&gt;"",IF(K191-J191=0,"tie",IF(K191-J191&gt;0,"+"&amp;K191-J191,"+"&amp;J191-K191)),"")</f>
        <v/>
      </c>
      <c r="M191" s="17" t="n"/>
      <c r="N191" s="17" t="n"/>
      <c r="O191" s="17" t="n"/>
      <c r="P191" s="17" t="n"/>
      <c r="Q191" s="17" t="n"/>
      <c r="R191" s="17" t="n"/>
      <c r="S191" s="17" t="n"/>
    </row>
    <row r="192">
      <c r="A192" s="15" t="n">
        <v>42470</v>
      </c>
      <c r="B192" s="9" t="n">
        <v>25</v>
      </c>
      <c r="C192" s="10" t="n">
        <v>30</v>
      </c>
      <c r="D192" s="17" t="inlineStr">
        <is>
          <t>Preston Way</t>
        </is>
      </c>
      <c r="E192" s="9">
        <f>if($A192&lt;&gt;"",E191+B192,"")</f>
        <v/>
      </c>
      <c r="F192" s="10">
        <f>if($A192&lt;&gt;"",F191+C192,"")</f>
        <v/>
      </c>
      <c r="G192" s="11">
        <f>IF($A192&lt;&gt;"",IF(F192-E192=0,"tie",IF(F192-E192&gt;0,"+"&amp;F192-E192,"+"&amp;E192-F192)),"")</f>
        <v/>
      </c>
      <c r="H192" s="12">
        <f>if($A192&lt;&gt;"",if(B192&gt;C192,if(B192&lt;60,1,2),""),"")</f>
        <v/>
      </c>
      <c r="I192" s="12">
        <f>if($A192&lt;&gt;"",if(C192&gt;B192,if(C192&lt;60,1,2),""),"")</f>
        <v/>
      </c>
      <c r="J192" s="9">
        <f>if($A192&lt;&gt;"",J191+H192,"")</f>
        <v/>
      </c>
      <c r="K192" s="9">
        <f>if($A192&lt;&gt;"",K191+I192,"")</f>
        <v/>
      </c>
      <c r="L192" s="11">
        <f>IF($A192&lt;&gt;"",IF(K192-J192=0,"tie",IF(K192-J192&gt;0,"+"&amp;K192-J192,"+"&amp;J192-K192)),"")</f>
        <v/>
      </c>
      <c r="M192" s="17" t="n"/>
      <c r="N192" s="17" t="n"/>
      <c r="O192" s="17" t="n"/>
      <c r="P192" s="17" t="n"/>
      <c r="Q192" s="17" t="n"/>
      <c r="R192" s="17" t="n"/>
      <c r="S192" s="17" t="n"/>
    </row>
    <row r="193">
      <c r="A193" s="15" t="n">
        <v>42471</v>
      </c>
      <c r="B193" s="9" t="n">
        <v>25</v>
      </c>
      <c r="C193" s="10" t="n">
        <v>30</v>
      </c>
      <c r="D193" s="17" t="inlineStr">
        <is>
          <t>Café 50's, Venice</t>
        </is>
      </c>
      <c r="E193" s="9">
        <f>if($A193&lt;&gt;"",E192+B193,"")</f>
        <v/>
      </c>
      <c r="F193" s="10">
        <f>if($A193&lt;&gt;"",F192+C193,"")</f>
        <v/>
      </c>
      <c r="G193" s="11">
        <f>IF($A193&lt;&gt;"",IF(F193-E193=0,"tie",IF(F193-E193&gt;0,"+"&amp;F193-E193,"+"&amp;E193-F193)),"")</f>
        <v/>
      </c>
      <c r="H193" s="12">
        <f>if($A193&lt;&gt;"",if(B193&gt;C193,if(B193&lt;60,1,2),""),"")</f>
        <v/>
      </c>
      <c r="I193" s="12">
        <f>if($A193&lt;&gt;"",if(C193&gt;B193,if(C193&lt;60,1,2),""),"")</f>
        <v/>
      </c>
      <c r="J193" s="9">
        <f>if($A193&lt;&gt;"",J192+H193,"")</f>
        <v/>
      </c>
      <c r="K193" s="9">
        <f>if($A193&lt;&gt;"",K192+I193,"")</f>
        <v/>
      </c>
      <c r="L193" s="11">
        <f>IF($A193&lt;&gt;"",IF(K193-J193=0,"tie",IF(K193-J193&gt;0,"+"&amp;K193-J193,"+"&amp;J193-K193)),"")</f>
        <v/>
      </c>
      <c r="M193" s="17" t="n"/>
      <c r="N193" s="17" t="n"/>
      <c r="O193" s="17" t="n"/>
      <c r="P193" s="17" t="n"/>
      <c r="Q193" s="17" t="n"/>
      <c r="R193" s="17" t="n"/>
      <c r="S193" s="17" t="n"/>
    </row>
    <row r="194">
      <c r="A194" s="15" t="n">
        <v>42474</v>
      </c>
      <c r="B194" s="9" t="n">
        <v>25</v>
      </c>
      <c r="C194" s="10" t="n">
        <v>30</v>
      </c>
      <c r="D194" s="17" t="inlineStr">
        <is>
          <t>Shophouse, Santa Monica</t>
        </is>
      </c>
      <c r="E194" s="9">
        <f>if($A194&lt;&gt;"",E193+B194,"")</f>
        <v/>
      </c>
      <c r="F194" s="10">
        <f>if($A194&lt;&gt;"",F193+C194,"")</f>
        <v/>
      </c>
      <c r="G194" s="11">
        <f>IF($A194&lt;&gt;"",IF(F194-E194=0,"tie",IF(F194-E194&gt;0,"+"&amp;F194-E194,"+"&amp;E194-F194)),"")</f>
        <v/>
      </c>
      <c r="H194" s="12">
        <f>if($A194&lt;&gt;"",if(B194&gt;C194,if(B194&lt;60,1,2),""),"")</f>
        <v/>
      </c>
      <c r="I194" s="12">
        <f>if($A194&lt;&gt;"",if(C194&gt;B194,if(C194&lt;60,1,2),""),"")</f>
        <v/>
      </c>
      <c r="J194" s="9">
        <f>if($A194&lt;&gt;"",J193+H194,"")</f>
        <v/>
      </c>
      <c r="K194" s="9">
        <f>if($A194&lt;&gt;"",K193+I194,"")</f>
        <v/>
      </c>
      <c r="L194" s="11">
        <f>IF($A194&lt;&gt;"",IF(K194-J194=0,"tie",IF(K194-J194&gt;0,"+"&amp;K194-J194,"+"&amp;J194-K194)),"")</f>
        <v/>
      </c>
      <c r="M194" s="17" t="n"/>
      <c r="N194" s="17" t="n"/>
      <c r="O194" s="17" t="n"/>
      <c r="P194" s="17" t="n"/>
      <c r="Q194" s="17" t="n"/>
      <c r="R194" s="17" t="n"/>
      <c r="S194" s="17" t="n"/>
    </row>
    <row r="195">
      <c r="A195" s="15" t="n">
        <v>42478</v>
      </c>
      <c r="B195" s="10" t="n">
        <v>30</v>
      </c>
      <c r="C195" s="9" t="n">
        <v>25</v>
      </c>
      <c r="D195" s="17" t="inlineStr">
        <is>
          <t>Café 50's, Venice</t>
        </is>
      </c>
      <c r="E195" s="9">
        <f>if($A195&lt;&gt;"",E194+B195,"")</f>
        <v/>
      </c>
      <c r="F195" s="10">
        <f>if($A195&lt;&gt;"",F194+C195,"")</f>
        <v/>
      </c>
      <c r="G195" s="11">
        <f>IF($A195&lt;&gt;"",IF(F195-E195=0,"tie",IF(F195-E195&gt;0,"+"&amp;F195-E195,"+"&amp;E195-F195)),"")</f>
        <v/>
      </c>
      <c r="H195" s="12">
        <f>if($A195&lt;&gt;"",if(B195&gt;C195,if(B195&lt;60,1,2),""),"")</f>
        <v/>
      </c>
      <c r="I195" s="12">
        <f>if($A195&lt;&gt;"",if(C195&gt;B195,if(C195&lt;60,1,2),""),"")</f>
        <v/>
      </c>
      <c r="J195" s="9">
        <f>if($A195&lt;&gt;"",J194+H195,"")</f>
        <v/>
      </c>
      <c r="K195" s="9">
        <f>if($A195&lt;&gt;"",K194+I195,"")</f>
        <v/>
      </c>
      <c r="L195" s="11">
        <f>IF($A195&lt;&gt;"",IF(K195-J195=0,"tie",IF(K195-J195&gt;0,"+"&amp;K195-J195,"+"&amp;J195-K195)),"")</f>
        <v/>
      </c>
      <c r="M195" s="17" t="n"/>
      <c r="N195" s="17" t="n"/>
      <c r="O195" s="17" t="n"/>
      <c r="P195" s="17" t="n"/>
      <c r="Q195" s="17" t="n"/>
      <c r="R195" s="17" t="n"/>
      <c r="S195" s="17" t="n"/>
    </row>
    <row r="196">
      <c r="A196" s="15" t="n">
        <v>42483</v>
      </c>
      <c r="B196" s="10" t="n">
        <v>30</v>
      </c>
      <c r="C196" s="9" t="n">
        <v>25</v>
      </c>
      <c r="D196" s="17" t="inlineStr">
        <is>
          <t>Bob's Big Boy, Calimesa</t>
        </is>
      </c>
      <c r="E196" s="9">
        <f>if($A196&lt;&gt;"",E195+B196,"")</f>
        <v/>
      </c>
      <c r="F196" s="10">
        <f>if($A196&lt;&gt;"",F195+C196,"")</f>
        <v/>
      </c>
      <c r="G196" s="11">
        <f>IF($A196&lt;&gt;"",IF(F196-E196=0,"tie",IF(F196-E196&gt;0,"+"&amp;F196-E196,"+"&amp;E196-F196)),"")</f>
        <v/>
      </c>
      <c r="H196" s="12">
        <f>if($A196&lt;&gt;"",if(B196&gt;C196,if(B196&lt;60,1,2),""),"")</f>
        <v/>
      </c>
      <c r="I196" s="12">
        <f>if($A196&lt;&gt;"",if(C196&gt;B196,if(C196&lt;60,1,2),""),"")</f>
        <v/>
      </c>
      <c r="J196" s="9">
        <f>if($A196&lt;&gt;"",J195+H196,"")</f>
        <v/>
      </c>
      <c r="K196" s="9">
        <f>if($A196&lt;&gt;"",K195+I196,"")</f>
        <v/>
      </c>
      <c r="L196" s="11">
        <f>IF($A196&lt;&gt;"",IF(K196-J196=0,"tie",IF(K196-J196&gt;0,"+"&amp;K196-J196,"+"&amp;J196-K196)),"")</f>
        <v/>
      </c>
      <c r="M196" s="17" t="n"/>
      <c r="N196" s="17" t="n"/>
      <c r="O196" s="17" t="n"/>
      <c r="P196" s="17" t="n"/>
      <c r="Q196" s="17" t="n"/>
      <c r="R196" s="17" t="n"/>
      <c r="S196" s="17" t="n"/>
    </row>
    <row r="197">
      <c r="A197" s="15" t="n">
        <v>42486</v>
      </c>
      <c r="B197" s="10" t="n">
        <v>30</v>
      </c>
      <c r="C197" s="9" t="n">
        <v>25</v>
      </c>
      <c r="D197" s="17" t="inlineStr">
        <is>
          <t>Trip, Santa Monica w/Mike &amp; Ben</t>
        </is>
      </c>
      <c r="E197" s="9">
        <f>if($A197&lt;&gt;"",E196+B197,"")</f>
        <v/>
      </c>
      <c r="F197" s="10">
        <f>if($A197&lt;&gt;"",F196+C197,"")</f>
        <v/>
      </c>
      <c r="G197" s="11">
        <f>IF($A197&lt;&gt;"",IF(F197-E197=0,"tie",IF(F197-E197&gt;0,"+"&amp;F197-E197,"+"&amp;E197-F197)),"")</f>
        <v/>
      </c>
      <c r="H197" s="12">
        <f>if($A197&lt;&gt;"",if(B197&gt;C197,if(B197&lt;60,1,2),""),"")</f>
        <v/>
      </c>
      <c r="I197" s="12">
        <f>if($A197&lt;&gt;"",if(C197&gt;B197,if(C197&lt;60,1,2),""),"")</f>
        <v/>
      </c>
      <c r="J197" s="9">
        <f>if($A197&lt;&gt;"",J196+H197,"")</f>
        <v/>
      </c>
      <c r="K197" s="9">
        <f>if($A197&lt;&gt;"",K196+I197,"")</f>
        <v/>
      </c>
      <c r="L197" s="11">
        <f>IF($A197&lt;&gt;"",IF(K197-J197=0,"tie",IF(K197-J197&gt;0,"+"&amp;K197-J197,"+"&amp;J197-K197)),"")</f>
        <v/>
      </c>
      <c r="M197" s="17" t="n"/>
      <c r="N197" s="17" t="n"/>
      <c r="O197" s="17" t="n"/>
      <c r="P197" s="17" t="n"/>
      <c r="Q197" s="17" t="n"/>
      <c r="R197" s="17" t="n"/>
      <c r="S197" s="17" t="n"/>
    </row>
    <row r="198">
      <c r="A198" s="15" t="n">
        <v>42488</v>
      </c>
      <c r="B198" s="9" t="n">
        <v>25</v>
      </c>
      <c r="C198" s="10" t="n">
        <v>30</v>
      </c>
      <c r="D198" s="17" t="inlineStr">
        <is>
          <t>Killer Cafe, Marina Del Rey</t>
        </is>
      </c>
      <c r="E198" s="9">
        <f>if($A198&lt;&gt;"",E197+B198,"")</f>
        <v/>
      </c>
      <c r="F198" s="10">
        <f>if($A198&lt;&gt;"",F197+C198,"")</f>
        <v/>
      </c>
      <c r="G198" s="11">
        <f>IF($A198&lt;&gt;"",IF(F198-E198=0,"tie",IF(F198-E198&gt;0,"+"&amp;F198-E198,"+"&amp;E198-F198)),"")</f>
        <v/>
      </c>
      <c r="H198" s="12">
        <f>if($A198&lt;&gt;"",if(B198&gt;C198,if(B198&lt;60,1,2),""),"")</f>
        <v/>
      </c>
      <c r="I198" s="12">
        <f>if($A198&lt;&gt;"",if(C198&gt;B198,if(C198&lt;60,1,2),""),"")</f>
        <v/>
      </c>
      <c r="J198" s="9">
        <f>if($A198&lt;&gt;"",J197+H198,"")</f>
        <v/>
      </c>
      <c r="K198" s="9">
        <f>if($A198&lt;&gt;"",K197+I198,"")</f>
        <v/>
      </c>
      <c r="L198" s="11">
        <f>IF($A198&lt;&gt;"",IF(K198-J198=0,"tie",IF(K198-J198&gt;0,"+"&amp;K198-J198,"+"&amp;J198-K198)),"")</f>
        <v/>
      </c>
      <c r="M198" s="17" t="n"/>
      <c r="N198" s="17" t="n"/>
      <c r="O198" s="17" t="n"/>
      <c r="P198" s="17" t="n"/>
      <c r="Q198" s="17" t="n"/>
      <c r="R198" s="17" t="n"/>
      <c r="S198" s="17" t="n"/>
    </row>
    <row r="199">
      <c r="A199" s="15" t="n">
        <v>42491</v>
      </c>
      <c r="B199" s="9" t="n">
        <v>25</v>
      </c>
      <c r="C199" s="10" t="n">
        <v>30</v>
      </c>
      <c r="D199" s="17" t="inlineStr">
        <is>
          <t>Morfia's, Marina Del Rey</t>
        </is>
      </c>
      <c r="E199" s="9">
        <f>if($A199&lt;&gt;"",E198+B199,"")</f>
        <v/>
      </c>
      <c r="F199" s="10">
        <f>if($A199&lt;&gt;"",F198+C199,"")</f>
        <v/>
      </c>
      <c r="G199" s="11">
        <f>IF($A199&lt;&gt;"",IF(F199-E199=0,"tie",IF(F199-E199&gt;0,"+"&amp;F199-E199,"+"&amp;E199-F199)),"")</f>
        <v/>
      </c>
      <c r="H199" s="12">
        <f>if($A199&lt;&gt;"",if(B199&gt;C199,if(B199&lt;60,1,2),""),"")</f>
        <v/>
      </c>
      <c r="I199" s="12">
        <f>if($A199&lt;&gt;"",if(C199&gt;B199,if(C199&lt;60,1,2),""),"")</f>
        <v/>
      </c>
      <c r="J199" s="9">
        <f>if($A199&lt;&gt;"",J198+H199,"")</f>
        <v/>
      </c>
      <c r="K199" s="9">
        <f>if($A199&lt;&gt;"",K198+I199,"")</f>
        <v/>
      </c>
      <c r="L199" s="11">
        <f>IF($A199&lt;&gt;"",IF(K199-J199=0,"tie",IF(K199-J199&gt;0,"+"&amp;K199-J199,"+"&amp;J199-K199)),"")</f>
        <v/>
      </c>
      <c r="M199" s="17" t="n"/>
      <c r="N199" s="17" t="n"/>
      <c r="O199" s="17" t="n"/>
      <c r="P199" s="17" t="n"/>
      <c r="Q199" s="17" t="n"/>
      <c r="R199" s="17" t="n"/>
      <c r="S199" s="17" t="n"/>
    </row>
    <row r="200">
      <c r="A200" s="15" t="n">
        <v>42493</v>
      </c>
      <c r="B200" s="10" t="n">
        <v>30</v>
      </c>
      <c r="C200" s="9" t="n">
        <v>25</v>
      </c>
      <c r="D200" s="17" t="inlineStr">
        <is>
          <t>Baja Fresh</t>
        </is>
      </c>
      <c r="E200" s="9">
        <f>if($A200&lt;&gt;"",E199+B200,"")</f>
        <v/>
      </c>
      <c r="F200" s="10">
        <f>if($A200&lt;&gt;"",F199+C200,"")</f>
        <v/>
      </c>
      <c r="G200" s="11">
        <f>IF($A200&lt;&gt;"",IF(F200-E200=0,"tie",IF(F200-E200&gt;0,"+"&amp;F200-E200,"+"&amp;E200-F200)),"")</f>
        <v/>
      </c>
      <c r="H200" s="12">
        <f>if($A200&lt;&gt;"",if(B200&gt;C200,if(B200&lt;60,1,2),""),"")</f>
        <v/>
      </c>
      <c r="I200" s="12">
        <f>if($A200&lt;&gt;"",if(C200&gt;B200,if(C200&lt;60,1,2),""),"")</f>
        <v/>
      </c>
      <c r="J200" s="9">
        <f>if($A200&lt;&gt;"",J199+H200,"")</f>
        <v/>
      </c>
      <c r="K200" s="9">
        <f>if($A200&lt;&gt;"",K199+I200,"")</f>
        <v/>
      </c>
      <c r="L200" s="11">
        <f>IF($A200&lt;&gt;"",IF(K200-J200=0,"tie",IF(K200-J200&gt;0,"+"&amp;K200-J200,"+"&amp;J200-K200)),"")</f>
        <v/>
      </c>
      <c r="M200" s="17" t="n"/>
      <c r="N200" s="17" t="n"/>
      <c r="O200" s="17" t="n"/>
      <c r="P200" s="17" t="n"/>
      <c r="Q200" s="17" t="n"/>
      <c r="R200" s="17" t="n"/>
      <c r="S200" s="17" t="n"/>
    </row>
    <row r="201">
      <c r="A201" s="15" t="n">
        <v>42503</v>
      </c>
      <c r="B201" s="10" t="n">
        <v>30</v>
      </c>
      <c r="C201" s="9" t="n">
        <v>25</v>
      </c>
      <c r="D201" s="17" t="inlineStr">
        <is>
          <t>Rustic Kitchen</t>
        </is>
      </c>
      <c r="E201" s="9">
        <f>if($A201&lt;&gt;"",E200+B201,"")</f>
        <v/>
      </c>
      <c r="F201" s="10">
        <f>if($A201&lt;&gt;"",F200+C201,"")</f>
        <v/>
      </c>
      <c r="G201" s="11">
        <f>IF($A201&lt;&gt;"",IF(F201-E201=0,"tie",IF(F201-E201&gt;0,"+"&amp;F201-E201,"+"&amp;E201-F201)),"")</f>
        <v/>
      </c>
      <c r="H201" s="12">
        <f>if($A201&lt;&gt;"",if(B201&gt;C201,if(B201&lt;60,1,2),""),"")</f>
        <v/>
      </c>
      <c r="I201" s="12">
        <f>if($A201&lt;&gt;"",if(C201&gt;B201,if(C201&lt;60,1,2),""),"")</f>
        <v/>
      </c>
      <c r="J201" s="9">
        <f>if($A201&lt;&gt;"",J200+H201,"")</f>
        <v/>
      </c>
      <c r="K201" s="9">
        <f>if($A201&lt;&gt;"",K200+I201,"")</f>
        <v/>
      </c>
      <c r="L201" s="11">
        <f>IF($A201&lt;&gt;"",IF(K201-J201=0,"tie",IF(K201-J201&gt;0,"+"&amp;K201-J201,"+"&amp;J201-K201)),"")</f>
        <v/>
      </c>
      <c r="M201" s="17" t="n"/>
      <c r="N201" s="17" t="n"/>
      <c r="O201" s="17" t="n"/>
      <c r="P201" s="17" t="n"/>
      <c r="Q201" s="17" t="n"/>
      <c r="R201" s="17" t="n"/>
      <c r="S201" s="17" t="n"/>
    </row>
    <row r="202">
      <c r="A202" s="15" t="n">
        <v>42504</v>
      </c>
      <c r="B202" s="9" t="n">
        <v>25</v>
      </c>
      <c r="C202" s="10" t="n">
        <v>30</v>
      </c>
      <c r="D202" s="17" t="inlineStr">
        <is>
          <t>Casablanca</t>
        </is>
      </c>
      <c r="E202" s="9">
        <f>if($A202&lt;&gt;"",E201+B202,"")</f>
        <v/>
      </c>
      <c r="F202" s="10">
        <f>if($A202&lt;&gt;"",F201+C202,"")</f>
        <v/>
      </c>
      <c r="G202" s="11">
        <f>IF($A202&lt;&gt;"",IF(F202-E202=0,"tie",IF(F202-E202&gt;0,"+"&amp;F202-E202,"+"&amp;E202-F202)),"")</f>
        <v/>
      </c>
      <c r="H202" s="12">
        <f>if($A202&lt;&gt;"",if(B202&gt;C202,if(B202&lt;60,1,2),""),"")</f>
        <v/>
      </c>
      <c r="I202" s="12">
        <f>if($A202&lt;&gt;"",if(C202&gt;B202,if(C202&lt;60,1,2),""),"")</f>
        <v/>
      </c>
      <c r="J202" s="9">
        <f>if($A202&lt;&gt;"",J201+H202,"")</f>
        <v/>
      </c>
      <c r="K202" s="9">
        <f>if($A202&lt;&gt;"",K201+I202,"")</f>
        <v/>
      </c>
      <c r="L202" s="11">
        <f>IF($A202&lt;&gt;"",IF(K202-J202=0,"tie",IF(K202-J202&gt;0,"+"&amp;K202-J202,"+"&amp;J202-K202)),"")</f>
        <v/>
      </c>
      <c r="M202" s="17" t="n"/>
      <c r="N202" s="17" t="n"/>
      <c r="O202" s="17" t="n"/>
      <c r="P202" s="17" t="n"/>
      <c r="Q202" s="17" t="n"/>
      <c r="R202" s="17" t="n"/>
      <c r="S202" s="17" t="n"/>
    </row>
    <row r="203">
      <c r="A203" s="15" t="n">
        <v>42505</v>
      </c>
      <c r="B203" s="10" t="n">
        <v>30</v>
      </c>
      <c r="C203" s="9" t="n">
        <v>25</v>
      </c>
      <c r="D203" s="17" t="inlineStr">
        <is>
          <t>Preston Way</t>
        </is>
      </c>
      <c r="E203" s="9">
        <f>if($A203&lt;&gt;"",E202+B203,"")</f>
        <v/>
      </c>
      <c r="F203" s="10">
        <f>if($A203&lt;&gt;"",F202+C203,"")</f>
        <v/>
      </c>
      <c r="G203" s="11">
        <f>IF($A203&lt;&gt;"",IF(F203-E203=0,"tie",IF(F203-E203&gt;0,"+"&amp;F203-E203,"+"&amp;E203-F203)),"")</f>
        <v/>
      </c>
      <c r="H203" s="12">
        <f>if($A203&lt;&gt;"",if(B203&gt;C203,if(B203&lt;60,1,2),""),"")</f>
        <v/>
      </c>
      <c r="I203" s="12">
        <f>if($A203&lt;&gt;"",if(C203&gt;B203,if(C203&lt;60,1,2),""),"")</f>
        <v/>
      </c>
      <c r="J203" s="9">
        <f>if($A203&lt;&gt;"",J202+H203,"")</f>
        <v/>
      </c>
      <c r="K203" s="9">
        <f>if($A203&lt;&gt;"",K202+I203,"")</f>
        <v/>
      </c>
      <c r="L203" s="11">
        <f>IF($A203&lt;&gt;"",IF(K203-J203=0,"tie",IF(K203-J203&gt;0,"+"&amp;K203-J203,"+"&amp;J203-K203)),"")</f>
        <v/>
      </c>
      <c r="M203" s="17" t="n"/>
      <c r="N203" s="17" t="n"/>
      <c r="O203" s="17" t="n"/>
      <c r="P203" s="17" t="n"/>
      <c r="Q203" s="17" t="n"/>
      <c r="R203" s="17" t="n"/>
      <c r="S203" s="17" t="n"/>
    </row>
    <row r="204">
      <c r="A204" s="15" t="n">
        <v>42506</v>
      </c>
      <c r="B204" s="10" t="n">
        <v>30</v>
      </c>
      <c r="C204" s="9" t="n">
        <v>25</v>
      </c>
      <c r="D204" s="17" t="inlineStr">
        <is>
          <t>Westside Tavern, WLA</t>
        </is>
      </c>
      <c r="E204" s="9">
        <f>if($A204&lt;&gt;"",E203+B204,"")</f>
        <v/>
      </c>
      <c r="F204" s="10">
        <f>if($A204&lt;&gt;"",F203+C204,"")</f>
        <v/>
      </c>
      <c r="G204" s="11">
        <f>IF($A204&lt;&gt;"",IF(F204-E204=0,"tie",IF(F204-E204&gt;0,"+"&amp;F204-E204,"+"&amp;E204-F204)),"")</f>
        <v/>
      </c>
      <c r="H204" s="12">
        <f>if($A204&lt;&gt;"",if(B204&gt;C204,if(B204&lt;60,1,2),""),"")</f>
        <v/>
      </c>
      <c r="I204" s="12">
        <f>if($A204&lt;&gt;"",if(C204&gt;B204,if(C204&lt;60,1,2),""),"")</f>
        <v/>
      </c>
      <c r="J204" s="9">
        <f>if($A204&lt;&gt;"",J203+H204,"")</f>
        <v/>
      </c>
      <c r="K204" s="9">
        <f>if($A204&lt;&gt;"",K203+I204,"")</f>
        <v/>
      </c>
      <c r="L204" s="11">
        <f>IF($A204&lt;&gt;"",IF(K204-J204=0,"tie",IF(K204-J204&gt;0,"+"&amp;K204-J204,"+"&amp;J204-K204)),"")</f>
        <v/>
      </c>
      <c r="M204" s="17" t="n"/>
      <c r="N204" s="17" t="n"/>
      <c r="O204" s="17" t="n"/>
      <c r="P204" s="17" t="n"/>
      <c r="Q204" s="17" t="n"/>
      <c r="R204" s="17" t="n"/>
      <c r="S204" s="17" t="n"/>
    </row>
    <row r="205">
      <c r="A205" s="15" t="n">
        <v>42508</v>
      </c>
      <c r="B205" s="10" t="n">
        <v>30</v>
      </c>
      <c r="C205" s="9" t="n">
        <v>25</v>
      </c>
      <c r="D205" s="17" t="inlineStr">
        <is>
          <t>Killer Shrimp Cafe, MDR</t>
        </is>
      </c>
      <c r="E205" s="9">
        <f>if($A205&lt;&gt;"",E204+B205,"")</f>
        <v/>
      </c>
      <c r="F205" s="10">
        <f>if($A205&lt;&gt;"",F204+C205,"")</f>
        <v/>
      </c>
      <c r="G205" s="11">
        <f>IF($A205&lt;&gt;"",IF(F205-E205=0,"tie",IF(F205-E205&gt;0,"+"&amp;F205-E205,"+"&amp;E205-F205)),"")</f>
        <v/>
      </c>
      <c r="H205" s="12">
        <f>if($A205&lt;&gt;"",if(B205&gt;C205,if(B205&lt;60,1,2),""),"")</f>
        <v/>
      </c>
      <c r="I205" s="12">
        <f>if($A205&lt;&gt;"",if(C205&gt;B205,if(C205&lt;60,1,2),""),"")</f>
        <v/>
      </c>
      <c r="J205" s="9">
        <f>if($A205&lt;&gt;"",J204+H205,"")</f>
        <v/>
      </c>
      <c r="K205" s="9">
        <f>if($A205&lt;&gt;"",K204+I205,"")</f>
        <v/>
      </c>
      <c r="L205" s="11">
        <f>IF($A205&lt;&gt;"",IF(K205-J205=0,"tie",IF(K205-J205&gt;0,"+"&amp;K205-J205,"+"&amp;J205-K205)),"")</f>
        <v/>
      </c>
      <c r="M205" s="17" t="n"/>
      <c r="N205" s="17" t="n"/>
      <c r="O205" s="17" t="n"/>
      <c r="P205" s="17" t="n"/>
      <c r="Q205" s="17" t="n"/>
      <c r="R205" s="17" t="n"/>
      <c r="S205" s="17" t="n"/>
    </row>
    <row r="206">
      <c r="A206" s="15" t="n">
        <v>42516</v>
      </c>
      <c r="B206" s="9" t="n">
        <v>25</v>
      </c>
      <c r="C206" s="10" t="n">
        <v>30</v>
      </c>
      <c r="D206" s="17" t="inlineStr">
        <is>
          <t>Café 50's, Venice</t>
        </is>
      </c>
      <c r="E206" s="9">
        <f>if($A206&lt;&gt;"",E205+B206,"")</f>
        <v/>
      </c>
      <c r="F206" s="10">
        <f>if($A206&lt;&gt;"",F205+C206,"")</f>
        <v/>
      </c>
      <c r="G206" s="11">
        <f>IF($A206&lt;&gt;"",IF(F206-E206=0,"tie",IF(F206-E206&gt;0,"+"&amp;F206-E206,"+"&amp;E206-F206)),"")</f>
        <v/>
      </c>
      <c r="H206" s="12">
        <f>if($A206&lt;&gt;"",if(B206&gt;C206,if(B206&lt;60,1,2),""),"")</f>
        <v/>
      </c>
      <c r="I206" s="12">
        <f>if($A206&lt;&gt;"",if(C206&gt;B206,if(C206&lt;60,1,2),""),"")</f>
        <v/>
      </c>
      <c r="J206" s="9">
        <f>if($A206&lt;&gt;"",J205+H206,"")</f>
        <v/>
      </c>
      <c r="K206" s="9">
        <f>if($A206&lt;&gt;"",K205+I206,"")</f>
        <v/>
      </c>
      <c r="L206" s="11">
        <f>IF($A206&lt;&gt;"",IF(K206-J206=0,"tie",IF(K206-J206&gt;0,"+"&amp;K206-J206,"+"&amp;J206-K206)),"")</f>
        <v/>
      </c>
      <c r="M206" s="17" t="n"/>
      <c r="N206" s="17" t="n"/>
      <c r="O206" s="17" t="n"/>
      <c r="P206" s="17" t="n"/>
      <c r="Q206" s="17" t="n"/>
      <c r="R206" s="17" t="n"/>
      <c r="S206" s="17" t="n"/>
    </row>
    <row r="207">
      <c r="A207" s="15" t="n">
        <v>42522</v>
      </c>
      <c r="B207" s="10" t="n">
        <v>30</v>
      </c>
      <c r="C207" s="9" t="n">
        <v>25</v>
      </c>
      <c r="D207" s="17" t="inlineStr">
        <is>
          <t>Burgers and Beer, Santa Monica, CA</t>
        </is>
      </c>
      <c r="E207" s="9">
        <f>if($A207&lt;&gt;"",E206+B207,"")</f>
        <v/>
      </c>
      <c r="F207" s="10">
        <f>if($A207&lt;&gt;"",F206+C207,"")</f>
        <v/>
      </c>
      <c r="G207" s="11">
        <f>IF($A207&lt;&gt;"",IF(F207-E207=0,"tie",IF(F207-E207&gt;0,"+"&amp;F207-E207,"+"&amp;E207-F207)),"")</f>
        <v/>
      </c>
      <c r="H207" s="12">
        <f>if($A207&lt;&gt;"",if(B207&gt;C207,if(B207&lt;60,1,2),""),"")</f>
        <v/>
      </c>
      <c r="I207" s="12">
        <f>if($A207&lt;&gt;"",if(C207&gt;B207,if(C207&lt;60,1,2),""),"")</f>
        <v/>
      </c>
      <c r="J207" s="9">
        <f>if($A207&lt;&gt;"",J206+H207,"")</f>
        <v/>
      </c>
      <c r="K207" s="9">
        <f>if($A207&lt;&gt;"",K206+I207,"")</f>
        <v/>
      </c>
      <c r="L207" s="11">
        <f>IF($A207&lt;&gt;"",IF(K207-J207=0,"tie",IF(K207-J207&gt;0,"+"&amp;K207-J207,"+"&amp;J207-K207)),"")</f>
        <v/>
      </c>
      <c r="M207" s="17" t="n"/>
      <c r="N207" s="17" t="n"/>
      <c r="O207" s="17" t="n"/>
      <c r="P207" s="17" t="n"/>
      <c r="Q207" s="17" t="n"/>
      <c r="R207" s="17" t="n"/>
      <c r="S207" s="17" t="n"/>
    </row>
    <row r="208">
      <c r="A208" s="15" t="n">
        <v>42529</v>
      </c>
      <c r="B208" s="10" t="n">
        <v>30</v>
      </c>
      <c r="C208" s="9" t="n">
        <v>25</v>
      </c>
      <c r="D208" s="17" t="inlineStr">
        <is>
          <t>Simzy's, Venice</t>
        </is>
      </c>
      <c r="E208" s="9">
        <f>if($A208&lt;&gt;"",E207+B208,"")</f>
        <v/>
      </c>
      <c r="F208" s="10">
        <f>if($A208&lt;&gt;"",F207+C208,"")</f>
        <v/>
      </c>
      <c r="G208" s="11">
        <f>IF($A208&lt;&gt;"",IF(F208-E208=0,"tie",IF(F208-E208&gt;0,"+"&amp;F208-E208,"+"&amp;E208-F208)),"")</f>
        <v/>
      </c>
      <c r="H208" s="12">
        <f>if($A208&lt;&gt;"",if(B208&gt;C208,if(B208&lt;60,1,2),""),"")</f>
        <v/>
      </c>
      <c r="I208" s="12">
        <f>if($A208&lt;&gt;"",if(C208&gt;B208,if(C208&lt;60,1,2),""),"")</f>
        <v/>
      </c>
      <c r="J208" s="9">
        <f>if($A208&lt;&gt;"",J207+H208,"")</f>
        <v/>
      </c>
      <c r="K208" s="9">
        <f>if($A208&lt;&gt;"",K207+I208,"")</f>
        <v/>
      </c>
      <c r="L208" s="11">
        <f>IF($A208&lt;&gt;"",IF(K208-J208=0,"tie",IF(K208-J208&gt;0,"+"&amp;K208-J208,"+"&amp;J208-K208)),"")</f>
        <v/>
      </c>
      <c r="M208" s="17" t="n"/>
      <c r="N208" s="17" t="n"/>
      <c r="O208" s="17" t="n"/>
      <c r="P208" s="17" t="n"/>
      <c r="Q208" s="17" t="n"/>
      <c r="R208" s="17" t="n"/>
      <c r="S208" s="17" t="n"/>
    </row>
    <row r="209">
      <c r="A209" s="15" t="n">
        <v>42534</v>
      </c>
      <c r="B209" s="9" t="n">
        <v>25</v>
      </c>
      <c r="C209" s="10" t="n">
        <v>30</v>
      </c>
      <c r="D209" s="17" t="inlineStr">
        <is>
          <t>Upper West, WLA on Pico</t>
        </is>
      </c>
      <c r="E209" s="9">
        <f>if($A209&lt;&gt;"",E208+B209,"")</f>
        <v/>
      </c>
      <c r="F209" s="10">
        <f>if($A209&lt;&gt;"",F208+C209,"")</f>
        <v/>
      </c>
      <c r="G209" s="11">
        <f>IF($A209&lt;&gt;"",IF(F209-E209=0,"tie",IF(F209-E209&gt;0,"+"&amp;F209-E209,"+"&amp;E209-F209)),"")</f>
        <v/>
      </c>
      <c r="H209" s="12">
        <f>if($A209&lt;&gt;"",if(B209&gt;C209,if(B209&lt;60,1,2),""),"")</f>
        <v/>
      </c>
      <c r="I209" s="12">
        <f>if($A209&lt;&gt;"",if(C209&gt;B209,if(C209&lt;60,1,2),""),"")</f>
        <v/>
      </c>
      <c r="J209" s="9">
        <f>if($A209&lt;&gt;"",J208+H209,"")</f>
        <v/>
      </c>
      <c r="K209" s="9">
        <f>if($A209&lt;&gt;"",K208+I209,"")</f>
        <v/>
      </c>
      <c r="L209" s="11">
        <f>IF($A209&lt;&gt;"",IF(K209-J209=0,"tie",IF(K209-J209&gt;0,"+"&amp;K209-J209,"+"&amp;J209-K209)),"")</f>
        <v/>
      </c>
      <c r="M209" s="17" t="n"/>
      <c r="N209" s="17" t="n"/>
      <c r="O209" s="17" t="n"/>
      <c r="P209" s="17" t="n"/>
      <c r="Q209" s="17" t="n"/>
      <c r="R209" s="17" t="n"/>
      <c r="S209" s="17" t="n"/>
    </row>
    <row r="210">
      <c r="A210" s="15" t="n">
        <v>42542</v>
      </c>
      <c r="B210" s="9" t="n">
        <v>25</v>
      </c>
      <c r="C210" s="10" t="n">
        <v>30</v>
      </c>
      <c r="D210" s="17" t="inlineStr">
        <is>
          <t>Pizza Hut, Lake Powell, AZ</t>
        </is>
      </c>
      <c r="E210" s="9">
        <f>if($A210&lt;&gt;"",E209+B210,"")</f>
        <v/>
      </c>
      <c r="F210" s="10">
        <f>if($A210&lt;&gt;"",F209+C210,"")</f>
        <v/>
      </c>
      <c r="G210" s="11">
        <f>IF($A210&lt;&gt;"",IF(F210-E210=0,"tie",IF(F210-E210&gt;0,"+"&amp;F210-E210,"+"&amp;E210-F210)),"")</f>
        <v/>
      </c>
      <c r="H210" s="12">
        <f>if($A210&lt;&gt;"",if(B210&gt;C210,if(B210&lt;60,1,2),""),"")</f>
        <v/>
      </c>
      <c r="I210" s="12">
        <f>if($A210&lt;&gt;"",if(C210&gt;B210,if(C210&lt;60,1,2),""),"")</f>
        <v/>
      </c>
      <c r="J210" s="9">
        <f>if($A210&lt;&gt;"",J209+H210,"")</f>
        <v/>
      </c>
      <c r="K210" s="9">
        <f>if($A210&lt;&gt;"",K209+I210,"")</f>
        <v/>
      </c>
      <c r="L210" s="11">
        <f>IF($A210&lt;&gt;"",IF(K210-J210=0,"tie",IF(K210-J210&gt;0,"+"&amp;K210-J210,"+"&amp;J210-K210)),"")</f>
        <v/>
      </c>
      <c r="M210" s="17" t="n"/>
      <c r="N210" s="17" t="n"/>
      <c r="O210" s="17" t="n"/>
      <c r="P210" s="17" t="n"/>
      <c r="Q210" s="17" t="n"/>
      <c r="R210" s="17" t="n"/>
      <c r="S210" s="17" t="n"/>
    </row>
    <row r="211">
      <c r="A211" s="15" t="n">
        <v>42548</v>
      </c>
      <c r="B211" s="10" t="n">
        <v>30</v>
      </c>
      <c r="C211" s="9" t="n">
        <v>25</v>
      </c>
      <c r="D211" s="17" t="inlineStr">
        <is>
          <t>Preston Way</t>
        </is>
      </c>
      <c r="E211" s="9">
        <f>if($A211&lt;&gt;"",E210+B211,"")</f>
        <v/>
      </c>
      <c r="F211" s="10">
        <f>if($A211&lt;&gt;"",F210+C211,"")</f>
        <v/>
      </c>
      <c r="G211" s="11">
        <f>IF($A211&lt;&gt;"",IF(F211-E211=0,"tie",IF(F211-E211&gt;0,"+"&amp;F211-E211,"+"&amp;E211-F211)),"")</f>
        <v/>
      </c>
      <c r="H211" s="12">
        <f>if($A211&lt;&gt;"",if(B211&gt;C211,if(B211&lt;60,1,2),""),"")</f>
        <v/>
      </c>
      <c r="I211" s="12">
        <f>if($A211&lt;&gt;"",if(C211&gt;B211,if(C211&lt;60,1,2),""),"")</f>
        <v/>
      </c>
      <c r="J211" s="9">
        <f>if($A211&lt;&gt;"",J210+H211,"")</f>
        <v/>
      </c>
      <c r="K211" s="9">
        <f>if($A211&lt;&gt;"",K210+I211,"")</f>
        <v/>
      </c>
      <c r="L211" s="11">
        <f>IF($A211&lt;&gt;"",IF(K211-J211=0,"tie",IF(K211-J211&gt;0,"+"&amp;K211-J211,"+"&amp;J211-K211)),"")</f>
        <v/>
      </c>
      <c r="M211" s="17" t="n"/>
      <c r="N211" s="17" t="n"/>
      <c r="O211" s="17" t="n"/>
      <c r="P211" s="17" t="n"/>
      <c r="Q211" s="17" t="n"/>
      <c r="R211" s="17" t="n"/>
      <c r="S211" s="17" t="n"/>
    </row>
    <row r="212">
      <c r="A212" s="15" t="n">
        <v>42550</v>
      </c>
      <c r="B212" s="9" t="n">
        <v>25</v>
      </c>
      <c r="C212" s="10" t="n">
        <v>30</v>
      </c>
      <c r="D212" s="17" t="inlineStr">
        <is>
          <t>George's Burgers, Santa Monica</t>
        </is>
      </c>
      <c r="E212" s="9">
        <f>if($A212&lt;&gt;"",E211+B212,"")</f>
        <v/>
      </c>
      <c r="F212" s="10">
        <f>if($A212&lt;&gt;"",F211+C212,"")</f>
        <v/>
      </c>
      <c r="G212" s="11">
        <f>IF($A212&lt;&gt;"",IF(F212-E212=0,"tie",IF(F212-E212&gt;0,"+"&amp;F212-E212,"+"&amp;E212-F212)),"")</f>
        <v/>
      </c>
      <c r="H212" s="12">
        <f>if($A212&lt;&gt;"",if(B212&gt;C212,if(B212&lt;60,1,2),""),"")</f>
        <v/>
      </c>
      <c r="I212" s="12">
        <f>if($A212&lt;&gt;"",if(C212&gt;B212,if(C212&lt;60,1,2),""),"")</f>
        <v/>
      </c>
      <c r="J212" s="9">
        <f>if($A212&lt;&gt;"",J211+H212,"")</f>
        <v/>
      </c>
      <c r="K212" s="9">
        <f>if($A212&lt;&gt;"",K211+I212,"")</f>
        <v/>
      </c>
      <c r="L212" s="11">
        <f>IF($A212&lt;&gt;"",IF(K212-J212=0,"tie",IF(K212-J212&gt;0,"+"&amp;K212-J212,"+"&amp;J212-K212)),"")</f>
        <v/>
      </c>
      <c r="M212" s="17" t="n"/>
      <c r="N212" s="17" t="n"/>
      <c r="O212" s="17" t="n"/>
      <c r="P212" s="17" t="n"/>
      <c r="Q212" s="17" t="n"/>
      <c r="R212" s="17" t="n"/>
      <c r="S212" s="17" t="n"/>
    </row>
    <row r="213">
      <c r="A213" s="15" t="n">
        <v>42552</v>
      </c>
      <c r="B213" s="10" t="n">
        <v>30</v>
      </c>
      <c r="C213" s="9" t="n">
        <v>25</v>
      </c>
      <c r="D213" s="17" t="inlineStr">
        <is>
          <t>Baby Blue's BBQ, Venice</t>
        </is>
      </c>
      <c r="E213" s="9">
        <f>if($A213&lt;&gt;"",E212+B213,"")</f>
        <v/>
      </c>
      <c r="F213" s="10">
        <f>if($A213&lt;&gt;"",F212+C213,"")</f>
        <v/>
      </c>
      <c r="G213" s="11">
        <f>IF($A213&lt;&gt;"",IF(F213-E213=0,"tie",IF(F213-E213&gt;0,"+"&amp;F213-E213,"+"&amp;E213-F213)),"")</f>
        <v/>
      </c>
      <c r="H213" s="12">
        <f>if($A213&lt;&gt;"",if(B213&gt;C213,if(B213&lt;60,1,2),""),"")</f>
        <v/>
      </c>
      <c r="I213" s="12">
        <f>if($A213&lt;&gt;"",if(C213&gt;B213,if(C213&lt;60,1,2),""),"")</f>
        <v/>
      </c>
      <c r="J213" s="9">
        <f>if($A213&lt;&gt;"",J212+H213,"")</f>
        <v/>
      </c>
      <c r="K213" s="9">
        <f>if($A213&lt;&gt;"",K212+I213,"")</f>
        <v/>
      </c>
      <c r="L213" s="11">
        <f>IF($A213&lt;&gt;"",IF(K213-J213=0,"tie",IF(K213-J213&gt;0,"+"&amp;K213-J213,"+"&amp;J213-K213)),"")</f>
        <v/>
      </c>
      <c r="M213" s="17" t="n"/>
      <c r="N213" s="17" t="n"/>
      <c r="O213" s="17" t="n"/>
      <c r="P213" s="17" t="n"/>
      <c r="Q213" s="17" t="n"/>
      <c r="R213" s="17" t="n"/>
      <c r="S213" s="17" t="n"/>
    </row>
    <row r="214">
      <c r="A214" s="15" t="n">
        <v>42553</v>
      </c>
      <c r="B214" s="10" t="n">
        <v>30</v>
      </c>
      <c r="C214" s="9" t="n">
        <v>25</v>
      </c>
      <c r="D214" s="17" t="inlineStr">
        <is>
          <t>Preston Way</t>
        </is>
      </c>
      <c r="E214" s="9">
        <f>if($A214&lt;&gt;"",E213+B214,"")</f>
        <v/>
      </c>
      <c r="F214" s="10">
        <f>if($A214&lt;&gt;"",F213+C214,"")</f>
        <v/>
      </c>
      <c r="G214" s="11">
        <f>IF($A214&lt;&gt;"",IF(F214-E214=0,"tie",IF(F214-E214&gt;0,"+"&amp;F214-E214,"+"&amp;E214-F214)),"")</f>
        <v/>
      </c>
      <c r="H214" s="12">
        <f>if($A214&lt;&gt;"",if(B214&gt;C214,if(B214&lt;60,1,2),""),"")</f>
        <v/>
      </c>
      <c r="I214" s="12">
        <f>if($A214&lt;&gt;"",if(C214&gt;B214,if(C214&lt;60,1,2),""),"")</f>
        <v/>
      </c>
      <c r="J214" s="9">
        <f>if($A214&lt;&gt;"",J213+H214,"")</f>
        <v/>
      </c>
      <c r="K214" s="9">
        <f>if($A214&lt;&gt;"",K213+I214,"")</f>
        <v/>
      </c>
      <c r="L214" s="11">
        <f>IF($A214&lt;&gt;"",IF(K214-J214=0,"tie",IF(K214-J214&gt;0,"+"&amp;K214-J214,"+"&amp;J214-K214)),"")</f>
        <v/>
      </c>
      <c r="M214" s="17" t="n"/>
      <c r="N214" s="17" t="n"/>
      <c r="O214" s="17" t="n"/>
      <c r="P214" s="17" t="n"/>
      <c r="Q214" s="17" t="n"/>
      <c r="R214" s="17" t="n"/>
      <c r="S214" s="17" t="n"/>
    </row>
    <row r="215">
      <c r="A215" s="15" t="n">
        <v>42554</v>
      </c>
      <c r="B215" s="9" t="n">
        <v>25</v>
      </c>
      <c r="C215" s="10" t="n">
        <v>30</v>
      </c>
      <c r="D215" s="17" t="inlineStr">
        <is>
          <t>Hal's, Venice</t>
        </is>
      </c>
      <c r="E215" s="9">
        <f>if($A215&lt;&gt;"",E214+B215,"")</f>
        <v/>
      </c>
      <c r="F215" s="10">
        <f>if($A215&lt;&gt;"",F214+C215,"")</f>
        <v/>
      </c>
      <c r="G215" s="11">
        <f>IF($A215&lt;&gt;"",IF(F215-E215=0,"tie",IF(F215-E215&gt;0,"+"&amp;F215-E215,"+"&amp;E215-F215)),"")</f>
        <v/>
      </c>
      <c r="H215" s="12">
        <f>if($A215&lt;&gt;"",if(B215&gt;C215,if(B215&lt;60,1,2),""),"")</f>
        <v/>
      </c>
      <c r="I215" s="12">
        <f>if($A215&lt;&gt;"",if(C215&gt;B215,if(C215&lt;60,1,2),""),"")</f>
        <v/>
      </c>
      <c r="J215" s="9">
        <f>if($A215&lt;&gt;"",J214+H215,"")</f>
        <v/>
      </c>
      <c r="K215" s="9">
        <f>if($A215&lt;&gt;"",K214+I215,"")</f>
        <v/>
      </c>
      <c r="L215" s="11">
        <f>IF($A215&lt;&gt;"",IF(K215-J215=0,"tie",IF(K215-J215&gt;0,"+"&amp;K215-J215,"+"&amp;J215-K215)),"")</f>
        <v/>
      </c>
      <c r="M215" s="17" t="n"/>
      <c r="N215" s="17" t="n"/>
      <c r="O215" s="17" t="n"/>
      <c r="P215" s="17" t="n"/>
      <c r="Q215" s="17" t="n"/>
      <c r="R215" s="17" t="n"/>
      <c r="S215" s="17" t="n"/>
    </row>
    <row r="216">
      <c r="A216" s="15" t="n">
        <v>42557</v>
      </c>
      <c r="B216" s="9" t="n">
        <v>25</v>
      </c>
      <c r="C216" s="10" t="n">
        <v>30</v>
      </c>
      <c r="D216" s="17" t="inlineStr">
        <is>
          <t>Swinger's, Santa Monica</t>
        </is>
      </c>
      <c r="E216" s="9">
        <f>if($A216&lt;&gt;"",E215+B216,"")</f>
        <v/>
      </c>
      <c r="F216" s="10">
        <f>if($A216&lt;&gt;"",F215+C216,"")</f>
        <v/>
      </c>
      <c r="G216" s="11">
        <f>IF($A216&lt;&gt;"",IF(F216-E216=0,"tie",IF(F216-E216&gt;0,"+"&amp;F216-E216,"+"&amp;E216-F216)),"")</f>
        <v/>
      </c>
      <c r="H216" s="12">
        <f>if($A216&lt;&gt;"",if(B216&gt;C216,if(B216&lt;60,1,2),""),"")</f>
        <v/>
      </c>
      <c r="I216" s="12">
        <f>if($A216&lt;&gt;"",if(C216&gt;B216,if(C216&lt;60,1,2),""),"")</f>
        <v/>
      </c>
      <c r="J216" s="9">
        <f>if($A216&lt;&gt;"",J215+H216,"")</f>
        <v/>
      </c>
      <c r="K216" s="9">
        <f>if($A216&lt;&gt;"",K215+I216,"")</f>
        <v/>
      </c>
      <c r="L216" s="11">
        <f>IF($A216&lt;&gt;"",IF(K216-J216=0,"tie",IF(K216-J216&gt;0,"+"&amp;K216-J216,"+"&amp;J216-K216)),"")</f>
        <v/>
      </c>
      <c r="M216" s="17" t="n"/>
      <c r="N216" s="17" t="n"/>
      <c r="O216" s="17" t="n"/>
      <c r="P216" s="17" t="n"/>
      <c r="Q216" s="17" t="n"/>
      <c r="R216" s="17" t="n"/>
      <c r="S216" s="17" t="n"/>
    </row>
    <row r="217">
      <c r="A217" s="15" t="n">
        <v>42560</v>
      </c>
      <c r="B217" s="10" t="n">
        <v>30</v>
      </c>
      <c r="C217" s="9" t="n">
        <v>25</v>
      </c>
      <c r="D217" s="17" t="inlineStr">
        <is>
          <t>Preston Way</t>
        </is>
      </c>
      <c r="E217" s="9">
        <f>if($A217&lt;&gt;"",E216+B217,"")</f>
        <v/>
      </c>
      <c r="F217" s="10">
        <f>if($A217&lt;&gt;"",F216+C217,"")</f>
        <v/>
      </c>
      <c r="G217" s="11">
        <f>IF($A217&lt;&gt;"",IF(F217-E217=0,"tie",IF(F217-E217&gt;0,"+"&amp;F217-E217,"+"&amp;E217-F217)),"")</f>
        <v/>
      </c>
      <c r="H217" s="12">
        <f>if($A217&lt;&gt;"",if(B217&gt;C217,if(B217&lt;60,1,2),""),"")</f>
        <v/>
      </c>
      <c r="I217" s="12">
        <f>if($A217&lt;&gt;"",if(C217&gt;B217,if(C217&lt;60,1,2),""),"")</f>
        <v/>
      </c>
      <c r="J217" s="9">
        <f>if($A217&lt;&gt;"",J216+H217,"")</f>
        <v/>
      </c>
      <c r="K217" s="9">
        <f>if($A217&lt;&gt;"",K216+I217,"")</f>
        <v/>
      </c>
      <c r="L217" s="11">
        <f>IF($A217&lt;&gt;"",IF(K217-J217=0,"tie",IF(K217-J217&gt;0,"+"&amp;K217-J217,"+"&amp;J217-K217)),"")</f>
        <v/>
      </c>
      <c r="M217" s="17" t="n"/>
      <c r="N217" s="17" t="n"/>
      <c r="O217" s="17" t="n"/>
      <c r="P217" s="17" t="n"/>
      <c r="Q217" s="17" t="n"/>
      <c r="R217" s="17" t="n"/>
      <c r="S217" s="17" t="n"/>
    </row>
    <row r="218">
      <c r="A218" s="15" t="n">
        <v>42560</v>
      </c>
      <c r="B218" s="9" t="n">
        <v>25</v>
      </c>
      <c r="C218" s="10" t="n">
        <v>30</v>
      </c>
      <c r="D218" s="17" t="inlineStr">
        <is>
          <t>Izzy's Deli, Santa Monica</t>
        </is>
      </c>
      <c r="E218" s="9">
        <f>if($A218&lt;&gt;"",E217+B218,"")</f>
        <v/>
      </c>
      <c r="F218" s="10">
        <f>if($A218&lt;&gt;"",F217+C218,"")</f>
        <v/>
      </c>
      <c r="G218" s="11">
        <f>IF($A218&lt;&gt;"",IF(F218-E218=0,"tie",IF(F218-E218&gt;0,"+"&amp;F218-E218,"+"&amp;E218-F218)),"")</f>
        <v/>
      </c>
      <c r="H218" s="12">
        <f>if($A218&lt;&gt;"",if(B218&gt;C218,if(B218&lt;60,1,2),""),"")</f>
        <v/>
      </c>
      <c r="I218" s="12">
        <f>if($A218&lt;&gt;"",if(C218&gt;B218,if(C218&lt;60,1,2),""),"")</f>
        <v/>
      </c>
      <c r="J218" s="9">
        <f>if($A218&lt;&gt;"",J217+H218,"")</f>
        <v/>
      </c>
      <c r="K218" s="9">
        <f>if($A218&lt;&gt;"",K217+I218,"")</f>
        <v/>
      </c>
      <c r="L218" s="11">
        <f>IF($A218&lt;&gt;"",IF(K218-J218=0,"tie",IF(K218-J218&gt;0,"+"&amp;K218-J218,"+"&amp;J218-K218)),"")</f>
        <v/>
      </c>
      <c r="M218" s="17" t="n"/>
      <c r="N218" s="17" t="n"/>
      <c r="O218" s="17" t="n"/>
      <c r="P218" s="17" t="n"/>
      <c r="Q218" s="17" t="n"/>
      <c r="R218" s="17" t="n"/>
      <c r="S218" s="17" t="n"/>
    </row>
    <row r="219">
      <c r="A219" s="15" t="n">
        <v>42564</v>
      </c>
      <c r="B219" s="9" t="n">
        <v>25</v>
      </c>
      <c r="C219" s="10" t="n">
        <v>30</v>
      </c>
      <c r="D219" s="17" t="inlineStr">
        <is>
          <t>Norm's, WLA</t>
        </is>
      </c>
      <c r="E219" s="9">
        <f>if($A219&lt;&gt;"",E218+B219,"")</f>
        <v/>
      </c>
      <c r="F219" s="10">
        <f>if($A219&lt;&gt;"",F218+C219,"")</f>
        <v/>
      </c>
      <c r="G219" s="11">
        <f>IF($A219&lt;&gt;"",IF(F219-E219=0,"tie",IF(F219-E219&gt;0,"+"&amp;F219-E219,"+"&amp;E219-F219)),"")</f>
        <v/>
      </c>
      <c r="H219" s="12">
        <f>if($A219&lt;&gt;"",if(B219&gt;C219,if(B219&lt;60,1,2),""),"")</f>
        <v/>
      </c>
      <c r="I219" s="12">
        <f>if($A219&lt;&gt;"",if(C219&gt;B219,if(C219&lt;60,1,2),""),"")</f>
        <v/>
      </c>
      <c r="J219" s="9">
        <f>if($A219&lt;&gt;"",J218+H219,"")</f>
        <v/>
      </c>
      <c r="K219" s="9">
        <f>if($A219&lt;&gt;"",K218+I219,"")</f>
        <v/>
      </c>
      <c r="L219" s="11">
        <f>IF($A219&lt;&gt;"",IF(K219-J219=0,"tie",IF(K219-J219&gt;0,"+"&amp;K219-J219,"+"&amp;J219-K219)),"")</f>
        <v/>
      </c>
      <c r="M219" s="17" t="n"/>
      <c r="N219" s="17" t="n"/>
      <c r="O219" s="17" t="n"/>
      <c r="P219" s="17" t="n"/>
      <c r="Q219" s="17" t="n"/>
      <c r="R219" s="17" t="n"/>
      <c r="S219" s="17" t="n"/>
    </row>
    <row r="220">
      <c r="A220" s="15" t="n">
        <v>42573</v>
      </c>
      <c r="B220" s="9" t="n">
        <v>25</v>
      </c>
      <c r="C220" s="10" t="n">
        <v>30</v>
      </c>
      <c r="D220" s="17" t="inlineStr">
        <is>
          <t>In and Out, Marina Del Rey</t>
        </is>
      </c>
      <c r="E220" s="9">
        <f>if($A220&lt;&gt;"",E219+B220,"")</f>
        <v/>
      </c>
      <c r="F220" s="10">
        <f>if($A220&lt;&gt;"",F219+C220,"")</f>
        <v/>
      </c>
      <c r="G220" s="11">
        <f>IF($A220&lt;&gt;"",IF(F220-E220=0,"tie",IF(F220-E220&gt;0,"+"&amp;F220-E220,"+"&amp;E220-F220)),"")</f>
        <v/>
      </c>
      <c r="H220" s="12">
        <f>if($A220&lt;&gt;"",if(B220&gt;C220,if(B220&lt;60,1,2),""),"")</f>
        <v/>
      </c>
      <c r="I220" s="12">
        <f>if($A220&lt;&gt;"",if(C220&gt;B220,if(C220&lt;60,1,2),""),"")</f>
        <v/>
      </c>
      <c r="J220" s="9">
        <f>if($A220&lt;&gt;"",J219+H220,"")</f>
        <v/>
      </c>
      <c r="K220" s="9">
        <f>if($A220&lt;&gt;"",K219+I220,"")</f>
        <v/>
      </c>
      <c r="L220" s="11">
        <f>IF($A220&lt;&gt;"",IF(K220-J220=0,"tie",IF(K220-J220&gt;0,"+"&amp;K220-J220,"+"&amp;J220-K220)),"")</f>
        <v/>
      </c>
      <c r="M220" s="17" t="n"/>
      <c r="N220" s="17" t="n"/>
      <c r="O220" s="17" t="n"/>
      <c r="P220" s="17" t="n"/>
      <c r="Q220" s="17" t="n"/>
      <c r="R220" s="17" t="n"/>
      <c r="S220" s="17" t="n"/>
    </row>
    <row r="221">
      <c r="A221" s="15" t="n">
        <v>42580</v>
      </c>
      <c r="B221" s="10" t="n">
        <v>30</v>
      </c>
      <c r="C221" s="9" t="n">
        <v>25</v>
      </c>
      <c r="D221" s="17" t="inlineStr">
        <is>
          <t>La Cabaña, Venice</t>
        </is>
      </c>
      <c r="E221" s="9">
        <f>if($A221&lt;&gt;"",E220+B221,"")</f>
        <v/>
      </c>
      <c r="F221" s="10">
        <f>if($A221&lt;&gt;"",F220+C221,"")</f>
        <v/>
      </c>
      <c r="G221" s="11">
        <f>IF($A221&lt;&gt;"",IF(F221-E221=0,"tie",IF(F221-E221&gt;0,"+"&amp;F221-E221,"+"&amp;E221-F221)),"")</f>
        <v/>
      </c>
      <c r="H221" s="12">
        <f>if($A221&lt;&gt;"",if(B221&gt;C221,if(B221&lt;60,1,2),""),"")</f>
        <v/>
      </c>
      <c r="I221" s="12">
        <f>if($A221&lt;&gt;"",if(C221&gt;B221,if(C221&lt;60,1,2),""),"")</f>
        <v/>
      </c>
      <c r="J221" s="9">
        <f>if($A221&lt;&gt;"",J220+H221,"")</f>
        <v/>
      </c>
      <c r="K221" s="9">
        <f>if($A221&lt;&gt;"",K220+I221,"")</f>
        <v/>
      </c>
      <c r="L221" s="11">
        <f>IF($A221&lt;&gt;"",IF(K221-J221=0,"tie",IF(K221-J221&gt;0,"+"&amp;K221-J221,"+"&amp;J221-K221)),"")</f>
        <v/>
      </c>
      <c r="M221" s="17" t="n"/>
      <c r="N221" s="17" t="n"/>
      <c r="O221" s="17" t="n"/>
      <c r="P221" s="17" t="n"/>
      <c r="Q221" s="17" t="n"/>
      <c r="R221" s="17" t="n"/>
      <c r="S221" s="17" t="n"/>
    </row>
    <row r="222">
      <c r="A222" s="15" t="n">
        <v>42583</v>
      </c>
      <c r="B222" s="10" t="n">
        <v>30</v>
      </c>
      <c r="C222" s="9" t="n">
        <v>25</v>
      </c>
      <c r="D222" s="17" t="inlineStr">
        <is>
          <t>Housekeeping Camp, Yosemite</t>
        </is>
      </c>
      <c r="E222" s="9">
        <f>if($A222&lt;&gt;"",E221+B222,"")</f>
        <v/>
      </c>
      <c r="F222" s="10">
        <f>if($A222&lt;&gt;"",F221+C222,"")</f>
        <v/>
      </c>
      <c r="G222" s="11">
        <f>IF($A222&lt;&gt;"",IF(F222-E222=0,"tie",IF(F222-E222&gt;0,"+"&amp;F222-E222,"+"&amp;E222-F222)),"")</f>
        <v/>
      </c>
      <c r="H222" s="12">
        <f>if($A222&lt;&gt;"",if(B222&gt;C222,if(B222&lt;60,1,2),""),"")</f>
        <v/>
      </c>
      <c r="I222" s="12">
        <f>if($A222&lt;&gt;"",if(C222&gt;B222,if(C222&lt;60,1,2),""),"")</f>
        <v/>
      </c>
      <c r="J222" s="9">
        <f>if($A222&lt;&gt;"",J221+H222,"")</f>
        <v/>
      </c>
      <c r="K222" s="9">
        <f>if($A222&lt;&gt;"",K221+I222,"")</f>
        <v/>
      </c>
      <c r="L222" s="11">
        <f>IF($A222&lt;&gt;"",IF(K222-J222=0,"tie",IF(K222-J222&gt;0,"+"&amp;K222-J222,"+"&amp;J222-K222)),"")</f>
        <v/>
      </c>
      <c r="M222" s="17" t="n"/>
      <c r="N222" s="17" t="n"/>
      <c r="O222" s="17" t="n"/>
      <c r="P222" s="17" t="n"/>
      <c r="Q222" s="17" t="n"/>
      <c r="R222" s="17" t="n"/>
      <c r="S222" s="17" t="n"/>
    </row>
    <row r="223">
      <c r="A223" s="15" t="n">
        <v>42586</v>
      </c>
      <c r="B223" s="9" t="n">
        <v>25</v>
      </c>
      <c r="C223" s="10" t="n">
        <v>30</v>
      </c>
      <c r="D223" s="17" t="inlineStr">
        <is>
          <t>George's Burgers, Santa Monica</t>
        </is>
      </c>
      <c r="E223" s="9">
        <f>if($A223&lt;&gt;"",E222+B223,"")</f>
        <v/>
      </c>
      <c r="F223" s="10">
        <f>if($A223&lt;&gt;"",F222+C223,"")</f>
        <v/>
      </c>
      <c r="G223" s="11">
        <f>IF($A223&lt;&gt;"",IF(F223-E223=0,"tie",IF(F223-E223&gt;0,"+"&amp;F223-E223,"+"&amp;E223-F223)),"")</f>
        <v/>
      </c>
      <c r="H223" s="12">
        <f>if($A223&lt;&gt;"",if(B223&gt;C223,if(B223&lt;60,1,2),""),"")</f>
        <v/>
      </c>
      <c r="I223" s="12">
        <f>if($A223&lt;&gt;"",if(C223&gt;B223,if(C223&lt;60,1,2),""),"")</f>
        <v/>
      </c>
      <c r="J223" s="9">
        <f>if($A223&lt;&gt;"",J222+H223,"")</f>
        <v/>
      </c>
      <c r="K223" s="9">
        <f>if($A223&lt;&gt;"",K222+I223,"")</f>
        <v/>
      </c>
      <c r="L223" s="11">
        <f>IF($A223&lt;&gt;"",IF(K223-J223=0,"tie",IF(K223-J223&gt;0,"+"&amp;K223-J223,"+"&amp;J223-K223)),"")</f>
        <v/>
      </c>
      <c r="M223" s="17" t="n"/>
      <c r="N223" s="17" t="n"/>
      <c r="O223" s="17" t="n"/>
      <c r="P223" s="17" t="n"/>
      <c r="Q223" s="17" t="n"/>
      <c r="R223" s="17" t="n"/>
      <c r="S223" s="17" t="n"/>
    </row>
    <row r="224">
      <c r="A224" s="15" t="n">
        <v>42587</v>
      </c>
      <c r="B224" s="10" t="n">
        <v>30</v>
      </c>
      <c r="C224" s="9" t="n">
        <v>25</v>
      </c>
      <c r="D224" s="17" t="inlineStr">
        <is>
          <t>Penmar Golf Course</t>
        </is>
      </c>
      <c r="E224" s="9">
        <f>if($A224&lt;&gt;"",E223+B224,"")</f>
        <v/>
      </c>
      <c r="F224" s="10">
        <f>if($A224&lt;&gt;"",F223+C224,"")</f>
        <v/>
      </c>
      <c r="G224" s="11">
        <f>IF($A224&lt;&gt;"",IF(F224-E224=0,"tie",IF(F224-E224&gt;0,"+"&amp;F224-E224,"+"&amp;E224-F224)),"")</f>
        <v/>
      </c>
      <c r="H224" s="12">
        <f>if($A224&lt;&gt;"",if(B224&gt;C224,if(B224&lt;60,1,2),""),"")</f>
        <v/>
      </c>
      <c r="I224" s="12">
        <f>if($A224&lt;&gt;"",if(C224&gt;B224,if(C224&lt;60,1,2),""),"")</f>
        <v/>
      </c>
      <c r="J224" s="9">
        <f>if($A224&lt;&gt;"",J223+H224,"")</f>
        <v/>
      </c>
      <c r="K224" s="9">
        <f>if($A224&lt;&gt;"",K223+I224,"")</f>
        <v/>
      </c>
      <c r="L224" s="11">
        <f>IF($A224&lt;&gt;"",IF(K224-J224=0,"tie",IF(K224-J224&gt;0,"+"&amp;K224-J224,"+"&amp;J224-K224)),"")</f>
        <v/>
      </c>
      <c r="M224" s="17" t="n"/>
      <c r="N224" s="17" t="n"/>
      <c r="O224" s="17" t="n"/>
      <c r="P224" s="17" t="n"/>
      <c r="Q224" s="17" t="n"/>
      <c r="R224" s="17" t="n"/>
      <c r="S224" s="17" t="n"/>
    </row>
    <row r="225">
      <c r="A225" s="15" t="n">
        <v>42589</v>
      </c>
      <c r="B225" s="10" t="n">
        <v>30</v>
      </c>
      <c r="C225" s="9" t="n">
        <v>25</v>
      </c>
      <c r="D225" s="17" t="inlineStr">
        <is>
          <t>Le Pain Quotidien</t>
        </is>
      </c>
      <c r="E225" s="9">
        <f>if($A225&lt;&gt;"",E224+B225,"")</f>
        <v/>
      </c>
      <c r="F225" s="10">
        <f>if($A225&lt;&gt;"",F224+C225,"")</f>
        <v/>
      </c>
      <c r="G225" s="11">
        <f>IF($A225&lt;&gt;"",IF(F225-E225=0,"tie",IF(F225-E225&gt;0,"+"&amp;F225-E225,"+"&amp;E225-F225)),"")</f>
        <v/>
      </c>
      <c r="H225" s="12">
        <f>if($A225&lt;&gt;"",if(B225&gt;C225,if(B225&lt;60,1,2),""),"")</f>
        <v/>
      </c>
      <c r="I225" s="12">
        <f>if($A225&lt;&gt;"",if(C225&gt;B225,if(C225&lt;60,1,2),""),"")</f>
        <v/>
      </c>
      <c r="J225" s="9">
        <f>if($A225&lt;&gt;"",J224+H225,"")</f>
        <v/>
      </c>
      <c r="K225" s="9">
        <f>if($A225&lt;&gt;"",K224+I225,"")</f>
        <v/>
      </c>
      <c r="L225" s="11">
        <f>IF($A225&lt;&gt;"",IF(K225-J225=0,"tie",IF(K225-J225&gt;0,"+"&amp;K225-J225,"+"&amp;J225-K225)),"")</f>
        <v/>
      </c>
      <c r="M225" s="17" t="n"/>
      <c r="N225" s="17" t="n"/>
      <c r="O225" s="17" t="n"/>
      <c r="P225" s="17" t="n"/>
      <c r="Q225" s="17" t="n"/>
      <c r="R225" s="17" t="n"/>
      <c r="S225" s="17" t="n"/>
    </row>
    <row r="226">
      <c r="A226" s="15" t="n">
        <v>42598</v>
      </c>
      <c r="B226" s="9" t="n">
        <v>25</v>
      </c>
      <c r="C226" s="10" t="n">
        <v>30</v>
      </c>
      <c r="D226" s="17" t="inlineStr">
        <is>
          <t>Clutch, Venice</t>
        </is>
      </c>
      <c r="E226" s="9">
        <f>if($A226&lt;&gt;"",E225+B226,"")</f>
        <v/>
      </c>
      <c r="F226" s="10">
        <f>if($A226&lt;&gt;"",F225+C226,"")</f>
        <v/>
      </c>
      <c r="G226" s="11">
        <f>IF($A226&lt;&gt;"",IF(F226-E226=0,"tie",IF(F226-E226&gt;0,"+"&amp;F226-E226,"+"&amp;E226-F226)),"")</f>
        <v/>
      </c>
      <c r="H226" s="12">
        <f>if($A226&lt;&gt;"",if(B226&gt;C226,if(B226&lt;60,1,2),""),"")</f>
        <v/>
      </c>
      <c r="I226" s="12">
        <f>if($A226&lt;&gt;"",if(C226&gt;B226,if(C226&lt;60,1,2),""),"")</f>
        <v/>
      </c>
      <c r="J226" s="9">
        <f>if($A226&lt;&gt;"",J225+H226,"")</f>
        <v/>
      </c>
      <c r="K226" s="9">
        <f>if($A226&lt;&gt;"",K225+I226,"")</f>
        <v/>
      </c>
      <c r="L226" s="11">
        <f>IF($A226&lt;&gt;"",IF(K226-J226=0,"tie",IF(K226-J226&gt;0,"+"&amp;K226-J226,"+"&amp;J226-K226)),"")</f>
        <v/>
      </c>
      <c r="M226" s="17" t="n"/>
      <c r="N226" s="17" t="n"/>
      <c r="O226" s="17" t="n"/>
      <c r="P226" s="17" t="n"/>
      <c r="Q226" s="17" t="n"/>
      <c r="R226" s="17" t="n"/>
      <c r="S226" s="17" t="n"/>
    </row>
    <row r="227">
      <c r="A227" s="15" t="n">
        <v>42600</v>
      </c>
      <c r="B227" s="9" t="n">
        <v>25</v>
      </c>
      <c r="C227" s="10" t="n">
        <v>30</v>
      </c>
      <c r="D227" s="17" t="inlineStr">
        <is>
          <t>George's Burgers, Santa Monica</t>
        </is>
      </c>
      <c r="E227" s="9">
        <f>if($A227&lt;&gt;"",E226+B227,"")</f>
        <v/>
      </c>
      <c r="F227" s="10">
        <f>if($A227&lt;&gt;"",F226+C227,"")</f>
        <v/>
      </c>
      <c r="G227" s="11">
        <f>IF($A227&lt;&gt;"",IF(F227-E227=0,"tie",IF(F227-E227&gt;0,"+"&amp;F227-E227,"+"&amp;E227-F227)),"")</f>
        <v/>
      </c>
      <c r="H227" s="12">
        <f>if($A227&lt;&gt;"",if(B227&gt;C227,if(B227&lt;60,1,2),""),"")</f>
        <v/>
      </c>
      <c r="I227" s="12">
        <f>if($A227&lt;&gt;"",if(C227&gt;B227,if(C227&lt;60,1,2),""),"")</f>
        <v/>
      </c>
      <c r="J227" s="9">
        <f>if($A227&lt;&gt;"",J226+H227,"")</f>
        <v/>
      </c>
      <c r="K227" s="9">
        <f>if($A227&lt;&gt;"",K226+I227,"")</f>
        <v/>
      </c>
      <c r="L227" s="11">
        <f>IF($A227&lt;&gt;"",IF(K227-J227=0,"tie",IF(K227-J227&gt;0,"+"&amp;K227-J227,"+"&amp;J227-K227)),"")</f>
        <v/>
      </c>
      <c r="M227" s="17" t="n"/>
      <c r="N227" s="17" t="n"/>
      <c r="O227" s="17" t="n"/>
      <c r="P227" s="17" t="n"/>
      <c r="Q227" s="17" t="n"/>
      <c r="R227" s="17" t="n"/>
      <c r="S227" s="17" t="n"/>
    </row>
    <row r="228">
      <c r="A228" s="15" t="n">
        <v>42613</v>
      </c>
      <c r="B228" s="9" t="n">
        <v>25</v>
      </c>
      <c r="C228" s="10" t="n">
        <v>30</v>
      </c>
      <c r="D228" s="17" t="inlineStr">
        <is>
          <t>Non Stop Sushi, Santa Monica</t>
        </is>
      </c>
      <c r="E228" s="9">
        <f>if($A228&lt;&gt;"",E227+B228,"")</f>
        <v/>
      </c>
      <c r="F228" s="10">
        <f>if($A228&lt;&gt;"",F227+C228,"")</f>
        <v/>
      </c>
      <c r="G228" s="11">
        <f>IF($A228&lt;&gt;"",IF(F228-E228=0,"tie",IF(F228-E228&gt;0,"+"&amp;F228-E228,"+"&amp;E228-F228)),"")</f>
        <v/>
      </c>
      <c r="H228" s="12">
        <f>if($A228&lt;&gt;"",if(B228&gt;C228,if(B228&lt;60,1,2),""),"")</f>
        <v/>
      </c>
      <c r="I228" s="12">
        <f>if($A228&lt;&gt;"",if(C228&gt;B228,if(C228&lt;60,1,2),""),"")</f>
        <v/>
      </c>
      <c r="J228" s="9">
        <f>if($A228&lt;&gt;"",J227+H228,"")</f>
        <v/>
      </c>
      <c r="K228" s="9">
        <f>if($A228&lt;&gt;"",K227+I228,"")</f>
        <v/>
      </c>
      <c r="L228" s="11">
        <f>IF($A228&lt;&gt;"",IF(K228-J228=0,"tie",IF(K228-J228&gt;0,"+"&amp;K228-J228,"+"&amp;J228-K228)),"")</f>
        <v/>
      </c>
      <c r="M228" s="17" t="n"/>
      <c r="N228" s="17" t="n"/>
      <c r="O228" s="17" t="n"/>
      <c r="P228" s="17" t="n"/>
      <c r="Q228" s="17" t="n"/>
      <c r="R228" s="17" t="n"/>
      <c r="S228" s="17" t="n"/>
    </row>
    <row r="229">
      <c r="A229" s="15" t="n">
        <v>42627</v>
      </c>
      <c r="B229" s="9" t="n">
        <v>25</v>
      </c>
      <c r="C229" s="10" t="n">
        <v>30</v>
      </c>
      <c r="D229" s="17" t="inlineStr">
        <is>
          <t>Abredos Fresh Mexican, City of Industry</t>
        </is>
      </c>
      <c r="E229" s="9">
        <f>if($A229&lt;&gt;"",E228+B229,"")</f>
        <v/>
      </c>
      <c r="F229" s="10">
        <f>if($A229&lt;&gt;"",F228+C229,"")</f>
        <v/>
      </c>
      <c r="G229" s="11">
        <f>IF($A229&lt;&gt;"",IF(F229-E229=0,"tie",IF(F229-E229&gt;0,"+"&amp;F229-E229,"+"&amp;E229-F229)),"")</f>
        <v/>
      </c>
      <c r="H229" s="12">
        <f>if($A229&lt;&gt;"",if(B229&gt;C229,if(B229&lt;60,1,2),""),"")</f>
        <v/>
      </c>
      <c r="I229" s="12">
        <f>if($A229&lt;&gt;"",if(C229&gt;B229,if(C229&lt;60,1,2),""),"")</f>
        <v/>
      </c>
      <c r="J229" s="9">
        <f>if($A229&lt;&gt;"",J228+H229,"")</f>
        <v/>
      </c>
      <c r="K229" s="9">
        <f>if($A229&lt;&gt;"",K228+I229,"")</f>
        <v/>
      </c>
      <c r="L229" s="11">
        <f>IF($A229&lt;&gt;"",IF(K229-J229=0,"tie",IF(K229-J229&gt;0,"+"&amp;K229-J229,"+"&amp;J229-K229)),"")</f>
        <v/>
      </c>
      <c r="M229" s="17" t="n"/>
      <c r="N229" s="17" t="n"/>
      <c r="O229" s="17" t="n"/>
      <c r="P229" s="17" t="n"/>
      <c r="Q229" s="17" t="n"/>
      <c r="R229" s="17" t="n"/>
      <c r="S229" s="17" t="n"/>
    </row>
    <row r="230">
      <c r="A230" s="15" t="n">
        <v>42627</v>
      </c>
      <c r="B230" s="9" t="n">
        <v>25</v>
      </c>
      <c r="C230" s="10" t="n">
        <v>30</v>
      </c>
      <c r="D230" s="17" t="inlineStr">
        <is>
          <t>Spencer's, Palm Springs</t>
        </is>
      </c>
      <c r="E230" s="9">
        <f>if($A230&lt;&gt;"",E229+B230,"")</f>
        <v/>
      </c>
      <c r="F230" s="10">
        <f>if($A230&lt;&gt;"",F229+C230,"")</f>
        <v/>
      </c>
      <c r="G230" s="11">
        <f>IF($A230&lt;&gt;"",IF(F230-E230=0,"tie",IF(F230-E230&gt;0,"+"&amp;F230-E230,"+"&amp;E230-F230)),"")</f>
        <v/>
      </c>
      <c r="H230" s="12">
        <f>if($A230&lt;&gt;"",if(B230&gt;C230,if(B230&lt;60,1,2),""),"")</f>
        <v/>
      </c>
      <c r="I230" s="12">
        <f>if($A230&lt;&gt;"",if(C230&gt;B230,if(C230&lt;60,1,2),""),"")</f>
        <v/>
      </c>
      <c r="J230" s="9">
        <f>if($A230&lt;&gt;"",J229+H230,"")</f>
        <v/>
      </c>
      <c r="K230" s="9">
        <f>if($A230&lt;&gt;"",K229+I230,"")</f>
        <v/>
      </c>
      <c r="L230" s="11">
        <f>IF($A230&lt;&gt;"",IF(K230-J230=0,"tie",IF(K230-J230&gt;0,"+"&amp;K230-J230,"+"&amp;J230-K230)),"")</f>
        <v/>
      </c>
      <c r="M230" s="17" t="n"/>
      <c r="N230" s="17" t="n"/>
      <c r="O230" s="17" t="n"/>
      <c r="P230" s="17" t="n"/>
      <c r="Q230" s="17" t="n"/>
      <c r="R230" s="17" t="n"/>
      <c r="S230" s="17" t="n"/>
    </row>
    <row r="231">
      <c r="A231" s="15" t="n">
        <v>42629</v>
      </c>
      <c r="B231" s="9" t="n">
        <v>25</v>
      </c>
      <c r="C231" s="10" t="n">
        <v>30</v>
      </c>
      <c r="D231" s="17" t="inlineStr">
        <is>
          <t>Yardhouse, Rancho Mirage</t>
        </is>
      </c>
      <c r="E231" s="9">
        <f>if($A231&lt;&gt;"",E230+B231,"")</f>
        <v/>
      </c>
      <c r="F231" s="10">
        <f>if($A231&lt;&gt;"",F230+C231,"")</f>
        <v/>
      </c>
      <c r="G231" s="11">
        <f>IF($A231&lt;&gt;"",IF(F231-E231=0,"tie",IF(F231-E231&gt;0,"+"&amp;F231-E231,"+"&amp;E231-F231)),"")</f>
        <v/>
      </c>
      <c r="H231" s="12">
        <f>if($A231&lt;&gt;"",if(B231&gt;C231,if(B231&lt;60,1,2),""),"")</f>
        <v/>
      </c>
      <c r="I231" s="12">
        <f>if($A231&lt;&gt;"",if(C231&gt;B231,if(C231&lt;60,1,2),""),"")</f>
        <v/>
      </c>
      <c r="J231" s="9">
        <f>if($A231&lt;&gt;"",J230+H231,"")</f>
        <v/>
      </c>
      <c r="K231" s="9">
        <f>if($A231&lt;&gt;"",K230+I231,"")</f>
        <v/>
      </c>
      <c r="L231" s="11">
        <f>IF($A231&lt;&gt;"",IF(K231-J231=0,"tie",IF(K231-J231&gt;0,"+"&amp;K231-J231,"+"&amp;J231-K231)),"")</f>
        <v/>
      </c>
      <c r="M231" s="17" t="n"/>
      <c r="N231" s="17" t="n"/>
      <c r="O231" s="17" t="n"/>
      <c r="P231" s="17" t="n"/>
      <c r="Q231" s="17" t="n"/>
      <c r="R231" s="17" t="n"/>
      <c r="S231" s="17" t="n"/>
    </row>
    <row r="232">
      <c r="A232" s="15" t="n">
        <v>42630</v>
      </c>
      <c r="B232" s="9" t="n">
        <v>25</v>
      </c>
      <c r="C232" s="10" t="n">
        <v>30</v>
      </c>
      <c r="D232" s="17" t="inlineStr">
        <is>
          <t>Grill on Main, La Quinta</t>
        </is>
      </c>
      <c r="E232" s="9">
        <f>if($A232&lt;&gt;"",E231+B232,"")</f>
        <v/>
      </c>
      <c r="F232" s="10">
        <f>if($A232&lt;&gt;"",F231+C232,"")</f>
        <v/>
      </c>
      <c r="G232" s="11">
        <f>IF($A232&lt;&gt;"",IF(F232-E232=0,"tie",IF(F232-E232&gt;0,"+"&amp;F232-E232,"+"&amp;E232-F232)),"")</f>
        <v/>
      </c>
      <c r="H232" s="12">
        <f>if($A232&lt;&gt;"",if(B232&gt;C232,if(B232&lt;60,1,2),""),"")</f>
        <v/>
      </c>
      <c r="I232" s="12">
        <f>if($A232&lt;&gt;"",if(C232&gt;B232,if(C232&lt;60,1,2),""),"")</f>
        <v/>
      </c>
      <c r="J232" s="9">
        <f>if($A232&lt;&gt;"",J231+H232,"")</f>
        <v/>
      </c>
      <c r="K232" s="9">
        <f>if($A232&lt;&gt;"",K231+I232,"")</f>
        <v/>
      </c>
      <c r="L232" s="11">
        <f>IF($A232&lt;&gt;"",IF(K232-J232=0,"tie",IF(K232-J232&gt;0,"+"&amp;K232-J232,"+"&amp;J232-K232)),"")</f>
        <v/>
      </c>
      <c r="M232" s="17" t="n"/>
      <c r="N232" s="17" t="n"/>
      <c r="O232" s="17" t="n"/>
      <c r="P232" s="17" t="n"/>
      <c r="Q232" s="17" t="n"/>
      <c r="R232" s="17" t="n"/>
      <c r="S232" s="17" t="n"/>
    </row>
    <row r="233">
      <c r="A233" s="15" t="n">
        <v>42635</v>
      </c>
      <c r="B233" s="9" t="n">
        <v>25</v>
      </c>
      <c r="C233" s="10" t="n">
        <v>30</v>
      </c>
      <c r="D233" s="17" t="inlineStr">
        <is>
          <t>Swinger's, Santa Monica</t>
        </is>
      </c>
      <c r="E233" s="9">
        <f>if($A233&lt;&gt;"",E232+B233,"")</f>
        <v/>
      </c>
      <c r="F233" s="10">
        <f>if($A233&lt;&gt;"",F232+C233,"")</f>
        <v/>
      </c>
      <c r="G233" s="11">
        <f>IF($A233&lt;&gt;"",IF(F233-E233=0,"tie",IF(F233-E233&gt;0,"+"&amp;F233-E233,"+"&amp;E233-F233)),"")</f>
        <v/>
      </c>
      <c r="H233" s="12">
        <f>if($A233&lt;&gt;"",if(B233&gt;C233,if(B233&lt;60,1,2),""),"")</f>
        <v/>
      </c>
      <c r="I233" s="12">
        <f>if($A233&lt;&gt;"",if(C233&gt;B233,if(C233&lt;60,1,2),""),"")</f>
        <v/>
      </c>
      <c r="J233" s="9">
        <f>if($A233&lt;&gt;"",J232+H233,"")</f>
        <v/>
      </c>
      <c r="K233" s="9">
        <f>if($A233&lt;&gt;"",K232+I233,"")</f>
        <v/>
      </c>
      <c r="L233" s="11">
        <f>IF($A233&lt;&gt;"",IF(K233-J233=0,"tie",IF(K233-J233&gt;0,"+"&amp;K233-J233,"+"&amp;J233-K233)),"")</f>
        <v/>
      </c>
      <c r="M233" s="17" t="n"/>
      <c r="N233" s="17" t="n"/>
      <c r="O233" s="17" t="n"/>
      <c r="P233" s="17" t="n"/>
      <c r="Q233" s="17" t="n"/>
      <c r="R233" s="17" t="n"/>
      <c r="S233" s="17" t="n"/>
    </row>
    <row r="234">
      <c r="A234" s="15" t="n">
        <v>42649</v>
      </c>
      <c r="B234" s="10" t="n">
        <v>30</v>
      </c>
      <c r="C234" s="9" t="n">
        <v>25</v>
      </c>
      <c r="D234" s="17" t="inlineStr">
        <is>
          <t>George's Burgers, Santa Monica</t>
        </is>
      </c>
      <c r="E234" s="9">
        <f>if($A234&lt;&gt;"",E233+B234,"")</f>
        <v/>
      </c>
      <c r="F234" s="10">
        <f>if($A234&lt;&gt;"",F233+C234,"")</f>
        <v/>
      </c>
      <c r="G234" s="11">
        <f>IF($A234&lt;&gt;"",IF(F234-E234=0,"tie",IF(F234-E234&gt;0,"+"&amp;F234-E234,"+"&amp;E234-F234)),"")</f>
        <v/>
      </c>
      <c r="H234" s="12">
        <f>if($A234&lt;&gt;"",if(B234&gt;C234,if(B234&lt;60,1,2),""),"")</f>
        <v/>
      </c>
      <c r="I234" s="12">
        <f>if($A234&lt;&gt;"",if(C234&gt;B234,if(C234&lt;60,1,2),""),"")</f>
        <v/>
      </c>
      <c r="J234" s="9">
        <f>if($A234&lt;&gt;"",J233+H234,"")</f>
        <v/>
      </c>
      <c r="K234" s="9">
        <f>if($A234&lt;&gt;"",K233+I234,"")</f>
        <v/>
      </c>
      <c r="L234" s="11">
        <f>IF($A234&lt;&gt;"",IF(K234-J234=0,"tie",IF(K234-J234&gt;0,"+"&amp;K234-J234,"+"&amp;J234-K234)),"")</f>
        <v/>
      </c>
      <c r="M234" s="17" t="n"/>
      <c r="N234" s="17" t="n"/>
      <c r="O234" s="17" t="n"/>
      <c r="P234" s="17" t="n"/>
      <c r="Q234" s="17" t="n"/>
      <c r="R234" s="17" t="n"/>
      <c r="S234" s="17" t="n"/>
    </row>
    <row r="235">
      <c r="A235" s="15" t="n">
        <v>42653</v>
      </c>
      <c r="B235" s="10" t="n">
        <v>30</v>
      </c>
      <c r="C235" s="9" t="n">
        <v>25</v>
      </c>
      <c r="D235" s="17" t="inlineStr">
        <is>
          <t>Preston Way</t>
        </is>
      </c>
      <c r="E235" s="9">
        <f>if($A235&lt;&gt;"",E234+B235,"")</f>
        <v/>
      </c>
      <c r="F235" s="10">
        <f>if($A235&lt;&gt;"",F234+C235,"")</f>
        <v/>
      </c>
      <c r="G235" s="11">
        <f>IF($A235&lt;&gt;"",IF(F235-E235=0,"tie",IF(F235-E235&gt;0,"+"&amp;F235-E235,"+"&amp;E235-F235)),"")</f>
        <v/>
      </c>
      <c r="H235" s="12">
        <f>if($A235&lt;&gt;"",if(B235&gt;C235,if(B235&lt;60,1,2),""),"")</f>
        <v/>
      </c>
      <c r="I235" s="12">
        <f>if($A235&lt;&gt;"",if(C235&gt;B235,if(C235&lt;60,1,2),""),"")</f>
        <v/>
      </c>
      <c r="J235" s="9">
        <f>if($A235&lt;&gt;"",J234+H235,"")</f>
        <v/>
      </c>
      <c r="K235" s="9">
        <f>if($A235&lt;&gt;"",K234+I235,"")</f>
        <v/>
      </c>
      <c r="L235" s="11">
        <f>IF($A235&lt;&gt;"",IF(K235-J235=0,"tie",IF(K235-J235&gt;0,"+"&amp;K235-J235,"+"&amp;J235-K235)),"")</f>
        <v/>
      </c>
      <c r="M235" s="17" t="n"/>
      <c r="N235" s="17" t="n"/>
      <c r="O235" s="17" t="n"/>
      <c r="P235" s="17" t="n"/>
      <c r="Q235" s="17" t="n"/>
      <c r="R235" s="17" t="n"/>
      <c r="S235" s="17" t="n"/>
    </row>
    <row r="236">
      <c r="A236" s="15" t="n">
        <v>42653</v>
      </c>
      <c r="B236" s="9" t="n">
        <v>25</v>
      </c>
      <c r="C236" s="10" t="n">
        <v>30</v>
      </c>
      <c r="D236" s="17" t="inlineStr">
        <is>
          <t>Big Deans, Santa Monica</t>
        </is>
      </c>
      <c r="E236" s="9">
        <f>if($A236&lt;&gt;"",E235+B236,"")</f>
        <v/>
      </c>
      <c r="F236" s="10">
        <f>if($A236&lt;&gt;"",F235+C236,"")</f>
        <v/>
      </c>
      <c r="G236" s="11">
        <f>IF($A236&lt;&gt;"",IF(F236-E236=0,"tie",IF(F236-E236&gt;0,"+"&amp;F236-E236,"+"&amp;E236-F236)),"")</f>
        <v/>
      </c>
      <c r="H236" s="12">
        <f>if($A236&lt;&gt;"",if(B236&gt;C236,if(B236&lt;60,1,2),""),"")</f>
        <v/>
      </c>
      <c r="I236" s="12">
        <f>if($A236&lt;&gt;"",if(C236&gt;B236,if(C236&lt;60,1,2),""),"")</f>
        <v/>
      </c>
      <c r="J236" s="9">
        <f>if($A236&lt;&gt;"",J235+H236,"")</f>
        <v/>
      </c>
      <c r="K236" s="9">
        <f>if($A236&lt;&gt;"",K235+I236,"")</f>
        <v/>
      </c>
      <c r="L236" s="11">
        <f>IF($A236&lt;&gt;"",IF(K236-J236=0,"tie",IF(K236-J236&gt;0,"+"&amp;K236-J236,"+"&amp;J236-K236)),"")</f>
        <v/>
      </c>
      <c r="M236" s="17" t="n"/>
      <c r="N236" s="17" t="n"/>
      <c r="O236" s="17" t="n"/>
      <c r="P236" s="17" t="n"/>
      <c r="Q236" s="17" t="n"/>
      <c r="R236" s="17" t="n"/>
      <c r="S236" s="17" t="n"/>
    </row>
    <row r="237">
      <c r="A237" s="15" t="n">
        <v>42655</v>
      </c>
      <c r="B237" s="10" t="n">
        <v>30</v>
      </c>
      <c r="C237" s="9" t="n">
        <v>25</v>
      </c>
      <c r="D237" s="17" t="inlineStr">
        <is>
          <t>J Nichols, MDR</t>
        </is>
      </c>
      <c r="E237" s="9">
        <f>if($A237&lt;&gt;"",E236+B237,"")</f>
        <v/>
      </c>
      <c r="F237" s="10">
        <f>if($A237&lt;&gt;"",F236+C237,"")</f>
        <v/>
      </c>
      <c r="G237" s="11">
        <f>IF($A237&lt;&gt;"",IF(F237-E237=0,"tie",IF(F237-E237&gt;0,"+"&amp;F237-E237,"+"&amp;E237-F237)),"")</f>
        <v/>
      </c>
      <c r="H237" s="12">
        <f>if($A237&lt;&gt;"",if(B237&gt;C237,if(B237&lt;60,1,2),""),"")</f>
        <v/>
      </c>
      <c r="I237" s="12">
        <f>if($A237&lt;&gt;"",if(C237&gt;B237,if(C237&lt;60,1,2),""),"")</f>
        <v/>
      </c>
      <c r="J237" s="9">
        <f>if($A237&lt;&gt;"",J236+H237,"")</f>
        <v/>
      </c>
      <c r="K237" s="9">
        <f>if($A237&lt;&gt;"",K236+I237,"")</f>
        <v/>
      </c>
      <c r="L237" s="11">
        <f>IF($A237&lt;&gt;"",IF(K237-J237=0,"tie",IF(K237-J237&gt;0,"+"&amp;K237-J237,"+"&amp;J237-K237)),"")</f>
        <v/>
      </c>
      <c r="M237" s="17" t="n"/>
      <c r="N237" s="17" t="n"/>
      <c r="O237" s="17" t="n"/>
      <c r="P237" s="17" t="n"/>
      <c r="Q237" s="17" t="n"/>
      <c r="R237" s="17" t="n"/>
      <c r="S237" s="17" t="n"/>
    </row>
    <row r="238">
      <c r="A238" s="15" t="n">
        <v>42667</v>
      </c>
      <c r="B238" s="9" t="n">
        <v>25</v>
      </c>
      <c r="C238" s="10" t="n">
        <v>30</v>
      </c>
      <c r="D238" s="17" t="inlineStr">
        <is>
          <t>Westside Tavern, WLA w/Michael &amp; Shannon</t>
        </is>
      </c>
      <c r="E238" s="9">
        <f>if($A238&lt;&gt;"",E237+B238,"")</f>
        <v/>
      </c>
      <c r="F238" s="10">
        <f>if($A238&lt;&gt;"",F237+C238,"")</f>
        <v/>
      </c>
      <c r="G238" s="11">
        <f>IF($A238&lt;&gt;"",IF(F238-E238=0,"tie",IF(F238-E238&gt;0,"+"&amp;F238-E238,"+"&amp;E238-F238)),"")</f>
        <v/>
      </c>
      <c r="H238" s="12">
        <f>if($A238&lt;&gt;"",if(B238&gt;C238,if(B238&lt;60,1,2),""),"")</f>
        <v/>
      </c>
      <c r="I238" s="12">
        <f>if($A238&lt;&gt;"",if(C238&gt;B238,if(C238&lt;60,1,2),""),"")</f>
        <v/>
      </c>
      <c r="J238" s="9">
        <f>if($A238&lt;&gt;"",J237+H238,"")</f>
        <v/>
      </c>
      <c r="K238" s="9">
        <f>if($A238&lt;&gt;"",K237+I238,"")</f>
        <v/>
      </c>
      <c r="L238" s="11">
        <f>IF($A238&lt;&gt;"",IF(K238-J238=0,"tie",IF(K238-J238&gt;0,"+"&amp;K238-J238,"+"&amp;J238-K238)),"")</f>
        <v/>
      </c>
      <c r="M238" s="17" t="n"/>
      <c r="N238" s="17" t="n"/>
      <c r="O238" s="17" t="n"/>
      <c r="P238" s="17" t="n"/>
      <c r="Q238" s="17" t="n"/>
      <c r="R238" s="17" t="n"/>
      <c r="S238" s="17" t="n"/>
    </row>
    <row r="239">
      <c r="A239" s="15" t="n">
        <v>42671</v>
      </c>
      <c r="B239" s="9" t="n">
        <v>25</v>
      </c>
      <c r="C239" s="10" t="n">
        <v>30</v>
      </c>
      <c r="D239" s="17" t="inlineStr">
        <is>
          <t>Burgers n Brew, Santa Monica</t>
        </is>
      </c>
      <c r="E239" s="9">
        <f>if($A239&lt;&gt;"",E238+B239,"")</f>
        <v/>
      </c>
      <c r="F239" s="10">
        <f>if($A239&lt;&gt;"",F238+C239,"")</f>
        <v/>
      </c>
      <c r="G239" s="11">
        <f>IF($A239&lt;&gt;"",IF(F239-E239=0,"tie",IF(F239-E239&gt;0,"+"&amp;F239-E239,"+"&amp;E239-F239)),"")</f>
        <v/>
      </c>
      <c r="H239" s="12">
        <f>if($A239&lt;&gt;"",if(B239&gt;C239,if(B239&lt;60,1,2),""),"")</f>
        <v/>
      </c>
      <c r="I239" s="12">
        <f>if($A239&lt;&gt;"",if(C239&gt;B239,if(C239&lt;60,1,2),""),"")</f>
        <v/>
      </c>
      <c r="J239" s="9">
        <f>if($A239&lt;&gt;"",J238+H239,"")</f>
        <v/>
      </c>
      <c r="K239" s="9">
        <f>if($A239&lt;&gt;"",K238+I239,"")</f>
        <v/>
      </c>
      <c r="L239" s="11">
        <f>IF($A239&lt;&gt;"",IF(K239-J239=0,"tie",IF(K239-J239&gt;0,"+"&amp;K239-J239,"+"&amp;J239-K239)),"")</f>
        <v/>
      </c>
      <c r="M239" s="17" t="n"/>
      <c r="N239" s="17" t="n"/>
      <c r="O239" s="17" t="n"/>
      <c r="P239" s="17" t="n"/>
      <c r="Q239" s="17" t="n"/>
      <c r="R239" s="17" t="n"/>
      <c r="S239" s="17" t="n"/>
    </row>
    <row r="240">
      <c r="A240" s="15" t="n">
        <v>42676</v>
      </c>
      <c r="B240" s="9" t="n">
        <v>25</v>
      </c>
      <c r="C240" s="10" t="n">
        <v>30</v>
      </c>
      <c r="D240" s="17" t="inlineStr">
        <is>
          <t>Misfit, Santa Monica</t>
        </is>
      </c>
      <c r="E240" s="9">
        <f>if($A240&lt;&gt;"",E239+B240,"")</f>
        <v/>
      </c>
      <c r="F240" s="10">
        <f>if($A240&lt;&gt;"",F239+C240,"")</f>
        <v/>
      </c>
      <c r="G240" s="11">
        <f>IF($A240&lt;&gt;"",IF(F240-E240=0,"tie",IF(F240-E240&gt;0,"+"&amp;F240-E240,"+"&amp;E240-F240)),"")</f>
        <v/>
      </c>
      <c r="H240" s="12">
        <f>if($A240&lt;&gt;"",if(B240&gt;C240,if(B240&lt;60,1,2),""),"")</f>
        <v/>
      </c>
      <c r="I240" s="12">
        <f>if($A240&lt;&gt;"",if(C240&gt;B240,if(C240&lt;60,1,2),""),"")</f>
        <v/>
      </c>
      <c r="J240" s="9">
        <f>if($A240&lt;&gt;"",J239+H240,"")</f>
        <v/>
      </c>
      <c r="K240" s="9">
        <f>if($A240&lt;&gt;"",K239+I240,"")</f>
        <v/>
      </c>
      <c r="L240" s="11">
        <f>IF($A240&lt;&gt;"",IF(K240-J240=0,"tie",IF(K240-J240&gt;0,"+"&amp;K240-J240,"+"&amp;J240-K240)),"")</f>
        <v/>
      </c>
      <c r="M240" s="17" t="n"/>
      <c r="N240" s="17" t="n"/>
      <c r="O240" s="17" t="n"/>
      <c r="P240" s="17" t="n"/>
      <c r="Q240" s="17" t="n"/>
      <c r="R240" s="17" t="n"/>
      <c r="S240" s="17" t="n"/>
    </row>
    <row r="241">
      <c r="A241" s="15" t="n">
        <v>42680</v>
      </c>
      <c r="B241" s="9" t="n">
        <v>25</v>
      </c>
      <c r="C241" s="10" t="n">
        <v>30</v>
      </c>
      <c r="D241" s="17" t="inlineStr">
        <is>
          <t>Centanni, Venice</t>
        </is>
      </c>
      <c r="E241" s="9">
        <f>if($A241&lt;&gt;"",E240+B241,"")</f>
        <v/>
      </c>
      <c r="F241" s="10">
        <f>if($A241&lt;&gt;"",F240+C241,"")</f>
        <v/>
      </c>
      <c r="G241" s="11">
        <f>IF($A241&lt;&gt;"",IF(F241-E241=0,"tie",IF(F241-E241&gt;0,"+"&amp;F241-E241,"+"&amp;E241-F241)),"")</f>
        <v/>
      </c>
      <c r="H241" s="12">
        <f>if($A241&lt;&gt;"",if(B241&gt;C241,if(B241&lt;60,1,2),""),"")</f>
        <v/>
      </c>
      <c r="I241" s="12">
        <f>if($A241&lt;&gt;"",if(C241&gt;B241,if(C241&lt;60,1,2),""),"")</f>
        <v/>
      </c>
      <c r="J241" s="9">
        <f>if($A241&lt;&gt;"",J240+H241,"")</f>
        <v/>
      </c>
      <c r="K241" s="9">
        <f>if($A241&lt;&gt;"",K240+I241,"")</f>
        <v/>
      </c>
      <c r="L241" s="11">
        <f>IF($A241&lt;&gt;"",IF(K241-J241=0,"tie",IF(K241-J241&gt;0,"+"&amp;K241-J241,"+"&amp;J241-K241)),"")</f>
        <v/>
      </c>
      <c r="M241" s="17" t="n"/>
      <c r="N241" s="17" t="n"/>
      <c r="O241" s="17" t="n"/>
      <c r="P241" s="17" t="n"/>
      <c r="Q241" s="17" t="n"/>
      <c r="R241" s="17" t="n"/>
      <c r="S241" s="17" t="n"/>
    </row>
    <row r="242">
      <c r="A242" s="15" t="n">
        <v>42681</v>
      </c>
      <c r="B242" s="9" t="n">
        <v>25</v>
      </c>
      <c r="C242" s="10" t="n">
        <v>30</v>
      </c>
      <c r="D242" s="17" t="inlineStr">
        <is>
          <t>Preston Way</t>
        </is>
      </c>
      <c r="E242" s="9">
        <f>if($A242&lt;&gt;"",E241+B242,"")</f>
        <v/>
      </c>
      <c r="F242" s="10">
        <f>if($A242&lt;&gt;"",F241+C242,"")</f>
        <v/>
      </c>
      <c r="G242" s="11">
        <f>IF($A242&lt;&gt;"",IF(F242-E242=0,"tie",IF(F242-E242&gt;0,"+"&amp;F242-E242,"+"&amp;E242-F242)),"")</f>
        <v/>
      </c>
      <c r="H242" s="12">
        <f>if($A242&lt;&gt;"",if(B242&gt;C242,if(B242&lt;60,1,2),""),"")</f>
        <v/>
      </c>
      <c r="I242" s="12">
        <f>if($A242&lt;&gt;"",if(C242&gt;B242,if(C242&lt;60,1,2),""),"")</f>
        <v/>
      </c>
      <c r="J242" s="9">
        <f>if($A242&lt;&gt;"",J241+H242,"")</f>
        <v/>
      </c>
      <c r="K242" s="9">
        <f>if($A242&lt;&gt;"",K241+I242,"")</f>
        <v/>
      </c>
      <c r="L242" s="11">
        <f>IF($A242&lt;&gt;"",IF(K242-J242=0,"tie",IF(K242-J242&gt;0,"+"&amp;K242-J242,"+"&amp;J242-K242)),"")</f>
        <v/>
      </c>
      <c r="M242" s="17" t="n"/>
      <c r="N242" s="17" t="n"/>
      <c r="O242" s="17" t="n"/>
      <c r="P242" s="17" t="n"/>
      <c r="Q242" s="17" t="n"/>
      <c r="R242" s="17" t="n"/>
      <c r="S242" s="17" t="n"/>
    </row>
    <row r="243">
      <c r="A243" s="15" t="n">
        <v>42685</v>
      </c>
      <c r="B243" s="10" t="n">
        <v>30</v>
      </c>
      <c r="C243" s="9" t="n">
        <v>25</v>
      </c>
      <c r="D243" s="17" t="inlineStr">
        <is>
          <t>Corky's, Sherman Oaks</t>
        </is>
      </c>
      <c r="E243" s="9">
        <f>if($A243&lt;&gt;"",E242+B243,"")</f>
        <v/>
      </c>
      <c r="F243" s="10">
        <f>if($A243&lt;&gt;"",F242+C243,"")</f>
        <v/>
      </c>
      <c r="G243" s="11">
        <f>IF($A243&lt;&gt;"",IF(F243-E243=0,"tie",IF(F243-E243&gt;0,"+"&amp;F243-E243,"+"&amp;E243-F243)),"")</f>
        <v/>
      </c>
      <c r="H243" s="12">
        <f>if($A243&lt;&gt;"",if(B243&gt;C243,if(B243&lt;60,1,2),""),"")</f>
        <v/>
      </c>
      <c r="I243" s="12">
        <f>if($A243&lt;&gt;"",if(C243&gt;B243,if(C243&lt;60,1,2),""),"")</f>
        <v/>
      </c>
      <c r="J243" s="9">
        <f>if($A243&lt;&gt;"",J242+H243,"")</f>
        <v/>
      </c>
      <c r="K243" s="9">
        <f>if($A243&lt;&gt;"",K242+I243,"")</f>
        <v/>
      </c>
      <c r="L243" s="11">
        <f>IF($A243&lt;&gt;"",IF(K243-J243=0,"tie",IF(K243-J243&gt;0,"+"&amp;K243-J243,"+"&amp;J243-K243)),"")</f>
        <v/>
      </c>
      <c r="M243" s="17" t="n"/>
      <c r="N243" s="17" t="n"/>
      <c r="O243" s="17" t="n"/>
      <c r="P243" s="17" t="n"/>
      <c r="Q243" s="17" t="n"/>
      <c r="R243" s="17" t="n"/>
      <c r="S243" s="17" t="n"/>
    </row>
    <row r="244">
      <c r="A244" s="15" t="n">
        <v>42691</v>
      </c>
      <c r="B244" s="9" t="n">
        <v>25</v>
      </c>
      <c r="C244" s="10" t="n">
        <v>30</v>
      </c>
      <c r="D244" s="17" t="inlineStr">
        <is>
          <t>Swinger's, Santa Monica</t>
        </is>
      </c>
      <c r="E244" s="9">
        <f>if($A244&lt;&gt;"",E243+B244,"")</f>
        <v/>
      </c>
      <c r="F244" s="10">
        <f>if($A244&lt;&gt;"",F243+C244,"")</f>
        <v/>
      </c>
      <c r="G244" s="11">
        <f>IF($A244&lt;&gt;"",IF(F244-E244=0,"tie",IF(F244-E244&gt;0,"+"&amp;F244-E244,"+"&amp;E244-F244)),"")</f>
        <v/>
      </c>
      <c r="H244" s="12">
        <f>if($A244&lt;&gt;"",if(B244&gt;C244,if(B244&lt;60,1,2),""),"")</f>
        <v/>
      </c>
      <c r="I244" s="12">
        <f>if($A244&lt;&gt;"",if(C244&gt;B244,if(C244&lt;60,1,2),""),"")</f>
        <v/>
      </c>
      <c r="J244" s="9">
        <f>if($A244&lt;&gt;"",J243+H244,"")</f>
        <v/>
      </c>
      <c r="K244" s="9">
        <f>if($A244&lt;&gt;"",K243+I244,"")</f>
        <v/>
      </c>
      <c r="L244" s="11">
        <f>IF($A244&lt;&gt;"",IF(K244-J244=0,"tie",IF(K244-J244&gt;0,"+"&amp;K244-J244,"+"&amp;J244-K244)),"")</f>
        <v/>
      </c>
      <c r="M244" s="17" t="n"/>
      <c r="N244" s="17" t="n"/>
      <c r="O244" s="17" t="n"/>
      <c r="P244" s="17" t="n"/>
      <c r="Q244" s="17" t="n"/>
      <c r="R244" s="17" t="n"/>
      <c r="S244" s="17" t="n"/>
    </row>
    <row r="245">
      <c r="A245" s="15" t="n">
        <v>42697</v>
      </c>
      <c r="B245" s="10" t="n">
        <v>30</v>
      </c>
      <c r="C245" s="9" t="n">
        <v>25</v>
      </c>
      <c r="D245" s="17" t="inlineStr">
        <is>
          <t>Teddy's, West L.A.</t>
        </is>
      </c>
      <c r="E245" s="9">
        <f>if($A245&lt;&gt;"",E244+B245,"")</f>
        <v/>
      </c>
      <c r="F245" s="10">
        <f>if($A245&lt;&gt;"",F244+C245,"")</f>
        <v/>
      </c>
      <c r="G245" s="11">
        <f>IF($A245&lt;&gt;"",IF(F245-E245=0,"tie",IF(F245-E245&gt;0,"+"&amp;F245-E245,"+"&amp;E245-F245)),"")</f>
        <v/>
      </c>
      <c r="H245" s="12">
        <f>if($A245&lt;&gt;"",if(B245&gt;C245,if(B245&lt;60,1,2),""),"")</f>
        <v/>
      </c>
      <c r="I245" s="12">
        <f>if($A245&lt;&gt;"",if(C245&gt;B245,if(C245&lt;60,1,2),""),"")</f>
        <v/>
      </c>
      <c r="J245" s="9">
        <f>if($A245&lt;&gt;"",J244+H245,"")</f>
        <v/>
      </c>
      <c r="K245" s="9">
        <f>if($A245&lt;&gt;"",K244+I245,"")</f>
        <v/>
      </c>
      <c r="L245" s="11">
        <f>IF($A245&lt;&gt;"",IF(K245-J245=0,"tie",IF(K245-J245&gt;0,"+"&amp;K245-J245,"+"&amp;J245-K245)),"")</f>
        <v/>
      </c>
      <c r="M245" s="17" t="n"/>
      <c r="N245" s="17" t="n"/>
      <c r="O245" s="17" t="n"/>
      <c r="P245" s="17" t="n"/>
      <c r="Q245" s="17" t="n"/>
      <c r="R245" s="17" t="n"/>
      <c r="S245" s="17" t="n"/>
    </row>
    <row r="246">
      <c r="A246" s="15" t="n">
        <v>42699</v>
      </c>
      <c r="B246" s="10" t="n">
        <v>30</v>
      </c>
      <c r="C246" s="9" t="n">
        <v>25</v>
      </c>
      <c r="D246" s="17" t="inlineStr">
        <is>
          <t>Pann's</t>
        </is>
      </c>
      <c r="E246" s="9">
        <f>if($A246&lt;&gt;"",E245+B246,"")</f>
        <v/>
      </c>
      <c r="F246" s="10">
        <f>if($A246&lt;&gt;"",F245+C246,"")</f>
        <v/>
      </c>
      <c r="G246" s="11">
        <f>IF($A246&lt;&gt;"",IF(F246-E246=0,"tie",IF(F246-E246&gt;0,"+"&amp;F246-E246,"+"&amp;E246-F246)),"")</f>
        <v/>
      </c>
      <c r="H246" s="12">
        <f>if($A246&lt;&gt;"",if(B246&gt;C246,if(B246&lt;60,1,2),""),"")</f>
        <v/>
      </c>
      <c r="I246" s="12">
        <f>if($A246&lt;&gt;"",if(C246&gt;B246,if(C246&lt;60,1,2),""),"")</f>
        <v/>
      </c>
      <c r="J246" s="9">
        <f>if($A246&lt;&gt;"",J245+H246,"")</f>
        <v/>
      </c>
      <c r="K246" s="9">
        <f>if($A246&lt;&gt;"",K245+I246,"")</f>
        <v/>
      </c>
      <c r="L246" s="11">
        <f>IF($A246&lt;&gt;"",IF(K246-J246=0,"tie",IF(K246-J246&gt;0,"+"&amp;K246-J246,"+"&amp;J246-K246)),"")</f>
        <v/>
      </c>
      <c r="M246" s="17" t="n"/>
      <c r="N246" s="17" t="n"/>
      <c r="O246" s="17" t="n"/>
      <c r="P246" s="17" t="n"/>
      <c r="Q246" s="17" t="n"/>
      <c r="R246" s="17" t="n"/>
      <c r="S246" s="17" t="n"/>
    </row>
    <row r="247">
      <c r="A247" s="15" t="n">
        <v>42711</v>
      </c>
      <c r="B247" s="16" t="n">
        <v>30</v>
      </c>
      <c r="C247" s="16" t="n">
        <v>30</v>
      </c>
      <c r="D247" s="17" t="n"/>
      <c r="E247" s="9">
        <f>if($A247&lt;&gt;"",E246+B247,"")</f>
        <v/>
      </c>
      <c r="F247" s="10">
        <f>if($A247&lt;&gt;"",F246+C247,"")</f>
        <v/>
      </c>
      <c r="G247" s="11">
        <f>IF($A247&lt;&gt;"",IF(F247-E247=0,"tie",IF(F247-E247&gt;0,"+"&amp;F247-E247,"+"&amp;E247-F247)),"")</f>
        <v/>
      </c>
      <c r="H247" s="12">
        <f>if($A247&lt;&gt;"",if(B247&gt;C247,if(B247&lt;60,1,2),""),"")</f>
        <v/>
      </c>
      <c r="I247" s="12">
        <f>if($A247&lt;&gt;"",if(C247&gt;B247,if(C247&lt;60,1,2),""),"")</f>
        <v/>
      </c>
      <c r="J247" s="9">
        <f>if($A247&lt;&gt;"",J246+H247,"")</f>
        <v/>
      </c>
      <c r="K247" s="9">
        <f>if($A247&lt;&gt;"",K246+I247,"")</f>
        <v/>
      </c>
      <c r="L247" s="11">
        <f>IF($A247&lt;&gt;"",IF(K247-J247=0,"tie",IF(K247-J247&gt;0,"+"&amp;K247-J247,"+"&amp;J247-K247)),"")</f>
        <v/>
      </c>
      <c r="M247" s="17" t="n"/>
      <c r="N247" s="17" t="n"/>
      <c r="O247" s="17" t="n"/>
      <c r="P247" s="17" t="n"/>
      <c r="Q247" s="17" t="n"/>
      <c r="R247" s="17" t="n"/>
      <c r="S247" s="17" t="n"/>
    </row>
    <row r="248">
      <c r="A248" s="15" t="n">
        <v>42714</v>
      </c>
      <c r="B248" s="9" t="n">
        <v>25</v>
      </c>
      <c r="C248" s="10" t="n">
        <v>30</v>
      </c>
      <c r="D248" s="17" t="inlineStr">
        <is>
          <t>Rutt's, Culver City</t>
        </is>
      </c>
      <c r="E248" s="9">
        <f>if($A248&lt;&gt;"",E247+B248,"")</f>
        <v/>
      </c>
      <c r="F248" s="10">
        <f>if($A248&lt;&gt;"",F247+C248,"")</f>
        <v/>
      </c>
      <c r="G248" s="11">
        <f>IF($A248&lt;&gt;"",IF(F248-E248=0,"tie",IF(F248-E248&gt;0,"+"&amp;F248-E248,"+"&amp;E248-F248)),"")</f>
        <v/>
      </c>
      <c r="H248" s="12">
        <f>if($A248&lt;&gt;"",if(B248&gt;C248,if(B248&lt;60,1,2),""),"")</f>
        <v/>
      </c>
      <c r="I248" s="12">
        <f>if($A248&lt;&gt;"",if(C248&gt;B248,if(C248&lt;60,1,2),""),"")</f>
        <v/>
      </c>
      <c r="J248" s="9">
        <f>if($A248&lt;&gt;"",J247+H248,"")</f>
        <v/>
      </c>
      <c r="K248" s="9">
        <f>if($A248&lt;&gt;"",K247+I248,"")</f>
        <v/>
      </c>
      <c r="L248" s="11">
        <f>IF($A248&lt;&gt;"",IF(K248-J248=0,"tie",IF(K248-J248&gt;0,"+"&amp;K248-J248,"+"&amp;J248-K248)),"")</f>
        <v/>
      </c>
      <c r="M248" s="17" t="n"/>
      <c r="N248" s="17" t="n"/>
      <c r="O248" s="17" t="n"/>
      <c r="P248" s="17" t="n"/>
      <c r="Q248" s="17" t="n"/>
      <c r="R248" s="17" t="n"/>
      <c r="S248" s="17" t="n"/>
    </row>
    <row r="249">
      <c r="A249" s="15" t="n">
        <v>42720</v>
      </c>
      <c r="B249" s="10" t="n">
        <v>30</v>
      </c>
      <c r="C249" s="9" t="n">
        <v>25</v>
      </c>
      <c r="D249" s="17" t="inlineStr">
        <is>
          <t>The Wallace, Culver City</t>
        </is>
      </c>
      <c r="E249" s="9">
        <f>if($A249&lt;&gt;"",E248+B249,"")</f>
        <v/>
      </c>
      <c r="F249" s="10">
        <f>if($A249&lt;&gt;"",F248+C249,"")</f>
        <v/>
      </c>
      <c r="G249" s="11">
        <f>IF($A249&lt;&gt;"",IF(F249-E249=0,"tie",IF(F249-E249&gt;0,"+"&amp;F249-E249,"+"&amp;E249-F249)),"")</f>
        <v/>
      </c>
      <c r="H249" s="12">
        <f>if($A249&lt;&gt;"",if(B249&gt;C249,if(B249&lt;60,1,2),""),"")</f>
        <v/>
      </c>
      <c r="I249" s="12">
        <f>if($A249&lt;&gt;"",if(C249&gt;B249,if(C249&lt;60,1,2),""),"")</f>
        <v/>
      </c>
      <c r="J249" s="9">
        <f>if($A249&lt;&gt;"",J248+H249,"")</f>
        <v/>
      </c>
      <c r="K249" s="9">
        <f>if($A249&lt;&gt;"",K248+I249,"")</f>
        <v/>
      </c>
      <c r="L249" s="11">
        <f>IF($A249&lt;&gt;"",IF(K249-J249=0,"tie",IF(K249-J249&gt;0,"+"&amp;K249-J249,"+"&amp;J249-K249)),"")</f>
        <v/>
      </c>
      <c r="M249" s="17" t="n"/>
      <c r="N249" s="17" t="n"/>
      <c r="O249" s="17" t="n"/>
      <c r="P249" s="17" t="n"/>
      <c r="Q249" s="17" t="n"/>
      <c r="R249" s="17" t="n"/>
      <c r="S249" s="17" t="n"/>
    </row>
    <row r="250">
      <c r="A250" s="15" t="n">
        <v>42723</v>
      </c>
      <c r="B250" s="9" t="n">
        <v>25</v>
      </c>
      <c r="C250" s="10" t="n">
        <v>30</v>
      </c>
      <c r="D250" s="17" t="inlineStr">
        <is>
          <t>Norms, WLA</t>
        </is>
      </c>
      <c r="E250" s="9">
        <f>if($A250&lt;&gt;"",E249+B250,"")</f>
        <v/>
      </c>
      <c r="F250" s="10">
        <f>if($A250&lt;&gt;"",F249+C250,"")</f>
        <v/>
      </c>
      <c r="G250" s="11">
        <f>IF($A250&lt;&gt;"",IF(F250-E250=0,"tie",IF(F250-E250&gt;0,"+"&amp;F250-E250,"+"&amp;E250-F250)),"")</f>
        <v/>
      </c>
      <c r="H250" s="12">
        <f>if($A250&lt;&gt;"",if(B250&gt;C250,if(B250&lt;60,1,2),""),"")</f>
        <v/>
      </c>
      <c r="I250" s="12">
        <f>if($A250&lt;&gt;"",if(C250&gt;B250,if(C250&lt;60,1,2),""),"")</f>
        <v/>
      </c>
      <c r="J250" s="9">
        <f>if($A250&lt;&gt;"",J249+H250,"")</f>
        <v/>
      </c>
      <c r="K250" s="9">
        <f>if($A250&lt;&gt;"",K249+I250,"")</f>
        <v/>
      </c>
      <c r="L250" s="11">
        <f>IF($A250&lt;&gt;"",IF(K250-J250=0,"tie",IF(K250-J250&gt;0,"+"&amp;K250-J250,"+"&amp;J250-K250)),"")</f>
        <v/>
      </c>
      <c r="M250" s="17" t="n"/>
      <c r="N250" s="17" t="n"/>
      <c r="O250" s="17" t="n"/>
      <c r="P250" s="17" t="n"/>
      <c r="Q250" s="17" t="n"/>
      <c r="R250" s="17" t="n"/>
      <c r="S250" s="17" t="n"/>
    </row>
    <row r="251">
      <c r="A251" s="15" t="n">
        <v>42733</v>
      </c>
      <c r="B251" s="10" t="n">
        <v>30</v>
      </c>
      <c r="C251" s="9" t="n">
        <v>25</v>
      </c>
      <c r="D251" s="17" t="inlineStr">
        <is>
          <t>Starbucks, Mar Vista</t>
        </is>
      </c>
      <c r="E251" s="9">
        <f>if($A251&lt;&gt;"",E250+B251,"")</f>
        <v/>
      </c>
      <c r="F251" s="10">
        <f>if($A251&lt;&gt;"",F250+C251,"")</f>
        <v/>
      </c>
      <c r="G251" s="11">
        <f>IF($A251&lt;&gt;"",IF(F251-E251=0,"tie",IF(F251-E251&gt;0,"+"&amp;F251-E251,"+"&amp;E251-F251)),"")</f>
        <v/>
      </c>
      <c r="H251" s="12">
        <f>if($A251&lt;&gt;"",if(B251&gt;C251,if(B251&lt;60,1,2),""),"")</f>
        <v/>
      </c>
      <c r="I251" s="12">
        <f>if($A251&lt;&gt;"",if(C251&gt;B251,if(C251&lt;60,1,2),""),"")</f>
        <v/>
      </c>
      <c r="J251" s="9">
        <f>if($A251&lt;&gt;"",J250+H251,"")</f>
        <v/>
      </c>
      <c r="K251" s="9">
        <f>if($A251&lt;&gt;"",K250+I251,"")</f>
        <v/>
      </c>
      <c r="L251" s="11">
        <f>IF($A251&lt;&gt;"",IF(K251-J251=0,"tie",IF(K251-J251&gt;0,"+"&amp;K251-J251,"+"&amp;J251-K251)),"")</f>
        <v/>
      </c>
      <c r="M251" s="17" t="n"/>
      <c r="N251" s="17" t="n"/>
      <c r="O251" s="17" t="n"/>
      <c r="P251" s="17" t="n"/>
      <c r="Q251" s="17" t="n"/>
      <c r="R251" s="17" t="n"/>
      <c r="S251" s="17" t="n"/>
    </row>
    <row r="252">
      <c r="A252" s="15" t="n">
        <v>42733</v>
      </c>
      <c r="B252" s="10" t="n">
        <v>30</v>
      </c>
      <c r="C252" s="9" t="n">
        <v>25</v>
      </c>
      <c r="D252" s="17" t="inlineStr">
        <is>
          <t>Taco Bell, Mar Vista</t>
        </is>
      </c>
      <c r="E252" s="9">
        <f>if($A252&lt;&gt;"",E251+B252,"")</f>
        <v/>
      </c>
      <c r="F252" s="10">
        <f>if($A252&lt;&gt;"",F251+C252,"")</f>
        <v/>
      </c>
      <c r="G252" s="11">
        <f>IF($A252&lt;&gt;"",IF(F252-E252=0,"tie",IF(F252-E252&gt;0,"+"&amp;F252-E252,"+"&amp;E252-F252)),"")</f>
        <v/>
      </c>
      <c r="H252" s="12">
        <f>if($A252&lt;&gt;"",if(B252&gt;C252,if(B252&lt;60,1,2),""),"")</f>
        <v/>
      </c>
      <c r="I252" s="12">
        <f>if($A252&lt;&gt;"",if(C252&gt;B252,if(C252&lt;60,1,2),""),"")</f>
        <v/>
      </c>
      <c r="J252" s="9">
        <f>if($A252&lt;&gt;"",J251+H252,"")</f>
        <v/>
      </c>
      <c r="K252" s="9">
        <f>if($A252&lt;&gt;"",K251+I252,"")</f>
        <v/>
      </c>
      <c r="L252" s="11">
        <f>IF($A252&lt;&gt;"",IF(K252-J252=0,"tie",IF(K252-J252&gt;0,"+"&amp;K252-J252,"+"&amp;J252-K252)),"")</f>
        <v/>
      </c>
      <c r="M252" s="17" t="n"/>
      <c r="N252" s="17" t="n"/>
      <c r="O252" s="17" t="n"/>
      <c r="P252" s="17" t="n"/>
      <c r="Q252" s="17" t="n"/>
      <c r="R252" s="17" t="n"/>
      <c r="S252" s="17" t="n"/>
    </row>
    <row r="253">
      <c r="A253" s="15" t="n">
        <v>42735</v>
      </c>
      <c r="B253" s="9" t="n">
        <v>25</v>
      </c>
      <c r="C253" s="10" t="n">
        <v>30</v>
      </c>
      <c r="D253" s="17" t="inlineStr">
        <is>
          <t>La Cabana, Venice</t>
        </is>
      </c>
      <c r="E253" s="9">
        <f>if($A253&lt;&gt;"",E252+B253,"")</f>
        <v/>
      </c>
      <c r="F253" s="10">
        <f>if($A253&lt;&gt;"",F252+C253,"")</f>
        <v/>
      </c>
      <c r="G253" s="11">
        <f>IF($A253&lt;&gt;"",IF(F253-E253=0,"tie",IF(F253-E253&gt;0,"+"&amp;F253-E253,"+"&amp;E253-F253)),"")</f>
        <v/>
      </c>
      <c r="H253" s="12">
        <f>if($A253&lt;&gt;"",if(B253&gt;C253,if(B253&lt;60,1,2),""),"")</f>
        <v/>
      </c>
      <c r="I253" s="12">
        <f>if($A253&lt;&gt;"",if(C253&gt;B253,if(C253&lt;60,1,2),""),"")</f>
        <v/>
      </c>
      <c r="J253" s="9">
        <f>if($A253&lt;&gt;"",J252+H253,"")</f>
        <v/>
      </c>
      <c r="K253" s="9">
        <f>if($A253&lt;&gt;"",K252+I253,"")</f>
        <v/>
      </c>
      <c r="L253" s="11">
        <f>IF($A253&lt;&gt;"",IF(K253-J253=0,"tie",IF(K253-J253&gt;0,"+"&amp;K253-J253,"+"&amp;J253-K253)),"")</f>
        <v/>
      </c>
      <c r="M253" s="17" t="n"/>
      <c r="N253" s="17" t="n"/>
      <c r="O253" s="17" t="n"/>
      <c r="P253" s="17" t="n"/>
      <c r="Q253" s="17" t="n"/>
      <c r="R253" s="17" t="n"/>
      <c r="S253" s="17" t="n"/>
    </row>
    <row r="254">
      <c r="A254" s="15" t="n">
        <v>42739</v>
      </c>
      <c r="B254" s="9" t="n">
        <v>25</v>
      </c>
      <c r="C254" s="10" t="n">
        <v>30</v>
      </c>
      <c r="D254" s="17" t="inlineStr">
        <is>
          <t>Larry's, Venice</t>
        </is>
      </c>
      <c r="E254" s="9">
        <f>if($A254&lt;&gt;"",E253+B254,"")</f>
        <v/>
      </c>
      <c r="F254" s="10">
        <f>if($A254&lt;&gt;"",F253+C254,"")</f>
        <v/>
      </c>
      <c r="G254" s="11">
        <f>IF($A254&lt;&gt;"",IF(F254-E254=0,"tie",IF(F254-E254&gt;0,"+"&amp;F254-E254,"+"&amp;E254-F254)),"")</f>
        <v/>
      </c>
      <c r="H254" s="12">
        <f>if($A254&lt;&gt;"",if(B254&gt;C254,if(B254&lt;60,1,2),""),"")</f>
        <v/>
      </c>
      <c r="I254" s="12">
        <f>if($A254&lt;&gt;"",if(C254&gt;B254,if(C254&lt;60,1,2),""),"")</f>
        <v/>
      </c>
      <c r="J254" s="9">
        <f>if($A254&lt;&gt;"",J253+H254,"")</f>
        <v/>
      </c>
      <c r="K254" s="9">
        <f>if($A254&lt;&gt;"",K253+I254,"")</f>
        <v/>
      </c>
      <c r="L254" s="11">
        <f>IF($A254&lt;&gt;"",IF(K254-J254=0,"tie",IF(K254-J254&gt;0,"+"&amp;K254-J254,"+"&amp;J254-K254)),"")</f>
        <v/>
      </c>
      <c r="M254" s="17" t="n"/>
      <c r="N254" s="17" t="n"/>
      <c r="O254" s="17" t="n"/>
      <c r="P254" s="17" t="n"/>
      <c r="Q254" s="17" t="n"/>
      <c r="R254" s="17" t="n"/>
      <c r="S254" s="17" t="n"/>
    </row>
    <row r="255">
      <c r="A255" s="15" t="n">
        <v>42744</v>
      </c>
      <c r="B255" s="9" t="n">
        <v>25</v>
      </c>
      <c r="C255" s="10" t="n">
        <v>30</v>
      </c>
      <c r="D255" s="17" t="inlineStr">
        <is>
          <t>The Mar Vista, Mar Vista</t>
        </is>
      </c>
      <c r="E255" s="9">
        <f>if($A255&lt;&gt;"",E254+B255,"")</f>
        <v/>
      </c>
      <c r="F255" s="10">
        <f>if($A255&lt;&gt;"",F254+C255,"")</f>
        <v/>
      </c>
      <c r="G255" s="11">
        <f>IF($A255&lt;&gt;"",IF(F255-E255=0,"tie",IF(F255-E255&gt;0,"+"&amp;F255-E255,"+"&amp;E255-F255)),"")</f>
        <v/>
      </c>
      <c r="H255" s="12">
        <f>if($A255&lt;&gt;"",if(B255&gt;C255,if(B255&lt;60,1,2),""),"")</f>
        <v/>
      </c>
      <c r="I255" s="12">
        <f>if($A255&lt;&gt;"",if(C255&gt;B255,if(C255&lt;60,1,2),""),"")</f>
        <v/>
      </c>
      <c r="J255" s="9">
        <f>if($A255&lt;&gt;"",J254+H255,"")</f>
        <v/>
      </c>
      <c r="K255" s="9">
        <f>if($A255&lt;&gt;"",K254+I255,"")</f>
        <v/>
      </c>
      <c r="L255" s="11">
        <f>IF($A255&lt;&gt;"",IF(K255-J255=0,"tie",IF(K255-J255&gt;0,"+"&amp;K255-J255,"+"&amp;J255-K255)),"")</f>
        <v/>
      </c>
      <c r="M255" s="17" t="n"/>
      <c r="N255" s="17" t="n"/>
      <c r="O255" s="17" t="n"/>
      <c r="P255" s="17" t="n"/>
      <c r="Q255" s="17" t="n"/>
      <c r="R255" s="17" t="n"/>
      <c r="S255" s="17" t="n"/>
    </row>
    <row r="256">
      <c r="A256" s="15" t="n">
        <v>42751</v>
      </c>
      <c r="B256" s="9" t="n">
        <v>25</v>
      </c>
      <c r="C256" s="10" t="n">
        <v>30</v>
      </c>
      <c r="D256" s="17" t="inlineStr">
        <is>
          <t>Centennial, Venice</t>
        </is>
      </c>
      <c r="E256" s="9">
        <f>if($A256&lt;&gt;"",E255+B256,"")</f>
        <v/>
      </c>
      <c r="F256" s="10">
        <f>if($A256&lt;&gt;"",F255+C256,"")</f>
        <v/>
      </c>
      <c r="G256" s="11">
        <f>IF($A256&lt;&gt;"",IF(F256-E256=0,"tie",IF(F256-E256&gt;0,"+"&amp;F256-E256,"+"&amp;E256-F256)),"")</f>
        <v/>
      </c>
      <c r="H256" s="12">
        <f>if($A256&lt;&gt;"",if(B256&gt;C256,if(B256&lt;60,1,2),""),"")</f>
        <v/>
      </c>
      <c r="I256" s="12">
        <f>if($A256&lt;&gt;"",if(C256&gt;B256,if(C256&lt;60,1,2),""),"")</f>
        <v/>
      </c>
      <c r="J256" s="9">
        <f>if($A256&lt;&gt;"",J255+H256,"")</f>
        <v/>
      </c>
      <c r="K256" s="9">
        <f>if($A256&lt;&gt;"",K255+I256,"")</f>
        <v/>
      </c>
      <c r="L256" s="11">
        <f>IF($A256&lt;&gt;"",IF(K256-J256=0,"tie",IF(K256-J256&gt;0,"+"&amp;K256-J256,"+"&amp;J256-K256)),"")</f>
        <v/>
      </c>
      <c r="M256" s="17" t="n"/>
      <c r="N256" s="17" t="n"/>
      <c r="O256" s="17" t="n"/>
      <c r="P256" s="17" t="n"/>
      <c r="Q256" s="17" t="n"/>
      <c r="R256" s="17" t="n"/>
      <c r="S256" s="17" t="n"/>
    </row>
    <row r="257">
      <c r="A257" s="15" t="n">
        <v>42756</v>
      </c>
      <c r="B257" s="10" t="n">
        <v>30</v>
      </c>
      <c r="C257" s="9" t="n">
        <v>25</v>
      </c>
      <c r="D257" s="17" t="inlineStr">
        <is>
          <t>Hop Doddy, Playa Vista</t>
        </is>
      </c>
      <c r="E257" s="9">
        <f>if($A257&lt;&gt;"",E256+B257,"")</f>
        <v/>
      </c>
      <c r="F257" s="10">
        <f>if($A257&lt;&gt;"",F256+C257,"")</f>
        <v/>
      </c>
      <c r="G257" s="11">
        <f>IF($A257&lt;&gt;"",IF(F257-E257=0,"tie",IF(F257-E257&gt;0,"+"&amp;F257-E257,"+"&amp;E257-F257)),"")</f>
        <v/>
      </c>
      <c r="H257" s="12">
        <f>if($A257&lt;&gt;"",if(B257&gt;C257,if(B257&lt;60,1,2),""),"")</f>
        <v/>
      </c>
      <c r="I257" s="12">
        <f>if($A257&lt;&gt;"",if(C257&gt;B257,if(C257&lt;60,1,2),""),"")</f>
        <v/>
      </c>
      <c r="J257" s="9">
        <f>if($A257&lt;&gt;"",J256+H257,"")</f>
        <v/>
      </c>
      <c r="K257" s="9">
        <f>if($A257&lt;&gt;"",K256+I257,"")</f>
        <v/>
      </c>
      <c r="L257" s="11">
        <f>IF($A257&lt;&gt;"",IF(K257-J257=0,"tie",IF(K257-J257&gt;0,"+"&amp;K257-J257,"+"&amp;J257-K257)),"")</f>
        <v/>
      </c>
      <c r="M257" s="17" t="n"/>
      <c r="N257" s="17" t="n"/>
      <c r="O257" s="17" t="n"/>
      <c r="P257" s="17" t="n"/>
      <c r="Q257" s="17" t="n"/>
      <c r="R257" s="17" t="n"/>
      <c r="S257" s="17" t="n"/>
    </row>
    <row r="258">
      <c r="A258" s="15" t="n">
        <v>42762</v>
      </c>
      <c r="B258" s="9" t="n">
        <v>25</v>
      </c>
      <c r="C258" s="10" t="n">
        <v>30</v>
      </c>
      <c r="D258" s="17" t="inlineStr">
        <is>
          <t>Burger Lounge, Culver City</t>
        </is>
      </c>
      <c r="E258" s="9">
        <f>if($A258&lt;&gt;"",E257+B258,"")</f>
        <v/>
      </c>
      <c r="F258" s="10">
        <f>if($A258&lt;&gt;"",F257+C258,"")</f>
        <v/>
      </c>
      <c r="G258" s="11">
        <f>IF($A258&lt;&gt;"",IF(F258-E258=0,"tie",IF(F258-E258&gt;0,"+"&amp;F258-E258,"+"&amp;E258-F258)),"")</f>
        <v/>
      </c>
      <c r="H258" s="12">
        <f>if($A258&lt;&gt;"",if(B258&gt;C258,if(B258&lt;60,1,2),""),"")</f>
        <v/>
      </c>
      <c r="I258" s="12">
        <f>if($A258&lt;&gt;"",if(C258&gt;B258,if(C258&lt;60,1,2),""),"")</f>
        <v/>
      </c>
      <c r="J258" s="9">
        <f>if($A258&lt;&gt;"",J257+H258,"")</f>
        <v/>
      </c>
      <c r="K258" s="9">
        <f>if($A258&lt;&gt;"",K257+I258,"")</f>
        <v/>
      </c>
      <c r="L258" s="11">
        <f>IF($A258&lt;&gt;"",IF(K258-J258=0,"tie",IF(K258-J258&gt;0,"+"&amp;K258-J258,"+"&amp;J258-K258)),"")</f>
        <v/>
      </c>
      <c r="M258" s="17" t="n"/>
      <c r="N258" s="17" t="n"/>
      <c r="O258" s="17" t="n"/>
      <c r="P258" s="17" t="n"/>
      <c r="Q258" s="17" t="n"/>
      <c r="R258" s="17" t="n"/>
      <c r="S258" s="17" t="n"/>
    </row>
    <row r="259">
      <c r="A259" s="15" t="n">
        <v>42763</v>
      </c>
      <c r="B259" s="9" t="n">
        <v>25</v>
      </c>
      <c r="C259" s="10" t="n">
        <v>30</v>
      </c>
      <c r="D259" s="17" t="inlineStr">
        <is>
          <t>Westside Tavern, WLA</t>
        </is>
      </c>
      <c r="E259" s="9">
        <f>if($A259&lt;&gt;"",E258+B259,"")</f>
        <v/>
      </c>
      <c r="F259" s="10">
        <f>if($A259&lt;&gt;"",F258+C259,"")</f>
        <v/>
      </c>
      <c r="G259" s="11">
        <f>IF($A259&lt;&gt;"",IF(F259-E259=0,"tie",IF(F259-E259&gt;0,"+"&amp;F259-E259,"+"&amp;E259-F259)),"")</f>
        <v/>
      </c>
      <c r="H259" s="12">
        <f>if($A259&lt;&gt;"",if(B259&gt;C259,if(B259&lt;60,1,2),""),"")</f>
        <v/>
      </c>
      <c r="I259" s="12">
        <f>if($A259&lt;&gt;"",if(C259&gt;B259,if(C259&lt;60,1,2),""),"")</f>
        <v/>
      </c>
      <c r="J259" s="9">
        <f>if($A259&lt;&gt;"",J258+H259,"")</f>
        <v/>
      </c>
      <c r="K259" s="9">
        <f>if($A259&lt;&gt;"",K258+I259,"")</f>
        <v/>
      </c>
      <c r="L259" s="11">
        <f>IF($A259&lt;&gt;"",IF(K259-J259=0,"tie",IF(K259-J259&gt;0,"+"&amp;K259-J259,"+"&amp;J259-K259)),"")</f>
        <v/>
      </c>
      <c r="M259" s="17" t="n"/>
      <c r="N259" s="17" t="n"/>
      <c r="O259" s="17" t="n"/>
      <c r="P259" s="17" t="n"/>
      <c r="Q259" s="17" t="n"/>
      <c r="R259" s="17" t="n"/>
      <c r="S259" s="17" t="n"/>
    </row>
    <row r="260">
      <c r="A260" s="15" t="n">
        <v>42765</v>
      </c>
      <c r="B260" s="9" t="n">
        <v>25</v>
      </c>
      <c r="C260" s="10" t="n">
        <v>30</v>
      </c>
      <c r="D260" s="17" t="inlineStr">
        <is>
          <t>George's Burgers, Santa Monica</t>
        </is>
      </c>
      <c r="E260" s="9">
        <f>if($A260&lt;&gt;"",E259+B260,"")</f>
        <v/>
      </c>
      <c r="F260" s="10">
        <f>if($A260&lt;&gt;"",F259+C260,"")</f>
        <v/>
      </c>
      <c r="G260" s="11">
        <f>IF($A260&lt;&gt;"",IF(F260-E260=0,"tie",IF(F260-E260&gt;0,"+"&amp;F260-E260,"+"&amp;E260-F260)),"")</f>
        <v/>
      </c>
      <c r="H260" s="12">
        <f>if($A260&lt;&gt;"",if(B260&gt;C260,if(B260&lt;60,1,2),""),"")</f>
        <v/>
      </c>
      <c r="I260" s="12">
        <f>if($A260&lt;&gt;"",if(C260&gt;B260,if(C260&lt;60,1,2),""),"")</f>
        <v/>
      </c>
      <c r="J260" s="9">
        <f>if($A260&lt;&gt;"",J259+H260,"")</f>
        <v/>
      </c>
      <c r="K260" s="9">
        <f>if($A260&lt;&gt;"",K259+I260,"")</f>
        <v/>
      </c>
      <c r="L260" s="11">
        <f>IF($A260&lt;&gt;"",IF(K260-J260=0,"tie",IF(K260-J260&gt;0,"+"&amp;K260-J260,"+"&amp;J260-K260)),"")</f>
        <v/>
      </c>
      <c r="M260" s="17" t="n"/>
      <c r="N260" s="17" t="n"/>
      <c r="O260" s="17" t="n"/>
      <c r="P260" s="17" t="n"/>
      <c r="Q260" s="17" t="n"/>
      <c r="R260" s="17" t="n"/>
      <c r="S260" s="17" t="n"/>
    </row>
    <row r="261">
      <c r="A261" s="15" t="n">
        <v>42769</v>
      </c>
      <c r="B261" s="9" t="n">
        <v>25</v>
      </c>
      <c r="C261" s="10" t="n">
        <v>30</v>
      </c>
      <c r="D261" s="17" t="inlineStr">
        <is>
          <t>Islands, MDR</t>
        </is>
      </c>
      <c r="E261" s="9">
        <f>if($A261&lt;&gt;"",E260+B261,"")</f>
        <v/>
      </c>
      <c r="F261" s="10">
        <f>if($A261&lt;&gt;"",F260+C261,"")</f>
        <v/>
      </c>
      <c r="G261" s="11">
        <f>IF($A261&lt;&gt;"",IF(F261-E261=0,"tie",IF(F261-E261&gt;0,"+"&amp;F261-E261,"+"&amp;E261-F261)),"")</f>
        <v/>
      </c>
      <c r="H261" s="12">
        <f>if($A261&lt;&gt;"",if(B261&gt;C261,if(B261&lt;60,1,2),""),"")</f>
        <v/>
      </c>
      <c r="I261" s="12">
        <f>if($A261&lt;&gt;"",if(C261&gt;B261,if(C261&lt;60,1,2),""),"")</f>
        <v/>
      </c>
      <c r="J261" s="9">
        <f>if($A261&lt;&gt;"",J260+H261,"")</f>
        <v/>
      </c>
      <c r="K261" s="9">
        <f>if($A261&lt;&gt;"",K260+I261,"")</f>
        <v/>
      </c>
      <c r="L261" s="11">
        <f>IF($A261&lt;&gt;"",IF(K261-J261=0,"tie",IF(K261-J261&gt;0,"+"&amp;K261-J261,"+"&amp;J261-K261)),"")</f>
        <v/>
      </c>
      <c r="M261" s="17" t="n"/>
      <c r="N261" s="17" t="n"/>
      <c r="O261" s="17" t="n"/>
      <c r="P261" s="17" t="n"/>
      <c r="Q261" s="17" t="n"/>
      <c r="R261" s="17" t="n"/>
      <c r="S261" s="17" t="n"/>
    </row>
    <row r="262">
      <c r="A262" s="15" t="n">
        <v>42774</v>
      </c>
      <c r="B262" s="9" t="n">
        <v>25</v>
      </c>
      <c r="C262" s="10" t="n">
        <v>30</v>
      </c>
      <c r="D262" s="17" t="inlineStr">
        <is>
          <t>Jimmy's Famous American Tavern, Santa Monica</t>
        </is>
      </c>
      <c r="E262" s="9">
        <f>if($A262&lt;&gt;"",E261+B262,"")</f>
        <v/>
      </c>
      <c r="F262" s="10">
        <f>if($A262&lt;&gt;"",F261+C262,"")</f>
        <v/>
      </c>
      <c r="G262" s="11">
        <f>IF($A262&lt;&gt;"",IF(F262-E262=0,"tie",IF(F262-E262&gt;0,"+"&amp;F262-E262,"+"&amp;E262-F262)),"")</f>
        <v/>
      </c>
      <c r="H262" s="12">
        <f>if($A262&lt;&gt;"",if(B262&gt;C262,if(B262&lt;60,1,2),""),"")</f>
        <v/>
      </c>
      <c r="I262" s="12">
        <f>if($A262&lt;&gt;"",if(C262&gt;B262,if(C262&lt;60,1,2),""),"")</f>
        <v/>
      </c>
      <c r="J262" s="9">
        <f>if($A262&lt;&gt;"",J261+H262,"")</f>
        <v/>
      </c>
      <c r="K262" s="9">
        <f>if($A262&lt;&gt;"",K261+I262,"")</f>
        <v/>
      </c>
      <c r="L262" s="11">
        <f>IF($A262&lt;&gt;"",IF(K262-J262=0,"tie",IF(K262-J262&gt;0,"+"&amp;K262-J262,"+"&amp;J262-K262)),"")</f>
        <v/>
      </c>
      <c r="M262" s="17" t="n"/>
      <c r="N262" s="17" t="n"/>
      <c r="O262" s="17" t="n"/>
      <c r="P262" s="17" t="n"/>
      <c r="Q262" s="17" t="n"/>
      <c r="R262" s="17" t="n"/>
      <c r="S262" s="17" t="n"/>
    </row>
    <row r="263">
      <c r="A263" s="15" t="n">
        <v>42778</v>
      </c>
      <c r="B263" s="10" t="n">
        <v>30</v>
      </c>
      <c r="C263" s="9" t="n">
        <v>25</v>
      </c>
      <c r="D263" s="17" t="inlineStr">
        <is>
          <t>Westside Tavern, WLA</t>
        </is>
      </c>
      <c r="E263" s="9">
        <f>if($A263&lt;&gt;"",E262+B263,"")</f>
        <v/>
      </c>
      <c r="F263" s="10">
        <f>if($A263&lt;&gt;"",F262+C263,"")</f>
        <v/>
      </c>
      <c r="G263" s="11">
        <f>IF($A263&lt;&gt;"",IF(F263-E263=0,"tie",IF(F263-E263&gt;0,"+"&amp;F263-E263,"+"&amp;E263-F263)),"")</f>
        <v/>
      </c>
      <c r="H263" s="12">
        <f>if($A263&lt;&gt;"",if(B263&gt;C263,if(B263&lt;60,1,2),""),"")</f>
        <v/>
      </c>
      <c r="I263" s="12">
        <f>if($A263&lt;&gt;"",if(C263&gt;B263,if(C263&lt;60,1,2),""),"")</f>
        <v/>
      </c>
      <c r="J263" s="9">
        <f>if($A263&lt;&gt;"",J262+H263,"")</f>
        <v/>
      </c>
      <c r="K263" s="9">
        <f>if($A263&lt;&gt;"",K262+I263,"")</f>
        <v/>
      </c>
      <c r="L263" s="11">
        <f>IF($A263&lt;&gt;"",IF(K263-J263=0,"tie",IF(K263-J263&gt;0,"+"&amp;K263-J263,"+"&amp;J263-K263)),"")</f>
        <v/>
      </c>
      <c r="M263" s="17" t="n"/>
      <c r="N263" s="17" t="n"/>
      <c r="O263" s="17" t="n"/>
      <c r="P263" s="17" t="n"/>
      <c r="Q263" s="17" t="n"/>
      <c r="R263" s="17" t="n"/>
      <c r="S263" s="17" t="n"/>
    </row>
    <row r="264">
      <c r="A264" s="15" t="n">
        <v>42788</v>
      </c>
      <c r="B264" s="10" t="n">
        <v>30</v>
      </c>
      <c r="C264" s="9" t="n">
        <v>25</v>
      </c>
      <c r="D264" s="17" t="inlineStr">
        <is>
          <t>iHop, MDR</t>
        </is>
      </c>
      <c r="E264" s="9">
        <f>if($A264&lt;&gt;"",E263+B264,"")</f>
        <v/>
      </c>
      <c r="F264" s="10">
        <f>if($A264&lt;&gt;"",F263+C264,"")</f>
        <v/>
      </c>
      <c r="G264" s="11">
        <f>IF($A264&lt;&gt;"",IF(F264-E264=0,"tie",IF(F264-E264&gt;0,"+"&amp;F264-E264,"+"&amp;E264-F264)),"")</f>
        <v/>
      </c>
      <c r="H264" s="12">
        <f>if($A264&lt;&gt;"",if(B264&gt;C264,if(B264&lt;60,1,2),""),"")</f>
        <v/>
      </c>
      <c r="I264" s="12">
        <f>if($A264&lt;&gt;"",if(C264&gt;B264,if(C264&lt;60,1,2),""),"")</f>
        <v/>
      </c>
      <c r="J264" s="9">
        <f>if($A264&lt;&gt;"",J263+H264,"")</f>
        <v/>
      </c>
      <c r="K264" s="9">
        <f>if($A264&lt;&gt;"",K263+I264,"")</f>
        <v/>
      </c>
      <c r="L264" s="11">
        <f>IF($A264&lt;&gt;"",IF(K264-J264=0,"tie",IF(K264-J264&gt;0,"+"&amp;K264-J264,"+"&amp;J264-K264)),"")</f>
        <v/>
      </c>
      <c r="M264" s="17" t="n"/>
      <c r="N264" s="17" t="n"/>
      <c r="O264" s="17" t="n"/>
      <c r="P264" s="17" t="n"/>
      <c r="Q264" s="17" t="n"/>
      <c r="R264" s="17" t="n"/>
      <c r="S264" s="17" t="n"/>
    </row>
    <row r="265">
      <c r="A265" s="15" t="n">
        <v>42795</v>
      </c>
      <c r="B265" s="9" t="n">
        <v>25</v>
      </c>
      <c r="C265" s="10" t="n">
        <v>30</v>
      </c>
      <c r="D265" s="17" t="inlineStr">
        <is>
          <t>iHop, MDR</t>
        </is>
      </c>
      <c r="E265" s="9">
        <f>if($A265&lt;&gt;"",E264+B265,"")</f>
        <v/>
      </c>
      <c r="F265" s="10">
        <f>if($A265&lt;&gt;"",F264+C265,"")</f>
        <v/>
      </c>
      <c r="G265" s="11">
        <f>IF($A265&lt;&gt;"",IF(F265-E265=0,"tie",IF(F265-E265&gt;0,"+"&amp;F265-E265,"+"&amp;E265-F265)),"")</f>
        <v/>
      </c>
      <c r="H265" s="12">
        <f>if($A265&lt;&gt;"",if(B265&gt;C265,if(B265&lt;60,1,2),""),"")</f>
        <v/>
      </c>
      <c r="I265" s="12">
        <f>if($A265&lt;&gt;"",if(C265&gt;B265,if(C265&lt;60,1,2),""),"")</f>
        <v/>
      </c>
      <c r="J265" s="9">
        <f>if($A265&lt;&gt;"",J264+H265,"")</f>
        <v/>
      </c>
      <c r="K265" s="9">
        <f>if($A265&lt;&gt;"",K264+I265,"")</f>
        <v/>
      </c>
      <c r="L265" s="11">
        <f>IF($A265&lt;&gt;"",IF(K265-J265=0,"tie",IF(K265-J265&gt;0,"+"&amp;K265-J265,"+"&amp;J265-K265)),"")</f>
        <v/>
      </c>
      <c r="M265" s="17" t="n"/>
      <c r="N265" s="17" t="n"/>
      <c r="O265" s="17" t="n"/>
      <c r="P265" s="17" t="n"/>
      <c r="Q265" s="17" t="n"/>
      <c r="R265" s="17" t="n"/>
      <c r="S265" s="17" t="n"/>
    </row>
    <row r="266">
      <c r="A266" s="15" t="n">
        <v>42797</v>
      </c>
      <c r="B266" s="10" t="n">
        <v>30</v>
      </c>
      <c r="C266" s="9" t="n">
        <v>25</v>
      </c>
      <c r="D266" s="17" t="inlineStr">
        <is>
          <t>Preston Way</t>
        </is>
      </c>
      <c r="E266" s="9">
        <f>if($A266&lt;&gt;"",E265+B266,"")</f>
        <v/>
      </c>
      <c r="F266" s="10">
        <f>if($A266&lt;&gt;"",F265+C266,"")</f>
        <v/>
      </c>
      <c r="G266" s="11">
        <f>IF($A266&lt;&gt;"",IF(F266-E266=0,"tie",IF(F266-E266&gt;0,"+"&amp;F266-E266,"+"&amp;E266-F266)),"")</f>
        <v/>
      </c>
      <c r="H266" s="12">
        <f>if($A266&lt;&gt;"",if(B266&gt;C266,if(B266&lt;60,1,2),""),"")</f>
        <v/>
      </c>
      <c r="I266" s="12">
        <f>if($A266&lt;&gt;"",if(C266&gt;B266,if(C266&lt;60,1,2),""),"")</f>
        <v/>
      </c>
      <c r="J266" s="9">
        <f>if($A266&lt;&gt;"",J265+H266,"")</f>
        <v/>
      </c>
      <c r="K266" s="9">
        <f>if($A266&lt;&gt;"",K265+I266,"")</f>
        <v/>
      </c>
      <c r="L266" s="11">
        <f>IF($A266&lt;&gt;"",IF(K266-J266=0,"tie",IF(K266-J266&gt;0,"+"&amp;K266-J266,"+"&amp;J266-K266)),"")</f>
        <v/>
      </c>
      <c r="M266" s="17" t="n"/>
      <c r="N266" s="17" t="n"/>
      <c r="O266" s="17" t="n"/>
      <c r="P266" s="17" t="n"/>
      <c r="Q266" s="17" t="n"/>
      <c r="R266" s="17" t="n"/>
      <c r="S266" s="17" t="n"/>
    </row>
    <row r="267">
      <c r="A267" s="15" t="n">
        <v>42805</v>
      </c>
      <c r="B267" s="10" t="n">
        <v>30</v>
      </c>
      <c r="C267" s="9" t="n">
        <v>25</v>
      </c>
      <c r="D267" s="17" t="inlineStr">
        <is>
          <t>Jacks N Joe, Downtown L.A.</t>
        </is>
      </c>
      <c r="E267" s="9">
        <f>if($A267&lt;&gt;"",E266+B267,"")</f>
        <v/>
      </c>
      <c r="F267" s="10">
        <f>if($A267&lt;&gt;"",F266+C267,"")</f>
        <v/>
      </c>
      <c r="G267" s="11">
        <f>IF($A267&lt;&gt;"",IF(F267-E267=0,"tie",IF(F267-E267&gt;0,"+"&amp;F267-E267,"+"&amp;E267-F267)),"")</f>
        <v/>
      </c>
      <c r="H267" s="12">
        <f>if($A267&lt;&gt;"",if(B267&gt;C267,if(B267&lt;60,1,2),""),"")</f>
        <v/>
      </c>
      <c r="I267" s="12">
        <f>if($A267&lt;&gt;"",if(C267&gt;B267,if(C267&lt;60,1,2),""),"")</f>
        <v/>
      </c>
      <c r="J267" s="9">
        <f>if($A267&lt;&gt;"",J266+H267,"")</f>
        <v/>
      </c>
      <c r="K267" s="9">
        <f>if($A267&lt;&gt;"",K266+I267,"")</f>
        <v/>
      </c>
      <c r="L267" s="11">
        <f>IF($A267&lt;&gt;"",IF(K267-J267=0,"tie",IF(K267-J267&gt;0,"+"&amp;K267-J267,"+"&amp;J267-K267)),"")</f>
        <v/>
      </c>
      <c r="M267" s="17" t="n"/>
      <c r="N267" s="17" t="n"/>
      <c r="O267" s="17" t="n"/>
      <c r="P267" s="17" t="n"/>
      <c r="Q267" s="17" t="n"/>
      <c r="R267" s="17" t="n"/>
      <c r="S267" s="17" t="n"/>
    </row>
    <row r="268">
      <c r="A268" s="15" t="n">
        <v>42805</v>
      </c>
      <c r="B268" s="10" t="n">
        <v>30</v>
      </c>
      <c r="C268" s="9" t="n">
        <v>25</v>
      </c>
      <c r="D268" s="17" t="inlineStr">
        <is>
          <t>Water grill, Santa Monica</t>
        </is>
      </c>
      <c r="E268" s="9">
        <f>if($A268&lt;&gt;"",E267+B268,"")</f>
        <v/>
      </c>
      <c r="F268" s="10">
        <f>if($A268&lt;&gt;"",F267+C268,"")</f>
        <v/>
      </c>
      <c r="G268" s="11">
        <f>IF($A268&lt;&gt;"",IF(F268-E268=0,"tie",IF(F268-E268&gt;0,"+"&amp;F268-E268,"+"&amp;E268-F268)),"")</f>
        <v/>
      </c>
      <c r="H268" s="12">
        <f>if($A268&lt;&gt;"",if(B268&gt;C268,if(B268&lt;60,1,2),""),"")</f>
        <v/>
      </c>
      <c r="I268" s="12">
        <f>if($A268&lt;&gt;"",if(C268&gt;B268,if(C268&lt;60,1,2),""),"")</f>
        <v/>
      </c>
      <c r="J268" s="9">
        <f>if($A268&lt;&gt;"",J267+H268,"")</f>
        <v/>
      </c>
      <c r="K268" s="9">
        <f>if($A268&lt;&gt;"",K267+I268,"")</f>
        <v/>
      </c>
      <c r="L268" s="11">
        <f>IF($A268&lt;&gt;"",IF(K268-J268=0,"tie",IF(K268-J268&gt;0,"+"&amp;K268-J268,"+"&amp;J268-K268)),"")</f>
        <v/>
      </c>
      <c r="M268" s="17" t="n"/>
      <c r="N268" s="17" t="n"/>
      <c r="O268" s="17" t="n"/>
      <c r="P268" s="17" t="n"/>
      <c r="Q268" s="17" t="n"/>
      <c r="R268" s="17" t="n"/>
      <c r="S268" s="17" t="n"/>
    </row>
    <row r="269">
      <c r="A269" s="15" t="n">
        <v>42866</v>
      </c>
      <c r="B269" s="10" t="n">
        <v>30</v>
      </c>
      <c r="C269" s="9" t="n">
        <v>25</v>
      </c>
      <c r="D269" s="17" t="inlineStr">
        <is>
          <t>Freddy Smalls Bar and Kitchen, WLA</t>
        </is>
      </c>
      <c r="E269" s="9">
        <f>if($A269&lt;&gt;"",E268+B269,"")</f>
        <v/>
      </c>
      <c r="F269" s="10">
        <f>if($A269&lt;&gt;"",F268+C269,"")</f>
        <v/>
      </c>
      <c r="G269" s="11">
        <f>IF($A269&lt;&gt;"",IF(F269-E269=0,"tie",IF(F269-E269&gt;0,"+"&amp;F269-E269,"+"&amp;E269-F269)),"")</f>
        <v/>
      </c>
      <c r="H269" s="12">
        <f>if($A269&lt;&gt;"",if(B269&gt;C269,if(B269&lt;60,1,2),""),"")</f>
        <v/>
      </c>
      <c r="I269" s="12">
        <f>if($A269&lt;&gt;"",if(C269&gt;B269,if(C269&lt;60,1,2),""),"")</f>
        <v/>
      </c>
      <c r="J269" s="9">
        <f>if($A269&lt;&gt;"",J268+H269,"")</f>
        <v/>
      </c>
      <c r="K269" s="9">
        <f>if($A269&lt;&gt;"",K268+I269,"")</f>
        <v/>
      </c>
      <c r="L269" s="11">
        <f>IF($A269&lt;&gt;"",IF(K269-J269=0,"tie",IF(K269-J269&gt;0,"+"&amp;K269-J269,"+"&amp;J269-K269)),"")</f>
        <v/>
      </c>
      <c r="M269" s="17" t="n"/>
      <c r="N269" s="17" t="n"/>
      <c r="O269" s="17" t="n"/>
      <c r="P269" s="17" t="n"/>
      <c r="Q269" s="17" t="n"/>
      <c r="R269" s="17" t="n"/>
      <c r="S269" s="17" t="n"/>
    </row>
    <row r="270">
      <c r="A270" s="15" t="n">
        <v>42876</v>
      </c>
      <c r="B270" s="9" t="n">
        <v>25</v>
      </c>
      <c r="C270" s="10" t="n">
        <v>30</v>
      </c>
      <c r="D270" s="17" t="inlineStr">
        <is>
          <t>Bolsa Chica Park + Goose Lake on way home from San Clemente</t>
        </is>
      </c>
      <c r="E270" s="9">
        <f>if($A270&lt;&gt;"",E269+B270,"")</f>
        <v/>
      </c>
      <c r="F270" s="10">
        <f>if($A270&lt;&gt;"",F269+C270,"")</f>
        <v/>
      </c>
      <c r="G270" s="11">
        <f>IF($A270&lt;&gt;"",IF(F270-E270=0,"tie",IF(F270-E270&gt;0,"+"&amp;F270-E270,"+"&amp;E270-F270)),"")</f>
        <v/>
      </c>
      <c r="H270" s="12">
        <f>if($A270&lt;&gt;"",if(B270&gt;C270,if(B270&lt;60,1,2),""),"")</f>
        <v/>
      </c>
      <c r="I270" s="12">
        <f>if($A270&lt;&gt;"",if(C270&gt;B270,if(C270&lt;60,1,2),""),"")</f>
        <v/>
      </c>
      <c r="J270" s="9">
        <f>if($A270&lt;&gt;"",J269+H270,"")</f>
        <v/>
      </c>
      <c r="K270" s="9">
        <f>if($A270&lt;&gt;"",K269+I270,"")</f>
        <v/>
      </c>
      <c r="L270" s="11">
        <f>IF($A270&lt;&gt;"",IF(K270-J270=0,"tie",IF(K270-J270&gt;0,"+"&amp;K270-J270,"+"&amp;J270-K270)),"")</f>
        <v/>
      </c>
      <c r="M270" s="17" t="n"/>
      <c r="N270" s="17" t="n"/>
      <c r="O270" s="17" t="n"/>
      <c r="P270" s="17" t="n"/>
      <c r="Q270" s="17" t="n"/>
      <c r="R270" s="17" t="n"/>
      <c r="S270" s="17" t="n"/>
    </row>
    <row r="271">
      <c r="A271" s="15" t="n">
        <v>42879</v>
      </c>
      <c r="B271" s="9" t="n">
        <v>25</v>
      </c>
      <c r="C271" s="10" t="n">
        <v>30</v>
      </c>
      <c r="D271" s="17" t="inlineStr">
        <is>
          <t>La Cabaña</t>
        </is>
      </c>
      <c r="E271" s="9">
        <f>if($A271&lt;&gt;"",E270+B271,"")</f>
        <v/>
      </c>
      <c r="F271" s="10">
        <f>if($A271&lt;&gt;"",F270+C271,"")</f>
        <v/>
      </c>
      <c r="G271" s="11">
        <f>IF($A271&lt;&gt;"",IF(F271-E271=0,"tie",IF(F271-E271&gt;0,"+"&amp;F271-E271,"+"&amp;E271-F271)),"")</f>
        <v/>
      </c>
      <c r="H271" s="12">
        <f>if($A271&lt;&gt;"",if(B271&gt;C271,if(B271&lt;60,1,2),""),"")</f>
        <v/>
      </c>
      <c r="I271" s="12">
        <f>if($A271&lt;&gt;"",if(C271&gt;B271,if(C271&lt;60,1,2),""),"")</f>
        <v/>
      </c>
      <c r="J271" s="9">
        <f>if($A271&lt;&gt;"",J270+H271,"")</f>
        <v/>
      </c>
      <c r="K271" s="9">
        <f>if($A271&lt;&gt;"",K270+I271,"")</f>
        <v/>
      </c>
      <c r="L271" s="11">
        <f>IF($A271&lt;&gt;"",IF(K271-J271=0,"tie",IF(K271-J271&gt;0,"+"&amp;K271-J271,"+"&amp;J271-K271)),"")</f>
        <v/>
      </c>
      <c r="M271" s="17" t="n"/>
      <c r="N271" s="17" t="n"/>
      <c r="O271" s="17" t="n"/>
      <c r="P271" s="17" t="n"/>
      <c r="Q271" s="17" t="n"/>
      <c r="R271" s="17" t="n"/>
      <c r="S271" s="17" t="n"/>
    </row>
    <row r="272">
      <c r="A272" s="15" t="n">
        <v>42883</v>
      </c>
      <c r="B272" s="9" t="n">
        <v>25</v>
      </c>
      <c r="C272" s="10" t="n">
        <v>30</v>
      </c>
      <c r="D272" s="17" t="inlineStr">
        <is>
          <t>Duke's, Huntington Beach</t>
        </is>
      </c>
      <c r="E272" s="9">
        <f>if($A272&lt;&gt;"",E271+B272,"")</f>
        <v/>
      </c>
      <c r="F272" s="10">
        <f>if($A272&lt;&gt;"",F271+C272,"")</f>
        <v/>
      </c>
      <c r="G272" s="11">
        <f>IF($A272&lt;&gt;"",IF(F272-E272=0,"tie",IF(F272-E272&gt;0,"+"&amp;F272-E272,"+"&amp;E272-F272)),"")</f>
        <v/>
      </c>
      <c r="H272" s="12">
        <f>if($A272&lt;&gt;"",if(B272&gt;C272,if(B272&lt;60,1,2),""),"")</f>
        <v/>
      </c>
      <c r="I272" s="12">
        <f>if($A272&lt;&gt;"",if(C272&gt;B272,if(C272&lt;60,1,2),""),"")</f>
        <v/>
      </c>
      <c r="J272" s="9">
        <f>if($A272&lt;&gt;"",J271+H272,"")</f>
        <v/>
      </c>
      <c r="K272" s="9">
        <f>if($A272&lt;&gt;"",K271+I272,"")</f>
        <v/>
      </c>
      <c r="L272" s="11">
        <f>IF($A272&lt;&gt;"",IF(K272-J272=0,"tie",IF(K272-J272&gt;0,"+"&amp;K272-J272,"+"&amp;J272-K272)),"")</f>
        <v/>
      </c>
      <c r="M272" s="17" t="n"/>
      <c r="N272" s="17" t="n"/>
      <c r="O272" s="17" t="n"/>
      <c r="P272" s="17" t="n"/>
      <c r="Q272" s="17" t="n"/>
      <c r="R272" s="17" t="n"/>
      <c r="S272" s="17" t="n"/>
    </row>
    <row r="273">
      <c r="A273" s="15" t="n">
        <v>42886</v>
      </c>
      <c r="B273" s="10" t="n">
        <v>30</v>
      </c>
      <c r="C273" s="9" t="n">
        <v>25</v>
      </c>
      <c r="D273" s="17" t="inlineStr">
        <is>
          <t>Preston Way</t>
        </is>
      </c>
      <c r="E273" s="9">
        <f>if($A273&lt;&gt;"",E272+B273,"")</f>
        <v/>
      </c>
      <c r="F273" s="10">
        <f>if($A273&lt;&gt;"",F272+C273,"")</f>
        <v/>
      </c>
      <c r="G273" s="11">
        <f>IF($A273&lt;&gt;"",IF(F273-E273=0,"tie",IF(F273-E273&gt;0,"+"&amp;F273-E273,"+"&amp;E273-F273)),"")</f>
        <v/>
      </c>
      <c r="H273" s="12">
        <f>if($A273&lt;&gt;"",if(B273&gt;C273,if(B273&lt;60,1,2),""),"")</f>
        <v/>
      </c>
      <c r="I273" s="12">
        <f>if($A273&lt;&gt;"",if(C273&gt;B273,if(C273&lt;60,1,2),""),"")</f>
        <v/>
      </c>
      <c r="J273" s="9">
        <f>if($A273&lt;&gt;"",J272+H273,"")</f>
        <v/>
      </c>
      <c r="K273" s="9">
        <f>if($A273&lt;&gt;"",K272+I273,"")</f>
        <v/>
      </c>
      <c r="L273" s="11">
        <f>IF($A273&lt;&gt;"",IF(K273-J273=0,"tie",IF(K273-J273&gt;0,"+"&amp;K273-J273,"+"&amp;J273-K273)),"")</f>
        <v/>
      </c>
      <c r="M273" s="17" t="n"/>
      <c r="N273" s="17" t="n"/>
      <c r="O273" s="17" t="n"/>
      <c r="P273" s="17" t="n"/>
      <c r="Q273" s="17" t="n"/>
      <c r="R273" s="17" t="n"/>
      <c r="S273" s="17" t="n"/>
    </row>
    <row r="274">
      <c r="A274" s="15" t="n">
        <v>42888</v>
      </c>
      <c r="B274" s="10" t="n">
        <v>30</v>
      </c>
      <c r="C274" s="9" t="n">
        <v>25</v>
      </c>
      <c r="D274" s="17" t="inlineStr">
        <is>
          <t>Lunetta All Day, WLA</t>
        </is>
      </c>
      <c r="E274" s="9">
        <f>if($A274&lt;&gt;"",E273+B274,"")</f>
        <v/>
      </c>
      <c r="F274" s="10">
        <f>if($A274&lt;&gt;"",F273+C274,"")</f>
        <v/>
      </c>
      <c r="G274" s="11">
        <f>IF($A274&lt;&gt;"",IF(F274-E274=0,"tie",IF(F274-E274&gt;0,"+"&amp;F274-E274,"+"&amp;E274-F274)),"")</f>
        <v/>
      </c>
      <c r="H274" s="12">
        <f>if($A274&lt;&gt;"",if(B274&gt;C274,if(B274&lt;60,1,2),""),"")</f>
        <v/>
      </c>
      <c r="I274" s="12">
        <f>if($A274&lt;&gt;"",if(C274&gt;B274,if(C274&lt;60,1,2),""),"")</f>
        <v/>
      </c>
      <c r="J274" s="9">
        <f>if($A274&lt;&gt;"",J273+H274,"")</f>
        <v/>
      </c>
      <c r="K274" s="9">
        <f>if($A274&lt;&gt;"",K273+I274,"")</f>
        <v/>
      </c>
      <c r="L274" s="11">
        <f>IF($A274&lt;&gt;"",IF(K274-J274=0,"tie",IF(K274-J274&gt;0,"+"&amp;K274-J274,"+"&amp;J274-K274)),"")</f>
        <v/>
      </c>
      <c r="M274" s="17" t="n"/>
      <c r="N274" s="17" t="n"/>
      <c r="O274" s="17" t="n"/>
      <c r="P274" s="17" t="n"/>
      <c r="Q274" s="17" t="n"/>
      <c r="R274" s="17" t="n"/>
      <c r="S274" s="17" t="n"/>
    </row>
    <row r="275">
      <c r="A275" s="15" t="n">
        <v>42895</v>
      </c>
      <c r="B275" s="9" t="n">
        <v>25</v>
      </c>
      <c r="C275" s="10" t="n">
        <v>30</v>
      </c>
      <c r="D275" s="17" t="inlineStr">
        <is>
          <t>Preston Way</t>
        </is>
      </c>
      <c r="E275" s="9">
        <f>if($A275&lt;&gt;"",E274+B275,"")</f>
        <v/>
      </c>
      <c r="F275" s="10">
        <f>if($A275&lt;&gt;"",F274+C275,"")</f>
        <v/>
      </c>
      <c r="G275" s="11">
        <f>IF($A275&lt;&gt;"",IF(F275-E275=0,"tie",IF(F275-E275&gt;0,"+"&amp;F275-E275,"+"&amp;E275-F275)),"")</f>
        <v/>
      </c>
      <c r="H275" s="12">
        <f>if($A275&lt;&gt;"",if(B275&gt;C275,if(B275&lt;60,1,2),""),"")</f>
        <v/>
      </c>
      <c r="I275" s="12">
        <f>if($A275&lt;&gt;"",if(C275&gt;B275,if(C275&lt;60,1,2),""),"")</f>
        <v/>
      </c>
      <c r="J275" s="9">
        <f>if($A275&lt;&gt;"",J274+H275,"")</f>
        <v/>
      </c>
      <c r="K275" s="9">
        <f>if($A275&lt;&gt;"",K274+I275,"")</f>
        <v/>
      </c>
      <c r="L275" s="11">
        <f>IF($A275&lt;&gt;"",IF(K275-J275=0,"tie",IF(K275-J275&gt;0,"+"&amp;K275-J275,"+"&amp;J275-K275)),"")</f>
        <v/>
      </c>
      <c r="M275" s="17" t="n"/>
      <c r="N275" s="17" t="n"/>
      <c r="O275" s="17" t="n"/>
      <c r="P275" s="17" t="n"/>
      <c r="Q275" s="17" t="n"/>
      <c r="R275" s="17" t="n"/>
      <c r="S275" s="17" t="n"/>
    </row>
    <row r="276">
      <c r="A276" s="15" t="n">
        <v>42895</v>
      </c>
      <c r="B276" s="9" t="n">
        <v>25</v>
      </c>
      <c r="C276" s="10" t="n">
        <v>30</v>
      </c>
      <c r="D276" s="17" t="inlineStr">
        <is>
          <t>La Cabaña, Venice</t>
        </is>
      </c>
      <c r="E276" s="9">
        <f>if($A276&lt;&gt;"",E275+B276,"")</f>
        <v/>
      </c>
      <c r="F276" s="10">
        <f>if($A276&lt;&gt;"",F275+C276,"")</f>
        <v/>
      </c>
      <c r="G276" s="11">
        <f>IF($A276&lt;&gt;"",IF(F276-E276=0,"tie",IF(F276-E276&gt;0,"+"&amp;F276-E276,"+"&amp;E276-F276)),"")</f>
        <v/>
      </c>
      <c r="H276" s="12">
        <f>if($A276&lt;&gt;"",if(B276&gt;C276,if(B276&lt;60,1,2),""),"")</f>
        <v/>
      </c>
      <c r="I276" s="12">
        <f>if($A276&lt;&gt;"",if(C276&gt;B276,if(C276&lt;60,1,2),""),"")</f>
        <v/>
      </c>
      <c r="J276" s="9">
        <f>if($A276&lt;&gt;"",J275+H276,"")</f>
        <v/>
      </c>
      <c r="K276" s="9">
        <f>if($A276&lt;&gt;"",K275+I276,"")</f>
        <v/>
      </c>
      <c r="L276" s="11">
        <f>IF($A276&lt;&gt;"",IF(K276-J276=0,"tie",IF(K276-J276&gt;0,"+"&amp;K276-J276,"+"&amp;J276-K276)),"")</f>
        <v/>
      </c>
      <c r="M276" s="17" t="n"/>
      <c r="N276" s="17" t="n"/>
      <c r="O276" s="17" t="n"/>
      <c r="P276" s="17" t="n"/>
      <c r="Q276" s="17" t="n"/>
      <c r="R276" s="17" t="n"/>
      <c r="S276" s="17" t="n"/>
    </row>
    <row r="277">
      <c r="A277" s="15" t="n">
        <v>42899</v>
      </c>
      <c r="B277" s="9" t="n">
        <v>25</v>
      </c>
      <c r="C277" s="10" t="n">
        <v>30</v>
      </c>
      <c r="D277" s="17" t="inlineStr">
        <is>
          <t>Cava, Venice</t>
        </is>
      </c>
      <c r="E277" s="9">
        <f>if($A277&lt;&gt;"",E276+B277,"")</f>
        <v/>
      </c>
      <c r="F277" s="10">
        <f>if($A277&lt;&gt;"",F276+C277,"")</f>
        <v/>
      </c>
      <c r="G277" s="11">
        <f>IF($A277&lt;&gt;"",IF(F277-E277=0,"tie",IF(F277-E277&gt;0,"+"&amp;F277-E277,"+"&amp;E277-F277)),"")</f>
        <v/>
      </c>
      <c r="H277" s="12">
        <f>if($A277&lt;&gt;"",if(B277&gt;C277,if(B277&lt;60,1,2),""),"")</f>
        <v/>
      </c>
      <c r="I277" s="12">
        <f>if($A277&lt;&gt;"",if(C277&gt;B277,if(C277&lt;60,1,2),""),"")</f>
        <v/>
      </c>
      <c r="J277" s="9">
        <f>if($A277&lt;&gt;"",J276+H277,"")</f>
        <v/>
      </c>
      <c r="K277" s="9">
        <f>if($A277&lt;&gt;"",K276+I277,"")</f>
        <v/>
      </c>
      <c r="L277" s="11">
        <f>IF($A277&lt;&gt;"",IF(K277-J277=0,"tie",IF(K277-J277&gt;0,"+"&amp;K277-J277,"+"&amp;J277-K277)),"")</f>
        <v/>
      </c>
      <c r="M277" s="17" t="n"/>
      <c r="N277" s="17" t="n"/>
      <c r="O277" s="17" t="n"/>
      <c r="P277" s="17" t="n"/>
      <c r="Q277" s="17" t="n"/>
      <c r="R277" s="17" t="n"/>
      <c r="S277" s="17" t="n"/>
    </row>
    <row r="278">
      <c r="A278" s="15" t="n">
        <v>42903</v>
      </c>
      <c r="B278" s="9" t="n">
        <v>25</v>
      </c>
      <c r="C278" s="10" t="n">
        <v>30</v>
      </c>
      <c r="D278" s="17" t="inlineStr">
        <is>
          <t>Busy Bee, Ventura</t>
        </is>
      </c>
      <c r="E278" s="9">
        <f>if($A278&lt;&gt;"",E277+B278,"")</f>
        <v/>
      </c>
      <c r="F278" s="10">
        <f>if($A278&lt;&gt;"",F277+C278,"")</f>
        <v/>
      </c>
      <c r="G278" s="11">
        <f>IF($A278&lt;&gt;"",IF(F278-E278=0,"tie",IF(F278-E278&gt;0,"+"&amp;F278-E278,"+"&amp;E278-F278)),"")</f>
        <v/>
      </c>
      <c r="H278" s="12">
        <f>if($A278&lt;&gt;"",if(B278&gt;C278,if(B278&lt;60,1,2),""),"")</f>
        <v/>
      </c>
      <c r="I278" s="12">
        <f>if($A278&lt;&gt;"",if(C278&gt;B278,if(C278&lt;60,1,2),""),"")</f>
        <v/>
      </c>
      <c r="J278" s="9">
        <f>if($A278&lt;&gt;"",J277+H278,"")</f>
        <v/>
      </c>
      <c r="K278" s="9">
        <f>if($A278&lt;&gt;"",K277+I278,"")</f>
        <v/>
      </c>
      <c r="L278" s="11">
        <f>IF($A278&lt;&gt;"",IF(K278-J278=0,"tie",IF(K278-J278&gt;0,"+"&amp;K278-J278,"+"&amp;J278-K278)),"")</f>
        <v/>
      </c>
      <c r="M278" s="17" t="n"/>
      <c r="N278" s="17" t="n"/>
      <c r="O278" s="17" t="n"/>
      <c r="P278" s="17" t="n"/>
      <c r="Q278" s="17" t="n"/>
      <c r="R278" s="17" t="n"/>
      <c r="S278" s="17" t="n"/>
    </row>
    <row r="279">
      <c r="A279" s="15" t="n">
        <v>42907</v>
      </c>
      <c r="B279" s="9" t="n">
        <v>25</v>
      </c>
      <c r="C279" s="10" t="n">
        <v>30</v>
      </c>
      <c r="D279" s="17" t="inlineStr">
        <is>
          <t>Killer Cafe, MDR</t>
        </is>
      </c>
      <c r="E279" s="9">
        <f>if($A279&lt;&gt;"",E278+B279,"")</f>
        <v/>
      </c>
      <c r="F279" s="10">
        <f>if($A279&lt;&gt;"",F278+C279,"")</f>
        <v/>
      </c>
      <c r="G279" s="11">
        <f>IF($A279&lt;&gt;"",IF(F279-E279=0,"tie",IF(F279-E279&gt;0,"+"&amp;F279-E279,"+"&amp;E279-F279)),"")</f>
        <v/>
      </c>
      <c r="H279" s="12">
        <f>if($A279&lt;&gt;"",if(B279&gt;C279,if(B279&lt;60,1,2),""),"")</f>
        <v/>
      </c>
      <c r="I279" s="12">
        <f>if($A279&lt;&gt;"",if(C279&gt;B279,if(C279&lt;60,1,2),""),"")</f>
        <v/>
      </c>
      <c r="J279" s="9">
        <f>if($A279&lt;&gt;"",J278+H279,"")</f>
        <v/>
      </c>
      <c r="K279" s="9">
        <f>if($A279&lt;&gt;"",K278+I279,"")</f>
        <v/>
      </c>
      <c r="L279" s="11">
        <f>IF($A279&lt;&gt;"",IF(K279-J279=0,"tie",IF(K279-J279&gt;0,"+"&amp;K279-J279,"+"&amp;J279-K279)),"")</f>
        <v/>
      </c>
      <c r="M279" s="17" t="n"/>
      <c r="N279" s="17" t="n"/>
      <c r="O279" s="17" t="n"/>
      <c r="P279" s="17" t="n"/>
      <c r="Q279" s="17" t="n"/>
      <c r="R279" s="17" t="n"/>
      <c r="S279" s="17" t="n"/>
    </row>
    <row r="280">
      <c r="A280" s="15" t="n">
        <v>42917</v>
      </c>
      <c r="B280" s="9" t="n">
        <v>25</v>
      </c>
      <c r="C280" s="10" t="n">
        <v>30</v>
      </c>
      <c r="D280" s="17" t="inlineStr">
        <is>
          <t>Blue Daisy, Santa Monica</t>
        </is>
      </c>
      <c r="E280" s="9">
        <f>if($A280&lt;&gt;"",E279+B280,"")</f>
        <v/>
      </c>
      <c r="F280" s="10">
        <f>if($A280&lt;&gt;"",F279+C280,"")</f>
        <v/>
      </c>
      <c r="G280" s="11">
        <f>IF($A280&lt;&gt;"",IF(F280-E280=0,"tie",IF(F280-E280&gt;0,"+"&amp;F280-E280,"+"&amp;E280-F280)),"")</f>
        <v/>
      </c>
      <c r="H280" s="12">
        <f>if($A280&lt;&gt;"",if(B280&gt;C280,if(B280&lt;60,1,2),""),"")</f>
        <v/>
      </c>
      <c r="I280" s="12">
        <f>if($A280&lt;&gt;"",if(C280&gt;B280,if(C280&lt;60,1,2),""),"")</f>
        <v/>
      </c>
      <c r="J280" s="9">
        <f>if($A280&lt;&gt;"",J279+H280,"")</f>
        <v/>
      </c>
      <c r="K280" s="9">
        <f>if($A280&lt;&gt;"",K279+I280,"")</f>
        <v/>
      </c>
      <c r="L280" s="11">
        <f>IF($A280&lt;&gt;"",IF(K280-J280=0,"tie",IF(K280-J280&gt;0,"+"&amp;K280-J280,"+"&amp;J280-K280)),"")</f>
        <v/>
      </c>
      <c r="M280" s="17" t="n"/>
      <c r="N280" s="17" t="n"/>
      <c r="O280" s="17" t="n"/>
      <c r="P280" s="17" t="n"/>
      <c r="Q280" s="17" t="n"/>
      <c r="R280" s="17" t="n"/>
      <c r="S280" s="17" t="n"/>
    </row>
    <row r="281">
      <c r="A281" s="15" t="n">
        <v>42921</v>
      </c>
      <c r="B281" s="9" t="n">
        <v>25</v>
      </c>
      <c r="C281" s="10" t="n">
        <v>30</v>
      </c>
      <c r="D281" s="17" t="inlineStr">
        <is>
          <t>Ashland Hill, CA</t>
        </is>
      </c>
      <c r="E281" s="9">
        <f>if($A281&lt;&gt;"",E280+B281,"")</f>
        <v/>
      </c>
      <c r="F281" s="10">
        <f>if($A281&lt;&gt;"",F280+C281,"")</f>
        <v/>
      </c>
      <c r="G281" s="11">
        <f>IF($A281&lt;&gt;"",IF(F281-E281=0,"tie",IF(F281-E281&gt;0,"+"&amp;F281-E281,"+"&amp;E281-F281)),"")</f>
        <v/>
      </c>
      <c r="H281" s="12">
        <f>if($A281&lt;&gt;"",if(B281&gt;C281,if(B281&lt;60,1,2),""),"")</f>
        <v/>
      </c>
      <c r="I281" s="12">
        <f>if($A281&lt;&gt;"",if(C281&gt;B281,if(C281&lt;60,1,2),""),"")</f>
        <v/>
      </c>
      <c r="J281" s="9">
        <f>if($A281&lt;&gt;"",J280+H281,"")</f>
        <v/>
      </c>
      <c r="K281" s="9">
        <f>if($A281&lt;&gt;"",K280+I281,"")</f>
        <v/>
      </c>
      <c r="L281" s="11">
        <f>IF($A281&lt;&gt;"",IF(K281-J281=0,"tie",IF(K281-J281&gt;0,"+"&amp;K281-J281,"+"&amp;J281-K281)),"")</f>
        <v/>
      </c>
      <c r="M281" s="17" t="n"/>
      <c r="N281" s="17" t="n"/>
      <c r="O281" s="17" t="n"/>
      <c r="P281" s="17" t="n"/>
      <c r="Q281" s="17" t="n"/>
      <c r="R281" s="17" t="n"/>
      <c r="S281" s="17" t="n"/>
    </row>
    <row r="282">
      <c r="A282" s="15" t="n">
        <v>42923</v>
      </c>
      <c r="B282" s="9" t="n">
        <v>25</v>
      </c>
      <c r="C282" s="10" t="n">
        <v>30</v>
      </c>
      <c r="D282" s="17" t="inlineStr">
        <is>
          <t>Candle, Venice</t>
        </is>
      </c>
      <c r="E282" s="9">
        <f>if($A282&lt;&gt;"",E281+B282,"")</f>
        <v/>
      </c>
      <c r="F282" s="10">
        <f>if($A282&lt;&gt;"",F281+C282,"")</f>
        <v/>
      </c>
      <c r="G282" s="11">
        <f>IF($A282&lt;&gt;"",IF(F282-E282=0,"tie",IF(F282-E282&gt;0,"+"&amp;F282-E282,"+"&amp;E282-F282)),"")</f>
        <v/>
      </c>
      <c r="H282" s="12">
        <f>if($A282&lt;&gt;"",if(B282&gt;C282,if(B282&lt;60,1,2),""),"")</f>
        <v/>
      </c>
      <c r="I282" s="12">
        <f>if($A282&lt;&gt;"",if(C282&gt;B282,if(C282&lt;60,1,2),""),"")</f>
        <v/>
      </c>
      <c r="J282" s="9">
        <f>if($A282&lt;&gt;"",J281+H282,"")</f>
        <v/>
      </c>
      <c r="K282" s="9">
        <f>if($A282&lt;&gt;"",K281+I282,"")</f>
        <v/>
      </c>
      <c r="L282" s="11">
        <f>IF($A282&lt;&gt;"",IF(K282-J282=0,"tie",IF(K282-J282&gt;0,"+"&amp;K282-J282,"+"&amp;J282-K282)),"")</f>
        <v/>
      </c>
      <c r="M282" s="17" t="n"/>
      <c r="N282" s="17" t="n"/>
      <c r="O282" s="17" t="n"/>
      <c r="P282" s="17" t="n"/>
      <c r="Q282" s="17" t="n"/>
      <c r="R282" s="17" t="n"/>
      <c r="S282" s="17" t="n"/>
    </row>
    <row r="283">
      <c r="A283" s="15" t="n">
        <v>42928</v>
      </c>
      <c r="B283" s="9" t="n">
        <v>25</v>
      </c>
      <c r="C283" s="10" t="n">
        <v>30</v>
      </c>
      <c r="D283" s="17" t="inlineStr">
        <is>
          <t>Cole's, Los Angeles</t>
        </is>
      </c>
      <c r="E283" s="9">
        <f>if($A283&lt;&gt;"",E282+B283,"")</f>
        <v/>
      </c>
      <c r="F283" s="10">
        <f>if($A283&lt;&gt;"",F282+C283,"")</f>
        <v/>
      </c>
      <c r="G283" s="11">
        <f>IF($A283&lt;&gt;"",IF(F283-E283=0,"tie",IF(F283-E283&gt;0,"+"&amp;F283-E283,"+"&amp;E283-F283)),"")</f>
        <v/>
      </c>
      <c r="H283" s="12">
        <f>if($A283&lt;&gt;"",if(B283&gt;C283,if(B283&lt;60,1,2),""),"")</f>
        <v/>
      </c>
      <c r="I283" s="12">
        <f>if($A283&lt;&gt;"",if(C283&gt;B283,if(C283&lt;60,1,2),""),"")</f>
        <v/>
      </c>
      <c r="J283" s="9">
        <f>if($A283&lt;&gt;"",J282+H283,"")</f>
        <v/>
      </c>
      <c r="K283" s="9">
        <f>if($A283&lt;&gt;"",K282+I283,"")</f>
        <v/>
      </c>
      <c r="L283" s="11">
        <f>IF($A283&lt;&gt;"",IF(K283-J283=0,"tie",IF(K283-J283&gt;0,"+"&amp;K283-J283,"+"&amp;J283-K283)),"")</f>
        <v/>
      </c>
      <c r="M283" s="17" t="n"/>
      <c r="N283" s="17" t="n"/>
      <c r="O283" s="17" t="n"/>
      <c r="P283" s="17" t="n"/>
      <c r="Q283" s="17" t="n"/>
      <c r="R283" s="17" t="n"/>
      <c r="S283" s="17" t="n"/>
    </row>
    <row r="284">
      <c r="A284" s="15" t="n">
        <v>42977</v>
      </c>
      <c r="B284" s="9" t="n">
        <v>25</v>
      </c>
      <c r="C284" s="10" t="n">
        <v>30</v>
      </c>
      <c r="D284" s="17" t="inlineStr">
        <is>
          <t>Preston Way</t>
        </is>
      </c>
      <c r="E284" s="9">
        <f>if($A284&lt;&gt;"",E283+B284,"")</f>
        <v/>
      </c>
      <c r="F284" s="10">
        <f>if($A284&lt;&gt;"",F283+C284,"")</f>
        <v/>
      </c>
      <c r="G284" s="11">
        <f>IF($A284&lt;&gt;"",IF(F284-E284=0,"tie",IF(F284-E284&gt;0,"+"&amp;F284-E284,"+"&amp;E284-F284)),"")</f>
        <v/>
      </c>
      <c r="H284" s="12">
        <f>if($A284&lt;&gt;"",if(B284&gt;C284,if(B284&lt;60,1,2),""),"")</f>
        <v/>
      </c>
      <c r="I284" s="12">
        <f>if($A284&lt;&gt;"",if(C284&gt;B284,if(C284&lt;60,1,2),""),"")</f>
        <v/>
      </c>
      <c r="J284" s="9">
        <f>if($A284&lt;&gt;"",J283+H284,"")</f>
        <v/>
      </c>
      <c r="K284" s="9">
        <f>if($A284&lt;&gt;"",K283+I284,"")</f>
        <v/>
      </c>
      <c r="L284" s="11">
        <f>IF($A284&lt;&gt;"",IF(K284-J284=0,"tie",IF(K284-J284&gt;0,"+"&amp;K284-J284,"+"&amp;J284-K284)),"")</f>
        <v/>
      </c>
      <c r="M284" s="17" t="n"/>
      <c r="N284" s="17" t="n"/>
      <c r="O284" s="17" t="n"/>
      <c r="P284" s="17" t="n"/>
      <c r="Q284" s="17" t="n"/>
      <c r="R284" s="17" t="n"/>
      <c r="S284" s="17" t="n"/>
    </row>
    <row r="285">
      <c r="A285" s="15" t="n">
        <v>42979</v>
      </c>
      <c r="B285" s="10" t="n">
        <v>30</v>
      </c>
      <c r="C285" s="9" t="n">
        <v>25</v>
      </c>
      <c r="D285" s="17" t="inlineStr">
        <is>
          <t>Preston Way</t>
        </is>
      </c>
      <c r="E285" s="9">
        <f>if($A285&lt;&gt;"",E284+B285,"")</f>
        <v/>
      </c>
      <c r="F285" s="10">
        <f>if($A285&lt;&gt;"",F284+C285,"")</f>
        <v/>
      </c>
      <c r="G285" s="11">
        <f>IF($A285&lt;&gt;"",IF(F285-E285=0,"tie",IF(F285-E285&gt;0,"+"&amp;F285-E285,"+"&amp;E285-F285)),"")</f>
        <v/>
      </c>
      <c r="H285" s="12">
        <f>if($A285&lt;&gt;"",if(B285&gt;C285,if(B285&lt;60,1,2),""),"")</f>
        <v/>
      </c>
      <c r="I285" s="12">
        <f>if($A285&lt;&gt;"",if(C285&gt;B285,if(C285&lt;60,1,2),""),"")</f>
        <v/>
      </c>
      <c r="J285" s="9">
        <f>if($A285&lt;&gt;"",J284+H285,"")</f>
        <v/>
      </c>
      <c r="K285" s="9">
        <f>if($A285&lt;&gt;"",K284+I285,"")</f>
        <v/>
      </c>
      <c r="L285" s="11">
        <f>IF($A285&lt;&gt;"",IF(K285-J285=0,"tie",IF(K285-J285&gt;0,"+"&amp;K285-J285,"+"&amp;J285-K285)),"")</f>
        <v/>
      </c>
      <c r="M285" s="17" t="n"/>
      <c r="N285" s="17" t="n"/>
      <c r="O285" s="17" t="n"/>
      <c r="P285" s="17" t="n"/>
      <c r="Q285" s="17" t="n"/>
      <c r="R285" s="17" t="n"/>
      <c r="S285" s="17" t="n"/>
    </row>
    <row r="286">
      <c r="A286" s="15" t="n">
        <v>42981</v>
      </c>
      <c r="B286" s="9" t="n">
        <v>25</v>
      </c>
      <c r="C286" s="10" t="n">
        <v>30</v>
      </c>
      <c r="D286" s="17" t="inlineStr">
        <is>
          <t>Madonna Inn, San Luis Obisbo, CA</t>
        </is>
      </c>
      <c r="E286" s="9">
        <f>if($A286&lt;&gt;"",E285+B286,"")</f>
        <v/>
      </c>
      <c r="F286" s="10">
        <f>if($A286&lt;&gt;"",F285+C286,"")</f>
        <v/>
      </c>
      <c r="G286" s="11">
        <f>IF($A286&lt;&gt;"",IF(F286-E286=0,"tie",IF(F286-E286&gt;0,"+"&amp;F286-E286,"+"&amp;E286-F286)),"")</f>
        <v/>
      </c>
      <c r="H286" s="12">
        <f>if($A286&lt;&gt;"",if(B286&gt;C286,if(B286&lt;60,1,2),""),"")</f>
        <v/>
      </c>
      <c r="I286" s="12">
        <f>if($A286&lt;&gt;"",if(C286&gt;B286,if(C286&lt;60,1,2),""),"")</f>
        <v/>
      </c>
      <c r="J286" s="9">
        <f>if($A286&lt;&gt;"",J285+H286,"")</f>
        <v/>
      </c>
      <c r="K286" s="9">
        <f>if($A286&lt;&gt;"",K285+I286,"")</f>
        <v/>
      </c>
      <c r="L286" s="11">
        <f>IF($A286&lt;&gt;"",IF(K286-J286=0,"tie",IF(K286-J286&gt;0,"+"&amp;K286-J286,"+"&amp;J286-K286)),"")</f>
        <v/>
      </c>
      <c r="M286" s="17" t="n"/>
      <c r="N286" s="17" t="n"/>
      <c r="O286" s="17" t="n"/>
      <c r="P286" s="17" t="n"/>
      <c r="Q286" s="17" t="n"/>
      <c r="R286" s="17" t="n"/>
      <c r="S286" s="17" t="n"/>
    </row>
    <row r="287">
      <c r="A287" s="15" t="n">
        <v>42982</v>
      </c>
      <c r="B287" s="10" t="n">
        <v>30</v>
      </c>
      <c r="C287" s="9" t="n">
        <v>25</v>
      </c>
      <c r="D287" s="17" t="inlineStr">
        <is>
          <t>Superba Bread &amp; Food, Venice</t>
        </is>
      </c>
      <c r="E287" s="9">
        <f>if($A287&lt;&gt;"",E286+B287,"")</f>
        <v/>
      </c>
      <c r="F287" s="10">
        <f>if($A287&lt;&gt;"",F286+C287,"")</f>
        <v/>
      </c>
      <c r="G287" s="11">
        <f>IF($A287&lt;&gt;"",IF(F287-E287=0,"tie",IF(F287-E287&gt;0,"+"&amp;F287-E287,"+"&amp;E287-F287)),"")</f>
        <v/>
      </c>
      <c r="H287" s="12">
        <f>if($A287&lt;&gt;"",if(B287&gt;C287,if(B287&lt;60,1,2),""),"")</f>
        <v/>
      </c>
      <c r="I287" s="12">
        <f>if($A287&lt;&gt;"",if(C287&gt;B287,if(C287&lt;60,1,2),""),"")</f>
        <v/>
      </c>
      <c r="J287" s="9">
        <f>if($A287&lt;&gt;"",J286+H287,"")</f>
        <v/>
      </c>
      <c r="K287" s="9">
        <f>if($A287&lt;&gt;"",K286+I287,"")</f>
        <v/>
      </c>
      <c r="L287" s="11">
        <f>IF($A287&lt;&gt;"",IF(K287-J287=0,"tie",IF(K287-J287&gt;0,"+"&amp;K287-J287,"+"&amp;J287-K287)),"")</f>
        <v/>
      </c>
      <c r="M287" s="17" t="n"/>
      <c r="N287" s="17" t="n"/>
      <c r="O287" s="17" t="n"/>
      <c r="P287" s="17" t="n"/>
      <c r="Q287" s="17" t="n"/>
      <c r="R287" s="17" t="n"/>
      <c r="S287" s="17" t="n"/>
    </row>
    <row r="288">
      <c r="A288" s="15" t="n">
        <v>42987</v>
      </c>
      <c r="B288" s="10" t="n">
        <v>30</v>
      </c>
      <c r="C288" s="9" t="n">
        <v>25</v>
      </c>
      <c r="D288" s="17" t="inlineStr">
        <is>
          <t>Superba Bread &amp; Food, Venice</t>
        </is>
      </c>
      <c r="E288" s="9">
        <f>if($A288&lt;&gt;"",E287+B288,"")</f>
        <v/>
      </c>
      <c r="F288" s="10">
        <f>if($A288&lt;&gt;"",F287+C288,"")</f>
        <v/>
      </c>
      <c r="G288" s="11">
        <f>IF($A288&lt;&gt;"",IF(F288-E288=0,"tie",IF(F288-E288&gt;0,"+"&amp;F288-E288,"+"&amp;E288-F288)),"")</f>
        <v/>
      </c>
      <c r="H288" s="12">
        <f>if($A288&lt;&gt;"",if(B288&gt;C288,if(B288&lt;60,1,2),""),"")</f>
        <v/>
      </c>
      <c r="I288" s="12">
        <f>if($A288&lt;&gt;"",if(C288&gt;B288,if(C288&lt;60,1,2),""),"")</f>
        <v/>
      </c>
      <c r="J288" s="9">
        <f>if($A288&lt;&gt;"",J287+H288,"")</f>
        <v/>
      </c>
      <c r="K288" s="9">
        <f>if($A288&lt;&gt;"",K287+I288,"")</f>
        <v/>
      </c>
      <c r="L288" s="11">
        <f>IF($A288&lt;&gt;"",IF(K288-J288=0,"tie",IF(K288-J288&gt;0,"+"&amp;K288-J288,"+"&amp;J288-K288)),"")</f>
        <v/>
      </c>
      <c r="M288" s="17" t="n"/>
      <c r="N288" s="17" t="n"/>
      <c r="O288" s="17" t="n"/>
      <c r="P288" s="17" t="n"/>
      <c r="Q288" s="17" t="n"/>
      <c r="R288" s="17" t="n"/>
      <c r="S288" s="17" t="n"/>
    </row>
    <row r="289">
      <c r="A289" s="15" t="n">
        <v>42992</v>
      </c>
      <c r="B289" s="16" t="n">
        <v>30</v>
      </c>
      <c r="C289" s="16" t="n">
        <v>30</v>
      </c>
      <c r="D289" s="17" t="inlineStr">
        <is>
          <t>George's Burgers, Santa Monica</t>
        </is>
      </c>
      <c r="E289" s="9">
        <f>if($A289&lt;&gt;"",E288+B289,"")</f>
        <v/>
      </c>
      <c r="F289" s="10">
        <f>if($A289&lt;&gt;"",F288+C289,"")</f>
        <v/>
      </c>
      <c r="G289" s="11">
        <f>IF($A289&lt;&gt;"",IF(F289-E289=0,"tie",IF(F289-E289&gt;0,"+"&amp;F289-E289,"+"&amp;E289-F289)),"")</f>
        <v/>
      </c>
      <c r="H289" s="12">
        <f>if($A289&lt;&gt;"",if(B289&gt;C289,if(B289&lt;60,1,2),""),"")</f>
        <v/>
      </c>
      <c r="I289" s="12">
        <f>if($A289&lt;&gt;"",if(C289&gt;B289,if(C289&lt;60,1,2),""),"")</f>
        <v/>
      </c>
      <c r="J289" s="9">
        <f>if($A289&lt;&gt;"",J288+H289,"")</f>
        <v/>
      </c>
      <c r="K289" s="9">
        <f>if($A289&lt;&gt;"",K288+I289,"")</f>
        <v/>
      </c>
      <c r="L289" s="11">
        <f>IF($A289&lt;&gt;"",IF(K289-J289=0,"tie",IF(K289-J289&gt;0,"+"&amp;K289-J289,"+"&amp;J289-K289)),"")</f>
        <v/>
      </c>
      <c r="M289" s="17" t="n"/>
      <c r="N289" s="17" t="n"/>
      <c r="O289" s="17" t="n"/>
      <c r="P289" s="17" t="n"/>
      <c r="Q289" s="17" t="n"/>
      <c r="R289" s="17" t="n"/>
      <c r="S289" s="17" t="n"/>
    </row>
    <row r="290">
      <c r="A290" s="15" t="n">
        <v>42993</v>
      </c>
      <c r="B290" s="9" t="n">
        <v>25</v>
      </c>
      <c r="C290" s="10" t="n">
        <v>30</v>
      </c>
      <c r="D290" s="17" t="inlineStr">
        <is>
          <t>Cracked Egg Cafe, Kernville, CA</t>
        </is>
      </c>
      <c r="E290" s="9">
        <f>if($A290&lt;&gt;"",E289+B290,"")</f>
        <v/>
      </c>
      <c r="F290" s="10">
        <f>if($A290&lt;&gt;"",F289+C290,"")</f>
        <v/>
      </c>
      <c r="G290" s="11">
        <f>IF($A290&lt;&gt;"",IF(F290-E290=0,"tie",IF(F290-E290&gt;0,"+"&amp;F290-E290,"+"&amp;E290-F290)),"")</f>
        <v/>
      </c>
      <c r="H290" s="12">
        <f>if($A290&lt;&gt;"",if(B290&gt;C290,if(B290&lt;60,1,2),""),"")</f>
        <v/>
      </c>
      <c r="I290" s="12">
        <f>if($A290&lt;&gt;"",if(C290&gt;B290,if(C290&lt;60,1,2),""),"")</f>
        <v/>
      </c>
      <c r="J290" s="9">
        <f>if($A290&lt;&gt;"",J289+H290,"")</f>
        <v/>
      </c>
      <c r="K290" s="9">
        <f>if($A290&lt;&gt;"",K289+I290,"")</f>
        <v/>
      </c>
      <c r="L290" s="11">
        <f>IF($A290&lt;&gt;"",IF(K290-J290=0,"tie",IF(K290-J290&gt;0,"+"&amp;K290-J290,"+"&amp;J290-K290)),"")</f>
        <v/>
      </c>
      <c r="M290" s="17" t="n"/>
      <c r="N290" s="17" t="n"/>
      <c r="O290" s="17" t="n"/>
      <c r="P290" s="17" t="n"/>
      <c r="Q290" s="17" t="n"/>
      <c r="R290" s="17" t="n"/>
      <c r="S290" s="17" t="n"/>
    </row>
    <row r="291">
      <c r="A291" s="15" t="n">
        <v>42994</v>
      </c>
      <c r="B291" s="10" t="n">
        <v>30</v>
      </c>
      <c r="C291" s="9" t="n">
        <v>25</v>
      </c>
      <c r="D291" s="17" t="inlineStr">
        <is>
          <t>Ewings, Kernville, CA</t>
        </is>
      </c>
      <c r="E291" s="9">
        <f>if($A291&lt;&gt;"",E290+B291,"")</f>
        <v/>
      </c>
      <c r="F291" s="10">
        <f>if($A291&lt;&gt;"",F290+C291,"")</f>
        <v/>
      </c>
      <c r="G291" s="11">
        <f>IF($A291&lt;&gt;"",IF(F291-E291=0,"tie",IF(F291-E291&gt;0,"+"&amp;F291-E291,"+"&amp;E291-F291)),"")</f>
        <v/>
      </c>
      <c r="H291" s="12">
        <f>if($A291&lt;&gt;"",if(B291&gt;C291,if(B291&lt;60,1,2),""),"")</f>
        <v/>
      </c>
      <c r="I291" s="12">
        <f>if($A291&lt;&gt;"",if(C291&gt;B291,if(C291&lt;60,1,2),""),"")</f>
        <v/>
      </c>
      <c r="J291" s="9">
        <f>if($A291&lt;&gt;"",J290+H291,"")</f>
        <v/>
      </c>
      <c r="K291" s="9">
        <f>if($A291&lt;&gt;"",K290+I291,"")</f>
        <v/>
      </c>
      <c r="L291" s="11">
        <f>IF($A291&lt;&gt;"",IF(K291-J291=0,"tie",IF(K291-J291&gt;0,"+"&amp;K291-J291,"+"&amp;J291-K291)),"")</f>
        <v/>
      </c>
      <c r="M291" s="17" t="n"/>
      <c r="N291" s="17" t="n"/>
      <c r="O291" s="17" t="n"/>
      <c r="P291" s="17" t="n"/>
      <c r="Q291" s="17" t="n"/>
      <c r="R291" s="17" t="n"/>
      <c r="S291" s="17" t="n"/>
    </row>
    <row r="292">
      <c r="A292" s="15" t="n">
        <v>42994</v>
      </c>
      <c r="B292" s="10" t="n">
        <v>30</v>
      </c>
      <c r="C292" s="9" t="n">
        <v>25</v>
      </c>
      <c r="D292" s="17" t="inlineStr">
        <is>
          <t>Kernville Saloon, Kernville, CA</t>
        </is>
      </c>
      <c r="E292" s="9">
        <f>if($A292&lt;&gt;"",E291+B292,"")</f>
        <v/>
      </c>
      <c r="F292" s="10">
        <f>if($A292&lt;&gt;"",F291+C292,"")</f>
        <v/>
      </c>
      <c r="G292" s="11">
        <f>IF($A292&lt;&gt;"",IF(F292-E292=0,"tie",IF(F292-E292&gt;0,"+"&amp;F292-E292,"+"&amp;E292-F292)),"")</f>
        <v/>
      </c>
      <c r="H292" s="12">
        <f>if($A292&lt;&gt;"",if(B292&gt;C292,if(B292&lt;60,1,2),""),"")</f>
        <v/>
      </c>
      <c r="I292" s="12">
        <f>if($A292&lt;&gt;"",if(C292&gt;B292,if(C292&lt;60,1,2),""),"")</f>
        <v/>
      </c>
      <c r="J292" s="9">
        <f>if($A292&lt;&gt;"",J291+H292,"")</f>
        <v/>
      </c>
      <c r="K292" s="9">
        <f>if($A292&lt;&gt;"",K291+I292,"")</f>
        <v/>
      </c>
      <c r="L292" s="11">
        <f>IF($A292&lt;&gt;"",IF(K292-J292=0,"tie",IF(K292-J292&gt;0,"+"&amp;K292-J292,"+"&amp;J292-K292)),"")</f>
        <v/>
      </c>
      <c r="M292" s="17" t="n"/>
      <c r="N292" s="17" t="n"/>
      <c r="O292" s="17" t="n"/>
      <c r="P292" s="17" t="n"/>
      <c r="Q292" s="17" t="n"/>
      <c r="R292" s="17" t="n"/>
      <c r="S292" s="17" t="n"/>
    </row>
    <row r="293">
      <c r="A293" s="15" t="n">
        <v>42994</v>
      </c>
      <c r="B293" s="9" t="n">
        <v>25</v>
      </c>
      <c r="C293" s="10" t="n">
        <v>30</v>
      </c>
      <c r="D293" s="17" t="inlineStr">
        <is>
          <t>Kern River Brewing Co, Kernville, CA - Home of Isabella Blond</t>
        </is>
      </c>
      <c r="E293" s="9">
        <f>if($A293&lt;&gt;"",E292+B293,"")</f>
        <v/>
      </c>
      <c r="F293" s="10">
        <f>if($A293&lt;&gt;"",F292+C293,"")</f>
        <v/>
      </c>
      <c r="G293" s="11">
        <f>IF($A293&lt;&gt;"",IF(F293-E293=0,"tie",IF(F293-E293&gt;0,"+"&amp;F293-E293,"+"&amp;E293-F293)),"")</f>
        <v/>
      </c>
      <c r="H293" s="12">
        <f>if($A293&lt;&gt;"",if(B293&gt;C293,if(B293&lt;60,1,2),""),"")</f>
        <v/>
      </c>
      <c r="I293" s="12">
        <f>if($A293&lt;&gt;"",if(C293&gt;B293,if(C293&lt;60,1,2),""),"")</f>
        <v/>
      </c>
      <c r="J293" s="9">
        <f>if($A293&lt;&gt;"",J292+H293,"")</f>
        <v/>
      </c>
      <c r="K293" s="9">
        <f>if($A293&lt;&gt;"",K292+I293,"")</f>
        <v/>
      </c>
      <c r="L293" s="11">
        <f>IF($A293&lt;&gt;"",IF(K293-J293=0,"tie",IF(K293-J293&gt;0,"+"&amp;K293-J293,"+"&amp;J293-K293)),"")</f>
        <v/>
      </c>
      <c r="M293" s="17" t="n"/>
      <c r="N293" s="17" t="n"/>
      <c r="O293" s="17" t="n"/>
      <c r="P293" s="17" t="n"/>
      <c r="Q293" s="17" t="n"/>
      <c r="R293" s="17" t="n"/>
      <c r="S293" s="17" t="n"/>
    </row>
    <row r="294">
      <c r="A294" s="15" t="n">
        <v>43025</v>
      </c>
      <c r="B294" s="10" t="n">
        <v>30</v>
      </c>
      <c r="C294" s="9" t="n">
        <v>25</v>
      </c>
      <c r="D294" s="17" t="inlineStr">
        <is>
          <t>Jinya, Santa Monica, CA</t>
        </is>
      </c>
      <c r="E294" s="9">
        <f>if($A294&lt;&gt;"",E293+B294,"")</f>
        <v/>
      </c>
      <c r="F294" s="10">
        <f>if($A294&lt;&gt;"",F293+C294,"")</f>
        <v/>
      </c>
      <c r="G294" s="11">
        <f>IF($A294&lt;&gt;"",IF(F294-E294=0,"tie",IF(F294-E294&gt;0,"+"&amp;F294-E294,"+"&amp;E294-F294)),"")</f>
        <v/>
      </c>
      <c r="H294" s="12">
        <f>if($A294&lt;&gt;"",if(B294&gt;C294,if(B294&lt;60,1,2),""),"")</f>
        <v/>
      </c>
      <c r="I294" s="12">
        <f>if($A294&lt;&gt;"",if(C294&gt;B294,if(C294&lt;60,1,2),""),"")</f>
        <v/>
      </c>
      <c r="J294" s="9">
        <f>if($A294&lt;&gt;"",J293+H294,"")</f>
        <v/>
      </c>
      <c r="K294" s="9">
        <f>if($A294&lt;&gt;"",K293+I294,"")</f>
        <v/>
      </c>
      <c r="L294" s="11">
        <f>IF($A294&lt;&gt;"",IF(K294-J294=0,"tie",IF(K294-J294&gt;0,"+"&amp;K294-J294,"+"&amp;J294-K294)),"")</f>
        <v/>
      </c>
      <c r="M294" s="17" t="n"/>
      <c r="N294" s="17" t="n"/>
      <c r="O294" s="17" t="n"/>
      <c r="P294" s="17" t="n"/>
      <c r="Q294" s="17" t="n"/>
      <c r="R294" s="17" t="n"/>
      <c r="S294" s="17" t="n"/>
    </row>
    <row r="295">
      <c r="A295" s="15" t="n">
        <v>43035</v>
      </c>
      <c r="B295" s="10" t="n">
        <v>30</v>
      </c>
      <c r="C295" s="9" t="n">
        <v>25</v>
      </c>
      <c r="D295" s="17" t="inlineStr">
        <is>
          <t>Perry’s, Santa Monica</t>
        </is>
      </c>
      <c r="E295" s="9">
        <f>if($A295&lt;&gt;"",E294+B295,"")</f>
        <v/>
      </c>
      <c r="F295" s="10">
        <f>if($A295&lt;&gt;"",F294+C295,"")</f>
        <v/>
      </c>
      <c r="G295" s="11">
        <f>IF($A295&lt;&gt;"",IF(F295-E295=0,"tie",IF(F295-E295&gt;0,"+"&amp;F295-E295,"+"&amp;E295-F295)),"")</f>
        <v/>
      </c>
      <c r="H295" s="12">
        <f>if($A295&lt;&gt;"",if(B295&gt;C295,if(B295&lt;60,1,2),""),"")</f>
        <v/>
      </c>
      <c r="I295" s="12">
        <f>if($A295&lt;&gt;"",if(C295&gt;B295,if(C295&lt;60,1,2),""),"")</f>
        <v/>
      </c>
      <c r="J295" s="9">
        <f>if($A295&lt;&gt;"",J294+H295,"")</f>
        <v/>
      </c>
      <c r="K295" s="9">
        <f>if($A295&lt;&gt;"",K294+I295,"")</f>
        <v/>
      </c>
      <c r="L295" s="11">
        <f>IF($A295&lt;&gt;"",IF(K295-J295=0,"tie",IF(K295-J295&gt;0,"+"&amp;K295-J295,"+"&amp;J295-K295)),"")</f>
        <v/>
      </c>
      <c r="M295" s="17" t="n"/>
      <c r="N295" s="17" t="n"/>
      <c r="O295" s="17" t="n"/>
      <c r="P295" s="17" t="n"/>
      <c r="Q295" s="17" t="n"/>
      <c r="R295" s="17" t="n"/>
      <c r="S295" s="17" t="n"/>
    </row>
    <row r="296">
      <c r="A296" s="15" t="n">
        <v>43042</v>
      </c>
      <c r="B296" s="10" t="n">
        <v>30</v>
      </c>
      <c r="C296" s="9" t="n">
        <v>25</v>
      </c>
      <c r="D296" s="17" t="inlineStr">
        <is>
          <t>Preston Way</t>
        </is>
      </c>
      <c r="E296" s="9">
        <f>if($A296&lt;&gt;"",E295+B296,"")</f>
        <v/>
      </c>
      <c r="F296" s="10">
        <f>if($A296&lt;&gt;"",F295+C296,"")</f>
        <v/>
      </c>
      <c r="G296" s="11">
        <f>IF($A296&lt;&gt;"",IF(F296-E296=0,"tie",IF(F296-E296&gt;0,"+"&amp;F296-E296,"+"&amp;E296-F296)),"")</f>
        <v/>
      </c>
      <c r="H296" s="12">
        <f>if($A296&lt;&gt;"",if(B296&gt;C296,if(B296&lt;60,1,2),""),"")</f>
        <v/>
      </c>
      <c r="I296" s="12">
        <f>if($A296&lt;&gt;"",if(C296&gt;B296,if(C296&lt;60,1,2),""),"")</f>
        <v/>
      </c>
      <c r="J296" s="9">
        <f>if($A296&lt;&gt;"",J295+H296,"")</f>
        <v/>
      </c>
      <c r="K296" s="9">
        <f>if($A296&lt;&gt;"",K295+I296,"")</f>
        <v/>
      </c>
      <c r="L296" s="11">
        <f>IF($A296&lt;&gt;"",IF(K296-J296=0,"tie",IF(K296-J296&gt;0,"+"&amp;K296-J296,"+"&amp;J296-K296)),"")</f>
        <v/>
      </c>
      <c r="M296" s="17" t="n"/>
      <c r="N296" s="17" t="n"/>
      <c r="O296" s="17" t="n"/>
      <c r="P296" s="17" t="n"/>
      <c r="Q296" s="17" t="n"/>
      <c r="R296" s="17" t="n"/>
      <c r="S296" s="17" t="n"/>
    </row>
    <row r="297">
      <c r="A297" s="15" t="n">
        <v>43060</v>
      </c>
      <c r="B297" s="10" t="n">
        <v>30</v>
      </c>
      <c r="C297" s="9" t="n">
        <v>25</v>
      </c>
      <c r="D297" s="17" t="inlineStr">
        <is>
          <t>On The Beach RV Park, Port Aransas, TX</t>
        </is>
      </c>
      <c r="E297" s="9">
        <f>if($A297&lt;&gt;"",E296+B297,"")</f>
        <v/>
      </c>
      <c r="F297" s="10">
        <f>if($A297&lt;&gt;"",F296+C297,"")</f>
        <v/>
      </c>
      <c r="G297" s="11">
        <f>IF($A297&lt;&gt;"",IF(F297-E297=0,"tie",IF(F297-E297&gt;0,"+"&amp;F297-E297,"+"&amp;E297-F297)),"")</f>
        <v/>
      </c>
      <c r="H297" s="12">
        <f>if($A297&lt;&gt;"",if(B297&gt;C297,if(B297&lt;60,1,2),""),"")</f>
        <v/>
      </c>
      <c r="I297" s="12">
        <f>if($A297&lt;&gt;"",if(C297&gt;B297,if(C297&lt;60,1,2),""),"")</f>
        <v/>
      </c>
      <c r="J297" s="9">
        <f>if($A297&lt;&gt;"",J296+H297,"")</f>
        <v/>
      </c>
      <c r="K297" s="9">
        <f>if($A297&lt;&gt;"",K296+I297,"")</f>
        <v/>
      </c>
      <c r="L297" s="11">
        <f>IF($A297&lt;&gt;"",IF(K297-J297=0,"tie",IF(K297-J297&gt;0,"+"&amp;K297-J297,"+"&amp;J297-K297)),"")</f>
        <v/>
      </c>
      <c r="M297" s="17" t="n"/>
      <c r="N297" s="17" t="n"/>
      <c r="O297" s="17" t="n"/>
      <c r="P297" s="17" t="n"/>
      <c r="Q297" s="17" t="n"/>
      <c r="R297" s="17" t="n"/>
      <c r="S297" s="17" t="n"/>
    </row>
    <row r="298">
      <c r="A298" s="15" t="n">
        <v>43063</v>
      </c>
      <c r="B298" s="10" t="n">
        <v>30</v>
      </c>
      <c r="C298" s="9" t="n">
        <v>25</v>
      </c>
      <c r="D298" s="17" t="inlineStr">
        <is>
          <t>Rio Grande River, Las Cruces, NM</t>
        </is>
      </c>
      <c r="E298" s="9">
        <f>if($A298&lt;&gt;"",E297+B298,"")</f>
        <v/>
      </c>
      <c r="F298" s="10">
        <f>if($A298&lt;&gt;"",F297+C298,"")</f>
        <v/>
      </c>
      <c r="G298" s="11">
        <f>IF($A298&lt;&gt;"",IF(F298-E298=0,"tie",IF(F298-E298&gt;0,"+"&amp;F298-E298,"+"&amp;E298-F298)),"")</f>
        <v/>
      </c>
      <c r="H298" s="12">
        <f>if($A298&lt;&gt;"",if(B298&gt;C298,if(B298&lt;60,1,2),""),"")</f>
        <v/>
      </c>
      <c r="I298" s="12">
        <f>if($A298&lt;&gt;"",if(C298&gt;B298,if(C298&lt;60,1,2),""),"")</f>
        <v/>
      </c>
      <c r="J298" s="9">
        <f>if($A298&lt;&gt;"",J297+H298,"")</f>
        <v/>
      </c>
      <c r="K298" s="9">
        <f>if($A298&lt;&gt;"",K297+I298,"")</f>
        <v/>
      </c>
      <c r="L298" s="11">
        <f>IF($A298&lt;&gt;"",IF(K298-J298=0,"tie",IF(K298-J298&gt;0,"+"&amp;K298-J298,"+"&amp;J298-K298)),"")</f>
        <v/>
      </c>
      <c r="M298" s="17" t="n"/>
      <c r="N298" s="17" t="n"/>
      <c r="O298" s="17" t="n"/>
      <c r="P298" s="17" t="n"/>
      <c r="Q298" s="17" t="n"/>
      <c r="R298" s="17" t="n"/>
      <c r="S298" s="17" t="n"/>
    </row>
    <row r="299">
      <c r="A299" s="15" t="n">
        <v>43064</v>
      </c>
      <c r="B299" s="9" t="n">
        <v>25</v>
      </c>
      <c r="C299" s="10" t="n">
        <v>30</v>
      </c>
      <c r="D299" s="17" t="inlineStr">
        <is>
          <t>General Store and Cafe, Hillsburo, CA</t>
        </is>
      </c>
      <c r="E299" s="9">
        <f>if($A299&lt;&gt;"",E298+B299,"")</f>
        <v/>
      </c>
      <c r="F299" s="10">
        <f>if($A299&lt;&gt;"",F298+C299,"")</f>
        <v/>
      </c>
      <c r="G299" s="11">
        <f>IF($A299&lt;&gt;"",IF(F299-E299=0,"tie",IF(F299-E299&gt;0,"+"&amp;F299-E299,"+"&amp;E299-F299)),"")</f>
        <v/>
      </c>
      <c r="H299" s="12">
        <f>if($A299&lt;&gt;"",if(B299&gt;C299,if(B299&lt;60,1,2),""),"")</f>
        <v/>
      </c>
      <c r="I299" s="12">
        <f>if($A299&lt;&gt;"",if(C299&gt;B299,if(C299&lt;60,1,2),""),"")</f>
        <v/>
      </c>
      <c r="J299" s="9">
        <f>if($A299&lt;&gt;"",J298+H299,"")</f>
        <v/>
      </c>
      <c r="K299" s="9">
        <f>if($A299&lt;&gt;"",K298+I299,"")</f>
        <v/>
      </c>
      <c r="L299" s="11">
        <f>IF($A299&lt;&gt;"",IF(K299-J299=0,"tie",IF(K299-J299&gt;0,"+"&amp;K299-J299,"+"&amp;J299-K299)),"")</f>
        <v/>
      </c>
      <c r="M299" s="17" t="n"/>
      <c r="N299" s="17" t="n"/>
      <c r="O299" s="17" t="n"/>
      <c r="P299" s="17" t="n"/>
      <c r="Q299" s="17" t="n"/>
      <c r="R299" s="17" t="n"/>
      <c r="S299" s="17" t="n"/>
    </row>
    <row r="300">
      <c r="A300" s="15" t="n">
        <v>43065</v>
      </c>
      <c r="B300" s="9" t="n">
        <v>25</v>
      </c>
      <c r="C300" s="10" t="n">
        <v>30</v>
      </c>
      <c r="D300" s="17" t="inlineStr">
        <is>
          <t>Bob’s Big Boy, Calimesa, CA</t>
        </is>
      </c>
      <c r="E300" s="9">
        <f>if($A300&lt;&gt;"",E299+B300,"")</f>
        <v/>
      </c>
      <c r="F300" s="10">
        <f>if($A300&lt;&gt;"",F299+C300,"")</f>
        <v/>
      </c>
      <c r="G300" s="11">
        <f>IF($A300&lt;&gt;"",IF(F300-E300=0,"tie",IF(F300-E300&gt;0,"+"&amp;F300-E300,"+"&amp;E300-F300)),"")</f>
        <v/>
      </c>
      <c r="H300" s="12">
        <f>if($A300&lt;&gt;"",if(B300&gt;C300,if(B300&lt;60,1,2),""),"")</f>
        <v/>
      </c>
      <c r="I300" s="12">
        <f>if($A300&lt;&gt;"",if(C300&gt;B300,if(C300&lt;60,1,2),""),"")</f>
        <v/>
      </c>
      <c r="J300" s="9">
        <f>if($A300&lt;&gt;"",J299+H300,"")</f>
        <v/>
      </c>
      <c r="K300" s="9">
        <f>if($A300&lt;&gt;"",K299+I300,"")</f>
        <v/>
      </c>
      <c r="L300" s="11">
        <f>IF($A300&lt;&gt;"",IF(K300-J300=0,"tie",IF(K300-J300&gt;0,"+"&amp;K300-J300,"+"&amp;J300-K300)),"")</f>
        <v/>
      </c>
      <c r="M300" s="17" t="n"/>
      <c r="N300" s="17" t="n"/>
      <c r="O300" s="17" t="n"/>
      <c r="P300" s="17" t="n"/>
      <c r="Q300" s="17" t="n"/>
      <c r="R300" s="17" t="n"/>
      <c r="S300" s="17" t="n"/>
    </row>
    <row r="301">
      <c r="A301" s="15" t="n">
        <v>43067</v>
      </c>
      <c r="B301" s="9" t="n">
        <v>25</v>
      </c>
      <c r="C301" s="10" t="n">
        <v>30</v>
      </c>
      <c r="D301" s="17" t="inlineStr">
        <is>
          <t>Preston Way</t>
        </is>
      </c>
      <c r="E301" s="9">
        <f>if($A301&lt;&gt;"",E300+B301,"")</f>
        <v/>
      </c>
      <c r="F301" s="10">
        <f>if($A301&lt;&gt;"",F300+C301,"")</f>
        <v/>
      </c>
      <c r="G301" s="11">
        <f>IF($A301&lt;&gt;"",IF(F301-E301=0,"tie",IF(F301-E301&gt;0,"+"&amp;F301-E301,"+"&amp;E301-F301)),"")</f>
        <v/>
      </c>
      <c r="H301" s="12">
        <f>if($A301&lt;&gt;"",if(B301&gt;C301,if(B301&lt;60,1,2),""),"")</f>
        <v/>
      </c>
      <c r="I301" s="12">
        <f>if($A301&lt;&gt;"",if(C301&gt;B301,if(C301&lt;60,1,2),""),"")</f>
        <v/>
      </c>
      <c r="J301" s="9">
        <f>if($A301&lt;&gt;"",J300+H301,"")</f>
        <v/>
      </c>
      <c r="K301" s="9">
        <f>if($A301&lt;&gt;"",K300+I301,"")</f>
        <v/>
      </c>
      <c r="L301" s="11">
        <f>IF($A301&lt;&gt;"",IF(K301-J301=0,"tie",IF(K301-J301&gt;0,"+"&amp;K301-J301,"+"&amp;J301-K301)),"")</f>
        <v/>
      </c>
      <c r="M301" s="17" t="n"/>
      <c r="N301" s="17" t="n"/>
      <c r="O301" s="17" t="n"/>
      <c r="P301" s="17" t="n"/>
      <c r="Q301" s="17" t="n"/>
      <c r="R301" s="17" t="n"/>
      <c r="S301" s="17" t="n"/>
    </row>
    <row r="302">
      <c r="A302" s="15" t="n">
        <v>43077</v>
      </c>
      <c r="B302" s="10" t="n">
        <v>30</v>
      </c>
      <c r="C302" s="9" t="n">
        <v>25</v>
      </c>
      <c r="D302" s="17" t="inlineStr">
        <is>
          <t>Novel Cafe, Santa Monica</t>
        </is>
      </c>
      <c r="E302" s="9">
        <f>if($A302&lt;&gt;"",E301+B302,"")</f>
        <v/>
      </c>
      <c r="F302" s="10">
        <f>if($A302&lt;&gt;"",F301+C302,"")</f>
        <v/>
      </c>
      <c r="G302" s="11">
        <f>IF($A302&lt;&gt;"",IF(F302-E302=0,"tie",IF(F302-E302&gt;0,"+"&amp;F302-E302,"+"&amp;E302-F302)),"")</f>
        <v/>
      </c>
      <c r="H302" s="12">
        <f>if($A302&lt;&gt;"",if(B302&gt;C302,if(B302&lt;60,1,2),""),"")</f>
        <v/>
      </c>
      <c r="I302" s="12">
        <f>if($A302&lt;&gt;"",if(C302&gt;B302,if(C302&lt;60,1,2),""),"")</f>
        <v/>
      </c>
      <c r="J302" s="9">
        <f>if($A302&lt;&gt;"",J301+H302,"")</f>
        <v/>
      </c>
      <c r="K302" s="9">
        <f>if($A302&lt;&gt;"",K301+I302,"")</f>
        <v/>
      </c>
      <c r="L302" s="11">
        <f>IF($A302&lt;&gt;"",IF(K302-J302=0,"tie",IF(K302-J302&gt;0,"+"&amp;K302-J302,"+"&amp;J302-K302)),"")</f>
        <v/>
      </c>
      <c r="M302" s="17" t="n"/>
      <c r="N302" s="17" t="n"/>
      <c r="O302" s="17" t="n"/>
      <c r="P302" s="17" t="n"/>
      <c r="Q302" s="17" t="n"/>
      <c r="R302" s="17" t="n"/>
      <c r="S302" s="17" t="n"/>
    </row>
    <row r="303">
      <c r="A303" s="15" t="n">
        <v>43088</v>
      </c>
      <c r="B303" s="10" t="n">
        <v>30</v>
      </c>
      <c r="C303" s="9" t="n">
        <v>25</v>
      </c>
      <c r="D303" s="17" t="inlineStr">
        <is>
          <t>Licanda Positano, MDR</t>
        </is>
      </c>
      <c r="E303" s="9">
        <f>if($A303&lt;&gt;"",E302+B303,"")</f>
        <v/>
      </c>
      <c r="F303" s="10">
        <f>if($A303&lt;&gt;"",F302+C303,"")</f>
        <v/>
      </c>
      <c r="G303" s="11">
        <f>IF($A303&lt;&gt;"",IF(F303-E303=0,"tie",IF(F303-E303&gt;0,"+"&amp;F303-E303,"+"&amp;E303-F303)),"")</f>
        <v/>
      </c>
      <c r="H303" s="12">
        <f>if($A303&lt;&gt;"",if(B303&gt;C303,if(B303&lt;60,1,2),""),"")</f>
        <v/>
      </c>
      <c r="I303" s="12">
        <f>if($A303&lt;&gt;"",if(C303&gt;B303,if(C303&lt;60,1,2),""),"")</f>
        <v/>
      </c>
      <c r="J303" s="9">
        <f>if($A303&lt;&gt;"",J302+H303,"")</f>
        <v/>
      </c>
      <c r="K303" s="9">
        <f>if($A303&lt;&gt;"",K302+I303,"")</f>
        <v/>
      </c>
      <c r="L303" s="11">
        <f>IF($A303&lt;&gt;"",IF(K303-J303=0,"tie",IF(K303-J303&gt;0,"+"&amp;K303-J303,"+"&amp;J303-K303)),"")</f>
        <v/>
      </c>
      <c r="M303" s="17" t="n"/>
      <c r="N303" s="17" t="n"/>
      <c r="O303" s="17" t="n"/>
      <c r="P303" s="17" t="n"/>
      <c r="Q303" s="17" t="n"/>
      <c r="R303" s="17" t="n"/>
      <c r="S303" s="17" t="n"/>
    </row>
    <row r="304">
      <c r="A304" s="15" t="n">
        <v>43097</v>
      </c>
      <c r="B304" s="9" t="n">
        <v>25</v>
      </c>
      <c r="C304" s="10" t="n">
        <v>30</v>
      </c>
      <c r="D304" s="17" t="inlineStr">
        <is>
          <t>Preston Way</t>
        </is>
      </c>
      <c r="E304" s="9">
        <f>if($A304&lt;&gt;"",E303+B304,"")</f>
        <v/>
      </c>
      <c r="F304" s="10">
        <f>if($A304&lt;&gt;"",F303+C304,"")</f>
        <v/>
      </c>
      <c r="G304" s="11">
        <f>IF($A304&lt;&gt;"",IF(F304-E304=0,"tie",IF(F304-E304&gt;0,"+"&amp;F304-E304,"+"&amp;E304-F304)),"")</f>
        <v/>
      </c>
      <c r="H304" s="12">
        <f>if($A304&lt;&gt;"",if(B304&gt;C304,if(B304&lt;60,1,2),""),"")</f>
        <v/>
      </c>
      <c r="I304" s="12">
        <f>if($A304&lt;&gt;"",if(C304&gt;B304,if(C304&lt;60,1,2),""),"")</f>
        <v/>
      </c>
      <c r="J304" s="9">
        <f>if($A304&lt;&gt;"",J303+H304,"")</f>
        <v/>
      </c>
      <c r="K304" s="9">
        <f>if($A304&lt;&gt;"",K303+I304,"")</f>
        <v/>
      </c>
      <c r="L304" s="11">
        <f>IF($A304&lt;&gt;"",IF(K304-J304=0,"tie",IF(K304-J304&gt;0,"+"&amp;K304-J304,"+"&amp;J304-K304)),"")</f>
        <v/>
      </c>
      <c r="M304" s="17" t="n"/>
      <c r="N304" s="17" t="n"/>
      <c r="O304" s="17" t="n"/>
      <c r="P304" s="17" t="n"/>
      <c r="Q304" s="17" t="n"/>
      <c r="R304" s="17" t="n"/>
      <c r="S304" s="17" t="n"/>
    </row>
    <row r="305">
      <c r="A305" s="15" t="n">
        <v>43099</v>
      </c>
      <c r="B305" s="10" t="n">
        <v>30</v>
      </c>
      <c r="C305" s="9" t="n">
        <v>25</v>
      </c>
      <c r="D305" s="17" t="inlineStr">
        <is>
          <t>Village Inn, Balboa Island</t>
        </is>
      </c>
      <c r="E305" s="9">
        <f>if($A305&lt;&gt;"",E304+B305,"")</f>
        <v/>
      </c>
      <c r="F305" s="10">
        <f>if($A305&lt;&gt;"",F304+C305,"")</f>
        <v/>
      </c>
      <c r="G305" s="11">
        <f>IF($A305&lt;&gt;"",IF(F305-E305=0,"tie",IF(F305-E305&gt;0,"+"&amp;F305-E305,"+"&amp;E305-F305)),"")</f>
        <v/>
      </c>
      <c r="H305" s="12">
        <f>if($A305&lt;&gt;"",if(B305&gt;C305,if(B305&lt;60,1,2),""),"")</f>
        <v/>
      </c>
      <c r="I305" s="12">
        <f>if($A305&lt;&gt;"",if(C305&gt;B305,if(C305&lt;60,1,2),""),"")</f>
        <v/>
      </c>
      <c r="J305" s="9">
        <f>if($A305&lt;&gt;"",J304+H305,"")</f>
        <v/>
      </c>
      <c r="K305" s="9">
        <f>if($A305&lt;&gt;"",K304+I305,"")</f>
        <v/>
      </c>
      <c r="L305" s="11">
        <f>IF($A305&lt;&gt;"",IF(K305-J305=0,"tie",IF(K305-J305&gt;0,"+"&amp;K305-J305,"+"&amp;J305-K305)),"")</f>
        <v/>
      </c>
      <c r="M305" s="17" t="n"/>
      <c r="N305" s="17" t="n"/>
      <c r="O305" s="17" t="n"/>
      <c r="P305" s="17" t="n"/>
      <c r="Q305" s="17" t="n"/>
      <c r="R305" s="17" t="n"/>
      <c r="S305" s="17" t="n"/>
    </row>
    <row r="306">
      <c r="A306" s="15" t="n">
        <v>43099</v>
      </c>
      <c r="B306" s="10" t="n">
        <v>30</v>
      </c>
      <c r="C306" s="9" t="n">
        <v>25</v>
      </c>
      <c r="D306" s="17" t="inlineStr">
        <is>
          <t>Balboa Island, CA</t>
        </is>
      </c>
      <c r="E306" s="9">
        <f>if($A306&lt;&gt;"",E305+B306,"")</f>
        <v/>
      </c>
      <c r="F306" s="10">
        <f>if($A306&lt;&gt;"",F305+C306,"")</f>
        <v/>
      </c>
      <c r="G306" s="11">
        <f>IF($A306&lt;&gt;"",IF(F306-E306=0,"tie",IF(F306-E306&gt;0,"+"&amp;F306-E306,"+"&amp;E306-F306)),"")</f>
        <v/>
      </c>
      <c r="H306" s="12">
        <f>if($A306&lt;&gt;"",if(B306&gt;C306,if(B306&lt;60,1,2),""),"")</f>
        <v/>
      </c>
      <c r="I306" s="12">
        <f>if($A306&lt;&gt;"",if(C306&gt;B306,if(C306&lt;60,1,2),""),"")</f>
        <v/>
      </c>
      <c r="J306" s="9">
        <f>if($A306&lt;&gt;"",J305+H306,"")</f>
        <v/>
      </c>
      <c r="K306" s="9">
        <f>if($A306&lt;&gt;"",K305+I306,"")</f>
        <v/>
      </c>
      <c r="L306" s="11">
        <f>IF($A306&lt;&gt;"",IF(K306-J306=0,"tie",IF(K306-J306&gt;0,"+"&amp;K306-J306,"+"&amp;J306-K306)),"")</f>
        <v/>
      </c>
      <c r="M306" s="17" t="n"/>
      <c r="N306" s="17" t="n"/>
      <c r="O306" s="17" t="n"/>
      <c r="P306" s="17" t="n"/>
      <c r="Q306" s="17" t="n"/>
      <c r="R306" s="17" t="n"/>
      <c r="S306" s="17" t="n"/>
    </row>
    <row r="307">
      <c r="A307" s="15" t="n">
        <v>43099</v>
      </c>
      <c r="B307" s="9" t="n">
        <v>25</v>
      </c>
      <c r="C307" s="10" t="n">
        <v>30</v>
      </c>
      <c r="D307" s="17" t="inlineStr">
        <is>
          <t>Ruby’s, Newport Pier</t>
        </is>
      </c>
      <c r="E307" s="9">
        <f>if($A307&lt;&gt;"",E306+B307,"")</f>
        <v/>
      </c>
      <c r="F307" s="10">
        <f>if($A307&lt;&gt;"",F306+C307,"")</f>
        <v/>
      </c>
      <c r="G307" s="11">
        <f>IF($A307&lt;&gt;"",IF(F307-E307=0,"tie",IF(F307-E307&gt;0,"+"&amp;F307-E307,"+"&amp;E307-F307)),"")</f>
        <v/>
      </c>
      <c r="H307" s="12">
        <f>if($A307&lt;&gt;"",if(B307&gt;C307,if(B307&lt;60,1,2),""),"")</f>
        <v/>
      </c>
      <c r="I307" s="12">
        <f>if($A307&lt;&gt;"",if(C307&gt;B307,if(C307&lt;60,1,2),""),"")</f>
        <v/>
      </c>
      <c r="J307" s="9">
        <f>if($A307&lt;&gt;"",J306+H307,"")</f>
        <v/>
      </c>
      <c r="K307" s="9">
        <f>if($A307&lt;&gt;"",K306+I307,"")</f>
        <v/>
      </c>
      <c r="L307" s="11">
        <f>IF($A307&lt;&gt;"",IF(K307-J307=0,"tie",IF(K307-J307&gt;0,"+"&amp;K307-J307,"+"&amp;J307-K307)),"")</f>
        <v/>
      </c>
      <c r="M307" s="17" t="n"/>
      <c r="N307" s="17" t="n"/>
      <c r="O307" s="17" t="n"/>
      <c r="P307" s="17" t="n"/>
      <c r="Q307" s="17" t="n"/>
      <c r="R307" s="17" t="n"/>
      <c r="S307" s="17" t="n"/>
    </row>
    <row r="308">
      <c r="A308" s="15" t="n">
        <v>43109</v>
      </c>
      <c r="B308" s="9" t="n">
        <v>25</v>
      </c>
      <c r="C308" s="10" t="n">
        <v>30</v>
      </c>
      <c r="D308" s="17" t="inlineStr">
        <is>
          <t>Preston Way</t>
        </is>
      </c>
      <c r="E308" s="9">
        <f>if($A308&lt;&gt;"",E307+B308,"")</f>
        <v/>
      </c>
      <c r="F308" s="10">
        <f>if($A308&lt;&gt;"",F307+C308,"")</f>
        <v/>
      </c>
      <c r="G308" s="11">
        <f>IF($A308&lt;&gt;"",IF(F308-E308=0,"tie",IF(F308-E308&gt;0,"+"&amp;F308-E308,"+"&amp;E308-F308)),"")</f>
        <v/>
      </c>
      <c r="H308" s="12">
        <f>if($A308&lt;&gt;"",if(B308&gt;C308,if(B308&lt;60,1,2),""),"")</f>
        <v/>
      </c>
      <c r="I308" s="12">
        <f>if($A308&lt;&gt;"",if(C308&gt;B308,if(C308&lt;60,1,2),""),"")</f>
        <v/>
      </c>
      <c r="J308" s="9">
        <f>if($A308&lt;&gt;"",J307+H308,"")</f>
        <v/>
      </c>
      <c r="K308" s="9">
        <f>if($A308&lt;&gt;"",K307+I308,"")</f>
        <v/>
      </c>
      <c r="L308" s="11">
        <f>IF($A308&lt;&gt;"",IF(K308-J308=0,"tie",IF(K308-J308&gt;0,"+"&amp;K308-J308,"+"&amp;J308-K308)),"")</f>
        <v/>
      </c>
      <c r="M308" s="17" t="n"/>
      <c r="N308" s="17" t="n"/>
      <c r="O308" s="17" t="n"/>
      <c r="P308" s="17" t="n"/>
      <c r="Q308" s="17" t="n"/>
      <c r="R308" s="17" t="n"/>
      <c r="S308" s="17" t="n"/>
    </row>
    <row r="309">
      <c r="A309" s="15" t="n">
        <v>43116</v>
      </c>
      <c r="B309" s="10" t="n">
        <v>30</v>
      </c>
      <c r="C309" s="9" t="n">
        <v>25</v>
      </c>
      <c r="D309" s="17" t="inlineStr">
        <is>
          <t>Totem Cafe, Lone Pine, CA</t>
        </is>
      </c>
      <c r="E309" s="9">
        <f>if($A309&lt;&gt;"",E308+B309,"")</f>
        <v/>
      </c>
      <c r="F309" s="10">
        <f>if($A309&lt;&gt;"",F308+C309,"")</f>
        <v/>
      </c>
      <c r="G309" s="11">
        <f>IF($A309&lt;&gt;"",IF(F309-E309=0,"tie",IF(F309-E309&gt;0,"+"&amp;F309-E309,"+"&amp;E309-F309)),"")</f>
        <v/>
      </c>
      <c r="H309" s="12">
        <f>if($A309&lt;&gt;"",if(B309&gt;C309,if(B309&lt;60,1,2),""),"")</f>
        <v/>
      </c>
      <c r="I309" s="12">
        <f>if($A309&lt;&gt;"",if(C309&gt;B309,if(C309&lt;60,1,2),""),"")</f>
        <v/>
      </c>
      <c r="J309" s="9">
        <f>if($A309&lt;&gt;"",J308+H309,"")</f>
        <v/>
      </c>
      <c r="K309" s="9">
        <f>if($A309&lt;&gt;"",K308+I309,"")</f>
        <v/>
      </c>
      <c r="L309" s="11">
        <f>IF($A309&lt;&gt;"",IF(K309-J309=0,"tie",IF(K309-J309&gt;0,"+"&amp;K309-J309,"+"&amp;J309-K309)),"")</f>
        <v/>
      </c>
      <c r="M309" s="17" t="n"/>
      <c r="N309" s="17" t="n"/>
      <c r="O309" s="17" t="n"/>
      <c r="P309" s="17" t="n"/>
      <c r="Q309" s="17" t="n"/>
      <c r="R309" s="17" t="n"/>
      <c r="S309" s="17" t="n"/>
    </row>
    <row r="310">
      <c r="A310" s="15" t="n">
        <v>43116</v>
      </c>
      <c r="B310" s="9" t="n">
        <v>25</v>
      </c>
      <c r="C310" s="10" t="n">
        <v>30</v>
      </c>
      <c r="D310" s="17" t="inlineStr">
        <is>
          <t>Preston Way</t>
        </is>
      </c>
      <c r="E310" s="9">
        <f>if($A310&lt;&gt;"",E309+B310,"")</f>
        <v/>
      </c>
      <c r="F310" s="10">
        <f>if($A310&lt;&gt;"",F309+C310,"")</f>
        <v/>
      </c>
      <c r="G310" s="11">
        <f>IF($A310&lt;&gt;"",IF(F310-E310=0,"tie",IF(F310-E310&gt;0,"+"&amp;F310-E310,"+"&amp;E310-F310)),"")</f>
        <v/>
      </c>
      <c r="H310" s="12">
        <f>if($A310&lt;&gt;"",if(B310&gt;C310,if(B310&lt;60,1,2),""),"")</f>
        <v/>
      </c>
      <c r="I310" s="12">
        <f>if($A310&lt;&gt;"",if(C310&gt;B310,if(C310&lt;60,1,2),""),"")</f>
        <v/>
      </c>
      <c r="J310" s="9">
        <f>if($A310&lt;&gt;"",J309+H310,"")</f>
        <v/>
      </c>
      <c r="K310" s="9">
        <f>if($A310&lt;&gt;"",K309+I310,"")</f>
        <v/>
      </c>
      <c r="L310" s="11">
        <f>IF($A310&lt;&gt;"",IF(K310-J310=0,"tie",IF(K310-J310&gt;0,"+"&amp;K310-J310,"+"&amp;J310-K310)),"")</f>
        <v/>
      </c>
      <c r="M310" s="17" t="n"/>
      <c r="N310" s="17" t="n"/>
      <c r="O310" s="17" t="n"/>
      <c r="P310" s="17" t="n"/>
      <c r="Q310" s="17" t="n"/>
      <c r="R310" s="17" t="n"/>
      <c r="S310" s="17" t="n"/>
    </row>
    <row r="311">
      <c r="A311" s="15" t="n">
        <v>43117</v>
      </c>
      <c r="B311" s="10" t="n">
        <v>30</v>
      </c>
      <c r="C311" s="9" t="n">
        <v>25</v>
      </c>
      <c r="D311" s="17" t="inlineStr">
        <is>
          <t>Preston Way</t>
        </is>
      </c>
      <c r="E311" s="9">
        <f>if($A311&lt;&gt;"",E310+B311,"")</f>
        <v/>
      </c>
      <c r="F311" s="10">
        <f>if($A311&lt;&gt;"",F310+C311,"")</f>
        <v/>
      </c>
      <c r="G311" s="11">
        <f>IF($A311&lt;&gt;"",IF(F311-E311=0,"tie",IF(F311-E311&gt;0,"+"&amp;F311-E311,"+"&amp;E311-F311)),"")</f>
        <v/>
      </c>
      <c r="H311" s="12">
        <f>if($A311&lt;&gt;"",if(B311&gt;C311,if(B311&lt;60,1,2),""),"")</f>
        <v/>
      </c>
      <c r="I311" s="12">
        <f>if($A311&lt;&gt;"",if(C311&gt;B311,if(C311&lt;60,1,2),""),"")</f>
        <v/>
      </c>
      <c r="J311" s="9">
        <f>if($A311&lt;&gt;"",J310+H311,"")</f>
        <v/>
      </c>
      <c r="K311" s="9">
        <f>if($A311&lt;&gt;"",K310+I311,"")</f>
        <v/>
      </c>
      <c r="L311" s="11">
        <f>IF($A311&lt;&gt;"",IF(K311-J311=0,"tie",IF(K311-J311&gt;0,"+"&amp;K311-J311,"+"&amp;J311-K311)),"")</f>
        <v/>
      </c>
      <c r="M311" s="17" t="n"/>
      <c r="N311" s="17" t="n"/>
      <c r="O311" s="17" t="n"/>
      <c r="P311" s="17" t="n"/>
      <c r="Q311" s="17" t="n"/>
      <c r="R311" s="17" t="n"/>
      <c r="S311" s="17" t="n"/>
    </row>
    <row r="312">
      <c r="A312" s="15" t="n">
        <v>43117</v>
      </c>
      <c r="B312" s="10" t="n">
        <v>30</v>
      </c>
      <c r="C312" s="9" t="n">
        <v>25</v>
      </c>
      <c r="D312" s="17" t="inlineStr">
        <is>
          <t>Intake frozen lake, Bishop, CA</t>
        </is>
      </c>
      <c r="E312" s="9">
        <f>if($A312&lt;&gt;"",E311+B312,"")</f>
        <v/>
      </c>
      <c r="F312" s="10">
        <f>if($A312&lt;&gt;"",F311+C312,"")</f>
        <v/>
      </c>
      <c r="G312" s="11">
        <f>IF($A312&lt;&gt;"",IF(F312-E312=0,"tie",IF(F312-E312&gt;0,"+"&amp;F312-E312,"+"&amp;E312-F312)),"")</f>
        <v/>
      </c>
      <c r="H312" s="12">
        <f>if($A312&lt;&gt;"",if(B312&gt;C312,if(B312&lt;60,1,2),""),"")</f>
        <v/>
      </c>
      <c r="I312" s="12">
        <f>if($A312&lt;&gt;"",if(C312&gt;B312,if(C312&lt;60,1,2),""),"")</f>
        <v/>
      </c>
      <c r="J312" s="9">
        <f>if($A312&lt;&gt;"",J311+H312,"")</f>
        <v/>
      </c>
      <c r="K312" s="9">
        <f>if($A312&lt;&gt;"",K311+I312,"")</f>
        <v/>
      </c>
      <c r="L312" s="11">
        <f>IF($A312&lt;&gt;"",IF(K312-J312=0,"tie",IF(K312-J312&gt;0,"+"&amp;K312-J312,"+"&amp;J312-K312)),"")</f>
        <v/>
      </c>
      <c r="M312" s="17" t="n"/>
      <c r="N312" s="17" t="n"/>
      <c r="O312" s="17" t="n"/>
      <c r="P312" s="17" t="n"/>
      <c r="Q312" s="17" t="n"/>
      <c r="R312" s="17" t="n"/>
      <c r="S312" s="17" t="n"/>
    </row>
    <row r="313">
      <c r="A313" s="15" t="n">
        <v>43119</v>
      </c>
      <c r="B313" s="9" t="n">
        <v>25</v>
      </c>
      <c r="C313" s="10" t="n">
        <v>30</v>
      </c>
      <c r="D313" s="17" t="inlineStr">
        <is>
          <t>Preston Way</t>
        </is>
      </c>
      <c r="E313" s="9">
        <f>if($A313&lt;&gt;"",E312+B313,"")</f>
        <v/>
      </c>
      <c r="F313" s="10">
        <f>if($A313&lt;&gt;"",F312+C313,"")</f>
        <v/>
      </c>
      <c r="G313" s="11">
        <f>IF($A313&lt;&gt;"",IF(F313-E313=0,"tie",IF(F313-E313&gt;0,"+"&amp;F313-E313,"+"&amp;E313-F313)),"")</f>
        <v/>
      </c>
      <c r="H313" s="12">
        <f>if($A313&lt;&gt;"",if(B313&gt;C313,if(B313&lt;60,1,2),""),"")</f>
        <v/>
      </c>
      <c r="I313" s="12">
        <f>if($A313&lt;&gt;"",if(C313&gt;B313,if(C313&lt;60,1,2),""),"")</f>
        <v/>
      </c>
      <c r="J313" s="9">
        <f>if($A313&lt;&gt;"",J312+H313,"")</f>
        <v/>
      </c>
      <c r="K313" s="9">
        <f>if($A313&lt;&gt;"",K312+I313,"")</f>
        <v/>
      </c>
      <c r="L313" s="11">
        <f>IF($A313&lt;&gt;"",IF(K313-J313=0,"tie",IF(K313-J313&gt;0,"+"&amp;K313-J313,"+"&amp;J313-K313)),"")</f>
        <v/>
      </c>
      <c r="M313" s="17" t="n"/>
      <c r="N313" s="17" t="n"/>
      <c r="O313" s="17" t="n"/>
      <c r="P313" s="17" t="n"/>
      <c r="Q313" s="17" t="n"/>
      <c r="R313" s="17" t="n"/>
      <c r="S313" s="17" t="n"/>
    </row>
    <row r="314">
      <c r="A314" s="15" t="n">
        <v>43126</v>
      </c>
      <c r="B314" s="9" t="n">
        <v>25</v>
      </c>
      <c r="C314" s="10" t="n">
        <v>30</v>
      </c>
      <c r="D314" s="17" t="inlineStr">
        <is>
          <t>Twohey’s (last day)</t>
        </is>
      </c>
      <c r="E314" s="9">
        <f>if($A314&lt;&gt;"",E313+B314,"")</f>
        <v/>
      </c>
      <c r="F314" s="10">
        <f>if($A314&lt;&gt;"",F313+C314,"")</f>
        <v/>
      </c>
      <c r="G314" s="11">
        <f>IF($A314&lt;&gt;"",IF(F314-E314=0,"tie",IF(F314-E314&gt;0,"+"&amp;F314-E314,"+"&amp;E314-F314)),"")</f>
        <v/>
      </c>
      <c r="H314" s="12">
        <f>if($A314&lt;&gt;"",if(B314&gt;C314,if(B314&lt;60,1,2),""),"")</f>
        <v/>
      </c>
      <c r="I314" s="12">
        <f>if($A314&lt;&gt;"",if(C314&gt;B314,if(C314&lt;60,1,2),""),"")</f>
        <v/>
      </c>
      <c r="J314" s="9">
        <f>if($A314&lt;&gt;"",J313+H314,"")</f>
        <v/>
      </c>
      <c r="K314" s="9">
        <f>if($A314&lt;&gt;"",K313+I314,"")</f>
        <v/>
      </c>
      <c r="L314" s="11">
        <f>IF($A314&lt;&gt;"",IF(K314-J314=0,"tie",IF(K314-J314&gt;0,"+"&amp;K314-J314,"+"&amp;J314-K314)),"")</f>
        <v/>
      </c>
      <c r="M314" s="17" t="n"/>
      <c r="N314" s="17" t="n"/>
      <c r="O314" s="17" t="n"/>
      <c r="P314" s="17" t="n"/>
      <c r="Q314" s="17" t="n"/>
      <c r="R314" s="17" t="n"/>
      <c r="S314" s="17" t="n"/>
    </row>
    <row r="315">
      <c r="A315" s="15" t="n">
        <v>43128</v>
      </c>
      <c r="B315" s="10" t="n">
        <v>30</v>
      </c>
      <c r="C315" s="9" t="n">
        <v>25</v>
      </c>
      <c r="D315" s="17" t="inlineStr">
        <is>
          <t>The Shack, Playa Del Rey</t>
        </is>
      </c>
      <c r="E315" s="9">
        <f>if($A315&lt;&gt;"",E314+B315,"")</f>
        <v/>
      </c>
      <c r="F315" s="10">
        <f>if($A315&lt;&gt;"",F314+C315,"")</f>
        <v/>
      </c>
      <c r="G315" s="11">
        <f>IF($A315&lt;&gt;"",IF(F315-E315=0,"tie",IF(F315-E315&gt;0,"+"&amp;F315-E315,"+"&amp;E315-F315)),"")</f>
        <v/>
      </c>
      <c r="H315" s="12">
        <f>if($A315&lt;&gt;"",if(B315&gt;C315,if(B315&lt;60,1,2),""),"")</f>
        <v/>
      </c>
      <c r="I315" s="12">
        <f>if($A315&lt;&gt;"",if(C315&gt;B315,if(C315&lt;60,1,2),""),"")</f>
        <v/>
      </c>
      <c r="J315" s="9">
        <f>if($A315&lt;&gt;"",J314+H315,"")</f>
        <v/>
      </c>
      <c r="K315" s="9">
        <f>if($A315&lt;&gt;"",K314+I315,"")</f>
        <v/>
      </c>
      <c r="L315" s="11">
        <f>IF($A315&lt;&gt;"",IF(K315-J315=0,"tie",IF(K315-J315&gt;0,"+"&amp;K315-J315,"+"&amp;J315-K315)),"")</f>
        <v/>
      </c>
      <c r="M315" s="17" t="n"/>
      <c r="N315" s="17" t="n"/>
      <c r="O315" s="17" t="n"/>
      <c r="P315" s="17" t="n"/>
      <c r="Q315" s="17" t="n"/>
      <c r="R315" s="17" t="n"/>
      <c r="S315" s="17" t="n"/>
    </row>
    <row r="316">
      <c r="A316" s="15" t="n">
        <v>43169</v>
      </c>
      <c r="B316" s="10" t="n">
        <v>30</v>
      </c>
      <c r="C316" s="9" t="n">
        <v>25</v>
      </c>
      <c r="D316" s="17" t="inlineStr">
        <is>
          <t>Arrowhead, CA</t>
        </is>
      </c>
      <c r="E316" s="9">
        <f>if($A316&lt;&gt;"",E315+B316,"")</f>
        <v/>
      </c>
      <c r="F316" s="10">
        <f>if($A316&lt;&gt;"",F315+C316,"")</f>
        <v/>
      </c>
      <c r="G316" s="11">
        <f>IF($A316&lt;&gt;"",IF(F316-E316=0,"tie",IF(F316-E316&gt;0,"+"&amp;F316-E316,"+"&amp;E316-F316)),"")</f>
        <v/>
      </c>
      <c r="H316" s="12">
        <f>if($A316&lt;&gt;"",if(B316&gt;C316,if(B316&lt;60,1,2),""),"")</f>
        <v/>
      </c>
      <c r="I316" s="12">
        <f>if($A316&lt;&gt;"",if(C316&gt;B316,if(C316&lt;60,1,2),""),"")</f>
        <v/>
      </c>
      <c r="J316" s="9">
        <f>if($A316&lt;&gt;"",J315+H316,"")</f>
        <v/>
      </c>
      <c r="K316" s="9">
        <f>if($A316&lt;&gt;"",K315+I316,"")</f>
        <v/>
      </c>
      <c r="L316" s="11">
        <f>IF($A316&lt;&gt;"",IF(K316-J316=0,"tie",IF(K316-J316&gt;0,"+"&amp;K316-J316,"+"&amp;J316-K316)),"")</f>
        <v/>
      </c>
      <c r="M316" s="17" t="n"/>
      <c r="N316" s="17" t="n"/>
      <c r="O316" s="17" t="n"/>
      <c r="P316" s="17" t="n"/>
      <c r="Q316" s="17" t="n"/>
      <c r="R316" s="17" t="n"/>
      <c r="S316" s="17" t="n"/>
    </row>
    <row r="317">
      <c r="A317" s="15" t="n">
        <v>43170</v>
      </c>
      <c r="B317" s="9" t="n">
        <v>25</v>
      </c>
      <c r="C317" s="10" t="n">
        <v>30</v>
      </c>
      <c r="D317" s="17" t="inlineStr">
        <is>
          <t>Belgian Waffle House, Lake Arrowhead, CA</t>
        </is>
      </c>
      <c r="E317" s="9">
        <f>if($A317&lt;&gt;"",E316+B317,"")</f>
        <v/>
      </c>
      <c r="F317" s="10">
        <f>if($A317&lt;&gt;"",F316+C317,"")</f>
        <v/>
      </c>
      <c r="G317" s="11">
        <f>IF($A317&lt;&gt;"",IF(F317-E317=0,"tie",IF(F317-E317&gt;0,"+"&amp;F317-E317,"+"&amp;E317-F317)),"")</f>
        <v/>
      </c>
      <c r="H317" s="12">
        <f>if($A317&lt;&gt;"",if(B317&gt;C317,if(B317&lt;60,1,2),""),"")</f>
        <v/>
      </c>
      <c r="I317" s="12">
        <f>if($A317&lt;&gt;"",if(C317&gt;B317,if(C317&lt;60,1,2),""),"")</f>
        <v/>
      </c>
      <c r="J317" s="9">
        <f>if($A317&lt;&gt;"",J316+H317,"")</f>
        <v/>
      </c>
      <c r="K317" s="9">
        <f>if($A317&lt;&gt;"",K316+I317,"")</f>
        <v/>
      </c>
      <c r="L317" s="11">
        <f>IF($A317&lt;&gt;"",IF(K317-J317=0,"tie",IF(K317-J317&gt;0,"+"&amp;K317-J317,"+"&amp;J317-K317)),"")</f>
        <v/>
      </c>
      <c r="M317" s="17" t="n"/>
      <c r="N317" s="17" t="n"/>
      <c r="O317" s="17" t="n"/>
      <c r="P317" s="17" t="n"/>
      <c r="Q317" s="17" t="n"/>
      <c r="R317" s="17" t="n"/>
      <c r="S317" s="17" t="n"/>
    </row>
    <row r="318">
      <c r="A318" s="15" t="n">
        <v>43176</v>
      </c>
      <c r="B318" s="10" t="n">
        <v>30</v>
      </c>
      <c r="C318" s="9" t="n">
        <v>25</v>
      </c>
      <c r="D318" s="17" t="inlineStr">
        <is>
          <t>The Albright, Santa Monica Pier, CA</t>
        </is>
      </c>
      <c r="E318" s="9">
        <f>if($A318&lt;&gt;"",E317+B318,"")</f>
        <v/>
      </c>
      <c r="F318" s="10">
        <f>if($A318&lt;&gt;"",F317+C318,"")</f>
        <v/>
      </c>
      <c r="G318" s="11">
        <f>IF($A318&lt;&gt;"",IF(F318-E318=0,"tie",IF(F318-E318&gt;0,"+"&amp;F318-E318,"+"&amp;E318-F318)),"")</f>
        <v/>
      </c>
      <c r="H318" s="12">
        <f>if($A318&lt;&gt;"",if(B318&gt;C318,if(B318&lt;60,1,2),""),"")</f>
        <v/>
      </c>
      <c r="I318" s="12">
        <f>if($A318&lt;&gt;"",if(C318&gt;B318,if(C318&lt;60,1,2),""),"")</f>
        <v/>
      </c>
      <c r="J318" s="9">
        <f>if($A318&lt;&gt;"",J317+H318,"")</f>
        <v/>
      </c>
      <c r="K318" s="9">
        <f>if($A318&lt;&gt;"",K317+I318,"")</f>
        <v/>
      </c>
      <c r="L318" s="11">
        <f>IF($A318&lt;&gt;"",IF(K318-J318=0,"tie",IF(K318-J318&gt;0,"+"&amp;K318-J318,"+"&amp;J318-K318)),"")</f>
        <v/>
      </c>
      <c r="M318" s="17" t="n"/>
      <c r="N318" s="17" t="n"/>
      <c r="O318" s="17" t="n"/>
      <c r="P318" s="17" t="n"/>
      <c r="Q318" s="17" t="n"/>
      <c r="R318" s="17" t="n"/>
      <c r="S318" s="17" t="n"/>
    </row>
    <row r="319">
      <c r="A319" s="15" t="n">
        <v>43176</v>
      </c>
      <c r="B319" s="10" t="n">
        <v>30</v>
      </c>
      <c r="C319" s="9" t="n">
        <v>25</v>
      </c>
      <c r="D319" s="17" t="inlineStr">
        <is>
          <t>Cabo, Santa Monica</t>
        </is>
      </c>
      <c r="E319" s="9">
        <f>if($A319&lt;&gt;"",E318+B319,"")</f>
        <v/>
      </c>
      <c r="F319" s="10">
        <f>if($A319&lt;&gt;"",F318+C319,"")</f>
        <v/>
      </c>
      <c r="G319" s="11">
        <f>IF($A319&lt;&gt;"",IF(F319-E319=0,"tie",IF(F319-E319&gt;0,"+"&amp;F319-E319,"+"&amp;E319-F319)),"")</f>
        <v/>
      </c>
      <c r="H319" s="12">
        <f>if($A319&lt;&gt;"",if(B319&gt;C319,if(B319&lt;60,1,2),""),"")</f>
        <v/>
      </c>
      <c r="I319" s="12">
        <f>if($A319&lt;&gt;"",if(C319&gt;B319,if(C319&lt;60,1,2),""),"")</f>
        <v/>
      </c>
      <c r="J319" s="9">
        <f>if($A319&lt;&gt;"",J318+H319,"")</f>
        <v/>
      </c>
      <c r="K319" s="9">
        <f>if($A319&lt;&gt;"",K318+I319,"")</f>
        <v/>
      </c>
      <c r="L319" s="11">
        <f>IF($A319&lt;&gt;"",IF(K319-J319=0,"tie",IF(K319-J319&gt;0,"+"&amp;K319-J319,"+"&amp;J319-K319)),"")</f>
        <v/>
      </c>
      <c r="M319" s="17" t="n"/>
      <c r="N319" s="17" t="n"/>
      <c r="O319" s="17" t="n"/>
      <c r="P319" s="17" t="n"/>
      <c r="Q319" s="17" t="n"/>
      <c r="R319" s="17" t="n"/>
      <c r="S319" s="17" t="n"/>
    </row>
    <row r="320">
      <c r="A320" s="15" t="n">
        <v>43176</v>
      </c>
      <c r="B320" s="10" t="n">
        <v>30</v>
      </c>
      <c r="C320" s="9" t="n">
        <v>25</v>
      </c>
      <c r="D320" s="17" t="inlineStr">
        <is>
          <t>Krispy Kreme, Santa Monica</t>
        </is>
      </c>
      <c r="E320" s="9">
        <f>if($A320&lt;&gt;"",E319+B320,"")</f>
        <v/>
      </c>
      <c r="F320" s="10">
        <f>if($A320&lt;&gt;"",F319+C320,"")</f>
        <v/>
      </c>
      <c r="G320" s="11">
        <f>IF($A320&lt;&gt;"",IF(F320-E320=0,"tie",IF(F320-E320&gt;0,"+"&amp;F320-E320,"+"&amp;E320-F320)),"")</f>
        <v/>
      </c>
      <c r="H320" s="12">
        <f>if($A320&lt;&gt;"",if(B320&gt;C320,if(B320&lt;60,1,2),""),"")</f>
        <v/>
      </c>
      <c r="I320" s="12">
        <f>if($A320&lt;&gt;"",if(C320&gt;B320,if(C320&lt;60,1,2),""),"")</f>
        <v/>
      </c>
      <c r="J320" s="9">
        <f>if($A320&lt;&gt;"",J319+H320,"")</f>
        <v/>
      </c>
      <c r="K320" s="9">
        <f>if($A320&lt;&gt;"",K319+I320,"")</f>
        <v/>
      </c>
      <c r="L320" s="11">
        <f>IF($A320&lt;&gt;"",IF(K320-J320=0,"tie",IF(K320-J320&gt;0,"+"&amp;K320-J320,"+"&amp;J320-K320)),"")</f>
        <v/>
      </c>
      <c r="M320" s="17" t="n"/>
      <c r="N320" s="17" t="n"/>
      <c r="O320" s="17" t="n"/>
      <c r="P320" s="17" t="n"/>
      <c r="Q320" s="17" t="n"/>
      <c r="R320" s="17" t="n"/>
      <c r="S320" s="17" t="n"/>
    </row>
    <row r="321">
      <c r="A321" s="15" t="n">
        <v>43205</v>
      </c>
      <c r="B321" s="9" t="n">
        <v>25</v>
      </c>
      <c r="C321" s="10" t="n">
        <v>30</v>
      </c>
      <c r="D321" s="17" t="inlineStr">
        <is>
          <t>Tom’s Place Cafe, Hwy 395, CA</t>
        </is>
      </c>
      <c r="E321" s="9">
        <f>if($A321&lt;&gt;"",E320+B321,"")</f>
        <v/>
      </c>
      <c r="F321" s="10">
        <f>if($A321&lt;&gt;"",F320+C321,"")</f>
        <v/>
      </c>
      <c r="G321" s="11">
        <f>IF($A321&lt;&gt;"",IF(F321-E321=0,"tie",IF(F321-E321&gt;0,"+"&amp;F321-E321,"+"&amp;E321-F321)),"")</f>
        <v/>
      </c>
      <c r="H321" s="12">
        <f>if($A321&lt;&gt;"",if(B321&gt;C321,if(B321&lt;60,1,2),""),"")</f>
        <v/>
      </c>
      <c r="I321" s="12">
        <f>if($A321&lt;&gt;"",if(C321&gt;B321,if(C321&lt;60,1,2),""),"")</f>
        <v/>
      </c>
      <c r="J321" s="9">
        <f>if($A321&lt;&gt;"",J320+H321,"")</f>
        <v/>
      </c>
      <c r="K321" s="9">
        <f>if($A321&lt;&gt;"",K320+I321,"")</f>
        <v/>
      </c>
      <c r="L321" s="11">
        <f>IF($A321&lt;&gt;"",IF(K321-J321=0,"tie",IF(K321-J321&gt;0,"+"&amp;K321-J321,"+"&amp;J321-K321)),"")</f>
        <v/>
      </c>
      <c r="M321" s="17" t="n"/>
      <c r="N321" s="17" t="n"/>
      <c r="O321" s="17" t="n"/>
      <c r="P321" s="17" t="n"/>
      <c r="Q321" s="17" t="n"/>
      <c r="R321" s="17" t="n"/>
      <c r="S321" s="17" t="n"/>
    </row>
    <row r="322">
      <c r="A322" s="15" t="n">
        <v>43206</v>
      </c>
      <c r="B322" s="10" t="n">
        <v>30</v>
      </c>
      <c r="C322" s="9" t="n">
        <v>25</v>
      </c>
      <c r="D322" s="17" t="inlineStr">
        <is>
          <t>La Cabaña, Venice</t>
        </is>
      </c>
      <c r="E322" s="9">
        <f>if($A322&lt;&gt;"",E321+B322,"")</f>
        <v/>
      </c>
      <c r="F322" s="10">
        <f>if($A322&lt;&gt;"",F321+C322,"")</f>
        <v/>
      </c>
      <c r="G322" s="11">
        <f>IF($A322&lt;&gt;"",IF(F322-E322=0,"tie",IF(F322-E322&gt;0,"+"&amp;F322-E322,"+"&amp;E322-F322)),"")</f>
        <v/>
      </c>
      <c r="H322" s="12">
        <f>if($A322&lt;&gt;"",if(B322&gt;C322,if(B322&lt;60,1,2),""),"")</f>
        <v/>
      </c>
      <c r="I322" s="12">
        <f>if($A322&lt;&gt;"",if(C322&gt;B322,if(C322&lt;60,1,2),""),"")</f>
        <v/>
      </c>
      <c r="J322" s="9">
        <f>if($A322&lt;&gt;"",J321+H322,"")</f>
        <v/>
      </c>
      <c r="K322" s="9">
        <f>if($A322&lt;&gt;"",K321+I322,"")</f>
        <v/>
      </c>
      <c r="L322" s="11">
        <f>IF($A322&lt;&gt;"",IF(K322-J322=0,"tie",IF(K322-J322&gt;0,"+"&amp;K322-J322,"+"&amp;J322-K322)),"")</f>
        <v/>
      </c>
      <c r="M322" s="17" t="n"/>
      <c r="N322" s="17" t="n"/>
      <c r="O322" s="17" t="n"/>
      <c r="P322" s="17" t="n"/>
      <c r="Q322" s="17" t="n"/>
      <c r="R322" s="17" t="n"/>
      <c r="S322" s="17" t="n"/>
    </row>
    <row r="323">
      <c r="A323" s="15" t="n">
        <v>43211</v>
      </c>
      <c r="B323" s="9" t="n">
        <v>25</v>
      </c>
      <c r="C323" s="10" t="n">
        <v>30</v>
      </c>
      <c r="D323" s="17" t="inlineStr">
        <is>
          <t>Thai Dishes on Broadway, Santa Monica, CA</t>
        </is>
      </c>
      <c r="E323" s="9">
        <f>if($A323&lt;&gt;"",E322+B323,"")</f>
        <v/>
      </c>
      <c r="F323" s="10">
        <f>if($A323&lt;&gt;"",F322+C323,"")</f>
        <v/>
      </c>
      <c r="G323" s="11">
        <f>IF($A323&lt;&gt;"",IF(F323-E323=0,"tie",IF(F323-E323&gt;0,"+"&amp;F323-E323,"+"&amp;E323-F323)),"")</f>
        <v/>
      </c>
      <c r="H323" s="12">
        <f>if($A323&lt;&gt;"",if(B323&gt;C323,if(B323&lt;60,1,2),""),"")</f>
        <v/>
      </c>
      <c r="I323" s="12">
        <f>if($A323&lt;&gt;"",if(C323&gt;B323,if(C323&lt;60,1,2),""),"")</f>
        <v/>
      </c>
      <c r="J323" s="9">
        <f>if($A323&lt;&gt;"",J322+H323,"")</f>
        <v/>
      </c>
      <c r="K323" s="9">
        <f>if($A323&lt;&gt;"",K322+I323,"")</f>
        <v/>
      </c>
      <c r="L323" s="11">
        <f>IF($A323&lt;&gt;"",IF(K323-J323=0,"tie",IF(K323-J323&gt;0,"+"&amp;K323-J323,"+"&amp;J323-K323)),"")</f>
        <v/>
      </c>
      <c r="M323" s="17" t="n"/>
      <c r="N323" s="17" t="n"/>
      <c r="O323" s="17" t="n"/>
      <c r="P323" s="17" t="n"/>
      <c r="Q323" s="17" t="n"/>
      <c r="R323" s="17" t="n"/>
      <c r="S323" s="17" t="n"/>
    </row>
    <row r="324">
      <c r="A324" s="15" t="n">
        <v>43219</v>
      </c>
      <c r="B324" s="10" t="n">
        <v>30</v>
      </c>
      <c r="C324" s="9" t="n">
        <v>25</v>
      </c>
      <c r="D324" s="17" t="inlineStr">
        <is>
          <t>Little Fatty, Mar Vista, CA</t>
        </is>
      </c>
      <c r="E324" s="9">
        <f>if($A324&lt;&gt;"",E323+B324,"")</f>
        <v/>
      </c>
      <c r="F324" s="10">
        <f>if($A324&lt;&gt;"",F323+C324,"")</f>
        <v/>
      </c>
      <c r="G324" s="11">
        <f>IF($A324&lt;&gt;"",IF(F324-E324=0,"tie",IF(F324-E324&gt;0,"+"&amp;F324-E324,"+"&amp;E324-F324)),"")</f>
        <v/>
      </c>
      <c r="H324" s="12">
        <f>if($A324&lt;&gt;"",if(B324&gt;C324,if(B324&lt;60,1,2),""),"")</f>
        <v/>
      </c>
      <c r="I324" s="12">
        <f>if($A324&lt;&gt;"",if(C324&gt;B324,if(C324&lt;60,1,2),""),"")</f>
        <v/>
      </c>
      <c r="J324" s="9">
        <f>if($A324&lt;&gt;"",J323+H324,"")</f>
        <v/>
      </c>
      <c r="K324" s="9">
        <f>if($A324&lt;&gt;"",K323+I324,"")</f>
        <v/>
      </c>
      <c r="L324" s="11">
        <f>IF($A324&lt;&gt;"",IF(K324-J324=0,"tie",IF(K324-J324&gt;0,"+"&amp;K324-J324,"+"&amp;J324-K324)),"")</f>
        <v/>
      </c>
      <c r="M324" s="17" t="n"/>
      <c r="N324" s="17" t="n"/>
      <c r="O324" s="17" t="n"/>
      <c r="P324" s="17" t="n"/>
      <c r="Q324" s="17" t="n"/>
      <c r="R324" s="17" t="n"/>
      <c r="S324" s="17" t="n"/>
    </row>
    <row r="325">
      <c r="A325" s="15" t="n">
        <v>43223</v>
      </c>
      <c r="B325" s="10" t="n">
        <v>30</v>
      </c>
      <c r="C325" s="9" t="n">
        <v>25</v>
      </c>
      <c r="D325" s="17" t="inlineStr">
        <is>
          <t>Larry’s, Venice</t>
        </is>
      </c>
      <c r="E325" s="9">
        <f>if($A325&lt;&gt;"",E324+B325,"")</f>
        <v/>
      </c>
      <c r="F325" s="10">
        <f>if($A325&lt;&gt;"",F324+C325,"")</f>
        <v/>
      </c>
      <c r="G325" s="11">
        <f>IF($A325&lt;&gt;"",IF(F325-E325=0,"tie",IF(F325-E325&gt;0,"+"&amp;F325-E325,"+"&amp;E325-F325)),"")</f>
        <v/>
      </c>
      <c r="H325" s="12">
        <f>if($A325&lt;&gt;"",if(B325&gt;C325,if(B325&lt;60,1,2),""),"")</f>
        <v/>
      </c>
      <c r="I325" s="12">
        <f>if($A325&lt;&gt;"",if(C325&gt;B325,if(C325&lt;60,1,2),""),"")</f>
        <v/>
      </c>
      <c r="J325" s="9">
        <f>if($A325&lt;&gt;"",J324+H325,"")</f>
        <v/>
      </c>
      <c r="K325" s="9">
        <f>if($A325&lt;&gt;"",K324+I325,"")</f>
        <v/>
      </c>
      <c r="L325" s="11">
        <f>IF($A325&lt;&gt;"",IF(K325-J325=0,"tie",IF(K325-J325&gt;0,"+"&amp;K325-J325,"+"&amp;J325-K325)),"")</f>
        <v/>
      </c>
      <c r="M325" s="17" t="n"/>
      <c r="N325" s="17" t="n"/>
      <c r="O325" s="17" t="n"/>
      <c r="P325" s="17" t="n"/>
      <c r="Q325" s="17" t="n"/>
      <c r="R325" s="17" t="n"/>
      <c r="S325" s="17" t="n"/>
    </row>
    <row r="326">
      <c r="A326" s="15" t="n">
        <v>43225</v>
      </c>
      <c r="B326" s="9" t="n">
        <v>25</v>
      </c>
      <c r="C326" s="10" t="n">
        <v>30</v>
      </c>
      <c r="D326" s="17" t="inlineStr">
        <is>
          <t>Canter’s, Hollywood</t>
        </is>
      </c>
      <c r="E326" s="9">
        <f>if($A326&lt;&gt;"",E325+B326,"")</f>
        <v/>
      </c>
      <c r="F326" s="10">
        <f>if($A326&lt;&gt;"",F325+C326,"")</f>
        <v/>
      </c>
      <c r="G326" s="11">
        <f>IF($A326&lt;&gt;"",IF(F326-E326=0,"tie",IF(F326-E326&gt;0,"+"&amp;F326-E326,"+"&amp;E326-F326)),"")</f>
        <v/>
      </c>
      <c r="H326" s="12">
        <f>if($A326&lt;&gt;"",if(B326&gt;C326,if(B326&lt;60,1,2),""),"")</f>
        <v/>
      </c>
      <c r="I326" s="12">
        <f>if($A326&lt;&gt;"",if(C326&gt;B326,if(C326&lt;60,1,2),""),"")</f>
        <v/>
      </c>
      <c r="J326" s="9">
        <f>if($A326&lt;&gt;"",J325+H326,"")</f>
        <v/>
      </c>
      <c r="K326" s="9">
        <f>if($A326&lt;&gt;"",K325+I326,"")</f>
        <v/>
      </c>
      <c r="L326" s="11">
        <f>IF($A326&lt;&gt;"",IF(K326-J326=0,"tie",IF(K326-J326&gt;0,"+"&amp;K326-J326,"+"&amp;J326-K326)),"")</f>
        <v/>
      </c>
      <c r="M326" s="17" t="n"/>
      <c r="N326" s="17" t="n"/>
      <c r="O326" s="17" t="n"/>
      <c r="P326" s="17" t="n"/>
      <c r="Q326" s="17" t="n"/>
      <c r="R326" s="17" t="n"/>
      <c r="S326" s="17" t="n"/>
    </row>
    <row r="327">
      <c r="A327" s="15" t="n">
        <v>43227</v>
      </c>
      <c r="B327" s="10" t="n">
        <v>30</v>
      </c>
      <c r="C327" s="9" t="n">
        <v>25</v>
      </c>
      <c r="D327" s="17" t="inlineStr">
        <is>
          <t>Island’s</t>
        </is>
      </c>
      <c r="E327" s="9">
        <f>if($A327&lt;&gt;"",E326+B327,"")</f>
        <v/>
      </c>
      <c r="F327" s="10">
        <f>if($A327&lt;&gt;"",F326+C327,"")</f>
        <v/>
      </c>
      <c r="G327" s="11">
        <f>IF($A327&lt;&gt;"",IF(F327-E327=0,"tie",IF(F327-E327&gt;0,"+"&amp;F327-E327,"+"&amp;E327-F327)),"")</f>
        <v/>
      </c>
      <c r="H327" s="12">
        <f>if($A327&lt;&gt;"",if(B327&gt;C327,if(B327&lt;60,1,2),""),"")</f>
        <v/>
      </c>
      <c r="I327" s="12">
        <f>if($A327&lt;&gt;"",if(C327&gt;B327,if(C327&lt;60,1,2),""),"")</f>
        <v/>
      </c>
      <c r="J327" s="9">
        <f>if($A327&lt;&gt;"",J326+H327,"")</f>
        <v/>
      </c>
      <c r="K327" s="9">
        <f>if($A327&lt;&gt;"",K326+I327,"")</f>
        <v/>
      </c>
      <c r="L327" s="11">
        <f>IF($A327&lt;&gt;"",IF(K327-J327=0,"tie",IF(K327-J327&gt;0,"+"&amp;K327-J327,"+"&amp;J327-K327)),"")</f>
        <v/>
      </c>
      <c r="M327" s="17" t="n"/>
      <c r="N327" s="17" t="n"/>
      <c r="O327" s="17" t="n"/>
      <c r="P327" s="17" t="n"/>
      <c r="Q327" s="17" t="n"/>
      <c r="R327" s="17" t="n"/>
      <c r="S327" s="17" t="n"/>
    </row>
    <row r="328">
      <c r="A328" s="15" t="n">
        <v>43230</v>
      </c>
      <c r="B328" s="9" t="n">
        <v>25</v>
      </c>
      <c r="C328" s="10" t="n">
        <v>30</v>
      </c>
      <c r="D328" s="17" t="inlineStr">
        <is>
          <t>The Mar Vista</t>
        </is>
      </c>
      <c r="E328" s="9">
        <f>if($A328&lt;&gt;"",E327+B328,"")</f>
        <v/>
      </c>
      <c r="F328" s="10">
        <f>if($A328&lt;&gt;"",F327+C328,"")</f>
        <v/>
      </c>
      <c r="G328" s="11">
        <f>IF($A328&lt;&gt;"",IF(F328-E328=0,"tie",IF(F328-E328&gt;0,"+"&amp;F328-E328,"+"&amp;E328-F328)),"")</f>
        <v/>
      </c>
      <c r="H328" s="12">
        <f>if($A328&lt;&gt;"",if(B328&gt;C328,if(B328&lt;60,1,2),""),"")</f>
        <v/>
      </c>
      <c r="I328" s="12">
        <f>if($A328&lt;&gt;"",if(C328&gt;B328,if(C328&lt;60,1,2),""),"")</f>
        <v/>
      </c>
      <c r="J328" s="9">
        <f>if($A328&lt;&gt;"",J327+H328,"")</f>
        <v/>
      </c>
      <c r="K328" s="9">
        <f>if($A328&lt;&gt;"",K327+I328,"")</f>
        <v/>
      </c>
      <c r="L328" s="11">
        <f>IF($A328&lt;&gt;"",IF(K328-J328=0,"tie",IF(K328-J328&gt;0,"+"&amp;K328-J328,"+"&amp;J328-K328)),"")</f>
        <v/>
      </c>
      <c r="M328" s="17" t="n"/>
      <c r="N328" s="17" t="n"/>
      <c r="O328" s="17" t="n"/>
      <c r="P328" s="17" t="n"/>
      <c r="Q328" s="17" t="n"/>
      <c r="R328" s="17" t="n"/>
      <c r="S328" s="17" t="n"/>
    </row>
    <row r="329">
      <c r="A329" s="15" t="n">
        <v>43234</v>
      </c>
      <c r="B329" s="9" t="n">
        <v>25</v>
      </c>
      <c r="C329" s="10" t="n">
        <v>30</v>
      </c>
      <c r="D329" s="17" t="inlineStr">
        <is>
          <t>Shoop’s, Santa Monica</t>
        </is>
      </c>
      <c r="E329" s="9">
        <f>if($A329&lt;&gt;"",E328+B329,"")</f>
        <v/>
      </c>
      <c r="F329" s="10">
        <f>if($A329&lt;&gt;"",F328+C329,"")</f>
        <v/>
      </c>
      <c r="G329" s="11">
        <f>IF($A329&lt;&gt;"",IF(F329-E329=0,"tie",IF(F329-E329&gt;0,"+"&amp;F329-E329,"+"&amp;E329-F329)),"")</f>
        <v/>
      </c>
      <c r="H329" s="12">
        <f>if($A329&lt;&gt;"",if(B329&gt;C329,if(B329&lt;60,1,2),""),"")</f>
        <v/>
      </c>
      <c r="I329" s="12">
        <f>if($A329&lt;&gt;"",if(C329&gt;B329,if(C329&lt;60,1,2),""),"")</f>
        <v/>
      </c>
      <c r="J329" s="9">
        <f>if($A329&lt;&gt;"",J328+H329,"")</f>
        <v/>
      </c>
      <c r="K329" s="9">
        <f>if($A329&lt;&gt;"",K328+I329,"")</f>
        <v/>
      </c>
      <c r="L329" s="11">
        <f>IF($A329&lt;&gt;"",IF(K329-J329=0,"tie",IF(K329-J329&gt;0,"+"&amp;K329-J329,"+"&amp;J329-K329)),"")</f>
        <v/>
      </c>
      <c r="M329" s="17" t="n"/>
      <c r="N329" s="17" t="n"/>
      <c r="O329" s="17" t="n"/>
      <c r="P329" s="17" t="n"/>
      <c r="Q329" s="17" t="n"/>
      <c r="R329" s="17" t="n"/>
      <c r="S329" s="17" t="n"/>
    </row>
    <row r="330">
      <c r="A330" s="15" t="n">
        <v>43239</v>
      </c>
      <c r="B330" s="10" t="n">
        <v>30</v>
      </c>
      <c r="C330" s="9" t="n">
        <v>25</v>
      </c>
      <c r="D330" s="17" t="inlineStr">
        <is>
          <t>Market Place Cafe, L.A. (aka The Truck Stop or Potato Cafe)</t>
        </is>
      </c>
      <c r="E330" s="9">
        <f>if($A330&lt;&gt;"",E329+B330,"")</f>
        <v/>
      </c>
      <c r="F330" s="10">
        <f>if($A330&lt;&gt;"",F329+C330,"")</f>
        <v/>
      </c>
      <c r="G330" s="11">
        <f>IF($A330&lt;&gt;"",IF(F330-E330=0,"tie",IF(F330-E330&gt;0,"+"&amp;F330-E330,"+"&amp;E330-F330)),"")</f>
        <v/>
      </c>
      <c r="H330" s="12">
        <f>if($A330&lt;&gt;"",if(B330&gt;C330,if(B330&lt;60,1,2),""),"")</f>
        <v/>
      </c>
      <c r="I330" s="12">
        <f>if($A330&lt;&gt;"",if(C330&gt;B330,if(C330&lt;60,1,2),""),"")</f>
        <v/>
      </c>
      <c r="J330" s="9">
        <f>if($A330&lt;&gt;"",J329+H330,"")</f>
        <v/>
      </c>
      <c r="K330" s="9">
        <f>if($A330&lt;&gt;"",K329+I330,"")</f>
        <v/>
      </c>
      <c r="L330" s="11">
        <f>IF($A330&lt;&gt;"",IF(K330-J330=0,"tie",IF(K330-J330&gt;0,"+"&amp;K330-J330,"+"&amp;J330-K330)),"")</f>
        <v/>
      </c>
      <c r="M330" s="17" t="n"/>
      <c r="N330" s="17" t="n"/>
      <c r="O330" s="17" t="n"/>
      <c r="P330" s="17" t="n"/>
      <c r="Q330" s="17" t="n"/>
      <c r="R330" s="17" t="n"/>
      <c r="S330" s="17" t="n"/>
    </row>
    <row r="331">
      <c r="A331" s="15" t="n">
        <v>43239</v>
      </c>
      <c r="B331" s="9" t="n">
        <v>25</v>
      </c>
      <c r="C331" s="10" t="n">
        <v>30</v>
      </c>
      <c r="D331" s="17" t="inlineStr">
        <is>
          <t>Wind and Sea, Dana Point Harbor, CA</t>
        </is>
      </c>
      <c r="E331" s="9">
        <f>if($A331&lt;&gt;"",E330+B331,"")</f>
        <v/>
      </c>
      <c r="F331" s="10">
        <f>if($A331&lt;&gt;"",F330+C331,"")</f>
        <v/>
      </c>
      <c r="G331" s="11">
        <f>IF($A331&lt;&gt;"",IF(F331-E331=0,"tie",IF(F331-E331&gt;0,"+"&amp;F331-E331,"+"&amp;E331-F331)),"")</f>
        <v/>
      </c>
      <c r="H331" s="12">
        <f>if($A331&lt;&gt;"",if(B331&gt;C331,if(B331&lt;60,1,2),""),"")</f>
        <v/>
      </c>
      <c r="I331" s="12">
        <f>if($A331&lt;&gt;"",if(C331&gt;B331,if(C331&lt;60,1,2),""),"")</f>
        <v/>
      </c>
      <c r="J331" s="9">
        <f>if($A331&lt;&gt;"",J330+H331,"")</f>
        <v/>
      </c>
      <c r="K331" s="9">
        <f>if($A331&lt;&gt;"",K330+I331,"")</f>
        <v/>
      </c>
      <c r="L331" s="11">
        <f>IF($A331&lt;&gt;"",IF(K331-J331=0,"tie",IF(K331-J331&gt;0,"+"&amp;K331-J331,"+"&amp;J331-K331)),"")</f>
        <v/>
      </c>
      <c r="M331" s="17" t="n"/>
      <c r="N331" s="17" t="n"/>
      <c r="O331" s="17" t="n"/>
      <c r="P331" s="17" t="n"/>
      <c r="Q331" s="17" t="n"/>
      <c r="R331" s="17" t="n"/>
      <c r="S331" s="17" t="n"/>
    </row>
    <row r="332">
      <c r="A332" s="15" t="n">
        <v>43239</v>
      </c>
      <c r="B332" s="9" t="n">
        <v>25</v>
      </c>
      <c r="C332" s="10" t="n">
        <v>30</v>
      </c>
      <c r="D332" s="17" t="inlineStr">
        <is>
          <t>Doheny State Beach</t>
        </is>
      </c>
      <c r="E332" s="9">
        <f>if($A332&lt;&gt;"",E331+B332,"")</f>
        <v/>
      </c>
      <c r="F332" s="10">
        <f>if($A332&lt;&gt;"",F331+C332,"")</f>
        <v/>
      </c>
      <c r="G332" s="11">
        <f>IF($A332&lt;&gt;"",IF(F332-E332=0,"tie",IF(F332-E332&gt;0,"+"&amp;F332-E332,"+"&amp;E332-F332)),"")</f>
        <v/>
      </c>
      <c r="H332" s="12">
        <f>if($A332&lt;&gt;"",if(B332&gt;C332,if(B332&lt;60,1,2),""),"")</f>
        <v/>
      </c>
      <c r="I332" s="12">
        <f>if($A332&lt;&gt;"",if(C332&gt;B332,if(C332&lt;60,1,2),""),"")</f>
        <v/>
      </c>
      <c r="J332" s="9">
        <f>if($A332&lt;&gt;"",J331+H332,"")</f>
        <v/>
      </c>
      <c r="K332" s="9">
        <f>if($A332&lt;&gt;"",K331+I332,"")</f>
        <v/>
      </c>
      <c r="L332" s="11">
        <f>IF($A332&lt;&gt;"",IF(K332-J332=0,"tie",IF(K332-J332&gt;0,"+"&amp;K332-J332,"+"&amp;J332-K332)),"")</f>
        <v/>
      </c>
      <c r="M332" s="17" t="n"/>
      <c r="N332" s="17" t="n"/>
      <c r="O332" s="17" t="n"/>
      <c r="P332" s="17" t="n"/>
      <c r="Q332" s="17" t="n"/>
      <c r="R332" s="17" t="n"/>
      <c r="S332" s="17" t="n"/>
    </row>
    <row r="333">
      <c r="A333" s="15" t="n">
        <v>43253</v>
      </c>
      <c r="B333" s="10" t="n">
        <v>30</v>
      </c>
      <c r="C333" s="9" t="n">
        <v>25</v>
      </c>
      <c r="D333" s="17" t="inlineStr">
        <is>
          <t>Preston Way</t>
        </is>
      </c>
      <c r="E333" s="9">
        <f>if($A333&lt;&gt;"",E332+B333,"")</f>
        <v/>
      </c>
      <c r="F333" s="10">
        <f>if($A333&lt;&gt;"",F332+C333,"")</f>
        <v/>
      </c>
      <c r="G333" s="11">
        <f>IF($A333&lt;&gt;"",IF(F333-E333=0,"tie",IF(F333-E333&gt;0,"+"&amp;F333-E333,"+"&amp;E333-F333)),"")</f>
        <v/>
      </c>
      <c r="H333" s="12">
        <f>if($A333&lt;&gt;"",if(B333&gt;C333,if(B333&lt;60,1,2),""),"")</f>
        <v/>
      </c>
      <c r="I333" s="12">
        <f>if($A333&lt;&gt;"",if(C333&gt;B333,if(C333&lt;60,1,2),""),"")</f>
        <v/>
      </c>
      <c r="J333" s="9">
        <f>if($A333&lt;&gt;"",J332+H333,"")</f>
        <v/>
      </c>
      <c r="K333" s="9">
        <f>if($A333&lt;&gt;"",K332+I333,"")</f>
        <v/>
      </c>
      <c r="L333" s="11">
        <f>IF($A333&lt;&gt;"",IF(K333-J333=0,"tie",IF(K333-J333&gt;0,"+"&amp;K333-J333,"+"&amp;J333-K333)),"")</f>
        <v/>
      </c>
      <c r="M333" s="17" t="n"/>
      <c r="N333" s="17" t="n"/>
      <c r="O333" s="17" t="n"/>
      <c r="P333" s="17" t="n"/>
      <c r="Q333" s="17" t="n"/>
      <c r="R333" s="17" t="n"/>
      <c r="S333" s="17" t="n"/>
    </row>
    <row r="334">
      <c r="A334" s="15" t="n">
        <v>43260</v>
      </c>
      <c r="B334" s="9" t="n">
        <v>25</v>
      </c>
      <c r="C334" s="10" t="n">
        <v>30</v>
      </c>
      <c r="D334" s="17" t="inlineStr">
        <is>
          <t>Preston Way</t>
        </is>
      </c>
      <c r="E334" s="9">
        <f>if($A334&lt;&gt;"",E333+B334,"")</f>
        <v/>
      </c>
      <c r="F334" s="10">
        <f>if($A334&lt;&gt;"",F333+C334,"")</f>
        <v/>
      </c>
      <c r="G334" s="11">
        <f>IF($A334&lt;&gt;"",IF(F334-E334=0,"tie",IF(F334-E334&gt;0,"+"&amp;F334-E334,"+"&amp;E334-F334)),"")</f>
        <v/>
      </c>
      <c r="H334" s="12">
        <f>if($A334&lt;&gt;"",if(B334&gt;C334,if(B334&lt;60,1,2),""),"")</f>
        <v/>
      </c>
      <c r="I334" s="12">
        <f>if($A334&lt;&gt;"",if(C334&gt;B334,if(C334&lt;60,1,2),""),"")</f>
        <v/>
      </c>
      <c r="J334" s="9">
        <f>if($A334&lt;&gt;"",J333+H334,"")</f>
        <v/>
      </c>
      <c r="K334" s="9">
        <f>if($A334&lt;&gt;"",K333+I334,"")</f>
        <v/>
      </c>
      <c r="L334" s="11">
        <f>IF($A334&lt;&gt;"",IF(K334-J334=0,"tie",IF(K334-J334&gt;0,"+"&amp;K334-J334,"+"&amp;J334-K334)),"")</f>
        <v/>
      </c>
      <c r="M334" s="17" t="n"/>
      <c r="N334" s="17" t="n"/>
      <c r="O334" s="17" t="n"/>
      <c r="P334" s="17" t="n"/>
      <c r="Q334" s="17" t="n"/>
      <c r="R334" s="17" t="n"/>
      <c r="S334" s="17" t="n"/>
    </row>
    <row r="335">
      <c r="A335" s="15" t="n">
        <v>43281</v>
      </c>
      <c r="B335" s="9" t="n">
        <v>25</v>
      </c>
      <c r="C335" s="10" t="n">
        <v>30</v>
      </c>
      <c r="D335" s="17" t="inlineStr">
        <is>
          <t>Dinah’s</t>
        </is>
      </c>
      <c r="E335" s="9">
        <f>if($A335&lt;&gt;"",E334+B335,"")</f>
        <v/>
      </c>
      <c r="F335" s="10">
        <f>if($A335&lt;&gt;"",F334+C335,"")</f>
        <v/>
      </c>
      <c r="G335" s="11">
        <f>IF($A335&lt;&gt;"",IF(F335-E335=0,"tie",IF(F335-E335&gt;0,"+"&amp;F335-E335,"+"&amp;E335-F335)),"")</f>
        <v/>
      </c>
      <c r="H335" s="12">
        <f>if($A335&lt;&gt;"",if(B335&gt;C335,if(B335&lt;60,1,2),""),"")</f>
        <v/>
      </c>
      <c r="I335" s="12">
        <f>if($A335&lt;&gt;"",if(C335&gt;B335,if(C335&lt;60,1,2),""),"")</f>
        <v/>
      </c>
      <c r="J335" s="9">
        <f>if($A335&lt;&gt;"",J334+H335,"")</f>
        <v/>
      </c>
      <c r="K335" s="9">
        <f>if($A335&lt;&gt;"",K334+I335,"")</f>
        <v/>
      </c>
      <c r="L335" s="11">
        <f>IF($A335&lt;&gt;"",IF(K335-J335=0,"tie",IF(K335-J335&gt;0,"+"&amp;K335-J335,"+"&amp;J335-K335)),"")</f>
        <v/>
      </c>
      <c r="M335" s="17" t="n"/>
      <c r="N335" s="17" t="n"/>
      <c r="O335" s="17" t="n"/>
      <c r="P335" s="17" t="n"/>
      <c r="Q335" s="17" t="n"/>
      <c r="R335" s="17" t="n"/>
      <c r="S335" s="17" t="n"/>
    </row>
    <row r="336">
      <c r="A336" s="15" t="n">
        <v>43284</v>
      </c>
      <c r="B336" s="10" t="n">
        <v>30</v>
      </c>
      <c r="C336" s="9" t="n">
        <v>25</v>
      </c>
      <c r="D336" s="17" t="inlineStr">
        <is>
          <t>Clutch, Venice</t>
        </is>
      </c>
      <c r="E336" s="9">
        <f>if($A336&lt;&gt;"",E335+B336,"")</f>
        <v/>
      </c>
      <c r="F336" s="10">
        <f>if($A336&lt;&gt;"",F335+C336,"")</f>
        <v/>
      </c>
      <c r="G336" s="11">
        <f>IF($A336&lt;&gt;"",IF(F336-E336=0,"tie",IF(F336-E336&gt;0,"+"&amp;F336-E336,"+"&amp;E336-F336)),"")</f>
        <v/>
      </c>
      <c r="H336" s="12">
        <f>if($A336&lt;&gt;"",if(B336&gt;C336,if(B336&lt;60,1,2),""),"")</f>
        <v/>
      </c>
      <c r="I336" s="12">
        <f>if($A336&lt;&gt;"",if(C336&gt;B336,if(C336&lt;60,1,2),""),"")</f>
        <v/>
      </c>
      <c r="J336" s="9">
        <f>if($A336&lt;&gt;"",J335+H336,"")</f>
        <v/>
      </c>
      <c r="K336" s="9">
        <f>if($A336&lt;&gt;"",K335+I336,"")</f>
        <v/>
      </c>
      <c r="L336" s="11">
        <f>IF($A336&lt;&gt;"",IF(K336-J336=0,"tie",IF(K336-J336&gt;0,"+"&amp;K336-J336,"+"&amp;J336-K336)),"")</f>
        <v/>
      </c>
      <c r="M336" s="17" t="n"/>
      <c r="N336" s="17" t="n"/>
      <c r="O336" s="17" t="n"/>
      <c r="P336" s="17" t="n"/>
      <c r="Q336" s="17" t="n"/>
      <c r="R336" s="17" t="n"/>
      <c r="S336" s="17" t="n"/>
    </row>
    <row r="337">
      <c r="A337" s="15" t="n">
        <v>43287</v>
      </c>
      <c r="B337" s="10" t="n">
        <v>30</v>
      </c>
      <c r="C337" s="9" t="n">
        <v>25</v>
      </c>
      <c r="D337" s="17" t="inlineStr">
        <is>
          <t>Mariasol, Santa Monica Pier</t>
        </is>
      </c>
      <c r="E337" s="9">
        <f>if($A337&lt;&gt;"",E336+B337,"")</f>
        <v/>
      </c>
      <c r="F337" s="10">
        <f>if($A337&lt;&gt;"",F336+C337,"")</f>
        <v/>
      </c>
      <c r="G337" s="11">
        <f>IF($A337&lt;&gt;"",IF(F337-E337=0,"tie",IF(F337-E337&gt;0,"+"&amp;F337-E337,"+"&amp;E337-F337)),"")</f>
        <v/>
      </c>
      <c r="H337" s="12">
        <f>if($A337&lt;&gt;"",if(B337&gt;C337,if(B337&lt;60,1,2),""),"")</f>
        <v/>
      </c>
      <c r="I337" s="12">
        <f>if($A337&lt;&gt;"",if(C337&gt;B337,if(C337&lt;60,1,2),""),"")</f>
        <v/>
      </c>
      <c r="J337" s="9">
        <f>if($A337&lt;&gt;"",J336+H337,"")</f>
        <v/>
      </c>
      <c r="K337" s="9">
        <f>if($A337&lt;&gt;"",K336+I337,"")</f>
        <v/>
      </c>
      <c r="L337" s="11">
        <f>IF($A337&lt;&gt;"",IF(K337-J337=0,"tie",IF(K337-J337&gt;0,"+"&amp;K337-J337,"+"&amp;J337-K337)),"")</f>
        <v/>
      </c>
      <c r="M337" s="17" t="n"/>
      <c r="N337" s="17" t="n"/>
      <c r="O337" s="17" t="n"/>
      <c r="P337" s="17" t="n"/>
      <c r="Q337" s="17" t="n"/>
      <c r="R337" s="17" t="n"/>
      <c r="S337" s="17" t="n"/>
    </row>
    <row r="338">
      <c r="A338" s="15" t="n">
        <v>43288</v>
      </c>
      <c r="B338" s="10" t="n">
        <v>30</v>
      </c>
      <c r="C338" s="9" t="n">
        <v>25</v>
      </c>
      <c r="D338" s="17" t="inlineStr">
        <is>
          <t>Sharkie’s, MDR</t>
        </is>
      </c>
      <c r="E338" s="9">
        <f>if($A338&lt;&gt;"",E337+B338,"")</f>
        <v/>
      </c>
      <c r="F338" s="10">
        <f>if($A338&lt;&gt;"",F337+C338,"")</f>
        <v/>
      </c>
      <c r="G338" s="11">
        <f>IF($A338&lt;&gt;"",IF(F338-E338=0,"tie",IF(F338-E338&gt;0,"+"&amp;F338-E338,"+"&amp;E338-F338)),"")</f>
        <v/>
      </c>
      <c r="H338" s="12">
        <f>if($A338&lt;&gt;"",if(B338&gt;C338,if(B338&lt;60,1,2),""),"")</f>
        <v/>
      </c>
      <c r="I338" s="12">
        <f>if($A338&lt;&gt;"",if(C338&gt;B338,if(C338&lt;60,1,2),""),"")</f>
        <v/>
      </c>
      <c r="J338" s="9">
        <f>if($A338&lt;&gt;"",J337+H338,"")</f>
        <v/>
      </c>
      <c r="K338" s="9">
        <f>if($A338&lt;&gt;"",K337+I338,"")</f>
        <v/>
      </c>
      <c r="L338" s="11">
        <f>IF($A338&lt;&gt;"",IF(K338-J338=0,"tie",IF(K338-J338&gt;0,"+"&amp;K338-J338,"+"&amp;J338-K338)),"")</f>
        <v/>
      </c>
      <c r="M338" s="17" t="n"/>
      <c r="N338" s="17" t="n"/>
      <c r="O338" s="17" t="n"/>
      <c r="P338" s="17" t="n"/>
      <c r="Q338" s="17" t="n"/>
      <c r="R338" s="17" t="n"/>
      <c r="S338" s="17" t="n"/>
    </row>
    <row r="339">
      <c r="A339" s="15" t="n">
        <v>43300</v>
      </c>
      <c r="B339" s="9" t="n">
        <v>25</v>
      </c>
      <c r="C339" s="10" t="n">
        <v>30</v>
      </c>
      <c r="D339" s="17" t="inlineStr">
        <is>
          <t>Festive Walker, MDR</t>
        </is>
      </c>
      <c r="E339" s="9">
        <f>if($A339&lt;&gt;"",E338+B339,"")</f>
        <v/>
      </c>
      <c r="F339" s="10">
        <f>if($A339&lt;&gt;"",F338+C339,"")</f>
        <v/>
      </c>
      <c r="G339" s="11">
        <f>IF($A339&lt;&gt;"",IF(F339-E339=0,"tie",IF(F339-E339&gt;0,"+"&amp;F339-E339,"+"&amp;E339-F339)),"")</f>
        <v/>
      </c>
      <c r="H339" s="12">
        <f>if($A339&lt;&gt;"",if(B339&gt;C339,if(B339&lt;60,1,2),""),"")</f>
        <v/>
      </c>
      <c r="I339" s="12">
        <f>if($A339&lt;&gt;"",if(C339&gt;B339,if(C339&lt;60,1,2),""),"")</f>
        <v/>
      </c>
      <c r="J339" s="9">
        <f>if($A339&lt;&gt;"",J338+H339,"")</f>
        <v/>
      </c>
      <c r="K339" s="9">
        <f>if($A339&lt;&gt;"",K338+I339,"")</f>
        <v/>
      </c>
      <c r="L339" s="11">
        <f>IF($A339&lt;&gt;"",IF(K339-J339=0,"tie",IF(K339-J339&gt;0,"+"&amp;K339-J339,"+"&amp;J339-K339)),"")</f>
        <v/>
      </c>
      <c r="M339" s="17" t="n"/>
      <c r="N339" s="17" t="n"/>
      <c r="O339" s="17" t="n"/>
      <c r="P339" s="17" t="n"/>
      <c r="Q339" s="17" t="n"/>
      <c r="R339" s="17" t="n"/>
      <c r="S339" s="17" t="n"/>
    </row>
    <row r="340">
      <c r="A340" s="15" t="n">
        <v>43319</v>
      </c>
      <c r="B340" s="9" t="n">
        <v>25</v>
      </c>
      <c r="C340" s="10" t="n">
        <v>30</v>
      </c>
      <c r="D340" s="17" t="inlineStr">
        <is>
          <t>Preston Way</t>
        </is>
      </c>
      <c r="E340" s="9">
        <f>if($A340&lt;&gt;"",E339+B340,"")</f>
        <v/>
      </c>
      <c r="F340" s="10">
        <f>if($A340&lt;&gt;"",F339+C340,"")</f>
        <v/>
      </c>
      <c r="G340" s="11">
        <f>IF($A340&lt;&gt;"",IF(F340-E340=0,"tie",IF(F340-E340&gt;0,"+"&amp;F340-E340,"+"&amp;E340-F340)),"")</f>
        <v/>
      </c>
      <c r="H340" s="12">
        <f>if($A340&lt;&gt;"",if(B340&gt;C340,if(B340&lt;60,1,2),""),"")</f>
        <v/>
      </c>
      <c r="I340" s="12">
        <f>if($A340&lt;&gt;"",if(C340&gt;B340,if(C340&lt;60,1,2),""),"")</f>
        <v/>
      </c>
      <c r="J340" s="9">
        <f>if($A340&lt;&gt;"",J339+H340,"")</f>
        <v/>
      </c>
      <c r="K340" s="9">
        <f>if($A340&lt;&gt;"",K339+I340,"")</f>
        <v/>
      </c>
      <c r="L340" s="11">
        <f>IF($A340&lt;&gt;"",IF(K340-J340=0,"tie",IF(K340-J340&gt;0,"+"&amp;K340-J340,"+"&amp;J340-K340)),"")</f>
        <v/>
      </c>
      <c r="M340" s="17" t="n"/>
      <c r="N340" s="17" t="n"/>
      <c r="O340" s="17" t="n"/>
      <c r="P340" s="17" t="n"/>
      <c r="Q340" s="17" t="n"/>
      <c r="R340" s="17" t="n"/>
      <c r="S340" s="17" t="n"/>
    </row>
    <row r="341">
      <c r="A341" s="15" t="n">
        <v>43322</v>
      </c>
      <c r="B341" s="9" t="n">
        <v>25</v>
      </c>
      <c r="C341" s="10" t="n">
        <v>30</v>
      </c>
      <c r="D341" s="17" t="inlineStr">
        <is>
          <t>Terrace, MDR</t>
        </is>
      </c>
      <c r="E341" s="9">
        <f>if($A341&lt;&gt;"",E340+B341,"")</f>
        <v/>
      </c>
      <c r="F341" s="10">
        <f>if($A341&lt;&gt;"",F340+C341,"")</f>
        <v/>
      </c>
      <c r="G341" s="11">
        <f>IF($A341&lt;&gt;"",IF(F341-E341=0,"tie",IF(F341-E341&gt;0,"+"&amp;F341-E341,"+"&amp;E341-F341)),"")</f>
        <v/>
      </c>
      <c r="H341" s="12">
        <f>if($A341&lt;&gt;"",if(B341&gt;C341,if(B341&lt;60,1,2),""),"")</f>
        <v/>
      </c>
      <c r="I341" s="12">
        <f>if($A341&lt;&gt;"",if(C341&gt;B341,if(C341&lt;60,1,2),""),"")</f>
        <v/>
      </c>
      <c r="J341" s="9">
        <f>if($A341&lt;&gt;"",J340+H341,"")</f>
        <v/>
      </c>
      <c r="K341" s="9">
        <f>if($A341&lt;&gt;"",K340+I341,"")</f>
        <v/>
      </c>
      <c r="L341" s="11">
        <f>IF($A341&lt;&gt;"",IF(K341-J341=0,"tie",IF(K341-J341&gt;0,"+"&amp;K341-J341,"+"&amp;J341-K341)),"")</f>
        <v/>
      </c>
      <c r="M341" s="17" t="n"/>
      <c r="N341" s="17" t="n"/>
      <c r="O341" s="17" t="n"/>
      <c r="P341" s="17" t="n"/>
      <c r="Q341" s="17" t="n"/>
      <c r="R341" s="17" t="n"/>
      <c r="S341" s="17" t="n"/>
    </row>
    <row r="342">
      <c r="A342" s="15" t="n">
        <v>43322</v>
      </c>
      <c r="B342" s="9" t="n">
        <v>25</v>
      </c>
      <c r="C342" s="10" t="n">
        <v>30</v>
      </c>
      <c r="D342" s="17" t="inlineStr">
        <is>
          <t>Superba Bread and Food, Venice</t>
        </is>
      </c>
      <c r="E342" s="9">
        <f>if($A342&lt;&gt;"",E341+B342,"")</f>
        <v/>
      </c>
      <c r="F342" s="10">
        <f>if($A342&lt;&gt;"",F341+C342,"")</f>
        <v/>
      </c>
      <c r="G342" s="11">
        <f>IF($A342&lt;&gt;"",IF(F342-E342=0,"tie",IF(F342-E342&gt;0,"+"&amp;F342-E342,"+"&amp;E342-F342)),"")</f>
        <v/>
      </c>
      <c r="H342" s="12">
        <f>if($A342&lt;&gt;"",if(B342&gt;C342,if(B342&lt;60,1,2),""),"")</f>
        <v/>
      </c>
      <c r="I342" s="12">
        <f>if($A342&lt;&gt;"",if(C342&gt;B342,if(C342&lt;60,1,2),""),"")</f>
        <v/>
      </c>
      <c r="J342" s="9">
        <f>if($A342&lt;&gt;"",J341+H342,"")</f>
        <v/>
      </c>
      <c r="K342" s="9">
        <f>if($A342&lt;&gt;"",K341+I342,"")</f>
        <v/>
      </c>
      <c r="L342" s="11">
        <f>IF($A342&lt;&gt;"",IF(K342-J342=0,"tie",IF(K342-J342&gt;0,"+"&amp;K342-J342,"+"&amp;J342-K342)),"")</f>
        <v/>
      </c>
      <c r="M342" s="17" t="n"/>
      <c r="N342" s="17" t="n"/>
      <c r="O342" s="17" t="n"/>
      <c r="P342" s="17" t="n"/>
      <c r="Q342" s="17" t="n"/>
      <c r="R342" s="17" t="n"/>
      <c r="S342" s="17" t="n"/>
    </row>
    <row r="343">
      <c r="A343" s="15" t="n">
        <v>43323</v>
      </c>
      <c r="B343" s="10" t="n">
        <v>30</v>
      </c>
      <c r="C343" s="9" t="n">
        <v>25</v>
      </c>
      <c r="D343" s="17" t="inlineStr">
        <is>
          <t>J Nichols, MDR</t>
        </is>
      </c>
      <c r="E343" s="9">
        <f>if($A343&lt;&gt;"",E342+B343,"")</f>
        <v/>
      </c>
      <c r="F343" s="10">
        <f>if($A343&lt;&gt;"",F342+C343,"")</f>
        <v/>
      </c>
      <c r="G343" s="11">
        <f>IF($A343&lt;&gt;"",IF(F343-E343=0,"tie",IF(F343-E343&gt;0,"+"&amp;F343-E343,"+"&amp;E343-F343)),"")</f>
        <v/>
      </c>
      <c r="H343" s="12">
        <f>if($A343&lt;&gt;"",if(B343&gt;C343,if(B343&lt;60,1,2),""),"")</f>
        <v/>
      </c>
      <c r="I343" s="12">
        <f>if($A343&lt;&gt;"",if(C343&gt;B343,if(C343&lt;60,1,2),""),"")</f>
        <v/>
      </c>
      <c r="J343" s="9">
        <f>if($A343&lt;&gt;"",J342+H343,"")</f>
        <v/>
      </c>
      <c r="K343" s="9">
        <f>if($A343&lt;&gt;"",K342+I343,"")</f>
        <v/>
      </c>
      <c r="L343" s="11">
        <f>IF($A343&lt;&gt;"",IF(K343-J343=0,"tie",IF(K343-J343&gt;0,"+"&amp;K343-J343,"+"&amp;J343-K343)),"")</f>
        <v/>
      </c>
      <c r="M343" s="17" t="n"/>
      <c r="N343" s="17" t="n"/>
      <c r="O343" s="17" t="n"/>
      <c r="P343" s="17" t="n"/>
      <c r="Q343" s="17" t="n"/>
      <c r="R343" s="17" t="n"/>
      <c r="S343" s="17" t="n"/>
    </row>
    <row r="344">
      <c r="A344" s="15" t="n">
        <v>43325</v>
      </c>
      <c r="B344" s="10" t="n">
        <v>30</v>
      </c>
      <c r="C344" s="9" t="n">
        <v>25</v>
      </c>
      <c r="D344" s="17" t="inlineStr">
        <is>
          <t>Charcoal, MDR</t>
        </is>
      </c>
      <c r="E344" s="9">
        <f>if($A344&lt;&gt;"",E343+B344,"")</f>
        <v/>
      </c>
      <c r="F344" s="10">
        <f>if($A344&lt;&gt;"",F343+C344,"")</f>
        <v/>
      </c>
      <c r="G344" s="11">
        <f>IF($A344&lt;&gt;"",IF(F344-E344=0,"tie",IF(F344-E344&gt;0,"+"&amp;F344-E344,"+"&amp;E344-F344)),"")</f>
        <v/>
      </c>
      <c r="H344" s="12">
        <f>if($A344&lt;&gt;"",if(B344&gt;C344,if(B344&lt;60,1,2),""),"")</f>
        <v/>
      </c>
      <c r="I344" s="12">
        <f>if($A344&lt;&gt;"",if(C344&gt;B344,if(C344&lt;60,1,2),""),"")</f>
        <v/>
      </c>
      <c r="J344" s="9">
        <f>if($A344&lt;&gt;"",J343+H344,"")</f>
        <v/>
      </c>
      <c r="K344" s="9">
        <f>if($A344&lt;&gt;"",K343+I344,"")</f>
        <v/>
      </c>
      <c r="L344" s="11">
        <f>IF($A344&lt;&gt;"",IF(K344-J344=0,"tie",IF(K344-J344&gt;0,"+"&amp;K344-J344,"+"&amp;J344-K344)),"")</f>
        <v/>
      </c>
      <c r="M344" s="17" t="n"/>
      <c r="N344" s="17" t="n"/>
      <c r="O344" s="17" t="n"/>
      <c r="P344" s="17" t="n"/>
      <c r="Q344" s="17" t="n"/>
      <c r="R344" s="17" t="n"/>
      <c r="S344" s="17" t="n"/>
    </row>
    <row r="345">
      <c r="A345" s="15" t="n">
        <v>43326</v>
      </c>
      <c r="B345" s="10" t="n">
        <v>30</v>
      </c>
      <c r="C345" s="9" t="n">
        <v>25</v>
      </c>
      <c r="D345" s="17" t="inlineStr">
        <is>
          <t>Baja Cantina, MDR</t>
        </is>
      </c>
      <c r="E345" s="9">
        <f>if($A345&lt;&gt;"",E344+B345,"")</f>
        <v/>
      </c>
      <c r="F345" s="10">
        <f>if($A345&lt;&gt;"",F344+C345,"")</f>
        <v/>
      </c>
      <c r="G345" s="11">
        <f>IF($A345&lt;&gt;"",IF(F345-E345=0,"tie",IF(F345-E345&gt;0,"+"&amp;F345-E345,"+"&amp;E345-F345)),"")</f>
        <v/>
      </c>
      <c r="H345" s="12">
        <f>if($A345&lt;&gt;"",if(B345&gt;C345,if(B345&lt;60,1,2),""),"")</f>
        <v/>
      </c>
      <c r="I345" s="12">
        <f>if($A345&lt;&gt;"",if(C345&gt;B345,if(C345&lt;60,1,2),""),"")</f>
        <v/>
      </c>
      <c r="J345" s="9">
        <f>if($A345&lt;&gt;"",J344+H345,"")</f>
        <v/>
      </c>
      <c r="K345" s="9">
        <f>if($A345&lt;&gt;"",K344+I345,"")</f>
        <v/>
      </c>
      <c r="L345" s="11">
        <f>IF($A345&lt;&gt;"",IF(K345-J345=0,"tie",IF(K345-J345&gt;0,"+"&amp;K345-J345,"+"&amp;J345-K345)),"")</f>
        <v/>
      </c>
      <c r="M345" s="17" t="n"/>
      <c r="N345" s="17" t="n"/>
      <c r="O345" s="17" t="n"/>
      <c r="P345" s="17" t="n"/>
      <c r="Q345" s="17" t="n"/>
      <c r="R345" s="17" t="n"/>
      <c r="S345" s="17" t="n"/>
    </row>
    <row r="346">
      <c r="A346" s="15" t="n">
        <v>43333</v>
      </c>
      <c r="B346" s="9" t="n">
        <v>25</v>
      </c>
      <c r="C346" s="10" t="n">
        <v>30</v>
      </c>
      <c r="D346" s="17" t="inlineStr">
        <is>
          <t>Hiho, Santa Monica</t>
        </is>
      </c>
      <c r="E346" s="9">
        <f>if($A346&lt;&gt;"",E345+B346,"")</f>
        <v/>
      </c>
      <c r="F346" s="10">
        <f>if($A346&lt;&gt;"",F345+C346,"")</f>
        <v/>
      </c>
      <c r="G346" s="11">
        <f>IF($A346&lt;&gt;"",IF(F346-E346=0,"tie",IF(F346-E346&gt;0,"+"&amp;F346-E346,"+"&amp;E346-F346)),"")</f>
        <v/>
      </c>
      <c r="H346" s="12">
        <f>if($A346&lt;&gt;"",if(B346&gt;C346,if(B346&lt;60,1,2),""),"")</f>
        <v/>
      </c>
      <c r="I346" s="12">
        <f>if($A346&lt;&gt;"",if(C346&gt;B346,if(C346&lt;60,1,2),""),"")</f>
        <v/>
      </c>
      <c r="J346" s="9">
        <f>if($A346&lt;&gt;"",J345+H346,"")</f>
        <v/>
      </c>
      <c r="K346" s="9">
        <f>if($A346&lt;&gt;"",K345+I346,"")</f>
        <v/>
      </c>
      <c r="L346" s="11">
        <f>IF($A346&lt;&gt;"",IF(K346-J346=0,"tie",IF(K346-J346&gt;0,"+"&amp;K346-J346,"+"&amp;J346-K346)),"")</f>
        <v/>
      </c>
      <c r="M346" s="17" t="n"/>
      <c r="N346" s="17" t="n"/>
      <c r="O346" s="17" t="n"/>
      <c r="P346" s="17" t="n"/>
      <c r="Q346" s="17" t="n"/>
      <c r="R346" s="17" t="n"/>
      <c r="S346" s="17" t="n"/>
    </row>
    <row r="347">
      <c r="A347" s="15" t="n">
        <v>43337</v>
      </c>
      <c r="B347" s="9" t="n">
        <v>25</v>
      </c>
      <c r="C347" s="10" t="n">
        <v>30</v>
      </c>
      <c r="D347" s="17" t="inlineStr">
        <is>
          <t>Preston Way</t>
        </is>
      </c>
      <c r="E347" s="9">
        <f>if($A347&lt;&gt;"",E346+B347,"")</f>
        <v/>
      </c>
      <c r="F347" s="10">
        <f>if($A347&lt;&gt;"",F346+C347,"")</f>
        <v/>
      </c>
      <c r="G347" s="11">
        <f>IF($A347&lt;&gt;"",IF(F347-E347=0,"tie",IF(F347-E347&gt;0,"+"&amp;F347-E347,"+"&amp;E347-F347)),"")</f>
        <v/>
      </c>
      <c r="H347" s="12">
        <f>if($A347&lt;&gt;"",if(B347&gt;C347,if(B347&lt;60,1,2),""),"")</f>
        <v/>
      </c>
      <c r="I347" s="12">
        <f>if($A347&lt;&gt;"",if(C347&gt;B347,if(C347&lt;60,1,2),""),"")</f>
        <v/>
      </c>
      <c r="J347" s="9">
        <f>if($A347&lt;&gt;"",J346+H347,"")</f>
        <v/>
      </c>
      <c r="K347" s="9">
        <f>if($A347&lt;&gt;"",K346+I347,"")</f>
        <v/>
      </c>
      <c r="L347" s="11">
        <f>IF($A347&lt;&gt;"",IF(K347-J347=0,"tie",IF(K347-J347&gt;0,"+"&amp;K347-J347,"+"&amp;J347-K347)),"")</f>
        <v/>
      </c>
      <c r="M347" s="17" t="n"/>
      <c r="N347" s="17" t="n"/>
      <c r="O347" s="17" t="n"/>
      <c r="P347" s="17" t="n"/>
      <c r="Q347" s="17" t="n"/>
      <c r="R347" s="17" t="n"/>
      <c r="S347" s="17" t="n"/>
    </row>
    <row r="348">
      <c r="A348" s="15" t="n">
        <v>43362</v>
      </c>
      <c r="B348" s="9" t="n">
        <v>25</v>
      </c>
      <c r="C348" s="10" t="n">
        <v>30</v>
      </c>
      <c r="D348" s="17" t="inlineStr">
        <is>
          <t>Preston Way</t>
        </is>
      </c>
      <c r="E348" s="9">
        <f>if($A348&lt;&gt;"",E347+B348,"")</f>
        <v/>
      </c>
      <c r="F348" s="10">
        <f>if($A348&lt;&gt;"",F347+C348,"")</f>
        <v/>
      </c>
      <c r="G348" s="11">
        <f>IF($A348&lt;&gt;"",IF(F348-E348=0,"tie",IF(F348-E348&gt;0,"+"&amp;F348-E348,"+"&amp;E348-F348)),"")</f>
        <v/>
      </c>
      <c r="H348" s="12">
        <f>if($A348&lt;&gt;"",if(B348&gt;C348,if(B348&lt;60,1,2),""),"")</f>
        <v/>
      </c>
      <c r="I348" s="12">
        <f>if($A348&lt;&gt;"",if(C348&gt;B348,if(C348&lt;60,1,2),""),"")</f>
        <v/>
      </c>
      <c r="J348" s="9">
        <f>if($A348&lt;&gt;"",J347+H348,"")</f>
        <v/>
      </c>
      <c r="K348" s="9">
        <f>if($A348&lt;&gt;"",K347+I348,"")</f>
        <v/>
      </c>
      <c r="L348" s="11">
        <f>IF($A348&lt;&gt;"",IF(K348-J348=0,"tie",IF(K348-J348&gt;0,"+"&amp;K348-J348,"+"&amp;J348-K348)),"")</f>
        <v/>
      </c>
      <c r="M348" s="17" t="n"/>
      <c r="N348" s="17" t="n"/>
      <c r="O348" s="17" t="n"/>
      <c r="P348" s="17" t="n"/>
      <c r="Q348" s="17" t="n"/>
      <c r="R348" s="17" t="n"/>
      <c r="S348" s="17" t="n"/>
    </row>
    <row r="349">
      <c r="A349" s="15" t="n">
        <v>43375</v>
      </c>
      <c r="B349" s="9" t="n">
        <v>25</v>
      </c>
      <c r="C349" s="10" t="n">
        <v>30</v>
      </c>
      <c r="D349" s="17" t="inlineStr">
        <is>
          <t>Killer Cafe, MDR</t>
        </is>
      </c>
      <c r="E349" s="9">
        <f>if($A349&lt;&gt;"",E348+B349,"")</f>
        <v/>
      </c>
      <c r="F349" s="10">
        <f>if($A349&lt;&gt;"",F348+C349,"")</f>
        <v/>
      </c>
      <c r="G349" s="11">
        <f>IF($A349&lt;&gt;"",IF(F349-E349=0,"tie",IF(F349-E349&gt;0,"+"&amp;F349-E349,"+"&amp;E349-F349)),"")</f>
        <v/>
      </c>
      <c r="H349" s="12">
        <f>if($A349&lt;&gt;"",if(B349&gt;C349,if(B349&lt;60,1,2),""),"")</f>
        <v/>
      </c>
      <c r="I349" s="12">
        <f>if($A349&lt;&gt;"",if(C349&gt;B349,if(C349&lt;60,1,2),""),"")</f>
        <v/>
      </c>
      <c r="J349" s="9">
        <f>if($A349&lt;&gt;"",J348+H349,"")</f>
        <v/>
      </c>
      <c r="K349" s="9">
        <f>if($A349&lt;&gt;"",K348+I349,"")</f>
        <v/>
      </c>
      <c r="L349" s="11">
        <f>IF($A349&lt;&gt;"",IF(K349-J349=0,"tie",IF(K349-J349&gt;0,"+"&amp;K349-J349,"+"&amp;J349-K349)),"")</f>
        <v/>
      </c>
      <c r="M349" s="17" t="n"/>
      <c r="N349" s="17" t="n"/>
      <c r="O349" s="17" t="n"/>
      <c r="P349" s="17" t="n"/>
      <c r="Q349" s="17" t="n"/>
      <c r="R349" s="17" t="n"/>
      <c r="S349" s="17" t="n"/>
    </row>
    <row r="350">
      <c r="A350" s="15" t="n">
        <v>43378</v>
      </c>
      <c r="B350" s="10" t="n">
        <v>30</v>
      </c>
      <c r="C350" s="9" t="n">
        <v>25</v>
      </c>
      <c r="D350" s="17" t="inlineStr">
        <is>
          <t>Diner on Wilshire, SM</t>
        </is>
      </c>
      <c r="E350" s="9">
        <f>if($A350&lt;&gt;"",E349+B350,"")</f>
        <v/>
      </c>
      <c r="F350" s="10">
        <f>if($A350&lt;&gt;"",F349+C350,"")</f>
        <v/>
      </c>
      <c r="G350" s="11">
        <f>IF($A350&lt;&gt;"",IF(F350-E350=0,"tie",IF(F350-E350&gt;0,"+"&amp;F350-E350,"+"&amp;E350-F350)),"")</f>
        <v/>
      </c>
      <c r="H350" s="12">
        <f>if($A350&lt;&gt;"",if(B350&gt;C350,if(B350&lt;60,1,2),""),"")</f>
        <v/>
      </c>
      <c r="I350" s="12">
        <f>if($A350&lt;&gt;"",if(C350&gt;B350,if(C350&lt;60,1,2),""),"")</f>
        <v/>
      </c>
      <c r="J350" s="9">
        <f>if($A350&lt;&gt;"",J349+H350,"")</f>
        <v/>
      </c>
      <c r="K350" s="9">
        <f>if($A350&lt;&gt;"",K349+I350,"")</f>
        <v/>
      </c>
      <c r="L350" s="11">
        <f>IF($A350&lt;&gt;"",IF(K350-J350=0,"tie",IF(K350-J350&gt;0,"+"&amp;K350-J350,"+"&amp;J350-K350)),"")</f>
        <v/>
      </c>
      <c r="M350" s="17" t="n"/>
      <c r="N350" s="17" t="n"/>
      <c r="O350" s="17" t="n"/>
      <c r="P350" s="17" t="n"/>
      <c r="Q350" s="17" t="n"/>
      <c r="R350" s="17" t="n"/>
      <c r="S350" s="17" t="n"/>
    </row>
    <row r="351">
      <c r="A351" s="15" t="n">
        <v>43382</v>
      </c>
      <c r="B351" s="10" t="n">
        <v>30</v>
      </c>
      <c r="C351" s="9" t="n">
        <v>25</v>
      </c>
      <c r="D351" s="17" t="inlineStr">
        <is>
          <t>Erewon, SM</t>
        </is>
      </c>
      <c r="E351" s="9">
        <f>if($A351&lt;&gt;"",E350+B351,"")</f>
        <v/>
      </c>
      <c r="F351" s="10">
        <f>if($A351&lt;&gt;"",F350+C351,"")</f>
        <v/>
      </c>
      <c r="G351" s="11">
        <f>IF($A351&lt;&gt;"",IF(F351-E351=0,"tie",IF(F351-E351&gt;0,"+"&amp;F351-E351,"+"&amp;E351-F351)),"")</f>
        <v/>
      </c>
      <c r="H351" s="12">
        <f>if($A351&lt;&gt;"",if(B351&gt;C351,if(B351&lt;60,1,2),""),"")</f>
        <v/>
      </c>
      <c r="I351" s="12">
        <f>if($A351&lt;&gt;"",if(C351&gt;B351,if(C351&lt;60,1,2),""),"")</f>
        <v/>
      </c>
      <c r="J351" s="9">
        <f>if($A351&lt;&gt;"",J350+H351,"")</f>
        <v/>
      </c>
      <c r="K351" s="9">
        <f>if($A351&lt;&gt;"",K350+I351,"")</f>
        <v/>
      </c>
      <c r="L351" s="11">
        <f>IF($A351&lt;&gt;"",IF(K351-J351=0,"tie",IF(K351-J351&gt;0,"+"&amp;K351-J351,"+"&amp;J351-K351)),"")</f>
        <v/>
      </c>
      <c r="M351" s="17" t="n"/>
      <c r="N351" s="17" t="n"/>
      <c r="O351" s="17" t="n"/>
      <c r="P351" s="17" t="n"/>
      <c r="Q351" s="17" t="n"/>
      <c r="R351" s="17" t="n"/>
      <c r="S351" s="17" t="n"/>
    </row>
    <row r="352">
      <c r="A352" s="15" t="n">
        <v>43393</v>
      </c>
      <c r="B352" s="10" t="n">
        <v>30</v>
      </c>
      <c r="C352" s="9" t="n">
        <v>25</v>
      </c>
      <c r="D352" s="17" t="inlineStr">
        <is>
          <t>Preston Way</t>
        </is>
      </c>
      <c r="E352" s="9">
        <f>if($A352&lt;&gt;"",E351+B352,"")</f>
        <v/>
      </c>
      <c r="F352" s="10">
        <f>if($A352&lt;&gt;"",F351+C352,"")</f>
        <v/>
      </c>
      <c r="G352" s="11">
        <f>IF($A352&lt;&gt;"",IF(F352-E352=0,"tie",IF(F352-E352&gt;0,"+"&amp;F352-E352,"+"&amp;E352-F352)),"")</f>
        <v/>
      </c>
      <c r="H352" s="12">
        <f>if($A352&lt;&gt;"",if(B352&gt;C352,if(B352&lt;60,1,2),""),"")</f>
        <v/>
      </c>
      <c r="I352" s="12">
        <f>if($A352&lt;&gt;"",if(C352&gt;B352,if(C352&lt;60,1,2),""),"")</f>
        <v/>
      </c>
      <c r="J352" s="9">
        <f>if($A352&lt;&gt;"",J351+H352,"")</f>
        <v/>
      </c>
      <c r="K352" s="9">
        <f>if($A352&lt;&gt;"",K351+I352,"")</f>
        <v/>
      </c>
      <c r="L352" s="11">
        <f>IF($A352&lt;&gt;"",IF(K352-J352=0,"tie",IF(K352-J352&gt;0,"+"&amp;K352-J352,"+"&amp;J352-K352)),"")</f>
        <v/>
      </c>
      <c r="M352" s="17" t="n"/>
      <c r="N352" s="17" t="n"/>
      <c r="O352" s="17" t="n"/>
      <c r="P352" s="17" t="n"/>
      <c r="Q352" s="17" t="n"/>
      <c r="R352" s="17" t="n"/>
      <c r="S352" s="17" t="n"/>
    </row>
    <row r="353">
      <c r="A353" s="15" t="n">
        <v>43397</v>
      </c>
      <c r="B353" s="10" t="n">
        <v>30</v>
      </c>
      <c r="C353" s="9" t="n">
        <v>25</v>
      </c>
      <c r="D353" s="17" t="inlineStr">
        <is>
          <t>Meat, SM</t>
        </is>
      </c>
      <c r="E353" s="9">
        <f>if($A353&lt;&gt;"",E352+B353,"")</f>
        <v/>
      </c>
      <c r="F353" s="10">
        <f>if($A353&lt;&gt;"",F352+C353,"")</f>
        <v/>
      </c>
      <c r="G353" s="11">
        <f>IF($A353&lt;&gt;"",IF(F353-E353=0,"tie",IF(F353-E353&gt;0,"+"&amp;F353-E353,"+"&amp;E353-F353)),"")</f>
        <v/>
      </c>
      <c r="H353" s="12">
        <f>if($A353&lt;&gt;"",if(B353&gt;C353,if(B353&lt;60,1,2),""),"")</f>
        <v/>
      </c>
      <c r="I353" s="12">
        <f>if($A353&lt;&gt;"",if(C353&gt;B353,if(C353&lt;60,1,2),""),"")</f>
        <v/>
      </c>
      <c r="J353" s="9">
        <f>if($A353&lt;&gt;"",J352+H353,"")</f>
        <v/>
      </c>
      <c r="K353" s="9">
        <f>if($A353&lt;&gt;"",K352+I353,"")</f>
        <v/>
      </c>
      <c r="L353" s="11">
        <f>IF($A353&lt;&gt;"",IF(K353-J353=0,"tie",IF(K353-J353&gt;0,"+"&amp;K353-J353,"+"&amp;J353-K353)),"")</f>
        <v/>
      </c>
      <c r="M353" s="17" t="n"/>
      <c r="N353" s="17" t="n"/>
      <c r="O353" s="17" t="n"/>
      <c r="P353" s="17" t="n"/>
      <c r="Q353" s="17" t="n"/>
      <c r="R353" s="17" t="n"/>
      <c r="S353" s="17" t="n"/>
    </row>
    <row r="354">
      <c r="A354" s="15" t="n">
        <v>43400</v>
      </c>
      <c r="B354" s="9" t="n">
        <v>25</v>
      </c>
      <c r="C354" s="10" t="n">
        <v>30</v>
      </c>
      <c r="D354" s="17" t="inlineStr">
        <is>
          <t>George's Burgers, Santa Monica</t>
        </is>
      </c>
      <c r="E354" s="9">
        <f>if($A354&lt;&gt;"",E353+B354,"")</f>
        <v/>
      </c>
      <c r="F354" s="10">
        <f>if($A354&lt;&gt;"",F353+C354,"")</f>
        <v/>
      </c>
      <c r="G354" s="11">
        <f>IF($A354&lt;&gt;"",IF(F354-E354=0,"tie",IF(F354-E354&gt;0,"+"&amp;F354-E354,"+"&amp;E354-F354)),"")</f>
        <v/>
      </c>
      <c r="H354" s="12">
        <f>if($A354&lt;&gt;"",if(B354&gt;C354,if(B354&lt;60,1,2),""),"")</f>
        <v/>
      </c>
      <c r="I354" s="12">
        <f>if($A354&lt;&gt;"",if(C354&gt;B354,if(C354&lt;60,1,2),""),"")</f>
        <v/>
      </c>
      <c r="J354" s="9">
        <f>if($A354&lt;&gt;"",J353+H354,"")</f>
        <v/>
      </c>
      <c r="K354" s="9">
        <f>if($A354&lt;&gt;"",K353+I354,"")</f>
        <v/>
      </c>
      <c r="L354" s="11">
        <f>IF($A354&lt;&gt;"",IF(K354-J354=0,"tie",IF(K354-J354&gt;0,"+"&amp;K354-J354,"+"&amp;J354-K354)),"")</f>
        <v/>
      </c>
      <c r="M354" s="17" t="n"/>
      <c r="N354" s="17" t="n"/>
      <c r="O354" s="17" t="n"/>
      <c r="P354" s="17" t="n"/>
      <c r="Q354" s="17" t="n"/>
      <c r="R354" s="17" t="n"/>
      <c r="S354" s="17" t="n"/>
    </row>
    <row r="355">
      <c r="A355" s="15" t="n">
        <v>43414</v>
      </c>
      <c r="B355" s="9" t="n">
        <v>25</v>
      </c>
      <c r="C355" s="10" t="n">
        <v>30</v>
      </c>
      <c r="D355" s="17" t="inlineStr">
        <is>
          <t>Preston Way</t>
        </is>
      </c>
      <c r="E355" s="9">
        <f>if($A355&lt;&gt;"",E354+B355,"")</f>
        <v/>
      </c>
      <c r="F355" s="10">
        <f>if($A355&lt;&gt;"",F354+C355,"")</f>
        <v/>
      </c>
      <c r="G355" s="11">
        <f>IF($A355&lt;&gt;"",IF(F355-E355=0,"tie",IF(F355-E355&gt;0,"+"&amp;F355-E355,"+"&amp;E355-F355)),"")</f>
        <v/>
      </c>
      <c r="H355" s="12">
        <f>if($A355&lt;&gt;"",if(B355&gt;C355,if(B355&lt;60,1,2),""),"")</f>
        <v/>
      </c>
      <c r="I355" s="12">
        <f>if($A355&lt;&gt;"",if(C355&gt;B355,if(C355&lt;60,1,2),""),"")</f>
        <v/>
      </c>
      <c r="J355" s="9">
        <f>if($A355&lt;&gt;"",J354+H355,"")</f>
        <v/>
      </c>
      <c r="K355" s="9">
        <f>if($A355&lt;&gt;"",K354+I355,"")</f>
        <v/>
      </c>
      <c r="L355" s="11">
        <f>IF($A355&lt;&gt;"",IF(K355-J355=0,"tie",IF(K355-J355&gt;0,"+"&amp;K355-J355,"+"&amp;J355-K355)),"")</f>
        <v/>
      </c>
      <c r="M355" s="17" t="n"/>
      <c r="N355" s="17" t="n"/>
      <c r="O355" s="17" t="n"/>
      <c r="P355" s="17" t="n"/>
      <c r="Q355" s="17" t="n"/>
      <c r="R355" s="17" t="n"/>
      <c r="S355" s="17" t="n"/>
    </row>
    <row r="356">
      <c r="A356" s="15" t="n">
        <v>43429</v>
      </c>
      <c r="B356" s="10" t="n">
        <v>30</v>
      </c>
      <c r="C356" s="9" t="n">
        <v>25</v>
      </c>
      <c r="D356" s="17" t="inlineStr">
        <is>
          <t>Port Hueneme</t>
        </is>
      </c>
      <c r="E356" s="9">
        <f>if($A356&lt;&gt;"",E355+B356,"")</f>
        <v/>
      </c>
      <c r="F356" s="10">
        <f>if($A356&lt;&gt;"",F355+C356,"")</f>
        <v/>
      </c>
      <c r="G356" s="11">
        <f>IF($A356&lt;&gt;"",IF(F356-E356=0,"tie",IF(F356-E356&gt;0,"+"&amp;F356-E356,"+"&amp;E356-F356)),"")</f>
        <v/>
      </c>
      <c r="H356" s="12">
        <f>if($A356&lt;&gt;"",if(B356&gt;C356,if(B356&lt;60,1,2),""),"")</f>
        <v/>
      </c>
      <c r="I356" s="12">
        <f>if($A356&lt;&gt;"",if(C356&gt;B356,if(C356&lt;60,1,2),""),"")</f>
        <v/>
      </c>
      <c r="J356" s="9">
        <f>if($A356&lt;&gt;"",J355+H356,"")</f>
        <v/>
      </c>
      <c r="K356" s="9">
        <f>if($A356&lt;&gt;"",K355+I356,"")</f>
        <v/>
      </c>
      <c r="L356" s="11">
        <f>IF($A356&lt;&gt;"",IF(K356-J356=0,"tie",IF(K356-J356&gt;0,"+"&amp;K356-J356,"+"&amp;J356-K356)),"")</f>
        <v/>
      </c>
      <c r="M356" s="17" t="n"/>
      <c r="N356" s="17" t="n"/>
      <c r="O356" s="17" t="n"/>
      <c r="P356" s="17" t="n"/>
      <c r="Q356" s="17" t="n"/>
      <c r="R356" s="17" t="n"/>
      <c r="S356" s="17" t="n"/>
    </row>
    <row r="357">
      <c r="A357" s="15" t="n">
        <v>43429</v>
      </c>
      <c r="B357" s="9" t="n">
        <v>25</v>
      </c>
      <c r="C357" s="10" t="n">
        <v>30</v>
      </c>
      <c r="D357" s="17" t="inlineStr">
        <is>
          <t>Port Hueneme</t>
        </is>
      </c>
      <c r="E357" s="9">
        <f>if($A357&lt;&gt;"",E356+B357,"")</f>
        <v/>
      </c>
      <c r="F357" s="10">
        <f>if($A357&lt;&gt;"",F356+C357,"")</f>
        <v/>
      </c>
      <c r="G357" s="11">
        <f>IF($A357&lt;&gt;"",IF(F357-E357=0,"tie",IF(F357-E357&gt;0,"+"&amp;F357-E357,"+"&amp;E357-F357)),"")</f>
        <v/>
      </c>
      <c r="H357" s="12">
        <f>if($A357&lt;&gt;"",if(B357&gt;C357,if(B357&lt;60,1,2),""),"")</f>
        <v/>
      </c>
      <c r="I357" s="12">
        <f>if($A357&lt;&gt;"",if(C357&gt;B357,if(C357&lt;60,1,2),""),"")</f>
        <v/>
      </c>
      <c r="J357" s="9">
        <f>if($A357&lt;&gt;"",J356+H357,"")</f>
        <v/>
      </c>
      <c r="K357" s="9">
        <f>if($A357&lt;&gt;"",K356+I357,"")</f>
        <v/>
      </c>
      <c r="L357" s="11">
        <f>IF($A357&lt;&gt;"",IF(K357-J357=0,"tie",IF(K357-J357&gt;0,"+"&amp;K357-J357,"+"&amp;J357-K357)),"")</f>
        <v/>
      </c>
      <c r="M357" s="17" t="n"/>
      <c r="N357" s="17" t="n"/>
      <c r="O357" s="17" t="n"/>
      <c r="P357" s="17" t="n"/>
      <c r="Q357" s="17" t="n"/>
      <c r="R357" s="17" t="n"/>
      <c r="S357" s="17" t="n"/>
    </row>
    <row r="358">
      <c r="A358" s="15" t="n">
        <v>43429</v>
      </c>
      <c r="B358" s="9" t="n">
        <v>25</v>
      </c>
      <c r="C358" s="10" t="n">
        <v>30</v>
      </c>
      <c r="D358" s="17" t="inlineStr">
        <is>
          <t>Fred 62</t>
        </is>
      </c>
      <c r="E358" s="9">
        <f>if($A358&lt;&gt;"",E357+B358,"")</f>
        <v/>
      </c>
      <c r="F358" s="10">
        <f>if($A358&lt;&gt;"",F357+C358,"")</f>
        <v/>
      </c>
      <c r="G358" s="11">
        <f>IF($A358&lt;&gt;"",IF(F358-E358=0,"tie",IF(F358-E358&gt;0,"+"&amp;F358-E358,"+"&amp;E358-F358)),"")</f>
        <v/>
      </c>
      <c r="H358" s="12">
        <f>if($A358&lt;&gt;"",if(B358&gt;C358,if(B358&lt;60,1,2),""),"")</f>
        <v/>
      </c>
      <c r="I358" s="12">
        <f>if($A358&lt;&gt;"",if(C358&gt;B358,if(C358&lt;60,1,2),""),"")</f>
        <v/>
      </c>
      <c r="J358" s="9">
        <f>if($A358&lt;&gt;"",J357+H358,"")</f>
        <v/>
      </c>
      <c r="K358" s="9">
        <f>if($A358&lt;&gt;"",K357+I358,"")</f>
        <v/>
      </c>
      <c r="L358" s="11">
        <f>IF($A358&lt;&gt;"",IF(K358-J358=0,"tie",IF(K358-J358&gt;0,"+"&amp;K358-J358,"+"&amp;J358-K358)),"")</f>
        <v/>
      </c>
      <c r="M358" s="17" t="n"/>
      <c r="N358" s="17" t="n"/>
      <c r="O358" s="17" t="n"/>
      <c r="P358" s="17" t="n"/>
      <c r="Q358" s="17" t="n"/>
      <c r="R358" s="17" t="n"/>
      <c r="S358" s="17" t="n"/>
    </row>
    <row r="359">
      <c r="A359" s="15" t="n">
        <v>43434</v>
      </c>
      <c r="B359" s="9" t="n">
        <v>25</v>
      </c>
      <c r="C359" s="10" t="n">
        <v>30</v>
      </c>
      <c r="D359" s="17" t="inlineStr">
        <is>
          <t>Green’s Up</t>
        </is>
      </c>
      <c r="E359" s="9">
        <f>if($A359&lt;&gt;"",E358+B359,"")</f>
        <v/>
      </c>
      <c r="F359" s="10">
        <f>if($A359&lt;&gt;"",F358+C359,"")</f>
        <v/>
      </c>
      <c r="G359" s="11">
        <f>IF($A359&lt;&gt;"",IF(F359-E359=0,"tie",IF(F359-E359&gt;0,"+"&amp;F359-E359,"+"&amp;E359-F359)),"")</f>
        <v/>
      </c>
      <c r="H359" s="12">
        <f>if($A359&lt;&gt;"",if(B359&gt;C359,if(B359&lt;60,1,2),""),"")</f>
        <v/>
      </c>
      <c r="I359" s="12">
        <f>if($A359&lt;&gt;"",if(C359&gt;B359,if(C359&lt;60,1,2),""),"")</f>
        <v/>
      </c>
      <c r="J359" s="9">
        <f>if($A359&lt;&gt;"",J358+H359,"")</f>
        <v/>
      </c>
      <c r="K359" s="9">
        <f>if($A359&lt;&gt;"",K358+I359,"")</f>
        <v/>
      </c>
      <c r="L359" s="11">
        <f>IF($A359&lt;&gt;"",IF(K359-J359=0,"tie",IF(K359-J359&gt;0,"+"&amp;K359-J359,"+"&amp;J359-K359)),"")</f>
        <v/>
      </c>
      <c r="M359" s="17" t="n"/>
      <c r="N359" s="17" t="n"/>
      <c r="O359" s="17" t="n"/>
      <c r="P359" s="17" t="n"/>
      <c r="Q359" s="17" t="n"/>
      <c r="R359" s="17" t="n"/>
      <c r="S359" s="17" t="n"/>
    </row>
    <row r="360">
      <c r="A360" s="15" t="n">
        <v>43470</v>
      </c>
      <c r="B360" s="9" t="n">
        <v>25</v>
      </c>
      <c r="C360" s="10" t="n">
        <v>30</v>
      </c>
      <c r="D360" s="17" t="inlineStr">
        <is>
          <t>Henri’s, Oxnard</t>
        </is>
      </c>
      <c r="E360" s="9">
        <f>if($A360&lt;&gt;"",E359+B360,"")</f>
        <v/>
      </c>
      <c r="F360" s="10">
        <f>if($A360&lt;&gt;"",F359+C360,"")</f>
        <v/>
      </c>
      <c r="G360" s="11">
        <f>IF($A360&lt;&gt;"",IF(F360-E360=0,"tie",IF(F360-E360&gt;0,"+"&amp;F360-E360,"+"&amp;E360-F360)),"")</f>
        <v/>
      </c>
      <c r="H360" s="12">
        <f>if($A360&lt;&gt;"",if(B360&gt;C360,if(B360&lt;60,1,2),""),"")</f>
        <v/>
      </c>
      <c r="I360" s="12">
        <f>if($A360&lt;&gt;"",if(C360&gt;B360,if(C360&lt;60,1,2),""),"")</f>
        <v/>
      </c>
      <c r="J360" s="9">
        <f>if($A360&lt;&gt;"",J359+H360,"")</f>
        <v/>
      </c>
      <c r="K360" s="9">
        <f>if($A360&lt;&gt;"",K359+I360,"")</f>
        <v/>
      </c>
      <c r="L360" s="11">
        <f>IF($A360&lt;&gt;"",IF(K360-J360=0,"tie",IF(K360-J360&gt;0,"+"&amp;K360-J360,"+"&amp;J360-K360)),"")</f>
        <v/>
      </c>
      <c r="M360" s="17" t="n"/>
      <c r="N360" s="17" t="n"/>
      <c r="O360" s="17" t="n"/>
      <c r="P360" s="17" t="n"/>
      <c r="Q360" s="17" t="n"/>
      <c r="R360" s="17" t="n"/>
      <c r="S360" s="17" t="n"/>
    </row>
    <row r="361">
      <c r="A361" s="15" t="n">
        <v>43477</v>
      </c>
      <c r="B361" s="9" t="n">
        <v>25</v>
      </c>
      <c r="C361" s="10" t="n">
        <v>30</v>
      </c>
      <c r="D361" s="17" t="inlineStr">
        <is>
          <t>Liquid Room, Culver City</t>
        </is>
      </c>
      <c r="E361" s="9">
        <f>if($A361&lt;&gt;"",E360+B361,"")</f>
        <v/>
      </c>
      <c r="F361" s="10">
        <f>if($A361&lt;&gt;"",F360+C361,"")</f>
        <v/>
      </c>
      <c r="G361" s="11">
        <f>IF($A361&lt;&gt;"",IF(F361-E361=0,"tie",IF(F361-E361&gt;0,"+"&amp;F361-E361,"+"&amp;E361-F361)),"")</f>
        <v/>
      </c>
      <c r="H361" s="12">
        <f>if($A361&lt;&gt;"",if(B361&gt;C361,if(B361&lt;60,1,2),""),"")</f>
        <v/>
      </c>
      <c r="I361" s="12">
        <f>if($A361&lt;&gt;"",if(C361&gt;B361,if(C361&lt;60,1,2),""),"")</f>
        <v/>
      </c>
      <c r="J361" s="9">
        <f>if($A361&lt;&gt;"",J360+H361,"")</f>
        <v/>
      </c>
      <c r="K361" s="9">
        <f>if($A361&lt;&gt;"",K360+I361,"")</f>
        <v/>
      </c>
      <c r="L361" s="11">
        <f>IF($A361&lt;&gt;"",IF(K361-J361=0,"tie",IF(K361-J361&gt;0,"+"&amp;K361-J361,"+"&amp;J361-K361)),"")</f>
        <v/>
      </c>
      <c r="M361" s="17" t="n"/>
      <c r="N361" s="17" t="n"/>
      <c r="O361" s="17" t="n"/>
      <c r="P361" s="17" t="n"/>
      <c r="Q361" s="17" t="n"/>
      <c r="R361" s="17" t="n"/>
      <c r="S361" s="17" t="n"/>
    </row>
    <row r="362">
      <c r="A362" s="15" t="n">
        <v>43485</v>
      </c>
      <c r="B362" s="9" t="n">
        <v>25</v>
      </c>
      <c r="C362" s="10" t="n">
        <v>30</v>
      </c>
      <c r="D362" s="17" t="inlineStr">
        <is>
          <t>Big Bear</t>
        </is>
      </c>
      <c r="E362" s="9">
        <f>if($A362&lt;&gt;"",E361+B362,"")</f>
        <v/>
      </c>
      <c r="F362" s="10">
        <f>if($A362&lt;&gt;"",F361+C362,"")</f>
        <v/>
      </c>
      <c r="G362" s="11">
        <f>IF($A362&lt;&gt;"",IF(F362-E362=0,"tie",IF(F362-E362&gt;0,"+"&amp;F362-E362,"+"&amp;E362-F362)),"")</f>
        <v/>
      </c>
      <c r="H362" s="12">
        <f>if($A362&lt;&gt;"",if(B362&gt;C362,if(B362&lt;60,1,2),""),"")</f>
        <v/>
      </c>
      <c r="I362" s="12">
        <f>if($A362&lt;&gt;"",if(C362&gt;B362,if(C362&lt;60,1,2),""),"")</f>
        <v/>
      </c>
      <c r="J362" s="9">
        <f>if($A362&lt;&gt;"",J361+H362,"")</f>
        <v/>
      </c>
      <c r="K362" s="9">
        <f>if($A362&lt;&gt;"",K361+I362,"")</f>
        <v/>
      </c>
      <c r="L362" s="11">
        <f>IF($A362&lt;&gt;"",IF(K362-J362=0,"tie",IF(K362-J362&gt;0,"+"&amp;K362-J362,"+"&amp;J362-K362)),"")</f>
        <v/>
      </c>
      <c r="M362" s="17" t="n"/>
      <c r="N362" s="17" t="n"/>
      <c r="O362" s="17" t="n"/>
      <c r="P362" s="17" t="n"/>
      <c r="Q362" s="17" t="n"/>
      <c r="R362" s="17" t="n"/>
      <c r="S362" s="17" t="n"/>
    </row>
    <row r="363">
      <c r="A363" s="15" t="n">
        <v>43497</v>
      </c>
      <c r="B363" s="10" t="n">
        <v>30</v>
      </c>
      <c r="C363" s="9" t="n">
        <v>25</v>
      </c>
      <c r="D363" s="17" t="inlineStr">
        <is>
          <t>Makani, Venice</t>
        </is>
      </c>
      <c r="E363" s="9">
        <f>if($A363&lt;&gt;"",E362+B363,"")</f>
        <v/>
      </c>
      <c r="F363" s="10">
        <f>if($A363&lt;&gt;"",F362+C363,"")</f>
        <v/>
      </c>
      <c r="G363" s="11">
        <f>IF($A363&lt;&gt;"",IF(F363-E363=0,"tie",IF(F363-E363&gt;0,"+"&amp;F363-E363,"+"&amp;E363-F363)),"")</f>
        <v/>
      </c>
      <c r="H363" s="12">
        <f>if($A363&lt;&gt;"",if(B363&gt;C363,if(B363&lt;60,1,2),""),"")</f>
        <v/>
      </c>
      <c r="I363" s="12">
        <f>if($A363&lt;&gt;"",if(C363&gt;B363,if(C363&lt;60,1,2),""),"")</f>
        <v/>
      </c>
      <c r="J363" s="9">
        <f>if($A363&lt;&gt;"",J362+H363,"")</f>
        <v/>
      </c>
      <c r="K363" s="9">
        <f>if($A363&lt;&gt;"",K362+I363,"")</f>
        <v/>
      </c>
      <c r="L363" s="11">
        <f>IF($A363&lt;&gt;"",IF(K363-J363=0,"tie",IF(K363-J363&gt;0,"+"&amp;K363-J363,"+"&amp;J363-K363)),"")</f>
        <v/>
      </c>
      <c r="M363" s="17" t="n"/>
      <c r="N363" s="17" t="n"/>
      <c r="O363" s="17" t="n"/>
      <c r="P363" s="17" t="n"/>
      <c r="Q363" s="17" t="n"/>
      <c r="R363" s="17" t="n"/>
      <c r="S363" s="17" t="n"/>
    </row>
    <row r="364">
      <c r="A364" s="15" t="n">
        <v>43519</v>
      </c>
      <c r="B364" s="9" t="n">
        <v>25</v>
      </c>
      <c r="C364" s="10" t="n">
        <v>30</v>
      </c>
      <c r="D364" s="17" t="inlineStr">
        <is>
          <t>Jimmy’s Famous American Tavern, Santa Monica</t>
        </is>
      </c>
      <c r="E364" s="9">
        <f>if($A364&lt;&gt;"",E363+B364,"")</f>
        <v/>
      </c>
      <c r="F364" s="10">
        <f>if($A364&lt;&gt;"",F363+C364,"")</f>
        <v/>
      </c>
      <c r="G364" s="11">
        <f>IF($A364&lt;&gt;"",IF(F364-E364=0,"tie",IF(F364-E364&gt;0,"+"&amp;F364-E364,"+"&amp;E364-F364)),"")</f>
        <v/>
      </c>
      <c r="H364" s="12">
        <f>if($A364&lt;&gt;"",if(B364&gt;C364,if(B364&lt;60,1,2),""),"")</f>
        <v/>
      </c>
      <c r="I364" s="12">
        <f>if($A364&lt;&gt;"",if(C364&gt;B364,if(C364&lt;60,1,2),""),"")</f>
        <v/>
      </c>
      <c r="J364" s="9">
        <f>if($A364&lt;&gt;"",J363+H364,"")</f>
        <v/>
      </c>
      <c r="K364" s="9">
        <f>if($A364&lt;&gt;"",K363+I364,"")</f>
        <v/>
      </c>
      <c r="L364" s="11">
        <f>IF($A364&lt;&gt;"",IF(K364-J364=0,"tie",IF(K364-J364&gt;0,"+"&amp;K364-J364,"+"&amp;J364-K364)),"")</f>
        <v/>
      </c>
      <c r="M364" s="17" t="n"/>
      <c r="N364" s="17" t="n"/>
      <c r="O364" s="17" t="n"/>
      <c r="P364" s="17" t="n"/>
      <c r="Q364" s="17" t="n"/>
      <c r="R364" s="17" t="n"/>
      <c r="S364" s="17" t="n"/>
    </row>
    <row r="365">
      <c r="A365" s="15" t="n">
        <v>43546</v>
      </c>
      <c r="B365" s="9" t="n">
        <v>25</v>
      </c>
      <c r="C365" s="10" t="n">
        <v>30</v>
      </c>
      <c r="D365" s="17" t="inlineStr">
        <is>
          <t>La Cabańa, Venice</t>
        </is>
      </c>
      <c r="E365" s="9">
        <f>if($A365&lt;&gt;"",E364+B365,"")</f>
        <v/>
      </c>
      <c r="F365" s="10">
        <f>if($A365&lt;&gt;"",F364+C365,"")</f>
        <v/>
      </c>
      <c r="G365" s="11">
        <f>IF($A365&lt;&gt;"",IF(F365-E365=0,"tie",IF(F365-E365&gt;0,"+"&amp;F365-E365,"+"&amp;E365-F365)),"")</f>
        <v/>
      </c>
      <c r="H365" s="12">
        <f>if($A365&lt;&gt;"",if(B365&gt;C365,if(B365&lt;60,1,2),""),"")</f>
        <v/>
      </c>
      <c r="I365" s="12">
        <f>if($A365&lt;&gt;"",if(C365&gt;B365,if(C365&lt;60,1,2),""),"")</f>
        <v/>
      </c>
      <c r="J365" s="9">
        <f>if($A365&lt;&gt;"",J364+H365,"")</f>
        <v/>
      </c>
      <c r="K365" s="9">
        <f>if($A365&lt;&gt;"",K364+I365,"")</f>
        <v/>
      </c>
      <c r="L365" s="11">
        <f>IF($A365&lt;&gt;"",IF(K365-J365=0,"tie",IF(K365-J365&gt;0,"+"&amp;K365-J365,"+"&amp;J365-K365)),"")</f>
        <v/>
      </c>
      <c r="M365" s="17" t="n"/>
      <c r="N365" s="17" t="n"/>
      <c r="O365" s="17" t="n"/>
      <c r="P365" s="17" t="n"/>
      <c r="Q365" s="17" t="n"/>
      <c r="R365" s="17" t="n"/>
      <c r="S365" s="17" t="n"/>
    </row>
    <row r="366">
      <c r="A366" s="15" t="n">
        <v>43549</v>
      </c>
      <c r="B366" s="9" t="n">
        <v>25</v>
      </c>
      <c r="C366" s="10" t="n">
        <v>30</v>
      </c>
      <c r="D366" s="17" t="inlineStr">
        <is>
          <t>Mes’s Diner, Santa Monica</t>
        </is>
      </c>
      <c r="E366" s="9">
        <f>if($A366&lt;&gt;"",E365+B366,"")</f>
        <v/>
      </c>
      <c r="F366" s="10">
        <f>if($A366&lt;&gt;"",F365+C366,"")</f>
        <v/>
      </c>
      <c r="G366" s="11">
        <f>IF($A366&lt;&gt;"",IF(F366-E366=0,"tie",IF(F366-E366&gt;0,"+"&amp;F366-E366,"+"&amp;E366-F366)),"")</f>
        <v/>
      </c>
      <c r="H366" s="12">
        <f>if($A366&lt;&gt;"",if(B366&gt;C366,if(B366&lt;60,1,2),""),"")</f>
        <v/>
      </c>
      <c r="I366" s="12">
        <f>if($A366&lt;&gt;"",if(C366&gt;B366,if(C366&lt;60,1,2),""),"")</f>
        <v/>
      </c>
      <c r="J366" s="9">
        <f>if($A366&lt;&gt;"",J365+H366,"")</f>
        <v/>
      </c>
      <c r="K366" s="9">
        <f>if($A366&lt;&gt;"",K365+I366,"")</f>
        <v/>
      </c>
      <c r="L366" s="11">
        <f>IF($A366&lt;&gt;"",IF(K366-J366=0,"tie",IF(K366-J366&gt;0,"+"&amp;K366-J366,"+"&amp;J366-K366)),"")</f>
        <v/>
      </c>
      <c r="M366" s="17" t="n"/>
      <c r="N366" s="17" t="n"/>
      <c r="O366" s="17" t="n"/>
      <c r="P366" s="17" t="n"/>
      <c r="Q366" s="17" t="n"/>
      <c r="R366" s="17" t="n"/>
      <c r="S366" s="17" t="n"/>
    </row>
    <row r="367">
      <c r="A367" s="15" t="n">
        <v>43551</v>
      </c>
      <c r="B367" s="10" t="n">
        <v>30</v>
      </c>
      <c r="C367" s="9" t="n">
        <v>25</v>
      </c>
      <c r="D367" s="17" t="inlineStr">
        <is>
          <t>Shoop’s, Santa Monica</t>
        </is>
      </c>
      <c r="E367" s="9">
        <f>if($A367&lt;&gt;"",E366+B367,"")</f>
        <v/>
      </c>
      <c r="F367" s="10">
        <f>if($A367&lt;&gt;"",F366+C367,"")</f>
        <v/>
      </c>
      <c r="G367" s="11">
        <f>IF($A367&lt;&gt;"",IF(F367-E367=0,"tie",IF(F367-E367&gt;0,"+"&amp;F367-E367,"+"&amp;E367-F367)),"")</f>
        <v/>
      </c>
      <c r="H367" s="12">
        <f>if($A367&lt;&gt;"",if(B367&gt;C367,if(B367&lt;60,1,2),""),"")</f>
        <v/>
      </c>
      <c r="I367" s="12">
        <f>if($A367&lt;&gt;"",if(C367&gt;B367,if(C367&lt;60,1,2),""),"")</f>
        <v/>
      </c>
      <c r="J367" s="9">
        <f>if($A367&lt;&gt;"",J366+H367,"")</f>
        <v/>
      </c>
      <c r="K367" s="9">
        <f>if($A367&lt;&gt;"",K366+I367,"")</f>
        <v/>
      </c>
      <c r="L367" s="11">
        <f>IF($A367&lt;&gt;"",IF(K367-J367=0,"tie",IF(K367-J367&gt;0,"+"&amp;K367-J367,"+"&amp;J367-K367)),"")</f>
        <v/>
      </c>
      <c r="M367" s="17" t="n"/>
      <c r="N367" s="17" t="n"/>
      <c r="O367" s="17" t="n"/>
      <c r="P367" s="17" t="n"/>
      <c r="Q367" s="17" t="n"/>
      <c r="R367" s="17" t="n"/>
      <c r="S367" s="17" t="n"/>
    </row>
    <row r="368">
      <c r="A368" s="15" t="n">
        <v>43558</v>
      </c>
      <c r="B368" s="9" t="n">
        <v>25</v>
      </c>
      <c r="C368" s="10" t="n">
        <v>30</v>
      </c>
      <c r="D368" s="17" t="inlineStr">
        <is>
          <t>Preston Way</t>
        </is>
      </c>
      <c r="E368" s="9">
        <f>if($A368&lt;&gt;"",E367+B368,"")</f>
        <v/>
      </c>
      <c r="F368" s="10">
        <f>if($A368&lt;&gt;"",F367+C368,"")</f>
        <v/>
      </c>
      <c r="G368" s="11">
        <f>IF($A368&lt;&gt;"",IF(F368-E368=0,"tie",IF(F368-E368&gt;0,"+"&amp;F368-E368,"+"&amp;E368-F368)),"")</f>
        <v/>
      </c>
      <c r="H368" s="12">
        <f>if($A368&lt;&gt;"",if(B368&gt;C368,if(B368&lt;60,1,2),""),"")</f>
        <v/>
      </c>
      <c r="I368" s="12">
        <f>if($A368&lt;&gt;"",if(C368&gt;B368,if(C368&lt;60,1,2),""),"")</f>
        <v/>
      </c>
      <c r="J368" s="9">
        <f>if($A368&lt;&gt;"",J367+H368,"")</f>
        <v/>
      </c>
      <c r="K368" s="9">
        <f>if($A368&lt;&gt;"",K367+I368,"")</f>
        <v/>
      </c>
      <c r="L368" s="11">
        <f>IF($A368&lt;&gt;"",IF(K368-J368=0,"tie",IF(K368-J368&gt;0,"+"&amp;K368-J368,"+"&amp;J368-K368)),"")</f>
        <v/>
      </c>
      <c r="M368" s="17" t="n"/>
      <c r="N368" s="17" t="n"/>
      <c r="O368" s="17" t="n"/>
      <c r="P368" s="17" t="n"/>
      <c r="Q368" s="17" t="n"/>
      <c r="R368" s="17" t="n"/>
      <c r="S368" s="17" t="n"/>
    </row>
    <row r="369">
      <c r="A369" s="15" t="n">
        <v>43567</v>
      </c>
      <c r="B369" s="9" t="n">
        <v>25</v>
      </c>
      <c r="C369" s="10" t="n">
        <v>30</v>
      </c>
      <c r="D369" s="17" t="inlineStr">
        <is>
          <t>The Strand House Bar, Manhattan Beach</t>
        </is>
      </c>
      <c r="E369" s="9">
        <f>if($A369&lt;&gt;"",E368+B369,"")</f>
        <v/>
      </c>
      <c r="F369" s="10">
        <f>if($A369&lt;&gt;"",F368+C369,"")</f>
        <v/>
      </c>
      <c r="G369" s="11">
        <f>IF($A369&lt;&gt;"",IF(F369-E369=0,"tie",IF(F369-E369&gt;0,"+"&amp;F369-E369,"+"&amp;E369-F369)),"")</f>
        <v/>
      </c>
      <c r="H369" s="12">
        <f>if($A369&lt;&gt;"",if(B369&gt;C369,if(B369&lt;60,1,2),""),"")</f>
        <v/>
      </c>
      <c r="I369" s="12">
        <f>if($A369&lt;&gt;"",if(C369&gt;B369,if(C369&lt;60,1,2),""),"")</f>
        <v/>
      </c>
      <c r="J369" s="9">
        <f>if($A369&lt;&gt;"",J368+H369,"")</f>
        <v/>
      </c>
      <c r="K369" s="9">
        <f>if($A369&lt;&gt;"",K368+I369,"")</f>
        <v/>
      </c>
      <c r="L369" s="11">
        <f>IF($A369&lt;&gt;"",IF(K369-J369=0,"tie",IF(K369-J369&gt;0,"+"&amp;K369-J369,"+"&amp;J369-K369)),"")</f>
        <v/>
      </c>
      <c r="M369" s="17" t="n"/>
      <c r="N369" s="17" t="n"/>
      <c r="O369" s="17" t="n"/>
      <c r="P369" s="17" t="n"/>
      <c r="Q369" s="17" t="n"/>
      <c r="R369" s="17" t="n"/>
      <c r="S369" s="17" t="n"/>
    </row>
    <row r="370">
      <c r="A370" s="15" t="n">
        <v>43569</v>
      </c>
      <c r="B370" s="10" t="n">
        <v>30</v>
      </c>
      <c r="C370" s="9" t="n">
        <v>25</v>
      </c>
      <c r="D370" s="17" t="inlineStr">
        <is>
          <t>San Clemente State Beach</t>
        </is>
      </c>
      <c r="E370" s="9">
        <f>if($A370&lt;&gt;"",E369+B370,"")</f>
        <v/>
      </c>
      <c r="F370" s="10">
        <f>if($A370&lt;&gt;"",F369+C370,"")</f>
        <v/>
      </c>
      <c r="G370" s="11">
        <f>IF($A370&lt;&gt;"",IF(F370-E370=0,"tie",IF(F370-E370&gt;0,"+"&amp;F370-E370,"+"&amp;E370-F370)),"")</f>
        <v/>
      </c>
      <c r="H370" s="12">
        <f>if($A370&lt;&gt;"",if(B370&gt;C370,if(B370&lt;60,1,2),""),"")</f>
        <v/>
      </c>
      <c r="I370" s="12">
        <f>if($A370&lt;&gt;"",if(C370&gt;B370,if(C370&lt;60,1,2),""),"")</f>
        <v/>
      </c>
      <c r="J370" s="9">
        <f>if($A370&lt;&gt;"",J369+H370,"")</f>
        <v/>
      </c>
      <c r="K370" s="9">
        <f>if($A370&lt;&gt;"",K369+I370,"")</f>
        <v/>
      </c>
      <c r="L370" s="11">
        <f>IF($A370&lt;&gt;"",IF(K370-J370=0,"tie",IF(K370-J370&gt;0,"+"&amp;K370-J370,"+"&amp;J370-K370)),"")</f>
        <v/>
      </c>
      <c r="M370" s="17" t="n"/>
      <c r="N370" s="17" t="n"/>
      <c r="O370" s="17" t="n"/>
      <c r="P370" s="17" t="n"/>
      <c r="Q370" s="17" t="n"/>
      <c r="R370" s="17" t="n"/>
      <c r="S370" s="17" t="n"/>
    </row>
    <row r="371">
      <c r="A371" s="15" t="n">
        <v>43591</v>
      </c>
      <c r="B371" s="9" t="n">
        <v>25</v>
      </c>
      <c r="C371" s="10" t="n">
        <v>30</v>
      </c>
      <c r="D371" s="17" t="inlineStr">
        <is>
          <t>Preston Way</t>
        </is>
      </c>
      <c r="E371" s="9">
        <f>if($A371&lt;&gt;"",E370+B371,"")</f>
        <v/>
      </c>
      <c r="F371" s="10">
        <f>if($A371&lt;&gt;"",F370+C371,"")</f>
        <v/>
      </c>
      <c r="G371" s="11">
        <f>IF($A371&lt;&gt;"",IF(F371-E371=0,"tie",IF(F371-E371&gt;0,"+"&amp;F371-E371,"+"&amp;E371-F371)),"")</f>
        <v/>
      </c>
      <c r="H371" s="12">
        <f>if($A371&lt;&gt;"",if(B371&gt;C371,if(B371&lt;60,1,2),""),"")</f>
        <v/>
      </c>
      <c r="I371" s="12">
        <f>if($A371&lt;&gt;"",if(C371&gt;B371,if(C371&lt;60,1,2),""),"")</f>
        <v/>
      </c>
      <c r="J371" s="9">
        <f>if($A371&lt;&gt;"",J370+H371,"")</f>
        <v/>
      </c>
      <c r="K371" s="9">
        <f>if($A371&lt;&gt;"",K370+I371,"")</f>
        <v/>
      </c>
      <c r="L371" s="11">
        <f>IF($A371&lt;&gt;"",IF(K371-J371=0,"tie",IF(K371-J371&gt;0,"+"&amp;K371-J371,"+"&amp;J371-K371)),"")</f>
        <v/>
      </c>
      <c r="M371" s="17" t="n"/>
      <c r="N371" s="17" t="n"/>
      <c r="O371" s="17" t="n"/>
      <c r="P371" s="17" t="n"/>
      <c r="Q371" s="17" t="n"/>
      <c r="R371" s="17" t="n"/>
      <c r="S371" s="17" t="n"/>
    </row>
    <row r="372">
      <c r="A372" s="15" t="n">
        <v>43593</v>
      </c>
      <c r="B372" s="10" t="n">
        <v>30</v>
      </c>
      <c r="C372" s="9" t="n">
        <v>25</v>
      </c>
      <c r="D372" s="17" t="inlineStr">
        <is>
          <t>Preston Way</t>
        </is>
      </c>
      <c r="E372" s="9">
        <f>if($A372&lt;&gt;"",E371+B372,"")</f>
        <v/>
      </c>
      <c r="F372" s="10">
        <f>if($A372&lt;&gt;"",F371+C372,"")</f>
        <v/>
      </c>
      <c r="G372" s="11">
        <f>IF($A372&lt;&gt;"",IF(F372-E372=0,"tie",IF(F372-E372&gt;0,"+"&amp;F372-E372,"+"&amp;E372-F372)),"")</f>
        <v/>
      </c>
      <c r="H372" s="12">
        <f>if($A372&lt;&gt;"",if(B372&gt;C372,if(B372&lt;60,1,2),""),"")</f>
        <v/>
      </c>
      <c r="I372" s="12">
        <f>if($A372&lt;&gt;"",if(C372&gt;B372,if(C372&lt;60,1,2),""),"")</f>
        <v/>
      </c>
      <c r="J372" s="9">
        <f>if($A372&lt;&gt;"",J371+H372,"")</f>
        <v/>
      </c>
      <c r="K372" s="9">
        <f>if($A372&lt;&gt;"",K371+I372,"")</f>
        <v/>
      </c>
      <c r="L372" s="11">
        <f>IF($A372&lt;&gt;"",IF(K372-J372=0,"tie",IF(K372-J372&gt;0,"+"&amp;K372-J372,"+"&amp;J372-K372)),"")</f>
        <v/>
      </c>
      <c r="M372" s="17" t="n"/>
      <c r="N372" s="17" t="n"/>
      <c r="O372" s="17" t="n"/>
      <c r="P372" s="17" t="n"/>
      <c r="Q372" s="17" t="n"/>
      <c r="R372" s="17" t="n"/>
      <c r="S372" s="17" t="n"/>
    </row>
    <row r="373">
      <c r="A373" s="15" t="n">
        <v>43596</v>
      </c>
      <c r="B373" s="9" t="n">
        <v>25</v>
      </c>
      <c r="C373" s="10" t="n">
        <v>30</v>
      </c>
      <c r="D373" s="17" t="inlineStr">
        <is>
          <t>La Cabaña</t>
        </is>
      </c>
      <c r="E373" s="9">
        <f>if($A373&lt;&gt;"",E372+B373,"")</f>
        <v/>
      </c>
      <c r="F373" s="10">
        <f>if($A373&lt;&gt;"",F372+C373,"")</f>
        <v/>
      </c>
      <c r="G373" s="11">
        <f>IF($A373&lt;&gt;"",IF(F373-E373=0,"tie",IF(F373-E373&gt;0,"+"&amp;F373-E373,"+"&amp;E373-F373)),"")</f>
        <v/>
      </c>
      <c r="H373" s="12">
        <f>if($A373&lt;&gt;"",if(B373&gt;C373,if(B373&lt;60,1,2),""),"")</f>
        <v/>
      </c>
      <c r="I373" s="12">
        <f>if($A373&lt;&gt;"",if(C373&gt;B373,if(C373&lt;60,1,2),""),"")</f>
        <v/>
      </c>
      <c r="J373" s="9">
        <f>if($A373&lt;&gt;"",J372+H373,"")</f>
        <v/>
      </c>
      <c r="K373" s="9">
        <f>if($A373&lt;&gt;"",K372+I373,"")</f>
        <v/>
      </c>
      <c r="L373" s="11">
        <f>IF($A373&lt;&gt;"",IF(K373-J373=0,"tie",IF(K373-J373&gt;0,"+"&amp;K373-J373,"+"&amp;J373-K373)),"")</f>
        <v/>
      </c>
      <c r="M373" s="17" t="n"/>
      <c r="N373" s="17" t="n"/>
      <c r="O373" s="17" t="n"/>
      <c r="P373" s="17" t="n"/>
      <c r="Q373" s="17" t="n"/>
      <c r="R373" s="17" t="n"/>
      <c r="S373" s="17" t="n"/>
    </row>
    <row r="374">
      <c r="A374" s="15" t="n">
        <v>43604</v>
      </c>
      <c r="B374" s="10" t="n">
        <v>30</v>
      </c>
      <c r="C374" s="9" t="n">
        <v>25</v>
      </c>
      <c r="D374" s="17" t="inlineStr">
        <is>
          <t>The Grand Hotel, Salem, OR</t>
        </is>
      </c>
      <c r="E374" s="9">
        <f>if($A374&lt;&gt;"",E373+B374,"")</f>
        <v/>
      </c>
      <c r="F374" s="10">
        <f>if($A374&lt;&gt;"",F373+C374,"")</f>
        <v/>
      </c>
      <c r="G374" s="11">
        <f>IF($A374&lt;&gt;"",IF(F374-E374=0,"tie",IF(F374-E374&gt;0,"+"&amp;F374-E374,"+"&amp;E374-F374)),"")</f>
        <v/>
      </c>
      <c r="H374" s="12">
        <f>if($A374&lt;&gt;"",if(B374&gt;C374,if(B374&lt;60,1,2),""),"")</f>
        <v/>
      </c>
      <c r="I374" s="12">
        <f>if($A374&lt;&gt;"",if(C374&gt;B374,if(C374&lt;60,1,2),""),"")</f>
        <v/>
      </c>
      <c r="J374" s="9">
        <f>if($A374&lt;&gt;"",J373+H374,"")</f>
        <v/>
      </c>
      <c r="K374" s="9">
        <f>if($A374&lt;&gt;"",K373+I374,"")</f>
        <v/>
      </c>
      <c r="L374" s="11">
        <f>IF($A374&lt;&gt;"",IF(K374-J374=0,"tie",IF(K374-J374&gt;0,"+"&amp;K374-J374,"+"&amp;J374-K374)),"")</f>
        <v/>
      </c>
      <c r="M374" s="17" t="n"/>
      <c r="N374" s="17" t="n"/>
      <c r="O374" s="17" t="n"/>
      <c r="P374" s="17" t="n"/>
      <c r="Q374" s="17" t="n"/>
      <c r="R374" s="17" t="n"/>
      <c r="S374" s="17" t="n"/>
    </row>
    <row r="375">
      <c r="A375" s="15" t="n">
        <v>43610</v>
      </c>
      <c r="B375" s="9" t="n">
        <v>25</v>
      </c>
      <c r="C375" s="10" t="n">
        <v>30</v>
      </c>
      <c r="D375" s="17" t="inlineStr">
        <is>
          <t>Rincon Parkway</t>
        </is>
      </c>
      <c r="E375" s="9">
        <f>if($A375&lt;&gt;"",E374+B375,"")</f>
        <v/>
      </c>
      <c r="F375" s="10">
        <f>if($A375&lt;&gt;"",F374+C375,"")</f>
        <v/>
      </c>
      <c r="G375" s="11">
        <f>IF($A375&lt;&gt;"",IF(F375-E375=0,"tie",IF(F375-E375&gt;0,"+"&amp;F375-E375,"+"&amp;E375-F375)),"")</f>
        <v/>
      </c>
      <c r="H375" s="12">
        <f>if($A375&lt;&gt;"",if(B375&gt;C375,if(B375&lt;60,1,2),""),"")</f>
        <v/>
      </c>
      <c r="I375" s="12">
        <f>if($A375&lt;&gt;"",if(C375&gt;B375,if(C375&lt;60,1,2),""),"")</f>
        <v/>
      </c>
      <c r="J375" s="9">
        <f>if($A375&lt;&gt;"",J374+H375,"")</f>
        <v/>
      </c>
      <c r="K375" s="9">
        <f>if($A375&lt;&gt;"",K374+I375,"")</f>
        <v/>
      </c>
      <c r="L375" s="11">
        <f>IF($A375&lt;&gt;"",IF(K375-J375=0,"tie",IF(K375-J375&gt;0,"+"&amp;K375-J375,"+"&amp;J375-K375)),"")</f>
        <v/>
      </c>
      <c r="M375" s="17" t="n"/>
      <c r="N375" s="17" t="n"/>
      <c r="O375" s="17" t="n"/>
      <c r="P375" s="17" t="n"/>
      <c r="Q375" s="17" t="n"/>
      <c r="R375" s="17" t="n"/>
      <c r="S375" s="17" t="n"/>
    </row>
    <row r="376">
      <c r="A376" s="15" t="n">
        <v>43613</v>
      </c>
      <c r="B376" s="10" t="n">
        <v>30</v>
      </c>
      <c r="C376" s="9" t="n">
        <v>25</v>
      </c>
      <c r="D376" s="17" t="inlineStr">
        <is>
          <t>Johnnie Pastrami</t>
        </is>
      </c>
      <c r="E376" s="9">
        <f>if($A376&lt;&gt;"",E375+B376,"")</f>
        <v/>
      </c>
      <c r="F376" s="10">
        <f>if($A376&lt;&gt;"",F375+C376,"")</f>
        <v/>
      </c>
      <c r="G376" s="11">
        <f>IF($A376&lt;&gt;"",IF(F376-E376=0,"tie",IF(F376-E376&gt;0,"+"&amp;F376-E376,"+"&amp;E376-F376)),"")</f>
        <v/>
      </c>
      <c r="H376" s="12">
        <f>if($A376&lt;&gt;"",if(B376&gt;C376,if(B376&lt;60,1,2),""),"")</f>
        <v/>
      </c>
      <c r="I376" s="12">
        <f>if($A376&lt;&gt;"",if(C376&gt;B376,if(C376&lt;60,1,2),""),"")</f>
        <v/>
      </c>
      <c r="J376" s="9">
        <f>if($A376&lt;&gt;"",J375+H376,"")</f>
        <v/>
      </c>
      <c r="K376" s="9">
        <f>if($A376&lt;&gt;"",K375+I376,"")</f>
        <v/>
      </c>
      <c r="L376" s="11">
        <f>IF($A376&lt;&gt;"",IF(K376-J376=0,"tie",IF(K376-J376&gt;0,"+"&amp;K376-J376,"+"&amp;J376-K376)),"")</f>
        <v/>
      </c>
      <c r="M376" s="17" t="n"/>
      <c r="N376" s="17" t="n"/>
      <c r="O376" s="17" t="n"/>
      <c r="P376" s="17" t="n"/>
      <c r="Q376" s="17" t="n"/>
      <c r="R376" s="17" t="n"/>
      <c r="S376" s="17" t="n"/>
    </row>
    <row r="377">
      <c r="A377" s="15" t="n">
        <v>43618</v>
      </c>
      <c r="B377" s="9" t="n">
        <v>25</v>
      </c>
      <c r="C377" s="10" t="n">
        <v>30</v>
      </c>
      <c r="D377" s="17" t="inlineStr">
        <is>
          <t>Esau’s Cafe, Carpenteria</t>
        </is>
      </c>
      <c r="E377" s="9">
        <f>if($A377&lt;&gt;"",E376+B377,"")</f>
        <v/>
      </c>
      <c r="F377" s="10">
        <f>if($A377&lt;&gt;"",F376+C377,"")</f>
        <v/>
      </c>
      <c r="G377" s="11">
        <f>IF($A377&lt;&gt;"",IF(F377-E377=0,"tie",IF(F377-E377&gt;0,"+"&amp;F377-E377,"+"&amp;E377-F377)),"")</f>
        <v/>
      </c>
      <c r="H377" s="12">
        <f>if($A377&lt;&gt;"",if(B377&gt;C377,if(B377&lt;60,1,2),""),"")</f>
        <v/>
      </c>
      <c r="I377" s="12">
        <f>if($A377&lt;&gt;"",if(C377&gt;B377,if(C377&lt;60,1,2),""),"")</f>
        <v/>
      </c>
      <c r="J377" s="9">
        <f>if($A377&lt;&gt;"",J376+H377,"")</f>
        <v/>
      </c>
      <c r="K377" s="9">
        <f>if($A377&lt;&gt;"",K376+I377,"")</f>
        <v/>
      </c>
      <c r="L377" s="11">
        <f>IF($A377&lt;&gt;"",IF(K377-J377=0,"tie",IF(K377-J377&gt;0,"+"&amp;K377-J377,"+"&amp;J377-K377)),"")</f>
        <v/>
      </c>
      <c r="M377" s="17" t="n"/>
      <c r="N377" s="17" t="n"/>
      <c r="O377" s="17" t="n"/>
      <c r="P377" s="17" t="n"/>
      <c r="Q377" s="17" t="n"/>
      <c r="R377" s="17" t="n"/>
      <c r="S377" s="17" t="n"/>
    </row>
    <row r="378">
      <c r="A378" s="15" t="n">
        <v>43623</v>
      </c>
      <c r="B378" s="9" t="n">
        <v>25</v>
      </c>
      <c r="C378" s="10" t="n">
        <v>30</v>
      </c>
      <c r="D378" s="17" t="inlineStr">
        <is>
          <t>Taco Bell, Fontana</t>
        </is>
      </c>
      <c r="E378" s="9">
        <f>if($A378&lt;&gt;"",E377+B378,"")</f>
        <v/>
      </c>
      <c r="F378" s="10">
        <f>if($A378&lt;&gt;"",F377+C378,"")</f>
        <v/>
      </c>
      <c r="G378" s="11">
        <f>IF($A378&lt;&gt;"",IF(F378-E378=0,"tie",IF(F378-E378&gt;0,"+"&amp;F378-E378,"+"&amp;E378-F378)),"")</f>
        <v/>
      </c>
      <c r="H378" s="12">
        <f>if($A378&lt;&gt;"",if(B378&gt;C378,if(B378&lt;60,1,2),""),"")</f>
        <v/>
      </c>
      <c r="I378" s="12">
        <f>if($A378&lt;&gt;"",if(C378&gt;B378,if(C378&lt;60,1,2),""),"")</f>
        <v/>
      </c>
      <c r="J378" s="9">
        <f>if($A378&lt;&gt;"",J377+H378,"")</f>
        <v/>
      </c>
      <c r="K378" s="9">
        <f>if($A378&lt;&gt;"",K377+I378,"")</f>
        <v/>
      </c>
      <c r="L378" s="11">
        <f>IF($A378&lt;&gt;"",IF(K378-J378=0,"tie",IF(K378-J378&gt;0,"+"&amp;K378-J378,"+"&amp;J378-K378)),"")</f>
        <v/>
      </c>
      <c r="M378" s="17" t="n"/>
      <c r="N378" s="17" t="n"/>
      <c r="O378" s="17" t="n"/>
      <c r="P378" s="17" t="n"/>
      <c r="Q378" s="17" t="n"/>
      <c r="R378" s="17" t="n"/>
      <c r="S378" s="17" t="n"/>
    </row>
    <row r="379">
      <c r="A379" s="15" t="n">
        <v>43625</v>
      </c>
      <c r="B379" s="10" t="n">
        <v>30</v>
      </c>
      <c r="C379" s="9" t="n">
        <v>25</v>
      </c>
      <c r="D379" s="17" t="inlineStr">
        <is>
          <t>Frontier Cafe, Landers/Yucca Valley</t>
        </is>
      </c>
      <c r="E379" s="9">
        <f>if($A379&lt;&gt;"",E378+B379,"")</f>
        <v/>
      </c>
      <c r="F379" s="10">
        <f>if($A379&lt;&gt;"",F378+C379,"")</f>
        <v/>
      </c>
      <c r="G379" s="11">
        <f>IF($A379&lt;&gt;"",IF(F379-E379=0,"tie",IF(F379-E379&gt;0,"+"&amp;F379-E379,"+"&amp;E379-F379)),"")</f>
        <v/>
      </c>
      <c r="H379" s="12">
        <f>if($A379&lt;&gt;"",if(B379&gt;C379,if(B379&lt;60,1,2),""),"")</f>
        <v/>
      </c>
      <c r="I379" s="12">
        <f>if($A379&lt;&gt;"",if(C379&gt;B379,if(C379&lt;60,1,2),""),"")</f>
        <v/>
      </c>
      <c r="J379" s="9">
        <f>if($A379&lt;&gt;"",J378+H379,"")</f>
        <v/>
      </c>
      <c r="K379" s="9">
        <f>if($A379&lt;&gt;"",K378+I379,"")</f>
        <v/>
      </c>
      <c r="L379" s="11">
        <f>IF($A379&lt;&gt;"",IF(K379-J379=0,"tie",IF(K379-J379&gt;0,"+"&amp;K379-J379,"+"&amp;J379-K379)),"")</f>
        <v/>
      </c>
      <c r="M379" s="17" t="n"/>
      <c r="N379" s="17" t="n"/>
      <c r="O379" s="17" t="n"/>
      <c r="P379" s="17" t="n"/>
      <c r="Q379" s="17" t="n"/>
      <c r="R379" s="17" t="n"/>
      <c r="S379" s="17" t="n"/>
    </row>
    <row r="380">
      <c r="A380" s="15" t="n">
        <v>43627</v>
      </c>
      <c r="B380" s="10" t="n">
        <v>30</v>
      </c>
      <c r="C380" s="9" t="n">
        <v>25</v>
      </c>
      <c r="D380" s="17" t="inlineStr">
        <is>
          <t>Perry’s, Santa Monica</t>
        </is>
      </c>
      <c r="E380" s="9">
        <f>if($A380&lt;&gt;"",E379+B380,"")</f>
        <v/>
      </c>
      <c r="F380" s="10">
        <f>if($A380&lt;&gt;"",F379+C380,"")</f>
        <v/>
      </c>
      <c r="G380" s="11">
        <f>IF($A380&lt;&gt;"",IF(F380-E380=0,"tie",IF(F380-E380&gt;0,"+"&amp;F380-E380,"+"&amp;E380-F380)),"")</f>
        <v/>
      </c>
      <c r="H380" s="12">
        <f>if($A380&lt;&gt;"",if(B380&gt;C380,if(B380&lt;60,1,2),""),"")</f>
        <v/>
      </c>
      <c r="I380" s="12">
        <f>if($A380&lt;&gt;"",if(C380&gt;B380,if(C380&lt;60,1,2),""),"")</f>
        <v/>
      </c>
      <c r="J380" s="9">
        <f>if($A380&lt;&gt;"",J379+H380,"")</f>
        <v/>
      </c>
      <c r="K380" s="9">
        <f>if($A380&lt;&gt;"",K379+I380,"")</f>
        <v/>
      </c>
      <c r="L380" s="11">
        <f>IF($A380&lt;&gt;"",IF(K380-J380=0,"tie",IF(K380-J380&gt;0,"+"&amp;K380-J380,"+"&amp;J380-K380)),"")</f>
        <v/>
      </c>
      <c r="M380" s="17" t="n"/>
      <c r="N380" s="17" t="n"/>
      <c r="O380" s="17" t="n"/>
      <c r="P380" s="17" t="n"/>
      <c r="Q380" s="17" t="n"/>
      <c r="R380" s="17" t="n"/>
      <c r="S380" s="17" t="n"/>
    </row>
    <row r="381">
      <c r="A381" s="15" t="n">
        <v>43628</v>
      </c>
      <c r="B381" s="10" t="n">
        <v>30</v>
      </c>
      <c r="C381" s="9" t="n">
        <v>25</v>
      </c>
      <c r="D381" s="17" t="inlineStr">
        <is>
          <t>Boso Nova, West Los Angeles</t>
        </is>
      </c>
      <c r="E381" s="9">
        <f>if($A381&lt;&gt;"",E380+B381,"")</f>
        <v/>
      </c>
      <c r="F381" s="10">
        <f>if($A381&lt;&gt;"",F380+C381,"")</f>
        <v/>
      </c>
      <c r="G381" s="11">
        <f>IF($A381&lt;&gt;"",IF(F381-E381=0,"tie",IF(F381-E381&gt;0,"+"&amp;F381-E381,"+"&amp;E381-F381)),"")</f>
        <v/>
      </c>
      <c r="H381" s="12">
        <f>if($A381&lt;&gt;"",if(B381&gt;C381,if(B381&lt;60,1,2),""),"")</f>
        <v/>
      </c>
      <c r="I381" s="12">
        <f>if($A381&lt;&gt;"",if(C381&gt;B381,if(C381&lt;60,1,2),""),"")</f>
        <v/>
      </c>
      <c r="J381" s="9">
        <f>if($A381&lt;&gt;"",J380+H381,"")</f>
        <v/>
      </c>
      <c r="K381" s="9">
        <f>if($A381&lt;&gt;"",K380+I381,"")</f>
        <v/>
      </c>
      <c r="L381" s="11">
        <f>IF($A381&lt;&gt;"",IF(K381-J381=0,"tie",IF(K381-J381&gt;0,"+"&amp;K381-J381,"+"&amp;J381-K381)),"")</f>
        <v/>
      </c>
      <c r="M381" s="17" t="n"/>
      <c r="N381" s="17" t="n"/>
      <c r="O381" s="17" t="n"/>
      <c r="P381" s="17" t="n"/>
      <c r="Q381" s="17" t="n"/>
      <c r="R381" s="17" t="n"/>
      <c r="S381" s="17" t="n"/>
    </row>
    <row r="382">
      <c r="A382" s="15" t="n">
        <v>43629</v>
      </c>
      <c r="B382" s="9" t="n">
        <v>25</v>
      </c>
      <c r="C382" s="10" t="n">
        <v>30</v>
      </c>
      <c r="D382" s="17" t="inlineStr">
        <is>
          <t>Preston Way</t>
        </is>
      </c>
      <c r="E382" s="9">
        <f>if($A382&lt;&gt;"",E381+B382,"")</f>
        <v/>
      </c>
      <c r="F382" s="10">
        <f>if($A382&lt;&gt;"",F381+C382,"")</f>
        <v/>
      </c>
      <c r="G382" s="11">
        <f>IF($A382&lt;&gt;"",IF(F382-E382=0,"tie",IF(F382-E382&gt;0,"+"&amp;F382-E382,"+"&amp;E382-F382)),"")</f>
        <v/>
      </c>
      <c r="H382" s="12">
        <f>if($A382&lt;&gt;"",if(B382&gt;C382,if(B382&lt;60,1,2),""),"")</f>
        <v/>
      </c>
      <c r="I382" s="12">
        <f>if($A382&lt;&gt;"",if(C382&gt;B382,if(C382&lt;60,1,2),""),"")</f>
        <v/>
      </c>
      <c r="J382" s="9">
        <f>if($A382&lt;&gt;"",J381+H382,"")</f>
        <v/>
      </c>
      <c r="K382" s="9">
        <f>if($A382&lt;&gt;"",K381+I382,"")</f>
        <v/>
      </c>
      <c r="L382" s="11">
        <f>IF($A382&lt;&gt;"",IF(K382-J382=0,"tie",IF(K382-J382&gt;0,"+"&amp;K382-J382,"+"&amp;J382-K382)),"")</f>
        <v/>
      </c>
      <c r="M382" s="17" t="n"/>
      <c r="N382" s="17" t="n"/>
      <c r="O382" s="17" t="n"/>
      <c r="P382" s="17" t="n"/>
      <c r="Q382" s="17" t="n"/>
      <c r="R382" s="17" t="n"/>
      <c r="S382" s="17" t="n"/>
    </row>
    <row r="383">
      <c r="A383" s="15" t="n">
        <v>43631</v>
      </c>
      <c r="B383" s="9" t="n">
        <v>25</v>
      </c>
      <c r="C383" s="10" t="n">
        <v>30</v>
      </c>
      <c r="D383" s="17" t="inlineStr">
        <is>
          <t>Burgers and Brew, Venice</t>
        </is>
      </c>
      <c r="E383" s="9">
        <f>if($A383&lt;&gt;"",E382+B383,"")</f>
        <v/>
      </c>
      <c r="F383" s="10">
        <f>if($A383&lt;&gt;"",F382+C383,"")</f>
        <v/>
      </c>
      <c r="G383" s="11">
        <f>IF($A383&lt;&gt;"",IF(F383-E383=0,"tie",IF(F383-E383&gt;0,"+"&amp;F383-E383,"+"&amp;E383-F383)),"")</f>
        <v/>
      </c>
      <c r="H383" s="12">
        <f>if($A383&lt;&gt;"",if(B383&gt;C383,if(B383&lt;60,1,2),""),"")</f>
        <v/>
      </c>
      <c r="I383" s="12">
        <f>if($A383&lt;&gt;"",if(C383&gt;B383,if(C383&lt;60,1,2),""),"")</f>
        <v/>
      </c>
      <c r="J383" s="9">
        <f>if($A383&lt;&gt;"",J382+H383,"")</f>
        <v/>
      </c>
      <c r="K383" s="9">
        <f>if($A383&lt;&gt;"",K382+I383,"")</f>
        <v/>
      </c>
      <c r="L383" s="11">
        <f>IF($A383&lt;&gt;"",IF(K383-J383=0,"tie",IF(K383-J383&gt;0,"+"&amp;K383-J383,"+"&amp;J383-K383)),"")</f>
        <v/>
      </c>
      <c r="M383" s="17" t="n"/>
      <c r="N383" s="17" t="n"/>
      <c r="O383" s="17" t="n"/>
      <c r="P383" s="17" t="n"/>
      <c r="Q383" s="17" t="n"/>
      <c r="R383" s="17" t="n"/>
      <c r="S383" s="17" t="n"/>
    </row>
    <row r="384">
      <c r="A384" s="15" t="n">
        <v>43634</v>
      </c>
      <c r="B384" s="10" t="n">
        <v>30</v>
      </c>
      <c r="C384" s="9" t="n">
        <v>25</v>
      </c>
      <c r="D384" s="17" t="inlineStr">
        <is>
          <t>Preston Way</t>
        </is>
      </c>
      <c r="E384" s="9">
        <f>if($A384&lt;&gt;"",E383+B384,"")</f>
        <v/>
      </c>
      <c r="F384" s="10">
        <f>if($A384&lt;&gt;"",F383+C384,"")</f>
        <v/>
      </c>
      <c r="G384" s="11">
        <f>IF($A384&lt;&gt;"",IF(F384-E384=0,"tie",IF(F384-E384&gt;0,"+"&amp;F384-E384,"+"&amp;E384-F384)),"")</f>
        <v/>
      </c>
      <c r="H384" s="12">
        <f>if($A384&lt;&gt;"",if(B384&gt;C384,if(B384&lt;60,1,2),""),"")</f>
        <v/>
      </c>
      <c r="I384" s="12">
        <f>if($A384&lt;&gt;"",if(C384&gt;B384,if(C384&lt;60,1,2),""),"")</f>
        <v/>
      </c>
      <c r="J384" s="9">
        <f>if($A384&lt;&gt;"",J383+H384,"")</f>
        <v/>
      </c>
      <c r="K384" s="9">
        <f>if($A384&lt;&gt;"",K383+I384,"")</f>
        <v/>
      </c>
      <c r="L384" s="11">
        <f>IF($A384&lt;&gt;"",IF(K384-J384=0,"tie",IF(K384-J384&gt;0,"+"&amp;K384-J384,"+"&amp;J384-K384)),"")</f>
        <v/>
      </c>
      <c r="M384" s="17" t="n"/>
      <c r="N384" s="17" t="n"/>
      <c r="O384" s="17" t="n"/>
      <c r="P384" s="17" t="n"/>
      <c r="Q384" s="17" t="n"/>
      <c r="R384" s="17" t="n"/>
      <c r="S384" s="17" t="n"/>
    </row>
    <row r="385">
      <c r="A385" s="15" t="n">
        <v>43634</v>
      </c>
      <c r="B385" s="9" t="n">
        <v>25</v>
      </c>
      <c r="C385" s="10" t="n">
        <v>30</v>
      </c>
      <c r="D385" s="17" t="inlineStr">
        <is>
          <t>Victorian, Santa Monica</t>
        </is>
      </c>
      <c r="E385" s="9">
        <f>if($A385&lt;&gt;"",E384+B385,"")</f>
        <v/>
      </c>
      <c r="F385" s="10">
        <f>if($A385&lt;&gt;"",F384+C385,"")</f>
        <v/>
      </c>
      <c r="G385" s="11">
        <f>IF($A385&lt;&gt;"",IF(F385-E385=0,"tie",IF(F385-E385&gt;0,"+"&amp;F385-E385,"+"&amp;E385-F385)),"")</f>
        <v/>
      </c>
      <c r="H385" s="12">
        <f>if($A385&lt;&gt;"",if(B385&gt;C385,if(B385&lt;60,1,2),""),"")</f>
        <v/>
      </c>
      <c r="I385" s="12">
        <f>if($A385&lt;&gt;"",if(C385&gt;B385,if(C385&lt;60,1,2),""),"")</f>
        <v/>
      </c>
      <c r="J385" s="9">
        <f>if($A385&lt;&gt;"",J384+H385,"")</f>
        <v/>
      </c>
      <c r="K385" s="9">
        <f>if($A385&lt;&gt;"",K384+I385,"")</f>
        <v/>
      </c>
      <c r="L385" s="11">
        <f>IF($A385&lt;&gt;"",IF(K385-J385=0,"tie",IF(K385-J385&gt;0,"+"&amp;K385-J385,"+"&amp;J385-K385)),"")</f>
        <v/>
      </c>
      <c r="M385" s="17" t="n"/>
      <c r="N385" s="17" t="n"/>
      <c r="O385" s="17" t="n"/>
      <c r="P385" s="17" t="n"/>
      <c r="Q385" s="17" t="n"/>
      <c r="R385" s="17" t="n"/>
      <c r="S385" s="17" t="n"/>
    </row>
    <row r="386">
      <c r="A386" s="15" t="n">
        <v>43635</v>
      </c>
      <c r="B386" s="10" t="n">
        <v>30</v>
      </c>
      <c r="C386" s="9" t="n">
        <v>25</v>
      </c>
      <c r="D386" s="17" t="inlineStr">
        <is>
          <t>Preston Way</t>
        </is>
      </c>
      <c r="E386" s="9">
        <f>if($A386&lt;&gt;"",E385+B386,"")</f>
        <v/>
      </c>
      <c r="F386" s="10">
        <f>if($A386&lt;&gt;"",F385+C386,"")</f>
        <v/>
      </c>
      <c r="G386" s="11">
        <f>IF($A386&lt;&gt;"",IF(F386-E386=0,"tie",IF(F386-E386&gt;0,"+"&amp;F386-E386,"+"&amp;E386-F386)),"")</f>
        <v/>
      </c>
      <c r="H386" s="12">
        <f>if($A386&lt;&gt;"",if(B386&gt;C386,if(B386&lt;60,1,2),""),"")</f>
        <v/>
      </c>
      <c r="I386" s="12">
        <f>if($A386&lt;&gt;"",if(C386&gt;B386,if(C386&lt;60,1,2),""),"")</f>
        <v/>
      </c>
      <c r="J386" s="9">
        <f>if($A386&lt;&gt;"",J385+H386,"")</f>
        <v/>
      </c>
      <c r="K386" s="9">
        <f>if($A386&lt;&gt;"",K385+I386,"")</f>
        <v/>
      </c>
      <c r="L386" s="11">
        <f>IF($A386&lt;&gt;"",IF(K386-J386=0,"tie",IF(K386-J386&gt;0,"+"&amp;K386-J386,"+"&amp;J386-K386)),"")</f>
        <v/>
      </c>
      <c r="M386" s="17" t="n"/>
      <c r="N386" s="17" t="n"/>
      <c r="O386" s="17" t="n"/>
      <c r="P386" s="17" t="n"/>
      <c r="Q386" s="17" t="n"/>
      <c r="R386" s="17" t="n"/>
      <c r="S386" s="17" t="n"/>
    </row>
    <row r="387">
      <c r="A387" s="15" t="n">
        <v>43643</v>
      </c>
      <c r="B387" s="10" t="n">
        <v>30</v>
      </c>
      <c r="C387" s="9" t="n">
        <v>25</v>
      </c>
      <c r="D387" s="17" t="inlineStr">
        <is>
          <t>Starks MDR</t>
        </is>
      </c>
      <c r="E387" s="9">
        <f>if($A387&lt;&gt;"",E386+B387,"")</f>
        <v/>
      </c>
      <c r="F387" s="10">
        <f>if($A387&lt;&gt;"",F386+C387,"")</f>
        <v/>
      </c>
      <c r="G387" s="11">
        <f>IF($A387&lt;&gt;"",IF(F387-E387=0,"tie",IF(F387-E387&gt;0,"+"&amp;F387-E387,"+"&amp;E387-F387)),"")</f>
        <v/>
      </c>
      <c r="H387" s="12">
        <f>if($A387&lt;&gt;"",if(B387&gt;C387,if(B387&lt;60,1,2),""),"")</f>
        <v/>
      </c>
      <c r="I387" s="12">
        <f>if($A387&lt;&gt;"",if(C387&gt;B387,if(C387&lt;60,1,2),""),"")</f>
        <v/>
      </c>
      <c r="J387" s="9">
        <f>if($A387&lt;&gt;"",J386+H387,"")</f>
        <v/>
      </c>
      <c r="K387" s="9">
        <f>if($A387&lt;&gt;"",K386+I387,"")</f>
        <v/>
      </c>
      <c r="L387" s="11">
        <f>IF($A387&lt;&gt;"",IF(K387-J387=0,"tie",IF(K387-J387&gt;0,"+"&amp;K387-J387,"+"&amp;J387-K387)),"")</f>
        <v/>
      </c>
      <c r="M387" s="17" t="n"/>
      <c r="N387" s="17" t="n"/>
      <c r="O387" s="17" t="n"/>
      <c r="P387" s="17" t="n"/>
      <c r="Q387" s="17" t="n"/>
      <c r="R387" s="17" t="n"/>
      <c r="S387" s="17" t="n"/>
    </row>
    <row r="388">
      <c r="A388" s="15" t="n">
        <v>43655</v>
      </c>
      <c r="B388" s="10" t="n">
        <v>30</v>
      </c>
      <c r="C388" s="9" t="n">
        <v>25</v>
      </c>
      <c r="D388" s="17" t="inlineStr">
        <is>
          <t>Shoops, Santa Monica</t>
        </is>
      </c>
      <c r="E388" s="9">
        <f>if($A388&lt;&gt;"",E387+B388,"")</f>
        <v/>
      </c>
      <c r="F388" s="10">
        <f>if($A388&lt;&gt;"",F387+C388,"")</f>
        <v/>
      </c>
      <c r="G388" s="11">
        <f>IF($A388&lt;&gt;"",IF(F388-E388=0,"tie",IF(F388-E388&gt;0,"+"&amp;F388-E388,"+"&amp;E388-F388)),"")</f>
        <v/>
      </c>
      <c r="H388" s="12">
        <f>if($A388&lt;&gt;"",if(B388&gt;C388,if(B388&lt;60,1,2),""),"")</f>
        <v/>
      </c>
      <c r="I388" s="12">
        <f>if($A388&lt;&gt;"",if(C388&gt;B388,if(C388&lt;60,1,2),""),"")</f>
        <v/>
      </c>
      <c r="J388" s="9">
        <f>if($A388&lt;&gt;"",J387+H388,"")</f>
        <v/>
      </c>
      <c r="K388" s="9">
        <f>if($A388&lt;&gt;"",K387+I388,"")</f>
        <v/>
      </c>
      <c r="L388" s="11">
        <f>IF($A388&lt;&gt;"",IF(K388-J388=0,"tie",IF(K388-J388&gt;0,"+"&amp;K388-J388,"+"&amp;J388-K388)),"")</f>
        <v/>
      </c>
      <c r="M388" s="17" t="n"/>
      <c r="N388" s="17" t="n"/>
      <c r="O388" s="17" t="n"/>
      <c r="P388" s="17" t="n"/>
      <c r="Q388" s="17" t="n"/>
      <c r="R388" s="17" t="n"/>
      <c r="S388" s="17" t="n"/>
    </row>
    <row r="389">
      <c r="A389" s="15" t="n">
        <v>43655</v>
      </c>
      <c r="B389" s="9" t="n">
        <v>25</v>
      </c>
      <c r="C389" s="10" t="n">
        <v>30</v>
      </c>
      <c r="D389" s="17" t="inlineStr">
        <is>
          <t>iHop, MDR</t>
        </is>
      </c>
      <c r="E389" s="9">
        <f>if($A389&lt;&gt;"",E388+B389,"")</f>
        <v/>
      </c>
      <c r="F389" s="10">
        <f>if($A389&lt;&gt;"",F388+C389,"")</f>
        <v/>
      </c>
      <c r="G389" s="11">
        <f>IF($A389&lt;&gt;"",IF(F389-E389=0,"tie",IF(F389-E389&gt;0,"+"&amp;F389-E389,"+"&amp;E389-F389)),"")</f>
        <v/>
      </c>
      <c r="H389" s="12">
        <f>if($A389&lt;&gt;"",if(B389&gt;C389,if(B389&lt;60,1,2),""),"")</f>
        <v/>
      </c>
      <c r="I389" s="12">
        <f>if($A389&lt;&gt;"",if(C389&gt;B389,if(C389&lt;60,1,2),""),"")</f>
        <v/>
      </c>
      <c r="J389" s="9">
        <f>if($A389&lt;&gt;"",J388+H389,"")</f>
        <v/>
      </c>
      <c r="K389" s="9">
        <f>if($A389&lt;&gt;"",K388+I389,"")</f>
        <v/>
      </c>
      <c r="L389" s="11">
        <f>IF($A389&lt;&gt;"",IF(K389-J389=0,"tie",IF(K389-J389&gt;0,"+"&amp;K389-J389,"+"&amp;J389-K389)),"")</f>
        <v/>
      </c>
      <c r="M389" s="17" t="n"/>
      <c r="N389" s="17" t="n"/>
      <c r="O389" s="17" t="n"/>
      <c r="P389" s="17" t="n"/>
      <c r="Q389" s="17" t="n"/>
      <c r="R389" s="17" t="n"/>
      <c r="S389" s="17" t="n"/>
    </row>
    <row r="390">
      <c r="A390" s="15" t="n">
        <v>43656</v>
      </c>
      <c r="B390" s="10" t="n">
        <v>30</v>
      </c>
      <c r="C390" s="9" t="n">
        <v>25</v>
      </c>
      <c r="D390" s="17" t="inlineStr">
        <is>
          <t>Gnarbox</t>
        </is>
      </c>
      <c r="E390" s="9">
        <f>if($A390&lt;&gt;"",E389+B390,"")</f>
        <v/>
      </c>
      <c r="F390" s="10">
        <f>if($A390&lt;&gt;"",F389+C390,"")</f>
        <v/>
      </c>
      <c r="G390" s="11">
        <f>IF($A390&lt;&gt;"",IF(F390-E390=0,"tie",IF(F390-E390&gt;0,"+"&amp;F390-E390,"+"&amp;E390-F390)),"")</f>
        <v/>
      </c>
      <c r="H390" s="12">
        <f>if($A390&lt;&gt;"",if(B390&gt;C390,if(B390&lt;60,1,2),""),"")</f>
        <v/>
      </c>
      <c r="I390" s="12">
        <f>if($A390&lt;&gt;"",if(C390&gt;B390,if(C390&lt;60,1,2),""),"")</f>
        <v/>
      </c>
      <c r="J390" s="9">
        <f>if($A390&lt;&gt;"",J389+H390,"")</f>
        <v/>
      </c>
      <c r="K390" s="9">
        <f>if($A390&lt;&gt;"",K389+I390,"")</f>
        <v/>
      </c>
      <c r="L390" s="11">
        <f>IF($A390&lt;&gt;"",IF(K390-J390=0,"tie",IF(K390-J390&gt;0,"+"&amp;K390-J390,"+"&amp;J390-K390)),"")</f>
        <v/>
      </c>
      <c r="M390" s="17" t="n"/>
      <c r="N390" s="17" t="n"/>
      <c r="O390" s="17" t="n"/>
      <c r="P390" s="17" t="n"/>
      <c r="Q390" s="17" t="n"/>
      <c r="R390" s="17" t="n"/>
      <c r="S390" s="17" t="n"/>
    </row>
    <row r="391">
      <c r="A391" s="15" t="n">
        <v>43666</v>
      </c>
      <c r="B391" s="9" t="n">
        <v>25</v>
      </c>
      <c r="C391" s="10" t="n">
        <v>30</v>
      </c>
      <c r="D391" s="17" t="inlineStr">
        <is>
          <t>Clutch</t>
        </is>
      </c>
      <c r="E391" s="9">
        <f>if($A391&lt;&gt;"",E390+B391,"")</f>
        <v/>
      </c>
      <c r="F391" s="10">
        <f>if($A391&lt;&gt;"",F390+C391,"")</f>
        <v/>
      </c>
      <c r="G391" s="11">
        <f>IF($A391&lt;&gt;"",IF(F391-E391=0,"tie",IF(F391-E391&gt;0,"+"&amp;F391-E391,"+"&amp;E391-F391)),"")</f>
        <v/>
      </c>
      <c r="H391" s="12">
        <f>if($A391&lt;&gt;"",if(B391&gt;C391,if(B391&lt;60,1,2),""),"")</f>
        <v/>
      </c>
      <c r="I391" s="12">
        <f>if($A391&lt;&gt;"",if(C391&gt;B391,if(C391&lt;60,1,2),""),"")</f>
        <v/>
      </c>
      <c r="J391" s="9">
        <f>if($A391&lt;&gt;"",J390+H391,"")</f>
        <v/>
      </c>
      <c r="K391" s="9">
        <f>if($A391&lt;&gt;"",K390+I391,"")</f>
        <v/>
      </c>
      <c r="L391" s="11">
        <f>IF($A391&lt;&gt;"",IF(K391-J391=0,"tie",IF(K391-J391&gt;0,"+"&amp;K391-J391,"+"&amp;J391-K391)),"")</f>
        <v/>
      </c>
      <c r="M391" s="17" t="n"/>
      <c r="N391" s="17" t="n"/>
      <c r="O391" s="17" t="n"/>
      <c r="P391" s="17" t="n"/>
      <c r="Q391" s="17" t="n"/>
      <c r="R391" s="17" t="n"/>
      <c r="S391" s="17" t="n"/>
    </row>
    <row r="392">
      <c r="A392" s="15" t="n">
        <v>43672</v>
      </c>
      <c r="B392" s="9" t="n">
        <v>25</v>
      </c>
      <c r="C392" s="10" t="n">
        <v>30</v>
      </c>
      <c r="D392" s="17" t="inlineStr">
        <is>
          <t>Preston Way</t>
        </is>
      </c>
      <c r="E392" s="9">
        <f>if($A392&lt;&gt;"",E391+B392,"")</f>
        <v/>
      </c>
      <c r="F392" s="10">
        <f>if($A392&lt;&gt;"",F391+C392,"")</f>
        <v/>
      </c>
      <c r="G392" s="11">
        <f>IF($A392&lt;&gt;"",IF(F392-E392=0,"tie",IF(F392-E392&gt;0,"+"&amp;F392-E392,"+"&amp;E392-F392)),"")</f>
        <v/>
      </c>
      <c r="H392" s="12">
        <f>if($A392&lt;&gt;"",if(B392&gt;C392,if(B392&lt;60,1,2),""),"")</f>
        <v/>
      </c>
      <c r="I392" s="12">
        <f>if($A392&lt;&gt;"",if(C392&gt;B392,if(C392&lt;60,1,2),""),"")</f>
        <v/>
      </c>
      <c r="J392" s="9">
        <f>if($A392&lt;&gt;"",J391+H392,"")</f>
        <v/>
      </c>
      <c r="K392" s="9">
        <f>if($A392&lt;&gt;"",K391+I392,"")</f>
        <v/>
      </c>
      <c r="L392" s="11">
        <f>IF($A392&lt;&gt;"",IF(K392-J392=0,"tie",IF(K392-J392&gt;0,"+"&amp;K392-J392,"+"&amp;J392-K392)),"")</f>
        <v/>
      </c>
      <c r="M392" s="17" t="n"/>
      <c r="N392" s="17" t="n"/>
      <c r="O392" s="17" t="n"/>
      <c r="P392" s="17" t="n"/>
      <c r="Q392" s="17" t="n"/>
      <c r="R392" s="17" t="n"/>
      <c r="S392" s="17" t="n"/>
    </row>
    <row r="393">
      <c r="A393" s="15" t="n">
        <v>43674</v>
      </c>
      <c r="B393" s="10" t="n">
        <v>30</v>
      </c>
      <c r="C393" s="9" t="n">
        <v>25</v>
      </c>
      <c r="D393" s="17" t="inlineStr">
        <is>
          <t>Johnnie’s Pastrami</t>
        </is>
      </c>
      <c r="E393" s="9">
        <f>if($A393&lt;&gt;"",E392+B393,"")</f>
        <v/>
      </c>
      <c r="F393" s="10">
        <f>if($A393&lt;&gt;"",F392+C393,"")</f>
        <v/>
      </c>
      <c r="G393" s="11">
        <f>IF($A393&lt;&gt;"",IF(F393-E393=0,"tie",IF(F393-E393&gt;0,"+"&amp;F393-E393,"+"&amp;E393-F393)),"")</f>
        <v/>
      </c>
      <c r="H393" s="12">
        <f>if($A393&lt;&gt;"",if(B393&gt;C393,if(B393&lt;60,1,2),""),"")</f>
        <v/>
      </c>
      <c r="I393" s="12">
        <f>if($A393&lt;&gt;"",if(C393&gt;B393,if(C393&lt;60,1,2),""),"")</f>
        <v/>
      </c>
      <c r="J393" s="9">
        <f>if($A393&lt;&gt;"",J392+H393,"")</f>
        <v/>
      </c>
      <c r="K393" s="9">
        <f>if($A393&lt;&gt;"",K392+I393,"")</f>
        <v/>
      </c>
      <c r="L393" s="11">
        <f>IF($A393&lt;&gt;"",IF(K393-J393=0,"tie",IF(K393-J393&gt;0,"+"&amp;K393-J393,"+"&amp;J393-K393)),"")</f>
        <v/>
      </c>
      <c r="M393" s="17" t="n"/>
      <c r="N393" s="17" t="n"/>
      <c r="O393" s="17" t="n"/>
      <c r="P393" s="17" t="n"/>
      <c r="Q393" s="17" t="n"/>
      <c r="R393" s="17" t="n"/>
      <c r="S393" s="17" t="n"/>
    </row>
    <row r="394">
      <c r="A394" s="15" t="n">
        <v>43677</v>
      </c>
      <c r="B394" s="9" t="n">
        <v>25</v>
      </c>
      <c r="C394" s="10" t="n">
        <v>30</v>
      </c>
      <c r="D394" s="17" t="inlineStr">
        <is>
          <t>George's Burgers, Santa Monica</t>
        </is>
      </c>
      <c r="E394" s="9">
        <f>if($A394&lt;&gt;"",E393+B394,"")</f>
        <v/>
      </c>
      <c r="F394" s="10">
        <f>if($A394&lt;&gt;"",F393+C394,"")</f>
        <v/>
      </c>
      <c r="G394" s="11">
        <f>IF($A394&lt;&gt;"",IF(F394-E394=0,"tie",IF(F394-E394&gt;0,"+"&amp;F394-E394,"+"&amp;E394-F394)),"")</f>
        <v/>
      </c>
      <c r="H394" s="12">
        <f>if($A394&lt;&gt;"",if(B394&gt;C394,if(B394&lt;60,1,2),""),"")</f>
        <v/>
      </c>
      <c r="I394" s="12">
        <f>if($A394&lt;&gt;"",if(C394&gt;B394,if(C394&lt;60,1,2),""),"")</f>
        <v/>
      </c>
      <c r="J394" s="9">
        <f>if($A394&lt;&gt;"",J393+H394,"")</f>
        <v/>
      </c>
      <c r="K394" s="9">
        <f>if($A394&lt;&gt;"",K393+I394,"")</f>
        <v/>
      </c>
      <c r="L394" s="11">
        <f>IF($A394&lt;&gt;"",IF(K394-J394=0,"tie",IF(K394-J394&gt;0,"+"&amp;K394-J394,"+"&amp;J394-K394)),"")</f>
        <v/>
      </c>
      <c r="M394" s="17" t="n"/>
      <c r="N394" s="17" t="n"/>
      <c r="O394" s="17" t="n"/>
      <c r="P394" s="17" t="n"/>
      <c r="Q394" s="17" t="n"/>
      <c r="R394" s="17" t="n"/>
      <c r="S394" s="17" t="n"/>
    </row>
    <row r="395">
      <c r="A395" s="15" t="n">
        <v>43678</v>
      </c>
      <c r="B395" s="9" t="n">
        <v>25</v>
      </c>
      <c r="C395" s="10" t="n">
        <v>30</v>
      </c>
      <c r="D395" s="17" t="inlineStr">
        <is>
          <t>Barone’s</t>
        </is>
      </c>
      <c r="E395" s="9">
        <f>if($A395&lt;&gt;"",E394+B395,"")</f>
        <v/>
      </c>
      <c r="F395" s="10">
        <f>if($A395&lt;&gt;"",F394+C395,"")</f>
        <v/>
      </c>
      <c r="G395" s="11">
        <f>IF($A395&lt;&gt;"",IF(F395-E395=0,"tie",IF(F395-E395&gt;0,"+"&amp;F395-E395,"+"&amp;E395-F395)),"")</f>
        <v/>
      </c>
      <c r="H395" s="12">
        <f>if($A395&lt;&gt;"",if(B395&gt;C395,if(B395&lt;60,1,2),""),"")</f>
        <v/>
      </c>
      <c r="I395" s="12">
        <f>if($A395&lt;&gt;"",if(C395&gt;B395,if(C395&lt;60,1,2),""),"")</f>
        <v/>
      </c>
      <c r="J395" s="9">
        <f>if($A395&lt;&gt;"",J394+H395,"")</f>
        <v/>
      </c>
      <c r="K395" s="9">
        <f>if($A395&lt;&gt;"",K394+I395,"")</f>
        <v/>
      </c>
      <c r="L395" s="11">
        <f>IF($A395&lt;&gt;"",IF(K395-J395=0,"tie",IF(K395-J395&gt;0,"+"&amp;K395-J395,"+"&amp;J395-K395)),"")</f>
        <v/>
      </c>
      <c r="M395" s="17" t="n"/>
      <c r="N395" s="17" t="n"/>
      <c r="O395" s="17" t="n"/>
      <c r="P395" s="17" t="n"/>
      <c r="Q395" s="17" t="n"/>
      <c r="R395" s="17" t="n"/>
      <c r="S395" s="17" t="n"/>
    </row>
    <row r="396">
      <c r="A396" s="15" t="n">
        <v>43682</v>
      </c>
      <c r="B396" s="10" t="n">
        <v>30</v>
      </c>
      <c r="C396" s="9" t="n">
        <v>25</v>
      </c>
      <c r="D396" s="17" t="inlineStr">
        <is>
          <t>Preston Way</t>
        </is>
      </c>
      <c r="E396" s="9">
        <f>if($A396&lt;&gt;"",E395+B396,"")</f>
        <v/>
      </c>
      <c r="F396" s="10">
        <f>if($A396&lt;&gt;"",F395+C396,"")</f>
        <v/>
      </c>
      <c r="G396" s="11">
        <f>IF($A396&lt;&gt;"",IF(F396-E396=0,"tie",IF(F396-E396&gt;0,"+"&amp;F396-E396,"+"&amp;E396-F396)),"")</f>
        <v/>
      </c>
      <c r="H396" s="12">
        <f>if($A396&lt;&gt;"",if(B396&gt;C396,if(B396&lt;60,1,2),""),"")</f>
        <v/>
      </c>
      <c r="I396" s="12">
        <f>if($A396&lt;&gt;"",if(C396&gt;B396,if(C396&lt;60,1,2),""),"")</f>
        <v/>
      </c>
      <c r="J396" s="9">
        <f>if($A396&lt;&gt;"",J395+H396,"")</f>
        <v/>
      </c>
      <c r="K396" s="9">
        <f>if($A396&lt;&gt;"",K395+I396,"")</f>
        <v/>
      </c>
      <c r="L396" s="11">
        <f>IF($A396&lt;&gt;"",IF(K396-J396=0,"tie",IF(K396-J396&gt;0,"+"&amp;K396-J396,"+"&amp;J396-K396)),"")</f>
        <v/>
      </c>
      <c r="M396" s="17" t="n"/>
      <c r="N396" s="17" t="n"/>
      <c r="O396" s="17" t="n"/>
      <c r="P396" s="17" t="n"/>
      <c r="Q396" s="17" t="n"/>
      <c r="R396" s="17" t="n"/>
      <c r="S396" s="17" t="n"/>
    </row>
    <row r="397">
      <c r="A397" s="15" t="n">
        <v>43695</v>
      </c>
      <c r="B397" s="10" t="n">
        <v>30</v>
      </c>
      <c r="C397" s="9" t="n">
        <v>25</v>
      </c>
      <c r="D397" s="17" t="inlineStr">
        <is>
          <t>Rustic Kitchen</t>
        </is>
      </c>
      <c r="E397" s="9">
        <f>if($A397&lt;&gt;"",E396+B397,"")</f>
        <v/>
      </c>
      <c r="F397" s="10">
        <f>if($A397&lt;&gt;"",F396+C397,"")</f>
        <v/>
      </c>
      <c r="G397" s="11">
        <f>IF($A397&lt;&gt;"",IF(F397-E397=0,"tie",IF(F397-E397&gt;0,"+"&amp;F397-E397,"+"&amp;E397-F397)),"")</f>
        <v/>
      </c>
      <c r="H397" s="12">
        <f>if($A397&lt;&gt;"",if(B397&gt;C397,if(B397&lt;60,1,2),""),"")</f>
        <v/>
      </c>
      <c r="I397" s="12">
        <f>if($A397&lt;&gt;"",if(C397&gt;B397,if(C397&lt;60,1,2),""),"")</f>
        <v/>
      </c>
      <c r="J397" s="9">
        <f>if($A397&lt;&gt;"",J396+H397,"")</f>
        <v/>
      </c>
      <c r="K397" s="9">
        <f>if($A397&lt;&gt;"",K396+I397,"")</f>
        <v/>
      </c>
      <c r="L397" s="11">
        <f>IF($A397&lt;&gt;"",IF(K397-J397=0,"tie",IF(K397-J397&gt;0,"+"&amp;K397-J397,"+"&amp;J397-K397)),"")</f>
        <v/>
      </c>
      <c r="M397" s="17" t="n"/>
      <c r="N397" s="17" t="n"/>
      <c r="O397" s="17" t="n"/>
      <c r="P397" s="17" t="n"/>
      <c r="Q397" s="17" t="n"/>
      <c r="R397" s="17" t="n"/>
      <c r="S397" s="17" t="n"/>
    </row>
    <row r="398">
      <c r="A398" s="15" t="n">
        <v>43699</v>
      </c>
      <c r="B398" s="10" t="n">
        <v>30</v>
      </c>
      <c r="C398" s="9" t="n">
        <v>25</v>
      </c>
      <c r="D398" s="17" t="inlineStr">
        <is>
          <t>Sidewalk Cafe, Venice</t>
        </is>
      </c>
      <c r="E398" s="9">
        <f>if($A398&lt;&gt;"",E397+B398,"")</f>
        <v/>
      </c>
      <c r="F398" s="10">
        <f>if($A398&lt;&gt;"",F397+C398,"")</f>
        <v/>
      </c>
      <c r="G398" s="11">
        <f>IF($A398&lt;&gt;"",IF(F398-E398=0,"tie",IF(F398-E398&gt;0,"+"&amp;F398-E398,"+"&amp;E398-F398)),"")</f>
        <v/>
      </c>
      <c r="H398" s="12">
        <f>if($A398&lt;&gt;"",if(B398&gt;C398,if(B398&lt;60,1,2),""),"")</f>
        <v/>
      </c>
      <c r="I398" s="12">
        <f>if($A398&lt;&gt;"",if(C398&gt;B398,if(C398&lt;60,1,2),""),"")</f>
        <v/>
      </c>
      <c r="J398" s="9">
        <f>if($A398&lt;&gt;"",J397+H398,"")</f>
        <v/>
      </c>
      <c r="K398" s="9">
        <f>if($A398&lt;&gt;"",K397+I398,"")</f>
        <v/>
      </c>
      <c r="L398" s="11">
        <f>IF($A398&lt;&gt;"",IF(K398-J398=0,"tie",IF(K398-J398&gt;0,"+"&amp;K398-J398,"+"&amp;J398-K398)),"")</f>
        <v/>
      </c>
      <c r="M398" s="17" t="n"/>
      <c r="N398" s="17" t="n"/>
      <c r="O398" s="17" t="n"/>
      <c r="P398" s="17" t="n"/>
      <c r="Q398" s="17" t="n"/>
      <c r="R398" s="17" t="n"/>
      <c r="S398" s="17" t="n"/>
    </row>
    <row r="399">
      <c r="A399" s="15" t="n">
        <v>43702</v>
      </c>
      <c r="B399" s="10" t="n">
        <v>30</v>
      </c>
      <c r="C399" s="9" t="n">
        <v>25</v>
      </c>
      <c r="D399" s="17" t="inlineStr">
        <is>
          <t>Mel’s, Santa Monica</t>
        </is>
      </c>
      <c r="E399" s="9">
        <f>if($A399&lt;&gt;"",E398+B399,"")</f>
        <v/>
      </c>
      <c r="F399" s="10">
        <f>if($A399&lt;&gt;"",F398+C399,"")</f>
        <v/>
      </c>
      <c r="G399" s="11">
        <f>IF($A399&lt;&gt;"",IF(F399-E399=0,"tie",IF(F399-E399&gt;0,"+"&amp;F399-E399,"+"&amp;E399-F399)),"")</f>
        <v/>
      </c>
      <c r="H399" s="12">
        <f>if($A399&lt;&gt;"",if(B399&gt;C399,if(B399&lt;60,1,2),""),"")</f>
        <v/>
      </c>
      <c r="I399" s="12">
        <f>if($A399&lt;&gt;"",if(C399&gt;B399,if(C399&lt;60,1,2),""),"")</f>
        <v/>
      </c>
      <c r="J399" s="9">
        <f>if($A399&lt;&gt;"",J398+H399,"")</f>
        <v/>
      </c>
      <c r="K399" s="9">
        <f>if($A399&lt;&gt;"",K398+I399,"")</f>
        <v/>
      </c>
      <c r="L399" s="11">
        <f>IF($A399&lt;&gt;"",IF(K399-J399=0,"tie",IF(K399-J399&gt;0,"+"&amp;K399-J399,"+"&amp;J399-K399)),"")</f>
        <v/>
      </c>
      <c r="M399" s="17" t="n"/>
      <c r="N399" s="17" t="n"/>
      <c r="O399" s="17" t="n"/>
      <c r="P399" s="17" t="n"/>
      <c r="Q399" s="17" t="n"/>
      <c r="R399" s="17" t="n"/>
      <c r="S399" s="17" t="n"/>
    </row>
    <row r="400">
      <c r="A400" s="15" t="n">
        <v>43705</v>
      </c>
      <c r="B400" s="10" t="n">
        <v>30</v>
      </c>
      <c r="C400" s="9" t="n">
        <v>25</v>
      </c>
      <c r="D400" s="17" t="inlineStr">
        <is>
          <t>Preston Way</t>
        </is>
      </c>
      <c r="E400" s="9">
        <f>if($A400&lt;&gt;"",E399+B400,"")</f>
        <v/>
      </c>
      <c r="F400" s="10">
        <f>if($A400&lt;&gt;"",F399+C400,"")</f>
        <v/>
      </c>
      <c r="G400" s="11">
        <f>IF($A400&lt;&gt;"",IF(F400-E400=0,"tie",IF(F400-E400&gt;0,"+"&amp;F400-E400,"+"&amp;E400-F400)),"")</f>
        <v/>
      </c>
      <c r="H400" s="12">
        <f>if($A400&lt;&gt;"",if(B400&gt;C400,if(B400&lt;60,1,2),""),"")</f>
        <v/>
      </c>
      <c r="I400" s="12">
        <f>if($A400&lt;&gt;"",if(C400&gt;B400,if(C400&lt;60,1,2),""),"")</f>
        <v/>
      </c>
      <c r="J400" s="9">
        <f>if($A400&lt;&gt;"",J399+H400,"")</f>
        <v/>
      </c>
      <c r="K400" s="9">
        <f>if($A400&lt;&gt;"",K399+I400,"")</f>
        <v/>
      </c>
      <c r="L400" s="11">
        <f>IF($A400&lt;&gt;"",IF(K400-J400=0,"tie",IF(K400-J400&gt;0,"+"&amp;K400-J400,"+"&amp;J400-K400)),"")</f>
        <v/>
      </c>
      <c r="M400" s="17" t="n"/>
      <c r="N400" s="17" t="n"/>
      <c r="O400" s="17" t="n"/>
      <c r="P400" s="17" t="n"/>
      <c r="Q400" s="17" t="n"/>
      <c r="R400" s="17" t="n"/>
      <c r="S400" s="17" t="n"/>
    </row>
    <row r="401">
      <c r="A401" s="15" t="n">
        <v>43705</v>
      </c>
      <c r="B401" s="10" t="n">
        <v>30</v>
      </c>
      <c r="C401" s="9" t="n">
        <v>25</v>
      </c>
      <c r="D401" s="17" t="inlineStr">
        <is>
          <t>Superba, Venice</t>
        </is>
      </c>
      <c r="E401" s="9">
        <f>if($A401&lt;&gt;"",E400+B401,"")</f>
        <v/>
      </c>
      <c r="F401" s="10">
        <f>if($A401&lt;&gt;"",F400+C401,"")</f>
        <v/>
      </c>
      <c r="G401" s="11">
        <f>IF($A401&lt;&gt;"",IF(F401-E401=0,"tie",IF(F401-E401&gt;0,"+"&amp;F401-E401,"+"&amp;E401-F401)),"")</f>
        <v/>
      </c>
      <c r="H401" s="12">
        <f>if($A401&lt;&gt;"",if(B401&gt;C401,if(B401&lt;60,1,2),""),"")</f>
        <v/>
      </c>
      <c r="I401" s="12">
        <f>if($A401&lt;&gt;"",if(C401&gt;B401,if(C401&lt;60,1,2),""),"")</f>
        <v/>
      </c>
      <c r="J401" s="9">
        <f>if($A401&lt;&gt;"",J400+H401,"")</f>
        <v/>
      </c>
      <c r="K401" s="9">
        <f>if($A401&lt;&gt;"",K400+I401,"")</f>
        <v/>
      </c>
      <c r="L401" s="11">
        <f>IF($A401&lt;&gt;"",IF(K401-J401=0,"tie",IF(K401-J401&gt;0,"+"&amp;K401-J401,"+"&amp;J401-K401)),"")</f>
        <v/>
      </c>
      <c r="M401" s="17" t="n"/>
      <c r="N401" s="17" t="n"/>
      <c r="O401" s="17" t="n"/>
      <c r="P401" s="17" t="n"/>
      <c r="Q401" s="17" t="n"/>
      <c r="R401" s="17" t="n"/>
      <c r="S401" s="17" t="n"/>
    </row>
    <row r="402">
      <c r="A402" s="15" t="n">
        <v>43706</v>
      </c>
      <c r="B402" s="9" t="n">
        <v>25</v>
      </c>
      <c r="C402" s="10" t="n">
        <v>30</v>
      </c>
      <c r="D402" s="17" t="inlineStr">
        <is>
          <t>La Cabaña, Venice</t>
        </is>
      </c>
      <c r="E402" s="9">
        <f>if($A402&lt;&gt;"",E401+B402,"")</f>
        <v/>
      </c>
      <c r="F402" s="10">
        <f>if($A402&lt;&gt;"",F401+C402,"")</f>
        <v/>
      </c>
      <c r="G402" s="11">
        <f>IF($A402&lt;&gt;"",IF(F402-E402=0,"tie",IF(F402-E402&gt;0,"+"&amp;F402-E402,"+"&amp;E402-F402)),"")</f>
        <v/>
      </c>
      <c r="H402" s="12">
        <f>if($A402&lt;&gt;"",if(B402&gt;C402,if(B402&lt;60,1,2),""),"")</f>
        <v/>
      </c>
      <c r="I402" s="12">
        <f>if($A402&lt;&gt;"",if(C402&gt;B402,if(C402&lt;60,1,2),""),"")</f>
        <v/>
      </c>
      <c r="J402" s="9">
        <f>if($A402&lt;&gt;"",J401+H402,"")</f>
        <v/>
      </c>
      <c r="K402" s="9">
        <f>if($A402&lt;&gt;"",K401+I402,"")</f>
        <v/>
      </c>
      <c r="L402" s="11">
        <f>IF($A402&lt;&gt;"",IF(K402-J402=0,"tie",IF(K402-J402&gt;0,"+"&amp;K402-J402,"+"&amp;J402-K402)),"")</f>
        <v/>
      </c>
      <c r="M402" s="17" t="n"/>
      <c r="N402" s="17" t="n"/>
      <c r="O402" s="17" t="n"/>
      <c r="P402" s="17" t="n"/>
      <c r="Q402" s="17" t="n"/>
      <c r="R402" s="17" t="n"/>
      <c r="S402" s="17" t="n"/>
    </row>
    <row r="403">
      <c r="A403" s="15" t="n">
        <v>43707</v>
      </c>
      <c r="B403" s="10" t="n">
        <v>30</v>
      </c>
      <c r="C403" s="9" t="n">
        <v>25</v>
      </c>
      <c r="D403" s="17" t="inlineStr">
        <is>
          <t>Venice Beach Bar and Kitchen</t>
        </is>
      </c>
      <c r="E403" s="9">
        <f>if($A403&lt;&gt;"",E402+B403,"")</f>
        <v/>
      </c>
      <c r="F403" s="10">
        <f>if($A403&lt;&gt;"",F402+C403,"")</f>
        <v/>
      </c>
      <c r="G403" s="11">
        <f>IF($A403&lt;&gt;"",IF(F403-E403=0,"tie",IF(F403-E403&gt;0,"+"&amp;F403-E403,"+"&amp;E403-F403)),"")</f>
        <v/>
      </c>
      <c r="H403" s="12">
        <f>if($A403&lt;&gt;"",if(B403&gt;C403,if(B403&lt;60,1,2),""),"")</f>
        <v/>
      </c>
      <c r="I403" s="12">
        <f>if($A403&lt;&gt;"",if(C403&gt;B403,if(C403&lt;60,1,2),""),"")</f>
        <v/>
      </c>
      <c r="J403" s="9">
        <f>if($A403&lt;&gt;"",J402+H403,"")</f>
        <v/>
      </c>
      <c r="K403" s="9">
        <f>if($A403&lt;&gt;"",K402+I403,"")</f>
        <v/>
      </c>
      <c r="L403" s="11">
        <f>IF($A403&lt;&gt;"",IF(K403-J403=0,"tie",IF(K403-J403&gt;0,"+"&amp;K403-J403,"+"&amp;J403-K403)),"")</f>
        <v/>
      </c>
      <c r="M403" s="17" t="n"/>
      <c r="N403" s="17" t="n"/>
      <c r="O403" s="17" t="n"/>
      <c r="P403" s="17" t="n"/>
      <c r="Q403" s="17" t="n"/>
      <c r="R403" s="17" t="n"/>
      <c r="S403" s="17" t="n"/>
    </row>
    <row r="404">
      <c r="A404" s="15" t="n">
        <v>43709</v>
      </c>
      <c r="B404" s="10" t="n">
        <v>30</v>
      </c>
      <c r="C404" s="9" t="n">
        <v>25</v>
      </c>
      <c r="D404" s="17" t="inlineStr">
        <is>
          <t>Amigo’s, Pasadena</t>
        </is>
      </c>
      <c r="E404" s="9">
        <f>if($A404&lt;&gt;"",E403+B404,"")</f>
        <v/>
      </c>
      <c r="F404" s="10">
        <f>if($A404&lt;&gt;"",F403+C404,"")</f>
        <v/>
      </c>
      <c r="G404" s="11">
        <f>IF($A404&lt;&gt;"",IF(F404-E404=0,"tie",IF(F404-E404&gt;0,"+"&amp;F404-E404,"+"&amp;E404-F404)),"")</f>
        <v/>
      </c>
      <c r="H404" s="12">
        <f>if($A404&lt;&gt;"",if(B404&gt;C404,if(B404&lt;60,1,2),""),"")</f>
        <v/>
      </c>
      <c r="I404" s="12">
        <f>if($A404&lt;&gt;"",if(C404&gt;B404,if(C404&lt;60,1,2),""),"")</f>
        <v/>
      </c>
      <c r="J404" s="9">
        <f>if($A404&lt;&gt;"",J403+H404,"")</f>
        <v/>
      </c>
      <c r="K404" s="9">
        <f>if($A404&lt;&gt;"",K403+I404,"")</f>
        <v/>
      </c>
      <c r="L404" s="11">
        <f>IF($A404&lt;&gt;"",IF(K404-J404=0,"tie",IF(K404-J404&gt;0,"+"&amp;K404-J404,"+"&amp;J404-K404)),"")</f>
        <v/>
      </c>
      <c r="M404" s="17" t="n"/>
      <c r="N404" s="17" t="n"/>
      <c r="O404" s="17" t="n"/>
      <c r="P404" s="17" t="n"/>
      <c r="Q404" s="17" t="n"/>
      <c r="R404" s="17" t="n"/>
      <c r="S404" s="17" t="n"/>
    </row>
    <row r="405">
      <c r="A405" s="15" t="n">
        <v>43710</v>
      </c>
      <c r="B405" s="9" t="n">
        <v>25</v>
      </c>
      <c r="C405" s="10" t="n">
        <v>30</v>
      </c>
      <c r="D405" s="17" t="inlineStr">
        <is>
          <t>Gulp, Playa Vista</t>
        </is>
      </c>
      <c r="E405" s="9">
        <f>if($A405&lt;&gt;"",E404+B405,"")</f>
        <v/>
      </c>
      <c r="F405" s="10">
        <f>if($A405&lt;&gt;"",F404+C405,"")</f>
        <v/>
      </c>
      <c r="G405" s="11">
        <f>IF($A405&lt;&gt;"",IF(F405-E405=0,"tie",IF(F405-E405&gt;0,"+"&amp;F405-E405,"+"&amp;E405-F405)),"")</f>
        <v/>
      </c>
      <c r="H405" s="12">
        <f>if($A405&lt;&gt;"",if(B405&gt;C405,if(B405&lt;60,1,2),""),"")</f>
        <v/>
      </c>
      <c r="I405" s="12">
        <f>if($A405&lt;&gt;"",if(C405&gt;B405,if(C405&lt;60,1,2),""),"")</f>
        <v/>
      </c>
      <c r="J405" s="9">
        <f>if($A405&lt;&gt;"",J404+H405,"")</f>
        <v/>
      </c>
      <c r="K405" s="9">
        <f>if($A405&lt;&gt;"",K404+I405,"")</f>
        <v/>
      </c>
      <c r="L405" s="11">
        <f>IF($A405&lt;&gt;"",IF(K405-J405=0,"tie",IF(K405-J405&gt;0,"+"&amp;K405-J405,"+"&amp;J405-K405)),"")</f>
        <v/>
      </c>
      <c r="M405" s="17" t="n"/>
      <c r="N405" s="17" t="n"/>
      <c r="O405" s="17" t="n"/>
      <c r="P405" s="17" t="n"/>
      <c r="Q405" s="17" t="n"/>
      <c r="R405" s="17" t="n"/>
      <c r="S405" s="17" t="n"/>
    </row>
    <row r="406">
      <c r="A406" s="15" t="n">
        <v>43711</v>
      </c>
      <c r="B406" s="10" t="n">
        <v>30</v>
      </c>
      <c r="C406" s="9" t="n">
        <v>25</v>
      </c>
      <c r="D406" s="17" t="inlineStr">
        <is>
          <t>George's Burgers, Santa Monica</t>
        </is>
      </c>
      <c r="E406" s="9">
        <f>if($A406&lt;&gt;"",E405+B406,"")</f>
        <v/>
      </c>
      <c r="F406" s="10">
        <f>if($A406&lt;&gt;"",F405+C406,"")</f>
        <v/>
      </c>
      <c r="G406" s="11">
        <f>IF($A406&lt;&gt;"",IF(F406-E406=0,"tie",IF(F406-E406&gt;0,"+"&amp;F406-E406,"+"&amp;E406-F406)),"")</f>
        <v/>
      </c>
      <c r="H406" s="12">
        <f>if($A406&lt;&gt;"",if(B406&gt;C406,if(B406&lt;60,1,2),""),"")</f>
        <v/>
      </c>
      <c r="I406" s="12">
        <f>if($A406&lt;&gt;"",if(C406&gt;B406,if(C406&lt;60,1,2),""),"")</f>
        <v/>
      </c>
      <c r="J406" s="9">
        <f>if($A406&lt;&gt;"",J405+H406,"")</f>
        <v/>
      </c>
      <c r="K406" s="9">
        <f>if($A406&lt;&gt;"",K405+I406,"")</f>
        <v/>
      </c>
      <c r="L406" s="11">
        <f>IF($A406&lt;&gt;"",IF(K406-J406=0,"tie",IF(K406-J406&gt;0,"+"&amp;K406-J406,"+"&amp;J406-K406)),"")</f>
        <v/>
      </c>
      <c r="M406" s="17" t="n"/>
      <c r="N406" s="17" t="n"/>
      <c r="O406" s="17" t="n"/>
      <c r="P406" s="17" t="n"/>
      <c r="Q406" s="17" t="n"/>
      <c r="R406" s="17" t="n"/>
      <c r="S406" s="17" t="n"/>
    </row>
    <row r="407">
      <c r="A407" s="15" t="n">
        <v>43720</v>
      </c>
      <c r="B407" s="9" t="n">
        <v>25</v>
      </c>
      <c r="C407" s="10" t="n">
        <v>30</v>
      </c>
      <c r="D407" s="17" t="inlineStr">
        <is>
          <t>Preston Way</t>
        </is>
      </c>
      <c r="E407" s="9">
        <f>if($A407&lt;&gt;"",E406+B407,"")</f>
        <v/>
      </c>
      <c r="F407" s="10">
        <f>if($A407&lt;&gt;"",F406+C407,"")</f>
        <v/>
      </c>
      <c r="G407" s="11">
        <f>IF($A407&lt;&gt;"",IF(F407-E407=0,"tie",IF(F407-E407&gt;0,"+"&amp;F407-E407,"+"&amp;E407-F407)),"")</f>
        <v/>
      </c>
      <c r="H407" s="12">
        <f>if($A407&lt;&gt;"",if(B407&gt;C407,if(B407&lt;60,1,2),""),"")</f>
        <v/>
      </c>
      <c r="I407" s="12">
        <f>if($A407&lt;&gt;"",if(C407&gt;B407,if(C407&lt;60,1,2),""),"")</f>
        <v/>
      </c>
      <c r="J407" s="9">
        <f>if($A407&lt;&gt;"",J406+H407,"")</f>
        <v/>
      </c>
      <c r="K407" s="9">
        <f>if($A407&lt;&gt;"",K406+I407,"")</f>
        <v/>
      </c>
      <c r="L407" s="11">
        <f>IF($A407&lt;&gt;"",IF(K407-J407=0,"tie",IF(K407-J407&gt;0,"+"&amp;K407-J407,"+"&amp;J407-K407)),"")</f>
        <v/>
      </c>
      <c r="M407" s="17" t="n"/>
      <c r="N407" s="17" t="n"/>
      <c r="O407" s="17" t="n"/>
      <c r="P407" s="17" t="n"/>
      <c r="Q407" s="17" t="n"/>
      <c r="R407" s="17" t="n"/>
      <c r="S407" s="17" t="n"/>
    </row>
    <row r="408">
      <c r="A408" s="15" t="n">
        <v>43721</v>
      </c>
      <c r="B408" s="10" t="n">
        <v>30</v>
      </c>
      <c r="C408" s="9" t="n">
        <v>25</v>
      </c>
      <c r="D408" s="17" t="inlineStr">
        <is>
          <t>Foxy’s, Glendale</t>
        </is>
      </c>
      <c r="E408" s="9">
        <f>if($A408&lt;&gt;"",E407+B408,"")</f>
        <v/>
      </c>
      <c r="F408" s="10">
        <f>if($A408&lt;&gt;"",F407+C408,"")</f>
        <v/>
      </c>
      <c r="G408" s="11">
        <f>IF($A408&lt;&gt;"",IF(F408-E408=0,"tie",IF(F408-E408&gt;0,"+"&amp;F408-E408,"+"&amp;E408-F408)),"")</f>
        <v/>
      </c>
      <c r="H408" s="12">
        <f>if($A408&lt;&gt;"",if(B408&gt;C408,if(B408&lt;60,1,2),""),"")</f>
        <v/>
      </c>
      <c r="I408" s="12">
        <f>if($A408&lt;&gt;"",if(C408&gt;B408,if(C408&lt;60,1,2),""),"")</f>
        <v/>
      </c>
      <c r="J408" s="9">
        <f>if($A408&lt;&gt;"",J407+H408,"")</f>
        <v/>
      </c>
      <c r="K408" s="9">
        <f>if($A408&lt;&gt;"",K407+I408,"")</f>
        <v/>
      </c>
      <c r="L408" s="11">
        <f>IF($A408&lt;&gt;"",IF(K408-J408=0,"tie",IF(K408-J408&gt;0,"+"&amp;K408-J408,"+"&amp;J408-K408)),"")</f>
        <v/>
      </c>
      <c r="M408" s="17" t="n"/>
      <c r="N408" s="17" t="n"/>
      <c r="O408" s="17" t="n"/>
      <c r="P408" s="17" t="n"/>
      <c r="Q408" s="17" t="n"/>
      <c r="R408" s="17" t="n"/>
      <c r="S408" s="17" t="n"/>
    </row>
    <row r="409">
      <c r="A409" s="15" t="n">
        <v>43722</v>
      </c>
      <c r="B409" s="10" t="n">
        <v>30</v>
      </c>
      <c r="C409" s="9" t="n">
        <v>25</v>
      </c>
      <c r="D409" s="17" t="inlineStr">
        <is>
          <t>Bonita Ranch, Lytle Creek, CA</t>
        </is>
      </c>
      <c r="E409" s="9">
        <f>if($A409&lt;&gt;"",E408+B409,"")</f>
        <v/>
      </c>
      <c r="F409" s="10">
        <f>if($A409&lt;&gt;"",F408+C409,"")</f>
        <v/>
      </c>
      <c r="G409" s="11">
        <f>IF($A409&lt;&gt;"",IF(F409-E409=0,"tie",IF(F409-E409&gt;0,"+"&amp;F409-E409,"+"&amp;E409-F409)),"")</f>
        <v/>
      </c>
      <c r="H409" s="12">
        <f>if($A409&lt;&gt;"",if(B409&gt;C409,if(B409&lt;60,1,2),""),"")</f>
        <v/>
      </c>
      <c r="I409" s="12">
        <f>if($A409&lt;&gt;"",if(C409&gt;B409,if(C409&lt;60,1,2),""),"")</f>
        <v/>
      </c>
      <c r="J409" s="9">
        <f>if($A409&lt;&gt;"",J408+H409,"")</f>
        <v/>
      </c>
      <c r="K409" s="9">
        <f>if($A409&lt;&gt;"",K408+I409,"")</f>
        <v/>
      </c>
      <c r="L409" s="11">
        <f>IF($A409&lt;&gt;"",IF(K409-J409=0,"tie",IF(K409-J409&gt;0,"+"&amp;K409-J409,"+"&amp;J409-K409)),"")</f>
        <v/>
      </c>
      <c r="M409" s="17" t="n"/>
      <c r="N409" s="17" t="n"/>
      <c r="O409" s="17" t="n"/>
      <c r="P409" s="17" t="n"/>
      <c r="Q409" s="17" t="n"/>
      <c r="R409" s="17" t="n"/>
      <c r="S409" s="17" t="n"/>
    </row>
    <row r="410">
      <c r="A410" s="15" t="n">
        <v>43724</v>
      </c>
      <c r="B410" s="10" t="n">
        <v>30</v>
      </c>
      <c r="C410" s="9" t="n">
        <v>25</v>
      </c>
      <c r="D410" s="17" t="inlineStr">
        <is>
          <t>American Beauty, Venice</t>
        </is>
      </c>
      <c r="E410" s="9">
        <f>if($A410&lt;&gt;"",E409+B410,"")</f>
        <v/>
      </c>
      <c r="F410" s="10">
        <f>if($A410&lt;&gt;"",F409+C410,"")</f>
        <v/>
      </c>
      <c r="G410" s="11">
        <f>IF($A410&lt;&gt;"",IF(F410-E410=0,"tie",IF(F410-E410&gt;0,"+"&amp;F410-E410,"+"&amp;E410-F410)),"")</f>
        <v/>
      </c>
      <c r="H410" s="12">
        <f>if($A410&lt;&gt;"",if(B410&gt;C410,if(B410&lt;60,1,2),""),"")</f>
        <v/>
      </c>
      <c r="I410" s="12">
        <f>if($A410&lt;&gt;"",if(C410&gt;B410,if(C410&lt;60,1,2),""),"")</f>
        <v/>
      </c>
      <c r="J410" s="9">
        <f>if($A410&lt;&gt;"",J409+H410,"")</f>
        <v/>
      </c>
      <c r="K410" s="9">
        <f>if($A410&lt;&gt;"",K409+I410,"")</f>
        <v/>
      </c>
      <c r="L410" s="11">
        <f>IF($A410&lt;&gt;"",IF(K410-J410=0,"tie",IF(K410-J410&gt;0,"+"&amp;K410-J410,"+"&amp;J410-K410)),"")</f>
        <v/>
      </c>
      <c r="M410" s="17" t="n"/>
      <c r="N410" s="17" t="n"/>
      <c r="O410" s="17" t="n"/>
      <c r="P410" s="17" t="n"/>
      <c r="Q410" s="17" t="n"/>
      <c r="R410" s="17" t="n"/>
      <c r="S410" s="17" t="n"/>
    </row>
    <row r="411">
      <c r="A411" s="15" t="n">
        <v>43726</v>
      </c>
      <c r="B411" s="9" t="n">
        <v>25</v>
      </c>
      <c r="C411" s="10" t="n">
        <v>30</v>
      </c>
      <c r="D411" s="17" t="inlineStr">
        <is>
          <t>Johnny’s Pastrami</t>
        </is>
      </c>
      <c r="E411" s="9">
        <f>if($A411&lt;&gt;"",E410+B411,"")</f>
        <v/>
      </c>
      <c r="F411" s="10">
        <f>if($A411&lt;&gt;"",F410+C411,"")</f>
        <v/>
      </c>
      <c r="G411" s="11">
        <f>IF($A411&lt;&gt;"",IF(F411-E411=0,"tie",IF(F411-E411&gt;0,"+"&amp;F411-E411,"+"&amp;E411-F411)),"")</f>
        <v/>
      </c>
      <c r="H411" s="12">
        <f>if($A411&lt;&gt;"",if(B411&gt;C411,if(B411&lt;60,1,2),""),"")</f>
        <v/>
      </c>
      <c r="I411" s="12">
        <f>if($A411&lt;&gt;"",if(C411&gt;B411,if(C411&lt;60,1,2),""),"")</f>
        <v/>
      </c>
      <c r="J411" s="9">
        <f>if($A411&lt;&gt;"",J410+H411,"")</f>
        <v/>
      </c>
      <c r="K411" s="9">
        <f>if($A411&lt;&gt;"",K410+I411,"")</f>
        <v/>
      </c>
      <c r="L411" s="11">
        <f>IF($A411&lt;&gt;"",IF(K411-J411=0,"tie",IF(K411-J411&gt;0,"+"&amp;K411-J411,"+"&amp;J411-K411)),"")</f>
        <v/>
      </c>
      <c r="M411" s="17" t="n"/>
      <c r="N411" s="17" t="n"/>
      <c r="O411" s="17" t="n"/>
      <c r="P411" s="17" t="n"/>
      <c r="Q411" s="17" t="n"/>
      <c r="R411" s="17" t="n"/>
      <c r="S411" s="17" t="n"/>
    </row>
    <row r="412">
      <c r="A412" s="15" t="n">
        <v>43729</v>
      </c>
      <c r="B412" s="9" t="n">
        <v>25</v>
      </c>
      <c r="C412" s="10" t="n">
        <v>30</v>
      </c>
      <c r="D412" s="17" t="inlineStr">
        <is>
          <t>Campland, San Diego, Nancy’s birthday and Parrot Head</t>
        </is>
      </c>
      <c r="E412" s="9">
        <f>if($A412&lt;&gt;"",E411+B412,"")</f>
        <v/>
      </c>
      <c r="F412" s="10">
        <f>if($A412&lt;&gt;"",F411+C412,"")</f>
        <v/>
      </c>
      <c r="G412" s="11">
        <f>IF($A412&lt;&gt;"",IF(F412-E412=0,"tie",IF(F412-E412&gt;0,"+"&amp;F412-E412,"+"&amp;E412-F412)),"")</f>
        <v/>
      </c>
      <c r="H412" s="12">
        <f>if($A412&lt;&gt;"",if(B412&gt;C412,if(B412&lt;60,1,2),""),"")</f>
        <v/>
      </c>
      <c r="I412" s="12">
        <f>if($A412&lt;&gt;"",if(C412&gt;B412,if(C412&lt;60,1,2),""),"")</f>
        <v/>
      </c>
      <c r="J412" s="9">
        <f>if($A412&lt;&gt;"",J411+H412,"")</f>
        <v/>
      </c>
      <c r="K412" s="9">
        <f>if($A412&lt;&gt;"",K411+I412,"")</f>
        <v/>
      </c>
      <c r="L412" s="11">
        <f>IF($A412&lt;&gt;"",IF(K412-J412=0,"tie",IF(K412-J412&gt;0,"+"&amp;K412-J412,"+"&amp;J412-K412)),"")</f>
        <v/>
      </c>
      <c r="M412" s="17" t="n"/>
      <c r="N412" s="17" t="n"/>
      <c r="O412" s="17" t="n"/>
      <c r="P412" s="17" t="n"/>
      <c r="Q412" s="17" t="n"/>
      <c r="R412" s="17" t="n"/>
      <c r="S412" s="17" t="n"/>
    </row>
    <row r="413">
      <c r="A413" s="15" t="n">
        <v>43730</v>
      </c>
      <c r="B413" s="9" t="n">
        <v>25</v>
      </c>
      <c r="C413" s="10" t="n">
        <v>30</v>
      </c>
      <c r="D413" s="17" t="inlineStr">
        <is>
          <t>Campland in the RV</t>
        </is>
      </c>
      <c r="E413" s="9">
        <f>if($A413&lt;&gt;"",E412+B413,"")</f>
        <v/>
      </c>
      <c r="F413" s="10">
        <f>if($A413&lt;&gt;"",F412+C413,"")</f>
        <v/>
      </c>
      <c r="G413" s="11">
        <f>IF($A413&lt;&gt;"",IF(F413-E413=0,"tie",IF(F413-E413&gt;0,"+"&amp;F413-E413,"+"&amp;E413-F413)),"")</f>
        <v/>
      </c>
      <c r="H413" s="12">
        <f>if($A413&lt;&gt;"",if(B413&gt;C413,if(B413&lt;60,1,2),""),"")</f>
        <v/>
      </c>
      <c r="I413" s="12">
        <f>if($A413&lt;&gt;"",if(C413&gt;B413,if(C413&lt;60,1,2),""),"")</f>
        <v/>
      </c>
      <c r="J413" s="9">
        <f>if($A413&lt;&gt;"",J412+H413,"")</f>
        <v/>
      </c>
      <c r="K413" s="9">
        <f>if($A413&lt;&gt;"",K412+I413,"")</f>
        <v/>
      </c>
      <c r="L413" s="11">
        <f>IF($A413&lt;&gt;"",IF(K413-J413=0,"tie",IF(K413-J413&gt;0,"+"&amp;K413-J413,"+"&amp;J413-K413)),"")</f>
        <v/>
      </c>
      <c r="M413" s="17" t="n"/>
      <c r="N413" s="17" t="n"/>
      <c r="O413" s="17" t="n"/>
      <c r="P413" s="17" t="n"/>
      <c r="Q413" s="17" t="n"/>
      <c r="R413" s="17" t="n"/>
      <c r="S413" s="17" t="n"/>
    </row>
    <row r="414">
      <c r="A414" s="15" t="n">
        <v>43732</v>
      </c>
      <c r="B414" s="9" t="n">
        <v>25</v>
      </c>
      <c r="C414" s="10" t="n">
        <v>30</v>
      </c>
      <c r="D414" s="17" t="inlineStr">
        <is>
          <t>Preston Way</t>
        </is>
      </c>
      <c r="E414" s="9">
        <f>if($A414&lt;&gt;"",E413+B414,"")</f>
        <v/>
      </c>
      <c r="F414" s="10">
        <f>if($A414&lt;&gt;"",F413+C414,"")</f>
        <v/>
      </c>
      <c r="G414" s="11">
        <f>IF($A414&lt;&gt;"",IF(F414-E414=0,"tie",IF(F414-E414&gt;0,"+"&amp;F414-E414,"+"&amp;E414-F414)),"")</f>
        <v/>
      </c>
      <c r="H414" s="12">
        <f>if($A414&lt;&gt;"",if(B414&gt;C414,if(B414&lt;60,1,2),""),"")</f>
        <v/>
      </c>
      <c r="I414" s="12">
        <f>if($A414&lt;&gt;"",if(C414&gt;B414,if(C414&lt;60,1,2),""),"")</f>
        <v/>
      </c>
      <c r="J414" s="9">
        <f>if($A414&lt;&gt;"",J413+H414,"")</f>
        <v/>
      </c>
      <c r="K414" s="9">
        <f>if($A414&lt;&gt;"",K413+I414,"")</f>
        <v/>
      </c>
      <c r="L414" s="11">
        <f>IF($A414&lt;&gt;"",IF(K414-J414=0,"tie",IF(K414-J414&gt;0,"+"&amp;K414-J414,"+"&amp;J414-K414)),"")</f>
        <v/>
      </c>
      <c r="M414" s="17" t="n"/>
      <c r="N414" s="17" t="n"/>
      <c r="O414" s="17" t="n"/>
      <c r="P414" s="17" t="n"/>
      <c r="Q414" s="17" t="n"/>
      <c r="R414" s="17" t="n"/>
      <c r="S414" s="17" t="n"/>
    </row>
    <row r="415">
      <c r="A415" s="15" t="n">
        <v>43739</v>
      </c>
      <c r="B415" s="9" t="n">
        <v>25</v>
      </c>
      <c r="C415" s="10" t="n">
        <v>30</v>
      </c>
      <c r="D415" s="17" t="inlineStr">
        <is>
          <t>Perry’s Beach Cafe, Santa Monica</t>
        </is>
      </c>
      <c r="E415" s="9">
        <f>if($A415&lt;&gt;"",E414+B415,"")</f>
        <v/>
      </c>
      <c r="F415" s="10">
        <f>if($A415&lt;&gt;"",F414+C415,"")</f>
        <v/>
      </c>
      <c r="G415" s="11">
        <f>IF($A415&lt;&gt;"",IF(F415-E415=0,"tie",IF(F415-E415&gt;0,"+"&amp;F415-E415,"+"&amp;E415-F415)),"")</f>
        <v/>
      </c>
      <c r="H415" s="12">
        <f>if($A415&lt;&gt;"",if(B415&gt;C415,if(B415&lt;60,1,2),""),"")</f>
        <v/>
      </c>
      <c r="I415" s="12">
        <f>if($A415&lt;&gt;"",if(C415&gt;B415,if(C415&lt;60,1,2),""),"")</f>
        <v/>
      </c>
      <c r="J415" s="9">
        <f>if($A415&lt;&gt;"",J414+H415,"")</f>
        <v/>
      </c>
      <c r="K415" s="9">
        <f>if($A415&lt;&gt;"",K414+I415,"")</f>
        <v/>
      </c>
      <c r="L415" s="11">
        <f>IF($A415&lt;&gt;"",IF(K415-J415=0,"tie",IF(K415-J415&gt;0,"+"&amp;K415-J415,"+"&amp;J415-K415)),"")</f>
        <v/>
      </c>
      <c r="M415" s="17" t="n"/>
      <c r="N415" s="17" t="n"/>
      <c r="O415" s="17" t="n"/>
      <c r="P415" s="17" t="n"/>
      <c r="Q415" s="17" t="n"/>
      <c r="R415" s="17" t="n"/>
      <c r="S415" s="17" t="n"/>
    </row>
    <row r="416">
      <c r="A416" s="15" t="n">
        <v>43740</v>
      </c>
      <c r="B416" s="9" t="n">
        <v>25</v>
      </c>
      <c r="C416" s="10" t="n">
        <v>30</v>
      </c>
      <c r="D416" s="17" t="inlineStr">
        <is>
          <t>Preston Way</t>
        </is>
      </c>
      <c r="E416" s="9">
        <f>if($A416&lt;&gt;"",E415+B416,"")</f>
        <v/>
      </c>
      <c r="F416" s="10">
        <f>if($A416&lt;&gt;"",F415+C416,"")</f>
        <v/>
      </c>
      <c r="G416" s="11">
        <f>IF($A416&lt;&gt;"",IF(F416-E416=0,"tie",IF(F416-E416&gt;0,"+"&amp;F416-E416,"+"&amp;E416-F416)),"")</f>
        <v/>
      </c>
      <c r="H416" s="12">
        <f>if($A416&lt;&gt;"",if(B416&gt;C416,if(B416&lt;60,1,2),""),"")</f>
        <v/>
      </c>
      <c r="I416" s="12">
        <f>if($A416&lt;&gt;"",if(C416&gt;B416,if(C416&lt;60,1,2),""),"")</f>
        <v/>
      </c>
      <c r="J416" s="9">
        <f>if($A416&lt;&gt;"",J415+H416,"")</f>
        <v/>
      </c>
      <c r="K416" s="9">
        <f>if($A416&lt;&gt;"",K415+I416,"")</f>
        <v/>
      </c>
      <c r="L416" s="11">
        <f>IF($A416&lt;&gt;"",IF(K416-J416=0,"tie",IF(K416-J416&gt;0,"+"&amp;K416-J416,"+"&amp;J416-K416)),"")</f>
        <v/>
      </c>
      <c r="M416" s="17" t="n"/>
      <c r="N416" s="17" t="n"/>
      <c r="O416" s="17" t="n"/>
      <c r="P416" s="17" t="n"/>
      <c r="Q416" s="17" t="n"/>
      <c r="R416" s="17" t="n"/>
      <c r="S416" s="17" t="n"/>
    </row>
    <row r="417">
      <c r="A417" s="15" t="n">
        <v>43743</v>
      </c>
      <c r="B417" s="9" t="n">
        <v>25</v>
      </c>
      <c r="C417" s="10" t="n">
        <v>30</v>
      </c>
      <c r="D417" s="17" t="inlineStr">
        <is>
          <t>Preston Way</t>
        </is>
      </c>
      <c r="E417" s="9">
        <f>if($A417&lt;&gt;"",E416+B417,"")</f>
        <v/>
      </c>
      <c r="F417" s="10">
        <f>if($A417&lt;&gt;"",F416+C417,"")</f>
        <v/>
      </c>
      <c r="G417" s="11">
        <f>IF($A417&lt;&gt;"",IF(F417-E417=0,"tie",IF(F417-E417&gt;0,"+"&amp;F417-E417,"+"&amp;E417-F417)),"")</f>
        <v/>
      </c>
      <c r="H417" s="12">
        <f>if($A417&lt;&gt;"",if(B417&gt;C417,if(B417&lt;60,1,2),""),"")</f>
        <v/>
      </c>
      <c r="I417" s="12">
        <f>if($A417&lt;&gt;"",if(C417&gt;B417,if(C417&lt;60,1,2),""),"")</f>
        <v/>
      </c>
      <c r="J417" s="9">
        <f>if($A417&lt;&gt;"",J416+H417,"")</f>
        <v/>
      </c>
      <c r="K417" s="9">
        <f>if($A417&lt;&gt;"",K416+I417,"")</f>
        <v/>
      </c>
      <c r="L417" s="11">
        <f>IF($A417&lt;&gt;"",IF(K417-J417=0,"tie",IF(K417-J417&gt;0,"+"&amp;K417-J417,"+"&amp;J417-K417)),"")</f>
        <v/>
      </c>
      <c r="M417" s="17" t="n"/>
      <c r="N417" s="17" t="n"/>
      <c r="O417" s="17" t="n"/>
      <c r="P417" s="17" t="n"/>
      <c r="Q417" s="17" t="n"/>
      <c r="R417" s="17" t="n"/>
      <c r="S417" s="17" t="n"/>
    </row>
    <row r="418">
      <c r="A418" s="15" t="n">
        <v>43745</v>
      </c>
      <c r="B418" s="10" t="n">
        <v>30</v>
      </c>
      <c r="C418" s="9" t="n">
        <v>25</v>
      </c>
      <c r="D418" s="17" t="inlineStr">
        <is>
          <t>Kaiser — Metatarsal fracture, ankle sprain, and proximal phalange dislocation</t>
        </is>
      </c>
      <c r="E418" s="9">
        <f>if($A418&lt;&gt;"",E417+B418,"")</f>
        <v/>
      </c>
      <c r="F418" s="10">
        <f>if($A418&lt;&gt;"",F417+C418,"")</f>
        <v/>
      </c>
      <c r="G418" s="11">
        <f>IF($A418&lt;&gt;"",IF(F418-E418=0,"tie",IF(F418-E418&gt;0,"+"&amp;F418-E418,"+"&amp;E418-F418)),"")</f>
        <v/>
      </c>
      <c r="H418" s="12">
        <f>if($A418&lt;&gt;"",if(B418&gt;C418,if(B418&lt;60,1,2),""),"")</f>
        <v/>
      </c>
      <c r="I418" s="12">
        <f>if($A418&lt;&gt;"",if(C418&gt;B418,if(C418&lt;60,1,2),""),"")</f>
        <v/>
      </c>
      <c r="J418" s="9">
        <f>if($A418&lt;&gt;"",J417+H418,"")</f>
        <v/>
      </c>
      <c r="K418" s="9">
        <f>if($A418&lt;&gt;"",K417+I418,"")</f>
        <v/>
      </c>
      <c r="L418" s="11">
        <f>IF($A418&lt;&gt;"",IF(K418-J418=0,"tie",IF(K418-J418&gt;0,"+"&amp;K418-J418,"+"&amp;J418-K418)),"")</f>
        <v/>
      </c>
      <c r="M418" s="17" t="n"/>
      <c r="N418" s="17" t="n"/>
      <c r="O418" s="17" t="n"/>
      <c r="P418" s="17" t="n"/>
      <c r="Q418" s="17" t="n"/>
      <c r="R418" s="17" t="n"/>
      <c r="S418" s="17" t="n"/>
    </row>
    <row r="419">
      <c r="A419" s="15" t="n">
        <v>43745</v>
      </c>
      <c r="B419" s="9" t="n">
        <v>25</v>
      </c>
      <c r="C419" s="10" t="n">
        <v>30</v>
      </c>
      <c r="D419" s="17" t="inlineStr">
        <is>
          <t>Gloria’s</t>
        </is>
      </c>
      <c r="E419" s="9">
        <f>if($A419&lt;&gt;"",E418+B419,"")</f>
        <v/>
      </c>
      <c r="F419" s="10">
        <f>if($A419&lt;&gt;"",F418+C419,"")</f>
        <v/>
      </c>
      <c r="G419" s="11">
        <f>IF($A419&lt;&gt;"",IF(F419-E419=0,"tie",IF(F419-E419&gt;0,"+"&amp;F419-E419,"+"&amp;E419-F419)),"")</f>
        <v/>
      </c>
      <c r="H419" s="12">
        <f>if($A419&lt;&gt;"",if(B419&gt;C419,if(B419&lt;60,1,2),""),"")</f>
        <v/>
      </c>
      <c r="I419" s="12">
        <f>if($A419&lt;&gt;"",if(C419&gt;B419,if(C419&lt;60,1,2),""),"")</f>
        <v/>
      </c>
      <c r="J419" s="9">
        <f>if($A419&lt;&gt;"",J418+H419,"")</f>
        <v/>
      </c>
      <c r="K419" s="9">
        <f>if($A419&lt;&gt;"",K418+I419,"")</f>
        <v/>
      </c>
      <c r="L419" s="11">
        <f>IF($A419&lt;&gt;"",IF(K419-J419=0,"tie",IF(K419-J419&gt;0,"+"&amp;K419-J419,"+"&amp;J419-K419)),"")</f>
        <v/>
      </c>
      <c r="M419" s="17" t="n"/>
      <c r="N419" s="17" t="n"/>
      <c r="O419" s="17" t="n"/>
      <c r="P419" s="17" t="n"/>
      <c r="Q419" s="17" t="n"/>
      <c r="R419" s="17" t="n"/>
      <c r="S419" s="17" t="n"/>
    </row>
    <row r="420">
      <c r="A420" s="15" t="n">
        <v>43748</v>
      </c>
      <c r="B420" s="9" t="n">
        <v>25</v>
      </c>
      <c r="C420" s="10" t="n">
        <v>30</v>
      </c>
      <c r="D420" s="17" t="inlineStr">
        <is>
          <t>San Clemente</t>
        </is>
      </c>
      <c r="E420" s="9">
        <f>if($A420&lt;&gt;"",E419+B420,"")</f>
        <v/>
      </c>
      <c r="F420" s="10">
        <f>if($A420&lt;&gt;"",F419+C420,"")</f>
        <v/>
      </c>
      <c r="G420" s="11">
        <f>IF($A420&lt;&gt;"",IF(F420-E420=0,"tie",IF(F420-E420&gt;0,"+"&amp;F420-E420,"+"&amp;E420-F420)),"")</f>
        <v/>
      </c>
      <c r="H420" s="12">
        <f>if($A420&lt;&gt;"",if(B420&gt;C420,if(B420&lt;60,1,2),""),"")</f>
        <v/>
      </c>
      <c r="I420" s="12">
        <f>if($A420&lt;&gt;"",if(C420&gt;B420,if(C420&lt;60,1,2),""),"")</f>
        <v/>
      </c>
      <c r="J420" s="9">
        <f>if($A420&lt;&gt;"",J419+H420,"")</f>
        <v/>
      </c>
      <c r="K420" s="9">
        <f>if($A420&lt;&gt;"",K419+I420,"")</f>
        <v/>
      </c>
      <c r="L420" s="11">
        <f>IF($A420&lt;&gt;"",IF(K420-J420=0,"tie",IF(K420-J420&gt;0,"+"&amp;K420-J420,"+"&amp;J420-K420)),"")</f>
        <v/>
      </c>
      <c r="M420" s="17" t="n"/>
      <c r="N420" s="17" t="n"/>
      <c r="O420" s="17" t="n"/>
      <c r="P420" s="17" t="n"/>
      <c r="Q420" s="17" t="n"/>
      <c r="R420" s="17" t="n"/>
      <c r="S420" s="17" t="n"/>
    </row>
    <row r="421">
      <c r="A421" s="15" t="n">
        <v>43750</v>
      </c>
      <c r="B421" s="10" t="n">
        <v>30</v>
      </c>
      <c r="C421" s="9" t="n">
        <v>25</v>
      </c>
      <c r="D421" s="17" t="inlineStr">
        <is>
          <t>Fisherman’s Restaurant and Bar, San Clemente Pier</t>
        </is>
      </c>
      <c r="E421" s="9">
        <f>if($A421&lt;&gt;"",E420+B421,"")</f>
        <v/>
      </c>
      <c r="F421" s="10">
        <f>if($A421&lt;&gt;"",F420+C421,"")</f>
        <v/>
      </c>
      <c r="G421" s="11">
        <f>IF($A421&lt;&gt;"",IF(F421-E421=0,"tie",IF(F421-E421&gt;0,"+"&amp;F421-E421,"+"&amp;E421-F421)),"")</f>
        <v/>
      </c>
      <c r="H421" s="12">
        <f>if($A421&lt;&gt;"",if(B421&gt;C421,if(B421&lt;60,1,2),""),"")</f>
        <v/>
      </c>
      <c r="I421" s="12">
        <f>if($A421&lt;&gt;"",if(C421&gt;B421,if(C421&lt;60,1,2),""),"")</f>
        <v/>
      </c>
      <c r="J421" s="9">
        <f>if($A421&lt;&gt;"",J420+H421,"")</f>
        <v/>
      </c>
      <c r="K421" s="9">
        <f>if($A421&lt;&gt;"",K420+I421,"")</f>
        <v/>
      </c>
      <c r="L421" s="11">
        <f>IF($A421&lt;&gt;"",IF(K421-J421=0,"tie",IF(K421-J421&gt;0,"+"&amp;K421-J421,"+"&amp;J421-K421)),"")</f>
        <v/>
      </c>
      <c r="M421" s="17" t="n"/>
      <c r="N421" s="17" t="n"/>
      <c r="O421" s="17" t="n"/>
      <c r="P421" s="17" t="n"/>
      <c r="Q421" s="17" t="n"/>
      <c r="R421" s="17" t="n"/>
      <c r="S421" s="17" t="n"/>
    </row>
    <row r="422">
      <c r="A422" s="15" t="n">
        <v>43759</v>
      </c>
      <c r="B422" s="10" t="n">
        <v>30</v>
      </c>
      <c r="C422" s="9" t="n">
        <v>25</v>
      </c>
      <c r="D422" s="17" t="inlineStr">
        <is>
          <t>Johnny’s Pastrami</t>
        </is>
      </c>
      <c r="E422" s="9">
        <f>if($A422&lt;&gt;"",E421+B422,"")</f>
        <v/>
      </c>
      <c r="F422" s="10">
        <f>if($A422&lt;&gt;"",F421+C422,"")</f>
        <v/>
      </c>
      <c r="G422" s="11">
        <f>IF($A422&lt;&gt;"",IF(F422-E422=0,"tie",IF(F422-E422&gt;0,"+"&amp;F422-E422,"+"&amp;E422-F422)),"")</f>
        <v/>
      </c>
      <c r="H422" s="12">
        <f>if($A422&lt;&gt;"",if(B422&gt;C422,if(B422&lt;60,1,2),""),"")</f>
        <v/>
      </c>
      <c r="I422" s="12">
        <f>if($A422&lt;&gt;"",if(C422&gt;B422,if(C422&lt;60,1,2),""),"")</f>
        <v/>
      </c>
      <c r="J422" s="9">
        <f>if($A422&lt;&gt;"",J421+H422,"")</f>
        <v/>
      </c>
      <c r="K422" s="9">
        <f>if($A422&lt;&gt;"",K421+I422,"")</f>
        <v/>
      </c>
      <c r="L422" s="11">
        <f>IF($A422&lt;&gt;"",IF(K422-J422=0,"tie",IF(K422-J422&gt;0,"+"&amp;K422-J422,"+"&amp;J422-K422)),"")</f>
        <v/>
      </c>
      <c r="M422" s="17" t="n"/>
      <c r="N422" s="17" t="n"/>
      <c r="O422" s="17" t="n"/>
      <c r="P422" s="17" t="n"/>
      <c r="Q422" s="17" t="n"/>
      <c r="R422" s="17" t="n"/>
      <c r="S422" s="17" t="n"/>
    </row>
    <row r="423">
      <c r="A423" s="15" t="n">
        <v>43760</v>
      </c>
      <c r="B423" s="9" t="n">
        <v>25</v>
      </c>
      <c r="C423" s="10" t="n">
        <v>30</v>
      </c>
      <c r="D423" s="17" t="inlineStr">
        <is>
          <t>Tender Greens, MDR - Goodbye Louie 💙</t>
        </is>
      </c>
      <c r="E423" s="9">
        <f>if($A423&lt;&gt;"",E422+B423,"")</f>
        <v/>
      </c>
      <c r="F423" s="10">
        <f>if($A423&lt;&gt;"",F422+C423,"")</f>
        <v/>
      </c>
      <c r="G423" s="11">
        <f>IF($A423&lt;&gt;"",IF(F423-E423=0,"tie",IF(F423-E423&gt;0,"+"&amp;F423-E423,"+"&amp;E423-F423)),"")</f>
        <v/>
      </c>
      <c r="H423" s="12">
        <f>if($A423&lt;&gt;"",if(B423&gt;C423,if(B423&lt;60,1,2),""),"")</f>
        <v/>
      </c>
      <c r="I423" s="12">
        <f>if($A423&lt;&gt;"",if(C423&gt;B423,if(C423&lt;60,1,2),""),"")</f>
        <v/>
      </c>
      <c r="J423" s="9">
        <f>if($A423&lt;&gt;"",J422+H423,"")</f>
        <v/>
      </c>
      <c r="K423" s="9">
        <f>if($A423&lt;&gt;"",K422+I423,"")</f>
        <v/>
      </c>
      <c r="L423" s="11">
        <f>IF($A423&lt;&gt;"",IF(K423-J423=0,"tie",IF(K423-J423&gt;0,"+"&amp;K423-J423,"+"&amp;J423-K423)),"")</f>
        <v/>
      </c>
      <c r="M423" s="17" t="n"/>
      <c r="N423" s="17" t="n"/>
      <c r="O423" s="17" t="n"/>
      <c r="P423" s="17" t="n"/>
      <c r="Q423" s="17" t="n"/>
      <c r="R423" s="17" t="n"/>
      <c r="S423" s="17" t="n"/>
    </row>
    <row r="424">
      <c r="A424" s="15" t="n">
        <v>43762</v>
      </c>
      <c r="B424" s="9" t="n">
        <v>25</v>
      </c>
      <c r="C424" s="10" t="n">
        <v>30</v>
      </c>
      <c r="D424" s="17" t="inlineStr">
        <is>
          <t>Preston Way</t>
        </is>
      </c>
      <c r="E424" s="9">
        <f>if($A424&lt;&gt;"",E423+B424,"")</f>
        <v/>
      </c>
      <c r="F424" s="10">
        <f>if($A424&lt;&gt;"",F423+C424,"")</f>
        <v/>
      </c>
      <c r="G424" s="11">
        <f>IF($A424&lt;&gt;"",IF(F424-E424=0,"tie",IF(F424-E424&gt;0,"+"&amp;F424-E424,"+"&amp;E424-F424)),"")</f>
        <v/>
      </c>
      <c r="H424" s="12">
        <f>if($A424&lt;&gt;"",if(B424&gt;C424,if(B424&lt;60,1,2),""),"")</f>
        <v/>
      </c>
      <c r="I424" s="12">
        <f>if($A424&lt;&gt;"",if(C424&gt;B424,if(C424&lt;60,1,2),""),"")</f>
        <v/>
      </c>
      <c r="J424" s="9">
        <f>if($A424&lt;&gt;"",J423+H424,"")</f>
        <v/>
      </c>
      <c r="K424" s="9">
        <f>if($A424&lt;&gt;"",K423+I424,"")</f>
        <v/>
      </c>
      <c r="L424" s="11">
        <f>IF($A424&lt;&gt;"",IF(K424-J424=0,"tie",IF(K424-J424&gt;0,"+"&amp;K424-J424,"+"&amp;J424-K424)),"")</f>
        <v/>
      </c>
      <c r="M424" s="17" t="n"/>
      <c r="N424" s="17" t="n"/>
      <c r="O424" s="17" t="n"/>
      <c r="P424" s="17" t="n"/>
      <c r="Q424" s="17" t="n"/>
      <c r="R424" s="17" t="n"/>
      <c r="S424" s="17" t="n"/>
    </row>
    <row r="425">
      <c r="A425" s="15" t="n">
        <v>43763</v>
      </c>
      <c r="B425" s="10" t="n">
        <v>30</v>
      </c>
      <c r="C425" s="9" t="n">
        <v>25</v>
      </c>
      <c r="D425" s="17" t="inlineStr">
        <is>
          <t>San Clemente St Beach</t>
        </is>
      </c>
      <c r="E425" s="9">
        <f>if($A425&lt;&gt;"",E424+B425,"")</f>
        <v/>
      </c>
      <c r="F425" s="10">
        <f>if($A425&lt;&gt;"",F424+C425,"")</f>
        <v/>
      </c>
      <c r="G425" s="11">
        <f>IF($A425&lt;&gt;"",IF(F425-E425=0,"tie",IF(F425-E425&gt;0,"+"&amp;F425-E425,"+"&amp;E425-F425)),"")</f>
        <v/>
      </c>
      <c r="H425" s="12">
        <f>if($A425&lt;&gt;"",if(B425&gt;C425,if(B425&lt;60,1,2),""),"")</f>
        <v/>
      </c>
      <c r="I425" s="12">
        <f>if($A425&lt;&gt;"",if(C425&gt;B425,if(C425&lt;60,1,2),""),"")</f>
        <v/>
      </c>
      <c r="J425" s="9">
        <f>if($A425&lt;&gt;"",J424+H425,"")</f>
        <v/>
      </c>
      <c r="K425" s="9">
        <f>if($A425&lt;&gt;"",K424+I425,"")</f>
        <v/>
      </c>
      <c r="L425" s="11">
        <f>IF($A425&lt;&gt;"",IF(K425-J425=0,"tie",IF(K425-J425&gt;0,"+"&amp;K425-J425,"+"&amp;J425-K425)),"")</f>
        <v/>
      </c>
      <c r="M425" s="17" t="n"/>
      <c r="N425" s="17" t="n"/>
      <c r="O425" s="17" t="n"/>
      <c r="P425" s="17" t="n"/>
      <c r="Q425" s="17" t="n"/>
      <c r="R425" s="17" t="n"/>
      <c r="S425" s="17" t="n"/>
    </row>
    <row r="426">
      <c r="A426" s="15" t="n">
        <v>43764</v>
      </c>
      <c r="B426" s="10" t="n">
        <v>30</v>
      </c>
      <c r="C426" s="9" t="n">
        <v>25</v>
      </c>
      <c r="D426" s="17" t="inlineStr">
        <is>
          <t>RJ’s Cafe Dana Point</t>
        </is>
      </c>
      <c r="E426" s="9">
        <f>if($A426&lt;&gt;"",E425+B426,"")</f>
        <v/>
      </c>
      <c r="F426" s="10">
        <f>if($A426&lt;&gt;"",F425+C426,"")</f>
        <v/>
      </c>
      <c r="G426" s="11">
        <f>IF($A426&lt;&gt;"",IF(F426-E426=0,"tie",IF(F426-E426&gt;0,"+"&amp;F426-E426,"+"&amp;E426-F426)),"")</f>
        <v/>
      </c>
      <c r="H426" s="12">
        <f>if($A426&lt;&gt;"",if(B426&gt;C426,if(B426&lt;60,1,2),""),"")</f>
        <v/>
      </c>
      <c r="I426" s="12">
        <f>if($A426&lt;&gt;"",if(C426&gt;B426,if(C426&lt;60,1,2),""),"")</f>
        <v/>
      </c>
      <c r="J426" s="9">
        <f>if($A426&lt;&gt;"",J425+H426,"")</f>
        <v/>
      </c>
      <c r="K426" s="9">
        <f>if($A426&lt;&gt;"",K425+I426,"")</f>
        <v/>
      </c>
      <c r="L426" s="11">
        <f>IF($A426&lt;&gt;"",IF(K426-J426=0,"tie",IF(K426-J426&gt;0,"+"&amp;K426-J426,"+"&amp;J426-K426)),"")</f>
        <v/>
      </c>
      <c r="M426" s="17" t="n"/>
      <c r="N426" s="17" t="n"/>
      <c r="O426" s="17" t="n"/>
      <c r="P426" s="17" t="n"/>
      <c r="Q426" s="17" t="n"/>
      <c r="R426" s="17" t="n"/>
      <c r="S426" s="17" t="n"/>
    </row>
    <row r="427">
      <c r="A427" s="15" t="n">
        <v>43764</v>
      </c>
      <c r="B427" s="9" t="n">
        <v>25</v>
      </c>
      <c r="C427" s="10" t="n">
        <v>30</v>
      </c>
      <c r="D427" s="17" t="inlineStr">
        <is>
          <t>San Clemente St Beach</t>
        </is>
      </c>
      <c r="E427" s="9">
        <f>if($A427&lt;&gt;"",E426+B427,"")</f>
        <v/>
      </c>
      <c r="F427" s="10">
        <f>if($A427&lt;&gt;"",F426+C427,"")</f>
        <v/>
      </c>
      <c r="G427" s="11">
        <f>IF($A427&lt;&gt;"",IF(F427-E427=0,"tie",IF(F427-E427&gt;0,"+"&amp;F427-E427,"+"&amp;E427-F427)),"")</f>
        <v/>
      </c>
      <c r="H427" s="12">
        <f>if($A427&lt;&gt;"",if(B427&gt;C427,if(B427&lt;60,1,2),""),"")</f>
        <v/>
      </c>
      <c r="I427" s="12">
        <f>if($A427&lt;&gt;"",if(C427&gt;B427,if(C427&lt;60,1,2),""),"")</f>
        <v/>
      </c>
      <c r="J427" s="9">
        <f>if($A427&lt;&gt;"",J426+H427,"")</f>
        <v/>
      </c>
      <c r="K427" s="9">
        <f>if($A427&lt;&gt;"",K426+I427,"")</f>
        <v/>
      </c>
      <c r="L427" s="11">
        <f>IF($A427&lt;&gt;"",IF(K427-J427=0,"tie",IF(K427-J427&gt;0,"+"&amp;K427-J427,"+"&amp;J427-K427)),"")</f>
        <v/>
      </c>
      <c r="M427" s="17" t="n"/>
      <c r="N427" s="17" t="n"/>
      <c r="O427" s="17" t="n"/>
      <c r="P427" s="17" t="n"/>
      <c r="Q427" s="17" t="n"/>
      <c r="R427" s="17" t="n"/>
      <c r="S427" s="17" t="n"/>
    </row>
    <row r="428">
      <c r="A428" s="15" t="n">
        <v>43768</v>
      </c>
      <c r="B428" s="10" t="n">
        <v>30</v>
      </c>
      <c r="C428" s="9" t="n">
        <v>25</v>
      </c>
      <c r="D428" s="17" t="inlineStr">
        <is>
          <t>Sidewalk Cafe, Venice</t>
        </is>
      </c>
      <c r="E428" s="9">
        <f>if($A428&lt;&gt;"",E427+B428,"")</f>
        <v/>
      </c>
      <c r="F428" s="10">
        <f>if($A428&lt;&gt;"",F427+C428,"")</f>
        <v/>
      </c>
      <c r="G428" s="11">
        <f>IF($A428&lt;&gt;"",IF(F428-E428=0,"tie",IF(F428-E428&gt;0,"+"&amp;F428-E428,"+"&amp;E428-F428)),"")</f>
        <v/>
      </c>
      <c r="H428" s="12">
        <f>if($A428&lt;&gt;"",if(B428&gt;C428,if(B428&lt;60,1,2),""),"")</f>
        <v/>
      </c>
      <c r="I428" s="12">
        <f>if($A428&lt;&gt;"",if(C428&gt;B428,if(C428&lt;60,1,2),""),"")</f>
        <v/>
      </c>
      <c r="J428" s="9">
        <f>if($A428&lt;&gt;"",J427+H428,"")</f>
        <v/>
      </c>
      <c r="K428" s="9">
        <f>if($A428&lt;&gt;"",K427+I428,"")</f>
        <v/>
      </c>
      <c r="L428" s="11">
        <f>IF($A428&lt;&gt;"",IF(K428-J428=0,"tie",IF(K428-J428&gt;0,"+"&amp;K428-J428,"+"&amp;J428-K428)),"")</f>
        <v/>
      </c>
      <c r="M428" s="17" t="n"/>
      <c r="N428" s="17" t="n"/>
      <c r="O428" s="17" t="n"/>
      <c r="P428" s="17" t="n"/>
      <c r="Q428" s="17" t="n"/>
      <c r="R428" s="17" t="n"/>
      <c r="S428" s="17" t="n"/>
    </row>
    <row r="429">
      <c r="A429" s="15" t="n">
        <v>43780</v>
      </c>
      <c r="B429" s="9" t="n">
        <v>25</v>
      </c>
      <c r="C429" s="10" t="n">
        <v>30</v>
      </c>
      <c r="D429" s="17" t="inlineStr">
        <is>
          <t>Ingo’s, Santa Monica</t>
        </is>
      </c>
      <c r="E429" s="9">
        <f>if($A429&lt;&gt;"",E428+B429,"")</f>
        <v/>
      </c>
      <c r="F429" s="10">
        <f>if($A429&lt;&gt;"",F428+C429,"")</f>
        <v/>
      </c>
      <c r="G429" s="11">
        <f>IF($A429&lt;&gt;"",IF(F429-E429=0,"tie",IF(F429-E429&gt;0,"+"&amp;F429-E429,"+"&amp;E429-F429)),"")</f>
        <v/>
      </c>
      <c r="H429" s="12">
        <f>if($A429&lt;&gt;"",if(B429&gt;C429,if(B429&lt;60,1,2),""),"")</f>
        <v/>
      </c>
      <c r="I429" s="12">
        <f>if($A429&lt;&gt;"",if(C429&gt;B429,if(C429&lt;60,1,2),""),"")</f>
        <v/>
      </c>
      <c r="J429" s="9">
        <f>if($A429&lt;&gt;"",J428+H429,"")</f>
        <v/>
      </c>
      <c r="K429" s="9">
        <f>if($A429&lt;&gt;"",K428+I429,"")</f>
        <v/>
      </c>
      <c r="L429" s="11">
        <f>IF($A429&lt;&gt;"",IF(K429-J429=0,"tie",IF(K429-J429&gt;0,"+"&amp;K429-J429,"+"&amp;J429-K429)),"")</f>
        <v/>
      </c>
      <c r="M429" s="17" t="n"/>
      <c r="N429" s="17" t="n"/>
      <c r="O429" s="17" t="n"/>
      <c r="P429" s="17" t="n"/>
      <c r="Q429" s="17" t="n"/>
      <c r="R429" s="17" t="n"/>
      <c r="S429" s="17" t="n"/>
    </row>
    <row r="430">
      <c r="A430" s="15" t="n">
        <v>43781</v>
      </c>
      <c r="B430" s="10" t="n">
        <v>30</v>
      </c>
      <c r="C430" s="9" t="n">
        <v>25</v>
      </c>
      <c r="D430" s="17" t="inlineStr">
        <is>
          <t>Atmosphere, Culver City</t>
        </is>
      </c>
      <c r="E430" s="9">
        <f>if($A430&lt;&gt;"",E429+B430,"")</f>
        <v/>
      </c>
      <c r="F430" s="10">
        <f>if($A430&lt;&gt;"",F429+C430,"")</f>
        <v/>
      </c>
      <c r="G430" s="11">
        <f>IF($A430&lt;&gt;"",IF(F430-E430=0,"tie",IF(F430-E430&gt;0,"+"&amp;F430-E430,"+"&amp;E430-F430)),"")</f>
        <v/>
      </c>
      <c r="H430" s="12">
        <f>if($A430&lt;&gt;"",if(B430&gt;C430,if(B430&lt;60,1,2),""),"")</f>
        <v/>
      </c>
      <c r="I430" s="12">
        <f>if($A430&lt;&gt;"",if(C430&gt;B430,if(C430&lt;60,1,2),""),"")</f>
        <v/>
      </c>
      <c r="J430" s="9">
        <f>if($A430&lt;&gt;"",J429+H430,"")</f>
        <v/>
      </c>
      <c r="K430" s="9">
        <f>if($A430&lt;&gt;"",K429+I430,"")</f>
        <v/>
      </c>
      <c r="L430" s="11">
        <f>IF($A430&lt;&gt;"",IF(K430-J430=0,"tie",IF(K430-J430&gt;0,"+"&amp;K430-J430,"+"&amp;J430-K430)),"")</f>
        <v/>
      </c>
      <c r="M430" s="17" t="n"/>
      <c r="N430" s="17" t="n"/>
      <c r="O430" s="17" t="n"/>
      <c r="P430" s="17" t="n"/>
      <c r="Q430" s="17" t="n"/>
      <c r="R430" s="17" t="n"/>
      <c r="S430" s="17" t="n"/>
    </row>
    <row r="431">
      <c r="A431" s="15" t="n">
        <v>43782</v>
      </c>
      <c r="B431" s="10" t="n">
        <v>30</v>
      </c>
      <c r="C431" s="9" t="n">
        <v>25</v>
      </c>
      <c r="D431" s="17" t="inlineStr">
        <is>
          <t>Johnney’s Pastrami</t>
        </is>
      </c>
      <c r="E431" s="9">
        <f>if($A431&lt;&gt;"",E430+B431,"")</f>
        <v/>
      </c>
      <c r="F431" s="10">
        <f>if($A431&lt;&gt;"",F430+C431,"")</f>
        <v/>
      </c>
      <c r="G431" s="11">
        <f>IF($A431&lt;&gt;"",IF(F431-E431=0,"tie",IF(F431-E431&gt;0,"+"&amp;F431-E431,"+"&amp;E431-F431)),"")</f>
        <v/>
      </c>
      <c r="H431" s="12">
        <f>if($A431&lt;&gt;"",if(B431&gt;C431,if(B431&lt;60,1,2),""),"")</f>
        <v/>
      </c>
      <c r="I431" s="12">
        <f>if($A431&lt;&gt;"",if(C431&gt;B431,if(C431&lt;60,1,2),""),"")</f>
        <v/>
      </c>
      <c r="J431" s="9">
        <f>if($A431&lt;&gt;"",J430+H431,"")</f>
        <v/>
      </c>
      <c r="K431" s="9">
        <f>if($A431&lt;&gt;"",K430+I431,"")</f>
        <v/>
      </c>
      <c r="L431" s="11">
        <f>IF($A431&lt;&gt;"",IF(K431-J431=0,"tie",IF(K431-J431&gt;0,"+"&amp;K431-J431,"+"&amp;J431-K431)),"")</f>
        <v/>
      </c>
      <c r="M431" s="17" t="n"/>
      <c r="N431" s="17" t="n"/>
      <c r="O431" s="17" t="n"/>
      <c r="P431" s="17" t="n"/>
      <c r="Q431" s="17" t="n"/>
      <c r="R431" s="17" t="n"/>
      <c r="S431" s="17" t="n"/>
    </row>
    <row r="432">
      <c r="A432" s="15" t="n">
        <v>43784</v>
      </c>
      <c r="B432" s="9" t="n">
        <v>25</v>
      </c>
      <c r="C432" s="10" t="n">
        <v>30</v>
      </c>
      <c r="D432" s="17" t="inlineStr">
        <is>
          <t>Dinah’s</t>
        </is>
      </c>
      <c r="E432" s="9">
        <f>if($A432&lt;&gt;"",E431+B432,"")</f>
        <v/>
      </c>
      <c r="F432" s="10">
        <f>if($A432&lt;&gt;"",F431+C432,"")</f>
        <v/>
      </c>
      <c r="G432" s="11">
        <f>IF($A432&lt;&gt;"",IF(F432-E432=0,"tie",IF(F432-E432&gt;0,"+"&amp;F432-E432,"+"&amp;E432-F432)),"")</f>
        <v/>
      </c>
      <c r="H432" s="12">
        <f>if($A432&lt;&gt;"",if(B432&gt;C432,if(B432&lt;60,1,2),""),"")</f>
        <v/>
      </c>
      <c r="I432" s="12">
        <f>if($A432&lt;&gt;"",if(C432&gt;B432,if(C432&lt;60,1,2),""),"")</f>
        <v/>
      </c>
      <c r="J432" s="9">
        <f>if($A432&lt;&gt;"",J431+H432,"")</f>
        <v/>
      </c>
      <c r="K432" s="9">
        <f>if($A432&lt;&gt;"",K431+I432,"")</f>
        <v/>
      </c>
      <c r="L432" s="11">
        <f>IF($A432&lt;&gt;"",IF(K432-J432=0,"tie",IF(K432-J432&gt;0,"+"&amp;K432-J432,"+"&amp;J432-K432)),"")</f>
        <v/>
      </c>
      <c r="M432" s="17" t="n"/>
      <c r="N432" s="17" t="n"/>
      <c r="O432" s="17" t="n"/>
      <c r="P432" s="17" t="n"/>
      <c r="Q432" s="17" t="n"/>
      <c r="R432" s="17" t="n"/>
      <c r="S432" s="17" t="n"/>
    </row>
    <row r="433">
      <c r="A433" s="15" t="n">
        <v>43792</v>
      </c>
      <c r="B433" s="10" t="n">
        <v>30</v>
      </c>
      <c r="C433" s="9" t="n">
        <v>25</v>
      </c>
      <c r="D433" s="17" t="inlineStr">
        <is>
          <t>Mexico City</t>
        </is>
      </c>
      <c r="E433" s="9">
        <f>if($A433&lt;&gt;"",E432+B433,"")</f>
        <v/>
      </c>
      <c r="F433" s="10">
        <f>if($A433&lt;&gt;"",F432+C433,"")</f>
        <v/>
      </c>
      <c r="G433" s="11">
        <f>IF($A433&lt;&gt;"",IF(F433-E433=0,"tie",IF(F433-E433&gt;0,"+"&amp;F433-E433,"+"&amp;E433-F433)),"")</f>
        <v/>
      </c>
      <c r="H433" s="12">
        <f>if($A433&lt;&gt;"",if(B433&gt;C433,if(B433&lt;60,1,2),""),"")</f>
        <v/>
      </c>
      <c r="I433" s="12">
        <f>if($A433&lt;&gt;"",if(C433&gt;B433,if(C433&lt;60,1,2),""),"")</f>
        <v/>
      </c>
      <c r="J433" s="9">
        <f>if($A433&lt;&gt;"",J432+H433,"")</f>
        <v/>
      </c>
      <c r="K433" s="9">
        <f>if($A433&lt;&gt;"",K432+I433,"")</f>
        <v/>
      </c>
      <c r="L433" s="11">
        <f>IF($A433&lt;&gt;"",IF(K433-J433=0,"tie",IF(K433-J433&gt;0,"+"&amp;K433-J433,"+"&amp;J433-K433)),"")</f>
        <v/>
      </c>
      <c r="M433" s="17" t="n"/>
      <c r="N433" s="17" t="n"/>
      <c r="O433" s="17" t="n"/>
      <c r="P433" s="17" t="n"/>
      <c r="Q433" s="17" t="n"/>
      <c r="R433" s="17" t="n"/>
      <c r="S433" s="17" t="n"/>
    </row>
    <row r="434">
      <c r="A434" s="15" t="n">
        <v>43795</v>
      </c>
      <c r="B434" s="9" t="n">
        <v>25</v>
      </c>
      <c r="C434" s="10" t="n">
        <v>30</v>
      </c>
      <c r="D434" s="17" t="inlineStr">
        <is>
          <t>La Posada Hotel Bar, La Paz, Baja California, Sur</t>
        </is>
      </c>
      <c r="E434" s="9">
        <f>if($A434&lt;&gt;"",E433+B434,"")</f>
        <v/>
      </c>
      <c r="F434" s="10">
        <f>if($A434&lt;&gt;"",F433+C434,"")</f>
        <v/>
      </c>
      <c r="G434" s="11">
        <f>IF($A434&lt;&gt;"",IF(F434-E434=0,"tie",IF(F434-E434&gt;0,"+"&amp;F434-E434,"+"&amp;E434-F434)),"")</f>
        <v/>
      </c>
      <c r="H434" s="12">
        <f>if($A434&lt;&gt;"",if(B434&gt;C434,if(B434&lt;60,1,2),""),"")</f>
        <v/>
      </c>
      <c r="I434" s="12">
        <f>if($A434&lt;&gt;"",if(C434&gt;B434,if(C434&lt;60,1,2),""),"")</f>
        <v/>
      </c>
      <c r="J434" s="9">
        <f>if($A434&lt;&gt;"",J433+H434,"")</f>
        <v/>
      </c>
      <c r="K434" s="9">
        <f>if($A434&lt;&gt;"",K433+I434,"")</f>
        <v/>
      </c>
      <c r="L434" s="11">
        <f>IF($A434&lt;&gt;"",IF(K434-J434=0,"tie",IF(K434-J434&gt;0,"+"&amp;K434-J434,"+"&amp;J434-K434)),"")</f>
        <v/>
      </c>
      <c r="M434" s="17" t="n"/>
      <c r="N434" s="17" t="n"/>
      <c r="O434" s="17" t="n"/>
      <c r="P434" s="17" t="n"/>
      <c r="Q434" s="17" t="n"/>
      <c r="R434" s="17" t="n"/>
      <c r="S434" s="17" t="n"/>
    </row>
    <row r="435">
      <c r="A435" s="15" t="n">
        <v>43799</v>
      </c>
      <c r="B435" s="10" t="n">
        <v>30</v>
      </c>
      <c r="C435" s="9" t="n">
        <v>25</v>
      </c>
      <c r="D435" s="17" t="inlineStr">
        <is>
          <t>J Nichols, MDR</t>
        </is>
      </c>
      <c r="E435" s="9">
        <f>if($A435&lt;&gt;"",E434+B435,"")</f>
        <v/>
      </c>
      <c r="F435" s="10">
        <f>if($A435&lt;&gt;"",F434+C435,"")</f>
        <v/>
      </c>
      <c r="G435" s="11">
        <f>IF($A435&lt;&gt;"",IF(F435-E435=0,"tie",IF(F435-E435&gt;0,"+"&amp;F435-E435,"+"&amp;E435-F435)),"")</f>
        <v/>
      </c>
      <c r="H435" s="12">
        <f>if($A435&lt;&gt;"",if(B435&gt;C435,if(B435&lt;60,1,2),""),"")</f>
        <v/>
      </c>
      <c r="I435" s="12">
        <f>if($A435&lt;&gt;"",if(C435&gt;B435,if(C435&lt;60,1,2),""),"")</f>
        <v/>
      </c>
      <c r="J435" s="9">
        <f>if($A435&lt;&gt;"",J434+H435,"")</f>
        <v/>
      </c>
      <c r="K435" s="9">
        <f>if($A435&lt;&gt;"",K434+I435,"")</f>
        <v/>
      </c>
      <c r="L435" s="11">
        <f>IF($A435&lt;&gt;"",IF(K435-J435=0,"tie",IF(K435-J435&gt;0,"+"&amp;K435-J435,"+"&amp;J435-K435)),"")</f>
        <v/>
      </c>
      <c r="M435" s="17" t="n"/>
      <c r="N435" s="17" t="n"/>
      <c r="O435" s="17" t="n"/>
      <c r="P435" s="17" t="n"/>
      <c r="Q435" s="17" t="n"/>
      <c r="R435" s="17" t="n"/>
      <c r="S435" s="17" t="n"/>
    </row>
    <row r="436">
      <c r="A436" s="15" t="n">
        <v>43825</v>
      </c>
      <c r="B436" s="10" t="n">
        <v>30</v>
      </c>
      <c r="C436" s="9" t="n">
        <v>25</v>
      </c>
      <c r="D436" s="17" t="inlineStr">
        <is>
          <t>Steamers</t>
        </is>
      </c>
      <c r="E436" s="9">
        <f>if($A436&lt;&gt;"",E435+B436,"")</f>
        <v/>
      </c>
      <c r="F436" s="10">
        <f>if($A436&lt;&gt;"",F435+C436,"")</f>
        <v/>
      </c>
      <c r="G436" s="11">
        <f>IF($A436&lt;&gt;"",IF(F436-E436=0,"tie",IF(F436-E436&gt;0,"+"&amp;F436-E436,"+"&amp;E436-F436)),"")</f>
        <v/>
      </c>
      <c r="H436" s="12">
        <f>if($A436&lt;&gt;"",if(B436&gt;C436,if(B436&lt;60,1,2),""),"")</f>
        <v/>
      </c>
      <c r="I436" s="12">
        <f>if($A436&lt;&gt;"",if(C436&gt;B436,if(C436&lt;60,1,2),""),"")</f>
        <v/>
      </c>
      <c r="J436" s="9">
        <f>if($A436&lt;&gt;"",J435+H436,"")</f>
        <v/>
      </c>
      <c r="K436" s="9">
        <f>if($A436&lt;&gt;"",K435+I436,"")</f>
        <v/>
      </c>
      <c r="L436" s="11">
        <f>IF($A436&lt;&gt;"",IF(K436-J436=0,"tie",IF(K436-J436&gt;0,"+"&amp;K436-J436,"+"&amp;J436-K436)),"")</f>
        <v/>
      </c>
      <c r="M436" s="17" t="n"/>
      <c r="N436" s="17" t="n"/>
      <c r="O436" s="17" t="n"/>
      <c r="P436" s="17" t="n"/>
      <c r="Q436" s="17" t="n"/>
      <c r="R436" s="17" t="n"/>
      <c r="S436" s="17" t="n"/>
    </row>
    <row r="437">
      <c r="A437" s="15" t="n">
        <v>43825</v>
      </c>
      <c r="B437" s="9" t="n">
        <v>25</v>
      </c>
      <c r="C437" s="10" t="n">
        <v>30</v>
      </c>
      <c r="D437" s="17" t="inlineStr">
        <is>
          <t>33rd St Bistro, Sacramento</t>
        </is>
      </c>
      <c r="E437" s="9">
        <f>if($A437&lt;&gt;"",E436+B437,"")</f>
        <v/>
      </c>
      <c r="F437" s="10">
        <f>if($A437&lt;&gt;"",F436+C437,"")</f>
        <v/>
      </c>
      <c r="G437" s="11">
        <f>IF($A437&lt;&gt;"",IF(F437-E437=0,"tie",IF(F437-E437&gt;0,"+"&amp;F437-E437,"+"&amp;E437-F437)),"")</f>
        <v/>
      </c>
      <c r="H437" s="12">
        <f>if($A437&lt;&gt;"",if(B437&gt;C437,if(B437&lt;60,1,2),""),"")</f>
        <v/>
      </c>
      <c r="I437" s="12">
        <f>if($A437&lt;&gt;"",if(C437&gt;B437,if(C437&lt;60,1,2),""),"")</f>
        <v/>
      </c>
      <c r="J437" s="9">
        <f>if($A437&lt;&gt;"",J436+H437,"")</f>
        <v/>
      </c>
      <c r="K437" s="9">
        <f>if($A437&lt;&gt;"",K436+I437,"")</f>
        <v/>
      </c>
      <c r="L437" s="11">
        <f>IF($A437&lt;&gt;"",IF(K437-J437=0,"tie",IF(K437-J437&gt;0,"+"&amp;K437-J437,"+"&amp;J437-K437)),"")</f>
        <v/>
      </c>
      <c r="M437" s="17" t="n"/>
      <c r="N437" s="17" t="n"/>
      <c r="O437" s="17" t="n"/>
      <c r="P437" s="17" t="n"/>
      <c r="Q437" s="17" t="n"/>
      <c r="R437" s="17" t="n"/>
      <c r="S437" s="17" t="n"/>
    </row>
    <row r="438">
      <c r="A438" s="15" t="n">
        <v>43828</v>
      </c>
      <c r="B438" s="9" t="n">
        <v>25</v>
      </c>
      <c r="C438" s="10" t="n">
        <v>30</v>
      </c>
      <c r="D438" s="17" t="inlineStr">
        <is>
          <t>Steamers</t>
        </is>
      </c>
      <c r="E438" s="9">
        <f>if($A438&lt;&gt;"",E437+B438,"")</f>
        <v/>
      </c>
      <c r="F438" s="10">
        <f>if($A438&lt;&gt;"",F437+C438,"")</f>
        <v/>
      </c>
      <c r="G438" s="11">
        <f>IF($A438&lt;&gt;"",IF(F438-E438=0,"tie",IF(F438-E438&gt;0,"+"&amp;F438-E438,"+"&amp;E438-F438)),"")</f>
        <v/>
      </c>
      <c r="H438" s="12">
        <f>if($A438&lt;&gt;"",if(B438&gt;C438,if(B438&lt;60,1,2),""),"")</f>
        <v/>
      </c>
      <c r="I438" s="12">
        <f>if($A438&lt;&gt;"",if(C438&gt;B438,if(C438&lt;60,1,2),""),"")</f>
        <v/>
      </c>
      <c r="J438" s="9">
        <f>if($A438&lt;&gt;"",J437+H438,"")</f>
        <v/>
      </c>
      <c r="K438" s="9">
        <f>if($A438&lt;&gt;"",K437+I438,"")</f>
        <v/>
      </c>
      <c r="L438" s="11">
        <f>IF($A438&lt;&gt;"",IF(K438-J438=0,"tie",IF(K438-J438&gt;0,"+"&amp;K438-J438,"+"&amp;J438-K438)),"")</f>
        <v/>
      </c>
      <c r="M438" s="17" t="n"/>
      <c r="N438" s="17" t="n"/>
      <c r="O438" s="17" t="n"/>
      <c r="P438" s="17" t="n"/>
      <c r="Q438" s="17" t="n"/>
      <c r="R438" s="17" t="n"/>
      <c r="S438" s="17" t="n"/>
    </row>
    <row r="439">
      <c r="A439" s="15" t="n">
        <v>43836</v>
      </c>
      <c r="B439" s="9" t="n">
        <v>25</v>
      </c>
      <c r="C439" s="10" t="n">
        <v>30</v>
      </c>
      <c r="D439" s="17" t="inlineStr">
        <is>
          <t>J Nichols, MDR</t>
        </is>
      </c>
      <c r="E439" s="9">
        <f>if($A439&lt;&gt;"",E438+B439,"")</f>
        <v/>
      </c>
      <c r="F439" s="10">
        <f>if($A439&lt;&gt;"",F438+C439,"")</f>
        <v/>
      </c>
      <c r="G439" s="11">
        <f>IF($A439&lt;&gt;"",IF(F439-E439=0,"tie",IF(F439-E439&gt;0,"+"&amp;F439-E439,"+"&amp;E439-F439)),"")</f>
        <v/>
      </c>
      <c r="H439" s="12">
        <f>if($A439&lt;&gt;"",if(B439&gt;C439,if(B439&lt;60,1,2),""),"")</f>
        <v/>
      </c>
      <c r="I439" s="12">
        <f>if($A439&lt;&gt;"",if(C439&gt;B439,if(C439&lt;60,1,2),""),"")</f>
        <v/>
      </c>
      <c r="J439" s="9">
        <f>if($A439&lt;&gt;"",J438+H439,"")</f>
        <v/>
      </c>
      <c r="K439" s="9">
        <f>if($A439&lt;&gt;"",K438+I439,"")</f>
        <v/>
      </c>
      <c r="L439" s="11">
        <f>IF($A439&lt;&gt;"",IF(K439-J439=0,"tie",IF(K439-J439&gt;0,"+"&amp;K439-J439,"+"&amp;J439-K439)),"")</f>
        <v/>
      </c>
      <c r="M439" s="17" t="n"/>
      <c r="N439" s="17" t="n"/>
      <c r="O439" s="17" t="n"/>
      <c r="P439" s="17" t="n"/>
      <c r="Q439" s="17" t="n"/>
      <c r="R439" s="17" t="n"/>
      <c r="S439" s="17" t="n"/>
    </row>
    <row r="440">
      <c r="A440" s="15" t="n">
        <v>43837</v>
      </c>
      <c r="B440" s="9" t="n">
        <v>25</v>
      </c>
      <c r="C440" s="10" t="n">
        <v>30</v>
      </c>
      <c r="D440" s="17" t="inlineStr">
        <is>
          <t>Shoops</t>
        </is>
      </c>
      <c r="E440" s="9">
        <f>if($A440&lt;&gt;"",E439+B440,"")</f>
        <v/>
      </c>
      <c r="F440" s="10">
        <f>if($A440&lt;&gt;"",F439+C440,"")</f>
        <v/>
      </c>
      <c r="G440" s="11">
        <f>IF($A440&lt;&gt;"",IF(F440-E440=0,"tie",IF(F440-E440&gt;0,"+"&amp;F440-E440,"+"&amp;E440-F440)),"")</f>
        <v/>
      </c>
      <c r="H440" s="12">
        <f>if($A440&lt;&gt;"",if(B440&gt;C440,if(B440&lt;60,1,2),""),"")</f>
        <v/>
      </c>
      <c r="I440" s="12">
        <f>if($A440&lt;&gt;"",if(C440&gt;B440,if(C440&lt;60,1,2),""),"")</f>
        <v/>
      </c>
      <c r="J440" s="9">
        <f>if($A440&lt;&gt;"",J439+H440,"")</f>
        <v/>
      </c>
      <c r="K440" s="9">
        <f>if($A440&lt;&gt;"",K439+I440,"")</f>
        <v/>
      </c>
      <c r="L440" s="11">
        <f>IF($A440&lt;&gt;"",IF(K440-J440=0,"tie",IF(K440-J440&gt;0,"+"&amp;K440-J440,"+"&amp;J440-K440)),"")</f>
        <v/>
      </c>
      <c r="M440" s="17" t="n"/>
      <c r="N440" s="17" t="n"/>
      <c r="O440" s="17" t="n"/>
      <c r="P440" s="17" t="n"/>
      <c r="Q440" s="17" t="n"/>
      <c r="R440" s="17" t="n"/>
      <c r="S440" s="17" t="n"/>
    </row>
    <row r="441">
      <c r="A441" s="15" t="n">
        <v>43851</v>
      </c>
      <c r="B441" s="10" t="n">
        <v>30</v>
      </c>
      <c r="C441" s="9" t="n">
        <v>25</v>
      </c>
      <c r="D441" s="17" t="inlineStr">
        <is>
          <t>Spitfire</t>
        </is>
      </c>
      <c r="E441" s="9">
        <f>if($A441&lt;&gt;"",E440+B441,"")</f>
        <v/>
      </c>
      <c r="F441" s="10">
        <f>if($A441&lt;&gt;"",F440+C441,"")</f>
        <v/>
      </c>
      <c r="G441" s="11">
        <f>IF($A441&lt;&gt;"",IF(F441-E441=0,"tie",IF(F441-E441&gt;0,"+"&amp;F441-E441,"+"&amp;E441-F441)),"")</f>
        <v/>
      </c>
      <c r="H441" s="12">
        <f>if($A441&lt;&gt;"",if(B441&gt;C441,if(B441&lt;60,1,2),""),"")</f>
        <v/>
      </c>
      <c r="I441" s="12">
        <f>if($A441&lt;&gt;"",if(C441&gt;B441,if(C441&lt;60,1,2),""),"")</f>
        <v/>
      </c>
      <c r="J441" s="9">
        <f>if($A441&lt;&gt;"",J440+H441,"")</f>
        <v/>
      </c>
      <c r="K441" s="9">
        <f>if($A441&lt;&gt;"",K440+I441,"")</f>
        <v/>
      </c>
      <c r="L441" s="11">
        <f>IF($A441&lt;&gt;"",IF(K441-J441=0,"tie",IF(K441-J441&gt;0,"+"&amp;K441-J441,"+"&amp;J441-K441)),"")</f>
        <v/>
      </c>
      <c r="M441" s="17" t="n"/>
      <c r="N441" s="17" t="n"/>
      <c r="O441" s="17" t="n"/>
      <c r="P441" s="17" t="n"/>
      <c r="Q441" s="17" t="n"/>
      <c r="R441" s="17" t="n"/>
      <c r="S441" s="17" t="n"/>
    </row>
    <row r="442">
      <c r="A442" s="15" t="n">
        <v>43873</v>
      </c>
      <c r="B442" s="10" t="n">
        <v>30</v>
      </c>
      <c r="C442" s="9" t="n">
        <v>25</v>
      </c>
      <c r="D442" s="17" t="inlineStr">
        <is>
          <t>The Pier House, Venice</t>
        </is>
      </c>
      <c r="E442" s="9">
        <f>if($A442&lt;&gt;"",E441+B442,"")</f>
        <v/>
      </c>
      <c r="F442" s="10">
        <f>if($A442&lt;&gt;"",F441+C442,"")</f>
        <v/>
      </c>
      <c r="G442" s="11">
        <f>IF($A442&lt;&gt;"",IF(F442-E442=0,"tie",IF(F442-E442&gt;0,"+"&amp;F442-E442,"+"&amp;E442-F442)),"")</f>
        <v/>
      </c>
      <c r="H442" s="12">
        <f>if($A442&lt;&gt;"",if(B442&gt;C442,if(B442&lt;60,1,2),""),"")</f>
        <v/>
      </c>
      <c r="I442" s="12">
        <f>if($A442&lt;&gt;"",if(C442&gt;B442,if(C442&lt;60,1,2),""),"")</f>
        <v/>
      </c>
      <c r="J442" s="9">
        <f>if($A442&lt;&gt;"",J441+H442,"")</f>
        <v/>
      </c>
      <c r="K442" s="9">
        <f>if($A442&lt;&gt;"",K441+I442,"")</f>
        <v/>
      </c>
      <c r="L442" s="11">
        <f>IF($A442&lt;&gt;"",IF(K442-J442=0,"tie",IF(K442-J442&gt;0,"+"&amp;K442-J442,"+"&amp;J442-K442)),"")</f>
        <v/>
      </c>
      <c r="M442" s="17" t="n"/>
      <c r="N442" s="17" t="n"/>
      <c r="O442" s="17" t="n"/>
      <c r="P442" s="17" t="n"/>
      <c r="Q442" s="17" t="n"/>
      <c r="R442" s="17" t="n"/>
      <c r="S442" s="17" t="n"/>
    </row>
    <row r="443">
      <c r="A443" s="15" t="n">
        <v>43876</v>
      </c>
      <c r="B443" s="10" t="n">
        <v>30</v>
      </c>
      <c r="C443" s="9" t="n">
        <v>25</v>
      </c>
      <c r="D443" s="17" t="inlineStr">
        <is>
          <t>Big John's, Wrightwood</t>
        </is>
      </c>
      <c r="E443" s="9">
        <f>if($A443&lt;&gt;"",E442+B443,"")</f>
        <v/>
      </c>
      <c r="F443" s="10">
        <f>if($A443&lt;&gt;"",F442+C443,"")</f>
        <v/>
      </c>
      <c r="G443" s="11">
        <f>IF($A443&lt;&gt;"",IF(F443-E443=0,"tie",IF(F443-E443&gt;0,"+"&amp;F443-E443,"+"&amp;E443-F443)),"")</f>
        <v/>
      </c>
      <c r="H443" s="12">
        <f>if($A443&lt;&gt;"",if(B443&gt;C443,if(B443&lt;60,1,2),""),"")</f>
        <v/>
      </c>
      <c r="I443" s="12">
        <f>if($A443&lt;&gt;"",if(C443&gt;B443,if(C443&lt;60,1,2),""),"")</f>
        <v/>
      </c>
      <c r="J443" s="9">
        <f>if($A443&lt;&gt;"",J442+H443,"")</f>
        <v/>
      </c>
      <c r="K443" s="9">
        <f>if($A443&lt;&gt;"",K442+I443,"")</f>
        <v/>
      </c>
      <c r="L443" s="11">
        <f>IF($A443&lt;&gt;"",IF(K443-J443=0,"tie",IF(K443-J443&gt;0,"+"&amp;K443-J443,"+"&amp;J443-K443)),"")</f>
        <v/>
      </c>
      <c r="M443" s="17" t="n"/>
      <c r="N443" s="17" t="n"/>
      <c r="O443" s="17" t="n"/>
      <c r="P443" s="17" t="n"/>
      <c r="Q443" s="17" t="n"/>
      <c r="R443" s="17" t="n"/>
      <c r="S443" s="17" t="n"/>
    </row>
    <row r="444">
      <c r="A444" s="15" t="n">
        <v>43876</v>
      </c>
      <c r="B444" s="10" t="n">
        <v>30</v>
      </c>
      <c r="C444" s="9" t="n">
        <v>25</v>
      </c>
      <c r="D444" s="17" t="inlineStr">
        <is>
          <t>Camp Scheideck Lodge, Reyes Creek</t>
        </is>
      </c>
      <c r="E444" s="9">
        <f>if($A444&lt;&gt;"",E443+B444,"")</f>
        <v/>
      </c>
      <c r="F444" s="10">
        <f>if($A444&lt;&gt;"",F443+C444,"")</f>
        <v/>
      </c>
      <c r="G444" s="11">
        <f>IF($A444&lt;&gt;"",IF(F444-E444=0,"tie",IF(F444-E444&gt;0,"+"&amp;F444-E444,"+"&amp;E444-F444)),"")</f>
        <v/>
      </c>
      <c r="H444" s="12">
        <f>if($A444&lt;&gt;"",if(B444&gt;C444,if(B444&lt;60,1,2),""),"")</f>
        <v/>
      </c>
      <c r="I444" s="12">
        <f>if($A444&lt;&gt;"",if(C444&gt;B444,if(C444&lt;60,1,2),""),"")</f>
        <v/>
      </c>
      <c r="J444" s="9">
        <f>if($A444&lt;&gt;"",J443+H444,"")</f>
        <v/>
      </c>
      <c r="K444" s="9">
        <f>if($A444&lt;&gt;"",K443+I444,"")</f>
        <v/>
      </c>
      <c r="L444" s="11">
        <f>IF($A444&lt;&gt;"",IF(K444-J444=0,"tie",IF(K444-J444&gt;0,"+"&amp;K444-J444,"+"&amp;J444-K444)),"")</f>
        <v/>
      </c>
      <c r="M444" s="17" t="n"/>
      <c r="N444" s="17" t="n"/>
      <c r="O444" s="17" t="n"/>
      <c r="P444" s="17" t="n"/>
      <c r="Q444" s="17" t="n"/>
      <c r="R444" s="17" t="n"/>
      <c r="S444" s="17" t="n"/>
    </row>
    <row r="445">
      <c r="A445" s="15" t="n">
        <v>43877</v>
      </c>
      <c r="B445" s="9" t="n">
        <v>25</v>
      </c>
      <c r="C445" s="10" t="n">
        <v>30</v>
      </c>
      <c r="D445" s="17" t="inlineStr">
        <is>
          <t>Agave Maria's, Ojai</t>
        </is>
      </c>
      <c r="E445" s="9">
        <f>if($A445&lt;&gt;"",E444+B445,"")</f>
        <v/>
      </c>
      <c r="F445" s="10">
        <f>if($A445&lt;&gt;"",F444+C445,"")</f>
        <v/>
      </c>
      <c r="G445" s="11">
        <f>IF($A445&lt;&gt;"",IF(F445-E445=0,"tie",IF(F445-E445&gt;0,"+"&amp;F445-E445,"+"&amp;E445-F445)),"")</f>
        <v/>
      </c>
      <c r="H445" s="12">
        <f>if($A445&lt;&gt;"",if(B445&gt;C445,if(B445&lt;60,1,2),""),"")</f>
        <v/>
      </c>
      <c r="I445" s="12">
        <f>if($A445&lt;&gt;"",if(C445&gt;B445,if(C445&lt;60,1,2),""),"")</f>
        <v/>
      </c>
      <c r="J445" s="9">
        <f>if($A445&lt;&gt;"",J444+H445,"")</f>
        <v/>
      </c>
      <c r="K445" s="9">
        <f>if($A445&lt;&gt;"",K444+I445,"")</f>
        <v/>
      </c>
      <c r="L445" s="11">
        <f>IF($A445&lt;&gt;"",IF(K445-J445=0,"tie",IF(K445-J445&gt;0,"+"&amp;K445-J445,"+"&amp;J445-K445)),"")</f>
        <v/>
      </c>
      <c r="M445" s="17" t="n"/>
      <c r="N445" s="17" t="n"/>
      <c r="O445" s="17" t="n"/>
      <c r="P445" s="17" t="n"/>
      <c r="Q445" s="17" t="n"/>
      <c r="R445" s="17" t="n"/>
      <c r="S445" s="17" t="n"/>
    </row>
    <row r="446">
      <c r="A446" s="15" t="n">
        <v>43878</v>
      </c>
      <c r="B446" s="9" t="n">
        <v>25</v>
      </c>
      <c r="C446" s="10" t="n">
        <v>30</v>
      </c>
      <c r="D446" s="17" t="inlineStr">
        <is>
          <t>Preston Way</t>
        </is>
      </c>
      <c r="E446" s="9">
        <f>if($A446&lt;&gt;"",E445+B446,"")</f>
        <v/>
      </c>
      <c r="F446" s="10">
        <f>if($A446&lt;&gt;"",F445+C446,"")</f>
        <v/>
      </c>
      <c r="G446" s="11">
        <f>IF($A446&lt;&gt;"",IF(F446-E446=0,"tie",IF(F446-E446&gt;0,"+"&amp;F446-E446,"+"&amp;E446-F446)),"")</f>
        <v/>
      </c>
      <c r="H446" s="12">
        <f>if($A446&lt;&gt;"",if(B446&gt;C446,if(B446&lt;60,1,2),""),"")</f>
        <v/>
      </c>
      <c r="I446" s="12">
        <f>if($A446&lt;&gt;"",if(C446&gt;B446,if(C446&lt;60,1,2),""),"")</f>
        <v/>
      </c>
      <c r="J446" s="9">
        <f>if($A446&lt;&gt;"",J445+H446,"")</f>
        <v/>
      </c>
      <c r="K446" s="9">
        <f>if($A446&lt;&gt;"",K445+I446,"")</f>
        <v/>
      </c>
      <c r="L446" s="11">
        <f>IF($A446&lt;&gt;"",IF(K446-J446=0,"tie",IF(K446-J446&gt;0,"+"&amp;K446-J446,"+"&amp;J446-K446)),"")</f>
        <v/>
      </c>
      <c r="M446" s="17" t="n"/>
      <c r="N446" s="17" t="n"/>
      <c r="O446" s="17" t="n"/>
      <c r="P446" s="17" t="n"/>
      <c r="Q446" s="17" t="n"/>
      <c r="R446" s="17" t="n"/>
      <c r="S446" s="17" t="n"/>
    </row>
    <row r="447">
      <c r="A447" s="15" t="n">
        <v>43881</v>
      </c>
      <c r="B447" s="9" t="n">
        <v>25</v>
      </c>
      <c r="C447" s="10" t="n">
        <v>30</v>
      </c>
      <c r="D447" s="17" t="inlineStr">
        <is>
          <t>La Cabaña</t>
        </is>
      </c>
      <c r="E447" s="9">
        <f>if($A447&lt;&gt;"",E446+B447,"")</f>
        <v/>
      </c>
      <c r="F447" s="10">
        <f>if($A447&lt;&gt;"",F446+C447,"")</f>
        <v/>
      </c>
      <c r="G447" s="11">
        <f>IF($A447&lt;&gt;"",IF(F447-E447=0,"tie",IF(F447-E447&gt;0,"+"&amp;F447-E447,"+"&amp;E447-F447)),"")</f>
        <v/>
      </c>
      <c r="H447" s="12">
        <f>if($A447&lt;&gt;"",if(B447&gt;C447,if(B447&lt;60,1,2),""),"")</f>
        <v/>
      </c>
      <c r="I447" s="12">
        <f>if($A447&lt;&gt;"",if(C447&gt;B447,if(C447&lt;60,1,2),""),"")</f>
        <v/>
      </c>
      <c r="J447" s="9">
        <f>if($A447&lt;&gt;"",J446+H447,"")</f>
        <v/>
      </c>
      <c r="K447" s="9">
        <f>if($A447&lt;&gt;"",K446+I447,"")</f>
        <v/>
      </c>
      <c r="L447" s="11">
        <f>IF($A447&lt;&gt;"",IF(K447-J447=0,"tie",IF(K447-J447&gt;0,"+"&amp;K447-J447,"+"&amp;J447-K447)),"")</f>
        <v/>
      </c>
      <c r="M447" s="17" t="n"/>
      <c r="N447" s="17" t="n"/>
      <c r="O447" s="17" t="n"/>
      <c r="P447" s="17" t="n"/>
      <c r="Q447" s="17" t="n"/>
      <c r="R447" s="17" t="n"/>
      <c r="S447" s="17" t="n"/>
    </row>
    <row r="448">
      <c r="A448" s="15" t="n">
        <v>43884</v>
      </c>
      <c r="B448" s="10" t="n">
        <v>30</v>
      </c>
      <c r="C448" s="9" t="n">
        <v>25</v>
      </c>
      <c r="D448" s="17" t="inlineStr">
        <is>
          <t>George's Burgers, Santa Monica</t>
        </is>
      </c>
      <c r="E448" s="9">
        <f>if($A448&lt;&gt;"",E447+B448,"")</f>
        <v/>
      </c>
      <c r="F448" s="10">
        <f>if($A448&lt;&gt;"",F447+C448,"")</f>
        <v/>
      </c>
      <c r="G448" s="11">
        <f>IF($A448&lt;&gt;"",IF(F448-E448=0,"tie",IF(F448-E448&gt;0,"+"&amp;F448-E448,"+"&amp;E448-F448)),"")</f>
        <v/>
      </c>
      <c r="H448" s="12">
        <f>if($A448&lt;&gt;"",if(B448&gt;C448,if(B448&lt;60,1,2),""),"")</f>
        <v/>
      </c>
      <c r="I448" s="12">
        <f>if($A448&lt;&gt;"",if(C448&gt;B448,if(C448&lt;60,1,2),""),"")</f>
        <v/>
      </c>
      <c r="J448" s="9">
        <f>if($A448&lt;&gt;"",J447+H448,"")</f>
        <v/>
      </c>
      <c r="K448" s="9">
        <f>if($A448&lt;&gt;"",K447+I448,"")</f>
        <v/>
      </c>
      <c r="L448" s="11">
        <f>IF($A448&lt;&gt;"",IF(K448-J448=0,"tie",IF(K448-J448&gt;0,"+"&amp;K448-J448,"+"&amp;J448-K448)),"")</f>
        <v/>
      </c>
      <c r="M448" s="17" t="n"/>
      <c r="N448" s="17" t="n"/>
      <c r="O448" s="17" t="n"/>
      <c r="P448" s="17" t="n"/>
      <c r="Q448" s="17" t="n"/>
      <c r="R448" s="17" t="n"/>
      <c r="S448" s="17" t="n"/>
    </row>
    <row r="449">
      <c r="A449" s="15" t="n">
        <v>43885</v>
      </c>
      <c r="B449" s="10" t="n">
        <v>30</v>
      </c>
      <c r="C449" s="9" t="n">
        <v>25</v>
      </c>
      <c r="D449" s="17" t="inlineStr">
        <is>
          <t>J Nichols, MDR</t>
        </is>
      </c>
      <c r="E449" s="9">
        <f>if($A449&lt;&gt;"",E448+B449,"")</f>
        <v/>
      </c>
      <c r="F449" s="10">
        <f>if($A449&lt;&gt;"",F448+C449,"")</f>
        <v/>
      </c>
      <c r="G449" s="11">
        <f>IF($A449&lt;&gt;"",IF(F449-E449=0,"tie",IF(F449-E449&gt;0,"+"&amp;F449-E449,"+"&amp;E449-F449)),"")</f>
        <v/>
      </c>
      <c r="H449" s="12">
        <f>if($A449&lt;&gt;"",if(B449&gt;C449,if(B449&lt;60,1,2),""),"")</f>
        <v/>
      </c>
      <c r="I449" s="12">
        <f>if($A449&lt;&gt;"",if(C449&gt;B449,if(C449&lt;60,1,2),""),"")</f>
        <v/>
      </c>
      <c r="J449" s="9">
        <f>if($A449&lt;&gt;"",J448+H449,"")</f>
        <v/>
      </c>
      <c r="K449" s="9">
        <f>if($A449&lt;&gt;"",K448+I449,"")</f>
        <v/>
      </c>
      <c r="L449" s="11">
        <f>IF($A449&lt;&gt;"",IF(K449-J449=0,"tie",IF(K449-J449&gt;0,"+"&amp;K449-J449,"+"&amp;J449-K449)),"")</f>
        <v/>
      </c>
      <c r="M449" s="17" t="n"/>
      <c r="N449" s="17" t="n"/>
      <c r="O449" s="17" t="n"/>
      <c r="P449" s="17" t="n"/>
      <c r="Q449" s="17" t="n"/>
      <c r="R449" s="17" t="n"/>
      <c r="S449" s="17" t="n"/>
    </row>
    <row r="450">
      <c r="A450" s="15" t="n">
        <v>43887</v>
      </c>
      <c r="B450" s="9" t="n">
        <v>25</v>
      </c>
      <c r="C450" s="10" t="n">
        <v>30</v>
      </c>
      <c r="D450" s="17" t="inlineStr">
        <is>
          <t>Mercado, Santa Monica</t>
        </is>
      </c>
      <c r="E450" s="9">
        <f>if($A450&lt;&gt;"",E449+B450,"")</f>
        <v/>
      </c>
      <c r="F450" s="10">
        <f>if($A450&lt;&gt;"",F449+C450,"")</f>
        <v/>
      </c>
      <c r="G450" s="11">
        <f>IF($A450&lt;&gt;"",IF(F450-E450=0,"tie",IF(F450-E450&gt;0,"+"&amp;F450-E450,"+"&amp;E450-F450)),"")</f>
        <v/>
      </c>
      <c r="H450" s="12">
        <f>if($A450&lt;&gt;"",if(B450&gt;C450,if(B450&lt;60,1,2),""),"")</f>
        <v/>
      </c>
      <c r="I450" s="12">
        <f>if($A450&lt;&gt;"",if(C450&gt;B450,if(C450&lt;60,1,2),""),"")</f>
        <v/>
      </c>
      <c r="J450" s="9">
        <f>if($A450&lt;&gt;"",J449+H450,"")</f>
        <v/>
      </c>
      <c r="K450" s="9">
        <f>if($A450&lt;&gt;"",K449+I450,"")</f>
        <v/>
      </c>
      <c r="L450" s="11">
        <f>IF($A450&lt;&gt;"",IF(K450-J450=0,"tie",IF(K450-J450&gt;0,"+"&amp;K450-J450,"+"&amp;J450-K450)),"")</f>
        <v/>
      </c>
      <c r="M450" s="17" t="n"/>
      <c r="N450" s="17" t="n"/>
      <c r="O450" s="17" t="n"/>
      <c r="P450" s="17" t="n"/>
      <c r="Q450" s="17" t="n"/>
      <c r="R450" s="17" t="n"/>
      <c r="S450" s="17" t="n"/>
    </row>
    <row r="451">
      <c r="A451" s="15" t="n">
        <v>43891</v>
      </c>
      <c r="B451" s="9" t="n">
        <v>25</v>
      </c>
      <c r="C451" s="10" t="n">
        <v>30</v>
      </c>
      <c r="D451" s="17" t="inlineStr">
        <is>
          <t>Spitfire, Santa Monica - Closing day</t>
        </is>
      </c>
      <c r="E451" s="9">
        <f>if($A451&lt;&gt;"",E450+B451,"")</f>
        <v/>
      </c>
      <c r="F451" s="10">
        <f>if($A451&lt;&gt;"",F450+C451,"")</f>
        <v/>
      </c>
      <c r="G451" s="11">
        <f>IF($A451&lt;&gt;"",IF(F451-E451=0,"tie",IF(F451-E451&gt;0,"+"&amp;F451-E451,"+"&amp;E451-F451)),"")</f>
        <v/>
      </c>
      <c r="H451" s="12">
        <f>if($A451&lt;&gt;"",if(B451&gt;C451,if(B451&lt;60,1,2),""),"")</f>
        <v/>
      </c>
      <c r="I451" s="12">
        <f>if($A451&lt;&gt;"",if(C451&gt;B451,if(C451&lt;60,1,2),""),"")</f>
        <v/>
      </c>
      <c r="J451" s="9">
        <f>if($A451&lt;&gt;"",J450+H451,"")</f>
        <v/>
      </c>
      <c r="K451" s="9">
        <f>if($A451&lt;&gt;"",K450+I451,"")</f>
        <v/>
      </c>
      <c r="L451" s="11">
        <f>IF($A451&lt;&gt;"",IF(K451-J451=0,"tie",IF(K451-J451&gt;0,"+"&amp;K451-J451,"+"&amp;J451-K451)),"")</f>
        <v/>
      </c>
      <c r="M451" s="17" t="n"/>
      <c r="N451" s="17" t="n"/>
      <c r="O451" s="17" t="n"/>
      <c r="P451" s="17" t="n"/>
      <c r="Q451" s="17" t="n"/>
      <c r="R451" s="17" t="n"/>
      <c r="S451" s="17" t="n"/>
    </row>
    <row r="452">
      <c r="A452" s="15" t="n">
        <v>43893</v>
      </c>
      <c r="B452" s="9" t="n">
        <v>25</v>
      </c>
      <c r="C452" s="10" t="n">
        <v>30</v>
      </c>
      <c r="D452" s="17" t="inlineStr">
        <is>
          <t>Superba Bread and Food, Venice</t>
        </is>
      </c>
      <c r="E452" s="9">
        <f>if($A452&lt;&gt;"",E451+B452,"")</f>
        <v/>
      </c>
      <c r="F452" s="10">
        <f>if($A452&lt;&gt;"",F451+C452,"")</f>
        <v/>
      </c>
      <c r="G452" s="11">
        <f>IF($A452&lt;&gt;"",IF(F452-E452=0,"tie",IF(F452-E452&gt;0,"+"&amp;F452-E452,"+"&amp;E452-F452)),"")</f>
        <v/>
      </c>
      <c r="H452" s="12">
        <f>if($A452&lt;&gt;"",if(B452&gt;C452,if(B452&lt;60,1,2),""),"")</f>
        <v/>
      </c>
      <c r="I452" s="12">
        <f>if($A452&lt;&gt;"",if(C452&gt;B452,if(C452&lt;60,1,2),""),"")</f>
        <v/>
      </c>
      <c r="J452" s="9">
        <f>if($A452&lt;&gt;"",J451+H452,"")</f>
        <v/>
      </c>
      <c r="K452" s="9">
        <f>if($A452&lt;&gt;"",K451+I452,"")</f>
        <v/>
      </c>
      <c r="L452" s="11">
        <f>IF($A452&lt;&gt;"",IF(K452-J452=0,"tie",IF(K452-J452&gt;0,"+"&amp;K452-J452,"+"&amp;J452-K452)),"")</f>
        <v/>
      </c>
      <c r="M452" s="17" t="n"/>
      <c r="N452" s="17" t="n"/>
      <c r="O452" s="17" t="n"/>
      <c r="P452" s="17" t="n"/>
      <c r="Q452" s="17" t="n"/>
      <c r="R452" s="17" t="n"/>
      <c r="S452" s="17" t="n"/>
    </row>
    <row r="453">
      <c r="A453" s="15" t="n">
        <v>43905</v>
      </c>
      <c r="B453" s="10" t="n">
        <v>60</v>
      </c>
      <c r="C453" s="9" t="n">
        <v>50</v>
      </c>
      <c r="D453" s="17" t="inlineStr">
        <is>
          <t>Tahoe Valley Campground Calrisian</t>
        </is>
      </c>
      <c r="E453" s="9">
        <f>if($A453&lt;&gt;"",E452+B453,"")</f>
        <v/>
      </c>
      <c r="F453" s="10">
        <f>if($A453&lt;&gt;"",F452+C453,"")</f>
        <v/>
      </c>
      <c r="G453" s="11">
        <f>IF($A453&lt;&gt;"",IF(F453-E453=0,"tie",IF(F453-E453&gt;0,"+"&amp;F453-E453,"+"&amp;E453-F453)),"")</f>
        <v/>
      </c>
      <c r="H453" s="12">
        <f>if($A453&lt;&gt;"",if(B453&gt;C453,if(B453&lt;60,1,2),""),"")</f>
        <v/>
      </c>
      <c r="I453" s="12">
        <f>if($A453&lt;&gt;"",if(C453&gt;B453,if(C453&lt;60,1,2),""),"")</f>
        <v/>
      </c>
      <c r="J453" s="9">
        <f>if($A453&lt;&gt;"",J452+H453,"")</f>
        <v/>
      </c>
      <c r="K453" s="9">
        <f>if($A453&lt;&gt;"",K452+I453,"")</f>
        <v/>
      </c>
      <c r="L453" s="11">
        <f>IF($A453&lt;&gt;"",IF(K453-J453=0,"tie",IF(K453-J453&gt;0,"+"&amp;K453-J453,"+"&amp;J453-K453)),"")</f>
        <v/>
      </c>
      <c r="M453" s="17" t="n"/>
      <c r="N453" s="17" t="n"/>
      <c r="O453" s="17" t="n"/>
      <c r="P453" s="17" t="n"/>
      <c r="Q453" s="17" t="n"/>
      <c r="R453" s="17" t="n"/>
      <c r="S453" s="17" t="n"/>
    </row>
    <row r="454">
      <c r="A454" s="15" t="n">
        <v>43917</v>
      </c>
      <c r="B454" s="9" t="n">
        <v>25</v>
      </c>
      <c r="C454" s="10" t="n">
        <v>30</v>
      </c>
      <c r="D454" s="17" t="inlineStr">
        <is>
          <t>Preston Way</t>
        </is>
      </c>
      <c r="E454" s="9">
        <f>if($A454&lt;&gt;"",E453+B454,"")</f>
        <v/>
      </c>
      <c r="F454" s="10">
        <f>if($A454&lt;&gt;"",F453+C454,"")</f>
        <v/>
      </c>
      <c r="G454" s="11">
        <f>IF($A454&lt;&gt;"",IF(F454-E454=0,"tie",IF(F454-E454&gt;0,"+"&amp;F454-E454,"+"&amp;E454-F454)),"")</f>
        <v/>
      </c>
      <c r="H454" s="12">
        <f>if($A454&lt;&gt;"",if(B454&gt;C454,if(B454&lt;60,1,2),""),"")</f>
        <v/>
      </c>
      <c r="I454" s="12">
        <f>if($A454&lt;&gt;"",if(C454&gt;B454,if(C454&lt;60,1,2),""),"")</f>
        <v/>
      </c>
      <c r="J454" s="9">
        <f>if($A454&lt;&gt;"",J453+H454,"")</f>
        <v/>
      </c>
      <c r="K454" s="9">
        <f>if($A454&lt;&gt;"",K453+I454,"")</f>
        <v/>
      </c>
      <c r="L454" s="11">
        <f>IF($A454&lt;&gt;"",IF(K454-J454=0,"tie",IF(K454-J454&gt;0,"+"&amp;K454-J454,"+"&amp;J454-K454)),"")</f>
        <v/>
      </c>
      <c r="M454" s="17" t="n"/>
      <c r="N454" s="17" t="n"/>
      <c r="O454" s="17" t="n"/>
      <c r="P454" s="17" t="n"/>
      <c r="Q454" s="17" t="n"/>
      <c r="R454" s="17" t="n"/>
      <c r="S454" s="17" t="n"/>
    </row>
    <row r="455">
      <c r="A455" s="15" t="n">
        <v>43918</v>
      </c>
      <c r="B455" s="9" t="n">
        <v>25</v>
      </c>
      <c r="C455" s="10" t="n">
        <v>30</v>
      </c>
      <c r="D455" s="17" t="inlineStr">
        <is>
          <t>Preston Way</t>
        </is>
      </c>
      <c r="E455" s="9">
        <f>if($A455&lt;&gt;"",E454+B455,"")</f>
        <v/>
      </c>
      <c r="F455" s="10">
        <f>if($A455&lt;&gt;"",F454+C455,"")</f>
        <v/>
      </c>
      <c r="G455" s="11">
        <f>IF($A455&lt;&gt;"",IF(F455-E455=0,"tie",IF(F455-E455&gt;0,"+"&amp;F455-E455,"+"&amp;E455-F455)),"")</f>
        <v/>
      </c>
      <c r="H455" s="12">
        <f>if($A455&lt;&gt;"",if(B455&gt;C455,if(B455&lt;60,1,2),""),"")</f>
        <v/>
      </c>
      <c r="I455" s="12">
        <f>if($A455&lt;&gt;"",if(C455&gt;B455,if(C455&lt;60,1,2),""),"")</f>
        <v/>
      </c>
      <c r="J455" s="9">
        <f>if($A455&lt;&gt;"",J454+H455,"")</f>
        <v/>
      </c>
      <c r="K455" s="9">
        <f>if($A455&lt;&gt;"",K454+I455,"")</f>
        <v/>
      </c>
      <c r="L455" s="11">
        <f>IF($A455&lt;&gt;"",IF(K455-J455=0,"tie",IF(K455-J455&gt;0,"+"&amp;K455-J455,"+"&amp;J455-K455)),"")</f>
        <v/>
      </c>
      <c r="M455" s="17" t="n"/>
      <c r="N455" s="17" t="n"/>
      <c r="O455" s="17" t="n"/>
      <c r="P455" s="17" t="n"/>
      <c r="Q455" s="17" t="n"/>
      <c r="R455" s="17" t="n"/>
      <c r="S455" s="17" t="n"/>
    </row>
    <row r="456">
      <c r="A456" s="15" t="n">
        <v>43921</v>
      </c>
      <c r="B456" s="10" t="n">
        <v>30</v>
      </c>
      <c r="C456" s="9" t="n">
        <v>25</v>
      </c>
      <c r="D456" s="17" t="inlineStr">
        <is>
          <t>Preston Way</t>
        </is>
      </c>
      <c r="E456" s="9">
        <f>if($A456&lt;&gt;"",E455+B456,"")</f>
        <v/>
      </c>
      <c r="F456" s="10">
        <f>if($A456&lt;&gt;"",F455+C456,"")</f>
        <v/>
      </c>
      <c r="G456" s="11">
        <f>IF($A456&lt;&gt;"",IF(F456-E456=0,"tie",IF(F456-E456&gt;0,"+"&amp;F456-E456,"+"&amp;E456-F456)),"")</f>
        <v/>
      </c>
      <c r="H456" s="12">
        <f>if($A456&lt;&gt;"",if(B456&gt;C456,if(B456&lt;60,1,2),""),"")</f>
        <v/>
      </c>
      <c r="I456" s="12">
        <f>if($A456&lt;&gt;"",if(C456&gt;B456,if(C456&lt;60,1,2),""),"")</f>
        <v/>
      </c>
      <c r="J456" s="9">
        <f>if($A456&lt;&gt;"",J455+H456,"")</f>
        <v/>
      </c>
      <c r="K456" s="9">
        <f>if($A456&lt;&gt;"",K455+I456,"")</f>
        <v/>
      </c>
      <c r="L456" s="11">
        <f>IF($A456&lt;&gt;"",IF(K456-J456=0,"tie",IF(K456-J456&gt;0,"+"&amp;K456-J456,"+"&amp;J456-K456)),"")</f>
        <v/>
      </c>
      <c r="M456" s="17" t="n"/>
      <c r="N456" s="17" t="n"/>
      <c r="O456" s="17" t="n"/>
      <c r="P456" s="17" t="n"/>
      <c r="Q456" s="17" t="n"/>
      <c r="R456" s="17" t="n"/>
      <c r="S456" s="17" t="n"/>
    </row>
    <row r="457">
      <c r="A457" s="15" t="n">
        <v>43938</v>
      </c>
      <c r="B457" s="9" t="n">
        <v>25</v>
      </c>
      <c r="C457" s="10" t="n">
        <v>30</v>
      </c>
      <c r="D457" s="17" t="inlineStr">
        <is>
          <t>Preston Way</t>
        </is>
      </c>
      <c r="E457" s="9">
        <f>if($A457&lt;&gt;"",E456+B457,"")</f>
        <v/>
      </c>
      <c r="F457" s="10">
        <f>if($A457&lt;&gt;"",F456+C457,"")</f>
        <v/>
      </c>
      <c r="G457" s="11">
        <f>IF($A457&lt;&gt;"",IF(F457-E457=0,"tie",IF(F457-E457&gt;0,"+"&amp;F457-E457,"+"&amp;E457-F457)),"")</f>
        <v/>
      </c>
      <c r="H457" s="12">
        <f>if($A457&lt;&gt;"",if(B457&gt;C457,if(B457&lt;60,1,2),""),"")</f>
        <v/>
      </c>
      <c r="I457" s="12">
        <f>if($A457&lt;&gt;"",if(C457&gt;B457,if(C457&lt;60,1,2),""),"")</f>
        <v/>
      </c>
      <c r="J457" s="9">
        <f>if($A457&lt;&gt;"",J456+H457,"")</f>
        <v/>
      </c>
      <c r="K457" s="9">
        <f>if($A457&lt;&gt;"",K456+I457,"")</f>
        <v/>
      </c>
      <c r="L457" s="11">
        <f>IF($A457&lt;&gt;"",IF(K457-J457=0,"tie",IF(K457-J457&gt;0,"+"&amp;K457-J457,"+"&amp;J457-K457)),"")</f>
        <v/>
      </c>
      <c r="M457" s="17" t="n"/>
      <c r="N457" s="17" t="n"/>
      <c r="O457" s="17" t="n"/>
      <c r="P457" s="17" t="n"/>
      <c r="Q457" s="17" t="n"/>
      <c r="R457" s="17" t="n"/>
      <c r="S457" s="17" t="n"/>
    </row>
    <row r="458">
      <c r="A458" s="15" t="n">
        <v>43940</v>
      </c>
      <c r="B458" s="10" t="n">
        <v>30</v>
      </c>
      <c r="C458" s="9" t="n">
        <v>25</v>
      </c>
      <c r="D458" s="17" t="inlineStr">
        <is>
          <t>Preston Way</t>
        </is>
      </c>
      <c r="E458" s="9">
        <f>if($A458&lt;&gt;"",E457+B458,"")</f>
        <v/>
      </c>
      <c r="F458" s="10">
        <f>if($A458&lt;&gt;"",F457+C458,"")</f>
        <v/>
      </c>
      <c r="G458" s="11">
        <f>IF($A458&lt;&gt;"",IF(F458-E458=0,"tie",IF(F458-E458&gt;0,"+"&amp;F458-E458,"+"&amp;E458-F458)),"")</f>
        <v/>
      </c>
      <c r="H458" s="12">
        <f>if($A458&lt;&gt;"",if(B458&gt;C458,if(B458&lt;60,1,2),""),"")</f>
        <v/>
      </c>
      <c r="I458" s="12">
        <f>if($A458&lt;&gt;"",if(C458&gt;B458,if(C458&lt;60,1,2),""),"")</f>
        <v/>
      </c>
      <c r="J458" s="9">
        <f>if($A458&lt;&gt;"",J457+H458,"")</f>
        <v/>
      </c>
      <c r="K458" s="9">
        <f>if($A458&lt;&gt;"",K457+I458,"")</f>
        <v/>
      </c>
      <c r="L458" s="11">
        <f>IF($A458&lt;&gt;"",IF(K458-J458=0,"tie",IF(K458-J458&gt;0,"+"&amp;K458-J458,"+"&amp;J458-K458)),"")</f>
        <v/>
      </c>
      <c r="M458" s="17" t="n"/>
      <c r="N458" s="17" t="n"/>
      <c r="O458" s="17" t="n"/>
      <c r="P458" s="17" t="n"/>
      <c r="Q458" s="17" t="n"/>
      <c r="R458" s="17" t="n"/>
      <c r="S458" s="17" t="n"/>
    </row>
    <row r="459">
      <c r="A459" s="15" t="n">
        <v>43941</v>
      </c>
      <c r="B459" s="10" t="n">
        <v>30</v>
      </c>
      <c r="C459" s="9" t="n">
        <v>25</v>
      </c>
      <c r="D459" s="17" t="inlineStr">
        <is>
          <t>Preston Way</t>
        </is>
      </c>
      <c r="E459" s="9">
        <f>if($A459&lt;&gt;"",E458+B459,"")</f>
        <v/>
      </c>
      <c r="F459" s="10">
        <f>if($A459&lt;&gt;"",F458+C459,"")</f>
        <v/>
      </c>
      <c r="G459" s="11">
        <f>IF($A459&lt;&gt;"",IF(F459-E459=0,"tie",IF(F459-E459&gt;0,"+"&amp;F459-E459,"+"&amp;E459-F459)),"")</f>
        <v/>
      </c>
      <c r="H459" s="12">
        <f>if($A459&lt;&gt;"",if(B459&gt;C459,if(B459&lt;60,1,2),""),"")</f>
        <v/>
      </c>
      <c r="I459" s="12">
        <f>if($A459&lt;&gt;"",if(C459&gt;B459,if(C459&lt;60,1,2),""),"")</f>
        <v/>
      </c>
      <c r="J459" s="9">
        <f>if($A459&lt;&gt;"",J458+H459,"")</f>
        <v/>
      </c>
      <c r="K459" s="9">
        <f>if($A459&lt;&gt;"",K458+I459,"")</f>
        <v/>
      </c>
      <c r="L459" s="11">
        <f>IF($A459&lt;&gt;"",IF(K459-J459=0,"tie",IF(K459-J459&gt;0,"+"&amp;K459-J459,"+"&amp;J459-K459)),"")</f>
        <v/>
      </c>
      <c r="M459" s="17" t="n"/>
      <c r="N459" s="17" t="n"/>
      <c r="O459" s="17" t="n"/>
      <c r="P459" s="17" t="n"/>
      <c r="Q459" s="17" t="n"/>
      <c r="R459" s="17" t="n"/>
      <c r="S459" s="17" t="n"/>
    </row>
    <row r="460">
      <c r="A460" s="15" t="n">
        <v>43941</v>
      </c>
      <c r="B460" s="10" t="n">
        <v>30</v>
      </c>
      <c r="C460" s="9" t="n">
        <v>25</v>
      </c>
      <c r="D460" s="17" t="inlineStr">
        <is>
          <t>Preston Way</t>
        </is>
      </c>
      <c r="E460" s="9">
        <f>if($A460&lt;&gt;"",E459+B460,"")</f>
        <v/>
      </c>
      <c r="F460" s="10">
        <f>if($A460&lt;&gt;"",F459+C460,"")</f>
        <v/>
      </c>
      <c r="G460" s="11">
        <f>IF($A460&lt;&gt;"",IF(F460-E460=0,"tie",IF(F460-E460&gt;0,"+"&amp;F460-E460,"+"&amp;E460-F460)),"")</f>
        <v/>
      </c>
      <c r="H460" s="12">
        <f>if($A460&lt;&gt;"",if(B460&gt;C460,if(B460&lt;60,1,2),""),"")</f>
        <v/>
      </c>
      <c r="I460" s="12">
        <f>if($A460&lt;&gt;"",if(C460&gt;B460,if(C460&lt;60,1,2),""),"")</f>
        <v/>
      </c>
      <c r="J460" s="9">
        <f>if($A460&lt;&gt;"",J459+H460,"")</f>
        <v/>
      </c>
      <c r="K460" s="9">
        <f>if($A460&lt;&gt;"",K459+I460,"")</f>
        <v/>
      </c>
      <c r="L460" s="11">
        <f>IF($A460&lt;&gt;"",IF(K460-J460=0,"tie",IF(K460-J460&gt;0,"+"&amp;K460-J460,"+"&amp;J460-K460)),"")</f>
        <v/>
      </c>
      <c r="M460" s="17" t="n"/>
      <c r="N460" s="17" t="n"/>
      <c r="O460" s="17" t="n"/>
      <c r="P460" s="17" t="n"/>
      <c r="Q460" s="17" t="n"/>
      <c r="R460" s="17" t="n"/>
      <c r="S460" s="17" t="n"/>
    </row>
    <row r="461">
      <c r="A461" s="15" t="n">
        <v>43945</v>
      </c>
      <c r="B461" s="10" t="n">
        <v>30</v>
      </c>
      <c r="C461" s="9" t="n">
        <v>25</v>
      </c>
      <c r="D461" s="17" t="inlineStr">
        <is>
          <t>Preston Way</t>
        </is>
      </c>
      <c r="E461" s="9">
        <f>if($A461&lt;&gt;"",E460+B461,"")</f>
        <v/>
      </c>
      <c r="F461" s="10">
        <f>if($A461&lt;&gt;"",F460+C461,"")</f>
        <v/>
      </c>
      <c r="G461" s="11">
        <f>IF($A461&lt;&gt;"",IF(F461-E461=0,"tie",IF(F461-E461&gt;0,"+"&amp;F461-E461,"+"&amp;E461-F461)),"")</f>
        <v/>
      </c>
      <c r="H461" s="12">
        <f>if($A461&lt;&gt;"",if(B461&gt;C461,if(B461&lt;60,1,2),""),"")</f>
        <v/>
      </c>
      <c r="I461" s="12">
        <f>if($A461&lt;&gt;"",if(C461&gt;B461,if(C461&lt;60,1,2),""),"")</f>
        <v/>
      </c>
      <c r="J461" s="9">
        <f>if($A461&lt;&gt;"",J460+H461,"")</f>
        <v/>
      </c>
      <c r="K461" s="9">
        <f>if($A461&lt;&gt;"",K460+I461,"")</f>
        <v/>
      </c>
      <c r="L461" s="11">
        <f>IF($A461&lt;&gt;"",IF(K461-J461=0,"tie",IF(K461-J461&gt;0,"+"&amp;K461-J461,"+"&amp;J461-K461)),"")</f>
        <v/>
      </c>
      <c r="M461" s="17" t="n"/>
      <c r="N461" s="17" t="n"/>
      <c r="O461" s="17" t="n"/>
      <c r="P461" s="17" t="n"/>
      <c r="Q461" s="17" t="n"/>
      <c r="R461" s="17" t="n"/>
      <c r="S461" s="17" t="n"/>
    </row>
    <row r="462">
      <c r="A462" s="15" t="n">
        <v>43951</v>
      </c>
      <c r="B462" s="10" t="n">
        <v>30</v>
      </c>
      <c r="C462" s="9" t="n">
        <v>25</v>
      </c>
      <c r="D462" s="17" t="inlineStr">
        <is>
          <t>Preston Way</t>
        </is>
      </c>
      <c r="E462" s="9">
        <f>if($A462&lt;&gt;"",E461+B462,"")</f>
        <v/>
      </c>
      <c r="F462" s="10">
        <f>if($A462&lt;&gt;"",F461+C462,"")</f>
        <v/>
      </c>
      <c r="G462" s="11">
        <f>IF($A462&lt;&gt;"",IF(F462-E462=0,"tie",IF(F462-E462&gt;0,"+"&amp;F462-E462,"+"&amp;E462-F462)),"")</f>
        <v/>
      </c>
      <c r="H462" s="12">
        <f>if($A462&lt;&gt;"",if(B462&gt;C462,if(B462&lt;60,1,2),""),"")</f>
        <v/>
      </c>
      <c r="I462" s="12">
        <f>if($A462&lt;&gt;"",if(C462&gt;B462,if(C462&lt;60,1,2),""),"")</f>
        <v/>
      </c>
      <c r="J462" s="9">
        <f>if($A462&lt;&gt;"",J461+H462,"")</f>
        <v/>
      </c>
      <c r="K462" s="9">
        <f>if($A462&lt;&gt;"",K461+I462,"")</f>
        <v/>
      </c>
      <c r="L462" s="11">
        <f>IF($A462&lt;&gt;"",IF(K462-J462=0,"tie",IF(K462-J462&gt;0,"+"&amp;K462-J462,"+"&amp;J462-K462)),"")</f>
        <v/>
      </c>
      <c r="M462" s="17" t="n"/>
      <c r="N462" s="17" t="n"/>
      <c r="O462" s="17" t="n"/>
      <c r="P462" s="17" t="n"/>
      <c r="Q462" s="17" t="n"/>
      <c r="R462" s="17" t="n"/>
      <c r="S462" s="17" t="n"/>
    </row>
    <row r="463">
      <c r="A463" s="15" t="n">
        <v>43953</v>
      </c>
      <c r="B463" s="9" t="n">
        <v>25</v>
      </c>
      <c r="C463" s="10" t="n">
        <v>30</v>
      </c>
      <c r="D463" s="17" t="inlineStr">
        <is>
          <t>Preston Way</t>
        </is>
      </c>
      <c r="E463" s="9">
        <f>if($A463&lt;&gt;"",E462+B463,"")</f>
        <v/>
      </c>
      <c r="F463" s="10">
        <f>if($A463&lt;&gt;"",F462+C463,"")</f>
        <v/>
      </c>
      <c r="G463" s="11">
        <f>IF($A463&lt;&gt;"",IF(F463-E463=0,"tie",IF(F463-E463&gt;0,"+"&amp;F463-E463,"+"&amp;E463-F463)),"")</f>
        <v/>
      </c>
      <c r="H463" s="12">
        <f>if($A463&lt;&gt;"",if(B463&gt;C463,if(B463&lt;60,1,2),""),"")</f>
        <v/>
      </c>
      <c r="I463" s="12">
        <f>if($A463&lt;&gt;"",if(C463&gt;B463,if(C463&lt;60,1,2),""),"")</f>
        <v/>
      </c>
      <c r="J463" s="9">
        <f>if($A463&lt;&gt;"",J462+H463,"")</f>
        <v/>
      </c>
      <c r="K463" s="9">
        <f>if($A463&lt;&gt;"",K462+I463,"")</f>
        <v/>
      </c>
      <c r="L463" s="11">
        <f>IF($A463&lt;&gt;"",IF(K463-J463=0,"tie",IF(K463-J463&gt;0,"+"&amp;K463-J463,"+"&amp;J463-K463)),"")</f>
        <v/>
      </c>
      <c r="M463" s="17" t="n"/>
      <c r="N463" s="17" t="n"/>
      <c r="O463" s="17" t="n"/>
      <c r="P463" s="17" t="n"/>
      <c r="Q463" s="17" t="n"/>
      <c r="R463" s="17" t="n"/>
      <c r="S463" s="17" t="n"/>
    </row>
    <row r="464">
      <c r="A464" s="15" t="n">
        <v>43955</v>
      </c>
      <c r="B464" s="10" t="n">
        <v>30</v>
      </c>
      <c r="C464" s="9" t="n">
        <v>25</v>
      </c>
      <c r="D464" s="17" t="inlineStr">
        <is>
          <t>Preston Way</t>
        </is>
      </c>
      <c r="E464" s="9">
        <f>if($A464&lt;&gt;"",E463+B464,"")</f>
        <v/>
      </c>
      <c r="F464" s="10">
        <f>if($A464&lt;&gt;"",F463+C464,"")</f>
        <v/>
      </c>
      <c r="G464" s="11">
        <f>IF($A464&lt;&gt;"",IF(F464-E464=0,"tie",IF(F464-E464&gt;0,"+"&amp;F464-E464,"+"&amp;E464-F464)),"")</f>
        <v/>
      </c>
      <c r="H464" s="12">
        <f>if($A464&lt;&gt;"",if(B464&gt;C464,if(B464&lt;60,1,2),""),"")</f>
        <v/>
      </c>
      <c r="I464" s="12">
        <f>if($A464&lt;&gt;"",if(C464&gt;B464,if(C464&lt;60,1,2),""),"")</f>
        <v/>
      </c>
      <c r="J464" s="9">
        <f>if($A464&lt;&gt;"",J463+H464,"")</f>
        <v/>
      </c>
      <c r="K464" s="9">
        <f>if($A464&lt;&gt;"",K463+I464,"")</f>
        <v/>
      </c>
      <c r="L464" s="11">
        <f>IF($A464&lt;&gt;"",IF(K464-J464=0,"tie",IF(K464-J464&gt;0,"+"&amp;K464-J464,"+"&amp;J464-K464)),"")</f>
        <v/>
      </c>
      <c r="M464" s="17" t="n"/>
      <c r="N464" s="17" t="n"/>
      <c r="O464" s="17" t="n"/>
      <c r="P464" s="17" t="n"/>
      <c r="Q464" s="17" t="n"/>
      <c r="R464" s="17" t="n"/>
      <c r="S464" s="17" t="n"/>
    </row>
    <row r="465">
      <c r="A465" s="15" t="n">
        <v>43958</v>
      </c>
      <c r="B465" s="9" t="n">
        <v>25</v>
      </c>
      <c r="C465" s="10" t="n">
        <v>30</v>
      </c>
      <c r="D465" s="17" t="inlineStr">
        <is>
          <t>Preston Way</t>
        </is>
      </c>
      <c r="E465" s="9">
        <f>if($A465&lt;&gt;"",E464+B465,"")</f>
        <v/>
      </c>
      <c r="F465" s="10">
        <f>if($A465&lt;&gt;"",F464+C465,"")</f>
        <v/>
      </c>
      <c r="G465" s="11">
        <f>IF($A465&lt;&gt;"",IF(F465-E465=0,"tie",IF(F465-E465&gt;0,"+"&amp;F465-E465,"+"&amp;E465-F465)),"")</f>
        <v/>
      </c>
      <c r="H465" s="12">
        <f>if($A465&lt;&gt;"",if(B465&gt;C465,if(B465&lt;60,1,2),""),"")</f>
        <v/>
      </c>
      <c r="I465" s="12">
        <f>if($A465&lt;&gt;"",if(C465&gt;B465,if(C465&lt;60,1,2),""),"")</f>
        <v/>
      </c>
      <c r="J465" s="9">
        <f>if($A465&lt;&gt;"",J464+H465,"")</f>
        <v/>
      </c>
      <c r="K465" s="9">
        <f>if($A465&lt;&gt;"",K464+I465,"")</f>
        <v/>
      </c>
      <c r="L465" s="11">
        <f>IF($A465&lt;&gt;"",IF(K465-J465=0,"tie",IF(K465-J465&gt;0,"+"&amp;K465-J465,"+"&amp;J465-K465)),"")</f>
        <v/>
      </c>
      <c r="M465" s="17" t="n"/>
      <c r="N465" s="17" t="n"/>
      <c r="O465" s="17" t="n"/>
      <c r="P465" s="17" t="n"/>
      <c r="Q465" s="17" t="n"/>
      <c r="R465" s="17" t="n"/>
      <c r="S465" s="17" t="n"/>
    </row>
    <row r="466">
      <c r="A466" s="15" t="n">
        <v>43959</v>
      </c>
      <c r="B466" s="10" t="n">
        <v>30</v>
      </c>
      <c r="C466" s="9" t="n">
        <v>25</v>
      </c>
      <c r="D466" s="17" t="inlineStr">
        <is>
          <t>Preston Way</t>
        </is>
      </c>
      <c r="E466" s="9">
        <f>if($A466&lt;&gt;"",E465+B466,"")</f>
        <v/>
      </c>
      <c r="F466" s="10">
        <f>if($A466&lt;&gt;"",F465+C466,"")</f>
        <v/>
      </c>
      <c r="G466" s="11">
        <f>IF($A466&lt;&gt;"",IF(F466-E466=0,"tie",IF(F466-E466&gt;0,"+"&amp;F466-E466,"+"&amp;E466-F466)),"")</f>
        <v/>
      </c>
      <c r="H466" s="12">
        <f>if($A466&lt;&gt;"",if(B466&gt;C466,if(B466&lt;60,1,2),""),"")</f>
        <v/>
      </c>
      <c r="I466" s="12">
        <f>if($A466&lt;&gt;"",if(C466&gt;B466,if(C466&lt;60,1,2),""),"")</f>
        <v/>
      </c>
      <c r="J466" s="9">
        <f>if($A466&lt;&gt;"",J465+H466,"")</f>
        <v/>
      </c>
      <c r="K466" s="9">
        <f>if($A466&lt;&gt;"",K465+I466,"")</f>
        <v/>
      </c>
      <c r="L466" s="11">
        <f>IF($A466&lt;&gt;"",IF(K466-J466=0,"tie",IF(K466-J466&gt;0,"+"&amp;K466-J466,"+"&amp;J466-K466)),"")</f>
        <v/>
      </c>
      <c r="M466" s="17" t="n"/>
      <c r="N466" s="17" t="n"/>
      <c r="O466" s="17" t="n"/>
      <c r="P466" s="17" t="n"/>
      <c r="Q466" s="17" t="n"/>
      <c r="R466" s="17" t="n"/>
      <c r="S466" s="17" t="n"/>
    </row>
    <row r="467">
      <c r="A467" s="15" t="n">
        <v>43963</v>
      </c>
      <c r="B467" s="9" t="n">
        <v>25</v>
      </c>
      <c r="C467" s="10" t="n">
        <v>30</v>
      </c>
      <c r="D467" s="17" t="inlineStr">
        <is>
          <t>Preston Way</t>
        </is>
      </c>
      <c r="E467" s="9">
        <f>if($A467&lt;&gt;"",E466+B467,"")</f>
        <v/>
      </c>
      <c r="F467" s="10">
        <f>if($A467&lt;&gt;"",F466+C467,"")</f>
        <v/>
      </c>
      <c r="G467" s="11">
        <f>IF($A467&lt;&gt;"",IF(F467-E467=0,"tie",IF(F467-E467&gt;0,"+"&amp;F467-E467,"+"&amp;E467-F467)),"")</f>
        <v/>
      </c>
      <c r="H467" s="12">
        <f>if($A467&lt;&gt;"",if(B467&gt;C467,if(B467&lt;60,1,2),""),"")</f>
        <v/>
      </c>
      <c r="I467" s="12">
        <f>if($A467&lt;&gt;"",if(C467&gt;B467,if(C467&lt;60,1,2),""),"")</f>
        <v/>
      </c>
      <c r="J467" s="9">
        <f>if($A467&lt;&gt;"",J466+H467,"")</f>
        <v/>
      </c>
      <c r="K467" s="9">
        <f>if($A467&lt;&gt;"",K466+I467,"")</f>
        <v/>
      </c>
      <c r="L467" s="11">
        <f>IF($A467&lt;&gt;"",IF(K467-J467=0,"tie",IF(K467-J467&gt;0,"+"&amp;K467-J467,"+"&amp;J467-K467)),"")</f>
        <v/>
      </c>
      <c r="M467" s="17" t="n"/>
      <c r="N467" s="17" t="n"/>
      <c r="O467" s="17" t="n"/>
      <c r="P467" s="17" t="n"/>
      <c r="Q467" s="17" t="n"/>
      <c r="R467" s="17" t="n"/>
      <c r="S467" s="17" t="n"/>
    </row>
    <row r="468">
      <c r="A468" s="15" t="n">
        <v>43963</v>
      </c>
      <c r="B468" s="9" t="n">
        <v>25</v>
      </c>
      <c r="C468" s="10" t="n">
        <v>30</v>
      </c>
      <c r="D468" s="17" t="inlineStr">
        <is>
          <t>Preston Way</t>
        </is>
      </c>
      <c r="E468" s="9">
        <f>if($A468&lt;&gt;"",E467+B468,"")</f>
        <v/>
      </c>
      <c r="F468" s="10">
        <f>if($A468&lt;&gt;"",F467+C468,"")</f>
        <v/>
      </c>
      <c r="G468" s="11">
        <f>IF($A468&lt;&gt;"",IF(F468-E468=0,"tie",IF(F468-E468&gt;0,"+"&amp;F468-E468,"+"&amp;E468-F468)),"")</f>
        <v/>
      </c>
      <c r="H468" s="12">
        <f>if($A468&lt;&gt;"",if(B468&gt;C468,if(B468&lt;60,1,2),""),"")</f>
        <v/>
      </c>
      <c r="I468" s="12">
        <f>if($A468&lt;&gt;"",if(C468&gt;B468,if(C468&lt;60,1,2),""),"")</f>
        <v/>
      </c>
      <c r="J468" s="9">
        <f>if($A468&lt;&gt;"",J467+H468,"")</f>
        <v/>
      </c>
      <c r="K468" s="9">
        <f>if($A468&lt;&gt;"",K467+I468,"")</f>
        <v/>
      </c>
      <c r="L468" s="11">
        <f>IF($A468&lt;&gt;"",IF(K468-J468=0,"tie",IF(K468-J468&gt;0,"+"&amp;K468-J468,"+"&amp;J468-K468)),"")</f>
        <v/>
      </c>
      <c r="M468" s="17" t="n"/>
      <c r="N468" s="17" t="n"/>
      <c r="O468" s="17" t="n"/>
      <c r="P468" s="17" t="n"/>
      <c r="Q468" s="17" t="n"/>
      <c r="R468" s="17" t="n"/>
      <c r="S468" s="17" t="n"/>
    </row>
    <row r="469">
      <c r="A469" s="15" t="n">
        <v>43965</v>
      </c>
      <c r="B469" s="10" t="n">
        <v>60</v>
      </c>
      <c r="C469" s="9" t="n">
        <v>50</v>
      </c>
      <c r="D469" s="17" t="inlineStr">
        <is>
          <t>Preston Way</t>
        </is>
      </c>
      <c r="E469" s="9">
        <f>if($A469&lt;&gt;"",E468+B469,"")</f>
        <v/>
      </c>
      <c r="F469" s="10">
        <f>if($A469&lt;&gt;"",F468+C469,"")</f>
        <v/>
      </c>
      <c r="G469" s="11">
        <f>IF($A469&lt;&gt;"",IF(F469-E469=0,"tie",IF(F469-E469&gt;0,"+"&amp;F469-E469,"+"&amp;E469-F469)),"")</f>
        <v/>
      </c>
      <c r="H469" s="12">
        <f>if($A469&lt;&gt;"",if(B469&gt;C469,if(B469&lt;60,1,2),""),"")</f>
        <v/>
      </c>
      <c r="I469" s="12">
        <f>if($A469&lt;&gt;"",if(C469&gt;B469,if(C469&lt;60,1,2),""),"")</f>
        <v/>
      </c>
      <c r="J469" s="9">
        <f>if($A469&lt;&gt;"",J468+H469,"")</f>
        <v/>
      </c>
      <c r="K469" s="9">
        <f>if($A469&lt;&gt;"",K468+I469,"")</f>
        <v/>
      </c>
      <c r="L469" s="11">
        <f>IF($A469&lt;&gt;"",IF(K469-J469=0,"tie",IF(K469-J469&gt;0,"+"&amp;K469-J469,"+"&amp;J469-K469)),"")</f>
        <v/>
      </c>
      <c r="M469" s="17" t="n"/>
      <c r="N469" s="17" t="n"/>
      <c r="O469" s="17" t="n"/>
      <c r="P469" s="17" t="n"/>
      <c r="Q469" s="17" t="n"/>
      <c r="R469" s="17" t="n"/>
      <c r="S469" s="17" t="n"/>
    </row>
    <row r="470">
      <c r="A470" s="15" t="n">
        <v>43971</v>
      </c>
      <c r="B470" s="10" t="n">
        <v>30</v>
      </c>
      <c r="C470" s="9" t="n">
        <v>25</v>
      </c>
      <c r="D470" s="17" t="inlineStr">
        <is>
          <t>Preston Way</t>
        </is>
      </c>
      <c r="E470" s="9">
        <f>if($A470&lt;&gt;"",E469+B470,"")</f>
        <v/>
      </c>
      <c r="F470" s="10">
        <f>if($A470&lt;&gt;"",F469+C470,"")</f>
        <v/>
      </c>
      <c r="G470" s="11">
        <f>IF($A470&lt;&gt;"",IF(F470-E470=0,"tie",IF(F470-E470&gt;0,"+"&amp;F470-E470,"+"&amp;E470-F470)),"")</f>
        <v/>
      </c>
      <c r="H470" s="12">
        <f>if($A470&lt;&gt;"",if(B470&gt;C470,if(B470&lt;60,1,2),""),"")</f>
        <v/>
      </c>
      <c r="I470" s="12">
        <f>if($A470&lt;&gt;"",if(C470&gt;B470,if(C470&lt;60,1,2),""),"")</f>
        <v/>
      </c>
      <c r="J470" s="9">
        <f>if($A470&lt;&gt;"",J469+H470,"")</f>
        <v/>
      </c>
      <c r="K470" s="9">
        <f>if($A470&lt;&gt;"",K469+I470,"")</f>
        <v/>
      </c>
      <c r="L470" s="11">
        <f>IF($A470&lt;&gt;"",IF(K470-J470=0,"tie",IF(K470-J470&gt;0,"+"&amp;K470-J470,"+"&amp;J470-K470)),"")</f>
        <v/>
      </c>
      <c r="M470" s="17" t="n"/>
      <c r="N470" s="17" t="n"/>
      <c r="O470" s="17" t="n"/>
      <c r="P470" s="17" t="n"/>
      <c r="Q470" s="17" t="n"/>
      <c r="R470" s="17" t="n"/>
      <c r="S470" s="17" t="n"/>
    </row>
    <row r="471">
      <c r="A471" s="15" t="n">
        <v>43972</v>
      </c>
      <c r="B471" s="9" t="n">
        <v>25</v>
      </c>
      <c r="C471" s="10" t="n">
        <v>30</v>
      </c>
      <c r="D471" s="17" t="inlineStr">
        <is>
          <t>Preston Way</t>
        </is>
      </c>
      <c r="E471" s="9">
        <f>if($A471&lt;&gt;"",E470+B471,"")</f>
        <v/>
      </c>
      <c r="F471" s="10">
        <f>if($A471&lt;&gt;"",F470+C471,"")</f>
        <v/>
      </c>
      <c r="G471" s="11">
        <f>IF($A471&lt;&gt;"",IF(F471-E471=0,"tie",IF(F471-E471&gt;0,"+"&amp;F471-E471,"+"&amp;E471-F471)),"")</f>
        <v/>
      </c>
      <c r="H471" s="12">
        <f>if($A471&lt;&gt;"",if(B471&gt;C471,if(B471&lt;60,1,2),""),"")</f>
        <v/>
      </c>
      <c r="I471" s="12">
        <f>if($A471&lt;&gt;"",if(C471&gt;B471,if(C471&lt;60,1,2),""),"")</f>
        <v/>
      </c>
      <c r="J471" s="9">
        <f>if($A471&lt;&gt;"",J470+H471,"")</f>
        <v/>
      </c>
      <c r="K471" s="9">
        <f>if($A471&lt;&gt;"",K470+I471,"")</f>
        <v/>
      </c>
      <c r="L471" s="11">
        <f>IF($A471&lt;&gt;"",IF(K471-J471=0,"tie",IF(K471-J471&gt;0,"+"&amp;K471-J471,"+"&amp;J471-K471)),"")</f>
        <v/>
      </c>
      <c r="M471" s="17" t="n"/>
      <c r="N471" s="17" t="n"/>
      <c r="O471" s="17" t="n"/>
      <c r="P471" s="17" t="n"/>
      <c r="Q471" s="17" t="n"/>
      <c r="R471" s="17" t="n"/>
      <c r="S471" s="17" t="n"/>
    </row>
    <row r="472">
      <c r="A472" s="15" t="n">
        <v>43974</v>
      </c>
      <c r="B472" s="10" t="n">
        <v>30</v>
      </c>
      <c r="C472" s="9" t="n">
        <v>25</v>
      </c>
      <c r="D472" s="17" t="inlineStr">
        <is>
          <t>Preston Way</t>
        </is>
      </c>
      <c r="E472" s="9">
        <f>if($A472&lt;&gt;"",E471+B472,"")</f>
        <v/>
      </c>
      <c r="F472" s="10">
        <f>if($A472&lt;&gt;"",F471+C472,"")</f>
        <v/>
      </c>
      <c r="G472" s="11">
        <f>IF($A472&lt;&gt;"",IF(F472-E472=0,"tie",IF(F472-E472&gt;0,"+"&amp;F472-E472,"+"&amp;E472-F472)),"")</f>
        <v/>
      </c>
      <c r="H472" s="12">
        <f>if($A472&lt;&gt;"",if(B472&gt;C472,if(B472&lt;60,1,2),""),"")</f>
        <v/>
      </c>
      <c r="I472" s="12">
        <f>if($A472&lt;&gt;"",if(C472&gt;B472,if(C472&lt;60,1,2),""),"")</f>
        <v/>
      </c>
      <c r="J472" s="9">
        <f>if($A472&lt;&gt;"",J471+H472,"")</f>
        <v/>
      </c>
      <c r="K472" s="9">
        <f>if($A472&lt;&gt;"",K471+I472,"")</f>
        <v/>
      </c>
      <c r="L472" s="11">
        <f>IF($A472&lt;&gt;"",IF(K472-J472=0,"tie",IF(K472-J472&gt;0,"+"&amp;K472-J472,"+"&amp;J472-K472)),"")</f>
        <v/>
      </c>
      <c r="M472" s="17" t="n"/>
      <c r="N472" s="17" t="n"/>
      <c r="O472" s="17" t="n"/>
      <c r="P472" s="17" t="n"/>
      <c r="Q472" s="17" t="n"/>
      <c r="R472" s="17" t="n"/>
      <c r="S472" s="17" t="n"/>
    </row>
    <row r="473">
      <c r="A473" s="15" t="n">
        <v>43975</v>
      </c>
      <c r="B473" s="9" t="n">
        <v>25</v>
      </c>
      <c r="C473" s="10" t="n">
        <v>30</v>
      </c>
      <c r="D473" s="17" t="inlineStr">
        <is>
          <t>Preston Way</t>
        </is>
      </c>
      <c r="E473" s="9">
        <f>if($A473&lt;&gt;"",E472+B473,"")</f>
        <v/>
      </c>
      <c r="F473" s="10">
        <f>if($A473&lt;&gt;"",F472+C473,"")</f>
        <v/>
      </c>
      <c r="G473" s="11">
        <f>IF($A473&lt;&gt;"",IF(F473-E473=0,"tie",IF(F473-E473&gt;0,"+"&amp;F473-E473,"+"&amp;E473-F473)),"")</f>
        <v/>
      </c>
      <c r="H473" s="12">
        <f>if($A473&lt;&gt;"",if(B473&gt;C473,if(B473&lt;60,1,2),""),"")</f>
        <v/>
      </c>
      <c r="I473" s="12">
        <f>if($A473&lt;&gt;"",if(C473&gt;B473,if(C473&lt;60,1,2),""),"")</f>
        <v/>
      </c>
      <c r="J473" s="9">
        <f>if($A473&lt;&gt;"",J472+H473,"")</f>
        <v/>
      </c>
      <c r="K473" s="9">
        <f>if($A473&lt;&gt;"",K472+I473,"")</f>
        <v/>
      </c>
      <c r="L473" s="11">
        <f>IF($A473&lt;&gt;"",IF(K473-J473=0,"tie",IF(K473-J473&gt;0,"+"&amp;K473-J473,"+"&amp;J473-K473)),"")</f>
        <v/>
      </c>
      <c r="M473" s="17" t="n"/>
      <c r="N473" s="17" t="n"/>
      <c r="O473" s="17" t="n"/>
      <c r="P473" s="17" t="n"/>
      <c r="Q473" s="17" t="n"/>
      <c r="R473" s="17" t="n"/>
      <c r="S473" s="17" t="n"/>
    </row>
    <row r="474">
      <c r="A474" s="15" t="n">
        <v>43976</v>
      </c>
      <c r="B474" s="10" t="n">
        <v>30</v>
      </c>
      <c r="C474" s="9" t="n">
        <v>25</v>
      </c>
      <c r="D474" s="17" t="inlineStr">
        <is>
          <t>Preston Way</t>
        </is>
      </c>
      <c r="E474" s="9">
        <f>if($A474&lt;&gt;"",E473+B474,"")</f>
        <v/>
      </c>
      <c r="F474" s="10">
        <f>if($A474&lt;&gt;"",F473+C474,"")</f>
        <v/>
      </c>
      <c r="G474" s="11">
        <f>IF($A474&lt;&gt;"",IF(F474-E474=0,"tie",IF(F474-E474&gt;0,"+"&amp;F474-E474,"+"&amp;E474-F474)),"")</f>
        <v/>
      </c>
      <c r="H474" s="12">
        <f>if($A474&lt;&gt;"",if(B474&gt;C474,if(B474&lt;60,1,2),""),"")</f>
        <v/>
      </c>
      <c r="I474" s="12">
        <f>if($A474&lt;&gt;"",if(C474&gt;B474,if(C474&lt;60,1,2),""),"")</f>
        <v/>
      </c>
      <c r="J474" s="9">
        <f>if($A474&lt;&gt;"",J473+H474,"")</f>
        <v/>
      </c>
      <c r="K474" s="9">
        <f>if($A474&lt;&gt;"",K473+I474,"")</f>
        <v/>
      </c>
      <c r="L474" s="11">
        <f>IF($A474&lt;&gt;"",IF(K474-J474=0,"tie",IF(K474-J474&gt;0,"+"&amp;K474-J474,"+"&amp;J474-K474)),"")</f>
        <v/>
      </c>
      <c r="M474" s="17" t="n"/>
      <c r="N474" s="17" t="n"/>
      <c r="O474" s="17" t="n"/>
      <c r="P474" s="17" t="n"/>
      <c r="Q474" s="17" t="n"/>
      <c r="R474" s="17" t="n"/>
      <c r="S474" s="17" t="n"/>
    </row>
    <row r="475">
      <c r="A475" s="15" t="n">
        <v>43977</v>
      </c>
      <c r="B475" s="9" t="n">
        <v>25</v>
      </c>
      <c r="C475" s="10" t="n">
        <v>30</v>
      </c>
      <c r="D475" s="17" t="inlineStr">
        <is>
          <t>Preston Way</t>
        </is>
      </c>
      <c r="E475" s="9">
        <f>if($A475&lt;&gt;"",E474+B475,"")</f>
        <v/>
      </c>
      <c r="F475" s="10">
        <f>if($A475&lt;&gt;"",F474+C475,"")</f>
        <v/>
      </c>
      <c r="G475" s="11">
        <f>IF($A475&lt;&gt;"",IF(F475-E475=0,"tie",IF(F475-E475&gt;0,"+"&amp;F475-E475,"+"&amp;E475-F475)),"")</f>
        <v/>
      </c>
      <c r="H475" s="12">
        <f>if($A475&lt;&gt;"",if(B475&gt;C475,if(B475&lt;60,1,2),""),"")</f>
        <v/>
      </c>
      <c r="I475" s="12">
        <f>if($A475&lt;&gt;"",if(C475&gt;B475,if(C475&lt;60,1,2),""),"")</f>
        <v/>
      </c>
      <c r="J475" s="9">
        <f>if($A475&lt;&gt;"",J474+H475,"")</f>
        <v/>
      </c>
      <c r="K475" s="9">
        <f>if($A475&lt;&gt;"",K474+I475,"")</f>
        <v/>
      </c>
      <c r="L475" s="11">
        <f>IF($A475&lt;&gt;"",IF(K475-J475=0,"tie",IF(K475-J475&gt;0,"+"&amp;K475-J475,"+"&amp;J475-K475)),"")</f>
        <v/>
      </c>
      <c r="M475" s="17" t="n"/>
      <c r="N475" s="17" t="n"/>
      <c r="O475" s="17" t="n"/>
      <c r="P475" s="17" t="n"/>
      <c r="Q475" s="17" t="n"/>
      <c r="R475" s="17" t="n"/>
      <c r="S475" s="17" t="n"/>
    </row>
    <row r="476">
      <c r="A476" s="15" t="n">
        <v>43978</v>
      </c>
      <c r="B476" s="9" t="n">
        <v>50</v>
      </c>
      <c r="C476" s="10" t="n">
        <v>60</v>
      </c>
      <c r="D476" s="17" t="inlineStr">
        <is>
          <t>Preston Way</t>
        </is>
      </c>
      <c r="E476" s="9">
        <f>if($A476&lt;&gt;"",E475+B476,"")</f>
        <v/>
      </c>
      <c r="F476" s="10">
        <f>if($A476&lt;&gt;"",F475+C476,"")</f>
        <v/>
      </c>
      <c r="G476" s="11">
        <f>IF($A476&lt;&gt;"",IF(F476-E476=0,"tie",IF(F476-E476&gt;0,"+"&amp;F476-E476,"+"&amp;E476-F476)),"")</f>
        <v/>
      </c>
      <c r="H476" s="12">
        <f>if($A476&lt;&gt;"",if(B476&gt;C476,if(B476&lt;60,1,2),""),"")</f>
        <v/>
      </c>
      <c r="I476" s="12">
        <f>if($A476&lt;&gt;"",if(C476&gt;B476,if(C476&lt;60,1,2),""),"")</f>
        <v/>
      </c>
      <c r="J476" s="9">
        <f>if($A476&lt;&gt;"",J475+H476,"")</f>
        <v/>
      </c>
      <c r="K476" s="9">
        <f>if($A476&lt;&gt;"",K475+I476,"")</f>
        <v/>
      </c>
      <c r="L476" s="11">
        <f>IF($A476&lt;&gt;"",IF(K476-J476=0,"tie",IF(K476-J476&gt;0,"+"&amp;K476-J476,"+"&amp;J476-K476)),"")</f>
        <v/>
      </c>
      <c r="M476" s="17" t="n"/>
      <c r="N476" s="17" t="n"/>
      <c r="O476" s="17" t="n"/>
      <c r="P476" s="17" t="n"/>
      <c r="Q476" s="17" t="n"/>
      <c r="R476" s="17" t="n"/>
      <c r="S476" s="17" t="n"/>
    </row>
    <row r="477">
      <c r="A477" s="15" t="n">
        <v>43980</v>
      </c>
      <c r="B477" s="10" t="n">
        <v>30</v>
      </c>
      <c r="C477" s="9" t="n">
        <v>25</v>
      </c>
      <c r="D477" s="17" t="inlineStr">
        <is>
          <t>Preston Way</t>
        </is>
      </c>
      <c r="E477" s="9">
        <f>if($A477&lt;&gt;"",E476+B477,"")</f>
        <v/>
      </c>
      <c r="F477" s="10">
        <f>if($A477&lt;&gt;"",F476+C477,"")</f>
        <v/>
      </c>
      <c r="G477" s="11">
        <f>IF($A477&lt;&gt;"",IF(F477-E477=0,"tie",IF(F477-E477&gt;0,"+"&amp;F477-E477,"+"&amp;E477-F477)),"")</f>
        <v/>
      </c>
      <c r="H477" s="12">
        <f>if($A477&lt;&gt;"",if(B477&gt;C477,if(B477&lt;60,1,2),""),"")</f>
        <v/>
      </c>
      <c r="I477" s="12">
        <f>if($A477&lt;&gt;"",if(C477&gt;B477,if(C477&lt;60,1,2),""),"")</f>
        <v/>
      </c>
      <c r="J477" s="9">
        <f>if($A477&lt;&gt;"",J476+H477,"")</f>
        <v/>
      </c>
      <c r="K477" s="9">
        <f>if($A477&lt;&gt;"",K476+I477,"")</f>
        <v/>
      </c>
      <c r="L477" s="11">
        <f>IF($A477&lt;&gt;"",IF(K477-J477=0,"tie",IF(K477-J477&gt;0,"+"&amp;K477-J477,"+"&amp;J477-K477)),"")</f>
        <v/>
      </c>
      <c r="M477" s="17" t="n"/>
      <c r="N477" s="17" t="n"/>
      <c r="O477" s="17" t="n"/>
      <c r="P477" s="17" t="n"/>
      <c r="Q477" s="17" t="n"/>
      <c r="R477" s="17" t="n"/>
      <c r="S477" s="17" t="n"/>
    </row>
    <row r="478">
      <c r="A478" s="15" t="n">
        <v>43980</v>
      </c>
      <c r="B478" s="9" t="n">
        <v>50</v>
      </c>
      <c r="C478" s="10" t="n">
        <v>60</v>
      </c>
      <c r="D478" s="17" t="inlineStr">
        <is>
          <t>Preston Way</t>
        </is>
      </c>
      <c r="E478" s="9">
        <f>if($A478&lt;&gt;"",E477+B478,"")</f>
        <v/>
      </c>
      <c r="F478" s="10">
        <f>if($A478&lt;&gt;"",F477+C478,"")</f>
        <v/>
      </c>
      <c r="G478" s="11">
        <f>IF($A478&lt;&gt;"",IF(F478-E478=0,"tie",IF(F478-E478&gt;0,"+"&amp;F478-E478,"+"&amp;E478-F478)),"")</f>
        <v/>
      </c>
      <c r="H478" s="12">
        <f>if($A478&lt;&gt;"",if(B478&gt;C478,if(B478&lt;60,1,2),""),"")</f>
        <v/>
      </c>
      <c r="I478" s="12">
        <f>if($A478&lt;&gt;"",if(C478&gt;B478,if(C478&lt;60,1,2),""),"")</f>
        <v/>
      </c>
      <c r="J478" s="9">
        <f>if($A478&lt;&gt;"",J477+H478,"")</f>
        <v/>
      </c>
      <c r="K478" s="9">
        <f>if($A478&lt;&gt;"",K477+I478,"")</f>
        <v/>
      </c>
      <c r="L478" s="11">
        <f>IF($A478&lt;&gt;"",IF(K478-J478=0,"tie",IF(K478-J478&gt;0,"+"&amp;K478-J478,"+"&amp;J478-K478)),"")</f>
        <v/>
      </c>
      <c r="M478" s="17" t="n"/>
      <c r="N478" s="17" t="n"/>
      <c r="O478" s="17" t="n"/>
      <c r="P478" s="17" t="n"/>
      <c r="Q478" s="17" t="n"/>
      <c r="R478" s="17" t="n"/>
      <c r="S478" s="17" t="n"/>
    </row>
    <row r="479">
      <c r="A479" s="15" t="n">
        <v>43981</v>
      </c>
      <c r="B479" s="9" t="n">
        <v>25</v>
      </c>
      <c r="C479" s="10" t="n">
        <v>30</v>
      </c>
      <c r="D479" s="17" t="inlineStr">
        <is>
          <t>Preston Way</t>
        </is>
      </c>
      <c r="E479" s="9">
        <f>if($A479&lt;&gt;"",E478+B479,"")</f>
        <v/>
      </c>
      <c r="F479" s="10">
        <f>if($A479&lt;&gt;"",F478+C479,"")</f>
        <v/>
      </c>
      <c r="G479" s="11">
        <f>IF($A479&lt;&gt;"",IF(F479-E479=0,"tie",IF(F479-E479&gt;0,"+"&amp;F479-E479,"+"&amp;E479-F479)),"")</f>
        <v/>
      </c>
      <c r="H479" s="12">
        <f>if($A479&lt;&gt;"",if(B479&gt;C479,if(B479&lt;60,1,2),""),"")</f>
        <v/>
      </c>
      <c r="I479" s="12">
        <f>if($A479&lt;&gt;"",if(C479&gt;B479,if(C479&lt;60,1,2),""),"")</f>
        <v/>
      </c>
      <c r="J479" s="9">
        <f>if($A479&lt;&gt;"",J478+H479,"")</f>
        <v/>
      </c>
      <c r="K479" s="9">
        <f>if($A479&lt;&gt;"",K478+I479,"")</f>
        <v/>
      </c>
      <c r="L479" s="11">
        <f>IF($A479&lt;&gt;"",IF(K479-J479=0,"tie",IF(K479-J479&gt;0,"+"&amp;K479-J479,"+"&amp;J479-K479)),"")</f>
        <v/>
      </c>
      <c r="M479" s="17" t="n"/>
      <c r="N479" s="17" t="n"/>
      <c r="O479" s="17" t="n"/>
      <c r="P479" s="17" t="n"/>
      <c r="Q479" s="17" t="n"/>
      <c r="R479" s="17" t="n"/>
      <c r="S479" s="17" t="n"/>
    </row>
    <row r="480">
      <c r="A480" s="15" t="n">
        <v>43984</v>
      </c>
      <c r="B480" s="10" t="n">
        <v>30</v>
      </c>
      <c r="C480" s="9" t="n">
        <v>25</v>
      </c>
      <c r="D480" s="17" t="inlineStr">
        <is>
          <t>Preston Way</t>
        </is>
      </c>
      <c r="E480" s="9">
        <f>if($A480&lt;&gt;"",E479+B480,"")</f>
        <v/>
      </c>
      <c r="F480" s="10">
        <f>if($A480&lt;&gt;"",F479+C480,"")</f>
        <v/>
      </c>
      <c r="G480" s="11">
        <f>IF($A480&lt;&gt;"",IF(F480-E480=0,"tie",IF(F480-E480&gt;0,"+"&amp;F480-E480,"+"&amp;E480-F480)),"")</f>
        <v/>
      </c>
      <c r="H480" s="12">
        <f>if($A480&lt;&gt;"",if(B480&gt;C480,if(B480&lt;60,1,2),""),"")</f>
        <v/>
      </c>
      <c r="I480" s="12">
        <f>if($A480&lt;&gt;"",if(C480&gt;B480,if(C480&lt;60,1,2),""),"")</f>
        <v/>
      </c>
      <c r="J480" s="9">
        <f>if($A480&lt;&gt;"",J479+H480,"")</f>
        <v/>
      </c>
      <c r="K480" s="9">
        <f>if($A480&lt;&gt;"",K479+I480,"")</f>
        <v/>
      </c>
      <c r="L480" s="11">
        <f>IF($A480&lt;&gt;"",IF(K480-J480=0,"tie",IF(K480-J480&gt;0,"+"&amp;K480-J480,"+"&amp;J480-K480)),"")</f>
        <v/>
      </c>
      <c r="M480" s="17" t="n"/>
      <c r="N480" s="17" t="n"/>
      <c r="O480" s="17" t="n"/>
      <c r="P480" s="17" t="n"/>
      <c r="Q480" s="17" t="n"/>
      <c r="R480" s="17" t="n"/>
      <c r="S480" s="17" t="n"/>
    </row>
    <row r="481">
      <c r="A481" s="15" t="n">
        <v>43984</v>
      </c>
      <c r="B481" s="9" t="n">
        <v>25</v>
      </c>
      <c r="C481" s="10" t="n">
        <v>30</v>
      </c>
      <c r="D481" s="17" t="inlineStr">
        <is>
          <t>Preston Way</t>
        </is>
      </c>
      <c r="E481" s="9">
        <f>if($A481&lt;&gt;"",E480+B481,"")</f>
        <v/>
      </c>
      <c r="F481" s="10">
        <f>if($A481&lt;&gt;"",F480+C481,"")</f>
        <v/>
      </c>
      <c r="G481" s="11">
        <f>IF($A481&lt;&gt;"",IF(F481-E481=0,"tie",IF(F481-E481&gt;0,"+"&amp;F481-E481,"+"&amp;E481-F481)),"")</f>
        <v/>
      </c>
      <c r="H481" s="12">
        <f>if($A481&lt;&gt;"",if(B481&gt;C481,if(B481&lt;60,1,2),""),"")</f>
        <v/>
      </c>
      <c r="I481" s="12">
        <f>if($A481&lt;&gt;"",if(C481&gt;B481,if(C481&lt;60,1,2),""),"")</f>
        <v/>
      </c>
      <c r="J481" s="9">
        <f>if($A481&lt;&gt;"",J480+H481,"")</f>
        <v/>
      </c>
      <c r="K481" s="9">
        <f>if($A481&lt;&gt;"",K480+I481,"")</f>
        <v/>
      </c>
      <c r="L481" s="11">
        <f>IF($A481&lt;&gt;"",IF(K481-J481=0,"tie",IF(K481-J481&gt;0,"+"&amp;K481-J481,"+"&amp;J481-K481)),"")</f>
        <v/>
      </c>
      <c r="M481" s="17" t="n"/>
      <c r="N481" s="17" t="n"/>
      <c r="O481" s="17" t="n"/>
      <c r="P481" s="17" t="n"/>
      <c r="Q481" s="17" t="n"/>
      <c r="R481" s="17" t="n"/>
      <c r="S481" s="17" t="n"/>
    </row>
    <row r="482">
      <c r="A482" s="15" t="n">
        <v>43985</v>
      </c>
      <c r="B482" s="9" t="n">
        <v>25</v>
      </c>
      <c r="C482" s="10" t="n">
        <v>30</v>
      </c>
      <c r="D482" s="17" t="inlineStr">
        <is>
          <t>Preston Way</t>
        </is>
      </c>
      <c r="E482" s="9">
        <f>if($A482&lt;&gt;"",E481+B482,"")</f>
        <v/>
      </c>
      <c r="F482" s="10">
        <f>if($A482&lt;&gt;"",F481+C482,"")</f>
        <v/>
      </c>
      <c r="G482" s="11">
        <f>IF($A482&lt;&gt;"",IF(F482-E482=0,"tie",IF(F482-E482&gt;0,"+"&amp;F482-E482,"+"&amp;E482-F482)),"")</f>
        <v/>
      </c>
      <c r="H482" s="12">
        <f>if($A482&lt;&gt;"",if(B482&gt;C482,if(B482&lt;60,1,2),""),"")</f>
        <v/>
      </c>
      <c r="I482" s="12">
        <f>if($A482&lt;&gt;"",if(C482&gt;B482,if(C482&lt;60,1,2),""),"")</f>
        <v/>
      </c>
      <c r="J482" s="9">
        <f>if($A482&lt;&gt;"",J481+H482,"")</f>
        <v/>
      </c>
      <c r="K482" s="9">
        <f>if($A482&lt;&gt;"",K481+I482,"")</f>
        <v/>
      </c>
      <c r="L482" s="11">
        <f>IF($A482&lt;&gt;"",IF(K482-J482=0,"tie",IF(K482-J482&gt;0,"+"&amp;K482-J482,"+"&amp;J482-K482)),"")</f>
        <v/>
      </c>
      <c r="M482" s="17" t="n"/>
      <c r="N482" s="17" t="n"/>
      <c r="O482" s="17" t="n"/>
      <c r="P482" s="17" t="n"/>
      <c r="Q482" s="17" t="n"/>
      <c r="R482" s="17" t="n"/>
      <c r="S482" s="17" t="n"/>
    </row>
    <row r="483">
      <c r="A483" s="15" t="n">
        <v>43986</v>
      </c>
      <c r="B483" s="10" t="n">
        <v>30</v>
      </c>
      <c r="C483" s="9" t="n">
        <v>25</v>
      </c>
      <c r="D483" s="17" t="inlineStr">
        <is>
          <t>Preston Way</t>
        </is>
      </c>
      <c r="E483" s="9">
        <f>if($A483&lt;&gt;"",E482+B483,"")</f>
        <v/>
      </c>
      <c r="F483" s="10">
        <f>if($A483&lt;&gt;"",F482+C483,"")</f>
        <v/>
      </c>
      <c r="G483" s="11">
        <f>IF($A483&lt;&gt;"",IF(F483-E483=0,"tie",IF(F483-E483&gt;0,"+"&amp;F483-E483,"+"&amp;E483-F483)),"")</f>
        <v/>
      </c>
      <c r="H483" s="12">
        <f>if($A483&lt;&gt;"",if(B483&gt;C483,if(B483&lt;60,1,2),""),"")</f>
        <v/>
      </c>
      <c r="I483" s="12">
        <f>if($A483&lt;&gt;"",if(C483&gt;B483,if(C483&lt;60,1,2),""),"")</f>
        <v/>
      </c>
      <c r="J483" s="9">
        <f>if($A483&lt;&gt;"",J482+H483,"")</f>
        <v/>
      </c>
      <c r="K483" s="9">
        <f>if($A483&lt;&gt;"",K482+I483,"")</f>
        <v/>
      </c>
      <c r="L483" s="11">
        <f>IF($A483&lt;&gt;"",IF(K483-J483=0,"tie",IF(K483-J483&gt;0,"+"&amp;K483-J483,"+"&amp;J483-K483)),"")</f>
        <v/>
      </c>
      <c r="M483" s="17" t="n"/>
      <c r="N483" s="17" t="n"/>
      <c r="O483" s="17" t="n"/>
      <c r="P483" s="17" t="n"/>
      <c r="Q483" s="17" t="n"/>
      <c r="R483" s="17" t="n"/>
      <c r="S483" s="17" t="n"/>
    </row>
    <row r="484">
      <c r="A484" s="15" t="n">
        <v>43986</v>
      </c>
      <c r="B484" s="9" t="n">
        <v>25</v>
      </c>
      <c r="C484" s="10" t="n">
        <v>30</v>
      </c>
      <c r="D484" s="17" t="inlineStr">
        <is>
          <t>Preston Way</t>
        </is>
      </c>
      <c r="E484" s="9">
        <f>if($A484&lt;&gt;"",E483+B484,"")</f>
        <v/>
      </c>
      <c r="F484" s="10">
        <f>if($A484&lt;&gt;"",F483+C484,"")</f>
        <v/>
      </c>
      <c r="G484" s="11">
        <f>IF($A484&lt;&gt;"",IF(F484-E484=0,"tie",IF(F484-E484&gt;0,"+"&amp;F484-E484,"+"&amp;E484-F484)),"")</f>
        <v/>
      </c>
      <c r="H484" s="12">
        <f>if($A484&lt;&gt;"",if(B484&gt;C484,if(B484&lt;60,1,2),""),"")</f>
        <v/>
      </c>
      <c r="I484" s="12">
        <f>if($A484&lt;&gt;"",if(C484&gt;B484,if(C484&lt;60,1,2),""),"")</f>
        <v/>
      </c>
      <c r="J484" s="9">
        <f>if($A484&lt;&gt;"",J483+H484,"")</f>
        <v/>
      </c>
      <c r="K484" s="9">
        <f>if($A484&lt;&gt;"",K483+I484,"")</f>
        <v/>
      </c>
      <c r="L484" s="11">
        <f>IF($A484&lt;&gt;"",IF(K484-J484=0,"tie",IF(K484-J484&gt;0,"+"&amp;K484-J484,"+"&amp;J484-K484)),"")</f>
        <v/>
      </c>
      <c r="M484" s="17" t="n"/>
      <c r="N484" s="17" t="n"/>
      <c r="O484" s="17" t="n"/>
      <c r="P484" s="17" t="n"/>
      <c r="Q484" s="17" t="n"/>
      <c r="R484" s="17" t="n"/>
      <c r="S484" s="17" t="n"/>
    </row>
    <row r="485">
      <c r="A485" s="15" t="n">
        <v>43987</v>
      </c>
      <c r="B485" s="10" t="n">
        <v>30</v>
      </c>
      <c r="C485" s="9" t="n">
        <v>25</v>
      </c>
      <c r="D485" s="17" t="inlineStr">
        <is>
          <t>Preston Way</t>
        </is>
      </c>
      <c r="E485" s="9">
        <f>if($A485&lt;&gt;"",E484+B485,"")</f>
        <v/>
      </c>
      <c r="F485" s="10">
        <f>if($A485&lt;&gt;"",F484+C485,"")</f>
        <v/>
      </c>
      <c r="G485" s="11">
        <f>IF($A485&lt;&gt;"",IF(F485-E485=0,"tie",IF(F485-E485&gt;0,"+"&amp;F485-E485,"+"&amp;E485-F485)),"")</f>
        <v/>
      </c>
      <c r="H485" s="12">
        <f>if($A485&lt;&gt;"",if(B485&gt;C485,if(B485&lt;60,1,2),""),"")</f>
        <v/>
      </c>
      <c r="I485" s="12">
        <f>if($A485&lt;&gt;"",if(C485&gt;B485,if(C485&lt;60,1,2),""),"")</f>
        <v/>
      </c>
      <c r="J485" s="9">
        <f>if($A485&lt;&gt;"",J484+H485,"")</f>
        <v/>
      </c>
      <c r="K485" s="9">
        <f>if($A485&lt;&gt;"",K484+I485,"")</f>
        <v/>
      </c>
      <c r="L485" s="11">
        <f>IF($A485&lt;&gt;"",IF(K485-J485=0,"tie",IF(K485-J485&gt;0,"+"&amp;K485-J485,"+"&amp;J485-K485)),"")</f>
        <v/>
      </c>
      <c r="M485" s="17" t="n"/>
      <c r="N485" s="17" t="n"/>
      <c r="O485" s="17" t="n"/>
      <c r="P485" s="17" t="n"/>
      <c r="Q485" s="17" t="n"/>
      <c r="R485" s="17" t="n"/>
      <c r="S485" s="17" t="n"/>
    </row>
    <row r="486">
      <c r="A486" s="15" t="n">
        <v>43988</v>
      </c>
      <c r="B486" s="9" t="n">
        <v>25</v>
      </c>
      <c r="C486" s="10" t="n">
        <v>30</v>
      </c>
      <c r="D486" s="17" t="inlineStr">
        <is>
          <t>Preston Way</t>
        </is>
      </c>
      <c r="E486" s="9">
        <f>if($A486&lt;&gt;"",E485+B486,"")</f>
        <v/>
      </c>
      <c r="F486" s="10">
        <f>if($A486&lt;&gt;"",F485+C486,"")</f>
        <v/>
      </c>
      <c r="G486" s="11">
        <f>IF($A486&lt;&gt;"",IF(F486-E486=0,"tie",IF(F486-E486&gt;0,"+"&amp;F486-E486,"+"&amp;E486-F486)),"")</f>
        <v/>
      </c>
      <c r="H486" s="12">
        <f>if($A486&lt;&gt;"",if(B486&gt;C486,if(B486&lt;60,1,2),""),"")</f>
        <v/>
      </c>
      <c r="I486" s="12">
        <f>if($A486&lt;&gt;"",if(C486&gt;B486,if(C486&lt;60,1,2),""),"")</f>
        <v/>
      </c>
      <c r="J486" s="9">
        <f>if($A486&lt;&gt;"",J485+H486,"")</f>
        <v/>
      </c>
      <c r="K486" s="9">
        <f>if($A486&lt;&gt;"",K485+I486,"")</f>
        <v/>
      </c>
      <c r="L486" s="11">
        <f>IF($A486&lt;&gt;"",IF(K486-J486=0,"tie",IF(K486-J486&gt;0,"+"&amp;K486-J486,"+"&amp;J486-K486)),"")</f>
        <v/>
      </c>
      <c r="M486" s="17" t="n"/>
      <c r="N486" s="17" t="n"/>
      <c r="O486" s="17" t="n"/>
      <c r="P486" s="17" t="n"/>
      <c r="Q486" s="17" t="n"/>
      <c r="R486" s="17" t="n"/>
      <c r="S486" s="17" t="n"/>
    </row>
    <row r="487">
      <c r="A487" s="15" t="n">
        <v>43990</v>
      </c>
      <c r="B487" s="10" t="n">
        <v>30</v>
      </c>
      <c r="C487" s="9" t="n">
        <v>25</v>
      </c>
      <c r="D487" s="17" t="inlineStr">
        <is>
          <t>Preston Way</t>
        </is>
      </c>
      <c r="E487" s="9">
        <f>if($A487&lt;&gt;"",E486+B487,"")</f>
        <v/>
      </c>
      <c r="F487" s="10">
        <f>if($A487&lt;&gt;"",F486+C487,"")</f>
        <v/>
      </c>
      <c r="G487" s="11">
        <f>IF($A487&lt;&gt;"",IF(F487-E487=0,"tie",IF(F487-E487&gt;0,"+"&amp;F487-E487,"+"&amp;E487-F487)),"")</f>
        <v/>
      </c>
      <c r="H487" s="12">
        <f>if($A487&lt;&gt;"",if(B487&gt;C487,if(B487&lt;60,1,2),""),"")</f>
        <v/>
      </c>
      <c r="I487" s="12">
        <f>if($A487&lt;&gt;"",if(C487&gt;B487,if(C487&lt;60,1,2),""),"")</f>
        <v/>
      </c>
      <c r="J487" s="9">
        <f>if($A487&lt;&gt;"",J486+H487,"")</f>
        <v/>
      </c>
      <c r="K487" s="9">
        <f>if($A487&lt;&gt;"",K486+I487,"")</f>
        <v/>
      </c>
      <c r="L487" s="11">
        <f>IF($A487&lt;&gt;"",IF(K487-J487=0,"tie",IF(K487-J487&gt;0,"+"&amp;K487-J487,"+"&amp;J487-K487)),"")</f>
        <v/>
      </c>
      <c r="M487" s="17" t="n"/>
      <c r="N487" s="17" t="n"/>
      <c r="O487" s="17" t="n"/>
      <c r="P487" s="17" t="n"/>
      <c r="Q487" s="17" t="n"/>
      <c r="R487" s="17" t="n"/>
      <c r="S487" s="17" t="n"/>
    </row>
    <row r="488">
      <c r="A488" s="15" t="n">
        <v>43991</v>
      </c>
      <c r="B488" s="9" t="n">
        <v>25</v>
      </c>
      <c r="C488" s="10" t="n">
        <v>30</v>
      </c>
      <c r="D488" s="17" t="inlineStr">
        <is>
          <t>Preston Way</t>
        </is>
      </c>
      <c r="E488" s="9">
        <f>if($A488&lt;&gt;"",E487+B488,"")</f>
        <v/>
      </c>
      <c r="F488" s="10">
        <f>if($A488&lt;&gt;"",F487+C488,"")</f>
        <v/>
      </c>
      <c r="G488" s="11">
        <f>IF($A488&lt;&gt;"",IF(F488-E488=0,"tie",IF(F488-E488&gt;0,"+"&amp;F488-E488,"+"&amp;E488-F488)),"")</f>
        <v/>
      </c>
      <c r="H488" s="12">
        <f>if($A488&lt;&gt;"",if(B488&gt;C488,if(B488&lt;60,1,2),""),"")</f>
        <v/>
      </c>
      <c r="I488" s="12">
        <f>if($A488&lt;&gt;"",if(C488&gt;B488,if(C488&lt;60,1,2),""),"")</f>
        <v/>
      </c>
      <c r="J488" s="9">
        <f>if($A488&lt;&gt;"",J487+H488,"")</f>
        <v/>
      </c>
      <c r="K488" s="9">
        <f>if($A488&lt;&gt;"",K487+I488,"")</f>
        <v/>
      </c>
      <c r="L488" s="11">
        <f>IF($A488&lt;&gt;"",IF(K488-J488=0,"tie",IF(K488-J488&gt;0,"+"&amp;K488-J488,"+"&amp;J488-K488)),"")</f>
        <v/>
      </c>
      <c r="M488" s="17" t="n"/>
      <c r="N488" s="17" t="n"/>
      <c r="O488" s="17" t="n"/>
      <c r="P488" s="17" t="n"/>
      <c r="Q488" s="17" t="n"/>
      <c r="R488" s="17" t="n"/>
      <c r="S488" s="17" t="n"/>
    </row>
    <row r="489">
      <c r="A489" s="15" t="n">
        <v>43991</v>
      </c>
      <c r="B489" s="9" t="n">
        <v>25</v>
      </c>
      <c r="C489" s="10" t="n">
        <v>30</v>
      </c>
      <c r="D489" s="17" t="inlineStr">
        <is>
          <t>Preston Way</t>
        </is>
      </c>
      <c r="E489" s="9">
        <f>if($A489&lt;&gt;"",E488+B489,"")</f>
        <v/>
      </c>
      <c r="F489" s="10">
        <f>if($A489&lt;&gt;"",F488+C489,"")</f>
        <v/>
      </c>
      <c r="G489" s="11">
        <f>IF($A489&lt;&gt;"",IF(F489-E489=0,"tie",IF(F489-E489&gt;0,"+"&amp;F489-E489,"+"&amp;E489-F489)),"")</f>
        <v/>
      </c>
      <c r="H489" s="12">
        <f>if($A489&lt;&gt;"",if(B489&gt;C489,if(B489&lt;60,1,2),""),"")</f>
        <v/>
      </c>
      <c r="I489" s="12">
        <f>if($A489&lt;&gt;"",if(C489&gt;B489,if(C489&lt;60,1,2),""),"")</f>
        <v/>
      </c>
      <c r="J489" s="9">
        <f>if($A489&lt;&gt;"",J488+H489,"")</f>
        <v/>
      </c>
      <c r="K489" s="9">
        <f>if($A489&lt;&gt;"",K488+I489,"")</f>
        <v/>
      </c>
      <c r="L489" s="11">
        <f>IF($A489&lt;&gt;"",IF(K489-J489=0,"tie",IF(K489-J489&gt;0,"+"&amp;K489-J489,"+"&amp;J489-K489)),"")</f>
        <v/>
      </c>
      <c r="M489" s="17" t="n"/>
      <c r="N489" s="17" t="n"/>
      <c r="O489" s="17" t="n"/>
      <c r="P489" s="17" t="n"/>
      <c r="Q489" s="17" t="n"/>
      <c r="R489" s="17" t="n"/>
      <c r="S489" s="17" t="n"/>
    </row>
    <row r="490">
      <c r="A490" s="15" t="n">
        <v>43992</v>
      </c>
      <c r="B490" s="9" t="n">
        <v>25</v>
      </c>
      <c r="C490" s="10" t="n">
        <v>30</v>
      </c>
      <c r="D490" s="17" t="inlineStr">
        <is>
          <t>Preston Way</t>
        </is>
      </c>
      <c r="E490" s="9">
        <f>if($A490&lt;&gt;"",E489+B490,"")</f>
        <v/>
      </c>
      <c r="F490" s="10">
        <f>if($A490&lt;&gt;"",F489+C490,"")</f>
        <v/>
      </c>
      <c r="G490" s="11">
        <f>IF($A490&lt;&gt;"",IF(F490-E490=0,"tie",IF(F490-E490&gt;0,"+"&amp;F490-E490,"+"&amp;E490-F490)),"")</f>
        <v/>
      </c>
      <c r="H490" s="12">
        <f>if($A490&lt;&gt;"",if(B490&gt;C490,if(B490&lt;60,1,2),""),"")</f>
        <v/>
      </c>
      <c r="I490" s="12">
        <f>if($A490&lt;&gt;"",if(C490&gt;B490,if(C490&lt;60,1,2),""),"")</f>
        <v/>
      </c>
      <c r="J490" s="9">
        <f>if($A490&lt;&gt;"",J489+H490,"")</f>
        <v/>
      </c>
      <c r="K490" s="9">
        <f>if($A490&lt;&gt;"",K489+I490,"")</f>
        <v/>
      </c>
      <c r="L490" s="11">
        <f>IF($A490&lt;&gt;"",IF(K490-J490=0,"tie",IF(K490-J490&gt;0,"+"&amp;K490-J490,"+"&amp;J490-K490)),"")</f>
        <v/>
      </c>
      <c r="M490" s="17" t="n"/>
      <c r="N490" s="17" t="n"/>
      <c r="O490" s="17" t="n"/>
      <c r="P490" s="17" t="n"/>
      <c r="Q490" s="17" t="n"/>
      <c r="R490" s="17" t="n"/>
      <c r="S490" s="17" t="n"/>
    </row>
    <row r="491">
      <c r="A491" s="15" t="n">
        <v>43993</v>
      </c>
      <c r="B491" s="10" t="n">
        <v>30</v>
      </c>
      <c r="C491" s="9" t="n">
        <v>25</v>
      </c>
      <c r="D491" s="17" t="inlineStr">
        <is>
          <t>Preston Way</t>
        </is>
      </c>
      <c r="E491" s="9">
        <f>if($A491&lt;&gt;"",E490+B491,"")</f>
        <v/>
      </c>
      <c r="F491" s="10">
        <f>if($A491&lt;&gt;"",F490+C491,"")</f>
        <v/>
      </c>
      <c r="G491" s="11">
        <f>IF($A491&lt;&gt;"",IF(F491-E491=0,"tie",IF(F491-E491&gt;0,"+"&amp;F491-E491,"+"&amp;E491-F491)),"")</f>
        <v/>
      </c>
      <c r="H491" s="12">
        <f>if($A491&lt;&gt;"",if(B491&gt;C491,if(B491&lt;60,1,2),""),"")</f>
        <v/>
      </c>
      <c r="I491" s="12">
        <f>if($A491&lt;&gt;"",if(C491&gt;B491,if(C491&lt;60,1,2),""),"")</f>
        <v/>
      </c>
      <c r="J491" s="9">
        <f>if($A491&lt;&gt;"",J490+H491,"")</f>
        <v/>
      </c>
      <c r="K491" s="9">
        <f>if($A491&lt;&gt;"",K490+I491,"")</f>
        <v/>
      </c>
      <c r="L491" s="11">
        <f>IF($A491&lt;&gt;"",IF(K491-J491=0,"tie",IF(K491-J491&gt;0,"+"&amp;K491-J491,"+"&amp;J491-K491)),"")</f>
        <v/>
      </c>
      <c r="M491" s="17" t="n"/>
      <c r="N491" s="17" t="n"/>
      <c r="O491" s="17" t="n"/>
      <c r="P491" s="17" t="n"/>
      <c r="Q491" s="17" t="n"/>
      <c r="R491" s="17" t="n"/>
      <c r="S491" s="17" t="n"/>
    </row>
    <row r="492">
      <c r="A492" s="15" t="n">
        <v>43995</v>
      </c>
      <c r="B492" s="10" t="n">
        <v>60</v>
      </c>
      <c r="C492" s="9" t="n">
        <v>50</v>
      </c>
      <c r="D492" s="17" t="inlineStr">
        <is>
          <t>Tahoe - Steamers</t>
        </is>
      </c>
      <c r="E492" s="9">
        <f>if($A492&lt;&gt;"",E491+B492,"")</f>
        <v/>
      </c>
      <c r="F492" s="10">
        <f>if($A492&lt;&gt;"",F491+C492,"")</f>
        <v/>
      </c>
      <c r="G492" s="11">
        <f>IF($A492&lt;&gt;"",IF(F492-E492=0,"tie",IF(F492-E492&gt;0,"+"&amp;F492-E492,"+"&amp;E492-F492)),"")</f>
        <v/>
      </c>
      <c r="H492" s="12">
        <f>if($A492&lt;&gt;"",if(B492&gt;C492,if(B492&lt;60,1,2),""),"")</f>
        <v/>
      </c>
      <c r="I492" s="12">
        <f>if($A492&lt;&gt;"",if(C492&gt;B492,if(C492&lt;60,1,2),""),"")</f>
        <v/>
      </c>
      <c r="J492" s="9">
        <f>if($A492&lt;&gt;"",J491+H492,"")</f>
        <v/>
      </c>
      <c r="K492" s="9">
        <f>if($A492&lt;&gt;"",K491+I492,"")</f>
        <v/>
      </c>
      <c r="L492" s="11">
        <f>IF($A492&lt;&gt;"",IF(K492-J492=0,"tie",IF(K492-J492&gt;0,"+"&amp;K492-J492,"+"&amp;J492-K492)),"")</f>
        <v/>
      </c>
      <c r="M492" s="17" t="n"/>
      <c r="N492" s="17" t="n"/>
      <c r="O492" s="17" t="n"/>
      <c r="P492" s="17" t="n"/>
      <c r="Q492" s="17" t="n"/>
      <c r="R492" s="17" t="n"/>
      <c r="S492" s="17" t="n"/>
    </row>
    <row r="493">
      <c r="A493" s="15" t="n">
        <v>44001</v>
      </c>
      <c r="B493" s="10" t="n">
        <v>30</v>
      </c>
      <c r="C493" s="9" t="n">
        <v>25</v>
      </c>
      <c r="D493" s="17" t="inlineStr">
        <is>
          <t>Tahoe - Steamers</t>
        </is>
      </c>
      <c r="E493" s="9">
        <f>if($A493&lt;&gt;"",E492+B493,"")</f>
        <v/>
      </c>
      <c r="F493" s="10">
        <f>if($A493&lt;&gt;"",F492+C493,"")</f>
        <v/>
      </c>
      <c r="G493" s="11">
        <f>IF($A493&lt;&gt;"",IF(F493-E493=0,"tie",IF(F493-E493&gt;0,"+"&amp;F493-E493,"+"&amp;E493-F493)),"")</f>
        <v/>
      </c>
      <c r="H493" s="12">
        <f>if($A493&lt;&gt;"",if(B493&gt;C493,if(B493&lt;60,1,2),""),"")</f>
        <v/>
      </c>
      <c r="I493" s="12">
        <f>if($A493&lt;&gt;"",if(C493&gt;B493,if(C493&lt;60,1,2),""),"")</f>
        <v/>
      </c>
      <c r="J493" s="9">
        <f>if($A493&lt;&gt;"",J492+H493,"")</f>
        <v/>
      </c>
      <c r="K493" s="9">
        <f>if($A493&lt;&gt;"",K492+I493,"")</f>
        <v/>
      </c>
      <c r="L493" s="11">
        <f>IF($A493&lt;&gt;"",IF(K493-J493=0,"tie",IF(K493-J493&gt;0,"+"&amp;K493-J493,"+"&amp;J493-K493)),"")</f>
        <v/>
      </c>
      <c r="M493" s="17" t="n"/>
      <c r="N493" s="17" t="n"/>
      <c r="O493" s="17" t="n"/>
      <c r="P493" s="17" t="n"/>
      <c r="Q493" s="17" t="n"/>
      <c r="R493" s="17" t="n"/>
      <c r="S493" s="17" t="n"/>
    </row>
    <row r="494">
      <c r="A494" s="15" t="n">
        <v>44001</v>
      </c>
      <c r="B494" s="9" t="n">
        <v>50</v>
      </c>
      <c r="C494" s="10" t="n">
        <v>60</v>
      </c>
      <c r="D494" s="17" t="inlineStr">
        <is>
          <t>Tahoe - Sonora Pass</t>
        </is>
      </c>
      <c r="E494" s="9">
        <f>if($A494&lt;&gt;"",E493+B494,"")</f>
        <v/>
      </c>
      <c r="F494" s="10">
        <f>if($A494&lt;&gt;"",F493+C494,"")</f>
        <v/>
      </c>
      <c r="G494" s="11">
        <f>IF($A494&lt;&gt;"",IF(F494-E494=0,"tie",IF(F494-E494&gt;0,"+"&amp;F494-E494,"+"&amp;E494-F494)),"")</f>
        <v/>
      </c>
      <c r="H494" s="12">
        <f>if($A494&lt;&gt;"",if(B494&gt;C494,if(B494&lt;60,1,2),""),"")</f>
        <v/>
      </c>
      <c r="I494" s="12">
        <f>if($A494&lt;&gt;"",if(C494&gt;B494,if(C494&lt;60,1,2),""),"")</f>
        <v/>
      </c>
      <c r="J494" s="9">
        <f>if($A494&lt;&gt;"",J493+H494,"")</f>
        <v/>
      </c>
      <c r="K494" s="9">
        <f>if($A494&lt;&gt;"",K493+I494,"")</f>
        <v/>
      </c>
      <c r="L494" s="11">
        <f>IF($A494&lt;&gt;"",IF(K494-J494=0,"tie",IF(K494-J494&gt;0,"+"&amp;K494-J494,"+"&amp;J494-K494)),"")</f>
        <v/>
      </c>
      <c r="M494" s="17" t="n"/>
      <c r="N494" s="17" t="n"/>
      <c r="O494" s="17" t="n"/>
      <c r="P494" s="17" t="n"/>
      <c r="Q494" s="17" t="n"/>
      <c r="R494" s="17" t="n"/>
      <c r="S494" s="17" t="n"/>
    </row>
    <row r="495">
      <c r="A495" s="15" t="n">
        <v>44002</v>
      </c>
      <c r="B495" s="9" t="n">
        <v>50</v>
      </c>
      <c r="C495" s="10" t="n">
        <v>60</v>
      </c>
      <c r="D495" s="17" t="inlineStr">
        <is>
          <t>Kingsburg RV Resort on the Kings River</t>
        </is>
      </c>
      <c r="E495" s="9">
        <f>if($A495&lt;&gt;"",E494+B495,"")</f>
        <v/>
      </c>
      <c r="F495" s="10">
        <f>if($A495&lt;&gt;"",F494+C495,"")</f>
        <v/>
      </c>
      <c r="G495" s="11">
        <f>IF($A495&lt;&gt;"",IF(F495-E495=0,"tie",IF(F495-E495&gt;0,"+"&amp;F495-E495,"+"&amp;E495-F495)),"")</f>
        <v/>
      </c>
      <c r="H495" s="12">
        <f>if($A495&lt;&gt;"",if(B495&gt;C495,if(B495&lt;60,1,2),""),"")</f>
        <v/>
      </c>
      <c r="I495" s="12">
        <f>if($A495&lt;&gt;"",if(C495&gt;B495,if(C495&lt;60,1,2),""),"")</f>
        <v/>
      </c>
      <c r="J495" s="9">
        <f>if($A495&lt;&gt;"",J494+H495,"")</f>
        <v/>
      </c>
      <c r="K495" s="9">
        <f>if($A495&lt;&gt;"",K494+I495,"")</f>
        <v/>
      </c>
      <c r="L495" s="11">
        <f>IF($A495&lt;&gt;"",IF(K495-J495=0,"tie",IF(K495-J495&gt;0,"+"&amp;K495-J495,"+"&amp;J495-K495)),"")</f>
        <v/>
      </c>
      <c r="M495" s="17" t="n"/>
      <c r="N495" s="17" t="n"/>
      <c r="O495" s="17" t="n"/>
      <c r="P495" s="17" t="n"/>
      <c r="Q495" s="17" t="n"/>
      <c r="R495" s="17" t="n"/>
      <c r="S495" s="17" t="n"/>
    </row>
    <row r="496">
      <c r="A496" s="15" t="n">
        <v>44003</v>
      </c>
      <c r="B496" s="10" t="n">
        <v>30</v>
      </c>
      <c r="C496" s="9" t="n">
        <v>25</v>
      </c>
      <c r="D496" s="17" t="inlineStr">
        <is>
          <t>Bakersfield</t>
        </is>
      </c>
      <c r="E496" s="9">
        <f>if($A496&lt;&gt;"",E495+B496,"")</f>
        <v/>
      </c>
      <c r="F496" s="10">
        <f>if($A496&lt;&gt;"",F495+C496,"")</f>
        <v/>
      </c>
      <c r="G496" s="11">
        <f>IF($A496&lt;&gt;"",IF(F496-E496=0,"tie",IF(F496-E496&gt;0,"+"&amp;F496-E496,"+"&amp;E496-F496)),"")</f>
        <v/>
      </c>
      <c r="H496" s="12">
        <f>if($A496&lt;&gt;"",if(B496&gt;C496,if(B496&lt;60,1,2),""),"")</f>
        <v/>
      </c>
      <c r="I496" s="12">
        <f>if($A496&lt;&gt;"",if(C496&gt;B496,if(C496&lt;60,1,2),""),"")</f>
        <v/>
      </c>
      <c r="J496" s="9">
        <f>if($A496&lt;&gt;"",J495+H496,"")</f>
        <v/>
      </c>
      <c r="K496" s="9">
        <f>if($A496&lt;&gt;"",K495+I496,"")</f>
        <v/>
      </c>
      <c r="L496" s="11">
        <f>IF($A496&lt;&gt;"",IF(K496-J496=0,"tie",IF(K496-J496&gt;0,"+"&amp;K496-J496,"+"&amp;J496-K496)),"")</f>
        <v/>
      </c>
      <c r="M496" s="17" t="n"/>
      <c r="N496" s="17" t="n"/>
      <c r="O496" s="17" t="n"/>
      <c r="P496" s="17" t="n"/>
      <c r="Q496" s="17" t="n"/>
      <c r="R496" s="17" t="n"/>
      <c r="S496" s="17" t="n"/>
    </row>
    <row r="497">
      <c r="A497" s="15" t="n">
        <v>44004</v>
      </c>
      <c r="B497" s="10" t="n">
        <v>30</v>
      </c>
      <c r="C497" s="9" t="n">
        <v>25</v>
      </c>
      <c r="D497" s="17" t="inlineStr">
        <is>
          <t>Preston Way</t>
        </is>
      </c>
      <c r="E497" s="9">
        <f>if($A497&lt;&gt;"",E496+B497,"")</f>
        <v/>
      </c>
      <c r="F497" s="10">
        <f>if($A497&lt;&gt;"",F496+C497,"")</f>
        <v/>
      </c>
      <c r="G497" s="11">
        <f>IF($A497&lt;&gt;"",IF(F497-E497=0,"tie",IF(F497-E497&gt;0,"+"&amp;F497-E497,"+"&amp;E497-F497)),"")</f>
        <v/>
      </c>
      <c r="H497" s="12">
        <f>if($A497&lt;&gt;"",if(B497&gt;C497,if(B497&lt;60,1,2),""),"")</f>
        <v/>
      </c>
      <c r="I497" s="12">
        <f>if($A497&lt;&gt;"",if(C497&gt;B497,if(C497&lt;60,1,2),""),"")</f>
        <v/>
      </c>
      <c r="J497" s="9">
        <f>if($A497&lt;&gt;"",J496+H497,"")</f>
        <v/>
      </c>
      <c r="K497" s="9">
        <f>if($A497&lt;&gt;"",K496+I497,"")</f>
        <v/>
      </c>
      <c r="L497" s="11">
        <f>IF($A497&lt;&gt;"",IF(K497-J497=0,"tie",IF(K497-J497&gt;0,"+"&amp;K497-J497,"+"&amp;J497-K497)),"")</f>
        <v/>
      </c>
      <c r="M497" s="17" t="n"/>
      <c r="N497" s="17" t="n"/>
      <c r="O497" s="17" t="n"/>
      <c r="P497" s="17" t="n"/>
      <c r="Q497" s="17" t="n"/>
      <c r="R497" s="17" t="n"/>
      <c r="S497" s="17" t="n"/>
    </row>
    <row r="498">
      <c r="A498" s="15" t="n">
        <v>44005</v>
      </c>
      <c r="B498" s="10" t="n">
        <v>30</v>
      </c>
      <c r="C498" s="9" t="n">
        <v>25</v>
      </c>
      <c r="D498" s="17" t="inlineStr">
        <is>
          <t>Preston Way</t>
        </is>
      </c>
      <c r="E498" s="9">
        <f>if($A498&lt;&gt;"",E497+B498,"")</f>
        <v/>
      </c>
      <c r="F498" s="10">
        <f>if($A498&lt;&gt;"",F497+C498,"")</f>
        <v/>
      </c>
      <c r="G498" s="11">
        <f>IF($A498&lt;&gt;"",IF(F498-E498=0,"tie",IF(F498-E498&gt;0,"+"&amp;F498-E498,"+"&amp;E498-F498)),"")</f>
        <v/>
      </c>
      <c r="H498" s="12">
        <f>if($A498&lt;&gt;"",if(B498&gt;C498,if(B498&lt;60,1,2),""),"")</f>
        <v/>
      </c>
      <c r="I498" s="12">
        <f>if($A498&lt;&gt;"",if(C498&gt;B498,if(C498&lt;60,1,2),""),"")</f>
        <v/>
      </c>
      <c r="J498" s="9">
        <f>if($A498&lt;&gt;"",J497+H498,"")</f>
        <v/>
      </c>
      <c r="K498" s="9">
        <f>if($A498&lt;&gt;"",K497+I498,"")</f>
        <v/>
      </c>
      <c r="L498" s="11">
        <f>IF($A498&lt;&gt;"",IF(K498-J498=0,"tie",IF(K498-J498&gt;0,"+"&amp;K498-J498,"+"&amp;J498-K498)),"")</f>
        <v/>
      </c>
      <c r="M498" s="17" t="n"/>
      <c r="N498" s="17" t="n"/>
      <c r="O498" s="17" t="n"/>
      <c r="P498" s="17" t="n"/>
      <c r="Q498" s="17" t="n"/>
      <c r="R498" s="17" t="n"/>
      <c r="S498" s="17" t="n"/>
    </row>
    <row r="499">
      <c r="A499" s="15" t="n">
        <v>44007</v>
      </c>
      <c r="B499" s="10" t="n">
        <v>30</v>
      </c>
      <c r="C499" s="9" t="n">
        <v>25</v>
      </c>
      <c r="D499" s="17" t="inlineStr">
        <is>
          <t>Preston Way</t>
        </is>
      </c>
      <c r="E499" s="9">
        <f>if($A499&lt;&gt;"",E498+B499,"")</f>
        <v/>
      </c>
      <c r="F499" s="10">
        <f>if($A499&lt;&gt;"",F498+C499,"")</f>
        <v/>
      </c>
      <c r="G499" s="11">
        <f>IF($A499&lt;&gt;"",IF(F499-E499=0,"tie",IF(F499-E499&gt;0,"+"&amp;F499-E499,"+"&amp;E499-F499)),"")</f>
        <v/>
      </c>
      <c r="H499" s="12">
        <f>if($A499&lt;&gt;"",if(B499&gt;C499,if(B499&lt;60,1,2),""),"")</f>
        <v/>
      </c>
      <c r="I499" s="12">
        <f>if($A499&lt;&gt;"",if(C499&gt;B499,if(C499&lt;60,1,2),""),"")</f>
        <v/>
      </c>
      <c r="J499" s="9">
        <f>if($A499&lt;&gt;"",J498+H499,"")</f>
        <v/>
      </c>
      <c r="K499" s="9">
        <f>if($A499&lt;&gt;"",K498+I499,"")</f>
        <v/>
      </c>
      <c r="L499" s="11">
        <f>IF($A499&lt;&gt;"",IF(K499-J499=0,"tie",IF(K499-J499&gt;0,"+"&amp;K499-J499,"+"&amp;J499-K499)),"")</f>
        <v/>
      </c>
      <c r="M499" s="17" t="n"/>
      <c r="N499" s="17" t="n"/>
      <c r="O499" s="17" t="n"/>
      <c r="P499" s="17" t="n"/>
      <c r="Q499" s="17" t="n"/>
      <c r="R499" s="17" t="n"/>
      <c r="S499" s="17" t="n"/>
    </row>
    <row r="500">
      <c r="A500" s="15" t="n">
        <v>44010</v>
      </c>
      <c r="B500" s="10" t="n">
        <v>30</v>
      </c>
      <c r="C500" s="9" t="n">
        <v>25</v>
      </c>
      <c r="D500" s="17" t="inlineStr">
        <is>
          <t>Preston Way</t>
        </is>
      </c>
      <c r="E500" s="9">
        <f>if($A500&lt;&gt;"",E499+B500,"")</f>
        <v/>
      </c>
      <c r="F500" s="10">
        <f>if($A500&lt;&gt;"",F499+C500,"")</f>
        <v/>
      </c>
      <c r="G500" s="11">
        <f>IF($A500&lt;&gt;"",IF(F500-E500=0,"tie",IF(F500-E500&gt;0,"+"&amp;F500-E500,"+"&amp;E500-F500)),"")</f>
        <v/>
      </c>
      <c r="H500" s="12">
        <f>if($A500&lt;&gt;"",if(B500&gt;C500,if(B500&lt;60,1,2),""),"")</f>
        <v/>
      </c>
      <c r="I500" s="12">
        <f>if($A500&lt;&gt;"",if(C500&gt;B500,if(C500&lt;60,1,2),""),"")</f>
        <v/>
      </c>
      <c r="J500" s="9">
        <f>if($A500&lt;&gt;"",J499+H500,"")</f>
        <v/>
      </c>
      <c r="K500" s="9">
        <f>if($A500&lt;&gt;"",K499+I500,"")</f>
        <v/>
      </c>
      <c r="L500" s="11">
        <f>IF($A500&lt;&gt;"",IF(K500-J500=0,"tie",IF(K500-J500&gt;0,"+"&amp;K500-J500,"+"&amp;J500-K500)),"")</f>
        <v/>
      </c>
      <c r="M500" s="17" t="n"/>
      <c r="N500" s="17" t="n"/>
      <c r="O500" s="17" t="n"/>
      <c r="P500" s="17" t="n"/>
      <c r="Q500" s="17" t="n"/>
      <c r="R500" s="17" t="n"/>
      <c r="S500" s="17" t="n"/>
    </row>
    <row r="501">
      <c r="A501" s="15" t="n">
        <v>44011</v>
      </c>
      <c r="B501" s="9" t="n">
        <v>25</v>
      </c>
      <c r="C501" s="10" t="n">
        <v>30</v>
      </c>
      <c r="D501" s="17" t="inlineStr">
        <is>
          <t>Preston Way</t>
        </is>
      </c>
      <c r="E501" s="9">
        <f>if($A501&lt;&gt;"",E500+B501,"")</f>
        <v/>
      </c>
      <c r="F501" s="10">
        <f>if($A501&lt;&gt;"",F500+C501,"")</f>
        <v/>
      </c>
      <c r="G501" s="11">
        <f>IF($A501&lt;&gt;"",IF(F501-E501=0,"tie",IF(F501-E501&gt;0,"+"&amp;F501-E501,"+"&amp;E501-F501)),"")</f>
        <v/>
      </c>
      <c r="H501" s="12">
        <f>if($A501&lt;&gt;"",if(B501&gt;C501,if(B501&lt;60,1,2),""),"")</f>
        <v/>
      </c>
      <c r="I501" s="12">
        <f>if($A501&lt;&gt;"",if(C501&gt;B501,if(C501&lt;60,1,2),""),"")</f>
        <v/>
      </c>
      <c r="J501" s="9">
        <f>if($A501&lt;&gt;"",J500+H501,"")</f>
        <v/>
      </c>
      <c r="K501" s="9">
        <f>if($A501&lt;&gt;"",K500+I501,"")</f>
        <v/>
      </c>
      <c r="L501" s="11">
        <f>IF($A501&lt;&gt;"",IF(K501-J501=0,"tie",IF(K501-J501&gt;0,"+"&amp;K501-J501,"+"&amp;J501-K501)),"")</f>
        <v/>
      </c>
      <c r="M501" s="17" t="n"/>
      <c r="N501" s="17" t="n"/>
      <c r="O501" s="17" t="n"/>
      <c r="P501" s="17" t="n"/>
      <c r="Q501" s="17" t="n"/>
      <c r="R501" s="17" t="n"/>
      <c r="S501" s="17" t="n"/>
    </row>
    <row r="502">
      <c r="A502" s="15" t="n">
        <v>44012</v>
      </c>
      <c r="B502" s="9" t="n">
        <v>25</v>
      </c>
      <c r="C502" s="10" t="n">
        <v>30</v>
      </c>
      <c r="D502" s="17" t="inlineStr">
        <is>
          <t>Preston Way</t>
        </is>
      </c>
      <c r="E502" s="9">
        <f>if($A502&lt;&gt;"",E501+B502,"")</f>
        <v/>
      </c>
      <c r="F502" s="10">
        <f>if($A502&lt;&gt;"",F501+C502,"")</f>
        <v/>
      </c>
      <c r="G502" s="11">
        <f>IF($A502&lt;&gt;"",IF(F502-E502=0,"tie",IF(F502-E502&gt;0,"+"&amp;F502-E502,"+"&amp;E502-F502)),"")</f>
        <v/>
      </c>
      <c r="H502" s="12">
        <f>if($A502&lt;&gt;"",if(B502&gt;C502,if(B502&lt;60,1,2),""),"")</f>
        <v/>
      </c>
      <c r="I502" s="12">
        <f>if($A502&lt;&gt;"",if(C502&gt;B502,if(C502&lt;60,1,2),""),"")</f>
        <v/>
      </c>
      <c r="J502" s="9">
        <f>if($A502&lt;&gt;"",J501+H502,"")</f>
        <v/>
      </c>
      <c r="K502" s="9">
        <f>if($A502&lt;&gt;"",K501+I502,"")</f>
        <v/>
      </c>
      <c r="L502" s="11">
        <f>IF($A502&lt;&gt;"",IF(K502-J502=0,"tie",IF(K502-J502&gt;0,"+"&amp;K502-J502,"+"&amp;J502-K502)),"")</f>
        <v/>
      </c>
      <c r="M502" s="17" t="n"/>
      <c r="N502" s="17" t="n"/>
      <c r="O502" s="17" t="n"/>
      <c r="P502" s="17" t="n"/>
      <c r="Q502" s="17" t="n"/>
      <c r="R502" s="17" t="n"/>
      <c r="S502" s="17" t="n"/>
    </row>
    <row r="503">
      <c r="A503" s="15" t="n">
        <v>44013</v>
      </c>
      <c r="B503" s="10" t="n">
        <v>30</v>
      </c>
      <c r="C503" s="9" t="n">
        <v>25</v>
      </c>
      <c r="D503" s="17" t="inlineStr">
        <is>
          <t>Preston Way</t>
        </is>
      </c>
      <c r="E503" s="9">
        <f>if($A503&lt;&gt;"",E502+B503,"")</f>
        <v/>
      </c>
      <c r="F503" s="10">
        <f>if($A503&lt;&gt;"",F502+C503,"")</f>
        <v/>
      </c>
      <c r="G503" s="11">
        <f>IF($A503&lt;&gt;"",IF(F503-E503=0,"tie",IF(F503-E503&gt;0,"+"&amp;F503-E503,"+"&amp;E503-F503)),"")</f>
        <v/>
      </c>
      <c r="H503" s="12">
        <f>if($A503&lt;&gt;"",if(B503&gt;C503,if(B503&lt;60,1,2),""),"")</f>
        <v/>
      </c>
      <c r="I503" s="12">
        <f>if($A503&lt;&gt;"",if(C503&gt;B503,if(C503&lt;60,1,2),""),"")</f>
        <v/>
      </c>
      <c r="J503" s="9">
        <f>if($A503&lt;&gt;"",J502+H503,"")</f>
        <v/>
      </c>
      <c r="K503" s="9">
        <f>if($A503&lt;&gt;"",K502+I503,"")</f>
        <v/>
      </c>
      <c r="L503" s="11">
        <f>IF($A503&lt;&gt;"",IF(K503-J503=0,"tie",IF(K503-J503&gt;0,"+"&amp;K503-J503,"+"&amp;J503-K503)),"")</f>
        <v/>
      </c>
      <c r="M503" s="17" t="n"/>
      <c r="N503" s="17" t="n"/>
      <c r="O503" s="17" t="n"/>
      <c r="P503" s="17" t="n"/>
      <c r="Q503" s="17" t="n"/>
      <c r="R503" s="17" t="n"/>
      <c r="S503" s="17" t="n"/>
    </row>
    <row r="504">
      <c r="A504" s="15" t="n">
        <v>44015</v>
      </c>
      <c r="B504" s="10" t="n">
        <v>30</v>
      </c>
      <c r="C504" s="9" t="n">
        <v>25</v>
      </c>
      <c r="D504" s="17" t="inlineStr">
        <is>
          <t>Preston Way</t>
        </is>
      </c>
      <c r="E504" s="9">
        <f>if($A504&lt;&gt;"",E503+B504,"")</f>
        <v/>
      </c>
      <c r="F504" s="10">
        <f>if($A504&lt;&gt;"",F503+C504,"")</f>
        <v/>
      </c>
      <c r="G504" s="11">
        <f>IF($A504&lt;&gt;"",IF(F504-E504=0,"tie",IF(F504-E504&gt;0,"+"&amp;F504-E504,"+"&amp;E504-F504)),"")</f>
        <v/>
      </c>
      <c r="H504" s="12">
        <f>if($A504&lt;&gt;"",if(B504&gt;C504,if(B504&lt;60,1,2),""),"")</f>
        <v/>
      </c>
      <c r="I504" s="12">
        <f>if($A504&lt;&gt;"",if(C504&gt;B504,if(C504&lt;60,1,2),""),"")</f>
        <v/>
      </c>
      <c r="J504" s="9">
        <f>if($A504&lt;&gt;"",J503+H504,"")</f>
        <v/>
      </c>
      <c r="K504" s="9">
        <f>if($A504&lt;&gt;"",K503+I504,"")</f>
        <v/>
      </c>
      <c r="L504" s="11">
        <f>IF($A504&lt;&gt;"",IF(K504-J504=0,"tie",IF(K504-J504&gt;0,"+"&amp;K504-J504,"+"&amp;J504-K504)),"")</f>
        <v/>
      </c>
      <c r="M504" s="17" t="n"/>
      <c r="N504" s="17" t="n"/>
      <c r="O504" s="17" t="n"/>
      <c r="P504" s="17" t="n"/>
      <c r="Q504" s="17" t="n"/>
      <c r="R504" s="17" t="n"/>
      <c r="S504" s="17" t="n"/>
    </row>
    <row r="505">
      <c r="A505" s="15" t="n">
        <v>44015</v>
      </c>
      <c r="B505" s="10" t="n">
        <v>30</v>
      </c>
      <c r="C505" s="9" t="n">
        <v>25</v>
      </c>
      <c r="D505" s="17" t="inlineStr">
        <is>
          <t>Preston Way</t>
        </is>
      </c>
      <c r="E505" s="9">
        <f>if($A505&lt;&gt;"",E504+B505,"")</f>
        <v/>
      </c>
      <c r="F505" s="10">
        <f>if($A505&lt;&gt;"",F504+C505,"")</f>
        <v/>
      </c>
      <c r="G505" s="11">
        <f>IF($A505&lt;&gt;"",IF(F505-E505=0,"tie",IF(F505-E505&gt;0,"+"&amp;F505-E505,"+"&amp;E505-F505)),"")</f>
        <v/>
      </c>
      <c r="H505" s="12">
        <f>if($A505&lt;&gt;"",if(B505&gt;C505,if(B505&lt;60,1,2),""),"")</f>
        <v/>
      </c>
      <c r="I505" s="12">
        <f>if($A505&lt;&gt;"",if(C505&gt;B505,if(C505&lt;60,1,2),""),"")</f>
        <v/>
      </c>
      <c r="J505" s="9">
        <f>if($A505&lt;&gt;"",J504+H505,"")</f>
        <v/>
      </c>
      <c r="K505" s="9">
        <f>if($A505&lt;&gt;"",K504+I505,"")</f>
        <v/>
      </c>
      <c r="L505" s="11">
        <f>IF($A505&lt;&gt;"",IF(K505-J505=0,"tie",IF(K505-J505&gt;0,"+"&amp;K505-J505,"+"&amp;J505-K505)),"")</f>
        <v/>
      </c>
      <c r="M505" s="17" t="n"/>
      <c r="N505" s="17" t="n"/>
      <c r="O505" s="17" t="n"/>
      <c r="P505" s="17" t="n"/>
      <c r="Q505" s="17" t="n"/>
      <c r="R505" s="17" t="n"/>
      <c r="S505" s="17" t="n"/>
    </row>
    <row r="506">
      <c r="A506" s="15" t="n">
        <v>44017</v>
      </c>
      <c r="B506" s="10" t="n">
        <v>30</v>
      </c>
      <c r="C506" s="9" t="n">
        <v>25</v>
      </c>
      <c r="D506" s="17" t="inlineStr">
        <is>
          <t>Preston Way</t>
        </is>
      </c>
      <c r="E506" s="9">
        <f>if($A506&lt;&gt;"",E505+B506,"")</f>
        <v/>
      </c>
      <c r="F506" s="10">
        <f>if($A506&lt;&gt;"",F505+C506,"")</f>
        <v/>
      </c>
      <c r="G506" s="11">
        <f>IF($A506&lt;&gt;"",IF(F506-E506=0,"tie",IF(F506-E506&gt;0,"+"&amp;F506-E506,"+"&amp;E506-F506)),"")</f>
        <v/>
      </c>
      <c r="H506" s="12">
        <f>if($A506&lt;&gt;"",if(B506&gt;C506,if(B506&lt;60,1,2),""),"")</f>
        <v/>
      </c>
      <c r="I506" s="12">
        <f>if($A506&lt;&gt;"",if(C506&gt;B506,if(C506&lt;60,1,2),""),"")</f>
        <v/>
      </c>
      <c r="J506" s="9">
        <f>if($A506&lt;&gt;"",J505+H506,"")</f>
        <v/>
      </c>
      <c r="K506" s="9">
        <f>if($A506&lt;&gt;"",K505+I506,"")</f>
        <v/>
      </c>
      <c r="L506" s="11">
        <f>IF($A506&lt;&gt;"",IF(K506-J506=0,"tie",IF(K506-J506&gt;0,"+"&amp;K506-J506,"+"&amp;J506-K506)),"")</f>
        <v/>
      </c>
      <c r="M506" s="17" t="n"/>
      <c r="N506" s="17" t="n"/>
      <c r="O506" s="17" t="n"/>
      <c r="P506" s="17" t="n"/>
      <c r="Q506" s="17" t="n"/>
      <c r="R506" s="17" t="n"/>
      <c r="S506" s="17" t="n"/>
    </row>
    <row r="507">
      <c r="A507" s="15" t="n">
        <v>44022</v>
      </c>
      <c r="B507" s="9" t="n">
        <v>50</v>
      </c>
      <c r="C507" s="10" t="n">
        <v>60</v>
      </c>
      <c r="D507" s="17" t="inlineStr">
        <is>
          <t>Caterina's, San Clemente</t>
        </is>
      </c>
      <c r="E507" s="9">
        <f>if($A507&lt;&gt;"",E506+B507,"")</f>
        <v/>
      </c>
      <c r="F507" s="10">
        <f>if($A507&lt;&gt;"",F506+C507,"")</f>
        <v/>
      </c>
      <c r="G507" s="11">
        <f>IF($A507&lt;&gt;"",IF(F507-E507=0,"tie",IF(F507-E507&gt;0,"+"&amp;F507-E507,"+"&amp;E507-F507)),"")</f>
        <v/>
      </c>
      <c r="H507" s="12">
        <f>if($A507&lt;&gt;"",if(B507&gt;C507,if(B507&lt;60,1,2),""),"")</f>
        <v/>
      </c>
      <c r="I507" s="12">
        <f>if($A507&lt;&gt;"",if(C507&gt;B507,if(C507&lt;60,1,2),""),"")</f>
        <v/>
      </c>
      <c r="J507" s="9">
        <f>if($A507&lt;&gt;"",J506+H507,"")</f>
        <v/>
      </c>
      <c r="K507" s="9">
        <f>if($A507&lt;&gt;"",K506+I507,"")</f>
        <v/>
      </c>
      <c r="L507" s="11">
        <f>IF($A507&lt;&gt;"",IF(K507-J507=0,"tie",IF(K507-J507&gt;0,"+"&amp;K507-J507,"+"&amp;J507-K507)),"")</f>
        <v/>
      </c>
      <c r="M507" s="17" t="n"/>
      <c r="N507" s="17" t="n"/>
      <c r="O507" s="17" t="n"/>
      <c r="P507" s="17" t="n"/>
      <c r="Q507" s="17" t="n"/>
      <c r="R507" s="17" t="n"/>
      <c r="S507" s="17" t="n"/>
    </row>
    <row r="508">
      <c r="A508" s="15" t="n">
        <v>44022</v>
      </c>
      <c r="B508" s="9" t="n">
        <v>50</v>
      </c>
      <c r="C508" s="10" t="n">
        <v>60</v>
      </c>
      <c r="D508" s="17" t="inlineStr">
        <is>
          <t>San Mateo Campground</t>
        </is>
      </c>
      <c r="E508" s="9">
        <f>if($A508&lt;&gt;"",E507+B508,"")</f>
        <v/>
      </c>
      <c r="F508" s="10">
        <f>if($A508&lt;&gt;"",F507+C508,"")</f>
        <v/>
      </c>
      <c r="G508" s="11">
        <f>IF($A508&lt;&gt;"",IF(F508-E508=0,"tie",IF(F508-E508&gt;0,"+"&amp;F508-E508,"+"&amp;E508-F508)),"")</f>
        <v/>
      </c>
      <c r="H508" s="12">
        <f>if($A508&lt;&gt;"",if(B508&gt;C508,if(B508&lt;60,1,2),""),"")</f>
        <v/>
      </c>
      <c r="I508" s="12">
        <f>if($A508&lt;&gt;"",if(C508&gt;B508,if(C508&lt;60,1,2),""),"")</f>
        <v/>
      </c>
      <c r="J508" s="9">
        <f>if($A508&lt;&gt;"",J507+H508,"")</f>
        <v/>
      </c>
      <c r="K508" s="9">
        <f>if($A508&lt;&gt;"",K507+I508,"")</f>
        <v/>
      </c>
      <c r="L508" s="11">
        <f>IF($A508&lt;&gt;"",IF(K508-J508=0,"tie",IF(K508-J508&gt;0,"+"&amp;K508-J508,"+"&amp;J508-K508)),"")</f>
        <v/>
      </c>
      <c r="M508" s="17" t="n"/>
      <c r="N508" s="17" t="n"/>
      <c r="O508" s="17" t="n"/>
      <c r="P508" s="17" t="n"/>
      <c r="Q508" s="17" t="n"/>
      <c r="R508" s="17" t="n"/>
      <c r="S508" s="17" t="n"/>
    </row>
    <row r="509">
      <c r="A509" s="15" t="n">
        <v>44023</v>
      </c>
      <c r="B509" s="9" t="n">
        <v>25</v>
      </c>
      <c r="C509" s="10" t="n">
        <v>30</v>
      </c>
      <c r="D509" s="17" t="inlineStr">
        <is>
          <t>Founder's Park, Ladera Ranch, CA</t>
        </is>
      </c>
      <c r="E509" s="9">
        <f>if($A509&lt;&gt;"",E508+B509,"")</f>
        <v/>
      </c>
      <c r="F509" s="10">
        <f>if($A509&lt;&gt;"",F508+C509,"")</f>
        <v/>
      </c>
      <c r="G509" s="11">
        <f>IF($A509&lt;&gt;"",IF(F509-E509=0,"tie",IF(F509-E509&gt;0,"+"&amp;F509-E509,"+"&amp;E509-F509)),"")</f>
        <v/>
      </c>
      <c r="H509" s="12">
        <f>if($A509&lt;&gt;"",if(B509&gt;C509,if(B509&lt;60,1,2),""),"")</f>
        <v/>
      </c>
      <c r="I509" s="12">
        <f>if($A509&lt;&gt;"",if(C509&gt;B509,if(C509&lt;60,1,2),""),"")</f>
        <v/>
      </c>
      <c r="J509" s="9">
        <f>if($A509&lt;&gt;"",J508+H509,"")</f>
        <v/>
      </c>
      <c r="K509" s="9">
        <f>if($A509&lt;&gt;"",K508+I509,"")</f>
        <v/>
      </c>
      <c r="L509" s="11">
        <f>IF($A509&lt;&gt;"",IF(K509-J509=0,"tie",IF(K509-J509&gt;0,"+"&amp;K509-J509,"+"&amp;J509-K509)),"")</f>
        <v/>
      </c>
      <c r="M509" s="17" t="n"/>
      <c r="N509" s="17" t="n"/>
      <c r="O509" s="17" t="n"/>
      <c r="P509" s="17" t="n"/>
      <c r="Q509" s="17" t="n"/>
      <c r="R509" s="17" t="n"/>
      <c r="S509" s="17" t="n"/>
    </row>
    <row r="510">
      <c r="A510" s="15" t="n">
        <v>44026</v>
      </c>
      <c r="B510" s="10" t="n">
        <v>60</v>
      </c>
      <c r="C510" s="9" t="n">
        <v>50</v>
      </c>
      <c r="D510" s="17" t="inlineStr">
        <is>
          <t>Preston Way</t>
        </is>
      </c>
      <c r="E510" s="9">
        <f>if($A510&lt;&gt;"",E509+B510,"")</f>
        <v/>
      </c>
      <c r="F510" s="10">
        <f>if($A510&lt;&gt;"",F509+C510,"")</f>
        <v/>
      </c>
      <c r="G510" s="11">
        <f>IF($A510&lt;&gt;"",IF(F510-E510=0,"tie",IF(F510-E510&gt;0,"+"&amp;F510-E510,"+"&amp;E510-F510)),"")</f>
        <v/>
      </c>
      <c r="H510" s="12">
        <f>if($A510&lt;&gt;"",if(B510&gt;C510,if(B510&lt;60,1,2),""),"")</f>
        <v/>
      </c>
      <c r="I510" s="12">
        <f>if($A510&lt;&gt;"",if(C510&gt;B510,if(C510&lt;60,1,2),""),"")</f>
        <v/>
      </c>
      <c r="J510" s="9">
        <f>if($A510&lt;&gt;"",J509+H510,"")</f>
        <v/>
      </c>
      <c r="K510" s="9">
        <f>if($A510&lt;&gt;"",K509+I510,"")</f>
        <v/>
      </c>
      <c r="L510" s="11">
        <f>IF($A510&lt;&gt;"",IF(K510-J510=0,"tie",IF(K510-J510&gt;0,"+"&amp;K510-J510,"+"&amp;J510-K510)),"")</f>
        <v/>
      </c>
      <c r="M510" s="17" t="n"/>
      <c r="N510" s="17" t="n"/>
      <c r="O510" s="17" t="n"/>
      <c r="P510" s="17" t="n"/>
      <c r="Q510" s="17" t="n"/>
      <c r="R510" s="17" t="n"/>
      <c r="S510" s="17" t="n"/>
    </row>
    <row r="511">
      <c r="A511" s="15" t="n">
        <v>44027</v>
      </c>
      <c r="B511" s="9" t="n">
        <v>25</v>
      </c>
      <c r="C511" s="10" t="n">
        <v>30</v>
      </c>
      <c r="D511" s="17" t="inlineStr">
        <is>
          <t>Preston Way</t>
        </is>
      </c>
      <c r="E511" s="9">
        <f>if($A511&lt;&gt;"",E510+B511,"")</f>
        <v/>
      </c>
      <c r="F511" s="10">
        <f>if($A511&lt;&gt;"",F510+C511,"")</f>
        <v/>
      </c>
      <c r="G511" s="11">
        <f>IF($A511&lt;&gt;"",IF(F511-E511=0,"tie",IF(F511-E511&gt;0,"+"&amp;F511-E511,"+"&amp;E511-F511)),"")</f>
        <v/>
      </c>
      <c r="H511" s="12">
        <f>if($A511&lt;&gt;"",if(B511&gt;C511,if(B511&lt;60,1,2),""),"")</f>
        <v/>
      </c>
      <c r="I511" s="12">
        <f>if($A511&lt;&gt;"",if(C511&gt;B511,if(C511&lt;60,1,2),""),"")</f>
        <v/>
      </c>
      <c r="J511" s="9">
        <f>if($A511&lt;&gt;"",J510+H511,"")</f>
        <v/>
      </c>
      <c r="K511" s="9">
        <f>if($A511&lt;&gt;"",K510+I511,"")</f>
        <v/>
      </c>
      <c r="L511" s="11">
        <f>IF($A511&lt;&gt;"",IF(K511-J511=0,"tie",IF(K511-J511&gt;0,"+"&amp;K511-J511,"+"&amp;J511-K511)),"")</f>
        <v/>
      </c>
      <c r="M511" s="17" t="n"/>
      <c r="N511" s="17" t="n"/>
      <c r="O511" s="17" t="n"/>
      <c r="P511" s="17" t="n"/>
      <c r="Q511" s="17" t="n"/>
      <c r="R511" s="17" t="n"/>
      <c r="S511" s="17" t="n"/>
    </row>
    <row r="512">
      <c r="A512" s="15" t="n">
        <v>44029</v>
      </c>
      <c r="B512" s="10" t="n">
        <v>30</v>
      </c>
      <c r="C512" s="9" t="n">
        <v>25</v>
      </c>
      <c r="D512" s="17" t="inlineStr">
        <is>
          <t>Preston Way</t>
        </is>
      </c>
      <c r="E512" s="9">
        <f>if($A512&lt;&gt;"",E511+B512,"")</f>
        <v/>
      </c>
      <c r="F512" s="10">
        <f>if($A512&lt;&gt;"",F511+C512,"")</f>
        <v/>
      </c>
      <c r="G512" s="11">
        <f>IF($A512&lt;&gt;"",IF(F512-E512=0,"tie",IF(F512-E512&gt;0,"+"&amp;F512-E512,"+"&amp;E512-F512)),"")</f>
        <v/>
      </c>
      <c r="H512" s="12">
        <f>if($A512&lt;&gt;"",if(B512&gt;C512,if(B512&lt;60,1,2),""),"")</f>
        <v/>
      </c>
      <c r="I512" s="12">
        <f>if($A512&lt;&gt;"",if(C512&gt;B512,if(C512&lt;60,1,2),""),"")</f>
        <v/>
      </c>
      <c r="J512" s="9">
        <f>if($A512&lt;&gt;"",J511+H512,"")</f>
        <v/>
      </c>
      <c r="K512" s="9">
        <f>if($A512&lt;&gt;"",K511+I512,"")</f>
        <v/>
      </c>
      <c r="L512" s="11">
        <f>IF($A512&lt;&gt;"",IF(K512-J512=0,"tie",IF(K512-J512&gt;0,"+"&amp;K512-J512,"+"&amp;J512-K512)),"")</f>
        <v/>
      </c>
      <c r="M512" s="17" t="n"/>
      <c r="N512" s="17" t="n"/>
      <c r="O512" s="17" t="n"/>
      <c r="P512" s="17" t="n"/>
      <c r="Q512" s="17" t="n"/>
      <c r="R512" s="17" t="n"/>
      <c r="S512" s="17" t="n"/>
    </row>
    <row r="513">
      <c r="A513" s="15" t="n">
        <v>44032</v>
      </c>
      <c r="B513" s="10" t="n">
        <v>30</v>
      </c>
      <c r="C513" s="9" t="n">
        <v>25</v>
      </c>
      <c r="D513" s="17" t="inlineStr">
        <is>
          <t>Preston Way</t>
        </is>
      </c>
      <c r="E513" s="9">
        <f>if($A513&lt;&gt;"",E512+B513,"")</f>
        <v/>
      </c>
      <c r="F513" s="10">
        <f>if($A513&lt;&gt;"",F512+C513,"")</f>
        <v/>
      </c>
      <c r="G513" s="11">
        <f>IF($A513&lt;&gt;"",IF(F513-E513=0,"tie",IF(F513-E513&gt;0,"+"&amp;F513-E513,"+"&amp;E513-F513)),"")</f>
        <v/>
      </c>
      <c r="H513" s="12">
        <f>if($A513&lt;&gt;"",if(B513&gt;C513,if(B513&lt;60,1,2),""),"")</f>
        <v/>
      </c>
      <c r="I513" s="12">
        <f>if($A513&lt;&gt;"",if(C513&gt;B513,if(C513&lt;60,1,2),""),"")</f>
        <v/>
      </c>
      <c r="J513" s="9">
        <f>if($A513&lt;&gt;"",J512+H513,"")</f>
        <v/>
      </c>
      <c r="K513" s="9">
        <f>if($A513&lt;&gt;"",K512+I513,"")</f>
        <v/>
      </c>
      <c r="L513" s="11">
        <f>IF($A513&lt;&gt;"",IF(K513-J513=0,"tie",IF(K513-J513&gt;0,"+"&amp;K513-J513,"+"&amp;J513-K513)),"")</f>
        <v/>
      </c>
      <c r="M513" s="17" t="n"/>
      <c r="N513" s="17" t="n"/>
      <c r="O513" s="17" t="n"/>
      <c r="P513" s="17" t="n"/>
      <c r="Q513" s="17" t="n"/>
      <c r="R513" s="17" t="n"/>
      <c r="S513" s="17" t="n"/>
    </row>
    <row r="514">
      <c r="A514" s="15" t="n">
        <v>44033</v>
      </c>
      <c r="B514" s="10" t="n">
        <v>60</v>
      </c>
      <c r="C514" s="9" t="n">
        <v>50</v>
      </c>
      <c r="D514" s="17" t="inlineStr">
        <is>
          <t>Preston Way</t>
        </is>
      </c>
      <c r="E514" s="9">
        <f>if($A514&lt;&gt;"",E513+B514,"")</f>
        <v/>
      </c>
      <c r="F514" s="10">
        <f>if($A514&lt;&gt;"",F513+C514,"")</f>
        <v/>
      </c>
      <c r="G514" s="11">
        <f>IF($A514&lt;&gt;"",IF(F514-E514=0,"tie",IF(F514-E514&gt;0,"+"&amp;F514-E514,"+"&amp;E514-F514)),"")</f>
        <v/>
      </c>
      <c r="H514" s="12">
        <f>if($A514&lt;&gt;"",if(B514&gt;C514,if(B514&lt;60,1,2),""),"")</f>
        <v/>
      </c>
      <c r="I514" s="12">
        <f>if($A514&lt;&gt;"",if(C514&gt;B514,if(C514&lt;60,1,2),""),"")</f>
        <v/>
      </c>
      <c r="J514" s="9">
        <f>if($A514&lt;&gt;"",J513+H514,"")</f>
        <v/>
      </c>
      <c r="K514" s="9">
        <f>if($A514&lt;&gt;"",K513+I514,"")</f>
        <v/>
      </c>
      <c r="L514" s="11">
        <f>IF($A514&lt;&gt;"",IF(K514-J514=0,"tie",IF(K514-J514&gt;0,"+"&amp;K514-J514,"+"&amp;J514-K514)),"")</f>
        <v/>
      </c>
      <c r="M514" s="17" t="n"/>
      <c r="N514" s="17" t="n"/>
      <c r="O514" s="17" t="n"/>
      <c r="P514" s="17" t="n"/>
      <c r="Q514" s="17" t="n"/>
      <c r="R514" s="17" t="n"/>
      <c r="S514" s="17" t="n"/>
    </row>
    <row r="515">
      <c r="A515" s="15" t="n">
        <v>44034</v>
      </c>
      <c r="B515" s="9" t="n">
        <v>25</v>
      </c>
      <c r="C515" s="10" t="n">
        <v>30</v>
      </c>
      <c r="D515" s="17" t="inlineStr">
        <is>
          <t>Preston Way</t>
        </is>
      </c>
      <c r="E515" s="9">
        <f>if($A515&lt;&gt;"",E514+B515,"")</f>
        <v/>
      </c>
      <c r="F515" s="10">
        <f>if($A515&lt;&gt;"",F514+C515,"")</f>
        <v/>
      </c>
      <c r="G515" s="11">
        <f>IF($A515&lt;&gt;"",IF(F515-E515=0,"tie",IF(F515-E515&gt;0,"+"&amp;F515-E515,"+"&amp;E515-F515)),"")</f>
        <v/>
      </c>
      <c r="H515" s="12">
        <f>if($A515&lt;&gt;"",if(B515&gt;C515,if(B515&lt;60,1,2),""),"")</f>
        <v/>
      </c>
      <c r="I515" s="12">
        <f>if($A515&lt;&gt;"",if(C515&gt;B515,if(C515&lt;60,1,2),""),"")</f>
        <v/>
      </c>
      <c r="J515" s="9">
        <f>if($A515&lt;&gt;"",J514+H515,"")</f>
        <v/>
      </c>
      <c r="K515" s="9">
        <f>if($A515&lt;&gt;"",K514+I515,"")</f>
        <v/>
      </c>
      <c r="L515" s="11">
        <f>IF($A515&lt;&gt;"",IF(K515-J515=0,"tie",IF(K515-J515&gt;0,"+"&amp;K515-J515,"+"&amp;J515-K515)),"")</f>
        <v/>
      </c>
      <c r="M515" s="17" t="n"/>
      <c r="N515" s="17" t="n"/>
      <c r="O515" s="17" t="n"/>
      <c r="P515" s="17" t="n"/>
      <c r="Q515" s="17" t="n"/>
      <c r="R515" s="17" t="n"/>
      <c r="S515" s="17" t="n"/>
    </row>
    <row r="516">
      <c r="A516" s="15" t="n">
        <v>44035</v>
      </c>
      <c r="B516" s="10" t="n">
        <v>30</v>
      </c>
      <c r="C516" s="9" t="n">
        <v>25</v>
      </c>
      <c r="D516" s="17" t="inlineStr">
        <is>
          <t>Preston Way</t>
        </is>
      </c>
      <c r="E516" s="9">
        <f>if($A516&lt;&gt;"",E515+B516,"")</f>
        <v/>
      </c>
      <c r="F516" s="10">
        <f>if($A516&lt;&gt;"",F515+C516,"")</f>
        <v/>
      </c>
      <c r="G516" s="11">
        <f>IF($A516&lt;&gt;"",IF(F516-E516=0,"tie",IF(F516-E516&gt;0,"+"&amp;F516-E516,"+"&amp;E516-F516)),"")</f>
        <v/>
      </c>
      <c r="H516" s="12">
        <f>if($A516&lt;&gt;"",if(B516&gt;C516,if(B516&lt;60,1,2),""),"")</f>
        <v/>
      </c>
      <c r="I516" s="12">
        <f>if($A516&lt;&gt;"",if(C516&gt;B516,if(C516&lt;60,1,2),""),"")</f>
        <v/>
      </c>
      <c r="J516" s="9">
        <f>if($A516&lt;&gt;"",J515+H516,"")</f>
        <v/>
      </c>
      <c r="K516" s="9">
        <f>if($A516&lt;&gt;"",K515+I516,"")</f>
        <v/>
      </c>
      <c r="L516" s="11">
        <f>IF($A516&lt;&gt;"",IF(K516-J516=0,"tie",IF(K516-J516&gt;0,"+"&amp;K516-J516,"+"&amp;J516-K516)),"")</f>
        <v/>
      </c>
      <c r="M516" s="17" t="n"/>
      <c r="N516" s="17" t="n"/>
      <c r="O516" s="17" t="n"/>
      <c r="P516" s="17" t="n"/>
      <c r="Q516" s="17" t="n"/>
      <c r="R516" s="17" t="n"/>
      <c r="S516" s="17" t="n"/>
    </row>
    <row r="517">
      <c r="A517" s="15" t="n">
        <v>44036</v>
      </c>
      <c r="B517" s="9" t="n">
        <v>25</v>
      </c>
      <c r="C517" s="10" t="n">
        <v>30</v>
      </c>
      <c r="D517" s="17" t="inlineStr">
        <is>
          <t>Preston Way</t>
        </is>
      </c>
      <c r="E517" s="9">
        <f>if($A517&lt;&gt;"",E516+B517,"")</f>
        <v/>
      </c>
      <c r="F517" s="10">
        <f>if($A517&lt;&gt;"",F516+C517,"")</f>
        <v/>
      </c>
      <c r="G517" s="11">
        <f>IF($A517&lt;&gt;"",IF(F517-E517=0,"tie",IF(F517-E517&gt;0,"+"&amp;F517-E517,"+"&amp;E517-F517)),"")</f>
        <v/>
      </c>
      <c r="H517" s="12">
        <f>if($A517&lt;&gt;"",if(B517&gt;C517,if(B517&lt;60,1,2),""),"")</f>
        <v/>
      </c>
      <c r="I517" s="12">
        <f>if($A517&lt;&gt;"",if(C517&gt;B517,if(C517&lt;60,1,2),""),"")</f>
        <v/>
      </c>
      <c r="J517" s="9">
        <f>if($A517&lt;&gt;"",J516+H517,"")</f>
        <v/>
      </c>
      <c r="K517" s="9">
        <f>if($A517&lt;&gt;"",K516+I517,"")</f>
        <v/>
      </c>
      <c r="L517" s="11">
        <f>IF($A517&lt;&gt;"",IF(K517-J517=0,"tie",IF(K517-J517&gt;0,"+"&amp;K517-J517,"+"&amp;J517-K517)),"")</f>
        <v/>
      </c>
      <c r="M517" s="17" t="n"/>
      <c r="N517" s="17" t="n"/>
      <c r="O517" s="17" t="n"/>
      <c r="P517" s="17" t="n"/>
      <c r="Q517" s="17" t="n"/>
      <c r="R517" s="17" t="n"/>
      <c r="S517" s="17" t="n"/>
    </row>
    <row r="518">
      <c r="A518" s="15" t="n">
        <v>44036</v>
      </c>
      <c r="B518" s="9" t="n">
        <v>25</v>
      </c>
      <c r="C518" s="10" t="n">
        <v>30</v>
      </c>
      <c r="D518" s="17" t="inlineStr">
        <is>
          <t>Preston Way</t>
        </is>
      </c>
      <c r="E518" s="9">
        <f>if($A518&lt;&gt;"",E517+B518,"")</f>
        <v/>
      </c>
      <c r="F518" s="10">
        <f>if($A518&lt;&gt;"",F517+C518,"")</f>
        <v/>
      </c>
      <c r="G518" s="11">
        <f>IF($A518&lt;&gt;"",IF(F518-E518=0,"tie",IF(F518-E518&gt;0,"+"&amp;F518-E518,"+"&amp;E518-F518)),"")</f>
        <v/>
      </c>
      <c r="H518" s="12">
        <f>if($A518&lt;&gt;"",if(B518&gt;C518,if(B518&lt;60,1,2),""),"")</f>
        <v/>
      </c>
      <c r="I518" s="12">
        <f>if($A518&lt;&gt;"",if(C518&gt;B518,if(C518&lt;60,1,2),""),"")</f>
        <v/>
      </c>
      <c r="J518" s="9">
        <f>if($A518&lt;&gt;"",J517+H518,"")</f>
        <v/>
      </c>
      <c r="K518" s="9">
        <f>if($A518&lt;&gt;"",K517+I518,"")</f>
        <v/>
      </c>
      <c r="L518" s="11">
        <f>IF($A518&lt;&gt;"",IF(K518-J518=0,"tie",IF(K518-J518&gt;0,"+"&amp;K518-J518,"+"&amp;J518-K518)),"")</f>
        <v/>
      </c>
      <c r="M518" s="17" t="n"/>
      <c r="N518" s="17" t="n"/>
      <c r="O518" s="17" t="n"/>
      <c r="P518" s="17" t="n"/>
      <c r="Q518" s="17" t="n"/>
      <c r="R518" s="17" t="n"/>
      <c r="S518" s="17" t="n"/>
    </row>
    <row r="519">
      <c r="A519" s="15" t="n">
        <v>44038</v>
      </c>
      <c r="B519" s="10" t="n">
        <v>30</v>
      </c>
      <c r="C519" s="9" t="n">
        <v>25</v>
      </c>
      <c r="D519" s="17" t="inlineStr">
        <is>
          <t>Preston Way</t>
        </is>
      </c>
      <c r="E519" s="9">
        <f>if($A519&lt;&gt;"",E518+B519,"")</f>
        <v/>
      </c>
      <c r="F519" s="10">
        <f>if($A519&lt;&gt;"",F518+C519,"")</f>
        <v/>
      </c>
      <c r="G519" s="11">
        <f>IF($A519&lt;&gt;"",IF(F519-E519=0,"tie",IF(F519-E519&gt;0,"+"&amp;F519-E519,"+"&amp;E519-F519)),"")</f>
        <v/>
      </c>
      <c r="H519" s="12">
        <f>if($A519&lt;&gt;"",if(B519&gt;C519,if(B519&lt;60,1,2),""),"")</f>
        <v/>
      </c>
      <c r="I519" s="12">
        <f>if($A519&lt;&gt;"",if(C519&gt;B519,if(C519&lt;60,1,2),""),"")</f>
        <v/>
      </c>
      <c r="J519" s="9">
        <f>if($A519&lt;&gt;"",J518+H519,"")</f>
        <v/>
      </c>
      <c r="K519" s="9">
        <f>if($A519&lt;&gt;"",K518+I519,"")</f>
        <v/>
      </c>
      <c r="L519" s="11">
        <f>IF($A519&lt;&gt;"",IF(K519-J519=0,"tie",IF(K519-J519&gt;0,"+"&amp;K519-J519,"+"&amp;J519-K519)),"")</f>
        <v/>
      </c>
      <c r="M519" s="17" t="n"/>
      <c r="N519" s="17" t="n"/>
      <c r="O519" s="17" t="n"/>
      <c r="P519" s="17" t="n"/>
      <c r="Q519" s="17" t="n"/>
      <c r="R519" s="17" t="n"/>
      <c r="S519" s="17" t="n"/>
    </row>
    <row r="520">
      <c r="A520" s="15" t="n">
        <v>44047</v>
      </c>
      <c r="B520" s="10" t="n">
        <v>60</v>
      </c>
      <c r="C520" s="9" t="n">
        <v>50</v>
      </c>
      <c r="D520" s="17" t="inlineStr">
        <is>
          <t>Preston Way</t>
        </is>
      </c>
      <c r="E520" s="9">
        <f>if($A520&lt;&gt;"",E519+B520,"")</f>
        <v/>
      </c>
      <c r="F520" s="10">
        <f>if($A520&lt;&gt;"",F519+C520,"")</f>
        <v/>
      </c>
      <c r="G520" s="11">
        <f>IF($A520&lt;&gt;"",IF(F520-E520=0,"tie",IF(F520-E520&gt;0,"+"&amp;F520-E520,"+"&amp;E520-F520)),"")</f>
        <v/>
      </c>
      <c r="H520" s="12">
        <f>if($A520&lt;&gt;"",if(B520&gt;C520,if(B520&lt;60,1,2),""),"")</f>
        <v/>
      </c>
      <c r="I520" s="12">
        <f>if($A520&lt;&gt;"",if(C520&gt;B520,if(C520&lt;60,1,2),""),"")</f>
        <v/>
      </c>
      <c r="J520" s="9">
        <f>if($A520&lt;&gt;"",J519+H520,"")</f>
        <v/>
      </c>
      <c r="K520" s="9">
        <f>if($A520&lt;&gt;"",K519+I520,"")</f>
        <v/>
      </c>
      <c r="L520" s="11">
        <f>IF($A520&lt;&gt;"",IF(K520-J520=0,"tie",IF(K520-J520&gt;0,"+"&amp;K520-J520,"+"&amp;J520-K520)),"")</f>
        <v/>
      </c>
      <c r="M520" s="17" t="n"/>
      <c r="N520" s="17" t="n"/>
      <c r="O520" s="17" t="n"/>
      <c r="P520" s="17" t="n"/>
      <c r="Q520" s="17" t="n"/>
      <c r="R520" s="17" t="n"/>
      <c r="S520" s="17" t="n"/>
    </row>
    <row r="521">
      <c r="A521" s="15" t="n">
        <v>44048</v>
      </c>
      <c r="B521" s="9" t="n">
        <v>25</v>
      </c>
      <c r="C521" s="10" t="n">
        <v>30</v>
      </c>
      <c r="D521" s="17" t="inlineStr">
        <is>
          <t>Preston Way</t>
        </is>
      </c>
      <c r="E521" s="9">
        <f>if($A521&lt;&gt;"",E520+B521,"")</f>
        <v/>
      </c>
      <c r="F521" s="10">
        <f>if($A521&lt;&gt;"",F520+C521,"")</f>
        <v/>
      </c>
      <c r="G521" s="11">
        <f>IF($A521&lt;&gt;"",IF(F521-E521=0,"tie",IF(F521-E521&gt;0,"+"&amp;F521-E521,"+"&amp;E521-F521)),"")</f>
        <v/>
      </c>
      <c r="H521" s="12">
        <f>if($A521&lt;&gt;"",if(B521&gt;C521,if(B521&lt;60,1,2),""),"")</f>
        <v/>
      </c>
      <c r="I521" s="12">
        <f>if($A521&lt;&gt;"",if(C521&gt;B521,if(C521&lt;60,1,2),""),"")</f>
        <v/>
      </c>
      <c r="J521" s="9">
        <f>if($A521&lt;&gt;"",J520+H521,"")</f>
        <v/>
      </c>
      <c r="K521" s="9">
        <f>if($A521&lt;&gt;"",K520+I521,"")</f>
        <v/>
      </c>
      <c r="L521" s="11">
        <f>IF($A521&lt;&gt;"",IF(K521-J521=0,"tie",IF(K521-J521&gt;0,"+"&amp;K521-J521,"+"&amp;J521-K521)),"")</f>
        <v/>
      </c>
      <c r="M521" s="17" t="n"/>
      <c r="N521" s="17" t="n"/>
      <c r="O521" s="17" t="n"/>
      <c r="P521" s="17" t="n"/>
      <c r="Q521" s="17" t="n"/>
      <c r="R521" s="17" t="n"/>
      <c r="S521" s="17" t="n"/>
    </row>
    <row r="522">
      <c r="A522" s="15" t="n">
        <v>44050</v>
      </c>
      <c r="B522" s="9" t="n">
        <v>25</v>
      </c>
      <c r="C522" s="10" t="n">
        <v>30</v>
      </c>
      <c r="D522" s="17" t="inlineStr">
        <is>
          <t>Preston Way</t>
        </is>
      </c>
      <c r="E522" s="9">
        <f>if($A522&lt;&gt;"",E521+B522,"")</f>
        <v/>
      </c>
      <c r="F522" s="10">
        <f>if($A522&lt;&gt;"",F521+C522,"")</f>
        <v/>
      </c>
      <c r="G522" s="11">
        <f>IF($A522&lt;&gt;"",IF(F522-E522=0,"tie",IF(F522-E522&gt;0,"+"&amp;F522-E522,"+"&amp;E522-F522)),"")</f>
        <v/>
      </c>
      <c r="H522" s="12">
        <f>if($A522&lt;&gt;"",if(B522&gt;C522,if(B522&lt;60,1,2),""),"")</f>
        <v/>
      </c>
      <c r="I522" s="12">
        <f>if($A522&lt;&gt;"",if(C522&gt;B522,if(C522&lt;60,1,2),""),"")</f>
        <v/>
      </c>
      <c r="J522" s="9">
        <f>if($A522&lt;&gt;"",J521+H522,"")</f>
        <v/>
      </c>
      <c r="K522" s="9">
        <f>if($A522&lt;&gt;"",K521+I522,"")</f>
        <v/>
      </c>
      <c r="L522" s="11">
        <f>IF($A522&lt;&gt;"",IF(K522-J522=0,"tie",IF(K522-J522&gt;0,"+"&amp;K522-J522,"+"&amp;J522-K522)),"")</f>
        <v/>
      </c>
      <c r="M522" s="17" t="n"/>
      <c r="N522" s="17" t="n"/>
      <c r="O522" s="17" t="n"/>
      <c r="P522" s="17" t="n"/>
      <c r="Q522" s="17" t="n"/>
      <c r="R522" s="17" t="n"/>
      <c r="S522" s="17" t="n"/>
    </row>
    <row r="523">
      <c r="A523" s="15" t="n">
        <v>44052</v>
      </c>
      <c r="B523" s="9" t="n">
        <v>25</v>
      </c>
      <c r="C523" s="10" t="n">
        <v>30</v>
      </c>
      <c r="D523" s="17" t="inlineStr">
        <is>
          <t>Preston Way</t>
        </is>
      </c>
      <c r="E523" s="9">
        <f>if($A523&lt;&gt;"",E522+B523,"")</f>
        <v/>
      </c>
      <c r="F523" s="10">
        <f>if($A523&lt;&gt;"",F522+C523,"")</f>
        <v/>
      </c>
      <c r="G523" s="11">
        <f>IF($A523&lt;&gt;"",IF(F523-E523=0,"tie",IF(F523-E523&gt;0,"+"&amp;F523-E523,"+"&amp;E523-F523)),"")</f>
        <v/>
      </c>
      <c r="H523" s="12">
        <f>if($A523&lt;&gt;"",if(B523&gt;C523,if(B523&lt;60,1,2),""),"")</f>
        <v/>
      </c>
      <c r="I523" s="12">
        <f>if($A523&lt;&gt;"",if(C523&gt;B523,if(C523&lt;60,1,2),""),"")</f>
        <v/>
      </c>
      <c r="J523" s="9">
        <f>if($A523&lt;&gt;"",J522+H523,"")</f>
        <v/>
      </c>
      <c r="K523" s="9">
        <f>if($A523&lt;&gt;"",K522+I523,"")</f>
        <v/>
      </c>
      <c r="L523" s="11">
        <f>IF($A523&lt;&gt;"",IF(K523-J523=0,"tie",IF(K523-J523&gt;0,"+"&amp;K523-J523,"+"&amp;J523-K523)),"")</f>
        <v/>
      </c>
      <c r="M523" s="17" t="n"/>
      <c r="N523" s="17" t="n"/>
      <c r="O523" s="17" t="n"/>
      <c r="P523" s="17" t="n"/>
      <c r="Q523" s="17" t="n"/>
      <c r="R523" s="17" t="n"/>
      <c r="S523" s="17" t="n"/>
    </row>
    <row r="524">
      <c r="A524" s="15" t="n">
        <v>44052</v>
      </c>
      <c r="B524" s="9" t="n">
        <v>25</v>
      </c>
      <c r="C524" s="10" t="n">
        <v>30</v>
      </c>
      <c r="D524" s="17" t="inlineStr">
        <is>
          <t>Preston Way</t>
        </is>
      </c>
      <c r="E524" s="9">
        <f>if($A524&lt;&gt;"",E523+B524,"")</f>
        <v/>
      </c>
      <c r="F524" s="10">
        <f>if($A524&lt;&gt;"",F523+C524,"")</f>
        <v/>
      </c>
      <c r="G524" s="11">
        <f>IF($A524&lt;&gt;"",IF(F524-E524=0,"tie",IF(F524-E524&gt;0,"+"&amp;F524-E524,"+"&amp;E524-F524)),"")</f>
        <v/>
      </c>
      <c r="H524" s="12">
        <f>if($A524&lt;&gt;"",if(B524&gt;C524,if(B524&lt;60,1,2),""),"")</f>
        <v/>
      </c>
      <c r="I524" s="12">
        <f>if($A524&lt;&gt;"",if(C524&gt;B524,if(C524&lt;60,1,2),""),"")</f>
        <v/>
      </c>
      <c r="J524" s="9">
        <f>if($A524&lt;&gt;"",J523+H524,"")</f>
        <v/>
      </c>
      <c r="K524" s="9">
        <f>if($A524&lt;&gt;"",K523+I524,"")</f>
        <v/>
      </c>
      <c r="L524" s="11">
        <f>IF($A524&lt;&gt;"",IF(K524-J524=0,"tie",IF(K524-J524&gt;0,"+"&amp;K524-J524,"+"&amp;J524-K524)),"")</f>
        <v/>
      </c>
      <c r="M524" s="17" t="n"/>
      <c r="N524" s="17" t="n"/>
      <c r="O524" s="17" t="n"/>
      <c r="P524" s="17" t="n"/>
      <c r="Q524" s="17" t="n"/>
      <c r="R524" s="17" t="n"/>
      <c r="S524" s="17" t="n"/>
    </row>
    <row r="525">
      <c r="A525" s="15" t="n">
        <v>44056</v>
      </c>
      <c r="B525" s="9" t="n">
        <v>25</v>
      </c>
      <c r="C525" s="10" t="n">
        <v>30</v>
      </c>
      <c r="D525" s="17" t="inlineStr">
        <is>
          <t>Preston Way</t>
        </is>
      </c>
      <c r="E525" s="9">
        <f>if($A525&lt;&gt;"",E524+B525,"")</f>
        <v/>
      </c>
      <c r="F525" s="10">
        <f>if($A525&lt;&gt;"",F524+C525,"")</f>
        <v/>
      </c>
      <c r="G525" s="11">
        <f>IF($A525&lt;&gt;"",IF(F525-E525=0,"tie",IF(F525-E525&gt;0,"+"&amp;F525-E525,"+"&amp;E525-F525)),"")</f>
        <v/>
      </c>
      <c r="H525" s="12">
        <f>if($A525&lt;&gt;"",if(B525&gt;C525,if(B525&lt;60,1,2),""),"")</f>
        <v/>
      </c>
      <c r="I525" s="12">
        <f>if($A525&lt;&gt;"",if(C525&gt;B525,if(C525&lt;60,1,2),""),"")</f>
        <v/>
      </c>
      <c r="J525" s="9">
        <f>if($A525&lt;&gt;"",J524+H525,"")</f>
        <v/>
      </c>
      <c r="K525" s="9">
        <f>if($A525&lt;&gt;"",K524+I525,"")</f>
        <v/>
      </c>
      <c r="L525" s="11">
        <f>IF($A525&lt;&gt;"",IF(K525-J525=0,"tie",IF(K525-J525&gt;0,"+"&amp;K525-J525,"+"&amp;J525-K525)),"")</f>
        <v/>
      </c>
      <c r="M525" s="17" t="n"/>
      <c r="N525" s="17" t="n"/>
      <c r="O525" s="17" t="n"/>
      <c r="P525" s="17" t="n"/>
      <c r="Q525" s="17" t="n"/>
      <c r="R525" s="17" t="n"/>
      <c r="S525" s="17" t="n"/>
    </row>
    <row r="526">
      <c r="A526" s="15" t="n">
        <v>44059</v>
      </c>
      <c r="B526" s="10" t="n">
        <v>30</v>
      </c>
      <c r="C526" s="9" t="n">
        <v>25</v>
      </c>
      <c r="D526" s="17" t="inlineStr">
        <is>
          <t>Preston Way</t>
        </is>
      </c>
      <c r="E526" s="9">
        <f>if($A526&lt;&gt;"",E525+B526,"")</f>
        <v/>
      </c>
      <c r="F526" s="10">
        <f>if($A526&lt;&gt;"",F525+C526,"")</f>
        <v/>
      </c>
      <c r="G526" s="11">
        <f>IF($A526&lt;&gt;"",IF(F526-E526=0,"tie",IF(F526-E526&gt;0,"+"&amp;F526-E526,"+"&amp;E526-F526)),"")</f>
        <v/>
      </c>
      <c r="H526" s="12">
        <f>if($A526&lt;&gt;"",if(B526&gt;C526,if(B526&lt;60,1,2),""),"")</f>
        <v/>
      </c>
      <c r="I526" s="12">
        <f>if($A526&lt;&gt;"",if(C526&gt;B526,if(C526&lt;60,1,2),""),"")</f>
        <v/>
      </c>
      <c r="J526" s="9">
        <f>if($A526&lt;&gt;"",J525+H526,"")</f>
        <v/>
      </c>
      <c r="K526" s="9">
        <f>if($A526&lt;&gt;"",K525+I526,"")</f>
        <v/>
      </c>
      <c r="L526" s="11">
        <f>IF($A526&lt;&gt;"",IF(K526-J526=0,"tie",IF(K526-J526&gt;0,"+"&amp;K526-J526,"+"&amp;J526-K526)),"")</f>
        <v/>
      </c>
      <c r="M526" s="17" t="n"/>
      <c r="N526" s="17" t="n"/>
      <c r="O526" s="17" t="n"/>
      <c r="P526" s="17" t="n"/>
      <c r="Q526" s="17" t="n"/>
      <c r="R526" s="17" t="n"/>
      <c r="S526" s="17" t="n"/>
    </row>
    <row r="527">
      <c r="A527" s="15" t="n">
        <v>44061</v>
      </c>
      <c r="B527" s="10" t="n">
        <v>30</v>
      </c>
      <c r="C527" s="9" t="n">
        <v>25</v>
      </c>
      <c r="D527" s="17" t="inlineStr">
        <is>
          <t>Preston Way</t>
        </is>
      </c>
      <c r="E527" s="9">
        <f>if($A527&lt;&gt;"",E526+B527,"")</f>
        <v/>
      </c>
      <c r="F527" s="10">
        <f>if($A527&lt;&gt;"",F526+C527,"")</f>
        <v/>
      </c>
      <c r="G527" s="11">
        <f>IF($A527&lt;&gt;"",IF(F527-E527=0,"tie",IF(F527-E527&gt;0,"+"&amp;F527-E527,"+"&amp;E527-F527)),"")</f>
        <v/>
      </c>
      <c r="H527" s="12">
        <f>if($A527&lt;&gt;"",if(B527&gt;C527,if(B527&lt;60,1,2),""),"")</f>
        <v/>
      </c>
      <c r="I527" s="12">
        <f>if($A527&lt;&gt;"",if(C527&gt;B527,if(C527&lt;60,1,2),""),"")</f>
        <v/>
      </c>
      <c r="J527" s="9">
        <f>if($A527&lt;&gt;"",J526+H527,"")</f>
        <v/>
      </c>
      <c r="K527" s="9">
        <f>if($A527&lt;&gt;"",K526+I527,"")</f>
        <v/>
      </c>
      <c r="L527" s="11">
        <f>IF($A527&lt;&gt;"",IF(K527-J527=0,"tie",IF(K527-J527&gt;0,"+"&amp;K527-J527,"+"&amp;J527-K527)),"")</f>
        <v/>
      </c>
      <c r="M527" s="17" t="n"/>
      <c r="N527" s="17" t="n"/>
      <c r="O527" s="17" t="n"/>
      <c r="P527" s="17" t="n"/>
      <c r="Q527" s="17" t="n"/>
      <c r="R527" s="17" t="n"/>
      <c r="S527" s="17" t="n"/>
    </row>
    <row r="528">
      <c r="A528" s="15" t="n">
        <v>44062</v>
      </c>
      <c r="B528" s="10" t="n">
        <v>30</v>
      </c>
      <c r="C528" s="9" t="n">
        <v>25</v>
      </c>
      <c r="D528" s="17" t="inlineStr">
        <is>
          <t>Preston Way</t>
        </is>
      </c>
      <c r="E528" s="9">
        <f>if($A528&lt;&gt;"",E527+B528,"")</f>
        <v/>
      </c>
      <c r="F528" s="10">
        <f>if($A528&lt;&gt;"",F527+C528,"")</f>
        <v/>
      </c>
      <c r="G528" s="11">
        <f>IF($A528&lt;&gt;"",IF(F528-E528=0,"tie",IF(F528-E528&gt;0,"+"&amp;F528-E528,"+"&amp;E528-F528)),"")</f>
        <v/>
      </c>
      <c r="H528" s="12">
        <f>if($A528&lt;&gt;"",if(B528&gt;C528,if(B528&lt;60,1,2),""),"")</f>
        <v/>
      </c>
      <c r="I528" s="12">
        <f>if($A528&lt;&gt;"",if(C528&gt;B528,if(C528&lt;60,1,2),""),"")</f>
        <v/>
      </c>
      <c r="J528" s="9">
        <f>if($A528&lt;&gt;"",J527+H528,"")</f>
        <v/>
      </c>
      <c r="K528" s="9">
        <f>if($A528&lt;&gt;"",K527+I528,"")</f>
        <v/>
      </c>
      <c r="L528" s="11">
        <f>IF($A528&lt;&gt;"",IF(K528-J528=0,"tie",IF(K528-J528&gt;0,"+"&amp;K528-J528,"+"&amp;J528-K528)),"")</f>
        <v/>
      </c>
      <c r="M528" s="17" t="n"/>
      <c r="N528" s="17" t="n"/>
      <c r="O528" s="17" t="n"/>
      <c r="P528" s="17" t="n"/>
      <c r="Q528" s="17" t="n"/>
      <c r="R528" s="17" t="n"/>
      <c r="S528" s="17" t="n"/>
    </row>
    <row r="529">
      <c r="A529" s="15" t="n">
        <v>44067</v>
      </c>
      <c r="B529" s="9" t="n">
        <v>25</v>
      </c>
      <c r="C529" s="10" t="n">
        <v>30</v>
      </c>
      <c r="D529" s="17" t="inlineStr">
        <is>
          <t>Preston Way</t>
        </is>
      </c>
      <c r="E529" s="9">
        <f>if($A529&lt;&gt;"",E528+B529,"")</f>
        <v/>
      </c>
      <c r="F529" s="10">
        <f>if($A529&lt;&gt;"",F528+C529,"")</f>
        <v/>
      </c>
      <c r="G529" s="11">
        <f>IF($A529&lt;&gt;"",IF(F529-E529=0,"tie",IF(F529-E529&gt;0,"+"&amp;F529-E529,"+"&amp;E529-F529)),"")</f>
        <v/>
      </c>
      <c r="H529" s="12">
        <f>if($A529&lt;&gt;"",if(B529&gt;C529,if(B529&lt;60,1,2),""),"")</f>
        <v/>
      </c>
      <c r="I529" s="12">
        <f>if($A529&lt;&gt;"",if(C529&gt;B529,if(C529&lt;60,1,2),""),"")</f>
        <v/>
      </c>
      <c r="J529" s="9">
        <f>if($A529&lt;&gt;"",J528+H529,"")</f>
        <v/>
      </c>
      <c r="K529" s="9">
        <f>if($A529&lt;&gt;"",K528+I529,"")</f>
        <v/>
      </c>
      <c r="L529" s="11">
        <f>IF($A529&lt;&gt;"",IF(K529-J529=0,"tie",IF(K529-J529&gt;0,"+"&amp;K529-J529,"+"&amp;J529-K529)),"")</f>
        <v/>
      </c>
      <c r="M529" s="17" t="n"/>
      <c r="N529" s="17" t="n"/>
      <c r="O529" s="17" t="n"/>
      <c r="P529" s="17" t="n"/>
      <c r="Q529" s="17" t="n"/>
      <c r="R529" s="17" t="n"/>
      <c r="S529" s="17" t="n"/>
    </row>
    <row r="530">
      <c r="A530" s="15" t="n">
        <v>44068</v>
      </c>
      <c r="B530" s="9" t="n">
        <v>25</v>
      </c>
      <c r="C530" s="10" t="n">
        <v>30</v>
      </c>
      <c r="D530" s="17" t="inlineStr">
        <is>
          <t>Preston Way</t>
        </is>
      </c>
      <c r="E530" s="9">
        <f>if($A530&lt;&gt;"",E529+B530,"")</f>
        <v/>
      </c>
      <c r="F530" s="10">
        <f>if($A530&lt;&gt;"",F529+C530,"")</f>
        <v/>
      </c>
      <c r="G530" s="11">
        <f>IF($A530&lt;&gt;"",IF(F530-E530=0,"tie",IF(F530-E530&gt;0,"+"&amp;F530-E530,"+"&amp;E530-F530)),"")</f>
        <v/>
      </c>
      <c r="H530" s="12">
        <f>if($A530&lt;&gt;"",if(B530&gt;C530,if(B530&lt;60,1,2),""),"")</f>
        <v/>
      </c>
      <c r="I530" s="12">
        <f>if($A530&lt;&gt;"",if(C530&gt;B530,if(C530&lt;60,1,2),""),"")</f>
        <v/>
      </c>
      <c r="J530" s="9">
        <f>if($A530&lt;&gt;"",J529+H530,"")</f>
        <v/>
      </c>
      <c r="K530" s="9">
        <f>if($A530&lt;&gt;"",K529+I530,"")</f>
        <v/>
      </c>
      <c r="L530" s="11">
        <f>IF($A530&lt;&gt;"",IF(K530-J530=0,"tie",IF(K530-J530&gt;0,"+"&amp;K530-J530,"+"&amp;J530-K530)),"")</f>
        <v/>
      </c>
      <c r="M530" s="17" t="n"/>
      <c r="N530" s="17" t="n"/>
      <c r="O530" s="17" t="n"/>
      <c r="P530" s="17" t="n"/>
      <c r="Q530" s="17" t="n"/>
      <c r="R530" s="17" t="n"/>
      <c r="S530" s="17" t="n"/>
    </row>
    <row r="531">
      <c r="A531" s="15" t="n">
        <v>44072</v>
      </c>
      <c r="B531" s="10" t="n">
        <v>30</v>
      </c>
      <c r="C531" s="9" t="n">
        <v>25</v>
      </c>
      <c r="D531" s="17" t="inlineStr">
        <is>
          <t>Lake Ellery</t>
        </is>
      </c>
      <c r="E531" s="9">
        <f>if($A531&lt;&gt;"",E530+B531,"")</f>
        <v/>
      </c>
      <c r="F531" s="10">
        <f>if($A531&lt;&gt;"",F530+C531,"")</f>
        <v/>
      </c>
      <c r="G531" s="11">
        <f>IF($A531&lt;&gt;"",IF(F531-E531=0,"tie",IF(F531-E531&gt;0,"+"&amp;F531-E531,"+"&amp;E531-F531)),"")</f>
        <v/>
      </c>
      <c r="H531" s="12">
        <f>if($A531&lt;&gt;"",if(B531&gt;C531,if(B531&lt;60,1,2),""),"")</f>
        <v/>
      </c>
      <c r="I531" s="12">
        <f>if($A531&lt;&gt;"",if(C531&gt;B531,if(C531&lt;60,1,2),""),"")</f>
        <v/>
      </c>
      <c r="J531" s="9">
        <f>if($A531&lt;&gt;"",J530+H531,"")</f>
        <v/>
      </c>
      <c r="K531" s="9">
        <f>if($A531&lt;&gt;"",K530+I531,"")</f>
        <v/>
      </c>
      <c r="L531" s="11">
        <f>IF($A531&lt;&gt;"",IF(K531-J531=0,"tie",IF(K531-J531&gt;0,"+"&amp;K531-J531,"+"&amp;J531-K531)),"")</f>
        <v/>
      </c>
      <c r="M531" s="17" t="n"/>
      <c r="N531" s="17" t="n"/>
      <c r="O531" s="17" t="n"/>
      <c r="P531" s="17" t="n"/>
      <c r="Q531" s="17" t="n"/>
      <c r="R531" s="17" t="n"/>
      <c r="S531" s="17" t="n"/>
    </row>
    <row r="532">
      <c r="A532" s="15" t="n">
        <v>44080</v>
      </c>
      <c r="B532" s="9" t="n">
        <v>25</v>
      </c>
      <c r="C532" s="10" t="n">
        <v>30</v>
      </c>
      <c r="D532" s="17" t="inlineStr">
        <is>
          <t>Preston Way</t>
        </is>
      </c>
      <c r="E532" s="9">
        <f>if($A532&lt;&gt;"",E531+B532,"")</f>
        <v/>
      </c>
      <c r="F532" s="10">
        <f>if($A532&lt;&gt;"",F531+C532,"")</f>
        <v/>
      </c>
      <c r="G532" s="11">
        <f>IF($A532&lt;&gt;"",IF(F532-E532=0,"tie",IF(F532-E532&gt;0,"+"&amp;F532-E532,"+"&amp;E532-F532)),"")</f>
        <v/>
      </c>
      <c r="H532" s="12">
        <f>if($A532&lt;&gt;"",if(B532&gt;C532,if(B532&lt;60,1,2),""),"")</f>
        <v/>
      </c>
      <c r="I532" s="12">
        <f>if($A532&lt;&gt;"",if(C532&gt;B532,if(C532&lt;60,1,2),""),"")</f>
        <v/>
      </c>
      <c r="J532" s="9">
        <f>if($A532&lt;&gt;"",J531+H532,"")</f>
        <v/>
      </c>
      <c r="K532" s="9">
        <f>if($A532&lt;&gt;"",K531+I532,"")</f>
        <v/>
      </c>
      <c r="L532" s="11">
        <f>IF($A532&lt;&gt;"",IF(K532-J532=0,"tie",IF(K532-J532&gt;0,"+"&amp;K532-J532,"+"&amp;J532-K532)),"")</f>
        <v/>
      </c>
      <c r="M532" s="17" t="n"/>
      <c r="N532" s="17" t="n"/>
      <c r="O532" s="17" t="n"/>
      <c r="P532" s="17" t="n"/>
      <c r="Q532" s="17" t="n"/>
      <c r="R532" s="17" t="n"/>
      <c r="S532" s="17" t="n"/>
    </row>
    <row r="533">
      <c r="A533" s="15" t="n">
        <v>44081</v>
      </c>
      <c r="B533" s="10" t="n">
        <v>30</v>
      </c>
      <c r="C533" s="9" t="n">
        <v>25</v>
      </c>
      <c r="D533" s="17" t="inlineStr">
        <is>
          <t>Preston Way</t>
        </is>
      </c>
      <c r="E533" s="9">
        <f>if($A533&lt;&gt;"",E532+B533,"")</f>
        <v/>
      </c>
      <c r="F533" s="10">
        <f>if($A533&lt;&gt;"",F532+C533,"")</f>
        <v/>
      </c>
      <c r="G533" s="11">
        <f>IF($A533&lt;&gt;"",IF(F533-E533=0,"tie",IF(F533-E533&gt;0,"+"&amp;F533-E533,"+"&amp;E533-F533)),"")</f>
        <v/>
      </c>
      <c r="H533" s="12">
        <f>if($A533&lt;&gt;"",if(B533&gt;C533,if(B533&lt;60,1,2),""),"")</f>
        <v/>
      </c>
      <c r="I533" s="12">
        <f>if($A533&lt;&gt;"",if(C533&gt;B533,if(C533&lt;60,1,2),""),"")</f>
        <v/>
      </c>
      <c r="J533" s="9">
        <f>if($A533&lt;&gt;"",J532+H533,"")</f>
        <v/>
      </c>
      <c r="K533" s="9">
        <f>if($A533&lt;&gt;"",K532+I533,"")</f>
        <v/>
      </c>
      <c r="L533" s="11">
        <f>IF($A533&lt;&gt;"",IF(K533-J533=0,"tie",IF(K533-J533&gt;0,"+"&amp;K533-J533,"+"&amp;J533-K533)),"")</f>
        <v/>
      </c>
      <c r="M533" s="17" t="n"/>
      <c r="N533" s="17" t="n"/>
      <c r="O533" s="17" t="n"/>
      <c r="P533" s="17" t="n"/>
      <c r="Q533" s="17" t="n"/>
      <c r="R533" s="17" t="n"/>
      <c r="S533" s="17" t="n"/>
    </row>
    <row r="534">
      <c r="A534" s="15" t="n">
        <v>44081</v>
      </c>
      <c r="B534" s="9" t="n">
        <v>25</v>
      </c>
      <c r="C534" s="10" t="n">
        <v>30</v>
      </c>
      <c r="D534" s="17" t="inlineStr">
        <is>
          <t>Preston Way</t>
        </is>
      </c>
      <c r="E534" s="9">
        <f>if($A534&lt;&gt;"",E533+B534,"")</f>
        <v/>
      </c>
      <c r="F534" s="10">
        <f>if($A534&lt;&gt;"",F533+C534,"")</f>
        <v/>
      </c>
      <c r="G534" s="11">
        <f>IF($A534&lt;&gt;"",IF(F534-E534=0,"tie",IF(F534-E534&gt;0,"+"&amp;F534-E534,"+"&amp;E534-F534)),"")</f>
        <v/>
      </c>
      <c r="H534" s="12">
        <f>if($A534&lt;&gt;"",if(B534&gt;C534,if(B534&lt;60,1,2),""),"")</f>
        <v/>
      </c>
      <c r="I534" s="12">
        <f>if($A534&lt;&gt;"",if(C534&gt;B534,if(C534&lt;60,1,2),""),"")</f>
        <v/>
      </c>
      <c r="J534" s="9">
        <f>if($A534&lt;&gt;"",J533+H534,"")</f>
        <v/>
      </c>
      <c r="K534" s="9">
        <f>if($A534&lt;&gt;"",K533+I534,"")</f>
        <v/>
      </c>
      <c r="L534" s="11">
        <f>IF($A534&lt;&gt;"",IF(K534-J534=0,"tie",IF(K534-J534&gt;0,"+"&amp;K534-J534,"+"&amp;J534-K534)),"")</f>
        <v/>
      </c>
      <c r="M534" s="17" t="n"/>
      <c r="N534" s="17" t="n"/>
      <c r="O534" s="17" t="n"/>
      <c r="P534" s="17" t="n"/>
      <c r="Q534" s="17" t="n"/>
      <c r="R534" s="17" t="n"/>
      <c r="S534" s="17" t="n"/>
    </row>
    <row r="535">
      <c r="A535" s="15" t="n">
        <v>44083</v>
      </c>
      <c r="B535" s="10" t="n">
        <v>30</v>
      </c>
      <c r="C535" s="9" t="n">
        <v>25</v>
      </c>
      <c r="D535" s="17" t="inlineStr">
        <is>
          <t>Preston Way</t>
        </is>
      </c>
      <c r="E535" s="9">
        <f>if($A535&lt;&gt;"",E534+B535,"")</f>
        <v/>
      </c>
      <c r="F535" s="10">
        <f>if($A535&lt;&gt;"",F534+C535,"")</f>
        <v/>
      </c>
      <c r="G535" s="11">
        <f>IF($A535&lt;&gt;"",IF(F535-E535=0,"tie",IF(F535-E535&gt;0,"+"&amp;F535-E535,"+"&amp;E535-F535)),"")</f>
        <v/>
      </c>
      <c r="H535" s="12">
        <f>if($A535&lt;&gt;"",if(B535&gt;C535,if(B535&lt;60,1,2),""),"")</f>
        <v/>
      </c>
      <c r="I535" s="12">
        <f>if($A535&lt;&gt;"",if(C535&gt;B535,if(C535&lt;60,1,2),""),"")</f>
        <v/>
      </c>
      <c r="J535" s="9">
        <f>if($A535&lt;&gt;"",J534+H535,"")</f>
        <v/>
      </c>
      <c r="K535" s="9">
        <f>if($A535&lt;&gt;"",K534+I535,"")</f>
        <v/>
      </c>
      <c r="L535" s="11">
        <f>IF($A535&lt;&gt;"",IF(K535-J535=0,"tie",IF(K535-J535&gt;0,"+"&amp;K535-J535,"+"&amp;J535-K535)),"")</f>
        <v/>
      </c>
      <c r="M535" s="17" t="n"/>
      <c r="N535" s="17" t="n"/>
      <c r="O535" s="17" t="n"/>
      <c r="P535" s="17" t="n"/>
      <c r="Q535" s="17" t="n"/>
      <c r="R535" s="17" t="n"/>
      <c r="S535" s="17" t="n"/>
    </row>
    <row r="536">
      <c r="A536" s="15" t="n">
        <v>44090</v>
      </c>
      <c r="B536" s="10" t="n">
        <v>30</v>
      </c>
      <c r="C536" s="9" t="n">
        <v>25</v>
      </c>
      <c r="D536" s="17" t="inlineStr">
        <is>
          <t>Preston Way</t>
        </is>
      </c>
      <c r="E536" s="9">
        <f>if($A536&lt;&gt;"",E535+B536,"")</f>
        <v/>
      </c>
      <c r="F536" s="10">
        <f>if($A536&lt;&gt;"",F535+C536,"")</f>
        <v/>
      </c>
      <c r="G536" s="11">
        <f>IF($A536&lt;&gt;"",IF(F536-E536=0,"tie",IF(F536-E536&gt;0,"+"&amp;F536-E536,"+"&amp;E536-F536)),"")</f>
        <v/>
      </c>
      <c r="H536" s="12">
        <f>if($A536&lt;&gt;"",if(B536&gt;C536,if(B536&lt;60,1,2),""),"")</f>
        <v/>
      </c>
      <c r="I536" s="12">
        <f>if($A536&lt;&gt;"",if(C536&gt;B536,if(C536&lt;60,1,2),""),"")</f>
        <v/>
      </c>
      <c r="J536" s="9">
        <f>if($A536&lt;&gt;"",J535+H536,"")</f>
        <v/>
      </c>
      <c r="K536" s="9">
        <f>if($A536&lt;&gt;"",K535+I536,"")</f>
        <v/>
      </c>
      <c r="L536" s="11">
        <f>IF($A536&lt;&gt;"",IF(K536-J536=0,"tie",IF(K536-J536&gt;0,"+"&amp;K536-J536,"+"&amp;J536-K536)),"")</f>
        <v/>
      </c>
      <c r="M536" s="17" t="n"/>
      <c r="N536" s="17" t="n"/>
      <c r="O536" s="17" t="n"/>
      <c r="P536" s="17" t="n"/>
      <c r="Q536" s="17" t="n"/>
      <c r="R536" s="17" t="n"/>
      <c r="S536" s="17" t="n"/>
    </row>
    <row r="537">
      <c r="A537" s="15" t="n">
        <v>44092</v>
      </c>
      <c r="B537" s="16" t="n">
        <v>30</v>
      </c>
      <c r="C537" s="16" t="n">
        <v>30</v>
      </c>
      <c r="D537" s="17" t="inlineStr">
        <is>
          <t>Preston Way</t>
        </is>
      </c>
      <c r="E537" s="9">
        <f>if($A537&lt;&gt;"",E536+B537,"")</f>
        <v/>
      </c>
      <c r="F537" s="10">
        <f>if($A537&lt;&gt;"",F536+C537,"")</f>
        <v/>
      </c>
      <c r="G537" s="11">
        <f>IF($A537&lt;&gt;"",IF(F537-E537=0,"tie",IF(F537-E537&gt;0,"+"&amp;F537-E537,"+"&amp;E537-F537)),"")</f>
        <v/>
      </c>
      <c r="H537" s="12">
        <f>if($A537&lt;&gt;"",if(B537&gt;C537,if(B537&lt;60,1,2),""),"")</f>
        <v/>
      </c>
      <c r="I537" s="12">
        <f>if($A537&lt;&gt;"",if(C537&gt;B537,if(C537&lt;60,1,2),""),"")</f>
        <v/>
      </c>
      <c r="J537" s="9">
        <f>if($A537&lt;&gt;"",J536+H537,"")</f>
        <v/>
      </c>
      <c r="K537" s="9">
        <f>if($A537&lt;&gt;"",K536+I537,"")</f>
        <v/>
      </c>
      <c r="L537" s="11">
        <f>IF($A537&lt;&gt;"",IF(K537-J537=0,"tie",IF(K537-J537&gt;0,"+"&amp;K537-J537,"+"&amp;J537-K537)),"")</f>
        <v/>
      </c>
      <c r="M537" s="17" t="n"/>
      <c r="N537" s="17" t="n"/>
      <c r="O537" s="17" t="n"/>
      <c r="P537" s="17" t="n"/>
      <c r="Q537" s="17" t="n"/>
      <c r="R537" s="17" t="n"/>
      <c r="S537" s="17" t="n"/>
    </row>
    <row r="538">
      <c r="A538" s="15" t="n">
        <v>44093</v>
      </c>
      <c r="B538" s="9" t="n">
        <v>25</v>
      </c>
      <c r="C538" s="10" t="n">
        <v>30</v>
      </c>
      <c r="D538" s="17" t="inlineStr">
        <is>
          <t>Preston Way</t>
        </is>
      </c>
      <c r="E538" s="9">
        <f>if($A538&lt;&gt;"",E537+B538,"")</f>
        <v/>
      </c>
      <c r="F538" s="10">
        <f>if($A538&lt;&gt;"",F537+C538,"")</f>
        <v/>
      </c>
      <c r="G538" s="11">
        <f>IF($A538&lt;&gt;"",IF(F538-E538=0,"tie",IF(F538-E538&gt;0,"+"&amp;F538-E538,"+"&amp;E538-F538)),"")</f>
        <v/>
      </c>
      <c r="H538" s="12">
        <f>if($A538&lt;&gt;"",if(B538&gt;C538,if(B538&lt;60,1,2),""),"")</f>
        <v/>
      </c>
      <c r="I538" s="12">
        <f>if($A538&lt;&gt;"",if(C538&gt;B538,if(C538&lt;60,1,2),""),"")</f>
        <v/>
      </c>
      <c r="J538" s="9">
        <f>if($A538&lt;&gt;"",J537+H538,"")</f>
        <v/>
      </c>
      <c r="K538" s="9">
        <f>if($A538&lt;&gt;"",K537+I538,"")</f>
        <v/>
      </c>
      <c r="L538" s="11">
        <f>IF($A538&lt;&gt;"",IF(K538-J538=0,"tie",IF(K538-J538&gt;0,"+"&amp;K538-J538,"+"&amp;J538-K538)),"")</f>
        <v/>
      </c>
      <c r="M538" s="17" t="n"/>
      <c r="N538" s="17" t="n"/>
      <c r="O538" s="17" t="n"/>
      <c r="P538" s="17" t="n"/>
      <c r="Q538" s="17" t="n"/>
      <c r="R538" s="17" t="n"/>
      <c r="S538" s="17" t="n"/>
    </row>
    <row r="539">
      <c r="A539" s="15" t="n">
        <v>44095</v>
      </c>
      <c r="B539" s="10" t="n">
        <v>30</v>
      </c>
      <c r="C539" s="9" t="n">
        <v>25</v>
      </c>
      <c r="D539" s="17" t="inlineStr">
        <is>
          <t>Preston Way</t>
        </is>
      </c>
      <c r="E539" s="9">
        <f>if($A539&lt;&gt;"",E538+B539,"")</f>
        <v/>
      </c>
      <c r="F539" s="10">
        <f>if($A539&lt;&gt;"",F538+C539,"")</f>
        <v/>
      </c>
      <c r="G539" s="11">
        <f>IF($A539&lt;&gt;"",IF(F539-E539=0,"tie",IF(F539-E539&gt;0,"+"&amp;F539-E539,"+"&amp;E539-F539)),"")</f>
        <v/>
      </c>
      <c r="H539" s="12">
        <f>if($A539&lt;&gt;"",if(B539&gt;C539,if(B539&lt;60,1,2),""),"")</f>
        <v/>
      </c>
      <c r="I539" s="12">
        <f>if($A539&lt;&gt;"",if(C539&gt;B539,if(C539&lt;60,1,2),""),"")</f>
        <v/>
      </c>
      <c r="J539" s="9">
        <f>if($A539&lt;&gt;"",J538+H539,"")</f>
        <v/>
      </c>
      <c r="K539" s="9">
        <f>if($A539&lt;&gt;"",K538+I539,"")</f>
        <v/>
      </c>
      <c r="L539" s="11">
        <f>IF($A539&lt;&gt;"",IF(K539-J539=0,"tie",IF(K539-J539&gt;0,"+"&amp;K539-J539,"+"&amp;J539-K539)),"")</f>
        <v/>
      </c>
      <c r="M539" s="17" t="n"/>
      <c r="N539" s="17" t="n"/>
      <c r="O539" s="17" t="n"/>
      <c r="P539" s="17" t="n"/>
      <c r="Q539" s="17" t="n"/>
      <c r="R539" s="17" t="n"/>
      <c r="S539" s="17" t="n"/>
    </row>
    <row r="540">
      <c r="A540" s="15" t="n">
        <v>44106</v>
      </c>
      <c r="B540" s="10" t="n">
        <v>30</v>
      </c>
      <c r="C540" s="9" t="n">
        <v>25</v>
      </c>
      <c r="D540" s="17" t="inlineStr">
        <is>
          <t>Preston Way</t>
        </is>
      </c>
      <c r="E540" s="9">
        <f>if($A540&lt;&gt;"",E539+B540,"")</f>
        <v/>
      </c>
      <c r="F540" s="10">
        <f>if($A540&lt;&gt;"",F539+C540,"")</f>
        <v/>
      </c>
      <c r="G540" s="11">
        <f>IF($A540&lt;&gt;"",IF(F540-E540=0,"tie",IF(F540-E540&gt;0,"+"&amp;F540-E540,"+"&amp;E540-F540)),"")</f>
        <v/>
      </c>
      <c r="H540" s="12">
        <f>if($A540&lt;&gt;"",if(B540&gt;C540,if(B540&lt;60,1,2),""),"")</f>
        <v/>
      </c>
      <c r="I540" s="12">
        <f>if($A540&lt;&gt;"",if(C540&gt;B540,if(C540&lt;60,1,2),""),"")</f>
        <v/>
      </c>
      <c r="J540" s="9">
        <f>if($A540&lt;&gt;"",J539+H540,"")</f>
        <v/>
      </c>
      <c r="K540" s="9">
        <f>if($A540&lt;&gt;"",K539+I540,"")</f>
        <v/>
      </c>
      <c r="L540" s="11">
        <f>IF($A540&lt;&gt;"",IF(K540-J540=0,"tie",IF(K540-J540&gt;0,"+"&amp;K540-J540,"+"&amp;J540-K540)),"")</f>
        <v/>
      </c>
      <c r="M540" s="17" t="n"/>
      <c r="N540" s="17" t="n"/>
      <c r="O540" s="17" t="n"/>
      <c r="P540" s="17" t="n"/>
      <c r="Q540" s="17" t="n"/>
      <c r="R540" s="17" t="n"/>
      <c r="S540" s="17" t="n"/>
    </row>
    <row r="541">
      <c r="A541" s="15" t="n">
        <v>44106</v>
      </c>
      <c r="B541" s="10" t="n">
        <v>60</v>
      </c>
      <c r="C541" s="9" t="n">
        <v>50</v>
      </c>
      <c r="D541" s="17" t="inlineStr">
        <is>
          <t>Preston Way</t>
        </is>
      </c>
      <c r="E541" s="9">
        <f>if($A541&lt;&gt;"",E540+B541,"")</f>
        <v/>
      </c>
      <c r="F541" s="10">
        <f>if($A541&lt;&gt;"",F540+C541,"")</f>
        <v/>
      </c>
      <c r="G541" s="11">
        <f>IF($A541&lt;&gt;"",IF(F541-E541=0,"tie",IF(F541-E541&gt;0,"+"&amp;F541-E541,"+"&amp;E541-F541)),"")</f>
        <v/>
      </c>
      <c r="H541" s="12">
        <f>if($A541&lt;&gt;"",if(B541&gt;C541,if(B541&lt;60,1,2),""),"")</f>
        <v/>
      </c>
      <c r="I541" s="12">
        <f>if($A541&lt;&gt;"",if(C541&gt;B541,if(C541&lt;60,1,2),""),"")</f>
        <v/>
      </c>
      <c r="J541" s="9">
        <f>if($A541&lt;&gt;"",J540+H541,"")</f>
        <v/>
      </c>
      <c r="K541" s="9">
        <f>if($A541&lt;&gt;"",K540+I541,"")</f>
        <v/>
      </c>
      <c r="L541" s="11">
        <f>IF($A541&lt;&gt;"",IF(K541-J541=0,"tie",IF(K541-J541&gt;0,"+"&amp;K541-J541,"+"&amp;J541-K541)),"")</f>
        <v/>
      </c>
      <c r="M541" s="17" t="n"/>
      <c r="N541" s="17" t="n"/>
      <c r="O541" s="17" t="n"/>
      <c r="P541" s="17" t="n"/>
      <c r="Q541" s="17" t="n"/>
      <c r="R541" s="17" t="n"/>
      <c r="S541" s="17" t="n"/>
    </row>
    <row r="542">
      <c r="A542" s="15" t="n">
        <v>44109</v>
      </c>
      <c r="B542" s="10" t="n">
        <v>30</v>
      </c>
      <c r="C542" s="9" t="n">
        <v>25</v>
      </c>
      <c r="D542" s="17" t="inlineStr">
        <is>
          <t>Preston Way</t>
        </is>
      </c>
      <c r="E542" s="9">
        <f>if($A542&lt;&gt;"",E541+B542,"")</f>
        <v/>
      </c>
      <c r="F542" s="10">
        <f>if($A542&lt;&gt;"",F541+C542,"")</f>
        <v/>
      </c>
      <c r="G542" s="11">
        <f>IF($A542&lt;&gt;"",IF(F542-E542=0,"tie",IF(F542-E542&gt;0,"+"&amp;F542-E542,"+"&amp;E542-F542)),"")</f>
        <v/>
      </c>
      <c r="H542" s="12">
        <f>if($A542&lt;&gt;"",if(B542&gt;C542,if(B542&lt;60,1,2),""),"")</f>
        <v/>
      </c>
      <c r="I542" s="12">
        <f>if($A542&lt;&gt;"",if(C542&gt;B542,if(C542&lt;60,1,2),""),"")</f>
        <v/>
      </c>
      <c r="J542" s="9">
        <f>if($A542&lt;&gt;"",J541+H542,"")</f>
        <v/>
      </c>
      <c r="K542" s="9">
        <f>if($A542&lt;&gt;"",K541+I542,"")</f>
        <v/>
      </c>
      <c r="L542" s="11">
        <f>IF($A542&lt;&gt;"",IF(K542-J542=0,"tie",IF(K542-J542&gt;0,"+"&amp;K542-J542,"+"&amp;J542-K542)),"")</f>
        <v/>
      </c>
      <c r="M542" s="17" t="n"/>
      <c r="N542" s="17" t="n"/>
      <c r="O542" s="17" t="n"/>
      <c r="P542" s="17" t="n"/>
      <c r="Q542" s="17" t="n"/>
      <c r="R542" s="17" t="n"/>
      <c r="S542" s="17" t="n"/>
    </row>
    <row r="543">
      <c r="A543" s="15" t="n">
        <v>44110</v>
      </c>
      <c r="B543" s="10" t="n">
        <v>30</v>
      </c>
      <c r="C543" s="9" t="n">
        <v>25</v>
      </c>
      <c r="D543" s="17" t="inlineStr">
        <is>
          <t>Preston Way</t>
        </is>
      </c>
      <c r="E543" s="9">
        <f>if($A543&lt;&gt;"",E542+B543,"")</f>
        <v/>
      </c>
      <c r="F543" s="10">
        <f>if($A543&lt;&gt;"",F542+C543,"")</f>
        <v/>
      </c>
      <c r="G543" s="11">
        <f>IF($A543&lt;&gt;"",IF(F543-E543=0,"tie",IF(F543-E543&gt;0,"+"&amp;F543-E543,"+"&amp;E543-F543)),"")</f>
        <v/>
      </c>
      <c r="H543" s="12">
        <f>if($A543&lt;&gt;"",if(B543&gt;C543,if(B543&lt;60,1,2),""),"")</f>
        <v/>
      </c>
      <c r="I543" s="12">
        <f>if($A543&lt;&gt;"",if(C543&gt;B543,if(C543&lt;60,1,2),""),"")</f>
        <v/>
      </c>
      <c r="J543" s="9">
        <f>if($A543&lt;&gt;"",J542+H543,"")</f>
        <v/>
      </c>
      <c r="K543" s="9">
        <f>if($A543&lt;&gt;"",K542+I543,"")</f>
        <v/>
      </c>
      <c r="L543" s="11">
        <f>IF($A543&lt;&gt;"",IF(K543-J543=0,"tie",IF(K543-J543&gt;0,"+"&amp;K543-J543,"+"&amp;J543-K543)),"")</f>
        <v/>
      </c>
      <c r="M543" s="17" t="n"/>
      <c r="N543" s="17" t="n"/>
      <c r="O543" s="17" t="n"/>
      <c r="P543" s="17" t="n"/>
      <c r="Q543" s="17" t="n"/>
      <c r="R543" s="17" t="n"/>
      <c r="S543" s="17" t="n"/>
    </row>
    <row r="544">
      <c r="A544" s="15" t="n">
        <v>44113</v>
      </c>
      <c r="B544" s="10" t="n">
        <v>60</v>
      </c>
      <c r="C544" s="9" t="n">
        <v>50</v>
      </c>
      <c r="D544" s="17" t="inlineStr">
        <is>
          <t>Preston Way</t>
        </is>
      </c>
      <c r="E544" s="9">
        <f>if($A544&lt;&gt;"",E543+B544,"")</f>
        <v/>
      </c>
      <c r="F544" s="10">
        <f>if($A544&lt;&gt;"",F543+C544,"")</f>
        <v/>
      </c>
      <c r="G544" s="11">
        <f>IF($A544&lt;&gt;"",IF(F544-E544=0,"tie",IF(F544-E544&gt;0,"+"&amp;F544-E544,"+"&amp;E544-F544)),"")</f>
        <v/>
      </c>
      <c r="H544" s="12">
        <f>if($A544&lt;&gt;"",if(B544&gt;C544,if(B544&lt;60,1,2),""),"")</f>
        <v/>
      </c>
      <c r="I544" s="12">
        <f>if($A544&lt;&gt;"",if(C544&gt;B544,if(C544&lt;60,1,2),""),"")</f>
        <v/>
      </c>
      <c r="J544" s="9">
        <f>if($A544&lt;&gt;"",J543+H544,"")</f>
        <v/>
      </c>
      <c r="K544" s="9">
        <f>if($A544&lt;&gt;"",K543+I544,"")</f>
        <v/>
      </c>
      <c r="L544" s="11">
        <f>IF($A544&lt;&gt;"",IF(K544-J544=0,"tie",IF(K544-J544&gt;0,"+"&amp;K544-J544,"+"&amp;J544-K544)),"")</f>
        <v/>
      </c>
      <c r="M544" s="17" t="n"/>
      <c r="N544" s="17" t="n"/>
      <c r="O544" s="17" t="n"/>
      <c r="P544" s="17" t="n"/>
      <c r="Q544" s="17" t="n"/>
      <c r="R544" s="17" t="n"/>
      <c r="S544" s="17" t="n"/>
    </row>
    <row r="545">
      <c r="A545" s="15" t="n">
        <v>44115</v>
      </c>
      <c r="B545" s="10" t="n">
        <v>30</v>
      </c>
      <c r="C545" s="9" t="n">
        <v>25</v>
      </c>
      <c r="D545" s="17" t="inlineStr">
        <is>
          <t>Preston Way</t>
        </is>
      </c>
      <c r="E545" s="9">
        <f>if($A545&lt;&gt;"",E544+B545,"")</f>
        <v/>
      </c>
      <c r="F545" s="10">
        <f>if($A545&lt;&gt;"",F544+C545,"")</f>
        <v/>
      </c>
      <c r="G545" s="11">
        <f>IF($A545&lt;&gt;"",IF(F545-E545=0,"tie",IF(F545-E545&gt;0,"+"&amp;F545-E545,"+"&amp;E545-F545)),"")</f>
        <v/>
      </c>
      <c r="H545" s="12">
        <f>if($A545&lt;&gt;"",if(B545&gt;C545,if(B545&lt;60,1,2),""),"")</f>
        <v/>
      </c>
      <c r="I545" s="12">
        <f>if($A545&lt;&gt;"",if(C545&gt;B545,if(C545&lt;60,1,2),""),"")</f>
        <v/>
      </c>
      <c r="J545" s="9">
        <f>if($A545&lt;&gt;"",J544+H545,"")</f>
        <v/>
      </c>
      <c r="K545" s="9">
        <f>if($A545&lt;&gt;"",K544+I545,"")</f>
        <v/>
      </c>
      <c r="L545" s="11">
        <f>IF($A545&lt;&gt;"",IF(K545-J545=0,"tie",IF(K545-J545&gt;0,"+"&amp;K545-J545,"+"&amp;J545-K545)),"")</f>
        <v/>
      </c>
      <c r="M545" s="17" t="n"/>
      <c r="N545" s="17" t="n"/>
      <c r="O545" s="17" t="n"/>
      <c r="P545" s="17" t="n"/>
      <c r="Q545" s="17" t="n"/>
      <c r="R545" s="17" t="n"/>
      <c r="S545" s="17" t="n"/>
    </row>
    <row r="546">
      <c r="A546" s="15" t="n">
        <v>44116</v>
      </c>
      <c r="B546" s="9" t="n">
        <v>50</v>
      </c>
      <c r="C546" s="10" t="n">
        <v>60</v>
      </c>
      <c r="D546" s="17" t="inlineStr">
        <is>
          <t>Preston Way</t>
        </is>
      </c>
      <c r="E546" s="9">
        <f>if($A546&lt;&gt;"",E545+B546,"")</f>
        <v/>
      </c>
      <c r="F546" s="10">
        <f>if($A546&lt;&gt;"",F545+C546,"")</f>
        <v/>
      </c>
      <c r="G546" s="11">
        <f>IF($A546&lt;&gt;"",IF(F546-E546=0,"tie",IF(F546-E546&gt;0,"+"&amp;F546-E546,"+"&amp;E546-F546)),"")</f>
        <v/>
      </c>
      <c r="H546" s="12">
        <f>if($A546&lt;&gt;"",if(B546&gt;C546,if(B546&lt;60,1,2),""),"")</f>
        <v/>
      </c>
      <c r="I546" s="12">
        <f>if($A546&lt;&gt;"",if(C546&gt;B546,if(C546&lt;60,1,2),""),"")</f>
        <v/>
      </c>
      <c r="J546" s="9">
        <f>if($A546&lt;&gt;"",J545+H546,"")</f>
        <v/>
      </c>
      <c r="K546" s="9">
        <f>if($A546&lt;&gt;"",K545+I546,"")</f>
        <v/>
      </c>
      <c r="L546" s="11">
        <f>IF($A546&lt;&gt;"",IF(K546-J546=0,"tie",IF(K546-J546&gt;0,"+"&amp;K546-J546,"+"&amp;J546-K546)),"")</f>
        <v/>
      </c>
      <c r="M546" s="17" t="n"/>
      <c r="N546" s="17" t="n"/>
      <c r="O546" s="17" t="n"/>
      <c r="P546" s="17" t="n"/>
      <c r="Q546" s="17" t="n"/>
      <c r="R546" s="17" t="n"/>
      <c r="S546" s="17" t="n"/>
    </row>
    <row r="547">
      <c r="A547" s="15" t="n">
        <v>44123</v>
      </c>
      <c r="B547" s="10" t="n">
        <v>60</v>
      </c>
      <c r="C547" s="9" t="n">
        <v>50</v>
      </c>
      <c r="D547" s="17" t="inlineStr">
        <is>
          <t>Preston Way</t>
        </is>
      </c>
      <c r="E547" s="9">
        <f>if($A547&lt;&gt;"",E546+B547,"")</f>
        <v/>
      </c>
      <c r="F547" s="10">
        <f>if($A547&lt;&gt;"",F546+C547,"")</f>
        <v/>
      </c>
      <c r="G547" s="11">
        <f>IF($A547&lt;&gt;"",IF(F547-E547=0,"tie",IF(F547-E547&gt;0,"+"&amp;F547-E547,"+"&amp;E547-F547)),"")</f>
        <v/>
      </c>
      <c r="H547" s="12">
        <f>if($A547&lt;&gt;"",if(B547&gt;C547,if(B547&lt;60,1,2),""),"")</f>
        <v/>
      </c>
      <c r="I547" s="12">
        <f>if($A547&lt;&gt;"",if(C547&gt;B547,if(C547&lt;60,1,2),""),"")</f>
        <v/>
      </c>
      <c r="J547" s="9">
        <f>if($A547&lt;&gt;"",J546+H547,"")</f>
        <v/>
      </c>
      <c r="K547" s="9">
        <f>if($A547&lt;&gt;"",K546+I547,"")</f>
        <v/>
      </c>
      <c r="L547" s="11">
        <f>IF($A547&lt;&gt;"",IF(K547-J547=0,"tie",IF(K547-J547&gt;0,"+"&amp;K547-J547,"+"&amp;J547-K547)),"")</f>
        <v/>
      </c>
      <c r="M547" s="17" t="n"/>
      <c r="N547" s="17" t="n"/>
      <c r="O547" s="17" t="n"/>
      <c r="P547" s="17" t="n"/>
      <c r="Q547" s="17" t="n"/>
      <c r="R547" s="17" t="n"/>
      <c r="S547" s="17" t="n"/>
    </row>
    <row r="548">
      <c r="A548" s="15" t="n">
        <v>44124</v>
      </c>
      <c r="B548" s="10" t="n">
        <v>30</v>
      </c>
      <c r="C548" s="9" t="n">
        <v>25</v>
      </c>
      <c r="D548" s="17" t="inlineStr">
        <is>
          <t>Preston Way</t>
        </is>
      </c>
      <c r="E548" s="9">
        <f>if($A548&lt;&gt;"",E547+B548,"")</f>
        <v/>
      </c>
      <c r="F548" s="10">
        <f>if($A548&lt;&gt;"",F547+C548,"")</f>
        <v/>
      </c>
      <c r="G548" s="11">
        <f>IF($A548&lt;&gt;"",IF(F548-E548=0,"tie",IF(F548-E548&gt;0,"+"&amp;F548-E548,"+"&amp;E548-F548)),"")</f>
        <v/>
      </c>
      <c r="H548" s="12">
        <f>if($A548&lt;&gt;"",if(B548&gt;C548,if(B548&lt;60,1,2),""),"")</f>
        <v/>
      </c>
      <c r="I548" s="12">
        <f>if($A548&lt;&gt;"",if(C548&gt;B548,if(C548&lt;60,1,2),""),"")</f>
        <v/>
      </c>
      <c r="J548" s="9">
        <f>if($A548&lt;&gt;"",J547+H548,"")</f>
        <v/>
      </c>
      <c r="K548" s="9">
        <f>if($A548&lt;&gt;"",K547+I548,"")</f>
        <v/>
      </c>
      <c r="L548" s="11">
        <f>IF($A548&lt;&gt;"",IF(K548-J548=0,"tie",IF(K548-J548&gt;0,"+"&amp;K548-J548,"+"&amp;J548-K548)),"")</f>
        <v/>
      </c>
      <c r="M548" s="17" t="n"/>
      <c r="N548" s="17" t="n"/>
      <c r="O548" s="17" t="n"/>
      <c r="P548" s="17" t="n"/>
      <c r="Q548" s="17" t="n"/>
      <c r="R548" s="17" t="n"/>
      <c r="S548" s="17" t="n"/>
    </row>
    <row r="549">
      <c r="A549" s="15" t="n">
        <v>44125</v>
      </c>
      <c r="B549" s="9" t="n">
        <v>25</v>
      </c>
      <c r="C549" s="10" t="n">
        <v>30</v>
      </c>
      <c r="D549" s="17" t="inlineStr">
        <is>
          <t>Preston Way</t>
        </is>
      </c>
      <c r="E549" s="9">
        <f>if($A549&lt;&gt;"",E548+B549,"")</f>
        <v/>
      </c>
      <c r="F549" s="10">
        <f>if($A549&lt;&gt;"",F548+C549,"")</f>
        <v/>
      </c>
      <c r="G549" s="11">
        <f>IF($A549&lt;&gt;"",IF(F549-E549=0,"tie",IF(F549-E549&gt;0,"+"&amp;F549-E549,"+"&amp;E549-F549)),"")</f>
        <v/>
      </c>
      <c r="H549" s="12">
        <f>if($A549&lt;&gt;"",if(B549&gt;C549,if(B549&lt;60,1,2),""),"")</f>
        <v/>
      </c>
      <c r="I549" s="12">
        <f>if($A549&lt;&gt;"",if(C549&gt;B549,if(C549&lt;60,1,2),""),"")</f>
        <v/>
      </c>
      <c r="J549" s="9">
        <f>if($A549&lt;&gt;"",J548+H549,"")</f>
        <v/>
      </c>
      <c r="K549" s="9">
        <f>if($A549&lt;&gt;"",K548+I549,"")</f>
        <v/>
      </c>
      <c r="L549" s="11">
        <f>IF($A549&lt;&gt;"",IF(K549-J549=0,"tie",IF(K549-J549&gt;0,"+"&amp;K549-J549,"+"&amp;J549-K549)),"")</f>
        <v/>
      </c>
      <c r="M549" s="17" t="n"/>
      <c r="N549" s="17" t="n"/>
      <c r="O549" s="17" t="n"/>
      <c r="P549" s="17" t="n"/>
      <c r="Q549" s="17" t="n"/>
      <c r="R549" s="17" t="n"/>
      <c r="S549" s="17" t="n"/>
    </row>
    <row r="550">
      <c r="A550" s="15" t="n">
        <v>44126</v>
      </c>
      <c r="B550" s="10" t="n">
        <v>30</v>
      </c>
      <c r="C550" s="9" t="n">
        <v>25</v>
      </c>
      <c r="D550" s="17" t="inlineStr">
        <is>
          <t>Preston Way</t>
        </is>
      </c>
      <c r="E550" s="9">
        <f>if($A550&lt;&gt;"",E549+B550,"")</f>
        <v/>
      </c>
      <c r="F550" s="10">
        <f>if($A550&lt;&gt;"",F549+C550,"")</f>
        <v/>
      </c>
      <c r="G550" s="11">
        <f>IF($A550&lt;&gt;"",IF(F550-E550=0,"tie",IF(F550-E550&gt;0,"+"&amp;F550-E550,"+"&amp;E550-F550)),"")</f>
        <v/>
      </c>
      <c r="H550" s="12">
        <f>if($A550&lt;&gt;"",if(B550&gt;C550,if(B550&lt;60,1,2),""),"")</f>
        <v/>
      </c>
      <c r="I550" s="12">
        <f>if($A550&lt;&gt;"",if(C550&gt;B550,if(C550&lt;60,1,2),""),"")</f>
        <v/>
      </c>
      <c r="J550" s="9">
        <f>if($A550&lt;&gt;"",J549+H550,"")</f>
        <v/>
      </c>
      <c r="K550" s="9">
        <f>if($A550&lt;&gt;"",K549+I550,"")</f>
        <v/>
      </c>
      <c r="L550" s="11">
        <f>IF($A550&lt;&gt;"",IF(K550-J550=0,"tie",IF(K550-J550&gt;0,"+"&amp;K550-J550,"+"&amp;J550-K550)),"")</f>
        <v/>
      </c>
      <c r="M550" s="17" t="n"/>
      <c r="N550" s="17" t="n"/>
      <c r="O550" s="17" t="n"/>
      <c r="P550" s="17" t="n"/>
      <c r="Q550" s="17" t="n"/>
      <c r="R550" s="17" t="n"/>
      <c r="S550" s="17" t="n"/>
    </row>
    <row r="551">
      <c r="A551" s="15" t="n">
        <v>44126</v>
      </c>
      <c r="B551" s="9" t="n">
        <v>50</v>
      </c>
      <c r="C551" s="10" t="n">
        <v>60</v>
      </c>
      <c r="D551" s="17" t="inlineStr">
        <is>
          <t>Preston Way</t>
        </is>
      </c>
      <c r="E551" s="9">
        <f>if($A551&lt;&gt;"",E550+B551,"")</f>
        <v/>
      </c>
      <c r="F551" s="10">
        <f>if($A551&lt;&gt;"",F550+C551,"")</f>
        <v/>
      </c>
      <c r="G551" s="11">
        <f>IF($A551&lt;&gt;"",IF(F551-E551=0,"tie",IF(F551-E551&gt;0,"+"&amp;F551-E551,"+"&amp;E551-F551)),"")</f>
        <v/>
      </c>
      <c r="H551" s="12">
        <f>if($A551&lt;&gt;"",if(B551&gt;C551,if(B551&lt;60,1,2),""),"")</f>
        <v/>
      </c>
      <c r="I551" s="12">
        <f>if($A551&lt;&gt;"",if(C551&gt;B551,if(C551&lt;60,1,2),""),"")</f>
        <v/>
      </c>
      <c r="J551" s="9">
        <f>if($A551&lt;&gt;"",J550+H551,"")</f>
        <v/>
      </c>
      <c r="K551" s="9">
        <f>if($A551&lt;&gt;"",K550+I551,"")</f>
        <v/>
      </c>
      <c r="L551" s="11">
        <f>IF($A551&lt;&gt;"",IF(K551-J551=0,"tie",IF(K551-J551&gt;0,"+"&amp;K551-J551,"+"&amp;J551-K551)),"")</f>
        <v/>
      </c>
      <c r="M551" s="17" t="n"/>
      <c r="N551" s="17" t="n"/>
      <c r="O551" s="17" t="n"/>
      <c r="P551" s="17" t="n"/>
      <c r="Q551" s="17" t="n"/>
      <c r="R551" s="17" t="n"/>
      <c r="S551" s="17" t="n"/>
    </row>
    <row r="552">
      <c r="A552" s="15" t="n">
        <v>44138</v>
      </c>
      <c r="B552" s="10" t="n">
        <v>30</v>
      </c>
      <c r="C552" s="9" t="n">
        <v>25</v>
      </c>
      <c r="D552" s="17" t="inlineStr">
        <is>
          <t>Preston Way</t>
        </is>
      </c>
      <c r="E552" s="9">
        <f>if($A552&lt;&gt;"",E551+B552,"")</f>
        <v/>
      </c>
      <c r="F552" s="10">
        <f>if($A552&lt;&gt;"",F551+C552,"")</f>
        <v/>
      </c>
      <c r="G552" s="11">
        <f>IF($A552&lt;&gt;"",IF(F552-E552=0,"tie",IF(F552-E552&gt;0,"+"&amp;F552-E552,"+"&amp;E552-F552)),"")</f>
        <v/>
      </c>
      <c r="H552" s="12">
        <f>if($A552&lt;&gt;"",if(B552&gt;C552,if(B552&lt;60,1,2),""),"")</f>
        <v/>
      </c>
      <c r="I552" s="12">
        <f>if($A552&lt;&gt;"",if(C552&gt;B552,if(C552&lt;60,1,2),""),"")</f>
        <v/>
      </c>
      <c r="J552" s="9">
        <f>if($A552&lt;&gt;"",J551+H552,"")</f>
        <v/>
      </c>
      <c r="K552" s="9">
        <f>if($A552&lt;&gt;"",K551+I552,"")</f>
        <v/>
      </c>
      <c r="L552" s="11">
        <f>IF($A552&lt;&gt;"",IF(K552-J552=0,"tie",IF(K552-J552&gt;0,"+"&amp;K552-J552,"+"&amp;J552-K552)),"")</f>
        <v/>
      </c>
      <c r="M552" s="17" t="n"/>
      <c r="N552" s="17" t="n"/>
      <c r="O552" s="17" t="n"/>
      <c r="P552" s="17" t="n"/>
      <c r="Q552" s="17" t="n"/>
      <c r="R552" s="17" t="n"/>
      <c r="S552" s="17" t="n"/>
    </row>
    <row r="553">
      <c r="A553" s="15" t="n">
        <v>44140</v>
      </c>
      <c r="B553" s="9" t="n">
        <v>25</v>
      </c>
      <c r="C553" s="10" t="n">
        <v>30</v>
      </c>
      <c r="D553" s="17" t="inlineStr">
        <is>
          <t>Preston Way</t>
        </is>
      </c>
      <c r="E553" s="9">
        <f>if($A553&lt;&gt;"",E552+B553,"")</f>
        <v/>
      </c>
      <c r="F553" s="10">
        <f>if($A553&lt;&gt;"",F552+C553,"")</f>
        <v/>
      </c>
      <c r="G553" s="11">
        <f>IF($A553&lt;&gt;"",IF(F553-E553=0,"tie",IF(F553-E553&gt;0,"+"&amp;F553-E553,"+"&amp;E553-F553)),"")</f>
        <v/>
      </c>
      <c r="H553" s="12">
        <f>if($A553&lt;&gt;"",if(B553&gt;C553,if(B553&lt;60,1,2),""),"")</f>
        <v/>
      </c>
      <c r="I553" s="12">
        <f>if($A553&lt;&gt;"",if(C553&gt;B553,if(C553&lt;60,1,2),""),"")</f>
        <v/>
      </c>
      <c r="J553" s="9">
        <f>if($A553&lt;&gt;"",J552+H553,"")</f>
        <v/>
      </c>
      <c r="K553" s="9">
        <f>if($A553&lt;&gt;"",K552+I553,"")</f>
        <v/>
      </c>
      <c r="L553" s="11">
        <f>IF($A553&lt;&gt;"",IF(K553-J553=0,"tie",IF(K553-J553&gt;0,"+"&amp;K553-J553,"+"&amp;J553-K553)),"")</f>
        <v/>
      </c>
      <c r="M553" s="17" t="n"/>
      <c r="N553" s="17" t="n"/>
      <c r="O553" s="17" t="n"/>
      <c r="P553" s="17" t="n"/>
      <c r="Q553" s="17" t="n"/>
      <c r="R553" s="17" t="n"/>
      <c r="S553" s="17" t="n"/>
    </row>
    <row r="554">
      <c r="A554" s="15" t="n">
        <v>44143</v>
      </c>
      <c r="B554" s="9" t="n">
        <v>25</v>
      </c>
      <c r="C554" s="10" t="n">
        <v>30</v>
      </c>
      <c r="D554" s="17" t="inlineStr">
        <is>
          <t>Preston Way</t>
        </is>
      </c>
      <c r="E554" s="9">
        <f>if($A554&lt;&gt;"",E553+B554,"")</f>
        <v/>
      </c>
      <c r="F554" s="10">
        <f>if($A554&lt;&gt;"",F553+C554,"")</f>
        <v/>
      </c>
      <c r="G554" s="11">
        <f>IF($A554&lt;&gt;"",IF(F554-E554=0,"tie",IF(F554-E554&gt;0,"+"&amp;F554-E554,"+"&amp;E554-F554)),"")</f>
        <v/>
      </c>
      <c r="H554" s="12">
        <f>if($A554&lt;&gt;"",if(B554&gt;C554,if(B554&lt;60,1,2),""),"")</f>
        <v/>
      </c>
      <c r="I554" s="12">
        <f>if($A554&lt;&gt;"",if(C554&gt;B554,if(C554&lt;60,1,2),""),"")</f>
        <v/>
      </c>
      <c r="J554" s="9">
        <f>if($A554&lt;&gt;"",J553+H554,"")</f>
        <v/>
      </c>
      <c r="K554" s="9">
        <f>if($A554&lt;&gt;"",K553+I554,"")</f>
        <v/>
      </c>
      <c r="L554" s="11">
        <f>IF($A554&lt;&gt;"",IF(K554-J554=0,"tie",IF(K554-J554&gt;0,"+"&amp;K554-J554,"+"&amp;J554-K554)),"")</f>
        <v/>
      </c>
      <c r="M554" s="17" t="n"/>
      <c r="N554" s="17" t="n"/>
      <c r="O554" s="17" t="n"/>
      <c r="P554" s="17" t="n"/>
      <c r="Q554" s="17" t="n"/>
      <c r="R554" s="17" t="n"/>
      <c r="S554" s="17" t="n"/>
    </row>
    <row r="555">
      <c r="A555" s="15" t="n">
        <v>44144</v>
      </c>
      <c r="B555" s="10" t="n">
        <v>30</v>
      </c>
      <c r="C555" s="9" t="n">
        <v>25</v>
      </c>
      <c r="D555" s="17" t="inlineStr">
        <is>
          <t>Preston Way</t>
        </is>
      </c>
      <c r="E555" s="9">
        <f>if($A555&lt;&gt;"",E554+B555,"")</f>
        <v/>
      </c>
      <c r="F555" s="10">
        <f>if($A555&lt;&gt;"",F554+C555,"")</f>
        <v/>
      </c>
      <c r="G555" s="11">
        <f>IF($A555&lt;&gt;"",IF(F555-E555=0,"tie",IF(F555-E555&gt;0,"+"&amp;F555-E555,"+"&amp;E555-F555)),"")</f>
        <v/>
      </c>
      <c r="H555" s="12">
        <f>if($A555&lt;&gt;"",if(B555&gt;C555,if(B555&lt;60,1,2),""),"")</f>
        <v/>
      </c>
      <c r="I555" s="12">
        <f>if($A555&lt;&gt;"",if(C555&gt;B555,if(C555&lt;60,1,2),""),"")</f>
        <v/>
      </c>
      <c r="J555" s="9">
        <f>if($A555&lt;&gt;"",J554+H555,"")</f>
        <v/>
      </c>
      <c r="K555" s="9">
        <f>if($A555&lt;&gt;"",K554+I555,"")</f>
        <v/>
      </c>
      <c r="L555" s="11">
        <f>IF($A555&lt;&gt;"",IF(K555-J555=0,"tie",IF(K555-J555&gt;0,"+"&amp;K555-J555,"+"&amp;J555-K555)),"")</f>
        <v/>
      </c>
      <c r="M555" s="17" t="n"/>
      <c r="N555" s="17" t="n"/>
      <c r="O555" s="17" t="n"/>
      <c r="P555" s="17" t="n"/>
      <c r="Q555" s="17" t="n"/>
      <c r="R555" s="17" t="n"/>
      <c r="S555" s="17" t="n"/>
    </row>
    <row r="556">
      <c r="A556" s="15" t="n">
        <v>44146</v>
      </c>
      <c r="B556" s="9" t="n">
        <v>25</v>
      </c>
      <c r="C556" s="10" t="n">
        <v>30</v>
      </c>
      <c r="D556" s="17" t="inlineStr">
        <is>
          <t>Preston Way</t>
        </is>
      </c>
      <c r="E556" s="9">
        <f>if($A556&lt;&gt;"",E555+B556,"")</f>
        <v/>
      </c>
      <c r="F556" s="10">
        <f>if($A556&lt;&gt;"",F555+C556,"")</f>
        <v/>
      </c>
      <c r="G556" s="11">
        <f>IF($A556&lt;&gt;"",IF(F556-E556=0,"tie",IF(F556-E556&gt;0,"+"&amp;F556-E556,"+"&amp;E556-F556)),"")</f>
        <v/>
      </c>
      <c r="H556" s="12">
        <f>if($A556&lt;&gt;"",if(B556&gt;C556,if(B556&lt;60,1,2),""),"")</f>
        <v/>
      </c>
      <c r="I556" s="12">
        <f>if($A556&lt;&gt;"",if(C556&gt;B556,if(C556&lt;60,1,2),""),"")</f>
        <v/>
      </c>
      <c r="J556" s="9">
        <f>if($A556&lt;&gt;"",J555+H556,"")</f>
        <v/>
      </c>
      <c r="K556" s="9">
        <f>if($A556&lt;&gt;"",K555+I556,"")</f>
        <v/>
      </c>
      <c r="L556" s="11">
        <f>IF($A556&lt;&gt;"",IF(K556-J556=0,"tie",IF(K556-J556&gt;0,"+"&amp;K556-J556,"+"&amp;J556-K556)),"")</f>
        <v/>
      </c>
      <c r="M556" s="17" t="n"/>
      <c r="N556" s="17" t="n"/>
      <c r="O556" s="17" t="n"/>
      <c r="P556" s="17" t="n"/>
      <c r="Q556" s="17" t="n"/>
      <c r="R556" s="17" t="n"/>
      <c r="S556" s="17" t="n"/>
    </row>
    <row r="557">
      <c r="A557" s="15" t="n">
        <v>44155</v>
      </c>
      <c r="B557" s="9" t="n">
        <v>25</v>
      </c>
      <c r="C557" s="10" t="n">
        <v>30</v>
      </c>
      <c r="D557" s="17" t="inlineStr">
        <is>
          <t>Preston Way</t>
        </is>
      </c>
      <c r="E557" s="9">
        <f>if($A557&lt;&gt;"",E556+B557,"")</f>
        <v/>
      </c>
      <c r="F557" s="10">
        <f>if($A557&lt;&gt;"",F556+C557,"")</f>
        <v/>
      </c>
      <c r="G557" s="11">
        <f>IF($A557&lt;&gt;"",IF(F557-E557=0,"tie",IF(F557-E557&gt;0,"+"&amp;F557-E557,"+"&amp;E557-F557)),"")</f>
        <v/>
      </c>
      <c r="H557" s="12">
        <f>if($A557&lt;&gt;"",if(B557&gt;C557,if(B557&lt;60,1,2),""),"")</f>
        <v/>
      </c>
      <c r="I557" s="12">
        <f>if($A557&lt;&gt;"",if(C557&gt;B557,if(C557&lt;60,1,2),""),"")</f>
        <v/>
      </c>
      <c r="J557" s="9">
        <f>if($A557&lt;&gt;"",J556+H557,"")</f>
        <v/>
      </c>
      <c r="K557" s="9">
        <f>if($A557&lt;&gt;"",K556+I557,"")</f>
        <v/>
      </c>
      <c r="L557" s="11">
        <f>IF($A557&lt;&gt;"",IF(K557-J557=0,"tie",IF(K557-J557&gt;0,"+"&amp;K557-J557,"+"&amp;J557-K557)),"")</f>
        <v/>
      </c>
      <c r="M557" s="17" t="n"/>
      <c r="N557" s="17" t="n"/>
      <c r="O557" s="17" t="n"/>
      <c r="P557" s="17" t="n"/>
      <c r="Q557" s="17" t="n"/>
      <c r="R557" s="17" t="n"/>
      <c r="S557" s="17" t="n"/>
    </row>
    <row r="558">
      <c r="A558" s="15" t="n">
        <v>44160</v>
      </c>
      <c r="B558" s="9" t="n">
        <v>50</v>
      </c>
      <c r="C558" s="10" t="n">
        <v>60</v>
      </c>
      <c r="D558" s="17" t="inlineStr">
        <is>
          <t>Crestview Rest Area</t>
        </is>
      </c>
      <c r="E558" s="9">
        <f>if($A558&lt;&gt;"",E557+B558,"")</f>
        <v/>
      </c>
      <c r="F558" s="10">
        <f>if($A558&lt;&gt;"",F557+C558,"")</f>
        <v/>
      </c>
      <c r="G558" s="11">
        <f>IF($A558&lt;&gt;"",IF(F558-E558=0,"tie",IF(F558-E558&gt;0,"+"&amp;F558-E558,"+"&amp;E558-F558)),"")</f>
        <v/>
      </c>
      <c r="H558" s="12">
        <f>if($A558&lt;&gt;"",if(B558&gt;C558,if(B558&lt;60,1,2),""),"")</f>
        <v/>
      </c>
      <c r="I558" s="12">
        <f>if($A558&lt;&gt;"",if(C558&gt;B558,if(C558&lt;60,1,2),""),"")</f>
        <v/>
      </c>
      <c r="J558" s="9">
        <f>if($A558&lt;&gt;"",J557+H558,"")</f>
        <v/>
      </c>
      <c r="K558" s="9">
        <f>if($A558&lt;&gt;"",K557+I558,"")</f>
        <v/>
      </c>
      <c r="L558" s="11">
        <f>IF($A558&lt;&gt;"",IF(K558-J558=0,"tie",IF(K558-J558&gt;0,"+"&amp;K558-J558,"+"&amp;J558-K558)),"")</f>
        <v/>
      </c>
      <c r="M558" s="17" t="n"/>
      <c r="N558" s="17" t="n"/>
      <c r="O558" s="17" t="n"/>
      <c r="P558" s="17" t="n"/>
      <c r="Q558" s="17" t="n"/>
      <c r="R558" s="17" t="n"/>
      <c r="S558" s="17" t="n"/>
    </row>
    <row r="559">
      <c r="A559" s="15" t="n">
        <v>44161</v>
      </c>
      <c r="B559" s="9" t="n">
        <v>50</v>
      </c>
      <c r="C559" s="10" t="n">
        <v>60</v>
      </c>
      <c r="D559" s="17" t="inlineStr">
        <is>
          <t>Tahoe Valley Campground</t>
        </is>
      </c>
      <c r="E559" s="9">
        <f>if($A559&lt;&gt;"",E558+B559,"")</f>
        <v/>
      </c>
      <c r="F559" s="10">
        <f>if($A559&lt;&gt;"",F558+C559,"")</f>
        <v/>
      </c>
      <c r="G559" s="11">
        <f>IF($A559&lt;&gt;"",IF(F559-E559=0,"tie",IF(F559-E559&gt;0,"+"&amp;F559-E559,"+"&amp;E559-F559)),"")</f>
        <v/>
      </c>
      <c r="H559" s="12">
        <f>if($A559&lt;&gt;"",if(B559&gt;C559,if(B559&lt;60,1,2),""),"")</f>
        <v/>
      </c>
      <c r="I559" s="12">
        <f>if($A559&lt;&gt;"",if(C559&gt;B559,if(C559&lt;60,1,2),""),"")</f>
        <v/>
      </c>
      <c r="J559" s="9">
        <f>if($A559&lt;&gt;"",J558+H559,"")</f>
        <v/>
      </c>
      <c r="K559" s="9">
        <f>if($A559&lt;&gt;"",K558+I559,"")</f>
        <v/>
      </c>
      <c r="L559" s="11">
        <f>IF($A559&lt;&gt;"",IF(K559-J559=0,"tie",IF(K559-J559&gt;0,"+"&amp;K559-J559,"+"&amp;J559-K559)),"")</f>
        <v/>
      </c>
      <c r="M559" s="17" t="n"/>
      <c r="N559" s="17" t="n"/>
      <c r="O559" s="17" t="n"/>
      <c r="P559" s="17" t="n"/>
      <c r="Q559" s="17" t="n"/>
      <c r="R559" s="17" t="n"/>
      <c r="S559" s="17" t="n"/>
    </row>
    <row r="560">
      <c r="A560" s="15" t="n">
        <v>44162</v>
      </c>
      <c r="B560" s="9" t="n">
        <v>50</v>
      </c>
      <c r="C560" s="10" t="n">
        <v>60</v>
      </c>
      <c r="D560" s="17" t="inlineStr">
        <is>
          <t>Tahoe Valley Campground</t>
        </is>
      </c>
      <c r="E560" s="9">
        <f>if($A560&lt;&gt;"",E559+B560,"")</f>
        <v/>
      </c>
      <c r="F560" s="10">
        <f>if($A560&lt;&gt;"",F559+C560,"")</f>
        <v/>
      </c>
      <c r="G560" s="11">
        <f>IF($A560&lt;&gt;"",IF(F560-E560=0,"tie",IF(F560-E560&gt;0,"+"&amp;F560-E560,"+"&amp;E560-F560)),"")</f>
        <v/>
      </c>
      <c r="H560" s="12">
        <f>if($A560&lt;&gt;"",if(B560&gt;C560,if(B560&lt;60,1,2),""),"")</f>
        <v/>
      </c>
      <c r="I560" s="12">
        <f>if($A560&lt;&gt;"",if(C560&gt;B560,if(C560&lt;60,1,2),""),"")</f>
        <v/>
      </c>
      <c r="J560" s="9">
        <f>if($A560&lt;&gt;"",J559+H560,"")</f>
        <v/>
      </c>
      <c r="K560" s="9">
        <f>if($A560&lt;&gt;"",K559+I560,"")</f>
        <v/>
      </c>
      <c r="L560" s="11">
        <f>IF($A560&lt;&gt;"",IF(K560-J560=0,"tie",IF(K560-J560&gt;0,"+"&amp;K560-J560,"+"&amp;J560-K560)),"")</f>
        <v/>
      </c>
      <c r="M560" s="17" t="n"/>
      <c r="N560" s="17" t="n"/>
      <c r="O560" s="17" t="n"/>
      <c r="P560" s="17" t="n"/>
      <c r="Q560" s="17" t="n"/>
      <c r="R560" s="17" t="n"/>
      <c r="S560" s="17" t="n"/>
    </row>
    <row r="561">
      <c r="A561" s="15" t="n">
        <v>44164</v>
      </c>
      <c r="B561" s="9" t="n">
        <v>25</v>
      </c>
      <c r="C561" s="10" t="n">
        <v>30</v>
      </c>
      <c r="D561" s="17" t="inlineStr">
        <is>
          <t>Bridgeport Resevoir</t>
        </is>
      </c>
      <c r="E561" s="9">
        <f>if($A561&lt;&gt;"",E560+B561,"")</f>
        <v/>
      </c>
      <c r="F561" s="10">
        <f>if($A561&lt;&gt;"",F560+C561,"")</f>
        <v/>
      </c>
      <c r="G561" s="11">
        <f>IF($A561&lt;&gt;"",IF(F561-E561=0,"tie",IF(F561-E561&gt;0,"+"&amp;F561-E561,"+"&amp;E561-F561)),"")</f>
        <v/>
      </c>
      <c r="H561" s="12">
        <f>if($A561&lt;&gt;"",if(B561&gt;C561,if(B561&lt;60,1,2),""),"")</f>
        <v/>
      </c>
      <c r="I561" s="12">
        <f>if($A561&lt;&gt;"",if(C561&gt;B561,if(C561&lt;60,1,2),""),"")</f>
        <v/>
      </c>
      <c r="J561" s="9">
        <f>if($A561&lt;&gt;"",J560+H561,"")</f>
        <v/>
      </c>
      <c r="K561" s="9">
        <f>if($A561&lt;&gt;"",K560+I561,"")</f>
        <v/>
      </c>
      <c r="L561" s="11">
        <f>IF($A561&lt;&gt;"",IF(K561-J561=0,"tie",IF(K561-J561&gt;0,"+"&amp;K561-J561,"+"&amp;J561-K561)),"")</f>
        <v/>
      </c>
      <c r="M561" s="17" t="n"/>
      <c r="N561" s="17" t="n"/>
      <c r="O561" s="17" t="n"/>
      <c r="P561" s="17" t="n"/>
      <c r="Q561" s="17" t="n"/>
      <c r="R561" s="17" t="n"/>
      <c r="S561" s="17" t="n"/>
    </row>
    <row r="562">
      <c r="A562" s="15" t="n">
        <v>44164</v>
      </c>
      <c r="B562" s="9" t="n">
        <v>25</v>
      </c>
      <c r="C562" s="10" t="n">
        <v>30</v>
      </c>
      <c r="D562" s="17" t="inlineStr">
        <is>
          <t>Red Rock Canyon</t>
        </is>
      </c>
      <c r="E562" s="9">
        <f>if($A562&lt;&gt;"",E561+B562,"")</f>
        <v/>
      </c>
      <c r="F562" s="10">
        <f>if($A562&lt;&gt;"",F561+C562,"")</f>
        <v/>
      </c>
      <c r="G562" s="11">
        <f>IF($A562&lt;&gt;"",IF(F562-E562=0,"tie",IF(F562-E562&gt;0,"+"&amp;F562-E562,"+"&amp;E562-F562)),"")</f>
        <v/>
      </c>
      <c r="H562" s="12">
        <f>if($A562&lt;&gt;"",if(B562&gt;C562,if(B562&lt;60,1,2),""),"")</f>
        <v/>
      </c>
      <c r="I562" s="12">
        <f>if($A562&lt;&gt;"",if(C562&gt;B562,if(C562&lt;60,1,2),""),"")</f>
        <v/>
      </c>
      <c r="J562" s="9">
        <f>if($A562&lt;&gt;"",J561+H562,"")</f>
        <v/>
      </c>
      <c r="K562" s="9">
        <f>if($A562&lt;&gt;"",K561+I562,"")</f>
        <v/>
      </c>
      <c r="L562" s="11">
        <f>IF($A562&lt;&gt;"",IF(K562-J562=0,"tie",IF(K562-J562&gt;0,"+"&amp;K562-J562,"+"&amp;J562-K562)),"")</f>
        <v/>
      </c>
      <c r="M562" s="17" t="n"/>
      <c r="N562" s="17" t="n"/>
      <c r="O562" s="17" t="n"/>
      <c r="P562" s="17" t="n"/>
      <c r="Q562" s="17" t="n"/>
      <c r="R562" s="17" t="n"/>
      <c r="S562" s="17" t="n"/>
    </row>
    <row r="563">
      <c r="A563" s="15" t="n">
        <v>44166</v>
      </c>
      <c r="B563" s="9" t="n">
        <v>25</v>
      </c>
      <c r="C563" s="10" t="n">
        <v>30</v>
      </c>
      <c r="D563" s="17" t="inlineStr">
        <is>
          <t>Preston Way</t>
        </is>
      </c>
      <c r="E563" s="9">
        <f>if($A563&lt;&gt;"",E562+B563,"")</f>
        <v/>
      </c>
      <c r="F563" s="10">
        <f>if($A563&lt;&gt;"",F562+C563,"")</f>
        <v/>
      </c>
      <c r="G563" s="11">
        <f>IF($A563&lt;&gt;"",IF(F563-E563=0,"tie",IF(F563-E563&gt;0,"+"&amp;F563-E563,"+"&amp;E563-F563)),"")</f>
        <v/>
      </c>
      <c r="H563" s="12">
        <f>if($A563&lt;&gt;"",if(B563&gt;C563,if(B563&lt;60,1,2),""),"")</f>
        <v/>
      </c>
      <c r="I563" s="12">
        <f>if($A563&lt;&gt;"",if(C563&gt;B563,if(C563&lt;60,1,2),""),"")</f>
        <v/>
      </c>
      <c r="J563" s="9">
        <f>if($A563&lt;&gt;"",J562+H563,"")</f>
        <v/>
      </c>
      <c r="K563" s="9">
        <f>if($A563&lt;&gt;"",K562+I563,"")</f>
        <v/>
      </c>
      <c r="L563" s="11">
        <f>IF($A563&lt;&gt;"",IF(K563-J563=0,"tie",IF(K563-J563&gt;0,"+"&amp;K563-J563,"+"&amp;J563-K563)),"")</f>
        <v/>
      </c>
      <c r="M563" s="17" t="n"/>
      <c r="N563" s="17" t="n"/>
      <c r="O563" s="17" t="n"/>
      <c r="P563" s="17" t="n"/>
      <c r="Q563" s="17" t="n"/>
      <c r="R563" s="17" t="n"/>
      <c r="S563" s="17" t="n"/>
    </row>
    <row r="564">
      <c r="A564" s="15" t="n">
        <v>44167</v>
      </c>
      <c r="B564" s="9" t="n">
        <v>25</v>
      </c>
      <c r="C564" s="10" t="n">
        <v>30</v>
      </c>
      <c r="D564" s="17" t="inlineStr">
        <is>
          <t>Preston Way</t>
        </is>
      </c>
      <c r="E564" s="9">
        <f>if($A564&lt;&gt;"",E563+B564,"")</f>
        <v/>
      </c>
      <c r="F564" s="10">
        <f>if($A564&lt;&gt;"",F563+C564,"")</f>
        <v/>
      </c>
      <c r="G564" s="11">
        <f>IF($A564&lt;&gt;"",IF(F564-E564=0,"tie",IF(F564-E564&gt;0,"+"&amp;F564-E564,"+"&amp;E564-F564)),"")</f>
        <v/>
      </c>
      <c r="H564" s="12">
        <f>if($A564&lt;&gt;"",if(B564&gt;C564,if(B564&lt;60,1,2),""),"")</f>
        <v/>
      </c>
      <c r="I564" s="12">
        <f>if($A564&lt;&gt;"",if(C564&gt;B564,if(C564&lt;60,1,2),""),"")</f>
        <v/>
      </c>
      <c r="J564" s="9">
        <f>if($A564&lt;&gt;"",J563+H564,"")</f>
        <v/>
      </c>
      <c r="K564" s="9">
        <f>if($A564&lt;&gt;"",K563+I564,"")</f>
        <v/>
      </c>
      <c r="L564" s="11">
        <f>IF($A564&lt;&gt;"",IF(K564-J564=0,"tie",IF(K564-J564&gt;0,"+"&amp;K564-J564,"+"&amp;J564-K564)),"")</f>
        <v/>
      </c>
      <c r="M564" s="17" t="n"/>
      <c r="N564" s="17" t="n"/>
      <c r="O564" s="17" t="n"/>
      <c r="P564" s="17" t="n"/>
      <c r="Q564" s="17" t="n"/>
      <c r="R564" s="17" t="n"/>
      <c r="S564" s="17" t="n"/>
    </row>
    <row r="565">
      <c r="A565" s="15" t="n">
        <v>44168</v>
      </c>
      <c r="B565" s="10" t="n">
        <v>60</v>
      </c>
      <c r="C565" s="9" t="n">
        <v>50</v>
      </c>
      <c r="D565" s="17" t="inlineStr">
        <is>
          <t>Preston Way</t>
        </is>
      </c>
      <c r="E565" s="9">
        <f>if($A565&lt;&gt;"",E564+B565,"")</f>
        <v/>
      </c>
      <c r="F565" s="10">
        <f>if($A565&lt;&gt;"",F564+C565,"")</f>
        <v/>
      </c>
      <c r="G565" s="11">
        <f>IF($A565&lt;&gt;"",IF(F565-E565=0,"tie",IF(F565-E565&gt;0,"+"&amp;F565-E565,"+"&amp;E565-F565)),"")</f>
        <v/>
      </c>
      <c r="H565" s="12">
        <f>if($A565&lt;&gt;"",if(B565&gt;C565,if(B565&lt;60,1,2),""),"")</f>
        <v/>
      </c>
      <c r="I565" s="12">
        <f>if($A565&lt;&gt;"",if(C565&gt;B565,if(C565&lt;60,1,2),""),"")</f>
        <v/>
      </c>
      <c r="J565" s="9">
        <f>if($A565&lt;&gt;"",J564+H565,"")</f>
        <v/>
      </c>
      <c r="K565" s="9">
        <f>if($A565&lt;&gt;"",K564+I565,"")</f>
        <v/>
      </c>
      <c r="L565" s="11">
        <f>IF($A565&lt;&gt;"",IF(K565-J565=0,"tie",IF(K565-J565&gt;0,"+"&amp;K565-J565,"+"&amp;J565-K565)),"")</f>
        <v/>
      </c>
      <c r="M565" s="17" t="n"/>
      <c r="N565" s="17" t="n"/>
      <c r="O565" s="17" t="n"/>
      <c r="P565" s="17" t="n"/>
      <c r="Q565" s="17" t="n"/>
      <c r="R565" s="17" t="n"/>
      <c r="S565" s="17" t="n"/>
    </row>
    <row r="566">
      <c r="A566" s="15" t="n">
        <v>44172</v>
      </c>
      <c r="B566" s="10" t="n">
        <v>60</v>
      </c>
      <c r="C566" s="9" t="n">
        <v>50</v>
      </c>
      <c r="D566" s="17" t="inlineStr">
        <is>
          <t>Preston Way</t>
        </is>
      </c>
      <c r="E566" s="9">
        <f>if($A566&lt;&gt;"",E565+B566,"")</f>
        <v/>
      </c>
      <c r="F566" s="10">
        <f>if($A566&lt;&gt;"",F565+C566,"")</f>
        <v/>
      </c>
      <c r="G566" s="11">
        <f>IF($A566&lt;&gt;"",IF(F566-E566=0,"tie",IF(F566-E566&gt;0,"+"&amp;F566-E566,"+"&amp;E566-F566)),"")</f>
        <v/>
      </c>
      <c r="H566" s="12">
        <f>if($A566&lt;&gt;"",if(B566&gt;C566,if(B566&lt;60,1,2),""),"")</f>
        <v/>
      </c>
      <c r="I566" s="12">
        <f>if($A566&lt;&gt;"",if(C566&gt;B566,if(C566&lt;60,1,2),""),"")</f>
        <v/>
      </c>
      <c r="J566" s="9">
        <f>if($A566&lt;&gt;"",J565+H566,"")</f>
        <v/>
      </c>
      <c r="K566" s="9">
        <f>if($A566&lt;&gt;"",K565+I566,"")</f>
        <v/>
      </c>
      <c r="L566" s="11">
        <f>IF($A566&lt;&gt;"",IF(K566-J566=0,"tie",IF(K566-J566&gt;0,"+"&amp;K566-J566,"+"&amp;J566-K566)),"")</f>
        <v/>
      </c>
      <c r="M566" s="17" t="n"/>
      <c r="N566" s="17" t="n"/>
      <c r="O566" s="17" t="n"/>
      <c r="P566" s="17" t="n"/>
      <c r="Q566" s="17" t="n"/>
      <c r="R566" s="17" t="n"/>
      <c r="S566" s="17" t="n"/>
    </row>
    <row r="567">
      <c r="A567" s="15" t="n">
        <v>44178</v>
      </c>
      <c r="B567" s="9" t="n">
        <v>25</v>
      </c>
      <c r="C567" s="10" t="n">
        <v>30</v>
      </c>
      <c r="D567" s="17" t="inlineStr">
        <is>
          <t>Preston Way</t>
        </is>
      </c>
      <c r="E567" s="9">
        <f>if($A567&lt;&gt;"",E566+B567,"")</f>
        <v/>
      </c>
      <c r="F567" s="10">
        <f>if($A567&lt;&gt;"",F566+C567,"")</f>
        <v/>
      </c>
      <c r="G567" s="11">
        <f>IF($A567&lt;&gt;"",IF(F567-E567=0,"tie",IF(F567-E567&gt;0,"+"&amp;F567-E567,"+"&amp;E567-F567)),"")</f>
        <v/>
      </c>
      <c r="H567" s="12">
        <f>if($A567&lt;&gt;"",if(B567&gt;C567,if(B567&lt;60,1,2),""),"")</f>
        <v/>
      </c>
      <c r="I567" s="12">
        <f>if($A567&lt;&gt;"",if(C567&gt;B567,if(C567&lt;60,1,2),""),"")</f>
        <v/>
      </c>
      <c r="J567" s="9">
        <f>if($A567&lt;&gt;"",J566+H567,"")</f>
        <v/>
      </c>
      <c r="K567" s="9">
        <f>if($A567&lt;&gt;"",K566+I567,"")</f>
        <v/>
      </c>
      <c r="L567" s="11">
        <f>IF($A567&lt;&gt;"",IF(K567-J567=0,"tie",IF(K567-J567&gt;0,"+"&amp;K567-J567,"+"&amp;J567-K567)),"")</f>
        <v/>
      </c>
      <c r="M567" s="17" t="n"/>
      <c r="N567" s="17" t="n"/>
      <c r="O567" s="17" t="n"/>
      <c r="P567" s="17" t="n"/>
      <c r="Q567" s="17" t="n"/>
      <c r="R567" s="17" t="n"/>
      <c r="S567" s="17" t="n"/>
    </row>
    <row r="568">
      <c r="A568" s="15" t="n">
        <v>44179</v>
      </c>
      <c r="B568" s="10" t="n">
        <v>30</v>
      </c>
      <c r="C568" s="9" t="n">
        <v>25</v>
      </c>
      <c r="D568" s="17" t="inlineStr">
        <is>
          <t>Preston Way</t>
        </is>
      </c>
      <c r="E568" s="9">
        <f>if($A568&lt;&gt;"",E567+B568,"")</f>
        <v/>
      </c>
      <c r="F568" s="10">
        <f>if($A568&lt;&gt;"",F567+C568,"")</f>
        <v/>
      </c>
      <c r="G568" s="11">
        <f>IF($A568&lt;&gt;"",IF(F568-E568=0,"tie",IF(F568-E568&gt;0,"+"&amp;F568-E568,"+"&amp;E568-F568)),"")</f>
        <v/>
      </c>
      <c r="H568" s="12">
        <f>if($A568&lt;&gt;"",if(B568&gt;C568,if(B568&lt;60,1,2),""),"")</f>
        <v/>
      </c>
      <c r="I568" s="12">
        <f>if($A568&lt;&gt;"",if(C568&gt;B568,if(C568&lt;60,1,2),""),"")</f>
        <v/>
      </c>
      <c r="J568" s="9">
        <f>if($A568&lt;&gt;"",J567+H568,"")</f>
        <v/>
      </c>
      <c r="K568" s="9">
        <f>if($A568&lt;&gt;"",K567+I568,"")</f>
        <v/>
      </c>
      <c r="L568" s="11">
        <f>IF($A568&lt;&gt;"",IF(K568-J568=0,"tie",IF(K568-J568&gt;0,"+"&amp;K568-J568,"+"&amp;J568-K568)),"")</f>
        <v/>
      </c>
      <c r="M568" s="17" t="n"/>
      <c r="N568" s="17" t="n"/>
      <c r="O568" s="17" t="n"/>
      <c r="P568" s="17" t="n"/>
      <c r="Q568" s="17" t="n"/>
      <c r="R568" s="17" t="n"/>
      <c r="S568" s="17" t="n"/>
    </row>
    <row r="569">
      <c r="A569" s="15" t="n">
        <v>44180</v>
      </c>
      <c r="B569" s="10" t="n">
        <v>30</v>
      </c>
      <c r="C569" s="9" t="n">
        <v>25</v>
      </c>
      <c r="D569" s="17" t="inlineStr">
        <is>
          <t>Preston Way</t>
        </is>
      </c>
      <c r="E569" s="9">
        <f>if($A569&lt;&gt;"",E568+B569,"")</f>
        <v/>
      </c>
      <c r="F569" s="10">
        <f>if($A569&lt;&gt;"",F568+C569,"")</f>
        <v/>
      </c>
      <c r="G569" s="11">
        <f>IF($A569&lt;&gt;"",IF(F569-E569=0,"tie",IF(F569-E569&gt;0,"+"&amp;F569-E569,"+"&amp;E569-F569)),"")</f>
        <v/>
      </c>
      <c r="H569" s="12">
        <f>if($A569&lt;&gt;"",if(B569&gt;C569,if(B569&lt;60,1,2),""),"")</f>
        <v/>
      </c>
      <c r="I569" s="12">
        <f>if($A569&lt;&gt;"",if(C569&gt;B569,if(C569&lt;60,1,2),""),"")</f>
        <v/>
      </c>
      <c r="J569" s="9">
        <f>if($A569&lt;&gt;"",J568+H569,"")</f>
        <v/>
      </c>
      <c r="K569" s="9">
        <f>if($A569&lt;&gt;"",K568+I569,"")</f>
        <v/>
      </c>
      <c r="L569" s="11">
        <f>IF($A569&lt;&gt;"",IF(K569-J569=0,"tie",IF(K569-J569&gt;0,"+"&amp;K569-J569,"+"&amp;J569-K569)),"")</f>
        <v/>
      </c>
      <c r="M569" s="17" t="n"/>
      <c r="N569" s="17" t="n"/>
      <c r="O569" s="17" t="n"/>
      <c r="P569" s="17" t="n"/>
      <c r="Q569" s="17" t="n"/>
      <c r="R569" s="17" t="n"/>
      <c r="S569" s="17" t="n"/>
    </row>
    <row r="570">
      <c r="A570" s="15" t="n">
        <v>44186</v>
      </c>
      <c r="B570" s="9" t="n">
        <v>25</v>
      </c>
      <c r="C570" s="10" t="n">
        <v>30</v>
      </c>
      <c r="D570" s="17" t="inlineStr">
        <is>
          <t>Preston Way</t>
        </is>
      </c>
      <c r="E570" s="9">
        <f>if($A570&lt;&gt;"",E569+B570,"")</f>
        <v/>
      </c>
      <c r="F570" s="10">
        <f>if($A570&lt;&gt;"",F569+C570,"")</f>
        <v/>
      </c>
      <c r="G570" s="11">
        <f>IF($A570&lt;&gt;"",IF(F570-E570=0,"tie",IF(F570-E570&gt;0,"+"&amp;F570-E570,"+"&amp;E570-F570)),"")</f>
        <v/>
      </c>
      <c r="H570" s="12">
        <f>if($A570&lt;&gt;"",if(B570&gt;C570,if(B570&lt;60,1,2),""),"")</f>
        <v/>
      </c>
      <c r="I570" s="12">
        <f>if($A570&lt;&gt;"",if(C570&gt;B570,if(C570&lt;60,1,2),""),"")</f>
        <v/>
      </c>
      <c r="J570" s="9">
        <f>if($A570&lt;&gt;"",J569+H570,"")</f>
        <v/>
      </c>
      <c r="K570" s="9">
        <f>if($A570&lt;&gt;"",K569+I570,"")</f>
        <v/>
      </c>
      <c r="L570" s="11">
        <f>IF($A570&lt;&gt;"",IF(K570-J570=0,"tie",IF(K570-J570&gt;0,"+"&amp;K570-J570,"+"&amp;J570-K570)),"")</f>
        <v/>
      </c>
      <c r="M570" s="17" t="n"/>
      <c r="N570" s="17" t="n"/>
      <c r="O570" s="17" t="n"/>
      <c r="P570" s="17" t="n"/>
      <c r="Q570" s="17" t="n"/>
      <c r="R570" s="17" t="n"/>
      <c r="S570" s="17" t="n"/>
    </row>
    <row r="571">
      <c r="A571" s="15" t="n">
        <v>44188</v>
      </c>
      <c r="B571" s="10" t="n">
        <v>30</v>
      </c>
      <c r="C571" s="9" t="n">
        <v>25</v>
      </c>
      <c r="D571" s="17" t="inlineStr">
        <is>
          <t>Coso Junction Rest Stop, 395</t>
        </is>
      </c>
      <c r="E571" s="9">
        <f>if($A571&lt;&gt;"",E570+B571,"")</f>
        <v/>
      </c>
      <c r="F571" s="10">
        <f>if($A571&lt;&gt;"",F570+C571,"")</f>
        <v/>
      </c>
      <c r="G571" s="11">
        <f>IF($A571&lt;&gt;"",IF(F571-E571=0,"tie",IF(F571-E571&gt;0,"+"&amp;F571-E571,"+"&amp;E571-F571)),"")</f>
        <v/>
      </c>
      <c r="H571" s="12">
        <f>if($A571&lt;&gt;"",if(B571&gt;C571,if(B571&lt;60,1,2),""),"")</f>
        <v/>
      </c>
      <c r="I571" s="12">
        <f>if($A571&lt;&gt;"",if(C571&gt;B571,if(C571&lt;60,1,2),""),"")</f>
        <v/>
      </c>
      <c r="J571" s="9">
        <f>if($A571&lt;&gt;"",J570+H571,"")</f>
        <v/>
      </c>
      <c r="K571" s="9">
        <f>if($A571&lt;&gt;"",K570+I571,"")</f>
        <v/>
      </c>
      <c r="L571" s="11">
        <f>IF($A571&lt;&gt;"",IF(K571-J571=0,"tie",IF(K571-J571&gt;0,"+"&amp;K571-J571,"+"&amp;J571-K571)),"")</f>
        <v/>
      </c>
      <c r="M571" s="17" t="n"/>
      <c r="N571" s="17" t="n"/>
      <c r="O571" s="17" t="n"/>
      <c r="P571" s="17" t="n"/>
      <c r="Q571" s="17" t="n"/>
      <c r="R571" s="17" t="n"/>
      <c r="S571" s="17" t="n"/>
    </row>
    <row r="572">
      <c r="A572" s="15" t="n">
        <v>44190</v>
      </c>
      <c r="B572" s="10" t="n">
        <v>60</v>
      </c>
      <c r="C572" s="9" t="n">
        <v>50</v>
      </c>
      <c r="D572" s="17" t="inlineStr">
        <is>
          <t>South Lake Tahoe, 4th St</t>
        </is>
      </c>
      <c r="E572" s="9">
        <f>if($A572&lt;&gt;"",E571+B572,"")</f>
        <v/>
      </c>
      <c r="F572" s="10">
        <f>if($A572&lt;&gt;"",F571+C572,"")</f>
        <v/>
      </c>
      <c r="G572" s="11">
        <f>IF($A572&lt;&gt;"",IF(F572-E572=0,"tie",IF(F572-E572&gt;0,"+"&amp;F572-E572,"+"&amp;E572-F572)),"")</f>
        <v/>
      </c>
      <c r="H572" s="12">
        <f>if($A572&lt;&gt;"",if(B572&gt;C572,if(B572&lt;60,1,2),""),"")</f>
        <v/>
      </c>
      <c r="I572" s="12">
        <f>if($A572&lt;&gt;"",if(C572&gt;B572,if(C572&lt;60,1,2),""),"")</f>
        <v/>
      </c>
      <c r="J572" s="9">
        <f>if($A572&lt;&gt;"",J571+H572,"")</f>
        <v/>
      </c>
      <c r="K572" s="9">
        <f>if($A572&lt;&gt;"",K571+I572,"")</f>
        <v/>
      </c>
      <c r="L572" s="11">
        <f>IF($A572&lt;&gt;"",IF(K572-J572=0,"tie",IF(K572-J572&gt;0,"+"&amp;K572-J572,"+"&amp;J572-K572)),"")</f>
        <v/>
      </c>
      <c r="M572" s="17" t="n"/>
      <c r="N572" s="17" t="n"/>
      <c r="O572" s="17" t="n"/>
      <c r="P572" s="17" t="n"/>
      <c r="Q572" s="17" t="n"/>
      <c r="R572" s="17" t="n"/>
      <c r="S572" s="17" t="n"/>
    </row>
    <row r="573">
      <c r="A573" s="15" t="n">
        <v>44192</v>
      </c>
      <c r="B573" s="10" t="n">
        <v>60</v>
      </c>
      <c r="C573" s="9" t="n">
        <v>50</v>
      </c>
      <c r="D573" s="17" t="inlineStr">
        <is>
          <t>Tahoe Valley Campground</t>
        </is>
      </c>
      <c r="E573" s="9">
        <f>if($A573&lt;&gt;"",E572+B573,"")</f>
        <v/>
      </c>
      <c r="F573" s="10">
        <f>if($A573&lt;&gt;"",F572+C573,"")</f>
        <v/>
      </c>
      <c r="G573" s="11">
        <f>IF($A573&lt;&gt;"",IF(F573-E573=0,"tie",IF(F573-E573&gt;0,"+"&amp;F573-E573,"+"&amp;E573-F573)),"")</f>
        <v/>
      </c>
      <c r="H573" s="12">
        <f>if($A573&lt;&gt;"",if(B573&gt;C573,if(B573&lt;60,1,2),""),"")</f>
        <v/>
      </c>
      <c r="I573" s="12">
        <f>if($A573&lt;&gt;"",if(C573&gt;B573,if(C573&lt;60,1,2),""),"")</f>
        <v/>
      </c>
      <c r="J573" s="9">
        <f>if($A573&lt;&gt;"",J572+H573,"")</f>
        <v/>
      </c>
      <c r="K573" s="9">
        <f>if($A573&lt;&gt;"",K572+I573,"")</f>
        <v/>
      </c>
      <c r="L573" s="11">
        <f>IF($A573&lt;&gt;"",IF(K573-J573=0,"tie",IF(K573-J573&gt;0,"+"&amp;K573-J573,"+"&amp;J573-K573)),"")</f>
        <v/>
      </c>
      <c r="M573" s="17" t="n"/>
      <c r="N573" s="17" t="n"/>
      <c r="O573" s="17" t="n"/>
      <c r="P573" s="17" t="n"/>
      <c r="Q573" s="17" t="n"/>
      <c r="R573" s="17" t="n"/>
      <c r="S573" s="17" t="n"/>
    </row>
    <row r="574">
      <c r="A574" s="15" t="n">
        <v>44193</v>
      </c>
      <c r="B574" s="9" t="n">
        <v>50</v>
      </c>
      <c r="C574" s="10" t="n">
        <v>60</v>
      </c>
      <c r="D574" s="17" t="inlineStr">
        <is>
          <t>South Lake Tahoe, 4th St</t>
        </is>
      </c>
      <c r="E574" s="9">
        <f>if($A574&lt;&gt;"",E573+B574,"")</f>
        <v/>
      </c>
      <c r="F574" s="10">
        <f>if($A574&lt;&gt;"",F573+C574,"")</f>
        <v/>
      </c>
      <c r="G574" s="11">
        <f>IF($A574&lt;&gt;"",IF(F574-E574=0,"tie",IF(F574-E574&gt;0,"+"&amp;F574-E574,"+"&amp;E574-F574)),"")</f>
        <v/>
      </c>
      <c r="H574" s="12">
        <f>if($A574&lt;&gt;"",if(B574&gt;C574,if(B574&lt;60,1,2),""),"")</f>
        <v/>
      </c>
      <c r="I574" s="12">
        <f>if($A574&lt;&gt;"",if(C574&gt;B574,if(C574&lt;60,1,2),""),"")</f>
        <v/>
      </c>
      <c r="J574" s="9">
        <f>if($A574&lt;&gt;"",J573+H574,"")</f>
        <v/>
      </c>
      <c r="K574" s="9">
        <f>if($A574&lt;&gt;"",K573+I574,"")</f>
        <v/>
      </c>
      <c r="L574" s="11">
        <f>IF($A574&lt;&gt;"",IF(K574-J574=0,"tie",IF(K574-J574&gt;0,"+"&amp;K574-J574,"+"&amp;J574-K574)),"")</f>
        <v/>
      </c>
      <c r="M574" s="17" t="n"/>
      <c r="N574" s="17" t="n"/>
      <c r="O574" s="17" t="n"/>
      <c r="P574" s="17" t="n"/>
      <c r="Q574" s="17" t="n"/>
      <c r="R574" s="17" t="n"/>
      <c r="S574" s="17" t="n"/>
    </row>
    <row r="575">
      <c r="A575" s="15" t="n">
        <v>44193</v>
      </c>
      <c r="B575" s="9" t="n">
        <v>50</v>
      </c>
      <c r="C575" s="10" t="n">
        <v>60</v>
      </c>
      <c r="D575" s="17" t="inlineStr">
        <is>
          <t>Amargosa River, NV</t>
        </is>
      </c>
      <c r="E575" s="9">
        <f>if($A575&lt;&gt;"",E574+B575,"")</f>
        <v/>
      </c>
      <c r="F575" s="10">
        <f>if($A575&lt;&gt;"",F574+C575,"")</f>
        <v/>
      </c>
      <c r="G575" s="11">
        <f>IF($A575&lt;&gt;"",IF(F575-E575=0,"tie",IF(F575-E575&gt;0,"+"&amp;F575-E575,"+"&amp;E575-F575)),"")</f>
        <v/>
      </c>
      <c r="H575" s="12">
        <f>if($A575&lt;&gt;"",if(B575&gt;C575,if(B575&lt;60,1,2),""),"")</f>
        <v/>
      </c>
      <c r="I575" s="12">
        <f>if($A575&lt;&gt;"",if(C575&gt;B575,if(C575&lt;60,1,2),""),"")</f>
        <v/>
      </c>
      <c r="J575" s="9">
        <f>if($A575&lt;&gt;"",J574+H575,"")</f>
        <v/>
      </c>
      <c r="K575" s="9">
        <f>if($A575&lt;&gt;"",K574+I575,"")</f>
        <v/>
      </c>
      <c r="L575" s="11">
        <f>IF($A575&lt;&gt;"",IF(K575-J575=0,"tie",IF(K575-J575&gt;0,"+"&amp;K575-J575,"+"&amp;J575-K575)),"")</f>
        <v/>
      </c>
      <c r="M575" s="17" t="n"/>
      <c r="N575" s="17" t="n"/>
      <c r="O575" s="17" t="n"/>
      <c r="P575" s="17" t="n"/>
      <c r="Q575" s="17" t="n"/>
      <c r="R575" s="17" t="n"/>
      <c r="S575" s="17" t="n"/>
    </row>
    <row r="576">
      <c r="A576" s="15" t="n">
        <v>44194</v>
      </c>
      <c r="B576" s="9" t="n">
        <v>25</v>
      </c>
      <c r="C576" s="10" t="n">
        <v>30</v>
      </c>
      <c r="D576" s="17" t="inlineStr">
        <is>
          <t>Takopa Hot Springs</t>
        </is>
      </c>
      <c r="E576" s="9">
        <f>if($A576&lt;&gt;"",E575+B576,"")</f>
        <v/>
      </c>
      <c r="F576" s="10">
        <f>if($A576&lt;&gt;"",F575+C576,"")</f>
        <v/>
      </c>
      <c r="G576" s="11">
        <f>IF($A576&lt;&gt;"",IF(F576-E576=0,"tie",IF(F576-E576&gt;0,"+"&amp;F576-E576,"+"&amp;E576-F576)),"")</f>
        <v/>
      </c>
      <c r="H576" s="12">
        <f>if($A576&lt;&gt;"",if(B576&gt;C576,if(B576&lt;60,1,2),""),"")</f>
        <v/>
      </c>
      <c r="I576" s="12">
        <f>if($A576&lt;&gt;"",if(C576&gt;B576,if(C576&lt;60,1,2),""),"")</f>
        <v/>
      </c>
      <c r="J576" s="9">
        <f>if($A576&lt;&gt;"",J575+H576,"")</f>
        <v/>
      </c>
      <c r="K576" s="9">
        <f>if($A576&lt;&gt;"",K575+I576,"")</f>
        <v/>
      </c>
      <c r="L576" s="11">
        <f>IF($A576&lt;&gt;"",IF(K576-J576=0,"tie",IF(K576-J576&gt;0,"+"&amp;K576-J576,"+"&amp;J576-K576)),"")</f>
        <v/>
      </c>
      <c r="M576" s="17" t="n"/>
      <c r="N576" s="17" t="n"/>
      <c r="O576" s="17" t="n"/>
      <c r="P576" s="17" t="n"/>
      <c r="Q576" s="17" t="n"/>
      <c r="R576" s="17" t="n"/>
      <c r="S576" s="17" t="n"/>
    </row>
    <row r="577">
      <c r="A577" s="15" t="n">
        <v>44196</v>
      </c>
      <c r="B577" s="10" t="n">
        <v>30</v>
      </c>
      <c r="C577" s="9" t="n">
        <v>25</v>
      </c>
      <c r="D577" s="17" t="inlineStr">
        <is>
          <t>Tuscan Springs Hotel and Spa, Desert Hot Springs, CA</t>
        </is>
      </c>
      <c r="E577" s="9">
        <f>if($A577&lt;&gt;"",E576+B577,"")</f>
        <v/>
      </c>
      <c r="F577" s="10">
        <f>if($A577&lt;&gt;"",F576+C577,"")</f>
        <v/>
      </c>
      <c r="G577" s="11">
        <f>IF($A577&lt;&gt;"",IF(F577-E577=0,"tie",IF(F577-E577&gt;0,"+"&amp;F577-E577,"+"&amp;E577-F577)),"")</f>
        <v/>
      </c>
      <c r="H577" s="12">
        <f>if($A577&lt;&gt;"",if(B577&gt;C577,if(B577&lt;60,1,2),""),"")</f>
        <v/>
      </c>
      <c r="I577" s="12">
        <f>if($A577&lt;&gt;"",if(C577&gt;B577,if(C577&lt;60,1,2),""),"")</f>
        <v/>
      </c>
      <c r="J577" s="9">
        <f>if($A577&lt;&gt;"",J576+H577,"")</f>
        <v/>
      </c>
      <c r="K577" s="9">
        <f>if($A577&lt;&gt;"",K576+I577,"")</f>
        <v/>
      </c>
      <c r="L577" s="11">
        <f>IF($A577&lt;&gt;"",IF(K577-J577=0,"tie",IF(K577-J577&gt;0,"+"&amp;K577-J577,"+"&amp;J577-K577)),"")</f>
        <v/>
      </c>
      <c r="M577" s="17" t="n"/>
      <c r="N577" s="17" t="n"/>
      <c r="O577" s="17" t="n"/>
      <c r="P577" s="17" t="n"/>
      <c r="Q577" s="17" t="n"/>
      <c r="R577" s="17" t="n"/>
      <c r="S577" s="17" t="n"/>
    </row>
    <row r="578">
      <c r="A578" s="15" t="n">
        <v>44196</v>
      </c>
      <c r="B578" s="9" t="n">
        <v>25</v>
      </c>
      <c r="C578" s="10" t="n">
        <v>30</v>
      </c>
      <c r="D578" s="17" t="inlineStr">
        <is>
          <t>Johnson Valley</t>
        </is>
      </c>
      <c r="E578" s="9">
        <f>if($A578&lt;&gt;"",E577+B578,"")</f>
        <v/>
      </c>
      <c r="F578" s="10">
        <f>if($A578&lt;&gt;"",F577+C578,"")</f>
        <v/>
      </c>
      <c r="G578" s="11">
        <f>IF($A578&lt;&gt;"",IF(F578-E578=0,"tie",IF(F578-E578&gt;0,"+"&amp;F578-E578,"+"&amp;E578-F578)),"")</f>
        <v/>
      </c>
      <c r="H578" s="12">
        <f>if($A578&lt;&gt;"",if(B578&gt;C578,if(B578&lt;60,1,2),""),"")</f>
        <v/>
      </c>
      <c r="I578" s="12">
        <f>if($A578&lt;&gt;"",if(C578&gt;B578,if(C578&lt;60,1,2),""),"")</f>
        <v/>
      </c>
      <c r="J578" s="9">
        <f>if($A578&lt;&gt;"",J577+H578,"")</f>
        <v/>
      </c>
      <c r="K578" s="9">
        <f>if($A578&lt;&gt;"",K577+I578,"")</f>
        <v/>
      </c>
      <c r="L578" s="11">
        <f>IF($A578&lt;&gt;"",IF(K578-J578=0,"tie",IF(K578-J578&gt;0,"+"&amp;K578-J578,"+"&amp;J578-K578)),"")</f>
        <v/>
      </c>
      <c r="M578" s="17" t="n"/>
      <c r="N578" s="17" t="n"/>
      <c r="O578" s="17" t="n"/>
      <c r="P578" s="17" t="n"/>
      <c r="Q578" s="17" t="n"/>
      <c r="R578" s="17" t="n"/>
      <c r="S578" s="17" t="n"/>
    </row>
    <row r="579">
      <c r="A579" s="15" t="n">
        <v>44199</v>
      </c>
      <c r="B579" s="9" t="n">
        <v>25</v>
      </c>
      <c r="C579" s="10" t="n">
        <v>30</v>
      </c>
      <c r="D579" s="17" t="inlineStr">
        <is>
          <t>Whittier Narrows Recreation Area</t>
        </is>
      </c>
      <c r="E579" s="9">
        <f>if($A579&lt;&gt;"",E578+B579,"")</f>
        <v/>
      </c>
      <c r="F579" s="10">
        <f>if($A579&lt;&gt;"",F578+C579,"")</f>
        <v/>
      </c>
      <c r="G579" s="11">
        <f>IF($A579&lt;&gt;"",IF(F579-E579=0,"tie",IF(F579-E579&gt;0,"+"&amp;F579-E579,"+"&amp;E579-F579)),"")</f>
        <v/>
      </c>
      <c r="H579" s="12">
        <f>if($A579&lt;&gt;"",if(B579&gt;C579,if(B579&lt;60,1,2),""),"")</f>
        <v/>
      </c>
      <c r="I579" s="12">
        <f>if($A579&lt;&gt;"",if(C579&gt;B579,if(C579&lt;60,1,2),""),"")</f>
        <v/>
      </c>
      <c r="J579" s="9">
        <f>if($A579&lt;&gt;"",J578+H579,"")</f>
        <v/>
      </c>
      <c r="K579" s="9">
        <f>if($A579&lt;&gt;"",K578+I579,"")</f>
        <v/>
      </c>
      <c r="L579" s="11">
        <f>IF($A579&lt;&gt;"",IF(K579-J579=0,"tie",IF(K579-J579&gt;0,"+"&amp;K579-J579,"+"&amp;J579-K579)),"")</f>
        <v/>
      </c>
      <c r="M579" s="17" t="n"/>
      <c r="N579" s="17" t="n"/>
      <c r="O579" s="17" t="n"/>
      <c r="P579" s="17" t="n"/>
      <c r="Q579" s="17" t="n"/>
      <c r="R579" s="17" t="n"/>
      <c r="S579" s="17" t="n"/>
    </row>
    <row r="580">
      <c r="A580" s="15" t="n">
        <v>44199</v>
      </c>
      <c r="B580" s="9" t="n">
        <v>25</v>
      </c>
      <c r="C580" s="10" t="n">
        <v>30</v>
      </c>
      <c r="D580" s="17" t="inlineStr">
        <is>
          <t>Preston Way</t>
        </is>
      </c>
      <c r="E580" s="9">
        <f>if($A580&lt;&gt;"",E579+B580,"")</f>
        <v/>
      </c>
      <c r="F580" s="10">
        <f>if($A580&lt;&gt;"",F579+C580,"")</f>
        <v/>
      </c>
      <c r="G580" s="11">
        <f>IF($A580&lt;&gt;"",IF(F580-E580=0,"tie",IF(F580-E580&gt;0,"+"&amp;F580-E580,"+"&amp;E580-F580)),"")</f>
        <v/>
      </c>
      <c r="H580" s="12">
        <f>if($A580&lt;&gt;"",if(B580&gt;C580,if(B580&lt;60,1,2),""),"")</f>
        <v/>
      </c>
      <c r="I580" s="12">
        <f>if($A580&lt;&gt;"",if(C580&gt;B580,if(C580&lt;60,1,2),""),"")</f>
        <v/>
      </c>
      <c r="J580" s="9">
        <f>if($A580&lt;&gt;"",J579+H580,"")</f>
        <v/>
      </c>
      <c r="K580" s="9">
        <f>if($A580&lt;&gt;"",K579+I580,"")</f>
        <v/>
      </c>
      <c r="L580" s="11">
        <f>IF($A580&lt;&gt;"",IF(K580-J580=0,"tie",IF(K580-J580&gt;0,"+"&amp;K580-J580,"+"&amp;J580-K580)),"")</f>
        <v/>
      </c>
      <c r="M580" s="17" t="n"/>
      <c r="N580" s="17" t="n"/>
      <c r="O580" s="17" t="n"/>
      <c r="P580" s="17" t="n"/>
      <c r="Q580" s="17" t="n"/>
      <c r="R580" s="17" t="n"/>
      <c r="S580" s="17" t="n"/>
    </row>
    <row r="581">
      <c r="A581" s="15" t="n">
        <v>44201</v>
      </c>
      <c r="B581" s="10" t="n">
        <v>30</v>
      </c>
      <c r="C581" s="9" t="n">
        <v>25</v>
      </c>
      <c r="D581" s="17" t="inlineStr">
        <is>
          <t>Preston Way</t>
        </is>
      </c>
      <c r="E581" s="9">
        <f>if($A581&lt;&gt;"",E580+B581,"")</f>
        <v/>
      </c>
      <c r="F581" s="10">
        <f>if($A581&lt;&gt;"",F580+C581,"")</f>
        <v/>
      </c>
      <c r="G581" s="11">
        <f>IF($A581&lt;&gt;"",IF(F581-E581=0,"tie",IF(F581-E581&gt;0,"+"&amp;F581-E581,"+"&amp;E581-F581)),"")</f>
        <v/>
      </c>
      <c r="H581" s="12">
        <f>if($A581&lt;&gt;"",if(B581&gt;C581,if(B581&lt;60,1,2),""),"")</f>
        <v/>
      </c>
      <c r="I581" s="12">
        <f>if($A581&lt;&gt;"",if(C581&gt;B581,if(C581&lt;60,1,2),""),"")</f>
        <v/>
      </c>
      <c r="J581" s="9">
        <f>if($A581&lt;&gt;"",J580+H581,"")</f>
        <v/>
      </c>
      <c r="K581" s="9">
        <f>if($A581&lt;&gt;"",K580+I581,"")</f>
        <v/>
      </c>
      <c r="L581" s="11">
        <f>IF($A581&lt;&gt;"",IF(K581-J581=0,"tie",IF(K581-J581&gt;0,"+"&amp;K581-J581,"+"&amp;J581-K581)),"")</f>
        <v/>
      </c>
      <c r="M581" s="17" t="n"/>
      <c r="N581" s="17" t="n"/>
      <c r="O581" s="17" t="n"/>
      <c r="P581" s="17" t="n"/>
      <c r="Q581" s="17" t="n"/>
      <c r="R581" s="17" t="n"/>
      <c r="S581" s="17" t="n"/>
    </row>
    <row r="582">
      <c r="A582" s="15" t="n">
        <v>44202</v>
      </c>
      <c r="B582" s="10" t="n">
        <v>30</v>
      </c>
      <c r="C582" s="9" t="n">
        <v>25</v>
      </c>
      <c r="D582" s="17" t="inlineStr">
        <is>
          <t>Preston Way</t>
        </is>
      </c>
      <c r="E582" s="9">
        <f>if($A582&lt;&gt;"",E581+B582,"")</f>
        <v/>
      </c>
      <c r="F582" s="10">
        <f>if($A582&lt;&gt;"",F581+C582,"")</f>
        <v/>
      </c>
      <c r="G582" s="11">
        <f>IF($A582&lt;&gt;"",IF(F582-E582=0,"tie",IF(F582-E582&gt;0,"+"&amp;F582-E582,"+"&amp;E582-F582)),"")</f>
        <v/>
      </c>
      <c r="H582" s="12">
        <f>if($A582&lt;&gt;"",if(B582&gt;C582,if(B582&lt;60,1,2),""),"")</f>
        <v/>
      </c>
      <c r="I582" s="12">
        <f>if($A582&lt;&gt;"",if(C582&gt;B582,if(C582&lt;60,1,2),""),"")</f>
        <v/>
      </c>
      <c r="J582" s="9">
        <f>if($A582&lt;&gt;"",J581+H582,"")</f>
        <v/>
      </c>
      <c r="K582" s="9">
        <f>if($A582&lt;&gt;"",K581+I582,"")</f>
        <v/>
      </c>
      <c r="L582" s="11">
        <f>IF($A582&lt;&gt;"",IF(K582-J582=0,"tie",IF(K582-J582&gt;0,"+"&amp;K582-J582,"+"&amp;J582-K582)),"")</f>
        <v/>
      </c>
      <c r="M582" s="17" t="n"/>
      <c r="N582" s="17" t="n"/>
      <c r="O582" s="17" t="n"/>
      <c r="P582" s="17" t="n"/>
      <c r="Q582" s="17" t="n"/>
      <c r="R582" s="17" t="n"/>
      <c r="S582" s="17" t="n"/>
    </row>
    <row r="583">
      <c r="A583" s="15" t="n">
        <v>44202</v>
      </c>
      <c r="B583" s="9" t="n">
        <v>25</v>
      </c>
      <c r="C583" s="10" t="n">
        <v>30</v>
      </c>
      <c r="D583" s="17" t="inlineStr">
        <is>
          <t>Preston Way</t>
        </is>
      </c>
      <c r="E583" s="9">
        <f>if($A583&lt;&gt;"",E582+B583,"")</f>
        <v/>
      </c>
      <c r="F583" s="10">
        <f>if($A583&lt;&gt;"",F582+C583,"")</f>
        <v/>
      </c>
      <c r="G583" s="11">
        <f>IF($A583&lt;&gt;"",IF(F583-E583=0,"tie",IF(F583-E583&gt;0,"+"&amp;F583-E583,"+"&amp;E583-F583)),"")</f>
        <v/>
      </c>
      <c r="H583" s="12">
        <f>if($A583&lt;&gt;"",if(B583&gt;C583,if(B583&lt;60,1,2),""),"")</f>
        <v/>
      </c>
      <c r="I583" s="12">
        <f>if($A583&lt;&gt;"",if(C583&gt;B583,if(C583&lt;60,1,2),""),"")</f>
        <v/>
      </c>
      <c r="J583" s="9">
        <f>if($A583&lt;&gt;"",J582+H583,"")</f>
        <v/>
      </c>
      <c r="K583" s="9">
        <f>if($A583&lt;&gt;"",K582+I583,"")</f>
        <v/>
      </c>
      <c r="L583" s="11">
        <f>IF($A583&lt;&gt;"",IF(K583-J583=0,"tie",IF(K583-J583&gt;0,"+"&amp;K583-J583,"+"&amp;J583-K583)),"")</f>
        <v/>
      </c>
      <c r="M583" s="17" t="n"/>
      <c r="N583" s="17" t="n"/>
      <c r="O583" s="17" t="n"/>
      <c r="P583" s="17" t="n"/>
      <c r="Q583" s="17" t="n"/>
      <c r="R583" s="17" t="n"/>
      <c r="S583" s="17" t="n"/>
    </row>
    <row r="584">
      <c r="A584" s="15" t="n">
        <v>44213</v>
      </c>
      <c r="B584" s="10" t="n">
        <v>30</v>
      </c>
      <c r="C584" s="9" t="n">
        <v>25</v>
      </c>
      <c r="D584" s="17" t="inlineStr">
        <is>
          <t>Jawbone</t>
        </is>
      </c>
      <c r="E584" s="9">
        <f>if($A584&lt;&gt;"",E583+B584,"")</f>
        <v/>
      </c>
      <c r="F584" s="10">
        <f>if($A584&lt;&gt;"",F583+C584,"")</f>
        <v/>
      </c>
      <c r="G584" s="11">
        <f>IF($A584&lt;&gt;"",IF(F584-E584=0,"tie",IF(F584-E584&gt;0,"+"&amp;F584-E584,"+"&amp;E584-F584)),"")</f>
        <v/>
      </c>
      <c r="H584" s="12">
        <f>if($A584&lt;&gt;"",if(B584&gt;C584,if(B584&lt;60,1,2),""),"")</f>
        <v/>
      </c>
      <c r="I584" s="12">
        <f>if($A584&lt;&gt;"",if(C584&gt;B584,if(C584&lt;60,1,2),""),"")</f>
        <v/>
      </c>
      <c r="J584" s="9">
        <f>if($A584&lt;&gt;"",J583+H584,"")</f>
        <v/>
      </c>
      <c r="K584" s="9">
        <f>if($A584&lt;&gt;"",K583+I584,"")</f>
        <v/>
      </c>
      <c r="L584" s="11">
        <f>IF($A584&lt;&gt;"",IF(K584-J584=0,"tie",IF(K584-J584&gt;0,"+"&amp;K584-J584,"+"&amp;J584-K584)),"")</f>
        <v/>
      </c>
      <c r="M584" s="17" t="n"/>
      <c r="N584" s="17" t="n"/>
      <c r="O584" s="17" t="n"/>
      <c r="P584" s="17" t="n"/>
      <c r="Q584" s="17" t="n"/>
      <c r="R584" s="17" t="n"/>
      <c r="S584" s="17" t="n"/>
    </row>
    <row r="585">
      <c r="A585" s="15" t="n">
        <v>44213</v>
      </c>
      <c r="B585" s="9" t="n">
        <v>50</v>
      </c>
      <c r="C585" s="10" t="n">
        <v>60</v>
      </c>
      <c r="D585" s="17" t="inlineStr">
        <is>
          <t>Jawbone</t>
        </is>
      </c>
      <c r="E585" s="9">
        <f>if($A585&lt;&gt;"",E584+B585,"")</f>
        <v/>
      </c>
      <c r="F585" s="10">
        <f>if($A585&lt;&gt;"",F584+C585,"")</f>
        <v/>
      </c>
      <c r="G585" s="11">
        <f>IF($A585&lt;&gt;"",IF(F585-E585=0,"tie",IF(F585-E585&gt;0,"+"&amp;F585-E585,"+"&amp;E585-F585)),"")</f>
        <v/>
      </c>
      <c r="H585" s="12">
        <f>if($A585&lt;&gt;"",if(B585&gt;C585,if(B585&lt;60,1,2),""),"")</f>
        <v/>
      </c>
      <c r="I585" s="12">
        <f>if($A585&lt;&gt;"",if(C585&gt;B585,if(C585&lt;60,1,2),""),"")</f>
        <v/>
      </c>
      <c r="J585" s="9">
        <f>if($A585&lt;&gt;"",J584+H585,"")</f>
        <v/>
      </c>
      <c r="K585" s="9">
        <f>if($A585&lt;&gt;"",K584+I585,"")</f>
        <v/>
      </c>
      <c r="L585" s="11">
        <f>IF($A585&lt;&gt;"",IF(K585-J585=0,"tie",IF(K585-J585&gt;0,"+"&amp;K585-J585,"+"&amp;J585-K585)),"")</f>
        <v/>
      </c>
      <c r="M585" s="17" t="n"/>
      <c r="N585" s="17" t="n"/>
      <c r="O585" s="17" t="n"/>
      <c r="P585" s="17" t="n"/>
      <c r="Q585" s="17" t="n"/>
      <c r="R585" s="17" t="n"/>
      <c r="S585" s="17" t="n"/>
    </row>
    <row r="586">
      <c r="A586" s="15" t="n">
        <v>44214</v>
      </c>
      <c r="B586" s="10" t="n">
        <v>30</v>
      </c>
      <c r="C586" s="9" t="n">
        <v>25</v>
      </c>
      <c r="D586" s="17" t="inlineStr">
        <is>
          <t>Jawbone</t>
        </is>
      </c>
      <c r="E586" s="9">
        <f>if($A586&lt;&gt;"",E585+B586,"")</f>
        <v/>
      </c>
      <c r="F586" s="10">
        <f>if($A586&lt;&gt;"",F585+C586,"")</f>
        <v/>
      </c>
      <c r="G586" s="11">
        <f>IF($A586&lt;&gt;"",IF(F586-E586=0,"tie",IF(F586-E586&gt;0,"+"&amp;F586-E586,"+"&amp;E586-F586)),"")</f>
        <v/>
      </c>
      <c r="H586" s="12">
        <f>if($A586&lt;&gt;"",if(B586&gt;C586,if(B586&lt;60,1,2),""),"")</f>
        <v/>
      </c>
      <c r="I586" s="12">
        <f>if($A586&lt;&gt;"",if(C586&gt;B586,if(C586&lt;60,1,2),""),"")</f>
        <v/>
      </c>
      <c r="J586" s="9">
        <f>if($A586&lt;&gt;"",J585+H586,"")</f>
        <v/>
      </c>
      <c r="K586" s="9">
        <f>if($A586&lt;&gt;"",K585+I586,"")</f>
        <v/>
      </c>
      <c r="L586" s="11">
        <f>IF($A586&lt;&gt;"",IF(K586-J586=0,"tie",IF(K586-J586&gt;0,"+"&amp;K586-J586,"+"&amp;J586-K586)),"")</f>
        <v/>
      </c>
      <c r="M586" s="17" t="n"/>
      <c r="N586" s="17" t="n"/>
      <c r="O586" s="17" t="n"/>
      <c r="P586" s="17" t="n"/>
      <c r="Q586" s="17" t="n"/>
      <c r="R586" s="17" t="n"/>
      <c r="S586" s="17" t="n"/>
    </row>
    <row r="587">
      <c r="A587" s="15" t="n">
        <v>44217</v>
      </c>
      <c r="B587" s="10" t="n">
        <v>30</v>
      </c>
      <c r="C587" s="9" t="n">
        <v>25</v>
      </c>
      <c r="D587" s="17" t="inlineStr">
        <is>
          <t>Preston Way</t>
        </is>
      </c>
      <c r="E587" s="9">
        <f>if($A587&lt;&gt;"",E586+B587,"")</f>
        <v/>
      </c>
      <c r="F587" s="10">
        <f>if($A587&lt;&gt;"",F586+C587,"")</f>
        <v/>
      </c>
      <c r="G587" s="11">
        <f>IF($A587&lt;&gt;"",IF(F587-E587=0,"tie",IF(F587-E587&gt;0,"+"&amp;F587-E587,"+"&amp;E587-F587)),"")</f>
        <v/>
      </c>
      <c r="H587" s="12">
        <f>if($A587&lt;&gt;"",if(B587&gt;C587,if(B587&lt;60,1,2),""),"")</f>
        <v/>
      </c>
      <c r="I587" s="12">
        <f>if($A587&lt;&gt;"",if(C587&gt;B587,if(C587&lt;60,1,2),""),"")</f>
        <v/>
      </c>
      <c r="J587" s="9">
        <f>if($A587&lt;&gt;"",J586+H587,"")</f>
        <v/>
      </c>
      <c r="K587" s="9">
        <f>if($A587&lt;&gt;"",K586+I587,"")</f>
        <v/>
      </c>
      <c r="L587" s="11">
        <f>IF($A587&lt;&gt;"",IF(K587-J587=0,"tie",IF(K587-J587&gt;0,"+"&amp;K587-J587,"+"&amp;J587-K587)),"")</f>
        <v/>
      </c>
      <c r="M587" s="17" t="n"/>
      <c r="N587" s="17" t="n"/>
      <c r="O587" s="17" t="n"/>
      <c r="P587" s="17" t="n"/>
      <c r="Q587" s="17" t="n"/>
      <c r="R587" s="17" t="n"/>
      <c r="S587" s="17" t="n"/>
    </row>
    <row r="588">
      <c r="A588" s="15" t="n">
        <v>44222</v>
      </c>
      <c r="B588" s="9" t="n">
        <v>25</v>
      </c>
      <c r="C588" s="10" t="n">
        <v>30</v>
      </c>
      <c r="D588" s="17" t="inlineStr">
        <is>
          <t>Preston Way</t>
        </is>
      </c>
      <c r="E588" s="9">
        <f>if($A588&lt;&gt;"",E587+B588,"")</f>
        <v/>
      </c>
      <c r="F588" s="10">
        <f>if($A588&lt;&gt;"",F587+C588,"")</f>
        <v/>
      </c>
      <c r="G588" s="11">
        <f>IF($A588&lt;&gt;"",IF(F588-E588=0,"tie",IF(F588-E588&gt;0,"+"&amp;F588-E588,"+"&amp;E588-F588)),"")</f>
        <v/>
      </c>
      <c r="H588" s="12">
        <f>if($A588&lt;&gt;"",if(B588&gt;C588,if(B588&lt;60,1,2),""),"")</f>
        <v/>
      </c>
      <c r="I588" s="12">
        <f>if($A588&lt;&gt;"",if(C588&gt;B588,if(C588&lt;60,1,2),""),"")</f>
        <v/>
      </c>
      <c r="J588" s="9">
        <f>if($A588&lt;&gt;"",J587+H588,"")</f>
        <v/>
      </c>
      <c r="K588" s="9">
        <f>if($A588&lt;&gt;"",K587+I588,"")</f>
        <v/>
      </c>
      <c r="L588" s="11">
        <f>IF($A588&lt;&gt;"",IF(K588-J588=0,"tie",IF(K588-J588&gt;0,"+"&amp;K588-J588,"+"&amp;J588-K588)),"")</f>
        <v/>
      </c>
      <c r="M588" s="17" t="n"/>
      <c r="N588" s="17" t="n"/>
      <c r="O588" s="17" t="n"/>
      <c r="P588" s="17" t="n"/>
      <c r="Q588" s="17" t="n"/>
      <c r="R588" s="17" t="n"/>
      <c r="S588" s="17" t="n"/>
    </row>
    <row r="589">
      <c r="A589" s="15" t="n">
        <v>44223</v>
      </c>
      <c r="B589" s="9" t="n">
        <v>25</v>
      </c>
      <c r="C589" s="10" t="n">
        <v>30</v>
      </c>
      <c r="D589" s="17" t="inlineStr">
        <is>
          <t>Preston Way</t>
        </is>
      </c>
      <c r="E589" s="9">
        <f>if($A589&lt;&gt;"",E588+B589,"")</f>
        <v/>
      </c>
      <c r="F589" s="10">
        <f>if($A589&lt;&gt;"",F588+C589,"")</f>
        <v/>
      </c>
      <c r="G589" s="11">
        <f>IF($A589&lt;&gt;"",IF(F589-E589=0,"tie",IF(F589-E589&gt;0,"+"&amp;F589-E589,"+"&amp;E589-F589)),"")</f>
        <v/>
      </c>
      <c r="H589" s="12">
        <f>if($A589&lt;&gt;"",if(B589&gt;C589,if(B589&lt;60,1,2),""),"")</f>
        <v/>
      </c>
      <c r="I589" s="12">
        <f>if($A589&lt;&gt;"",if(C589&gt;B589,if(C589&lt;60,1,2),""),"")</f>
        <v/>
      </c>
      <c r="J589" s="9">
        <f>if($A589&lt;&gt;"",J588+H589,"")</f>
        <v/>
      </c>
      <c r="K589" s="9">
        <f>if($A589&lt;&gt;"",K588+I589,"")</f>
        <v/>
      </c>
      <c r="L589" s="11">
        <f>IF($A589&lt;&gt;"",IF(K589-J589=0,"tie",IF(K589-J589&gt;0,"+"&amp;K589-J589,"+"&amp;J589-K589)),"")</f>
        <v/>
      </c>
      <c r="M589" s="17" t="n"/>
      <c r="N589" s="17" t="n"/>
      <c r="O589" s="17" t="n"/>
      <c r="P589" s="17" t="n"/>
      <c r="Q589" s="17" t="n"/>
      <c r="R589" s="17" t="n"/>
      <c r="S589" s="17" t="n"/>
    </row>
    <row r="590">
      <c r="A590" s="15" t="n">
        <v>44231</v>
      </c>
      <c r="B590" s="10" t="n">
        <v>30</v>
      </c>
      <c r="C590" s="9" t="n">
        <v>25</v>
      </c>
      <c r="D590" s="17" t="inlineStr">
        <is>
          <t>Preston Way</t>
        </is>
      </c>
      <c r="E590" s="9">
        <f>if($A590&lt;&gt;"",E589+B590,"")</f>
        <v/>
      </c>
      <c r="F590" s="10">
        <f>if($A590&lt;&gt;"",F589+C590,"")</f>
        <v/>
      </c>
      <c r="G590" s="11">
        <f>IF($A590&lt;&gt;"",IF(F590-E590=0,"tie",IF(F590-E590&gt;0,"+"&amp;F590-E590,"+"&amp;E590-F590)),"")</f>
        <v/>
      </c>
      <c r="H590" s="12">
        <f>if($A590&lt;&gt;"",if(B590&gt;C590,if(B590&lt;60,1,2),""),"")</f>
        <v/>
      </c>
      <c r="I590" s="12">
        <f>if($A590&lt;&gt;"",if(C590&gt;B590,if(C590&lt;60,1,2),""),"")</f>
        <v/>
      </c>
      <c r="J590" s="9">
        <f>if($A590&lt;&gt;"",J589+H590,"")</f>
        <v/>
      </c>
      <c r="K590" s="9">
        <f>if($A590&lt;&gt;"",K589+I590,"")</f>
        <v/>
      </c>
      <c r="L590" s="11">
        <f>IF($A590&lt;&gt;"",IF(K590-J590=0,"tie",IF(K590-J590&gt;0,"+"&amp;K590-J590,"+"&amp;J590-K590)),"")</f>
        <v/>
      </c>
      <c r="M590" s="17" t="n"/>
      <c r="N590" s="17" t="n"/>
      <c r="O590" s="17" t="n"/>
      <c r="P590" s="17" t="n"/>
      <c r="Q590" s="17" t="n"/>
      <c r="R590" s="17" t="n"/>
      <c r="S590" s="17" t="n"/>
    </row>
    <row r="591">
      <c r="A591" s="15" t="n">
        <v>44231</v>
      </c>
      <c r="B591" s="10" t="n">
        <v>30</v>
      </c>
      <c r="C591" s="9" t="n">
        <v>25</v>
      </c>
      <c r="D591" s="17" t="inlineStr">
        <is>
          <t>Preston Way</t>
        </is>
      </c>
      <c r="E591" s="9">
        <f>if($A591&lt;&gt;"",E590+B591,"")</f>
        <v/>
      </c>
      <c r="F591" s="10">
        <f>if($A591&lt;&gt;"",F590+C591,"")</f>
        <v/>
      </c>
      <c r="G591" s="11">
        <f>IF($A591&lt;&gt;"",IF(F591-E591=0,"tie",IF(F591-E591&gt;0,"+"&amp;F591-E591,"+"&amp;E591-F591)),"")</f>
        <v/>
      </c>
      <c r="H591" s="12">
        <f>if($A591&lt;&gt;"",if(B591&gt;C591,if(B591&lt;60,1,2),""),"")</f>
        <v/>
      </c>
      <c r="I591" s="12">
        <f>if($A591&lt;&gt;"",if(C591&gt;B591,if(C591&lt;60,1,2),""),"")</f>
        <v/>
      </c>
      <c r="J591" s="9">
        <f>if($A591&lt;&gt;"",J590+H591,"")</f>
        <v/>
      </c>
      <c r="K591" s="9">
        <f>if($A591&lt;&gt;"",K590+I591,"")</f>
        <v/>
      </c>
      <c r="L591" s="11">
        <f>IF($A591&lt;&gt;"",IF(K591-J591=0,"tie",IF(K591-J591&gt;0,"+"&amp;K591-J591,"+"&amp;J591-K591)),"")</f>
        <v/>
      </c>
      <c r="M591" s="17" t="n"/>
      <c r="N591" s="17" t="n"/>
      <c r="O591" s="17" t="n"/>
      <c r="P591" s="17" t="n"/>
      <c r="Q591" s="17" t="n"/>
      <c r="R591" s="17" t="n"/>
      <c r="S591" s="17" t="n"/>
    </row>
    <row r="592">
      <c r="A592" s="15" t="n">
        <v>44232</v>
      </c>
      <c r="B592" s="9" t="n">
        <v>25</v>
      </c>
      <c r="C592" s="10" t="n">
        <v>30</v>
      </c>
      <c r="D592" s="17" t="inlineStr">
        <is>
          <t>Padero Beach Grill, Carpinteria</t>
        </is>
      </c>
      <c r="E592" s="9">
        <f>if($A592&lt;&gt;"",E591+B592,"")</f>
        <v/>
      </c>
      <c r="F592" s="10">
        <f>if($A592&lt;&gt;"",F591+C592,"")</f>
        <v/>
      </c>
      <c r="G592" s="11">
        <f>IF($A592&lt;&gt;"",IF(F592-E592=0,"tie",IF(F592-E592&gt;0,"+"&amp;F592-E592,"+"&amp;E592-F592)),"")</f>
        <v/>
      </c>
      <c r="H592" s="12">
        <f>if($A592&lt;&gt;"",if(B592&gt;C592,if(B592&lt;60,1,2),""),"")</f>
        <v/>
      </c>
      <c r="I592" s="12">
        <f>if($A592&lt;&gt;"",if(C592&gt;B592,if(C592&lt;60,1,2),""),"")</f>
        <v/>
      </c>
      <c r="J592" s="9">
        <f>if($A592&lt;&gt;"",J591+H592,"")</f>
        <v/>
      </c>
      <c r="K592" s="9">
        <f>if($A592&lt;&gt;"",K591+I592,"")</f>
        <v/>
      </c>
      <c r="L592" s="11">
        <f>IF($A592&lt;&gt;"",IF(K592-J592=0,"tie",IF(K592-J592&gt;0,"+"&amp;K592-J592,"+"&amp;J592-K592)),"")</f>
        <v/>
      </c>
      <c r="M592" s="17" t="n"/>
      <c r="N592" s="17" t="n"/>
      <c r="O592" s="17" t="n"/>
      <c r="P592" s="17" t="n"/>
      <c r="Q592" s="17" t="n"/>
      <c r="R592" s="17" t="n"/>
      <c r="S592" s="17" t="n"/>
    </row>
    <row r="593">
      <c r="A593" s="15" t="n">
        <v>44232</v>
      </c>
      <c r="B593" s="9" t="n">
        <v>50</v>
      </c>
      <c r="C593" s="10" t="n">
        <v>60</v>
      </c>
      <c r="D593" s="17" t="inlineStr">
        <is>
          <t>Delgados, Carpenteria</t>
        </is>
      </c>
      <c r="E593" s="9">
        <f>if($A593&lt;&gt;"",E592+B593,"")</f>
        <v/>
      </c>
      <c r="F593" s="10">
        <f>if($A593&lt;&gt;"",F592+C593,"")</f>
        <v/>
      </c>
      <c r="G593" s="11">
        <f>IF($A593&lt;&gt;"",IF(F593-E593=0,"tie",IF(F593-E593&gt;0,"+"&amp;F593-E593,"+"&amp;E593-F593)),"")</f>
        <v/>
      </c>
      <c r="H593" s="12">
        <f>if($A593&lt;&gt;"",if(B593&gt;C593,if(B593&lt;60,1,2),""),"")</f>
        <v/>
      </c>
      <c r="I593" s="12">
        <f>if($A593&lt;&gt;"",if(C593&gt;B593,if(C593&lt;60,1,2),""),"")</f>
        <v/>
      </c>
      <c r="J593" s="9">
        <f>if($A593&lt;&gt;"",J592+H593,"")</f>
        <v/>
      </c>
      <c r="K593" s="9">
        <f>if($A593&lt;&gt;"",K592+I593,"")</f>
        <v/>
      </c>
      <c r="L593" s="11">
        <f>IF($A593&lt;&gt;"",IF(K593-J593=0,"tie",IF(K593-J593&gt;0,"+"&amp;K593-J593,"+"&amp;J593-K593)),"")</f>
        <v/>
      </c>
      <c r="M593" s="17" t="n"/>
      <c r="N593" s="17" t="n"/>
      <c r="O593" s="17" t="n"/>
      <c r="P593" s="17" t="n"/>
      <c r="Q593" s="17" t="n"/>
      <c r="R593" s="17" t="n"/>
      <c r="S593" s="17" t="n"/>
    </row>
    <row r="594">
      <c r="A594" s="15" t="n">
        <v>44233</v>
      </c>
      <c r="B594" s="10" t="n">
        <v>30</v>
      </c>
      <c r="C594" s="9" t="n">
        <v>25</v>
      </c>
      <c r="D594" s="17" t="inlineStr">
        <is>
          <t>Carpenteria State Beach</t>
        </is>
      </c>
      <c r="E594" s="9">
        <f>if($A594&lt;&gt;"",E593+B594,"")</f>
        <v/>
      </c>
      <c r="F594" s="10">
        <f>if($A594&lt;&gt;"",F593+C594,"")</f>
        <v/>
      </c>
      <c r="G594" s="11">
        <f>IF($A594&lt;&gt;"",IF(F594-E594=0,"tie",IF(F594-E594&gt;0,"+"&amp;F594-E594,"+"&amp;E594-F594)),"")</f>
        <v/>
      </c>
      <c r="H594" s="12">
        <f>if($A594&lt;&gt;"",if(B594&gt;C594,if(B594&lt;60,1,2),""),"")</f>
        <v/>
      </c>
      <c r="I594" s="12">
        <f>if($A594&lt;&gt;"",if(C594&gt;B594,if(C594&lt;60,1,2),""),"")</f>
        <v/>
      </c>
      <c r="J594" s="9">
        <f>if($A594&lt;&gt;"",J593+H594,"")</f>
        <v/>
      </c>
      <c r="K594" s="9">
        <f>if($A594&lt;&gt;"",K593+I594,"")</f>
        <v/>
      </c>
      <c r="L594" s="11">
        <f>IF($A594&lt;&gt;"",IF(K594-J594=0,"tie",IF(K594-J594&gt;0,"+"&amp;K594-J594,"+"&amp;J594-K594)),"")</f>
        <v/>
      </c>
      <c r="M594" s="17" t="n"/>
      <c r="N594" s="17" t="n"/>
      <c r="O594" s="17" t="n"/>
      <c r="P594" s="17" t="n"/>
      <c r="Q594" s="17" t="n"/>
      <c r="R594" s="17" t="n"/>
      <c r="S594" s="17" t="n"/>
    </row>
    <row r="595">
      <c r="A595" s="15" t="n">
        <v>44233</v>
      </c>
      <c r="B595" s="9" t="n">
        <v>25</v>
      </c>
      <c r="C595" s="10" t="n">
        <v>30</v>
      </c>
      <c r="D595" s="17" t="inlineStr">
        <is>
          <t>Carpenteria State Beach</t>
        </is>
      </c>
      <c r="E595" s="9">
        <f>if($A595&lt;&gt;"",E594+B595,"")</f>
        <v/>
      </c>
      <c r="F595" s="10">
        <f>if($A595&lt;&gt;"",F594+C595,"")</f>
        <v/>
      </c>
      <c r="G595" s="11">
        <f>IF($A595&lt;&gt;"",IF(F595-E595=0,"tie",IF(F595-E595&gt;0,"+"&amp;F595-E595,"+"&amp;E595-F595)),"")</f>
        <v/>
      </c>
      <c r="H595" s="12">
        <f>if($A595&lt;&gt;"",if(B595&gt;C595,if(B595&lt;60,1,2),""),"")</f>
        <v/>
      </c>
      <c r="I595" s="12">
        <f>if($A595&lt;&gt;"",if(C595&gt;B595,if(C595&lt;60,1,2),""),"")</f>
        <v/>
      </c>
      <c r="J595" s="9">
        <f>if($A595&lt;&gt;"",J594+H595,"")</f>
        <v/>
      </c>
      <c r="K595" s="9">
        <f>if($A595&lt;&gt;"",K594+I595,"")</f>
        <v/>
      </c>
      <c r="L595" s="11">
        <f>IF($A595&lt;&gt;"",IF(K595-J595=0,"tie",IF(K595-J595&gt;0,"+"&amp;K595-J595,"+"&amp;J595-K595)),"")</f>
        <v/>
      </c>
      <c r="M595" s="17" t="n"/>
      <c r="N595" s="17" t="n"/>
      <c r="O595" s="17" t="n"/>
      <c r="P595" s="17" t="n"/>
      <c r="Q595" s="17" t="n"/>
      <c r="R595" s="17" t="n"/>
      <c r="S595" s="17" t="n"/>
    </row>
    <row r="596">
      <c r="A596" s="15" t="n">
        <v>44237</v>
      </c>
      <c r="B596" s="10" t="n">
        <v>30</v>
      </c>
      <c r="C596" s="9" t="n">
        <v>25</v>
      </c>
      <c r="D596" s="17" t="inlineStr">
        <is>
          <t>Preston Way</t>
        </is>
      </c>
      <c r="E596" s="9">
        <f>if($A596&lt;&gt;"",E595+B596,"")</f>
        <v/>
      </c>
      <c r="F596" s="10">
        <f>if($A596&lt;&gt;"",F595+C596,"")</f>
        <v/>
      </c>
      <c r="G596" s="11">
        <f>IF($A596&lt;&gt;"",IF(F596-E596=0,"tie",IF(F596-E596&gt;0,"+"&amp;F596-E596,"+"&amp;E596-F596)),"")</f>
        <v/>
      </c>
      <c r="H596" s="12">
        <f>if($A596&lt;&gt;"",if(B596&gt;C596,if(B596&lt;60,1,2),""),"")</f>
        <v/>
      </c>
      <c r="I596" s="12">
        <f>if($A596&lt;&gt;"",if(C596&gt;B596,if(C596&lt;60,1,2),""),"")</f>
        <v/>
      </c>
      <c r="J596" s="9">
        <f>if($A596&lt;&gt;"",J595+H596,"")</f>
        <v/>
      </c>
      <c r="K596" s="9">
        <f>if($A596&lt;&gt;"",K595+I596,"")</f>
        <v/>
      </c>
      <c r="L596" s="11">
        <f>IF($A596&lt;&gt;"",IF(K596-J596=0,"tie",IF(K596-J596&gt;0,"+"&amp;K596-J596,"+"&amp;J596-K596)),"")</f>
        <v/>
      </c>
      <c r="M596" s="17" t="n"/>
      <c r="N596" s="17" t="n"/>
      <c r="O596" s="17" t="n"/>
      <c r="P596" s="17" t="n"/>
      <c r="Q596" s="17" t="n"/>
      <c r="R596" s="17" t="n"/>
      <c r="S596" s="17" t="n"/>
    </row>
    <row r="597">
      <c r="A597" s="15" t="n">
        <v>44237</v>
      </c>
      <c r="B597" s="10" t="n">
        <v>30</v>
      </c>
      <c r="C597" s="9" t="n">
        <v>25</v>
      </c>
      <c r="D597" s="17" t="inlineStr">
        <is>
          <t>Preston Way</t>
        </is>
      </c>
      <c r="E597" s="9">
        <f>if($A597&lt;&gt;"",E596+B597,"")</f>
        <v/>
      </c>
      <c r="F597" s="10">
        <f>if($A597&lt;&gt;"",F596+C597,"")</f>
        <v/>
      </c>
      <c r="G597" s="11">
        <f>IF($A597&lt;&gt;"",IF(F597-E597=0,"tie",IF(F597-E597&gt;0,"+"&amp;F597-E597,"+"&amp;E597-F597)),"")</f>
        <v/>
      </c>
      <c r="H597" s="12">
        <f>if($A597&lt;&gt;"",if(B597&gt;C597,if(B597&lt;60,1,2),""),"")</f>
        <v/>
      </c>
      <c r="I597" s="12">
        <f>if($A597&lt;&gt;"",if(C597&gt;B597,if(C597&lt;60,1,2),""),"")</f>
        <v/>
      </c>
      <c r="J597" s="9">
        <f>if($A597&lt;&gt;"",J596+H597,"")</f>
        <v/>
      </c>
      <c r="K597" s="9">
        <f>if($A597&lt;&gt;"",K596+I597,"")</f>
        <v/>
      </c>
      <c r="L597" s="11">
        <f>IF($A597&lt;&gt;"",IF(K597-J597=0,"tie",IF(K597-J597&gt;0,"+"&amp;K597-J597,"+"&amp;J597-K597)),"")</f>
        <v/>
      </c>
      <c r="M597" s="17" t="n"/>
      <c r="N597" s="17" t="n"/>
      <c r="O597" s="17" t="n"/>
      <c r="P597" s="17" t="n"/>
      <c r="Q597" s="17" t="n"/>
      <c r="R597" s="17" t="n"/>
      <c r="S597" s="17" t="n"/>
    </row>
    <row r="598">
      <c r="A598" s="15" t="n">
        <v>44238</v>
      </c>
      <c r="B598" s="10" t="n">
        <v>30</v>
      </c>
      <c r="C598" s="9" t="n">
        <v>25</v>
      </c>
      <c r="D598" s="17" t="inlineStr">
        <is>
          <t>Preston Way</t>
        </is>
      </c>
      <c r="E598" s="9">
        <f>if($A598&lt;&gt;"",E597+B598,"")</f>
        <v/>
      </c>
      <c r="F598" s="10">
        <f>if($A598&lt;&gt;"",F597+C598,"")</f>
        <v/>
      </c>
      <c r="G598" s="11">
        <f>IF($A598&lt;&gt;"",IF(F598-E598=0,"tie",IF(F598-E598&gt;0,"+"&amp;F598-E598,"+"&amp;E598-F598)),"")</f>
        <v/>
      </c>
      <c r="H598" s="12">
        <f>if($A598&lt;&gt;"",if(B598&gt;C598,if(B598&lt;60,1,2),""),"")</f>
        <v/>
      </c>
      <c r="I598" s="12">
        <f>if($A598&lt;&gt;"",if(C598&gt;B598,if(C598&lt;60,1,2),""),"")</f>
        <v/>
      </c>
      <c r="J598" s="9">
        <f>if($A598&lt;&gt;"",J597+H598,"")</f>
        <v/>
      </c>
      <c r="K598" s="9">
        <f>if($A598&lt;&gt;"",K597+I598,"")</f>
        <v/>
      </c>
      <c r="L598" s="11">
        <f>IF($A598&lt;&gt;"",IF(K598-J598=0,"tie",IF(K598-J598&gt;0,"+"&amp;K598-J598,"+"&amp;J598-K598)),"")</f>
        <v/>
      </c>
      <c r="M598" s="17" t="n"/>
      <c r="N598" s="17" t="n"/>
      <c r="O598" s="17" t="n"/>
      <c r="P598" s="17" t="n"/>
      <c r="Q598" s="17" t="n"/>
      <c r="R598" s="17" t="n"/>
      <c r="S598" s="17" t="n"/>
    </row>
    <row r="599">
      <c r="A599" s="15" t="n">
        <v>44242</v>
      </c>
      <c r="B599" s="10" t="n">
        <v>30</v>
      </c>
      <c r="C599" s="9" t="n">
        <v>25</v>
      </c>
      <c r="D599" s="17" t="inlineStr">
        <is>
          <t>Preston Way</t>
        </is>
      </c>
      <c r="E599" s="9">
        <f>if($A599&lt;&gt;"",E598+B599,"")</f>
        <v/>
      </c>
      <c r="F599" s="10">
        <f>if($A599&lt;&gt;"",F598+C599,"")</f>
        <v/>
      </c>
      <c r="G599" s="11">
        <f>IF($A599&lt;&gt;"",IF(F599-E599=0,"tie",IF(F599-E599&gt;0,"+"&amp;F599-E599,"+"&amp;E599-F599)),"")</f>
        <v/>
      </c>
      <c r="H599" s="12">
        <f>if($A599&lt;&gt;"",if(B599&gt;C599,if(B599&lt;60,1,2),""),"")</f>
        <v/>
      </c>
      <c r="I599" s="12">
        <f>if($A599&lt;&gt;"",if(C599&gt;B599,if(C599&lt;60,1,2),""),"")</f>
        <v/>
      </c>
      <c r="J599" s="9">
        <f>if($A599&lt;&gt;"",J598+H599,"")</f>
        <v/>
      </c>
      <c r="K599" s="9">
        <f>if($A599&lt;&gt;"",K598+I599,"")</f>
        <v/>
      </c>
      <c r="L599" s="11">
        <f>IF($A599&lt;&gt;"",IF(K599-J599=0,"tie",IF(K599-J599&gt;0,"+"&amp;K599-J599,"+"&amp;J599-K599)),"")</f>
        <v/>
      </c>
      <c r="M599" s="17" t="n"/>
      <c r="N599" s="17" t="n"/>
      <c r="O599" s="17" t="n"/>
      <c r="P599" s="17" t="n"/>
      <c r="Q599" s="17" t="n"/>
      <c r="R599" s="17" t="n"/>
      <c r="S599" s="17" t="n"/>
    </row>
    <row r="600">
      <c r="A600" s="15" t="n">
        <v>44246</v>
      </c>
      <c r="B600" s="9" t="n">
        <v>50</v>
      </c>
      <c r="C600" s="10" t="n">
        <v>60</v>
      </c>
      <c r="D600" s="17" t="inlineStr">
        <is>
          <t>Calico - Mule Canyon Road</t>
        </is>
      </c>
      <c r="E600" s="9">
        <f>if($A600&lt;&gt;"",E599+B600,"")</f>
        <v/>
      </c>
      <c r="F600" s="10">
        <f>if($A600&lt;&gt;"",F599+C600,"")</f>
        <v/>
      </c>
      <c r="G600" s="11">
        <f>IF($A600&lt;&gt;"",IF(F600-E600=0,"tie",IF(F600-E600&gt;0,"+"&amp;F600-E600,"+"&amp;E600-F600)),"")</f>
        <v/>
      </c>
      <c r="H600" s="12">
        <f>if($A600&lt;&gt;"",if(B600&gt;C600,if(B600&lt;60,1,2),""),"")</f>
        <v/>
      </c>
      <c r="I600" s="12">
        <f>if($A600&lt;&gt;"",if(C600&gt;B600,if(C600&lt;60,1,2),""),"")</f>
        <v/>
      </c>
      <c r="J600" s="9">
        <f>if($A600&lt;&gt;"",J599+H600,"")</f>
        <v/>
      </c>
      <c r="K600" s="9">
        <f>if($A600&lt;&gt;"",K599+I600,"")</f>
        <v/>
      </c>
      <c r="L600" s="11">
        <f>IF($A600&lt;&gt;"",IF(K600-J600=0,"tie",IF(K600-J600&gt;0,"+"&amp;K600-J600,"+"&amp;J600-K600)),"")</f>
        <v/>
      </c>
      <c r="M600" s="17" t="n"/>
      <c r="N600" s="17" t="n"/>
      <c r="O600" s="17" t="n"/>
      <c r="P600" s="17" t="n"/>
      <c r="Q600" s="17" t="n"/>
      <c r="R600" s="17" t="n"/>
      <c r="S600" s="17" t="n"/>
    </row>
    <row r="601">
      <c r="A601" s="15" t="n">
        <v>44248</v>
      </c>
      <c r="B601" s="9" t="n">
        <v>50</v>
      </c>
      <c r="C601" s="10" t="n">
        <v>60</v>
      </c>
      <c r="D601" s="17" t="inlineStr">
        <is>
          <t>Calico - Mule Canyon Road</t>
        </is>
      </c>
      <c r="E601" s="9">
        <f>if($A601&lt;&gt;"",E600+B601,"")</f>
        <v/>
      </c>
      <c r="F601" s="10">
        <f>if($A601&lt;&gt;"",F600+C601,"")</f>
        <v/>
      </c>
      <c r="G601" s="11">
        <f>IF($A601&lt;&gt;"",IF(F601-E601=0,"tie",IF(F601-E601&gt;0,"+"&amp;F601-E601,"+"&amp;E601-F601)),"")</f>
        <v/>
      </c>
      <c r="H601" s="12">
        <f>if($A601&lt;&gt;"",if(B601&gt;C601,if(B601&lt;60,1,2),""),"")</f>
        <v/>
      </c>
      <c r="I601" s="12">
        <f>if($A601&lt;&gt;"",if(C601&gt;B601,if(C601&lt;60,1,2),""),"")</f>
        <v/>
      </c>
      <c r="J601" s="9">
        <f>if($A601&lt;&gt;"",J600+H601,"")</f>
        <v/>
      </c>
      <c r="K601" s="9">
        <f>if($A601&lt;&gt;"",K600+I601,"")</f>
        <v/>
      </c>
      <c r="L601" s="11">
        <f>IF($A601&lt;&gt;"",IF(K601-J601=0,"tie",IF(K601-J601&gt;0,"+"&amp;K601-J601,"+"&amp;J601-K601)),"")</f>
        <v/>
      </c>
      <c r="M601" s="17" t="n"/>
      <c r="N601" s="17" t="n"/>
      <c r="O601" s="17" t="n"/>
      <c r="P601" s="17" t="n"/>
      <c r="Q601" s="17" t="n"/>
      <c r="R601" s="17" t="n"/>
      <c r="S601" s="17" t="n"/>
    </row>
    <row r="602">
      <c r="A602" s="15" t="n">
        <v>44249</v>
      </c>
      <c r="B602" s="10" t="n">
        <v>30</v>
      </c>
      <c r="C602" s="9" t="n">
        <v>25</v>
      </c>
      <c r="D602" s="17" t="inlineStr">
        <is>
          <t>Preston Way</t>
        </is>
      </c>
      <c r="E602" s="9">
        <f>if($A602&lt;&gt;"",E601+B602,"")</f>
        <v/>
      </c>
      <c r="F602" s="10">
        <f>if($A602&lt;&gt;"",F601+C602,"")</f>
        <v/>
      </c>
      <c r="G602" s="11">
        <f>IF($A602&lt;&gt;"",IF(F602-E602=0,"tie",IF(F602-E602&gt;0,"+"&amp;F602-E602,"+"&amp;E602-F602)),"")</f>
        <v/>
      </c>
      <c r="H602" s="12">
        <f>if($A602&lt;&gt;"",if(B602&gt;C602,if(B602&lt;60,1,2),""),"")</f>
        <v/>
      </c>
      <c r="I602" s="12">
        <f>if($A602&lt;&gt;"",if(C602&gt;B602,if(C602&lt;60,1,2),""),"")</f>
        <v/>
      </c>
      <c r="J602" s="9">
        <f>if($A602&lt;&gt;"",J601+H602,"")</f>
        <v/>
      </c>
      <c r="K602" s="9">
        <f>if($A602&lt;&gt;"",K601+I602,"")</f>
        <v/>
      </c>
      <c r="L602" s="11">
        <f>IF($A602&lt;&gt;"",IF(K602-J602=0,"tie",IF(K602-J602&gt;0,"+"&amp;K602-J602,"+"&amp;J602-K602)),"")</f>
        <v/>
      </c>
      <c r="M602" s="17" t="n"/>
      <c r="N602" s="17" t="n"/>
      <c r="O602" s="17" t="n"/>
      <c r="P602" s="17" t="n"/>
      <c r="Q602" s="17" t="n"/>
      <c r="R602" s="17" t="n"/>
      <c r="S602" s="17" t="n"/>
    </row>
    <row r="603">
      <c r="A603" s="15" t="n">
        <v>44257</v>
      </c>
      <c r="B603" s="9" t="n">
        <v>25</v>
      </c>
      <c r="C603" s="10" t="n">
        <v>30</v>
      </c>
      <c r="D603" s="17" t="inlineStr">
        <is>
          <t>Preston Way</t>
        </is>
      </c>
      <c r="E603" s="9">
        <f>if($A603&lt;&gt;"",E602+B603,"")</f>
        <v/>
      </c>
      <c r="F603" s="10">
        <f>if($A603&lt;&gt;"",F602+C603,"")</f>
        <v/>
      </c>
      <c r="G603" s="11">
        <f>IF($A603&lt;&gt;"",IF(F603-E603=0,"tie",IF(F603-E603&gt;0,"+"&amp;F603-E603,"+"&amp;E603-F603)),"")</f>
        <v/>
      </c>
      <c r="H603" s="12">
        <f>if($A603&lt;&gt;"",if(B603&gt;C603,if(B603&lt;60,1,2),""),"")</f>
        <v/>
      </c>
      <c r="I603" s="12">
        <f>if($A603&lt;&gt;"",if(C603&gt;B603,if(C603&lt;60,1,2),""),"")</f>
        <v/>
      </c>
      <c r="J603" s="9">
        <f>if($A603&lt;&gt;"",J602+H603,"")</f>
        <v/>
      </c>
      <c r="K603" s="9">
        <f>if($A603&lt;&gt;"",K602+I603,"")</f>
        <v/>
      </c>
      <c r="L603" s="11">
        <f>IF($A603&lt;&gt;"",IF(K603-J603=0,"tie",IF(K603-J603&gt;0,"+"&amp;K603-J603,"+"&amp;J603-K603)),"")</f>
        <v/>
      </c>
      <c r="M603" s="17" t="n"/>
      <c r="N603" s="17" t="n"/>
      <c r="O603" s="17" t="n"/>
      <c r="P603" s="17" t="n"/>
      <c r="Q603" s="17" t="n"/>
      <c r="R603" s="17" t="n"/>
      <c r="S603" s="17" t="n"/>
    </row>
    <row r="604">
      <c r="A604" s="15" t="n">
        <v>44258</v>
      </c>
      <c r="B604" s="10" t="n">
        <v>30</v>
      </c>
      <c r="C604" s="9" t="n">
        <v>25</v>
      </c>
      <c r="D604" s="17" t="inlineStr">
        <is>
          <t>Preston Way</t>
        </is>
      </c>
      <c r="E604" s="9">
        <f>if($A604&lt;&gt;"",E603+B604,"")</f>
        <v/>
      </c>
      <c r="F604" s="10">
        <f>if($A604&lt;&gt;"",F603+C604,"")</f>
        <v/>
      </c>
      <c r="G604" s="11">
        <f>IF($A604&lt;&gt;"",IF(F604-E604=0,"tie",IF(F604-E604&gt;0,"+"&amp;F604-E604,"+"&amp;E604-F604)),"")</f>
        <v/>
      </c>
      <c r="H604" s="12">
        <f>if($A604&lt;&gt;"",if(B604&gt;C604,if(B604&lt;60,1,2),""),"")</f>
        <v/>
      </c>
      <c r="I604" s="12">
        <f>if($A604&lt;&gt;"",if(C604&gt;B604,if(C604&lt;60,1,2),""),"")</f>
        <v/>
      </c>
      <c r="J604" s="9">
        <f>if($A604&lt;&gt;"",J603+H604,"")</f>
        <v/>
      </c>
      <c r="K604" s="9">
        <f>if($A604&lt;&gt;"",K603+I604,"")</f>
        <v/>
      </c>
      <c r="L604" s="11">
        <f>IF($A604&lt;&gt;"",IF(K604-J604=0,"tie",IF(K604-J604&gt;0,"+"&amp;K604-J604,"+"&amp;J604-K604)),"")</f>
        <v/>
      </c>
      <c r="M604" s="17" t="n"/>
      <c r="N604" s="17" t="n"/>
      <c r="O604" s="17" t="n"/>
      <c r="P604" s="17" t="n"/>
      <c r="Q604" s="17" t="n"/>
      <c r="R604" s="17" t="n"/>
      <c r="S604" s="17" t="n"/>
    </row>
    <row r="605">
      <c r="A605" s="15" t="n">
        <v>44259</v>
      </c>
      <c r="B605" s="9" t="n">
        <v>25</v>
      </c>
      <c r="C605" s="10" t="n">
        <v>30</v>
      </c>
      <c r="D605" s="17" t="inlineStr">
        <is>
          <t>Preston Way</t>
        </is>
      </c>
      <c r="E605" s="9">
        <f>if($A605&lt;&gt;"",E604+B605,"")</f>
        <v/>
      </c>
      <c r="F605" s="10">
        <f>if($A605&lt;&gt;"",F604+C605,"")</f>
        <v/>
      </c>
      <c r="G605" s="11">
        <f>IF($A605&lt;&gt;"",IF(F605-E605=0,"tie",IF(F605-E605&gt;0,"+"&amp;F605-E605,"+"&amp;E605-F605)),"")</f>
        <v/>
      </c>
      <c r="H605" s="12">
        <f>if($A605&lt;&gt;"",if(B605&gt;C605,if(B605&lt;60,1,2),""),"")</f>
        <v/>
      </c>
      <c r="I605" s="12">
        <f>if($A605&lt;&gt;"",if(C605&gt;B605,if(C605&lt;60,1,2),""),"")</f>
        <v/>
      </c>
      <c r="J605" s="9">
        <f>if($A605&lt;&gt;"",J604+H605,"")</f>
        <v/>
      </c>
      <c r="K605" s="9">
        <f>if($A605&lt;&gt;"",K604+I605,"")</f>
        <v/>
      </c>
      <c r="L605" s="11">
        <f>IF($A605&lt;&gt;"",IF(K605-J605=0,"tie",IF(K605-J605&gt;0,"+"&amp;K605-J605,"+"&amp;J605-K605)),"")</f>
        <v/>
      </c>
      <c r="M605" s="17" t="n"/>
      <c r="N605" s="17" t="n"/>
      <c r="O605" s="17" t="n"/>
      <c r="P605" s="17" t="n"/>
      <c r="Q605" s="17" t="n"/>
      <c r="R605" s="17" t="n"/>
      <c r="S605" s="17" t="n"/>
    </row>
    <row r="606">
      <c r="A606" s="15" t="n">
        <v>44262</v>
      </c>
      <c r="B606" s="10" t="n">
        <v>60</v>
      </c>
      <c r="C606" s="9" t="n">
        <v>50</v>
      </c>
      <c r="D606" s="17" t="inlineStr">
        <is>
          <t>Preston Way</t>
        </is>
      </c>
      <c r="E606" s="9">
        <f>if($A606&lt;&gt;"",E605+B606,"")</f>
        <v/>
      </c>
      <c r="F606" s="10">
        <f>if($A606&lt;&gt;"",F605+C606,"")</f>
        <v/>
      </c>
      <c r="G606" s="11">
        <f>IF($A606&lt;&gt;"",IF(F606-E606=0,"tie",IF(F606-E606&gt;0,"+"&amp;F606-E606,"+"&amp;E606-F606)),"")</f>
        <v/>
      </c>
      <c r="H606" s="12">
        <f>if($A606&lt;&gt;"",if(B606&gt;C606,if(B606&lt;60,1,2),""),"")</f>
        <v/>
      </c>
      <c r="I606" s="12">
        <f>if($A606&lt;&gt;"",if(C606&gt;B606,if(C606&lt;60,1,2),""),"")</f>
        <v/>
      </c>
      <c r="J606" s="9">
        <f>if($A606&lt;&gt;"",J605+H606,"")</f>
        <v/>
      </c>
      <c r="K606" s="9">
        <f>if($A606&lt;&gt;"",K605+I606,"")</f>
        <v/>
      </c>
      <c r="L606" s="11">
        <f>IF($A606&lt;&gt;"",IF(K606-J606=0,"tie",IF(K606-J606&gt;0,"+"&amp;K606-J606,"+"&amp;J606-K606)),"")</f>
        <v/>
      </c>
      <c r="M606" s="17" t="n"/>
      <c r="N606" s="17" t="n"/>
      <c r="O606" s="17" t="n"/>
      <c r="P606" s="17" t="n"/>
      <c r="Q606" s="17" t="n"/>
      <c r="R606" s="17" t="n"/>
      <c r="S606" s="17" t="n"/>
    </row>
    <row r="607">
      <c r="A607" s="15" t="n">
        <v>44263</v>
      </c>
      <c r="B607" s="10" t="n">
        <v>30</v>
      </c>
      <c r="C607" s="9" t="n">
        <v>25</v>
      </c>
      <c r="D607" s="17" t="inlineStr">
        <is>
          <t>Preston Way</t>
        </is>
      </c>
      <c r="E607" s="9">
        <f>if($A607&lt;&gt;"",E606+B607,"")</f>
        <v/>
      </c>
      <c r="F607" s="10">
        <f>if($A607&lt;&gt;"",F606+C607,"")</f>
        <v/>
      </c>
      <c r="G607" s="11">
        <f>IF($A607&lt;&gt;"",IF(F607-E607=0,"tie",IF(F607-E607&gt;0,"+"&amp;F607-E607,"+"&amp;E607-F607)),"")</f>
        <v/>
      </c>
      <c r="H607" s="12">
        <f>if($A607&lt;&gt;"",if(B607&gt;C607,if(B607&lt;60,1,2),""),"")</f>
        <v/>
      </c>
      <c r="I607" s="12">
        <f>if($A607&lt;&gt;"",if(C607&gt;B607,if(C607&lt;60,1,2),""),"")</f>
        <v/>
      </c>
      <c r="J607" s="9">
        <f>if($A607&lt;&gt;"",J606+H607,"")</f>
        <v/>
      </c>
      <c r="K607" s="9">
        <f>if($A607&lt;&gt;"",K606+I607,"")</f>
        <v/>
      </c>
      <c r="L607" s="11">
        <f>IF($A607&lt;&gt;"",IF(K607-J607=0,"tie",IF(K607-J607&gt;0,"+"&amp;K607-J607,"+"&amp;J607-K607)),"")</f>
        <v/>
      </c>
      <c r="M607" s="17" t="n"/>
      <c r="N607" s="17" t="n"/>
      <c r="O607" s="17" t="n"/>
      <c r="P607" s="17" t="n"/>
      <c r="Q607" s="17" t="n"/>
      <c r="R607" s="17" t="n"/>
      <c r="S607" s="17" t="n"/>
    </row>
    <row r="608">
      <c r="A608" s="15" t="n">
        <v>44270</v>
      </c>
      <c r="B608" s="9" t="n">
        <v>25</v>
      </c>
      <c r="C608" s="10" t="n">
        <v>30</v>
      </c>
      <c r="D608" s="17" t="inlineStr">
        <is>
          <t>Preston Way</t>
        </is>
      </c>
      <c r="E608" s="9">
        <f>if($A608&lt;&gt;"",E607+B608,"")</f>
        <v/>
      </c>
      <c r="F608" s="10">
        <f>if($A608&lt;&gt;"",F607+C608,"")</f>
        <v/>
      </c>
      <c r="G608" s="11">
        <f>IF($A608&lt;&gt;"",IF(F608-E608=0,"tie",IF(F608-E608&gt;0,"+"&amp;F608-E608,"+"&amp;E608-F608)),"")</f>
        <v/>
      </c>
      <c r="H608" s="12">
        <f>if($A608&lt;&gt;"",if(B608&gt;C608,if(B608&lt;60,1,2),""),"")</f>
        <v/>
      </c>
      <c r="I608" s="12">
        <f>if($A608&lt;&gt;"",if(C608&gt;B608,if(C608&lt;60,1,2),""),"")</f>
        <v/>
      </c>
      <c r="J608" s="9">
        <f>if($A608&lt;&gt;"",J607+H608,"")</f>
        <v/>
      </c>
      <c r="K608" s="9">
        <f>if($A608&lt;&gt;"",K607+I608,"")</f>
        <v/>
      </c>
      <c r="L608" s="11">
        <f>IF($A608&lt;&gt;"",IF(K608-J608=0,"tie",IF(K608-J608&gt;0,"+"&amp;K608-J608,"+"&amp;J608-K608)),"")</f>
        <v/>
      </c>
      <c r="M608" s="17" t="n"/>
      <c r="N608" s="17" t="n"/>
      <c r="O608" s="17" t="n"/>
      <c r="P608" s="17" t="n"/>
      <c r="Q608" s="17" t="n"/>
      <c r="R608" s="17" t="n"/>
      <c r="S608" s="17" t="n"/>
    </row>
    <row r="609">
      <c r="A609" s="15" t="n">
        <v>44284</v>
      </c>
      <c r="B609" s="10" t="n">
        <v>30</v>
      </c>
      <c r="C609" s="9" t="n">
        <v>25</v>
      </c>
      <c r="D609" s="17" t="inlineStr">
        <is>
          <t>Preston Way</t>
        </is>
      </c>
      <c r="E609" s="9">
        <f>if($A609&lt;&gt;"",E608+B609,"")</f>
        <v/>
      </c>
      <c r="F609" s="10">
        <f>if($A609&lt;&gt;"",F608+C609,"")</f>
        <v/>
      </c>
      <c r="G609" s="11">
        <f>IF($A609&lt;&gt;"",IF(F609-E609=0,"tie",IF(F609-E609&gt;0,"+"&amp;F609-E609,"+"&amp;E609-F609)),"")</f>
        <v/>
      </c>
      <c r="H609" s="12">
        <f>if($A609&lt;&gt;"",if(B609&gt;C609,if(B609&lt;60,1,2),""),"")</f>
        <v/>
      </c>
      <c r="I609" s="12">
        <f>if($A609&lt;&gt;"",if(C609&gt;B609,if(C609&lt;60,1,2),""),"")</f>
        <v/>
      </c>
      <c r="J609" s="9">
        <f>if($A609&lt;&gt;"",J608+H609,"")</f>
        <v/>
      </c>
      <c r="K609" s="9">
        <f>if($A609&lt;&gt;"",K608+I609,"")</f>
        <v/>
      </c>
      <c r="L609" s="11">
        <f>IF($A609&lt;&gt;"",IF(K609-J609=0,"tie",IF(K609-J609&gt;0,"+"&amp;K609-J609,"+"&amp;J609-K609)),"")</f>
        <v/>
      </c>
      <c r="M609" s="17" t="n"/>
      <c r="N609" s="17" t="n"/>
      <c r="O609" s="17" t="n"/>
      <c r="P609" s="17" t="n"/>
      <c r="Q609" s="17" t="n"/>
      <c r="R609" s="17" t="n"/>
      <c r="S609" s="17" t="n"/>
    </row>
    <row r="610">
      <c r="A610" s="15" t="n">
        <v>44286</v>
      </c>
      <c r="B610" s="10" t="n">
        <v>60</v>
      </c>
      <c r="C610" s="9" t="n">
        <v>50</v>
      </c>
      <c r="D610" s="17" t="inlineStr">
        <is>
          <t>Preston Way</t>
        </is>
      </c>
      <c r="E610" s="9">
        <f>if($A610&lt;&gt;"",E609+B610,"")</f>
        <v/>
      </c>
      <c r="F610" s="10">
        <f>if($A610&lt;&gt;"",F609+C610,"")</f>
        <v/>
      </c>
      <c r="G610" s="11">
        <f>IF($A610&lt;&gt;"",IF(F610-E610=0,"tie",IF(F610-E610&gt;0,"+"&amp;F610-E610,"+"&amp;E610-F610)),"")</f>
        <v/>
      </c>
      <c r="H610" s="12">
        <f>if($A610&lt;&gt;"",if(B610&gt;C610,if(B610&lt;60,1,2),""),"")</f>
        <v/>
      </c>
      <c r="I610" s="12">
        <f>if($A610&lt;&gt;"",if(C610&gt;B610,if(C610&lt;60,1,2),""),"")</f>
        <v/>
      </c>
      <c r="J610" s="9">
        <f>if($A610&lt;&gt;"",J609+H610,"")</f>
        <v/>
      </c>
      <c r="K610" s="9">
        <f>if($A610&lt;&gt;"",K609+I610,"")</f>
        <v/>
      </c>
      <c r="L610" s="11">
        <f>IF($A610&lt;&gt;"",IF(K610-J610=0,"tie",IF(K610-J610&gt;0,"+"&amp;K610-J610,"+"&amp;J610-K610)),"")</f>
        <v/>
      </c>
      <c r="M610" s="17" t="n"/>
      <c r="N610" s="17" t="n"/>
      <c r="O610" s="17" t="n"/>
      <c r="P610" s="17" t="n"/>
      <c r="Q610" s="17" t="n"/>
      <c r="R610" s="17" t="n"/>
      <c r="S610" s="17" t="n"/>
    </row>
    <row r="611">
      <c r="A611" s="15" t="n">
        <v>44287</v>
      </c>
      <c r="B611" s="10" t="n">
        <v>30</v>
      </c>
      <c r="C611" s="9" t="n">
        <v>25</v>
      </c>
      <c r="D611" s="17" t="inlineStr">
        <is>
          <t>Preston Way</t>
        </is>
      </c>
      <c r="E611" s="9">
        <f>if($A611&lt;&gt;"",E610+B611,"")</f>
        <v/>
      </c>
      <c r="F611" s="10">
        <f>if($A611&lt;&gt;"",F610+C611,"")</f>
        <v/>
      </c>
      <c r="G611" s="11">
        <f>IF($A611&lt;&gt;"",IF(F611-E611=0,"tie",IF(F611-E611&gt;0,"+"&amp;F611-E611,"+"&amp;E611-F611)),"")</f>
        <v/>
      </c>
      <c r="H611" s="12">
        <f>if($A611&lt;&gt;"",if(B611&gt;C611,if(B611&lt;60,1,2),""),"")</f>
        <v/>
      </c>
      <c r="I611" s="12">
        <f>if($A611&lt;&gt;"",if(C611&gt;B611,if(C611&lt;60,1,2),""),"")</f>
        <v/>
      </c>
      <c r="J611" s="9">
        <f>if($A611&lt;&gt;"",J610+H611,"")</f>
        <v/>
      </c>
      <c r="K611" s="9">
        <f>if($A611&lt;&gt;"",K610+I611,"")</f>
        <v/>
      </c>
      <c r="L611" s="11">
        <f>IF($A611&lt;&gt;"",IF(K611-J611=0,"tie",IF(K611-J611&gt;0,"+"&amp;K611-J611,"+"&amp;J611-K611)),"")</f>
        <v/>
      </c>
      <c r="M611" s="17" t="n"/>
      <c r="N611" s="17" t="n"/>
      <c r="O611" s="17" t="n"/>
      <c r="P611" s="17" t="n"/>
      <c r="Q611" s="17" t="n"/>
      <c r="R611" s="17" t="n"/>
      <c r="S611" s="17" t="n"/>
    </row>
    <row r="612">
      <c r="A612" s="15" t="n">
        <v>44313</v>
      </c>
      <c r="B612" s="10" t="n">
        <v>30</v>
      </c>
      <c r="C612" s="9" t="n">
        <v>25</v>
      </c>
      <c r="D612" s="17" t="inlineStr">
        <is>
          <t>Preston Way</t>
        </is>
      </c>
      <c r="E612" s="9">
        <f>if($A612&lt;&gt;"",E611+B612,"")</f>
        <v/>
      </c>
      <c r="F612" s="10">
        <f>if($A612&lt;&gt;"",F611+C612,"")</f>
        <v/>
      </c>
      <c r="G612" s="11">
        <f>IF($A612&lt;&gt;"",IF(F612-E612=0,"tie",IF(F612-E612&gt;0,"+"&amp;F612-E612,"+"&amp;E612-F612)),"")</f>
        <v/>
      </c>
      <c r="H612" s="12">
        <f>if($A612&lt;&gt;"",if(B612&gt;C612,if(B612&lt;60,1,2),""),"")</f>
        <v/>
      </c>
      <c r="I612" s="12">
        <f>if($A612&lt;&gt;"",if(C612&gt;B612,if(C612&lt;60,1,2),""),"")</f>
        <v/>
      </c>
      <c r="J612" s="9">
        <f>if($A612&lt;&gt;"",J611+H612,"")</f>
        <v/>
      </c>
      <c r="K612" s="9">
        <f>if($A612&lt;&gt;"",K611+I612,"")</f>
        <v/>
      </c>
      <c r="L612" s="11">
        <f>IF($A612&lt;&gt;"",IF(K612-J612=0,"tie",IF(K612-J612&gt;0,"+"&amp;K612-J612,"+"&amp;J612-K612)),"")</f>
        <v/>
      </c>
      <c r="M612" s="17" t="n"/>
      <c r="N612" s="17" t="n"/>
      <c r="O612" s="17" t="n"/>
      <c r="P612" s="17" t="n"/>
      <c r="Q612" s="17" t="n"/>
      <c r="R612" s="17" t="n"/>
      <c r="S612" s="17" t="n"/>
    </row>
    <row r="613">
      <c r="A613" s="15" t="n">
        <v>44315</v>
      </c>
      <c r="B613" s="10" t="n">
        <v>30</v>
      </c>
      <c r="C613" s="9" t="n">
        <v>25</v>
      </c>
      <c r="D613" s="17" t="inlineStr">
        <is>
          <t>Preston Way</t>
        </is>
      </c>
      <c r="E613" s="9">
        <f>if($A613&lt;&gt;"",E612+B613,"")</f>
        <v/>
      </c>
      <c r="F613" s="10">
        <f>if($A613&lt;&gt;"",F612+C613,"")</f>
        <v/>
      </c>
      <c r="G613" s="11">
        <f>IF($A613&lt;&gt;"",IF(F613-E613=0,"tie",IF(F613-E613&gt;0,"+"&amp;F613-E613,"+"&amp;E613-F613)),"")</f>
        <v/>
      </c>
      <c r="H613" s="12">
        <f>if($A613&lt;&gt;"",if(B613&gt;C613,if(B613&lt;60,1,2),""),"")</f>
        <v/>
      </c>
      <c r="I613" s="12">
        <f>if($A613&lt;&gt;"",if(C613&gt;B613,if(C613&lt;60,1,2),""),"")</f>
        <v/>
      </c>
      <c r="J613" s="9">
        <f>if($A613&lt;&gt;"",J612+H613,"")</f>
        <v/>
      </c>
      <c r="K613" s="9">
        <f>if($A613&lt;&gt;"",K612+I613,"")</f>
        <v/>
      </c>
      <c r="L613" s="11">
        <f>IF($A613&lt;&gt;"",IF(K613-J613=0,"tie",IF(K613-J613&gt;0,"+"&amp;K613-J613,"+"&amp;J613-K613)),"")</f>
        <v/>
      </c>
      <c r="M613" s="17" t="n"/>
      <c r="N613" s="17" t="n"/>
      <c r="O613" s="17" t="n"/>
      <c r="P613" s="17" t="n"/>
      <c r="Q613" s="17" t="n"/>
      <c r="R613" s="17" t="n"/>
      <c r="S613" s="17" t="n"/>
    </row>
    <row r="614">
      <c r="A614" s="15" t="n">
        <v>44320</v>
      </c>
      <c r="B614" s="9" t="n">
        <v>25</v>
      </c>
      <c r="C614" s="10" t="n">
        <v>30</v>
      </c>
      <c r="D614" s="17" t="inlineStr">
        <is>
          <t>Preston Way</t>
        </is>
      </c>
      <c r="E614" s="9">
        <f>if($A614&lt;&gt;"",E613+B614,"")</f>
        <v/>
      </c>
      <c r="F614" s="10">
        <f>if($A614&lt;&gt;"",F613+C614,"")</f>
        <v/>
      </c>
      <c r="G614" s="11">
        <f>IF($A614&lt;&gt;"",IF(F614-E614=0,"tie",IF(F614-E614&gt;0,"+"&amp;F614-E614,"+"&amp;E614-F614)),"")</f>
        <v/>
      </c>
      <c r="H614" s="12">
        <f>if($A614&lt;&gt;"",if(B614&gt;C614,if(B614&lt;60,1,2),""),"")</f>
        <v/>
      </c>
      <c r="I614" s="12">
        <f>if($A614&lt;&gt;"",if(C614&gt;B614,if(C614&lt;60,1,2),""),"")</f>
        <v/>
      </c>
      <c r="J614" s="9">
        <f>if($A614&lt;&gt;"",J613+H614,"")</f>
        <v/>
      </c>
      <c r="K614" s="9">
        <f>if($A614&lt;&gt;"",K613+I614,"")</f>
        <v/>
      </c>
      <c r="L614" s="11">
        <f>IF($A614&lt;&gt;"",IF(K614-J614=0,"tie",IF(K614-J614&gt;0,"+"&amp;K614-J614,"+"&amp;J614-K614)),"")</f>
        <v/>
      </c>
      <c r="M614" s="17" t="n"/>
      <c r="N614" s="17" t="n"/>
      <c r="O614" s="17" t="n"/>
      <c r="P614" s="17" t="n"/>
      <c r="Q614" s="17" t="n"/>
      <c r="R614" s="17" t="n"/>
      <c r="S614" s="17" t="n"/>
    </row>
    <row r="615">
      <c r="A615" s="15" t="n">
        <v>44320</v>
      </c>
      <c r="B615" s="9" t="n">
        <v>25</v>
      </c>
      <c r="C615" s="10" t="n">
        <v>30</v>
      </c>
      <c r="D615" s="17" t="inlineStr">
        <is>
          <t>Preston Way</t>
        </is>
      </c>
      <c r="E615" s="9">
        <f>if($A615&lt;&gt;"",E614+B615,"")</f>
        <v/>
      </c>
      <c r="F615" s="10">
        <f>if($A615&lt;&gt;"",F614+C615,"")</f>
        <v/>
      </c>
      <c r="G615" s="11">
        <f>IF($A615&lt;&gt;"",IF(F615-E615=0,"tie",IF(F615-E615&gt;0,"+"&amp;F615-E615,"+"&amp;E615-F615)),"")</f>
        <v/>
      </c>
      <c r="H615" s="12">
        <f>if($A615&lt;&gt;"",if(B615&gt;C615,if(B615&lt;60,1,2),""),"")</f>
        <v/>
      </c>
      <c r="I615" s="12">
        <f>if($A615&lt;&gt;"",if(C615&gt;B615,if(C615&lt;60,1,2),""),"")</f>
        <v/>
      </c>
      <c r="J615" s="9">
        <f>if($A615&lt;&gt;"",J614+H615,"")</f>
        <v/>
      </c>
      <c r="K615" s="9">
        <f>if($A615&lt;&gt;"",K614+I615,"")</f>
        <v/>
      </c>
      <c r="L615" s="11">
        <f>IF($A615&lt;&gt;"",IF(K615-J615=0,"tie",IF(K615-J615&gt;0,"+"&amp;K615-J615,"+"&amp;J615-K615)),"")</f>
        <v/>
      </c>
      <c r="M615" s="17" t="n"/>
      <c r="N615" s="17" t="n"/>
      <c r="O615" s="17" t="n"/>
      <c r="P615" s="17" t="n"/>
      <c r="Q615" s="17" t="n"/>
      <c r="R615" s="17" t="n"/>
      <c r="S615" s="17" t="n"/>
    </row>
    <row r="616">
      <c r="A616" s="15" t="n">
        <v>44321</v>
      </c>
      <c r="B616" s="9" t="n">
        <v>25</v>
      </c>
      <c r="C616" s="10" t="n">
        <v>30</v>
      </c>
      <c r="D616" s="17" t="inlineStr">
        <is>
          <t>Preston Way</t>
        </is>
      </c>
      <c r="E616" s="9">
        <f>if($A616&lt;&gt;"",E615+B616,"")</f>
        <v/>
      </c>
      <c r="F616" s="10">
        <f>if($A616&lt;&gt;"",F615+C616,"")</f>
        <v/>
      </c>
      <c r="G616" s="11">
        <f>IF($A616&lt;&gt;"",IF(F616-E616=0,"tie",IF(F616-E616&gt;0,"+"&amp;F616-E616,"+"&amp;E616-F616)),"")</f>
        <v/>
      </c>
      <c r="H616" s="12">
        <f>if($A616&lt;&gt;"",if(B616&gt;C616,if(B616&lt;60,1,2),""),"")</f>
        <v/>
      </c>
      <c r="I616" s="12">
        <f>if($A616&lt;&gt;"",if(C616&gt;B616,if(C616&lt;60,1,2),""),"")</f>
        <v/>
      </c>
      <c r="J616" s="9">
        <f>if($A616&lt;&gt;"",J615+H616,"")</f>
        <v/>
      </c>
      <c r="K616" s="9">
        <f>if($A616&lt;&gt;"",K615+I616,"")</f>
        <v/>
      </c>
      <c r="L616" s="11">
        <f>IF($A616&lt;&gt;"",IF(K616-J616=0,"tie",IF(K616-J616&gt;0,"+"&amp;K616-J616,"+"&amp;J616-K616)),"")</f>
        <v/>
      </c>
      <c r="M616" s="17" t="n"/>
      <c r="N616" s="17" t="n"/>
      <c r="O616" s="17" t="n"/>
      <c r="P616" s="17" t="n"/>
      <c r="Q616" s="17" t="n"/>
      <c r="R616" s="17" t="n"/>
      <c r="S616" s="17" t="n"/>
    </row>
    <row r="617">
      <c r="A617" s="15" t="n">
        <v>44322</v>
      </c>
      <c r="B617" s="10" t="n">
        <v>60</v>
      </c>
      <c r="C617" s="9" t="n">
        <v>50</v>
      </c>
      <c r="D617" s="17" t="inlineStr">
        <is>
          <t>The Penmar</t>
        </is>
      </c>
      <c r="E617" s="9">
        <f>if($A617&lt;&gt;"",E616+B617,"")</f>
        <v/>
      </c>
      <c r="F617" s="10">
        <f>if($A617&lt;&gt;"",F616+C617,"")</f>
        <v/>
      </c>
      <c r="G617" s="11">
        <f>IF($A617&lt;&gt;"",IF(F617-E617=0,"tie",IF(F617-E617&gt;0,"+"&amp;F617-E617,"+"&amp;E617-F617)),"")</f>
        <v/>
      </c>
      <c r="H617" s="12">
        <f>if($A617&lt;&gt;"",if(B617&gt;C617,if(B617&lt;60,1,2),""),"")</f>
        <v/>
      </c>
      <c r="I617" s="12">
        <f>if($A617&lt;&gt;"",if(C617&gt;B617,if(C617&lt;60,1,2),""),"")</f>
        <v/>
      </c>
      <c r="J617" s="9">
        <f>if($A617&lt;&gt;"",J616+H617,"")</f>
        <v/>
      </c>
      <c r="K617" s="9">
        <f>if($A617&lt;&gt;"",K616+I617,"")</f>
        <v/>
      </c>
      <c r="L617" s="11">
        <f>IF($A617&lt;&gt;"",IF(K617-J617=0,"tie",IF(K617-J617&gt;0,"+"&amp;K617-J617,"+"&amp;J617-K617)),"")</f>
        <v/>
      </c>
      <c r="M617" s="17" t="n"/>
      <c r="N617" s="17" t="n"/>
      <c r="O617" s="17" t="n"/>
      <c r="P617" s="17" t="n"/>
      <c r="Q617" s="17" t="n"/>
      <c r="R617" s="17" t="n"/>
      <c r="S617" s="17" t="n"/>
    </row>
    <row r="618">
      <c r="A618" s="15" t="n">
        <v>44327</v>
      </c>
      <c r="B618" s="10" t="n">
        <v>30</v>
      </c>
      <c r="C618" s="9" t="n">
        <v>25</v>
      </c>
      <c r="D618" s="17" t="inlineStr">
        <is>
          <t>Preston Way</t>
        </is>
      </c>
      <c r="E618" s="9">
        <f>if($A618&lt;&gt;"",E617+B618,"")</f>
        <v/>
      </c>
      <c r="F618" s="10">
        <f>if($A618&lt;&gt;"",F617+C618,"")</f>
        <v/>
      </c>
      <c r="G618" s="11">
        <f>IF($A618&lt;&gt;"",IF(F618-E618=0,"tie",IF(F618-E618&gt;0,"+"&amp;F618-E618,"+"&amp;E618-F618)),"")</f>
        <v/>
      </c>
      <c r="H618" s="12">
        <f>if($A618&lt;&gt;"",if(B618&gt;C618,if(B618&lt;60,1,2),""),"")</f>
        <v/>
      </c>
      <c r="I618" s="12">
        <f>if($A618&lt;&gt;"",if(C618&gt;B618,if(C618&lt;60,1,2),""),"")</f>
        <v/>
      </c>
      <c r="J618" s="9">
        <f>if($A618&lt;&gt;"",J617+H618,"")</f>
        <v/>
      </c>
      <c r="K618" s="9">
        <f>if($A618&lt;&gt;"",K617+I618,"")</f>
        <v/>
      </c>
      <c r="L618" s="11">
        <f>IF($A618&lt;&gt;"",IF(K618-J618=0,"tie",IF(K618-J618&gt;0,"+"&amp;K618-J618,"+"&amp;J618-K618)),"")</f>
        <v/>
      </c>
      <c r="M618" s="17" t="n"/>
      <c r="N618" s="17" t="n"/>
      <c r="O618" s="17" t="n"/>
      <c r="P618" s="17" t="n"/>
      <c r="Q618" s="17" t="n"/>
      <c r="R618" s="17" t="n"/>
      <c r="S618" s="17" t="n"/>
    </row>
    <row r="619">
      <c r="A619" s="15" t="n">
        <v>44328</v>
      </c>
      <c r="B619" s="10" t="n">
        <v>30</v>
      </c>
      <c r="C619" s="9" t="n">
        <v>25</v>
      </c>
      <c r="D619" s="17" t="inlineStr">
        <is>
          <t>Preston Way</t>
        </is>
      </c>
      <c r="E619" s="9">
        <f>if($A619&lt;&gt;"",E618+B619,"")</f>
        <v/>
      </c>
      <c r="F619" s="10">
        <f>if($A619&lt;&gt;"",F618+C619,"")</f>
        <v/>
      </c>
      <c r="G619" s="11">
        <f>IF($A619&lt;&gt;"",IF(F619-E619=0,"tie",IF(F619-E619&gt;0,"+"&amp;F619-E619,"+"&amp;E619-F619)),"")</f>
        <v/>
      </c>
      <c r="H619" s="12">
        <f>if($A619&lt;&gt;"",if(B619&gt;C619,if(B619&lt;60,1,2),""),"")</f>
        <v/>
      </c>
      <c r="I619" s="12">
        <f>if($A619&lt;&gt;"",if(C619&gt;B619,if(C619&lt;60,1,2),""),"")</f>
        <v/>
      </c>
      <c r="J619" s="9">
        <f>if($A619&lt;&gt;"",J618+H619,"")</f>
        <v/>
      </c>
      <c r="K619" s="9">
        <f>if($A619&lt;&gt;"",K618+I619,"")</f>
        <v/>
      </c>
      <c r="L619" s="11">
        <f>IF($A619&lt;&gt;"",IF(K619-J619=0,"tie",IF(K619-J619&gt;0,"+"&amp;K619-J619,"+"&amp;J619-K619)),"")</f>
        <v/>
      </c>
      <c r="M619" s="17" t="n"/>
      <c r="N619" s="17" t="n"/>
      <c r="O619" s="17" t="n"/>
      <c r="P619" s="17" t="n"/>
      <c r="Q619" s="17" t="n"/>
      <c r="R619" s="17" t="n"/>
      <c r="S619" s="17" t="n"/>
    </row>
    <row r="620">
      <c r="A620" s="15" t="n">
        <v>44331</v>
      </c>
      <c r="B620" s="10" t="n">
        <v>30</v>
      </c>
      <c r="C620" s="9" t="n">
        <v>25</v>
      </c>
      <c r="D620" s="17" t="inlineStr">
        <is>
          <t>Preston Way</t>
        </is>
      </c>
      <c r="E620" s="9">
        <f>if($A620&lt;&gt;"",E619+B620,"")</f>
        <v/>
      </c>
      <c r="F620" s="10">
        <f>if($A620&lt;&gt;"",F619+C620,"")</f>
        <v/>
      </c>
      <c r="G620" s="11">
        <f>IF($A620&lt;&gt;"",IF(F620-E620=0,"tie",IF(F620-E620&gt;0,"+"&amp;F620-E620,"+"&amp;E620-F620)),"")</f>
        <v/>
      </c>
      <c r="H620" s="12">
        <f>if($A620&lt;&gt;"",if(B620&gt;C620,if(B620&lt;60,1,2),""),"")</f>
        <v/>
      </c>
      <c r="I620" s="12">
        <f>if($A620&lt;&gt;"",if(C620&gt;B620,if(C620&lt;60,1,2),""),"")</f>
        <v/>
      </c>
      <c r="J620" s="9">
        <f>if($A620&lt;&gt;"",J619+H620,"")</f>
        <v/>
      </c>
      <c r="K620" s="9">
        <f>if($A620&lt;&gt;"",K619+I620,"")</f>
        <v/>
      </c>
      <c r="L620" s="11">
        <f>IF($A620&lt;&gt;"",IF(K620-J620=0,"tie",IF(K620-J620&gt;0,"+"&amp;K620-J620,"+"&amp;J620-K620)),"")</f>
        <v/>
      </c>
      <c r="M620" s="17" t="n"/>
      <c r="N620" s="17" t="n"/>
      <c r="O620" s="17" t="n"/>
      <c r="P620" s="17" t="n"/>
      <c r="Q620" s="17" t="n"/>
      <c r="R620" s="17" t="n"/>
      <c r="S620" s="17" t="n"/>
    </row>
    <row r="621">
      <c r="A621" s="15" t="n">
        <v>44332</v>
      </c>
      <c r="B621" s="10" t="n">
        <v>30</v>
      </c>
      <c r="C621" s="9" t="n">
        <v>25</v>
      </c>
      <c r="D621" s="17" t="inlineStr">
        <is>
          <t>Sunset Vista Campground, Huntington Beach</t>
        </is>
      </c>
      <c r="E621" s="9">
        <f>if($A621&lt;&gt;"",E620+B621,"")</f>
        <v/>
      </c>
      <c r="F621" s="10">
        <f>if($A621&lt;&gt;"",F620+C621,"")</f>
        <v/>
      </c>
      <c r="G621" s="11">
        <f>IF($A621&lt;&gt;"",IF(F621-E621=0,"tie",IF(F621-E621&gt;0,"+"&amp;F621-E621,"+"&amp;E621-F621)),"")</f>
        <v/>
      </c>
      <c r="H621" s="12">
        <f>if($A621&lt;&gt;"",if(B621&gt;C621,if(B621&lt;60,1,2),""),"")</f>
        <v/>
      </c>
      <c r="I621" s="12">
        <f>if($A621&lt;&gt;"",if(C621&gt;B621,if(C621&lt;60,1,2),""),"")</f>
        <v/>
      </c>
      <c r="J621" s="9">
        <f>if($A621&lt;&gt;"",J620+H621,"")</f>
        <v/>
      </c>
      <c r="K621" s="9">
        <f>if($A621&lt;&gt;"",K620+I621,"")</f>
        <v/>
      </c>
      <c r="L621" s="11">
        <f>IF($A621&lt;&gt;"",IF(K621-J621=0,"tie",IF(K621-J621&gt;0,"+"&amp;K621-J621,"+"&amp;J621-K621)),"")</f>
        <v/>
      </c>
      <c r="M621" s="17" t="n"/>
      <c r="N621" s="17" t="n"/>
      <c r="O621" s="17" t="n"/>
      <c r="P621" s="17" t="n"/>
      <c r="Q621" s="17" t="n"/>
      <c r="R621" s="17" t="n"/>
      <c r="S621" s="17" t="n"/>
    </row>
    <row r="622">
      <c r="A622" s="15" t="n">
        <v>44333</v>
      </c>
      <c r="B622" s="9" t="n">
        <v>25</v>
      </c>
      <c r="C622" s="10" t="n">
        <v>30</v>
      </c>
      <c r="D622" s="17" t="inlineStr">
        <is>
          <t>Sunset Vista Campground, Huntington Beach</t>
        </is>
      </c>
      <c r="E622" s="9">
        <f>if($A622&lt;&gt;"",E621+B622,"")</f>
        <v/>
      </c>
      <c r="F622" s="10">
        <f>if($A622&lt;&gt;"",F621+C622,"")</f>
        <v/>
      </c>
      <c r="G622" s="11">
        <f>IF($A622&lt;&gt;"",IF(F622-E622=0,"tie",IF(F622-E622&gt;0,"+"&amp;F622-E622,"+"&amp;E622-F622)),"")</f>
        <v/>
      </c>
      <c r="H622" s="12">
        <f>if($A622&lt;&gt;"",if(B622&gt;C622,if(B622&lt;60,1,2),""),"")</f>
        <v/>
      </c>
      <c r="I622" s="12">
        <f>if($A622&lt;&gt;"",if(C622&gt;B622,if(C622&lt;60,1,2),""),"")</f>
        <v/>
      </c>
      <c r="J622" s="9">
        <f>if($A622&lt;&gt;"",J621+H622,"")</f>
        <v/>
      </c>
      <c r="K622" s="9">
        <f>if($A622&lt;&gt;"",K621+I622,"")</f>
        <v/>
      </c>
      <c r="L622" s="11">
        <f>IF($A622&lt;&gt;"",IF(K622-J622=0,"tie",IF(K622-J622&gt;0,"+"&amp;K622-J622,"+"&amp;J622-K622)),"")</f>
        <v/>
      </c>
      <c r="M622" s="17" t="n"/>
      <c r="N622" s="17" t="n"/>
      <c r="O622" s="17" t="n"/>
      <c r="P622" s="17" t="n"/>
      <c r="Q622" s="17" t="n"/>
      <c r="R622" s="17" t="n"/>
      <c r="S622" s="17" t="n"/>
    </row>
    <row r="623">
      <c r="A623" s="15" t="n">
        <v>44334</v>
      </c>
      <c r="B623" s="10" t="n">
        <v>30</v>
      </c>
      <c r="C623" s="9" t="n">
        <v>25</v>
      </c>
      <c r="D623" s="17" t="inlineStr">
        <is>
          <t>Sunset Vista Campground, Huntington Beach</t>
        </is>
      </c>
      <c r="E623" s="9">
        <f>if($A623&lt;&gt;"",E622+B623,"")</f>
        <v/>
      </c>
      <c r="F623" s="10">
        <f>if($A623&lt;&gt;"",F622+C623,"")</f>
        <v/>
      </c>
      <c r="G623" s="11">
        <f>IF($A623&lt;&gt;"",IF(F623-E623=0,"tie",IF(F623-E623&gt;0,"+"&amp;F623-E623,"+"&amp;E623-F623)),"")</f>
        <v/>
      </c>
      <c r="H623" s="12">
        <f>if($A623&lt;&gt;"",if(B623&gt;C623,if(B623&lt;60,1,2),""),"")</f>
        <v/>
      </c>
      <c r="I623" s="12">
        <f>if($A623&lt;&gt;"",if(C623&gt;B623,if(C623&lt;60,1,2),""),"")</f>
        <v/>
      </c>
      <c r="J623" s="9">
        <f>if($A623&lt;&gt;"",J622+H623,"")</f>
        <v/>
      </c>
      <c r="K623" s="9">
        <f>if($A623&lt;&gt;"",K622+I623,"")</f>
        <v/>
      </c>
      <c r="L623" s="11">
        <f>IF($A623&lt;&gt;"",IF(K623-J623=0,"tie",IF(K623-J623&gt;0,"+"&amp;K623-J623,"+"&amp;J623-K623)),"")</f>
        <v/>
      </c>
      <c r="M623" s="17" t="n"/>
      <c r="N623" s="17" t="n"/>
      <c r="O623" s="17" t="n"/>
      <c r="P623" s="17" t="n"/>
      <c r="Q623" s="17" t="n"/>
      <c r="R623" s="17" t="n"/>
      <c r="S623" s="17" t="n"/>
    </row>
    <row r="624">
      <c r="A624" s="15" t="n">
        <v>44334</v>
      </c>
      <c r="B624" s="10" t="n">
        <v>60</v>
      </c>
      <c r="C624" s="9" t="n">
        <v>50</v>
      </c>
      <c r="D624" s="17" t="inlineStr">
        <is>
          <t>Duke's Huntington Beach</t>
        </is>
      </c>
      <c r="E624" s="9">
        <f>if($A624&lt;&gt;"",E623+B624,"")</f>
        <v/>
      </c>
      <c r="F624" s="10">
        <f>if($A624&lt;&gt;"",F623+C624,"")</f>
        <v/>
      </c>
      <c r="G624" s="11">
        <f>IF($A624&lt;&gt;"",IF(F624-E624=0,"tie",IF(F624-E624&gt;0,"+"&amp;F624-E624,"+"&amp;E624-F624)),"")</f>
        <v/>
      </c>
      <c r="H624" s="12">
        <f>if($A624&lt;&gt;"",if(B624&gt;C624,if(B624&lt;60,1,2),""),"")</f>
        <v/>
      </c>
      <c r="I624" s="12">
        <f>if($A624&lt;&gt;"",if(C624&gt;B624,if(C624&lt;60,1,2),""),"")</f>
        <v/>
      </c>
      <c r="J624" s="9">
        <f>if($A624&lt;&gt;"",J623+H624,"")</f>
        <v/>
      </c>
      <c r="K624" s="9">
        <f>if($A624&lt;&gt;"",K623+I624,"")</f>
        <v/>
      </c>
      <c r="L624" s="11">
        <f>IF($A624&lt;&gt;"",IF(K624-J624=0,"tie",IF(K624-J624&gt;0,"+"&amp;K624-J624,"+"&amp;J624-K624)),"")</f>
        <v/>
      </c>
      <c r="M624" s="17" t="n"/>
      <c r="N624" s="17" t="n"/>
      <c r="O624" s="17" t="n"/>
      <c r="P624" s="17" t="n"/>
      <c r="Q624" s="17" t="n"/>
      <c r="R624" s="17" t="n"/>
      <c r="S624" s="17" t="n"/>
    </row>
    <row r="625">
      <c r="A625" s="15" t="n">
        <v>44335</v>
      </c>
      <c r="B625" s="9" t="n">
        <v>25</v>
      </c>
      <c r="C625" s="10" t="n">
        <v>30</v>
      </c>
      <c r="D625" s="17" t="inlineStr">
        <is>
          <t>Preston Way</t>
        </is>
      </c>
      <c r="E625" s="9">
        <f>if($A625&lt;&gt;"",E624+B625,"")</f>
        <v/>
      </c>
      <c r="F625" s="10">
        <f>if($A625&lt;&gt;"",F624+C625,"")</f>
        <v/>
      </c>
      <c r="G625" s="11">
        <f>IF($A625&lt;&gt;"",IF(F625-E625=0,"tie",IF(F625-E625&gt;0,"+"&amp;F625-E625,"+"&amp;E625-F625)),"")</f>
        <v/>
      </c>
      <c r="H625" s="12">
        <f>if($A625&lt;&gt;"",if(B625&gt;C625,if(B625&lt;60,1,2),""),"")</f>
        <v/>
      </c>
      <c r="I625" s="12">
        <f>if($A625&lt;&gt;"",if(C625&gt;B625,if(C625&lt;60,1,2),""),"")</f>
        <v/>
      </c>
      <c r="J625" s="9">
        <f>if($A625&lt;&gt;"",J624+H625,"")</f>
        <v/>
      </c>
      <c r="K625" s="9">
        <f>if($A625&lt;&gt;"",K624+I625,"")</f>
        <v/>
      </c>
      <c r="L625" s="11">
        <f>IF($A625&lt;&gt;"",IF(K625-J625=0,"tie",IF(K625-J625&gt;0,"+"&amp;K625-J625,"+"&amp;J625-K625)),"")</f>
        <v/>
      </c>
      <c r="M625" s="17" t="n"/>
      <c r="N625" s="17" t="n"/>
      <c r="O625" s="17" t="n"/>
      <c r="P625" s="17" t="n"/>
      <c r="Q625" s="17" t="n"/>
      <c r="R625" s="17" t="n"/>
      <c r="S625" s="17" t="n"/>
    </row>
    <row r="626">
      <c r="A626" s="15" t="n">
        <v>44339</v>
      </c>
      <c r="B626" s="9" t="n">
        <v>25</v>
      </c>
      <c r="C626" s="10" t="n">
        <v>30</v>
      </c>
      <c r="D626" s="17" t="inlineStr">
        <is>
          <t>Preston Way</t>
        </is>
      </c>
      <c r="E626" s="9">
        <f>if($A626&lt;&gt;"",E625+B626,"")</f>
        <v/>
      </c>
      <c r="F626" s="10">
        <f>if($A626&lt;&gt;"",F625+C626,"")</f>
        <v/>
      </c>
      <c r="G626" s="11">
        <f>IF($A626&lt;&gt;"",IF(F626-E626=0,"tie",IF(F626-E626&gt;0,"+"&amp;F626-E626,"+"&amp;E626-F626)),"")</f>
        <v/>
      </c>
      <c r="H626" s="12">
        <f>if($A626&lt;&gt;"",if(B626&gt;C626,if(B626&lt;60,1,2),""),"")</f>
        <v/>
      </c>
      <c r="I626" s="12">
        <f>if($A626&lt;&gt;"",if(C626&gt;B626,if(C626&lt;60,1,2),""),"")</f>
        <v/>
      </c>
      <c r="J626" s="9">
        <f>if($A626&lt;&gt;"",J625+H626,"")</f>
        <v/>
      </c>
      <c r="K626" s="9">
        <f>if($A626&lt;&gt;"",K625+I626,"")</f>
        <v/>
      </c>
      <c r="L626" s="11">
        <f>IF($A626&lt;&gt;"",IF(K626-J626=0,"tie",IF(K626-J626&gt;0,"+"&amp;K626-J626,"+"&amp;J626-K626)),"")</f>
        <v/>
      </c>
      <c r="M626" s="17" t="n"/>
      <c r="N626" s="17" t="n"/>
      <c r="O626" s="17" t="n"/>
      <c r="P626" s="17" t="n"/>
      <c r="Q626" s="17" t="n"/>
      <c r="R626" s="17" t="n"/>
      <c r="S626" s="17" t="n"/>
    </row>
    <row r="627">
      <c r="A627" s="15" t="n">
        <v>44341</v>
      </c>
      <c r="B627" s="9" t="n">
        <v>25</v>
      </c>
      <c r="C627" s="10" t="n">
        <v>30</v>
      </c>
      <c r="D627" s="17" t="inlineStr">
        <is>
          <t>Preston Way</t>
        </is>
      </c>
      <c r="E627" s="9">
        <f>if($A627&lt;&gt;"",E626+B627,"")</f>
        <v/>
      </c>
      <c r="F627" s="10">
        <f>if($A627&lt;&gt;"",F626+C627,"")</f>
        <v/>
      </c>
      <c r="G627" s="11">
        <f>IF($A627&lt;&gt;"",IF(F627-E627=0,"tie",IF(F627-E627&gt;0,"+"&amp;F627-E627,"+"&amp;E627-F627)),"")</f>
        <v/>
      </c>
      <c r="H627" s="12">
        <f>if($A627&lt;&gt;"",if(B627&gt;C627,if(B627&lt;60,1,2),""),"")</f>
        <v/>
      </c>
      <c r="I627" s="12">
        <f>if($A627&lt;&gt;"",if(C627&gt;B627,if(C627&lt;60,1,2),""),"")</f>
        <v/>
      </c>
      <c r="J627" s="9">
        <f>if($A627&lt;&gt;"",J626+H627,"")</f>
        <v/>
      </c>
      <c r="K627" s="9">
        <f>if($A627&lt;&gt;"",K626+I627,"")</f>
        <v/>
      </c>
      <c r="L627" s="11">
        <f>IF($A627&lt;&gt;"",IF(K627-J627=0,"tie",IF(K627-J627&gt;0,"+"&amp;K627-J627,"+"&amp;J627-K627)),"")</f>
        <v/>
      </c>
      <c r="M627" s="17" t="n"/>
      <c r="N627" s="17" t="n"/>
      <c r="O627" s="17" t="n"/>
      <c r="P627" s="17" t="n"/>
      <c r="Q627" s="17" t="n"/>
      <c r="R627" s="17" t="n"/>
      <c r="S627" s="17" t="n"/>
    </row>
    <row r="628">
      <c r="A628" s="15" t="n">
        <v>44355</v>
      </c>
      <c r="B628" s="9" t="n">
        <v>25</v>
      </c>
      <c r="C628" s="10" t="n">
        <v>30</v>
      </c>
      <c r="D628" s="17" t="inlineStr">
        <is>
          <t>Preston Way</t>
        </is>
      </c>
      <c r="E628" s="9">
        <f>if($A628&lt;&gt;"",E627+B628,"")</f>
        <v/>
      </c>
      <c r="F628" s="10">
        <f>if($A628&lt;&gt;"",F627+C628,"")</f>
        <v/>
      </c>
      <c r="G628" s="11">
        <f>IF($A628&lt;&gt;"",IF(F628-E628=0,"tie",IF(F628-E628&gt;0,"+"&amp;F628-E628,"+"&amp;E628-F628)),"")</f>
        <v/>
      </c>
      <c r="H628" s="12">
        <f>if($A628&lt;&gt;"",if(B628&gt;C628,if(B628&lt;60,1,2),""),"")</f>
        <v/>
      </c>
      <c r="I628" s="12">
        <f>if($A628&lt;&gt;"",if(C628&gt;B628,if(C628&lt;60,1,2),""),"")</f>
        <v/>
      </c>
      <c r="J628" s="9">
        <f>if($A628&lt;&gt;"",J627+H628,"")</f>
        <v/>
      </c>
      <c r="K628" s="9">
        <f>if($A628&lt;&gt;"",K627+I628,"")</f>
        <v/>
      </c>
      <c r="L628" s="11">
        <f>IF($A628&lt;&gt;"",IF(K628-J628=0,"tie",IF(K628-J628&gt;0,"+"&amp;K628-J628,"+"&amp;J628-K628)),"")</f>
        <v/>
      </c>
      <c r="M628" s="17" t="n"/>
      <c r="N628" s="17" t="n"/>
      <c r="O628" s="17" t="n"/>
      <c r="P628" s="17" t="n"/>
      <c r="Q628" s="17" t="n"/>
      <c r="R628" s="17" t="n"/>
      <c r="S628" s="17" t="n"/>
    </row>
    <row r="629">
      <c r="A629" s="15" t="n">
        <v>44361</v>
      </c>
      <c r="B629" s="10" t="n">
        <v>30</v>
      </c>
      <c r="C629" s="9" t="n">
        <v>25</v>
      </c>
      <c r="D629" s="17" t="inlineStr">
        <is>
          <t>Preston Way</t>
        </is>
      </c>
      <c r="E629" s="9">
        <f>if($A629&lt;&gt;"",E628+B629,"")</f>
        <v/>
      </c>
      <c r="F629" s="10">
        <f>if($A629&lt;&gt;"",F628+C629,"")</f>
        <v/>
      </c>
      <c r="G629" s="11">
        <f>IF($A629&lt;&gt;"",IF(F629-E629=0,"tie",IF(F629-E629&gt;0,"+"&amp;F629-E629,"+"&amp;E629-F629)),"")</f>
        <v/>
      </c>
      <c r="H629" s="12">
        <f>if($A629&lt;&gt;"",if(B629&gt;C629,if(B629&lt;60,1,2),""),"")</f>
        <v/>
      </c>
      <c r="I629" s="12">
        <f>if($A629&lt;&gt;"",if(C629&gt;B629,if(C629&lt;60,1,2),""),"")</f>
        <v/>
      </c>
      <c r="J629" s="9">
        <f>if($A629&lt;&gt;"",J628+H629,"")</f>
        <v/>
      </c>
      <c r="K629" s="9">
        <f>if($A629&lt;&gt;"",K628+I629,"")</f>
        <v/>
      </c>
      <c r="L629" s="11">
        <f>IF($A629&lt;&gt;"",IF(K629-J629=0,"tie",IF(K629-J629&gt;0,"+"&amp;K629-J629,"+"&amp;J629-K629)),"")</f>
        <v/>
      </c>
      <c r="M629" s="17" t="n"/>
      <c r="N629" s="17" t="n"/>
      <c r="O629" s="17" t="n"/>
      <c r="P629" s="17" t="n"/>
      <c r="Q629" s="17" t="n"/>
      <c r="R629" s="17" t="n"/>
      <c r="S629" s="17" t="n"/>
    </row>
    <row r="630">
      <c r="A630" s="15" t="n">
        <v>44361</v>
      </c>
      <c r="B630" s="9" t="n">
        <v>25</v>
      </c>
      <c r="C630" s="10" t="n">
        <v>30</v>
      </c>
      <c r="D630" s="17" t="inlineStr">
        <is>
          <t>Preston Way</t>
        </is>
      </c>
      <c r="E630" s="9">
        <f>if($A630&lt;&gt;"",E629+B630,"")</f>
        <v/>
      </c>
      <c r="F630" s="10">
        <f>if($A630&lt;&gt;"",F629+C630,"")</f>
        <v/>
      </c>
      <c r="G630" s="11">
        <f>IF($A630&lt;&gt;"",IF(F630-E630=0,"tie",IF(F630-E630&gt;0,"+"&amp;F630-E630,"+"&amp;E630-F630)),"")</f>
        <v/>
      </c>
      <c r="H630" s="12">
        <f>if($A630&lt;&gt;"",if(B630&gt;C630,if(B630&lt;60,1,2),""),"")</f>
        <v/>
      </c>
      <c r="I630" s="12">
        <f>if($A630&lt;&gt;"",if(C630&gt;B630,if(C630&lt;60,1,2),""),"")</f>
        <v/>
      </c>
      <c r="J630" s="9">
        <f>if($A630&lt;&gt;"",J629+H630,"")</f>
        <v/>
      </c>
      <c r="K630" s="9">
        <f>if($A630&lt;&gt;"",K629+I630,"")</f>
        <v/>
      </c>
      <c r="L630" s="11">
        <f>IF($A630&lt;&gt;"",IF(K630-J630=0,"tie",IF(K630-J630&gt;0,"+"&amp;K630-J630,"+"&amp;J630-K630)),"")</f>
        <v/>
      </c>
      <c r="M630" s="17" t="n"/>
      <c r="N630" s="17" t="n"/>
      <c r="O630" s="17" t="n"/>
      <c r="P630" s="17" t="n"/>
      <c r="Q630" s="17" t="n"/>
      <c r="R630" s="17" t="n"/>
      <c r="S630" s="17" t="n"/>
    </row>
    <row r="631">
      <c r="A631" s="15" t="n">
        <v>44368</v>
      </c>
      <c r="B631" s="10" t="n">
        <v>30</v>
      </c>
      <c r="C631" s="9" t="n">
        <v>25</v>
      </c>
      <c r="D631" s="17" t="inlineStr">
        <is>
          <t>Preston Way</t>
        </is>
      </c>
      <c r="E631" s="9">
        <f>if($A631&lt;&gt;"",E630+B631,"")</f>
        <v/>
      </c>
      <c r="F631" s="10">
        <f>if($A631&lt;&gt;"",F630+C631,"")</f>
        <v/>
      </c>
      <c r="G631" s="11">
        <f>IF($A631&lt;&gt;"",IF(F631-E631=0,"tie",IF(F631-E631&gt;0,"+"&amp;F631-E631,"+"&amp;E631-F631)),"")</f>
        <v/>
      </c>
      <c r="H631" s="12">
        <f>if($A631&lt;&gt;"",if(B631&gt;C631,if(B631&lt;60,1,2),""),"")</f>
        <v/>
      </c>
      <c r="I631" s="12">
        <f>if($A631&lt;&gt;"",if(C631&gt;B631,if(C631&lt;60,1,2),""),"")</f>
        <v/>
      </c>
      <c r="J631" s="9">
        <f>if($A631&lt;&gt;"",J630+H631,"")</f>
        <v/>
      </c>
      <c r="K631" s="9">
        <f>if($A631&lt;&gt;"",K630+I631,"")</f>
        <v/>
      </c>
      <c r="L631" s="11">
        <f>IF($A631&lt;&gt;"",IF(K631-J631=0,"tie",IF(K631-J631&gt;0,"+"&amp;K631-J631,"+"&amp;J631-K631)),"")</f>
        <v/>
      </c>
      <c r="M631" s="17" t="n"/>
      <c r="N631" s="17" t="n"/>
      <c r="O631" s="17" t="n"/>
      <c r="P631" s="17" t="n"/>
      <c r="Q631" s="17" t="n"/>
      <c r="R631" s="17" t="n"/>
      <c r="S631" s="17" t="n"/>
    </row>
    <row r="632">
      <c r="A632" s="15" t="n">
        <v>44371</v>
      </c>
      <c r="B632" s="10" t="n">
        <v>30</v>
      </c>
      <c r="C632" s="9" t="n">
        <v>25</v>
      </c>
      <c r="D632" s="17" t="inlineStr">
        <is>
          <t>Preston Way</t>
        </is>
      </c>
      <c r="E632" s="9">
        <f>if($A632&lt;&gt;"",E631+B632,"")</f>
        <v/>
      </c>
      <c r="F632" s="10">
        <f>if($A632&lt;&gt;"",F631+C632,"")</f>
        <v/>
      </c>
      <c r="G632" s="11">
        <f>IF($A632&lt;&gt;"",IF(F632-E632=0,"tie",IF(F632-E632&gt;0,"+"&amp;F632-E632,"+"&amp;E632-F632)),"")</f>
        <v/>
      </c>
      <c r="H632" s="12">
        <f>if($A632&lt;&gt;"",if(B632&gt;C632,if(B632&lt;60,1,2),""),"")</f>
        <v/>
      </c>
      <c r="I632" s="12">
        <f>if($A632&lt;&gt;"",if(C632&gt;B632,if(C632&lt;60,1,2),""),"")</f>
        <v/>
      </c>
      <c r="J632" s="9">
        <f>if($A632&lt;&gt;"",J631+H632,"")</f>
        <v/>
      </c>
      <c r="K632" s="9">
        <f>if($A632&lt;&gt;"",K631+I632,"")</f>
        <v/>
      </c>
      <c r="L632" s="11">
        <f>IF($A632&lt;&gt;"",IF(K632-J632=0,"tie",IF(K632-J632&gt;0,"+"&amp;K632-J632,"+"&amp;J632-K632)),"")</f>
        <v/>
      </c>
      <c r="M632" s="17" t="n"/>
      <c r="N632" s="17" t="n"/>
      <c r="O632" s="17" t="n"/>
      <c r="P632" s="17" t="n"/>
      <c r="Q632" s="17" t="n"/>
      <c r="R632" s="17" t="n"/>
      <c r="S632" s="17" t="n"/>
    </row>
    <row r="633">
      <c r="A633" s="15" t="n">
        <v>44371</v>
      </c>
      <c r="B633" s="10" t="n">
        <v>30</v>
      </c>
      <c r="C633" s="9" t="n">
        <v>25</v>
      </c>
      <c r="D633" s="17" t="inlineStr">
        <is>
          <t>Preston Way</t>
        </is>
      </c>
      <c r="E633" s="9">
        <f>if($A633&lt;&gt;"",E632+B633,"")</f>
        <v/>
      </c>
      <c r="F633" s="10">
        <f>if($A633&lt;&gt;"",F632+C633,"")</f>
        <v/>
      </c>
      <c r="G633" s="11">
        <f>IF($A633&lt;&gt;"",IF(F633-E633=0,"tie",IF(F633-E633&gt;0,"+"&amp;F633-E633,"+"&amp;E633-F633)),"")</f>
        <v/>
      </c>
      <c r="H633" s="12">
        <f>if($A633&lt;&gt;"",if(B633&gt;C633,if(B633&lt;60,1,2),""),"")</f>
        <v/>
      </c>
      <c r="I633" s="12">
        <f>if($A633&lt;&gt;"",if(C633&gt;B633,if(C633&lt;60,1,2),""),"")</f>
        <v/>
      </c>
      <c r="J633" s="9">
        <f>if($A633&lt;&gt;"",J632+H633,"")</f>
        <v/>
      </c>
      <c r="K633" s="9">
        <f>if($A633&lt;&gt;"",K632+I633,"")</f>
        <v/>
      </c>
      <c r="L633" s="11">
        <f>IF($A633&lt;&gt;"",IF(K633-J633=0,"tie",IF(K633-J633&gt;0,"+"&amp;K633-J633,"+"&amp;J633-K633)),"")</f>
        <v/>
      </c>
      <c r="M633" s="17" t="n"/>
      <c r="N633" s="17" t="n"/>
      <c r="O633" s="17" t="n"/>
      <c r="P633" s="17" t="n"/>
      <c r="Q633" s="17" t="n"/>
      <c r="R633" s="17" t="n"/>
      <c r="S633" s="17" t="n"/>
    </row>
    <row r="634">
      <c r="A634" s="15" t="n">
        <v>44374</v>
      </c>
      <c r="B634" s="10" t="n">
        <v>30</v>
      </c>
      <c r="C634" s="9" t="n">
        <v>25</v>
      </c>
      <c r="D634" s="17" t="inlineStr">
        <is>
          <t>Preston Way</t>
        </is>
      </c>
      <c r="E634" s="9">
        <f>if($A634&lt;&gt;"",E633+B634,"")</f>
        <v/>
      </c>
      <c r="F634" s="10">
        <f>if($A634&lt;&gt;"",F633+C634,"")</f>
        <v/>
      </c>
      <c r="G634" s="11">
        <f>IF($A634&lt;&gt;"",IF(F634-E634=0,"tie",IF(F634-E634&gt;0,"+"&amp;F634-E634,"+"&amp;E634-F634)),"")</f>
        <v/>
      </c>
      <c r="H634" s="12">
        <f>if($A634&lt;&gt;"",if(B634&gt;C634,if(B634&lt;60,1,2),""),"")</f>
        <v/>
      </c>
      <c r="I634" s="12">
        <f>if($A634&lt;&gt;"",if(C634&gt;B634,if(C634&lt;60,1,2),""),"")</f>
        <v/>
      </c>
      <c r="J634" s="9">
        <f>if($A634&lt;&gt;"",J633+H634,"")</f>
        <v/>
      </c>
      <c r="K634" s="9">
        <f>if($A634&lt;&gt;"",K633+I634,"")</f>
        <v/>
      </c>
      <c r="L634" s="11">
        <f>IF($A634&lt;&gt;"",IF(K634-J634=0,"tie",IF(K634-J634&gt;0,"+"&amp;K634-J634,"+"&amp;J634-K634)),"")</f>
        <v/>
      </c>
      <c r="M634" s="17" t="n"/>
      <c r="N634" s="17" t="n"/>
      <c r="O634" s="17" t="n"/>
      <c r="P634" s="17" t="n"/>
      <c r="Q634" s="17" t="n"/>
      <c r="R634" s="17" t="n"/>
      <c r="S634" s="17" t="n"/>
    </row>
    <row r="635">
      <c r="A635" s="15" t="n">
        <v>44388</v>
      </c>
      <c r="B635" s="9" t="n">
        <v>25</v>
      </c>
      <c r="C635" s="10" t="n">
        <v>30</v>
      </c>
      <c r="D635" s="17" t="inlineStr">
        <is>
          <t>Preston Way</t>
        </is>
      </c>
      <c r="E635" s="9">
        <f>if($A635&lt;&gt;"",E634+B635,"")</f>
        <v/>
      </c>
      <c r="F635" s="10">
        <f>if($A635&lt;&gt;"",F634+C635,"")</f>
        <v/>
      </c>
      <c r="G635" s="11">
        <f>IF($A635&lt;&gt;"",IF(F635-E635=0,"tie",IF(F635-E635&gt;0,"+"&amp;F635-E635,"+"&amp;E635-F635)),"")</f>
        <v/>
      </c>
      <c r="H635" s="12">
        <f>if($A635&lt;&gt;"",if(B635&gt;C635,if(B635&lt;60,1,2),""),"")</f>
        <v/>
      </c>
      <c r="I635" s="12">
        <f>if($A635&lt;&gt;"",if(C635&gt;B635,if(C635&lt;60,1,2),""),"")</f>
        <v/>
      </c>
      <c r="J635" s="9">
        <f>if($A635&lt;&gt;"",J634+H635,"")</f>
        <v/>
      </c>
      <c r="K635" s="9">
        <f>if($A635&lt;&gt;"",K634+I635,"")</f>
        <v/>
      </c>
      <c r="L635" s="11">
        <f>IF($A635&lt;&gt;"",IF(K635-J635=0,"tie",IF(K635-J635&gt;0,"+"&amp;K635-J635,"+"&amp;J635-K635)),"")</f>
        <v/>
      </c>
      <c r="M635" s="17" t="n"/>
      <c r="N635" s="17" t="n"/>
      <c r="O635" s="17" t="n"/>
      <c r="P635" s="17" t="n"/>
      <c r="Q635" s="17" t="n"/>
      <c r="R635" s="17" t="n"/>
      <c r="S635" s="17" t="n"/>
    </row>
    <row r="636">
      <c r="A636" s="15" t="n">
        <v>44390</v>
      </c>
      <c r="B636" s="10" t="n">
        <v>60</v>
      </c>
      <c r="C636" s="9" t="n">
        <v>50</v>
      </c>
      <c r="D636" s="17" t="inlineStr">
        <is>
          <t>Watergrill, SM</t>
        </is>
      </c>
      <c r="E636" s="9">
        <f>if($A636&lt;&gt;"",E635+B636,"")</f>
        <v/>
      </c>
      <c r="F636" s="10">
        <f>if($A636&lt;&gt;"",F635+C636,"")</f>
        <v/>
      </c>
      <c r="G636" s="11">
        <f>IF($A636&lt;&gt;"",IF(F636-E636=0,"tie",IF(F636-E636&gt;0,"+"&amp;F636-E636,"+"&amp;E636-F636)),"")</f>
        <v/>
      </c>
      <c r="H636" s="12">
        <f>if($A636&lt;&gt;"",if(B636&gt;C636,if(B636&lt;60,1,2),""),"")</f>
        <v/>
      </c>
      <c r="I636" s="12">
        <f>if($A636&lt;&gt;"",if(C636&gt;B636,if(C636&lt;60,1,2),""),"")</f>
        <v/>
      </c>
      <c r="J636" s="9">
        <f>if($A636&lt;&gt;"",J635+H636,"")</f>
        <v/>
      </c>
      <c r="K636" s="9">
        <f>if($A636&lt;&gt;"",K635+I636,"")</f>
        <v/>
      </c>
      <c r="L636" s="11">
        <f>IF($A636&lt;&gt;"",IF(K636-J636=0,"tie",IF(K636-J636&gt;0,"+"&amp;K636-J636,"+"&amp;J636-K636)),"")</f>
        <v/>
      </c>
      <c r="M636" s="17" t="n"/>
      <c r="N636" s="17" t="n"/>
      <c r="O636" s="17" t="n"/>
      <c r="P636" s="17" t="n"/>
      <c r="Q636" s="17" t="n"/>
      <c r="R636" s="17" t="n"/>
      <c r="S636" s="17" t="n"/>
    </row>
    <row r="637">
      <c r="A637" s="15" t="n">
        <v>44394</v>
      </c>
      <c r="B637" s="9" t="n">
        <v>25</v>
      </c>
      <c r="C637" s="10" t="n">
        <v>30</v>
      </c>
      <c r="D637" s="17" t="inlineStr">
        <is>
          <t>Preston Way</t>
        </is>
      </c>
      <c r="E637" s="9">
        <f>if($A637&lt;&gt;"",E636+B637,"")</f>
        <v/>
      </c>
      <c r="F637" s="10">
        <f>if($A637&lt;&gt;"",F636+C637,"")</f>
        <v/>
      </c>
      <c r="G637" s="11">
        <f>IF($A637&lt;&gt;"",IF(F637-E637=0,"tie",IF(F637-E637&gt;0,"+"&amp;F637-E637,"+"&amp;E637-F637)),"")</f>
        <v/>
      </c>
      <c r="H637" s="12">
        <f>if($A637&lt;&gt;"",if(B637&gt;C637,if(B637&lt;60,1,2),""),"")</f>
        <v/>
      </c>
      <c r="I637" s="12">
        <f>if($A637&lt;&gt;"",if(C637&gt;B637,if(C637&lt;60,1,2),""),"")</f>
        <v/>
      </c>
      <c r="J637" s="9">
        <f>if($A637&lt;&gt;"",J636+H637,"")</f>
        <v/>
      </c>
      <c r="K637" s="9">
        <f>if($A637&lt;&gt;"",K636+I637,"")</f>
        <v/>
      </c>
      <c r="L637" s="11">
        <f>IF($A637&lt;&gt;"",IF(K637-J637=0,"tie",IF(K637-J637&gt;0,"+"&amp;K637-J637,"+"&amp;J637-K637)),"")</f>
        <v/>
      </c>
      <c r="M637" s="17" t="n"/>
      <c r="N637" s="17" t="n"/>
      <c r="O637" s="17" t="n"/>
      <c r="P637" s="17" t="n"/>
      <c r="Q637" s="17" t="n"/>
      <c r="R637" s="17" t="n"/>
      <c r="S637" s="17" t="n"/>
    </row>
    <row r="638">
      <c r="A638" s="15" t="n">
        <v>44395</v>
      </c>
      <c r="B638" s="9" t="n">
        <v>50</v>
      </c>
      <c r="C638" s="10" t="n">
        <v>60</v>
      </c>
      <c r="D638" s="17" t="inlineStr">
        <is>
          <t>Preston Way</t>
        </is>
      </c>
      <c r="E638" s="9">
        <f>if($A638&lt;&gt;"",E637+B638,"")</f>
        <v/>
      </c>
      <c r="F638" s="10">
        <f>if($A638&lt;&gt;"",F637+C638,"")</f>
        <v/>
      </c>
      <c r="G638" s="11">
        <f>IF($A638&lt;&gt;"",IF(F638-E638=0,"tie",IF(F638-E638&gt;0,"+"&amp;F638-E638,"+"&amp;E638-F638)),"")</f>
        <v/>
      </c>
      <c r="H638" s="12">
        <f>if($A638&lt;&gt;"",if(B638&gt;C638,if(B638&lt;60,1,2),""),"")</f>
        <v/>
      </c>
      <c r="I638" s="12">
        <f>if($A638&lt;&gt;"",if(C638&gt;B638,if(C638&lt;60,1,2),""),"")</f>
        <v/>
      </c>
      <c r="J638" s="9">
        <f>if($A638&lt;&gt;"",J637+H638,"")</f>
        <v/>
      </c>
      <c r="K638" s="9">
        <f>if($A638&lt;&gt;"",K637+I638,"")</f>
        <v/>
      </c>
      <c r="L638" s="11">
        <f>IF($A638&lt;&gt;"",IF(K638-J638=0,"tie",IF(K638-J638&gt;0,"+"&amp;K638-J638,"+"&amp;J638-K638)),"")</f>
        <v/>
      </c>
      <c r="M638" s="17" t="n"/>
      <c r="N638" s="17" t="n"/>
      <c r="O638" s="17" t="n"/>
      <c r="P638" s="17" t="n"/>
      <c r="Q638" s="17" t="n"/>
      <c r="R638" s="17" t="n"/>
      <c r="S638" s="17" t="n"/>
    </row>
    <row r="639">
      <c r="A639" s="15" t="n">
        <v>44396</v>
      </c>
      <c r="B639" s="10" t="n">
        <v>30</v>
      </c>
      <c r="C639" s="9" t="n">
        <v>25</v>
      </c>
      <c r="D639" s="17" t="inlineStr">
        <is>
          <t>Preston Way</t>
        </is>
      </c>
      <c r="E639" s="9">
        <f>if($A639&lt;&gt;"",E638+B639,"")</f>
        <v/>
      </c>
      <c r="F639" s="10">
        <f>if($A639&lt;&gt;"",F638+C639,"")</f>
        <v/>
      </c>
      <c r="G639" s="11">
        <f>IF($A639&lt;&gt;"",IF(F639-E639=0,"tie",IF(F639-E639&gt;0,"+"&amp;F639-E639,"+"&amp;E639-F639)),"")</f>
        <v/>
      </c>
      <c r="H639" s="12">
        <f>if($A639&lt;&gt;"",if(B639&gt;C639,if(B639&lt;60,1,2),""),"")</f>
        <v/>
      </c>
      <c r="I639" s="12">
        <f>if($A639&lt;&gt;"",if(C639&gt;B639,if(C639&lt;60,1,2),""),"")</f>
        <v/>
      </c>
      <c r="J639" s="9">
        <f>if($A639&lt;&gt;"",J638+H639,"")</f>
        <v/>
      </c>
      <c r="K639" s="9">
        <f>if($A639&lt;&gt;"",K638+I639,"")</f>
        <v/>
      </c>
      <c r="L639" s="11">
        <f>IF($A639&lt;&gt;"",IF(K639-J639=0,"tie",IF(K639-J639&gt;0,"+"&amp;K639-J639,"+"&amp;J639-K639)),"")</f>
        <v/>
      </c>
      <c r="M639" s="17" t="n"/>
      <c r="N639" s="17" t="n"/>
      <c r="O639" s="17" t="n"/>
      <c r="P639" s="17" t="n"/>
      <c r="Q639" s="17" t="n"/>
      <c r="R639" s="17" t="n"/>
      <c r="S639" s="17" t="n"/>
    </row>
    <row r="640">
      <c r="A640" s="15" t="n">
        <v>44401</v>
      </c>
      <c r="B640" s="9" t="n">
        <v>25</v>
      </c>
      <c r="C640" s="10" t="n">
        <v>30</v>
      </c>
      <c r="D640" s="17" t="inlineStr">
        <is>
          <t>Denver Meadows RV Park</t>
        </is>
      </c>
      <c r="E640" s="9">
        <f>if($A640&lt;&gt;"",E639+B640,"")</f>
        <v/>
      </c>
      <c r="F640" s="10">
        <f>if($A640&lt;&gt;"",F639+C640,"")</f>
        <v/>
      </c>
      <c r="G640" s="11">
        <f>IF($A640&lt;&gt;"",IF(F640-E640=0,"tie",IF(F640-E640&gt;0,"+"&amp;F640-E640,"+"&amp;E640-F640)),"")</f>
        <v/>
      </c>
      <c r="H640" s="12">
        <f>if($A640&lt;&gt;"",if(B640&gt;C640,if(B640&lt;60,1,2),""),"")</f>
        <v/>
      </c>
      <c r="I640" s="12">
        <f>if($A640&lt;&gt;"",if(C640&gt;B640,if(C640&lt;60,1,2),""),"")</f>
        <v/>
      </c>
      <c r="J640" s="9">
        <f>if($A640&lt;&gt;"",J639+H640,"")</f>
        <v/>
      </c>
      <c r="K640" s="9">
        <f>if($A640&lt;&gt;"",K639+I640,"")</f>
        <v/>
      </c>
      <c r="L640" s="11">
        <f>IF($A640&lt;&gt;"",IF(K640-J640=0,"tie",IF(K640-J640&gt;0,"+"&amp;K640-J640,"+"&amp;J640-K640)),"")</f>
        <v/>
      </c>
      <c r="M640" s="17" t="n"/>
      <c r="N640" s="17" t="n"/>
      <c r="O640" s="17" t="n"/>
      <c r="P640" s="17" t="n"/>
      <c r="Q640" s="17" t="n"/>
      <c r="R640" s="17" t="n"/>
      <c r="S640" s="17" t="n"/>
    </row>
    <row r="641">
      <c r="A641" s="15" t="n">
        <v>44404</v>
      </c>
      <c r="B641" s="9" t="n">
        <v>25</v>
      </c>
      <c r="C641" s="10" t="n">
        <v>30</v>
      </c>
      <c r="D641" s="17" t="inlineStr">
        <is>
          <t>Craig, CO</t>
        </is>
      </c>
      <c r="E641" s="9">
        <f>if($A641&lt;&gt;"",E640+B641,"")</f>
        <v/>
      </c>
      <c r="F641" s="10">
        <f>if($A641&lt;&gt;"",F640+C641,"")</f>
        <v/>
      </c>
      <c r="G641" s="11">
        <f>IF($A641&lt;&gt;"",IF(F641-E641=0,"tie",IF(F641-E641&gt;0,"+"&amp;F641-E641,"+"&amp;E641-F641)),"")</f>
        <v/>
      </c>
      <c r="H641" s="12">
        <f>if($A641&lt;&gt;"",if(B641&gt;C641,if(B641&lt;60,1,2),""),"")</f>
        <v/>
      </c>
      <c r="I641" s="12">
        <f>if($A641&lt;&gt;"",if(C641&gt;B641,if(C641&lt;60,1,2),""),"")</f>
        <v/>
      </c>
      <c r="J641" s="9">
        <f>if($A641&lt;&gt;"",J640+H641,"")</f>
        <v/>
      </c>
      <c r="K641" s="9">
        <f>if($A641&lt;&gt;"",K640+I641,"")</f>
        <v/>
      </c>
      <c r="L641" s="11">
        <f>IF($A641&lt;&gt;"",IF(K641-J641=0,"tie",IF(K641-J641&gt;0,"+"&amp;K641-J641,"+"&amp;J641-K641)),"")</f>
        <v/>
      </c>
      <c r="M641" s="17" t="n"/>
      <c r="N641" s="17" t="n"/>
      <c r="O641" s="17" t="n"/>
      <c r="P641" s="17" t="n"/>
      <c r="Q641" s="17" t="n"/>
      <c r="R641" s="17" t="n"/>
      <c r="S641" s="17" t="n"/>
    </row>
    <row r="642">
      <c r="A642" s="15" t="n">
        <v>44418</v>
      </c>
      <c r="B642" s="9" t="n">
        <v>25</v>
      </c>
      <c r="C642" s="10" t="n">
        <v>30</v>
      </c>
      <c r="D642" s="17" t="inlineStr">
        <is>
          <t>Preston Way</t>
        </is>
      </c>
      <c r="E642" s="9">
        <f>if($A642&lt;&gt;"",E641+B642,"")</f>
        <v/>
      </c>
      <c r="F642" s="10">
        <f>if($A642&lt;&gt;"",F641+C642,"")</f>
        <v/>
      </c>
      <c r="G642" s="11">
        <f>IF($A642&lt;&gt;"",IF(F642-E642=0,"tie",IF(F642-E642&gt;0,"+"&amp;F642-E642,"+"&amp;E642-F642)),"")</f>
        <v/>
      </c>
      <c r="H642" s="12">
        <f>if($A642&lt;&gt;"",if(B642&gt;C642,if(B642&lt;60,1,2),""),"")</f>
        <v/>
      </c>
      <c r="I642" s="12">
        <f>if($A642&lt;&gt;"",if(C642&gt;B642,if(C642&lt;60,1,2),""),"")</f>
        <v/>
      </c>
      <c r="J642" s="9">
        <f>if($A642&lt;&gt;"",J641+H642,"")</f>
        <v/>
      </c>
      <c r="K642" s="9">
        <f>if($A642&lt;&gt;"",K641+I642,"")</f>
        <v/>
      </c>
      <c r="L642" s="11">
        <f>IF($A642&lt;&gt;"",IF(K642-J642=0,"tie",IF(K642-J642&gt;0,"+"&amp;K642-J642,"+"&amp;J642-K642)),"")</f>
        <v/>
      </c>
      <c r="M642" s="17" t="n"/>
      <c r="N642" s="17" t="n"/>
      <c r="O642" s="17" t="n"/>
      <c r="P642" s="17" t="n"/>
      <c r="Q642" s="17" t="n"/>
      <c r="R642" s="17" t="n"/>
      <c r="S642" s="17" t="n"/>
    </row>
    <row r="643">
      <c r="A643" s="15" t="n">
        <v>44418</v>
      </c>
      <c r="B643" s="9" t="n">
        <v>50</v>
      </c>
      <c r="C643" s="10" t="n">
        <v>60</v>
      </c>
      <c r="D643" s="17" t="inlineStr">
        <is>
          <t>Preston Way</t>
        </is>
      </c>
      <c r="E643" s="9">
        <f>if($A643&lt;&gt;"",E642+B643,"")</f>
        <v/>
      </c>
      <c r="F643" s="10">
        <f>if($A643&lt;&gt;"",F642+C643,"")</f>
        <v/>
      </c>
      <c r="G643" s="11">
        <f>IF($A643&lt;&gt;"",IF(F643-E643=0,"tie",IF(F643-E643&gt;0,"+"&amp;F643-E643,"+"&amp;E643-F643)),"")</f>
        <v/>
      </c>
      <c r="H643" s="12">
        <f>if($A643&lt;&gt;"",if(B643&gt;C643,if(B643&lt;60,1,2),""),"")</f>
        <v/>
      </c>
      <c r="I643" s="12">
        <f>if($A643&lt;&gt;"",if(C643&gt;B643,if(C643&lt;60,1,2),""),"")</f>
        <v/>
      </c>
      <c r="J643" s="9">
        <f>if($A643&lt;&gt;"",J642+H643,"")</f>
        <v/>
      </c>
      <c r="K643" s="9">
        <f>if($A643&lt;&gt;"",K642+I643,"")</f>
        <v/>
      </c>
      <c r="L643" s="11">
        <f>IF($A643&lt;&gt;"",IF(K643-J643=0,"tie",IF(K643-J643&gt;0,"+"&amp;K643-J643,"+"&amp;J643-K643)),"")</f>
        <v/>
      </c>
      <c r="M643" s="17" t="n"/>
      <c r="N643" s="17" t="n"/>
      <c r="O643" s="17" t="n"/>
      <c r="P643" s="17" t="n"/>
      <c r="Q643" s="17" t="n"/>
      <c r="R643" s="17" t="n"/>
      <c r="S643" s="17" t="n"/>
    </row>
    <row r="644">
      <c r="A644" s="15" t="n">
        <v>44424</v>
      </c>
      <c r="B644" s="10" t="n">
        <v>30</v>
      </c>
      <c r="C644" s="9" t="n">
        <v>25</v>
      </c>
      <c r="D644" s="17" t="inlineStr">
        <is>
          <t>Preston Way</t>
        </is>
      </c>
      <c r="E644" s="9">
        <f>if($A644&lt;&gt;"",E643+B644,"")</f>
        <v/>
      </c>
      <c r="F644" s="10">
        <f>if($A644&lt;&gt;"",F643+C644,"")</f>
        <v/>
      </c>
      <c r="G644" s="11">
        <f>IF($A644&lt;&gt;"",IF(F644-E644=0,"tie",IF(F644-E644&gt;0,"+"&amp;F644-E644,"+"&amp;E644-F644)),"")</f>
        <v/>
      </c>
      <c r="H644" s="12">
        <f>if($A644&lt;&gt;"",if(B644&gt;C644,if(B644&lt;60,1,2),""),"")</f>
        <v/>
      </c>
      <c r="I644" s="12">
        <f>if($A644&lt;&gt;"",if(C644&gt;B644,if(C644&lt;60,1,2),""),"")</f>
        <v/>
      </c>
      <c r="J644" s="9">
        <f>if($A644&lt;&gt;"",J643+H644,"")</f>
        <v/>
      </c>
      <c r="K644" s="9">
        <f>if($A644&lt;&gt;"",K643+I644,"")</f>
        <v/>
      </c>
      <c r="L644" s="11">
        <f>IF($A644&lt;&gt;"",IF(K644-J644=0,"tie",IF(K644-J644&gt;0,"+"&amp;K644-J644,"+"&amp;J644-K644)),"")</f>
        <v/>
      </c>
      <c r="M644" s="17" t="n"/>
      <c r="N644" s="17" t="n"/>
      <c r="O644" s="17" t="n"/>
      <c r="P644" s="17" t="n"/>
      <c r="Q644" s="17" t="n"/>
      <c r="R644" s="17" t="n"/>
      <c r="S644" s="17" t="n"/>
    </row>
    <row r="645">
      <c r="A645" s="15" t="n">
        <v>44426</v>
      </c>
      <c r="B645" s="10" t="n">
        <v>30</v>
      </c>
      <c r="C645" s="9" t="n">
        <v>25</v>
      </c>
      <c r="D645" s="17" t="inlineStr">
        <is>
          <t>Preston Way</t>
        </is>
      </c>
      <c r="E645" s="9">
        <f>if($A645&lt;&gt;"",E644+B645,"")</f>
        <v/>
      </c>
      <c r="F645" s="10">
        <f>if($A645&lt;&gt;"",F644+C645,"")</f>
        <v/>
      </c>
      <c r="G645" s="11">
        <f>IF($A645&lt;&gt;"",IF(F645-E645=0,"tie",IF(F645-E645&gt;0,"+"&amp;F645-E645,"+"&amp;E645-F645)),"")</f>
        <v/>
      </c>
      <c r="H645" s="12">
        <f>if($A645&lt;&gt;"",if(B645&gt;C645,if(B645&lt;60,1,2),""),"")</f>
        <v/>
      </c>
      <c r="I645" s="12">
        <f>if($A645&lt;&gt;"",if(C645&gt;B645,if(C645&lt;60,1,2),""),"")</f>
        <v/>
      </c>
      <c r="J645" s="9">
        <f>if($A645&lt;&gt;"",J644+H645,"")</f>
        <v/>
      </c>
      <c r="K645" s="9">
        <f>if($A645&lt;&gt;"",K644+I645,"")</f>
        <v/>
      </c>
      <c r="L645" s="11">
        <f>IF($A645&lt;&gt;"",IF(K645-J645=0,"tie",IF(K645-J645&gt;0,"+"&amp;K645-J645,"+"&amp;J645-K645)),"")</f>
        <v/>
      </c>
      <c r="M645" s="17" t="n"/>
      <c r="N645" s="17" t="n"/>
      <c r="O645" s="17" t="n"/>
      <c r="P645" s="17" t="n"/>
      <c r="Q645" s="17" t="n"/>
      <c r="R645" s="17" t="n"/>
      <c r="S645" s="17" t="n"/>
    </row>
    <row r="646">
      <c r="A646" s="15" t="n">
        <v>44427</v>
      </c>
      <c r="B646" s="10" t="n">
        <v>30</v>
      </c>
      <c r="C646" s="9" t="n">
        <v>25</v>
      </c>
      <c r="D646" s="17" t="inlineStr">
        <is>
          <t>Preston Way</t>
        </is>
      </c>
      <c r="E646" s="9">
        <f>if($A646&lt;&gt;"",E645+B646,"")</f>
        <v/>
      </c>
      <c r="F646" s="10">
        <f>if($A646&lt;&gt;"",F645+C646,"")</f>
        <v/>
      </c>
      <c r="G646" s="11">
        <f>IF($A646&lt;&gt;"",IF(F646-E646=0,"tie",IF(F646-E646&gt;0,"+"&amp;F646-E646,"+"&amp;E646-F646)),"")</f>
        <v/>
      </c>
      <c r="H646" s="12">
        <f>if($A646&lt;&gt;"",if(B646&gt;C646,if(B646&lt;60,1,2),""),"")</f>
        <v/>
      </c>
      <c r="I646" s="12">
        <f>if($A646&lt;&gt;"",if(C646&gt;B646,if(C646&lt;60,1,2),""),"")</f>
        <v/>
      </c>
      <c r="J646" s="9">
        <f>if($A646&lt;&gt;"",J645+H646,"")</f>
        <v/>
      </c>
      <c r="K646" s="9">
        <f>if($A646&lt;&gt;"",K645+I646,"")</f>
        <v/>
      </c>
      <c r="L646" s="11">
        <f>IF($A646&lt;&gt;"",IF(K646-J646=0,"tie",IF(K646-J646&gt;0,"+"&amp;K646-J646,"+"&amp;J646-K646)),"")</f>
        <v/>
      </c>
      <c r="M646" s="17" t="n"/>
      <c r="N646" s="17" t="n"/>
      <c r="O646" s="17" t="n"/>
      <c r="P646" s="17" t="n"/>
      <c r="Q646" s="17" t="n"/>
      <c r="R646" s="17" t="n"/>
      <c r="S646" s="17" t="n"/>
    </row>
    <row r="647">
      <c r="A647" s="15" t="n">
        <v>44430</v>
      </c>
      <c r="B647" s="9" t="n">
        <v>25</v>
      </c>
      <c r="C647" s="10" t="n">
        <v>30</v>
      </c>
      <c r="D647" s="17" t="inlineStr">
        <is>
          <t>Preston Way</t>
        </is>
      </c>
      <c r="E647" s="9">
        <f>if($A647&lt;&gt;"",E646+B647,"")</f>
        <v/>
      </c>
      <c r="F647" s="10">
        <f>if($A647&lt;&gt;"",F646+C647,"")</f>
        <v/>
      </c>
      <c r="G647" s="11">
        <f>IF($A647&lt;&gt;"",IF(F647-E647=0,"tie",IF(F647-E647&gt;0,"+"&amp;F647-E647,"+"&amp;E647-F647)),"")</f>
        <v/>
      </c>
      <c r="H647" s="12">
        <f>if($A647&lt;&gt;"",if(B647&gt;C647,if(B647&lt;60,1,2),""),"")</f>
        <v/>
      </c>
      <c r="I647" s="12">
        <f>if($A647&lt;&gt;"",if(C647&gt;B647,if(C647&lt;60,1,2),""),"")</f>
        <v/>
      </c>
      <c r="J647" s="9">
        <f>if($A647&lt;&gt;"",J646+H647,"")</f>
        <v/>
      </c>
      <c r="K647" s="9">
        <f>if($A647&lt;&gt;"",K646+I647,"")</f>
        <v/>
      </c>
      <c r="L647" s="11">
        <f>IF($A647&lt;&gt;"",IF(K647-J647=0,"tie",IF(K647-J647&gt;0,"+"&amp;K647-J647,"+"&amp;J647-K647)),"")</f>
        <v/>
      </c>
      <c r="M647" s="17" t="n"/>
      <c r="N647" s="17" t="n"/>
      <c r="O647" s="17" t="n"/>
      <c r="P647" s="17" t="n"/>
      <c r="Q647" s="17" t="n"/>
      <c r="R647" s="17" t="n"/>
      <c r="S647" s="17" t="n"/>
    </row>
    <row r="648">
      <c r="A648" s="15" t="n">
        <v>44432</v>
      </c>
      <c r="B648" s="10" t="n">
        <v>30</v>
      </c>
      <c r="C648" s="9" t="n">
        <v>25</v>
      </c>
      <c r="D648" s="17" t="inlineStr">
        <is>
          <t>Preston Way</t>
        </is>
      </c>
      <c r="E648" s="9">
        <f>if($A648&lt;&gt;"",E647+B648,"")</f>
        <v/>
      </c>
      <c r="F648" s="10">
        <f>if($A648&lt;&gt;"",F647+C648,"")</f>
        <v/>
      </c>
      <c r="G648" s="11">
        <f>IF($A648&lt;&gt;"",IF(F648-E648=0,"tie",IF(F648-E648&gt;0,"+"&amp;F648-E648,"+"&amp;E648-F648)),"")</f>
        <v/>
      </c>
      <c r="H648" s="12">
        <f>if($A648&lt;&gt;"",if(B648&gt;C648,if(B648&lt;60,1,2),""),"")</f>
        <v/>
      </c>
      <c r="I648" s="12">
        <f>if($A648&lt;&gt;"",if(C648&gt;B648,if(C648&lt;60,1,2),""),"")</f>
        <v/>
      </c>
      <c r="J648" s="9">
        <f>if($A648&lt;&gt;"",J647+H648,"")</f>
        <v/>
      </c>
      <c r="K648" s="9">
        <f>if($A648&lt;&gt;"",K647+I648,"")</f>
        <v/>
      </c>
      <c r="L648" s="11">
        <f>IF($A648&lt;&gt;"",IF(K648-J648=0,"tie",IF(K648-J648&gt;0,"+"&amp;K648-J648,"+"&amp;J648-K648)),"")</f>
        <v/>
      </c>
      <c r="M648" s="17" t="n"/>
      <c r="N648" s="17" t="n"/>
      <c r="O648" s="17" t="n"/>
      <c r="P648" s="17" t="n"/>
      <c r="Q648" s="17" t="n"/>
      <c r="R648" s="17" t="n"/>
      <c r="S648" s="17" t="n"/>
    </row>
    <row r="649">
      <c r="A649" s="15" t="n">
        <v>44437</v>
      </c>
      <c r="B649" s="9" t="n">
        <v>25</v>
      </c>
      <c r="C649" s="10" t="n">
        <v>30</v>
      </c>
      <c r="D649" s="17" t="inlineStr">
        <is>
          <t>Preston Way</t>
        </is>
      </c>
      <c r="E649" s="9">
        <f>if($A649&lt;&gt;"",E648+B649,"")</f>
        <v/>
      </c>
      <c r="F649" s="10">
        <f>if($A649&lt;&gt;"",F648+C649,"")</f>
        <v/>
      </c>
      <c r="G649" s="11">
        <f>IF($A649&lt;&gt;"",IF(F649-E649=0,"tie",IF(F649-E649&gt;0,"+"&amp;F649-E649,"+"&amp;E649-F649)),"")</f>
        <v/>
      </c>
      <c r="H649" s="12">
        <f>if($A649&lt;&gt;"",if(B649&gt;C649,if(B649&lt;60,1,2),""),"")</f>
        <v/>
      </c>
      <c r="I649" s="12">
        <f>if($A649&lt;&gt;"",if(C649&gt;B649,if(C649&lt;60,1,2),""),"")</f>
        <v/>
      </c>
      <c r="J649" s="9">
        <f>if($A649&lt;&gt;"",J648+H649,"")</f>
        <v/>
      </c>
      <c r="K649" s="9">
        <f>if($A649&lt;&gt;"",K648+I649,"")</f>
        <v/>
      </c>
      <c r="L649" s="11">
        <f>IF($A649&lt;&gt;"",IF(K649-J649=0,"tie",IF(K649-J649&gt;0,"+"&amp;K649-J649,"+"&amp;J649-K649)),"")</f>
        <v/>
      </c>
      <c r="M649" s="17" t="n"/>
      <c r="N649" s="17" t="n"/>
      <c r="O649" s="17" t="n"/>
      <c r="P649" s="17" t="n"/>
      <c r="Q649" s="17" t="n"/>
      <c r="R649" s="17" t="n"/>
      <c r="S649" s="17" t="n"/>
    </row>
    <row r="650">
      <c r="A650" s="15" t="n">
        <v>44439</v>
      </c>
      <c r="B650" s="9" t="n">
        <v>25</v>
      </c>
      <c r="C650" s="10" t="n">
        <v>30</v>
      </c>
      <c r="D650" s="17" t="inlineStr">
        <is>
          <t>Preston Way</t>
        </is>
      </c>
      <c r="E650" s="9">
        <f>if($A650&lt;&gt;"",E649+B650,"")</f>
        <v/>
      </c>
      <c r="F650" s="10">
        <f>if($A650&lt;&gt;"",F649+C650,"")</f>
        <v/>
      </c>
      <c r="G650" s="11">
        <f>IF($A650&lt;&gt;"",IF(F650-E650=0,"tie",IF(F650-E650&gt;0,"+"&amp;F650-E650,"+"&amp;E650-F650)),"")</f>
        <v/>
      </c>
      <c r="H650" s="12">
        <f>if($A650&lt;&gt;"",if(B650&gt;C650,if(B650&lt;60,1,2),""),"")</f>
        <v/>
      </c>
      <c r="I650" s="12">
        <f>if($A650&lt;&gt;"",if(C650&gt;B650,if(C650&lt;60,1,2),""),"")</f>
        <v/>
      </c>
      <c r="J650" s="9">
        <f>if($A650&lt;&gt;"",J649+H650,"")</f>
        <v/>
      </c>
      <c r="K650" s="9">
        <f>if($A650&lt;&gt;"",K649+I650,"")</f>
        <v/>
      </c>
      <c r="L650" s="11">
        <f>IF($A650&lt;&gt;"",IF(K650-J650=0,"tie",IF(K650-J650&gt;0,"+"&amp;K650-J650,"+"&amp;J650-K650)),"")</f>
        <v/>
      </c>
      <c r="M650" s="17" t="n"/>
      <c r="N650" s="17" t="n"/>
      <c r="O650" s="17" t="n"/>
      <c r="P650" s="17" t="n"/>
      <c r="Q650" s="17" t="n"/>
      <c r="R650" s="17" t="n"/>
      <c r="S650" s="17" t="n"/>
    </row>
    <row r="651">
      <c r="A651" s="15" t="n">
        <v>44444</v>
      </c>
      <c r="B651" s="9" t="n">
        <v>25</v>
      </c>
      <c r="C651" s="10" t="n">
        <v>30</v>
      </c>
      <c r="D651" s="17" t="inlineStr">
        <is>
          <t>Palm Desert</t>
        </is>
      </c>
      <c r="E651" s="9">
        <f>if($A651&lt;&gt;"",E650+B651,"")</f>
        <v/>
      </c>
      <c r="F651" s="10">
        <f>if($A651&lt;&gt;"",F650+C651,"")</f>
        <v/>
      </c>
      <c r="G651" s="11">
        <f>IF($A651&lt;&gt;"",IF(F651-E651=0,"tie",IF(F651-E651&gt;0,"+"&amp;F651-E651,"+"&amp;E651-F651)),"")</f>
        <v/>
      </c>
      <c r="H651" s="12">
        <f>if($A651&lt;&gt;"",if(B651&gt;C651,if(B651&lt;60,1,2),""),"")</f>
        <v/>
      </c>
      <c r="I651" s="12">
        <f>if($A651&lt;&gt;"",if(C651&gt;B651,if(C651&lt;60,1,2),""),"")</f>
        <v/>
      </c>
      <c r="J651" s="9">
        <f>if($A651&lt;&gt;"",J650+H651,"")</f>
        <v/>
      </c>
      <c r="K651" s="9">
        <f>if($A651&lt;&gt;"",K650+I651,"")</f>
        <v/>
      </c>
      <c r="L651" s="11">
        <f>IF($A651&lt;&gt;"",IF(K651-J651=0,"tie",IF(K651-J651&gt;0,"+"&amp;K651-J651,"+"&amp;J651-K651)),"")</f>
        <v/>
      </c>
      <c r="M651" s="17" t="n"/>
      <c r="N651" s="17" t="n"/>
      <c r="O651" s="17" t="n"/>
      <c r="P651" s="17" t="n"/>
      <c r="Q651" s="17" t="n"/>
      <c r="R651" s="17" t="n"/>
      <c r="S651" s="17" t="n"/>
    </row>
    <row r="652">
      <c r="A652" s="15" t="n">
        <v>44445</v>
      </c>
      <c r="B652" s="10" t="n">
        <v>30</v>
      </c>
      <c r="C652" s="9" t="n">
        <v>25</v>
      </c>
      <c r="D652" s="17" t="inlineStr">
        <is>
          <t>Preston Way</t>
        </is>
      </c>
      <c r="E652" s="9">
        <f>if($A652&lt;&gt;"",E651+B652,"")</f>
        <v/>
      </c>
      <c r="F652" s="10">
        <f>if($A652&lt;&gt;"",F651+C652,"")</f>
        <v/>
      </c>
      <c r="G652" s="11">
        <f>IF($A652&lt;&gt;"",IF(F652-E652=0,"tie",IF(F652-E652&gt;0,"+"&amp;F652-E652,"+"&amp;E652-F652)),"")</f>
        <v/>
      </c>
      <c r="H652" s="12">
        <f>if($A652&lt;&gt;"",if(B652&gt;C652,if(B652&lt;60,1,2),""),"")</f>
        <v/>
      </c>
      <c r="I652" s="12">
        <f>if($A652&lt;&gt;"",if(C652&gt;B652,if(C652&lt;60,1,2),""),"")</f>
        <v/>
      </c>
      <c r="J652" s="9">
        <f>if($A652&lt;&gt;"",J651+H652,"")</f>
        <v/>
      </c>
      <c r="K652" s="9">
        <f>if($A652&lt;&gt;"",K651+I652,"")</f>
        <v/>
      </c>
      <c r="L652" s="11">
        <f>IF($A652&lt;&gt;"",IF(K652-J652=0,"tie",IF(K652-J652&gt;0,"+"&amp;K652-J652,"+"&amp;J652-K652)),"")</f>
        <v/>
      </c>
      <c r="M652" s="17" t="n"/>
      <c r="N652" s="17" t="n"/>
      <c r="O652" s="17" t="n"/>
      <c r="P652" s="17" t="n"/>
      <c r="Q652" s="17" t="n"/>
      <c r="R652" s="17" t="n"/>
      <c r="S652" s="17" t="n"/>
    </row>
    <row r="653">
      <c r="A653" s="15" t="n">
        <v>44447</v>
      </c>
      <c r="B653" s="9" t="n">
        <v>25</v>
      </c>
      <c r="C653" s="10" t="n">
        <v>30</v>
      </c>
      <c r="D653" s="17" t="inlineStr">
        <is>
          <t>Preston Way</t>
        </is>
      </c>
      <c r="E653" s="9">
        <f>if($A653&lt;&gt;"",E652+B653,"")</f>
        <v/>
      </c>
      <c r="F653" s="10">
        <f>if($A653&lt;&gt;"",F652+C653,"")</f>
        <v/>
      </c>
      <c r="G653" s="11">
        <f>IF($A653&lt;&gt;"",IF(F653-E653=0,"tie",IF(F653-E653&gt;0,"+"&amp;F653-E653,"+"&amp;E653-F653)),"")</f>
        <v/>
      </c>
      <c r="H653" s="12">
        <f>if($A653&lt;&gt;"",if(B653&gt;C653,if(B653&lt;60,1,2),""),"")</f>
        <v/>
      </c>
      <c r="I653" s="12">
        <f>if($A653&lt;&gt;"",if(C653&gt;B653,if(C653&lt;60,1,2),""),"")</f>
        <v/>
      </c>
      <c r="J653" s="9">
        <f>if($A653&lt;&gt;"",J652+H653,"")</f>
        <v/>
      </c>
      <c r="K653" s="9">
        <f>if($A653&lt;&gt;"",K652+I653,"")</f>
        <v/>
      </c>
      <c r="L653" s="11">
        <f>IF($A653&lt;&gt;"",IF(K653-J653=0,"tie",IF(K653-J653&gt;0,"+"&amp;K653-J653,"+"&amp;J653-K653)),"")</f>
        <v/>
      </c>
      <c r="M653" s="17" t="n"/>
      <c r="N653" s="17" t="n"/>
      <c r="O653" s="17" t="n"/>
      <c r="P653" s="17" t="n"/>
      <c r="Q653" s="17" t="n"/>
      <c r="R653" s="17" t="n"/>
      <c r="S653" s="17" t="n"/>
    </row>
    <row r="654">
      <c r="A654" s="15" t="n">
        <v>44451</v>
      </c>
      <c r="B654" s="10" t="n">
        <v>30</v>
      </c>
      <c r="C654" s="9" t="n">
        <v>25</v>
      </c>
      <c r="D654" s="17" t="inlineStr">
        <is>
          <t>Carpinteria State Beach</t>
        </is>
      </c>
      <c r="E654" s="9">
        <f>if($A654&lt;&gt;"",E653+B654,"")</f>
        <v/>
      </c>
      <c r="F654" s="10">
        <f>if($A654&lt;&gt;"",F653+C654,"")</f>
        <v/>
      </c>
      <c r="G654" s="11">
        <f>IF($A654&lt;&gt;"",IF(F654-E654=0,"tie",IF(F654-E654&gt;0,"+"&amp;F654-E654,"+"&amp;E654-F654)),"")</f>
        <v/>
      </c>
      <c r="H654" s="12">
        <f>if($A654&lt;&gt;"",if(B654&gt;C654,if(B654&lt;60,1,2),""),"")</f>
        <v/>
      </c>
      <c r="I654" s="12">
        <f>if($A654&lt;&gt;"",if(C654&gt;B654,if(C654&lt;60,1,2),""),"")</f>
        <v/>
      </c>
      <c r="J654" s="9">
        <f>if($A654&lt;&gt;"",J653+H654,"")</f>
        <v/>
      </c>
      <c r="K654" s="9">
        <f>if($A654&lt;&gt;"",K653+I654,"")</f>
        <v/>
      </c>
      <c r="L654" s="11">
        <f>IF($A654&lt;&gt;"",IF(K654-J654=0,"tie",IF(K654-J654&gt;0,"+"&amp;K654-J654,"+"&amp;J654-K654)),"")</f>
        <v/>
      </c>
      <c r="M654" s="17" t="n"/>
      <c r="N654" s="17" t="n"/>
      <c r="O654" s="17" t="n"/>
      <c r="P654" s="17" t="n"/>
      <c r="Q654" s="17" t="n"/>
      <c r="R654" s="17" t="n"/>
      <c r="S654" s="17" t="n"/>
    </row>
    <row r="655">
      <c r="A655" s="15" t="n">
        <v>44452</v>
      </c>
      <c r="B655" s="9" t="n">
        <v>25</v>
      </c>
      <c r="C655" s="10" t="n">
        <v>30</v>
      </c>
      <c r="D655" s="17" t="inlineStr">
        <is>
          <t>Carpinteria State Beach</t>
        </is>
      </c>
      <c r="E655" s="9">
        <f>if($A655&lt;&gt;"",E654+B655,"")</f>
        <v/>
      </c>
      <c r="F655" s="10">
        <f>if($A655&lt;&gt;"",F654+C655,"")</f>
        <v/>
      </c>
      <c r="G655" s="11">
        <f>IF($A655&lt;&gt;"",IF(F655-E655=0,"tie",IF(F655-E655&gt;0,"+"&amp;F655-E655,"+"&amp;E655-F655)),"")</f>
        <v/>
      </c>
      <c r="H655" s="12">
        <f>if($A655&lt;&gt;"",if(B655&gt;C655,if(B655&lt;60,1,2),""),"")</f>
        <v/>
      </c>
      <c r="I655" s="12">
        <f>if($A655&lt;&gt;"",if(C655&gt;B655,if(C655&lt;60,1,2),""),"")</f>
        <v/>
      </c>
      <c r="J655" s="9">
        <f>if($A655&lt;&gt;"",J654+H655,"")</f>
        <v/>
      </c>
      <c r="K655" s="9">
        <f>if($A655&lt;&gt;"",K654+I655,"")</f>
        <v/>
      </c>
      <c r="L655" s="11">
        <f>IF($A655&lt;&gt;"",IF(K655-J655=0,"tie",IF(K655-J655&gt;0,"+"&amp;K655-J655,"+"&amp;J655-K655)),"")</f>
        <v/>
      </c>
      <c r="M655" s="17" t="n"/>
      <c r="N655" s="17" t="n"/>
      <c r="O655" s="17" t="n"/>
      <c r="P655" s="17" t="n"/>
      <c r="Q655" s="17" t="n"/>
      <c r="R655" s="17" t="n"/>
      <c r="S655" s="17" t="n"/>
    </row>
    <row r="656">
      <c r="A656" s="15" t="n">
        <v>44453</v>
      </c>
      <c r="B656" s="10" t="n">
        <v>30</v>
      </c>
      <c r="C656" s="9" t="n">
        <v>25</v>
      </c>
      <c r="D656" s="17" t="inlineStr">
        <is>
          <t>House of Pies, Hollywood</t>
        </is>
      </c>
      <c r="E656" s="9">
        <f>if($A656&lt;&gt;"",E655+B656,"")</f>
        <v/>
      </c>
      <c r="F656" s="10">
        <f>if($A656&lt;&gt;"",F655+C656,"")</f>
        <v/>
      </c>
      <c r="G656" s="11">
        <f>IF($A656&lt;&gt;"",IF(F656-E656=0,"tie",IF(F656-E656&gt;0,"+"&amp;F656-E656,"+"&amp;E656-F656)),"")</f>
        <v/>
      </c>
      <c r="H656" s="12">
        <f>if($A656&lt;&gt;"",if(B656&gt;C656,if(B656&lt;60,1,2),""),"")</f>
        <v/>
      </c>
      <c r="I656" s="12">
        <f>if($A656&lt;&gt;"",if(C656&gt;B656,if(C656&lt;60,1,2),""),"")</f>
        <v/>
      </c>
      <c r="J656" s="9">
        <f>if($A656&lt;&gt;"",J655+H656,"")</f>
        <v/>
      </c>
      <c r="K656" s="9">
        <f>if($A656&lt;&gt;"",K655+I656,"")</f>
        <v/>
      </c>
      <c r="L656" s="11">
        <f>IF($A656&lt;&gt;"",IF(K656-J656=0,"tie",IF(K656-J656&gt;0,"+"&amp;K656-J656,"+"&amp;J656-K656)),"")</f>
        <v/>
      </c>
      <c r="M656" s="17" t="n"/>
      <c r="N656" s="17" t="n"/>
      <c r="O656" s="17" t="n"/>
      <c r="P656" s="17" t="n"/>
      <c r="Q656" s="17" t="n"/>
      <c r="R656" s="17" t="n"/>
      <c r="S656" s="17" t="n"/>
    </row>
    <row r="657">
      <c r="A657" s="15" t="n">
        <v>44453</v>
      </c>
      <c r="B657" s="9" t="n">
        <v>25</v>
      </c>
      <c r="C657" s="10" t="n">
        <v>30</v>
      </c>
      <c r="D657" s="17" t="inlineStr">
        <is>
          <t>Preston Way</t>
        </is>
      </c>
      <c r="E657" s="9">
        <f>if($A657&lt;&gt;"",E656+B657,"")</f>
        <v/>
      </c>
      <c r="F657" s="10">
        <f>if($A657&lt;&gt;"",F656+C657,"")</f>
        <v/>
      </c>
      <c r="G657" s="11">
        <f>IF($A657&lt;&gt;"",IF(F657-E657=0,"tie",IF(F657-E657&gt;0,"+"&amp;F657-E657,"+"&amp;E657-F657)),"")</f>
        <v/>
      </c>
      <c r="H657" s="12">
        <f>if($A657&lt;&gt;"",if(B657&gt;C657,if(B657&lt;60,1,2),""),"")</f>
        <v/>
      </c>
      <c r="I657" s="12">
        <f>if($A657&lt;&gt;"",if(C657&gt;B657,if(C657&lt;60,1,2),""),"")</f>
        <v/>
      </c>
      <c r="J657" s="9">
        <f>if($A657&lt;&gt;"",J656+H657,"")</f>
        <v/>
      </c>
      <c r="K657" s="9">
        <f>if($A657&lt;&gt;"",K656+I657,"")</f>
        <v/>
      </c>
      <c r="L657" s="11">
        <f>IF($A657&lt;&gt;"",IF(K657-J657=0,"tie",IF(K657-J657&gt;0,"+"&amp;K657-J657,"+"&amp;J657-K657)),"")</f>
        <v/>
      </c>
      <c r="M657" s="17" t="n"/>
      <c r="N657" s="17" t="n"/>
      <c r="O657" s="17" t="n"/>
      <c r="P657" s="17" t="n"/>
      <c r="Q657" s="17" t="n"/>
      <c r="R657" s="17" t="n"/>
      <c r="S657" s="17" t="n"/>
    </row>
    <row r="658">
      <c r="A658" s="15" t="n">
        <v>44461</v>
      </c>
      <c r="B658" s="9" t="n">
        <v>25</v>
      </c>
      <c r="C658" s="10" t="n">
        <v>30</v>
      </c>
      <c r="D658" s="17" t="inlineStr">
        <is>
          <t>Preston Way</t>
        </is>
      </c>
      <c r="E658" s="9">
        <f>if($A658&lt;&gt;"",E657+B658,"")</f>
        <v/>
      </c>
      <c r="F658" s="10">
        <f>if($A658&lt;&gt;"",F657+C658,"")</f>
        <v/>
      </c>
      <c r="G658" s="11">
        <f>IF($A658&lt;&gt;"",IF(F658-E658=0,"tie",IF(F658-E658&gt;0,"+"&amp;F658-E658,"+"&amp;E658-F658)),"")</f>
        <v/>
      </c>
      <c r="H658" s="12">
        <f>if($A658&lt;&gt;"",if(B658&gt;C658,if(B658&lt;60,1,2),""),"")</f>
        <v/>
      </c>
      <c r="I658" s="12">
        <f>if($A658&lt;&gt;"",if(C658&gt;B658,if(C658&lt;60,1,2),""),"")</f>
        <v/>
      </c>
      <c r="J658" s="9">
        <f>if($A658&lt;&gt;"",J657+H658,"")</f>
        <v/>
      </c>
      <c r="K658" s="9">
        <f>if($A658&lt;&gt;"",K657+I658,"")</f>
        <v/>
      </c>
      <c r="L658" s="11">
        <f>IF($A658&lt;&gt;"",IF(K658-J658=0,"tie",IF(K658-J658&gt;0,"+"&amp;K658-J658,"+"&amp;J658-K658)),"")</f>
        <v/>
      </c>
      <c r="M658" s="17" t="n"/>
      <c r="N658" s="17" t="n"/>
      <c r="O658" s="17" t="n"/>
      <c r="P658" s="17" t="n"/>
      <c r="Q658" s="17" t="n"/>
      <c r="R658" s="17" t="n"/>
      <c r="S658" s="17" t="n"/>
    </row>
    <row r="659">
      <c r="A659" s="15" t="n">
        <v>44465</v>
      </c>
      <c r="B659" s="9" t="n">
        <v>25</v>
      </c>
      <c r="C659" s="10" t="n">
        <v>30</v>
      </c>
      <c r="D659" s="17" t="inlineStr">
        <is>
          <t>Preston Way</t>
        </is>
      </c>
      <c r="E659" s="9">
        <f>if($A659&lt;&gt;"",E658+B659,"")</f>
        <v/>
      </c>
      <c r="F659" s="10">
        <f>if($A659&lt;&gt;"",F658+C659,"")</f>
        <v/>
      </c>
      <c r="G659" s="11">
        <f>IF($A659&lt;&gt;"",IF(F659-E659=0,"tie",IF(F659-E659&gt;0,"+"&amp;F659-E659,"+"&amp;E659-F659)),"")</f>
        <v/>
      </c>
      <c r="H659" s="12">
        <f>if($A659&lt;&gt;"",if(B659&gt;C659,if(B659&lt;60,1,2),""),"")</f>
        <v/>
      </c>
      <c r="I659" s="12">
        <f>if($A659&lt;&gt;"",if(C659&gt;B659,if(C659&lt;60,1,2),""),"")</f>
        <v/>
      </c>
      <c r="J659" s="9">
        <f>if($A659&lt;&gt;"",J658+H659,"")</f>
        <v/>
      </c>
      <c r="K659" s="9">
        <f>if($A659&lt;&gt;"",K658+I659,"")</f>
        <v/>
      </c>
      <c r="L659" s="11">
        <f>IF($A659&lt;&gt;"",IF(K659-J659=0,"tie",IF(K659-J659&gt;0,"+"&amp;K659-J659,"+"&amp;J659-K659)),"")</f>
        <v/>
      </c>
      <c r="M659" s="17" t="n"/>
      <c r="N659" s="17" t="n"/>
      <c r="O659" s="17" t="n"/>
      <c r="P659" s="17" t="n"/>
      <c r="Q659" s="17" t="n"/>
      <c r="R659" s="17" t="n"/>
      <c r="S659" s="17" t="n"/>
    </row>
    <row r="660">
      <c r="A660" s="15" t="n">
        <v>44488</v>
      </c>
      <c r="B660" s="10" t="n">
        <v>30</v>
      </c>
      <c r="C660" s="9" t="n">
        <v>25</v>
      </c>
      <c r="D660" s="17" t="inlineStr">
        <is>
          <t>Hi Jolly BLM Campground, AZ</t>
        </is>
      </c>
      <c r="E660" s="9">
        <f>if($A660&lt;&gt;"",E659+B660,"")</f>
        <v/>
      </c>
      <c r="F660" s="10">
        <f>if($A660&lt;&gt;"",F659+C660,"")</f>
        <v/>
      </c>
      <c r="G660" s="11">
        <f>IF($A660&lt;&gt;"",IF(F660-E660=0,"tie",IF(F660-E660&gt;0,"+"&amp;F660-E660,"+"&amp;E660-F660)),"")</f>
        <v/>
      </c>
      <c r="H660" s="12">
        <f>if($A660&lt;&gt;"",if(B660&gt;C660,if(B660&lt;60,1,2),""),"")</f>
        <v/>
      </c>
      <c r="I660" s="12">
        <f>if($A660&lt;&gt;"",if(C660&gt;B660,if(C660&lt;60,1,2),""),"")</f>
        <v/>
      </c>
      <c r="J660" s="9">
        <f>if($A660&lt;&gt;"",J659+H660,"")</f>
        <v/>
      </c>
      <c r="K660" s="9">
        <f>if($A660&lt;&gt;"",K659+I660,"")</f>
        <v/>
      </c>
      <c r="L660" s="11">
        <f>IF($A660&lt;&gt;"",IF(K660-J660=0,"tie",IF(K660-J660&gt;0,"+"&amp;K660-J660,"+"&amp;J660-K660)),"")</f>
        <v/>
      </c>
      <c r="M660" s="17" t="n"/>
      <c r="N660" s="17" t="n"/>
      <c r="O660" s="17" t="n"/>
      <c r="P660" s="17" t="n"/>
      <c r="Q660" s="17" t="n"/>
      <c r="R660" s="17" t="n"/>
      <c r="S660" s="17" t="n"/>
    </row>
    <row r="661">
      <c r="A661" s="15" t="n">
        <v>44492</v>
      </c>
      <c r="B661" s="9" t="n">
        <v>25</v>
      </c>
      <c r="C661" s="10" t="n">
        <v>30</v>
      </c>
      <c r="D661" s="17" t="inlineStr">
        <is>
          <t>Verde Ranch, Park Verde, AZ</t>
        </is>
      </c>
      <c r="E661" s="9">
        <f>if($A661&lt;&gt;"",E660+B661,"")</f>
        <v/>
      </c>
      <c r="F661" s="10">
        <f>if($A661&lt;&gt;"",F660+C661,"")</f>
        <v/>
      </c>
      <c r="G661" s="11">
        <f>IF($A661&lt;&gt;"",IF(F661-E661=0,"tie",IF(F661-E661&gt;0,"+"&amp;F661-E661,"+"&amp;E661-F661)),"")</f>
        <v/>
      </c>
      <c r="H661" s="12">
        <f>if($A661&lt;&gt;"",if(B661&gt;C661,if(B661&lt;60,1,2),""),"")</f>
        <v/>
      </c>
      <c r="I661" s="12">
        <f>if($A661&lt;&gt;"",if(C661&gt;B661,if(C661&lt;60,1,2),""),"")</f>
        <v/>
      </c>
      <c r="J661" s="9">
        <f>if($A661&lt;&gt;"",J660+H661,"")</f>
        <v/>
      </c>
      <c r="K661" s="9">
        <f>if($A661&lt;&gt;"",K660+I661,"")</f>
        <v/>
      </c>
      <c r="L661" s="11">
        <f>IF($A661&lt;&gt;"",IF(K661-J661=0,"tie",IF(K661-J661&gt;0,"+"&amp;K661-J661,"+"&amp;J661-K661)),"")</f>
        <v/>
      </c>
      <c r="M661" s="17" t="n"/>
      <c r="N661" s="17" t="n"/>
      <c r="O661" s="17" t="n"/>
      <c r="P661" s="17" t="n"/>
      <c r="Q661" s="17" t="n"/>
      <c r="R661" s="17" t="n"/>
      <c r="S661" s="17" t="n"/>
    </row>
    <row r="662">
      <c r="A662" s="15" t="n">
        <v>44495</v>
      </c>
      <c r="B662" s="10" t="n">
        <v>30</v>
      </c>
      <c r="C662" s="9" t="n">
        <v>25</v>
      </c>
      <c r="D662" s="17" t="inlineStr">
        <is>
          <t>Cinder Hills (OHV) Flagstaff, AZ</t>
        </is>
      </c>
      <c r="E662" s="9">
        <f>if($A662&lt;&gt;"",E661+B662,"")</f>
        <v/>
      </c>
      <c r="F662" s="10">
        <f>if($A662&lt;&gt;"",F661+C662,"")</f>
        <v/>
      </c>
      <c r="G662" s="11">
        <f>IF($A662&lt;&gt;"",IF(F662-E662=0,"tie",IF(F662-E662&gt;0,"+"&amp;F662-E662,"+"&amp;E662-F662)),"")</f>
        <v/>
      </c>
      <c r="H662" s="12">
        <f>if($A662&lt;&gt;"",if(B662&gt;C662,if(B662&lt;60,1,2),""),"")</f>
        <v/>
      </c>
      <c r="I662" s="12">
        <f>if($A662&lt;&gt;"",if(C662&gt;B662,if(C662&lt;60,1,2),""),"")</f>
        <v/>
      </c>
      <c r="J662" s="9">
        <f>if($A662&lt;&gt;"",J661+H662,"")</f>
        <v/>
      </c>
      <c r="K662" s="9">
        <f>if($A662&lt;&gt;"",K661+I662,"")</f>
        <v/>
      </c>
      <c r="L662" s="11">
        <f>IF($A662&lt;&gt;"",IF(K662-J662=0,"tie",IF(K662-J662&gt;0,"+"&amp;K662-J662,"+"&amp;J662-K662)),"")</f>
        <v/>
      </c>
      <c r="M662" s="17" t="n"/>
      <c r="N662" s="17" t="n"/>
      <c r="O662" s="17" t="n"/>
      <c r="P662" s="17" t="n"/>
      <c r="Q662" s="17" t="n"/>
      <c r="R662" s="17" t="n"/>
      <c r="S662" s="17" t="n"/>
    </row>
    <row r="663">
      <c r="A663" s="15" t="n">
        <v>44496</v>
      </c>
      <c r="B663" s="10" t="n">
        <v>30</v>
      </c>
      <c r="C663" s="9" t="n">
        <v>25</v>
      </c>
      <c r="D663" s="17" t="inlineStr">
        <is>
          <t>Navaholand Resort, Tuba City, AZ</t>
        </is>
      </c>
      <c r="E663" s="9">
        <f>if($A663&lt;&gt;"",E662+B663,"")</f>
        <v/>
      </c>
      <c r="F663" s="10">
        <f>if($A663&lt;&gt;"",F662+C663,"")</f>
        <v/>
      </c>
      <c r="G663" s="11">
        <f>IF($A663&lt;&gt;"",IF(F663-E663=0,"tie",IF(F663-E663&gt;0,"+"&amp;F663-E663,"+"&amp;E663-F663)),"")</f>
        <v/>
      </c>
      <c r="H663" s="12">
        <f>if($A663&lt;&gt;"",if(B663&gt;C663,if(B663&lt;60,1,2),""),"")</f>
        <v/>
      </c>
      <c r="I663" s="12">
        <f>if($A663&lt;&gt;"",if(C663&gt;B663,if(C663&lt;60,1,2),""),"")</f>
        <v/>
      </c>
      <c r="J663" s="9">
        <f>if($A663&lt;&gt;"",J662+H663,"")</f>
        <v/>
      </c>
      <c r="K663" s="9">
        <f>if($A663&lt;&gt;"",K662+I663,"")</f>
        <v/>
      </c>
      <c r="L663" s="11">
        <f>IF($A663&lt;&gt;"",IF(K663-J663=0,"tie",IF(K663-J663&gt;0,"+"&amp;K663-J663,"+"&amp;J663-K663)),"")</f>
        <v/>
      </c>
      <c r="M663" s="17" t="n"/>
      <c r="N663" s="17" t="n"/>
      <c r="O663" s="17" t="n"/>
      <c r="P663" s="17" t="n"/>
      <c r="Q663" s="17" t="n"/>
      <c r="R663" s="17" t="n"/>
      <c r="S663" s="17" t="n"/>
    </row>
    <row r="664">
      <c r="A664" s="15" t="n">
        <v>44497</v>
      </c>
      <c r="B664" s="9" t="n">
        <v>25</v>
      </c>
      <c r="C664" s="10" t="n">
        <v>30</v>
      </c>
      <c r="D664" s="17" t="inlineStr">
        <is>
          <t>Goulding's Tesort and RV</t>
        </is>
      </c>
      <c r="E664" s="9">
        <f>if($A664&lt;&gt;"",E663+B664,"")</f>
        <v/>
      </c>
      <c r="F664" s="10">
        <f>if($A664&lt;&gt;"",F663+C664,"")</f>
        <v/>
      </c>
      <c r="G664" s="11">
        <f>IF($A664&lt;&gt;"",IF(F664-E664=0,"tie",IF(F664-E664&gt;0,"+"&amp;F664-E664,"+"&amp;E664-F664)),"")</f>
        <v/>
      </c>
      <c r="H664" s="12">
        <f>if($A664&lt;&gt;"",if(B664&gt;C664,if(B664&lt;60,1,2),""),"")</f>
        <v/>
      </c>
      <c r="I664" s="12">
        <f>if($A664&lt;&gt;"",if(C664&gt;B664,if(C664&lt;60,1,2),""),"")</f>
        <v/>
      </c>
      <c r="J664" s="9">
        <f>if($A664&lt;&gt;"",J663+H664,"")</f>
        <v/>
      </c>
      <c r="K664" s="9">
        <f>if($A664&lt;&gt;"",K663+I664,"")</f>
        <v/>
      </c>
      <c r="L664" s="11">
        <f>IF($A664&lt;&gt;"",IF(K664-J664=0,"tie",IF(K664-J664&gt;0,"+"&amp;K664-J664,"+"&amp;J664-K664)),"")</f>
        <v/>
      </c>
      <c r="M664" s="17" t="n"/>
      <c r="N664" s="17" t="n"/>
      <c r="O664" s="17" t="n"/>
      <c r="P664" s="17" t="n"/>
      <c r="Q664" s="17" t="n"/>
      <c r="R664" s="17" t="n"/>
      <c r="S664" s="17" t="n"/>
    </row>
    <row r="665">
      <c r="A665" s="15" t="n">
        <v>44499</v>
      </c>
      <c r="B665" s="10" t="n">
        <v>30</v>
      </c>
      <c r="C665" s="9" t="n">
        <v>25</v>
      </c>
      <c r="D665" s="17" t="inlineStr">
        <is>
          <t>Doc Martens, Taos, NM</t>
        </is>
      </c>
      <c r="E665" s="9">
        <f>if($A665&lt;&gt;"",E664+B665,"")</f>
        <v/>
      </c>
      <c r="F665" s="10">
        <f>if($A665&lt;&gt;"",F664+C665,"")</f>
        <v/>
      </c>
      <c r="G665" s="11">
        <f>IF($A665&lt;&gt;"",IF(F665-E665=0,"tie",IF(F665-E665&gt;0,"+"&amp;F665-E665,"+"&amp;E665-F665)),"")</f>
        <v/>
      </c>
      <c r="H665" s="12">
        <f>if($A665&lt;&gt;"",if(B665&gt;C665,if(B665&lt;60,1,2),""),"")</f>
        <v/>
      </c>
      <c r="I665" s="12">
        <f>if($A665&lt;&gt;"",if(C665&gt;B665,if(C665&lt;60,1,2),""),"")</f>
        <v/>
      </c>
      <c r="J665" s="9">
        <f>if($A665&lt;&gt;"",J664+H665,"")</f>
        <v/>
      </c>
      <c r="K665" s="9">
        <f>if($A665&lt;&gt;"",K664+I665,"")</f>
        <v/>
      </c>
      <c r="L665" s="11">
        <f>IF($A665&lt;&gt;"",IF(K665-J665=0,"tie",IF(K665-J665&gt;0,"+"&amp;K665-J665,"+"&amp;J665-K665)),"")</f>
        <v/>
      </c>
      <c r="M665" s="17" t="n"/>
      <c r="N665" s="17" t="n"/>
      <c r="O665" s="17" t="n"/>
      <c r="P665" s="17" t="n"/>
      <c r="Q665" s="17" t="n"/>
      <c r="R665" s="17" t="n"/>
      <c r="S665" s="17" t="n"/>
    </row>
    <row r="666">
      <c r="A666" s="15" t="n">
        <v>44500</v>
      </c>
      <c r="B666" s="9" t="n">
        <v>25</v>
      </c>
      <c r="C666" s="10" t="n">
        <v>30</v>
      </c>
      <c r="D666" s="17" t="inlineStr">
        <is>
          <t>Bent Street Deli &amp; Café, Taos, NM</t>
        </is>
      </c>
      <c r="E666" s="9">
        <f>if($A666&lt;&gt;"",E665+B666,"")</f>
        <v/>
      </c>
      <c r="F666" s="10">
        <f>if($A666&lt;&gt;"",F665+C666,"")</f>
        <v/>
      </c>
      <c r="G666" s="11">
        <f>IF($A666&lt;&gt;"",IF(F666-E666=0,"tie",IF(F666-E666&gt;0,"+"&amp;F666-E666,"+"&amp;E666-F666)),"")</f>
        <v/>
      </c>
      <c r="H666" s="12">
        <f>if($A666&lt;&gt;"",if(B666&gt;C666,if(B666&lt;60,1,2),""),"")</f>
        <v/>
      </c>
      <c r="I666" s="12">
        <f>if($A666&lt;&gt;"",if(C666&gt;B666,if(C666&lt;60,1,2),""),"")</f>
        <v/>
      </c>
      <c r="J666" s="9">
        <f>if($A666&lt;&gt;"",J665+H666,"")</f>
        <v/>
      </c>
      <c r="K666" s="9">
        <f>if($A666&lt;&gt;"",K665+I666,"")</f>
        <v/>
      </c>
      <c r="L666" s="11">
        <f>IF($A666&lt;&gt;"",IF(K666-J666=0,"tie",IF(K666-J666&gt;0,"+"&amp;K666-J666,"+"&amp;J666-K666)),"")</f>
        <v/>
      </c>
      <c r="M666" s="17" t="n"/>
      <c r="N666" s="17" t="n"/>
      <c r="O666" s="17" t="n"/>
      <c r="P666" s="17" t="n"/>
      <c r="Q666" s="17" t="n"/>
      <c r="R666" s="17" t="n"/>
      <c r="S666" s="17" t="n"/>
    </row>
    <row r="667">
      <c r="A667" s="15" t="n">
        <v>44502</v>
      </c>
      <c r="B667" s="9" t="n">
        <v>25</v>
      </c>
      <c r="C667" s="10" t="n">
        <v>30</v>
      </c>
      <c r="D667" s="17" t="inlineStr">
        <is>
          <t>Tomasito's, Santa Fe, NM</t>
        </is>
      </c>
      <c r="E667" s="9">
        <f>if($A667&lt;&gt;"",E666+B667,"")</f>
        <v/>
      </c>
      <c r="F667" s="10">
        <f>if($A667&lt;&gt;"",F666+C667,"")</f>
        <v/>
      </c>
      <c r="G667" s="11">
        <f>IF($A667&lt;&gt;"",IF(F667-E667=0,"tie",IF(F667-E667&gt;0,"+"&amp;F667-E667,"+"&amp;E667-F667)),"")</f>
        <v/>
      </c>
      <c r="H667" s="12">
        <f>if($A667&lt;&gt;"",if(B667&gt;C667,if(B667&lt;60,1,2),""),"")</f>
        <v/>
      </c>
      <c r="I667" s="12">
        <f>if($A667&lt;&gt;"",if(C667&gt;B667,if(C667&lt;60,1,2),""),"")</f>
        <v/>
      </c>
      <c r="J667" s="9">
        <f>if($A667&lt;&gt;"",J666+H667,"")</f>
        <v/>
      </c>
      <c r="K667" s="9">
        <f>if($A667&lt;&gt;"",K666+I667,"")</f>
        <v/>
      </c>
      <c r="L667" s="11">
        <f>IF($A667&lt;&gt;"",IF(K667-J667=0,"tie",IF(K667-J667&gt;0,"+"&amp;K667-J667,"+"&amp;J667-K667)),"")</f>
        <v/>
      </c>
      <c r="M667" s="17" t="n"/>
      <c r="N667" s="17" t="n"/>
      <c r="O667" s="17" t="n"/>
      <c r="P667" s="17" t="n"/>
      <c r="Q667" s="17" t="n"/>
      <c r="R667" s="17" t="n"/>
      <c r="S667" s="17" t="n"/>
    </row>
    <row r="668">
      <c r="A668" s="15" t="n">
        <v>44504</v>
      </c>
      <c r="B668" s="10" t="n">
        <v>30</v>
      </c>
      <c r="C668" s="9" t="n">
        <v>25</v>
      </c>
      <c r="D668" s="17" t="inlineStr">
        <is>
          <t>Hal Burns Truck, Santa Fe, NM</t>
        </is>
      </c>
      <c r="E668" s="9">
        <f>if($A668&lt;&gt;"",E667+B668,"")</f>
        <v/>
      </c>
      <c r="F668" s="10">
        <f>if($A668&lt;&gt;"",F667+C668,"")</f>
        <v/>
      </c>
      <c r="G668" s="11">
        <f>IF($A668&lt;&gt;"",IF(F668-E668=0,"tie",IF(F668-E668&gt;0,"+"&amp;F668-E668,"+"&amp;E668-F668)),"")</f>
        <v/>
      </c>
      <c r="H668" s="12">
        <f>if($A668&lt;&gt;"",if(B668&gt;C668,if(B668&lt;60,1,2),""),"")</f>
        <v/>
      </c>
      <c r="I668" s="12">
        <f>if($A668&lt;&gt;"",if(C668&gt;B668,if(C668&lt;60,1,2),""),"")</f>
        <v/>
      </c>
      <c r="J668" s="9">
        <f>if($A668&lt;&gt;"",J667+H668,"")</f>
        <v/>
      </c>
      <c r="K668" s="9">
        <f>if($A668&lt;&gt;"",K667+I668,"")</f>
        <v/>
      </c>
      <c r="L668" s="11">
        <f>IF($A668&lt;&gt;"",IF(K668-J668=0,"tie",IF(K668-J668&gt;0,"+"&amp;K668-J668,"+"&amp;J668-K668)),"")</f>
        <v/>
      </c>
      <c r="M668" s="17" t="n"/>
      <c r="N668" s="17" t="n"/>
      <c r="O668" s="17" t="n"/>
      <c r="P668" s="17" t="n"/>
      <c r="Q668" s="17" t="n"/>
      <c r="R668" s="17" t="n"/>
      <c r="S668" s="17" t="n"/>
    </row>
    <row r="669">
      <c r="A669" s="15" t="n">
        <v>44505</v>
      </c>
      <c r="B669" s="10" t="n">
        <v>30</v>
      </c>
      <c r="C669" s="9" t="n">
        <v>25</v>
      </c>
      <c r="D669" s="17" t="inlineStr">
        <is>
          <t>Plaza Cafe, Santa Fe, NM</t>
        </is>
      </c>
      <c r="E669" s="9">
        <f>if($A669&lt;&gt;"",E668+B669,"")</f>
        <v/>
      </c>
      <c r="F669" s="10">
        <f>if($A669&lt;&gt;"",F668+C669,"")</f>
        <v/>
      </c>
      <c r="G669" s="11">
        <f>IF($A669&lt;&gt;"",IF(F669-E669=0,"tie",IF(F669-E669&gt;0,"+"&amp;F669-E669,"+"&amp;E669-F669)),"")</f>
        <v/>
      </c>
      <c r="H669" s="12">
        <f>if($A669&lt;&gt;"",if(B669&gt;C669,if(B669&lt;60,1,2),""),"")</f>
        <v/>
      </c>
      <c r="I669" s="12">
        <f>if($A669&lt;&gt;"",if(C669&gt;B669,if(C669&lt;60,1,2),""),"")</f>
        <v/>
      </c>
      <c r="J669" s="9">
        <f>if($A669&lt;&gt;"",J668+H669,"")</f>
        <v/>
      </c>
      <c r="K669" s="9">
        <f>if($A669&lt;&gt;"",K668+I669,"")</f>
        <v/>
      </c>
      <c r="L669" s="11">
        <f>IF($A669&lt;&gt;"",IF(K669-J669=0,"tie",IF(K669-J669&gt;0,"+"&amp;K669-J669,"+"&amp;J669-K669)),"")</f>
        <v/>
      </c>
      <c r="M669" s="17" t="n"/>
      <c r="N669" s="17" t="n"/>
      <c r="O669" s="17" t="n"/>
      <c r="P669" s="17" t="n"/>
      <c r="Q669" s="17" t="n"/>
      <c r="R669" s="17" t="n"/>
      <c r="S669" s="17" t="n"/>
    </row>
    <row r="670">
      <c r="A670" s="15" t="n">
        <v>44506</v>
      </c>
      <c r="B670" s="9" t="n">
        <v>25</v>
      </c>
      <c r="C670" s="10" t="n">
        <v>30</v>
      </c>
      <c r="D670" s="17" t="inlineStr">
        <is>
          <t>French's Park, Santa Fe, NM</t>
        </is>
      </c>
      <c r="E670" s="9">
        <f>if($A670&lt;&gt;"",E669+B670,"")</f>
        <v/>
      </c>
      <c r="F670" s="10">
        <f>if($A670&lt;&gt;"",F669+C670,"")</f>
        <v/>
      </c>
      <c r="G670" s="11">
        <f>IF($A670&lt;&gt;"",IF(F670-E670=0,"tie",IF(F670-E670&gt;0,"+"&amp;F670-E670,"+"&amp;E670-F670)),"")</f>
        <v/>
      </c>
      <c r="H670" s="12">
        <f>if($A670&lt;&gt;"",if(B670&gt;C670,if(B670&lt;60,1,2),""),"")</f>
        <v/>
      </c>
      <c r="I670" s="12">
        <f>if($A670&lt;&gt;"",if(C670&gt;B670,if(C670&lt;60,1,2),""),"")</f>
        <v/>
      </c>
      <c r="J670" s="9">
        <f>if($A670&lt;&gt;"",J669+H670,"")</f>
        <v/>
      </c>
      <c r="K670" s="9">
        <f>if($A670&lt;&gt;"",K669+I670,"")</f>
        <v/>
      </c>
      <c r="L670" s="11">
        <f>IF($A670&lt;&gt;"",IF(K670-J670=0,"tie",IF(K670-J670&gt;0,"+"&amp;K670-J670,"+"&amp;J670-K670)),"")</f>
        <v/>
      </c>
      <c r="M670" s="17" t="n"/>
      <c r="N670" s="17" t="n"/>
      <c r="O670" s="17" t="n"/>
      <c r="P670" s="17" t="n"/>
      <c r="Q670" s="17" t="n"/>
      <c r="R670" s="17" t="n"/>
      <c r="S670" s="17" t="n"/>
    </row>
    <row r="671">
      <c r="A671" s="15" t="n">
        <v>44507</v>
      </c>
      <c r="B671" s="10" t="n">
        <v>30</v>
      </c>
      <c r="C671" s="9" t="n">
        <v>25</v>
      </c>
      <c r="D671" s="17" t="inlineStr">
        <is>
          <t>Dolina Cafe &amp; Bakery, Santa Fe, NM</t>
        </is>
      </c>
      <c r="E671" s="9">
        <f>if($A671&lt;&gt;"",E670+B671,"")</f>
        <v/>
      </c>
      <c r="F671" s="10">
        <f>if($A671&lt;&gt;"",F670+C671,"")</f>
        <v/>
      </c>
      <c r="G671" s="11">
        <f>IF($A671&lt;&gt;"",IF(F671-E671=0,"tie",IF(F671-E671&gt;0,"+"&amp;F671-E671,"+"&amp;E671-F671)),"")</f>
        <v/>
      </c>
      <c r="H671" s="12">
        <f>if($A671&lt;&gt;"",if(B671&gt;C671,if(B671&lt;60,1,2),""),"")</f>
        <v/>
      </c>
      <c r="I671" s="12">
        <f>if($A671&lt;&gt;"",if(C671&gt;B671,if(C671&lt;60,1,2),""),"")</f>
        <v/>
      </c>
      <c r="J671" s="9">
        <f>if($A671&lt;&gt;"",J670+H671,"")</f>
        <v/>
      </c>
      <c r="K671" s="9">
        <f>if($A671&lt;&gt;"",K670+I671,"")</f>
        <v/>
      </c>
      <c r="L671" s="11">
        <f>IF($A671&lt;&gt;"",IF(K671-J671=0,"tie",IF(K671-J671&gt;0,"+"&amp;K671-J671,"+"&amp;J671-K671)),"")</f>
        <v/>
      </c>
      <c r="M671" s="17" t="n"/>
      <c r="N671" s="17" t="n"/>
      <c r="O671" s="17" t="n"/>
      <c r="P671" s="17" t="n"/>
      <c r="Q671" s="17" t="n"/>
      <c r="R671" s="17" t="n"/>
      <c r="S671" s="17" t="n"/>
    </row>
    <row r="672">
      <c r="A672" s="15" t="n">
        <v>44509</v>
      </c>
      <c r="B672" s="9" t="n">
        <v>25</v>
      </c>
      <c r="C672" s="10" t="n">
        <v>30</v>
      </c>
      <c r="D672" s="17" t="inlineStr">
        <is>
          <t>Ranch House, Santa Fe, NM</t>
        </is>
      </c>
      <c r="E672" s="9">
        <f>if($A672&lt;&gt;"",E671+B672,"")</f>
        <v/>
      </c>
      <c r="F672" s="10">
        <f>if($A672&lt;&gt;"",F671+C672,"")</f>
        <v/>
      </c>
      <c r="G672" s="11">
        <f>IF($A672&lt;&gt;"",IF(F672-E672=0,"tie",IF(F672-E672&gt;0,"+"&amp;F672-E672,"+"&amp;E672-F672)),"")</f>
        <v/>
      </c>
      <c r="H672" s="12">
        <f>if($A672&lt;&gt;"",if(B672&gt;C672,if(B672&lt;60,1,2),""),"")</f>
        <v/>
      </c>
      <c r="I672" s="12">
        <f>if($A672&lt;&gt;"",if(C672&gt;B672,if(C672&lt;60,1,2),""),"")</f>
        <v/>
      </c>
      <c r="J672" s="9">
        <f>if($A672&lt;&gt;"",J671+H672,"")</f>
        <v/>
      </c>
      <c r="K672" s="9">
        <f>if($A672&lt;&gt;"",K671+I672,"")</f>
        <v/>
      </c>
      <c r="L672" s="11">
        <f>IF($A672&lt;&gt;"",IF(K672-J672=0,"tie",IF(K672-J672&gt;0,"+"&amp;K672-J672,"+"&amp;J672-K672)),"")</f>
        <v/>
      </c>
      <c r="M672" s="17" t="n"/>
      <c r="N672" s="17" t="n"/>
      <c r="O672" s="17" t="n"/>
      <c r="P672" s="17" t="n"/>
      <c r="Q672" s="17" t="n"/>
      <c r="R672" s="17" t="n"/>
      <c r="S672" s="17" t="n"/>
    </row>
    <row r="673">
      <c r="A673" s="15" t="n">
        <v>44511</v>
      </c>
      <c r="B673" s="9" t="n">
        <v>25</v>
      </c>
      <c r="C673" s="10" t="n">
        <v>30</v>
      </c>
      <c r="D673" s="17" t="inlineStr">
        <is>
          <t>Hal Burns Truck, Santa Fe, NM</t>
        </is>
      </c>
      <c r="E673" s="9">
        <f>if($A673&lt;&gt;"",E672+B673,"")</f>
        <v/>
      </c>
      <c r="F673" s="10">
        <f>if($A673&lt;&gt;"",F672+C673,"")</f>
        <v/>
      </c>
      <c r="G673" s="11">
        <f>IF($A673&lt;&gt;"",IF(F673-E673=0,"tie",IF(F673-E673&gt;0,"+"&amp;F673-E673,"+"&amp;E673-F673)),"")</f>
        <v/>
      </c>
      <c r="H673" s="12">
        <f>if($A673&lt;&gt;"",if(B673&gt;C673,if(B673&lt;60,1,2),""),"")</f>
        <v/>
      </c>
      <c r="I673" s="12">
        <f>if($A673&lt;&gt;"",if(C673&gt;B673,if(C673&lt;60,1,2),""),"")</f>
        <v/>
      </c>
      <c r="J673" s="9">
        <f>if($A673&lt;&gt;"",J672+H673,"")</f>
        <v/>
      </c>
      <c r="K673" s="9">
        <f>if($A673&lt;&gt;"",K672+I673,"")</f>
        <v/>
      </c>
      <c r="L673" s="11">
        <f>IF($A673&lt;&gt;"",IF(K673-J673=0,"tie",IF(K673-J673&gt;0,"+"&amp;K673-J673,"+"&amp;J673-K673)),"")</f>
        <v/>
      </c>
      <c r="M673" s="17" t="n"/>
      <c r="N673" s="17" t="n"/>
      <c r="O673" s="17" t="n"/>
      <c r="P673" s="17" t="n"/>
      <c r="Q673" s="17" t="n"/>
      <c r="R673" s="17" t="n"/>
      <c r="S673" s="17" t="n"/>
    </row>
    <row r="674">
      <c r="A674" s="15" t="n">
        <v>44513</v>
      </c>
      <c r="B674" s="10" t="n">
        <v>60</v>
      </c>
      <c r="C674" s="9" t="n">
        <v>50</v>
      </c>
      <c r="D674" s="17" t="inlineStr">
        <is>
          <t>Cow Girl, Santa Fe, NM</t>
        </is>
      </c>
      <c r="E674" s="9">
        <f>if($A674&lt;&gt;"",E673+B674,"")</f>
        <v/>
      </c>
      <c r="F674" s="10">
        <f>if($A674&lt;&gt;"",F673+C674,"")</f>
        <v/>
      </c>
      <c r="G674" s="11">
        <f>IF($A674&lt;&gt;"",IF(F674-E674=0,"tie",IF(F674-E674&gt;0,"+"&amp;F674-E674,"+"&amp;E674-F674)),"")</f>
        <v/>
      </c>
      <c r="H674" s="12">
        <f>if($A674&lt;&gt;"",if(B674&gt;C674,if(B674&lt;60,1,2),""),"")</f>
        <v/>
      </c>
      <c r="I674" s="12">
        <f>if($A674&lt;&gt;"",if(C674&gt;B674,if(C674&lt;60,1,2),""),"")</f>
        <v/>
      </c>
      <c r="J674" s="9">
        <f>if($A674&lt;&gt;"",J673+H674,"")</f>
        <v/>
      </c>
      <c r="K674" s="9">
        <f>if($A674&lt;&gt;"",K673+I674,"")</f>
        <v/>
      </c>
      <c r="L674" s="11">
        <f>IF($A674&lt;&gt;"",IF(K674-J674=0,"tie",IF(K674-J674&gt;0,"+"&amp;K674-J674,"+"&amp;J674-K674)),"")</f>
        <v/>
      </c>
      <c r="M674" s="17" t="n"/>
      <c r="N674" s="17" t="n"/>
      <c r="O674" s="17" t="n"/>
      <c r="P674" s="17" t="n"/>
      <c r="Q674" s="17" t="n"/>
      <c r="R674" s="17" t="n"/>
      <c r="S674" s="17" t="n"/>
    </row>
    <row r="675">
      <c r="A675" s="15" t="n">
        <v>44514</v>
      </c>
      <c r="B675" s="10" t="n">
        <v>60</v>
      </c>
      <c r="C675" s="9" t="n">
        <v>50</v>
      </c>
      <c r="D675" s="17" t="inlineStr">
        <is>
          <t>Hal Burns Truck, Santa Fe, NM</t>
        </is>
      </c>
      <c r="E675" s="9">
        <f>if($A675&lt;&gt;"",E674+B675,"")</f>
        <v/>
      </c>
      <c r="F675" s="10">
        <f>if($A675&lt;&gt;"",F674+C675,"")</f>
        <v/>
      </c>
      <c r="G675" s="11">
        <f>IF($A675&lt;&gt;"",IF(F675-E675=0,"tie",IF(F675-E675&gt;0,"+"&amp;F675-E675,"+"&amp;E675-F675)),"")</f>
        <v/>
      </c>
      <c r="H675" s="12">
        <f>if($A675&lt;&gt;"",if(B675&gt;C675,if(B675&lt;60,1,2),""),"")</f>
        <v/>
      </c>
      <c r="I675" s="12">
        <f>if($A675&lt;&gt;"",if(C675&gt;B675,if(C675&lt;60,1,2),""),"")</f>
        <v/>
      </c>
      <c r="J675" s="9">
        <f>if($A675&lt;&gt;"",J674+H675,"")</f>
        <v/>
      </c>
      <c r="K675" s="9">
        <f>if($A675&lt;&gt;"",K674+I675,"")</f>
        <v/>
      </c>
      <c r="L675" s="11">
        <f>IF($A675&lt;&gt;"",IF(K675-J675=0,"tie",IF(K675-J675&gt;0,"+"&amp;K675-J675,"+"&amp;J675-K675)),"")</f>
        <v/>
      </c>
      <c r="M675" s="17" t="n"/>
      <c r="N675" s="17" t="n"/>
      <c r="O675" s="17" t="n"/>
      <c r="P675" s="17" t="n"/>
      <c r="Q675" s="17" t="n"/>
      <c r="R675" s="17" t="n"/>
      <c r="S675" s="17" t="n"/>
    </row>
    <row r="676">
      <c r="A676" s="15" t="n">
        <v>44515</v>
      </c>
      <c r="B676" s="10" t="n">
        <v>30</v>
      </c>
      <c r="C676" s="9" t="n">
        <v>25</v>
      </c>
      <c r="D676" s="17" t="inlineStr">
        <is>
          <t>Hal Burns Truck, Santa Fe, NM</t>
        </is>
      </c>
      <c r="E676" s="9">
        <f>if($A676&lt;&gt;"",E675+B676,"")</f>
        <v/>
      </c>
      <c r="F676" s="10">
        <f>if($A676&lt;&gt;"",F675+C676,"")</f>
        <v/>
      </c>
      <c r="G676" s="11">
        <f>IF($A676&lt;&gt;"",IF(F676-E676=0,"tie",IF(F676-E676&gt;0,"+"&amp;F676-E676,"+"&amp;E676-F676)),"")</f>
        <v/>
      </c>
      <c r="H676" s="12">
        <f>if($A676&lt;&gt;"",if(B676&gt;C676,if(B676&lt;60,1,2),""),"")</f>
        <v/>
      </c>
      <c r="I676" s="12">
        <f>if($A676&lt;&gt;"",if(C676&gt;B676,if(C676&lt;60,1,2),""),"")</f>
        <v/>
      </c>
      <c r="J676" s="9">
        <f>if($A676&lt;&gt;"",J675+H676,"")</f>
        <v/>
      </c>
      <c r="K676" s="9">
        <f>if($A676&lt;&gt;"",K675+I676,"")</f>
        <v/>
      </c>
      <c r="L676" s="11">
        <f>IF($A676&lt;&gt;"",IF(K676-J676=0,"tie",IF(K676-J676&gt;0,"+"&amp;K676-J676,"+"&amp;J676-K676)),"")</f>
        <v/>
      </c>
      <c r="M676" s="17" t="n"/>
      <c r="N676" s="17" t="n"/>
      <c r="O676" s="17" t="n"/>
      <c r="P676" s="17" t="n"/>
      <c r="Q676" s="17" t="n"/>
      <c r="R676" s="17" t="n"/>
      <c r="S676" s="17" t="n"/>
    </row>
    <row r="677">
      <c r="A677" s="15" t="n">
        <v>44516</v>
      </c>
      <c r="B677" s="10" t="n">
        <v>30</v>
      </c>
      <c r="C677" s="9" t="n">
        <v>25</v>
      </c>
      <c r="D677" s="17" t="inlineStr">
        <is>
          <t>Lincoln County, NM</t>
        </is>
      </c>
      <c r="E677" s="9">
        <f>if($A677&lt;&gt;"",E676+B677,"")</f>
        <v/>
      </c>
      <c r="F677" s="10">
        <f>if($A677&lt;&gt;"",F676+C677,"")</f>
        <v/>
      </c>
      <c r="G677" s="11">
        <f>IF($A677&lt;&gt;"",IF(F677-E677=0,"tie",IF(F677-E677&gt;0,"+"&amp;F677-E677,"+"&amp;E677-F677)),"")</f>
        <v/>
      </c>
      <c r="H677" s="12">
        <f>if($A677&lt;&gt;"",if(B677&gt;C677,if(B677&lt;60,1,2),""),"")</f>
        <v/>
      </c>
      <c r="I677" s="12">
        <f>if($A677&lt;&gt;"",if(C677&gt;B677,if(C677&lt;60,1,2),""),"")</f>
        <v/>
      </c>
      <c r="J677" s="9">
        <f>if($A677&lt;&gt;"",J676+H677,"")</f>
        <v/>
      </c>
      <c r="K677" s="9">
        <f>if($A677&lt;&gt;"",K676+I677,"")</f>
        <v/>
      </c>
      <c r="L677" s="11">
        <f>IF($A677&lt;&gt;"",IF(K677-J677=0,"tie",IF(K677-J677&gt;0,"+"&amp;K677-J677,"+"&amp;J677-K677)),"")</f>
        <v/>
      </c>
      <c r="M677" s="17" t="n"/>
      <c r="N677" s="17" t="n"/>
      <c r="O677" s="17" t="n"/>
      <c r="P677" s="17" t="n"/>
      <c r="Q677" s="17" t="n"/>
      <c r="R677" s="17" t="n"/>
      <c r="S677" s="17" t="n"/>
    </row>
    <row r="678">
      <c r="A678" s="15" t="n">
        <v>44516</v>
      </c>
      <c r="B678" s="10" t="n">
        <v>30</v>
      </c>
      <c r="C678" s="9" t="n">
        <v>25</v>
      </c>
      <c r="D678" s="17" t="inlineStr">
        <is>
          <t>Oswald Vineyard, Brownfield, TX</t>
        </is>
      </c>
      <c r="E678" s="9">
        <f>if($A678&lt;&gt;"",E677+B678,"")</f>
        <v/>
      </c>
      <c r="F678" s="10">
        <f>if($A678&lt;&gt;"",F677+C678,"")</f>
        <v/>
      </c>
      <c r="G678" s="11">
        <f>IF($A678&lt;&gt;"",IF(F678-E678=0,"tie",IF(F678-E678&gt;0,"+"&amp;F678-E678,"+"&amp;E678-F678)),"")</f>
        <v/>
      </c>
      <c r="H678" s="12">
        <f>if($A678&lt;&gt;"",if(B678&gt;C678,if(B678&lt;60,1,2),""),"")</f>
        <v/>
      </c>
      <c r="I678" s="12">
        <f>if($A678&lt;&gt;"",if(C678&gt;B678,if(C678&lt;60,1,2),""),"")</f>
        <v/>
      </c>
      <c r="J678" s="9">
        <f>if($A678&lt;&gt;"",J677+H678,"")</f>
        <v/>
      </c>
      <c r="K678" s="9">
        <f>if($A678&lt;&gt;"",K677+I678,"")</f>
        <v/>
      </c>
      <c r="L678" s="11">
        <f>IF($A678&lt;&gt;"",IF(K678-J678=0,"tie",IF(K678-J678&gt;0,"+"&amp;K678-J678,"+"&amp;J678-K678)),"")</f>
        <v/>
      </c>
      <c r="M678" s="17" t="n"/>
      <c r="N678" s="17" t="n"/>
      <c r="O678" s="17" t="n"/>
      <c r="P678" s="17" t="n"/>
      <c r="Q678" s="17" t="n"/>
      <c r="R678" s="17" t="n"/>
      <c r="S678" s="17" t="n"/>
    </row>
    <row r="679">
      <c r="A679" s="15" t="n">
        <v>44516</v>
      </c>
      <c r="B679" s="9" t="n">
        <v>25</v>
      </c>
      <c r="C679" s="10" t="n">
        <v>30</v>
      </c>
      <c r="D679" s="17" t="inlineStr">
        <is>
          <t>Rosewell, NM</t>
        </is>
      </c>
      <c r="E679" s="9">
        <f>if($A679&lt;&gt;"",E678+B679,"")</f>
        <v/>
      </c>
      <c r="F679" s="10">
        <f>if($A679&lt;&gt;"",F678+C679,"")</f>
        <v/>
      </c>
      <c r="G679" s="11">
        <f>IF($A679&lt;&gt;"",IF(F679-E679=0,"tie",IF(F679-E679&gt;0,"+"&amp;F679-E679,"+"&amp;E679-F679)),"")</f>
        <v/>
      </c>
      <c r="H679" s="12">
        <f>if($A679&lt;&gt;"",if(B679&gt;C679,if(B679&lt;60,1,2),""),"")</f>
        <v/>
      </c>
      <c r="I679" s="12">
        <f>if($A679&lt;&gt;"",if(C679&gt;B679,if(C679&lt;60,1,2),""),"")</f>
        <v/>
      </c>
      <c r="J679" s="9">
        <f>if($A679&lt;&gt;"",J678+H679,"")</f>
        <v/>
      </c>
      <c r="K679" s="9">
        <f>if($A679&lt;&gt;"",K678+I679,"")</f>
        <v/>
      </c>
      <c r="L679" s="11">
        <f>IF($A679&lt;&gt;"",IF(K679-J679=0,"tie",IF(K679-J679&gt;0,"+"&amp;K679-J679,"+"&amp;J679-K679)),"")</f>
        <v/>
      </c>
      <c r="M679" s="17" t="n"/>
      <c r="N679" s="17" t="n"/>
      <c r="O679" s="17" t="n"/>
      <c r="P679" s="17" t="n"/>
      <c r="Q679" s="17" t="n"/>
      <c r="R679" s="17" t="n"/>
      <c r="S679" s="17" t="n"/>
    </row>
    <row r="680">
      <c r="A680" s="15" t="n">
        <v>44548</v>
      </c>
      <c r="B680" s="10" t="n">
        <v>30</v>
      </c>
      <c r="C680" s="9" t="n">
        <v>25</v>
      </c>
      <c r="D680" s="17" t="inlineStr">
        <is>
          <t>Preston Way</t>
        </is>
      </c>
      <c r="E680" s="9">
        <f>if($A680&lt;&gt;"",E679+B680,"")</f>
        <v/>
      </c>
      <c r="F680" s="10">
        <f>if($A680&lt;&gt;"",F679+C680,"")</f>
        <v/>
      </c>
      <c r="G680" s="11">
        <f>IF($A680&lt;&gt;"",IF(F680-E680=0,"tie",IF(F680-E680&gt;0,"+"&amp;F680-E680,"+"&amp;E680-F680)),"")</f>
        <v/>
      </c>
      <c r="H680" s="12">
        <f>if($A680&lt;&gt;"",if(B680&gt;C680,if(B680&lt;60,1,2),""),"")</f>
        <v/>
      </c>
      <c r="I680" s="12">
        <f>if($A680&lt;&gt;"",if(C680&gt;B680,if(C680&lt;60,1,2),""),"")</f>
        <v/>
      </c>
      <c r="J680" s="9">
        <f>if($A680&lt;&gt;"",J679+H680,"")</f>
        <v/>
      </c>
      <c r="K680" s="9">
        <f>if($A680&lt;&gt;"",K679+I680,"")</f>
        <v/>
      </c>
      <c r="L680" s="11">
        <f>IF($A680&lt;&gt;"",IF(K680-J680=0,"tie",IF(K680-J680&gt;0,"+"&amp;K680-J680,"+"&amp;J680-K680)),"")</f>
        <v/>
      </c>
      <c r="M680" s="17" t="n"/>
      <c r="N680" s="17" t="n"/>
      <c r="O680" s="17" t="n"/>
      <c r="P680" s="17" t="n"/>
      <c r="Q680" s="17" t="n"/>
      <c r="R680" s="17" t="n"/>
      <c r="S680" s="17" t="n"/>
    </row>
    <row r="681">
      <c r="A681" s="15" t="n">
        <v>44550</v>
      </c>
      <c r="B681" s="9" t="n">
        <v>50</v>
      </c>
      <c r="C681" s="10" t="n">
        <v>60</v>
      </c>
      <c r="D681" s="17" t="inlineStr">
        <is>
          <t>Mel's Diner, Santa Monica</t>
        </is>
      </c>
      <c r="E681" s="9">
        <f>if($A681&lt;&gt;"",E680+B681,"")</f>
        <v/>
      </c>
      <c r="F681" s="10">
        <f>if($A681&lt;&gt;"",F680+C681,"")</f>
        <v/>
      </c>
      <c r="G681" s="11">
        <f>IF($A681&lt;&gt;"",IF(F681-E681=0,"tie",IF(F681-E681&gt;0,"+"&amp;F681-E681,"+"&amp;E681-F681)),"")</f>
        <v/>
      </c>
      <c r="H681" s="12">
        <f>if($A681&lt;&gt;"",if(B681&gt;C681,if(B681&lt;60,1,2),""),"")</f>
        <v/>
      </c>
      <c r="I681" s="12">
        <f>if($A681&lt;&gt;"",if(C681&gt;B681,if(C681&lt;60,1,2),""),"")</f>
        <v/>
      </c>
      <c r="J681" s="9">
        <f>if($A681&lt;&gt;"",J680+H681,"")</f>
        <v/>
      </c>
      <c r="K681" s="9">
        <f>if($A681&lt;&gt;"",K680+I681,"")</f>
        <v/>
      </c>
      <c r="L681" s="11">
        <f>IF($A681&lt;&gt;"",IF(K681-J681=0,"tie",IF(K681-J681&gt;0,"+"&amp;K681-J681,"+"&amp;J681-K681)),"")</f>
        <v/>
      </c>
      <c r="M681" s="17" t="n"/>
      <c r="N681" s="17" t="n"/>
      <c r="O681" s="17" t="n"/>
      <c r="P681" s="17" t="n"/>
      <c r="Q681" s="17" t="n"/>
      <c r="R681" s="17" t="n"/>
      <c r="S681" s="17" t="n"/>
    </row>
    <row r="682">
      <c r="A682" s="15" t="n">
        <v>44558</v>
      </c>
      <c r="B682" s="9" t="n">
        <v>25</v>
      </c>
      <c r="C682" s="10" t="n">
        <v>30</v>
      </c>
      <c r="D682" s="17" t="inlineStr">
        <is>
          <t>Gold Sands Casino RV Park, Carson City, NV</t>
        </is>
      </c>
      <c r="E682" s="9">
        <f>if($A682&lt;&gt;"",E681+B682,"")</f>
        <v/>
      </c>
      <c r="F682" s="10">
        <f>if($A682&lt;&gt;"",F681+C682,"")</f>
        <v/>
      </c>
      <c r="G682" s="11">
        <f>IF($A682&lt;&gt;"",IF(F682-E682=0,"tie",IF(F682-E682&gt;0,"+"&amp;F682-E682,"+"&amp;E682-F682)),"")</f>
        <v/>
      </c>
      <c r="H682" s="12">
        <f>if($A682&lt;&gt;"",if(B682&gt;C682,if(B682&lt;60,1,2),""),"")</f>
        <v/>
      </c>
      <c r="I682" s="12">
        <f>if($A682&lt;&gt;"",if(C682&gt;B682,if(C682&lt;60,1,2),""),"")</f>
        <v/>
      </c>
      <c r="J682" s="9">
        <f>if($A682&lt;&gt;"",J681+H682,"")</f>
        <v/>
      </c>
      <c r="K682" s="9">
        <f>if($A682&lt;&gt;"",K681+I682,"")</f>
        <v/>
      </c>
      <c r="L682" s="11">
        <f>IF($A682&lt;&gt;"",IF(K682-J682=0,"tie",IF(K682-J682&gt;0,"+"&amp;K682-J682,"+"&amp;J682-K682)),"")</f>
        <v/>
      </c>
      <c r="M682" s="17" t="n"/>
      <c r="N682" s="17" t="n"/>
      <c r="O682" s="17" t="n"/>
      <c r="P682" s="17" t="n"/>
      <c r="Q682" s="17" t="n"/>
      <c r="R682" s="17" t="n"/>
      <c r="S682" s="17" t="n"/>
    </row>
    <row r="683">
      <c r="A683" s="15" t="n">
        <v>44559</v>
      </c>
      <c r="B683" s="10" t="n">
        <v>30</v>
      </c>
      <c r="C683" s="9" t="n">
        <v>25</v>
      </c>
      <c r="D683" s="17" t="inlineStr">
        <is>
          <t>Gold Sands Casino RV Park, Carson City, NV</t>
        </is>
      </c>
      <c r="E683" s="9">
        <f>if($A683&lt;&gt;"",E682+B683,"")</f>
        <v/>
      </c>
      <c r="F683" s="10">
        <f>if($A683&lt;&gt;"",F682+C683,"")</f>
        <v/>
      </c>
      <c r="G683" s="11">
        <f>IF($A683&lt;&gt;"",IF(F683-E683=0,"tie",IF(F683-E683&gt;0,"+"&amp;F683-E683,"+"&amp;E683-F683)),"")</f>
        <v/>
      </c>
      <c r="H683" s="12">
        <f>if($A683&lt;&gt;"",if(B683&gt;C683,if(B683&lt;60,1,2),""),"")</f>
        <v/>
      </c>
      <c r="I683" s="12">
        <f>if($A683&lt;&gt;"",if(C683&gt;B683,if(C683&lt;60,1,2),""),"")</f>
        <v/>
      </c>
      <c r="J683" s="9">
        <f>if($A683&lt;&gt;"",J682+H683,"")</f>
        <v/>
      </c>
      <c r="K683" s="9">
        <f>if($A683&lt;&gt;"",K682+I683,"")</f>
        <v/>
      </c>
      <c r="L683" s="11">
        <f>IF($A683&lt;&gt;"",IF(K683-J683=0,"tie",IF(K683-J683&gt;0,"+"&amp;K683-J683,"+"&amp;J683-K683)),"")</f>
        <v/>
      </c>
      <c r="M683" s="17" t="n"/>
      <c r="N683" s="17" t="n"/>
      <c r="O683" s="17" t="n"/>
      <c r="P683" s="17" t="n"/>
      <c r="Q683" s="17" t="n"/>
      <c r="R683" s="17" t="n"/>
      <c r="S683" s="17" t="n"/>
    </row>
    <row r="684">
      <c r="A684" s="15" t="n">
        <v>44560</v>
      </c>
      <c r="B684" s="9" t="n">
        <v>50</v>
      </c>
      <c r="C684" s="10" t="n">
        <v>60</v>
      </c>
      <c r="D684" s="17" t="inlineStr">
        <is>
          <t>Bishop, CA</t>
        </is>
      </c>
      <c r="E684" s="9">
        <f>if($A684&lt;&gt;"",E683+B684,"")</f>
        <v/>
      </c>
      <c r="F684" s="10">
        <f>if($A684&lt;&gt;"",F683+C684,"")</f>
        <v/>
      </c>
      <c r="G684" s="11">
        <f>IF($A684&lt;&gt;"",IF(F684-E684=0,"tie",IF(F684-E684&gt;0,"+"&amp;F684-E684,"+"&amp;E684-F684)),"")</f>
        <v/>
      </c>
      <c r="H684" s="12">
        <f>if($A684&lt;&gt;"",if(B684&gt;C684,if(B684&lt;60,1,2),""),"")</f>
        <v/>
      </c>
      <c r="I684" s="12">
        <f>if($A684&lt;&gt;"",if(C684&gt;B684,if(C684&lt;60,1,2),""),"")</f>
        <v/>
      </c>
      <c r="J684" s="9">
        <f>if($A684&lt;&gt;"",J683+H684,"")</f>
        <v/>
      </c>
      <c r="K684" s="9">
        <f>if($A684&lt;&gt;"",K683+I684,"")</f>
        <v/>
      </c>
      <c r="L684" s="11">
        <f>IF($A684&lt;&gt;"",IF(K684-J684=0,"tie",IF(K684-J684&gt;0,"+"&amp;K684-J684,"+"&amp;J684-K684)),"")</f>
        <v/>
      </c>
      <c r="M684" s="17" t="n"/>
      <c r="N684" s="17" t="n"/>
      <c r="O684" s="17" t="n"/>
      <c r="P684" s="17" t="n"/>
      <c r="Q684" s="17" t="n"/>
      <c r="R684" s="17" t="n"/>
      <c r="S684" s="17" t="n"/>
    </row>
    <row r="685">
      <c r="A685" s="15" t="n">
        <v>44564</v>
      </c>
      <c r="B685" s="10" t="n">
        <v>30</v>
      </c>
      <c r="C685" s="9" t="n">
        <v>25</v>
      </c>
      <c r="D685" s="17" t="n"/>
      <c r="E685" s="9">
        <f>if($A685&lt;&gt;"",E684+B685,"")</f>
        <v/>
      </c>
      <c r="F685" s="10">
        <f>if($A685&lt;&gt;"",F684+C685,"")</f>
        <v/>
      </c>
      <c r="G685" s="11">
        <f>IF($A685&lt;&gt;"",IF(F685-E685=0,"tie",IF(F685-E685&gt;0,"+"&amp;F685-E685,"+"&amp;E685-F685)),"")</f>
        <v/>
      </c>
      <c r="H685" s="12">
        <f>if($A685&lt;&gt;"",if(B685&gt;C685,if(B685&lt;60,1,2),""),"")</f>
        <v/>
      </c>
      <c r="I685" s="12">
        <f>if($A685&lt;&gt;"",if(C685&gt;B685,if(C685&lt;60,1,2),""),"")</f>
        <v/>
      </c>
      <c r="J685" s="9">
        <f>if($A685&lt;&gt;"",J684+H685,"")</f>
        <v/>
      </c>
      <c r="K685" s="9">
        <f>if($A685&lt;&gt;"",K684+I685,"")</f>
        <v/>
      </c>
      <c r="L685" s="11">
        <f>IF($A685&lt;&gt;"",IF(K685-J685=0,"tie",IF(K685-J685&gt;0,"+"&amp;K685-J685,"+"&amp;J685-K685)),"")</f>
        <v/>
      </c>
      <c r="M685" s="17" t="n"/>
      <c r="N685" s="17" t="n"/>
      <c r="O685" s="17" t="n"/>
      <c r="P685" s="17" t="n"/>
      <c r="Q685" s="17" t="n"/>
      <c r="R685" s="17" t="n"/>
      <c r="S685" s="17" t="n"/>
    </row>
    <row r="686">
      <c r="A686" s="15" t="n">
        <v>44592</v>
      </c>
      <c r="B686" s="9" t="n">
        <v>25</v>
      </c>
      <c r="C686" s="10" t="n">
        <v>30</v>
      </c>
      <c r="D686" s="17" t="n"/>
      <c r="E686" s="9">
        <f>if($A686&lt;&gt;"",E685+B686,"")</f>
        <v/>
      </c>
      <c r="F686" s="10">
        <f>if($A686&lt;&gt;"",F685+C686,"")</f>
        <v/>
      </c>
      <c r="G686" s="11">
        <f>IF($A686&lt;&gt;"",IF(F686-E686=0,"tie",IF(F686-E686&gt;0,"+"&amp;F686-E686,"+"&amp;E686-F686)),"")</f>
        <v/>
      </c>
      <c r="H686" s="12">
        <f>if($A686&lt;&gt;"",if(B686&gt;C686,if(B686&lt;60,1,2),""),"")</f>
        <v/>
      </c>
      <c r="I686" s="12">
        <f>if($A686&lt;&gt;"",if(C686&gt;B686,if(C686&lt;60,1,2),""),"")</f>
        <v/>
      </c>
      <c r="J686" s="9">
        <f>if($A686&lt;&gt;"",J685+H686,"")</f>
        <v/>
      </c>
      <c r="K686" s="9">
        <f>if($A686&lt;&gt;"",K685+I686,"")</f>
        <v/>
      </c>
      <c r="L686" s="11">
        <f>IF($A686&lt;&gt;"",IF(K686-J686=0,"tie",IF(K686-J686&gt;0,"+"&amp;K686-J686,"+"&amp;J686-K686)),"")</f>
        <v/>
      </c>
      <c r="M686" s="17" t="n"/>
      <c r="N686" s="17" t="n"/>
      <c r="O686" s="17" t="n"/>
      <c r="P686" s="17" t="n"/>
      <c r="Q686" s="17" t="n"/>
      <c r="R686" s="17" t="n"/>
      <c r="S686" s="17" t="n"/>
    </row>
    <row r="687">
      <c r="A687" s="15" t="n">
        <v>44598</v>
      </c>
      <c r="B687" s="9" t="n">
        <v>25</v>
      </c>
      <c r="C687" s="10" t="n">
        <v>30</v>
      </c>
      <c r="D687" s="17" t="inlineStr">
        <is>
          <t>Preston Way</t>
        </is>
      </c>
      <c r="E687" s="9">
        <f>if($A687&lt;&gt;"",E686+B687,"")</f>
        <v/>
      </c>
      <c r="F687" s="10">
        <f>if($A687&lt;&gt;"",F686+C687,"")</f>
        <v/>
      </c>
      <c r="G687" s="11">
        <f>IF($A687&lt;&gt;"",IF(F687-E687=0,"tie",IF(F687-E687&gt;0,"+"&amp;F687-E687,"+"&amp;E687-F687)),"")</f>
        <v/>
      </c>
      <c r="H687" s="12">
        <f>if($A687&lt;&gt;"",if(B687&gt;C687,if(B687&lt;60,1,2),""),"")</f>
        <v/>
      </c>
      <c r="I687" s="12">
        <f>if($A687&lt;&gt;"",if(C687&gt;B687,if(C687&lt;60,1,2),""),"")</f>
        <v/>
      </c>
      <c r="J687" s="9">
        <f>if($A687&lt;&gt;"",J686+H687,"")</f>
        <v/>
      </c>
      <c r="K687" s="9">
        <f>if($A687&lt;&gt;"",K686+I687,"")</f>
        <v/>
      </c>
      <c r="L687" s="11">
        <f>IF($A687&lt;&gt;"",IF(K687-J687=0,"tie",IF(K687-J687&gt;0,"+"&amp;K687-J687,"+"&amp;J687-K687)),"")</f>
        <v/>
      </c>
      <c r="M687" s="17" t="n"/>
      <c r="N687" s="17" t="n"/>
      <c r="O687" s="17" t="n"/>
      <c r="P687" s="17" t="n"/>
      <c r="Q687" s="17" t="n"/>
      <c r="R687" s="17" t="n"/>
      <c r="S687" s="17" t="n"/>
    </row>
    <row r="688">
      <c r="A688" s="15" t="n">
        <v>44599</v>
      </c>
      <c r="B688" s="10" t="n">
        <v>30</v>
      </c>
      <c r="C688" s="9" t="n">
        <v>25</v>
      </c>
      <c r="D688" s="17" t="inlineStr">
        <is>
          <t>Preston Way</t>
        </is>
      </c>
      <c r="E688" s="9">
        <f>if($A688&lt;&gt;"",E687+B688,"")</f>
        <v/>
      </c>
      <c r="F688" s="10">
        <f>if($A688&lt;&gt;"",F687+C688,"")</f>
        <v/>
      </c>
      <c r="G688" s="11">
        <f>IF($A688&lt;&gt;"",IF(F688-E688=0,"tie",IF(F688-E688&gt;0,"+"&amp;F688-E688,"+"&amp;E688-F688)),"")</f>
        <v/>
      </c>
      <c r="H688" s="12">
        <f>if($A688&lt;&gt;"",if(B688&gt;C688,if(B688&lt;60,1,2),""),"")</f>
        <v/>
      </c>
      <c r="I688" s="12">
        <f>if($A688&lt;&gt;"",if(C688&gt;B688,if(C688&lt;60,1,2),""),"")</f>
        <v/>
      </c>
      <c r="J688" s="9">
        <f>if($A688&lt;&gt;"",J687+H688,"")</f>
        <v/>
      </c>
      <c r="K688" s="9">
        <f>if($A688&lt;&gt;"",K687+I688,"")</f>
        <v/>
      </c>
      <c r="L688" s="11">
        <f>IF($A688&lt;&gt;"",IF(K688-J688=0,"tie",IF(K688-J688&gt;0,"+"&amp;K688-J688,"+"&amp;J688-K688)),"")</f>
        <v/>
      </c>
      <c r="M688" s="17" t="n"/>
      <c r="N688" s="17" t="n"/>
      <c r="O688" s="17" t="n"/>
      <c r="P688" s="17" t="n"/>
      <c r="Q688" s="17" t="n"/>
      <c r="R688" s="17" t="n"/>
      <c r="S688" s="17" t="n"/>
    </row>
    <row r="689">
      <c r="A689" s="15" t="n">
        <v>44607</v>
      </c>
      <c r="B689" s="9" t="n">
        <v>25</v>
      </c>
      <c r="C689" s="10" t="n">
        <v>30</v>
      </c>
      <c r="D689" s="17" t="n"/>
      <c r="E689" s="9">
        <f>if($A689&lt;&gt;"",E688+B689,"")</f>
        <v/>
      </c>
      <c r="F689" s="10">
        <f>if($A689&lt;&gt;"",F688+C689,"")</f>
        <v/>
      </c>
      <c r="G689" s="11">
        <f>IF($A689&lt;&gt;"",IF(F689-E689=0,"tie",IF(F689-E689&gt;0,"+"&amp;F689-E689,"+"&amp;E689-F689)),"")</f>
        <v/>
      </c>
      <c r="H689" s="12">
        <f>if($A689&lt;&gt;"",if(B689&gt;C689,if(B689&lt;60,1,2),""),"")</f>
        <v/>
      </c>
      <c r="I689" s="12">
        <f>if($A689&lt;&gt;"",if(C689&gt;B689,if(C689&lt;60,1,2),""),"")</f>
        <v/>
      </c>
      <c r="J689" s="9">
        <f>if($A689&lt;&gt;"",J688+H689,"")</f>
        <v/>
      </c>
      <c r="K689" s="9">
        <f>if($A689&lt;&gt;"",K688+I689,"")</f>
        <v/>
      </c>
      <c r="L689" s="11">
        <f>IF($A689&lt;&gt;"",IF(K689-J689=0,"tie",IF(K689-J689&gt;0,"+"&amp;K689-J689,"+"&amp;J689-K689)),"")</f>
        <v/>
      </c>
      <c r="M689" s="17" t="n"/>
      <c r="N689" s="17" t="n"/>
      <c r="O689" s="17" t="n"/>
      <c r="P689" s="17" t="n"/>
      <c r="Q689" s="17" t="n"/>
      <c r="R689" s="17" t="n"/>
      <c r="S689" s="17" t="n"/>
    </row>
    <row r="690">
      <c r="A690" s="15" t="n">
        <v>44609</v>
      </c>
      <c r="B690" s="9" t="n">
        <v>25</v>
      </c>
      <c r="C690" s="10" t="n">
        <v>30</v>
      </c>
      <c r="D690" s="17" t="inlineStr">
        <is>
          <t>Preston Way</t>
        </is>
      </c>
      <c r="E690" s="9">
        <f>if($A690&lt;&gt;"",E689+B690,"")</f>
        <v/>
      </c>
      <c r="F690" s="10">
        <f>if($A690&lt;&gt;"",F689+C690,"")</f>
        <v/>
      </c>
      <c r="G690" s="11">
        <f>IF($A690&lt;&gt;"",IF(F690-E690=0,"tie",IF(F690-E690&gt;0,"+"&amp;F690-E690,"+"&amp;E690-F690)),"")</f>
        <v/>
      </c>
      <c r="H690" s="12">
        <f>if($A690&lt;&gt;"",if(B690&gt;C690,if(B690&lt;60,1,2),""),"")</f>
        <v/>
      </c>
      <c r="I690" s="12">
        <f>if($A690&lt;&gt;"",if(C690&gt;B690,if(C690&lt;60,1,2),""),"")</f>
        <v/>
      </c>
      <c r="J690" s="9">
        <f>if($A690&lt;&gt;"",J689+H690,"")</f>
        <v/>
      </c>
      <c r="K690" s="9">
        <f>if($A690&lt;&gt;"",K689+I690,"")</f>
        <v/>
      </c>
      <c r="L690" s="11">
        <f>IF($A690&lt;&gt;"",IF(K690-J690=0,"tie",IF(K690-J690&gt;0,"+"&amp;K690-J690,"+"&amp;J690-K690)),"")</f>
        <v/>
      </c>
      <c r="M690" s="17" t="n"/>
      <c r="N690" s="17" t="n"/>
      <c r="O690" s="17" t="n"/>
      <c r="P690" s="17" t="n"/>
      <c r="Q690" s="17" t="n"/>
      <c r="R690" s="17" t="n"/>
      <c r="S690" s="17" t="n"/>
    </row>
    <row r="691">
      <c r="A691" s="15" t="n">
        <v>44617</v>
      </c>
      <c r="B691" s="9" t="n">
        <v>25</v>
      </c>
      <c r="C691" s="10" t="n">
        <v>30</v>
      </c>
      <c r="D691" s="17" t="inlineStr">
        <is>
          <t>Preston Way</t>
        </is>
      </c>
      <c r="E691" s="9">
        <f>if($A691&lt;&gt;"",E690+B691,"")</f>
        <v/>
      </c>
      <c r="F691" s="10">
        <f>if($A691&lt;&gt;"",F690+C691,"")</f>
        <v/>
      </c>
      <c r="G691" s="11">
        <f>IF($A691&lt;&gt;"",IF(F691-E691=0,"tie",IF(F691-E691&gt;0,"+"&amp;F691-E691,"+"&amp;E691-F691)),"")</f>
        <v/>
      </c>
      <c r="H691" s="12">
        <f>if($A691&lt;&gt;"",if(B691&gt;C691,if(B691&lt;60,1,2),""),"")</f>
        <v/>
      </c>
      <c r="I691" s="12">
        <f>if($A691&lt;&gt;"",if(C691&gt;B691,if(C691&lt;60,1,2),""),"")</f>
        <v/>
      </c>
      <c r="J691" s="9">
        <f>if($A691&lt;&gt;"",J690+H691,"")</f>
        <v/>
      </c>
      <c r="K691" s="9">
        <f>if($A691&lt;&gt;"",K690+I691,"")</f>
        <v/>
      </c>
      <c r="L691" s="11">
        <f>IF($A691&lt;&gt;"",IF(K691-J691=0,"tie",IF(K691-J691&gt;0,"+"&amp;K691-J691,"+"&amp;J691-K691)),"")</f>
        <v/>
      </c>
      <c r="M691" s="17" t="n"/>
      <c r="N691" s="17" t="n"/>
      <c r="O691" s="17" t="n"/>
      <c r="P691" s="17" t="n"/>
      <c r="Q691" s="17" t="n"/>
      <c r="R691" s="17" t="n"/>
      <c r="S691" s="17" t="n"/>
    </row>
    <row r="692">
      <c r="A692" s="15" t="n">
        <v>44623</v>
      </c>
      <c r="B692" s="9" t="n">
        <v>25</v>
      </c>
      <c r="C692" s="10" t="n">
        <v>30</v>
      </c>
      <c r="D692" s="17" t="inlineStr">
        <is>
          <t>Preston Way</t>
        </is>
      </c>
      <c r="E692" s="9">
        <f>if($A692&lt;&gt;"",E691+B692,"")</f>
        <v/>
      </c>
      <c r="F692" s="10">
        <f>if($A692&lt;&gt;"",F691+C692,"")</f>
        <v/>
      </c>
      <c r="G692" s="11">
        <f>IF($A692&lt;&gt;"",IF(F692-E692=0,"tie",IF(F692-E692&gt;0,"+"&amp;F692-E692,"+"&amp;E692-F692)),"")</f>
        <v/>
      </c>
      <c r="H692" s="12">
        <f>if($A692&lt;&gt;"",if(B692&gt;C692,if(B692&lt;60,1,2),""),"")</f>
        <v/>
      </c>
      <c r="I692" s="12">
        <f>if($A692&lt;&gt;"",if(C692&gt;B692,if(C692&lt;60,1,2),""),"")</f>
        <v/>
      </c>
      <c r="J692" s="9">
        <f>if($A692&lt;&gt;"",J691+H692,"")</f>
        <v/>
      </c>
      <c r="K692" s="9">
        <f>if($A692&lt;&gt;"",K691+I692,"")</f>
        <v/>
      </c>
      <c r="L692" s="11">
        <f>IF($A692&lt;&gt;"",IF(K692-J692=0,"tie",IF(K692-J692&gt;0,"+"&amp;K692-J692,"+"&amp;J692-K692)),"")</f>
        <v/>
      </c>
      <c r="M692" s="17" t="n"/>
      <c r="N692" s="17" t="n"/>
      <c r="O692" s="17" t="n"/>
      <c r="P692" s="17" t="n"/>
      <c r="Q692" s="17" t="n"/>
      <c r="R692" s="17" t="n"/>
      <c r="S692" s="17" t="n"/>
    </row>
    <row r="693">
      <c r="A693" s="15" t="n">
        <v>44624</v>
      </c>
      <c r="B693" s="9" t="n">
        <v>50</v>
      </c>
      <c r="C693" s="10" t="n">
        <v>60</v>
      </c>
      <c r="D693" s="17" t="inlineStr">
        <is>
          <t>Outrigger Tavern, San Clemente, CA</t>
        </is>
      </c>
      <c r="E693" s="9">
        <f>if($A693&lt;&gt;"",E692+B693,"")</f>
        <v/>
      </c>
      <c r="F693" s="10">
        <f>if($A693&lt;&gt;"",F692+C693,"")</f>
        <v/>
      </c>
      <c r="G693" s="11">
        <f>IF($A693&lt;&gt;"",IF(F693-E693=0,"tie",IF(F693-E693&gt;0,"+"&amp;F693-E693,"+"&amp;E693-F693)),"")</f>
        <v/>
      </c>
      <c r="H693" s="12">
        <f>if($A693&lt;&gt;"",if(B693&gt;C693,if(B693&lt;60,1,2),""),"")</f>
        <v/>
      </c>
      <c r="I693" s="12">
        <f>if($A693&lt;&gt;"",if(C693&gt;B693,if(C693&lt;60,1,2),""),"")</f>
        <v/>
      </c>
      <c r="J693" s="9">
        <f>if($A693&lt;&gt;"",J692+H693,"")</f>
        <v/>
      </c>
      <c r="K693" s="9">
        <f>if($A693&lt;&gt;"",K692+I693,"")</f>
        <v/>
      </c>
      <c r="L693" s="11">
        <f>IF($A693&lt;&gt;"",IF(K693-J693=0,"tie",IF(K693-J693&gt;0,"+"&amp;K693-J693,"+"&amp;J693-K693)),"")</f>
        <v/>
      </c>
      <c r="M693" s="17" t="n"/>
      <c r="N693" s="17" t="n"/>
      <c r="O693" s="17" t="n"/>
      <c r="P693" s="17" t="n"/>
      <c r="Q693" s="17" t="n"/>
      <c r="R693" s="17" t="n"/>
      <c r="S693" s="17" t="n"/>
    </row>
    <row r="694">
      <c r="A694" s="15" t="n">
        <v>44626</v>
      </c>
      <c r="B694" s="9" t="n">
        <v>25</v>
      </c>
      <c r="C694" s="10" t="n">
        <v>30</v>
      </c>
      <c r="D694" s="17" t="inlineStr">
        <is>
          <t>Preston Way</t>
        </is>
      </c>
      <c r="E694" s="9">
        <f>if($A694&lt;&gt;"",E693+B694,"")</f>
        <v/>
      </c>
      <c r="F694" s="10">
        <f>if($A694&lt;&gt;"",F693+C694,"")</f>
        <v/>
      </c>
      <c r="G694" s="11">
        <f>IF($A694&lt;&gt;"",IF(F694-E694=0,"tie",IF(F694-E694&gt;0,"+"&amp;F694-E694,"+"&amp;E694-F694)),"")</f>
        <v/>
      </c>
      <c r="H694" s="12">
        <f>if($A694&lt;&gt;"",if(B694&gt;C694,if(B694&lt;60,1,2),""),"")</f>
        <v/>
      </c>
      <c r="I694" s="12">
        <f>if($A694&lt;&gt;"",if(C694&gt;B694,if(C694&lt;60,1,2),""),"")</f>
        <v/>
      </c>
      <c r="J694" s="9">
        <f>if($A694&lt;&gt;"",J693+H694,"")</f>
        <v/>
      </c>
      <c r="K694" s="9">
        <f>if($A694&lt;&gt;"",K693+I694,"")</f>
        <v/>
      </c>
      <c r="L694" s="11">
        <f>IF($A694&lt;&gt;"",IF(K694-J694=0,"tie",IF(K694-J694&gt;0,"+"&amp;K694-J694,"+"&amp;J694-K694)),"")</f>
        <v/>
      </c>
      <c r="M694" s="17" t="n"/>
      <c r="N694" s="17" t="n"/>
      <c r="O694" s="17" t="n"/>
      <c r="P694" s="17" t="n"/>
      <c r="Q694" s="17" t="n"/>
      <c r="R694" s="17" t="n"/>
      <c r="S694" s="17" t="n"/>
    </row>
    <row r="695">
      <c r="A695" s="15" t="n">
        <v>44627</v>
      </c>
      <c r="B695" s="10" t="n">
        <v>30</v>
      </c>
      <c r="C695" s="9" t="n">
        <v>25</v>
      </c>
      <c r="D695" s="17" t="inlineStr">
        <is>
          <t>Preston Way</t>
        </is>
      </c>
      <c r="E695" s="9">
        <f>if($A695&lt;&gt;"",E694+B695,"")</f>
        <v/>
      </c>
      <c r="F695" s="10">
        <f>if($A695&lt;&gt;"",F694+C695,"")</f>
        <v/>
      </c>
      <c r="G695" s="11">
        <f>IF($A695&lt;&gt;"",IF(F695-E695=0,"tie",IF(F695-E695&gt;0,"+"&amp;F695-E695,"+"&amp;E695-F695)),"")</f>
        <v/>
      </c>
      <c r="H695" s="12">
        <f>if($A695&lt;&gt;"",if(B695&gt;C695,if(B695&lt;60,1,2),""),"")</f>
        <v/>
      </c>
      <c r="I695" s="12">
        <f>if($A695&lt;&gt;"",if(C695&gt;B695,if(C695&lt;60,1,2),""),"")</f>
        <v/>
      </c>
      <c r="J695" s="9">
        <f>if($A695&lt;&gt;"",J694+H695,"")</f>
        <v/>
      </c>
      <c r="K695" s="9">
        <f>if($A695&lt;&gt;"",K694+I695,"")</f>
        <v/>
      </c>
      <c r="L695" s="11">
        <f>IF($A695&lt;&gt;"",IF(K695-J695=0,"tie",IF(K695-J695&gt;0,"+"&amp;K695-J695,"+"&amp;J695-K695)),"")</f>
        <v/>
      </c>
      <c r="M695" s="17" t="n"/>
      <c r="N695" s="17" t="n"/>
      <c r="O695" s="17" t="n"/>
      <c r="P695" s="17" t="n"/>
      <c r="Q695" s="17" t="n"/>
      <c r="R695" s="17" t="n"/>
      <c r="S695" s="17" t="n"/>
    </row>
    <row r="696">
      <c r="A696" s="15" t="n">
        <v>44636</v>
      </c>
      <c r="B696" s="9" t="n">
        <v>25</v>
      </c>
      <c r="C696" s="10" t="n">
        <v>30</v>
      </c>
      <c r="D696" s="17" t="inlineStr">
        <is>
          <t>Preston Way</t>
        </is>
      </c>
      <c r="E696" s="9">
        <f>if($A696&lt;&gt;"",E695+B696,"")</f>
        <v/>
      </c>
      <c r="F696" s="10">
        <f>if($A696&lt;&gt;"",F695+C696,"")</f>
        <v/>
      </c>
      <c r="G696" s="11">
        <f>IF($A696&lt;&gt;"",IF(F696-E696=0,"tie",IF(F696-E696&gt;0,"+"&amp;F696-E696,"+"&amp;E696-F696)),"")</f>
        <v/>
      </c>
      <c r="H696" s="12">
        <f>if($A696&lt;&gt;"",if(B696&gt;C696,if(B696&lt;60,1,2),""),"")</f>
        <v/>
      </c>
      <c r="I696" s="12">
        <f>if($A696&lt;&gt;"",if(C696&gt;B696,if(C696&lt;60,1,2),""),"")</f>
        <v/>
      </c>
      <c r="J696" s="9">
        <f>if($A696&lt;&gt;"",J695+H696,"")</f>
        <v/>
      </c>
      <c r="K696" s="9">
        <f>if($A696&lt;&gt;"",K695+I696,"")</f>
        <v/>
      </c>
      <c r="L696" s="11">
        <f>IF($A696&lt;&gt;"",IF(K696-J696=0,"tie",IF(K696-J696&gt;0,"+"&amp;K696-J696,"+"&amp;J696-K696)),"")</f>
        <v/>
      </c>
      <c r="M696" s="17" t="n"/>
      <c r="N696" s="17" t="n"/>
      <c r="O696" s="17" t="n"/>
      <c r="P696" s="17" t="n"/>
      <c r="Q696" s="17" t="n"/>
      <c r="R696" s="17" t="n"/>
      <c r="S696" s="17" t="n"/>
    </row>
    <row r="697">
      <c r="A697" s="15" t="n">
        <v>44640</v>
      </c>
      <c r="B697" s="10" t="n">
        <v>30</v>
      </c>
      <c r="C697" s="9" t="n">
        <v>25</v>
      </c>
      <c r="D697" s="17" t="inlineStr">
        <is>
          <t>Preston Way</t>
        </is>
      </c>
      <c r="E697" s="9">
        <f>if($A697&lt;&gt;"",E696+B697,"")</f>
        <v/>
      </c>
      <c r="F697" s="10">
        <f>if($A697&lt;&gt;"",F696+C697,"")</f>
        <v/>
      </c>
      <c r="G697" s="11">
        <f>IF($A697&lt;&gt;"",IF(F697-E697=0,"tie",IF(F697-E697&gt;0,"+"&amp;F697-E697,"+"&amp;E697-F697)),"")</f>
        <v/>
      </c>
      <c r="H697" s="12">
        <f>if($A697&lt;&gt;"",if(B697&gt;C697,if(B697&lt;60,1,2),""),"")</f>
        <v/>
      </c>
      <c r="I697" s="12">
        <f>if($A697&lt;&gt;"",if(C697&gt;B697,if(C697&lt;60,1,2),""),"")</f>
        <v/>
      </c>
      <c r="J697" s="9">
        <f>if($A697&lt;&gt;"",J696+H697,"")</f>
        <v/>
      </c>
      <c r="K697" s="9">
        <f>if($A697&lt;&gt;"",K696+I697,"")</f>
        <v/>
      </c>
      <c r="L697" s="11">
        <f>IF($A697&lt;&gt;"",IF(K697-J697=0,"tie",IF(K697-J697&gt;0,"+"&amp;K697-J697,"+"&amp;J697-K697)),"")</f>
        <v/>
      </c>
      <c r="M697" s="17" t="n"/>
      <c r="N697" s="17" t="n"/>
      <c r="O697" s="17" t="n"/>
      <c r="P697" s="17" t="n"/>
      <c r="Q697" s="17" t="n"/>
      <c r="R697" s="17" t="n"/>
      <c r="S697" s="17" t="n"/>
    </row>
    <row r="698">
      <c r="A698" s="15" t="n">
        <v>44644</v>
      </c>
      <c r="B698" s="10" t="n">
        <v>30</v>
      </c>
      <c r="C698" s="9" t="n">
        <v>25</v>
      </c>
      <c r="D698" s="17" t="inlineStr">
        <is>
          <t>Preston Way</t>
        </is>
      </c>
      <c r="E698" s="9">
        <f>if($A698&lt;&gt;"",E697+B698,"")</f>
        <v/>
      </c>
      <c r="F698" s="10">
        <f>if($A698&lt;&gt;"",F697+C698,"")</f>
        <v/>
      </c>
      <c r="G698" s="11">
        <f>IF($A698&lt;&gt;"",IF(F698-E698=0,"tie",IF(F698-E698&gt;0,"+"&amp;F698-E698,"+"&amp;E698-F698)),"")</f>
        <v/>
      </c>
      <c r="H698" s="12">
        <f>if($A698&lt;&gt;"",if(B698&gt;C698,if(B698&lt;60,1,2),""),"")</f>
        <v/>
      </c>
      <c r="I698" s="12">
        <f>if($A698&lt;&gt;"",if(C698&gt;B698,if(C698&lt;60,1,2),""),"")</f>
        <v/>
      </c>
      <c r="J698" s="9">
        <f>if($A698&lt;&gt;"",J697+H698,"")</f>
        <v/>
      </c>
      <c r="K698" s="9">
        <f>if($A698&lt;&gt;"",K697+I698,"")</f>
        <v/>
      </c>
      <c r="L698" s="11">
        <f>IF($A698&lt;&gt;"",IF(K698-J698=0,"tie",IF(K698-J698&gt;0,"+"&amp;K698-J698,"+"&amp;J698-K698)),"")</f>
        <v/>
      </c>
      <c r="M698" s="17" t="n"/>
      <c r="N698" s="17" t="n"/>
      <c r="O698" s="17" t="n"/>
      <c r="P698" s="17" t="n"/>
      <c r="Q698" s="17" t="n"/>
      <c r="R698" s="17" t="n"/>
      <c r="S698" s="17" t="n"/>
    </row>
    <row r="699">
      <c r="A699" s="15" t="n">
        <v>44647</v>
      </c>
      <c r="B699" s="9" t="n">
        <v>25</v>
      </c>
      <c r="C699" s="10" t="n">
        <v>30</v>
      </c>
      <c r="D699" s="17" t="inlineStr">
        <is>
          <t>Preston Way</t>
        </is>
      </c>
      <c r="E699" s="9">
        <f>if($A699&lt;&gt;"",E698+B699,"")</f>
        <v/>
      </c>
      <c r="F699" s="10">
        <f>if($A699&lt;&gt;"",F698+C699,"")</f>
        <v/>
      </c>
      <c r="G699" s="11">
        <f>IF($A699&lt;&gt;"",IF(F699-E699=0,"tie",IF(F699-E699&gt;0,"+"&amp;F699-E699,"+"&amp;E699-F699)),"")</f>
        <v/>
      </c>
      <c r="H699" s="12">
        <f>if($A699&lt;&gt;"",if(B699&gt;C699,if(B699&lt;60,1,2),""),"")</f>
        <v/>
      </c>
      <c r="I699" s="12">
        <f>if($A699&lt;&gt;"",if(C699&gt;B699,if(C699&lt;60,1,2),""),"")</f>
        <v/>
      </c>
      <c r="J699" s="9">
        <f>if($A699&lt;&gt;"",J698+H699,"")</f>
        <v/>
      </c>
      <c r="K699" s="9">
        <f>if($A699&lt;&gt;"",K698+I699,"")</f>
        <v/>
      </c>
      <c r="L699" s="11">
        <f>IF($A699&lt;&gt;"",IF(K699-J699=0,"tie",IF(K699-J699&gt;0,"+"&amp;K699-J699,"+"&amp;J699-K699)),"")</f>
        <v/>
      </c>
      <c r="M699" s="17" t="n"/>
      <c r="N699" s="17" t="n"/>
      <c r="O699" s="17" t="n"/>
      <c r="P699" s="17" t="n"/>
      <c r="Q699" s="17" t="n"/>
      <c r="R699" s="17" t="n"/>
      <c r="S699" s="17" t="n"/>
    </row>
    <row r="700">
      <c r="A700" s="15" t="n">
        <v>44648</v>
      </c>
      <c r="B700" s="9" t="n">
        <v>25</v>
      </c>
      <c r="C700" s="10" t="n">
        <v>30</v>
      </c>
      <c r="D700" s="17" t="inlineStr">
        <is>
          <t>Preston Way</t>
        </is>
      </c>
      <c r="E700" s="9">
        <f>if($A700&lt;&gt;"",E699+B700,"")</f>
        <v/>
      </c>
      <c r="F700" s="10">
        <f>if($A700&lt;&gt;"",F699+C700,"")</f>
        <v/>
      </c>
      <c r="G700" s="11">
        <f>IF($A700&lt;&gt;"",IF(F700-E700=0,"tie",IF(F700-E700&gt;0,"+"&amp;F700-E700,"+"&amp;E700-F700)),"")</f>
        <v/>
      </c>
      <c r="H700" s="12">
        <f>if($A700&lt;&gt;"",if(B700&gt;C700,if(B700&lt;60,1,2),""),"")</f>
        <v/>
      </c>
      <c r="I700" s="12">
        <f>if($A700&lt;&gt;"",if(C700&gt;B700,if(C700&lt;60,1,2),""),"")</f>
        <v/>
      </c>
      <c r="J700" s="9">
        <f>if($A700&lt;&gt;"",J699+H700,"")</f>
        <v/>
      </c>
      <c r="K700" s="9">
        <f>if($A700&lt;&gt;"",K699+I700,"")</f>
        <v/>
      </c>
      <c r="L700" s="11">
        <f>IF($A700&lt;&gt;"",IF(K700-J700=0,"tie",IF(K700-J700&gt;0,"+"&amp;K700-J700,"+"&amp;J700-K700)),"")</f>
        <v/>
      </c>
      <c r="M700" s="17" t="n"/>
      <c r="N700" s="17" t="n"/>
      <c r="O700" s="17" t="n"/>
      <c r="P700" s="17" t="n"/>
      <c r="Q700" s="17" t="n"/>
      <c r="R700" s="17" t="n"/>
      <c r="S700" s="17" t="n"/>
    </row>
    <row r="701">
      <c r="A701" s="15" t="n">
        <v>44654</v>
      </c>
      <c r="B701" s="9" t="n">
        <v>50</v>
      </c>
      <c r="C701" s="10" t="n">
        <v>60</v>
      </c>
      <c r="D701" s="17" t="inlineStr">
        <is>
          <t>Preston Way</t>
        </is>
      </c>
      <c r="E701" s="9">
        <f>if($A701&lt;&gt;"",E700+B701,"")</f>
        <v/>
      </c>
      <c r="F701" s="10">
        <f>if($A701&lt;&gt;"",F700+C701,"")</f>
        <v/>
      </c>
      <c r="G701" s="11">
        <f>IF($A701&lt;&gt;"",IF(F701-E701=0,"tie",IF(F701-E701&gt;0,"+"&amp;F701-E701,"+"&amp;E701-F701)),"")</f>
        <v/>
      </c>
      <c r="H701" s="12">
        <f>if($A701&lt;&gt;"",if(B701&gt;C701,if(B701&lt;60,1,2),""),"")</f>
        <v/>
      </c>
      <c r="I701" s="12">
        <f>if($A701&lt;&gt;"",if(C701&gt;B701,if(C701&lt;60,1,2),""),"")</f>
        <v/>
      </c>
      <c r="J701" s="9">
        <f>if($A701&lt;&gt;"",J700+H701,"")</f>
        <v/>
      </c>
      <c r="K701" s="9">
        <f>if($A701&lt;&gt;"",K700+I701,"")</f>
        <v/>
      </c>
      <c r="L701" s="11">
        <f>IF($A701&lt;&gt;"",IF(K701-J701=0,"tie",IF(K701-J701&gt;0,"+"&amp;K701-J701,"+"&amp;J701-K701)),"")</f>
        <v/>
      </c>
      <c r="M701" s="17" t="n"/>
      <c r="N701" s="17" t="n"/>
      <c r="O701" s="17" t="n"/>
      <c r="P701" s="17" t="n"/>
      <c r="Q701" s="17" t="n"/>
      <c r="R701" s="17" t="n"/>
      <c r="S701" s="17" t="n"/>
    </row>
    <row r="702">
      <c r="A702" s="15" t="n">
        <v>44658</v>
      </c>
      <c r="B702" s="10" t="n">
        <v>30</v>
      </c>
      <c r="C702" s="9" t="n">
        <v>25</v>
      </c>
      <c r="D702" s="17" t="inlineStr">
        <is>
          <t>Preston Way</t>
        </is>
      </c>
      <c r="E702" s="9">
        <f>if($A702&lt;&gt;"",E701+B702,"")</f>
        <v/>
      </c>
      <c r="F702" s="10">
        <f>if($A702&lt;&gt;"",F701+C702,"")</f>
        <v/>
      </c>
      <c r="G702" s="11">
        <f>IF($A702&lt;&gt;"",IF(F702-E702=0,"tie",IF(F702-E702&gt;0,"+"&amp;F702-E702,"+"&amp;E702-F702)),"")</f>
        <v/>
      </c>
      <c r="H702" s="12">
        <f>if($A702&lt;&gt;"",if(B702&gt;C702,if(B702&lt;60,1,2),""),"")</f>
        <v/>
      </c>
      <c r="I702" s="12">
        <f>if($A702&lt;&gt;"",if(C702&gt;B702,if(C702&lt;60,1,2),""),"")</f>
        <v/>
      </c>
      <c r="J702" s="9">
        <f>if($A702&lt;&gt;"",J701+H702,"")</f>
        <v/>
      </c>
      <c r="K702" s="9">
        <f>if($A702&lt;&gt;"",K701+I702,"")</f>
        <v/>
      </c>
      <c r="L702" s="11">
        <f>IF($A702&lt;&gt;"",IF(K702-J702=0,"tie",IF(K702-J702&gt;0,"+"&amp;K702-J702,"+"&amp;J702-K702)),"")</f>
        <v/>
      </c>
      <c r="M702" s="17" t="n"/>
      <c r="N702" s="17" t="n"/>
      <c r="O702" s="17" t="n"/>
      <c r="P702" s="17" t="n"/>
      <c r="Q702" s="17" t="n"/>
      <c r="R702" s="17" t="n"/>
      <c r="S702" s="17" t="n"/>
    </row>
    <row r="703">
      <c r="A703" s="15" t="n">
        <v>44685</v>
      </c>
      <c r="B703" s="10" t="n">
        <v>30</v>
      </c>
      <c r="C703" s="9" t="n">
        <v>25</v>
      </c>
      <c r="D703" s="17" t="inlineStr">
        <is>
          <t>Preston Way</t>
        </is>
      </c>
      <c r="E703" s="9">
        <f>if($A703&lt;&gt;"",E702+B703,"")</f>
        <v/>
      </c>
      <c r="F703" s="10">
        <f>if($A703&lt;&gt;"",F702+C703,"")</f>
        <v/>
      </c>
      <c r="G703" s="11">
        <f>IF($A703&lt;&gt;"",IF(F703-E703=0,"tie",IF(F703-E703&gt;0,"+"&amp;F703-E703,"+"&amp;E703-F703)),"")</f>
        <v/>
      </c>
      <c r="H703" s="12">
        <f>if($A703&lt;&gt;"",if(B703&gt;C703,if(B703&lt;60,1,2),""),"")</f>
        <v/>
      </c>
      <c r="I703" s="12">
        <f>if($A703&lt;&gt;"",if(C703&gt;B703,if(C703&lt;60,1,2),""),"")</f>
        <v/>
      </c>
      <c r="J703" s="9">
        <f>if($A703&lt;&gt;"",J702+H703,"")</f>
        <v/>
      </c>
      <c r="K703" s="9">
        <f>if($A703&lt;&gt;"",K702+I703,"")</f>
        <v/>
      </c>
      <c r="L703" s="11">
        <f>IF($A703&lt;&gt;"",IF(K703-J703=0,"tie",IF(K703-J703&gt;0,"+"&amp;K703-J703,"+"&amp;J703-K703)),"")</f>
        <v/>
      </c>
      <c r="M703" s="17" t="n"/>
      <c r="N703" s="17" t="n"/>
      <c r="O703" s="17" t="n"/>
      <c r="P703" s="17" t="n"/>
      <c r="Q703" s="17" t="n"/>
      <c r="R703" s="17" t="n"/>
      <c r="S703" s="17" t="n"/>
    </row>
    <row r="704">
      <c r="A704" s="15" t="n">
        <v>44695</v>
      </c>
      <c r="B704" s="10" t="n">
        <v>30</v>
      </c>
      <c r="C704" s="9" t="n">
        <v>25</v>
      </c>
      <c r="D704" s="17" t="inlineStr">
        <is>
          <t>Hat, Lake Forest, CA</t>
        </is>
      </c>
      <c r="E704" s="9">
        <f>if($A704&lt;&gt;"",E703+B704,"")</f>
        <v/>
      </c>
      <c r="F704" s="10">
        <f>if($A704&lt;&gt;"",F703+C704,"")</f>
        <v/>
      </c>
      <c r="G704" s="11">
        <f>IF($A704&lt;&gt;"",IF(F704-E704=0,"tie",IF(F704-E704&gt;0,"+"&amp;F704-E704,"+"&amp;E704-F704)),"")</f>
        <v/>
      </c>
      <c r="H704" s="12">
        <f>if($A704&lt;&gt;"",if(B704&gt;C704,if(B704&lt;60,1,2),""),"")</f>
        <v/>
      </c>
      <c r="I704" s="12">
        <f>if($A704&lt;&gt;"",if(C704&gt;B704,if(C704&lt;60,1,2),""),"")</f>
        <v/>
      </c>
      <c r="J704" s="9">
        <f>if($A704&lt;&gt;"",J703+H704,"")</f>
        <v/>
      </c>
      <c r="K704" s="9">
        <f>if($A704&lt;&gt;"",K703+I704,"")</f>
        <v/>
      </c>
      <c r="L704" s="11">
        <f>IF($A704&lt;&gt;"",IF(K704-J704=0,"tie",IF(K704-J704&gt;0,"+"&amp;K704-J704,"+"&amp;J704-K704)),"")</f>
        <v/>
      </c>
      <c r="M704" s="17" t="n"/>
      <c r="N704" s="17" t="n"/>
      <c r="O704" s="17" t="n"/>
      <c r="P704" s="17" t="n"/>
      <c r="Q704" s="17" t="n"/>
      <c r="R704" s="17" t="n"/>
      <c r="S704" s="17" t="n"/>
    </row>
    <row r="705">
      <c r="A705" s="15" t="n">
        <v>44696</v>
      </c>
      <c r="B705" s="10" t="n">
        <v>30</v>
      </c>
      <c r="C705" s="9" t="n">
        <v>25</v>
      </c>
      <c r="D705" s="17" t="inlineStr">
        <is>
          <t>San Clemente, CA</t>
        </is>
      </c>
      <c r="E705" s="9">
        <f>if($A705&lt;&gt;"",E704+B705,"")</f>
        <v/>
      </c>
      <c r="F705" s="10">
        <f>if($A705&lt;&gt;"",F704+C705,"")</f>
        <v/>
      </c>
      <c r="G705" s="11">
        <f>IF($A705&lt;&gt;"",IF(F705-E705=0,"tie",IF(F705-E705&gt;0,"+"&amp;F705-E705,"+"&amp;E705-F705)),"")</f>
        <v/>
      </c>
      <c r="H705" s="12">
        <f>if($A705&lt;&gt;"",if(B705&gt;C705,if(B705&lt;60,1,2),""),"")</f>
        <v/>
      </c>
      <c r="I705" s="12">
        <f>if($A705&lt;&gt;"",if(C705&gt;B705,if(C705&lt;60,1,2),""),"")</f>
        <v/>
      </c>
      <c r="J705" s="9">
        <f>if($A705&lt;&gt;"",J704+H705,"")</f>
        <v/>
      </c>
      <c r="K705" s="9">
        <f>if($A705&lt;&gt;"",K704+I705,"")</f>
        <v/>
      </c>
      <c r="L705" s="11">
        <f>IF($A705&lt;&gt;"",IF(K705-J705=0,"tie",IF(K705-J705&gt;0,"+"&amp;K705-J705,"+"&amp;J705-K705)),"")</f>
        <v/>
      </c>
      <c r="M705" s="17" t="n"/>
      <c r="N705" s="17" t="n"/>
      <c r="O705" s="17" t="n"/>
      <c r="P705" s="17" t="n"/>
      <c r="Q705" s="17" t="n"/>
      <c r="R705" s="17" t="n"/>
      <c r="S705" s="17" t="n"/>
    </row>
    <row r="706">
      <c r="A706" s="15" t="n">
        <v>44698</v>
      </c>
      <c r="B706" s="10" t="n">
        <v>30</v>
      </c>
      <c r="C706" s="9" t="n">
        <v>25</v>
      </c>
      <c r="D706" s="17" t="inlineStr">
        <is>
          <t>Preston Way</t>
        </is>
      </c>
      <c r="E706" s="9">
        <f>if($A706&lt;&gt;"",E705+B706,"")</f>
        <v/>
      </c>
      <c r="F706" s="10">
        <f>if($A706&lt;&gt;"",F705+C706,"")</f>
        <v/>
      </c>
      <c r="G706" s="11">
        <f>IF($A706&lt;&gt;"",IF(F706-E706=0,"tie",IF(F706-E706&gt;0,"+"&amp;F706-E706,"+"&amp;E706-F706)),"")</f>
        <v/>
      </c>
      <c r="H706" s="12">
        <f>if($A706&lt;&gt;"",if(B706&gt;C706,if(B706&lt;60,1,2),""),"")</f>
        <v/>
      </c>
      <c r="I706" s="12">
        <f>if($A706&lt;&gt;"",if(C706&gt;B706,if(C706&lt;60,1,2),""),"")</f>
        <v/>
      </c>
      <c r="J706" s="9">
        <f>if($A706&lt;&gt;"",J705+H706,"")</f>
        <v/>
      </c>
      <c r="K706" s="9">
        <f>if($A706&lt;&gt;"",K705+I706,"")</f>
        <v/>
      </c>
      <c r="L706" s="11">
        <f>IF($A706&lt;&gt;"",IF(K706-J706=0,"tie",IF(K706-J706&gt;0,"+"&amp;K706-J706,"+"&amp;J706-K706)),"")</f>
        <v/>
      </c>
      <c r="M706" s="17" t="n"/>
      <c r="N706" s="17" t="n"/>
      <c r="O706" s="17" t="n"/>
      <c r="P706" s="17" t="n"/>
      <c r="Q706" s="17" t="n"/>
      <c r="R706" s="17" t="n"/>
      <c r="S706" s="17" t="n"/>
    </row>
    <row r="707">
      <c r="A707" s="15" t="n">
        <v>44699</v>
      </c>
      <c r="B707" s="9" t="n">
        <v>50</v>
      </c>
      <c r="C707" s="10" t="n">
        <v>60</v>
      </c>
      <c r="D707" s="17" t="inlineStr">
        <is>
          <t>Yardhouse, MDR</t>
        </is>
      </c>
      <c r="E707" s="9">
        <f>if($A707&lt;&gt;"",E706+B707,"")</f>
        <v/>
      </c>
      <c r="F707" s="10">
        <f>if($A707&lt;&gt;"",F706+C707,"")</f>
        <v/>
      </c>
      <c r="G707" s="11">
        <f>IF($A707&lt;&gt;"",IF(F707-E707=0,"tie",IF(F707-E707&gt;0,"+"&amp;F707-E707,"+"&amp;E707-F707)),"")</f>
        <v/>
      </c>
      <c r="H707" s="12">
        <f>if($A707&lt;&gt;"",if(B707&gt;C707,if(B707&lt;60,1,2),""),"")</f>
        <v/>
      </c>
      <c r="I707" s="12">
        <f>if($A707&lt;&gt;"",if(C707&gt;B707,if(C707&lt;60,1,2),""),"")</f>
        <v/>
      </c>
      <c r="J707" s="9">
        <f>if($A707&lt;&gt;"",J706+H707,"")</f>
        <v/>
      </c>
      <c r="K707" s="9">
        <f>if($A707&lt;&gt;"",K706+I707,"")</f>
        <v/>
      </c>
      <c r="L707" s="11">
        <f>IF($A707&lt;&gt;"",IF(K707-J707=0,"tie",IF(K707-J707&gt;0,"+"&amp;K707-J707,"+"&amp;J707-K707)),"")</f>
        <v/>
      </c>
      <c r="M707" s="17" t="n"/>
      <c r="N707" s="17" t="n"/>
      <c r="O707" s="17" t="n"/>
      <c r="P707" s="17" t="n"/>
      <c r="Q707" s="17" t="n"/>
      <c r="R707" s="17" t="n"/>
      <c r="S707" s="17" t="n"/>
    </row>
    <row r="708">
      <c r="A708" s="15" t="n">
        <v>44705</v>
      </c>
      <c r="B708" s="9" t="n">
        <v>25</v>
      </c>
      <c r="C708" s="10" t="n">
        <v>30</v>
      </c>
      <c r="D708" s="17" t="inlineStr">
        <is>
          <t>Preston Way</t>
        </is>
      </c>
      <c r="E708" s="9">
        <f>if($A708&lt;&gt;"",E707+B708,"")</f>
        <v/>
      </c>
      <c r="F708" s="10">
        <f>if($A708&lt;&gt;"",F707+C708,"")</f>
        <v/>
      </c>
      <c r="G708" s="11">
        <f>IF($A708&lt;&gt;"",IF(F708-E708=0,"tie",IF(F708-E708&gt;0,"+"&amp;F708-E708,"+"&amp;E708-F708)),"")</f>
        <v/>
      </c>
      <c r="H708" s="12">
        <f>if($A708&lt;&gt;"",if(B708&gt;C708,if(B708&lt;60,1,2),""),"")</f>
        <v/>
      </c>
      <c r="I708" s="12">
        <f>if($A708&lt;&gt;"",if(C708&gt;B708,if(C708&lt;60,1,2),""),"")</f>
        <v/>
      </c>
      <c r="J708" s="9">
        <f>if($A708&lt;&gt;"",J707+H708,"")</f>
        <v/>
      </c>
      <c r="K708" s="9">
        <f>if($A708&lt;&gt;"",K707+I708,"")</f>
        <v/>
      </c>
      <c r="L708" s="11">
        <f>IF($A708&lt;&gt;"",IF(K708-J708=0,"tie",IF(K708-J708&gt;0,"+"&amp;K708-J708,"+"&amp;J708-K708)),"")</f>
        <v/>
      </c>
      <c r="M708" s="17" t="n"/>
      <c r="N708" s="17" t="n"/>
      <c r="O708" s="17" t="n"/>
      <c r="P708" s="17" t="n"/>
      <c r="Q708" s="17" t="n"/>
      <c r="R708" s="17" t="n"/>
      <c r="S708" s="17" t="n"/>
    </row>
    <row r="709">
      <c r="A709" s="15" t="n">
        <v>44725</v>
      </c>
      <c r="B709" s="10" t="n">
        <v>30</v>
      </c>
      <c r="C709" s="9" t="n">
        <v>25</v>
      </c>
      <c r="D709" s="17" t="inlineStr">
        <is>
          <t>Preston Way</t>
        </is>
      </c>
      <c r="E709" s="9">
        <f>if($A709&lt;&gt;"",E708+B709,"")</f>
        <v/>
      </c>
      <c r="F709" s="10">
        <f>if($A709&lt;&gt;"",F708+C709,"")</f>
        <v/>
      </c>
      <c r="G709" s="11">
        <f>IF($A709&lt;&gt;"",IF(F709-E709=0,"tie",IF(F709-E709&gt;0,"+"&amp;F709-E709,"+"&amp;E709-F709)),"")</f>
        <v/>
      </c>
      <c r="H709" s="12">
        <f>if($A709&lt;&gt;"",if(B709&gt;C709,if(B709&lt;60,1,2),""),"")</f>
        <v/>
      </c>
      <c r="I709" s="12">
        <f>if($A709&lt;&gt;"",if(C709&gt;B709,if(C709&lt;60,1,2),""),"")</f>
        <v/>
      </c>
      <c r="J709" s="9">
        <f>if($A709&lt;&gt;"",J708+H709,"")</f>
        <v/>
      </c>
      <c r="K709" s="9">
        <f>if($A709&lt;&gt;"",K708+I709,"")</f>
        <v/>
      </c>
      <c r="L709" s="11">
        <f>IF($A709&lt;&gt;"",IF(K709-J709=0,"tie",IF(K709-J709&gt;0,"+"&amp;K709-J709,"+"&amp;J709-K709)),"")</f>
        <v/>
      </c>
      <c r="M709" s="17" t="n"/>
      <c r="N709" s="17" t="n"/>
      <c r="O709" s="17" t="n"/>
      <c r="P709" s="17" t="n"/>
      <c r="Q709" s="17" t="n"/>
      <c r="R709" s="17" t="n"/>
      <c r="S709" s="17" t="n"/>
    </row>
    <row r="710">
      <c r="A710" s="15" t="n">
        <v>44725</v>
      </c>
      <c r="B710" s="10" t="n">
        <v>30</v>
      </c>
      <c r="C710" s="9" t="n">
        <v>25</v>
      </c>
      <c r="D710" s="17" t="inlineStr">
        <is>
          <t>Preston Way</t>
        </is>
      </c>
      <c r="E710" s="9">
        <f>if($A710&lt;&gt;"",E709+B710,"")</f>
        <v/>
      </c>
      <c r="F710" s="10">
        <f>if($A710&lt;&gt;"",F709+C710,"")</f>
        <v/>
      </c>
      <c r="G710" s="11">
        <f>IF($A710&lt;&gt;"",IF(F710-E710=0,"tie",IF(F710-E710&gt;0,"+"&amp;F710-E710,"+"&amp;E710-F710)),"")</f>
        <v/>
      </c>
      <c r="H710" s="12">
        <f>if($A710&lt;&gt;"",if(B710&gt;C710,if(B710&lt;60,1,2),""),"")</f>
        <v/>
      </c>
      <c r="I710" s="12">
        <f>if($A710&lt;&gt;"",if(C710&gt;B710,if(C710&lt;60,1,2),""),"")</f>
        <v/>
      </c>
      <c r="J710" s="9">
        <f>if($A710&lt;&gt;"",J709+H710,"")</f>
        <v/>
      </c>
      <c r="K710" s="9">
        <f>if($A710&lt;&gt;"",K709+I710,"")</f>
        <v/>
      </c>
      <c r="L710" s="11">
        <f>IF($A710&lt;&gt;"",IF(K710-J710=0,"tie",IF(K710-J710&gt;0,"+"&amp;K710-J710,"+"&amp;J710-K710)),"")</f>
        <v/>
      </c>
      <c r="M710" s="17" t="n"/>
      <c r="N710" s="17" t="n"/>
      <c r="O710" s="17" t="n"/>
      <c r="P710" s="17" t="n"/>
      <c r="Q710" s="17" t="n"/>
      <c r="R710" s="17" t="n"/>
      <c r="S710" s="17" t="n"/>
    </row>
    <row r="711">
      <c r="A711" s="15" t="n">
        <v>44730</v>
      </c>
      <c r="B711" s="9" t="n">
        <v>25</v>
      </c>
      <c r="C711" s="10" t="n">
        <v>30</v>
      </c>
      <c r="D711" s="17" t="inlineStr">
        <is>
          <t>Neptunes Net, Malibu</t>
        </is>
      </c>
      <c r="E711" s="9">
        <f>if($A711&lt;&gt;"",E710+B711,"")</f>
        <v/>
      </c>
      <c r="F711" s="10">
        <f>if($A711&lt;&gt;"",F710+C711,"")</f>
        <v/>
      </c>
      <c r="G711" s="11">
        <f>IF($A711&lt;&gt;"",IF(F711-E711=0,"tie",IF(F711-E711&gt;0,"+"&amp;F711-E711,"+"&amp;E711-F711)),"")</f>
        <v/>
      </c>
      <c r="H711" s="12">
        <f>if($A711&lt;&gt;"",if(B711&gt;C711,if(B711&lt;60,1,2),""),"")</f>
        <v/>
      </c>
      <c r="I711" s="12">
        <f>if($A711&lt;&gt;"",if(C711&gt;B711,if(C711&lt;60,1,2),""),"")</f>
        <v/>
      </c>
      <c r="J711" s="9">
        <f>if($A711&lt;&gt;"",J710+H711,"")</f>
        <v/>
      </c>
      <c r="K711" s="9">
        <f>if($A711&lt;&gt;"",K710+I711,"")</f>
        <v/>
      </c>
      <c r="L711" s="11">
        <f>IF($A711&lt;&gt;"",IF(K711-J711=0,"tie",IF(K711-J711&gt;0,"+"&amp;K711-J711,"+"&amp;J711-K711)),"")</f>
        <v/>
      </c>
      <c r="M711" s="17" t="n"/>
      <c r="N711" s="17" t="n"/>
      <c r="O711" s="17" t="n"/>
      <c r="P711" s="17" t="n"/>
      <c r="Q711" s="17" t="n"/>
      <c r="R711" s="17" t="n"/>
      <c r="S711" s="17" t="n"/>
    </row>
    <row r="712">
      <c r="A712" s="15" t="n">
        <v>44733</v>
      </c>
      <c r="B712" s="9" t="n">
        <v>25</v>
      </c>
      <c r="C712" s="10" t="n">
        <v>30</v>
      </c>
      <c r="D712" s="17" t="inlineStr">
        <is>
          <t>Preston Way</t>
        </is>
      </c>
      <c r="E712" s="9">
        <f>if($A712&lt;&gt;"",E711+B712,"")</f>
        <v/>
      </c>
      <c r="F712" s="10">
        <f>if($A712&lt;&gt;"",F711+C712,"")</f>
        <v/>
      </c>
      <c r="G712" s="11">
        <f>IF($A712&lt;&gt;"",IF(F712-E712=0,"tie",IF(F712-E712&gt;0,"+"&amp;F712-E712,"+"&amp;E712-F712)),"")</f>
        <v/>
      </c>
      <c r="H712" s="12">
        <f>if($A712&lt;&gt;"",if(B712&gt;C712,if(B712&lt;60,1,2),""),"")</f>
        <v/>
      </c>
      <c r="I712" s="12">
        <f>if($A712&lt;&gt;"",if(C712&gt;B712,if(C712&lt;60,1,2),""),"")</f>
        <v/>
      </c>
      <c r="J712" s="9">
        <f>if($A712&lt;&gt;"",J711+H712,"")</f>
        <v/>
      </c>
      <c r="K712" s="9">
        <f>if($A712&lt;&gt;"",K711+I712,"")</f>
        <v/>
      </c>
      <c r="L712" s="11">
        <f>IF($A712&lt;&gt;"",IF(K712-J712=0,"tie",IF(K712-J712&gt;0,"+"&amp;K712-J712,"+"&amp;J712-K712)),"")</f>
        <v/>
      </c>
      <c r="M712" s="17" t="n"/>
      <c r="N712" s="17" t="n"/>
      <c r="O712" s="17" t="n"/>
      <c r="P712" s="17" t="n"/>
      <c r="Q712" s="17" t="n"/>
      <c r="R712" s="17" t="n"/>
      <c r="S712" s="17" t="n"/>
    </row>
    <row r="713">
      <c r="A713" s="15" t="n">
        <v>44741</v>
      </c>
      <c r="B713" s="10" t="n">
        <v>30</v>
      </c>
      <c r="C713" s="9" t="n">
        <v>25</v>
      </c>
      <c r="D713" s="17" t="inlineStr">
        <is>
          <t>Zinque, Venice</t>
        </is>
      </c>
      <c r="E713" s="9">
        <f>if($A713&lt;&gt;"",E712+B713,"")</f>
        <v/>
      </c>
      <c r="F713" s="10">
        <f>if($A713&lt;&gt;"",F712+C713,"")</f>
        <v/>
      </c>
      <c r="G713" s="11">
        <f>IF($A713&lt;&gt;"",IF(F713-E713=0,"tie",IF(F713-E713&gt;0,"+"&amp;F713-E713,"+"&amp;E713-F713)),"")</f>
        <v/>
      </c>
      <c r="H713" s="12">
        <f>if($A713&lt;&gt;"",if(B713&gt;C713,if(B713&lt;60,1,2),""),"")</f>
        <v/>
      </c>
      <c r="I713" s="12">
        <f>if($A713&lt;&gt;"",if(C713&gt;B713,if(C713&lt;60,1,2),""),"")</f>
        <v/>
      </c>
      <c r="J713" s="9">
        <f>if($A713&lt;&gt;"",J712+H713,"")</f>
        <v/>
      </c>
      <c r="K713" s="9">
        <f>if($A713&lt;&gt;"",K712+I713,"")</f>
        <v/>
      </c>
      <c r="L713" s="11">
        <f>IF($A713&lt;&gt;"",IF(K713-J713=0,"tie",IF(K713-J713&gt;0,"+"&amp;K713-J713,"+"&amp;J713-K713)),"")</f>
        <v/>
      </c>
      <c r="M713" s="17" t="n"/>
      <c r="N713" s="17" t="n"/>
      <c r="O713" s="17" t="n"/>
      <c r="P713" s="17" t="n"/>
      <c r="Q713" s="17" t="n"/>
      <c r="R713" s="17" t="n"/>
      <c r="S713" s="17" t="n"/>
    </row>
    <row r="714">
      <c r="A714" s="15" t="n">
        <v>44746</v>
      </c>
      <c r="B714" s="10" t="n">
        <v>60</v>
      </c>
      <c r="C714" s="9" t="n">
        <v>50</v>
      </c>
      <c r="D714" s="17" t="inlineStr">
        <is>
          <t>Preston Way</t>
        </is>
      </c>
      <c r="E714" s="9">
        <f>if($A714&lt;&gt;"",E713+B714,"")</f>
        <v/>
      </c>
      <c r="F714" s="10">
        <f>if($A714&lt;&gt;"",F713+C714,"")</f>
        <v/>
      </c>
      <c r="G714" s="11">
        <f>IF($A714&lt;&gt;"",IF(F714-E714=0,"tie",IF(F714-E714&gt;0,"+"&amp;F714-E714,"+"&amp;E714-F714)),"")</f>
        <v/>
      </c>
      <c r="H714" s="12">
        <f>if($A714&lt;&gt;"",if(B714&gt;C714,if(B714&lt;60,1,2),""),"")</f>
        <v/>
      </c>
      <c r="I714" s="12">
        <f>if($A714&lt;&gt;"",if(C714&gt;B714,if(C714&lt;60,1,2),""),"")</f>
        <v/>
      </c>
      <c r="J714" s="9">
        <f>if($A714&lt;&gt;"",J713+H714,"")</f>
        <v/>
      </c>
      <c r="K714" s="9">
        <f>if($A714&lt;&gt;"",K713+I714,"")</f>
        <v/>
      </c>
      <c r="L714" s="11">
        <f>IF($A714&lt;&gt;"",IF(K714-J714=0,"tie",IF(K714-J714&gt;0,"+"&amp;K714-J714,"+"&amp;J714-K714)),"")</f>
        <v/>
      </c>
      <c r="M714" s="17" t="n"/>
      <c r="N714" s="17" t="n"/>
      <c r="O714" s="17" t="n"/>
      <c r="P714" s="17" t="n"/>
      <c r="Q714" s="17" t="n"/>
      <c r="R714" s="17" t="n"/>
      <c r="S714" s="17" t="n"/>
    </row>
    <row r="715">
      <c r="A715" s="15" t="n">
        <v>44759</v>
      </c>
      <c r="B715" s="9" t="n">
        <v>25</v>
      </c>
      <c r="C715" s="10" t="n">
        <v>30</v>
      </c>
      <c r="D715" s="17" t="inlineStr">
        <is>
          <t>Preston Way</t>
        </is>
      </c>
      <c r="E715" s="9">
        <f>if($A715&lt;&gt;"",E714+B715,"")</f>
        <v/>
      </c>
      <c r="F715" s="10">
        <f>if($A715&lt;&gt;"",F714+C715,"")</f>
        <v/>
      </c>
      <c r="G715" s="11">
        <f>IF($A715&lt;&gt;"",IF(F715-E715=0,"tie",IF(F715-E715&gt;0,"+"&amp;F715-E715,"+"&amp;E715-F715)),"")</f>
        <v/>
      </c>
      <c r="H715" s="12">
        <f>if($A715&lt;&gt;"",if(B715&gt;C715,if(B715&lt;60,1,2),""),"")</f>
        <v/>
      </c>
      <c r="I715" s="12">
        <f>if($A715&lt;&gt;"",if(C715&gt;B715,if(C715&lt;60,1,2),""),"")</f>
        <v/>
      </c>
      <c r="J715" s="9">
        <f>if($A715&lt;&gt;"",J714+H715,"")</f>
        <v/>
      </c>
      <c r="K715" s="9">
        <f>if($A715&lt;&gt;"",K714+I715,"")</f>
        <v/>
      </c>
      <c r="L715" s="11">
        <f>IF($A715&lt;&gt;"",IF(K715-J715=0,"tie",IF(K715-J715&gt;0,"+"&amp;K715-J715,"+"&amp;J715-K715)),"")</f>
        <v/>
      </c>
      <c r="M715" s="17" t="n"/>
      <c r="N715" s="17" t="n"/>
      <c r="O715" s="17" t="n"/>
      <c r="P715" s="17" t="n"/>
      <c r="Q715" s="17" t="n"/>
      <c r="R715" s="17" t="n"/>
      <c r="S715" s="17" t="n"/>
    </row>
    <row r="716">
      <c r="A716" s="15" t="n">
        <v>44762</v>
      </c>
      <c r="B716" s="10" t="n">
        <v>30</v>
      </c>
      <c r="C716" s="9" t="n">
        <v>25</v>
      </c>
      <c r="D716" s="17" t="inlineStr">
        <is>
          <t>Denny's, Grapevine, CA</t>
        </is>
      </c>
      <c r="E716" s="9">
        <f>if($A716&lt;&gt;"",E715+B716,"")</f>
        <v/>
      </c>
      <c r="F716" s="10">
        <f>if($A716&lt;&gt;"",F715+C716,"")</f>
        <v/>
      </c>
      <c r="G716" s="11">
        <f>IF($A716&lt;&gt;"",IF(F716-E716=0,"tie",IF(F716-E716&gt;0,"+"&amp;F716-E716,"+"&amp;E716-F716)),"")</f>
        <v/>
      </c>
      <c r="H716" s="12">
        <f>if($A716&lt;&gt;"",if(B716&gt;C716,if(B716&lt;60,1,2),""),"")</f>
        <v/>
      </c>
      <c r="I716" s="12">
        <f>if($A716&lt;&gt;"",if(C716&gt;B716,if(C716&lt;60,1,2),""),"")</f>
        <v/>
      </c>
      <c r="J716" s="9">
        <f>if($A716&lt;&gt;"",J715+H716,"")</f>
        <v/>
      </c>
      <c r="K716" s="9">
        <f>if($A716&lt;&gt;"",K715+I716,"")</f>
        <v/>
      </c>
      <c r="L716" s="11">
        <f>IF($A716&lt;&gt;"",IF(K716-J716=0,"tie",IF(K716-J716&gt;0,"+"&amp;K716-J716,"+"&amp;J716-K716)),"")</f>
        <v/>
      </c>
      <c r="M716" s="17" t="n"/>
      <c r="N716" s="17" t="n"/>
      <c r="O716" s="17" t="n"/>
      <c r="P716" s="17" t="n"/>
      <c r="Q716" s="17" t="n"/>
      <c r="R716" s="17" t="n"/>
      <c r="S716" s="17" t="n"/>
    </row>
    <row r="717">
      <c r="A717" s="15" t="n">
        <v>44763</v>
      </c>
      <c r="B717" s="10" t="n">
        <v>30</v>
      </c>
      <c r="C717" s="9" t="n">
        <v>25</v>
      </c>
      <c r="D717" s="17" t="inlineStr">
        <is>
          <t>Moose Lodge, SLT</t>
        </is>
      </c>
      <c r="E717" s="9">
        <f>if($A717&lt;&gt;"",E716+B717,"")</f>
        <v/>
      </c>
      <c r="F717" s="10">
        <f>if($A717&lt;&gt;"",F716+C717,"")</f>
        <v/>
      </c>
      <c r="G717" s="11">
        <f>IF($A717&lt;&gt;"",IF(F717-E717=0,"tie",IF(F717-E717&gt;0,"+"&amp;F717-E717,"+"&amp;E717-F717)),"")</f>
        <v/>
      </c>
      <c r="H717" s="12">
        <f>if($A717&lt;&gt;"",if(B717&gt;C717,if(B717&lt;60,1,2),""),"")</f>
        <v/>
      </c>
      <c r="I717" s="12">
        <f>if($A717&lt;&gt;"",if(C717&gt;B717,if(C717&lt;60,1,2),""),"")</f>
        <v/>
      </c>
      <c r="J717" s="9">
        <f>if($A717&lt;&gt;"",J716+H717,"")</f>
        <v/>
      </c>
      <c r="K717" s="9">
        <f>if($A717&lt;&gt;"",K716+I717,"")</f>
        <v/>
      </c>
      <c r="L717" s="11">
        <f>IF($A717&lt;&gt;"",IF(K717-J717=0,"tie",IF(K717-J717&gt;0,"+"&amp;K717-J717,"+"&amp;J717-K717)),"")</f>
        <v/>
      </c>
      <c r="M717" s="17" t="n"/>
      <c r="N717" s="17" t="n"/>
      <c r="O717" s="17" t="n"/>
      <c r="P717" s="17" t="n"/>
      <c r="Q717" s="17" t="n"/>
      <c r="R717" s="17" t="n"/>
      <c r="S717" s="17" t="n"/>
    </row>
    <row r="718">
      <c r="A718" s="15" t="n">
        <v>44766</v>
      </c>
      <c r="B718" s="10" t="n">
        <v>60</v>
      </c>
      <c r="C718" s="9" t="n">
        <v>50</v>
      </c>
      <c r="D718" s="17" t="inlineStr">
        <is>
          <t>Lake Baron</t>
        </is>
      </c>
      <c r="E718" s="9">
        <f>if($A718&lt;&gt;"",E717+B718,"")</f>
        <v/>
      </c>
      <c r="F718" s="10">
        <f>if($A718&lt;&gt;"",F717+C718,"")</f>
        <v/>
      </c>
      <c r="G718" s="11">
        <f>IF($A718&lt;&gt;"",IF(F718-E718=0,"tie",IF(F718-E718&gt;0,"+"&amp;F718-E718,"+"&amp;E718-F718)),"")</f>
        <v/>
      </c>
      <c r="H718" s="12">
        <f>if($A718&lt;&gt;"",if(B718&gt;C718,if(B718&lt;60,1,2),""),"")</f>
        <v/>
      </c>
      <c r="I718" s="12">
        <f>if($A718&lt;&gt;"",if(C718&gt;B718,if(C718&lt;60,1,2),""),"")</f>
        <v/>
      </c>
      <c r="J718" s="9">
        <f>if($A718&lt;&gt;"",J717+H718,"")</f>
        <v/>
      </c>
      <c r="K718" s="9">
        <f>if($A718&lt;&gt;"",K717+I718,"")</f>
        <v/>
      </c>
      <c r="L718" s="11">
        <f>IF($A718&lt;&gt;"",IF(K718-J718=0,"tie",IF(K718-J718&gt;0,"+"&amp;K718-J718,"+"&amp;J718-K718)),"")</f>
        <v/>
      </c>
      <c r="M718" s="17" t="n"/>
      <c r="N718" s="17" t="n"/>
      <c r="O718" s="17" t="n"/>
      <c r="P718" s="17" t="n"/>
      <c r="Q718" s="17" t="n"/>
      <c r="R718" s="17" t="n"/>
      <c r="S718" s="17" t="n"/>
    </row>
    <row r="719">
      <c r="A719" s="15" t="n">
        <v>44769</v>
      </c>
      <c r="B719" s="10" t="n">
        <v>30</v>
      </c>
      <c r="C719" s="9" t="n">
        <v>25</v>
      </c>
      <c r="D719" s="17" t="inlineStr">
        <is>
          <t>Moose Lodge, SLT</t>
        </is>
      </c>
      <c r="E719" s="9">
        <f>if($A719&lt;&gt;"",E718+B719,"")</f>
        <v/>
      </c>
      <c r="F719" s="10">
        <f>if($A719&lt;&gt;"",F718+C719,"")</f>
        <v/>
      </c>
      <c r="G719" s="11">
        <f>IF($A719&lt;&gt;"",IF(F719-E719=0,"tie",IF(F719-E719&gt;0,"+"&amp;F719-E719,"+"&amp;E719-F719)),"")</f>
        <v/>
      </c>
      <c r="H719" s="12">
        <f>if($A719&lt;&gt;"",if(B719&gt;C719,if(B719&lt;60,1,2),""),"")</f>
        <v/>
      </c>
      <c r="I719" s="12">
        <f>if($A719&lt;&gt;"",if(C719&gt;B719,if(C719&lt;60,1,2),""),"")</f>
        <v/>
      </c>
      <c r="J719" s="9">
        <f>if($A719&lt;&gt;"",J718+H719,"")</f>
        <v/>
      </c>
      <c r="K719" s="9">
        <f>if($A719&lt;&gt;"",K718+I719,"")</f>
        <v/>
      </c>
      <c r="L719" s="11">
        <f>IF($A719&lt;&gt;"",IF(K719-J719=0,"tie",IF(K719-J719&gt;0,"+"&amp;K719-J719,"+"&amp;J719-K719)),"")</f>
        <v/>
      </c>
      <c r="M719" s="17" t="n"/>
      <c r="N719" s="17" t="n"/>
      <c r="O719" s="17" t="n"/>
      <c r="P719" s="17" t="n"/>
      <c r="Q719" s="17" t="n"/>
      <c r="R719" s="17" t="n"/>
      <c r="S719" s="17" t="n"/>
    </row>
    <row r="720">
      <c r="A720" s="15" t="n">
        <v>44772</v>
      </c>
      <c r="B720" s="10" t="n">
        <v>30</v>
      </c>
      <c r="C720" s="9" t="n">
        <v>25</v>
      </c>
      <c r="D720" s="17" t="inlineStr">
        <is>
          <t>Bishop, CA</t>
        </is>
      </c>
      <c r="E720" s="9">
        <f>if($A720&lt;&gt;"",E719+B720,"")</f>
        <v/>
      </c>
      <c r="F720" s="10">
        <f>if($A720&lt;&gt;"",F719+C720,"")</f>
        <v/>
      </c>
      <c r="G720" s="11">
        <f>IF($A720&lt;&gt;"",IF(F720-E720=0,"tie",IF(F720-E720&gt;0,"+"&amp;F720-E720,"+"&amp;E720-F720)),"")</f>
        <v/>
      </c>
      <c r="H720" s="12">
        <f>if($A720&lt;&gt;"",if(B720&gt;C720,if(B720&lt;60,1,2),""),"")</f>
        <v/>
      </c>
      <c r="I720" s="12">
        <f>if($A720&lt;&gt;"",if(C720&gt;B720,if(C720&lt;60,1,2),""),"")</f>
        <v/>
      </c>
      <c r="J720" s="9">
        <f>if($A720&lt;&gt;"",J719+H720,"")</f>
        <v/>
      </c>
      <c r="K720" s="9">
        <f>if($A720&lt;&gt;"",K719+I720,"")</f>
        <v/>
      </c>
      <c r="L720" s="11">
        <f>IF($A720&lt;&gt;"",IF(K720-J720=0,"tie",IF(K720-J720&gt;0,"+"&amp;K720-J720,"+"&amp;J720-K720)),"")</f>
        <v/>
      </c>
      <c r="M720" s="17" t="n"/>
      <c r="N720" s="17" t="n"/>
      <c r="O720" s="17" t="n"/>
      <c r="P720" s="17" t="n"/>
      <c r="Q720" s="17" t="n"/>
      <c r="R720" s="17" t="n"/>
      <c r="S720" s="17" t="n"/>
    </row>
    <row r="721">
      <c r="A721" s="15" t="n">
        <v>44772</v>
      </c>
      <c r="B721" s="9" t="n">
        <v>25</v>
      </c>
      <c r="C721" s="10" t="n">
        <v>30</v>
      </c>
      <c r="D721" s="17" t="inlineStr">
        <is>
          <t>Jawbone Canyon, CA</t>
        </is>
      </c>
      <c r="E721" s="9">
        <f>if($A721&lt;&gt;"",E720+B721,"")</f>
        <v/>
      </c>
      <c r="F721" s="10">
        <f>if($A721&lt;&gt;"",F720+C721,"")</f>
        <v/>
      </c>
      <c r="G721" s="11">
        <f>IF($A721&lt;&gt;"",IF(F721-E721=0,"tie",IF(F721-E721&gt;0,"+"&amp;F721-E721,"+"&amp;E721-F721)),"")</f>
        <v/>
      </c>
      <c r="H721" s="12">
        <f>if($A721&lt;&gt;"",if(B721&gt;C721,if(B721&lt;60,1,2),""),"")</f>
        <v/>
      </c>
      <c r="I721" s="12">
        <f>if($A721&lt;&gt;"",if(C721&gt;B721,if(C721&lt;60,1,2),""),"")</f>
        <v/>
      </c>
      <c r="J721" s="9">
        <f>if($A721&lt;&gt;"",J720+H721,"")</f>
        <v/>
      </c>
      <c r="K721" s="9">
        <f>if($A721&lt;&gt;"",K720+I721,"")</f>
        <v/>
      </c>
      <c r="L721" s="11">
        <f>IF($A721&lt;&gt;"",IF(K721-J721=0,"tie",IF(K721-J721&gt;0,"+"&amp;K721-J721,"+"&amp;J721-K721)),"")</f>
        <v/>
      </c>
      <c r="M721" s="17" t="n"/>
      <c r="N721" s="17" t="n"/>
      <c r="O721" s="17" t="n"/>
      <c r="P721" s="17" t="n"/>
      <c r="Q721" s="17" t="n"/>
      <c r="R721" s="17" t="n"/>
      <c r="S721" s="17" t="n"/>
    </row>
    <row r="722">
      <c r="A722" s="15" t="n">
        <v>44773</v>
      </c>
      <c r="B722" s="9" t="n">
        <v>25</v>
      </c>
      <c r="C722" s="10" t="n">
        <v>30</v>
      </c>
      <c r="D722" s="17" t="inlineStr">
        <is>
          <t>Sgt. Steve Owen Memorial Park, Lancaster, CA</t>
        </is>
      </c>
      <c r="E722" s="9">
        <f>if($A722&lt;&gt;"",E721+B722,"")</f>
        <v/>
      </c>
      <c r="F722" s="10">
        <f>if($A722&lt;&gt;"",F721+C722,"")</f>
        <v/>
      </c>
      <c r="G722" s="11">
        <f>IF($A722&lt;&gt;"",IF(F722-E722=0,"tie",IF(F722-E722&gt;0,"+"&amp;F722-E722,"+"&amp;E722-F722)),"")</f>
        <v/>
      </c>
      <c r="H722" s="12">
        <f>if($A722&lt;&gt;"",if(B722&gt;C722,if(B722&lt;60,1,2),""),"")</f>
        <v/>
      </c>
      <c r="I722" s="12">
        <f>if($A722&lt;&gt;"",if(C722&gt;B722,if(C722&lt;60,1,2),""),"")</f>
        <v/>
      </c>
      <c r="J722" s="9">
        <f>if($A722&lt;&gt;"",J721+H722,"")</f>
        <v/>
      </c>
      <c r="K722" s="9">
        <f>if($A722&lt;&gt;"",K721+I722,"")</f>
        <v/>
      </c>
      <c r="L722" s="11">
        <f>IF($A722&lt;&gt;"",IF(K722-J722=0,"tie",IF(K722-J722&gt;0,"+"&amp;K722-J722,"+"&amp;J722-K722)),"")</f>
        <v/>
      </c>
      <c r="M722" s="17" t="n"/>
      <c r="N722" s="17" t="n"/>
      <c r="O722" s="17" t="n"/>
      <c r="P722" s="17" t="n"/>
      <c r="Q722" s="17" t="n"/>
      <c r="R722" s="17" t="n"/>
      <c r="S722" s="17" t="n"/>
    </row>
    <row r="723">
      <c r="A723" s="15" t="n">
        <v>44776</v>
      </c>
      <c r="B723" s="9" t="n">
        <v>25</v>
      </c>
      <c r="C723" s="10" t="n">
        <v>30</v>
      </c>
      <c r="D723" s="17" t="inlineStr">
        <is>
          <t>Preston Way</t>
        </is>
      </c>
      <c r="E723" s="9">
        <f>if($A723&lt;&gt;"",E722+B723,"")</f>
        <v/>
      </c>
      <c r="F723" s="10">
        <f>if($A723&lt;&gt;"",F722+C723,"")</f>
        <v/>
      </c>
      <c r="G723" s="11">
        <f>IF($A723&lt;&gt;"",IF(F723-E723=0,"tie",IF(F723-E723&gt;0,"+"&amp;F723-E723,"+"&amp;E723-F723)),"")</f>
        <v/>
      </c>
      <c r="H723" s="12">
        <f>if($A723&lt;&gt;"",if(B723&gt;C723,if(B723&lt;60,1,2),""),"")</f>
        <v/>
      </c>
      <c r="I723" s="12">
        <f>if($A723&lt;&gt;"",if(C723&gt;B723,if(C723&lt;60,1,2),""),"")</f>
        <v/>
      </c>
      <c r="J723" s="9">
        <f>if($A723&lt;&gt;"",J722+H723,"")</f>
        <v/>
      </c>
      <c r="K723" s="9">
        <f>if($A723&lt;&gt;"",K722+I723,"")</f>
        <v/>
      </c>
      <c r="L723" s="11">
        <f>IF($A723&lt;&gt;"",IF(K723-J723=0,"tie",IF(K723-J723&gt;0,"+"&amp;K723-J723,"+"&amp;J723-K723)),"")</f>
        <v/>
      </c>
      <c r="M723" s="17" t="n"/>
      <c r="N723" s="17" t="n"/>
      <c r="O723" s="17" t="n"/>
      <c r="P723" s="17" t="n"/>
      <c r="Q723" s="17" t="n"/>
      <c r="R723" s="17" t="n"/>
      <c r="S723" s="17" t="n"/>
    </row>
    <row r="724">
      <c r="A724" s="15" t="n">
        <v>44779</v>
      </c>
      <c r="B724" s="9" t="n">
        <v>25</v>
      </c>
      <c r="C724" s="10" t="n">
        <v>30</v>
      </c>
      <c r="D724" s="17" t="inlineStr">
        <is>
          <t>Preston Way</t>
        </is>
      </c>
      <c r="E724" s="9">
        <f>if($A724&lt;&gt;"",E723+B724,"")</f>
        <v/>
      </c>
      <c r="F724" s="10">
        <f>if($A724&lt;&gt;"",F723+C724,"")</f>
        <v/>
      </c>
      <c r="G724" s="11">
        <f>IF($A724&lt;&gt;"",IF(F724-E724=0,"tie",IF(F724-E724&gt;0,"+"&amp;F724-E724,"+"&amp;E724-F724)),"")</f>
        <v/>
      </c>
      <c r="H724" s="12">
        <f>if($A724&lt;&gt;"",if(B724&gt;C724,if(B724&lt;60,1,2),""),"")</f>
        <v/>
      </c>
      <c r="I724" s="12">
        <f>if($A724&lt;&gt;"",if(C724&gt;B724,if(C724&lt;60,1,2),""),"")</f>
        <v/>
      </c>
      <c r="J724" s="9">
        <f>if($A724&lt;&gt;"",J723+H724,"")</f>
        <v/>
      </c>
      <c r="K724" s="9">
        <f>if($A724&lt;&gt;"",K723+I724,"")</f>
        <v/>
      </c>
      <c r="L724" s="11">
        <f>IF($A724&lt;&gt;"",IF(K724-J724=0,"tie",IF(K724-J724&gt;0,"+"&amp;K724-J724,"+"&amp;J724-K724)),"")</f>
        <v/>
      </c>
      <c r="M724" s="17" t="n"/>
      <c r="N724" s="17" t="n"/>
      <c r="O724" s="17" t="n"/>
      <c r="P724" s="17" t="n"/>
      <c r="Q724" s="17" t="n"/>
      <c r="R724" s="17" t="n"/>
      <c r="S724" s="17" t="n"/>
    </row>
    <row r="725">
      <c r="A725" s="15" t="n">
        <v>44784</v>
      </c>
      <c r="B725" s="10" t="n">
        <v>30</v>
      </c>
      <c r="C725" s="9" t="n">
        <v>25</v>
      </c>
      <c r="D725" s="17" t="inlineStr">
        <is>
          <t>Little Branch Cafe, Chicago</t>
        </is>
      </c>
      <c r="E725" s="9">
        <f>if($A725&lt;&gt;"",E724+B725,"")</f>
        <v/>
      </c>
      <c r="F725" s="10">
        <f>if($A725&lt;&gt;"",F724+C725,"")</f>
        <v/>
      </c>
      <c r="G725" s="11">
        <f>IF($A725&lt;&gt;"",IF(F725-E725=0,"tie",IF(F725-E725&gt;0,"+"&amp;F725-E725,"+"&amp;E725-F725)),"")</f>
        <v/>
      </c>
      <c r="H725" s="12">
        <f>if($A725&lt;&gt;"",if(B725&gt;C725,if(B725&lt;60,1,2),""),"")</f>
        <v/>
      </c>
      <c r="I725" s="12">
        <f>if($A725&lt;&gt;"",if(C725&gt;B725,if(C725&lt;60,1,2),""),"")</f>
        <v/>
      </c>
      <c r="J725" s="9">
        <f>if($A725&lt;&gt;"",J724+H725,"")</f>
        <v/>
      </c>
      <c r="K725" s="9">
        <f>if($A725&lt;&gt;"",K724+I725,"")</f>
        <v/>
      </c>
      <c r="L725" s="11">
        <f>IF($A725&lt;&gt;"",IF(K725-J725=0,"tie",IF(K725-J725&gt;0,"+"&amp;K725-J725,"+"&amp;J725-K725)),"")</f>
        <v/>
      </c>
      <c r="M725" s="17" t="n"/>
      <c r="N725" s="17" t="n"/>
      <c r="O725" s="17" t="n"/>
      <c r="P725" s="17" t="n"/>
      <c r="Q725" s="17" t="n"/>
      <c r="R725" s="17" t="n"/>
      <c r="S725" s="17" t="n"/>
    </row>
    <row r="726">
      <c r="A726" s="15" t="n">
        <v>44784</v>
      </c>
      <c r="B726" s="10" t="n">
        <v>30</v>
      </c>
      <c r="C726" s="9" t="n">
        <v>25</v>
      </c>
      <c r="D726" s="17" t="inlineStr">
        <is>
          <t>Beat Kitchen, Chicago River Walk</t>
        </is>
      </c>
      <c r="E726" s="9">
        <f>if($A726&lt;&gt;"",E725+B726,"")</f>
        <v/>
      </c>
      <c r="F726" s="10">
        <f>if($A726&lt;&gt;"",F725+C726,"")</f>
        <v/>
      </c>
      <c r="G726" s="11">
        <f>IF($A726&lt;&gt;"",IF(F726-E726=0,"tie",IF(F726-E726&gt;0,"+"&amp;F726-E726,"+"&amp;E726-F726)),"")</f>
        <v/>
      </c>
      <c r="H726" s="12">
        <f>if($A726&lt;&gt;"",if(B726&gt;C726,if(B726&lt;60,1,2),""),"")</f>
        <v/>
      </c>
      <c r="I726" s="12">
        <f>if($A726&lt;&gt;"",if(C726&gt;B726,if(C726&lt;60,1,2),""),"")</f>
        <v/>
      </c>
      <c r="J726" s="9">
        <f>if($A726&lt;&gt;"",J725+H726,"")</f>
        <v/>
      </c>
      <c r="K726" s="9">
        <f>if($A726&lt;&gt;"",K725+I726,"")</f>
        <v/>
      </c>
      <c r="L726" s="11">
        <f>IF($A726&lt;&gt;"",IF(K726-J726=0,"tie",IF(K726-J726&gt;0,"+"&amp;K726-J726,"+"&amp;J726-K726)),"")</f>
        <v/>
      </c>
      <c r="M726" s="17" t="n"/>
      <c r="N726" s="17" t="n"/>
      <c r="O726" s="17" t="n"/>
      <c r="P726" s="17" t="n"/>
      <c r="Q726" s="17" t="n"/>
      <c r="R726" s="17" t="n"/>
      <c r="S726" s="17" t="n"/>
    </row>
    <row r="727">
      <c r="A727" s="15" t="n">
        <v>44784</v>
      </c>
      <c r="B727" s="10" t="n">
        <v>30</v>
      </c>
      <c r="C727" s="9" t="n">
        <v>25</v>
      </c>
      <c r="D727" s="17" t="inlineStr">
        <is>
          <t>Berghoff's, Chicago</t>
        </is>
      </c>
      <c r="E727" s="9">
        <f>if($A727&lt;&gt;"",E726+B727,"")</f>
        <v/>
      </c>
      <c r="F727" s="10">
        <f>if($A727&lt;&gt;"",F726+C727,"")</f>
        <v/>
      </c>
      <c r="G727" s="11">
        <f>IF($A727&lt;&gt;"",IF(F727-E727=0,"tie",IF(F727-E727&gt;0,"+"&amp;F727-E727,"+"&amp;E727-F727)),"")</f>
        <v/>
      </c>
      <c r="H727" s="12">
        <f>if($A727&lt;&gt;"",if(B727&gt;C727,if(B727&lt;60,1,2),""),"")</f>
        <v/>
      </c>
      <c r="I727" s="12">
        <f>if($A727&lt;&gt;"",if(C727&gt;B727,if(C727&lt;60,1,2),""),"")</f>
        <v/>
      </c>
      <c r="J727" s="9">
        <f>if($A727&lt;&gt;"",J726+H727,"")</f>
        <v/>
      </c>
      <c r="K727" s="9">
        <f>if($A727&lt;&gt;"",K726+I727,"")</f>
        <v/>
      </c>
      <c r="L727" s="11">
        <f>IF($A727&lt;&gt;"",IF(K727-J727=0,"tie",IF(K727-J727&gt;0,"+"&amp;K727-J727,"+"&amp;J727-K727)),"")</f>
        <v/>
      </c>
      <c r="M727" s="17" t="n"/>
      <c r="N727" s="17" t="n"/>
      <c r="O727" s="17" t="n"/>
      <c r="P727" s="17" t="n"/>
      <c r="Q727" s="17" t="n"/>
      <c r="R727" s="17" t="n"/>
      <c r="S727" s="17" t="n"/>
    </row>
    <row r="728">
      <c r="A728" s="15" t="n">
        <v>44785</v>
      </c>
      <c r="B728" s="10" t="n">
        <v>30</v>
      </c>
      <c r="C728" s="9" t="n">
        <v>25</v>
      </c>
      <c r="D728" s="17" t="inlineStr">
        <is>
          <t>Aroma Coffee and Wine Bar, Crystal Lake, IL</t>
        </is>
      </c>
      <c r="E728" s="9">
        <f>if($A728&lt;&gt;"",E727+B728,"")</f>
        <v/>
      </c>
      <c r="F728" s="10">
        <f>if($A728&lt;&gt;"",F727+C728,"")</f>
        <v/>
      </c>
      <c r="G728" s="11">
        <f>IF($A728&lt;&gt;"",IF(F728-E728=0,"tie",IF(F728-E728&gt;0,"+"&amp;F728-E728,"+"&amp;E728-F728)),"")</f>
        <v/>
      </c>
      <c r="H728" s="12">
        <f>if($A728&lt;&gt;"",if(B728&gt;C728,if(B728&lt;60,1,2),""),"")</f>
        <v/>
      </c>
      <c r="I728" s="12">
        <f>if($A728&lt;&gt;"",if(C728&gt;B728,if(C728&lt;60,1,2),""),"")</f>
        <v/>
      </c>
      <c r="J728" s="9">
        <f>if($A728&lt;&gt;"",J727+H728,"")</f>
        <v/>
      </c>
      <c r="K728" s="9">
        <f>if($A728&lt;&gt;"",K727+I728,"")</f>
        <v/>
      </c>
      <c r="L728" s="11">
        <f>IF($A728&lt;&gt;"",IF(K728-J728=0,"tie",IF(K728-J728&gt;0,"+"&amp;K728-J728,"+"&amp;J728-K728)),"")</f>
        <v/>
      </c>
      <c r="M728" s="17" t="n"/>
      <c r="N728" s="17" t="n"/>
      <c r="O728" s="17" t="n"/>
      <c r="P728" s="17" t="n"/>
      <c r="Q728" s="17" t="n"/>
      <c r="R728" s="17" t="n"/>
      <c r="S728" s="17" t="n"/>
    </row>
    <row r="729">
      <c r="A729" s="15" t="n">
        <v>44786</v>
      </c>
      <c r="B729" s="10" t="n">
        <v>30</v>
      </c>
      <c r="C729" s="9" t="n">
        <v>25</v>
      </c>
      <c r="D729" s="17" t="inlineStr">
        <is>
          <t>Benedict's La Strava, IL</t>
        </is>
      </c>
      <c r="E729" s="9">
        <f>if($A729&lt;&gt;"",E728+B729,"")</f>
        <v/>
      </c>
      <c r="F729" s="10">
        <f>if($A729&lt;&gt;"",F728+C729,"")</f>
        <v/>
      </c>
      <c r="G729" s="11">
        <f>IF($A729&lt;&gt;"",IF(F729-E729=0,"tie",IF(F729-E729&gt;0,"+"&amp;F729-E729,"+"&amp;E729-F729)),"")</f>
        <v/>
      </c>
      <c r="H729" s="12">
        <f>if($A729&lt;&gt;"",if(B729&gt;C729,if(B729&lt;60,1,2),""),"")</f>
        <v/>
      </c>
      <c r="I729" s="12">
        <f>if($A729&lt;&gt;"",if(C729&gt;B729,if(C729&lt;60,1,2),""),"")</f>
        <v/>
      </c>
      <c r="J729" s="9">
        <f>if($A729&lt;&gt;"",J728+H729,"")</f>
        <v/>
      </c>
      <c r="K729" s="9">
        <f>if($A729&lt;&gt;"",K728+I729,"")</f>
        <v/>
      </c>
      <c r="L729" s="11">
        <f>IF($A729&lt;&gt;"",IF(K729-J729=0,"tie",IF(K729-J729&gt;0,"+"&amp;K729-J729,"+"&amp;J729-K729)),"")</f>
        <v/>
      </c>
      <c r="M729" s="17" t="n"/>
      <c r="N729" s="17" t="n"/>
      <c r="O729" s="17" t="n"/>
      <c r="P729" s="17" t="n"/>
      <c r="Q729" s="17" t="n"/>
      <c r="R729" s="17" t="n"/>
      <c r="S729" s="17" t="n"/>
    </row>
    <row r="730">
      <c r="A730" s="15" t="n">
        <v>44786</v>
      </c>
      <c r="B730" s="9" t="n">
        <v>25</v>
      </c>
      <c r="C730" s="10" t="n">
        <v>30</v>
      </c>
      <c r="D730" s="17" t="inlineStr">
        <is>
          <t>Antioch Pizza Shop, Woodstock, IL</t>
        </is>
      </c>
      <c r="E730" s="9">
        <f>if($A730&lt;&gt;"",E729+B730,"")</f>
        <v/>
      </c>
      <c r="F730" s="10">
        <f>if($A730&lt;&gt;"",F729+C730,"")</f>
        <v/>
      </c>
      <c r="G730" s="11">
        <f>IF($A730&lt;&gt;"",IF(F730-E730=0,"tie",IF(F730-E730&gt;0,"+"&amp;F730-E730,"+"&amp;E730-F730)),"")</f>
        <v/>
      </c>
      <c r="H730" s="12">
        <f>if($A730&lt;&gt;"",if(B730&gt;C730,if(B730&lt;60,1,2),""),"")</f>
        <v/>
      </c>
      <c r="I730" s="12">
        <f>if($A730&lt;&gt;"",if(C730&gt;B730,if(C730&lt;60,1,2),""),"")</f>
        <v/>
      </c>
      <c r="J730" s="9">
        <f>if($A730&lt;&gt;"",J729+H730,"")</f>
        <v/>
      </c>
      <c r="K730" s="9">
        <f>if($A730&lt;&gt;"",K729+I730,"")</f>
        <v/>
      </c>
      <c r="L730" s="11">
        <f>IF($A730&lt;&gt;"",IF(K730-J730=0,"tie",IF(K730-J730&gt;0,"+"&amp;K730-J730,"+"&amp;J730-K730)),"")</f>
        <v/>
      </c>
      <c r="M730" s="17" t="n"/>
      <c r="N730" s="17" t="n"/>
      <c r="O730" s="17" t="n"/>
      <c r="P730" s="17" t="n"/>
      <c r="Q730" s="17" t="n"/>
      <c r="R730" s="17" t="n"/>
      <c r="S730" s="17" t="n"/>
    </row>
    <row r="731">
      <c r="A731" s="15" t="n">
        <v>44799</v>
      </c>
      <c r="B731" s="9" t="n">
        <v>25</v>
      </c>
      <c r="C731" s="10" t="n">
        <v>30</v>
      </c>
      <c r="D731" s="17" t="inlineStr">
        <is>
          <t>Preston Way</t>
        </is>
      </c>
      <c r="E731" s="9">
        <f>if($A731&lt;&gt;"",E730+B731,"")</f>
        <v/>
      </c>
      <c r="F731" s="10">
        <f>if($A731&lt;&gt;"",F730+C731,"")</f>
        <v/>
      </c>
      <c r="G731" s="11">
        <f>IF($A731&lt;&gt;"",IF(F731-E731=0,"tie",IF(F731-E731&gt;0,"+"&amp;F731-E731,"+"&amp;E731-F731)),"")</f>
        <v/>
      </c>
      <c r="H731" s="12">
        <f>if($A731&lt;&gt;"",if(B731&gt;C731,if(B731&lt;60,1,2),""),"")</f>
        <v/>
      </c>
      <c r="I731" s="12">
        <f>if($A731&lt;&gt;"",if(C731&gt;B731,if(C731&lt;60,1,2),""),"")</f>
        <v/>
      </c>
      <c r="J731" s="9">
        <f>if($A731&lt;&gt;"",J730+H731,"")</f>
        <v/>
      </c>
      <c r="K731" s="9">
        <f>if($A731&lt;&gt;"",K730+I731,"")</f>
        <v/>
      </c>
      <c r="L731" s="11">
        <f>IF($A731&lt;&gt;"",IF(K731-J731=0,"tie",IF(K731-J731&gt;0,"+"&amp;K731-J731,"+"&amp;J731-K731)),"")</f>
        <v/>
      </c>
      <c r="M731" s="17" t="n"/>
      <c r="N731" s="17" t="n"/>
      <c r="O731" s="17" t="n"/>
      <c r="P731" s="17" t="n"/>
      <c r="Q731" s="17" t="n"/>
      <c r="R731" s="17" t="n"/>
      <c r="S731" s="17" t="n"/>
    </row>
    <row r="732">
      <c r="A732" s="15" t="n">
        <v>44804</v>
      </c>
      <c r="B732" s="10" t="n">
        <v>30</v>
      </c>
      <c r="C732" s="9" t="n">
        <v>25</v>
      </c>
      <c r="D732" s="17" t="inlineStr">
        <is>
          <t>Preston Way</t>
        </is>
      </c>
      <c r="E732" s="9">
        <f>if($A732&lt;&gt;"",E731+B732,"")</f>
        <v/>
      </c>
      <c r="F732" s="10">
        <f>if($A732&lt;&gt;"",F731+C732,"")</f>
        <v/>
      </c>
      <c r="G732" s="11">
        <f>IF($A732&lt;&gt;"",IF(F732-E732=0,"tie",IF(F732-E732&gt;0,"+"&amp;F732-E732,"+"&amp;E732-F732)),"")</f>
        <v/>
      </c>
      <c r="H732" s="12">
        <f>if($A732&lt;&gt;"",if(B732&gt;C732,if(B732&lt;60,1,2),""),"")</f>
        <v/>
      </c>
      <c r="I732" s="12">
        <f>if($A732&lt;&gt;"",if(C732&gt;B732,if(C732&lt;60,1,2),""),"")</f>
        <v/>
      </c>
      <c r="J732" s="9">
        <f>if($A732&lt;&gt;"",J731+H732,"")</f>
        <v/>
      </c>
      <c r="K732" s="9">
        <f>if($A732&lt;&gt;"",K731+I732,"")</f>
        <v/>
      </c>
      <c r="L732" s="11">
        <f>IF($A732&lt;&gt;"",IF(K732-J732=0,"tie",IF(K732-J732&gt;0,"+"&amp;K732-J732,"+"&amp;J732-K732)),"")</f>
        <v/>
      </c>
      <c r="M732" s="17" t="n"/>
      <c r="N732" s="17" t="n"/>
      <c r="O732" s="17" t="n"/>
      <c r="P732" s="17" t="n"/>
      <c r="Q732" s="17" t="n"/>
      <c r="R732" s="17" t="n"/>
      <c r="S732" s="17" t="n"/>
    </row>
    <row r="733">
      <c r="A733" s="15" t="n">
        <v>44811</v>
      </c>
      <c r="B733" s="9" t="n">
        <v>50</v>
      </c>
      <c r="C733" s="10" t="n">
        <v>60</v>
      </c>
      <c r="D733" s="17" t="inlineStr">
        <is>
          <t>Preston Way</t>
        </is>
      </c>
      <c r="E733" s="9">
        <f>if($A733&lt;&gt;"",E732+B733,"")</f>
        <v/>
      </c>
      <c r="F733" s="10">
        <f>if($A733&lt;&gt;"",F732+C733,"")</f>
        <v/>
      </c>
      <c r="G733" s="11">
        <f>IF($A733&lt;&gt;"",IF(F733-E733=0,"tie",IF(F733-E733&gt;0,"+"&amp;F733-E733,"+"&amp;E733-F733)),"")</f>
        <v/>
      </c>
      <c r="H733" s="12">
        <f>if($A733&lt;&gt;"",if(B733&gt;C733,if(B733&lt;60,1,2),""),"")</f>
        <v/>
      </c>
      <c r="I733" s="12">
        <f>if($A733&lt;&gt;"",if(C733&gt;B733,if(C733&lt;60,1,2),""),"")</f>
        <v/>
      </c>
      <c r="J733" s="9">
        <f>if($A733&lt;&gt;"",J732+H733,"")</f>
        <v/>
      </c>
      <c r="K733" s="9">
        <f>if($A733&lt;&gt;"",K732+I733,"")</f>
        <v/>
      </c>
      <c r="L733" s="11">
        <f>IF($A733&lt;&gt;"",IF(K733-J733=0,"tie",IF(K733-J733&gt;0,"+"&amp;K733-J733,"+"&amp;J733-K733)),"")</f>
        <v/>
      </c>
      <c r="M733" s="17" t="n"/>
      <c r="N733" s="17" t="n"/>
      <c r="O733" s="17" t="n"/>
      <c r="P733" s="17" t="n"/>
      <c r="Q733" s="17" t="n"/>
      <c r="R733" s="17" t="n"/>
      <c r="S733" s="17" t="n"/>
    </row>
    <row r="734">
      <c r="A734" s="15" t="n">
        <v>44818</v>
      </c>
      <c r="B734" s="10" t="n">
        <v>60</v>
      </c>
      <c r="C734" s="9" t="n">
        <v>50</v>
      </c>
      <c r="D734" s="17" t="inlineStr">
        <is>
          <t>Dear John's, Culver City</t>
        </is>
      </c>
      <c r="E734" s="9">
        <f>if($A734&lt;&gt;"",E733+B734,"")</f>
        <v/>
      </c>
      <c r="F734" s="10">
        <f>if($A734&lt;&gt;"",F733+C734,"")</f>
        <v/>
      </c>
      <c r="G734" s="11">
        <f>IF($A734&lt;&gt;"",IF(F734-E734=0,"tie",IF(F734-E734&gt;0,"+"&amp;F734-E734,"+"&amp;E734-F734)),"")</f>
        <v/>
      </c>
      <c r="H734" s="12">
        <f>if($A734&lt;&gt;"",if(B734&gt;C734,if(B734&lt;60,1,2),""),"")</f>
        <v/>
      </c>
      <c r="I734" s="12">
        <f>if($A734&lt;&gt;"",if(C734&gt;B734,if(C734&lt;60,1,2),""),"")</f>
        <v/>
      </c>
      <c r="J734" s="9">
        <f>if($A734&lt;&gt;"",J733+H734,"")</f>
        <v/>
      </c>
      <c r="K734" s="9">
        <f>if($A734&lt;&gt;"",K733+I734,"")</f>
        <v/>
      </c>
      <c r="L734" s="11">
        <f>IF($A734&lt;&gt;"",IF(K734-J734=0,"tie",IF(K734-J734&gt;0,"+"&amp;K734-J734,"+"&amp;J734-K734)),"")</f>
        <v/>
      </c>
      <c r="M734" s="17" t="n"/>
      <c r="N734" s="17" t="n"/>
      <c r="O734" s="17" t="n"/>
      <c r="P734" s="17" t="n"/>
      <c r="Q734" s="17" t="n"/>
      <c r="R734" s="17" t="n"/>
      <c r="S734" s="17" t="n"/>
    </row>
    <row r="735">
      <c r="A735" s="15" t="n">
        <v>44830</v>
      </c>
      <c r="B735" s="9" t="n">
        <v>25</v>
      </c>
      <c r="C735" s="10" t="n">
        <v>30</v>
      </c>
      <c r="D735" s="17" t="inlineStr">
        <is>
          <t>Preston Way</t>
        </is>
      </c>
      <c r="E735" s="9">
        <f>if($A735&lt;&gt;"",E734+B735,"")</f>
        <v/>
      </c>
      <c r="F735" s="10">
        <f>if($A735&lt;&gt;"",F734+C735,"")</f>
        <v/>
      </c>
      <c r="G735" s="11">
        <f>IF($A735&lt;&gt;"",IF(F735-E735=0,"tie",IF(F735-E735&gt;0,"+"&amp;F735-E735,"+"&amp;E735-F735)),"")</f>
        <v/>
      </c>
      <c r="H735" s="12">
        <f>if($A735&lt;&gt;"",if(B735&gt;C735,if(B735&lt;60,1,2),""),"")</f>
        <v/>
      </c>
      <c r="I735" s="12">
        <f>if($A735&lt;&gt;"",if(C735&gt;B735,if(C735&lt;60,1,2),""),"")</f>
        <v/>
      </c>
      <c r="J735" s="9">
        <f>if($A735&lt;&gt;"",J734+H735,"")</f>
        <v/>
      </c>
      <c r="K735" s="9">
        <f>if($A735&lt;&gt;"",K734+I735,"")</f>
        <v/>
      </c>
      <c r="L735" s="11">
        <f>IF($A735&lt;&gt;"",IF(K735-J735=0,"tie",IF(K735-J735&gt;0,"+"&amp;K735-J735,"+"&amp;J735-K735)),"")</f>
        <v/>
      </c>
      <c r="M735" s="17" t="n"/>
      <c r="N735" s="17" t="n"/>
      <c r="O735" s="17" t="n"/>
      <c r="P735" s="17" t="n"/>
      <c r="Q735" s="17" t="n"/>
      <c r="R735" s="17" t="n"/>
      <c r="S735" s="17" t="n"/>
    </row>
    <row r="736">
      <c r="A736" s="15" t="n">
        <v>44837</v>
      </c>
      <c r="B736" s="10" t="n">
        <v>30</v>
      </c>
      <c r="C736" s="9" t="n">
        <v>25</v>
      </c>
      <c r="D736" s="17" t="inlineStr">
        <is>
          <t>Preston Way</t>
        </is>
      </c>
      <c r="E736" s="9">
        <f>if($A736&lt;&gt;"",E735+B736,"")</f>
        <v/>
      </c>
      <c r="F736" s="10">
        <f>if($A736&lt;&gt;"",F735+C736,"")</f>
        <v/>
      </c>
      <c r="G736" s="11">
        <f>IF($A736&lt;&gt;"",IF(F736-E736=0,"tie",IF(F736-E736&gt;0,"+"&amp;F736-E736,"+"&amp;E736-F736)),"")</f>
        <v/>
      </c>
      <c r="H736" s="12">
        <f>if($A736&lt;&gt;"",if(B736&gt;C736,if(B736&lt;60,1,2),""),"")</f>
        <v/>
      </c>
      <c r="I736" s="12">
        <f>if($A736&lt;&gt;"",if(C736&gt;B736,if(C736&lt;60,1,2),""),"")</f>
        <v/>
      </c>
      <c r="J736" s="9">
        <f>if($A736&lt;&gt;"",J735+H736,"")</f>
        <v/>
      </c>
      <c r="K736" s="9">
        <f>if($A736&lt;&gt;"",K735+I736,"")</f>
        <v/>
      </c>
      <c r="L736" s="11">
        <f>IF($A736&lt;&gt;"",IF(K736-J736=0,"tie",IF(K736-J736&gt;0,"+"&amp;K736-J736,"+"&amp;J736-K736)),"")</f>
        <v/>
      </c>
      <c r="M736" s="17" t="n"/>
      <c r="N736" s="17" t="n"/>
      <c r="O736" s="17" t="n"/>
      <c r="P736" s="17" t="n"/>
      <c r="Q736" s="17" t="n"/>
      <c r="R736" s="17" t="n"/>
      <c r="S736" s="17" t="n"/>
    </row>
    <row r="737">
      <c r="A737" s="15" t="n">
        <v>44840</v>
      </c>
      <c r="B737" s="10" t="n">
        <v>30</v>
      </c>
      <c r="C737" s="9" t="n">
        <v>25</v>
      </c>
      <c r="D737" s="17" t="inlineStr">
        <is>
          <t>Preston Way</t>
        </is>
      </c>
      <c r="E737" s="9">
        <f>if($A737&lt;&gt;"",E736+B737,"")</f>
        <v/>
      </c>
      <c r="F737" s="10">
        <f>if($A737&lt;&gt;"",F736+C737,"")</f>
        <v/>
      </c>
      <c r="G737" s="11">
        <f>IF($A737&lt;&gt;"",IF(F737-E737=0,"tie",IF(F737-E737&gt;0,"+"&amp;F737-E737,"+"&amp;E737-F737)),"")</f>
        <v/>
      </c>
      <c r="H737" s="12">
        <f>if($A737&lt;&gt;"",if(B737&gt;C737,if(B737&lt;60,1,2),""),"")</f>
        <v/>
      </c>
      <c r="I737" s="12">
        <f>if($A737&lt;&gt;"",if(C737&gt;B737,if(C737&lt;60,1,2),""),"")</f>
        <v/>
      </c>
      <c r="J737" s="9">
        <f>if($A737&lt;&gt;"",J736+H737,"")</f>
        <v/>
      </c>
      <c r="K737" s="9">
        <f>if($A737&lt;&gt;"",K736+I737,"")</f>
        <v/>
      </c>
      <c r="L737" s="11">
        <f>IF($A737&lt;&gt;"",IF(K737-J737=0,"tie",IF(K737-J737&gt;0,"+"&amp;K737-J737,"+"&amp;J737-K737)),"")</f>
        <v/>
      </c>
      <c r="M737" s="17" t="n"/>
      <c r="N737" s="17" t="n"/>
      <c r="O737" s="17" t="n"/>
      <c r="P737" s="17" t="n"/>
      <c r="Q737" s="17" t="n"/>
      <c r="R737" s="17" t="n"/>
      <c r="S737" s="17" t="n"/>
    </row>
    <row r="738">
      <c r="A738" s="15" t="n">
        <v>44845</v>
      </c>
      <c r="B738" s="10" t="n">
        <v>30</v>
      </c>
      <c r="C738" s="9" t="n">
        <v>25</v>
      </c>
      <c r="D738" s="17" t="inlineStr">
        <is>
          <t>Zinque, Venice</t>
        </is>
      </c>
      <c r="E738" s="9">
        <f>if($A738&lt;&gt;"",E737+B738,"")</f>
        <v/>
      </c>
      <c r="F738" s="10">
        <f>if($A738&lt;&gt;"",F737+C738,"")</f>
        <v/>
      </c>
      <c r="G738" s="11">
        <f>IF($A738&lt;&gt;"",IF(F738-E738=0,"tie",IF(F738-E738&gt;0,"+"&amp;F738-E738,"+"&amp;E738-F738)),"")</f>
        <v/>
      </c>
      <c r="H738" s="12">
        <f>if($A738&lt;&gt;"",if(B738&gt;C738,if(B738&lt;60,1,2),""),"")</f>
        <v/>
      </c>
      <c r="I738" s="12">
        <f>if($A738&lt;&gt;"",if(C738&gt;B738,if(C738&lt;60,1,2),""),"")</f>
        <v/>
      </c>
      <c r="J738" s="9">
        <f>if($A738&lt;&gt;"",J737+H738,"")</f>
        <v/>
      </c>
      <c r="K738" s="9">
        <f>if($A738&lt;&gt;"",K737+I738,"")</f>
        <v/>
      </c>
      <c r="L738" s="11">
        <f>IF($A738&lt;&gt;"",IF(K738-J738=0,"tie",IF(K738-J738&gt;0,"+"&amp;K738-J738,"+"&amp;J738-K738)),"")</f>
        <v/>
      </c>
      <c r="M738" s="17" t="n"/>
      <c r="N738" s="17" t="n"/>
      <c r="O738" s="17" t="n"/>
      <c r="P738" s="17" t="n"/>
      <c r="Q738" s="17" t="n"/>
      <c r="R738" s="17" t="n"/>
      <c r="S738" s="17" t="n"/>
    </row>
    <row r="739">
      <c r="A739" s="15" t="n">
        <v>44853</v>
      </c>
      <c r="B739" s="9" t="n">
        <v>25</v>
      </c>
      <c r="C739" s="10" t="n">
        <v>30</v>
      </c>
      <c r="D739" s="17" t="inlineStr">
        <is>
          <t>Preston Way</t>
        </is>
      </c>
      <c r="E739" s="9">
        <f>if($A739&lt;&gt;"",E738+B739,"")</f>
        <v/>
      </c>
      <c r="F739" s="10">
        <f>if($A739&lt;&gt;"",F738+C739,"")</f>
        <v/>
      </c>
      <c r="G739" s="11">
        <f>IF($A739&lt;&gt;"",IF(F739-E739=0,"tie",IF(F739-E739&gt;0,"+"&amp;F739-E739,"+"&amp;E739-F739)),"")</f>
        <v/>
      </c>
      <c r="H739" s="12">
        <f>if($A739&lt;&gt;"",if(B739&gt;C739,if(B739&lt;60,1,2),""),"")</f>
        <v/>
      </c>
      <c r="I739" s="12">
        <f>if($A739&lt;&gt;"",if(C739&gt;B739,if(C739&lt;60,1,2),""),"")</f>
        <v/>
      </c>
      <c r="J739" s="9">
        <f>if($A739&lt;&gt;"",J738+H739,"")</f>
        <v/>
      </c>
      <c r="K739" s="9">
        <f>if($A739&lt;&gt;"",K738+I739,"")</f>
        <v/>
      </c>
      <c r="L739" s="11">
        <f>IF($A739&lt;&gt;"",IF(K739-J739=0,"tie",IF(K739-J739&gt;0,"+"&amp;K739-J739,"+"&amp;J739-K739)),"")</f>
        <v/>
      </c>
      <c r="M739" s="17" t="n"/>
      <c r="N739" s="17" t="n"/>
      <c r="O739" s="17" t="n"/>
      <c r="P739" s="17" t="n"/>
      <c r="Q739" s="17" t="n"/>
      <c r="R739" s="17" t="n"/>
      <c r="S739" s="17" t="n"/>
    </row>
    <row r="740">
      <c r="A740" s="15" t="n">
        <v>44858</v>
      </c>
      <c r="B740" s="10" t="n">
        <v>30</v>
      </c>
      <c r="C740" s="9" t="n">
        <v>25</v>
      </c>
      <c r="D740" s="17" t="inlineStr">
        <is>
          <t>George's Burgers, Santa Monica</t>
        </is>
      </c>
      <c r="E740" s="9">
        <f>if($A740&lt;&gt;"",E739+B740,"")</f>
        <v/>
      </c>
      <c r="F740" s="10">
        <f>if($A740&lt;&gt;"",F739+C740,"")</f>
        <v/>
      </c>
      <c r="G740" s="11">
        <f>IF($A740&lt;&gt;"",IF(F740-E740=0,"tie",IF(F740-E740&gt;0,"+"&amp;F740-E740,"+"&amp;E740-F740)),"")</f>
        <v/>
      </c>
      <c r="H740" s="12">
        <f>if($A740&lt;&gt;"",if(B740&gt;C740,if(B740&lt;60,1,2),""),"")</f>
        <v/>
      </c>
      <c r="I740" s="12">
        <f>if($A740&lt;&gt;"",if(C740&gt;B740,if(C740&lt;60,1,2),""),"")</f>
        <v/>
      </c>
      <c r="J740" s="9">
        <f>if($A740&lt;&gt;"",J739+H740,"")</f>
        <v/>
      </c>
      <c r="K740" s="9">
        <f>if($A740&lt;&gt;"",K739+I740,"")</f>
        <v/>
      </c>
      <c r="L740" s="11">
        <f>IF($A740&lt;&gt;"",IF(K740-J740=0,"tie",IF(K740-J740&gt;0,"+"&amp;K740-J740,"+"&amp;J740-K740)),"")</f>
        <v/>
      </c>
      <c r="M740" s="17" t="n"/>
      <c r="N740" s="17" t="n"/>
      <c r="O740" s="17" t="n"/>
      <c r="P740" s="17" t="n"/>
      <c r="Q740" s="17" t="n"/>
      <c r="R740" s="17" t="n"/>
      <c r="S740" s="17" t="n"/>
    </row>
    <row r="741">
      <c r="A741" s="15" t="n">
        <v>44862</v>
      </c>
      <c r="B741" s="9" t="n">
        <v>50</v>
      </c>
      <c r="C741" s="10" t="n">
        <v>60</v>
      </c>
      <c r="D741" s="17" t="inlineStr">
        <is>
          <t>Norms, West Hollywood</t>
        </is>
      </c>
      <c r="E741" s="9">
        <f>if($A741&lt;&gt;"",E740+B741,"")</f>
        <v/>
      </c>
      <c r="F741" s="10">
        <f>if($A741&lt;&gt;"",F740+C741,"")</f>
        <v/>
      </c>
      <c r="G741" s="11">
        <f>IF($A741&lt;&gt;"",IF(F741-E741=0,"tie",IF(F741-E741&gt;0,"+"&amp;F741-E741,"+"&amp;E741-F741)),"")</f>
        <v/>
      </c>
      <c r="H741" s="12">
        <f>if($A741&lt;&gt;"",if(B741&gt;C741,if(B741&lt;60,1,2),""),"")</f>
        <v/>
      </c>
      <c r="I741" s="12">
        <f>if($A741&lt;&gt;"",if(C741&gt;B741,if(C741&lt;60,1,2),""),"")</f>
        <v/>
      </c>
      <c r="J741" s="9">
        <f>if($A741&lt;&gt;"",J740+H741,"")</f>
        <v/>
      </c>
      <c r="K741" s="9">
        <f>if($A741&lt;&gt;"",K740+I741,"")</f>
        <v/>
      </c>
      <c r="L741" s="11">
        <f>IF($A741&lt;&gt;"",IF(K741-J741=0,"tie",IF(K741-J741&gt;0,"+"&amp;K741-J741,"+"&amp;J741-K741)),"")</f>
        <v/>
      </c>
      <c r="M741" s="17" t="n"/>
      <c r="N741" s="17" t="n"/>
      <c r="O741" s="17" t="n"/>
      <c r="P741" s="17" t="n"/>
      <c r="Q741" s="17" t="n"/>
      <c r="R741" s="17" t="n"/>
      <c r="S741" s="17" t="n"/>
    </row>
    <row r="742">
      <c r="A742" s="15" t="n">
        <v>44878</v>
      </c>
      <c r="B742" s="9" t="n">
        <v>25</v>
      </c>
      <c r="C742" s="10" t="n">
        <v>30</v>
      </c>
      <c r="D742" s="17" t="inlineStr">
        <is>
          <t>Preston Way</t>
        </is>
      </c>
      <c r="E742" s="9">
        <f>if($A742&lt;&gt;"",E741+B742,"")</f>
        <v/>
      </c>
      <c r="F742" s="10">
        <f>if($A742&lt;&gt;"",F741+C742,"")</f>
        <v/>
      </c>
      <c r="G742" s="11">
        <f>IF($A742&lt;&gt;"",IF(F742-E742=0,"tie",IF(F742-E742&gt;0,"+"&amp;F742-E742,"+"&amp;E742-F742)),"")</f>
        <v/>
      </c>
      <c r="H742" s="12">
        <f>if($A742&lt;&gt;"",if(B742&gt;C742,if(B742&lt;60,1,2),""),"")</f>
        <v/>
      </c>
      <c r="I742" s="12">
        <f>if($A742&lt;&gt;"",if(C742&gt;B742,if(C742&lt;60,1,2),""),"")</f>
        <v/>
      </c>
      <c r="J742" s="9">
        <f>if($A742&lt;&gt;"",J741+H742,"")</f>
        <v/>
      </c>
      <c r="K742" s="9">
        <f>if($A742&lt;&gt;"",K741+I742,"")</f>
        <v/>
      </c>
      <c r="L742" s="11">
        <f>IF($A742&lt;&gt;"",IF(K742-J742=0,"tie",IF(K742-J742&gt;0,"+"&amp;K742-J742,"+"&amp;J742-K742)),"")</f>
        <v/>
      </c>
      <c r="M742" s="17" t="n"/>
      <c r="N742" s="17" t="n"/>
      <c r="O742" s="17" t="n"/>
      <c r="P742" s="17" t="n"/>
      <c r="Q742" s="17" t="n"/>
      <c r="R742" s="17" t="n"/>
      <c r="S742" s="17" t="n"/>
    </row>
    <row r="743">
      <c r="A743" s="15" t="n">
        <v>44879</v>
      </c>
      <c r="B743" s="9" t="n">
        <v>25</v>
      </c>
      <c r="C743" s="10" t="n">
        <v>30</v>
      </c>
      <c r="D743" s="17" t="inlineStr">
        <is>
          <t>Preston Way</t>
        </is>
      </c>
      <c r="E743" s="9">
        <f>if($A743&lt;&gt;"",E742+B743,"")</f>
        <v/>
      </c>
      <c r="F743" s="10">
        <f>if($A743&lt;&gt;"",F742+C743,"")</f>
        <v/>
      </c>
      <c r="G743" s="11">
        <f>IF($A743&lt;&gt;"",IF(F743-E743=0,"tie",IF(F743-E743&gt;0,"+"&amp;F743-E743,"+"&amp;E743-F743)),"")</f>
        <v/>
      </c>
      <c r="H743" s="12">
        <f>if($A743&lt;&gt;"",if(B743&gt;C743,if(B743&lt;60,1,2),""),"")</f>
        <v/>
      </c>
      <c r="I743" s="12">
        <f>if($A743&lt;&gt;"",if(C743&gt;B743,if(C743&lt;60,1,2),""),"")</f>
        <v/>
      </c>
      <c r="J743" s="9">
        <f>if($A743&lt;&gt;"",J742+H743,"")</f>
        <v/>
      </c>
      <c r="K743" s="9">
        <f>if($A743&lt;&gt;"",K742+I743,"")</f>
        <v/>
      </c>
      <c r="L743" s="11">
        <f>IF($A743&lt;&gt;"",IF(K743-J743=0,"tie",IF(K743-J743&gt;0,"+"&amp;K743-J743,"+"&amp;J743-K743)),"")</f>
        <v/>
      </c>
      <c r="M743" s="17" t="n"/>
      <c r="N743" s="17" t="n"/>
      <c r="O743" s="17" t="n"/>
      <c r="P743" s="17" t="n"/>
      <c r="Q743" s="17" t="n"/>
      <c r="R743" s="17" t="n"/>
      <c r="S743" s="17" t="n"/>
    </row>
    <row r="744">
      <c r="A744" s="15" t="n">
        <v>44880</v>
      </c>
      <c r="B744" s="9" t="n">
        <v>25</v>
      </c>
      <c r="C744" s="10" t="n">
        <v>30</v>
      </c>
      <c r="D744" s="17" t="inlineStr">
        <is>
          <t>Preston Way</t>
        </is>
      </c>
      <c r="E744" s="9">
        <f>if($A744&lt;&gt;"",E743+B744,"")</f>
        <v/>
      </c>
      <c r="F744" s="10">
        <f>if($A744&lt;&gt;"",F743+C744,"")</f>
        <v/>
      </c>
      <c r="G744" s="11">
        <f>IF($A744&lt;&gt;"",IF(F744-E744=0,"tie",IF(F744-E744&gt;0,"+"&amp;F744-E744,"+"&amp;E744-F744)),"")</f>
        <v/>
      </c>
      <c r="H744" s="12">
        <f>if($A744&lt;&gt;"",if(B744&gt;C744,if(B744&lt;60,1,2),""),"")</f>
        <v/>
      </c>
      <c r="I744" s="12">
        <f>if($A744&lt;&gt;"",if(C744&gt;B744,if(C744&lt;60,1,2),""),"")</f>
        <v/>
      </c>
      <c r="J744" s="9">
        <f>if($A744&lt;&gt;"",J743+H744,"")</f>
        <v/>
      </c>
      <c r="K744" s="9">
        <f>if($A744&lt;&gt;"",K743+I744,"")</f>
        <v/>
      </c>
      <c r="L744" s="11">
        <f>IF($A744&lt;&gt;"",IF(K744-J744=0,"tie",IF(K744-J744&gt;0,"+"&amp;K744-J744,"+"&amp;J744-K744)),"")</f>
        <v/>
      </c>
      <c r="M744" s="17" t="n"/>
      <c r="N744" s="17" t="n"/>
      <c r="O744" s="17" t="n"/>
      <c r="P744" s="17" t="n"/>
      <c r="Q744" s="17" t="n"/>
      <c r="R744" s="17" t="n"/>
      <c r="S744" s="17" t="n"/>
    </row>
    <row r="745">
      <c r="A745" s="15" t="n">
        <v>44883</v>
      </c>
      <c r="B745" s="10" t="n">
        <v>30</v>
      </c>
      <c r="C745" s="9" t="n">
        <v>25</v>
      </c>
      <c r="D745" s="17" t="inlineStr">
        <is>
          <t>Preston Way</t>
        </is>
      </c>
      <c r="E745" s="9">
        <f>if($A745&lt;&gt;"",E744+B745,"")</f>
        <v/>
      </c>
      <c r="F745" s="10">
        <f>if($A745&lt;&gt;"",F744+C745,"")</f>
        <v/>
      </c>
      <c r="G745" s="11">
        <f>IF($A745&lt;&gt;"",IF(F745-E745=0,"tie",IF(F745-E745&gt;0,"+"&amp;F745-E745,"+"&amp;E745-F745)),"")</f>
        <v/>
      </c>
      <c r="H745" s="12">
        <f>if($A745&lt;&gt;"",if(B745&gt;C745,if(B745&lt;60,1,2),""),"")</f>
        <v/>
      </c>
      <c r="I745" s="12">
        <f>if($A745&lt;&gt;"",if(C745&gt;B745,if(C745&lt;60,1,2),""),"")</f>
        <v/>
      </c>
      <c r="J745" s="9">
        <f>if($A745&lt;&gt;"",J744+H745,"")</f>
        <v/>
      </c>
      <c r="K745" s="9">
        <f>if($A745&lt;&gt;"",K744+I745,"")</f>
        <v/>
      </c>
      <c r="L745" s="11">
        <f>IF($A745&lt;&gt;"",IF(K745-J745=0,"tie",IF(K745-J745&gt;0,"+"&amp;K745-J745,"+"&amp;J745-K745)),"")</f>
        <v/>
      </c>
      <c r="M745" s="17" t="n"/>
      <c r="N745" s="17" t="n"/>
      <c r="O745" s="17" t="n"/>
      <c r="P745" s="17" t="n"/>
      <c r="Q745" s="17" t="n"/>
      <c r="R745" s="17" t="n"/>
      <c r="S745" s="17" t="n"/>
    </row>
    <row r="746">
      <c r="A746" s="15" t="n">
        <v>44887</v>
      </c>
      <c r="B746" s="10" t="n">
        <v>30</v>
      </c>
      <c r="C746" s="9" t="n">
        <v>25</v>
      </c>
      <c r="D746" s="17" t="inlineStr">
        <is>
          <t>Preston Way</t>
        </is>
      </c>
      <c r="E746" s="9">
        <f>if($A746&lt;&gt;"",E745+B746,"")</f>
        <v/>
      </c>
      <c r="F746" s="10">
        <f>if($A746&lt;&gt;"",F745+C746,"")</f>
        <v/>
      </c>
      <c r="G746" s="11">
        <f>IF($A746&lt;&gt;"",IF(F746-E746=0,"tie",IF(F746-E746&gt;0,"+"&amp;F746-E746,"+"&amp;E746-F746)),"")</f>
        <v/>
      </c>
      <c r="H746" s="12">
        <f>if($A746&lt;&gt;"",if(B746&gt;C746,if(B746&lt;60,1,2),""),"")</f>
        <v/>
      </c>
      <c r="I746" s="12">
        <f>if($A746&lt;&gt;"",if(C746&gt;B746,if(C746&lt;60,1,2),""),"")</f>
        <v/>
      </c>
      <c r="J746" s="9">
        <f>if($A746&lt;&gt;"",J745+H746,"")</f>
        <v/>
      </c>
      <c r="K746" s="9">
        <f>if($A746&lt;&gt;"",K745+I746,"")</f>
        <v/>
      </c>
      <c r="L746" s="11">
        <f>IF($A746&lt;&gt;"",IF(K746-J746=0,"tie",IF(K746-J746&gt;0,"+"&amp;K746-J746,"+"&amp;J746-K746)),"")</f>
        <v/>
      </c>
      <c r="M746" s="17" t="n"/>
      <c r="N746" s="17" t="n"/>
      <c r="O746" s="17" t="n"/>
      <c r="P746" s="17" t="n"/>
      <c r="Q746" s="17" t="n"/>
      <c r="R746" s="17" t="n"/>
      <c r="S746" s="17" t="n"/>
    </row>
    <row r="747">
      <c r="A747" s="15" t="n">
        <v>44888</v>
      </c>
      <c r="B747" s="9" t="n">
        <v>25</v>
      </c>
      <c r="C747" s="10" t="n">
        <v>30</v>
      </c>
      <c r="D747" s="17" t="inlineStr">
        <is>
          <t>Zinque, Venice</t>
        </is>
      </c>
      <c r="E747" s="9">
        <f>if($A747&lt;&gt;"",E746+B747,"")</f>
        <v/>
      </c>
      <c r="F747" s="10">
        <f>if($A747&lt;&gt;"",F746+C747,"")</f>
        <v/>
      </c>
      <c r="G747" s="11">
        <f>IF($A747&lt;&gt;"",IF(F747-E747=0,"tie",IF(F747-E747&gt;0,"+"&amp;F747-E747,"+"&amp;E747-F747)),"")</f>
        <v/>
      </c>
      <c r="H747" s="12">
        <f>if($A747&lt;&gt;"",if(B747&gt;C747,if(B747&lt;60,1,2),""),"")</f>
        <v/>
      </c>
      <c r="I747" s="12">
        <f>if($A747&lt;&gt;"",if(C747&gt;B747,if(C747&lt;60,1,2),""),"")</f>
        <v/>
      </c>
      <c r="J747" s="9">
        <f>if($A747&lt;&gt;"",J746+H747,"")</f>
        <v/>
      </c>
      <c r="K747" s="9">
        <f>if($A747&lt;&gt;"",K746+I747,"")</f>
        <v/>
      </c>
      <c r="L747" s="11">
        <f>IF($A747&lt;&gt;"",IF(K747-J747=0,"tie",IF(K747-J747&gt;0,"+"&amp;K747-J747,"+"&amp;J747-K747)),"")</f>
        <v/>
      </c>
      <c r="M747" s="17" t="n"/>
      <c r="N747" s="17" t="n"/>
      <c r="O747" s="17" t="n"/>
      <c r="P747" s="17" t="n"/>
      <c r="Q747" s="17" t="n"/>
      <c r="R747" s="17" t="n"/>
      <c r="S747" s="17" t="n"/>
    </row>
    <row r="748">
      <c r="A748" s="15" t="n">
        <v>44888</v>
      </c>
      <c r="B748" s="9" t="n">
        <v>25</v>
      </c>
      <c r="C748" s="10" t="n">
        <v>30</v>
      </c>
      <c r="D748" s="17" t="inlineStr">
        <is>
          <t>Preston Way</t>
        </is>
      </c>
      <c r="E748" s="9">
        <f>if($A748&lt;&gt;"",E747+B748,"")</f>
        <v/>
      </c>
      <c r="F748" s="10">
        <f>if($A748&lt;&gt;"",F747+C748,"")</f>
        <v/>
      </c>
      <c r="G748" s="11">
        <f>IF($A748&lt;&gt;"",IF(F748-E748=0,"tie",IF(F748-E748&gt;0,"+"&amp;F748-E748,"+"&amp;E748-F748)),"")</f>
        <v/>
      </c>
      <c r="H748" s="12">
        <f>if($A748&lt;&gt;"",if(B748&gt;C748,if(B748&lt;60,1,2),""),"")</f>
        <v/>
      </c>
      <c r="I748" s="12">
        <f>if($A748&lt;&gt;"",if(C748&gt;B748,if(C748&lt;60,1,2),""),"")</f>
        <v/>
      </c>
      <c r="J748" s="9">
        <f>if($A748&lt;&gt;"",J747+H748,"")</f>
        <v/>
      </c>
      <c r="K748" s="9">
        <f>if($A748&lt;&gt;"",K747+I748,"")</f>
        <v/>
      </c>
      <c r="L748" s="11">
        <f>IF($A748&lt;&gt;"",IF(K748-J748=0,"tie",IF(K748-J748&gt;0,"+"&amp;K748-J748,"+"&amp;J748-K748)),"")</f>
        <v/>
      </c>
      <c r="M748" s="17" t="n"/>
      <c r="N748" s="17" t="n"/>
      <c r="O748" s="17" t="n"/>
      <c r="P748" s="17" t="n"/>
      <c r="Q748" s="17" t="n"/>
      <c r="R748" s="17" t="n"/>
      <c r="S748" s="17" t="n"/>
    </row>
    <row r="749">
      <c r="A749" s="15" t="n">
        <v>44901</v>
      </c>
      <c r="B749" s="9" t="n">
        <v>25</v>
      </c>
      <c r="C749" s="10" t="n">
        <v>30</v>
      </c>
      <c r="D749" s="17" t="inlineStr">
        <is>
          <t>George's Burgers, Santa Monica</t>
        </is>
      </c>
      <c r="E749" s="9">
        <f>if($A749&lt;&gt;"",E748+B749,"")</f>
        <v/>
      </c>
      <c r="F749" s="10">
        <f>if($A749&lt;&gt;"",F748+C749,"")</f>
        <v/>
      </c>
      <c r="G749" s="11">
        <f>IF($A749&lt;&gt;"",IF(F749-E749=0,"tie",IF(F749-E749&gt;0,"+"&amp;F749-E749,"+"&amp;E749-F749)),"")</f>
        <v/>
      </c>
      <c r="H749" s="12">
        <f>if($A749&lt;&gt;"",if(B749&gt;C749,if(B749&lt;60,1,2),""),"")</f>
        <v/>
      </c>
      <c r="I749" s="12">
        <f>if($A749&lt;&gt;"",if(C749&gt;B749,if(C749&lt;60,1,2),""),"")</f>
        <v/>
      </c>
      <c r="J749" s="9">
        <f>if($A749&lt;&gt;"",J748+H749,"")</f>
        <v/>
      </c>
      <c r="K749" s="9">
        <f>if($A749&lt;&gt;"",K748+I749,"")</f>
        <v/>
      </c>
      <c r="L749" s="11">
        <f>IF($A749&lt;&gt;"",IF(K749-J749=0,"tie",IF(K749-J749&gt;0,"+"&amp;K749-J749,"+"&amp;J749-K749)),"")</f>
        <v/>
      </c>
      <c r="M749" s="17" t="n"/>
      <c r="N749" s="17" t="n"/>
      <c r="O749" s="17" t="n"/>
      <c r="P749" s="17" t="n"/>
      <c r="Q749" s="17" t="n"/>
      <c r="R749" s="17" t="n"/>
      <c r="S749" s="17" t="n"/>
    </row>
    <row r="750">
      <c r="A750" s="15" t="n">
        <v>44911</v>
      </c>
      <c r="B750" s="9" t="n">
        <v>50</v>
      </c>
      <c r="C750" s="10" t="n">
        <v>60</v>
      </c>
      <c r="D750" s="17" t="inlineStr">
        <is>
          <t>Café 50's, WLA</t>
        </is>
      </c>
      <c r="E750" s="9">
        <f>if($A750&lt;&gt;"",E749+B750,"")</f>
        <v/>
      </c>
      <c r="F750" s="10">
        <f>if($A750&lt;&gt;"",F749+C750,"")</f>
        <v/>
      </c>
      <c r="G750" s="11">
        <f>IF($A750&lt;&gt;"",IF(F750-E750=0,"tie",IF(F750-E750&gt;0,"+"&amp;F750-E750,"+"&amp;E750-F750)),"")</f>
        <v/>
      </c>
      <c r="H750" s="12">
        <f>if($A750&lt;&gt;"",if(B750&gt;C750,if(B750&lt;60,1,2),""),"")</f>
        <v/>
      </c>
      <c r="I750" s="12">
        <f>if($A750&lt;&gt;"",if(C750&gt;B750,if(C750&lt;60,1,2),""),"")</f>
        <v/>
      </c>
      <c r="J750" s="9">
        <f>if($A750&lt;&gt;"",J749+H750,"")</f>
        <v/>
      </c>
      <c r="K750" s="9">
        <f>if($A750&lt;&gt;"",K749+I750,"")</f>
        <v/>
      </c>
      <c r="L750" s="11">
        <f>IF($A750&lt;&gt;"",IF(K750-J750=0,"tie",IF(K750-J750&gt;0,"+"&amp;K750-J750,"+"&amp;J750-K750)),"")</f>
        <v/>
      </c>
      <c r="M750" s="17" t="n"/>
      <c r="N750" s="17" t="n"/>
      <c r="O750" s="17" t="n"/>
      <c r="P750" s="17" t="n"/>
      <c r="Q750" s="17" t="n"/>
      <c r="R750" s="17" t="n"/>
      <c r="S750" s="17" t="n"/>
    </row>
    <row r="751">
      <c r="A751" s="15" t="n">
        <v>44911</v>
      </c>
      <c r="B751" s="9" t="n">
        <v>50</v>
      </c>
      <c r="C751" s="10" t="n">
        <v>60</v>
      </c>
      <c r="D751" s="17" t="inlineStr">
        <is>
          <t>Twoheys</t>
        </is>
      </c>
      <c r="E751" s="9">
        <f>if($A751&lt;&gt;"",E750+B751,"")</f>
        <v/>
      </c>
      <c r="F751" s="10">
        <f>if($A751&lt;&gt;"",F750+C751,"")</f>
        <v/>
      </c>
      <c r="G751" s="11">
        <f>IF($A751&lt;&gt;"",IF(F751-E751=0,"tie",IF(F751-E751&gt;0,"+"&amp;F751-E751,"+"&amp;E751-F751)),"")</f>
        <v/>
      </c>
      <c r="H751" s="12">
        <f>if($A751&lt;&gt;"",if(B751&gt;C751,if(B751&lt;60,1,2),""),"")</f>
        <v/>
      </c>
      <c r="I751" s="12">
        <f>if($A751&lt;&gt;"",if(C751&gt;B751,if(C751&lt;60,1,2),""),"")</f>
        <v/>
      </c>
      <c r="J751" s="9">
        <f>if($A751&lt;&gt;"",J750+H751,"")</f>
        <v/>
      </c>
      <c r="K751" s="9">
        <f>if($A751&lt;&gt;"",K750+I751,"")</f>
        <v/>
      </c>
      <c r="L751" s="11">
        <f>IF($A751&lt;&gt;"",IF(K751-J751=0,"tie",IF(K751-J751&gt;0,"+"&amp;K751-J751,"+"&amp;J751-K751)),"")</f>
        <v/>
      </c>
      <c r="M751" s="17" t="n"/>
      <c r="N751" s="17" t="n"/>
      <c r="O751" s="17" t="n"/>
      <c r="P751" s="17" t="n"/>
      <c r="Q751" s="17" t="n"/>
      <c r="R751" s="17" t="n"/>
      <c r="S751" s="17" t="n"/>
    </row>
    <row r="752">
      <c r="A752" s="15" t="n">
        <v>44914</v>
      </c>
      <c r="B752" s="9" t="n">
        <v>50</v>
      </c>
      <c r="C752" s="10" t="n">
        <v>60</v>
      </c>
      <c r="D752" s="17" t="inlineStr">
        <is>
          <t>Fromins, Santa Monica</t>
        </is>
      </c>
      <c r="E752" s="9">
        <f>if($A752&lt;&gt;"",E751+B752,"")</f>
        <v/>
      </c>
      <c r="F752" s="10">
        <f>if($A752&lt;&gt;"",F751+C752,"")</f>
        <v/>
      </c>
      <c r="G752" s="11">
        <f>IF($A752&lt;&gt;"",IF(F752-E752=0,"tie",IF(F752-E752&gt;0,"+"&amp;F752-E752,"+"&amp;E752-F752)),"")</f>
        <v/>
      </c>
      <c r="H752" s="12">
        <f>if($A752&lt;&gt;"",if(B752&gt;C752,if(B752&lt;60,1,2),""),"")</f>
        <v/>
      </c>
      <c r="I752" s="12">
        <f>if($A752&lt;&gt;"",if(C752&gt;B752,if(C752&lt;60,1,2),""),"")</f>
        <v/>
      </c>
      <c r="J752" s="9">
        <f>if($A752&lt;&gt;"",J751+H752,"")</f>
        <v/>
      </c>
      <c r="K752" s="9">
        <f>if($A752&lt;&gt;"",K751+I752,"")</f>
        <v/>
      </c>
      <c r="L752" s="11">
        <f>IF($A752&lt;&gt;"",IF(K752-J752=0,"tie",IF(K752-J752&gt;0,"+"&amp;K752-J752,"+"&amp;J752-K752)),"")</f>
        <v/>
      </c>
      <c r="M752" s="17" t="n"/>
      <c r="N752" s="17" t="n"/>
      <c r="O752" s="17" t="n"/>
      <c r="P752" s="17" t="n"/>
      <c r="Q752" s="17" t="n"/>
      <c r="R752" s="17" t="n"/>
      <c r="S752" s="17" t="n"/>
    </row>
    <row r="753">
      <c r="A753" s="15" t="n">
        <v>44917</v>
      </c>
      <c r="B753" s="9" t="n">
        <v>25</v>
      </c>
      <c r="C753" s="10" t="n">
        <v>30</v>
      </c>
      <c r="D753" s="17" t="inlineStr">
        <is>
          <t>Zinque, Venice</t>
        </is>
      </c>
      <c r="E753" s="9">
        <f>if($A753&lt;&gt;"",E752+B753,"")</f>
        <v/>
      </c>
      <c r="F753" s="10">
        <f>if($A753&lt;&gt;"",F752+C753,"")</f>
        <v/>
      </c>
      <c r="G753" s="11">
        <f>IF($A753&lt;&gt;"",IF(F753-E753=0,"tie",IF(F753-E753&gt;0,"+"&amp;F753-E753,"+"&amp;E753-F753)),"")</f>
        <v/>
      </c>
      <c r="H753" s="12">
        <f>if($A753&lt;&gt;"",if(B753&gt;C753,if(B753&lt;60,1,2),""),"")</f>
        <v/>
      </c>
      <c r="I753" s="12">
        <f>if($A753&lt;&gt;"",if(C753&gt;B753,if(C753&lt;60,1,2),""),"")</f>
        <v/>
      </c>
      <c r="J753" s="9">
        <f>if($A753&lt;&gt;"",J752+H753,"")</f>
        <v/>
      </c>
      <c r="K753" s="9">
        <f>if($A753&lt;&gt;"",K752+I753,"")</f>
        <v/>
      </c>
      <c r="L753" s="11">
        <f>IF($A753&lt;&gt;"",IF(K753-J753=0,"tie",IF(K753-J753&gt;0,"+"&amp;K753-J753,"+"&amp;J753-K753)),"")</f>
        <v/>
      </c>
      <c r="M753" s="17" t="n"/>
      <c r="N753" s="17" t="n"/>
      <c r="O753" s="17" t="n"/>
      <c r="P753" s="17" t="n"/>
      <c r="Q753" s="17" t="n"/>
      <c r="R753" s="17" t="n"/>
      <c r="S753" s="17" t="n"/>
    </row>
    <row r="754">
      <c r="A754" s="15" t="n">
        <v>44921</v>
      </c>
      <c r="B754" s="9" t="n">
        <v>25</v>
      </c>
      <c r="C754" s="10" t="n">
        <v>30</v>
      </c>
      <c r="D754" s="17" t="inlineStr">
        <is>
          <t>Clearman's Galley, The Boat, Rosemead, CA</t>
        </is>
      </c>
      <c r="E754" s="9">
        <f>if($A754&lt;&gt;"",E753+B754,"")</f>
        <v/>
      </c>
      <c r="F754" s="10">
        <f>if($A754&lt;&gt;"",F753+C754,"")</f>
        <v/>
      </c>
      <c r="G754" s="11">
        <f>IF($A754&lt;&gt;"",IF(F754-E754=0,"tie",IF(F754-E754&gt;0,"+"&amp;F754-E754,"+"&amp;E754-F754)),"")</f>
        <v/>
      </c>
      <c r="H754" s="12">
        <f>if($A754&lt;&gt;"",if(B754&gt;C754,if(B754&lt;60,1,2),""),"")</f>
        <v/>
      </c>
      <c r="I754" s="12">
        <f>if($A754&lt;&gt;"",if(C754&gt;B754,if(C754&lt;60,1,2),""),"")</f>
        <v/>
      </c>
      <c r="J754" s="9">
        <f>if($A754&lt;&gt;"",J753+H754,"")</f>
        <v/>
      </c>
      <c r="K754" s="9">
        <f>if($A754&lt;&gt;"",K753+I754,"")</f>
        <v/>
      </c>
      <c r="L754" s="11">
        <f>IF($A754&lt;&gt;"",IF(K754-J754=0,"tie",IF(K754-J754&gt;0,"+"&amp;K754-J754,"+"&amp;J754-K754)),"")</f>
        <v/>
      </c>
      <c r="M754" s="17" t="n"/>
      <c r="N754" s="17" t="n"/>
      <c r="O754" s="17" t="n"/>
      <c r="P754" s="17" t="n"/>
      <c r="Q754" s="17" t="n"/>
      <c r="R754" s="17" t="n"/>
      <c r="S754" s="17" t="n"/>
    </row>
    <row r="755">
      <c r="A755" s="15" t="n">
        <v>44922</v>
      </c>
      <c r="B755" s="9" t="n">
        <v>50</v>
      </c>
      <c r="C755" s="10" t="n">
        <v>60</v>
      </c>
      <c r="D755" s="17" t="inlineStr">
        <is>
          <t>Taverna, Mar Vista</t>
        </is>
      </c>
      <c r="E755" s="9">
        <f>if($A755&lt;&gt;"",E754+B755,"")</f>
        <v/>
      </c>
      <c r="F755" s="10">
        <f>if($A755&lt;&gt;"",F754+C755,"")</f>
        <v/>
      </c>
      <c r="G755" s="11">
        <f>IF($A755&lt;&gt;"",IF(F755-E755=0,"tie",IF(F755-E755&gt;0,"+"&amp;F755-E755,"+"&amp;E755-F755)),"")</f>
        <v/>
      </c>
      <c r="H755" s="12">
        <f>if($A755&lt;&gt;"",if(B755&gt;C755,if(B755&lt;60,1,2),""),"")</f>
        <v/>
      </c>
      <c r="I755" s="12">
        <f>if($A755&lt;&gt;"",if(C755&gt;B755,if(C755&lt;60,1,2),""),"")</f>
        <v/>
      </c>
      <c r="J755" s="9">
        <f>if($A755&lt;&gt;"",J754+H755,"")</f>
        <v/>
      </c>
      <c r="K755" s="9">
        <f>if($A755&lt;&gt;"",K754+I755,"")</f>
        <v/>
      </c>
      <c r="L755" s="11">
        <f>IF($A755&lt;&gt;"",IF(K755-J755=0,"tie",IF(K755-J755&gt;0,"+"&amp;K755-J755,"+"&amp;J755-K755)),"")</f>
        <v/>
      </c>
      <c r="M755" s="17" t="n"/>
      <c r="N755" s="17" t="n"/>
      <c r="O755" s="17" t="n"/>
      <c r="P755" s="17" t="n"/>
      <c r="Q755" s="17" t="n"/>
      <c r="R755" s="17" t="n"/>
      <c r="S755" s="17" t="n"/>
    </row>
    <row r="756">
      <c r="A756" s="15" t="n">
        <v>44928</v>
      </c>
      <c r="B756" s="10" t="n">
        <v>30</v>
      </c>
      <c r="C756" s="9" t="n">
        <v>25</v>
      </c>
      <c r="D756" s="17" t="inlineStr">
        <is>
          <t>Zinque, Venice</t>
        </is>
      </c>
      <c r="E756" s="9">
        <f>if($A756&lt;&gt;"",E755+B756,"")</f>
        <v/>
      </c>
      <c r="F756" s="10">
        <f>if($A756&lt;&gt;"",F755+C756,"")</f>
        <v/>
      </c>
      <c r="G756" s="11">
        <f>IF($A756&lt;&gt;"",IF(F756-E756=0,"tie",IF(F756-E756&gt;0,"+"&amp;F756-E756,"+"&amp;E756-F756)),"")</f>
        <v/>
      </c>
      <c r="H756" s="12">
        <f>if($A756&lt;&gt;"",if(B756&gt;C756,if(B756&lt;60,1,2),""),"")</f>
        <v/>
      </c>
      <c r="I756" s="12">
        <f>if($A756&lt;&gt;"",if(C756&gt;B756,if(C756&lt;60,1,2),""),"")</f>
        <v/>
      </c>
      <c r="J756" s="9">
        <f>if($A756&lt;&gt;"",J755+H756,"")</f>
        <v/>
      </c>
      <c r="K756" s="9">
        <f>if($A756&lt;&gt;"",K755+I756,"")</f>
        <v/>
      </c>
      <c r="L756" s="11">
        <f>IF($A756&lt;&gt;"",IF(K756-J756=0,"tie",IF(K756-J756&gt;0,"+"&amp;K756-J756,"+"&amp;J756-K756)),"")</f>
        <v/>
      </c>
      <c r="M756" s="17" t="n"/>
      <c r="N756" s="17" t="n"/>
      <c r="O756" s="17" t="n"/>
      <c r="P756" s="17" t="n"/>
      <c r="Q756" s="17" t="n"/>
      <c r="R756" s="17" t="n"/>
      <c r="S756" s="17" t="n"/>
    </row>
    <row r="757">
      <c r="A757" s="15" t="n">
        <v>44930</v>
      </c>
      <c r="B757" s="10" t="n">
        <v>30</v>
      </c>
      <c r="C757" s="9" t="n">
        <v>25</v>
      </c>
      <c r="D757" s="17" t="inlineStr">
        <is>
          <t>Preston Way</t>
        </is>
      </c>
      <c r="E757" s="9">
        <f>if($A757&lt;&gt;"",E756+B757,"")</f>
        <v/>
      </c>
      <c r="F757" s="10">
        <f>if($A757&lt;&gt;"",F756+C757,"")</f>
        <v/>
      </c>
      <c r="G757" s="11">
        <f>IF($A757&lt;&gt;"",IF(F757-E757=0,"tie",IF(F757-E757&gt;0,"+"&amp;F757-E757,"+"&amp;E757-F757)),"")</f>
        <v/>
      </c>
      <c r="H757" s="12">
        <f>if($A757&lt;&gt;"",if(B757&gt;C757,if(B757&lt;60,1,2),""),"")</f>
        <v/>
      </c>
      <c r="I757" s="12">
        <f>if($A757&lt;&gt;"",if(C757&gt;B757,if(C757&lt;60,1,2),""),"")</f>
        <v/>
      </c>
      <c r="J757" s="9">
        <f>if($A757&lt;&gt;"",J756+H757,"")</f>
        <v/>
      </c>
      <c r="K757" s="9">
        <f>if($A757&lt;&gt;"",K756+I757,"")</f>
        <v/>
      </c>
      <c r="L757" s="11">
        <f>IF($A757&lt;&gt;"",IF(K757-J757=0,"tie",IF(K757-J757&gt;0,"+"&amp;K757-J757,"+"&amp;J757-K757)),"")</f>
        <v/>
      </c>
      <c r="M757" s="17" t="n"/>
      <c r="N757" s="17" t="n"/>
      <c r="O757" s="17" t="n"/>
      <c r="P757" s="17" t="n"/>
      <c r="Q757" s="17" t="n"/>
      <c r="R757" s="17" t="n"/>
      <c r="S757" s="17" t="n"/>
    </row>
    <row r="758">
      <c r="A758" s="15" t="n">
        <v>44932</v>
      </c>
      <c r="B758" s="10" t="n">
        <v>30</v>
      </c>
      <c r="C758" s="9" t="n">
        <v>25</v>
      </c>
      <c r="D758" s="17" t="inlineStr">
        <is>
          <t>Preston Way</t>
        </is>
      </c>
      <c r="E758" s="9">
        <f>if($A758&lt;&gt;"",E757+B758,"")</f>
        <v/>
      </c>
      <c r="F758" s="10">
        <f>if($A758&lt;&gt;"",F757+C758,"")</f>
        <v/>
      </c>
      <c r="G758" s="11">
        <f>IF($A758&lt;&gt;"",IF(F758-E758=0,"tie",IF(F758-E758&gt;0,"+"&amp;F758-E758,"+"&amp;E758-F758)),"")</f>
        <v/>
      </c>
      <c r="H758" s="12">
        <f>if($A758&lt;&gt;"",if(B758&gt;C758,if(B758&lt;60,1,2),""),"")</f>
        <v/>
      </c>
      <c r="I758" s="12">
        <f>if($A758&lt;&gt;"",if(C758&gt;B758,if(C758&lt;60,1,2),""),"")</f>
        <v/>
      </c>
      <c r="J758" s="9">
        <f>if($A758&lt;&gt;"",J757+H758,"")</f>
        <v/>
      </c>
      <c r="K758" s="9">
        <f>if($A758&lt;&gt;"",K757+I758,"")</f>
        <v/>
      </c>
      <c r="L758" s="11">
        <f>IF($A758&lt;&gt;"",IF(K758-J758=0,"tie",IF(K758-J758&gt;0,"+"&amp;K758-J758,"+"&amp;J758-K758)),"")</f>
        <v/>
      </c>
      <c r="M758" s="17" t="n"/>
      <c r="N758" s="17" t="n"/>
      <c r="O758" s="17" t="n"/>
      <c r="P758" s="17" t="n"/>
      <c r="Q758" s="17" t="n"/>
      <c r="R758" s="17" t="n"/>
      <c r="S758" s="17" t="n"/>
    </row>
    <row r="759">
      <c r="A759" s="15" t="n">
        <v>44932</v>
      </c>
      <c r="B759" s="9" t="n">
        <v>25</v>
      </c>
      <c r="C759" s="10" t="n">
        <v>30</v>
      </c>
      <c r="D759" s="17" t="inlineStr">
        <is>
          <t>Zinque, Venice</t>
        </is>
      </c>
      <c r="E759" s="9">
        <f>if($A759&lt;&gt;"",E758+B759,"")</f>
        <v/>
      </c>
      <c r="F759" s="10">
        <f>if($A759&lt;&gt;"",F758+C759,"")</f>
        <v/>
      </c>
      <c r="G759" s="11">
        <f>IF($A759&lt;&gt;"",IF(F759-E759=0,"tie",IF(F759-E759&gt;0,"+"&amp;F759-E759,"+"&amp;E759-F759)),"")</f>
        <v/>
      </c>
      <c r="H759" s="12">
        <f>if($A759&lt;&gt;"",if(B759&gt;C759,if(B759&lt;60,1,2),""),"")</f>
        <v/>
      </c>
      <c r="I759" s="12">
        <f>if($A759&lt;&gt;"",if(C759&gt;B759,if(C759&lt;60,1,2),""),"")</f>
        <v/>
      </c>
      <c r="J759" s="9">
        <f>if($A759&lt;&gt;"",J758+H759,"")</f>
        <v/>
      </c>
      <c r="K759" s="9">
        <f>if($A759&lt;&gt;"",K758+I759,"")</f>
        <v/>
      </c>
      <c r="L759" s="11">
        <f>IF($A759&lt;&gt;"",IF(K759-J759=0,"tie",IF(K759-J759&gt;0,"+"&amp;K759-J759,"+"&amp;J759-K759)),"")</f>
        <v/>
      </c>
      <c r="M759" s="17" t="n"/>
      <c r="N759" s="17" t="n"/>
      <c r="O759" s="17" t="n"/>
      <c r="P759" s="17" t="n"/>
      <c r="Q759" s="17" t="n"/>
      <c r="R759" s="17" t="n"/>
      <c r="S759" s="17" t="n"/>
    </row>
    <row r="760">
      <c r="A760" s="15" t="n">
        <v>44939</v>
      </c>
      <c r="B760" s="10" t="n">
        <v>30</v>
      </c>
      <c r="C760" s="9" t="n">
        <v>25</v>
      </c>
      <c r="D760" s="17" t="inlineStr">
        <is>
          <t>Zinque, Venice</t>
        </is>
      </c>
      <c r="E760" s="9">
        <f>if($A760&lt;&gt;"",E759+B760,"")</f>
        <v/>
      </c>
      <c r="F760" s="10">
        <f>if($A760&lt;&gt;"",F759+C760,"")</f>
        <v/>
      </c>
      <c r="G760" s="11">
        <f>IF($A760&lt;&gt;"",IF(F760-E760=0,"tie",IF(F760-E760&gt;0,"+"&amp;F760-E760,"+"&amp;E760-F760)),"")</f>
        <v/>
      </c>
      <c r="H760" s="12">
        <f>if($A760&lt;&gt;"",if(B760&gt;C760,if(B760&lt;60,1,2),""),"")</f>
        <v/>
      </c>
      <c r="I760" s="12">
        <f>if($A760&lt;&gt;"",if(C760&gt;B760,if(C760&lt;60,1,2),""),"")</f>
        <v/>
      </c>
      <c r="J760" s="9">
        <f>if($A760&lt;&gt;"",J759+H760,"")</f>
        <v/>
      </c>
      <c r="K760" s="9">
        <f>if($A760&lt;&gt;"",K759+I760,"")</f>
        <v/>
      </c>
      <c r="L760" s="11">
        <f>IF($A760&lt;&gt;"",IF(K760-J760=0,"tie",IF(K760-J760&gt;0,"+"&amp;K760-J760,"+"&amp;J760-K760)),"")</f>
        <v/>
      </c>
      <c r="M760" s="17" t="n"/>
      <c r="N760" s="17" t="n"/>
      <c r="O760" s="17" t="n"/>
      <c r="P760" s="17" t="n"/>
      <c r="Q760" s="17" t="n"/>
      <c r="R760" s="17" t="n"/>
      <c r="S760" s="17" t="n"/>
    </row>
    <row r="761">
      <c r="A761" s="15" t="n">
        <v>44942</v>
      </c>
      <c r="B761" s="9" t="n">
        <v>50</v>
      </c>
      <c r="C761" s="10" t="n">
        <v>60</v>
      </c>
      <c r="D761" s="17" t="inlineStr">
        <is>
          <t>George's Burgers, Santa Monica</t>
        </is>
      </c>
      <c r="E761" s="9">
        <f>if($A761&lt;&gt;"",E760+B761,"")</f>
        <v/>
      </c>
      <c r="F761" s="10">
        <f>if($A761&lt;&gt;"",F760+C761,"")</f>
        <v/>
      </c>
      <c r="G761" s="11">
        <f>IF($A761&lt;&gt;"",IF(F761-E761=0,"tie",IF(F761-E761&gt;0,"+"&amp;F761-E761,"+"&amp;E761-F761)),"")</f>
        <v/>
      </c>
      <c r="H761" s="12">
        <f>if($A761&lt;&gt;"",if(B761&gt;C761,if(B761&lt;60,1,2),""),"")</f>
        <v/>
      </c>
      <c r="I761" s="12">
        <f>if($A761&lt;&gt;"",if(C761&gt;B761,if(C761&lt;60,1,2),""),"")</f>
        <v/>
      </c>
      <c r="J761" s="9">
        <f>if($A761&lt;&gt;"",J760+H761,"")</f>
        <v/>
      </c>
      <c r="K761" s="9">
        <f>if($A761&lt;&gt;"",K760+I761,"")</f>
        <v/>
      </c>
      <c r="L761" s="11">
        <f>IF($A761&lt;&gt;"",IF(K761-J761=0,"tie",IF(K761-J761&gt;0,"+"&amp;K761-J761,"+"&amp;J761-K761)),"")</f>
        <v/>
      </c>
      <c r="M761" s="17" t="n"/>
      <c r="N761" s="17" t="n"/>
      <c r="O761" s="17" t="n"/>
      <c r="P761" s="17" t="n"/>
      <c r="Q761" s="17" t="n"/>
      <c r="R761" s="17" t="n"/>
      <c r="S761" s="17" t="n"/>
    </row>
    <row r="762">
      <c r="A762" s="15" t="n">
        <v>44947</v>
      </c>
      <c r="B762" s="10" t="n">
        <v>30</v>
      </c>
      <c r="C762" s="9" t="n">
        <v>25</v>
      </c>
      <c r="D762" s="17" t="inlineStr">
        <is>
          <t>Preston Way</t>
        </is>
      </c>
      <c r="E762" s="9">
        <f>if($A762&lt;&gt;"",E761+B762,"")</f>
        <v/>
      </c>
      <c r="F762" s="10">
        <f>if($A762&lt;&gt;"",F761+C762,"")</f>
        <v/>
      </c>
      <c r="G762" s="11">
        <f>IF($A762&lt;&gt;"",IF(F762-E762=0,"tie",IF(F762-E762&gt;0,"+"&amp;F762-E762,"+"&amp;E762-F762)),"")</f>
        <v/>
      </c>
      <c r="H762" s="12">
        <f>if($A762&lt;&gt;"",if(B762&gt;C762,if(B762&lt;60,1,2),""),"")</f>
        <v/>
      </c>
      <c r="I762" s="12">
        <f>if($A762&lt;&gt;"",if(C762&gt;B762,if(C762&lt;60,1,2),""),"")</f>
        <v/>
      </c>
      <c r="J762" s="9">
        <f>if($A762&lt;&gt;"",J761+H762,"")</f>
        <v/>
      </c>
      <c r="K762" s="9">
        <f>if($A762&lt;&gt;"",K761+I762,"")</f>
        <v/>
      </c>
      <c r="L762" s="11">
        <f>IF($A762&lt;&gt;"",IF(K762-J762=0,"tie",IF(K762-J762&gt;0,"+"&amp;K762-J762,"+"&amp;J762-K762)),"")</f>
        <v/>
      </c>
      <c r="M762" s="17" t="n"/>
      <c r="N762" s="17" t="n"/>
      <c r="O762" s="17" t="n"/>
      <c r="P762" s="17" t="n"/>
      <c r="Q762" s="17" t="n"/>
      <c r="R762" s="17" t="n"/>
      <c r="S762" s="17" t="n"/>
    </row>
    <row r="763">
      <c r="A763" s="15" t="n">
        <v>44949</v>
      </c>
      <c r="B763" s="9" t="n">
        <v>50</v>
      </c>
      <c r="C763" s="10" t="n">
        <v>60</v>
      </c>
      <c r="D763" s="17" t="inlineStr">
        <is>
          <t>Maple Block, Culver City</t>
        </is>
      </c>
      <c r="E763" s="9">
        <f>if($A763&lt;&gt;"",E762+B763,"")</f>
        <v/>
      </c>
      <c r="F763" s="10">
        <f>if($A763&lt;&gt;"",F762+C763,"")</f>
        <v/>
      </c>
      <c r="G763" s="11">
        <f>IF($A763&lt;&gt;"",IF(F763-E763=0,"tie",IF(F763-E763&gt;0,"+"&amp;F763-E763,"+"&amp;E763-F763)),"")</f>
        <v/>
      </c>
      <c r="H763" s="12">
        <f>if($A763&lt;&gt;"",if(B763&gt;C763,if(B763&lt;60,1,2),""),"")</f>
        <v/>
      </c>
      <c r="I763" s="12">
        <f>if($A763&lt;&gt;"",if(C763&gt;B763,if(C763&lt;60,1,2),""),"")</f>
        <v/>
      </c>
      <c r="J763" s="9">
        <f>if($A763&lt;&gt;"",J762+H763,"")</f>
        <v/>
      </c>
      <c r="K763" s="9">
        <f>if($A763&lt;&gt;"",K762+I763,"")</f>
        <v/>
      </c>
      <c r="L763" s="11">
        <f>IF($A763&lt;&gt;"",IF(K763-J763=0,"tie",IF(K763-J763&gt;0,"+"&amp;K763-J763,"+"&amp;J763-K763)),"")</f>
        <v/>
      </c>
      <c r="M763" s="17" t="n"/>
      <c r="N763" s="17" t="n"/>
      <c r="O763" s="17" t="n"/>
      <c r="P763" s="17" t="n"/>
      <c r="Q763" s="17" t="n"/>
      <c r="R763" s="17" t="n"/>
      <c r="S763" s="17" t="n"/>
    </row>
    <row r="764">
      <c r="A764" s="15" t="n">
        <v>44951</v>
      </c>
      <c r="B764" s="10" t="n">
        <v>30</v>
      </c>
      <c r="C764" s="9" t="n">
        <v>25</v>
      </c>
      <c r="D764" s="17" t="inlineStr">
        <is>
          <t>George's Burgers, Santa Monica</t>
        </is>
      </c>
      <c r="E764" s="9">
        <f>if($A764&lt;&gt;"",E763+B764,"")</f>
        <v/>
      </c>
      <c r="F764" s="10">
        <f>if($A764&lt;&gt;"",F763+C764,"")</f>
        <v/>
      </c>
      <c r="G764" s="11">
        <f>IF($A764&lt;&gt;"",IF(F764-E764=0,"tie",IF(F764-E764&gt;0,"+"&amp;F764-E764,"+"&amp;E764-F764)),"")</f>
        <v/>
      </c>
      <c r="H764" s="12">
        <f>if($A764&lt;&gt;"",if(B764&gt;C764,if(B764&lt;60,1,2),""),"")</f>
        <v/>
      </c>
      <c r="I764" s="12">
        <f>if($A764&lt;&gt;"",if(C764&gt;B764,if(C764&lt;60,1,2),""),"")</f>
        <v/>
      </c>
      <c r="J764" s="9">
        <f>if($A764&lt;&gt;"",J763+H764,"")</f>
        <v/>
      </c>
      <c r="K764" s="9">
        <f>if($A764&lt;&gt;"",K763+I764,"")</f>
        <v/>
      </c>
      <c r="L764" s="11">
        <f>IF($A764&lt;&gt;"",IF(K764-J764=0,"tie",IF(K764-J764&gt;0,"+"&amp;K764-J764,"+"&amp;J764-K764)),"")</f>
        <v/>
      </c>
      <c r="M764" s="17" t="n"/>
      <c r="N764" s="17" t="n"/>
      <c r="O764" s="17" t="n"/>
      <c r="P764" s="17" t="n"/>
      <c r="Q764" s="17" t="n"/>
      <c r="R764" s="17" t="n"/>
      <c r="S764" s="17" t="n"/>
    </row>
    <row r="765">
      <c r="A765" s="15" t="n">
        <v>44953</v>
      </c>
      <c r="B765" s="10" t="n">
        <v>30</v>
      </c>
      <c r="C765" s="9" t="n">
        <v>25</v>
      </c>
      <c r="D765" s="17" t="inlineStr">
        <is>
          <t>Zinque, Venice</t>
        </is>
      </c>
      <c r="E765" s="9">
        <f>if($A765&lt;&gt;"",E764+B765,"")</f>
        <v/>
      </c>
      <c r="F765" s="10">
        <f>if($A765&lt;&gt;"",F764+C765,"")</f>
        <v/>
      </c>
      <c r="G765" s="11">
        <f>IF($A765&lt;&gt;"",IF(F765-E765=0,"tie",IF(F765-E765&gt;0,"+"&amp;F765-E765,"+"&amp;E765-F765)),"")</f>
        <v/>
      </c>
      <c r="H765" s="12">
        <f>if($A765&lt;&gt;"",if(B765&gt;C765,if(B765&lt;60,1,2),""),"")</f>
        <v/>
      </c>
      <c r="I765" s="12">
        <f>if($A765&lt;&gt;"",if(C765&gt;B765,if(C765&lt;60,1,2),""),"")</f>
        <v/>
      </c>
      <c r="J765" s="9">
        <f>if($A765&lt;&gt;"",J764+H765,"")</f>
        <v/>
      </c>
      <c r="K765" s="9">
        <f>if($A765&lt;&gt;"",K764+I765,"")</f>
        <v/>
      </c>
      <c r="L765" s="11">
        <f>IF($A765&lt;&gt;"",IF(K765-J765=0,"tie",IF(K765-J765&gt;0,"+"&amp;K765-J765,"+"&amp;J765-K765)),"")</f>
        <v/>
      </c>
      <c r="M765" s="17" t="n"/>
      <c r="N765" s="17" t="n"/>
      <c r="O765" s="17" t="n"/>
      <c r="P765" s="17" t="n"/>
      <c r="Q765" s="17" t="n"/>
      <c r="R765" s="17" t="n"/>
      <c r="S765" s="17" t="n"/>
    </row>
    <row r="766">
      <c r="A766" s="15" t="n">
        <v>44959</v>
      </c>
      <c r="B766" s="10" t="n">
        <v>30</v>
      </c>
      <c r="C766" s="9" t="n">
        <v>25</v>
      </c>
      <c r="D766" s="17" t="inlineStr">
        <is>
          <t>Preston Way</t>
        </is>
      </c>
      <c r="E766" s="9">
        <f>if($A766&lt;&gt;"",E765+B766,"")</f>
        <v/>
      </c>
      <c r="F766" s="10">
        <f>if($A766&lt;&gt;"",F765+C766,"")</f>
        <v/>
      </c>
      <c r="G766" s="11">
        <f>IF($A766&lt;&gt;"",IF(F766-E766=0,"tie",IF(F766-E766&gt;0,"+"&amp;F766-E766,"+"&amp;E766-F766)),"")</f>
        <v/>
      </c>
      <c r="H766" s="12">
        <f>if($A766&lt;&gt;"",if(B766&gt;C766,if(B766&lt;60,1,2),""),"")</f>
        <v/>
      </c>
      <c r="I766" s="12">
        <f>if($A766&lt;&gt;"",if(C766&gt;B766,if(C766&lt;60,1,2),""),"")</f>
        <v/>
      </c>
      <c r="J766" s="9">
        <f>if($A766&lt;&gt;"",J765+H766,"")</f>
        <v/>
      </c>
      <c r="K766" s="9">
        <f>if($A766&lt;&gt;"",K765+I766,"")</f>
        <v/>
      </c>
      <c r="L766" s="11">
        <f>IF($A766&lt;&gt;"",IF(K766-J766=0,"tie",IF(K766-J766&gt;0,"+"&amp;K766-J766,"+"&amp;J766-K766)),"")</f>
        <v/>
      </c>
      <c r="M766" s="17" t="n"/>
      <c r="N766" s="17" t="n"/>
      <c r="O766" s="17" t="n"/>
      <c r="P766" s="17" t="n"/>
      <c r="Q766" s="17" t="n"/>
      <c r="R766" s="17" t="n"/>
      <c r="S766" s="17" t="n"/>
    </row>
    <row r="767">
      <c r="A767" s="15" t="n">
        <v>44962</v>
      </c>
      <c r="B767" s="10" t="n">
        <v>30</v>
      </c>
      <c r="C767" s="9" t="n">
        <v>25</v>
      </c>
      <c r="D767" s="17" t="inlineStr">
        <is>
          <t>Zinque, Venice</t>
        </is>
      </c>
      <c r="E767" s="9">
        <f>if($A767&lt;&gt;"",E766+B767,"")</f>
        <v/>
      </c>
      <c r="F767" s="10">
        <f>if($A767&lt;&gt;"",F766+C767,"")</f>
        <v/>
      </c>
      <c r="G767" s="11">
        <f>IF($A767&lt;&gt;"",IF(F767-E767=0,"tie",IF(F767-E767&gt;0,"+"&amp;F767-E767,"+"&amp;E767-F767)),"")</f>
        <v/>
      </c>
      <c r="H767" s="12">
        <f>if($A767&lt;&gt;"",if(B767&gt;C767,if(B767&lt;60,1,2),""),"")</f>
        <v/>
      </c>
      <c r="I767" s="12">
        <f>if($A767&lt;&gt;"",if(C767&gt;B767,if(C767&lt;60,1,2),""),"")</f>
        <v/>
      </c>
      <c r="J767" s="9">
        <f>if($A767&lt;&gt;"",J766+H767,"")</f>
        <v/>
      </c>
      <c r="K767" s="9">
        <f>if($A767&lt;&gt;"",K766+I767,"")</f>
        <v/>
      </c>
      <c r="L767" s="11">
        <f>IF($A767&lt;&gt;"",IF(K767-J767=0,"tie",IF(K767-J767&gt;0,"+"&amp;K767-J767,"+"&amp;J767-K767)),"")</f>
        <v/>
      </c>
      <c r="M767" s="17" t="n"/>
      <c r="N767" s="17" t="n"/>
      <c r="O767" s="17" t="n"/>
      <c r="P767" s="17" t="n"/>
      <c r="Q767" s="17" t="n"/>
      <c r="R767" s="17" t="n"/>
      <c r="S767" s="17" t="n"/>
    </row>
    <row r="768">
      <c r="A768" s="15" t="n">
        <v>44964</v>
      </c>
      <c r="B768" s="10" t="n">
        <v>30</v>
      </c>
      <c r="C768" s="9" t="n">
        <v>25</v>
      </c>
      <c r="D768" s="17" t="inlineStr">
        <is>
          <t>Preston Way</t>
        </is>
      </c>
      <c r="E768" s="9">
        <f>if($A768&lt;&gt;"",E767+B768,"")</f>
        <v/>
      </c>
      <c r="F768" s="10">
        <f>if($A768&lt;&gt;"",F767+C768,"")</f>
        <v/>
      </c>
      <c r="G768" s="11">
        <f>IF($A768&lt;&gt;"",IF(F768-E768=0,"tie",IF(F768-E768&gt;0,"+"&amp;F768-E768,"+"&amp;E768-F768)),"")</f>
        <v/>
      </c>
      <c r="H768" s="12">
        <f>if($A768&lt;&gt;"",if(B768&gt;C768,if(B768&lt;60,1,2),""),"")</f>
        <v/>
      </c>
      <c r="I768" s="12">
        <f>if($A768&lt;&gt;"",if(C768&gt;B768,if(C768&lt;60,1,2),""),"")</f>
        <v/>
      </c>
      <c r="J768" s="9">
        <f>if($A768&lt;&gt;"",J767+H768,"")</f>
        <v/>
      </c>
      <c r="K768" s="9">
        <f>if($A768&lt;&gt;"",K767+I768,"")</f>
        <v/>
      </c>
      <c r="L768" s="11">
        <f>IF($A768&lt;&gt;"",IF(K768-J768=0,"tie",IF(K768-J768&gt;0,"+"&amp;K768-J768,"+"&amp;J768-K768)),"")</f>
        <v/>
      </c>
      <c r="M768" s="17" t="n"/>
      <c r="N768" s="17" t="n"/>
      <c r="O768" s="17" t="n"/>
      <c r="P768" s="17" t="n"/>
      <c r="Q768" s="17" t="n"/>
      <c r="R768" s="17" t="n"/>
      <c r="S768" s="17" t="n"/>
    </row>
    <row r="769">
      <c r="A769" s="15" t="n">
        <v>44966</v>
      </c>
      <c r="B769" s="9" t="n">
        <v>50</v>
      </c>
      <c r="C769" s="10" t="n">
        <v>60</v>
      </c>
      <c r="D769" s="17" t="inlineStr">
        <is>
          <t>Preston Way</t>
        </is>
      </c>
      <c r="E769" s="9">
        <f>if($A769&lt;&gt;"",E768+B769,"")</f>
        <v/>
      </c>
      <c r="F769" s="10">
        <f>if($A769&lt;&gt;"",F768+C769,"")</f>
        <v/>
      </c>
      <c r="G769" s="11">
        <f>IF($A769&lt;&gt;"",IF(F769-E769=0,"tie",IF(F769-E769&gt;0,"+"&amp;F769-E769,"+"&amp;E769-F769)),"")</f>
        <v/>
      </c>
      <c r="H769" s="12">
        <f>if($A769&lt;&gt;"",if(B769&gt;C769,if(B769&lt;60,1,2),""),"")</f>
        <v/>
      </c>
      <c r="I769" s="12">
        <f>if($A769&lt;&gt;"",if(C769&gt;B769,if(C769&lt;60,1,2),""),"")</f>
        <v/>
      </c>
      <c r="J769" s="9">
        <f>if($A769&lt;&gt;"",J768+H769,"")</f>
        <v/>
      </c>
      <c r="K769" s="9">
        <f>if($A769&lt;&gt;"",K768+I769,"")</f>
        <v/>
      </c>
      <c r="L769" s="11">
        <f>IF($A769&lt;&gt;"",IF(K769-J769=0,"tie",IF(K769-J769&gt;0,"+"&amp;K769-J769,"+"&amp;J769-K769)),"")</f>
        <v/>
      </c>
      <c r="M769" s="17" t="n"/>
      <c r="N769" s="17" t="n"/>
      <c r="O769" s="17" t="n"/>
      <c r="P769" s="17" t="n"/>
      <c r="Q769" s="17" t="n"/>
      <c r="R769" s="17" t="n"/>
      <c r="S769" s="17" t="n"/>
    </row>
    <row r="770">
      <c r="A770" s="15" t="n">
        <v>44971</v>
      </c>
      <c r="B770" s="10" t="n">
        <v>30</v>
      </c>
      <c r="C770" s="9" t="n">
        <v>25</v>
      </c>
      <c r="D770" s="17" t="inlineStr">
        <is>
          <t>Preston Way</t>
        </is>
      </c>
      <c r="E770" s="9">
        <f>if($A770&lt;&gt;"",E769+B770,"")</f>
        <v/>
      </c>
      <c r="F770" s="10">
        <f>if($A770&lt;&gt;"",F769+C770,"")</f>
        <v/>
      </c>
      <c r="G770" s="11">
        <f>IF($A770&lt;&gt;"",IF(F770-E770=0,"tie",IF(F770-E770&gt;0,"+"&amp;F770-E770,"+"&amp;E770-F770)),"")</f>
        <v/>
      </c>
      <c r="H770" s="12">
        <f>if($A770&lt;&gt;"",if(B770&gt;C770,if(B770&lt;60,1,2),""),"")</f>
        <v/>
      </c>
      <c r="I770" s="12">
        <f>if($A770&lt;&gt;"",if(C770&gt;B770,if(C770&lt;60,1,2),""),"")</f>
        <v/>
      </c>
      <c r="J770" s="9">
        <f>if($A770&lt;&gt;"",J769+H770,"")</f>
        <v/>
      </c>
      <c r="K770" s="9">
        <f>if($A770&lt;&gt;"",K769+I770,"")</f>
        <v/>
      </c>
      <c r="L770" s="11">
        <f>IF($A770&lt;&gt;"",IF(K770-J770=0,"tie",IF(K770-J770&gt;0,"+"&amp;K770-J770,"+"&amp;J770-K770)),"")</f>
        <v/>
      </c>
      <c r="M770" s="17" t="n"/>
      <c r="N770" s="17" t="n"/>
      <c r="O770" s="17" t="n"/>
      <c r="P770" s="17" t="n"/>
      <c r="Q770" s="17" t="n"/>
      <c r="R770" s="17" t="n"/>
      <c r="S770" s="17" t="n"/>
    </row>
    <row r="771">
      <c r="A771" s="15" t="n">
        <v>44972</v>
      </c>
      <c r="B771" s="10" t="n">
        <v>30</v>
      </c>
      <c r="C771" s="9" t="n">
        <v>25</v>
      </c>
      <c r="D771" s="17" t="inlineStr">
        <is>
          <t>Preston Way</t>
        </is>
      </c>
      <c r="E771" s="9">
        <f>if($A771&lt;&gt;"",E770+B771,"")</f>
        <v/>
      </c>
      <c r="F771" s="10">
        <f>if($A771&lt;&gt;"",F770+C771,"")</f>
        <v/>
      </c>
      <c r="G771" s="11">
        <f>IF($A771&lt;&gt;"",IF(F771-E771=0,"tie",IF(F771-E771&gt;0,"+"&amp;F771-E771,"+"&amp;E771-F771)),"")</f>
        <v/>
      </c>
      <c r="H771" s="12">
        <f>if($A771&lt;&gt;"",if(B771&gt;C771,if(B771&lt;60,1,2),""),"")</f>
        <v/>
      </c>
      <c r="I771" s="12">
        <f>if($A771&lt;&gt;"",if(C771&gt;B771,if(C771&lt;60,1,2),""),"")</f>
        <v/>
      </c>
      <c r="J771" s="9">
        <f>if($A771&lt;&gt;"",J770+H771,"")</f>
        <v/>
      </c>
      <c r="K771" s="9">
        <f>if($A771&lt;&gt;"",K770+I771,"")</f>
        <v/>
      </c>
      <c r="L771" s="11">
        <f>IF($A771&lt;&gt;"",IF(K771-J771=0,"tie",IF(K771-J771&gt;0,"+"&amp;K771-J771,"+"&amp;J771-K771)),"")</f>
        <v/>
      </c>
      <c r="M771" s="17" t="n"/>
      <c r="N771" s="17" t="n"/>
      <c r="O771" s="17" t="n"/>
      <c r="P771" s="17" t="n"/>
      <c r="Q771" s="17" t="n"/>
      <c r="R771" s="17" t="n"/>
      <c r="S771" s="17" t="n"/>
    </row>
    <row r="772">
      <c r="A772" s="15" t="n">
        <v>44978</v>
      </c>
      <c r="B772" s="10" t="n">
        <v>30</v>
      </c>
      <c r="C772" s="9" t="n">
        <v>25</v>
      </c>
      <c r="D772" s="17" t="inlineStr">
        <is>
          <t>Preston Way</t>
        </is>
      </c>
      <c r="E772" s="9">
        <f>if($A772&lt;&gt;"",E771+B772,"")</f>
        <v/>
      </c>
      <c r="F772" s="10">
        <f>if($A772&lt;&gt;"",F771+C772,"")</f>
        <v/>
      </c>
      <c r="G772" s="11">
        <f>IF($A772&lt;&gt;"",IF(F772-E772=0,"tie",IF(F772-E772&gt;0,"+"&amp;F772-E772,"+"&amp;E772-F772)),"")</f>
        <v/>
      </c>
      <c r="H772" s="12">
        <f>if($A772&lt;&gt;"",if(B772&gt;C772,if(B772&lt;60,1,2),""),"")</f>
        <v/>
      </c>
      <c r="I772" s="12">
        <f>if($A772&lt;&gt;"",if(C772&gt;B772,if(C772&lt;60,1,2),""),"")</f>
        <v/>
      </c>
      <c r="J772" s="9">
        <f>if($A772&lt;&gt;"",J771+H772,"")</f>
        <v/>
      </c>
      <c r="K772" s="9">
        <f>if($A772&lt;&gt;"",K771+I772,"")</f>
        <v/>
      </c>
      <c r="L772" s="11">
        <f>IF($A772&lt;&gt;"",IF(K772-J772=0,"tie",IF(K772-J772&gt;0,"+"&amp;K772-J772,"+"&amp;J772-K772)),"")</f>
        <v/>
      </c>
      <c r="M772" s="17" t="n"/>
      <c r="N772" s="17" t="n"/>
      <c r="O772" s="17" t="n"/>
      <c r="P772" s="17" t="n"/>
      <c r="Q772" s="17" t="n"/>
      <c r="R772" s="17" t="n"/>
      <c r="S772" s="17" t="n"/>
    </row>
    <row r="773">
      <c r="A773" s="15" t="n">
        <v>44981</v>
      </c>
      <c r="B773" s="10" t="n">
        <v>30</v>
      </c>
      <c r="C773" s="9" t="n">
        <v>25</v>
      </c>
      <c r="D773" s="17" t="inlineStr">
        <is>
          <t>Preston Way</t>
        </is>
      </c>
      <c r="E773" s="9">
        <f>if($A773&lt;&gt;"",E772+B773,"")</f>
        <v/>
      </c>
      <c r="F773" s="10">
        <f>if($A773&lt;&gt;"",F772+C773,"")</f>
        <v/>
      </c>
      <c r="G773" s="11">
        <f>IF($A773&lt;&gt;"",IF(F773-E773=0,"tie",IF(F773-E773&gt;0,"+"&amp;F773-E773,"+"&amp;E773-F773)),"")</f>
        <v/>
      </c>
      <c r="H773" s="12">
        <f>if($A773&lt;&gt;"",if(B773&gt;C773,if(B773&lt;60,1,2),""),"")</f>
        <v/>
      </c>
      <c r="I773" s="12">
        <f>if($A773&lt;&gt;"",if(C773&gt;B773,if(C773&lt;60,1,2),""),"")</f>
        <v/>
      </c>
      <c r="J773" s="9">
        <f>if($A773&lt;&gt;"",J772+H773,"")</f>
        <v/>
      </c>
      <c r="K773" s="9">
        <f>if($A773&lt;&gt;"",K772+I773,"")</f>
        <v/>
      </c>
      <c r="L773" s="11">
        <f>IF($A773&lt;&gt;"",IF(K773-J773=0,"tie",IF(K773-J773&gt;0,"+"&amp;K773-J773,"+"&amp;J773-K773)),"")</f>
        <v/>
      </c>
      <c r="M773" s="17" t="n"/>
      <c r="N773" s="17" t="n"/>
      <c r="O773" s="17" t="n"/>
      <c r="P773" s="17" t="n"/>
      <c r="Q773" s="17" t="n"/>
      <c r="R773" s="17" t="n"/>
      <c r="S773" s="17" t="n"/>
    </row>
    <row r="774">
      <c r="A774" s="15" t="n">
        <v>44984</v>
      </c>
      <c r="B774" s="10" t="n">
        <v>30</v>
      </c>
      <c r="C774" s="9" t="n">
        <v>25</v>
      </c>
      <c r="D774" s="17" t="inlineStr">
        <is>
          <t>Preston Way</t>
        </is>
      </c>
      <c r="E774" s="9">
        <f>if($A774&lt;&gt;"",E773+B774,"")</f>
        <v/>
      </c>
      <c r="F774" s="10">
        <f>if($A774&lt;&gt;"",F773+C774,"")</f>
        <v/>
      </c>
      <c r="G774" s="11">
        <f>IF($A774&lt;&gt;"",IF(F774-E774=0,"tie",IF(F774-E774&gt;0,"+"&amp;F774-E774,"+"&amp;E774-F774)),"")</f>
        <v/>
      </c>
      <c r="H774" s="12">
        <f>if($A774&lt;&gt;"",if(B774&gt;C774,if(B774&lt;60,1,2),""),"")</f>
        <v/>
      </c>
      <c r="I774" s="12">
        <f>if($A774&lt;&gt;"",if(C774&gt;B774,if(C774&lt;60,1,2),""),"")</f>
        <v/>
      </c>
      <c r="J774" s="9">
        <f>if($A774&lt;&gt;"",J773+H774,"")</f>
        <v/>
      </c>
      <c r="K774" s="9">
        <f>if($A774&lt;&gt;"",K773+I774,"")</f>
        <v/>
      </c>
      <c r="L774" s="11">
        <f>IF($A774&lt;&gt;"",IF(K774-J774=0,"tie",IF(K774-J774&gt;0,"+"&amp;K774-J774,"+"&amp;J774-K774)),"")</f>
        <v/>
      </c>
      <c r="M774" s="17" t="n"/>
      <c r="N774" s="17" t="n"/>
      <c r="O774" s="17" t="n"/>
      <c r="P774" s="17" t="n"/>
      <c r="Q774" s="17" t="n"/>
      <c r="R774" s="17" t="n"/>
      <c r="S774" s="17" t="n"/>
    </row>
    <row r="775">
      <c r="A775" s="15" t="n">
        <v>44991</v>
      </c>
      <c r="B775" s="9" t="n">
        <v>25</v>
      </c>
      <c r="C775" s="10" t="n">
        <v>30</v>
      </c>
      <c r="D775" s="17" t="inlineStr">
        <is>
          <t>Preston Way</t>
        </is>
      </c>
      <c r="E775" s="9">
        <f>if($A775&lt;&gt;"",E774+B775,"")</f>
        <v/>
      </c>
      <c r="F775" s="10">
        <f>if($A775&lt;&gt;"",F774+C775,"")</f>
        <v/>
      </c>
      <c r="G775" s="11">
        <f>IF($A775&lt;&gt;"",IF(F775-E775=0,"tie",IF(F775-E775&gt;0,"+"&amp;F775-E775,"+"&amp;E775-F775)),"")</f>
        <v/>
      </c>
      <c r="H775" s="12">
        <f>if($A775&lt;&gt;"",if(B775&gt;C775,if(B775&lt;60,1,2),""),"")</f>
        <v/>
      </c>
      <c r="I775" s="12">
        <f>if($A775&lt;&gt;"",if(C775&gt;B775,if(C775&lt;60,1,2),""),"")</f>
        <v/>
      </c>
      <c r="J775" s="9">
        <f>if($A775&lt;&gt;"",J774+H775,"")</f>
        <v/>
      </c>
      <c r="K775" s="9">
        <f>if($A775&lt;&gt;"",K774+I775,"")</f>
        <v/>
      </c>
      <c r="L775" s="11">
        <f>IF($A775&lt;&gt;"",IF(K775-J775=0,"tie",IF(K775-J775&gt;0,"+"&amp;K775-J775,"+"&amp;J775-K775)),"")</f>
        <v/>
      </c>
      <c r="M775" s="17" t="n"/>
      <c r="N775" s="17" t="n"/>
      <c r="O775" s="17" t="n"/>
      <c r="P775" s="17" t="n"/>
      <c r="Q775" s="17" t="n"/>
      <c r="R775" s="17" t="n"/>
      <c r="S775" s="17" t="n"/>
    </row>
    <row r="776">
      <c r="A776" s="15" t="n">
        <v>44992</v>
      </c>
      <c r="B776" s="10" t="n">
        <v>30</v>
      </c>
      <c r="C776" s="9" t="n">
        <v>25</v>
      </c>
      <c r="D776" s="17" t="inlineStr">
        <is>
          <t>Preston Way</t>
        </is>
      </c>
      <c r="E776" s="9">
        <f>if($A776&lt;&gt;"",E775+B776,"")</f>
        <v/>
      </c>
      <c r="F776" s="10">
        <f>if($A776&lt;&gt;"",F775+C776,"")</f>
        <v/>
      </c>
      <c r="G776" s="11">
        <f>IF($A776&lt;&gt;"",IF(F776-E776=0,"tie",IF(F776-E776&gt;0,"+"&amp;F776-E776,"+"&amp;E776-F776)),"")</f>
        <v/>
      </c>
      <c r="H776" s="12">
        <f>if($A776&lt;&gt;"",if(B776&gt;C776,if(B776&lt;60,1,2),""),"")</f>
        <v/>
      </c>
      <c r="I776" s="12">
        <f>if($A776&lt;&gt;"",if(C776&gt;B776,if(C776&lt;60,1,2),""),"")</f>
        <v/>
      </c>
      <c r="J776" s="9">
        <f>if($A776&lt;&gt;"",J775+H776,"")</f>
        <v/>
      </c>
      <c r="K776" s="9">
        <f>if($A776&lt;&gt;"",K775+I776,"")</f>
        <v/>
      </c>
      <c r="L776" s="11">
        <f>IF($A776&lt;&gt;"",IF(K776-J776=0,"tie",IF(K776-J776&gt;0,"+"&amp;K776-J776,"+"&amp;J776-K776)),"")</f>
        <v/>
      </c>
      <c r="M776" s="17" t="n"/>
      <c r="N776" s="17" t="n"/>
      <c r="O776" s="17" t="n"/>
      <c r="P776" s="17" t="n"/>
      <c r="Q776" s="17" t="n"/>
      <c r="R776" s="17" t="n"/>
      <c r="S776" s="17" t="n"/>
    </row>
    <row r="777">
      <c r="A777" s="15" t="n">
        <v>44995</v>
      </c>
      <c r="B777" s="9" t="n">
        <v>25</v>
      </c>
      <c r="C777" s="10" t="n">
        <v>30</v>
      </c>
      <c r="D777" s="17" t="inlineStr">
        <is>
          <t>Preston Way</t>
        </is>
      </c>
      <c r="E777" s="9">
        <f>if($A777&lt;&gt;"",E776+B777,"")</f>
        <v/>
      </c>
      <c r="F777" s="10">
        <f>if($A777&lt;&gt;"",F776+C777,"")</f>
        <v/>
      </c>
      <c r="G777" s="11">
        <f>IF($A777&lt;&gt;"",IF(F777-E777=0,"tie",IF(F777-E777&gt;0,"+"&amp;F777-E777,"+"&amp;E777-F777)),"")</f>
        <v/>
      </c>
      <c r="H777" s="12">
        <f>if($A777&lt;&gt;"",if(B777&gt;C777,if(B777&lt;60,1,2),""),"")</f>
        <v/>
      </c>
      <c r="I777" s="12">
        <f>if($A777&lt;&gt;"",if(C777&gt;B777,if(C777&lt;60,1,2),""),"")</f>
        <v/>
      </c>
      <c r="J777" s="9">
        <f>if($A777&lt;&gt;"",J776+H777,"")</f>
        <v/>
      </c>
      <c r="K777" s="9">
        <f>if($A777&lt;&gt;"",K776+I777,"")</f>
        <v/>
      </c>
      <c r="L777" s="11">
        <f>IF($A777&lt;&gt;"",IF(K777-J777=0,"tie",IF(K777-J777&gt;0,"+"&amp;K777-J777,"+"&amp;J777-K777)),"")</f>
        <v/>
      </c>
      <c r="M777" s="17" t="n"/>
      <c r="N777" s="17" t="n"/>
      <c r="O777" s="17" t="n"/>
      <c r="P777" s="17" t="n"/>
      <c r="Q777" s="17" t="n"/>
      <c r="R777" s="17" t="n"/>
      <c r="S777" s="17" t="n"/>
    </row>
    <row r="778">
      <c r="A778" s="15" t="n">
        <v>44998</v>
      </c>
      <c r="B778" s="9" t="n">
        <v>25</v>
      </c>
      <c r="C778" s="10" t="n">
        <v>30</v>
      </c>
      <c r="D778" s="17" t="inlineStr">
        <is>
          <t>Preston Way</t>
        </is>
      </c>
      <c r="E778" s="9">
        <f>if($A778&lt;&gt;"",E777+B778,"")</f>
        <v/>
      </c>
      <c r="F778" s="10">
        <f>if($A778&lt;&gt;"",F777+C778,"")</f>
        <v/>
      </c>
      <c r="G778" s="11">
        <f>IF($A778&lt;&gt;"",IF(F778-E778=0,"tie",IF(F778-E778&gt;0,"+"&amp;F778-E778,"+"&amp;E778-F778)),"")</f>
        <v/>
      </c>
      <c r="H778" s="12">
        <f>if($A778&lt;&gt;"",if(B778&gt;C778,if(B778&lt;60,1,2),""),"")</f>
        <v/>
      </c>
      <c r="I778" s="12">
        <f>if($A778&lt;&gt;"",if(C778&gt;B778,if(C778&lt;60,1,2),""),"")</f>
        <v/>
      </c>
      <c r="J778" s="9">
        <f>if($A778&lt;&gt;"",J777+H778,"")</f>
        <v/>
      </c>
      <c r="K778" s="9">
        <f>if($A778&lt;&gt;"",K777+I778,"")</f>
        <v/>
      </c>
      <c r="L778" s="11">
        <f>IF($A778&lt;&gt;"",IF(K778-J778=0,"tie",IF(K778-J778&gt;0,"+"&amp;K778-J778,"+"&amp;J778-K778)),"")</f>
        <v/>
      </c>
      <c r="M778" s="17" t="n"/>
      <c r="N778" s="17" t="n"/>
      <c r="O778" s="17" t="n"/>
      <c r="P778" s="17" t="n"/>
      <c r="Q778" s="17" t="n"/>
      <c r="R778" s="17" t="n"/>
      <c r="S778" s="17" t="n"/>
    </row>
    <row r="779">
      <c r="A779" s="15" t="n">
        <v>44999</v>
      </c>
      <c r="B779" s="10" t="n">
        <v>30</v>
      </c>
      <c r="C779" s="9" t="n">
        <v>25</v>
      </c>
      <c r="D779" s="17" t="inlineStr">
        <is>
          <t>Preston Way</t>
        </is>
      </c>
      <c r="E779" s="9">
        <f>if($A779&lt;&gt;"",E778+B779,"")</f>
        <v/>
      </c>
      <c r="F779" s="10">
        <f>if($A779&lt;&gt;"",F778+C779,"")</f>
        <v/>
      </c>
      <c r="G779" s="11">
        <f>IF($A779&lt;&gt;"",IF(F779-E779=0,"tie",IF(F779-E779&gt;0,"+"&amp;F779-E779,"+"&amp;E779-F779)),"")</f>
        <v/>
      </c>
      <c r="H779" s="12">
        <f>if($A779&lt;&gt;"",if(B779&gt;C779,if(B779&lt;60,1,2),""),"")</f>
        <v/>
      </c>
      <c r="I779" s="12">
        <f>if($A779&lt;&gt;"",if(C779&gt;B779,if(C779&lt;60,1,2),""),"")</f>
        <v/>
      </c>
      <c r="J779" s="9">
        <f>if($A779&lt;&gt;"",J778+H779,"")</f>
        <v/>
      </c>
      <c r="K779" s="9">
        <f>if($A779&lt;&gt;"",K778+I779,"")</f>
        <v/>
      </c>
      <c r="L779" s="11">
        <f>IF($A779&lt;&gt;"",IF(K779-J779=0,"tie",IF(K779-J779&gt;0,"+"&amp;K779-J779,"+"&amp;J779-K779)),"")</f>
        <v/>
      </c>
      <c r="M779" s="17" t="n"/>
      <c r="N779" s="17" t="n"/>
      <c r="O779" s="17" t="n"/>
      <c r="P779" s="17" t="n"/>
      <c r="Q779" s="17" t="n"/>
      <c r="R779" s="17" t="n"/>
      <c r="S779" s="17" t="n"/>
    </row>
    <row r="780">
      <c r="A780" s="15" t="n">
        <v>45002</v>
      </c>
      <c r="B780" s="9" t="n">
        <v>25</v>
      </c>
      <c r="C780" s="10" t="n">
        <v>30</v>
      </c>
      <c r="D780" s="17" t="inlineStr">
        <is>
          <t>Preston Way</t>
        </is>
      </c>
      <c r="E780" s="9">
        <f>if($A780&lt;&gt;"",E779+B780,"")</f>
        <v/>
      </c>
      <c r="F780" s="10">
        <f>if($A780&lt;&gt;"",F779+C780,"")</f>
        <v/>
      </c>
      <c r="G780" s="11">
        <f>IF($A780&lt;&gt;"",IF(F780-E780=0,"tie",IF(F780-E780&gt;0,"+"&amp;F780-E780,"+"&amp;E780-F780)),"")</f>
        <v/>
      </c>
      <c r="H780" s="12">
        <f>if($A780&lt;&gt;"",if(B780&gt;C780,if(B780&lt;60,1,2),""),"")</f>
        <v/>
      </c>
      <c r="I780" s="12">
        <f>if($A780&lt;&gt;"",if(C780&gt;B780,if(C780&lt;60,1,2),""),"")</f>
        <v/>
      </c>
      <c r="J780" s="9">
        <f>if($A780&lt;&gt;"",J779+H780,"")</f>
        <v/>
      </c>
      <c r="K780" s="9">
        <f>if($A780&lt;&gt;"",K779+I780,"")</f>
        <v/>
      </c>
      <c r="L780" s="11">
        <f>IF($A780&lt;&gt;"",IF(K780-J780=0,"tie",IF(K780-J780&gt;0,"+"&amp;K780-J780,"+"&amp;J780-K780)),"")</f>
        <v/>
      </c>
      <c r="M780" s="17" t="n"/>
      <c r="N780" s="17" t="n"/>
      <c r="O780" s="17" t="n"/>
      <c r="P780" s="17" t="n"/>
      <c r="Q780" s="17" t="n"/>
      <c r="R780" s="17" t="n"/>
      <c r="S780" s="17" t="n"/>
    </row>
    <row r="781">
      <c r="A781" s="15" t="n">
        <v>45002</v>
      </c>
      <c r="B781" s="9" t="n">
        <v>25</v>
      </c>
      <c r="C781" s="10" t="n">
        <v>30</v>
      </c>
      <c r="D781" s="17" t="inlineStr">
        <is>
          <t>Casablanca, Venice</t>
        </is>
      </c>
      <c r="E781" s="9">
        <f>if($A781&lt;&gt;"",E780+B781,"")</f>
        <v/>
      </c>
      <c r="F781" s="10">
        <f>if($A781&lt;&gt;"",F780+C781,"")</f>
        <v/>
      </c>
      <c r="G781" s="11">
        <f>IF($A781&lt;&gt;"",IF(F781-E781=0,"tie",IF(F781-E781&gt;0,"+"&amp;F781-E781,"+"&amp;E781-F781)),"")</f>
        <v/>
      </c>
      <c r="H781" s="12">
        <f>if($A781&lt;&gt;"",if(B781&gt;C781,if(B781&lt;60,1,2),""),"")</f>
        <v/>
      </c>
      <c r="I781" s="12">
        <f>if($A781&lt;&gt;"",if(C781&gt;B781,if(C781&lt;60,1,2),""),"")</f>
        <v/>
      </c>
      <c r="J781" s="9">
        <f>if($A781&lt;&gt;"",J780+H781,"")</f>
        <v/>
      </c>
      <c r="K781" s="9">
        <f>if($A781&lt;&gt;"",K780+I781,"")</f>
        <v/>
      </c>
      <c r="L781" s="11">
        <f>IF($A781&lt;&gt;"",IF(K781-J781=0,"tie",IF(K781-J781&gt;0,"+"&amp;K781-J781,"+"&amp;J781-K781)),"")</f>
        <v/>
      </c>
      <c r="M781" s="17" t="n"/>
      <c r="N781" s="17" t="n"/>
      <c r="O781" s="17" t="n"/>
      <c r="P781" s="17" t="n"/>
      <c r="Q781" s="17" t="n"/>
      <c r="R781" s="17" t="n"/>
      <c r="S781" s="17" t="n"/>
    </row>
    <row r="782">
      <c r="A782" s="15" t="n">
        <v>45014</v>
      </c>
      <c r="B782" s="10" t="n">
        <v>30</v>
      </c>
      <c r="C782" s="9" t="n">
        <v>25</v>
      </c>
      <c r="D782" s="17" t="inlineStr">
        <is>
          <t>Preston Way</t>
        </is>
      </c>
      <c r="E782" s="9">
        <f>if($A782&lt;&gt;"",E781+B782,"")</f>
        <v/>
      </c>
      <c r="F782" s="10">
        <f>if($A782&lt;&gt;"",F781+C782,"")</f>
        <v/>
      </c>
      <c r="G782" s="11">
        <f>IF($A782&lt;&gt;"",IF(F782-E782=0,"tie",IF(F782-E782&gt;0,"+"&amp;F782-E782,"+"&amp;E782-F782)),"")</f>
        <v/>
      </c>
      <c r="H782" s="12">
        <f>if($A782&lt;&gt;"",if(B782&gt;C782,if(B782&lt;60,1,2),""),"")</f>
        <v/>
      </c>
      <c r="I782" s="12">
        <f>if($A782&lt;&gt;"",if(C782&gt;B782,if(C782&lt;60,1,2),""),"")</f>
        <v/>
      </c>
      <c r="J782" s="9">
        <f>if($A782&lt;&gt;"",J781+H782,"")</f>
        <v/>
      </c>
      <c r="K782" s="9">
        <f>if($A782&lt;&gt;"",K781+I782,"")</f>
        <v/>
      </c>
      <c r="L782" s="11">
        <f>IF($A782&lt;&gt;"",IF(K782-J782=0,"tie",IF(K782-J782&gt;0,"+"&amp;K782-J782,"+"&amp;J782-K782)),"")</f>
        <v/>
      </c>
      <c r="M782" s="17" t="n"/>
      <c r="N782" s="17" t="n"/>
      <c r="O782" s="17" t="n"/>
      <c r="P782" s="17" t="n"/>
      <c r="Q782" s="17" t="n"/>
      <c r="R782" s="17" t="n"/>
      <c r="S782" s="17" t="n"/>
    </row>
    <row r="783">
      <c r="A783" s="15" t="n">
        <v>45018</v>
      </c>
      <c r="B783" s="10" t="n">
        <v>30</v>
      </c>
      <c r="C783" s="9" t="n">
        <v>25</v>
      </c>
      <c r="D783" s="17" t="inlineStr">
        <is>
          <t>Campland by the Bay, San Diego</t>
        </is>
      </c>
      <c r="E783" s="9">
        <f>if($A783&lt;&gt;"",E782+B783,"")</f>
        <v/>
      </c>
      <c r="F783" s="10">
        <f>if($A783&lt;&gt;"",F782+C783,"")</f>
        <v/>
      </c>
      <c r="G783" s="11">
        <f>IF($A783&lt;&gt;"",IF(F783-E783=0,"tie",IF(F783-E783&gt;0,"+"&amp;F783-E783,"+"&amp;E783-F783)),"")</f>
        <v/>
      </c>
      <c r="H783" s="12">
        <f>if($A783&lt;&gt;"",if(B783&gt;C783,if(B783&lt;60,1,2),""),"")</f>
        <v/>
      </c>
      <c r="I783" s="12">
        <f>if($A783&lt;&gt;"",if(C783&gt;B783,if(C783&lt;60,1,2),""),"")</f>
        <v/>
      </c>
      <c r="J783" s="9">
        <f>if($A783&lt;&gt;"",J782+H783,"")</f>
        <v/>
      </c>
      <c r="K783" s="9">
        <f>if($A783&lt;&gt;"",K782+I783,"")</f>
        <v/>
      </c>
      <c r="L783" s="11">
        <f>IF($A783&lt;&gt;"",IF(K783-J783=0,"tie",IF(K783-J783&gt;0,"+"&amp;K783-J783,"+"&amp;J783-K783)),"")</f>
        <v/>
      </c>
      <c r="M783" s="17" t="n"/>
      <c r="N783" s="17" t="n"/>
      <c r="O783" s="17" t="n"/>
      <c r="P783" s="17" t="n"/>
      <c r="Q783" s="17" t="n"/>
      <c r="R783" s="17" t="n"/>
      <c r="S783" s="17" t="n"/>
    </row>
    <row r="784">
      <c r="A784" s="15" t="n">
        <v>45020</v>
      </c>
      <c r="B784" s="10" t="n">
        <v>30</v>
      </c>
      <c r="C784" s="9" t="n">
        <v>25</v>
      </c>
      <c r="D784" s="17" t="inlineStr">
        <is>
          <t>Preston Way</t>
        </is>
      </c>
      <c r="E784" s="9">
        <f>if($A784&lt;&gt;"",E783+B784,"")</f>
        <v/>
      </c>
      <c r="F784" s="10">
        <f>if($A784&lt;&gt;"",F783+C784,"")</f>
        <v/>
      </c>
      <c r="G784" s="11">
        <f>IF($A784&lt;&gt;"",IF(F784-E784=0,"tie",IF(F784-E784&gt;0,"+"&amp;F784-E784,"+"&amp;E784-F784)),"")</f>
        <v/>
      </c>
      <c r="H784" s="12">
        <f>if($A784&lt;&gt;"",if(B784&gt;C784,if(B784&lt;60,1,2),""),"")</f>
        <v/>
      </c>
      <c r="I784" s="12">
        <f>if($A784&lt;&gt;"",if(C784&gt;B784,if(C784&lt;60,1,2),""),"")</f>
        <v/>
      </c>
      <c r="J784" s="9">
        <f>if($A784&lt;&gt;"",J783+H784,"")</f>
        <v/>
      </c>
      <c r="K784" s="9">
        <f>if($A784&lt;&gt;"",K783+I784,"")</f>
        <v/>
      </c>
      <c r="L784" s="11">
        <f>IF($A784&lt;&gt;"",IF(K784-J784=0,"tie",IF(K784-J784&gt;0,"+"&amp;K784-J784,"+"&amp;J784-K784)),"")</f>
        <v/>
      </c>
      <c r="M784" s="17" t="n"/>
      <c r="N784" s="17" t="n"/>
      <c r="O784" s="17" t="n"/>
      <c r="P784" s="17" t="n"/>
      <c r="Q784" s="17" t="n"/>
      <c r="R784" s="17" t="n"/>
      <c r="S784" s="17" t="n"/>
    </row>
    <row r="785">
      <c r="A785" s="15" t="n">
        <v>45023</v>
      </c>
      <c r="B785" s="9" t="n">
        <v>25</v>
      </c>
      <c r="C785" s="10" t="n">
        <v>30</v>
      </c>
      <c r="D785" s="17" t="inlineStr">
        <is>
          <t>Preston Way</t>
        </is>
      </c>
      <c r="E785" s="9">
        <f>if($A785&lt;&gt;"",E784+B785,"")</f>
        <v/>
      </c>
      <c r="F785" s="10">
        <f>if($A785&lt;&gt;"",F784+C785,"")</f>
        <v/>
      </c>
      <c r="G785" s="11">
        <f>IF($A785&lt;&gt;"",IF(F785-E785=0,"tie",IF(F785-E785&gt;0,"+"&amp;F785-E785,"+"&amp;E785-F785)),"")</f>
        <v/>
      </c>
      <c r="H785" s="12">
        <f>if($A785&lt;&gt;"",if(B785&gt;C785,if(B785&lt;60,1,2),""),"")</f>
        <v/>
      </c>
      <c r="I785" s="12">
        <f>if($A785&lt;&gt;"",if(C785&gt;B785,if(C785&lt;60,1,2),""),"")</f>
        <v/>
      </c>
      <c r="J785" s="9">
        <f>if($A785&lt;&gt;"",J784+H785,"")</f>
        <v/>
      </c>
      <c r="K785" s="9">
        <f>if($A785&lt;&gt;"",K784+I785,"")</f>
        <v/>
      </c>
      <c r="L785" s="11">
        <f>IF($A785&lt;&gt;"",IF(K785-J785=0,"tie",IF(K785-J785&gt;0,"+"&amp;K785-J785,"+"&amp;J785-K785)),"")</f>
        <v/>
      </c>
      <c r="M785" s="17" t="n"/>
      <c r="N785" s="17" t="n"/>
      <c r="O785" s="17" t="n"/>
      <c r="P785" s="17" t="n"/>
      <c r="Q785" s="17" t="n"/>
      <c r="R785" s="17" t="n"/>
      <c r="S785" s="17" t="n"/>
    </row>
    <row r="786">
      <c r="A786" s="15" t="n">
        <v>45026</v>
      </c>
      <c r="B786" s="9" t="n">
        <v>25</v>
      </c>
      <c r="C786" s="10" t="n">
        <v>30</v>
      </c>
      <c r="D786" s="17" t="inlineStr">
        <is>
          <t>Preston Way</t>
        </is>
      </c>
      <c r="E786" s="9">
        <f>if($A786&lt;&gt;"",E785+B786,"")</f>
        <v/>
      </c>
      <c r="F786" s="10">
        <f>if($A786&lt;&gt;"",F785+C786,"")</f>
        <v/>
      </c>
      <c r="G786" s="11">
        <f>IF($A786&lt;&gt;"",IF(F786-E786=0,"tie",IF(F786-E786&gt;0,"+"&amp;F786-E786,"+"&amp;E786-F786)),"")</f>
        <v/>
      </c>
      <c r="H786" s="12">
        <f>if($A786&lt;&gt;"",if(B786&gt;C786,if(B786&lt;60,1,2),""),"")</f>
        <v/>
      </c>
      <c r="I786" s="12">
        <f>if($A786&lt;&gt;"",if(C786&gt;B786,if(C786&lt;60,1,2),""),"")</f>
        <v/>
      </c>
      <c r="J786" s="9">
        <f>if($A786&lt;&gt;"",J785+H786,"")</f>
        <v/>
      </c>
      <c r="K786" s="9">
        <f>if($A786&lt;&gt;"",K785+I786,"")</f>
        <v/>
      </c>
      <c r="L786" s="11">
        <f>IF($A786&lt;&gt;"",IF(K786-J786=0,"tie",IF(K786-J786&gt;0,"+"&amp;K786-J786,"+"&amp;J786-K786)),"")</f>
        <v/>
      </c>
      <c r="M786" s="17" t="n"/>
      <c r="N786" s="17" t="n"/>
      <c r="O786" s="17" t="n"/>
      <c r="P786" s="17" t="n"/>
      <c r="Q786" s="17" t="n"/>
      <c r="R786" s="17" t="n"/>
      <c r="S786" s="17" t="n"/>
    </row>
    <row r="787">
      <c r="A787" s="15" t="n">
        <v>45030</v>
      </c>
      <c r="B787" s="9" t="n">
        <v>25</v>
      </c>
      <c r="C787" s="10" t="n">
        <v>30</v>
      </c>
      <c r="D787" s="17" t="inlineStr">
        <is>
          <t>Preston Way</t>
        </is>
      </c>
      <c r="E787" s="9">
        <f>if($A787&lt;&gt;"",E786+B787,"")</f>
        <v/>
      </c>
      <c r="F787" s="10">
        <f>if($A787&lt;&gt;"",F786+C787,"")</f>
        <v/>
      </c>
      <c r="G787" s="11">
        <f>IF($A787&lt;&gt;"",IF(F787-E787=0,"tie",IF(F787-E787&gt;0,"+"&amp;F787-E787,"+"&amp;E787-F787)),"")</f>
        <v/>
      </c>
      <c r="H787" s="12">
        <f>if($A787&lt;&gt;"",if(B787&gt;C787,if(B787&lt;60,1,2),""),"")</f>
        <v/>
      </c>
      <c r="I787" s="12">
        <f>if($A787&lt;&gt;"",if(C787&gt;B787,if(C787&lt;60,1,2),""),"")</f>
        <v/>
      </c>
      <c r="J787" s="9">
        <f>if($A787&lt;&gt;"",J786+H787,"")</f>
        <v/>
      </c>
      <c r="K787" s="9">
        <f>if($A787&lt;&gt;"",K786+I787,"")</f>
        <v/>
      </c>
      <c r="L787" s="11">
        <f>IF($A787&lt;&gt;"",IF(K787-J787=0,"tie",IF(K787-J787&gt;0,"+"&amp;K787-J787,"+"&amp;J787-K787)),"")</f>
        <v/>
      </c>
      <c r="M787" s="17" t="n"/>
      <c r="N787" s="17" t="n"/>
      <c r="O787" s="17" t="n"/>
      <c r="P787" s="17" t="n"/>
      <c r="Q787" s="17" t="n"/>
      <c r="R787" s="17" t="n"/>
      <c r="S787" s="17" t="n"/>
    </row>
    <row r="788">
      <c r="A788" s="15" t="n">
        <v>45032</v>
      </c>
      <c r="B788" s="10" t="n">
        <v>30</v>
      </c>
      <c r="C788" s="9" t="n">
        <v>25</v>
      </c>
      <c r="D788" s="17" t="inlineStr">
        <is>
          <t>Preston Way</t>
        </is>
      </c>
      <c r="E788" s="9">
        <f>if($A788&lt;&gt;"",E787+B788,"")</f>
        <v/>
      </c>
      <c r="F788" s="10">
        <f>if($A788&lt;&gt;"",F787+C788,"")</f>
        <v/>
      </c>
      <c r="G788" s="11">
        <f>IF($A788&lt;&gt;"",IF(F788-E788=0,"tie",IF(F788-E788&gt;0,"+"&amp;F788-E788,"+"&amp;E788-F788)),"")</f>
        <v/>
      </c>
      <c r="H788" s="12">
        <f>if($A788&lt;&gt;"",if(B788&gt;C788,if(B788&lt;60,1,2),""),"")</f>
        <v/>
      </c>
      <c r="I788" s="12">
        <f>if($A788&lt;&gt;"",if(C788&gt;B788,if(C788&lt;60,1,2),""),"")</f>
        <v/>
      </c>
      <c r="J788" s="9">
        <f>if($A788&lt;&gt;"",J787+H788,"")</f>
        <v/>
      </c>
      <c r="K788" s="9">
        <f>if($A788&lt;&gt;"",K787+I788,"")</f>
        <v/>
      </c>
      <c r="L788" s="11">
        <f>IF($A788&lt;&gt;"",IF(K788-J788=0,"tie",IF(K788-J788&gt;0,"+"&amp;K788-J788,"+"&amp;J788-K788)),"")</f>
        <v/>
      </c>
      <c r="M788" s="17" t="n"/>
      <c r="N788" s="17" t="n"/>
      <c r="O788" s="17" t="n"/>
      <c r="P788" s="17" t="n"/>
      <c r="Q788" s="17" t="n"/>
      <c r="R788" s="17" t="n"/>
      <c r="S788" s="17" t="n"/>
    </row>
    <row r="789">
      <c r="A789" s="15" t="n">
        <v>45033</v>
      </c>
      <c r="B789" s="10" t="n">
        <v>30</v>
      </c>
      <c r="C789" s="9" t="n">
        <v>25</v>
      </c>
      <c r="D789" s="17" t="inlineStr">
        <is>
          <t>Preston Way</t>
        </is>
      </c>
      <c r="E789" s="9">
        <f>if($A789&lt;&gt;"",E788+B789,"")</f>
        <v/>
      </c>
      <c r="F789" s="10">
        <f>if($A789&lt;&gt;"",F788+C789,"")</f>
        <v/>
      </c>
      <c r="G789" s="11">
        <f>IF($A789&lt;&gt;"",IF(F789-E789=0,"tie",IF(F789-E789&gt;0,"+"&amp;F789-E789,"+"&amp;E789-F789)),"")</f>
        <v/>
      </c>
      <c r="H789" s="12">
        <f>if($A789&lt;&gt;"",if(B789&gt;C789,if(B789&lt;60,1,2),""),"")</f>
        <v/>
      </c>
      <c r="I789" s="12">
        <f>if($A789&lt;&gt;"",if(C789&gt;B789,if(C789&lt;60,1,2),""),"")</f>
        <v/>
      </c>
      <c r="J789" s="9">
        <f>if($A789&lt;&gt;"",J788+H789,"")</f>
        <v/>
      </c>
      <c r="K789" s="9">
        <f>if($A789&lt;&gt;"",K788+I789,"")</f>
        <v/>
      </c>
      <c r="L789" s="11">
        <f>IF($A789&lt;&gt;"",IF(K789-J789=0,"tie",IF(K789-J789&gt;0,"+"&amp;K789-J789,"+"&amp;J789-K789)),"")</f>
        <v/>
      </c>
      <c r="M789" s="17" t="n"/>
      <c r="N789" s="17" t="n"/>
      <c r="O789" s="17" t="n"/>
      <c r="P789" s="17" t="n"/>
      <c r="Q789" s="17" t="n"/>
      <c r="R789" s="17" t="n"/>
      <c r="S789" s="17" t="n"/>
    </row>
    <row r="790">
      <c r="A790" s="15" t="n">
        <v>45033</v>
      </c>
      <c r="B790" s="9" t="n">
        <v>25</v>
      </c>
      <c r="C790" s="10" t="n">
        <v>30</v>
      </c>
      <c r="D790" s="17" t="inlineStr">
        <is>
          <t>Preston Way</t>
        </is>
      </c>
      <c r="E790" s="9">
        <f>if($A790&lt;&gt;"",E789+B790,"")</f>
        <v/>
      </c>
      <c r="F790" s="10">
        <f>if($A790&lt;&gt;"",F789+C790,"")</f>
        <v/>
      </c>
      <c r="G790" s="11">
        <f>IF($A790&lt;&gt;"",IF(F790-E790=0,"tie",IF(F790-E790&gt;0,"+"&amp;F790-E790,"+"&amp;E790-F790)),"")</f>
        <v/>
      </c>
      <c r="H790" s="12">
        <f>if($A790&lt;&gt;"",if(B790&gt;C790,if(B790&lt;60,1,2),""),"")</f>
        <v/>
      </c>
      <c r="I790" s="12">
        <f>if($A790&lt;&gt;"",if(C790&gt;B790,if(C790&lt;60,1,2),""),"")</f>
        <v/>
      </c>
      <c r="J790" s="9">
        <f>if($A790&lt;&gt;"",J789+H790,"")</f>
        <v/>
      </c>
      <c r="K790" s="9">
        <f>if($A790&lt;&gt;"",K789+I790,"")</f>
        <v/>
      </c>
      <c r="L790" s="11">
        <f>IF($A790&lt;&gt;"",IF(K790-J790=0,"tie",IF(K790-J790&gt;0,"+"&amp;K790-J790,"+"&amp;J790-K790)),"")</f>
        <v/>
      </c>
      <c r="M790" s="17" t="n"/>
      <c r="N790" s="17" t="n"/>
      <c r="O790" s="17" t="n"/>
      <c r="P790" s="17" t="n"/>
      <c r="Q790" s="17" t="n"/>
      <c r="R790" s="17" t="n"/>
      <c r="S790" s="17" t="n"/>
    </row>
    <row r="791">
      <c r="A791" s="15" t="n">
        <v>45033</v>
      </c>
      <c r="B791" s="9" t="n">
        <v>25</v>
      </c>
      <c r="C791" s="10" t="n">
        <v>30</v>
      </c>
      <c r="D791" s="17" t="inlineStr">
        <is>
          <t>Preston Way</t>
        </is>
      </c>
      <c r="E791" s="9">
        <f>if($A791&lt;&gt;"",E790+B791,"")</f>
        <v/>
      </c>
      <c r="F791" s="10">
        <f>if($A791&lt;&gt;"",F790+C791,"")</f>
        <v/>
      </c>
      <c r="G791" s="11">
        <f>IF($A791&lt;&gt;"",IF(F791-E791=0,"tie",IF(F791-E791&gt;0,"+"&amp;F791-E791,"+"&amp;E791-F791)),"")</f>
        <v/>
      </c>
      <c r="H791" s="12">
        <f>if($A791&lt;&gt;"",if(B791&gt;C791,if(B791&lt;60,1,2),""),"")</f>
        <v/>
      </c>
      <c r="I791" s="12">
        <f>if($A791&lt;&gt;"",if(C791&gt;B791,if(C791&lt;60,1,2),""),"")</f>
        <v/>
      </c>
      <c r="J791" s="9">
        <f>if($A791&lt;&gt;"",J790+H791,"")</f>
        <v/>
      </c>
      <c r="K791" s="9">
        <f>if($A791&lt;&gt;"",K790+I791,"")</f>
        <v/>
      </c>
      <c r="L791" s="11">
        <f>IF($A791&lt;&gt;"",IF(K791-J791=0,"tie",IF(K791-J791&gt;0,"+"&amp;K791-J791,"+"&amp;J791-K791)),"")</f>
        <v/>
      </c>
      <c r="M791" s="17" t="n"/>
      <c r="N791" s="17" t="n"/>
      <c r="O791" s="17" t="n"/>
      <c r="P791" s="17" t="n"/>
      <c r="Q791" s="17" t="n"/>
      <c r="R791" s="17" t="n"/>
      <c r="S791" s="17" t="n"/>
    </row>
    <row r="792">
      <c r="A792" s="15" t="n">
        <v>45035</v>
      </c>
      <c r="B792" s="9" t="n">
        <v>50</v>
      </c>
      <c r="C792" s="10" t="n">
        <v>60</v>
      </c>
      <c r="D792" s="17" t="inlineStr">
        <is>
          <t>Café 50's, WLA</t>
        </is>
      </c>
      <c r="E792" s="9">
        <f>if($A792&lt;&gt;"",E791+B792,"")</f>
        <v/>
      </c>
      <c r="F792" s="10">
        <f>if($A792&lt;&gt;"",F791+C792,"")</f>
        <v/>
      </c>
      <c r="G792" s="11">
        <f>IF($A792&lt;&gt;"",IF(F792-E792=0,"tie",IF(F792-E792&gt;0,"+"&amp;F792-E792,"+"&amp;E792-F792)),"")</f>
        <v/>
      </c>
      <c r="H792" s="12">
        <f>if($A792&lt;&gt;"",if(B792&gt;C792,if(B792&lt;60,1,2),""),"")</f>
        <v/>
      </c>
      <c r="I792" s="12">
        <f>if($A792&lt;&gt;"",if(C792&gt;B792,if(C792&lt;60,1,2),""),"")</f>
        <v/>
      </c>
      <c r="J792" s="9">
        <f>if($A792&lt;&gt;"",J791+H792,"")</f>
        <v/>
      </c>
      <c r="K792" s="9">
        <f>if($A792&lt;&gt;"",K791+I792,"")</f>
        <v/>
      </c>
      <c r="L792" s="11">
        <f>IF($A792&lt;&gt;"",IF(K792-J792=0,"tie",IF(K792-J792&gt;0,"+"&amp;K792-J792,"+"&amp;J792-K792)),"")</f>
        <v/>
      </c>
      <c r="M792" s="17" t="n"/>
      <c r="N792" s="17" t="n"/>
      <c r="O792" s="17" t="n"/>
      <c r="P792" s="17" t="n"/>
      <c r="Q792" s="17" t="n"/>
      <c r="R792" s="17" t="n"/>
      <c r="S792" s="17" t="n"/>
    </row>
    <row r="793">
      <c r="A793" s="15" t="n">
        <v>45037</v>
      </c>
      <c r="B793" s="9" t="n">
        <v>25</v>
      </c>
      <c r="C793" s="10" t="n">
        <v>30</v>
      </c>
      <c r="D793" s="17" t="inlineStr">
        <is>
          <t>Preston Way</t>
        </is>
      </c>
      <c r="E793" s="9">
        <f>if($A793&lt;&gt;"",E792+B793,"")</f>
        <v/>
      </c>
      <c r="F793" s="10">
        <f>if($A793&lt;&gt;"",F792+C793,"")</f>
        <v/>
      </c>
      <c r="G793" s="11">
        <f>IF($A793&lt;&gt;"",IF(F793-E793=0,"tie",IF(F793-E793&gt;0,"+"&amp;F793-E793,"+"&amp;E793-F793)),"")</f>
        <v/>
      </c>
      <c r="H793" s="12">
        <f>if($A793&lt;&gt;"",if(B793&gt;C793,if(B793&lt;60,1,2),""),"")</f>
        <v/>
      </c>
      <c r="I793" s="12">
        <f>if($A793&lt;&gt;"",if(C793&gt;B793,if(C793&lt;60,1,2),""),"")</f>
        <v/>
      </c>
      <c r="J793" s="9">
        <f>if($A793&lt;&gt;"",J792+H793,"")</f>
        <v/>
      </c>
      <c r="K793" s="9">
        <f>if($A793&lt;&gt;"",K792+I793,"")</f>
        <v/>
      </c>
      <c r="L793" s="11">
        <f>IF($A793&lt;&gt;"",IF(K793-J793=0,"tie",IF(K793-J793&gt;0,"+"&amp;K793-J793,"+"&amp;J793-K793)),"")</f>
        <v/>
      </c>
      <c r="M793" s="17" t="n"/>
      <c r="N793" s="17" t="n"/>
      <c r="O793" s="17" t="n"/>
      <c r="P793" s="17" t="n"/>
      <c r="Q793" s="17" t="n"/>
      <c r="R793" s="17" t="n"/>
      <c r="S793" s="17" t="n"/>
    </row>
    <row r="794">
      <c r="A794" s="15" t="n">
        <v>45038</v>
      </c>
      <c r="B794" s="10" t="n">
        <v>30</v>
      </c>
      <c r="C794" s="9" t="n">
        <v>25</v>
      </c>
      <c r="D794" s="17" t="inlineStr">
        <is>
          <t>Morro Bay State Beach</t>
        </is>
      </c>
      <c r="E794" s="9">
        <f>if($A794&lt;&gt;"",E793+B794,"")</f>
        <v/>
      </c>
      <c r="F794" s="10">
        <f>if($A794&lt;&gt;"",F793+C794,"")</f>
        <v/>
      </c>
      <c r="G794" s="11">
        <f>IF($A794&lt;&gt;"",IF(F794-E794=0,"tie",IF(F794-E794&gt;0,"+"&amp;F794-E794,"+"&amp;E794-F794)),"")</f>
        <v/>
      </c>
      <c r="H794" s="12">
        <f>if($A794&lt;&gt;"",if(B794&gt;C794,if(B794&lt;60,1,2),""),"")</f>
        <v/>
      </c>
      <c r="I794" s="12">
        <f>if($A794&lt;&gt;"",if(C794&gt;B794,if(C794&lt;60,1,2),""),"")</f>
        <v/>
      </c>
      <c r="J794" s="9">
        <f>if($A794&lt;&gt;"",J793+H794,"")</f>
        <v/>
      </c>
      <c r="K794" s="9">
        <f>if($A794&lt;&gt;"",K793+I794,"")</f>
        <v/>
      </c>
      <c r="L794" s="11">
        <f>IF($A794&lt;&gt;"",IF(K794-J794=0,"tie",IF(K794-J794&gt;0,"+"&amp;K794-J794,"+"&amp;J794-K794)),"")</f>
        <v/>
      </c>
      <c r="M794" s="17" t="n"/>
      <c r="N794" s="17" t="n"/>
      <c r="O794" s="17" t="n"/>
      <c r="P794" s="17" t="n"/>
      <c r="Q794" s="17" t="n"/>
      <c r="R794" s="17" t="n"/>
      <c r="S794" s="17" t="n"/>
    </row>
    <row r="795">
      <c r="A795" s="15" t="n">
        <v>45040</v>
      </c>
      <c r="B795" s="9" t="n">
        <v>25</v>
      </c>
      <c r="C795" s="10" t="n">
        <v>30</v>
      </c>
      <c r="D795" s="17" t="inlineStr">
        <is>
          <t>Preston Way</t>
        </is>
      </c>
      <c r="E795" s="9">
        <f>if($A795&lt;&gt;"",E794+B795,"")</f>
        <v/>
      </c>
      <c r="F795" s="10">
        <f>if($A795&lt;&gt;"",F794+C795,"")</f>
        <v/>
      </c>
      <c r="G795" s="11">
        <f>IF($A795&lt;&gt;"",IF(F795-E795=0,"tie",IF(F795-E795&gt;0,"+"&amp;F795-E795,"+"&amp;E795-F795)),"")</f>
        <v/>
      </c>
      <c r="H795" s="12">
        <f>if($A795&lt;&gt;"",if(B795&gt;C795,if(B795&lt;60,1,2),""),"")</f>
        <v/>
      </c>
      <c r="I795" s="12">
        <f>if($A795&lt;&gt;"",if(C795&gt;B795,if(C795&lt;60,1,2),""),"")</f>
        <v/>
      </c>
      <c r="J795" s="9">
        <f>if($A795&lt;&gt;"",J794+H795,"")</f>
        <v/>
      </c>
      <c r="K795" s="9">
        <f>if($A795&lt;&gt;"",K794+I795,"")</f>
        <v/>
      </c>
      <c r="L795" s="11">
        <f>IF($A795&lt;&gt;"",IF(K795-J795=0,"tie",IF(K795-J795&gt;0,"+"&amp;K795-J795,"+"&amp;J795-K795)),"")</f>
        <v/>
      </c>
      <c r="M795" s="17" t="n"/>
      <c r="N795" s="17" t="n"/>
      <c r="O795" s="17" t="n"/>
      <c r="P795" s="17" t="n"/>
      <c r="Q795" s="17" t="n"/>
      <c r="R795" s="17" t="n"/>
      <c r="S795" s="17" t="n"/>
    </row>
    <row r="796">
      <c r="A796" s="15" t="n">
        <v>45041</v>
      </c>
      <c r="B796" s="10" t="n">
        <v>30</v>
      </c>
      <c r="C796" s="9" t="n">
        <v>25</v>
      </c>
      <c r="D796" s="17" t="inlineStr">
        <is>
          <t>Preston Way</t>
        </is>
      </c>
      <c r="E796" s="9">
        <f>if($A796&lt;&gt;"",E795+B796,"")</f>
        <v/>
      </c>
      <c r="F796" s="10">
        <f>if($A796&lt;&gt;"",F795+C796,"")</f>
        <v/>
      </c>
      <c r="G796" s="11">
        <f>IF($A796&lt;&gt;"",IF(F796-E796=0,"tie",IF(F796-E796&gt;0,"+"&amp;F796-E796,"+"&amp;E796-F796)),"")</f>
        <v/>
      </c>
      <c r="H796" s="12">
        <f>if($A796&lt;&gt;"",if(B796&gt;C796,if(B796&lt;60,1,2),""),"")</f>
        <v/>
      </c>
      <c r="I796" s="12">
        <f>if($A796&lt;&gt;"",if(C796&gt;B796,if(C796&lt;60,1,2),""),"")</f>
        <v/>
      </c>
      <c r="J796" s="9">
        <f>if($A796&lt;&gt;"",J795+H796,"")</f>
        <v/>
      </c>
      <c r="K796" s="9">
        <f>if($A796&lt;&gt;"",K795+I796,"")</f>
        <v/>
      </c>
      <c r="L796" s="11">
        <f>IF($A796&lt;&gt;"",IF(K796-J796=0,"tie",IF(K796-J796&gt;0,"+"&amp;K796-J796,"+"&amp;J796-K796)),"")</f>
        <v/>
      </c>
      <c r="M796" s="17" t="n"/>
      <c r="N796" s="17" t="n"/>
      <c r="O796" s="17" t="n"/>
      <c r="P796" s="17" t="n"/>
      <c r="Q796" s="17" t="n"/>
      <c r="R796" s="17" t="n"/>
      <c r="S796" s="17" t="n"/>
    </row>
    <row r="797">
      <c r="A797" s="15" t="n">
        <v>45042</v>
      </c>
      <c r="B797" s="10" t="n">
        <v>30</v>
      </c>
      <c r="C797" s="9" t="n">
        <v>25</v>
      </c>
      <c r="D797" s="17" t="inlineStr">
        <is>
          <t>Preston Way</t>
        </is>
      </c>
      <c r="E797" s="9">
        <f>if($A797&lt;&gt;"",E796+B797,"")</f>
        <v/>
      </c>
      <c r="F797" s="10">
        <f>if($A797&lt;&gt;"",F796+C797,"")</f>
        <v/>
      </c>
      <c r="G797" s="11">
        <f>IF($A797&lt;&gt;"",IF(F797-E797=0,"tie",IF(F797-E797&gt;0,"+"&amp;F797-E797,"+"&amp;E797-F797)),"")</f>
        <v/>
      </c>
      <c r="H797" s="12">
        <f>if($A797&lt;&gt;"",if(B797&gt;C797,if(B797&lt;60,1,2),""),"")</f>
        <v/>
      </c>
      <c r="I797" s="12">
        <f>if($A797&lt;&gt;"",if(C797&gt;B797,if(C797&lt;60,1,2),""),"")</f>
        <v/>
      </c>
      <c r="J797" s="9">
        <f>if($A797&lt;&gt;"",J796+H797,"")</f>
        <v/>
      </c>
      <c r="K797" s="9">
        <f>if($A797&lt;&gt;"",K796+I797,"")</f>
        <v/>
      </c>
      <c r="L797" s="11">
        <f>IF($A797&lt;&gt;"",IF(K797-J797=0,"tie",IF(K797-J797&gt;0,"+"&amp;K797-J797,"+"&amp;J797-K797)),"")</f>
        <v/>
      </c>
      <c r="M797" s="17" t="n"/>
      <c r="N797" s="17" t="n"/>
      <c r="O797" s="17" t="n"/>
      <c r="P797" s="17" t="n"/>
      <c r="Q797" s="17" t="n"/>
      <c r="R797" s="17" t="n"/>
      <c r="S797" s="17" t="n"/>
    </row>
    <row r="798">
      <c r="A798" s="15" t="n">
        <v>45044</v>
      </c>
      <c r="B798" s="9" t="n">
        <v>50</v>
      </c>
      <c r="C798" s="10" t="n">
        <v>60</v>
      </c>
      <c r="D798" s="17" t="inlineStr">
        <is>
          <t>Preston Way</t>
        </is>
      </c>
      <c r="E798" s="9">
        <f>if($A798&lt;&gt;"",E797+B798,"")</f>
        <v/>
      </c>
      <c r="F798" s="10">
        <f>if($A798&lt;&gt;"",F797+C798,"")</f>
        <v/>
      </c>
      <c r="G798" s="11">
        <f>IF($A798&lt;&gt;"",IF(F798-E798=0,"tie",IF(F798-E798&gt;0,"+"&amp;F798-E798,"+"&amp;E798-F798)),"")</f>
        <v/>
      </c>
      <c r="H798" s="12">
        <f>if($A798&lt;&gt;"",if(B798&gt;C798,if(B798&lt;60,1,2),""),"")</f>
        <v/>
      </c>
      <c r="I798" s="12">
        <f>if($A798&lt;&gt;"",if(C798&gt;B798,if(C798&lt;60,1,2),""),"")</f>
        <v/>
      </c>
      <c r="J798" s="9">
        <f>if($A798&lt;&gt;"",J797+H798,"")</f>
        <v/>
      </c>
      <c r="K798" s="9">
        <f>if($A798&lt;&gt;"",K797+I798,"")</f>
        <v/>
      </c>
      <c r="L798" s="11">
        <f>IF($A798&lt;&gt;"",IF(K798-J798=0,"tie",IF(K798-J798&gt;0,"+"&amp;K798-J798,"+"&amp;J798-K798)),"")</f>
        <v/>
      </c>
      <c r="M798" s="17" t="n"/>
      <c r="N798" s="17" t="n"/>
      <c r="O798" s="17" t="n"/>
      <c r="P798" s="17" t="n"/>
      <c r="Q798" s="17" t="n"/>
      <c r="R798" s="17" t="n"/>
      <c r="S798" s="17" t="n"/>
    </row>
    <row r="799">
      <c r="A799" s="15" t="n">
        <v>45048</v>
      </c>
      <c r="B799" s="9" t="n">
        <v>25</v>
      </c>
      <c r="C799" s="10" t="n">
        <v>30</v>
      </c>
      <c r="D799" s="17" t="inlineStr">
        <is>
          <t>Preston Way</t>
        </is>
      </c>
      <c r="E799" s="9">
        <f>if($A799&lt;&gt;"",E798+B799,"")</f>
        <v/>
      </c>
      <c r="F799" s="10">
        <f>if($A799&lt;&gt;"",F798+C799,"")</f>
        <v/>
      </c>
      <c r="G799" s="11">
        <f>IF($A799&lt;&gt;"",IF(F799-E799=0,"tie",IF(F799-E799&gt;0,"+"&amp;F799-E799,"+"&amp;E799-F799)),"")</f>
        <v/>
      </c>
      <c r="H799" s="12">
        <f>if($A799&lt;&gt;"",if(B799&gt;C799,if(B799&lt;60,1,2),""),"")</f>
        <v/>
      </c>
      <c r="I799" s="12">
        <f>if($A799&lt;&gt;"",if(C799&gt;B799,if(C799&lt;60,1,2),""),"")</f>
        <v/>
      </c>
      <c r="J799" s="9">
        <f>if($A799&lt;&gt;"",J798+H799,"")</f>
        <v/>
      </c>
      <c r="K799" s="9">
        <f>if($A799&lt;&gt;"",K798+I799,"")</f>
        <v/>
      </c>
      <c r="L799" s="11">
        <f>IF($A799&lt;&gt;"",IF(K799-J799=0,"tie",IF(K799-J799&gt;0,"+"&amp;K799-J799,"+"&amp;J799-K799)),"")</f>
        <v/>
      </c>
      <c r="M799" s="17" t="n"/>
      <c r="N799" s="17" t="n"/>
      <c r="O799" s="17" t="n"/>
      <c r="P799" s="17" t="n"/>
      <c r="Q799" s="17" t="n"/>
      <c r="R799" s="17" t="n"/>
      <c r="S799" s="17" t="n"/>
    </row>
    <row r="800">
      <c r="A800" s="15" t="n">
        <v>45049</v>
      </c>
      <c r="B800" s="9" t="n">
        <v>25</v>
      </c>
      <c r="C800" s="10" t="n">
        <v>30</v>
      </c>
      <c r="D800" s="17" t="inlineStr">
        <is>
          <t>Preston Way</t>
        </is>
      </c>
      <c r="E800" s="9">
        <f>if($A800&lt;&gt;"",E799+B800,"")</f>
        <v/>
      </c>
      <c r="F800" s="10">
        <f>if($A800&lt;&gt;"",F799+C800,"")</f>
        <v/>
      </c>
      <c r="G800" s="11">
        <f>IF($A800&lt;&gt;"",IF(F800-E800=0,"tie",IF(F800-E800&gt;0,"+"&amp;F800-E800,"+"&amp;E800-F800)),"")</f>
        <v/>
      </c>
      <c r="H800" s="12">
        <f>if($A800&lt;&gt;"",if(B800&gt;C800,if(B800&lt;60,1,2),""),"")</f>
        <v/>
      </c>
      <c r="I800" s="12">
        <f>if($A800&lt;&gt;"",if(C800&gt;B800,if(C800&lt;60,1,2),""),"")</f>
        <v/>
      </c>
      <c r="J800" s="9">
        <f>if($A800&lt;&gt;"",J799+H800,"")</f>
        <v/>
      </c>
      <c r="K800" s="9">
        <f>if($A800&lt;&gt;"",K799+I800,"")</f>
        <v/>
      </c>
      <c r="L800" s="11">
        <f>IF($A800&lt;&gt;"",IF(K800-J800=0,"tie",IF(K800-J800&gt;0,"+"&amp;K800-J800,"+"&amp;J800-K800)),"")</f>
        <v/>
      </c>
      <c r="M800" s="17" t="n"/>
      <c r="N800" s="17" t="n"/>
      <c r="O800" s="17" t="n"/>
      <c r="P800" s="17" t="n"/>
      <c r="Q800" s="17" t="n"/>
      <c r="R800" s="17" t="n"/>
      <c r="S800" s="17" t="n"/>
    </row>
    <row r="801">
      <c r="A801" s="15" t="n">
        <v>45049</v>
      </c>
      <c r="B801" s="9" t="n">
        <v>25</v>
      </c>
      <c r="C801" s="10" t="n">
        <v>30</v>
      </c>
      <c r="D801" s="17" t="inlineStr">
        <is>
          <t>Preston Way</t>
        </is>
      </c>
      <c r="E801" s="9">
        <f>if($A801&lt;&gt;"",E800+B801,"")</f>
        <v/>
      </c>
      <c r="F801" s="10">
        <f>if($A801&lt;&gt;"",F800+C801,"")</f>
        <v/>
      </c>
      <c r="G801" s="11">
        <f>IF($A801&lt;&gt;"",IF(F801-E801=0,"tie",IF(F801-E801&gt;0,"+"&amp;F801-E801,"+"&amp;E801-F801)),"")</f>
        <v/>
      </c>
      <c r="H801" s="12">
        <f>if($A801&lt;&gt;"",if(B801&gt;C801,if(B801&lt;60,1,2),""),"")</f>
        <v/>
      </c>
      <c r="I801" s="12">
        <f>if($A801&lt;&gt;"",if(C801&gt;B801,if(C801&lt;60,1,2),""),"")</f>
        <v/>
      </c>
      <c r="J801" s="9">
        <f>if($A801&lt;&gt;"",J800+H801,"")</f>
        <v/>
      </c>
      <c r="K801" s="9">
        <f>if($A801&lt;&gt;"",K800+I801,"")</f>
        <v/>
      </c>
      <c r="L801" s="11">
        <f>IF($A801&lt;&gt;"",IF(K801-J801=0,"tie",IF(K801-J801&gt;0,"+"&amp;K801-J801,"+"&amp;J801-K801)),"")</f>
        <v/>
      </c>
      <c r="M801" s="17" t="n"/>
      <c r="N801" s="17" t="n"/>
      <c r="O801" s="17" t="n"/>
      <c r="P801" s="17" t="n"/>
      <c r="Q801" s="17" t="n"/>
      <c r="R801" s="17" t="n"/>
      <c r="S801" s="17" t="n"/>
    </row>
    <row r="802">
      <c r="A802" s="15" t="n">
        <v>45050</v>
      </c>
      <c r="B802" s="10" t="n">
        <v>30</v>
      </c>
      <c r="C802" s="9" t="n">
        <v>25</v>
      </c>
      <c r="D802" s="17" t="inlineStr">
        <is>
          <t>Preston Way</t>
        </is>
      </c>
      <c r="E802" s="9">
        <f>if($A802&lt;&gt;"",E801+B802,"")</f>
        <v/>
      </c>
      <c r="F802" s="10">
        <f>if($A802&lt;&gt;"",F801+C802,"")</f>
        <v/>
      </c>
      <c r="G802" s="11">
        <f>IF($A802&lt;&gt;"",IF(F802-E802=0,"tie",IF(F802-E802&gt;0,"+"&amp;F802-E802,"+"&amp;E802-F802)),"")</f>
        <v/>
      </c>
      <c r="H802" s="12">
        <f>if($A802&lt;&gt;"",if(B802&gt;C802,if(B802&lt;60,1,2),""),"")</f>
        <v/>
      </c>
      <c r="I802" s="12">
        <f>if($A802&lt;&gt;"",if(C802&gt;B802,if(C802&lt;60,1,2),""),"")</f>
        <v/>
      </c>
      <c r="J802" s="9">
        <f>if($A802&lt;&gt;"",J801+H802,"")</f>
        <v/>
      </c>
      <c r="K802" s="9">
        <f>if($A802&lt;&gt;"",K801+I802,"")</f>
        <v/>
      </c>
      <c r="L802" s="11">
        <f>IF($A802&lt;&gt;"",IF(K802-J802=0,"tie",IF(K802-J802&gt;0,"+"&amp;K802-J802,"+"&amp;J802-K802)),"")</f>
        <v/>
      </c>
      <c r="M802" s="17" t="n"/>
      <c r="N802" s="17" t="n"/>
      <c r="O802" s="17" t="n"/>
      <c r="P802" s="17" t="n"/>
      <c r="Q802" s="17" t="n"/>
      <c r="R802" s="17" t="n"/>
      <c r="S802" s="17" t="n"/>
    </row>
    <row r="803">
      <c r="A803" s="15" t="n">
        <v>45051</v>
      </c>
      <c r="B803" s="9" t="n">
        <v>25</v>
      </c>
      <c r="C803" s="10" t="n">
        <v>30</v>
      </c>
      <c r="D803" s="17" t="inlineStr">
        <is>
          <t>Preston Way</t>
        </is>
      </c>
      <c r="E803" s="9">
        <f>if($A803&lt;&gt;"",E802+B803,"")</f>
        <v/>
      </c>
      <c r="F803" s="10">
        <f>if($A803&lt;&gt;"",F802+C803,"")</f>
        <v/>
      </c>
      <c r="G803" s="11">
        <f>IF($A803&lt;&gt;"",IF(F803-E803=0,"tie",IF(F803-E803&gt;0,"+"&amp;F803-E803,"+"&amp;E803-F803)),"")</f>
        <v/>
      </c>
      <c r="H803" s="12">
        <f>if($A803&lt;&gt;"",if(B803&gt;C803,if(B803&lt;60,1,2),""),"")</f>
        <v/>
      </c>
      <c r="I803" s="12">
        <f>if($A803&lt;&gt;"",if(C803&gt;B803,if(C803&lt;60,1,2),""),"")</f>
        <v/>
      </c>
      <c r="J803" s="9">
        <f>if($A803&lt;&gt;"",J802+H803,"")</f>
        <v/>
      </c>
      <c r="K803" s="9">
        <f>if($A803&lt;&gt;"",K802+I803,"")</f>
        <v/>
      </c>
      <c r="L803" s="11">
        <f>IF($A803&lt;&gt;"",IF(K803-J803=0,"tie",IF(K803-J803&gt;0,"+"&amp;K803-J803,"+"&amp;J803-K803)),"")</f>
        <v/>
      </c>
      <c r="M803" s="17" t="n"/>
      <c r="N803" s="17" t="n"/>
      <c r="O803" s="17" t="n"/>
      <c r="P803" s="17" t="n"/>
      <c r="Q803" s="17" t="n"/>
      <c r="R803" s="17" t="n"/>
      <c r="S803" s="17" t="n"/>
    </row>
    <row r="804">
      <c r="A804" s="15" t="n">
        <v>45053</v>
      </c>
      <c r="B804" s="9" t="n">
        <v>25</v>
      </c>
      <c r="C804" s="10" t="n">
        <v>30</v>
      </c>
      <c r="D804" s="17" t="inlineStr">
        <is>
          <t>Preston Way</t>
        </is>
      </c>
      <c r="E804" s="9">
        <f>if($A804&lt;&gt;"",E803+B804,"")</f>
        <v/>
      </c>
      <c r="F804" s="10">
        <f>if($A804&lt;&gt;"",F803+C804,"")</f>
        <v/>
      </c>
      <c r="G804" s="11">
        <f>IF($A804&lt;&gt;"",IF(F804-E804=0,"tie",IF(F804-E804&gt;0,"+"&amp;F804-E804,"+"&amp;E804-F804)),"")</f>
        <v/>
      </c>
      <c r="H804" s="12">
        <f>if($A804&lt;&gt;"",if(B804&gt;C804,if(B804&lt;60,1,2),""),"")</f>
        <v/>
      </c>
      <c r="I804" s="12">
        <f>if($A804&lt;&gt;"",if(C804&gt;B804,if(C804&lt;60,1,2),""),"")</f>
        <v/>
      </c>
      <c r="J804" s="9">
        <f>if($A804&lt;&gt;"",J803+H804,"")</f>
        <v/>
      </c>
      <c r="K804" s="9">
        <f>if($A804&lt;&gt;"",K803+I804,"")</f>
        <v/>
      </c>
      <c r="L804" s="11">
        <f>IF($A804&lt;&gt;"",IF(K804-J804=0,"tie",IF(K804-J804&gt;0,"+"&amp;K804-J804,"+"&amp;J804-K804)),"")</f>
        <v/>
      </c>
      <c r="M804" s="17" t="n"/>
      <c r="N804" s="17" t="n"/>
      <c r="O804" s="17" t="n"/>
      <c r="P804" s="17" t="n"/>
      <c r="Q804" s="17" t="n"/>
      <c r="R804" s="17" t="n"/>
      <c r="S804" s="17" t="n"/>
    </row>
    <row r="805">
      <c r="A805" s="15" t="n">
        <v>45054</v>
      </c>
      <c r="B805" s="10" t="n">
        <v>30</v>
      </c>
      <c r="C805" s="9" t="n">
        <v>25</v>
      </c>
      <c r="D805" s="17" t="inlineStr">
        <is>
          <t>Preston Way</t>
        </is>
      </c>
      <c r="E805" s="9">
        <f>if($A805&lt;&gt;"",E804+B805,"")</f>
        <v/>
      </c>
      <c r="F805" s="10">
        <f>if($A805&lt;&gt;"",F804+C805,"")</f>
        <v/>
      </c>
      <c r="G805" s="11">
        <f>IF($A805&lt;&gt;"",IF(F805-E805=0,"tie",IF(F805-E805&gt;0,"+"&amp;F805-E805,"+"&amp;E805-F805)),"")</f>
        <v/>
      </c>
      <c r="H805" s="12">
        <f>if($A805&lt;&gt;"",if(B805&gt;C805,if(B805&lt;60,1,2),""),"")</f>
        <v/>
      </c>
      <c r="I805" s="12">
        <f>if($A805&lt;&gt;"",if(C805&gt;B805,if(C805&lt;60,1,2),""),"")</f>
        <v/>
      </c>
      <c r="J805" s="9">
        <f>if($A805&lt;&gt;"",J804+H805,"")</f>
        <v/>
      </c>
      <c r="K805" s="9">
        <f>if($A805&lt;&gt;"",K804+I805,"")</f>
        <v/>
      </c>
      <c r="L805" s="11">
        <f>IF($A805&lt;&gt;"",IF(K805-J805=0,"tie",IF(K805-J805&gt;0,"+"&amp;K805-J805,"+"&amp;J805-K805)),"")</f>
        <v/>
      </c>
      <c r="M805" s="17" t="n"/>
      <c r="N805" s="17" t="n"/>
      <c r="O805" s="17" t="n"/>
      <c r="P805" s="17" t="n"/>
      <c r="Q805" s="17" t="n"/>
      <c r="R805" s="17" t="n"/>
      <c r="S805" s="17" t="n"/>
    </row>
    <row r="806">
      <c r="A806" s="15" t="n">
        <v>45054</v>
      </c>
      <c r="B806" s="10" t="n">
        <v>30</v>
      </c>
      <c r="C806" s="9" t="n">
        <v>25</v>
      </c>
      <c r="D806" s="17" t="inlineStr">
        <is>
          <t>George's Burgers, Santa Monica</t>
        </is>
      </c>
      <c r="E806" s="9">
        <f>if($A806&lt;&gt;"",E805+B806,"")</f>
        <v/>
      </c>
      <c r="F806" s="10">
        <f>if($A806&lt;&gt;"",F805+C806,"")</f>
        <v/>
      </c>
      <c r="G806" s="11">
        <f>IF($A806&lt;&gt;"",IF(F806-E806=0,"tie",IF(F806-E806&gt;0,"+"&amp;F806-E806,"+"&amp;E806-F806)),"")</f>
        <v/>
      </c>
      <c r="H806" s="12">
        <f>if($A806&lt;&gt;"",if(B806&gt;C806,if(B806&lt;60,1,2),""),"")</f>
        <v/>
      </c>
      <c r="I806" s="12">
        <f>if($A806&lt;&gt;"",if(C806&gt;B806,if(C806&lt;60,1,2),""),"")</f>
        <v/>
      </c>
      <c r="J806" s="9">
        <f>if($A806&lt;&gt;"",J805+H806,"")</f>
        <v/>
      </c>
      <c r="K806" s="9">
        <f>if($A806&lt;&gt;"",K805+I806,"")</f>
        <v/>
      </c>
      <c r="L806" s="11">
        <f>IF($A806&lt;&gt;"",IF(K806-J806=0,"tie",IF(K806-J806&gt;0,"+"&amp;K806-J806,"+"&amp;J806-K806)),"")</f>
        <v/>
      </c>
      <c r="M806" s="17" t="n"/>
      <c r="N806" s="17" t="n"/>
      <c r="O806" s="17" t="n"/>
      <c r="P806" s="17" t="n"/>
      <c r="Q806" s="17" t="n"/>
      <c r="R806" s="17" t="n"/>
      <c r="S806" s="17" t="n"/>
    </row>
    <row r="807">
      <c r="A807" s="15" t="n">
        <v>45055</v>
      </c>
      <c r="B807" s="9" t="n">
        <v>25</v>
      </c>
      <c r="C807" s="10" t="n">
        <v>30</v>
      </c>
      <c r="D807" s="17" t="inlineStr">
        <is>
          <t>Preston Way</t>
        </is>
      </c>
      <c r="E807" s="9">
        <f>if($A807&lt;&gt;"",E806+B807,"")</f>
        <v/>
      </c>
      <c r="F807" s="10">
        <f>if($A807&lt;&gt;"",F806+C807,"")</f>
        <v/>
      </c>
      <c r="G807" s="11">
        <f>IF($A807&lt;&gt;"",IF(F807-E807=0,"tie",IF(F807-E807&gt;0,"+"&amp;F807-E807,"+"&amp;E807-F807)),"")</f>
        <v/>
      </c>
      <c r="H807" s="12">
        <f>if($A807&lt;&gt;"",if(B807&gt;C807,if(B807&lt;60,1,2),""),"")</f>
        <v/>
      </c>
      <c r="I807" s="12">
        <f>if($A807&lt;&gt;"",if(C807&gt;B807,if(C807&lt;60,1,2),""),"")</f>
        <v/>
      </c>
      <c r="J807" s="9">
        <f>if($A807&lt;&gt;"",J806+H807,"")</f>
        <v/>
      </c>
      <c r="K807" s="9">
        <f>if($A807&lt;&gt;"",K806+I807,"")</f>
        <v/>
      </c>
      <c r="L807" s="11">
        <f>IF($A807&lt;&gt;"",IF(K807-J807=0,"tie",IF(K807-J807&gt;0,"+"&amp;K807-J807,"+"&amp;J807-K807)),"")</f>
        <v/>
      </c>
      <c r="M807" s="17" t="n"/>
      <c r="N807" s="17" t="n"/>
      <c r="O807" s="17" t="n"/>
      <c r="P807" s="17" t="n"/>
      <c r="Q807" s="17" t="n"/>
      <c r="R807" s="17" t="n"/>
      <c r="S807" s="17" t="n"/>
    </row>
    <row r="808">
      <c r="A808" s="15" t="n">
        <v>45056</v>
      </c>
      <c r="B808" s="10" t="n">
        <v>30</v>
      </c>
      <c r="C808" s="9" t="n">
        <v>25</v>
      </c>
      <c r="D808" s="17" t="inlineStr">
        <is>
          <t>Preston Way</t>
        </is>
      </c>
      <c r="E808" s="9">
        <f>if($A808&lt;&gt;"",E807+B808,"")</f>
        <v/>
      </c>
      <c r="F808" s="10">
        <f>if($A808&lt;&gt;"",F807+C808,"")</f>
        <v/>
      </c>
      <c r="G808" s="11">
        <f>IF($A808&lt;&gt;"",IF(F808-E808=0,"tie",IF(F808-E808&gt;0,"+"&amp;F808-E808,"+"&amp;E808-F808)),"")</f>
        <v/>
      </c>
      <c r="H808" s="12">
        <f>if($A808&lt;&gt;"",if(B808&gt;C808,if(B808&lt;60,1,2),""),"")</f>
        <v/>
      </c>
      <c r="I808" s="12">
        <f>if($A808&lt;&gt;"",if(C808&gt;B808,if(C808&lt;60,1,2),""),"")</f>
        <v/>
      </c>
      <c r="J808" s="9">
        <f>if($A808&lt;&gt;"",J807+H808,"")</f>
        <v/>
      </c>
      <c r="K808" s="9">
        <f>if($A808&lt;&gt;"",K807+I808,"")</f>
        <v/>
      </c>
      <c r="L808" s="11">
        <f>IF($A808&lt;&gt;"",IF(K808-J808=0,"tie",IF(K808-J808&gt;0,"+"&amp;K808-J808,"+"&amp;J808-K808)),"")</f>
        <v/>
      </c>
      <c r="M808" s="17" t="n"/>
      <c r="N808" s="17" t="n"/>
      <c r="O808" s="17" t="n"/>
      <c r="P808" s="17" t="n"/>
      <c r="Q808" s="17" t="n"/>
      <c r="R808" s="17" t="n"/>
      <c r="S808" s="17" t="n"/>
    </row>
    <row r="809">
      <c r="A809" s="15" t="n">
        <v>45056</v>
      </c>
      <c r="B809" s="10" t="n">
        <v>30</v>
      </c>
      <c r="C809" s="9" t="n">
        <v>25</v>
      </c>
      <c r="D809" s="17" t="inlineStr">
        <is>
          <t>Swingers, Hollywood</t>
        </is>
      </c>
      <c r="E809" s="9">
        <f>if($A809&lt;&gt;"",E808+B809,"")</f>
        <v/>
      </c>
      <c r="F809" s="10">
        <f>if($A809&lt;&gt;"",F808+C809,"")</f>
        <v/>
      </c>
      <c r="G809" s="11">
        <f>IF($A809&lt;&gt;"",IF(F809-E809=0,"tie",IF(F809-E809&gt;0,"+"&amp;F809-E809,"+"&amp;E809-F809)),"")</f>
        <v/>
      </c>
      <c r="H809" s="12">
        <f>if($A809&lt;&gt;"",if(B809&gt;C809,if(B809&lt;60,1,2),""),"")</f>
        <v/>
      </c>
      <c r="I809" s="12">
        <f>if($A809&lt;&gt;"",if(C809&gt;B809,if(C809&lt;60,1,2),""),"")</f>
        <v/>
      </c>
      <c r="J809" s="9">
        <f>if($A809&lt;&gt;"",J808+H809,"")</f>
        <v/>
      </c>
      <c r="K809" s="9">
        <f>if($A809&lt;&gt;"",K808+I809,"")</f>
        <v/>
      </c>
      <c r="L809" s="11">
        <f>IF($A809&lt;&gt;"",IF(K809-J809=0,"tie",IF(K809-J809&gt;0,"+"&amp;K809-J809,"+"&amp;J809-K809)),"")</f>
        <v/>
      </c>
      <c r="M809" s="17" t="n"/>
      <c r="N809" s="17" t="n"/>
      <c r="O809" s="17" t="n"/>
      <c r="P809" s="17" t="n"/>
      <c r="Q809" s="17" t="n"/>
      <c r="R809" s="17" t="n"/>
      <c r="S809" s="17" t="n"/>
    </row>
    <row r="810">
      <c r="A810" s="15" t="n">
        <v>45057</v>
      </c>
      <c r="B810" s="10" t="n">
        <v>30</v>
      </c>
      <c r="C810" s="9" t="n">
        <v>25</v>
      </c>
      <c r="D810" s="17" t="inlineStr">
        <is>
          <t>Preston Way</t>
        </is>
      </c>
      <c r="E810" s="9">
        <f>if($A810&lt;&gt;"",E809+B810,"")</f>
        <v/>
      </c>
      <c r="F810" s="10">
        <f>if($A810&lt;&gt;"",F809+C810,"")</f>
        <v/>
      </c>
      <c r="G810" s="11">
        <f>IF($A810&lt;&gt;"",IF(F810-E810=0,"tie",IF(F810-E810&gt;0,"+"&amp;F810-E810,"+"&amp;E810-F810)),"")</f>
        <v/>
      </c>
      <c r="H810" s="12">
        <f>if($A810&lt;&gt;"",if(B810&gt;C810,if(B810&lt;60,1,2),""),"")</f>
        <v/>
      </c>
      <c r="I810" s="12">
        <f>if($A810&lt;&gt;"",if(C810&gt;B810,if(C810&lt;60,1,2),""),"")</f>
        <v/>
      </c>
      <c r="J810" s="9">
        <f>if($A810&lt;&gt;"",J809+H810,"")</f>
        <v/>
      </c>
      <c r="K810" s="9">
        <f>if($A810&lt;&gt;"",K809+I810,"")</f>
        <v/>
      </c>
      <c r="L810" s="11">
        <f>IF($A810&lt;&gt;"",IF(K810-J810=0,"tie",IF(K810-J810&gt;0,"+"&amp;K810-J810,"+"&amp;J810-K810)),"")</f>
        <v/>
      </c>
      <c r="M810" s="17" t="n"/>
      <c r="N810" s="17" t="n"/>
      <c r="O810" s="17" t="n"/>
      <c r="P810" s="17" t="n"/>
      <c r="Q810" s="17" t="n"/>
      <c r="R810" s="17" t="n"/>
      <c r="S810" s="17" t="n"/>
    </row>
    <row r="811">
      <c r="A811" s="15" t="n">
        <v>45058</v>
      </c>
      <c r="B811" s="10" t="n">
        <v>30</v>
      </c>
      <c r="C811" s="9" t="n">
        <v>25</v>
      </c>
      <c r="D811" s="17" t="inlineStr">
        <is>
          <t>Preston Way</t>
        </is>
      </c>
      <c r="E811" s="9">
        <f>if($A811&lt;&gt;"",E810+B811,"")</f>
        <v/>
      </c>
      <c r="F811" s="10">
        <f>if($A811&lt;&gt;"",F810+C811,"")</f>
        <v/>
      </c>
      <c r="G811" s="11">
        <f>IF($A811&lt;&gt;"",IF(F811-E811=0,"tie",IF(F811-E811&gt;0,"+"&amp;F811-E811,"+"&amp;E811-F811)),"")</f>
        <v/>
      </c>
      <c r="H811" s="12">
        <f>if($A811&lt;&gt;"",if(B811&gt;C811,if(B811&lt;60,1,2),""),"")</f>
        <v/>
      </c>
      <c r="I811" s="12">
        <f>if($A811&lt;&gt;"",if(C811&gt;B811,if(C811&lt;60,1,2),""),"")</f>
        <v/>
      </c>
      <c r="J811" s="9">
        <f>if($A811&lt;&gt;"",J810+H811,"")</f>
        <v/>
      </c>
      <c r="K811" s="9">
        <f>if($A811&lt;&gt;"",K810+I811,"")</f>
        <v/>
      </c>
      <c r="L811" s="11">
        <f>IF($A811&lt;&gt;"",IF(K811-J811=0,"tie",IF(K811-J811&gt;0,"+"&amp;K811-J811,"+"&amp;J811-K811)),"")</f>
        <v/>
      </c>
      <c r="M811" s="17" t="n"/>
      <c r="N811" s="17" t="n"/>
      <c r="O811" s="17" t="n"/>
      <c r="P811" s="17" t="n"/>
      <c r="Q811" s="17" t="n"/>
      <c r="R811" s="17" t="n"/>
      <c r="S811" s="17" t="n"/>
    </row>
    <row r="812">
      <c r="A812" s="15" t="n">
        <v>45062</v>
      </c>
      <c r="B812" s="10" t="n">
        <v>60</v>
      </c>
      <c r="C812" s="9" t="n">
        <v>50</v>
      </c>
      <c r="D812" s="17" t="inlineStr">
        <is>
          <t>iHop, MDR</t>
        </is>
      </c>
      <c r="E812" s="9">
        <f>if($A812&lt;&gt;"",E811+B812,"")</f>
        <v/>
      </c>
      <c r="F812" s="10">
        <f>if($A812&lt;&gt;"",F811+C812,"")</f>
        <v/>
      </c>
      <c r="G812" s="11">
        <f>IF($A812&lt;&gt;"",IF(F812-E812=0,"tie",IF(F812-E812&gt;0,"+"&amp;F812-E812,"+"&amp;E812-F812)),"")</f>
        <v/>
      </c>
      <c r="H812" s="12">
        <f>if($A812&lt;&gt;"",if(B812&gt;C812,if(B812&lt;60,1,2),""),"")</f>
        <v/>
      </c>
      <c r="I812" s="12">
        <f>if($A812&lt;&gt;"",if(C812&gt;B812,if(C812&lt;60,1,2),""),"")</f>
        <v/>
      </c>
      <c r="J812" s="9">
        <f>if($A812&lt;&gt;"",J811+H812,"")</f>
        <v/>
      </c>
      <c r="K812" s="9">
        <f>if($A812&lt;&gt;"",K811+I812,"")</f>
        <v/>
      </c>
      <c r="L812" s="11">
        <f>IF($A812&lt;&gt;"",IF(K812-J812=0,"tie",IF(K812-J812&gt;0,"+"&amp;K812-J812,"+"&amp;J812-K812)),"")</f>
        <v/>
      </c>
      <c r="M812" s="17" t="n"/>
      <c r="N812" s="17" t="n"/>
      <c r="O812" s="17" t="n"/>
      <c r="P812" s="17" t="n"/>
      <c r="Q812" s="17" t="n"/>
      <c r="R812" s="17" t="n"/>
      <c r="S812" s="17" t="n"/>
    </row>
    <row r="813">
      <c r="A813" s="15" t="n">
        <v>45063</v>
      </c>
      <c r="B813" s="10" t="n">
        <v>30</v>
      </c>
      <c r="C813" s="9" t="n">
        <v>25</v>
      </c>
      <c r="D813" s="17" t="inlineStr">
        <is>
          <t>Preston Way</t>
        </is>
      </c>
      <c r="E813" s="9">
        <f>if($A813&lt;&gt;"",E812+B813,"")</f>
        <v/>
      </c>
      <c r="F813" s="10">
        <f>if($A813&lt;&gt;"",F812+C813,"")</f>
        <v/>
      </c>
      <c r="G813" s="11">
        <f>IF($A813&lt;&gt;"",IF(F813-E813=0,"tie",IF(F813-E813&gt;0,"+"&amp;F813-E813,"+"&amp;E813-F813)),"")</f>
        <v/>
      </c>
      <c r="H813" s="12">
        <f>if($A813&lt;&gt;"",if(B813&gt;C813,if(B813&lt;60,1,2),""),"")</f>
        <v/>
      </c>
      <c r="I813" s="12">
        <f>if($A813&lt;&gt;"",if(C813&gt;B813,if(C813&lt;60,1,2),""),"")</f>
        <v/>
      </c>
      <c r="J813" s="9">
        <f>if($A813&lt;&gt;"",J812+H813,"")</f>
        <v/>
      </c>
      <c r="K813" s="9">
        <f>if($A813&lt;&gt;"",K812+I813,"")</f>
        <v/>
      </c>
      <c r="L813" s="11">
        <f>IF($A813&lt;&gt;"",IF(K813-J813=0,"tie",IF(K813-J813&gt;0,"+"&amp;K813-J813,"+"&amp;J813-K813)),"")</f>
        <v/>
      </c>
      <c r="M813" s="17" t="n"/>
      <c r="N813" s="17" t="n"/>
      <c r="O813" s="17" t="n"/>
      <c r="P813" s="17" t="n"/>
      <c r="Q813" s="17" t="n"/>
      <c r="R813" s="17" t="n"/>
      <c r="S813" s="17" t="n"/>
    </row>
    <row r="814">
      <c r="A814" s="15" t="n">
        <v>45064</v>
      </c>
      <c r="B814" s="10" t="n">
        <v>30</v>
      </c>
      <c r="C814" s="9" t="n">
        <v>25</v>
      </c>
      <c r="D814" s="17" t="inlineStr">
        <is>
          <t>Preston Way</t>
        </is>
      </c>
      <c r="E814" s="9">
        <f>if($A814&lt;&gt;"",E813+B814,"")</f>
        <v/>
      </c>
      <c r="F814" s="10">
        <f>if($A814&lt;&gt;"",F813+C814,"")</f>
        <v/>
      </c>
      <c r="G814" s="11">
        <f>IF($A814&lt;&gt;"",IF(F814-E814=0,"tie",IF(F814-E814&gt;0,"+"&amp;F814-E814,"+"&amp;E814-F814)),"")</f>
        <v/>
      </c>
      <c r="H814" s="12">
        <f>if($A814&lt;&gt;"",if(B814&gt;C814,if(B814&lt;60,1,2),""),"")</f>
        <v/>
      </c>
      <c r="I814" s="12">
        <f>if($A814&lt;&gt;"",if(C814&gt;B814,if(C814&lt;60,1,2),""),"")</f>
        <v/>
      </c>
      <c r="J814" s="9">
        <f>if($A814&lt;&gt;"",J813+H814,"")</f>
        <v/>
      </c>
      <c r="K814" s="9">
        <f>if($A814&lt;&gt;"",K813+I814,"")</f>
        <v/>
      </c>
      <c r="L814" s="11">
        <f>IF($A814&lt;&gt;"",IF(K814-J814=0,"tie",IF(K814-J814&gt;0,"+"&amp;K814-J814,"+"&amp;J814-K814)),"")</f>
        <v/>
      </c>
      <c r="M814" s="17" t="n"/>
      <c r="N814" s="17" t="n"/>
      <c r="O814" s="17" t="n"/>
      <c r="P814" s="17" t="n"/>
      <c r="Q814" s="17" t="n"/>
      <c r="R814" s="17" t="n"/>
      <c r="S814" s="17" t="n"/>
    </row>
    <row r="815">
      <c r="A815" s="15" t="n">
        <v>45065</v>
      </c>
      <c r="B815" s="10" t="n">
        <v>30</v>
      </c>
      <c r="C815" s="9" t="n">
        <v>25</v>
      </c>
      <c r="D815" s="17" t="inlineStr">
        <is>
          <t>Preston Way</t>
        </is>
      </c>
      <c r="E815" s="9">
        <f>if($A815&lt;&gt;"",E814+B815,"")</f>
        <v/>
      </c>
      <c r="F815" s="10">
        <f>if($A815&lt;&gt;"",F814+C815,"")</f>
        <v/>
      </c>
      <c r="G815" s="11">
        <f>IF($A815&lt;&gt;"",IF(F815-E815=0,"tie",IF(F815-E815&gt;0,"+"&amp;F815-E815,"+"&amp;E815-F815)),"")</f>
        <v/>
      </c>
      <c r="H815" s="12">
        <f>if($A815&lt;&gt;"",if(B815&gt;C815,if(B815&lt;60,1,2),""),"")</f>
        <v/>
      </c>
      <c r="I815" s="12">
        <f>if($A815&lt;&gt;"",if(C815&gt;B815,if(C815&lt;60,1,2),""),"")</f>
        <v/>
      </c>
      <c r="J815" s="9">
        <f>if($A815&lt;&gt;"",J814+H815,"")</f>
        <v/>
      </c>
      <c r="K815" s="9">
        <f>if($A815&lt;&gt;"",K814+I815,"")</f>
        <v/>
      </c>
      <c r="L815" s="11">
        <f>IF($A815&lt;&gt;"",IF(K815-J815=0,"tie",IF(K815-J815&gt;0,"+"&amp;K815-J815,"+"&amp;J815-K815)),"")</f>
        <v/>
      </c>
      <c r="M815" s="17" t="n"/>
      <c r="N815" s="17" t="n"/>
      <c r="O815" s="17" t="n"/>
      <c r="P815" s="17" t="n"/>
      <c r="Q815" s="17" t="n"/>
      <c r="R815" s="17" t="n"/>
      <c r="S815" s="17" t="n"/>
    </row>
    <row r="816">
      <c r="A816" s="15" t="n">
        <v>45066</v>
      </c>
      <c r="B816" s="9" t="n">
        <v>25</v>
      </c>
      <c r="C816" s="10" t="n">
        <v>30</v>
      </c>
      <c r="D816" s="17" t="inlineStr">
        <is>
          <t>Preston Way</t>
        </is>
      </c>
      <c r="E816" s="9">
        <f>if($A816&lt;&gt;"",E815+B816,"")</f>
        <v/>
      </c>
      <c r="F816" s="10">
        <f>if($A816&lt;&gt;"",F815+C816,"")</f>
        <v/>
      </c>
      <c r="G816" s="11">
        <f>IF($A816&lt;&gt;"",IF(F816-E816=0,"tie",IF(F816-E816&gt;0,"+"&amp;F816-E816,"+"&amp;E816-F816)),"")</f>
        <v/>
      </c>
      <c r="H816" s="12">
        <f>if($A816&lt;&gt;"",if(B816&gt;C816,if(B816&lt;60,1,2),""),"")</f>
        <v/>
      </c>
      <c r="I816" s="12">
        <f>if($A816&lt;&gt;"",if(C816&gt;B816,if(C816&lt;60,1,2),""),"")</f>
        <v/>
      </c>
      <c r="J816" s="9">
        <f>if($A816&lt;&gt;"",J815+H816,"")</f>
        <v/>
      </c>
      <c r="K816" s="9">
        <f>if($A816&lt;&gt;"",K815+I816,"")</f>
        <v/>
      </c>
      <c r="L816" s="11">
        <f>IF($A816&lt;&gt;"",IF(K816-J816=0,"tie",IF(K816-J816&gt;0,"+"&amp;K816-J816,"+"&amp;J816-K816)),"")</f>
        <v/>
      </c>
      <c r="M816" s="17" t="n"/>
      <c r="N816" s="17" t="n"/>
      <c r="O816" s="17" t="n"/>
      <c r="P816" s="17" t="n"/>
      <c r="Q816" s="17" t="n"/>
      <c r="R816" s="17" t="n"/>
      <c r="S816" s="17" t="n"/>
    </row>
    <row r="817">
      <c r="A817" s="15" t="n">
        <v>45067</v>
      </c>
      <c r="B817" s="9" t="n">
        <v>25</v>
      </c>
      <c r="C817" s="10" t="n">
        <v>30</v>
      </c>
      <c r="D817" s="17" t="inlineStr">
        <is>
          <t>Zinque, Venice</t>
        </is>
      </c>
      <c r="E817" s="9">
        <f>if($A817&lt;&gt;"",E816+B817,"")</f>
        <v/>
      </c>
      <c r="F817" s="10">
        <f>if($A817&lt;&gt;"",F816+C817,"")</f>
        <v/>
      </c>
      <c r="G817" s="11">
        <f>IF($A817&lt;&gt;"",IF(F817-E817=0,"tie",IF(F817-E817&gt;0,"+"&amp;F817-E817,"+"&amp;E817-F817)),"")</f>
        <v/>
      </c>
      <c r="H817" s="12">
        <f>if($A817&lt;&gt;"",if(B817&gt;C817,if(B817&lt;60,1,2),""),"")</f>
        <v/>
      </c>
      <c r="I817" s="12">
        <f>if($A817&lt;&gt;"",if(C817&gt;B817,if(C817&lt;60,1,2),""),"")</f>
        <v/>
      </c>
      <c r="J817" s="9">
        <f>if($A817&lt;&gt;"",J816+H817,"")</f>
        <v/>
      </c>
      <c r="K817" s="9">
        <f>if($A817&lt;&gt;"",K816+I817,"")</f>
        <v/>
      </c>
      <c r="L817" s="11">
        <f>IF($A817&lt;&gt;"",IF(K817-J817=0,"tie",IF(K817-J817&gt;0,"+"&amp;K817-J817,"+"&amp;J817-K817)),"")</f>
        <v/>
      </c>
      <c r="M817" s="17" t="n"/>
      <c r="N817" s="17" t="n"/>
      <c r="O817" s="17" t="n"/>
      <c r="P817" s="17" t="n"/>
      <c r="Q817" s="17" t="n"/>
      <c r="R817" s="17" t="n"/>
      <c r="S817" s="17" t="n"/>
    </row>
    <row r="818">
      <c r="A818" s="15" t="n">
        <v>45068</v>
      </c>
      <c r="B818" s="10" t="n">
        <v>30</v>
      </c>
      <c r="C818" s="9" t="n">
        <v>25</v>
      </c>
      <c r="D818" s="17" t="inlineStr">
        <is>
          <t>Preston Way</t>
        </is>
      </c>
      <c r="E818" s="9">
        <f>if($A818&lt;&gt;"",E817+B818,"")</f>
        <v/>
      </c>
      <c r="F818" s="10">
        <f>if($A818&lt;&gt;"",F817+C818,"")</f>
        <v/>
      </c>
      <c r="G818" s="11">
        <f>IF($A818&lt;&gt;"",IF(F818-E818=0,"tie",IF(F818-E818&gt;0,"+"&amp;F818-E818,"+"&amp;E818-F818)),"")</f>
        <v/>
      </c>
      <c r="H818" s="12">
        <f>if($A818&lt;&gt;"",if(B818&gt;C818,if(B818&lt;60,1,2),""),"")</f>
        <v/>
      </c>
      <c r="I818" s="12">
        <f>if($A818&lt;&gt;"",if(C818&gt;B818,if(C818&lt;60,1,2),""),"")</f>
        <v/>
      </c>
      <c r="J818" s="9">
        <f>if($A818&lt;&gt;"",J817+H818,"")</f>
        <v/>
      </c>
      <c r="K818" s="9">
        <f>if($A818&lt;&gt;"",K817+I818,"")</f>
        <v/>
      </c>
      <c r="L818" s="11">
        <f>IF($A818&lt;&gt;"",IF(K818-J818=0,"tie",IF(K818-J818&gt;0,"+"&amp;K818-J818,"+"&amp;J818-K818)),"")</f>
        <v/>
      </c>
      <c r="M818" s="17" t="n"/>
      <c r="N818" s="17" t="n"/>
      <c r="O818" s="17" t="n"/>
      <c r="P818" s="17" t="n"/>
      <c r="Q818" s="17" t="n"/>
      <c r="R818" s="17" t="n"/>
      <c r="S818" s="17" t="n"/>
    </row>
    <row r="819">
      <c r="A819" s="15" t="n">
        <v>45068</v>
      </c>
      <c r="B819" s="10" t="n">
        <v>60</v>
      </c>
      <c r="C819" s="9" t="n">
        <v>50</v>
      </c>
      <c r="D819" s="17" t="inlineStr">
        <is>
          <t>Café 50's, WLA</t>
        </is>
      </c>
      <c r="E819" s="9">
        <f>if($A819&lt;&gt;"",E818+B819,"")</f>
        <v/>
      </c>
      <c r="F819" s="10">
        <f>if($A819&lt;&gt;"",F818+C819,"")</f>
        <v/>
      </c>
      <c r="G819" s="11">
        <f>IF($A819&lt;&gt;"",IF(F819-E819=0,"tie",IF(F819-E819&gt;0,"+"&amp;F819-E819,"+"&amp;E819-F819)),"")</f>
        <v/>
      </c>
      <c r="H819" s="12">
        <f>if($A819&lt;&gt;"",if(B819&gt;C819,if(B819&lt;60,1,2),""),"")</f>
        <v/>
      </c>
      <c r="I819" s="12">
        <f>if($A819&lt;&gt;"",if(C819&gt;B819,if(C819&lt;60,1,2),""),"")</f>
        <v/>
      </c>
      <c r="J819" s="9">
        <f>if($A819&lt;&gt;"",J818+H819,"")</f>
        <v/>
      </c>
      <c r="K819" s="9">
        <f>if($A819&lt;&gt;"",K818+I819,"")</f>
        <v/>
      </c>
      <c r="L819" s="11">
        <f>IF($A819&lt;&gt;"",IF(K819-J819=0,"tie",IF(K819-J819&gt;0,"+"&amp;K819-J819,"+"&amp;J819-K819)),"")</f>
        <v/>
      </c>
      <c r="M819" s="17" t="n"/>
      <c r="N819" s="17" t="n"/>
      <c r="O819" s="17" t="n"/>
      <c r="P819" s="17" t="n"/>
      <c r="Q819" s="17" t="n"/>
      <c r="R819" s="17" t="n"/>
      <c r="S819" s="17" t="n"/>
    </row>
    <row r="820">
      <c r="A820" s="15" t="n">
        <v>45069</v>
      </c>
      <c r="B820" s="10" t="n">
        <v>30</v>
      </c>
      <c r="C820" s="9" t="n">
        <v>25</v>
      </c>
      <c r="D820" s="17" t="inlineStr">
        <is>
          <t>Johnnie's Pastrami</t>
        </is>
      </c>
      <c r="E820" s="9">
        <f>if($A820&lt;&gt;"",E819+B820,"")</f>
        <v/>
      </c>
      <c r="F820" s="10">
        <f>if($A820&lt;&gt;"",F819+C820,"")</f>
        <v/>
      </c>
      <c r="G820" s="11">
        <f>IF($A820&lt;&gt;"",IF(F820-E820=0,"tie",IF(F820-E820&gt;0,"+"&amp;F820-E820,"+"&amp;E820-F820)),"")</f>
        <v/>
      </c>
      <c r="H820" s="12">
        <f>if($A820&lt;&gt;"",if(B820&gt;C820,if(B820&lt;60,1,2),""),"")</f>
        <v/>
      </c>
      <c r="I820" s="12">
        <f>if($A820&lt;&gt;"",if(C820&gt;B820,if(C820&lt;60,1,2),""),"")</f>
        <v/>
      </c>
      <c r="J820" s="9">
        <f>if($A820&lt;&gt;"",J819+H820,"")</f>
        <v/>
      </c>
      <c r="K820" s="9">
        <f>if($A820&lt;&gt;"",K819+I820,"")</f>
        <v/>
      </c>
      <c r="L820" s="11">
        <f>IF($A820&lt;&gt;"",IF(K820-J820=0,"tie",IF(K820-J820&gt;0,"+"&amp;K820-J820,"+"&amp;J820-K820)),"")</f>
        <v/>
      </c>
      <c r="M820" s="17" t="n"/>
      <c r="N820" s="17" t="n"/>
      <c r="O820" s="17" t="n"/>
      <c r="P820" s="17" t="n"/>
      <c r="Q820" s="17" t="n"/>
      <c r="R820" s="17" t="n"/>
      <c r="S820" s="17" t="n"/>
    </row>
    <row r="821">
      <c r="A821" s="15" t="n">
        <v>45070</v>
      </c>
      <c r="B821" s="10" t="n">
        <v>30</v>
      </c>
      <c r="C821" s="9" t="n">
        <v>25</v>
      </c>
      <c r="D821" s="17" t="inlineStr">
        <is>
          <t>Preston Way</t>
        </is>
      </c>
      <c r="E821" s="9">
        <f>if($A821&lt;&gt;"",E820+B821,"")</f>
        <v/>
      </c>
      <c r="F821" s="10">
        <f>if($A821&lt;&gt;"",F820+C821,"")</f>
        <v/>
      </c>
      <c r="G821" s="11">
        <f>IF($A821&lt;&gt;"",IF(F821-E821=0,"tie",IF(F821-E821&gt;0,"+"&amp;F821-E821,"+"&amp;E821-F821)),"")</f>
        <v/>
      </c>
      <c r="H821" s="12">
        <f>if($A821&lt;&gt;"",if(B821&gt;C821,if(B821&lt;60,1,2),""),"")</f>
        <v/>
      </c>
      <c r="I821" s="12">
        <f>if($A821&lt;&gt;"",if(C821&gt;B821,if(C821&lt;60,1,2),""),"")</f>
        <v/>
      </c>
      <c r="J821" s="9">
        <f>if($A821&lt;&gt;"",J820+H821,"")</f>
        <v/>
      </c>
      <c r="K821" s="9">
        <f>if($A821&lt;&gt;"",K820+I821,"")</f>
        <v/>
      </c>
      <c r="L821" s="11">
        <f>IF($A821&lt;&gt;"",IF(K821-J821=0,"tie",IF(K821-J821&gt;0,"+"&amp;K821-J821,"+"&amp;J821-K821)),"")</f>
        <v/>
      </c>
      <c r="M821" s="17" t="n"/>
      <c r="N821" s="17" t="n"/>
      <c r="O821" s="17" t="n"/>
      <c r="P821" s="17" t="n"/>
      <c r="Q821" s="17" t="n"/>
      <c r="R821" s="17" t="n"/>
      <c r="S821" s="17" t="n"/>
    </row>
    <row r="822">
      <c r="A822" s="15" t="n">
        <v>45070</v>
      </c>
      <c r="B822" s="10" t="n">
        <v>30</v>
      </c>
      <c r="C822" s="9" t="n">
        <v>25</v>
      </c>
      <c r="D822" s="17" t="inlineStr">
        <is>
          <t>Preston Way</t>
        </is>
      </c>
      <c r="E822" s="9">
        <f>if($A822&lt;&gt;"",E821+B822,"")</f>
        <v/>
      </c>
      <c r="F822" s="10">
        <f>if($A822&lt;&gt;"",F821+C822,"")</f>
        <v/>
      </c>
      <c r="G822" s="11">
        <f>IF($A822&lt;&gt;"",IF(F822-E822=0,"tie",IF(F822-E822&gt;0,"+"&amp;F822-E822,"+"&amp;E822-F822)),"")</f>
        <v/>
      </c>
      <c r="H822" s="12">
        <f>if($A822&lt;&gt;"",if(B822&gt;C822,if(B822&lt;60,1,2),""),"")</f>
        <v/>
      </c>
      <c r="I822" s="12">
        <f>if($A822&lt;&gt;"",if(C822&gt;B822,if(C822&lt;60,1,2),""),"")</f>
        <v/>
      </c>
      <c r="J822" s="9">
        <f>if($A822&lt;&gt;"",J821+H822,"")</f>
        <v/>
      </c>
      <c r="K822" s="9">
        <f>if($A822&lt;&gt;"",K821+I822,"")</f>
        <v/>
      </c>
      <c r="L822" s="11">
        <f>IF($A822&lt;&gt;"",IF(K822-J822=0,"tie",IF(K822-J822&gt;0,"+"&amp;K822-J822,"+"&amp;J822-K822)),"")</f>
        <v/>
      </c>
      <c r="M822" s="17" t="n"/>
      <c r="N822" s="17" t="n"/>
      <c r="O822" s="17" t="n"/>
      <c r="P822" s="17" t="n"/>
      <c r="Q822" s="17" t="n"/>
      <c r="R822" s="17" t="n"/>
      <c r="S822" s="17" t="n"/>
    </row>
    <row r="823">
      <c r="A823" s="15" t="n">
        <v>45071</v>
      </c>
      <c r="B823" s="9" t="n">
        <v>25</v>
      </c>
      <c r="C823" s="10" t="n">
        <v>30</v>
      </c>
      <c r="D823" s="17" t="inlineStr">
        <is>
          <t>Preston Way</t>
        </is>
      </c>
      <c r="E823" s="9">
        <f>if($A823&lt;&gt;"",E822+B823,"")</f>
        <v/>
      </c>
      <c r="F823" s="10">
        <f>if($A823&lt;&gt;"",F822+C823,"")</f>
        <v/>
      </c>
      <c r="G823" s="11">
        <f>IF($A823&lt;&gt;"",IF(F823-E823=0,"tie",IF(F823-E823&gt;0,"+"&amp;F823-E823,"+"&amp;E823-F823)),"")</f>
        <v/>
      </c>
      <c r="H823" s="12">
        <f>if($A823&lt;&gt;"",if(B823&gt;C823,if(B823&lt;60,1,2),""),"")</f>
        <v/>
      </c>
      <c r="I823" s="12">
        <f>if($A823&lt;&gt;"",if(C823&gt;B823,if(C823&lt;60,1,2),""),"")</f>
        <v/>
      </c>
      <c r="J823" s="9">
        <f>if($A823&lt;&gt;"",J822+H823,"")</f>
        <v/>
      </c>
      <c r="K823" s="9">
        <f>if($A823&lt;&gt;"",K822+I823,"")</f>
        <v/>
      </c>
      <c r="L823" s="11">
        <f>IF($A823&lt;&gt;"",IF(K823-J823=0,"tie",IF(K823-J823&gt;0,"+"&amp;K823-J823,"+"&amp;J823-K823)),"")</f>
        <v/>
      </c>
      <c r="M823" s="17" t="n"/>
      <c r="N823" s="17" t="n"/>
      <c r="O823" s="17" t="n"/>
      <c r="P823" s="17" t="n"/>
      <c r="Q823" s="17" t="n"/>
      <c r="R823" s="17" t="n"/>
      <c r="S823" s="17" t="n"/>
    </row>
    <row r="824">
      <c r="A824" s="15" t="n">
        <v>45072</v>
      </c>
      <c r="B824" s="9" t="n">
        <v>25</v>
      </c>
      <c r="C824" s="10" t="n">
        <v>30</v>
      </c>
      <c r="D824" s="17" t="inlineStr">
        <is>
          <t>Preston Way</t>
        </is>
      </c>
      <c r="E824" s="9">
        <f>if($A824&lt;&gt;"",E823+B824,"")</f>
        <v/>
      </c>
      <c r="F824" s="10">
        <f>if($A824&lt;&gt;"",F823+C824,"")</f>
        <v/>
      </c>
      <c r="G824" s="11">
        <f>IF($A824&lt;&gt;"",IF(F824-E824=0,"tie",IF(F824-E824&gt;0,"+"&amp;F824-E824,"+"&amp;E824-F824)),"")</f>
        <v/>
      </c>
      <c r="H824" s="12">
        <f>if($A824&lt;&gt;"",if(B824&gt;C824,if(B824&lt;60,1,2),""),"")</f>
        <v/>
      </c>
      <c r="I824" s="12">
        <f>if($A824&lt;&gt;"",if(C824&gt;B824,if(C824&lt;60,1,2),""),"")</f>
        <v/>
      </c>
      <c r="J824" s="9">
        <f>if($A824&lt;&gt;"",J823+H824,"")</f>
        <v/>
      </c>
      <c r="K824" s="9">
        <f>if($A824&lt;&gt;"",K823+I824,"")</f>
        <v/>
      </c>
      <c r="L824" s="11">
        <f>IF($A824&lt;&gt;"",IF(K824-J824=0,"tie",IF(K824-J824&gt;0,"+"&amp;K824-J824,"+"&amp;J824-K824)),"")</f>
        <v/>
      </c>
      <c r="M824" s="17" t="n"/>
      <c r="N824" s="17" t="n"/>
      <c r="O824" s="17" t="n"/>
      <c r="P824" s="17" t="n"/>
      <c r="Q824" s="17" t="n"/>
      <c r="R824" s="17" t="n"/>
      <c r="S824" s="17" t="n"/>
    </row>
    <row r="825">
      <c r="A825" s="15" t="n">
        <v>45079</v>
      </c>
      <c r="B825" s="9" t="n">
        <v>25</v>
      </c>
      <c r="C825" s="10" t="n">
        <v>30</v>
      </c>
      <c r="D825" s="17" t="inlineStr">
        <is>
          <t>Preston Way</t>
        </is>
      </c>
      <c r="E825" s="9">
        <f>if($A825&lt;&gt;"",E824+B825,"")</f>
        <v/>
      </c>
      <c r="F825" s="10">
        <f>if($A825&lt;&gt;"",F824+C825,"")</f>
        <v/>
      </c>
      <c r="G825" s="11">
        <f>IF($A825&lt;&gt;"",IF(F825-E825=0,"tie",IF(F825-E825&gt;0,"+"&amp;F825-E825,"+"&amp;E825-F825)),"")</f>
        <v/>
      </c>
      <c r="H825" s="12">
        <f>if($A825&lt;&gt;"",if(B825&gt;C825,if(B825&lt;60,1,2),""),"")</f>
        <v/>
      </c>
      <c r="I825" s="12">
        <f>if($A825&lt;&gt;"",if(C825&gt;B825,if(C825&lt;60,1,2),""),"")</f>
        <v/>
      </c>
      <c r="J825" s="9">
        <f>if($A825&lt;&gt;"",J824+H825,"")</f>
        <v/>
      </c>
      <c r="K825" s="9">
        <f>if($A825&lt;&gt;"",K824+I825,"")</f>
        <v/>
      </c>
      <c r="L825" s="11">
        <f>IF($A825&lt;&gt;"",IF(K825-J825=0,"tie",IF(K825-J825&gt;0,"+"&amp;K825-J825,"+"&amp;J825-K825)),"")</f>
        <v/>
      </c>
      <c r="M825" s="17" t="n"/>
      <c r="N825" s="17" t="n"/>
      <c r="O825" s="17" t="n"/>
      <c r="P825" s="17" t="n"/>
      <c r="Q825" s="17" t="n"/>
      <c r="R825" s="17" t="n"/>
      <c r="S825" s="17" t="n"/>
    </row>
    <row r="826">
      <c r="A826" s="15" t="n">
        <v>45081</v>
      </c>
      <c r="B826" s="10" t="n">
        <v>30</v>
      </c>
      <c r="C826" s="9" t="n">
        <v>25</v>
      </c>
      <c r="D826" s="17" t="inlineStr">
        <is>
          <t>Preston Way</t>
        </is>
      </c>
      <c r="E826" s="9">
        <f>if($A826&lt;&gt;"",E825+B826,"")</f>
        <v/>
      </c>
      <c r="F826" s="10">
        <f>if($A826&lt;&gt;"",F825+C826,"")</f>
        <v/>
      </c>
      <c r="G826" s="11">
        <f>IF($A826&lt;&gt;"",IF(F826-E826=0,"tie",IF(F826-E826&gt;0,"+"&amp;F826-E826,"+"&amp;E826-F826)),"")</f>
        <v/>
      </c>
      <c r="H826" s="12">
        <f>if($A826&lt;&gt;"",if(B826&gt;C826,if(B826&lt;60,1,2),""),"")</f>
        <v/>
      </c>
      <c r="I826" s="12">
        <f>if($A826&lt;&gt;"",if(C826&gt;B826,if(C826&lt;60,1,2),""),"")</f>
        <v/>
      </c>
      <c r="J826" s="9">
        <f>if($A826&lt;&gt;"",J825+H826,"")</f>
        <v/>
      </c>
      <c r="K826" s="9">
        <f>if($A826&lt;&gt;"",K825+I826,"")</f>
        <v/>
      </c>
      <c r="L826" s="11">
        <f>IF($A826&lt;&gt;"",IF(K826-J826=0,"tie",IF(K826-J826&gt;0,"+"&amp;K826-J826,"+"&amp;J826-K826)),"")</f>
        <v/>
      </c>
      <c r="M826" s="17" t="n"/>
      <c r="N826" s="17" t="n"/>
      <c r="O826" s="17" t="n"/>
      <c r="P826" s="17" t="n"/>
      <c r="Q826" s="17" t="n"/>
      <c r="R826" s="17" t="n"/>
      <c r="S826" s="17" t="n"/>
    </row>
    <row r="827">
      <c r="A827" s="15" t="n">
        <v>45094</v>
      </c>
      <c r="B827" s="10" t="n">
        <v>30</v>
      </c>
      <c r="C827" s="9" t="n">
        <v>25</v>
      </c>
      <c r="D827" s="17" t="inlineStr">
        <is>
          <t>Preston Way</t>
        </is>
      </c>
      <c r="E827" s="9">
        <f>if($A827&lt;&gt;"",E826+B827,"")</f>
        <v/>
      </c>
      <c r="F827" s="10">
        <f>if($A827&lt;&gt;"",F826+C827,"")</f>
        <v/>
      </c>
      <c r="G827" s="11">
        <f>IF($A827&lt;&gt;"",IF(F827-E827=0,"tie",IF(F827-E827&gt;0,"+"&amp;F827-E827,"+"&amp;E827-F827)),"")</f>
        <v/>
      </c>
      <c r="H827" s="12">
        <f>if($A827&lt;&gt;"",if(B827&gt;C827,if(B827&lt;60,1,2),""),"")</f>
        <v/>
      </c>
      <c r="I827" s="12">
        <f>if($A827&lt;&gt;"",if(C827&gt;B827,if(C827&lt;60,1,2),""),"")</f>
        <v/>
      </c>
      <c r="J827" s="9">
        <f>if($A827&lt;&gt;"",J826+H827,"")</f>
        <v/>
      </c>
      <c r="K827" s="9">
        <f>if($A827&lt;&gt;"",K826+I827,"")</f>
        <v/>
      </c>
      <c r="L827" s="11">
        <f>IF($A827&lt;&gt;"",IF(K827-J827=0,"tie",IF(K827-J827&gt;0,"+"&amp;K827-J827,"+"&amp;J827-K827)),"")</f>
        <v/>
      </c>
      <c r="M827" s="17" t="n"/>
      <c r="N827" s="17" t="n"/>
      <c r="O827" s="17" t="n"/>
      <c r="P827" s="17" t="n"/>
      <c r="Q827" s="17" t="n"/>
      <c r="R827" s="17" t="n"/>
      <c r="S827" s="17" t="n"/>
    </row>
    <row r="828">
      <c r="A828" s="15" t="n">
        <v>45096</v>
      </c>
      <c r="B828" s="9" t="n">
        <v>25</v>
      </c>
      <c r="C828" s="10" t="n">
        <v>30</v>
      </c>
      <c r="D828" s="17" t="inlineStr">
        <is>
          <t>Preston Way</t>
        </is>
      </c>
      <c r="E828" s="9">
        <f>if($A828&lt;&gt;"",E827+B828,"")</f>
        <v/>
      </c>
      <c r="F828" s="10">
        <f>if($A828&lt;&gt;"",F827+C828,"")</f>
        <v/>
      </c>
      <c r="G828" s="11">
        <f>IF($A828&lt;&gt;"",IF(F828-E828=0,"tie",IF(F828-E828&gt;0,"+"&amp;F828-E828,"+"&amp;E828-F828)),"")</f>
        <v/>
      </c>
      <c r="H828" s="12">
        <f>if($A828&lt;&gt;"",if(B828&gt;C828,if(B828&lt;60,1,2),""),"")</f>
        <v/>
      </c>
      <c r="I828" s="12">
        <f>if($A828&lt;&gt;"",if(C828&gt;B828,if(C828&lt;60,1,2),""),"")</f>
        <v/>
      </c>
      <c r="J828" s="9">
        <f>if($A828&lt;&gt;"",J827+H828,"")</f>
        <v/>
      </c>
      <c r="K828" s="9">
        <f>if($A828&lt;&gt;"",K827+I828,"")</f>
        <v/>
      </c>
      <c r="L828" s="11">
        <f>IF($A828&lt;&gt;"",IF(K828-J828=0,"tie",IF(K828-J828&gt;0,"+"&amp;K828-J828,"+"&amp;J828-K828)),"")</f>
        <v/>
      </c>
      <c r="M828" s="17" t="n"/>
      <c r="N828" s="17" t="n"/>
      <c r="O828" s="17" t="n"/>
      <c r="P828" s="17" t="n"/>
      <c r="Q828" s="17" t="n"/>
      <c r="R828" s="17" t="n"/>
      <c r="S828" s="17" t="n"/>
    </row>
    <row r="829">
      <c r="A829" s="15" t="n">
        <v>45098</v>
      </c>
      <c r="B829" s="10" t="n">
        <v>30</v>
      </c>
      <c r="C829" s="9" t="n">
        <v>25</v>
      </c>
      <c r="D829" s="17" t="inlineStr">
        <is>
          <t>Blueys</t>
        </is>
      </c>
      <c r="E829" s="9">
        <f>if($A829&lt;&gt;"",E828+B829,"")</f>
        <v/>
      </c>
      <c r="F829" s="10">
        <f>if($A829&lt;&gt;"",F828+C829,"")</f>
        <v/>
      </c>
      <c r="G829" s="11">
        <f>IF($A829&lt;&gt;"",IF(F829-E829=0,"tie",IF(F829-E829&gt;0,"+"&amp;F829-E829,"+"&amp;E829-F829)),"")</f>
        <v/>
      </c>
      <c r="H829" s="12">
        <f>if($A829&lt;&gt;"",if(B829&gt;C829,if(B829&lt;60,1,2),""),"")</f>
        <v/>
      </c>
      <c r="I829" s="12">
        <f>if($A829&lt;&gt;"",if(C829&gt;B829,if(C829&lt;60,1,2),""),"")</f>
        <v/>
      </c>
      <c r="J829" s="9">
        <f>if($A829&lt;&gt;"",J828+H829,"")</f>
        <v/>
      </c>
      <c r="K829" s="9">
        <f>if($A829&lt;&gt;"",K828+I829,"")</f>
        <v/>
      </c>
      <c r="L829" s="11">
        <f>IF($A829&lt;&gt;"",IF(K829-J829=0,"tie",IF(K829-J829&gt;0,"+"&amp;K829-J829,"+"&amp;J829-K829)),"")</f>
        <v/>
      </c>
      <c r="M829" s="17" t="n"/>
      <c r="N829" s="17" t="n"/>
      <c r="O829" s="17" t="n"/>
      <c r="P829" s="17" t="n"/>
      <c r="Q829" s="17" t="n"/>
      <c r="R829" s="17" t="n"/>
      <c r="S829" s="17" t="n"/>
    </row>
    <row r="830">
      <c r="A830" s="15" t="n">
        <v>45102</v>
      </c>
      <c r="B830" s="10" t="n">
        <v>60</v>
      </c>
      <c r="C830" s="9" t="n">
        <v>50</v>
      </c>
      <c r="D830" s="17" t="inlineStr">
        <is>
          <t>Preston Way</t>
        </is>
      </c>
      <c r="E830" s="9">
        <f>if($A830&lt;&gt;"",E829+B830,"")</f>
        <v/>
      </c>
      <c r="F830" s="10">
        <f>if($A830&lt;&gt;"",F829+C830,"")</f>
        <v/>
      </c>
      <c r="G830" s="11">
        <f>IF($A830&lt;&gt;"",IF(F830-E830=0,"tie",IF(F830-E830&gt;0,"+"&amp;F830-E830,"+"&amp;E830-F830)),"")</f>
        <v/>
      </c>
      <c r="H830" s="12">
        <f>if($A830&lt;&gt;"",if(B830&gt;C830,if(B830&lt;60,1,2),""),"")</f>
        <v/>
      </c>
      <c r="I830" s="12">
        <f>if($A830&lt;&gt;"",if(C830&gt;B830,if(C830&lt;60,1,2),""),"")</f>
        <v/>
      </c>
      <c r="J830" s="9">
        <f>if($A830&lt;&gt;"",J829+H830,"")</f>
        <v/>
      </c>
      <c r="K830" s="9">
        <f>if($A830&lt;&gt;"",K829+I830,"")</f>
        <v/>
      </c>
      <c r="L830" s="11">
        <f>IF($A830&lt;&gt;"",IF(K830-J830=0,"tie",IF(K830-J830&gt;0,"+"&amp;K830-J830,"+"&amp;J830-K830)),"")</f>
        <v/>
      </c>
      <c r="M830" s="17" t="n"/>
      <c r="N830" s="17" t="n"/>
      <c r="O830" s="17" t="n"/>
      <c r="P830" s="17" t="n"/>
      <c r="Q830" s="17" t="n"/>
      <c r="R830" s="17" t="n"/>
      <c r="S830" s="17" t="n"/>
    </row>
    <row r="831">
      <c r="A831" s="15" t="n">
        <v>45105</v>
      </c>
      <c r="B831" s="10" t="n">
        <v>30</v>
      </c>
      <c r="C831" s="9" t="n">
        <v>25</v>
      </c>
      <c r="D831" s="17" t="inlineStr">
        <is>
          <t>Café 50's, WLA</t>
        </is>
      </c>
      <c r="E831" s="9">
        <f>if($A831&lt;&gt;"",E830+B831,"")</f>
        <v/>
      </c>
      <c r="F831" s="10">
        <f>if($A831&lt;&gt;"",F830+C831,"")</f>
        <v/>
      </c>
      <c r="G831" s="11">
        <f>IF($A831&lt;&gt;"",IF(F831-E831=0,"tie",IF(F831-E831&gt;0,"+"&amp;F831-E831,"+"&amp;E831-F831)),"")</f>
        <v/>
      </c>
      <c r="H831" s="12">
        <f>if($A831&lt;&gt;"",if(B831&gt;C831,if(B831&lt;60,1,2),""),"")</f>
        <v/>
      </c>
      <c r="I831" s="12">
        <f>if($A831&lt;&gt;"",if(C831&gt;B831,if(C831&lt;60,1,2),""),"")</f>
        <v/>
      </c>
      <c r="J831" s="9">
        <f>if($A831&lt;&gt;"",J830+H831,"")</f>
        <v/>
      </c>
      <c r="K831" s="9">
        <f>if($A831&lt;&gt;"",K830+I831,"")</f>
        <v/>
      </c>
      <c r="L831" s="11">
        <f>IF($A831&lt;&gt;"",IF(K831-J831=0,"tie",IF(K831-J831&gt;0,"+"&amp;K831-J831,"+"&amp;J831-K831)),"")</f>
        <v/>
      </c>
      <c r="M831" s="17" t="n"/>
      <c r="N831" s="17" t="n"/>
      <c r="O831" s="17" t="n"/>
      <c r="P831" s="17" t="n"/>
      <c r="Q831" s="17" t="n"/>
      <c r="R831" s="17" t="n"/>
      <c r="S831" s="17" t="n"/>
    </row>
    <row r="832">
      <c r="A832" s="15" t="n">
        <v>45110</v>
      </c>
      <c r="B832" s="10" t="n">
        <v>30</v>
      </c>
      <c r="C832" s="9" t="n">
        <v>25</v>
      </c>
      <c r="D832" s="17" t="inlineStr">
        <is>
          <t>Surfside Seafood, Hueneme</t>
        </is>
      </c>
      <c r="E832" s="9">
        <f>if($A832&lt;&gt;"",E831+B832,"")</f>
        <v/>
      </c>
      <c r="F832" s="10">
        <f>if($A832&lt;&gt;"",F831+C832,"")</f>
        <v/>
      </c>
      <c r="G832" s="11">
        <f>IF($A832&lt;&gt;"",IF(F832-E832=0,"tie",IF(F832-E832&gt;0,"+"&amp;F832-E832,"+"&amp;E832-F832)),"")</f>
        <v/>
      </c>
      <c r="H832" s="12">
        <f>if($A832&lt;&gt;"",if(B832&gt;C832,if(B832&lt;60,1,2),""),"")</f>
        <v/>
      </c>
      <c r="I832" s="12">
        <f>if($A832&lt;&gt;"",if(C832&gt;B832,if(C832&lt;60,1,2),""),"")</f>
        <v/>
      </c>
      <c r="J832" s="9">
        <f>if($A832&lt;&gt;"",J831+H832,"")</f>
        <v/>
      </c>
      <c r="K832" s="9">
        <f>if($A832&lt;&gt;"",K831+I832,"")</f>
        <v/>
      </c>
      <c r="L832" s="11">
        <f>IF($A832&lt;&gt;"",IF(K832-J832=0,"tie",IF(K832-J832&gt;0,"+"&amp;K832-J832,"+"&amp;J832-K832)),"")</f>
        <v/>
      </c>
      <c r="M832" s="17" t="n"/>
      <c r="N832" s="17" t="n"/>
      <c r="O832" s="17" t="n"/>
      <c r="P832" s="17" t="n"/>
      <c r="Q832" s="17" t="n"/>
      <c r="R832" s="17" t="n"/>
      <c r="S832" s="17" t="n"/>
    </row>
    <row r="833">
      <c r="A833" s="15" t="n">
        <v>45122</v>
      </c>
      <c r="B833" s="10" t="n">
        <v>30</v>
      </c>
      <c r="C833" s="9" t="n">
        <v>25</v>
      </c>
      <c r="D833" s="17" t="inlineStr">
        <is>
          <t>Preston Way</t>
        </is>
      </c>
      <c r="E833" s="9">
        <f>if($A833&lt;&gt;"",E832+B833,"")</f>
        <v/>
      </c>
      <c r="F833" s="10">
        <f>if($A833&lt;&gt;"",F832+C833,"")</f>
        <v/>
      </c>
      <c r="G833" s="11">
        <f>IF($A833&lt;&gt;"",IF(F833-E833=0,"tie",IF(F833-E833&gt;0,"+"&amp;F833-E833,"+"&amp;E833-F833)),"")</f>
        <v/>
      </c>
      <c r="H833" s="12">
        <f>if($A833&lt;&gt;"",if(B833&gt;C833,if(B833&lt;60,1,2),""),"")</f>
        <v/>
      </c>
      <c r="I833" s="12">
        <f>if($A833&lt;&gt;"",if(C833&gt;B833,if(C833&lt;60,1,2),""),"")</f>
        <v/>
      </c>
      <c r="J833" s="9">
        <f>if($A833&lt;&gt;"",J832+H833,"")</f>
        <v/>
      </c>
      <c r="K833" s="9">
        <f>if($A833&lt;&gt;"",K832+I833,"")</f>
        <v/>
      </c>
      <c r="L833" s="11">
        <f>IF($A833&lt;&gt;"",IF(K833-J833=0,"tie",IF(K833-J833&gt;0,"+"&amp;K833-J833,"+"&amp;J833-K833)),"")</f>
        <v/>
      </c>
      <c r="M833" s="17" t="n"/>
      <c r="N833" s="17" t="n"/>
      <c r="O833" s="17" t="n"/>
      <c r="P833" s="17" t="n"/>
      <c r="Q833" s="17" t="n"/>
      <c r="R833" s="17" t="n"/>
      <c r="S833" s="17" t="n"/>
    </row>
    <row r="834">
      <c r="A834" s="15" t="n">
        <v>45123</v>
      </c>
      <c r="B834" s="10" t="n">
        <v>30</v>
      </c>
      <c r="C834" s="9" t="n">
        <v>25</v>
      </c>
      <c r="D834" s="17" t="inlineStr">
        <is>
          <t>Preston Way</t>
        </is>
      </c>
      <c r="E834" s="9">
        <f>if($A834&lt;&gt;"",E833+B834,"")</f>
        <v/>
      </c>
      <c r="F834" s="10">
        <f>if($A834&lt;&gt;"",F833+C834,"")</f>
        <v/>
      </c>
      <c r="G834" s="11">
        <f>IF($A834&lt;&gt;"",IF(F834-E834=0,"tie",IF(F834-E834&gt;0,"+"&amp;F834-E834,"+"&amp;E834-F834)),"")</f>
        <v/>
      </c>
      <c r="H834" s="12">
        <f>if($A834&lt;&gt;"",if(B834&gt;C834,if(B834&lt;60,1,2),""),"")</f>
        <v/>
      </c>
      <c r="I834" s="12">
        <f>if($A834&lt;&gt;"",if(C834&gt;B834,if(C834&lt;60,1,2),""),"")</f>
        <v/>
      </c>
      <c r="J834" s="9">
        <f>if($A834&lt;&gt;"",J833+H834,"")</f>
        <v/>
      </c>
      <c r="K834" s="9">
        <f>if($A834&lt;&gt;"",K833+I834,"")</f>
        <v/>
      </c>
      <c r="L834" s="11">
        <f>IF($A834&lt;&gt;"",IF(K834-J834=0,"tie",IF(K834-J834&gt;0,"+"&amp;K834-J834,"+"&amp;J834-K834)),"")</f>
        <v/>
      </c>
      <c r="M834" s="17" t="n"/>
      <c r="N834" s="17" t="n"/>
      <c r="O834" s="17" t="n"/>
      <c r="P834" s="17" t="n"/>
      <c r="Q834" s="17" t="n"/>
      <c r="R834" s="17" t="n"/>
      <c r="S834" s="17" t="n"/>
    </row>
    <row r="835">
      <c r="A835" s="15" t="n">
        <v>45125</v>
      </c>
      <c r="B835" s="9" t="n">
        <v>25</v>
      </c>
      <c r="C835" s="10" t="n">
        <v>30</v>
      </c>
      <c r="D835" s="17" t="inlineStr">
        <is>
          <t>Preston Way</t>
        </is>
      </c>
      <c r="E835" s="9">
        <f>if($A835&lt;&gt;"",E834+B835,"")</f>
        <v/>
      </c>
      <c r="F835" s="10">
        <f>if($A835&lt;&gt;"",F834+C835,"")</f>
        <v/>
      </c>
      <c r="G835" s="11">
        <f>IF($A835&lt;&gt;"",IF(F835-E835=0,"tie",IF(F835-E835&gt;0,"+"&amp;F835-E835,"+"&amp;E835-F835)),"")</f>
        <v/>
      </c>
      <c r="H835" s="12">
        <f>if($A835&lt;&gt;"",if(B835&gt;C835,if(B835&lt;60,1,2),""),"")</f>
        <v/>
      </c>
      <c r="I835" s="12">
        <f>if($A835&lt;&gt;"",if(C835&gt;B835,if(C835&lt;60,1,2),""),"")</f>
        <v/>
      </c>
      <c r="J835" s="9">
        <f>if($A835&lt;&gt;"",J834+H835,"")</f>
        <v/>
      </c>
      <c r="K835" s="9">
        <f>if($A835&lt;&gt;"",K834+I835,"")</f>
        <v/>
      </c>
      <c r="L835" s="11">
        <f>IF($A835&lt;&gt;"",IF(K835-J835=0,"tie",IF(K835-J835&gt;0,"+"&amp;K835-J835,"+"&amp;J835-K835)),"")</f>
        <v/>
      </c>
      <c r="M835" s="17" t="n"/>
      <c r="N835" s="17" t="n"/>
      <c r="O835" s="17" t="n"/>
      <c r="P835" s="17" t="n"/>
      <c r="Q835" s="17" t="n"/>
      <c r="R835" s="17" t="n"/>
      <c r="S835" s="17" t="n"/>
    </row>
    <row r="836">
      <c r="A836" s="15" t="n">
        <v>45128</v>
      </c>
      <c r="B836" s="10" t="n">
        <v>30</v>
      </c>
      <c r="C836" s="9" t="n">
        <v>25</v>
      </c>
      <c r="D836" s="17" t="inlineStr">
        <is>
          <t>In-n-Out, Westwood</t>
        </is>
      </c>
      <c r="E836" s="9">
        <f>if($A836&lt;&gt;"",E835+B836,"")</f>
        <v/>
      </c>
      <c r="F836" s="10">
        <f>if($A836&lt;&gt;"",F835+C836,"")</f>
        <v/>
      </c>
      <c r="G836" s="11">
        <f>IF($A836&lt;&gt;"",IF(F836-E836=0,"tie",IF(F836-E836&gt;0,"+"&amp;F836-E836,"+"&amp;E836-F836)),"")</f>
        <v/>
      </c>
      <c r="H836" s="12">
        <f>if($A836&lt;&gt;"",if(B836&gt;C836,if(B836&lt;60,1,2),""),"")</f>
        <v/>
      </c>
      <c r="I836" s="12">
        <f>if($A836&lt;&gt;"",if(C836&gt;B836,if(C836&lt;60,1,2),""),"")</f>
        <v/>
      </c>
      <c r="J836" s="9">
        <f>if($A836&lt;&gt;"",J835+H836,"")</f>
        <v/>
      </c>
      <c r="K836" s="9">
        <f>if($A836&lt;&gt;"",K835+I836,"")</f>
        <v/>
      </c>
      <c r="L836" s="11">
        <f>IF($A836&lt;&gt;"",IF(K836-J836=0,"tie",IF(K836-J836&gt;0,"+"&amp;K836-J836,"+"&amp;J836-K836)),"")</f>
        <v/>
      </c>
      <c r="M836" s="17" t="n"/>
      <c r="N836" s="17" t="n"/>
      <c r="O836" s="17" t="n"/>
      <c r="P836" s="17" t="n"/>
      <c r="Q836" s="17" t="n"/>
      <c r="R836" s="17" t="n"/>
      <c r="S836" s="17" t="n"/>
    </row>
    <row r="837">
      <c r="A837" s="15" t="n">
        <v>45129</v>
      </c>
      <c r="B837" s="10" t="n">
        <v>30</v>
      </c>
      <c r="C837" s="9" t="n">
        <v>25</v>
      </c>
      <c r="D837" s="17" t="inlineStr">
        <is>
          <t>Preston Way</t>
        </is>
      </c>
      <c r="E837" s="9">
        <f>if($A837&lt;&gt;"",E836+B837,"")</f>
        <v/>
      </c>
      <c r="F837" s="10">
        <f>if($A837&lt;&gt;"",F836+C837,"")</f>
        <v/>
      </c>
      <c r="G837" s="11">
        <f>IF($A837&lt;&gt;"",IF(F837-E837=0,"tie",IF(F837-E837&gt;0,"+"&amp;F837-E837,"+"&amp;E837-F837)),"")</f>
        <v/>
      </c>
      <c r="H837" s="12">
        <f>if($A837&lt;&gt;"",if(B837&gt;C837,if(B837&lt;60,1,2),""),"")</f>
        <v/>
      </c>
      <c r="I837" s="12">
        <f>if($A837&lt;&gt;"",if(C837&gt;B837,if(C837&lt;60,1,2),""),"")</f>
        <v/>
      </c>
      <c r="J837" s="9">
        <f>if($A837&lt;&gt;"",J836+H837,"")</f>
        <v/>
      </c>
      <c r="K837" s="9">
        <f>if($A837&lt;&gt;"",K836+I837,"")</f>
        <v/>
      </c>
      <c r="L837" s="11">
        <f>IF($A837&lt;&gt;"",IF(K837-J837=0,"tie",IF(K837-J837&gt;0,"+"&amp;K837-J837,"+"&amp;J837-K837)),"")</f>
        <v/>
      </c>
      <c r="M837" s="17" t="n"/>
      <c r="N837" s="17" t="n"/>
      <c r="O837" s="17" t="n"/>
      <c r="P837" s="17" t="n"/>
      <c r="Q837" s="17" t="n"/>
      <c r="R837" s="17" t="n"/>
      <c r="S837" s="17" t="n"/>
    </row>
    <row r="838">
      <c r="A838" s="15" t="n">
        <v>45130</v>
      </c>
      <c r="B838" s="9" t="n">
        <v>25</v>
      </c>
      <c r="C838" s="10" t="n">
        <v>30</v>
      </c>
      <c r="D838" s="17" t="inlineStr">
        <is>
          <t>Preston Way</t>
        </is>
      </c>
      <c r="E838" s="9">
        <f>if($A838&lt;&gt;"",E837+B838,"")</f>
        <v/>
      </c>
      <c r="F838" s="10">
        <f>if($A838&lt;&gt;"",F837+C838,"")</f>
        <v/>
      </c>
      <c r="G838" s="11">
        <f>IF($A838&lt;&gt;"",IF(F838-E838=0,"tie",IF(F838-E838&gt;0,"+"&amp;F838-E838,"+"&amp;E838-F838)),"")</f>
        <v/>
      </c>
      <c r="H838" s="12">
        <f>if($A838&lt;&gt;"",if(B838&gt;C838,if(B838&lt;60,1,2),""),"")</f>
        <v/>
      </c>
      <c r="I838" s="12">
        <f>if($A838&lt;&gt;"",if(C838&gt;B838,if(C838&lt;60,1,2),""),"")</f>
        <v/>
      </c>
      <c r="J838" s="9">
        <f>if($A838&lt;&gt;"",J837+H838,"")</f>
        <v/>
      </c>
      <c r="K838" s="9">
        <f>if($A838&lt;&gt;"",K837+I838,"")</f>
        <v/>
      </c>
      <c r="L838" s="11">
        <f>IF($A838&lt;&gt;"",IF(K838-J838=0,"tie",IF(K838-J838&gt;0,"+"&amp;K838-J838,"+"&amp;J838-K838)),"")</f>
        <v/>
      </c>
      <c r="M838" s="17" t="n"/>
      <c r="N838" s="17" t="n"/>
      <c r="O838" s="17" t="n"/>
      <c r="P838" s="17" t="n"/>
      <c r="Q838" s="17" t="n"/>
      <c r="R838" s="17" t="n"/>
      <c r="S838" s="17" t="n"/>
    </row>
    <row r="839">
      <c r="A839" s="15" t="n">
        <v>45137</v>
      </c>
      <c r="B839" s="10" t="n">
        <v>60</v>
      </c>
      <c r="C839" s="9" t="n">
        <v>50</v>
      </c>
      <c r="D839" s="17" t="inlineStr">
        <is>
          <t>Preston Way</t>
        </is>
      </c>
      <c r="E839" s="9">
        <f>if($A839&lt;&gt;"",E838+B839,"")</f>
        <v/>
      </c>
      <c r="F839" s="10">
        <f>if($A839&lt;&gt;"",F838+C839,"")</f>
        <v/>
      </c>
      <c r="G839" s="11">
        <f>IF($A839&lt;&gt;"",IF(F839-E839=0,"tie",IF(F839-E839&gt;0,"+"&amp;F839-E839,"+"&amp;E839-F839)),"")</f>
        <v/>
      </c>
      <c r="H839" s="12">
        <f>if($A839&lt;&gt;"",if(B839&gt;C839,if(B839&lt;60,1,2),""),"")</f>
        <v/>
      </c>
      <c r="I839" s="12">
        <f>if($A839&lt;&gt;"",if(C839&gt;B839,if(C839&lt;60,1,2),""),"")</f>
        <v/>
      </c>
      <c r="J839" s="9">
        <f>if($A839&lt;&gt;"",J838+H839,"")</f>
        <v/>
      </c>
      <c r="K839" s="9">
        <f>if($A839&lt;&gt;"",K838+I839,"")</f>
        <v/>
      </c>
      <c r="L839" s="11">
        <f>IF($A839&lt;&gt;"",IF(K839-J839=0,"tie",IF(K839-J839&gt;0,"+"&amp;K839-J839,"+"&amp;J839-K839)),"")</f>
        <v/>
      </c>
      <c r="M839" s="17" t="n"/>
      <c r="N839" s="17" t="n"/>
      <c r="O839" s="17" t="n"/>
      <c r="P839" s="17" t="n"/>
      <c r="Q839" s="17" t="n"/>
      <c r="R839" s="17" t="n"/>
      <c r="S839" s="17" t="n"/>
    </row>
    <row r="840">
      <c r="A840" s="15" t="n">
        <v>45139</v>
      </c>
      <c r="B840" s="10" t="n">
        <v>30</v>
      </c>
      <c r="C840" s="9" t="n">
        <v>25</v>
      </c>
      <c r="D840" s="17" t="inlineStr">
        <is>
          <t>Preston Way</t>
        </is>
      </c>
      <c r="E840" s="9">
        <f>if($A840&lt;&gt;"",E839+B840,"")</f>
        <v/>
      </c>
      <c r="F840" s="10">
        <f>if($A840&lt;&gt;"",F839+C840,"")</f>
        <v/>
      </c>
      <c r="G840" s="11">
        <f>IF($A840&lt;&gt;"",IF(F840-E840=0,"tie",IF(F840-E840&gt;0,"+"&amp;F840-E840,"+"&amp;E840-F840)),"")</f>
        <v/>
      </c>
      <c r="H840" s="12">
        <f>if($A840&lt;&gt;"",if(B840&gt;C840,if(B840&lt;60,1,2),""),"")</f>
        <v/>
      </c>
      <c r="I840" s="12">
        <f>if($A840&lt;&gt;"",if(C840&gt;B840,if(C840&lt;60,1,2),""),"")</f>
        <v/>
      </c>
      <c r="J840" s="9">
        <f>if($A840&lt;&gt;"",J839+H840,"")</f>
        <v/>
      </c>
      <c r="K840" s="9">
        <f>if($A840&lt;&gt;"",K839+I840,"")</f>
        <v/>
      </c>
      <c r="L840" s="11">
        <f>IF($A840&lt;&gt;"",IF(K840-J840=0,"tie",IF(K840-J840&gt;0,"+"&amp;K840-J840,"+"&amp;J840-K840)),"")</f>
        <v/>
      </c>
      <c r="M840" s="17" t="n"/>
      <c r="N840" s="17" t="n"/>
      <c r="O840" s="17" t="n"/>
      <c r="P840" s="17" t="n"/>
      <c r="Q840" s="17" t="n"/>
      <c r="R840" s="17" t="n"/>
      <c r="S840" s="17" t="n"/>
    </row>
    <row r="841">
      <c r="A841" s="15" t="n">
        <v>45142</v>
      </c>
      <c r="B841" s="10" t="n">
        <v>30</v>
      </c>
      <c r="C841" s="9" t="n">
        <v>25</v>
      </c>
      <c r="D841" s="17" t="inlineStr">
        <is>
          <t>Preston Way</t>
        </is>
      </c>
      <c r="E841" s="9">
        <f>if($A841&lt;&gt;"",E840+B841,"")</f>
        <v/>
      </c>
      <c r="F841" s="10">
        <f>if($A841&lt;&gt;"",F840+C841,"")</f>
        <v/>
      </c>
      <c r="G841" s="11">
        <f>IF($A841&lt;&gt;"",IF(F841-E841=0,"tie",IF(F841-E841&gt;0,"+"&amp;F841-E841,"+"&amp;E841-F841)),"")</f>
        <v/>
      </c>
      <c r="H841" s="12">
        <f>if($A841&lt;&gt;"",if(B841&gt;C841,if(B841&lt;60,1,2),""),"")</f>
        <v/>
      </c>
      <c r="I841" s="12">
        <f>if($A841&lt;&gt;"",if(C841&gt;B841,if(C841&lt;60,1,2),""),"")</f>
        <v/>
      </c>
      <c r="J841" s="9">
        <f>if($A841&lt;&gt;"",J840+H841,"")</f>
        <v/>
      </c>
      <c r="K841" s="9">
        <f>if($A841&lt;&gt;"",K840+I841,"")</f>
        <v/>
      </c>
      <c r="L841" s="11">
        <f>IF($A841&lt;&gt;"",IF(K841-J841=0,"tie",IF(K841-J841&gt;0,"+"&amp;K841-J841,"+"&amp;J841-K841)),"")</f>
        <v/>
      </c>
      <c r="M841" s="17" t="n"/>
      <c r="N841" s="17" t="n"/>
      <c r="O841" s="17" t="n"/>
      <c r="P841" s="17" t="n"/>
      <c r="Q841" s="17" t="n"/>
      <c r="R841" s="17" t="n"/>
      <c r="S841" s="17" t="n"/>
    </row>
    <row r="842">
      <c r="A842" s="15" t="n">
        <v>45157</v>
      </c>
      <c r="B842" s="9" t="n">
        <v>25</v>
      </c>
      <c r="C842" s="10" t="n">
        <v>30</v>
      </c>
      <c r="D842" s="17" t="inlineStr">
        <is>
          <t>Busy Bee Diner, Ventura</t>
        </is>
      </c>
      <c r="E842" s="9">
        <f>if($A842&lt;&gt;"",E841+B842,"")</f>
        <v/>
      </c>
      <c r="F842" s="10">
        <f>if($A842&lt;&gt;"",F841+C842,"")</f>
        <v/>
      </c>
      <c r="G842" s="11">
        <f>IF($A842&lt;&gt;"",IF(F842-E842=0,"tie",IF(F842-E842&gt;0,"+"&amp;F842-E842,"+"&amp;E842-F842)),"")</f>
        <v/>
      </c>
      <c r="H842" s="12">
        <f>if($A842&lt;&gt;"",if(B842&gt;C842,if(B842&lt;60,1,2),""),"")</f>
        <v/>
      </c>
      <c r="I842" s="12">
        <f>if($A842&lt;&gt;"",if(C842&gt;B842,if(C842&lt;60,1,2),""),"")</f>
        <v/>
      </c>
      <c r="J842" s="9">
        <f>if($A842&lt;&gt;"",J841+H842,"")</f>
        <v/>
      </c>
      <c r="K842" s="9">
        <f>if($A842&lt;&gt;"",K841+I842,"")</f>
        <v/>
      </c>
      <c r="L842" s="11">
        <f>IF($A842&lt;&gt;"",IF(K842-J842=0,"tie",IF(K842-J842&gt;0,"+"&amp;K842-J842,"+"&amp;J842-K842)),"")</f>
        <v/>
      </c>
      <c r="M842" s="17" t="n"/>
      <c r="N842" s="17" t="n"/>
      <c r="O842" s="17" t="n"/>
      <c r="P842" s="17" t="n"/>
      <c r="Q842" s="17" t="n"/>
      <c r="R842" s="17" t="n"/>
      <c r="S842" s="17" t="n"/>
    </row>
    <row r="843">
      <c r="A843" s="15" t="n">
        <v>45158</v>
      </c>
      <c r="B843" s="10" t="n">
        <v>30</v>
      </c>
      <c r="C843" s="9" t="n">
        <v>25</v>
      </c>
      <c r="D843" s="17" t="inlineStr">
        <is>
          <t>Preston Way</t>
        </is>
      </c>
      <c r="E843" s="9">
        <f>if($A843&lt;&gt;"",E842+B843,"")</f>
        <v/>
      </c>
      <c r="F843" s="10">
        <f>if($A843&lt;&gt;"",F842+C843,"")</f>
        <v/>
      </c>
      <c r="G843" s="11">
        <f>IF($A843&lt;&gt;"",IF(F843-E843=0,"tie",IF(F843-E843&gt;0,"+"&amp;F843-E843,"+"&amp;E843-F843)),"")</f>
        <v/>
      </c>
      <c r="H843" s="12">
        <f>if($A843&lt;&gt;"",if(B843&gt;C843,if(B843&lt;60,1,2),""),"")</f>
        <v/>
      </c>
      <c r="I843" s="12">
        <f>if($A843&lt;&gt;"",if(C843&gt;B843,if(C843&lt;60,1,2),""),"")</f>
        <v/>
      </c>
      <c r="J843" s="9">
        <f>if($A843&lt;&gt;"",J842+H843,"")</f>
        <v/>
      </c>
      <c r="K843" s="9">
        <f>if($A843&lt;&gt;"",K842+I843,"")</f>
        <v/>
      </c>
      <c r="L843" s="11">
        <f>IF($A843&lt;&gt;"",IF(K843-J843=0,"tie",IF(K843-J843&gt;0,"+"&amp;K843-J843,"+"&amp;J843-K843)),"")</f>
        <v/>
      </c>
      <c r="M843" s="17" t="n"/>
      <c r="N843" s="17" t="n"/>
      <c r="O843" s="17" t="n"/>
      <c r="P843" s="17" t="n"/>
      <c r="Q843" s="17" t="n"/>
      <c r="R843" s="17" t="n"/>
      <c r="S843" s="17" t="n"/>
    </row>
    <row r="844">
      <c r="A844" s="15" t="n">
        <v>45168</v>
      </c>
      <c r="B844" s="10" t="n">
        <v>30</v>
      </c>
      <c r="C844" s="9" t="n">
        <v>25</v>
      </c>
      <c r="D844" s="17" t="inlineStr">
        <is>
          <t>Café 50's, WLA</t>
        </is>
      </c>
      <c r="E844" s="9">
        <f>if($A844&lt;&gt;"",E843+B844,"")</f>
        <v/>
      </c>
      <c r="F844" s="10">
        <f>if($A844&lt;&gt;"",F843+C844,"")</f>
        <v/>
      </c>
      <c r="G844" s="11">
        <f>IF($A844&lt;&gt;"",IF(F844-E844=0,"tie",IF(F844-E844&gt;0,"+"&amp;F844-E844,"+"&amp;E844-F844)),"")</f>
        <v/>
      </c>
      <c r="H844" s="12">
        <f>if($A844&lt;&gt;"",if(B844&gt;C844,if(B844&lt;60,1,2),""),"")</f>
        <v/>
      </c>
      <c r="I844" s="12">
        <f>if($A844&lt;&gt;"",if(C844&gt;B844,if(C844&lt;60,1,2),""),"")</f>
        <v/>
      </c>
      <c r="J844" s="9">
        <f>if($A844&lt;&gt;"",J843+H844,"")</f>
        <v/>
      </c>
      <c r="K844" s="9">
        <f>if($A844&lt;&gt;"",K843+I844,"")</f>
        <v/>
      </c>
      <c r="L844" s="11">
        <f>IF($A844&lt;&gt;"",IF(K844-J844=0,"tie",IF(K844-J844&gt;0,"+"&amp;K844-J844,"+"&amp;J844-K844)),"")</f>
        <v/>
      </c>
      <c r="M844" s="17" t="n"/>
      <c r="N844" s="17" t="n"/>
      <c r="O844" s="17" t="n"/>
      <c r="P844" s="17" t="n"/>
      <c r="Q844" s="17" t="n"/>
      <c r="R844" s="17" t="n"/>
      <c r="S844" s="17" t="n"/>
    </row>
    <row r="845">
      <c r="A845" s="15" t="n">
        <v>45184</v>
      </c>
      <c r="B845" s="9" t="n">
        <v>25</v>
      </c>
      <c r="C845" s="10" t="n">
        <v>30</v>
      </c>
      <c r="D845" s="17" t="inlineStr">
        <is>
          <t>Olancha Cafe, Okancha, CA</t>
        </is>
      </c>
      <c r="E845" s="9">
        <f>if($A845&lt;&gt;"",E844+B845,"")</f>
        <v/>
      </c>
      <c r="F845" s="10">
        <f>if($A845&lt;&gt;"",F844+C845,"")</f>
        <v/>
      </c>
      <c r="G845" s="11">
        <f>IF($A845&lt;&gt;"",IF(F845-E845=0,"tie",IF(F845-E845&gt;0,"+"&amp;F845-E845,"+"&amp;E845-F845)),"")</f>
        <v/>
      </c>
      <c r="H845" s="12">
        <f>if($A845&lt;&gt;"",if(B845&gt;C845,if(B845&lt;60,1,2),""),"")</f>
        <v/>
      </c>
      <c r="I845" s="12">
        <f>if($A845&lt;&gt;"",if(C845&gt;B845,if(C845&lt;60,1,2),""),"")</f>
        <v/>
      </c>
      <c r="J845" s="9">
        <f>if($A845&lt;&gt;"",J844+H845,"")</f>
        <v/>
      </c>
      <c r="K845" s="9">
        <f>if($A845&lt;&gt;"",K844+I845,"")</f>
        <v/>
      </c>
      <c r="L845" s="11">
        <f>IF($A845&lt;&gt;"",IF(K845-J845=0,"tie",IF(K845-J845&gt;0,"+"&amp;K845-J845,"+"&amp;J845-K845)),"")</f>
        <v/>
      </c>
      <c r="M845" s="17" t="n"/>
      <c r="N845" s="17" t="n"/>
      <c r="O845" s="17" t="n"/>
      <c r="P845" s="17" t="n"/>
      <c r="Q845" s="17" t="n"/>
      <c r="R845" s="17" t="n"/>
      <c r="S845" s="17" t="n"/>
    </row>
    <row r="846">
      <c r="A846" s="15" t="n">
        <v>45185</v>
      </c>
      <c r="B846" s="9" t="n">
        <v>25</v>
      </c>
      <c r="C846" s="10" t="n">
        <v>30</v>
      </c>
      <c r="D846" s="17" t="inlineStr">
        <is>
          <t>Lakeshore, Tahoe</t>
        </is>
      </c>
      <c r="E846" s="9">
        <f>if($A846&lt;&gt;"",E845+B846,"")</f>
        <v/>
      </c>
      <c r="F846" s="10">
        <f>if($A846&lt;&gt;"",F845+C846,"")</f>
        <v/>
      </c>
      <c r="G846" s="11">
        <f>IF($A846&lt;&gt;"",IF(F846-E846=0,"tie",IF(F846-E846&gt;0,"+"&amp;F846-E846,"+"&amp;E846-F846)),"")</f>
        <v/>
      </c>
      <c r="H846" s="12">
        <f>if($A846&lt;&gt;"",if(B846&gt;C846,if(B846&lt;60,1,2),""),"")</f>
        <v/>
      </c>
      <c r="I846" s="12">
        <f>if($A846&lt;&gt;"",if(C846&gt;B846,if(C846&lt;60,1,2),""),"")</f>
        <v/>
      </c>
      <c r="J846" s="9">
        <f>if($A846&lt;&gt;"",J845+H846,"")</f>
        <v/>
      </c>
      <c r="K846" s="9">
        <f>if($A846&lt;&gt;"",K845+I846,"")</f>
        <v/>
      </c>
      <c r="L846" s="11">
        <f>IF($A846&lt;&gt;"",IF(K846-J846=0,"tie",IF(K846-J846&gt;0,"+"&amp;K846-J846,"+"&amp;J846-K846)),"")</f>
        <v/>
      </c>
      <c r="M846" s="17" t="n"/>
      <c r="N846" s="17" t="n"/>
      <c r="O846" s="17" t="n"/>
      <c r="P846" s="17" t="n"/>
      <c r="Q846" s="17" t="n"/>
      <c r="R846" s="17" t="n"/>
      <c r="S846" s="17" t="n"/>
    </row>
    <row r="847">
      <c r="A847" s="15" t="n">
        <v>45190</v>
      </c>
      <c r="B847" s="10" t="n">
        <v>30</v>
      </c>
      <c r="C847" s="9" t="n">
        <v>25</v>
      </c>
      <c r="D847" s="17" t="inlineStr">
        <is>
          <t>Woods Lake, Kirkwood, CA</t>
        </is>
      </c>
      <c r="E847" s="9">
        <f>if($A847&lt;&gt;"",E846+B847,"")</f>
        <v/>
      </c>
      <c r="F847" s="10">
        <f>if($A847&lt;&gt;"",F846+C847,"")</f>
        <v/>
      </c>
      <c r="G847" s="11">
        <f>IF($A847&lt;&gt;"",IF(F847-E847=0,"tie",IF(F847-E847&gt;0,"+"&amp;F847-E847,"+"&amp;E847-F847)),"")</f>
        <v/>
      </c>
      <c r="H847" s="12">
        <f>if($A847&lt;&gt;"",if(B847&gt;C847,if(B847&lt;60,1,2),""),"")</f>
        <v/>
      </c>
      <c r="I847" s="12">
        <f>if($A847&lt;&gt;"",if(C847&gt;B847,if(C847&lt;60,1,2),""),"")</f>
        <v/>
      </c>
      <c r="J847" s="9">
        <f>if($A847&lt;&gt;"",J846+H847,"")</f>
        <v/>
      </c>
      <c r="K847" s="9">
        <f>if($A847&lt;&gt;"",K846+I847,"")</f>
        <v/>
      </c>
      <c r="L847" s="11">
        <f>IF($A847&lt;&gt;"",IF(K847-J847=0,"tie",IF(K847-J847&gt;0,"+"&amp;K847-J847,"+"&amp;J847-K847)),"")</f>
        <v/>
      </c>
      <c r="M847" s="17" t="n"/>
      <c r="N847" s="17" t="n"/>
      <c r="O847" s="17" t="n"/>
      <c r="P847" s="17" t="n"/>
      <c r="Q847" s="17" t="n"/>
      <c r="R847" s="17" t="n"/>
      <c r="S847" s="17" t="n"/>
    </row>
    <row r="848">
      <c r="A848" s="15" t="n">
        <v>45190</v>
      </c>
      <c r="B848" s="10" t="n">
        <v>30</v>
      </c>
      <c r="C848" s="9" t="n">
        <v>25</v>
      </c>
      <c r="D848" s="17" t="inlineStr">
        <is>
          <t>Pickled Porch, Angles Camp, CA</t>
        </is>
      </c>
      <c r="E848" s="9">
        <f>if($A848&lt;&gt;"",E847+B848,"")</f>
        <v/>
      </c>
      <c r="F848" s="10">
        <f>if($A848&lt;&gt;"",F847+C848,"")</f>
        <v/>
      </c>
      <c r="G848" s="11">
        <f>IF($A848&lt;&gt;"",IF(F848-E848=0,"tie",IF(F848-E848&gt;0,"+"&amp;F848-E848,"+"&amp;E848-F848)),"")</f>
        <v/>
      </c>
      <c r="H848" s="12">
        <f>if($A848&lt;&gt;"",if(B848&gt;C848,if(B848&lt;60,1,2),""),"")</f>
        <v/>
      </c>
      <c r="I848" s="12">
        <f>if($A848&lt;&gt;"",if(C848&gt;B848,if(C848&lt;60,1,2),""),"")</f>
        <v/>
      </c>
      <c r="J848" s="9">
        <f>if($A848&lt;&gt;"",J847+H848,"")</f>
        <v/>
      </c>
      <c r="K848" s="9">
        <f>if($A848&lt;&gt;"",K847+I848,"")</f>
        <v/>
      </c>
      <c r="L848" s="11">
        <f>IF($A848&lt;&gt;"",IF(K848-J848=0,"tie",IF(K848-J848&gt;0,"+"&amp;K848-J848,"+"&amp;J848-K848)),"")</f>
        <v/>
      </c>
      <c r="M848" s="17" t="n"/>
      <c r="N848" s="17" t="n"/>
      <c r="O848" s="17" t="n"/>
      <c r="P848" s="17" t="n"/>
      <c r="Q848" s="17" t="n"/>
      <c r="R848" s="17" t="n"/>
      <c r="S848" s="17" t="n"/>
    </row>
    <row r="849">
      <c r="A849" s="15" t="n">
        <v>45191</v>
      </c>
      <c r="B849" s="10" t="n">
        <v>30</v>
      </c>
      <c r="C849" s="9" t="n">
        <v>25</v>
      </c>
      <c r="D849" s="17" t="inlineStr">
        <is>
          <t>Bear Mountain Pizza, Sequoia</t>
        </is>
      </c>
      <c r="E849" s="9">
        <f>if($A849&lt;&gt;"",E848+B849,"")</f>
        <v/>
      </c>
      <c r="F849" s="10">
        <f>if($A849&lt;&gt;"",F848+C849,"")</f>
        <v/>
      </c>
      <c r="G849" s="11">
        <f>IF($A849&lt;&gt;"",IF(F849-E849=0,"tie",IF(F849-E849&gt;0,"+"&amp;F849-E849,"+"&amp;E849-F849)),"")</f>
        <v/>
      </c>
      <c r="H849" s="12">
        <f>if($A849&lt;&gt;"",if(B849&gt;C849,if(B849&lt;60,1,2),""),"")</f>
        <v/>
      </c>
      <c r="I849" s="12">
        <f>if($A849&lt;&gt;"",if(C849&gt;B849,if(C849&lt;60,1,2),""),"")</f>
        <v/>
      </c>
      <c r="J849" s="9">
        <f>if($A849&lt;&gt;"",J848+H849,"")</f>
        <v/>
      </c>
      <c r="K849" s="9">
        <f>if($A849&lt;&gt;"",K848+I849,"")</f>
        <v/>
      </c>
      <c r="L849" s="11">
        <f>IF($A849&lt;&gt;"",IF(K849-J849=0,"tie",IF(K849-J849&gt;0,"+"&amp;K849-J849,"+"&amp;J849-K849)),"")</f>
        <v/>
      </c>
      <c r="M849" s="17" t="n"/>
      <c r="N849" s="17" t="n"/>
      <c r="O849" s="17" t="n"/>
      <c r="P849" s="17" t="n"/>
      <c r="Q849" s="17" t="n"/>
      <c r="R849" s="17" t="n"/>
      <c r="S849" s="17" t="n"/>
    </row>
    <row r="850">
      <c r="A850" s="15" t="n">
        <v>45194</v>
      </c>
      <c r="B850" s="9" t="n">
        <v>25</v>
      </c>
      <c r="C850" s="10" t="n">
        <v>30</v>
      </c>
      <c r="D850" s="17" t="inlineStr">
        <is>
          <t>Our Place Café, Woodlake, CA</t>
        </is>
      </c>
      <c r="E850" s="9">
        <f>if($A850&lt;&gt;"",E849+B850,"")</f>
        <v/>
      </c>
      <c r="F850" s="10">
        <f>if($A850&lt;&gt;"",F849+C850,"")</f>
        <v/>
      </c>
      <c r="G850" s="11">
        <f>IF($A850&lt;&gt;"",IF(F850-E850=0,"tie",IF(F850-E850&gt;0,"+"&amp;F850-E850,"+"&amp;E850-F850)),"")</f>
        <v/>
      </c>
      <c r="H850" s="12">
        <f>if($A850&lt;&gt;"",if(B850&gt;C850,if(B850&lt;60,1,2),""),"")</f>
        <v/>
      </c>
      <c r="I850" s="12">
        <f>if($A850&lt;&gt;"",if(C850&gt;B850,if(C850&lt;60,1,2),""),"")</f>
        <v/>
      </c>
      <c r="J850" s="9">
        <f>if($A850&lt;&gt;"",J849+H850,"")</f>
        <v/>
      </c>
      <c r="K850" s="9">
        <f>if($A850&lt;&gt;"",K849+I850,"")</f>
        <v/>
      </c>
      <c r="L850" s="11">
        <f>IF($A850&lt;&gt;"",IF(K850-J850=0,"tie",IF(K850-J850&gt;0,"+"&amp;K850-J850,"+"&amp;J850-K850)),"")</f>
        <v/>
      </c>
      <c r="M850" s="17" t="n"/>
      <c r="N850" s="17" t="n"/>
      <c r="O850" s="17" t="n"/>
      <c r="P850" s="17" t="n"/>
      <c r="Q850" s="17" t="n"/>
      <c r="R850" s="17" t="n"/>
      <c r="S850" s="17" t="n"/>
    </row>
    <row r="851">
      <c r="A851" s="15" t="n">
        <v>45197</v>
      </c>
      <c r="B851" s="10" t="n">
        <v>30</v>
      </c>
      <c r="C851" s="9" t="n">
        <v>25</v>
      </c>
      <c r="D851" s="17" t="inlineStr">
        <is>
          <t>Preston Way</t>
        </is>
      </c>
      <c r="E851" s="9">
        <f>if($A851&lt;&gt;"",E850+B851,"")</f>
        <v/>
      </c>
      <c r="F851" s="10">
        <f>if($A851&lt;&gt;"",F850+C851,"")</f>
        <v/>
      </c>
      <c r="G851" s="11">
        <f>IF($A851&lt;&gt;"",IF(F851-E851=0,"tie",IF(F851-E851&gt;0,"+"&amp;F851-E851,"+"&amp;E851-F851)),"")</f>
        <v/>
      </c>
      <c r="H851" s="12">
        <f>if($A851&lt;&gt;"",if(B851&gt;C851,if(B851&lt;60,1,2),""),"")</f>
        <v/>
      </c>
      <c r="I851" s="12">
        <f>if($A851&lt;&gt;"",if(C851&gt;B851,if(C851&lt;60,1,2),""),"")</f>
        <v/>
      </c>
      <c r="J851" s="9">
        <f>if($A851&lt;&gt;"",J850+H851,"")</f>
        <v/>
      </c>
      <c r="K851" s="9">
        <f>if($A851&lt;&gt;"",K850+I851,"")</f>
        <v/>
      </c>
      <c r="L851" s="11">
        <f>IF($A851&lt;&gt;"",IF(K851-J851=0,"tie",IF(K851-J851&gt;0,"+"&amp;K851-J851,"+"&amp;J851-K851)),"")</f>
        <v/>
      </c>
      <c r="M851" s="17" t="n"/>
      <c r="N851" s="17" t="n"/>
      <c r="O851" s="17" t="n"/>
      <c r="P851" s="17" t="n"/>
      <c r="Q851" s="17" t="n"/>
      <c r="R851" s="17" t="n"/>
      <c r="S851" s="17" t="n"/>
    </row>
    <row r="852">
      <c r="A852" s="15" t="n">
        <v>45201</v>
      </c>
      <c r="B852" s="9" t="n">
        <v>50</v>
      </c>
      <c r="C852" s="10" t="n">
        <v>60</v>
      </c>
      <c r="D852" s="17" t="inlineStr">
        <is>
          <t>Clearman's Northwoods inn, Santa Ana</t>
        </is>
      </c>
      <c r="E852" s="9">
        <f>if($A852&lt;&gt;"",E851+B852,"")</f>
        <v/>
      </c>
      <c r="F852" s="10">
        <f>if($A852&lt;&gt;"",F851+C852,"")</f>
        <v/>
      </c>
      <c r="G852" s="11">
        <f>IF($A852&lt;&gt;"",IF(F852-E852=0,"tie",IF(F852-E852&gt;0,"+"&amp;F852-E852,"+"&amp;E852-F852)),"")</f>
        <v/>
      </c>
      <c r="H852" s="12">
        <f>if($A852&lt;&gt;"",if(B852&gt;C852,if(B852&lt;60,1,2),""),"")</f>
        <v/>
      </c>
      <c r="I852" s="12">
        <f>if($A852&lt;&gt;"",if(C852&gt;B852,if(C852&lt;60,1,2),""),"")</f>
        <v/>
      </c>
      <c r="J852" s="9">
        <f>if($A852&lt;&gt;"",J851+H852,"")</f>
        <v/>
      </c>
      <c r="K852" s="9">
        <f>if($A852&lt;&gt;"",K851+I852,"")</f>
        <v/>
      </c>
      <c r="L852" s="11">
        <f>IF($A852&lt;&gt;"",IF(K852-J852=0,"tie",IF(K852-J852&gt;0,"+"&amp;K852-J852,"+"&amp;J852-K852)),"")</f>
        <v/>
      </c>
      <c r="M852" s="17" t="n"/>
      <c r="N852" s="17" t="n"/>
      <c r="O852" s="17" t="n"/>
      <c r="P852" s="17" t="n"/>
      <c r="Q852" s="17" t="n"/>
      <c r="R852" s="17" t="n"/>
      <c r="S852" s="17" t="n"/>
    </row>
    <row r="853">
      <c r="A853" s="15" t="n">
        <v>45203</v>
      </c>
      <c r="B853" s="10" t="n">
        <v>30</v>
      </c>
      <c r="C853" s="9" t="n">
        <v>25</v>
      </c>
      <c r="D853" s="17" t="inlineStr">
        <is>
          <t>Preston Way</t>
        </is>
      </c>
      <c r="E853" s="9">
        <f>if($A853&lt;&gt;"",E852+B853,"")</f>
        <v/>
      </c>
      <c r="F853" s="10">
        <f>if($A853&lt;&gt;"",F852+C853,"")</f>
        <v/>
      </c>
      <c r="G853" s="11">
        <f>IF($A853&lt;&gt;"",IF(F853-E853=0,"tie",IF(F853-E853&gt;0,"+"&amp;F853-E853,"+"&amp;E853-F853)),"")</f>
        <v/>
      </c>
      <c r="H853" s="12">
        <f>if($A853&lt;&gt;"",if(B853&gt;C853,if(B853&lt;60,1,2),""),"")</f>
        <v/>
      </c>
      <c r="I853" s="12">
        <f>if($A853&lt;&gt;"",if(C853&gt;B853,if(C853&lt;60,1,2),""),"")</f>
        <v/>
      </c>
      <c r="J853" s="9">
        <f>if($A853&lt;&gt;"",J852+H853,"")</f>
        <v/>
      </c>
      <c r="K853" s="9">
        <f>if($A853&lt;&gt;"",K852+I853,"")</f>
        <v/>
      </c>
      <c r="L853" s="11">
        <f>IF($A853&lt;&gt;"",IF(K853-J853=0,"tie",IF(K853-J853&gt;0,"+"&amp;K853-J853,"+"&amp;J853-K853)),"")</f>
        <v/>
      </c>
      <c r="M853" s="17" t="n"/>
      <c r="N853" s="17" t="n"/>
      <c r="O853" s="17" t="n"/>
      <c r="P853" s="17" t="n"/>
      <c r="Q853" s="17" t="n"/>
      <c r="R853" s="17" t="n"/>
      <c r="S853" s="17" t="n"/>
    </row>
    <row r="854">
      <c r="A854" s="15" t="n">
        <v>45206</v>
      </c>
      <c r="B854" s="10" t="n">
        <v>30</v>
      </c>
      <c r="C854" s="9" t="n">
        <v>25</v>
      </c>
      <c r="D854" s="17" t="inlineStr">
        <is>
          <t>Zinque, Venice</t>
        </is>
      </c>
      <c r="E854" s="9">
        <f>if($A854&lt;&gt;"",E853+B854,"")</f>
        <v/>
      </c>
      <c r="F854" s="10">
        <f>if($A854&lt;&gt;"",F853+C854,"")</f>
        <v/>
      </c>
      <c r="G854" s="11">
        <f>IF($A854&lt;&gt;"",IF(F854-E854=0,"tie",IF(F854-E854&gt;0,"+"&amp;F854-E854,"+"&amp;E854-F854)),"")</f>
        <v/>
      </c>
      <c r="H854" s="12">
        <f>if($A854&lt;&gt;"",if(B854&gt;C854,if(B854&lt;60,1,2),""),"")</f>
        <v/>
      </c>
      <c r="I854" s="12">
        <f>if($A854&lt;&gt;"",if(C854&gt;B854,if(C854&lt;60,1,2),""),"")</f>
        <v/>
      </c>
      <c r="J854" s="9">
        <f>if($A854&lt;&gt;"",J853+H854,"")</f>
        <v/>
      </c>
      <c r="K854" s="9">
        <f>if($A854&lt;&gt;"",K853+I854,"")</f>
        <v/>
      </c>
      <c r="L854" s="11">
        <f>IF($A854&lt;&gt;"",IF(K854-J854=0,"tie",IF(K854-J854&gt;0,"+"&amp;K854-J854,"+"&amp;J854-K854)),"")</f>
        <v/>
      </c>
      <c r="M854" s="17" t="n"/>
      <c r="N854" s="17" t="n"/>
      <c r="O854" s="17" t="n"/>
      <c r="P854" s="17" t="n"/>
      <c r="Q854" s="17" t="n"/>
      <c r="R854" s="17" t="n"/>
      <c r="S854" s="17" t="n"/>
    </row>
    <row r="855">
      <c r="A855" s="15" t="n">
        <v>45208</v>
      </c>
      <c r="B855" s="9" t="n">
        <v>25</v>
      </c>
      <c r="C855" s="10" t="n">
        <v>30</v>
      </c>
      <c r="D855" s="17" t="inlineStr">
        <is>
          <t>Preston Way</t>
        </is>
      </c>
      <c r="E855" s="9">
        <f>if($A855&lt;&gt;"",E854+B855,"")</f>
        <v/>
      </c>
      <c r="F855" s="10">
        <f>if($A855&lt;&gt;"",F854+C855,"")</f>
        <v/>
      </c>
      <c r="G855" s="11">
        <f>IF($A855&lt;&gt;"",IF(F855-E855=0,"tie",IF(F855-E855&gt;0,"+"&amp;F855-E855,"+"&amp;E855-F855)),"")</f>
        <v/>
      </c>
      <c r="H855" s="12">
        <f>if($A855&lt;&gt;"",if(B855&gt;C855,if(B855&lt;60,1,2),""),"")</f>
        <v/>
      </c>
      <c r="I855" s="12">
        <f>if($A855&lt;&gt;"",if(C855&gt;B855,if(C855&lt;60,1,2),""),"")</f>
        <v/>
      </c>
      <c r="J855" s="9">
        <f>if($A855&lt;&gt;"",J854+H855,"")</f>
        <v/>
      </c>
      <c r="K855" s="9">
        <f>if($A855&lt;&gt;"",K854+I855,"")</f>
        <v/>
      </c>
      <c r="L855" s="11">
        <f>IF($A855&lt;&gt;"",IF(K855-J855=0,"tie",IF(K855-J855&gt;0,"+"&amp;K855-J855,"+"&amp;J855-K855)),"")</f>
        <v/>
      </c>
      <c r="M855" s="17" t="n"/>
      <c r="N855" s="17" t="n"/>
      <c r="O855" s="17" t="n"/>
      <c r="P855" s="17" t="n"/>
      <c r="Q855" s="17" t="n"/>
      <c r="R855" s="17" t="n"/>
      <c r="S855" s="17" t="n"/>
    </row>
    <row r="856">
      <c r="A856" s="15" t="n">
        <v>45213</v>
      </c>
      <c r="B856" s="10" t="n">
        <v>30</v>
      </c>
      <c r="C856" s="9" t="n">
        <v>25</v>
      </c>
      <c r="D856" s="17" t="inlineStr">
        <is>
          <t>Preston Way</t>
        </is>
      </c>
      <c r="E856" s="9">
        <f>if($A856&lt;&gt;"",E855+B856,"")</f>
        <v/>
      </c>
      <c r="F856" s="10">
        <f>if($A856&lt;&gt;"",F855+C856,"")</f>
        <v/>
      </c>
      <c r="G856" s="11">
        <f>IF($A856&lt;&gt;"",IF(F856-E856=0,"tie",IF(F856-E856&gt;0,"+"&amp;F856-E856,"+"&amp;E856-F856)),"")</f>
        <v/>
      </c>
      <c r="H856" s="12">
        <f>if($A856&lt;&gt;"",if(B856&gt;C856,if(B856&lt;60,1,2),""),"")</f>
        <v/>
      </c>
      <c r="I856" s="12">
        <f>if($A856&lt;&gt;"",if(C856&gt;B856,if(C856&lt;60,1,2),""),"")</f>
        <v/>
      </c>
      <c r="J856" s="9">
        <f>if($A856&lt;&gt;"",J855+H856,"")</f>
        <v/>
      </c>
      <c r="K856" s="9">
        <f>if($A856&lt;&gt;"",K855+I856,"")</f>
        <v/>
      </c>
      <c r="L856" s="11">
        <f>IF($A856&lt;&gt;"",IF(K856-J856=0,"tie",IF(K856-J856&gt;0,"+"&amp;K856-J856,"+"&amp;J856-K856)),"")</f>
        <v/>
      </c>
      <c r="M856" s="17" t="n"/>
      <c r="N856" s="17" t="n"/>
      <c r="O856" s="17" t="n"/>
      <c r="P856" s="17" t="n"/>
      <c r="Q856" s="17" t="n"/>
      <c r="R856" s="17" t="n"/>
      <c r="S856" s="17" t="n"/>
    </row>
    <row r="857">
      <c r="A857" s="15" t="n">
        <v>45215</v>
      </c>
      <c r="B857" s="9" t="n">
        <v>25</v>
      </c>
      <c r="C857" s="10" t="n">
        <v>30</v>
      </c>
      <c r="D857" s="17" t="inlineStr">
        <is>
          <t>Preston Way</t>
        </is>
      </c>
      <c r="E857" s="9">
        <f>if($A857&lt;&gt;"",E856+B857,"")</f>
        <v/>
      </c>
      <c r="F857" s="10">
        <f>if($A857&lt;&gt;"",F856+C857,"")</f>
        <v/>
      </c>
      <c r="G857" s="11">
        <f>IF($A857&lt;&gt;"",IF(F857-E857=0,"tie",IF(F857-E857&gt;0,"+"&amp;F857-E857,"+"&amp;E857-F857)),"")</f>
        <v/>
      </c>
      <c r="H857" s="12">
        <f>if($A857&lt;&gt;"",if(B857&gt;C857,if(B857&lt;60,1,2),""),"")</f>
        <v/>
      </c>
      <c r="I857" s="12">
        <f>if($A857&lt;&gt;"",if(C857&gt;B857,if(C857&lt;60,1,2),""),"")</f>
        <v/>
      </c>
      <c r="J857" s="9">
        <f>if($A857&lt;&gt;"",J856+H857,"")</f>
        <v/>
      </c>
      <c r="K857" s="9">
        <f>if($A857&lt;&gt;"",K856+I857,"")</f>
        <v/>
      </c>
      <c r="L857" s="11">
        <f>IF($A857&lt;&gt;"",IF(K857-J857=0,"tie",IF(K857-J857&gt;0,"+"&amp;K857-J857,"+"&amp;J857-K857)),"")</f>
        <v/>
      </c>
      <c r="M857" s="17" t="n"/>
      <c r="N857" s="17" t="n"/>
      <c r="O857" s="17" t="n"/>
      <c r="P857" s="17" t="n"/>
      <c r="Q857" s="17" t="n"/>
      <c r="R857" s="17" t="n"/>
      <c r="S857" s="17" t="n"/>
    </row>
    <row r="858">
      <c r="A858" s="15" t="n">
        <v>45220</v>
      </c>
      <c r="B858" s="10" t="n">
        <v>30</v>
      </c>
      <c r="C858" s="9" t="n">
        <v>25</v>
      </c>
      <c r="D858" s="17" t="inlineStr">
        <is>
          <t>Faria State Park, Ventura</t>
        </is>
      </c>
      <c r="E858" s="9">
        <f>if($A858&lt;&gt;"",E857+B858,"")</f>
        <v/>
      </c>
      <c r="F858" s="10">
        <f>if($A858&lt;&gt;"",F857+C858,"")</f>
        <v/>
      </c>
      <c r="G858" s="11">
        <f>IF($A858&lt;&gt;"",IF(F858-E858=0,"tie",IF(F858-E858&gt;0,"+"&amp;F858-E858,"+"&amp;E858-F858)),"")</f>
        <v/>
      </c>
      <c r="H858" s="12">
        <f>if($A858&lt;&gt;"",if(B858&gt;C858,if(B858&lt;60,1,2),""),"")</f>
        <v/>
      </c>
      <c r="I858" s="12">
        <f>if($A858&lt;&gt;"",if(C858&gt;B858,if(C858&lt;60,1,2),""),"")</f>
        <v/>
      </c>
      <c r="J858" s="9">
        <f>if($A858&lt;&gt;"",J857+H858,"")</f>
        <v/>
      </c>
      <c r="K858" s="9">
        <f>if($A858&lt;&gt;"",K857+I858,"")</f>
        <v/>
      </c>
      <c r="L858" s="11">
        <f>IF($A858&lt;&gt;"",IF(K858-J858=0,"tie",IF(K858-J858&gt;0,"+"&amp;K858-J858,"+"&amp;J858-K858)),"")</f>
        <v/>
      </c>
      <c r="M858" s="17" t="n"/>
      <c r="N858" s="17" t="n"/>
      <c r="O858" s="17" t="n"/>
      <c r="P858" s="17" t="n"/>
      <c r="Q858" s="17" t="n"/>
      <c r="R858" s="17" t="n"/>
      <c r="S858" s="17" t="n"/>
    </row>
    <row r="859">
      <c r="A859" s="15" t="n">
        <v>45220</v>
      </c>
      <c r="B859" s="10" t="n">
        <v>60</v>
      </c>
      <c r="C859" s="9" t="n">
        <v>50</v>
      </c>
      <c r="D859" s="17" t="inlineStr">
        <is>
          <t>Busy Bee, Ventura</t>
        </is>
      </c>
      <c r="E859" s="9">
        <f>if($A859&lt;&gt;"",E858+B859,"")</f>
        <v/>
      </c>
      <c r="F859" s="10">
        <f>if($A859&lt;&gt;"",F858+C859,"")</f>
        <v/>
      </c>
      <c r="G859" s="11">
        <f>IF($A859&lt;&gt;"",IF(F859-E859=0,"tie",IF(F859-E859&gt;0,"+"&amp;F859-E859,"+"&amp;E859-F859)),"")</f>
        <v/>
      </c>
      <c r="H859" s="12">
        <f>if($A859&lt;&gt;"",if(B859&gt;C859,if(B859&lt;60,1,2),""),"")</f>
        <v/>
      </c>
      <c r="I859" s="12">
        <f>if($A859&lt;&gt;"",if(C859&gt;B859,if(C859&lt;60,1,2),""),"")</f>
        <v/>
      </c>
      <c r="J859" s="9">
        <f>if($A859&lt;&gt;"",J858+H859,"")</f>
        <v/>
      </c>
      <c r="K859" s="9">
        <f>if($A859&lt;&gt;"",K858+I859,"")</f>
        <v/>
      </c>
      <c r="L859" s="11">
        <f>IF($A859&lt;&gt;"",IF(K859-J859=0,"tie",IF(K859-J859&gt;0,"+"&amp;K859-J859,"+"&amp;J859-K859)),"")</f>
        <v/>
      </c>
      <c r="M859" s="17" t="n"/>
      <c r="N859" s="17" t="n"/>
      <c r="O859" s="17" t="n"/>
      <c r="P859" s="17" t="n"/>
      <c r="Q859" s="17" t="n"/>
      <c r="R859" s="17" t="n"/>
      <c r="S859" s="17" t="n"/>
    </row>
    <row r="860">
      <c r="A860" s="15" t="n">
        <v>45220</v>
      </c>
      <c r="B860" s="9" t="n">
        <v>25</v>
      </c>
      <c r="C860" s="10" t="n">
        <v>30</v>
      </c>
      <c r="D860" s="17" t="inlineStr">
        <is>
          <t>Faria State Park, Ventura</t>
        </is>
      </c>
      <c r="E860" s="9">
        <f>if($A860&lt;&gt;"",E859+B860,"")</f>
        <v/>
      </c>
      <c r="F860" s="10">
        <f>if($A860&lt;&gt;"",F859+C860,"")</f>
        <v/>
      </c>
      <c r="G860" s="11">
        <f>IF($A860&lt;&gt;"",IF(F860-E860=0,"tie",IF(F860-E860&gt;0,"+"&amp;F860-E860,"+"&amp;E860-F860)),"")</f>
        <v/>
      </c>
      <c r="H860" s="12">
        <f>if($A860&lt;&gt;"",if(B860&gt;C860,if(B860&lt;60,1,2),""),"")</f>
        <v/>
      </c>
      <c r="I860" s="12">
        <f>if($A860&lt;&gt;"",if(C860&gt;B860,if(C860&lt;60,1,2),""),"")</f>
        <v/>
      </c>
      <c r="J860" s="9">
        <f>if($A860&lt;&gt;"",J859+H860,"")</f>
        <v/>
      </c>
      <c r="K860" s="9">
        <f>if($A860&lt;&gt;"",K859+I860,"")</f>
        <v/>
      </c>
      <c r="L860" s="11">
        <f>IF($A860&lt;&gt;"",IF(K860-J860=0,"tie",IF(K860-J860&gt;0,"+"&amp;K860-J860,"+"&amp;J860-K860)),"")</f>
        <v/>
      </c>
      <c r="M860" s="17" t="n"/>
      <c r="N860" s="17" t="n"/>
      <c r="O860" s="17" t="n"/>
      <c r="P860" s="17" t="n"/>
      <c r="Q860" s="17" t="n"/>
      <c r="R860" s="17" t="n"/>
      <c r="S860" s="17" t="n"/>
    </row>
    <row r="861">
      <c r="A861" s="15" t="n">
        <v>45223</v>
      </c>
      <c r="B861" s="9" t="n">
        <v>25</v>
      </c>
      <c r="C861" s="10" t="n">
        <v>30</v>
      </c>
      <c r="D861" s="17" t="inlineStr">
        <is>
          <t>Preston Way</t>
        </is>
      </c>
      <c r="E861" s="9">
        <f>if($A861&lt;&gt;"",E860+B861,"")</f>
        <v/>
      </c>
      <c r="F861" s="10">
        <f>if($A861&lt;&gt;"",F860+C861,"")</f>
        <v/>
      </c>
      <c r="G861" s="11">
        <f>IF($A861&lt;&gt;"",IF(F861-E861=0,"tie",IF(F861-E861&gt;0,"+"&amp;F861-E861,"+"&amp;E861-F861)),"")</f>
        <v/>
      </c>
      <c r="H861" s="12">
        <f>if($A861&lt;&gt;"",if(B861&gt;C861,if(B861&lt;60,1,2),""),"")</f>
        <v/>
      </c>
      <c r="I861" s="12">
        <f>if($A861&lt;&gt;"",if(C861&gt;B861,if(C861&lt;60,1,2),""),"")</f>
        <v/>
      </c>
      <c r="J861" s="9">
        <f>if($A861&lt;&gt;"",J860+H861,"")</f>
        <v/>
      </c>
      <c r="K861" s="9">
        <f>if($A861&lt;&gt;"",K860+I861,"")</f>
        <v/>
      </c>
      <c r="L861" s="11">
        <f>IF($A861&lt;&gt;"",IF(K861-J861=0,"tie",IF(K861-J861&gt;0,"+"&amp;K861-J861,"+"&amp;J861-K861)),"")</f>
        <v/>
      </c>
      <c r="M861" s="17" t="n"/>
      <c r="N861" s="17" t="n"/>
      <c r="O861" s="17" t="n"/>
      <c r="P861" s="17" t="n"/>
      <c r="Q861" s="17" t="n"/>
      <c r="R861" s="17" t="n"/>
      <c r="S861" s="17" t="n"/>
    </row>
    <row r="862">
      <c r="A862" s="15" t="n">
        <v>45224</v>
      </c>
      <c r="B862" s="10" t="n">
        <v>30</v>
      </c>
      <c r="C862" s="9" t="n">
        <v>25</v>
      </c>
      <c r="D862" s="17" t="inlineStr">
        <is>
          <t>iHop, MDR</t>
        </is>
      </c>
      <c r="E862" s="9">
        <f>if($A862&lt;&gt;"",E861+B862,"")</f>
        <v/>
      </c>
      <c r="F862" s="10">
        <f>if($A862&lt;&gt;"",F861+C862,"")</f>
        <v/>
      </c>
      <c r="G862" s="11">
        <f>IF($A862&lt;&gt;"",IF(F862-E862=0,"tie",IF(F862-E862&gt;0,"+"&amp;F862-E862,"+"&amp;E862-F862)),"")</f>
        <v/>
      </c>
      <c r="H862" s="12">
        <f>if($A862&lt;&gt;"",if(B862&gt;C862,if(B862&lt;60,1,2),""),"")</f>
        <v/>
      </c>
      <c r="I862" s="12">
        <f>if($A862&lt;&gt;"",if(C862&gt;B862,if(C862&lt;60,1,2),""),"")</f>
        <v/>
      </c>
      <c r="J862" s="9">
        <f>if($A862&lt;&gt;"",J861+H862,"")</f>
        <v/>
      </c>
      <c r="K862" s="9">
        <f>if($A862&lt;&gt;"",K861+I862,"")</f>
        <v/>
      </c>
      <c r="L862" s="11">
        <f>IF($A862&lt;&gt;"",IF(K862-J862=0,"tie",IF(K862-J862&gt;0,"+"&amp;K862-J862,"+"&amp;J862-K862)),"")</f>
        <v/>
      </c>
      <c r="M862" s="17" t="n"/>
      <c r="N862" s="17" t="n"/>
      <c r="O862" s="17" t="n"/>
      <c r="P862" s="17" t="n"/>
      <c r="Q862" s="17" t="n"/>
      <c r="R862" s="17" t="n"/>
      <c r="S862" s="17" t="n"/>
    </row>
    <row r="863">
      <c r="A863" s="15" t="n">
        <v>45235</v>
      </c>
      <c r="B863" s="9" t="n">
        <v>25</v>
      </c>
      <c r="C863" s="10" t="n">
        <v>30</v>
      </c>
      <c r="D863" s="17" t="inlineStr">
        <is>
          <t>Vons, Goleta - RV Breakdown</t>
        </is>
      </c>
      <c r="E863" s="9">
        <f>if($A863&lt;&gt;"",E862+B863,"")</f>
        <v/>
      </c>
      <c r="F863" s="10">
        <f>if($A863&lt;&gt;"",F862+C863,"")</f>
        <v/>
      </c>
      <c r="G863" s="11">
        <f>IF($A863&lt;&gt;"",IF(F863-E863=0,"tie",IF(F863-E863&gt;0,"+"&amp;F863-E863,"+"&amp;E863-F863)),"")</f>
        <v/>
      </c>
      <c r="H863" s="12">
        <f>if($A863&lt;&gt;"",if(B863&gt;C863,if(B863&lt;60,1,2),""),"")</f>
        <v/>
      </c>
      <c r="I863" s="12">
        <f>if($A863&lt;&gt;"",if(C863&gt;B863,if(C863&lt;60,1,2),""),"")</f>
        <v/>
      </c>
      <c r="J863" s="9">
        <f>if($A863&lt;&gt;"",J862+H863,"")</f>
        <v/>
      </c>
      <c r="K863" s="9">
        <f>if($A863&lt;&gt;"",K862+I863,"")</f>
        <v/>
      </c>
      <c r="L863" s="11">
        <f>IF($A863&lt;&gt;"",IF(K863-J863=0,"tie",IF(K863-J863&gt;0,"+"&amp;K863-J863,"+"&amp;J863-K863)),"")</f>
        <v/>
      </c>
      <c r="M863" s="17" t="n"/>
      <c r="N863" s="17" t="n"/>
      <c r="O863" s="17" t="n"/>
      <c r="P863" s="17" t="n"/>
      <c r="Q863" s="17" t="n"/>
      <c r="R863" s="17" t="n"/>
      <c r="S863" s="17" t="n"/>
    </row>
    <row r="864">
      <c r="A864" s="15" t="n">
        <v>45236</v>
      </c>
      <c r="B864" s="9" t="n">
        <v>25</v>
      </c>
      <c r="C864" s="10" t="n">
        <v>30</v>
      </c>
      <c r="D864" s="17" t="inlineStr">
        <is>
          <t>Preston Way</t>
        </is>
      </c>
      <c r="E864" s="9">
        <f>if($A864&lt;&gt;"",E863+B864,"")</f>
        <v/>
      </c>
      <c r="F864" s="10">
        <f>if($A864&lt;&gt;"",F863+C864,"")</f>
        <v/>
      </c>
      <c r="G864" s="11">
        <f>IF($A864&lt;&gt;"",IF(F864-E864=0,"tie",IF(F864-E864&gt;0,"+"&amp;F864-E864,"+"&amp;E864-F864)),"")</f>
        <v/>
      </c>
      <c r="H864" s="12">
        <f>if($A864&lt;&gt;"",if(B864&gt;C864,if(B864&lt;60,1,2),""),"")</f>
        <v/>
      </c>
      <c r="I864" s="12">
        <f>if($A864&lt;&gt;"",if(C864&gt;B864,if(C864&lt;60,1,2),""),"")</f>
        <v/>
      </c>
      <c r="J864" s="9">
        <f>if($A864&lt;&gt;"",J863+H864,"")</f>
        <v/>
      </c>
      <c r="K864" s="9">
        <f>if($A864&lt;&gt;"",K863+I864,"")</f>
        <v/>
      </c>
      <c r="L864" s="11">
        <f>IF($A864&lt;&gt;"",IF(K864-J864=0,"tie",IF(K864-J864&gt;0,"+"&amp;K864-J864,"+"&amp;J864-K864)),"")</f>
        <v/>
      </c>
      <c r="M864" s="17" t="n"/>
      <c r="N864" s="17" t="n"/>
      <c r="O864" s="17" t="n"/>
      <c r="P864" s="17" t="n"/>
      <c r="Q864" s="17" t="n"/>
      <c r="R864" s="17" t="n"/>
      <c r="S864" s="17" t="n"/>
    </row>
    <row r="865">
      <c r="A865" s="15" t="n">
        <v>45238</v>
      </c>
      <c r="B865" s="9" t="n">
        <v>25</v>
      </c>
      <c r="C865" s="10" t="n">
        <v>30</v>
      </c>
      <c r="D865" s="17" t="inlineStr">
        <is>
          <t>Preston Way</t>
        </is>
      </c>
      <c r="E865" s="9">
        <f>if($A865&lt;&gt;"",E864+B865,"")</f>
        <v/>
      </c>
      <c r="F865" s="10">
        <f>if($A865&lt;&gt;"",F864+C865,"")</f>
        <v/>
      </c>
      <c r="G865" s="11">
        <f>IF($A865&lt;&gt;"",IF(F865-E865=0,"tie",IF(F865-E865&gt;0,"+"&amp;F865-E865,"+"&amp;E865-F865)),"")</f>
        <v/>
      </c>
      <c r="H865" s="12">
        <f>if($A865&lt;&gt;"",if(B865&gt;C865,if(B865&lt;60,1,2),""),"")</f>
        <v/>
      </c>
      <c r="I865" s="12">
        <f>if($A865&lt;&gt;"",if(C865&gt;B865,if(C865&lt;60,1,2),""),"")</f>
        <v/>
      </c>
      <c r="J865" s="9">
        <f>if($A865&lt;&gt;"",J864+H865,"")</f>
        <v/>
      </c>
      <c r="K865" s="9">
        <f>if($A865&lt;&gt;"",K864+I865,"")</f>
        <v/>
      </c>
      <c r="L865" s="11">
        <f>IF($A865&lt;&gt;"",IF(K865-J865=0,"tie",IF(K865-J865&gt;0,"+"&amp;K865-J865,"+"&amp;J865-K865)),"")</f>
        <v/>
      </c>
      <c r="M865" s="17" t="n"/>
      <c r="N865" s="17" t="n"/>
      <c r="O865" s="17" t="n"/>
      <c r="P865" s="17" t="n"/>
      <c r="Q865" s="17" t="n"/>
      <c r="R865" s="17" t="n"/>
      <c r="S865" s="17" t="n"/>
    </row>
    <row r="866">
      <c r="A866" s="15" t="n">
        <v>45239</v>
      </c>
      <c r="B866" s="10" t="n">
        <v>60</v>
      </c>
      <c r="C866" s="9" t="n">
        <v>50</v>
      </c>
      <c r="D866" s="17" t="inlineStr">
        <is>
          <t>Corky's, Fontana</t>
        </is>
      </c>
      <c r="E866" s="9">
        <f>if($A866&lt;&gt;"",E865+B866,"")</f>
        <v/>
      </c>
      <c r="F866" s="10">
        <f>if($A866&lt;&gt;"",F865+C866,"")</f>
        <v/>
      </c>
      <c r="G866" s="11">
        <f>IF($A866&lt;&gt;"",IF(F866-E866=0,"tie",IF(F866-E866&gt;0,"+"&amp;F866-E866,"+"&amp;E866-F866)),"")</f>
        <v/>
      </c>
      <c r="H866" s="12">
        <f>if($A866&lt;&gt;"",if(B866&gt;C866,if(B866&lt;60,1,2),""),"")</f>
        <v/>
      </c>
      <c r="I866" s="12">
        <f>if($A866&lt;&gt;"",if(C866&gt;B866,if(C866&lt;60,1,2),""),"")</f>
        <v/>
      </c>
      <c r="J866" s="9">
        <f>if($A866&lt;&gt;"",J865+H866,"")</f>
        <v/>
      </c>
      <c r="K866" s="9">
        <f>if($A866&lt;&gt;"",K865+I866,"")</f>
        <v/>
      </c>
      <c r="L866" s="11">
        <f>IF($A866&lt;&gt;"",IF(K866-J866=0,"tie",IF(K866-J866&gt;0,"+"&amp;K866-J866,"+"&amp;J866-K866)),"")</f>
        <v/>
      </c>
      <c r="M866" s="17" t="n"/>
      <c r="N866" s="17" t="n"/>
      <c r="O866" s="17" t="n"/>
      <c r="P866" s="17" t="n"/>
      <c r="Q866" s="17" t="n"/>
      <c r="R866" s="17" t="n"/>
      <c r="S866" s="17" t="n"/>
    </row>
    <row r="867">
      <c r="A867" s="15" t="n">
        <v>45240</v>
      </c>
      <c r="B867" s="10" t="n">
        <v>30</v>
      </c>
      <c r="C867" s="9" t="n">
        <v>25</v>
      </c>
      <c r="D867" s="17" t="inlineStr">
        <is>
          <t>Space Age Cafe, AZ</t>
        </is>
      </c>
      <c r="E867" s="9">
        <f>if($A867&lt;&gt;"",E866+B867,"")</f>
        <v/>
      </c>
      <c r="F867" s="10">
        <f>if($A867&lt;&gt;"",F866+C867,"")</f>
        <v/>
      </c>
      <c r="G867" s="11">
        <f>IF($A867&lt;&gt;"",IF(F867-E867=0,"tie",IF(F867-E867&gt;0,"+"&amp;F867-E867,"+"&amp;E867-F867)),"")</f>
        <v/>
      </c>
      <c r="H867" s="12">
        <f>if($A867&lt;&gt;"",if(B867&gt;C867,if(B867&lt;60,1,2),""),"")</f>
        <v/>
      </c>
      <c r="I867" s="12">
        <f>if($A867&lt;&gt;"",if(C867&gt;B867,if(C867&lt;60,1,2),""),"")</f>
        <v/>
      </c>
      <c r="J867" s="9">
        <f>if($A867&lt;&gt;"",J866+H867,"")</f>
        <v/>
      </c>
      <c r="K867" s="9">
        <f>if($A867&lt;&gt;"",K866+I867,"")</f>
        <v/>
      </c>
      <c r="L867" s="11">
        <f>IF($A867&lt;&gt;"",IF(K867-J867=0,"tie",IF(K867-J867&gt;0,"+"&amp;K867-J867,"+"&amp;J867-K867)),"")</f>
        <v/>
      </c>
      <c r="M867" s="17" t="n"/>
      <c r="N867" s="17" t="n"/>
      <c r="O867" s="17" t="n"/>
      <c r="P867" s="17" t="n"/>
      <c r="Q867" s="17" t="n"/>
      <c r="R867" s="17" t="n"/>
      <c r="S867" s="17" t="n"/>
    </row>
    <row r="868">
      <c r="A868" s="15" t="n">
        <v>45241</v>
      </c>
      <c r="B868" s="10" t="n">
        <v>30</v>
      </c>
      <c r="C868" s="9" t="n">
        <v>25</v>
      </c>
      <c r="D868" s="17" t="inlineStr">
        <is>
          <t>Hanger 6, Uvalde, TX</t>
        </is>
      </c>
      <c r="E868" s="9">
        <f>if($A868&lt;&gt;"",E867+B868,"")</f>
        <v/>
      </c>
      <c r="F868" s="10">
        <f>if($A868&lt;&gt;"",F867+C868,"")</f>
        <v/>
      </c>
      <c r="G868" s="11">
        <f>IF($A868&lt;&gt;"",IF(F868-E868=0,"tie",IF(F868-E868&gt;0,"+"&amp;F868-E868,"+"&amp;E868-F868)),"")</f>
        <v/>
      </c>
      <c r="H868" s="12">
        <f>if($A868&lt;&gt;"",if(B868&gt;C868,if(B868&lt;60,1,2),""),"")</f>
        <v/>
      </c>
      <c r="I868" s="12">
        <f>if($A868&lt;&gt;"",if(C868&gt;B868,if(C868&lt;60,1,2),""),"")</f>
        <v/>
      </c>
      <c r="J868" s="9">
        <f>if($A868&lt;&gt;"",J867+H868,"")</f>
        <v/>
      </c>
      <c r="K868" s="9">
        <f>if($A868&lt;&gt;"",K867+I868,"")</f>
        <v/>
      </c>
      <c r="L868" s="11">
        <f>IF($A868&lt;&gt;"",IF(K868-J868=0,"tie",IF(K868-J868&gt;0,"+"&amp;K868-J868,"+"&amp;J868-K868)),"")</f>
        <v/>
      </c>
      <c r="M868" s="17" t="n"/>
      <c r="N868" s="17" t="n"/>
      <c r="O868" s="17" t="n"/>
      <c r="P868" s="17" t="n"/>
      <c r="Q868" s="17" t="n"/>
      <c r="R868" s="17" t="n"/>
      <c r="S868" s="17" t="n"/>
    </row>
    <row r="869">
      <c r="A869" s="15" t="n">
        <v>45257</v>
      </c>
      <c r="B869" s="9" t="n">
        <v>25</v>
      </c>
      <c r="C869" s="10" t="n">
        <v>30</v>
      </c>
      <c r="D869" s="17" t="inlineStr">
        <is>
          <t>Bikini Joe's, El Paso, TX</t>
        </is>
      </c>
      <c r="E869" s="9">
        <f>if($A869&lt;&gt;"",E868+B869,"")</f>
        <v/>
      </c>
      <c r="F869" s="10">
        <f>if($A869&lt;&gt;"",F868+C869,"")</f>
        <v/>
      </c>
      <c r="G869" s="11">
        <f>IF($A869&lt;&gt;"",IF(F869-E869=0,"tie",IF(F869-E869&gt;0,"+"&amp;F869-E869,"+"&amp;E869-F869)),"")</f>
        <v/>
      </c>
      <c r="H869" s="12">
        <f>if($A869&lt;&gt;"",if(B869&gt;C869,if(B869&lt;60,1,2),""),"")</f>
        <v/>
      </c>
      <c r="I869" s="12">
        <f>if($A869&lt;&gt;"",if(C869&gt;B869,if(C869&lt;60,1,2),""),"")</f>
        <v/>
      </c>
      <c r="J869" s="9">
        <f>if($A869&lt;&gt;"",J868+H869,"")</f>
        <v/>
      </c>
      <c r="K869" s="9">
        <f>if($A869&lt;&gt;"",K868+I869,"")</f>
        <v/>
      </c>
      <c r="L869" s="11">
        <f>IF($A869&lt;&gt;"",IF(K869-J869=0,"tie",IF(K869-J869&gt;0,"+"&amp;K869-J869,"+"&amp;J869-K869)),"")</f>
        <v/>
      </c>
      <c r="M869" s="17" t="n"/>
      <c r="N869" s="17" t="n"/>
      <c r="O869" s="17" t="n"/>
      <c r="P869" s="17" t="n"/>
      <c r="Q869" s="17" t="n"/>
      <c r="R869" s="17" t="n"/>
      <c r="S869" s="17" t="n"/>
    </row>
    <row r="870">
      <c r="A870" s="15" t="n">
        <v>45258</v>
      </c>
      <c r="B870" s="10" t="n">
        <v>30</v>
      </c>
      <c r="C870" s="9" t="n">
        <v>25</v>
      </c>
      <c r="D870" s="17" t="inlineStr">
        <is>
          <t>Julio's, El Paso, TX</t>
        </is>
      </c>
      <c r="E870" s="9">
        <f>if($A870&lt;&gt;"",E869+B870,"")</f>
        <v/>
      </c>
      <c r="F870" s="10">
        <f>if($A870&lt;&gt;"",F869+C870,"")</f>
        <v/>
      </c>
      <c r="G870" s="11">
        <f>IF($A870&lt;&gt;"",IF(F870-E870=0,"tie",IF(F870-E870&gt;0,"+"&amp;F870-E870,"+"&amp;E870-F870)),"")</f>
        <v/>
      </c>
      <c r="H870" s="12">
        <f>if($A870&lt;&gt;"",if(B870&gt;C870,if(B870&lt;60,1,2),""),"")</f>
        <v/>
      </c>
      <c r="I870" s="12">
        <f>if($A870&lt;&gt;"",if(C870&gt;B870,if(C870&lt;60,1,2),""),"")</f>
        <v/>
      </c>
      <c r="J870" s="9">
        <f>if($A870&lt;&gt;"",J869+H870,"")</f>
        <v/>
      </c>
      <c r="K870" s="9">
        <f>if($A870&lt;&gt;"",K869+I870,"")</f>
        <v/>
      </c>
      <c r="L870" s="11">
        <f>IF($A870&lt;&gt;"",IF(K870-J870=0,"tie",IF(K870-J870&gt;0,"+"&amp;K870-J870,"+"&amp;J870-K870)),"")</f>
        <v/>
      </c>
      <c r="M870" s="17" t="n"/>
      <c r="N870" s="17" t="n"/>
      <c r="O870" s="17" t="n"/>
      <c r="P870" s="17" t="n"/>
      <c r="Q870" s="17" t="n"/>
      <c r="R870" s="17" t="n"/>
      <c r="S870" s="17" t="n"/>
    </row>
    <row r="871">
      <c r="A871" s="15" t="n">
        <v>45259</v>
      </c>
      <c r="B871" s="9" t="n">
        <v>50</v>
      </c>
      <c r="C871" s="10" t="n">
        <v>60</v>
      </c>
      <c r="D871" s="17" t="inlineStr">
        <is>
          <t>Adobe Cantina, Akela, NM</t>
        </is>
      </c>
      <c r="E871" s="9">
        <f>if($A871&lt;&gt;"",E870+B871,"")</f>
        <v/>
      </c>
      <c r="F871" s="10">
        <f>if($A871&lt;&gt;"",F870+C871,"")</f>
        <v/>
      </c>
      <c r="G871" s="11">
        <f>IF($A871&lt;&gt;"",IF(F871-E871=0,"tie",IF(F871-E871&gt;0,"+"&amp;F871-E871,"+"&amp;E871-F871)),"")</f>
        <v/>
      </c>
      <c r="H871" s="12">
        <f>if($A871&lt;&gt;"",if(B871&gt;C871,if(B871&lt;60,1,2),""),"")</f>
        <v/>
      </c>
      <c r="I871" s="12">
        <f>if($A871&lt;&gt;"",if(C871&gt;B871,if(C871&lt;60,1,2),""),"")</f>
        <v/>
      </c>
      <c r="J871" s="9">
        <f>if($A871&lt;&gt;"",J870+H871,"")</f>
        <v/>
      </c>
      <c r="K871" s="9">
        <f>if($A871&lt;&gt;"",K870+I871,"")</f>
        <v/>
      </c>
      <c r="L871" s="11">
        <f>IF($A871&lt;&gt;"",IF(K871-J871=0,"tie",IF(K871-J871&gt;0,"+"&amp;K871-J871,"+"&amp;J871-K871)),"")</f>
        <v/>
      </c>
      <c r="M871" s="17" t="n"/>
      <c r="N871" s="17" t="n"/>
      <c r="O871" s="17" t="n"/>
      <c r="P871" s="17" t="n"/>
      <c r="Q871" s="17" t="n"/>
      <c r="R871" s="17" t="n"/>
      <c r="S871" s="17" t="n"/>
    </row>
    <row r="872">
      <c r="A872" s="15" t="n">
        <v>45265</v>
      </c>
      <c r="B872" s="10" t="n">
        <v>30</v>
      </c>
      <c r="C872" s="9" t="n">
        <v>25</v>
      </c>
      <c r="D872" s="17" t="inlineStr">
        <is>
          <t>Preston Way</t>
        </is>
      </c>
      <c r="E872" s="9">
        <f>if($A872&lt;&gt;"",E871+B872,"")</f>
        <v/>
      </c>
      <c r="F872" s="10">
        <f>if($A872&lt;&gt;"",F871+C872,"")</f>
        <v/>
      </c>
      <c r="G872" s="11">
        <f>IF($A872&lt;&gt;"",IF(F872-E872=0,"tie",IF(F872-E872&gt;0,"+"&amp;F872-E872,"+"&amp;E872-F872)),"")</f>
        <v/>
      </c>
      <c r="H872" s="12">
        <f>if($A872&lt;&gt;"",if(B872&gt;C872,if(B872&lt;60,1,2),""),"")</f>
        <v/>
      </c>
      <c r="I872" s="12">
        <f>if($A872&lt;&gt;"",if(C872&gt;B872,if(C872&lt;60,1,2),""),"")</f>
        <v/>
      </c>
      <c r="J872" s="9">
        <f>if($A872&lt;&gt;"",J871+H872,"")</f>
        <v/>
      </c>
      <c r="K872" s="9">
        <f>if($A872&lt;&gt;"",K871+I872,"")</f>
        <v/>
      </c>
      <c r="L872" s="11">
        <f>IF($A872&lt;&gt;"",IF(K872-J872=0,"tie",IF(K872-J872&gt;0,"+"&amp;K872-J872,"+"&amp;J872-K872)),"")</f>
        <v/>
      </c>
      <c r="M872" s="17" t="n"/>
      <c r="N872" s="17" t="n"/>
      <c r="O872" s="17" t="n"/>
      <c r="P872" s="17" t="n"/>
      <c r="Q872" s="17" t="n"/>
      <c r="R872" s="17" t="n"/>
      <c r="S872" s="17" t="n"/>
    </row>
    <row r="873">
      <c r="A873" s="15" t="n">
        <v>45266</v>
      </c>
      <c r="B873" s="9" t="n">
        <v>25</v>
      </c>
      <c r="C873" s="10" t="n">
        <v>30</v>
      </c>
      <c r="D873" s="17" t="inlineStr">
        <is>
          <t>Preston Way</t>
        </is>
      </c>
      <c r="E873" s="9">
        <f>if($A873&lt;&gt;"",E872+B873,"")</f>
        <v/>
      </c>
      <c r="F873" s="10">
        <f>if($A873&lt;&gt;"",F872+C873,"")</f>
        <v/>
      </c>
      <c r="G873" s="11">
        <f>IF($A873&lt;&gt;"",IF(F873-E873=0,"tie",IF(F873-E873&gt;0,"+"&amp;F873-E873,"+"&amp;E873-F873)),"")</f>
        <v/>
      </c>
      <c r="H873" s="12">
        <f>if($A873&lt;&gt;"",if(B873&gt;C873,if(B873&lt;60,1,2),""),"")</f>
        <v/>
      </c>
      <c r="I873" s="12">
        <f>if($A873&lt;&gt;"",if(C873&gt;B873,if(C873&lt;60,1,2),""),"")</f>
        <v/>
      </c>
      <c r="J873" s="9">
        <f>if($A873&lt;&gt;"",J872+H873,"")</f>
        <v/>
      </c>
      <c r="K873" s="9">
        <f>if($A873&lt;&gt;"",K872+I873,"")</f>
        <v/>
      </c>
      <c r="L873" s="11">
        <f>IF($A873&lt;&gt;"",IF(K873-J873=0,"tie",IF(K873-J873&gt;0,"+"&amp;K873-J873,"+"&amp;J873-K873)),"")</f>
        <v/>
      </c>
      <c r="M873" s="17" t="n"/>
      <c r="N873" s="17" t="n"/>
      <c r="O873" s="17" t="n"/>
      <c r="P873" s="17" t="n"/>
      <c r="Q873" s="17" t="n"/>
      <c r="R873" s="17" t="n"/>
      <c r="S873" s="17" t="n"/>
    </row>
    <row r="874">
      <c r="A874" s="18" t="n">
        <v>45267</v>
      </c>
      <c r="B874" s="10" t="n">
        <v>33</v>
      </c>
      <c r="C874" s="9" t="n">
        <v>30</v>
      </c>
      <c r="D874" s="17" t="inlineStr">
        <is>
          <t>Preston Way</t>
        </is>
      </c>
      <c r="E874" s="9">
        <f>if($A874&lt;&gt;"",E873+B874,"")</f>
        <v/>
      </c>
      <c r="F874" s="10">
        <f>if($A874&lt;&gt;"",F873+C874,"")</f>
        <v/>
      </c>
      <c r="G874" s="11">
        <f>IF($A874&lt;&gt;"",IF(F874-E874=0,"tie",IF(F874-E874&gt;0,"+"&amp;F874-E874,"+"&amp;E874-F874)),"")</f>
        <v/>
      </c>
      <c r="H874" s="12">
        <f>if($A874&lt;&gt;"",if(B874&gt;C874,if(B874&lt;60,1,2),""),"")</f>
        <v/>
      </c>
      <c r="I874" s="12">
        <f>if($A874&lt;&gt;"",if(C874&gt;B874,if(C874&lt;60,1,2),""),"")</f>
        <v/>
      </c>
      <c r="J874" s="9">
        <f>if($A874&lt;&gt;"",J873+H874,"")</f>
        <v/>
      </c>
      <c r="K874" s="9">
        <f>if($A874&lt;&gt;"",K873+I874,"")</f>
        <v/>
      </c>
      <c r="L874" s="11">
        <f>IF($A874&lt;&gt;"",IF(K874-J874=0,"tie",IF(K874-J874&gt;0,"+"&amp;K874-J874,"+"&amp;J874-K874)),"")</f>
        <v/>
      </c>
      <c r="M874" s="17" t="n"/>
      <c r="N874" s="17" t="n"/>
      <c r="O874" s="17" t="n"/>
      <c r="P874" s="17" t="n"/>
      <c r="Q874" s="17" t="n"/>
      <c r="R874" s="17" t="n"/>
      <c r="S874" s="17" t="n"/>
    </row>
    <row r="875">
      <c r="A875" s="15" t="n">
        <v>45270</v>
      </c>
      <c r="B875" s="9" t="n">
        <v>32</v>
      </c>
      <c r="C875" s="9" t="n">
        <v>24</v>
      </c>
      <c r="D875" s="17" t="inlineStr">
        <is>
          <t>Zinque, Venice</t>
        </is>
      </c>
      <c r="E875" s="9">
        <f>if($A875&lt;&gt;"",E874+B875,"")</f>
        <v/>
      </c>
      <c r="F875" s="9">
        <f>if($A875&lt;&gt;"",F874+C875,"")</f>
        <v/>
      </c>
      <c r="G875" s="11">
        <f>IF($A875&lt;&gt;"",IF(F875-E875=0,"tie",IF(F875-E875&gt;0,"+"&amp;F875-E875,"+"&amp;E875-F875)),"")</f>
        <v/>
      </c>
      <c r="H875" s="12">
        <f>if($A875&lt;&gt;"",if(B875&gt;C875,if(B875&lt;60,1,2),""),"")</f>
        <v/>
      </c>
      <c r="I875" s="12">
        <f>if($A875&lt;&gt;"",if(C875&gt;B875,if(C875&lt;60,1,2),""),"")</f>
        <v/>
      </c>
      <c r="J875" s="9">
        <f>if($A875&lt;&gt;"",J874+H875,"")</f>
        <v/>
      </c>
      <c r="K875" s="9">
        <f>if($A875&lt;&gt;"",K874+I875,"")</f>
        <v/>
      </c>
      <c r="L875" s="11">
        <f>IF($A875&lt;&gt;"",IF(K875-J875=0,"tie",IF(K875-J875&gt;0,"+"&amp;K875-J875,"+"&amp;J875-K875)),"")</f>
        <v/>
      </c>
      <c r="M875" s="17" t="n"/>
      <c r="N875" s="17" t="n"/>
      <c r="O875" s="17" t="n"/>
      <c r="P875" s="17" t="n"/>
      <c r="Q875" s="17" t="n"/>
      <c r="R875" s="17" t="n"/>
      <c r="S875" s="17" t="n"/>
    </row>
    <row r="876">
      <c r="A876" s="15" t="n">
        <v>45270</v>
      </c>
      <c r="B876" s="9" t="n">
        <v>32</v>
      </c>
      <c r="C876" s="9" t="n">
        <v>20</v>
      </c>
      <c r="D876" s="17" t="inlineStr">
        <is>
          <t>El Torito, MDR</t>
        </is>
      </c>
      <c r="E876" s="9">
        <f>if($A876&lt;&gt;"",E875+B876,"")</f>
        <v/>
      </c>
      <c r="F876" s="9">
        <f>if($A876&lt;&gt;"",F875+C876,"")</f>
        <v/>
      </c>
      <c r="G876" s="11">
        <f>IF($A876&lt;&gt;"",IF(F876-E876=0,"tie",IF(F876-E876&gt;0,"+"&amp;F876-E876,"+"&amp;E876-F876)),"")</f>
        <v/>
      </c>
      <c r="H876" s="12">
        <f>if($A876&lt;&gt;"",if(B876&gt;C876,if(B876&lt;60,1,2),""),"")</f>
        <v/>
      </c>
      <c r="I876" s="12">
        <f>if($A876&lt;&gt;"",if(C876&gt;B876,if(C876&lt;60,1,2),""),"")</f>
        <v/>
      </c>
      <c r="J876" s="9">
        <f>if($A876&lt;&gt;"",J875+H876,"")</f>
        <v/>
      </c>
      <c r="K876" s="9">
        <f>if($A876&lt;&gt;"",K875+I876,"")</f>
        <v/>
      </c>
      <c r="L876" s="11">
        <f>IF($A876&lt;&gt;"",IF(K876-J876=0,"tie",IF(K876-J876&gt;0,"+"&amp;K876-J876,"+"&amp;J876-K876)),"")</f>
        <v/>
      </c>
      <c r="M876" s="17" t="n"/>
      <c r="N876" s="17" t="n"/>
      <c r="O876" s="17" t="n"/>
      <c r="P876" s="17" t="n"/>
      <c r="Q876" s="17" t="n"/>
      <c r="R876" s="17" t="n"/>
      <c r="S876" s="17" t="n"/>
    </row>
    <row r="877">
      <c r="A877" s="15" t="n">
        <v>45271</v>
      </c>
      <c r="B877" s="9" t="n">
        <v>22</v>
      </c>
      <c r="C877" s="9" t="n">
        <v>34</v>
      </c>
      <c r="D877" s="17" t="inlineStr">
        <is>
          <t>Preston Way</t>
        </is>
      </c>
      <c r="E877" s="9">
        <f>if($A877&lt;&gt;"",E876+B877,"")</f>
        <v/>
      </c>
      <c r="F877" s="9">
        <f>if($A877&lt;&gt;"",F876+C877,"")</f>
        <v/>
      </c>
      <c r="G877" s="11">
        <f>IF($A877&lt;&gt;"",IF(F877-E877=0,"tie",IF(F877-E877&gt;0,"+"&amp;F877-E877,"+"&amp;E877-F877)),"")</f>
        <v/>
      </c>
      <c r="H877" s="12">
        <f>if($A877&lt;&gt;"",if(B877&gt;C877,if(B877&lt;60,1,2),""),"")</f>
        <v/>
      </c>
      <c r="I877" s="12">
        <f>if($A877&lt;&gt;"",if(C877&gt;B877,if(C877&lt;60,1,2),""),"")</f>
        <v/>
      </c>
      <c r="J877" s="9">
        <f>if($A877&lt;&gt;"",J876+H877,"")</f>
        <v/>
      </c>
      <c r="K877" s="9">
        <f>if($A877&lt;&gt;"",K876+I877,"")</f>
        <v/>
      </c>
      <c r="L877" s="11">
        <f>IF($A877&lt;&gt;"",IF(K877-J877=0,"tie",IF(K877-J877&gt;0,"+"&amp;K877-J877,"+"&amp;J877-K877)),"")</f>
        <v/>
      </c>
      <c r="M877" s="17" t="n"/>
      <c r="N877" s="17" t="n"/>
      <c r="O877" s="17" t="n"/>
      <c r="P877" s="17" t="n"/>
      <c r="Q877" s="17" t="n"/>
      <c r="R877" s="17" t="n"/>
      <c r="S877" s="17" t="n"/>
    </row>
    <row r="878">
      <c r="A878" s="15" t="n">
        <v>45275</v>
      </c>
      <c r="B878" s="9" t="n">
        <v>30</v>
      </c>
      <c r="C878" s="9" t="n">
        <v>34</v>
      </c>
      <c r="D878" s="17" t="inlineStr">
        <is>
          <t>Mao's, Venice</t>
        </is>
      </c>
      <c r="E878" s="9">
        <f>if($A878&lt;&gt;"",E877+B878,"")</f>
        <v/>
      </c>
      <c r="F878" s="9">
        <f>if($A878&lt;&gt;"",F877+C878,"")</f>
        <v/>
      </c>
      <c r="G878" s="11">
        <f>IF($A878&lt;&gt;"",IF(F878-E878=0,"tie",IF(F878-E878&gt;0,"+"&amp;F878-E878,"+"&amp;E878-F878)),"")</f>
        <v/>
      </c>
      <c r="H878" s="12">
        <f>if($A878&lt;&gt;"",if(B878&gt;C878,if(B878&lt;60,1,2),""),"")</f>
        <v/>
      </c>
      <c r="I878" s="12">
        <f>if($A878&lt;&gt;"",if(C878&gt;B878,if(C878&lt;60,1,2),""),"")</f>
        <v/>
      </c>
      <c r="J878" s="9">
        <f>if($A878&lt;&gt;"",J877+H878,"")</f>
        <v/>
      </c>
      <c r="K878" s="9">
        <f>if($A878&lt;&gt;"",K877+I878,"")</f>
        <v/>
      </c>
      <c r="L878" s="11">
        <f>IF($A878&lt;&gt;"",IF(K878-J878=0,"tie",IF(K878-J878&gt;0,"+"&amp;K878-J878,"+"&amp;J878-K878)),"")</f>
        <v/>
      </c>
      <c r="M878" s="17" t="n"/>
      <c r="N878" s="17" t="n"/>
      <c r="O878" s="17" t="n"/>
      <c r="P878" s="17" t="n"/>
      <c r="Q878" s="17" t="n"/>
      <c r="R878" s="17" t="n"/>
      <c r="S878" s="17" t="n"/>
    </row>
    <row r="879">
      <c r="A879" s="15" t="n">
        <v>45283</v>
      </c>
      <c r="B879" s="9" t="n">
        <v>31</v>
      </c>
      <c r="C879" s="9" t="n">
        <v>34</v>
      </c>
      <c r="D879" s="17" t="inlineStr">
        <is>
          <t>George's Burgers, Santa Monica</t>
        </is>
      </c>
      <c r="E879" s="9">
        <f>if($A879&lt;&gt;"",E878+B879,"")</f>
        <v/>
      </c>
      <c r="F879" s="9">
        <f>if($A879&lt;&gt;"",F878+C879,"")</f>
        <v/>
      </c>
      <c r="G879" s="11">
        <f>IF($A879&lt;&gt;"",IF(F879-E879=0,"tie",IF(F879-E879&gt;0,"+"&amp;F879-E879,"+"&amp;E879-F879)),"")</f>
        <v/>
      </c>
      <c r="H879" s="12">
        <f>if($A879&lt;&gt;"",if(B879&gt;C879,if(B879&lt;60,1,2),""),"")</f>
        <v/>
      </c>
      <c r="I879" s="12">
        <f>if($A879&lt;&gt;"",if(C879&gt;B879,if(C879&lt;60,1,2),""),"")</f>
        <v/>
      </c>
      <c r="J879" s="9">
        <f>if($A879&lt;&gt;"",J878+H879,"")</f>
        <v/>
      </c>
      <c r="K879" s="9">
        <f>if($A879&lt;&gt;"",K878+I879,"")</f>
        <v/>
      </c>
      <c r="L879" s="11">
        <f>IF($A879&lt;&gt;"",IF(K879-J879=0,"tie",IF(K879-J879&gt;0,"+"&amp;K879-J879,"+"&amp;J879-K879)),"")</f>
        <v/>
      </c>
      <c r="M879" s="17" t="n"/>
      <c r="N879" s="17" t="n"/>
      <c r="O879" s="17" t="n"/>
      <c r="P879" s="17" t="n"/>
      <c r="Q879" s="17" t="n"/>
      <c r="R879" s="17" t="n"/>
      <c r="S879" s="17" t="n"/>
    </row>
    <row r="880">
      <c r="A880" s="15" t="n">
        <v>45286</v>
      </c>
      <c r="B880" s="9" t="n">
        <v>27</v>
      </c>
      <c r="C880" s="9" t="n">
        <v>33</v>
      </c>
      <c r="D880" s="17" t="inlineStr">
        <is>
          <t>Preston Way</t>
        </is>
      </c>
      <c r="E880" s="9">
        <f>if($A880&lt;&gt;"",E879+B880,"")</f>
        <v/>
      </c>
      <c r="F880" s="9">
        <f>if($A880&lt;&gt;"",F879+C880,"")</f>
        <v/>
      </c>
      <c r="G880" s="11">
        <f>IF($A880&lt;&gt;"",IF(F880-E880=0,"tie",IF(F880-E880&gt;0,"+"&amp;F880-E880,"+"&amp;E880-F880)),"")</f>
        <v/>
      </c>
      <c r="H880" s="12">
        <f>if($A880&lt;&gt;"",if(B880&gt;C880,if(B880&lt;60,1,2),""),"")</f>
        <v/>
      </c>
      <c r="I880" s="12">
        <f>if($A880&lt;&gt;"",if(C880&gt;B880,if(C880&lt;60,1,2),""),"")</f>
        <v/>
      </c>
      <c r="J880" s="9">
        <f>if($A880&lt;&gt;"",J879+H880,"")</f>
        <v/>
      </c>
      <c r="K880" s="9">
        <f>if($A880&lt;&gt;"",K879+I880,"")</f>
        <v/>
      </c>
      <c r="L880" s="11">
        <f>IF($A880&lt;&gt;"",IF(K880-J880=0,"tie",IF(K880-J880&gt;0,"+"&amp;K880-J880,"+"&amp;J880-K880)),"")</f>
        <v/>
      </c>
      <c r="M880" s="17" t="n"/>
      <c r="N880" s="17" t="n"/>
      <c r="O880" s="17" t="n"/>
      <c r="P880" s="17" t="n"/>
      <c r="Q880" s="17" t="n"/>
      <c r="R880" s="17" t="n"/>
      <c r="S880" s="17" t="n"/>
    </row>
    <row r="881">
      <c r="A881" s="15" t="n">
        <v>45289</v>
      </c>
      <c r="B881" s="9" t="n">
        <v>32</v>
      </c>
      <c r="C881" s="9" t="n">
        <v>11</v>
      </c>
      <c r="D881" s="17" t="inlineStr">
        <is>
          <t>Zinque, Venice</t>
        </is>
      </c>
      <c r="E881" s="9">
        <f>if($A881&lt;&gt;"",E880+B881,"")</f>
        <v/>
      </c>
      <c r="F881" s="9">
        <f>if($A881&lt;&gt;"",F880+C881,"")</f>
        <v/>
      </c>
      <c r="G881" s="11">
        <f>IF($A881&lt;&gt;"",IF(F881-E881=0,"tie",IF(F881-E881&gt;0,"+"&amp;F881-E881,"+"&amp;E881-F881)),"")</f>
        <v/>
      </c>
      <c r="H881" s="12">
        <f>if($A881&lt;&gt;"",if(B881&gt;C881,if(B881&lt;60,1,2),""),"")</f>
        <v/>
      </c>
      <c r="I881" s="12">
        <f>if($A881&lt;&gt;"",if(C881&gt;B881,if(C881&lt;60,1,2),""),"")</f>
        <v/>
      </c>
      <c r="J881" s="9">
        <f>if($A881&lt;&gt;"",J880+H881,"")</f>
        <v/>
      </c>
      <c r="K881" s="9">
        <f>if($A881&lt;&gt;"",K880+I881,"")</f>
        <v/>
      </c>
      <c r="L881" s="11">
        <f>IF($A881&lt;&gt;"",IF(K881-J881=0,"tie",IF(K881-J881&gt;0,"+"&amp;K881-J881,"+"&amp;J881-K881)),"")</f>
        <v/>
      </c>
      <c r="M881" s="17" t="n"/>
      <c r="N881" s="17" t="n"/>
      <c r="O881" s="17" t="n"/>
      <c r="P881" s="17" t="n"/>
      <c r="Q881" s="17" t="n"/>
      <c r="R881" s="17" t="n"/>
      <c r="S881" s="17" t="n"/>
    </row>
    <row r="882">
      <c r="A882" s="15" t="n">
        <v>45291</v>
      </c>
      <c r="B882" s="9" t="n">
        <v>32</v>
      </c>
      <c r="C882" s="9" t="n">
        <v>29</v>
      </c>
      <c r="D882" s="17" t="inlineStr">
        <is>
          <t xml:space="preserve">Gjusta, Venice </t>
        </is>
      </c>
      <c r="E882" s="9">
        <f>if($A882&lt;&gt;"",E881+B882,"")</f>
        <v/>
      </c>
      <c r="F882" s="9">
        <f>if($A882&lt;&gt;"",F881+C882,"")</f>
        <v/>
      </c>
      <c r="G882" s="11">
        <f>IF($A882&lt;&gt;"",IF(F882-E882=0,"tie",IF(F882-E882&gt;0,"+"&amp;F882-E882,"+"&amp;E882-F882)),"")</f>
        <v/>
      </c>
      <c r="H882" s="12">
        <f>if($A882&lt;&gt;"",if(B882&gt;C882,if(B882&lt;60,1,2),""),"")</f>
        <v/>
      </c>
      <c r="I882" s="12">
        <f>if($A882&lt;&gt;"",if(C882&gt;B882,if(C882&lt;60,1,2),""),"")</f>
        <v/>
      </c>
      <c r="J882" s="9">
        <f>if($A882&lt;&gt;"",J881+H882,"")</f>
        <v/>
      </c>
      <c r="K882" s="9">
        <f>if($A882&lt;&gt;"",K881+I882,"")</f>
        <v/>
      </c>
      <c r="L882" s="11">
        <f>IF($A882&lt;&gt;"",IF(K882-J882=0,"tie",IF(K882-J882&gt;0,"+"&amp;K882-J882,"+"&amp;J882-K882)),"")</f>
        <v/>
      </c>
      <c r="M882" s="17" t="n"/>
      <c r="N882" s="17" t="n"/>
      <c r="O882" s="17" t="n"/>
      <c r="P882" s="17" t="n"/>
      <c r="Q882" s="17" t="n"/>
      <c r="R882" s="17" t="n"/>
      <c r="S882" s="17" t="n"/>
    </row>
    <row r="883">
      <c r="A883" s="15" t="n">
        <v>45296</v>
      </c>
      <c r="B883" s="9" t="n">
        <v>32</v>
      </c>
      <c r="C883" s="9" t="n">
        <v>19</v>
      </c>
      <c r="D883" s="17" t="inlineStr">
        <is>
          <t>Zuma Beach, Malibu, CA</t>
        </is>
      </c>
      <c r="E883" s="9">
        <f>if($A883&lt;&gt;"",E882+B883,"")</f>
        <v/>
      </c>
      <c r="F883" s="9">
        <f>if($A883&lt;&gt;"",F882+C883,"")</f>
        <v/>
      </c>
      <c r="G883" s="11">
        <f>IF($A883&lt;&gt;"",IF(F883-E883=0,"tie",IF(F883-E883&gt;0,"+"&amp;F883-E883,"+"&amp;E883-F883)),"")</f>
        <v/>
      </c>
      <c r="H883" s="12">
        <f>if($A883&lt;&gt;"",if(B883&gt;C883,if(B883&lt;60,1,2),""),"")</f>
        <v/>
      </c>
      <c r="I883" s="12">
        <f>if($A883&lt;&gt;"",if(C883&gt;B883,if(C883&lt;60,1,2),""),"")</f>
        <v/>
      </c>
      <c r="J883" s="9">
        <f>if($A883&lt;&gt;"",J882+H883,"")</f>
        <v/>
      </c>
      <c r="K883" s="9">
        <f>if($A883&lt;&gt;"",K882+I883,"")</f>
        <v/>
      </c>
      <c r="L883" s="11">
        <f>IF($A883&lt;&gt;"",IF(K883-J883=0,"tie",IF(K883-J883&gt;0,"+"&amp;K883-J883,"+"&amp;J883-K883)),"")</f>
        <v/>
      </c>
      <c r="M883" s="17" t="n"/>
      <c r="N883" s="17" t="n"/>
      <c r="O883" s="17" t="n"/>
      <c r="P883" s="17" t="n"/>
      <c r="Q883" s="17" t="n"/>
      <c r="R883" s="17" t="n"/>
      <c r="S883" s="17" t="n"/>
    </row>
    <row r="884">
      <c r="A884" s="18" t="n">
        <v>45300</v>
      </c>
      <c r="B884" s="9" t="n">
        <v>47</v>
      </c>
      <c r="C884" s="9" t="n">
        <v>66</v>
      </c>
      <c r="D884" s="17" t="inlineStr">
        <is>
          <t>Ruth's Chris, MDR</t>
        </is>
      </c>
      <c r="E884" s="9">
        <f>if($A884&lt;&gt;"",E883+B884,"")</f>
        <v/>
      </c>
      <c r="F884" s="9">
        <f>if($A884&lt;&gt;"",F883+C884,"")</f>
        <v/>
      </c>
      <c r="G884" s="11">
        <f>IF($A884&lt;&gt;"",IF(F884-E884=0,"tie",IF(F884-E884&gt;0,"+"&amp;F884-E884,"+"&amp;E884-F884)),"")</f>
        <v/>
      </c>
      <c r="H884" s="12">
        <f>if($A884&lt;&gt;"",if(B884&gt;C884,if(B884&lt;60,1,2),""),"")</f>
        <v/>
      </c>
      <c r="I884" s="12">
        <f>if($A884&lt;&gt;"",if(C884&gt;B884,if(C884&lt;60,1,2),""),"")</f>
        <v/>
      </c>
      <c r="J884" s="9">
        <f>if($A884&lt;&gt;"",J883+H884,"")</f>
        <v/>
      </c>
      <c r="K884" s="9">
        <f>if($A884&lt;&gt;"",K883+I884,"")</f>
        <v/>
      </c>
      <c r="L884" s="11">
        <f>IF($A884&lt;&gt;"",IF(K884-J884=0,"tie",IF(K884-J884&gt;0,"+"&amp;K884-J884,"+"&amp;J884-K884)),"")</f>
        <v/>
      </c>
      <c r="M884" s="17" t="n"/>
      <c r="N884" s="17" t="n"/>
      <c r="O884" s="17" t="n"/>
      <c r="P884" s="17" t="n"/>
      <c r="Q884" s="17" t="n"/>
      <c r="R884" s="17" t="n"/>
      <c r="S884" s="17" t="n"/>
    </row>
    <row r="885">
      <c r="A885" s="15" t="n">
        <v>45305</v>
      </c>
      <c r="B885" s="9" t="n">
        <v>35</v>
      </c>
      <c r="C885" s="9" t="n">
        <v>26</v>
      </c>
      <c r="D885" s="17" t="inlineStr">
        <is>
          <t>Preston Way</t>
        </is>
      </c>
      <c r="E885" s="9">
        <f>if($A885&lt;&gt;"",E884+B885,"")</f>
        <v/>
      </c>
      <c r="F885" s="9">
        <f>if($A885&lt;&gt;"",F884+C885,"")</f>
        <v/>
      </c>
      <c r="G885" s="11">
        <f>IF($A885&lt;&gt;"",IF(F885-E885=0,"tie",IF(F885-E885&gt;0,"+"&amp;F885-E885,"+"&amp;E885-F885)),"")</f>
        <v/>
      </c>
      <c r="H885" s="12">
        <f>if($A885&lt;&gt;"",if(B885&gt;C885,if(B885&lt;60,1,2),""),"")</f>
        <v/>
      </c>
      <c r="I885" s="12">
        <f>if($A885&lt;&gt;"",if(C885&gt;B885,if(C885&lt;60,1,2),""),"")</f>
        <v/>
      </c>
      <c r="J885" s="9">
        <f>if($A885&lt;&gt;"",J884+H885,"")</f>
        <v/>
      </c>
      <c r="K885" s="9">
        <f>if($A885&lt;&gt;"",K884+I885,"")</f>
        <v/>
      </c>
      <c r="L885" s="11">
        <f>IF($A885&lt;&gt;"",IF(K885-J885=0,"tie",IF(K885-J885&gt;0,"+"&amp;K885-J885,"+"&amp;J885-K885)),"")</f>
        <v/>
      </c>
      <c r="M885" s="17" t="n"/>
      <c r="N885" s="17" t="n"/>
      <c r="O885" s="17" t="n"/>
      <c r="P885" s="17" t="n"/>
      <c r="Q885" s="17" t="n"/>
      <c r="R885" s="17" t="n"/>
      <c r="S885" s="17" t="n"/>
    </row>
    <row r="886">
      <c r="A886" s="15" t="n">
        <v>45310</v>
      </c>
      <c r="B886" s="9" t="n">
        <v>26</v>
      </c>
      <c r="C886" s="9" t="n">
        <v>31</v>
      </c>
      <c r="D886" s="17" t="inlineStr">
        <is>
          <t>Zinque, Venice</t>
        </is>
      </c>
      <c r="E886" s="9">
        <f>if($A886&lt;&gt;"",E885+B886,"")</f>
        <v/>
      </c>
      <c r="F886" s="9">
        <f>if($A886&lt;&gt;"",F885+C886,"")</f>
        <v/>
      </c>
      <c r="G886" s="11">
        <f>IF($A886&lt;&gt;"",IF(F886-E886=0,"tie",IF(F886-E886&gt;0,"+"&amp;F886-E886,"+"&amp;E886-F886)),"")</f>
        <v/>
      </c>
      <c r="H886" s="12">
        <f>if($A886&lt;&gt;"",if(B886&gt;C886,if(B886&lt;60,1,2),""),"")</f>
        <v/>
      </c>
      <c r="I886" s="12">
        <f>if($A886&lt;&gt;"",if(C886&gt;B886,if(C886&lt;60,1,2),""),"")</f>
        <v/>
      </c>
      <c r="J886" s="9">
        <f>if($A886&lt;&gt;"",J885+H886,"")</f>
        <v/>
      </c>
      <c r="K886" s="9">
        <f>if($A886&lt;&gt;"",K885+I886,"")</f>
        <v/>
      </c>
      <c r="L886" s="11">
        <f>IF($A886&lt;&gt;"",IF(K886-J886=0,"tie",IF(K886-J886&gt;0,"+"&amp;K886-J886,"+"&amp;J886-K886)),"")</f>
        <v/>
      </c>
      <c r="M886" s="17" t="n"/>
      <c r="N886" s="17" t="n"/>
      <c r="O886" s="17" t="n"/>
      <c r="P886" s="17" t="n"/>
      <c r="Q886" s="17" t="n"/>
      <c r="R886" s="17" t="n"/>
      <c r="S886" s="17" t="n"/>
    </row>
    <row r="887">
      <c r="A887" s="15" t="n">
        <v>45313</v>
      </c>
      <c r="B887" s="9" t="n">
        <v>60</v>
      </c>
      <c r="C887" s="9" t="n">
        <v>68</v>
      </c>
      <c r="D887" s="17" t="inlineStr">
        <is>
          <t>Zinque, Venice</t>
        </is>
      </c>
      <c r="E887" s="9">
        <f>if($A887&lt;&gt;"",E886+B887,"")</f>
        <v/>
      </c>
      <c r="F887" s="9">
        <f>if($A887&lt;&gt;"",F886+C887,"")</f>
        <v/>
      </c>
      <c r="G887" s="11">
        <f>IF($A887&lt;&gt;"",IF(F887-E887=0,"tie",IF(F887-E887&gt;0,"+"&amp;F887-E887,"+"&amp;E887-F887)),"")</f>
        <v/>
      </c>
      <c r="H887" s="12">
        <f>if($A887&lt;&gt;"",if(B887&gt;C887,if(B887&lt;60,1,2),""),"")</f>
        <v/>
      </c>
      <c r="I887" s="12">
        <f>if($A887&lt;&gt;"",if(C887&gt;B887,if(C887&lt;60,1,2),""),"")</f>
        <v/>
      </c>
      <c r="J887" s="9">
        <f>if($A887&lt;&gt;"",J886+H887,"")</f>
        <v/>
      </c>
      <c r="K887" s="9">
        <f>if($A887&lt;&gt;"",K886+I887,"")</f>
        <v/>
      </c>
      <c r="L887" s="11">
        <f>IF($A887&lt;&gt;"",IF(K887-J887=0,"tie",IF(K887-J887&gt;0,"+"&amp;K887-J887,"+"&amp;J887-K887)),"")</f>
        <v/>
      </c>
      <c r="M887" s="17" t="n"/>
      <c r="N887" s="17" t="n"/>
      <c r="O887" s="17" t="n"/>
      <c r="P887" s="17" t="n"/>
      <c r="Q887" s="17" t="n"/>
      <c r="R887" s="17" t="n"/>
      <c r="S887" s="17" t="n"/>
    </row>
    <row r="888">
      <c r="A888" s="15" t="n">
        <v>45314</v>
      </c>
      <c r="B888" s="9" t="n">
        <v>32</v>
      </c>
      <c r="C888" s="9" t="n">
        <v>20</v>
      </c>
      <c r="D888" s="17" t="inlineStr">
        <is>
          <t>Preston Way</t>
        </is>
      </c>
      <c r="E888" s="9">
        <f>if($A888&lt;&gt;"",E887+B888,"")</f>
        <v/>
      </c>
      <c r="F888" s="9">
        <f>if($A888&lt;&gt;"",F887+C888,"")</f>
        <v/>
      </c>
      <c r="G888" s="11">
        <f>IF($A888&lt;&gt;"",IF(F888-E888=0,"tie",IF(F888-E888&gt;0,"+"&amp;F888-E888,"+"&amp;E888-F888)),"")</f>
        <v/>
      </c>
      <c r="H888" s="12">
        <f>if($A888&lt;&gt;"",if(B888&gt;C888,if(B888&lt;60,1,2),""),"")</f>
        <v/>
      </c>
      <c r="I888" s="12">
        <f>if($A888&lt;&gt;"",if(C888&gt;B888,if(C888&lt;60,1,2),""),"")</f>
        <v/>
      </c>
      <c r="J888" s="9">
        <f>if($A888&lt;&gt;"",J887+H888,"")</f>
        <v/>
      </c>
      <c r="K888" s="9">
        <f>if($A888&lt;&gt;"",K887+I888,"")</f>
        <v/>
      </c>
      <c r="L888" s="11">
        <f>IF($A888&lt;&gt;"",IF(K888-J888=0,"tie",IF(K888-J888&gt;0,"+"&amp;K888-J888,"+"&amp;J888-K888)),"")</f>
        <v/>
      </c>
      <c r="M888" s="17" t="n"/>
      <c r="N888" s="17" t="n"/>
      <c r="O888" s="17" t="n"/>
      <c r="P888" s="17" t="n"/>
      <c r="Q888" s="17" t="n"/>
      <c r="R888" s="17" t="n"/>
      <c r="S888" s="17" t="n"/>
    </row>
    <row r="889">
      <c r="A889" s="15" t="n">
        <v>45314</v>
      </c>
      <c r="B889" s="9" t="n">
        <v>22</v>
      </c>
      <c r="C889" s="9" t="n">
        <v>32</v>
      </c>
      <c r="D889" s="17" t="inlineStr">
        <is>
          <t>Preston Way</t>
        </is>
      </c>
      <c r="E889" s="9">
        <f>if($A889&lt;&gt;"",E888+B889,"")</f>
        <v/>
      </c>
      <c r="F889" s="9">
        <f>if($A889&lt;&gt;"",F888+C889,"")</f>
        <v/>
      </c>
      <c r="G889" s="11">
        <f>IF($A889&lt;&gt;"",IF(F889-E889=0,"tie",IF(F889-E889&gt;0,"+"&amp;F889-E889,"+"&amp;E889-F889)),"")</f>
        <v/>
      </c>
      <c r="H889" s="12">
        <f>if($A889&lt;&gt;"",if(B889&gt;C889,if(B889&lt;60,1,2),""),"")</f>
        <v/>
      </c>
      <c r="I889" s="12">
        <f>if($A889&lt;&gt;"",if(C889&gt;B889,if(C889&lt;60,1,2),""),"")</f>
        <v/>
      </c>
      <c r="J889" s="9">
        <f>if($A889&lt;&gt;"",J888+H889,"")</f>
        <v/>
      </c>
      <c r="K889" s="9">
        <f>if($A889&lt;&gt;"",K888+I889,"")</f>
        <v/>
      </c>
      <c r="L889" s="11">
        <f>IF($A889&lt;&gt;"",IF(K889-J889=0,"tie",IF(K889-J889&gt;0,"+"&amp;K889-J889,"+"&amp;J889-K889)),"")</f>
        <v/>
      </c>
      <c r="M889" s="17" t="n"/>
      <c r="N889" s="17" t="n"/>
      <c r="O889" s="17" t="n"/>
      <c r="P889" s="17" t="n"/>
      <c r="Q889" s="17" t="n"/>
      <c r="R889" s="17" t="n"/>
      <c r="S889" s="17" t="n"/>
    </row>
    <row r="890">
      <c r="A890" s="15" t="n">
        <v>45316</v>
      </c>
      <c r="B890" s="9" t="n">
        <v>31</v>
      </c>
      <c r="C890" s="9" t="n">
        <v>44</v>
      </c>
      <c r="D890" s="17" t="inlineStr">
        <is>
          <t>Preston Way</t>
        </is>
      </c>
      <c r="E890" s="9">
        <f>if($A890&lt;&gt;"",E889+B890,"")</f>
        <v/>
      </c>
      <c r="F890" s="9">
        <f>if($A890&lt;&gt;"",F889+C890,"")</f>
        <v/>
      </c>
      <c r="G890" s="11">
        <f>IF($A890&lt;&gt;"",IF(F890-E890=0,"tie",IF(F890-E890&gt;0,"+"&amp;F890-E890,"+"&amp;E890-F890)),"")</f>
        <v/>
      </c>
      <c r="H890" s="12">
        <f>if($A890&lt;&gt;"",if(B890&gt;C890,if(B890&lt;60,1,2),""),"")</f>
        <v/>
      </c>
      <c r="I890" s="12">
        <f>if($A890&lt;&gt;"",if(C890&gt;B890,if(C890&lt;60,1,2),""),"")</f>
        <v/>
      </c>
      <c r="J890" s="9">
        <f>if($A890&lt;&gt;"",J889+H890,"")</f>
        <v/>
      </c>
      <c r="K890" s="9">
        <f>if($A890&lt;&gt;"",K889+I890,"")</f>
        <v/>
      </c>
      <c r="L890" s="11">
        <f>IF($A890&lt;&gt;"",IF(K890-J890=0,"tie",IF(K890-J890&gt;0,"+"&amp;K890-J890,"+"&amp;J890-K890)),"")</f>
        <v/>
      </c>
      <c r="M890" s="17" t="n"/>
      <c r="N890" s="17" t="n"/>
      <c r="O890" s="17" t="n"/>
      <c r="P890" s="17" t="n"/>
      <c r="Q890" s="17" t="n"/>
      <c r="R890" s="17" t="n"/>
      <c r="S890" s="17" t="n"/>
    </row>
    <row r="891">
      <c r="A891" s="15" t="n">
        <v>45316</v>
      </c>
      <c r="B891" s="9" t="n">
        <v>31</v>
      </c>
      <c r="C891" s="9" t="n">
        <v>29</v>
      </c>
      <c r="D891" s="17" t="inlineStr">
        <is>
          <t>Corky's, Fontana</t>
        </is>
      </c>
      <c r="E891" s="9">
        <f>if($A891&lt;&gt;"",E890+B891,"")</f>
        <v/>
      </c>
      <c r="F891" s="9">
        <f>if($A891&lt;&gt;"",F890+C891,"")</f>
        <v/>
      </c>
      <c r="G891" s="11">
        <f>IF($A891&lt;&gt;"",IF(F891-E891=0,"tie",IF(F891-E891&gt;0,"+"&amp;F891-E891,"+"&amp;E891-F891)),"")</f>
        <v/>
      </c>
      <c r="H891" s="12">
        <f>if($A891&lt;&gt;"",if(B891&gt;C891,if(B891&lt;60,1,2),""),"")</f>
        <v/>
      </c>
      <c r="I891" s="12">
        <f>if($A891&lt;&gt;"",if(C891&gt;B891,if(C891&lt;60,1,2),""),"")</f>
        <v/>
      </c>
      <c r="J891" s="9">
        <f>if($A891&lt;&gt;"",J890+H891,"")</f>
        <v/>
      </c>
      <c r="K891" s="9">
        <f>if($A891&lt;&gt;"",K890+I891,"")</f>
        <v/>
      </c>
      <c r="L891" s="11">
        <f>IF($A891&lt;&gt;"",IF(K891-J891=0,"tie",IF(K891-J891&gt;0,"+"&amp;K891-J891,"+"&amp;J891-K891)),"")</f>
        <v/>
      </c>
      <c r="M891" s="17" t="n"/>
      <c r="N891" s="17" t="n"/>
      <c r="O891" s="17" t="n"/>
      <c r="P891" s="17" t="n"/>
      <c r="Q891" s="17" t="n"/>
      <c r="R891" s="17" t="n"/>
      <c r="S891" s="17" t="n"/>
    </row>
    <row r="892">
      <c r="A892" s="15" t="n">
        <v>45320</v>
      </c>
      <c r="B892" s="9" t="n">
        <v>25</v>
      </c>
      <c r="C892" s="9" t="n">
        <v>34</v>
      </c>
      <c r="D892" s="17" t="inlineStr">
        <is>
          <t>In-N-Out, Ontario, CA</t>
        </is>
      </c>
      <c r="E892" s="9">
        <f>if($A892&lt;&gt;"",E891+B892,"")</f>
        <v/>
      </c>
      <c r="F892" s="9">
        <f>if($A892&lt;&gt;"",F891+C892,"")</f>
        <v/>
      </c>
      <c r="G892" s="11">
        <f>IF($A892&lt;&gt;"",IF(F892-E892=0,"tie",IF(F892-E892&gt;0,"+"&amp;F892-E892,"+"&amp;E892-F892)),"")</f>
        <v/>
      </c>
      <c r="H892" s="12">
        <f>if($A892&lt;&gt;"",if(B892&gt;C892,if(B892&lt;60,1,2),""),"")</f>
        <v/>
      </c>
      <c r="I892" s="12">
        <f>if($A892&lt;&gt;"",if(C892&gt;B892,if(C892&lt;60,1,2),""),"")</f>
        <v/>
      </c>
      <c r="J892" s="9">
        <f>if($A892&lt;&gt;"",J891+H892,"")</f>
        <v/>
      </c>
      <c r="K892" s="9">
        <f>if($A892&lt;&gt;"",K891+I892,"")</f>
        <v/>
      </c>
      <c r="L892" s="11">
        <f>IF($A892&lt;&gt;"",IF(K892-J892=0,"tie",IF(K892-J892&gt;0,"+"&amp;K892-J892,"+"&amp;J892-K892)),"")</f>
        <v/>
      </c>
      <c r="M892" s="17" t="n"/>
      <c r="N892" s="17" t="n"/>
      <c r="O892" s="17" t="n"/>
      <c r="P892" s="17" t="n"/>
      <c r="Q892" s="17" t="n"/>
      <c r="R892" s="17" t="n"/>
      <c r="S892" s="17" t="n"/>
    </row>
    <row r="893">
      <c r="A893" s="15" t="n">
        <v>45326</v>
      </c>
      <c r="B893" s="9" t="n">
        <v>62</v>
      </c>
      <c r="C893" s="9" t="n">
        <v>52</v>
      </c>
      <c r="D893" s="17" t="inlineStr">
        <is>
          <t>Preston Way</t>
        </is>
      </c>
      <c r="E893" s="9">
        <f>if($A893&lt;&gt;"",E892+B893,"")</f>
        <v/>
      </c>
      <c r="F893" s="9">
        <f>if($A893&lt;&gt;"",F892+C893,"")</f>
        <v/>
      </c>
      <c r="G893" s="11">
        <f>IF($A893&lt;&gt;"",IF(F893-E893=0,"tie",IF(F893-E893&gt;0,"+"&amp;F893-E893,"+"&amp;E893-F893)),"")</f>
        <v/>
      </c>
      <c r="H893" s="12">
        <f>if($A893&lt;&gt;"",if(B893&gt;C893,if(B893&lt;60,1,2),""),"")</f>
        <v/>
      </c>
      <c r="I893" s="12">
        <f>if($A893&lt;&gt;"",if(C893&gt;B893,if(C893&lt;60,1,2),""),"")</f>
        <v/>
      </c>
      <c r="J893" s="9">
        <f>if($A893&lt;&gt;"",J892+H893,"")</f>
        <v/>
      </c>
      <c r="K893" s="9">
        <f>if($A893&lt;&gt;"",K892+I893,"")</f>
        <v/>
      </c>
      <c r="L893" s="11">
        <f>IF($A893&lt;&gt;"",IF(K893-J893=0,"tie",IF(K893-J893&gt;0,"+"&amp;K893-J893,"+"&amp;J893-K893)),"")</f>
        <v/>
      </c>
      <c r="M893" s="17" t="n"/>
      <c r="N893" s="17" t="n"/>
      <c r="O893" s="17" t="n"/>
      <c r="P893" s="17" t="n"/>
      <c r="Q893" s="17" t="n"/>
      <c r="R893" s="17" t="n"/>
      <c r="S893" s="17" t="n"/>
    </row>
    <row r="894">
      <c r="A894" s="15" t="n">
        <v>45327</v>
      </c>
      <c r="B894" s="9" t="n">
        <v>44</v>
      </c>
      <c r="C894" s="9" t="n">
        <v>31</v>
      </c>
      <c r="D894" s="17" t="inlineStr">
        <is>
          <t>John O'Groats</t>
        </is>
      </c>
      <c r="E894" s="9">
        <f>if($A894&lt;&gt;"",E893+B894,"")</f>
        <v/>
      </c>
      <c r="F894" s="9">
        <f>if($A894&lt;&gt;"",F893+C894,"")</f>
        <v/>
      </c>
      <c r="G894" s="11">
        <f>IF($A894&lt;&gt;"",IF(F894-E894=0,"tie",IF(F894-E894&gt;0,"+"&amp;F894-E894,"+"&amp;E894-F894)),"")</f>
        <v/>
      </c>
      <c r="H894" s="12">
        <f>if($A894&lt;&gt;"",if(B894&gt;C894,if(B894&lt;60,1,2),""),"")</f>
        <v/>
      </c>
      <c r="I894" s="12">
        <f>if($A894&lt;&gt;"",if(C894&gt;B894,if(C894&lt;60,1,2),""),"")</f>
        <v/>
      </c>
      <c r="J894" s="9">
        <f>if($A894&lt;&gt;"",J893+H894,"")</f>
        <v/>
      </c>
      <c r="K894" s="9">
        <f>if($A894&lt;&gt;"",K893+I894,"")</f>
        <v/>
      </c>
      <c r="L894" s="11">
        <f>IF($A894&lt;&gt;"",IF(K894-J894=0,"tie",IF(K894-J894&gt;0,"+"&amp;K894-J894,"+"&amp;J894-K894)),"")</f>
        <v/>
      </c>
      <c r="M894" s="17" t="n"/>
      <c r="N894" s="17" t="n"/>
      <c r="O894" s="17" t="n"/>
      <c r="P894" s="17" t="n"/>
      <c r="Q894" s="17" t="n"/>
      <c r="R894" s="17" t="n"/>
      <c r="S894" s="17" t="n"/>
    </row>
    <row r="895">
      <c r="A895" s="15" t="n">
        <v>45327</v>
      </c>
      <c r="B895" s="9" t="n">
        <v>61</v>
      </c>
      <c r="C895" s="9" t="n">
        <v>43</v>
      </c>
      <c r="D895" s="17" t="inlineStr">
        <is>
          <t>Preston Way</t>
        </is>
      </c>
      <c r="E895" s="9">
        <f>if($A895&lt;&gt;"",E894+B895,"")</f>
        <v/>
      </c>
      <c r="F895" s="9">
        <f>if($A895&lt;&gt;"",F894+C895,"")</f>
        <v/>
      </c>
      <c r="G895" s="11">
        <f>IF($A895&lt;&gt;"",IF(F895-E895=0,"tie",IF(F895-E895&gt;0,"+"&amp;F895-E895,"+"&amp;E895-F895)),"")</f>
        <v/>
      </c>
      <c r="H895" s="12">
        <f>if($A895&lt;&gt;"",if(B895&gt;C895,if(B895&lt;60,1,2),""),"")</f>
        <v/>
      </c>
      <c r="I895" s="12">
        <f>if($A895&lt;&gt;"",if(C895&gt;B895,if(C895&lt;60,1,2),""),"")</f>
        <v/>
      </c>
      <c r="J895" s="9">
        <f>if($A895&lt;&gt;"",J894+H895,"")</f>
        <v/>
      </c>
      <c r="K895" s="9">
        <f>if($A895&lt;&gt;"",K894+I895,"")</f>
        <v/>
      </c>
      <c r="L895" s="11">
        <f>IF($A895&lt;&gt;"",IF(K895-J895=0,"tie",IF(K895-J895&gt;0,"+"&amp;K895-J895,"+"&amp;J895-K895)),"")</f>
        <v/>
      </c>
      <c r="M895" s="17" t="n"/>
      <c r="N895" s="17" t="n"/>
      <c r="O895" s="17" t="n"/>
      <c r="P895" s="17" t="n"/>
      <c r="Q895" s="17" t="n"/>
      <c r="R895" s="17" t="n"/>
      <c r="S895" s="17" t="n"/>
    </row>
    <row r="896">
      <c r="A896" s="15" t="n">
        <v>45328</v>
      </c>
      <c r="B896" s="9" t="n">
        <v>29</v>
      </c>
      <c r="C896" s="9" t="n">
        <v>35</v>
      </c>
      <c r="D896" s="17" t="inlineStr">
        <is>
          <t>Preston Way</t>
        </is>
      </c>
      <c r="E896" s="9">
        <f>if($A896&lt;&gt;"",E895+B896,"")</f>
        <v/>
      </c>
      <c r="F896" s="9">
        <f>if($A896&lt;&gt;"",F895+C896,"")</f>
        <v/>
      </c>
      <c r="G896" s="11">
        <f>IF($A896&lt;&gt;"",IF(F896-E896=0,"tie",IF(F896-E896&gt;0,"+"&amp;F896-E896,"+"&amp;E896-F896)),"")</f>
        <v/>
      </c>
      <c r="H896" s="12">
        <f>if($A896&lt;&gt;"",if(B896&gt;C896,if(B896&lt;60,1,2),""),"")</f>
        <v/>
      </c>
      <c r="I896" s="12">
        <f>if($A896&lt;&gt;"",if(C896&gt;B896,if(C896&lt;60,1,2),""),"")</f>
        <v/>
      </c>
      <c r="J896" s="9">
        <f>if($A896&lt;&gt;"",J895+H896,"")</f>
        <v/>
      </c>
      <c r="K896" s="9">
        <f>if($A896&lt;&gt;"",K895+I896,"")</f>
        <v/>
      </c>
      <c r="L896" s="11">
        <f>IF($A896&lt;&gt;"",IF(K896-J896=0,"tie",IF(K896-J896&gt;0,"+"&amp;K896-J896,"+"&amp;J896-K896)),"")</f>
        <v/>
      </c>
      <c r="M896" s="17" t="n"/>
      <c r="N896" s="17" t="n"/>
      <c r="O896" s="17" t="n"/>
      <c r="P896" s="17" t="n"/>
      <c r="Q896" s="17" t="n"/>
      <c r="R896" s="17" t="n"/>
      <c r="S896" s="17" t="n"/>
    </row>
    <row r="897">
      <c r="A897" s="15" t="n">
        <v>45329</v>
      </c>
      <c r="B897" s="9" t="n">
        <v>66</v>
      </c>
      <c r="C897" s="9" t="n">
        <v>39</v>
      </c>
      <c r="D897" s="17" t="inlineStr">
        <is>
          <t>Nate &amp; Al's</t>
        </is>
      </c>
      <c r="E897" s="9">
        <f>if($A897&lt;&gt;"",E896+B897,"")</f>
        <v/>
      </c>
      <c r="F897" s="9">
        <f>if($A897&lt;&gt;"",F896+C897,"")</f>
        <v/>
      </c>
      <c r="G897" s="11">
        <f>IF($A897&lt;&gt;"",IF(F897-E897=0,"tie",IF(F897-E897&gt;0,"+"&amp;F897-E897,"+"&amp;E897-F897)),"")</f>
        <v/>
      </c>
      <c r="H897" s="12">
        <f>if($A897&lt;&gt;"",if(B897&gt;C897,if(B897&lt;60,1,2),""),"")</f>
        <v/>
      </c>
      <c r="I897" s="12">
        <f>if($A897&lt;&gt;"",if(C897&gt;B897,if(C897&lt;60,1,2),""),"")</f>
        <v/>
      </c>
      <c r="J897" s="9">
        <f>if($A897&lt;&gt;"",J896+H897,"")</f>
        <v/>
      </c>
      <c r="K897" s="9">
        <f>if($A897&lt;&gt;"",K896+I897,"")</f>
        <v/>
      </c>
      <c r="L897" s="11">
        <f>IF($A897&lt;&gt;"",IF(K897-J897=0,"tie",IF(K897-J897&gt;0,"+"&amp;K897-J897,"+"&amp;J897-K897)),"")</f>
        <v/>
      </c>
      <c r="M897" s="17" t="n"/>
      <c r="N897" s="17" t="n"/>
      <c r="O897" s="17" t="n"/>
      <c r="P897" s="9" t="n">
        <v>85885</v>
      </c>
      <c r="Q897" s="17" t="n"/>
      <c r="R897" s="17" t="n"/>
      <c r="S897" s="17" t="n"/>
    </row>
    <row r="898">
      <c r="A898" s="15" t="n">
        <v>45334</v>
      </c>
      <c r="B898" s="20" t="n">
        <v>41</v>
      </c>
      <c r="C898" s="20" t="n">
        <v>28</v>
      </c>
      <c r="D898" s="17" t="inlineStr">
        <is>
          <t>Zinque, Venice</t>
        </is>
      </c>
      <c r="E898" s="9">
        <f>if($A898&lt;&gt;"",E897+B898,"")</f>
        <v/>
      </c>
      <c r="F898" s="9">
        <f>if($A898&lt;&gt;"",F897+C898,"")</f>
        <v/>
      </c>
      <c r="G898" s="11">
        <f>IF($A898&lt;&gt;"",IF(F898-E898=0,"tie",IF(F898-E898&gt;0,"+"&amp;F898-E898,"+"&amp;E898-F898)),"")</f>
        <v/>
      </c>
      <c r="H898" s="12">
        <f>if($A898&lt;&gt;"",if(B898&gt;C898,if(B898&lt;60,1,2),""),"")</f>
        <v/>
      </c>
      <c r="I898" s="12">
        <f>if($A898&lt;&gt;"",if(C898&gt;B898,if(C898&lt;60,1,2),""),"")</f>
        <v/>
      </c>
      <c r="J898" s="9">
        <f>if($A898&lt;&gt;"",J897+H898,"")</f>
        <v/>
      </c>
      <c r="K898" s="9">
        <f>if($A898&lt;&gt;"",K897+I898,"")</f>
        <v/>
      </c>
      <c r="L898" s="11">
        <f>IF($A898&lt;&gt;"",IF(K898-J898=0,"tie",IF(K898-J898&gt;0,"+"&amp;K898-J898,"+"&amp;J898-K898)),"")</f>
        <v/>
      </c>
      <c r="M898" s="20" t="n"/>
      <c r="N898" s="20" t="n"/>
      <c r="O898" s="20" t="n"/>
      <c r="P898" s="20" t="n"/>
      <c r="Q898" s="20" t="n"/>
      <c r="R898" s="20" t="n"/>
      <c r="S898" s="20" t="n"/>
    </row>
    <row r="899">
      <c r="A899" s="15" t="n">
        <v>45336</v>
      </c>
      <c r="B899" s="20" t="n">
        <v>61</v>
      </c>
      <c r="C899" s="20" t="n">
        <v>47</v>
      </c>
      <c r="D899" s="17" t="inlineStr">
        <is>
          <t>Preston Way</t>
        </is>
      </c>
      <c r="E899" s="9">
        <f>if($A899&lt;&gt;"",E898+B899,"")</f>
        <v/>
      </c>
      <c r="F899" s="9">
        <f>if($A899&lt;&gt;"",F898+C899,"")</f>
        <v/>
      </c>
      <c r="G899" s="11">
        <f>IF($A899&lt;&gt;"",IF(F899-E899=0,"tie",IF(F899-E899&gt;0,"+"&amp;F899-E899,"+"&amp;E899-F899)),"")</f>
        <v/>
      </c>
      <c r="H899" s="12">
        <f>if($A899&lt;&gt;"",if(B899&gt;C899,if(B899&lt;60,1,2),""),"")</f>
        <v/>
      </c>
      <c r="I899" s="12">
        <f>if($A899&lt;&gt;"",if(C899&gt;B899,if(C899&lt;60,1,2),""),"")</f>
        <v/>
      </c>
      <c r="J899" s="9">
        <f>if($A899&lt;&gt;"",J898+H899,"")</f>
        <v/>
      </c>
      <c r="K899" s="9">
        <f>if($A899&lt;&gt;"",K898+I899,"")</f>
        <v/>
      </c>
      <c r="L899" s="11">
        <f>IF($A899&lt;&gt;"",IF(K899-J899=0,"tie",IF(K899-J899&gt;0,"+"&amp;K899-J899,"+"&amp;J899-K899)),"")</f>
        <v/>
      </c>
      <c r="M899" s="20" t="n"/>
      <c r="N899" s="20" t="n"/>
      <c r="O899" s="20" t="n"/>
      <c r="P899" s="20" t="n"/>
      <c r="Q899" s="20" t="n"/>
      <c r="R899" s="20" t="n"/>
      <c r="S899" s="20" t="n"/>
    </row>
    <row r="900">
      <c r="A900" s="15" t="n">
        <v>45337</v>
      </c>
      <c r="B900" s="20" t="n">
        <v>25</v>
      </c>
      <c r="C900" s="20" t="n">
        <v>32</v>
      </c>
      <c r="D900" s="17" t="inlineStr">
        <is>
          <t>Preston Way</t>
        </is>
      </c>
      <c r="E900" s="9">
        <f>if($A900&lt;&gt;"",E899+B900,"")</f>
        <v/>
      </c>
      <c r="F900" s="9">
        <f>if($A900&lt;&gt;"",F899+C900,"")</f>
        <v/>
      </c>
      <c r="G900" s="11">
        <f>IF($A900&lt;&gt;"",IF(F900-E900=0,"tie",IF(F900-E900&gt;0,"+"&amp;F900-E900,"+"&amp;E900-F900)),"")</f>
        <v/>
      </c>
      <c r="H900" s="12">
        <f>if($A900&lt;&gt;"",if(B900&gt;C900,if(B900&lt;60,1,2),""),"")</f>
        <v/>
      </c>
      <c r="I900" s="12">
        <f>if($A900&lt;&gt;"",if(C900&gt;B900,if(C900&lt;60,1,2),""),"")</f>
        <v/>
      </c>
      <c r="J900" s="9">
        <f>if($A900&lt;&gt;"",J899+H900,"")</f>
        <v/>
      </c>
      <c r="K900" s="9">
        <f>if($A900&lt;&gt;"",K899+I900,"")</f>
        <v/>
      </c>
      <c r="L900" s="11">
        <f>IF($A900&lt;&gt;"",IF(K900-J900=0,"tie",IF(K900-J900&gt;0,"+"&amp;K900-J900,"+"&amp;J900-K900)),"")</f>
        <v/>
      </c>
      <c r="M900" s="20" t="n"/>
      <c r="N900" s="20" t="n"/>
      <c r="O900" s="20" t="n"/>
      <c r="P900" s="20" t="n"/>
      <c r="Q900" s="20" t="n"/>
      <c r="R900" s="20" t="n"/>
      <c r="S900" s="20" t="n"/>
    </row>
    <row r="901">
      <c r="A901" s="15" t="n">
        <v>45343</v>
      </c>
      <c r="B901" s="20" t="n">
        <v>15</v>
      </c>
      <c r="C901" s="20" t="n">
        <v>34</v>
      </c>
      <c r="D901" s="17" t="inlineStr">
        <is>
          <t>Preston Way</t>
        </is>
      </c>
      <c r="E901" s="9">
        <f>if($A901&lt;&gt;"",E900+B901,"")</f>
        <v/>
      </c>
      <c r="F901" s="9">
        <f>if($A901&lt;&gt;"",F900+C901,"")</f>
        <v/>
      </c>
      <c r="G901" s="11">
        <f>IF($A901&lt;&gt;"",IF(F901-E901=0,"tie",IF(F901-E901&gt;0,"+"&amp;F901-E901,"+"&amp;E901-F901)),"")</f>
        <v/>
      </c>
      <c r="H901" s="12">
        <f>if($A901&lt;&gt;"",if(B901&gt;C901,if(B901&lt;60,1,2),""),"")</f>
        <v/>
      </c>
      <c r="I901" s="12">
        <f>if($A901&lt;&gt;"",if(C901&gt;B901,if(C901&lt;60,1,2),""),"")</f>
        <v/>
      </c>
      <c r="J901" s="9">
        <f>if($A901&lt;&gt;"",J900+H901,"")</f>
        <v/>
      </c>
      <c r="K901" s="9">
        <f>if($A901&lt;&gt;"",K900+I901,"")</f>
        <v/>
      </c>
      <c r="L901" s="11">
        <f>IF($A901&lt;&gt;"",IF(K901-J901=0,"tie",IF(K901-J901&gt;0,"+"&amp;K901-J901,"+"&amp;J901-K901)),"")</f>
        <v/>
      </c>
      <c r="M901" s="20" t="n"/>
      <c r="N901" s="20" t="n"/>
      <c r="O901" s="20" t="n"/>
      <c r="P901" s="20" t="n"/>
      <c r="Q901" s="20" t="n"/>
      <c r="R901" s="20" t="n"/>
      <c r="S901" s="20" t="n"/>
    </row>
    <row r="902">
      <c r="A902" s="15" t="n">
        <v>45348</v>
      </c>
      <c r="B902" s="20" t="n">
        <v>30</v>
      </c>
      <c r="C902" s="20" t="n">
        <v>32</v>
      </c>
      <c r="D902" s="17" t="inlineStr">
        <is>
          <t>Zinque, Venice</t>
        </is>
      </c>
      <c r="E902" s="9">
        <f>if($A902&lt;&gt;"",E901+B902,"")</f>
        <v/>
      </c>
      <c r="F902" s="9">
        <f>if($A902&lt;&gt;"",F901+C902,"")</f>
        <v/>
      </c>
      <c r="G902" s="11">
        <f>IF($A902&lt;&gt;"",IF(F902-E902=0,"tie",IF(F902-E902&gt;0,"+"&amp;F902-E902,"+"&amp;E902-F902)),"")</f>
        <v/>
      </c>
      <c r="H902" s="12">
        <f>if($A902&lt;&gt;"",if(B902&gt;C902,if(B902&lt;60,1,2),""),"")</f>
        <v/>
      </c>
      <c r="I902" s="12">
        <f>if($A902&lt;&gt;"",if(C902&gt;B902,if(C902&lt;60,1,2),""),"")</f>
        <v/>
      </c>
      <c r="J902" s="9">
        <f>if($A902&lt;&gt;"",J901+H902,"")</f>
        <v/>
      </c>
      <c r="K902" s="9">
        <f>if($A902&lt;&gt;"",K901+I902,"")</f>
        <v/>
      </c>
      <c r="L902" s="11">
        <f>IF($A902&lt;&gt;"",IF(K902-J902=0,"tie",IF(K902-J902&gt;0,"+"&amp;K902-J902,"+"&amp;J902-K902)),"")</f>
        <v/>
      </c>
      <c r="M902" s="20" t="n"/>
      <c r="N902" s="20" t="n"/>
      <c r="O902" s="20" t="n"/>
      <c r="P902" s="20" t="n"/>
      <c r="Q902" s="20" t="n"/>
      <c r="R902" s="20" t="n"/>
      <c r="S902" s="20" t="n"/>
    </row>
    <row r="903">
      <c r="A903" s="15" t="n">
        <v>45349</v>
      </c>
      <c r="B903" s="20" t="n">
        <v>30</v>
      </c>
      <c r="C903" s="20" t="n">
        <v>32</v>
      </c>
      <c r="D903" s="25" t="inlineStr">
        <is>
          <t>iHop, MDR</t>
        </is>
      </c>
      <c r="E903" s="9">
        <f>if($A903&lt;&gt;"",E902+B903,"")</f>
        <v/>
      </c>
      <c r="F903" s="9">
        <f>if($A903&lt;&gt;"",F902+C903,"")</f>
        <v/>
      </c>
      <c r="G903" s="11">
        <f>IF($A903&lt;&gt;"",IF(F903-E903=0,"tie",IF(F903-E903&gt;0,"+"&amp;F903-E903,"+"&amp;E903-F903)),"")</f>
        <v/>
      </c>
      <c r="H903" s="12">
        <f>if($A903&lt;&gt;"",if(B903&gt;C903,if(B903&lt;60,1,2),""),"")</f>
        <v/>
      </c>
      <c r="I903" s="12">
        <f>if($A903&lt;&gt;"",if(C903&gt;B903,if(C903&lt;60,1,2),""),"")</f>
        <v/>
      </c>
      <c r="J903" s="9">
        <f>if($A903&lt;&gt;"",J902+H903,"")</f>
        <v/>
      </c>
      <c r="K903" s="9">
        <f>if($A903&lt;&gt;"",K902+I903,"")</f>
        <v/>
      </c>
      <c r="L903" s="11">
        <f>IF($A903&lt;&gt;"",IF(K903-J903=0,"tie",IF(K903-J903&gt;0,"+"&amp;K903-J903,"+"&amp;J903-K903)),"")</f>
        <v/>
      </c>
      <c r="M903" s="20" t="n"/>
      <c r="N903" s="20" t="n"/>
      <c r="O903" s="20" t="n"/>
      <c r="P903" s="20" t="n"/>
      <c r="Q903" s="20" t="n"/>
      <c r="R903" s="20" t="n"/>
      <c r="S903" s="20" t="n"/>
    </row>
    <row r="904">
      <c r="A904" s="15" t="n">
        <v>45350</v>
      </c>
      <c r="B904" s="20" t="n">
        <v>35</v>
      </c>
      <c r="C904" s="20" t="n">
        <v>28</v>
      </c>
      <c r="D904" s="17" t="inlineStr">
        <is>
          <t>Preston Way</t>
        </is>
      </c>
      <c r="E904" s="9">
        <f>if($A904&lt;&gt;"",E903+B904,"")</f>
        <v/>
      </c>
      <c r="F904" s="9">
        <f>if($A904&lt;&gt;"",F903+C904,"")</f>
        <v/>
      </c>
      <c r="G904" s="11">
        <f>IF($A904&lt;&gt;"",IF(F904-E904=0,"tie",IF(F904-E904&gt;0,"+"&amp;F904-E904,"+"&amp;E904-F904)),"")</f>
        <v/>
      </c>
      <c r="H904" s="12">
        <f>if($A904&lt;&gt;"",if(B904&gt;C904,if(B904&lt;60,1,2),""),"")</f>
        <v/>
      </c>
      <c r="I904" s="12">
        <f>if($A904&lt;&gt;"",if(C904&gt;B904,if(C904&lt;60,1,2),""),"")</f>
        <v/>
      </c>
      <c r="J904" s="9">
        <f>if($A904&lt;&gt;"",J903+H904,"")</f>
        <v/>
      </c>
      <c r="K904" s="9">
        <f>if($A904&lt;&gt;"",K903+I904,"")</f>
        <v/>
      </c>
      <c r="L904" s="11">
        <f>IF($A904&lt;&gt;"",IF(K904-J904=0,"tie",IF(K904-J904&gt;0,"+"&amp;K904-J904,"+"&amp;J904-K904)),"")</f>
        <v/>
      </c>
      <c r="M904" s="20" t="n"/>
      <c r="N904" s="20" t="n"/>
      <c r="O904" s="20" t="n"/>
      <c r="P904" s="20" t="n"/>
      <c r="Q904" s="20" t="n"/>
      <c r="R904" s="20" t="n"/>
      <c r="S904" s="20" t="n"/>
    </row>
    <row r="905">
      <c r="A905" s="15" t="n">
        <v>45352</v>
      </c>
      <c r="B905" s="20" t="n">
        <v>50</v>
      </c>
      <c r="C905" s="20" t="n">
        <v>40</v>
      </c>
      <c r="D905" s="17" t="inlineStr">
        <is>
          <t>Preston Way</t>
        </is>
      </c>
      <c r="E905" s="9">
        <f>if($A905&lt;&gt;"",E904+B905,"")</f>
        <v/>
      </c>
      <c r="F905" s="9">
        <f>if($A905&lt;&gt;"",F904+C905,"")</f>
        <v/>
      </c>
      <c r="G905" s="11">
        <f>IF($A905&lt;&gt;"",IF(F905-E905=0,"tie",IF(F905-E905&gt;0,"+"&amp;F905-E905,"+"&amp;E905-F905)),"")</f>
        <v/>
      </c>
      <c r="H905" s="12">
        <f>if($A905&lt;&gt;"",if(B905&gt;C905,if(B905&lt;60,1,2),""),"")</f>
        <v/>
      </c>
      <c r="I905" s="12">
        <f>if($A905&lt;&gt;"",if(C905&gt;B905,if(C905&lt;60,1,2),""),"")</f>
        <v/>
      </c>
      <c r="J905" s="9">
        <f>if($A905&lt;&gt;"",J904+H905,"")</f>
        <v/>
      </c>
      <c r="K905" s="9">
        <f>if($A905&lt;&gt;"",K904+I905,"")</f>
        <v/>
      </c>
      <c r="L905" s="11">
        <f>IF($A905&lt;&gt;"",IF(K905-J905=0,"tie",IF(K905-J905&gt;0,"+"&amp;K905-J905,"+"&amp;J905-K905)),"")</f>
        <v/>
      </c>
      <c r="M905" s="20" t="n"/>
      <c r="N905" s="20" t="n"/>
      <c r="O905" s="20" t="n"/>
      <c r="P905" s="20" t="n"/>
      <c r="Q905" s="20" t="n"/>
      <c r="R905" s="20" t="n"/>
      <c r="S905" s="20" t="n"/>
    </row>
    <row r="906">
      <c r="A906" s="15" t="n">
        <v>45355</v>
      </c>
      <c r="B906" s="20" t="n">
        <v>34</v>
      </c>
      <c r="C906" s="20" t="n">
        <v>29</v>
      </c>
      <c r="D906" s="17" t="inlineStr">
        <is>
          <t>Preston Way</t>
        </is>
      </c>
      <c r="E906" s="9">
        <f>if($A906&lt;&gt;"",E905+B906,"")</f>
        <v/>
      </c>
      <c r="F906" s="9">
        <f>if($A906&lt;&gt;"",F905+C906,"")</f>
        <v/>
      </c>
      <c r="G906" s="11">
        <f>IF($A906&lt;&gt;"",IF(F906-E906=0,"tie",IF(F906-E906&gt;0,"+"&amp;F906-E906,"+"&amp;E906-F906)),"")</f>
        <v/>
      </c>
      <c r="H906" s="12">
        <f>if($A906&lt;&gt;"",if(B906&gt;C906,if(B906&lt;60,1,2),""),"")</f>
        <v/>
      </c>
      <c r="I906" s="12">
        <f>if($A906&lt;&gt;"",if(C906&gt;B906,if(C906&lt;60,1,2),""),"")</f>
        <v/>
      </c>
      <c r="J906" s="9">
        <f>if($A906&lt;&gt;"",J905+H906,"")</f>
        <v/>
      </c>
      <c r="K906" s="9">
        <f>if($A906&lt;&gt;"",K905+I906,"")</f>
        <v/>
      </c>
      <c r="L906" s="11">
        <f>IF($A906&lt;&gt;"",IF(K906-J906=0,"tie",IF(K906-J906&gt;0,"+"&amp;K906-J906,"+"&amp;J906-K906)),"")</f>
        <v/>
      </c>
      <c r="M906" s="20" t="n"/>
      <c r="N906" s="20" t="n"/>
      <c r="O906" s="20" t="n"/>
      <c r="P906" s="20" t="n"/>
      <c r="Q906" s="20" t="n"/>
      <c r="R906" s="20" t="n"/>
      <c r="S906" s="20" t="n"/>
    </row>
    <row r="907">
      <c r="A907" s="15" t="n">
        <v>45357</v>
      </c>
      <c r="B907" s="20" t="n">
        <v>32</v>
      </c>
      <c r="C907" s="20" t="n">
        <v>16</v>
      </c>
      <c r="D907" s="17" t="inlineStr">
        <is>
          <t>Preston Way</t>
        </is>
      </c>
      <c r="E907" s="9">
        <f>if($A907&lt;&gt;"",E906+B907,"")</f>
        <v/>
      </c>
      <c r="F907" s="9">
        <f>if($A907&lt;&gt;"",F906+C907,"")</f>
        <v/>
      </c>
      <c r="G907" s="11">
        <f>IF($A907&lt;&gt;"",IF(F907-E907=0,"tie",IF(F907-E907&gt;0,"+"&amp;F907-E907,"+"&amp;E907-F907)),"")</f>
        <v/>
      </c>
      <c r="H907" s="12">
        <f>if($A907&lt;&gt;"",if(B907&gt;C907,if(B907&lt;60,1,2),""),"")</f>
        <v/>
      </c>
      <c r="I907" s="12">
        <f>if($A907&lt;&gt;"",if(C907&gt;B907,if(C907&lt;60,1,2),""),"")</f>
        <v/>
      </c>
      <c r="J907" s="9">
        <f>if($A907&lt;&gt;"",J906+H907,"")</f>
        <v/>
      </c>
      <c r="K907" s="9">
        <f>if($A907&lt;&gt;"",K906+I907,"")</f>
        <v/>
      </c>
      <c r="L907" s="11">
        <f>IF($A907&lt;&gt;"",IF(K907-J907=0,"tie",IF(K907-J907&gt;0,"+"&amp;K907-J907,"+"&amp;J907-K907)),"")</f>
        <v/>
      </c>
      <c r="M907" s="20" t="n"/>
      <c r="N907" s="20" t="n"/>
      <c r="O907" s="20" t="n"/>
      <c r="P907" s="20" t="n"/>
      <c r="Q907" s="20" t="n"/>
      <c r="R907" s="20" t="n"/>
      <c r="S907" s="20" t="n"/>
    </row>
    <row r="908">
      <c r="A908" s="15" t="n">
        <v>45358</v>
      </c>
      <c r="B908" s="20" t="n">
        <v>39</v>
      </c>
      <c r="C908" s="20" t="n">
        <v>23</v>
      </c>
      <c r="D908" s="17" t="inlineStr">
        <is>
          <t>Preston Way</t>
        </is>
      </c>
      <c r="E908" s="9">
        <f>if($A908&lt;&gt;"",E907+B908,"")</f>
        <v/>
      </c>
      <c r="F908" s="9">
        <f>if($A908&lt;&gt;"",F907+C908,"")</f>
        <v/>
      </c>
      <c r="G908" s="11">
        <f>IF($A908&lt;&gt;"",IF(F908-E908=0,"tie",IF(F908-E908&gt;0,"+"&amp;F908-E908,"+"&amp;E908-F908)),"")</f>
        <v/>
      </c>
      <c r="H908" s="12">
        <f>if($A908&lt;&gt;"",if(B908&gt;C908,if(B908&lt;60,1,2),""),"")</f>
        <v/>
      </c>
      <c r="I908" s="12">
        <f>if($A908&lt;&gt;"",if(C908&gt;B908,if(C908&lt;60,1,2),""),"")</f>
        <v/>
      </c>
      <c r="J908" s="9">
        <f>if($A908&lt;&gt;"",J907+H908,"")</f>
        <v/>
      </c>
      <c r="K908" s="9">
        <f>if($A908&lt;&gt;"",K907+I908,"")</f>
        <v/>
      </c>
      <c r="L908" s="11">
        <f>IF($A908&lt;&gt;"",IF(K908-J908=0,"tie",IF(K908-J908&gt;0,"+"&amp;K908-J908,"+"&amp;J908-K908)),"")</f>
        <v/>
      </c>
      <c r="M908" s="20" t="n"/>
      <c r="N908" s="20" t="n"/>
      <c r="O908" s="20" t="n"/>
      <c r="P908" s="20" t="n"/>
      <c r="Q908" s="20" t="n"/>
      <c r="R908" s="20" t="n"/>
      <c r="S908" s="20" t="n"/>
    </row>
    <row r="909">
      <c r="A909" s="15" t="n">
        <v>45359</v>
      </c>
      <c r="B909" s="20" t="n">
        <v>24</v>
      </c>
      <c r="C909" s="20" t="n">
        <v>36</v>
      </c>
      <c r="D909" s="17" t="inlineStr">
        <is>
          <t>Zinque, Venice</t>
        </is>
      </c>
      <c r="E909" s="9">
        <f>if($A909&lt;&gt;"",E908+B909,"")</f>
        <v/>
      </c>
      <c r="F909" s="9">
        <f>if($A909&lt;&gt;"",F908+C909,"")</f>
        <v/>
      </c>
      <c r="G909" s="11">
        <f>IF($A909&lt;&gt;"",IF(F909-E909=0,"tie",IF(F909-E909&gt;0,"+"&amp;F909-E909,"+"&amp;E909-F909)),"")</f>
        <v/>
      </c>
      <c r="H909" s="12">
        <f>if($A909&lt;&gt;"",if(B909&gt;C909,if(B909&lt;60,1,2),""),"")</f>
        <v/>
      </c>
      <c r="I909" s="12">
        <f>if($A909&lt;&gt;"",if(C909&gt;B909,if(C909&lt;60,1,2),""),"")</f>
        <v/>
      </c>
      <c r="J909" s="9">
        <f>if($A909&lt;&gt;"",J908+H909,"")</f>
        <v/>
      </c>
      <c r="K909" s="9">
        <f>if($A909&lt;&gt;"",K908+I909,"")</f>
        <v/>
      </c>
      <c r="L909" s="11">
        <f>IF($A909&lt;&gt;"",IF(K909-J909=0,"tie",IF(K909-J909&gt;0,"+"&amp;K909-J909,"+"&amp;J909-K909)),"")</f>
        <v/>
      </c>
      <c r="M909" s="20" t="n"/>
      <c r="N909" s="20" t="n"/>
      <c r="O909" s="20" t="n"/>
      <c r="P909" s="20" t="n"/>
      <c r="Q909" s="20" t="n"/>
      <c r="R909" s="20" t="n"/>
      <c r="S909" s="20" t="n"/>
    </row>
    <row r="910">
      <c r="A910" s="15" t="n">
        <v>45360</v>
      </c>
      <c r="B910" s="20" t="n">
        <v>36</v>
      </c>
      <c r="C910" s="20" t="n">
        <v>24</v>
      </c>
      <c r="D910" s="17" t="inlineStr">
        <is>
          <t>Preston Way</t>
        </is>
      </c>
      <c r="E910" s="9">
        <f>if($A910&lt;&gt;"",E909+B910,"")</f>
        <v/>
      </c>
      <c r="F910" s="9">
        <f>if($A910&lt;&gt;"",F909+C910,"")</f>
        <v/>
      </c>
      <c r="G910" s="11">
        <f>IF($A910&lt;&gt;"",IF(F910-E910=0,"tie",IF(F910-E910&gt;0,"+"&amp;F910-E910,"+"&amp;E910-F910)),"")</f>
        <v/>
      </c>
      <c r="H910" s="12">
        <f>if($A910&lt;&gt;"",if(B910&gt;C910,if(B910&lt;60,1,2),""),"")</f>
        <v/>
      </c>
      <c r="I910" s="12">
        <f>if($A910&lt;&gt;"",if(C910&gt;B910,if(C910&lt;60,1,2),""),"")</f>
        <v/>
      </c>
      <c r="J910" s="9">
        <f>if($A910&lt;&gt;"",J909+H910,"")</f>
        <v/>
      </c>
      <c r="K910" s="9">
        <f>if($A910&lt;&gt;"",K909+I910,"")</f>
        <v/>
      </c>
      <c r="L910" s="11">
        <f>IF($A910&lt;&gt;"",IF(K910-J910=0,"tie",IF(K910-J910&gt;0,"+"&amp;K910-J910,"+"&amp;J910-K910)),"")</f>
        <v/>
      </c>
      <c r="M910" s="20" t="n"/>
      <c r="N910" s="20" t="n"/>
      <c r="O910" s="20" t="n"/>
      <c r="P910" s="20" t="n"/>
      <c r="Q910" s="20" t="n"/>
      <c r="R910" s="20" t="n"/>
      <c r="S910" s="20" t="n"/>
    </row>
    <row r="911">
      <c r="A911" s="15" t="n">
        <v>45361</v>
      </c>
      <c r="B911" s="20" t="n">
        <v>41</v>
      </c>
      <c r="C911" s="20" t="n">
        <v>15</v>
      </c>
      <c r="D911" s="17" t="inlineStr">
        <is>
          <t>Preston Way</t>
        </is>
      </c>
      <c r="E911" s="9">
        <f>if($A911&lt;&gt;"",E910+B911,"")</f>
        <v/>
      </c>
      <c r="F911" s="9">
        <f>if($A911&lt;&gt;"",F910+C911,"")</f>
        <v/>
      </c>
      <c r="G911" s="11">
        <f>IF($A911&lt;&gt;"",IF(F911-E911=0,"tie",IF(F911-E911&gt;0,"+"&amp;F911-E911,"+"&amp;E911-F911)),"")</f>
        <v/>
      </c>
      <c r="H911" s="12">
        <f>if($A911&lt;&gt;"",if(B911&gt;C911,if(B911&lt;60,1,2),""),"")</f>
        <v/>
      </c>
      <c r="I911" s="12">
        <f>if($A911&lt;&gt;"",if(C911&gt;B911,if(C911&lt;60,1,2),""),"")</f>
        <v/>
      </c>
      <c r="J911" s="9">
        <f>if($A911&lt;&gt;"",J910+H911,"")</f>
        <v/>
      </c>
      <c r="K911" s="9">
        <f>if($A911&lt;&gt;"",K910+I911,"")</f>
        <v/>
      </c>
      <c r="L911" s="11">
        <f>IF($A911&lt;&gt;"",IF(K911-J911=0,"tie",IF(K911-J911&gt;0,"+"&amp;K911-J911,"+"&amp;J911-K911)),"")</f>
        <v/>
      </c>
      <c r="M911" s="20" t="n"/>
      <c r="N911" s="20" t="n"/>
      <c r="O911" s="20" t="n"/>
      <c r="P911" s="20" t="n"/>
      <c r="Q911" s="20" t="n"/>
      <c r="R911" s="20" t="n"/>
      <c r="S911" s="20" t="n"/>
    </row>
    <row r="912">
      <c r="A912" s="15" t="n">
        <v>45371</v>
      </c>
      <c r="B912" s="20" t="n">
        <v>27</v>
      </c>
      <c r="C912" s="20" t="n">
        <v>38</v>
      </c>
      <c r="D912" s="17" t="inlineStr">
        <is>
          <t>Preston Way</t>
        </is>
      </c>
      <c r="E912" s="9">
        <f>if($A912&lt;&gt;"",E911+B912,"")</f>
        <v/>
      </c>
      <c r="F912" s="9">
        <f>if($A912&lt;&gt;"",F911+C912,"")</f>
        <v/>
      </c>
      <c r="G912" s="11">
        <f>IF($A912&lt;&gt;"",IF(F912-E912=0,"tie",IF(F912-E912&gt;0,"+"&amp;F912-E912,"+"&amp;E912-F912)),"")</f>
        <v/>
      </c>
      <c r="H912" s="12">
        <f>if($A912&lt;&gt;"",if(B912&gt;C912,if(B912&lt;60,1,2),""),"")</f>
        <v/>
      </c>
      <c r="I912" s="12">
        <f>if($A912&lt;&gt;"",if(C912&gt;B912,if(C912&lt;60,1,2),""),"")</f>
        <v/>
      </c>
      <c r="J912" s="9">
        <f>if($A912&lt;&gt;"",J911+H912,"")</f>
        <v/>
      </c>
      <c r="K912" s="9">
        <f>if($A912&lt;&gt;"",K911+I912,"")</f>
        <v/>
      </c>
      <c r="L912" s="11">
        <f>IF($A912&lt;&gt;"",IF(K912-J912=0,"tie",IF(K912-J912&gt;0,"+"&amp;K912-J912,"+"&amp;J912-K912)),"")</f>
        <v/>
      </c>
      <c r="M912" s="20" t="n"/>
      <c r="N912" s="20" t="n"/>
      <c r="O912" s="20" t="n"/>
      <c r="P912" s="20" t="n"/>
      <c r="Q912" s="20" t="n"/>
      <c r="R912" s="20" t="n"/>
      <c r="S912" s="20" t="n"/>
    </row>
    <row r="913">
      <c r="A913" s="15" t="n">
        <v>45373</v>
      </c>
      <c r="B913" s="20" t="n">
        <v>40</v>
      </c>
      <c r="C913" s="20" t="n">
        <v>30</v>
      </c>
      <c r="D913" s="17" t="inlineStr">
        <is>
          <t>Preston Way</t>
        </is>
      </c>
      <c r="E913" s="9">
        <f>if($A913&lt;&gt;"",E912+B913,"")</f>
        <v/>
      </c>
      <c r="F913" s="9">
        <f>if($A913&lt;&gt;"",F912+C913,"")</f>
        <v/>
      </c>
      <c r="G913" s="11">
        <f>IF($A913&lt;&gt;"",IF(F913-E913=0,"tie",IF(F913-E913&gt;0,"+"&amp;F913-E913,"+"&amp;E913-F913)),"")</f>
        <v/>
      </c>
      <c r="H913" s="12">
        <f>if($A913&lt;&gt;"",if(B913&gt;C913,if(B913&lt;60,1,2),""),"")</f>
        <v/>
      </c>
      <c r="I913" s="12">
        <f>if($A913&lt;&gt;"",if(C913&gt;B913,if(C913&lt;60,1,2),""),"")</f>
        <v/>
      </c>
      <c r="J913" s="9">
        <f>if($A913&lt;&gt;"",J912+H913,"")</f>
        <v/>
      </c>
      <c r="K913" s="9">
        <f>if($A913&lt;&gt;"",K912+I913,"")</f>
        <v/>
      </c>
      <c r="L913" s="11">
        <f>IF($A913&lt;&gt;"",IF(K913-J913=0,"tie",IF(K913-J913&gt;0,"+"&amp;K913-J913,"+"&amp;J913-K913)),"")</f>
        <v/>
      </c>
      <c r="M913" s="20" t="n"/>
      <c r="N913" s="20" t="n"/>
      <c r="O913" s="20" t="n"/>
      <c r="P913" s="20" t="n"/>
      <c r="Q913" s="20" t="n"/>
      <c r="R913" s="20" t="n"/>
      <c r="S913" s="20" t="n"/>
    </row>
    <row r="914">
      <c r="A914" s="15" t="n">
        <v>45373</v>
      </c>
      <c r="B914" s="20" t="n">
        <v>31</v>
      </c>
      <c r="C914" s="20" t="n">
        <v>16</v>
      </c>
      <c r="D914" s="17" t="inlineStr">
        <is>
          <t>Preston Way</t>
        </is>
      </c>
      <c r="E914" s="9">
        <f>if($A914&lt;&gt;"",E913+B914,"")</f>
        <v/>
      </c>
      <c r="F914" s="9">
        <f>if($A914&lt;&gt;"",F913+C914,"")</f>
        <v/>
      </c>
      <c r="G914" s="11">
        <f>IF($A914&lt;&gt;"",IF(F914-E914=0,"tie",IF(F914-E914&gt;0,"+"&amp;F914-E914,"+"&amp;E914-F914)),"")</f>
        <v/>
      </c>
      <c r="H914" s="12">
        <f>if($A914&lt;&gt;"",if(B914&gt;C914,if(B914&lt;60,1,2),""),"")</f>
        <v/>
      </c>
      <c r="I914" s="12">
        <f>if($A914&lt;&gt;"",if(C914&gt;B914,if(C914&lt;60,1,2),""),"")</f>
        <v/>
      </c>
      <c r="J914" s="9">
        <f>if($A914&lt;&gt;"",J913+H914,"")</f>
        <v/>
      </c>
      <c r="K914" s="9">
        <f>if($A914&lt;&gt;"",K913+I914,"")</f>
        <v/>
      </c>
      <c r="L914" s="11">
        <f>IF($A914&lt;&gt;"",IF(K914-J914=0,"tie",IF(K914-J914&gt;0,"+"&amp;K914-J914,"+"&amp;J914-K914)),"")</f>
        <v/>
      </c>
      <c r="M914" s="20" t="n"/>
      <c r="N914" s="20" t="n"/>
      <c r="O914" s="20" t="n"/>
      <c r="P914" s="20" t="n"/>
      <c r="Q914" s="20" t="n"/>
      <c r="R914" s="20" t="n"/>
      <c r="S914" s="20" t="n"/>
    </row>
    <row r="915">
      <c r="A915" s="15" t="n">
        <v>45375</v>
      </c>
      <c r="B915" s="20" t="n">
        <v>48</v>
      </c>
      <c r="C915" s="20" t="n">
        <v>35</v>
      </c>
      <c r="D915" s="25" t="inlineStr">
        <is>
          <t>iHop, MDR</t>
        </is>
      </c>
      <c r="E915" s="9">
        <f>if($A915&lt;&gt;"",E914+B915,"")</f>
        <v/>
      </c>
      <c r="F915" s="9">
        <f>if($A915&lt;&gt;"",F914+C915,"")</f>
        <v/>
      </c>
      <c r="G915" s="11">
        <f>IF($A915&lt;&gt;"",IF(F915-E915=0,"tie",IF(F915-E915&gt;0,"+"&amp;F915-E915,"+"&amp;E915-F915)),"")</f>
        <v/>
      </c>
      <c r="H915" s="12">
        <f>if($A915&lt;&gt;"",if(B915&gt;C915,if(B915&lt;60,1,2),""),"")</f>
        <v/>
      </c>
      <c r="I915" s="12">
        <f>if($A915&lt;&gt;"",if(C915&gt;B915,if(C915&lt;60,1,2),""),"")</f>
        <v/>
      </c>
      <c r="J915" s="9">
        <f>if($A915&lt;&gt;"",J914+H915,"")</f>
        <v/>
      </c>
      <c r="K915" s="9">
        <f>if($A915&lt;&gt;"",K914+I915,"")</f>
        <v/>
      </c>
      <c r="L915" s="11">
        <f>IF($A915&lt;&gt;"",IF(K915-J915=0,"tie",IF(K915-J915&gt;0,"+"&amp;K915-J915,"+"&amp;J915-K915)),"")</f>
        <v/>
      </c>
      <c r="M915" s="20" t="n"/>
      <c r="N915" s="20" t="n"/>
      <c r="O915" s="20" t="n"/>
      <c r="P915" s="20" t="n"/>
      <c r="Q915" s="20" t="n"/>
      <c r="R915" s="20" t="n"/>
      <c r="S915" s="20" t="n"/>
    </row>
    <row r="916">
      <c r="A916" s="15" t="n">
        <v>45376</v>
      </c>
      <c r="B916" s="20" t="n">
        <v>21</v>
      </c>
      <c r="C916" s="20" t="n">
        <v>32</v>
      </c>
      <c r="D916" s="17" t="inlineStr">
        <is>
          <t>Preston Way</t>
        </is>
      </c>
      <c r="E916" s="9">
        <f>if($A916&lt;&gt;"",E915+B916,"")</f>
        <v/>
      </c>
      <c r="F916" s="9">
        <f>if($A916&lt;&gt;"",F915+C916,"")</f>
        <v/>
      </c>
      <c r="G916" s="11">
        <f>IF($A916&lt;&gt;"",IF(F916-E916=0,"tie",IF(F916-E916&gt;0,"+"&amp;F916-E916,"+"&amp;E916-F916)),"")</f>
        <v/>
      </c>
      <c r="H916" s="12">
        <f>if($A916&lt;&gt;"",if(B916&gt;C916,if(B916&lt;60,1,2),""),"")</f>
        <v/>
      </c>
      <c r="I916" s="12">
        <f>if($A916&lt;&gt;"",if(C916&gt;B916,if(C916&lt;60,1,2),""),"")</f>
        <v/>
      </c>
      <c r="J916" s="9">
        <f>if($A916&lt;&gt;"",J915+H916,"")</f>
        <v/>
      </c>
      <c r="K916" s="9">
        <f>if($A916&lt;&gt;"",K915+I916,"")</f>
        <v/>
      </c>
      <c r="L916" s="11">
        <f>IF($A916&lt;&gt;"",IF(K916-J916=0,"tie",IF(K916-J916&gt;0,"+"&amp;K916-J916,"+"&amp;J916-K916)),"")</f>
        <v/>
      </c>
      <c r="M916" s="20" t="n"/>
      <c r="N916" s="20" t="n"/>
      <c r="O916" s="20" t="n"/>
      <c r="P916" s="20" t="n"/>
      <c r="Q916" s="20" t="n"/>
      <c r="R916" s="20" t="n"/>
      <c r="S916" s="20" t="n"/>
    </row>
    <row r="917">
      <c r="A917" s="15" t="n">
        <v>45377</v>
      </c>
      <c r="B917" s="20" t="n">
        <v>45</v>
      </c>
      <c r="C917" s="20" t="n">
        <v>68</v>
      </c>
      <c r="D917" s="17" t="inlineStr">
        <is>
          <t>Clearman's North Woods Inn, La Mirada ￼</t>
        </is>
      </c>
      <c r="E917" s="9">
        <f>if($A917&lt;&gt;"",E916+B917,"")</f>
        <v/>
      </c>
      <c r="F917" s="9">
        <f>if($A917&lt;&gt;"",F916+C917,"")</f>
        <v/>
      </c>
      <c r="G917" s="11">
        <f>IF($A917&lt;&gt;"",IF(F917-E917=0,"tie",IF(F917-E917&gt;0,"+"&amp;F917-E917,"+"&amp;E917-F917)),"")</f>
        <v/>
      </c>
      <c r="H917" s="12">
        <f>if($A917&lt;&gt;"",if(B917&gt;C917,if(B917&lt;60,1,2),""),"")</f>
        <v/>
      </c>
      <c r="I917" s="12">
        <f>if($A917&lt;&gt;"",if(C917&gt;B917,if(C917&lt;60,1,2),""),"")</f>
        <v/>
      </c>
      <c r="J917" s="9">
        <f>if($A917&lt;&gt;"",J916+H917,"")</f>
        <v/>
      </c>
      <c r="K917" s="9">
        <f>if($A917&lt;&gt;"",K916+I917,"")</f>
        <v/>
      </c>
      <c r="L917" s="11">
        <f>IF($A917&lt;&gt;"",IF(K917-J917=0,"tie",IF(K917-J917&gt;0,"+"&amp;K917-J917,"+"&amp;J917-K917)),"")</f>
        <v/>
      </c>
      <c r="M917" s="20" t="n"/>
      <c r="N917" s="20" t="n"/>
      <c r="O917" s="20" t="n"/>
      <c r="P917" s="20" t="n"/>
      <c r="Q917" s="20" t="n"/>
      <c r="R917" s="20" t="n"/>
      <c r="S917" s="20" t="n"/>
    </row>
    <row r="918">
      <c r="A918" s="15" t="n">
        <v>45380</v>
      </c>
      <c r="B918" s="20" t="n">
        <v>33</v>
      </c>
      <c r="C918" s="20" t="n">
        <v>14</v>
      </c>
      <c r="D918" s="17" t="inlineStr">
        <is>
          <t xml:space="preserve">La Casita, Palm Desert </t>
        </is>
      </c>
      <c r="E918" s="9">
        <f>if($A918&lt;&gt;"",E917+B918,"")</f>
        <v/>
      </c>
      <c r="F918" s="9">
        <f>if($A918&lt;&gt;"",F917+C918,"")</f>
        <v/>
      </c>
      <c r="G918" s="11">
        <f>IF($A918&lt;&gt;"",IF(F918-E918=0,"tie",IF(F918-E918&gt;0,"+"&amp;F918-E918,"+"&amp;E918-F918)),"")</f>
        <v/>
      </c>
      <c r="H918" s="12">
        <f>if($A918&lt;&gt;"",if(B918&gt;C918,if(B918&lt;60,1,2),""),"")</f>
        <v/>
      </c>
      <c r="I918" s="12">
        <f>if($A918&lt;&gt;"",if(C918&gt;B918,if(C918&lt;60,1,2),""),"")</f>
        <v/>
      </c>
      <c r="J918" s="9">
        <f>if($A918&lt;&gt;"",J917+H918,"")</f>
        <v/>
      </c>
      <c r="K918" s="9">
        <f>if($A918&lt;&gt;"",K917+I918,"")</f>
        <v/>
      </c>
      <c r="L918" s="11">
        <f>IF($A918&lt;&gt;"",IF(K918-J918=0,"tie",IF(K918-J918&gt;0,"+"&amp;K918-J918,"+"&amp;J918-K918)),"")</f>
        <v/>
      </c>
      <c r="M918" s="20" t="n"/>
      <c r="N918" s="20" t="n"/>
      <c r="O918" s="20" t="n"/>
      <c r="P918" s="20" t="n"/>
      <c r="Q918" s="20" t="n"/>
      <c r="R918" s="20" t="n"/>
      <c r="S918" s="20" t="n"/>
    </row>
    <row r="919">
      <c r="A919" s="15" t="n">
        <v>45404</v>
      </c>
      <c r="B919" s="20" t="n">
        <v>30</v>
      </c>
      <c r="C919" s="20" t="n">
        <v>34</v>
      </c>
      <c r="D919" s="17" t="inlineStr">
        <is>
          <t>Clearman's North Woods Inn, La Mirada ￼</t>
        </is>
      </c>
      <c r="E919" s="9">
        <f>if($A919&lt;&gt;"",E918+B919,"")</f>
        <v/>
      </c>
      <c r="F919" s="9">
        <f>if($A919&lt;&gt;"",F918+C919,"")</f>
        <v/>
      </c>
      <c r="G919" s="11">
        <f>IF($A919&lt;&gt;"",IF(F919-E919=0,"tie",IF(F919-E919&gt;0,"+"&amp;F919-E919,"+"&amp;E919-F919)),"")</f>
        <v/>
      </c>
      <c r="H919" s="12">
        <f>if($A919&lt;&gt;"",if(B919&gt;C919,if(B919&lt;60,1,2),""),"")</f>
        <v/>
      </c>
      <c r="I919" s="12">
        <f>if($A919&lt;&gt;"",if(C919&gt;B919,if(C919&lt;60,1,2),""),"")</f>
        <v/>
      </c>
      <c r="J919" s="9">
        <f>if($A919&lt;&gt;"",J918+H919,"")</f>
        <v/>
      </c>
      <c r="K919" s="9">
        <f>if($A919&lt;&gt;"",K918+I919,"")</f>
        <v/>
      </c>
      <c r="L919" s="11">
        <f>IF($A919&lt;&gt;"",IF(K919-J919=0,"tie",IF(K919-J919&gt;0,"+"&amp;K919-J919,"+"&amp;J919-K919)),"")</f>
        <v/>
      </c>
      <c r="M919" s="20" t="n"/>
      <c r="N919" s="20" t="n"/>
      <c r="O919" s="20" t="n"/>
      <c r="P919" s="20" t="n"/>
      <c r="Q919" s="20" t="n"/>
      <c r="R919" s="20" t="n"/>
      <c r="S919" s="20" t="n"/>
    </row>
    <row r="920">
      <c r="A920" s="15" t="n">
        <v>45404</v>
      </c>
      <c r="B920" s="20" t="n">
        <v>45</v>
      </c>
      <c r="C920" s="20" t="n">
        <v>27</v>
      </c>
      <c r="D920" s="17" t="inlineStr">
        <is>
          <t>George's Burgers, Santa Monica</t>
        </is>
      </c>
      <c r="E920" s="9">
        <f>if($A920&lt;&gt;"",E919+B920,"")</f>
        <v/>
      </c>
      <c r="F920" s="9">
        <f>if($A920&lt;&gt;"",F919+C920,"")</f>
        <v/>
      </c>
      <c r="G920" s="11">
        <f>IF($A920&lt;&gt;"",IF(F920-E920=0,"tie",IF(F920-E920&gt;0,"+"&amp;F920-E920,"+"&amp;E920-F920)),"")</f>
        <v/>
      </c>
      <c r="H920" s="12">
        <f>if($A920&lt;&gt;"",if(B920&gt;C920,if(B920&lt;60,1,2),""),"")</f>
        <v/>
      </c>
      <c r="I920" s="12">
        <f>if($A920&lt;&gt;"",if(C920&gt;B920,if(C920&lt;60,1,2),""),"")</f>
        <v/>
      </c>
      <c r="J920" s="9">
        <f>if($A920&lt;&gt;"",J919+H920,"")</f>
        <v/>
      </c>
      <c r="K920" s="9">
        <f>if($A920&lt;&gt;"",K919+I920,"")</f>
        <v/>
      </c>
      <c r="L920" s="11">
        <f>IF($A920&lt;&gt;"",IF(K920-J920=0,"tie",IF(K920-J920&gt;0,"+"&amp;K920-J920,"+"&amp;J920-K920)),"")</f>
        <v/>
      </c>
      <c r="M920" s="20" t="n"/>
      <c r="N920" s="20" t="n"/>
      <c r="O920" s="20" t="n"/>
      <c r="P920" s="20" t="n"/>
      <c r="Q920" s="20" t="n"/>
      <c r="R920" s="20" t="n"/>
      <c r="S920" s="20" t="n"/>
    </row>
    <row r="921">
      <c r="A921" s="15" t="n">
        <v>45405</v>
      </c>
      <c r="B921" s="20" t="n">
        <v>33</v>
      </c>
      <c r="C921" s="20" t="n">
        <v>24</v>
      </c>
      <c r="D921" s="17" t="inlineStr">
        <is>
          <t>Preston Way</t>
        </is>
      </c>
      <c r="E921" s="9">
        <f>if($A921&lt;&gt;"",E920+B921,"")</f>
        <v/>
      </c>
      <c r="F921" s="9">
        <f>if($A921&lt;&gt;"",F920+C921,"")</f>
        <v/>
      </c>
      <c r="G921" s="11">
        <f>IF($A921&lt;&gt;"",IF(F921-E921=0,"tie",IF(F921-E921&gt;0,"+"&amp;F921-E921,"+"&amp;E921-F921)),"")</f>
        <v/>
      </c>
      <c r="H921" s="12">
        <f>if($A921&lt;&gt;"",if(B921&gt;C921,if(B921&lt;60,1,2),""),"")</f>
        <v/>
      </c>
      <c r="I921" s="12">
        <f>if($A921&lt;&gt;"",if(C921&gt;B921,if(C921&lt;60,1,2),""),"")</f>
        <v/>
      </c>
      <c r="J921" s="9">
        <f>if($A921&lt;&gt;"",J920+H921,"")</f>
        <v/>
      </c>
      <c r="K921" s="9">
        <f>if($A921&lt;&gt;"",K920+I921,"")</f>
        <v/>
      </c>
      <c r="L921" s="11">
        <f>IF($A921&lt;&gt;"",IF(K921-J921=0,"tie",IF(K921-J921&gt;0,"+"&amp;K921-J921,"+"&amp;J921-K921)),"")</f>
        <v/>
      </c>
      <c r="M921" s="20" t="n"/>
      <c r="N921" s="20" t="n"/>
      <c r="O921" s="20" t="n"/>
      <c r="P921" s="20" t="n"/>
      <c r="Q921" s="20" t="n"/>
      <c r="R921" s="20" t="n"/>
      <c r="S921" s="20" t="n"/>
    </row>
    <row r="922">
      <c r="A922" s="15" t="n">
        <v>45406</v>
      </c>
      <c r="B922" s="20" t="n">
        <v>40</v>
      </c>
      <c r="C922" s="20" t="n">
        <v>20</v>
      </c>
      <c r="D922" s="17" t="inlineStr">
        <is>
          <t>Preston Way</t>
        </is>
      </c>
      <c r="E922" s="9">
        <f>if($A922&lt;&gt;"",E921+B922,"")</f>
        <v/>
      </c>
      <c r="F922" s="9">
        <f>if($A922&lt;&gt;"",F921+C922,"")</f>
        <v/>
      </c>
      <c r="G922" s="11">
        <f>IF($A922&lt;&gt;"",IF(F922-E922=0,"tie",IF(F922-E922&gt;0,"+"&amp;F922-E922,"+"&amp;E922-F922)),"")</f>
        <v/>
      </c>
      <c r="H922" s="12">
        <f>if($A922&lt;&gt;"",if(B922&gt;C922,if(B922&lt;60,1,2),""),"")</f>
        <v/>
      </c>
      <c r="I922" s="12">
        <f>if($A922&lt;&gt;"",if(C922&gt;B922,if(C922&lt;60,1,2),""),"")</f>
        <v/>
      </c>
      <c r="J922" s="9">
        <f>if($A922&lt;&gt;"",J921+H922,"")</f>
        <v/>
      </c>
      <c r="K922" s="9">
        <f>if($A922&lt;&gt;"",K921+I922,"")</f>
        <v/>
      </c>
      <c r="L922" s="11">
        <f>IF($A922&lt;&gt;"",IF(K922-J922=0,"tie",IF(K922-J922&gt;0,"+"&amp;K922-J922,"+"&amp;J922-K922)),"")</f>
        <v/>
      </c>
      <c r="M922" s="20" t="n"/>
      <c r="N922" s="20" t="n"/>
      <c r="O922" s="20" t="n"/>
      <c r="P922" s="20" t="n"/>
      <c r="Q922" s="20" t="n"/>
      <c r="R922" s="20" t="n"/>
      <c r="S922" s="20" t="n"/>
    </row>
    <row r="923">
      <c r="A923" s="15" t="n">
        <v>45410</v>
      </c>
      <c r="B923" s="20" t="n">
        <v>27</v>
      </c>
      <c r="C923" s="20" t="n">
        <v>35</v>
      </c>
      <c r="D923" s="17" t="inlineStr">
        <is>
          <t>Preston Way</t>
        </is>
      </c>
      <c r="E923" s="9">
        <f>if($A923&lt;&gt;"",E922+B923,"")</f>
        <v/>
      </c>
      <c r="F923" s="9">
        <f>if($A923&lt;&gt;"",F922+C923,"")</f>
        <v/>
      </c>
      <c r="G923" s="11">
        <f>IF($A923&lt;&gt;"",IF(F923-E923=0,"tie",IF(F923-E923&gt;0,"+"&amp;F923-E923,"+"&amp;E923-F923)),"")</f>
        <v/>
      </c>
      <c r="H923" s="12">
        <f>if($A923&lt;&gt;"",if(B923&gt;C923,if(B923&lt;60,1,2),""),"")</f>
        <v/>
      </c>
      <c r="I923" s="12">
        <f>if($A923&lt;&gt;"",if(C923&gt;B923,if(C923&lt;60,1,2),""),"")</f>
        <v/>
      </c>
      <c r="J923" s="9">
        <f>if($A923&lt;&gt;"",J922+H923,"")</f>
        <v/>
      </c>
      <c r="K923" s="9">
        <f>if($A923&lt;&gt;"",K922+I923,"")</f>
        <v/>
      </c>
      <c r="L923" s="11">
        <f>IF($A923&lt;&gt;"",IF(K923-J923=0,"tie",IF(K923-J923&gt;0,"+"&amp;K923-J923,"+"&amp;J923-K923)),"")</f>
        <v/>
      </c>
      <c r="M923" s="20" t="n"/>
      <c r="N923" s="20" t="n"/>
      <c r="O923" s="20" t="n"/>
      <c r="P923" s="20" t="n"/>
      <c r="Q923" s="20" t="n"/>
      <c r="R923" s="20" t="n"/>
      <c r="S923" s="20" t="n"/>
    </row>
    <row r="924">
      <c r="A924" s="15" t="n">
        <v>45411</v>
      </c>
      <c r="B924" s="20" t="n">
        <v>18</v>
      </c>
      <c r="C924" s="20" t="n">
        <v>54</v>
      </c>
      <c r="D924" s="17" t="inlineStr">
        <is>
          <t>Preston Way</t>
        </is>
      </c>
      <c r="E924" s="9">
        <f>if($A924&lt;&gt;"",E923+B924,"")</f>
        <v/>
      </c>
      <c r="F924" s="9">
        <f>if($A924&lt;&gt;"",F923+C924,"")</f>
        <v/>
      </c>
      <c r="G924" s="11">
        <f>IF($A924&lt;&gt;"",IF(F924-E924=0,"tie",IF(F924-E924&gt;0,"+"&amp;F924-E924,"+"&amp;E924-F924)),"")</f>
        <v/>
      </c>
      <c r="H924" s="12">
        <f>if($A924&lt;&gt;"",if(B924&gt;C924,if(B924&lt;60,1,2),""),"")</f>
        <v/>
      </c>
      <c r="I924" s="12">
        <f>if($A924&lt;&gt;"",if(C924&gt;B924,if(C924&lt;60,1,2),""),"")</f>
        <v/>
      </c>
      <c r="J924" s="9">
        <f>if($A924&lt;&gt;"",J923+H924,"")</f>
        <v/>
      </c>
      <c r="K924" s="9">
        <f>if($A924&lt;&gt;"",K923+I924,"")</f>
        <v/>
      </c>
      <c r="L924" s="11">
        <f>IF($A924&lt;&gt;"",IF(K924-J924=0,"tie",IF(K924-J924&gt;0,"+"&amp;K924-J924,"+"&amp;J924-K924)),"")</f>
        <v/>
      </c>
      <c r="M924" s="20" t="n"/>
      <c r="N924" s="20" t="n"/>
      <c r="O924" s="20" t="n"/>
      <c r="P924" s="20" t="n"/>
      <c r="Q924" s="20" t="n"/>
      <c r="R924" s="20" t="n"/>
      <c r="S924" s="20" t="n"/>
    </row>
    <row r="925">
      <c r="A925" s="15" t="n">
        <v>45411</v>
      </c>
      <c r="B925" s="20" t="n">
        <v>62</v>
      </c>
      <c r="C925" s="20" t="n">
        <v>54</v>
      </c>
      <c r="D925" s="17" t="inlineStr">
        <is>
          <t>J Nichols, MDR</t>
        </is>
      </c>
      <c r="E925" s="9">
        <f>if($A925&lt;&gt;"",E924+B925,"")</f>
        <v/>
      </c>
      <c r="F925" s="9">
        <f>if($A925&lt;&gt;"",F924+C925,"")</f>
        <v/>
      </c>
      <c r="G925" s="11">
        <f>IF($A925&lt;&gt;"",IF(F925-E925=0,"tie",IF(F925-E925&gt;0,"+"&amp;F925-E925,"+"&amp;E925-F925)),"")</f>
        <v/>
      </c>
      <c r="H925" s="12">
        <f>if($A925&lt;&gt;"",if(B925&gt;C925,if(B925&lt;60,1,2),""),"")</f>
        <v/>
      </c>
      <c r="I925" s="12">
        <f>if($A925&lt;&gt;"",if(C925&gt;B925,if(C925&lt;60,1,2),""),"")</f>
        <v/>
      </c>
      <c r="J925" s="9">
        <f>if($A925&lt;&gt;"",J924+H925,"")</f>
        <v/>
      </c>
      <c r="K925" s="9">
        <f>if($A925&lt;&gt;"",K924+I925,"")</f>
        <v/>
      </c>
      <c r="L925" s="11">
        <f>IF($A925&lt;&gt;"",IF(K925-J925=0,"tie",IF(K925-J925&gt;0,"+"&amp;K925-J925,"+"&amp;J925-K925)),"")</f>
        <v/>
      </c>
      <c r="M925" s="20" t="n"/>
      <c r="N925" s="20" t="n"/>
      <c r="O925" s="20" t="n"/>
      <c r="P925" s="20" t="n"/>
      <c r="Q925" s="20" t="n"/>
      <c r="R925" s="20" t="n"/>
      <c r="S925" s="20" t="n"/>
    </row>
    <row r="926">
      <c r="A926" s="15" t="n">
        <v>45413</v>
      </c>
      <c r="B926" s="20" t="n">
        <v>19</v>
      </c>
      <c r="C926" s="20" t="n">
        <v>31</v>
      </c>
      <c r="D926" s="17" t="inlineStr">
        <is>
          <t>Preston Way</t>
        </is>
      </c>
      <c r="E926" s="9">
        <f>if($A926&lt;&gt;"",E925+B926,"")</f>
        <v/>
      </c>
      <c r="F926" s="9">
        <f>if($A926&lt;&gt;"",F925+C926,"")</f>
        <v/>
      </c>
      <c r="G926" s="11">
        <f>IF($A926&lt;&gt;"",IF(F926-E926=0,"tie",IF(F926-E926&gt;0,"+"&amp;F926-E926,"+"&amp;E926-F926)),"")</f>
        <v/>
      </c>
      <c r="H926" s="12">
        <f>if($A926&lt;&gt;"",if(B926&gt;C926,if(B926&lt;60,1,2),""),"")</f>
        <v/>
      </c>
      <c r="I926" s="12">
        <f>if($A926&lt;&gt;"",if(C926&gt;B926,if(C926&lt;60,1,2),""),"")</f>
        <v/>
      </c>
      <c r="J926" s="9">
        <f>if($A926&lt;&gt;"",J925+H926,"")</f>
        <v/>
      </c>
      <c r="K926" s="9">
        <f>if($A926&lt;&gt;"",K925+I926,"")</f>
        <v/>
      </c>
      <c r="L926" s="11">
        <f>IF($A926&lt;&gt;"",IF(K926-J926=0,"tie",IF(K926-J926&gt;0,"+"&amp;K926-J926,"+"&amp;J926-K926)),"")</f>
        <v/>
      </c>
      <c r="M926" s="20" t="n"/>
      <c r="N926" s="20" t="n"/>
      <c r="O926" s="20" t="n"/>
      <c r="P926" s="20" t="n"/>
      <c r="Q926" s="20" t="n"/>
      <c r="R926" s="20" t="n"/>
      <c r="S926" s="20" t="n"/>
    </row>
    <row r="927">
      <c r="A927" s="15" t="n">
        <v>45413</v>
      </c>
      <c r="B927" s="20" t="n">
        <v>27</v>
      </c>
      <c r="C927" s="20" t="n">
        <v>33</v>
      </c>
      <c r="D927" s="17" t="inlineStr">
        <is>
          <t>Preston Way</t>
        </is>
      </c>
      <c r="E927" s="9">
        <f>if($A927&lt;&gt;"",E926+B927,"")</f>
        <v/>
      </c>
      <c r="F927" s="9">
        <f>if($A927&lt;&gt;"",F926+C927,"")</f>
        <v/>
      </c>
      <c r="G927" s="11">
        <f>IF($A927&lt;&gt;"",IF(F927-E927=0,"tie",IF(F927-E927&gt;0,"+"&amp;F927-E927,"+"&amp;E927-F927)),"")</f>
        <v/>
      </c>
      <c r="H927" s="12">
        <f>if($A927&lt;&gt;"",if(B927&gt;C927,if(B927&lt;60,1,2),""),"")</f>
        <v/>
      </c>
      <c r="I927" s="12">
        <f>if($A927&lt;&gt;"",if(C927&gt;B927,if(C927&lt;60,1,2),""),"")</f>
        <v/>
      </c>
      <c r="J927" s="9">
        <f>if($A927&lt;&gt;"",J926+H927,"")</f>
        <v/>
      </c>
      <c r="K927" s="9">
        <f>if($A927&lt;&gt;"",K926+I927,"")</f>
        <v/>
      </c>
      <c r="L927" s="11">
        <f>IF($A927&lt;&gt;"",IF(K927-J927=0,"tie",IF(K927-J927&gt;0,"+"&amp;K927-J927,"+"&amp;J927-K927)),"")</f>
        <v/>
      </c>
      <c r="M927" s="20" t="n"/>
      <c r="N927" s="20" t="n"/>
      <c r="O927" s="20" t="n"/>
      <c r="P927" s="20" t="n"/>
      <c r="Q927" s="20" t="n"/>
      <c r="R927" s="20" t="n"/>
      <c r="S927" s="20" t="n"/>
    </row>
    <row r="928">
      <c r="A928" s="15" t="n">
        <v>45414</v>
      </c>
      <c r="B928" s="20" t="n">
        <v>34</v>
      </c>
      <c r="C928" s="20" t="n">
        <v>20</v>
      </c>
      <c r="D928" s="17" t="inlineStr">
        <is>
          <t>Preston Way</t>
        </is>
      </c>
      <c r="E928" s="9">
        <f>if($A928&lt;&gt;"",E927+B928,"")</f>
        <v/>
      </c>
      <c r="F928" s="9">
        <f>if($A928&lt;&gt;"",F927+C928,"")</f>
        <v/>
      </c>
      <c r="G928" s="11">
        <f>IF($A928&lt;&gt;"",IF(F928-E928=0,"tie",IF(F928-E928&gt;0,"+"&amp;F928-E928,"+"&amp;E928-F928)),"")</f>
        <v/>
      </c>
      <c r="H928" s="12">
        <f>if($A928&lt;&gt;"",if(B928&gt;C928,if(B928&lt;60,1,2),""),"")</f>
        <v/>
      </c>
      <c r="I928" s="12">
        <f>if($A928&lt;&gt;"",if(C928&gt;B928,if(C928&lt;60,1,2),""),"")</f>
        <v/>
      </c>
      <c r="J928" s="9">
        <f>if($A928&lt;&gt;"",J927+H928,"")</f>
        <v/>
      </c>
      <c r="K928" s="9">
        <f>if($A928&lt;&gt;"",K927+I928,"")</f>
        <v/>
      </c>
      <c r="L928" s="11">
        <f>IF($A928&lt;&gt;"",IF(K928-J928=0,"tie",IF(K928-J928&gt;0,"+"&amp;K928-J928,"+"&amp;J928-K928)),"")</f>
        <v/>
      </c>
      <c r="M928" s="20" t="n"/>
      <c r="N928" s="20" t="n"/>
      <c r="O928" s="20" t="n"/>
      <c r="P928" s="20" t="n"/>
      <c r="Q928" s="20" t="n"/>
      <c r="R928" s="20" t="n"/>
      <c r="S928" s="20" t="n"/>
    </row>
    <row r="929">
      <c r="A929" s="15" t="n">
        <v>45414</v>
      </c>
      <c r="B929" s="20" t="n">
        <v>22</v>
      </c>
      <c r="C929" s="20" t="n">
        <v>35</v>
      </c>
      <c r="D929" s="17" t="inlineStr">
        <is>
          <t>Preston Way</t>
        </is>
      </c>
      <c r="E929" s="9">
        <f>if($A929&lt;&gt;"",E928+B929,"")</f>
        <v/>
      </c>
      <c r="F929" s="9">
        <f>if($A929&lt;&gt;"",F928+C929,"")</f>
        <v/>
      </c>
      <c r="G929" s="11">
        <f>IF($A929&lt;&gt;"",IF(F929-E929=0,"tie",IF(F929-E929&gt;0,"+"&amp;F929-E929,"+"&amp;E929-F929)),"")</f>
        <v/>
      </c>
      <c r="H929" s="12">
        <f>if($A929&lt;&gt;"",if(B929&gt;C929,if(B929&lt;60,1,2),""),"")</f>
        <v/>
      </c>
      <c r="I929" s="12">
        <f>if($A929&lt;&gt;"",if(C929&gt;B929,if(C929&lt;60,1,2),""),"")</f>
        <v/>
      </c>
      <c r="J929" s="9">
        <f>if($A929&lt;&gt;"",J928+H929,"")</f>
        <v/>
      </c>
      <c r="K929" s="9">
        <f>if($A929&lt;&gt;"",K928+I929,"")</f>
        <v/>
      </c>
      <c r="L929" s="11">
        <f>IF($A929&lt;&gt;"",IF(K929-J929=0,"tie",IF(K929-J929&gt;0,"+"&amp;K929-J929,"+"&amp;J929-K929)),"")</f>
        <v/>
      </c>
      <c r="M929" s="20" t="n"/>
      <c r="N929" s="20" t="n"/>
      <c r="O929" s="20" t="n"/>
      <c r="P929" s="20" t="n"/>
      <c r="Q929" s="20" t="n"/>
      <c r="R929" s="20" t="n"/>
      <c r="S929" s="20" t="n"/>
    </row>
    <row r="930">
      <c r="A930" s="15" t="n">
        <v>45416</v>
      </c>
      <c r="B930" s="20" t="n">
        <v>32</v>
      </c>
      <c r="C930" s="20" t="n">
        <v>31</v>
      </c>
      <c r="D930" s="17" t="inlineStr">
        <is>
          <t>iHop, LAX</t>
        </is>
      </c>
      <c r="E930" s="9">
        <f>if($A930&lt;&gt;"",E929+B930,"")</f>
        <v/>
      </c>
      <c r="F930" s="9">
        <f>if($A930&lt;&gt;"",F929+C930,"")</f>
        <v/>
      </c>
      <c r="G930" s="11">
        <f>IF($A930&lt;&gt;"",IF(F930-E930=0,"tie",IF(F930-E930&gt;0,"+"&amp;F930-E930,"+"&amp;E930-F930)),"")</f>
        <v/>
      </c>
      <c r="H930" s="12">
        <f>if($A930&lt;&gt;"",if(B930&gt;C930,if(B930&lt;60,1,2),""),"")</f>
        <v/>
      </c>
      <c r="I930" s="12">
        <f>if($A930&lt;&gt;"",if(C930&gt;B930,if(C930&lt;60,1,2),""),"")</f>
        <v/>
      </c>
      <c r="J930" s="9">
        <f>if($A930&lt;&gt;"",J929+H930,"")</f>
        <v/>
      </c>
      <c r="K930" s="9">
        <f>if($A930&lt;&gt;"",K929+I930,"")</f>
        <v/>
      </c>
      <c r="L930" s="11">
        <f>IF($A930&lt;&gt;"",IF(K930-J930=0,"tie",IF(K930-J930&gt;0,"+"&amp;K930-J930,"+"&amp;J930-K930)),"")</f>
        <v/>
      </c>
      <c r="M930" s="20" t="n"/>
      <c r="N930" s="20" t="n"/>
      <c r="O930" s="20" t="n"/>
      <c r="P930" s="20" t="n"/>
      <c r="Q930" s="20" t="n"/>
      <c r="R930" s="20" t="n"/>
      <c r="S930" s="20" t="n"/>
    </row>
    <row r="931">
      <c r="A931" s="15" t="n">
        <v>45417</v>
      </c>
      <c r="B931" s="20" t="n">
        <v>32</v>
      </c>
      <c r="C931" s="20" t="n">
        <v>19</v>
      </c>
      <c r="D931" s="17" t="inlineStr">
        <is>
          <t>Saby's</t>
        </is>
      </c>
      <c r="E931" s="9">
        <f>if($A931&lt;&gt;"",E930+B931,"")</f>
        <v/>
      </c>
      <c r="F931" s="9">
        <f>if($A931&lt;&gt;"",F930+C931,"")</f>
        <v/>
      </c>
      <c r="G931" s="11">
        <f>IF($A931&lt;&gt;"",IF(F931-E931=0,"tie",IF(F931-E931&gt;0,"+"&amp;F931-E931,"+"&amp;E931-F931)),"")</f>
        <v/>
      </c>
      <c r="H931" s="12">
        <f>if($A931&lt;&gt;"",if(B931&gt;C931,if(B931&lt;60,1,2),""),"")</f>
        <v/>
      </c>
      <c r="I931" s="12">
        <f>if($A931&lt;&gt;"",if(C931&gt;B931,if(C931&lt;60,1,2),""),"")</f>
        <v/>
      </c>
      <c r="J931" s="9">
        <f>if($A931&lt;&gt;"",J930+H931,"")</f>
        <v/>
      </c>
      <c r="K931" s="9">
        <f>if($A931&lt;&gt;"",K930+I931,"")</f>
        <v/>
      </c>
      <c r="L931" s="11">
        <f>IF($A931&lt;&gt;"",IF(K931-J931=0,"tie",IF(K931-J931&gt;0,"+"&amp;K931-J931,"+"&amp;J931-K931)),"")</f>
        <v/>
      </c>
      <c r="M931" s="20" t="n"/>
      <c r="N931" s="20" t="n"/>
      <c r="O931" s="20" t="n"/>
      <c r="P931" s="20" t="n"/>
      <c r="Q931" s="20" t="n"/>
      <c r="R931" s="20" t="n"/>
      <c r="S931" s="20" t="n"/>
    </row>
    <row r="932">
      <c r="A932" s="15" t="n">
        <v>45418</v>
      </c>
      <c r="B932" s="20" t="n">
        <v>41</v>
      </c>
      <c r="C932" s="20" t="n">
        <v>20</v>
      </c>
      <c r="D932" s="17" t="inlineStr">
        <is>
          <t>Preston Way</t>
        </is>
      </c>
      <c r="E932" s="9">
        <f>if($A932&lt;&gt;"",E931+B932,"")</f>
        <v/>
      </c>
      <c r="F932" s="9">
        <f>if($A932&lt;&gt;"",F931+C932,"")</f>
        <v/>
      </c>
      <c r="G932" s="11">
        <f>IF($A932&lt;&gt;"",IF(F932-E932=0,"tie",IF(F932-E932&gt;0,"+"&amp;F932-E932,"+"&amp;E932-F932)),"")</f>
        <v/>
      </c>
      <c r="H932" s="12">
        <f>if($A932&lt;&gt;"",if(B932&gt;C932,if(B932&lt;60,1,2),""),"")</f>
        <v/>
      </c>
      <c r="I932" s="12">
        <f>if($A932&lt;&gt;"",if(C932&gt;B932,if(C932&lt;60,1,2),""),"")</f>
        <v/>
      </c>
      <c r="J932" s="9">
        <f>if($A932&lt;&gt;"",J931+H932,"")</f>
        <v/>
      </c>
      <c r="K932" s="9">
        <f>if($A932&lt;&gt;"",K931+I932,"")</f>
        <v/>
      </c>
      <c r="L932" s="11">
        <f>IF($A932&lt;&gt;"",IF(K932-J932=0,"tie",IF(K932-J932&gt;0,"+"&amp;K932-J932,"+"&amp;J932-K932)),"")</f>
        <v/>
      </c>
      <c r="M932" s="20" t="n"/>
      <c r="N932" s="20" t="n"/>
      <c r="O932" s="20" t="n"/>
      <c r="P932" s="20" t="n"/>
      <c r="Q932" s="20" t="n"/>
      <c r="R932" s="20" t="n"/>
      <c r="S932" s="20" t="n"/>
    </row>
    <row r="933">
      <c r="A933" s="15" t="n">
        <v>45423</v>
      </c>
      <c r="B933" s="20" t="n">
        <v>32</v>
      </c>
      <c r="C933" s="20" t="n">
        <v>25</v>
      </c>
      <c r="D933" s="17" t="inlineStr">
        <is>
          <t>The Six Chow House, WLA</t>
        </is>
      </c>
      <c r="E933" s="9">
        <f>if($A933&lt;&gt;"",E932+B933,"")</f>
        <v/>
      </c>
      <c r="F933" s="9">
        <f>if($A933&lt;&gt;"",F932+C933,"")</f>
        <v/>
      </c>
      <c r="G933" s="11">
        <f>IF($A933&lt;&gt;"",IF(F933-E933=0,"tie",IF(F933-E933&gt;0,"+"&amp;F933-E933,"+"&amp;E933-F933)),"")</f>
        <v/>
      </c>
      <c r="H933" s="12">
        <f>if($A933&lt;&gt;"",if(B933&gt;C933,if(B933&lt;60,1,2),""),"")</f>
        <v/>
      </c>
      <c r="I933" s="12">
        <f>if($A933&lt;&gt;"",if(C933&gt;B933,if(C933&lt;60,1,2),""),"")</f>
        <v/>
      </c>
      <c r="J933" s="9">
        <f>if($A933&lt;&gt;"",J932+H933,"")</f>
        <v/>
      </c>
      <c r="K933" s="9">
        <f>if($A933&lt;&gt;"",K932+I933,"")</f>
        <v/>
      </c>
      <c r="L933" s="11">
        <f>IF($A933&lt;&gt;"",IF(K933-J933=0,"tie",IF(K933-J933&gt;0,"+"&amp;K933-J933,"+"&amp;J933-K933)),"")</f>
        <v/>
      </c>
      <c r="M933" s="20" t="n"/>
      <c r="N933" s="20" t="n"/>
      <c r="O933" s="20" t="n"/>
      <c r="P933" s="20" t="n"/>
      <c r="Q933" s="20" t="n"/>
      <c r="R933" s="20" t="n"/>
      <c r="S933" s="20" t="n"/>
    </row>
    <row r="934">
      <c r="A934" s="15" t="n">
        <v>45425</v>
      </c>
      <c r="B934" s="20" t="n">
        <v>25</v>
      </c>
      <c r="C934" s="20" t="n">
        <v>31</v>
      </c>
      <c r="D934" s="17" t="inlineStr">
        <is>
          <t>Preston Way</t>
        </is>
      </c>
      <c r="E934" s="9">
        <f>if($A934&lt;&gt;"",E933+B934,"")</f>
        <v/>
      </c>
      <c r="F934" s="9">
        <f>if($A934&lt;&gt;"",F933+C934,"")</f>
        <v/>
      </c>
      <c r="G934" s="11">
        <f>IF($A934&lt;&gt;"",IF(F934-E934=0,"tie",IF(F934-E934&gt;0,"+"&amp;F934-E934,"+"&amp;E934-F934)),"")</f>
        <v/>
      </c>
      <c r="H934" s="12">
        <f>if($A934&lt;&gt;"",if(B934&gt;C934,if(B934&lt;60,1,2),""),"")</f>
        <v/>
      </c>
      <c r="I934" s="12">
        <f>if($A934&lt;&gt;"",if(C934&gt;B934,if(C934&lt;60,1,2),""),"")</f>
        <v/>
      </c>
      <c r="J934" s="9">
        <f>if($A934&lt;&gt;"",J933+H934,"")</f>
        <v/>
      </c>
      <c r="K934" s="9">
        <f>if($A934&lt;&gt;"",K933+I934,"")</f>
        <v/>
      </c>
      <c r="L934" s="11">
        <f>IF($A934&lt;&gt;"",IF(K934-J934=0,"tie",IF(K934-J934&gt;0,"+"&amp;K934-J934,"+"&amp;J934-K934)),"")</f>
        <v/>
      </c>
      <c r="M934" s="20" t="n"/>
      <c r="N934" s="20" t="n"/>
      <c r="O934" s="20" t="n"/>
      <c r="P934" s="20" t="n"/>
      <c r="Q934" s="20" t="n"/>
      <c r="R934" s="20" t="n"/>
      <c r="S934" s="20" t="n"/>
    </row>
    <row r="935">
      <c r="A935" s="15" t="n">
        <v>45428</v>
      </c>
      <c r="B935" s="20" t="n">
        <v>28</v>
      </c>
      <c r="C935" s="20" t="n">
        <v>48</v>
      </c>
      <c r="D935" s="17" t="inlineStr">
        <is>
          <t>Preston Way</t>
        </is>
      </c>
      <c r="E935" s="9">
        <f>if($A935&lt;&gt;"",E934+B935,"")</f>
        <v/>
      </c>
      <c r="F935" s="9">
        <f>if($A935&lt;&gt;"",F934+C935,"")</f>
        <v/>
      </c>
      <c r="G935" s="11">
        <f>IF($A935&lt;&gt;"",IF(F935-E935=0,"tie",IF(F935-E935&gt;0,"+"&amp;F935-E935,"+"&amp;E935-F935)),"")</f>
        <v/>
      </c>
      <c r="H935" s="12">
        <f>if($A935&lt;&gt;"",if(B935&gt;C935,if(B935&lt;60,1,2),""),"")</f>
        <v/>
      </c>
      <c r="I935" s="12">
        <f>if($A935&lt;&gt;"",if(C935&gt;B935,if(C935&lt;60,1,2),""),"")</f>
        <v/>
      </c>
      <c r="J935" s="9">
        <f>if($A935&lt;&gt;"",J934+H935,"")</f>
        <v/>
      </c>
      <c r="K935" s="9">
        <f>if($A935&lt;&gt;"",K934+I935,"")</f>
        <v/>
      </c>
      <c r="L935" s="11">
        <f>IF($A935&lt;&gt;"",IF(K935-J935=0,"tie",IF(K935-J935&gt;0,"+"&amp;K935-J935,"+"&amp;J935-K935)),"")</f>
        <v/>
      </c>
      <c r="M935" s="20" t="n"/>
      <c r="N935" s="20" t="n"/>
      <c r="O935" s="20" t="n"/>
      <c r="P935" s="20" t="n"/>
      <c r="Q935" s="20" t="n"/>
      <c r="R935" s="20" t="n"/>
      <c r="S935" s="20" t="n"/>
    </row>
    <row r="936">
      <c r="A936" s="15" t="n">
        <v>45429</v>
      </c>
      <c r="B936" s="20" t="n">
        <v>48</v>
      </c>
      <c r="C936" s="20" t="n">
        <v>31</v>
      </c>
      <c r="D936" s="17" t="inlineStr">
        <is>
          <t>Preston Way</t>
        </is>
      </c>
      <c r="E936" s="9">
        <f>if($A936&lt;&gt;"",E935+B936,"")</f>
        <v/>
      </c>
      <c r="F936" s="9">
        <f>if($A936&lt;&gt;"",F935+C936,"")</f>
        <v/>
      </c>
      <c r="G936" s="11">
        <f>IF($A936&lt;&gt;"",IF(F936-E936=0,"tie",IF(F936-E936&gt;0,"+"&amp;F936-E936,"+"&amp;E936-F936)),"")</f>
        <v/>
      </c>
      <c r="H936" s="12">
        <f>if($A936&lt;&gt;"",if(B936&gt;C936,if(B936&lt;60,1,2),""),"")</f>
        <v/>
      </c>
      <c r="I936" s="12">
        <f>if($A936&lt;&gt;"",if(C936&gt;B936,if(C936&lt;60,1,2),""),"")</f>
        <v/>
      </c>
      <c r="J936" s="9">
        <f>if($A936&lt;&gt;"",J935+H936,"")</f>
        <v/>
      </c>
      <c r="K936" s="9">
        <f>if($A936&lt;&gt;"",K935+I936,"")</f>
        <v/>
      </c>
      <c r="L936" s="11">
        <f>IF($A936&lt;&gt;"",IF(K936-J936=0,"tie",IF(K936-J936&gt;0,"+"&amp;K936-J936,"+"&amp;J936-K936)),"")</f>
        <v/>
      </c>
      <c r="M936" s="20" t="n"/>
      <c r="N936" s="20" t="n"/>
      <c r="O936" s="20" t="n"/>
      <c r="P936" s="20" t="n"/>
      <c r="Q936" s="20" t="n"/>
      <c r="R936" s="20" t="n"/>
      <c r="S936" s="20" t="n"/>
    </row>
    <row r="937">
      <c r="A937" s="15" t="n">
        <v>45431</v>
      </c>
      <c r="B937" s="20" t="n">
        <v>26</v>
      </c>
      <c r="C937" s="20" t="n">
        <v>33</v>
      </c>
      <c r="D937" s="17" t="inlineStr">
        <is>
          <t>Zinque, Venice</t>
        </is>
      </c>
      <c r="E937" s="9">
        <f>if($A937&lt;&gt;"",E936+B937,"")</f>
        <v/>
      </c>
      <c r="F937" s="9">
        <f>if($A937&lt;&gt;"",F936+C937,"")</f>
        <v/>
      </c>
      <c r="G937" s="11">
        <f>IF($A937&lt;&gt;"",IF(F937-E937=0,"tie",IF(F937-E937&gt;0,"+"&amp;F937-E937,"+"&amp;E937-F937)),"")</f>
        <v/>
      </c>
      <c r="H937" s="12">
        <f>if($A937&lt;&gt;"",if(B937&gt;C937,if(B937&lt;60,1,2),""),"")</f>
        <v/>
      </c>
      <c r="I937" s="12">
        <f>if($A937&lt;&gt;"",if(C937&gt;B937,if(C937&lt;60,1,2),""),"")</f>
        <v/>
      </c>
      <c r="J937" s="9">
        <f>if($A937&lt;&gt;"",J936+H937,"")</f>
        <v/>
      </c>
      <c r="K937" s="9">
        <f>if($A937&lt;&gt;"",K936+I937,"")</f>
        <v/>
      </c>
      <c r="L937" s="11">
        <f>IF($A937&lt;&gt;"",IF(K937-J937=0,"tie",IF(K937-J937&gt;0,"+"&amp;K937-J937,"+"&amp;J937-K937)),"")</f>
        <v/>
      </c>
      <c r="M937" s="20" t="n"/>
      <c r="N937" s="20" t="n"/>
      <c r="O937" s="20" t="n"/>
      <c r="P937" s="20" t="n"/>
      <c r="Q937" s="20" t="n"/>
      <c r="R937" s="20" t="n"/>
      <c r="S937" s="20" t="n"/>
    </row>
    <row r="938">
      <c r="A938" s="15" t="n">
        <v>45431</v>
      </c>
      <c r="B938" s="20" t="n">
        <v>61</v>
      </c>
      <c r="C938" s="20" t="n">
        <v>49</v>
      </c>
      <c r="D938" s="17" t="inlineStr">
        <is>
          <t>George's Burgers, Santa Monica</t>
        </is>
      </c>
      <c r="E938" s="9">
        <f>if($A938&lt;&gt;"",E937+B938,"")</f>
        <v/>
      </c>
      <c r="F938" s="9">
        <f>if($A938&lt;&gt;"",F937+C938,"")</f>
        <v/>
      </c>
      <c r="G938" s="11">
        <f>IF($A938&lt;&gt;"",IF(F938-E938=0,"tie",IF(F938-E938&gt;0,"+"&amp;F938-E938,"+"&amp;E938-F938)),"")</f>
        <v/>
      </c>
      <c r="H938" s="12">
        <f>if($A938&lt;&gt;"",if(B938&gt;C938,if(B938&lt;60,1,2),""),"")</f>
        <v/>
      </c>
      <c r="I938" s="12">
        <f>if($A938&lt;&gt;"",if(C938&gt;B938,if(C938&lt;60,1,2),""),"")</f>
        <v/>
      </c>
      <c r="J938" s="9">
        <f>if($A938&lt;&gt;"",J937+H938,"")</f>
        <v/>
      </c>
      <c r="K938" s="9">
        <f>if($A938&lt;&gt;"",K937+I938,"")</f>
        <v/>
      </c>
      <c r="L938" s="11">
        <f>IF($A938&lt;&gt;"",IF(K938-J938=0,"tie",IF(K938-J938&gt;0,"+"&amp;K938-J938,"+"&amp;J938-K938)),"")</f>
        <v/>
      </c>
      <c r="M938" s="20" t="n"/>
      <c r="N938" s="20" t="n"/>
      <c r="O938" s="20" t="n"/>
      <c r="P938" s="20" t="n"/>
      <c r="Q938" s="20" t="n"/>
      <c r="R938" s="20" t="n"/>
      <c r="S938" s="20" t="n"/>
    </row>
    <row r="939">
      <c r="A939" s="15" t="n">
        <v>45432</v>
      </c>
      <c r="B939" s="20" t="n">
        <v>19</v>
      </c>
      <c r="C939" s="20" t="n">
        <v>31</v>
      </c>
      <c r="D939" s="17" t="inlineStr">
        <is>
          <t>Preston Way</t>
        </is>
      </c>
      <c r="E939" s="9">
        <f>if($A939&lt;&gt;"",E938+B939,"")</f>
        <v/>
      </c>
      <c r="F939" s="9">
        <f>if($A939&lt;&gt;"",F938+C939,"")</f>
        <v/>
      </c>
      <c r="G939" s="11">
        <f>IF($A939&lt;&gt;"",IF(F939-E939=0,"tie",IF(F939-E939&gt;0,"+"&amp;F939-E939,"+"&amp;E939-F939)),"")</f>
        <v/>
      </c>
      <c r="H939" s="12">
        <f>if($A939&lt;&gt;"",if(B939&gt;C939,if(B939&lt;60,1,2),""),"")</f>
        <v/>
      </c>
      <c r="I939" s="12">
        <f>if($A939&lt;&gt;"",if(C939&gt;B939,if(C939&lt;60,1,2),""),"")</f>
        <v/>
      </c>
      <c r="J939" s="9">
        <f>if($A939&lt;&gt;"",J938+H939,"")</f>
        <v/>
      </c>
      <c r="K939" s="9">
        <f>if($A939&lt;&gt;"",K938+I939,"")</f>
        <v/>
      </c>
      <c r="L939" s="11">
        <f>IF($A939&lt;&gt;"",IF(K939-J939=0,"tie",IF(K939-J939&gt;0,"+"&amp;K939-J939,"+"&amp;J939-K939)),"")</f>
        <v/>
      </c>
      <c r="M939" s="20" t="n"/>
      <c r="N939" s="20" t="n"/>
      <c r="O939" s="20" t="n"/>
      <c r="P939" s="20" t="n"/>
      <c r="Q939" s="20" t="n"/>
      <c r="R939" s="20" t="n"/>
      <c r="S939" s="20" t="n"/>
    </row>
    <row r="940">
      <c r="A940" s="15" t="n">
        <v>45432</v>
      </c>
      <c r="B940" s="20" t="n">
        <v>37</v>
      </c>
      <c r="C940" s="20" t="n">
        <v>27</v>
      </c>
      <c r="D940" s="17" t="inlineStr">
        <is>
          <t>Café 50's, WLA</t>
        </is>
      </c>
      <c r="E940" s="9">
        <f>if($A940&lt;&gt;"",E939+B940,"")</f>
        <v/>
      </c>
      <c r="F940" s="9">
        <f>if($A940&lt;&gt;"",F939+C940,"")</f>
        <v/>
      </c>
      <c r="G940" s="11">
        <f>IF($A940&lt;&gt;"",IF(F940-E940=0,"tie",IF(F940-E940&gt;0,"+"&amp;F940-E940,"+"&amp;E940-F940)),"")</f>
        <v/>
      </c>
      <c r="H940" s="12">
        <f>if($A940&lt;&gt;"",if(B940&gt;C940,if(B940&lt;60,1,2),""),"")</f>
        <v/>
      </c>
      <c r="I940" s="12">
        <f>if($A940&lt;&gt;"",if(C940&gt;B940,if(C940&lt;60,1,2),""),"")</f>
        <v/>
      </c>
      <c r="J940" s="9">
        <f>if($A940&lt;&gt;"",J939+H940,"")</f>
        <v/>
      </c>
      <c r="K940" s="9">
        <f>if($A940&lt;&gt;"",K939+I940,"")</f>
        <v/>
      </c>
      <c r="L940" s="11">
        <f>IF($A940&lt;&gt;"",IF(K940-J940=0,"tie",IF(K940-J940&gt;0,"+"&amp;K940-J940,"+"&amp;J940-K940)),"")</f>
        <v/>
      </c>
      <c r="M940" s="20" t="n"/>
      <c r="N940" s="20" t="n"/>
      <c r="O940" s="20" t="n"/>
      <c r="P940" s="20" t="n"/>
      <c r="Q940" s="20" t="n"/>
      <c r="R940" s="20" t="n"/>
      <c r="S940" s="20" t="n"/>
    </row>
    <row r="941">
      <c r="A941" s="15" t="n">
        <v>45435</v>
      </c>
      <c r="B941" s="20" t="n">
        <v>39</v>
      </c>
      <c r="C941" s="20" t="n">
        <v>34</v>
      </c>
      <c r="D941" s="17" t="inlineStr">
        <is>
          <t>Preston Way</t>
        </is>
      </c>
      <c r="E941" s="9">
        <f>if($A941&lt;&gt;"",E940+B941,"")</f>
        <v/>
      </c>
      <c r="F941" s="9">
        <f>if($A941&lt;&gt;"",F940+C941,"")</f>
        <v/>
      </c>
      <c r="G941" s="11">
        <f>IF($A941&lt;&gt;"",IF(F941-E941=0,"tie",IF(F941-E941&gt;0,"+"&amp;F941-E941,"+"&amp;E941-F941)),"")</f>
        <v/>
      </c>
      <c r="H941" s="12">
        <f>if($A941&lt;&gt;"",if(B941&gt;C941,if(B941&lt;60,1,2),""),"")</f>
        <v/>
      </c>
      <c r="I941" s="12">
        <f>if($A941&lt;&gt;"",if(C941&gt;B941,if(C941&lt;60,1,2),""),"")</f>
        <v/>
      </c>
      <c r="J941" s="9">
        <f>if($A941&lt;&gt;"",J940+H941,"")</f>
        <v/>
      </c>
      <c r="K941" s="9">
        <f>if($A941&lt;&gt;"",K940+I941,"")</f>
        <v/>
      </c>
      <c r="L941" s="11">
        <f>IF($A941&lt;&gt;"",IF(K941-J941=0,"tie",IF(K941-J941&gt;0,"+"&amp;K941-J941,"+"&amp;J941-K941)),"")</f>
        <v/>
      </c>
      <c r="M941" s="20" t="n"/>
      <c r="N941" s="20" t="n"/>
      <c r="O941" s="20" t="n"/>
      <c r="P941" s="20" t="n"/>
      <c r="Q941" s="20" t="n"/>
      <c r="R941" s="20" t="n"/>
      <c r="S941" s="20" t="n"/>
    </row>
    <row r="942">
      <c r="A942" s="15" t="n">
        <v>45436</v>
      </c>
      <c r="B942" s="20" t="n">
        <v>34</v>
      </c>
      <c r="C942" s="20" t="n">
        <v>28</v>
      </c>
      <c r="D942" s="17" t="inlineStr">
        <is>
          <t>Preston Way</t>
        </is>
      </c>
      <c r="E942" s="9">
        <f>if($A942&lt;&gt;"",E941+B942,"")</f>
        <v/>
      </c>
      <c r="F942" s="9">
        <f>if($A942&lt;&gt;"",F941+C942,"")</f>
        <v/>
      </c>
      <c r="G942" s="11">
        <f>IF($A942&lt;&gt;"",IF(F942-E942=0,"tie",IF(F942-E942&gt;0,"+"&amp;F942-E942,"+"&amp;E942-F942)),"")</f>
        <v/>
      </c>
      <c r="H942" s="12">
        <f>if($A942&lt;&gt;"",if(B942&gt;C942,if(B942&lt;60,1,2),""),"")</f>
        <v/>
      </c>
      <c r="I942" s="12">
        <f>if($A942&lt;&gt;"",if(C942&gt;B942,if(C942&lt;60,1,2),""),"")</f>
        <v/>
      </c>
      <c r="J942" s="9">
        <f>if($A942&lt;&gt;"",J941+H942,"")</f>
        <v/>
      </c>
      <c r="K942" s="9">
        <f>if($A942&lt;&gt;"",K941+I942,"")</f>
        <v/>
      </c>
      <c r="L942" s="11">
        <f>IF($A942&lt;&gt;"",IF(K942-J942=0,"tie",IF(K942-J942&gt;0,"+"&amp;K942-J942,"+"&amp;J942-K942)),"")</f>
        <v/>
      </c>
      <c r="M942" s="20" t="n"/>
      <c r="N942" s="20" t="n"/>
      <c r="O942" s="20" t="n"/>
      <c r="P942" s="20" t="n"/>
      <c r="Q942" s="20" t="n"/>
      <c r="R942" s="20" t="n"/>
      <c r="S942" s="20" t="n"/>
    </row>
    <row r="943">
      <c r="A943" s="15" t="n">
        <v>45436</v>
      </c>
      <c r="B943" s="20" t="n">
        <v>41</v>
      </c>
      <c r="C943" s="20" t="n">
        <v>40</v>
      </c>
      <c r="D943" s="17" t="inlineStr">
        <is>
          <t>Preston Way</t>
        </is>
      </c>
      <c r="E943" s="9">
        <f>if($A943&lt;&gt;"",E942+B943,"")</f>
        <v/>
      </c>
      <c r="F943" s="9">
        <f>if($A943&lt;&gt;"",F942+C943,"")</f>
        <v/>
      </c>
      <c r="G943" s="11">
        <f>IF($A943&lt;&gt;"",IF(F943-E943=0,"tie",IF(F943-E943&gt;0,"+"&amp;F943-E943,"+"&amp;E943-F943)),"")</f>
        <v/>
      </c>
      <c r="H943" s="12">
        <f>if($A943&lt;&gt;"",if(B943&gt;C943,if(B943&lt;60,1,2),""),"")</f>
        <v/>
      </c>
      <c r="I943" s="12">
        <f>if($A943&lt;&gt;"",if(C943&gt;B943,if(C943&lt;60,1,2),""),"")</f>
        <v/>
      </c>
      <c r="J943" s="9">
        <f>if($A943&lt;&gt;"",J942+H943,"")</f>
        <v/>
      </c>
      <c r="K943" s="9">
        <f>if($A943&lt;&gt;"",K942+I943,"")</f>
        <v/>
      </c>
      <c r="L943" s="11">
        <f>IF($A943&lt;&gt;"",IF(K943-J943=0,"tie",IF(K943-J943&gt;0,"+"&amp;K943-J943,"+"&amp;J943-K943)),"")</f>
        <v/>
      </c>
      <c r="M943" s="20" t="n"/>
      <c r="N943" s="20" t="n"/>
      <c r="O943" s="20" t="n"/>
      <c r="P943" s="20" t="n"/>
      <c r="Q943" s="20" t="n"/>
      <c r="R943" s="20" t="n"/>
      <c r="S943" s="20" t="n"/>
    </row>
    <row r="944">
      <c r="A944" s="15" t="n">
        <v>45437</v>
      </c>
      <c r="B944" s="20" t="n">
        <v>21</v>
      </c>
      <c r="C944" s="20" t="n">
        <v>32</v>
      </c>
      <c r="D944" s="17" t="inlineStr">
        <is>
          <t>Preston Way</t>
        </is>
      </c>
      <c r="E944" s="9">
        <f>if($A944&lt;&gt;"",E943+B944,"")</f>
        <v/>
      </c>
      <c r="F944" s="9">
        <f>if($A944&lt;&gt;"",F943+C944,"")</f>
        <v/>
      </c>
      <c r="G944" s="11">
        <f>IF($A944&lt;&gt;"",IF(F944-E944=0,"tie",IF(F944-E944&gt;0,"+"&amp;F944-E944,"+"&amp;E944-F944)),"")</f>
        <v/>
      </c>
      <c r="H944" s="12">
        <f>if($A944&lt;&gt;"",if(B944&gt;C944,if(B944&lt;60,1,2),""),"")</f>
        <v/>
      </c>
      <c r="I944" s="12">
        <f>if($A944&lt;&gt;"",if(C944&gt;B944,if(C944&lt;60,1,2),""),"")</f>
        <v/>
      </c>
      <c r="J944" s="9">
        <f>if($A944&lt;&gt;"",J943+H944,"")</f>
        <v/>
      </c>
      <c r="K944" s="9">
        <f>if($A944&lt;&gt;"",K943+I944,"")</f>
        <v/>
      </c>
      <c r="L944" s="11">
        <f>IF($A944&lt;&gt;"",IF(K944-J944=0,"tie",IF(K944-J944&gt;0,"+"&amp;K944-J944,"+"&amp;J944-K944)),"")</f>
        <v/>
      </c>
      <c r="M944" s="20" t="n"/>
      <c r="N944" s="20" t="n"/>
      <c r="O944" s="20" t="n"/>
      <c r="P944" s="20" t="n"/>
      <c r="Q944" s="20" t="n"/>
      <c r="R944" s="20" t="n"/>
      <c r="S944" s="20" t="n"/>
    </row>
    <row r="945">
      <c r="A945" s="15" t="n">
        <v>45438</v>
      </c>
      <c r="B945" s="20" t="n">
        <v>28</v>
      </c>
      <c r="C945" s="20" t="n">
        <v>36</v>
      </c>
      <c r="D945" s="17" t="inlineStr">
        <is>
          <t>Zinque, Venice</t>
        </is>
      </c>
      <c r="E945" s="9">
        <f>if($A945&lt;&gt;"",E944+B945,"")</f>
        <v/>
      </c>
      <c r="F945" s="9">
        <f>if($A945&lt;&gt;"",F944+C945,"")</f>
        <v/>
      </c>
      <c r="G945" s="11">
        <f>IF($A945&lt;&gt;"",IF(F945-E945=0,"tie",IF(F945-E945&gt;0,"+"&amp;F945-E945,"+"&amp;E945-F945)),"")</f>
        <v/>
      </c>
      <c r="H945" s="12">
        <f>if($A945&lt;&gt;"",if(B945&gt;C945,if(B945&lt;60,1,2),""),"")</f>
        <v/>
      </c>
      <c r="I945" s="12">
        <f>if($A945&lt;&gt;"",if(C945&gt;B945,if(C945&lt;60,1,2),""),"")</f>
        <v/>
      </c>
      <c r="J945" s="9">
        <f>if($A945&lt;&gt;"",J944+H945,"")</f>
        <v/>
      </c>
      <c r="K945" s="9">
        <f>if($A945&lt;&gt;"",K944+I945,"")</f>
        <v/>
      </c>
      <c r="L945" s="11">
        <f>IF($A945&lt;&gt;"",IF(K945-J945=0,"tie",IF(K945-J945&gt;0,"+"&amp;K945-J945,"+"&amp;J945-K945)),"")</f>
        <v/>
      </c>
      <c r="M945" s="20" t="n"/>
      <c r="N945" s="20" t="n"/>
      <c r="O945" s="20" t="n"/>
      <c r="P945" s="20" t="n"/>
      <c r="Q945" s="20" t="n"/>
      <c r="R945" s="20" t="n"/>
      <c r="S945" s="20" t="n"/>
    </row>
    <row r="946">
      <c r="A946" s="15" t="n">
        <v>45440</v>
      </c>
      <c r="B946" s="20" t="n">
        <v>36</v>
      </c>
      <c r="C946" s="20" t="n">
        <v>40</v>
      </c>
      <c r="D946" s="17" t="inlineStr">
        <is>
          <t>Preston Way</t>
        </is>
      </c>
      <c r="E946" s="9">
        <f>if($A946&lt;&gt;"",E945+B946,"")</f>
        <v/>
      </c>
      <c r="F946" s="9">
        <f>if($A946&lt;&gt;"",F945+C946,"")</f>
        <v/>
      </c>
      <c r="G946" s="11">
        <f>IF($A946&lt;&gt;"",IF(F946-E946=0,"tie",IF(F946-E946&gt;0,"+"&amp;F946-E946,"+"&amp;E946-F946)),"")</f>
        <v/>
      </c>
      <c r="H946" s="12">
        <f>if($A946&lt;&gt;"",if(B946&gt;C946,if(B946&lt;60,1,2),""),"")</f>
        <v/>
      </c>
      <c r="I946" s="12">
        <f>if($A946&lt;&gt;"",if(C946&gt;B946,if(C946&lt;60,1,2),""),"")</f>
        <v/>
      </c>
      <c r="J946" s="9">
        <f>if($A946&lt;&gt;"",J945+H946,"")</f>
        <v/>
      </c>
      <c r="K946" s="9">
        <f>if($A946&lt;&gt;"",K945+I946,"")</f>
        <v/>
      </c>
      <c r="L946" s="11">
        <f>IF($A946&lt;&gt;"",IF(K946-J946=0,"tie",IF(K946-J946&gt;0,"+"&amp;K946-J946,"+"&amp;J946-K946)),"")</f>
        <v/>
      </c>
      <c r="M946" s="20" t="n"/>
      <c r="N946" s="20" t="n"/>
      <c r="O946" s="20" t="n"/>
      <c r="P946" s="20" t="n"/>
      <c r="Q946" s="20" t="n"/>
      <c r="R946" s="20" t="n"/>
      <c r="S946" s="20" t="n"/>
    </row>
    <row r="947">
      <c r="A947" s="15" t="n">
        <v>45443</v>
      </c>
      <c r="B947" s="20" t="n">
        <v>39</v>
      </c>
      <c r="C947" s="20" t="n">
        <v>32</v>
      </c>
      <c r="D947" s="17" t="inlineStr">
        <is>
          <t>Preston Way</t>
        </is>
      </c>
      <c r="E947" s="9">
        <f>if($A947&lt;&gt;"",E946+B947,"")</f>
        <v/>
      </c>
      <c r="F947" s="9">
        <f>if($A947&lt;&gt;"",F946+C947,"")</f>
        <v/>
      </c>
      <c r="G947" s="11">
        <f>IF($A947&lt;&gt;"",IF(F947-E947=0,"tie",IF(F947-E947&gt;0,"+"&amp;F947-E947,"+"&amp;E947-F947)),"")</f>
        <v/>
      </c>
      <c r="H947" s="12">
        <f>if($A947&lt;&gt;"",if(B947&gt;C947,if(B947&lt;60,1,2),""),"")</f>
        <v/>
      </c>
      <c r="I947" s="12">
        <f>if($A947&lt;&gt;"",if(C947&gt;B947,if(C947&lt;60,1,2),""),"")</f>
        <v/>
      </c>
      <c r="J947" s="9">
        <f>if($A947&lt;&gt;"",J946+H947,"")</f>
        <v/>
      </c>
      <c r="K947" s="9">
        <f>if($A947&lt;&gt;"",K946+I947,"")</f>
        <v/>
      </c>
      <c r="L947" s="11">
        <f>IF($A947&lt;&gt;"",IF(K947-J947=0,"tie",IF(K947-J947&gt;0,"+"&amp;K947-J947,"+"&amp;J947-K947)),"")</f>
        <v/>
      </c>
      <c r="M947" s="20" t="n"/>
      <c r="N947" s="20" t="n"/>
      <c r="O947" s="20" t="n"/>
      <c r="P947" s="20" t="n"/>
      <c r="Q947" s="20" t="n"/>
      <c r="R947" s="20" t="n"/>
      <c r="S947" s="20" t="n"/>
    </row>
    <row r="948">
      <c r="A948" s="15" t="n">
        <v>45450</v>
      </c>
      <c r="B948" s="20" t="n">
        <v>61</v>
      </c>
      <c r="C948" s="20" t="n">
        <v>57</v>
      </c>
      <c r="D948" s="17" t="inlineStr">
        <is>
          <t>George's Burgers, Santa Monica</t>
        </is>
      </c>
      <c r="E948" s="9">
        <f>if($A948&lt;&gt;"",E947+B948,"")</f>
        <v/>
      </c>
      <c r="F948" s="9">
        <f>if($A948&lt;&gt;"",F947+C948,"")</f>
        <v/>
      </c>
      <c r="G948" s="11">
        <f>IF($A948&lt;&gt;"",IF(F948-E948=0,"tie",IF(F948-E948&gt;0,"+"&amp;F948-E948,"+"&amp;E948-F948)),"")</f>
        <v/>
      </c>
      <c r="H948" s="12">
        <f>if($A948&lt;&gt;"",if(B948&gt;C948,if(B948&lt;60,1,2),""),"")</f>
        <v/>
      </c>
      <c r="I948" s="12">
        <f>if($A948&lt;&gt;"",if(C948&gt;B948,if(C948&lt;60,1,2),""),"")</f>
        <v/>
      </c>
      <c r="J948" s="9">
        <f>if($A948&lt;&gt;"",J947+H948,"")</f>
        <v/>
      </c>
      <c r="K948" s="9">
        <f>if($A948&lt;&gt;"",K947+I948,"")</f>
        <v/>
      </c>
      <c r="L948" s="11">
        <f>IF($A948&lt;&gt;"",IF(K948-J948=0,"tie",IF(K948-J948&gt;0,"+"&amp;K948-J948,"+"&amp;J948-K948)),"")</f>
        <v/>
      </c>
      <c r="M948" s="20" t="n"/>
      <c r="N948" s="20" t="n"/>
      <c r="O948" s="20" t="n"/>
      <c r="P948" s="20" t="n"/>
      <c r="Q948" s="20" t="n"/>
      <c r="R948" s="20" t="n"/>
      <c r="S948" s="20" t="n"/>
    </row>
    <row r="949">
      <c r="A949" s="15" t="n">
        <v>45452</v>
      </c>
      <c r="B949" s="20" t="n">
        <v>40</v>
      </c>
      <c r="C949" s="20" t="n">
        <v>61</v>
      </c>
      <c r="D949" s="25" t="inlineStr">
        <is>
          <t>iHop, MDR</t>
        </is>
      </c>
      <c r="E949" s="9">
        <f>if($A949&lt;&gt;"",E948+B949,"")</f>
        <v/>
      </c>
      <c r="F949" s="9">
        <f>if($A949&lt;&gt;"",F948+C949,"")</f>
        <v/>
      </c>
      <c r="G949" s="11">
        <f>IF($A949&lt;&gt;"",IF(F949-E949=0,"tie",IF(F949-E949&gt;0,"+"&amp;F949-E949,"+"&amp;E949-F949)),"")</f>
        <v/>
      </c>
      <c r="H949" s="12">
        <f>if($A949&lt;&gt;"",if(B949&gt;C949,if(B949&lt;60,1,2),""),"")</f>
        <v/>
      </c>
      <c r="I949" s="12">
        <f>if($A949&lt;&gt;"",if(C949&gt;B949,if(C949&lt;60,1,2),""),"")</f>
        <v/>
      </c>
      <c r="J949" s="9">
        <f>if($A949&lt;&gt;"",J948+H949,"")</f>
        <v/>
      </c>
      <c r="K949" s="9">
        <f>if($A949&lt;&gt;"",K948+I949,"")</f>
        <v/>
      </c>
      <c r="L949" s="11">
        <f>IF($A949&lt;&gt;"",IF(K949-J949=0,"tie",IF(K949-J949&gt;0,"+"&amp;K949-J949,"+"&amp;J949-K949)),"")</f>
        <v/>
      </c>
      <c r="M949" s="20" t="n"/>
      <c r="N949" s="20" t="n"/>
      <c r="O949" s="20" t="n"/>
      <c r="P949" s="20" t="n"/>
      <c r="Q949" s="20" t="n"/>
      <c r="R949" s="20" t="n"/>
      <c r="S949" s="20" t="n"/>
    </row>
    <row r="950">
      <c r="A950" s="15" t="n">
        <v>45453</v>
      </c>
      <c r="B950" s="20" t="n">
        <v>23</v>
      </c>
      <c r="C950" s="20" t="n">
        <v>31</v>
      </c>
      <c r="D950" s="17" t="inlineStr">
        <is>
          <t>Preston Way</t>
        </is>
      </c>
      <c r="E950" s="9">
        <f>if($A950&lt;&gt;"",E949+B950,"")</f>
        <v/>
      </c>
      <c r="F950" s="9">
        <f>if($A950&lt;&gt;"",F949+C950,"")</f>
        <v/>
      </c>
      <c r="G950" s="11">
        <f>IF($A950&lt;&gt;"",IF(F950-E950=0,"tie",IF(F950-E950&gt;0,"+"&amp;F950-E950,"+"&amp;E950-F950)),"")</f>
        <v/>
      </c>
      <c r="H950" s="12">
        <f>if($A950&lt;&gt;"",if(B950&gt;C950,if(B950&lt;60,1,2),""),"")</f>
        <v/>
      </c>
      <c r="I950" s="12">
        <f>if($A950&lt;&gt;"",if(C950&gt;B950,if(C950&lt;60,1,2),""),"")</f>
        <v/>
      </c>
      <c r="J950" s="9">
        <f>if($A950&lt;&gt;"",J949+H950,"")</f>
        <v/>
      </c>
      <c r="K950" s="9">
        <f>if($A950&lt;&gt;"",K949+I950,"")</f>
        <v/>
      </c>
      <c r="L950" s="11">
        <f>IF($A950&lt;&gt;"",IF(K950-J950=0,"tie",IF(K950-J950&gt;0,"+"&amp;K950-J950,"+"&amp;J950-K950)),"")</f>
        <v/>
      </c>
      <c r="M950" s="20" t="n"/>
      <c r="N950" s="20" t="n"/>
      <c r="O950" s="20" t="n"/>
      <c r="P950" s="20" t="n"/>
      <c r="Q950" s="20" t="n"/>
      <c r="R950" s="20" t="n"/>
      <c r="S950" s="20" t="n"/>
    </row>
    <row r="951">
      <c r="A951" s="15" t="n">
        <v>45454</v>
      </c>
      <c r="B951" s="20" t="n">
        <v>26</v>
      </c>
      <c r="C951" s="20" t="n">
        <v>31</v>
      </c>
      <c r="D951" s="17" t="inlineStr">
        <is>
          <t>Preston Way</t>
        </is>
      </c>
      <c r="E951" s="9">
        <f>if($A951&lt;&gt;"",E950+B951,"")</f>
        <v/>
      </c>
      <c r="F951" s="9">
        <f>if($A951&lt;&gt;"",F950+C951,"")</f>
        <v/>
      </c>
      <c r="G951" s="11">
        <f>IF($A951&lt;&gt;"",IF(F951-E951=0,"tie",IF(F951-E951&gt;0,"+"&amp;F951-E951,"+"&amp;E951-F951)),"")</f>
        <v/>
      </c>
      <c r="H951" s="12">
        <f>if($A951&lt;&gt;"",if(B951&gt;C951,if(B951&lt;60,1,2),""),"")</f>
        <v/>
      </c>
      <c r="I951" s="12">
        <f>if($A951&lt;&gt;"",if(C951&gt;B951,if(C951&lt;60,1,2),""),"")</f>
        <v/>
      </c>
      <c r="J951" s="9">
        <f>if($A951&lt;&gt;"",J950+H951,"")</f>
        <v/>
      </c>
      <c r="K951" s="9">
        <f>if($A951&lt;&gt;"",K950+I951,"")</f>
        <v/>
      </c>
      <c r="L951" s="11">
        <f>IF($A951&lt;&gt;"",IF(K951-J951=0,"tie",IF(K951-J951&gt;0,"+"&amp;K951-J951,"+"&amp;J951-K951)),"")</f>
        <v/>
      </c>
      <c r="M951" s="20" t="n"/>
      <c r="N951" s="20" t="n"/>
      <c r="O951" s="20" t="n"/>
      <c r="P951" s="20" t="n"/>
      <c r="Q951" s="20" t="n"/>
      <c r="R951" s="20" t="n"/>
      <c r="S951" s="20" t="n"/>
    </row>
    <row r="952">
      <c r="A952" s="15" t="n">
        <v>45456</v>
      </c>
      <c r="B952" s="20" t="n">
        <v>31</v>
      </c>
      <c r="C952" s="20" t="n">
        <v>42</v>
      </c>
      <c r="D952" s="17" t="inlineStr">
        <is>
          <t>Preston Way</t>
        </is>
      </c>
      <c r="E952" s="9">
        <f>if($A952&lt;&gt;"",E951+B952,"")</f>
        <v/>
      </c>
      <c r="F952" s="9">
        <f>if($A952&lt;&gt;"",F951+C952,"")</f>
        <v/>
      </c>
      <c r="G952" s="11">
        <f>IF($A952&lt;&gt;"",IF(F952-E952=0,"tie",IF(F952-E952&gt;0,"+"&amp;F952-E952,"+"&amp;E952-F952)),"")</f>
        <v/>
      </c>
      <c r="H952" s="12">
        <f>if($A952&lt;&gt;"",if(B952&gt;C952,if(B952&lt;60,1,2),""),"")</f>
        <v/>
      </c>
      <c r="I952" s="12">
        <f>if($A952&lt;&gt;"",if(C952&gt;B952,if(C952&lt;60,1,2),""),"")</f>
        <v/>
      </c>
      <c r="J952" s="9">
        <f>if($A952&lt;&gt;"",J951+H952,"")</f>
        <v/>
      </c>
      <c r="K952" s="9">
        <f>if($A952&lt;&gt;"",K951+I952,"")</f>
        <v/>
      </c>
      <c r="L952" s="11">
        <f>IF($A952&lt;&gt;"",IF(K952-J952=0,"tie",IF(K952-J952&gt;0,"+"&amp;K952-J952,"+"&amp;J952-K952)),"")</f>
        <v/>
      </c>
      <c r="M952" s="20" t="n"/>
      <c r="N952" s="20" t="n"/>
      <c r="O952" s="20" t="n"/>
      <c r="P952" s="20" t="n"/>
      <c r="Q952" s="20" t="n"/>
      <c r="R952" s="20" t="n"/>
      <c r="S952" s="20" t="n"/>
    </row>
    <row r="953">
      <c r="A953" s="15" t="n">
        <v>45456</v>
      </c>
      <c r="B953" s="20" t="n">
        <v>27</v>
      </c>
      <c r="C953" s="20" t="n">
        <v>34</v>
      </c>
      <c r="D953" s="17" t="inlineStr">
        <is>
          <t>Preston Way</t>
        </is>
      </c>
      <c r="E953" s="9">
        <f>if($A953&lt;&gt;"",E952+B953,"")</f>
        <v/>
      </c>
      <c r="F953" s="9">
        <f>if($A953&lt;&gt;"",F952+C953,"")</f>
        <v/>
      </c>
      <c r="G953" s="11">
        <f>IF($A953&lt;&gt;"",IF(F953-E953=0,"tie",IF(F953-E953&gt;0,"+"&amp;F953-E953,"+"&amp;E953-F953)),"")</f>
        <v/>
      </c>
      <c r="H953" s="12">
        <f>if($A953&lt;&gt;"",if(B953&gt;C953,if(B953&lt;60,1,2),""),"")</f>
        <v/>
      </c>
      <c r="I953" s="12">
        <f>if($A953&lt;&gt;"",if(C953&gt;B953,if(C953&lt;60,1,2),""),"")</f>
        <v/>
      </c>
      <c r="J953" s="9">
        <f>if($A953&lt;&gt;"",J952+H953,"")</f>
        <v/>
      </c>
      <c r="K953" s="9">
        <f>if($A953&lt;&gt;"",K952+I953,"")</f>
        <v/>
      </c>
      <c r="L953" s="11">
        <f>IF($A953&lt;&gt;"",IF(K953-J953=0,"tie",IF(K953-J953&gt;0,"+"&amp;K953-J953,"+"&amp;J953-K953)),"")</f>
        <v/>
      </c>
      <c r="M953" s="20" t="n"/>
      <c r="N953" s="20" t="n"/>
      <c r="O953" s="20" t="n"/>
      <c r="P953" s="20" t="n"/>
      <c r="Q953" s="20" t="n"/>
      <c r="R953" s="20" t="n"/>
      <c r="S953" s="20" t="n"/>
    </row>
    <row r="954">
      <c r="A954" s="15" t="n">
        <v>45457</v>
      </c>
      <c r="B954" s="20" t="n">
        <v>32</v>
      </c>
      <c r="C954" s="20" t="n">
        <v>26</v>
      </c>
      <c r="D954" s="17" t="inlineStr">
        <is>
          <t>Preston Way</t>
        </is>
      </c>
      <c r="E954" s="9">
        <f>if($A954&lt;&gt;"",E953+B954,"")</f>
        <v/>
      </c>
      <c r="F954" s="9">
        <f>if($A954&lt;&gt;"",F953+C954,"")</f>
        <v/>
      </c>
      <c r="G954" s="11">
        <f>IF($A954&lt;&gt;"",IF(F954-E954=0,"tie",IF(F954-E954&gt;0,"+"&amp;F954-E954,"+"&amp;E954-F954)),"")</f>
        <v/>
      </c>
      <c r="H954" s="12">
        <f>if($A954&lt;&gt;"",if(B954&gt;C954,if(B954&lt;60,1,2),""),"")</f>
        <v/>
      </c>
      <c r="I954" s="12">
        <f>if($A954&lt;&gt;"",if(C954&gt;B954,if(C954&lt;60,1,2),""),"")</f>
        <v/>
      </c>
      <c r="J954" s="9">
        <f>if($A954&lt;&gt;"",J953+H954,"")</f>
        <v/>
      </c>
      <c r="K954" s="9">
        <f>if($A954&lt;&gt;"",K953+I954,"")</f>
        <v/>
      </c>
      <c r="L954" s="11">
        <f>IF($A954&lt;&gt;"",IF(K954-J954=0,"tie",IF(K954-J954&gt;0,"+"&amp;K954-J954,"+"&amp;J954-K954)),"")</f>
        <v/>
      </c>
      <c r="M954" s="20" t="n"/>
      <c r="N954" s="20" t="n"/>
      <c r="O954" s="20" t="n"/>
      <c r="P954" s="20" t="n"/>
      <c r="Q954" s="20" t="n"/>
      <c r="R954" s="20" t="n"/>
      <c r="S954" s="20" t="n"/>
    </row>
    <row r="955">
      <c r="A955" s="15" t="n">
        <v>45457</v>
      </c>
      <c r="B955" s="20" t="n">
        <v>26</v>
      </c>
      <c r="C955" s="20" t="n">
        <v>34</v>
      </c>
      <c r="D955" s="17" t="inlineStr">
        <is>
          <t>Preston Way</t>
        </is>
      </c>
      <c r="E955" s="9">
        <f>if($A955&lt;&gt;"",E954+B955,"")</f>
        <v/>
      </c>
      <c r="F955" s="9">
        <f>if($A955&lt;&gt;"",F954+C955,"")</f>
        <v/>
      </c>
      <c r="G955" s="11">
        <f>IF($A955&lt;&gt;"",IF(F955-E955=0,"tie",IF(F955-E955&gt;0,"+"&amp;F955-E955,"+"&amp;E955-F955)),"")</f>
        <v/>
      </c>
      <c r="H955" s="12">
        <f>if($A955&lt;&gt;"",if(B955&gt;C955,if(B955&lt;60,1,2),""),"")</f>
        <v/>
      </c>
      <c r="I955" s="12">
        <f>if($A955&lt;&gt;"",if(C955&gt;B955,if(C955&lt;60,1,2),""),"")</f>
        <v/>
      </c>
      <c r="J955" s="9">
        <f>if($A955&lt;&gt;"",J954+H955,"")</f>
        <v/>
      </c>
      <c r="K955" s="9">
        <f>if($A955&lt;&gt;"",K954+I955,"")</f>
        <v/>
      </c>
      <c r="L955" s="11">
        <f>IF($A955&lt;&gt;"",IF(K955-J955=0,"tie",IF(K955-J955&gt;0,"+"&amp;K955-J955,"+"&amp;J955-K955)),"")</f>
        <v/>
      </c>
      <c r="M955" s="20" t="n"/>
      <c r="N955" s="20" t="n"/>
      <c r="O955" s="20" t="n"/>
      <c r="P955" s="20" t="n"/>
      <c r="Q955" s="20" t="n"/>
      <c r="R955" s="20" t="n"/>
      <c r="S955" s="20" t="n"/>
    </row>
    <row r="956">
      <c r="A956" s="15" t="n">
        <v>45460</v>
      </c>
      <c r="B956" s="20" t="n">
        <v>35</v>
      </c>
      <c r="C956" s="20" t="n">
        <v>28</v>
      </c>
      <c r="D956" s="17" t="inlineStr">
        <is>
          <t>Preston Way</t>
        </is>
      </c>
      <c r="E956" s="9">
        <f>if($A956&lt;&gt;"",E955+B956,"")</f>
        <v/>
      </c>
      <c r="F956" s="9">
        <f>if($A956&lt;&gt;"",F955+C956,"")</f>
        <v/>
      </c>
      <c r="G956" s="11">
        <f>IF($A956&lt;&gt;"",IF(F956-E956=0,"tie",IF(F956-E956&gt;0,"+"&amp;F956-E956,"+"&amp;E956-F956)),"")</f>
        <v/>
      </c>
      <c r="H956" s="12">
        <f>if($A956&lt;&gt;"",if(B956&gt;C956,if(B956&lt;60,1,2),""),"")</f>
        <v/>
      </c>
      <c r="I956" s="12">
        <f>if($A956&lt;&gt;"",if(C956&gt;B956,if(C956&lt;60,1,2),""),"")</f>
        <v/>
      </c>
      <c r="J956" s="9">
        <f>if($A956&lt;&gt;"",J955+H956,"")</f>
        <v/>
      </c>
      <c r="K956" s="9">
        <f>if($A956&lt;&gt;"",K955+I956,"")</f>
        <v/>
      </c>
      <c r="L956" s="11">
        <f>IF($A956&lt;&gt;"",IF(K956-J956=0,"tie",IF(K956-J956&gt;0,"+"&amp;K956-J956,"+"&amp;J956-K956)),"")</f>
        <v/>
      </c>
      <c r="M956" s="20" t="n"/>
      <c r="N956" s="20" t="n"/>
      <c r="O956" s="20" t="n"/>
      <c r="P956" s="20" t="n"/>
      <c r="Q956" s="20" t="n"/>
      <c r="R956" s="20" t="n"/>
      <c r="S956" s="20" t="n"/>
    </row>
    <row r="957">
      <c r="A957" s="15" t="n">
        <v>45460</v>
      </c>
      <c r="B957" s="20" t="n">
        <v>26</v>
      </c>
      <c r="C957" s="20" t="n">
        <v>36</v>
      </c>
      <c r="D957" s="17" t="inlineStr">
        <is>
          <t>Preston Way</t>
        </is>
      </c>
      <c r="E957" s="9">
        <f>if($A957&lt;&gt;"",E956+B957,"")</f>
        <v/>
      </c>
      <c r="F957" s="9">
        <f>if($A957&lt;&gt;"",F956+C957,"")</f>
        <v/>
      </c>
      <c r="G957" s="11">
        <f>IF($A957&lt;&gt;"",IF(F957-E957=0,"tie",IF(F957-E957&gt;0,"+"&amp;F957-E957,"+"&amp;E957-F957)),"")</f>
        <v/>
      </c>
      <c r="H957" s="12">
        <f>if($A957&lt;&gt;"",if(B957&gt;C957,if(B957&lt;60,1,2),""),"")</f>
        <v/>
      </c>
      <c r="I957" s="12">
        <f>if($A957&lt;&gt;"",if(C957&gt;B957,if(C957&lt;60,1,2),""),"")</f>
        <v/>
      </c>
      <c r="J957" s="9">
        <f>if($A957&lt;&gt;"",J956+H957,"")</f>
        <v/>
      </c>
      <c r="K957" s="9">
        <f>if($A957&lt;&gt;"",K956+I957,"")</f>
        <v/>
      </c>
      <c r="L957" s="11">
        <f>IF($A957&lt;&gt;"",IF(K957-J957=0,"tie",IF(K957-J957&gt;0,"+"&amp;K957-J957,"+"&amp;J957-K957)),"")</f>
        <v/>
      </c>
      <c r="M957" s="20" t="n"/>
      <c r="N957" s="20" t="n"/>
      <c r="O957" s="20" t="n"/>
      <c r="P957" s="20" t="n"/>
      <c r="Q957" s="20" t="n"/>
      <c r="R957" s="20" t="n"/>
      <c r="S957" s="20" t="n"/>
    </row>
    <row r="958">
      <c r="A958" s="15" t="n">
        <v>45461</v>
      </c>
      <c r="B958" s="20" t="n">
        <v>58</v>
      </c>
      <c r="C958" s="20" t="n">
        <v>68</v>
      </c>
      <c r="D958" s="17" t="inlineStr">
        <is>
          <t>Preston Way</t>
        </is>
      </c>
      <c r="E958" s="9">
        <f>if($A958&lt;&gt;"",E957+B958,"")</f>
        <v/>
      </c>
      <c r="F958" s="9">
        <f>if($A958&lt;&gt;"",F957+C958,"")</f>
        <v/>
      </c>
      <c r="G958" s="11">
        <f>IF($A958&lt;&gt;"",IF(F958-E958=0,"tie",IF(F958-E958&gt;0,"+"&amp;F958-E958,"+"&amp;E958-F958)),"")</f>
        <v/>
      </c>
      <c r="H958" s="12">
        <f>if($A958&lt;&gt;"",if(B958&gt;C958,if(B958&lt;60,1,2),""),"")</f>
        <v/>
      </c>
      <c r="I958" s="12">
        <f>if($A958&lt;&gt;"",if(C958&gt;B958,if(C958&lt;60,1,2),""),"")</f>
        <v/>
      </c>
      <c r="J958" s="9">
        <f>if($A958&lt;&gt;"",J957+H958,"")</f>
        <v/>
      </c>
      <c r="K958" s="9">
        <f>if($A958&lt;&gt;"",K957+I958,"")</f>
        <v/>
      </c>
      <c r="L958" s="11">
        <f>IF($A958&lt;&gt;"",IF(K958-J958=0,"tie",IF(K958-J958&gt;0,"+"&amp;K958-J958,"+"&amp;J958-K958)),"")</f>
        <v/>
      </c>
      <c r="M958" s="20" t="n"/>
      <c r="N958" s="20" t="n"/>
      <c r="O958" s="20" t="n"/>
      <c r="P958" s="20" t="n"/>
      <c r="Q958" s="20" t="n"/>
      <c r="R958" s="20" t="n"/>
      <c r="S958" s="20" t="n"/>
    </row>
    <row r="959">
      <c r="A959" s="15" t="n">
        <v>45462</v>
      </c>
      <c r="B959" s="20" t="n">
        <v>70</v>
      </c>
      <c r="C959" s="20" t="n">
        <v>65</v>
      </c>
      <c r="D959" s="17" t="inlineStr">
        <is>
          <t>Preston Way</t>
        </is>
      </c>
      <c r="E959" s="9">
        <f>if($A959&lt;&gt;"",E958+B959,"")</f>
        <v/>
      </c>
      <c r="F959" s="9">
        <f>if($A959&lt;&gt;"",F958+C959,"")</f>
        <v/>
      </c>
      <c r="G959" s="11">
        <f>IF($A959&lt;&gt;"",IF(F959-E959=0,"tie",IF(F959-E959&gt;0,"+"&amp;F959-E959,"+"&amp;E959-F959)),"")</f>
        <v/>
      </c>
      <c r="H959" s="12">
        <f>if($A959&lt;&gt;"",if(B959&gt;C959,if(B959&lt;60,1,2),""),"")</f>
        <v/>
      </c>
      <c r="I959" s="12">
        <f>if($A959&lt;&gt;"",if(C959&gt;B959,if(C959&lt;60,1,2),""),"")</f>
        <v/>
      </c>
      <c r="J959" s="9">
        <f>if($A959&lt;&gt;"",J958+H959,"")</f>
        <v/>
      </c>
      <c r="K959" s="9">
        <f>if($A959&lt;&gt;"",K958+I959,"")</f>
        <v/>
      </c>
      <c r="L959" s="11">
        <f>IF($A959&lt;&gt;"",IF(K959-J959=0,"tie",IF(K959-J959&gt;0,"+"&amp;K959-J959,"+"&amp;J959-K959)),"")</f>
        <v/>
      </c>
      <c r="M959" s="20" t="n"/>
      <c r="N959" s="20" t="n"/>
      <c r="O959" s="20" t="n"/>
      <c r="P959" s="20" t="n"/>
      <c r="Q959" s="20" t="n"/>
      <c r="R959" s="20" t="n"/>
      <c r="S959" s="20" t="n"/>
    </row>
    <row r="960">
      <c r="A960" s="15" t="n">
        <v>45465</v>
      </c>
      <c r="B960" s="20" t="n">
        <v>33</v>
      </c>
      <c r="C960" s="20" t="n">
        <v>31</v>
      </c>
      <c r="D960" s="17" t="inlineStr">
        <is>
          <t>Preston Way</t>
        </is>
      </c>
      <c r="E960" s="9">
        <f>if($A960&lt;&gt;"",E959+B960,"")</f>
        <v/>
      </c>
      <c r="F960" s="9">
        <f>if($A960&lt;&gt;"",F959+C960,"")</f>
        <v/>
      </c>
      <c r="G960" s="11">
        <f>IF($A960&lt;&gt;"",IF(F960-E960=0,"tie",IF(F960-E960&gt;0,"+"&amp;F960-E960,"+"&amp;E960-F960)),"")</f>
        <v/>
      </c>
      <c r="H960" s="12">
        <f>if($A960&lt;&gt;"",if(B960&gt;C960,if(B960&lt;60,1,2),""),"")</f>
        <v/>
      </c>
      <c r="I960" s="12">
        <f>if($A960&lt;&gt;"",if(C960&gt;B960,if(C960&lt;60,1,2),""),"")</f>
        <v/>
      </c>
      <c r="J960" s="9">
        <f>if($A960&lt;&gt;"",J959+H960,"")</f>
        <v/>
      </c>
      <c r="K960" s="9">
        <f>if($A960&lt;&gt;"",K959+I960,"")</f>
        <v/>
      </c>
      <c r="L960" s="11">
        <f>IF($A960&lt;&gt;"",IF(K960-J960=0,"tie",IF(K960-J960&gt;0,"+"&amp;K960-J960,"+"&amp;J960-K960)),"")</f>
        <v/>
      </c>
      <c r="M960" s="20" t="n"/>
      <c r="N960" s="20" t="n"/>
      <c r="O960" s="20" t="n"/>
      <c r="P960" s="20" t="n"/>
      <c r="Q960" s="20" t="n"/>
      <c r="R960" s="20" t="n"/>
      <c r="S960" s="20" t="n"/>
    </row>
    <row r="961">
      <c r="A961" s="15" t="n">
        <v>45466</v>
      </c>
      <c r="B961" s="20" t="n">
        <v>21</v>
      </c>
      <c r="C961" s="20" t="n">
        <v>36</v>
      </c>
      <c r="D961" s="17" t="inlineStr">
        <is>
          <t>Preston Way</t>
        </is>
      </c>
      <c r="E961" s="9">
        <f>if($A961&lt;&gt;"",E960+B961,"")</f>
        <v/>
      </c>
      <c r="F961" s="9">
        <f>if($A961&lt;&gt;"",F960+C961,"")</f>
        <v/>
      </c>
      <c r="G961" s="11">
        <f>IF($A961&lt;&gt;"",IF(F961-E961=0,"tie",IF(F961-E961&gt;0,"+"&amp;F961-E961,"+"&amp;E961-F961)),"")</f>
        <v/>
      </c>
      <c r="H961" s="12">
        <f>if($A961&lt;&gt;"",if(B961&gt;C961,if(B961&lt;60,1,2),""),"")</f>
        <v/>
      </c>
      <c r="I961" s="12">
        <f>if($A961&lt;&gt;"",if(C961&gt;B961,if(C961&lt;60,1,2),""),"")</f>
        <v/>
      </c>
      <c r="J961" s="9">
        <f>if($A961&lt;&gt;"",J960+H961,"")</f>
        <v/>
      </c>
      <c r="K961" s="9">
        <f>if($A961&lt;&gt;"",K960+I961,"")</f>
        <v/>
      </c>
      <c r="L961" s="11">
        <f>IF($A961&lt;&gt;"",IF(K961-J961=0,"tie",IF(K961-J961&gt;0,"+"&amp;K961-J961,"+"&amp;J961-K961)),"")</f>
        <v/>
      </c>
      <c r="M961" s="20" t="n"/>
      <c r="N961" s="20" t="n"/>
      <c r="O961" s="20" t="n"/>
      <c r="P961" s="20" t="n"/>
      <c r="Q961" s="20" t="n"/>
      <c r="R961" s="20" t="n"/>
      <c r="S961" s="20" t="n"/>
    </row>
    <row r="962">
      <c r="A962" s="15" t="n">
        <v>45466</v>
      </c>
      <c r="B962" s="20" t="n">
        <v>26</v>
      </c>
      <c r="C962" s="20" t="n">
        <v>32</v>
      </c>
      <c r="D962" s="17" t="inlineStr">
        <is>
          <t>Preston Way</t>
        </is>
      </c>
      <c r="E962" s="9">
        <f>if($A962&lt;&gt;"",E961+B962,"")</f>
        <v/>
      </c>
      <c r="F962" s="9">
        <f>if($A962&lt;&gt;"",F961+C962,"")</f>
        <v/>
      </c>
      <c r="G962" s="11">
        <f>IF($A962&lt;&gt;"",IF(F962-E962=0,"tie",IF(F962-E962&gt;0,"+"&amp;F962-E962,"+"&amp;E962-F962)),"")</f>
        <v/>
      </c>
      <c r="H962" s="12">
        <f>if($A962&lt;&gt;"",if(B962&gt;C962,if(B962&lt;60,1,2),""),"")</f>
        <v/>
      </c>
      <c r="I962" s="12">
        <f>if($A962&lt;&gt;"",if(C962&gt;B962,if(C962&lt;60,1,2),""),"")</f>
        <v/>
      </c>
      <c r="J962" s="9">
        <f>if($A962&lt;&gt;"",J961+H962,"")</f>
        <v/>
      </c>
      <c r="K962" s="9">
        <f>if($A962&lt;&gt;"",K961+I962,"")</f>
        <v/>
      </c>
      <c r="L962" s="11">
        <f>IF($A962&lt;&gt;"",IF(K962-J962=0,"tie",IF(K962-J962&gt;0,"+"&amp;K962-J962,"+"&amp;J962-K962)),"")</f>
        <v/>
      </c>
      <c r="M962" s="20" t="n"/>
      <c r="N962" s="20" t="n"/>
      <c r="O962" s="20" t="n"/>
      <c r="P962" s="20" t="n"/>
      <c r="Q962" s="20" t="n"/>
      <c r="R962" s="20" t="n"/>
      <c r="S962" s="20" t="n"/>
    </row>
    <row r="963">
      <c r="A963" s="15" t="n">
        <v>45467</v>
      </c>
      <c r="B963" s="20" t="n">
        <v>32</v>
      </c>
      <c r="C963" s="20" t="n">
        <v>19</v>
      </c>
      <c r="D963" s="17" t="inlineStr">
        <is>
          <t>Zinque, Venice</t>
        </is>
      </c>
      <c r="E963" s="9">
        <f>if($A963&lt;&gt;"",E962+B963,"")</f>
        <v/>
      </c>
      <c r="F963" s="9">
        <f>if($A963&lt;&gt;"",F962+C963,"")</f>
        <v/>
      </c>
      <c r="G963" s="11">
        <f>IF($A963&lt;&gt;"",IF(F963-E963=0,"tie",IF(F963-E963&gt;0,"+"&amp;F963-E963,"+"&amp;E963-F963)),"")</f>
        <v/>
      </c>
      <c r="H963" s="12">
        <f>if($A963&lt;&gt;"",if(B963&gt;C963,if(B963&lt;60,1,2),""),"")</f>
        <v/>
      </c>
      <c r="I963" s="12">
        <f>if($A963&lt;&gt;"",if(C963&gt;B963,if(C963&lt;60,1,2),""),"")</f>
        <v/>
      </c>
      <c r="J963" s="9">
        <f>if($A963&lt;&gt;"",J962+H963,"")</f>
        <v/>
      </c>
      <c r="K963" s="9">
        <f>if($A963&lt;&gt;"",K962+I963,"")</f>
        <v/>
      </c>
      <c r="L963" s="11">
        <f>IF($A963&lt;&gt;"",IF(K963-J963=0,"tie",IF(K963-J963&gt;0,"+"&amp;K963-J963,"+"&amp;J963-K963)),"")</f>
        <v/>
      </c>
      <c r="M963" s="20" t="n"/>
      <c r="N963" s="20" t="n"/>
      <c r="O963" s="20" t="n"/>
      <c r="P963" s="20" t="n"/>
      <c r="Q963" s="20" t="n"/>
      <c r="R963" s="20" t="n"/>
      <c r="S963" s="20" t="n"/>
    </row>
    <row r="964">
      <c r="A964" s="15" t="n">
        <v>45471</v>
      </c>
      <c r="B964" s="20" t="n">
        <v>33</v>
      </c>
      <c r="C964" s="20" t="n">
        <v>22</v>
      </c>
      <c r="D964" s="17" t="inlineStr">
        <is>
          <t>Preston Way</t>
        </is>
      </c>
      <c r="E964" s="9">
        <f>if($A964&lt;&gt;"",E963+B964,"")</f>
        <v/>
      </c>
      <c r="F964" s="9">
        <f>if($A964&lt;&gt;"",F963+C964,"")</f>
        <v/>
      </c>
      <c r="G964" s="11">
        <f>IF($A964&lt;&gt;"",IF(F964-E964=0,"tie",IF(F964-E964&gt;0,"+"&amp;F964-E964,"+"&amp;E964-F964)),"")</f>
        <v/>
      </c>
      <c r="H964" s="12">
        <f>if($A964&lt;&gt;"",if(B964&gt;C964,if(B964&lt;60,1,2),""),"")</f>
        <v/>
      </c>
      <c r="I964" s="12">
        <f>if($A964&lt;&gt;"",if(C964&gt;B964,if(C964&lt;60,1,2),""),"")</f>
        <v/>
      </c>
      <c r="J964" s="9">
        <f>if($A964&lt;&gt;"",J963+H964,"")</f>
        <v/>
      </c>
      <c r="K964" s="9">
        <f>if($A964&lt;&gt;"",K963+I964,"")</f>
        <v/>
      </c>
      <c r="L964" s="11">
        <f>IF($A964&lt;&gt;"",IF(K964-J964=0,"tie",IF(K964-J964&gt;0,"+"&amp;K964-J964,"+"&amp;J964-K964)),"")</f>
        <v/>
      </c>
      <c r="M964" s="20" t="n"/>
      <c r="N964" s="20" t="n"/>
      <c r="O964" s="20" t="n"/>
      <c r="P964" s="20" t="n"/>
      <c r="Q964" s="20" t="n"/>
      <c r="R964" s="20" t="n"/>
      <c r="S964" s="20" t="n"/>
    </row>
    <row r="965">
      <c r="A965" s="15" t="n">
        <v>45473</v>
      </c>
      <c r="B965" s="20" t="n">
        <v>34</v>
      </c>
      <c r="C965" s="20" t="n">
        <v>27</v>
      </c>
      <c r="D965" s="17" t="inlineStr">
        <is>
          <t>Preston Way</t>
        </is>
      </c>
      <c r="E965" s="9">
        <f>if($A965&lt;&gt;"",E964+B965,"")</f>
        <v/>
      </c>
      <c r="F965" s="9">
        <f>if($A965&lt;&gt;"",F964+C965,"")</f>
        <v/>
      </c>
      <c r="G965" s="11">
        <f>IF($A965&lt;&gt;"",IF(F965-E965=0,"tie",IF(F965-E965&gt;0,"+"&amp;F965-E965,"+"&amp;E965-F965)),"")</f>
        <v/>
      </c>
      <c r="H965" s="12">
        <f>if($A965&lt;&gt;"",if(B965&gt;C965,if(B965&lt;60,1,2),""),"")</f>
        <v/>
      </c>
      <c r="I965" s="12">
        <f>if($A965&lt;&gt;"",if(C965&gt;B965,if(C965&lt;60,1,2),""),"")</f>
        <v/>
      </c>
      <c r="J965" s="9">
        <f>if($A965&lt;&gt;"",J964+H965,"")</f>
        <v/>
      </c>
      <c r="K965" s="9">
        <f>if($A965&lt;&gt;"",K964+I965,"")</f>
        <v/>
      </c>
      <c r="L965" s="11">
        <f>IF($A965&lt;&gt;"",IF(K965-J965=0,"tie",IF(K965-J965&gt;0,"+"&amp;K965-J965,"+"&amp;J965-K965)),"")</f>
        <v/>
      </c>
      <c r="M965" s="20" t="n"/>
      <c r="N965" s="20" t="n"/>
      <c r="O965" s="20" t="n"/>
      <c r="P965" s="20" t="n"/>
      <c r="Q965" s="20" t="n"/>
      <c r="R965" s="20" t="n"/>
      <c r="S965" s="20" t="n"/>
    </row>
    <row r="966">
      <c r="A966" s="15" t="n">
        <v>45474</v>
      </c>
      <c r="B966" s="20" t="n">
        <v>31</v>
      </c>
      <c r="C966" s="20" t="n">
        <v>28</v>
      </c>
      <c r="D966" s="17" t="inlineStr">
        <is>
          <t>Zinque, Venice</t>
        </is>
      </c>
      <c r="E966" s="9">
        <f>if($A966&lt;&gt;"",E965+B966,"")</f>
        <v/>
      </c>
      <c r="F966" s="9">
        <f>if($A966&lt;&gt;"",F965+C966,"")</f>
        <v/>
      </c>
      <c r="G966" s="11">
        <f>IF($A966&lt;&gt;"",IF(F966-E966=0,"tie",IF(F966-E966&gt;0,"+"&amp;F966-E966,"+"&amp;E966-F966)),"")</f>
        <v/>
      </c>
      <c r="H966" s="12">
        <f>if($A966&lt;&gt;"",if(B966&gt;C966,if(B966&lt;60,1,2),""),"")</f>
        <v/>
      </c>
      <c r="I966" s="12">
        <f>if($A966&lt;&gt;"",if(C966&gt;B966,if(C966&lt;60,1,2),""),"")</f>
        <v/>
      </c>
      <c r="J966" s="9">
        <f>if($A966&lt;&gt;"",J965+H966,"")</f>
        <v/>
      </c>
      <c r="K966" s="9">
        <f>if($A966&lt;&gt;"",K965+I966,"")</f>
        <v/>
      </c>
      <c r="L966" s="11">
        <f>IF($A966&lt;&gt;"",IF(K966-J966=0,"tie",IF(K966-J966&gt;0,"+"&amp;K966-J966,"+"&amp;J966-K966)),"")</f>
        <v/>
      </c>
      <c r="M966" s="20" t="n"/>
      <c r="N966" s="20" t="n"/>
      <c r="O966" s="20" t="n"/>
      <c r="P966" s="20" t="n"/>
      <c r="Q966" s="20" t="n"/>
      <c r="R966" s="20" t="n"/>
      <c r="S966" s="20" t="n"/>
    </row>
    <row r="967">
      <c r="A967" s="15" t="n">
        <v>45475</v>
      </c>
      <c r="B967" s="20" t="n">
        <v>34</v>
      </c>
      <c r="C967" s="20" t="n">
        <v>10</v>
      </c>
      <c r="D967" s="17" t="inlineStr">
        <is>
          <t>Preston Way</t>
        </is>
      </c>
      <c r="E967" s="9">
        <f>if($A967&lt;&gt;"",E966+B967,"")</f>
        <v/>
      </c>
      <c r="F967" s="9">
        <f>if($A967&lt;&gt;"",F966+C967,"")</f>
        <v/>
      </c>
      <c r="G967" s="11">
        <f>IF($A967&lt;&gt;"",IF(F967-E967=0,"tie",IF(F967-E967&gt;0,"+"&amp;F967-E967,"+"&amp;E967-F967)),"")</f>
        <v/>
      </c>
      <c r="H967" s="12">
        <f>if($A967&lt;&gt;"",if(B967&gt;C967,if(B967&lt;60,1,2),""),"")</f>
        <v/>
      </c>
      <c r="I967" s="12">
        <f>if($A967&lt;&gt;"",if(C967&gt;B967,if(C967&lt;60,1,2),""),"")</f>
        <v/>
      </c>
      <c r="J967" s="9">
        <f>if($A967&lt;&gt;"",J966+H967,"")</f>
        <v/>
      </c>
      <c r="K967" s="9">
        <f>if($A967&lt;&gt;"",K966+I967,"")</f>
        <v/>
      </c>
      <c r="L967" s="11">
        <f>IF($A967&lt;&gt;"",IF(K967-J967=0,"tie",IF(K967-J967&gt;0,"+"&amp;K967-J967,"+"&amp;J967-K967)),"")</f>
        <v/>
      </c>
      <c r="M967" s="20" t="n"/>
      <c r="N967" s="20" t="n"/>
      <c r="O967" s="20" t="n"/>
      <c r="P967" s="20" t="n"/>
      <c r="Q967" s="20" t="n"/>
      <c r="R967" s="20" t="n"/>
      <c r="S967" s="20" t="n"/>
    </row>
    <row r="968">
      <c r="A968" s="15" t="n">
        <v>45478</v>
      </c>
      <c r="B968" s="20" t="n">
        <v>31</v>
      </c>
      <c r="C968" s="20" t="n">
        <v>21</v>
      </c>
      <c r="D968" s="17" t="inlineStr">
        <is>
          <t>Gonzo's, Yreka</t>
        </is>
      </c>
      <c r="E968" s="9">
        <f>if($A968&lt;&gt;"",E967+B968,"")</f>
        <v/>
      </c>
      <c r="F968" s="9">
        <f>if($A968&lt;&gt;"",F967+C968,"")</f>
        <v/>
      </c>
      <c r="G968" s="11">
        <f>IF($A968&lt;&gt;"",IF(F968-E968=0,"tie",IF(F968-E968&gt;0,"+"&amp;F968-E968,"+"&amp;E968-F968)),"")</f>
        <v/>
      </c>
      <c r="H968" s="12">
        <f>if($A968&lt;&gt;"",if(B968&gt;C968,if(B968&lt;60,1,2),""),"")</f>
        <v/>
      </c>
      <c r="I968" s="12">
        <f>if($A968&lt;&gt;"",if(C968&gt;B968,if(C968&lt;60,1,2),""),"")</f>
        <v/>
      </c>
      <c r="J968" s="9">
        <f>if($A968&lt;&gt;"",J967+H968,"")</f>
        <v/>
      </c>
      <c r="K968" s="9">
        <f>if($A968&lt;&gt;"",K967+I968,"")</f>
        <v/>
      </c>
      <c r="L968" s="11">
        <f>IF($A968&lt;&gt;"",IF(K968-J968=0,"tie",IF(K968-J968&gt;0,"+"&amp;K968-J968,"+"&amp;J968-K968)),"")</f>
        <v/>
      </c>
      <c r="M968" s="20" t="n"/>
      <c r="N968" s="20" t="n"/>
      <c r="O968" s="20" t="n"/>
      <c r="P968" s="20" t="n"/>
      <c r="Q968" s="20" t="n"/>
      <c r="R968" s="20" t="n"/>
      <c r="S968" s="20" t="n"/>
    </row>
    <row r="969">
      <c r="A969" s="15" t="n">
        <v>45480</v>
      </c>
      <c r="B969" s="20" t="n">
        <v>34</v>
      </c>
      <c r="C969" s="20" t="n">
        <v>28</v>
      </c>
      <c r="D969" s="17" t="inlineStr">
        <is>
          <t>Vancouver Farmers Market, WA</t>
        </is>
      </c>
      <c r="E969" s="9">
        <f>if($A969&lt;&gt;"",E968+B969,"")</f>
        <v/>
      </c>
      <c r="F969" s="9">
        <f>if($A969&lt;&gt;"",F968+C969,"")</f>
        <v/>
      </c>
      <c r="G969" s="11">
        <f>IF($A969&lt;&gt;"",IF(F969-E969=0,"tie",IF(F969-E969&gt;0,"+"&amp;F969-E969,"+"&amp;E969-F969)),"")</f>
        <v/>
      </c>
      <c r="H969" s="12">
        <f>if($A969&lt;&gt;"",if(B969&gt;C969,if(B969&lt;60,1,2),""),"")</f>
        <v/>
      </c>
      <c r="I969" s="12">
        <f>if($A969&lt;&gt;"",if(C969&gt;B969,if(C969&lt;60,1,2),""),"")</f>
        <v/>
      </c>
      <c r="J969" s="9">
        <f>if($A969&lt;&gt;"",J968+H969,"")</f>
        <v/>
      </c>
      <c r="K969" s="9">
        <f>if($A969&lt;&gt;"",K968+I969,"")</f>
        <v/>
      </c>
      <c r="L969" s="11">
        <f>IF($A969&lt;&gt;"",IF(K969-J969=0,"tie",IF(K969-J969&gt;0,"+"&amp;K969-J969,"+"&amp;J969-K969)),"")</f>
        <v/>
      </c>
      <c r="M969" s="20" t="n"/>
      <c r="N969" s="20" t="n"/>
      <c r="O969" s="20" t="n"/>
      <c r="P969" s="20" t="n"/>
      <c r="Q969" s="20" t="n"/>
      <c r="R969" s="20" t="n"/>
      <c r="S969" s="20" t="n"/>
    </row>
    <row r="970">
      <c r="A970" s="15" t="n">
        <v>45486</v>
      </c>
      <c r="B970" s="20" t="n">
        <v>20</v>
      </c>
      <c r="C970" s="20" t="n">
        <v>33</v>
      </c>
      <c r="D970" s="17" t="inlineStr">
        <is>
          <t>Oxnard</t>
        </is>
      </c>
      <c r="E970" s="9">
        <f>if($A970&lt;&gt;"",E969+B970,"")</f>
        <v/>
      </c>
      <c r="F970" s="9">
        <f>if($A970&lt;&gt;"",F969+C970,"")</f>
        <v/>
      </c>
      <c r="G970" s="11">
        <f>IF($A970&lt;&gt;"",IF(F970-E970=0,"tie",IF(F970-E970&gt;0,"+"&amp;F970-E970,"+"&amp;E970-F970)),"")</f>
        <v/>
      </c>
      <c r="H970" s="12">
        <f>if($A970&lt;&gt;"",if(B970&gt;C970,if(B970&lt;60,1,2),""),"")</f>
        <v/>
      </c>
      <c r="I970" s="12">
        <f>if($A970&lt;&gt;"",if(C970&gt;B970,if(C970&lt;60,1,2),""),"")</f>
        <v/>
      </c>
      <c r="J970" s="9">
        <f>if($A970&lt;&gt;"",J969+H970,"")</f>
        <v/>
      </c>
      <c r="K970" s="9">
        <f>if($A970&lt;&gt;"",K969+I970,"")</f>
        <v/>
      </c>
      <c r="L970" s="11">
        <f>IF($A970&lt;&gt;"",IF(K970-J970=0,"tie",IF(K970-J970&gt;0,"+"&amp;K970-J970,"+"&amp;J970-K970)),"")</f>
        <v/>
      </c>
      <c r="M970" s="20" t="n"/>
      <c r="N970" s="20" t="n"/>
      <c r="O970" s="20" t="n"/>
      <c r="P970" s="20" t="n"/>
      <c r="Q970" s="20" t="n"/>
      <c r="R970" s="20" t="n"/>
      <c r="S970" s="20" t="n"/>
    </row>
    <row r="971">
      <c r="A971" s="15" t="n">
        <v>45488</v>
      </c>
      <c r="B971" s="20" t="n">
        <v>30</v>
      </c>
      <c r="C971" s="20" t="n">
        <v>34</v>
      </c>
      <c r="D971" s="17" t="inlineStr">
        <is>
          <t>Preston Way</t>
        </is>
      </c>
      <c r="E971" s="9">
        <f>if($A971&lt;&gt;"",E970+B971,"")</f>
        <v/>
      </c>
      <c r="F971" s="9">
        <f>if($A971&lt;&gt;"",F970+C971,"")</f>
        <v/>
      </c>
      <c r="G971" s="11">
        <f>IF($A971&lt;&gt;"",IF(F971-E971=0,"tie",IF(F971-E971&gt;0,"+"&amp;F971-E971,"+"&amp;E971-F971)),"")</f>
        <v/>
      </c>
      <c r="H971" s="12">
        <f>if($A971&lt;&gt;"",if(B971&gt;C971,if(B971&lt;60,1,2),""),"")</f>
        <v/>
      </c>
      <c r="I971" s="12">
        <f>if($A971&lt;&gt;"",if(C971&gt;B971,if(C971&lt;60,1,2),""),"")</f>
        <v/>
      </c>
      <c r="J971" s="9">
        <f>if($A971&lt;&gt;"",J970+H971,"")</f>
        <v/>
      </c>
      <c r="K971" s="9">
        <f>if($A971&lt;&gt;"",K970+I971,"")</f>
        <v/>
      </c>
      <c r="L971" s="11">
        <f>IF($A971&lt;&gt;"",IF(K971-J971=0,"tie",IF(K971-J971&gt;0,"+"&amp;K971-J971,"+"&amp;J971-K971)),"")</f>
        <v/>
      </c>
      <c r="M971" s="20" t="n"/>
      <c r="N971" s="20" t="n"/>
      <c r="O971" s="20" t="n"/>
      <c r="P971" s="20" t="n"/>
      <c r="Q971" s="20" t="n"/>
      <c r="R971" s="20" t="n"/>
      <c r="S971" s="20" t="n"/>
    </row>
    <row r="972">
      <c r="A972" s="15" t="n">
        <v>45490</v>
      </c>
      <c r="B972" s="20" t="n">
        <v>32</v>
      </c>
      <c r="C972" s="20" t="n">
        <v>20</v>
      </c>
      <c r="D972" s="17" t="inlineStr">
        <is>
          <t>Preston Way</t>
        </is>
      </c>
      <c r="E972" s="9">
        <f>if($A972&lt;&gt;"",E971+B972,"")</f>
        <v/>
      </c>
      <c r="F972" s="9">
        <f>if($A972&lt;&gt;"",F971+C972,"")</f>
        <v/>
      </c>
      <c r="G972" s="11">
        <f>IF($A972&lt;&gt;"",IF(F972-E972=0,"tie",IF(F972-E972&gt;0,"+"&amp;F972-E972,"+"&amp;E972-F972)),"")</f>
        <v/>
      </c>
      <c r="H972" s="12">
        <f>if($A972&lt;&gt;"",if(B972&gt;C972,if(B972&lt;60,1,2),""),"")</f>
        <v/>
      </c>
      <c r="I972" s="12">
        <f>if($A972&lt;&gt;"",if(C972&gt;B972,if(C972&lt;60,1,2),""),"")</f>
        <v/>
      </c>
      <c r="J972" s="9">
        <f>if($A972&lt;&gt;"",J971+H972,"")</f>
        <v/>
      </c>
      <c r="K972" s="9">
        <f>if($A972&lt;&gt;"",K971+I972,"")</f>
        <v/>
      </c>
      <c r="L972" s="11">
        <f>IF($A972&lt;&gt;"",IF(K972-J972=0,"tie",IF(K972-J972&gt;0,"+"&amp;K972-J972,"+"&amp;J972-K972)),"")</f>
        <v/>
      </c>
      <c r="M972" s="20" t="n"/>
      <c r="N972" s="20" t="n"/>
      <c r="O972" s="20" t="n"/>
      <c r="P972" s="20" t="n"/>
      <c r="Q972" s="20" t="n"/>
      <c r="R972" s="20" t="n"/>
      <c r="S972" s="20" t="n"/>
    </row>
    <row r="973">
      <c r="A973" s="15" t="n">
        <v>45492</v>
      </c>
      <c r="B973" s="20" t="n">
        <v>39</v>
      </c>
      <c r="C973" s="20" t="n">
        <v>22</v>
      </c>
      <c r="D973" s="17" t="inlineStr">
        <is>
          <t>Preston Way</t>
        </is>
      </c>
      <c r="E973" s="9">
        <f>if($A973&lt;&gt;"",E972+B973,"")</f>
        <v/>
      </c>
      <c r="F973" s="9">
        <f>if($A973&lt;&gt;"",F972+C973,"")</f>
        <v/>
      </c>
      <c r="G973" s="11">
        <f>IF($A973&lt;&gt;"",IF(F973-E973=0,"tie",IF(F973-E973&gt;0,"+"&amp;F973-E973,"+"&amp;E973-F973)),"")</f>
        <v/>
      </c>
      <c r="H973" s="12">
        <f>if($A973&lt;&gt;"",if(B973&gt;C973,if(B973&lt;60,1,2),""),"")</f>
        <v/>
      </c>
      <c r="I973" s="12">
        <f>if($A973&lt;&gt;"",if(C973&gt;B973,if(C973&lt;60,1,2),""),"")</f>
        <v/>
      </c>
      <c r="J973" s="9">
        <f>if($A973&lt;&gt;"",J972+H973,"")</f>
        <v/>
      </c>
      <c r="K973" s="9">
        <f>if($A973&lt;&gt;"",K972+I973,"")</f>
        <v/>
      </c>
      <c r="L973" s="11">
        <f>IF($A973&lt;&gt;"",IF(K973-J973=0,"tie",IF(K973-J973&gt;0,"+"&amp;K973-J973,"+"&amp;J973-K973)),"")</f>
        <v/>
      </c>
      <c r="M973" s="20" t="n"/>
      <c r="N973" s="20" t="n"/>
      <c r="O973" s="20" t="n"/>
      <c r="P973" s="20" t="n"/>
      <c r="Q973" s="20" t="n"/>
      <c r="R973" s="20" t="n"/>
      <c r="S973" s="20" t="n"/>
    </row>
    <row r="974">
      <c r="A974" s="15" t="n">
        <v>45492</v>
      </c>
      <c r="B974" s="20" t="n">
        <v>38</v>
      </c>
      <c r="C974" s="20" t="n">
        <v>18</v>
      </c>
      <c r="D974" s="17" t="inlineStr">
        <is>
          <t>Preston Way</t>
        </is>
      </c>
      <c r="E974" s="9">
        <f>if($A974&lt;&gt;"",E973+B974,"")</f>
        <v/>
      </c>
      <c r="F974" s="9">
        <f>if($A974&lt;&gt;"",F973+C974,"")</f>
        <v/>
      </c>
      <c r="G974" s="11">
        <f>IF($A974&lt;&gt;"",IF(F974-E974=0,"tie",IF(F974-E974&gt;0,"+"&amp;F974-E974,"+"&amp;E974-F974)),"")</f>
        <v/>
      </c>
      <c r="H974" s="12">
        <f>if($A974&lt;&gt;"",if(B974&gt;C974,if(B974&lt;60,1,2),""),"")</f>
        <v/>
      </c>
      <c r="I974" s="12">
        <f>if($A974&lt;&gt;"",if(C974&gt;B974,if(C974&lt;60,1,2),""),"")</f>
        <v/>
      </c>
      <c r="J974" s="9">
        <f>if($A974&lt;&gt;"",J973+H974,"")</f>
        <v/>
      </c>
      <c r="K974" s="9">
        <f>if($A974&lt;&gt;"",K973+I974,"")</f>
        <v/>
      </c>
      <c r="L974" s="11">
        <f>IF($A974&lt;&gt;"",IF(K974-J974=0,"tie",IF(K974-J974&gt;0,"+"&amp;K974-J974,"+"&amp;J974-K974)),"")</f>
        <v/>
      </c>
      <c r="M974" s="20" t="n"/>
      <c r="N974" s="20" t="n"/>
      <c r="O974" s="20" t="n"/>
      <c r="P974" s="20" t="n"/>
      <c r="Q974" s="20" t="n"/>
      <c r="R974" s="20" t="n"/>
      <c r="S974" s="20" t="n"/>
    </row>
    <row r="975">
      <c r="A975" s="15" t="n">
        <v>45495</v>
      </c>
      <c r="B975" s="20" t="n">
        <v>36</v>
      </c>
      <c r="C975" s="20" t="n">
        <v>29</v>
      </c>
      <c r="D975" s="17" t="inlineStr">
        <is>
          <t>Preston Way</t>
        </is>
      </c>
      <c r="E975" s="9">
        <f>if($A975&lt;&gt;"",E974+B975,"")</f>
        <v/>
      </c>
      <c r="F975" s="9">
        <f>if($A975&lt;&gt;"",F974+C975,"")</f>
        <v/>
      </c>
      <c r="G975" s="11">
        <f>IF($A975&lt;&gt;"",IF(F975-E975=0,"tie",IF(F975-E975&gt;0,"+"&amp;F975-E975,"+"&amp;E975-F975)),"")</f>
        <v/>
      </c>
      <c r="H975" s="12">
        <f>if($A975&lt;&gt;"",if(B975&gt;C975,if(B975&lt;60,1,2),""),"")</f>
        <v/>
      </c>
      <c r="I975" s="12">
        <f>if($A975&lt;&gt;"",if(C975&gt;B975,if(C975&lt;60,1,2),""),"")</f>
        <v/>
      </c>
      <c r="J975" s="9">
        <f>if($A975&lt;&gt;"",J974+H975,"")</f>
        <v/>
      </c>
      <c r="K975" s="9">
        <f>if($A975&lt;&gt;"",K974+I975,"")</f>
        <v/>
      </c>
      <c r="L975" s="11">
        <f>IF($A975&lt;&gt;"",IF(K975-J975=0,"tie",IF(K975-J975&gt;0,"+"&amp;K975-J975,"+"&amp;J975-K975)),"")</f>
        <v/>
      </c>
      <c r="M975" s="20" t="n"/>
      <c r="N975" s="20" t="n"/>
      <c r="O975" s="20" t="n"/>
      <c r="P975" s="20" t="n"/>
      <c r="Q975" s="20" t="n"/>
      <c r="R975" s="20" t="n"/>
      <c r="S975" s="20" t="n"/>
    </row>
    <row r="976">
      <c r="A976" s="15" t="n">
        <v>45496</v>
      </c>
      <c r="B976" s="20" t="n">
        <v>34</v>
      </c>
      <c r="C976" s="20" t="n">
        <v>19</v>
      </c>
      <c r="D976" s="17" t="inlineStr">
        <is>
          <t>Preston Way</t>
        </is>
      </c>
      <c r="E976" s="9">
        <f>if($A976&lt;&gt;"",E975+B976,"")</f>
        <v/>
      </c>
      <c r="F976" s="9">
        <f>if($A976&lt;&gt;"",F975+C976,"")</f>
        <v/>
      </c>
      <c r="G976" s="11">
        <f>IF($A976&lt;&gt;"",IF(F976-E976=0,"tie",IF(F976-E976&gt;0,"+"&amp;F976-E976,"+"&amp;E976-F976)),"")</f>
        <v/>
      </c>
      <c r="H976" s="12">
        <f>if($A976&lt;&gt;"",if(B976&gt;C976,if(B976&lt;60,1,2),""),"")</f>
        <v/>
      </c>
      <c r="I976" s="12">
        <f>if($A976&lt;&gt;"",if(C976&gt;B976,if(C976&lt;60,1,2),""),"")</f>
        <v/>
      </c>
      <c r="J976" s="9">
        <f>if($A976&lt;&gt;"",J975+H976,"")</f>
        <v/>
      </c>
      <c r="K976" s="9">
        <f>if($A976&lt;&gt;"",K975+I976,"")</f>
        <v/>
      </c>
      <c r="L976" s="11">
        <f>IF($A976&lt;&gt;"",IF(K976-J976=0,"tie",IF(K976-J976&gt;0,"+"&amp;K976-J976,"+"&amp;J976-K976)),"")</f>
        <v/>
      </c>
      <c r="M976" s="20" t="n"/>
      <c r="N976" s="20" t="n"/>
      <c r="O976" s="20" t="n"/>
      <c r="P976" s="20" t="n"/>
      <c r="Q976" s="20" t="n"/>
      <c r="R976" s="20" t="n"/>
      <c r="S976" s="20" t="n"/>
    </row>
    <row r="977">
      <c r="A977" s="15" t="n">
        <v>45497</v>
      </c>
      <c r="B977" s="20" t="n">
        <v>19</v>
      </c>
      <c r="C977" s="20" t="n">
        <v>34</v>
      </c>
      <c r="D977" s="17" t="inlineStr">
        <is>
          <t>Preston Way</t>
        </is>
      </c>
      <c r="E977" s="9">
        <f>if($A977&lt;&gt;"",E976+B977,"")</f>
        <v/>
      </c>
      <c r="F977" s="9">
        <f>if($A977&lt;&gt;"",F976+C977,"")</f>
        <v/>
      </c>
      <c r="G977" s="11">
        <f>IF($A977&lt;&gt;"",IF(F977-E977=0,"tie",IF(F977-E977&gt;0,"+"&amp;F977-E977,"+"&amp;E977-F977)),"")</f>
        <v/>
      </c>
      <c r="H977" s="12">
        <f>if($A977&lt;&gt;"",if(B977&gt;C977,if(B977&lt;60,1,2),""),"")</f>
        <v/>
      </c>
      <c r="I977" s="12">
        <f>if($A977&lt;&gt;"",if(C977&gt;B977,if(C977&lt;60,1,2),""),"")</f>
        <v/>
      </c>
      <c r="J977" s="9">
        <f>if($A977&lt;&gt;"",J976+H977,"")</f>
        <v/>
      </c>
      <c r="K977" s="9">
        <f>if($A977&lt;&gt;"",K976+I977,"")</f>
        <v/>
      </c>
      <c r="L977" s="11">
        <f>IF($A977&lt;&gt;"",IF(K977-J977=0,"tie",IF(K977-J977&gt;0,"+"&amp;K977-J977,"+"&amp;J977-K977)),"")</f>
        <v/>
      </c>
      <c r="M977" s="20" t="n"/>
      <c r="N977" s="20" t="n"/>
      <c r="O977" s="20" t="n"/>
      <c r="P977" s="20" t="n"/>
      <c r="Q977" s="20" t="n"/>
      <c r="R977" s="20" t="n"/>
      <c r="S977" s="20" t="n"/>
    </row>
    <row r="978">
      <c r="A978" s="15" t="n">
        <v>45499</v>
      </c>
      <c r="B978" s="20" t="n">
        <v>34</v>
      </c>
      <c r="C978" s="20" t="n">
        <v>41</v>
      </c>
      <c r="D978" s="17" t="inlineStr">
        <is>
          <t>Maxine's</t>
        </is>
      </c>
      <c r="E978" s="9">
        <f>if($A978&lt;&gt;"",E977+B978,"")</f>
        <v/>
      </c>
      <c r="F978" s="9">
        <f>if($A978&lt;&gt;"",F977+C978,"")</f>
        <v/>
      </c>
      <c r="G978" s="11">
        <f>IF($A978&lt;&gt;"",IF(F978-E978=0,"tie",IF(F978-E978&gt;0,"+"&amp;F978-E978,"+"&amp;E978-F978)),"")</f>
        <v/>
      </c>
      <c r="H978" s="12">
        <f>if($A978&lt;&gt;"",if(B978&gt;C978,if(B978&lt;60,1,2),""),"")</f>
        <v/>
      </c>
      <c r="I978" s="12">
        <f>if($A978&lt;&gt;"",if(C978&gt;B978,if(C978&lt;60,1,2),""),"")</f>
        <v/>
      </c>
      <c r="J978" s="9">
        <f>if($A978&lt;&gt;"",J977+H978,"")</f>
        <v/>
      </c>
      <c r="K978" s="9">
        <f>if($A978&lt;&gt;"",K977+I978,"")</f>
        <v/>
      </c>
      <c r="L978" s="11">
        <f>IF($A978&lt;&gt;"",IF(K978-J978=0,"tie",IF(K978-J978&gt;0,"+"&amp;K978-J978,"+"&amp;J978-K978)),"")</f>
        <v/>
      </c>
      <c r="M978" s="20" t="n"/>
      <c r="N978" s="20" t="n"/>
      <c r="O978" s="20" t="n"/>
      <c r="P978" s="20" t="n"/>
      <c r="Q978" s="20" t="n"/>
      <c r="R978" s="20" t="n"/>
      <c r="S978" s="20" t="n"/>
    </row>
    <row r="979">
      <c r="A979" s="15" t="n">
        <v>45500</v>
      </c>
      <c r="B979" s="20" t="n">
        <v>34</v>
      </c>
      <c r="C979" s="20" t="n">
        <v>44</v>
      </c>
      <c r="D979" s="17" t="inlineStr">
        <is>
          <t xml:space="preserve">Botegga Louie </t>
        </is>
      </c>
      <c r="E979" s="9">
        <f>if($A979&lt;&gt;"",E978+B979,"")</f>
        <v/>
      </c>
      <c r="F979" s="9">
        <f>if($A979&lt;&gt;"",F978+C979,"")</f>
        <v/>
      </c>
      <c r="G979" s="11">
        <f>IF($A979&lt;&gt;"",IF(F979-E979=0,"tie",IF(F979-E979&gt;0,"+"&amp;F979-E979,"+"&amp;E979-F979)),"")</f>
        <v/>
      </c>
      <c r="H979" s="12">
        <f>if($A979&lt;&gt;"",if(B979&gt;C979,if(B979&lt;60,1,2),""),"")</f>
        <v/>
      </c>
      <c r="I979" s="12">
        <f>if($A979&lt;&gt;"",if(C979&gt;B979,if(C979&lt;60,1,2),""),"")</f>
        <v/>
      </c>
      <c r="J979" s="9">
        <f>if($A979&lt;&gt;"",J978+H979,"")</f>
        <v/>
      </c>
      <c r="K979" s="9">
        <f>if($A979&lt;&gt;"",K978+I979,"")</f>
        <v/>
      </c>
      <c r="L979" s="11">
        <f>IF($A979&lt;&gt;"",IF(K979-J979=0,"tie",IF(K979-J979&gt;0,"+"&amp;K979-J979,"+"&amp;J979-K979)),"")</f>
        <v/>
      </c>
      <c r="M979" s="20" t="n"/>
      <c r="N979" s="20" t="n"/>
      <c r="O979" s="20" t="n"/>
      <c r="P979" s="20" t="n"/>
      <c r="Q979" s="20" t="n"/>
      <c r="R979" s="20" t="n"/>
      <c r="S979" s="20" t="n"/>
    </row>
    <row r="980">
      <c r="A980" s="15" t="n">
        <v>45501</v>
      </c>
      <c r="B980" s="20" t="n">
        <v>26</v>
      </c>
      <c r="C980" s="20" t="n">
        <v>38</v>
      </c>
      <c r="D980" s="17" t="inlineStr">
        <is>
          <t xml:space="preserve">Micelli's, Hollywood </t>
        </is>
      </c>
      <c r="E980" s="9">
        <f>if($A980&lt;&gt;"",E979+B980,"")</f>
        <v/>
      </c>
      <c r="F980" s="9">
        <f>if($A980&lt;&gt;"",F979+C980,"")</f>
        <v/>
      </c>
      <c r="G980" s="11">
        <f>IF($A980&lt;&gt;"",IF(F980-E980=0,"tie",IF(F980-E980&gt;0,"+"&amp;F980-E980,"+"&amp;E980-F980)),"")</f>
        <v/>
      </c>
      <c r="H980" s="12">
        <f>if($A980&lt;&gt;"",if(B980&gt;C980,if(B980&lt;60,1,2),""),"")</f>
        <v/>
      </c>
      <c r="I980" s="12">
        <f>if($A980&lt;&gt;"",if(C980&gt;B980,if(C980&lt;60,1,2),""),"")</f>
        <v/>
      </c>
      <c r="J980" s="9">
        <f>if($A980&lt;&gt;"",J979+H980,"")</f>
        <v/>
      </c>
      <c r="K980" s="9">
        <f>if($A980&lt;&gt;"",K979+I980,"")</f>
        <v/>
      </c>
      <c r="L980" s="11">
        <f>IF($A980&lt;&gt;"",IF(K980-J980=0,"tie",IF(K980-J980&gt;0,"+"&amp;K980-J980,"+"&amp;J980-K980)),"")</f>
        <v/>
      </c>
      <c r="M980" s="20" t="n"/>
      <c r="N980" s="20" t="n"/>
      <c r="O980" s="20" t="n"/>
      <c r="P980" s="20" t="n"/>
      <c r="Q980" s="20" t="n"/>
      <c r="R980" s="20" t="n"/>
      <c r="S980" s="20" t="n"/>
    </row>
    <row r="981">
      <c r="A981" s="15" t="n">
        <v>45503</v>
      </c>
      <c r="B981" s="20" t="n">
        <v>37</v>
      </c>
      <c r="C981" s="20" t="n">
        <v>26</v>
      </c>
      <c r="D981" s="17" t="inlineStr">
        <is>
          <t>Preston Way</t>
        </is>
      </c>
      <c r="E981" s="9">
        <f>if($A981&lt;&gt;"",E980+B981,"")</f>
        <v/>
      </c>
      <c r="F981" s="9">
        <f>if($A981&lt;&gt;"",F980+C981,"")</f>
        <v/>
      </c>
      <c r="G981" s="11">
        <f>IF($A981&lt;&gt;"",IF(F981-E981=0,"tie",IF(F981-E981&gt;0,"+"&amp;F981-E981,"+"&amp;E981-F981)),"")</f>
        <v/>
      </c>
      <c r="H981" s="12">
        <f>if($A981&lt;&gt;"",if(B981&gt;C981,if(B981&lt;60,1,2),""),"")</f>
        <v/>
      </c>
      <c r="I981" s="12">
        <f>if($A981&lt;&gt;"",if(C981&gt;B981,if(C981&lt;60,1,2),""),"")</f>
        <v/>
      </c>
      <c r="J981" s="9">
        <f>if($A981&lt;&gt;"",J980+H981,"")</f>
        <v/>
      </c>
      <c r="K981" s="9">
        <f>if($A981&lt;&gt;"",K980+I981,"")</f>
        <v/>
      </c>
      <c r="L981" s="11">
        <f>IF($A981&lt;&gt;"",IF(K981-J981=0,"tie",IF(K981-J981&gt;0,"+"&amp;K981-J981,"+"&amp;J981-K981)),"")</f>
        <v/>
      </c>
      <c r="M981" s="20" t="n"/>
      <c r="N981" s="20" t="n"/>
      <c r="O981" s="20" t="n"/>
      <c r="P981" s="20" t="n"/>
      <c r="Q981" s="20" t="n"/>
      <c r="R981" s="20" t="n"/>
      <c r="S981" s="20" t="n"/>
    </row>
    <row r="982">
      <c r="A982" s="15" t="n">
        <v>45507</v>
      </c>
      <c r="B982" s="20" t="n">
        <v>32</v>
      </c>
      <c r="C982" s="20" t="n">
        <v>22</v>
      </c>
      <c r="D982" s="17" t="inlineStr">
        <is>
          <t>Preston Way</t>
        </is>
      </c>
      <c r="E982" s="9">
        <f>if($A982&lt;&gt;"",E981+B982,"")</f>
        <v/>
      </c>
      <c r="F982" s="9">
        <f>if($A982&lt;&gt;"",F981+C982,"")</f>
        <v/>
      </c>
      <c r="G982" s="11">
        <f>IF($A982&lt;&gt;"",IF(F982-E982=0,"tie",IF(F982-E982&gt;0,"+"&amp;F982-E982,"+"&amp;E982-F982)),"")</f>
        <v/>
      </c>
      <c r="H982" s="12">
        <f>if($A982&lt;&gt;"",if(B982&gt;C982,if(B982&lt;60,1,2),""),"")</f>
        <v/>
      </c>
      <c r="I982" s="12">
        <f>if($A982&lt;&gt;"",if(C982&gt;B982,if(C982&lt;60,1,2),""),"")</f>
        <v/>
      </c>
      <c r="J982" s="9">
        <f>if($A982&lt;&gt;"",J981+H982,"")</f>
        <v/>
      </c>
      <c r="K982" s="9">
        <f>if($A982&lt;&gt;"",K981+I982,"")</f>
        <v/>
      </c>
      <c r="L982" s="11">
        <f>IF($A982&lt;&gt;"",IF(K982-J982=0,"tie",IF(K982-J982&gt;0,"+"&amp;K982-J982,"+"&amp;J982-K982)),"")</f>
        <v/>
      </c>
      <c r="M982" s="20" t="n"/>
      <c r="N982" s="20" t="n"/>
      <c r="O982" s="20" t="n"/>
      <c r="P982" s="20" t="n"/>
      <c r="Q982" s="20" t="n"/>
      <c r="R982" s="20" t="n"/>
      <c r="S982" s="20" t="n"/>
    </row>
    <row r="983">
      <c r="A983" s="15" t="n">
        <v>45515</v>
      </c>
      <c r="B983" s="20" t="n">
        <v>36</v>
      </c>
      <c r="C983" s="20" t="n">
        <v>29</v>
      </c>
      <c r="D983" s="17" t="inlineStr">
        <is>
          <t>PCH, Malibu</t>
        </is>
      </c>
      <c r="E983" s="9">
        <f>if($A983&lt;&gt;"",E982+B983,"")</f>
        <v/>
      </c>
      <c r="F983" s="9">
        <f>if($A983&lt;&gt;"",F982+C983,"")</f>
        <v/>
      </c>
      <c r="G983" s="11">
        <f>IF($A983&lt;&gt;"",IF(F983-E983=0,"tie",IF(F983-E983&gt;0,"+"&amp;F983-E983,"+"&amp;E983-F983)),"")</f>
        <v/>
      </c>
      <c r="H983" s="12">
        <f>if($A983&lt;&gt;"",if(B983&gt;C983,if(B983&lt;60,1,2),""),"")</f>
        <v/>
      </c>
      <c r="I983" s="12">
        <f>if($A983&lt;&gt;"",if(C983&gt;B983,if(C983&lt;60,1,2),""),"")</f>
        <v/>
      </c>
      <c r="J983" s="9">
        <f>if($A983&lt;&gt;"",J982+H983,"")</f>
        <v/>
      </c>
      <c r="K983" s="9">
        <f>if($A983&lt;&gt;"",K982+I983,"")</f>
        <v/>
      </c>
      <c r="L983" s="11">
        <f>IF($A983&lt;&gt;"",IF(K983-J983=0,"tie",IF(K983-J983&gt;0,"+"&amp;K983-J983,"+"&amp;J983-K983)),"")</f>
        <v/>
      </c>
      <c r="M983" s="20" t="n"/>
      <c r="N983" s="20" t="n"/>
      <c r="O983" s="20" t="n"/>
      <c r="P983" s="20" t="n"/>
      <c r="Q983" s="20" t="n"/>
      <c r="R983" s="20" t="n"/>
      <c r="S983" s="20" t="n"/>
    </row>
    <row r="984">
      <c r="A984" s="15" t="n">
        <v>45515</v>
      </c>
      <c r="B984" s="20" t="n">
        <v>31</v>
      </c>
      <c r="C984" s="20" t="n">
        <v>19</v>
      </c>
      <c r="D984" s="17" t="inlineStr">
        <is>
          <t>Preston Way</t>
        </is>
      </c>
      <c r="E984" s="9">
        <f>if($A984&lt;&gt;"",E983+B984,"")</f>
        <v/>
      </c>
      <c r="F984" s="9">
        <f>if($A984&lt;&gt;"",F983+C984,"")</f>
        <v/>
      </c>
      <c r="G984" s="11">
        <f>IF($A984&lt;&gt;"",IF(F984-E984=0,"tie",IF(F984-E984&gt;0,"+"&amp;F984-E984,"+"&amp;E984-F984)),"")</f>
        <v/>
      </c>
      <c r="H984" s="12">
        <f>if($A984&lt;&gt;"",if(B984&gt;C984,if(B984&lt;60,1,2),""),"")</f>
        <v/>
      </c>
      <c r="I984" s="12">
        <f>if($A984&lt;&gt;"",if(C984&gt;B984,if(C984&lt;60,1,2),""),"")</f>
        <v/>
      </c>
      <c r="J984" s="9">
        <f>if($A984&lt;&gt;"",J983+H984,"")</f>
        <v/>
      </c>
      <c r="K984" s="9">
        <f>if($A984&lt;&gt;"",K983+I984,"")</f>
        <v/>
      </c>
      <c r="L984" s="11">
        <f>IF($A984&lt;&gt;"",IF(K984-J984=0,"tie",IF(K984-J984&gt;0,"+"&amp;K984-J984,"+"&amp;J984-K984)),"")</f>
        <v/>
      </c>
      <c r="M984" s="20" t="n"/>
      <c r="N984" s="20" t="n"/>
      <c r="O984" s="20" t="n"/>
      <c r="P984" s="20" t="n"/>
      <c r="Q984" s="20" t="n"/>
      <c r="R984" s="20" t="n"/>
      <c r="S984" s="20" t="n"/>
    </row>
    <row r="985">
      <c r="A985" s="15" t="n">
        <v>45517</v>
      </c>
      <c r="B985" s="20" t="n">
        <v>31</v>
      </c>
      <c r="C985" s="20" t="n">
        <v>26</v>
      </c>
      <c r="D985" s="17" t="inlineStr">
        <is>
          <t>Preston Way</t>
        </is>
      </c>
      <c r="E985" s="9">
        <f>if($A985&lt;&gt;"",E984+B985,"")</f>
        <v/>
      </c>
      <c r="F985" s="9">
        <f>if($A985&lt;&gt;"",F984+C985,"")</f>
        <v/>
      </c>
      <c r="G985" s="11">
        <f>IF($A985&lt;&gt;"",IF(F985-E985=0,"tie",IF(F985-E985&gt;0,"+"&amp;F985-E985,"+"&amp;E985-F985)),"")</f>
        <v/>
      </c>
      <c r="H985" s="12">
        <f>if($A985&lt;&gt;"",if(B985&gt;C985,if(B985&lt;60,1,2),""),"")</f>
        <v/>
      </c>
      <c r="I985" s="12">
        <f>if($A985&lt;&gt;"",if(C985&gt;B985,if(C985&lt;60,1,2),""),"")</f>
        <v/>
      </c>
      <c r="J985" s="9">
        <f>if($A985&lt;&gt;"",J984+H985,"")</f>
        <v/>
      </c>
      <c r="K985" s="9">
        <f>if($A985&lt;&gt;"",K984+I985,"")</f>
        <v/>
      </c>
      <c r="L985" s="11">
        <f>IF($A985&lt;&gt;"",IF(K985-J985=0,"tie",IF(K985-J985&gt;0,"+"&amp;K985-J985,"+"&amp;J985-K985)),"")</f>
        <v/>
      </c>
      <c r="M985" s="20" t="n"/>
      <c r="N985" s="20" t="n"/>
      <c r="O985" s="20" t="n"/>
      <c r="P985" s="20" t="n"/>
      <c r="Q985" s="20" t="n"/>
      <c r="R985" s="20" t="n"/>
      <c r="S985" s="20" t="n"/>
    </row>
    <row r="986">
      <c r="A986" s="15" t="n">
        <v>45518</v>
      </c>
      <c r="B986" s="20" t="n">
        <v>25</v>
      </c>
      <c r="C986" s="20" t="n">
        <v>43</v>
      </c>
      <c r="D986" s="17" t="inlineStr">
        <is>
          <t>Sugar &amp; Spice, Santa Fe Springs</t>
        </is>
      </c>
      <c r="E986" s="9">
        <f>if($A986&lt;&gt;"",E985+B986,"")</f>
        <v/>
      </c>
      <c r="F986" s="9">
        <f>if($A986&lt;&gt;"",F985+C986,"")</f>
        <v/>
      </c>
      <c r="G986" s="11">
        <f>IF($A986&lt;&gt;"",IF(F986-E986=0,"tie",IF(F986-E986&gt;0,"+"&amp;F986-E986,"+"&amp;E986-F986)),"")</f>
        <v/>
      </c>
      <c r="H986" s="12">
        <f>if($A986&lt;&gt;"",if(B986&gt;C986,if(B986&lt;60,1,2),""),"")</f>
        <v/>
      </c>
      <c r="I986" s="12">
        <f>if($A986&lt;&gt;"",if(C986&gt;B986,if(C986&lt;60,1,2),""),"")</f>
        <v/>
      </c>
      <c r="J986" s="9">
        <f>if($A986&lt;&gt;"",J985+H986,"")</f>
        <v/>
      </c>
      <c r="K986" s="9">
        <f>if($A986&lt;&gt;"",K985+I986,"")</f>
        <v/>
      </c>
      <c r="L986" s="11">
        <f>IF($A986&lt;&gt;"",IF(K986-J986=0,"tie",IF(K986-J986&gt;0,"+"&amp;K986-J986,"+"&amp;J986-K986)),"")</f>
        <v/>
      </c>
      <c r="M986" s="20" t="n"/>
      <c r="N986" s="20" t="n"/>
      <c r="O986" s="20" t="n"/>
      <c r="P986" s="20" t="n"/>
      <c r="Q986" s="20" t="n"/>
      <c r="R986" s="20" t="n"/>
      <c r="S986" s="20" t="n"/>
    </row>
    <row r="987">
      <c r="A987" s="15" t="n">
        <v>45518</v>
      </c>
      <c r="B987" s="20" t="n">
        <v>31</v>
      </c>
      <c r="C987" s="20" t="n">
        <v>28</v>
      </c>
      <c r="D987" s="17" t="inlineStr">
        <is>
          <t>Preston Way</t>
        </is>
      </c>
      <c r="E987" s="9">
        <f>if($A987&lt;&gt;"",E986+B987,"")</f>
        <v/>
      </c>
      <c r="F987" s="9">
        <f>if($A987&lt;&gt;"",F986+C987,"")</f>
        <v/>
      </c>
      <c r="G987" s="11">
        <f>IF($A987&lt;&gt;"",IF(F987-E987=0,"tie",IF(F987-E987&gt;0,"+"&amp;F987-E987,"+"&amp;E987-F987)),"")</f>
        <v/>
      </c>
      <c r="H987" s="12">
        <f>if($A987&lt;&gt;"",if(B987&gt;C987,if(B987&lt;60,1,2),""),"")</f>
        <v/>
      </c>
      <c r="I987" s="12">
        <f>if($A987&lt;&gt;"",if(C987&gt;B987,if(C987&lt;60,1,2),""),"")</f>
        <v/>
      </c>
      <c r="J987" s="9">
        <f>if($A987&lt;&gt;"",J986+H987,"")</f>
        <v/>
      </c>
      <c r="K987" s="9">
        <f>if($A987&lt;&gt;"",K986+I987,"")</f>
        <v/>
      </c>
      <c r="L987" s="11">
        <f>IF($A987&lt;&gt;"",IF(K987-J987=0,"tie",IF(K987-J987&gt;0,"+"&amp;K987-J987,"+"&amp;J987-K987)),"")</f>
        <v/>
      </c>
      <c r="M987" s="20" t="n"/>
      <c r="N987" s="20" t="n"/>
      <c r="O987" s="20" t="n"/>
      <c r="P987" s="20" t="n"/>
      <c r="Q987" s="20" t="n"/>
      <c r="R987" s="20" t="n"/>
      <c r="S987" s="20" t="n"/>
    </row>
    <row r="988">
      <c r="A988" s="15" t="n">
        <v>45519</v>
      </c>
      <c r="B988" s="20" t="n">
        <v>29</v>
      </c>
      <c r="C988" s="20" t="n">
        <v>37</v>
      </c>
      <c r="D988" s="17" t="inlineStr">
        <is>
          <t>Preston Way</t>
        </is>
      </c>
      <c r="E988" s="9">
        <f>if($A988&lt;&gt;"",E987+B988,"")</f>
        <v/>
      </c>
      <c r="F988" s="9">
        <f>if($A988&lt;&gt;"",F987+C988,"")</f>
        <v/>
      </c>
      <c r="G988" s="11">
        <f>IF($A988&lt;&gt;"",IF(F988-E988=0,"tie",IF(F988-E988&gt;0,"+"&amp;F988-E988,"+"&amp;E988-F988)),"")</f>
        <v/>
      </c>
      <c r="H988" s="12">
        <f>if($A988&lt;&gt;"",if(B988&gt;C988,if(B988&lt;60,1,2),""),"")</f>
        <v/>
      </c>
      <c r="I988" s="12">
        <f>if($A988&lt;&gt;"",if(C988&gt;B988,if(C988&lt;60,1,2),""),"")</f>
        <v/>
      </c>
      <c r="J988" s="9">
        <f>if($A988&lt;&gt;"",J987+H988,"")</f>
        <v/>
      </c>
      <c r="K988" s="9">
        <f>if($A988&lt;&gt;"",K987+I988,"")</f>
        <v/>
      </c>
      <c r="L988" s="11">
        <f>IF($A988&lt;&gt;"",IF(K988-J988=0,"tie",IF(K988-J988&gt;0,"+"&amp;K988-J988,"+"&amp;J988-K988)),"")</f>
        <v/>
      </c>
      <c r="M988" s="20" t="n"/>
      <c r="N988" s="20" t="n"/>
      <c r="O988" s="20" t="n"/>
      <c r="P988" s="20" t="n"/>
      <c r="Q988" s="20" t="n"/>
      <c r="R988" s="20" t="n"/>
      <c r="S988" s="20" t="n"/>
    </row>
    <row r="989">
      <c r="A989" s="15" t="n">
        <v>45520</v>
      </c>
      <c r="B989" s="20" t="n">
        <v>26</v>
      </c>
      <c r="C989" s="20" t="n">
        <v>35</v>
      </c>
      <c r="D989" s="17" t="inlineStr">
        <is>
          <t>Preston Way</t>
        </is>
      </c>
      <c r="E989" s="9">
        <f>if($A989&lt;&gt;"",E988+B989,"")</f>
        <v/>
      </c>
      <c r="F989" s="9">
        <f>if($A989&lt;&gt;"",F988+C989,"")</f>
        <v/>
      </c>
      <c r="G989" s="11">
        <f>IF($A989&lt;&gt;"",IF(F989-E989=0,"tie",IF(F989-E989&gt;0,"+"&amp;F989-E989,"+"&amp;E989-F989)),"")</f>
        <v/>
      </c>
      <c r="H989" s="12">
        <f>if($A989&lt;&gt;"",if(B989&gt;C989,if(B989&lt;60,1,2),""),"")</f>
        <v/>
      </c>
      <c r="I989" s="12">
        <f>if($A989&lt;&gt;"",if(C989&gt;B989,if(C989&lt;60,1,2),""),"")</f>
        <v/>
      </c>
      <c r="J989" s="9">
        <f>if($A989&lt;&gt;"",J988+H989,"")</f>
        <v/>
      </c>
      <c r="K989" s="9">
        <f>if($A989&lt;&gt;"",K988+I989,"")</f>
        <v/>
      </c>
      <c r="L989" s="11">
        <f>IF($A989&lt;&gt;"",IF(K989-J989=0,"tie",IF(K989-J989&gt;0,"+"&amp;K989-J989,"+"&amp;J989-K989)),"")</f>
        <v/>
      </c>
      <c r="M989" s="20" t="n"/>
      <c r="N989" s="20" t="n"/>
      <c r="O989" s="20" t="n"/>
      <c r="P989" s="20" t="n"/>
      <c r="Q989" s="20" t="n"/>
      <c r="R989" s="20" t="n"/>
      <c r="S989" s="20" t="n"/>
    </row>
    <row r="990">
      <c r="A990" s="15" t="n">
        <v>45520</v>
      </c>
      <c r="B990" s="20" t="n">
        <v>26</v>
      </c>
      <c r="C990" s="20" t="n">
        <v>35</v>
      </c>
      <c r="D990" s="17" t="inlineStr">
        <is>
          <t>Preston Way</t>
        </is>
      </c>
      <c r="E990" s="9">
        <f>if($A990&lt;&gt;"",E989+B990,"")</f>
        <v/>
      </c>
      <c r="F990" s="9">
        <f>if($A990&lt;&gt;"",F989+C990,"")</f>
        <v/>
      </c>
      <c r="G990" s="11">
        <f>IF($A990&lt;&gt;"",IF(F990-E990=0,"tie",IF(F990-E990&gt;0,"+"&amp;F990-E990,"+"&amp;E990-F990)),"")</f>
        <v/>
      </c>
      <c r="H990" s="12">
        <f>if($A990&lt;&gt;"",if(B990&gt;C990,if(B990&lt;60,1,2),""),"")</f>
        <v/>
      </c>
      <c r="I990" s="12">
        <f>if($A990&lt;&gt;"",if(C990&gt;B990,if(C990&lt;60,1,2),""),"")</f>
        <v/>
      </c>
      <c r="J990" s="9">
        <f>if($A990&lt;&gt;"",J989+H990,"")</f>
        <v/>
      </c>
      <c r="K990" s="9">
        <f>if($A990&lt;&gt;"",K989+I990,"")</f>
        <v/>
      </c>
      <c r="L990" s="11">
        <f>IF($A990&lt;&gt;"",IF(K990-J990=0,"tie",IF(K990-J990&gt;0,"+"&amp;K990-J990,"+"&amp;J990-K990)),"")</f>
        <v/>
      </c>
      <c r="M990" s="20" t="n"/>
      <c r="N990" s="20" t="n"/>
      <c r="O990" s="20" t="n"/>
      <c r="P990" s="20" t="n"/>
      <c r="Q990" s="20" t="n"/>
      <c r="R990" s="20" t="n"/>
      <c r="S990" s="20" t="n"/>
    </row>
    <row r="991">
      <c r="A991" s="15" t="n">
        <v>45521</v>
      </c>
      <c r="B991" s="20" t="n">
        <v>39</v>
      </c>
      <c r="C991" s="20" t="n">
        <v>25</v>
      </c>
      <c r="D991" s="17" t="inlineStr">
        <is>
          <t>Preston Way</t>
        </is>
      </c>
      <c r="E991" s="9">
        <f>if($A991&lt;&gt;"",E990+B991,"")</f>
        <v/>
      </c>
      <c r="F991" s="9">
        <f>if($A991&lt;&gt;"",F990+C991,"")</f>
        <v/>
      </c>
      <c r="G991" s="11">
        <f>IF($A991&lt;&gt;"",IF(F991-E991=0,"tie",IF(F991-E991&gt;0,"+"&amp;F991-E991,"+"&amp;E991-F991)),"")</f>
        <v/>
      </c>
      <c r="H991" s="12">
        <f>if($A991&lt;&gt;"",if(B991&gt;C991,if(B991&lt;60,1,2),""),"")</f>
        <v/>
      </c>
      <c r="I991" s="12">
        <f>if($A991&lt;&gt;"",if(C991&gt;B991,if(C991&lt;60,1,2),""),"")</f>
        <v/>
      </c>
      <c r="J991" s="9">
        <f>if($A991&lt;&gt;"",J990+H991,"")</f>
        <v/>
      </c>
      <c r="K991" s="9">
        <f>if($A991&lt;&gt;"",K990+I991,"")</f>
        <v/>
      </c>
      <c r="L991" s="11">
        <f>IF($A991&lt;&gt;"",IF(K991-J991=0,"tie",IF(K991-J991&gt;0,"+"&amp;K991-J991,"+"&amp;J991-K991)),"")</f>
        <v/>
      </c>
      <c r="M991" s="20" t="n"/>
      <c r="N991" s="20" t="n"/>
      <c r="O991" s="20" t="n"/>
      <c r="P991" s="20" t="n"/>
      <c r="Q991" s="20" t="n"/>
      <c r="R991" s="20" t="n"/>
      <c r="S991" s="20" t="n"/>
    </row>
    <row r="992">
      <c r="A992" s="15" t="n">
        <v>45522</v>
      </c>
      <c r="B992" s="20" t="n">
        <v>27</v>
      </c>
      <c r="C992" s="20" t="n">
        <v>31</v>
      </c>
      <c r="D992" s="17" t="inlineStr">
        <is>
          <t>Zinque, Venice</t>
        </is>
      </c>
      <c r="E992" s="9">
        <f>if($A992&lt;&gt;"",E991+B992,"")</f>
        <v/>
      </c>
      <c r="F992" s="9">
        <f>if($A992&lt;&gt;"",F991+C992,"")</f>
        <v/>
      </c>
      <c r="G992" s="11">
        <f>IF($A992&lt;&gt;"",IF(F992-E992=0,"tie",IF(F992-E992&gt;0,"+"&amp;F992-E992,"+"&amp;E992-F992)),"")</f>
        <v/>
      </c>
      <c r="H992" s="12">
        <f>if($A992&lt;&gt;"",if(B992&gt;C992,if(B992&lt;60,1,2),""),"")</f>
        <v/>
      </c>
      <c r="I992" s="12">
        <f>if($A992&lt;&gt;"",if(C992&gt;B992,if(C992&lt;60,1,2),""),"")</f>
        <v/>
      </c>
      <c r="J992" s="9">
        <f>if($A992&lt;&gt;"",J991+H992,"")</f>
        <v/>
      </c>
      <c r="K992" s="9">
        <f>if($A992&lt;&gt;"",K991+I992,"")</f>
        <v/>
      </c>
      <c r="L992" s="11">
        <f>IF($A992&lt;&gt;"",IF(K992-J992=0,"tie",IF(K992-J992&gt;0,"+"&amp;K992-J992,"+"&amp;J992-K992)),"")</f>
        <v/>
      </c>
      <c r="M992" s="20" t="n"/>
      <c r="N992" s="20" t="n"/>
      <c r="O992" s="20" t="n"/>
      <c r="P992" s="20" t="n"/>
      <c r="Q992" s="20" t="n"/>
      <c r="R992" s="20" t="n"/>
      <c r="S992" s="20" t="n"/>
    </row>
    <row r="993">
      <c r="A993" s="15" t="n">
        <v>45522</v>
      </c>
      <c r="B993" s="20" t="n">
        <v>30</v>
      </c>
      <c r="C993" s="20" t="n">
        <v>35</v>
      </c>
      <c r="D993" s="17" t="inlineStr">
        <is>
          <t>Preston Way</t>
        </is>
      </c>
      <c r="E993" s="9">
        <f>if($A993&lt;&gt;"",E992+B993,"")</f>
        <v/>
      </c>
      <c r="F993" s="9">
        <f>if($A993&lt;&gt;"",F992+C993,"")</f>
        <v/>
      </c>
      <c r="G993" s="11">
        <f>IF($A993&lt;&gt;"",IF(F993-E993=0,"tie",IF(F993-E993&gt;0,"+"&amp;F993-E993,"+"&amp;E993-F993)),"")</f>
        <v/>
      </c>
      <c r="H993" s="12">
        <f>if($A993&lt;&gt;"",if(B993&gt;C993,if(B993&lt;60,1,2),""),"")</f>
        <v/>
      </c>
      <c r="I993" s="12">
        <f>if($A993&lt;&gt;"",if(C993&gt;B993,if(C993&lt;60,1,2),""),"")</f>
        <v/>
      </c>
      <c r="J993" s="9">
        <f>if($A993&lt;&gt;"",J992+H993,"")</f>
        <v/>
      </c>
      <c r="K993" s="9">
        <f>if($A993&lt;&gt;"",K992+I993,"")</f>
        <v/>
      </c>
      <c r="L993" s="11">
        <f>IF($A993&lt;&gt;"",IF(K993-J993=0,"tie",IF(K993-J993&gt;0,"+"&amp;K993-J993,"+"&amp;J993-K993)),"")</f>
        <v/>
      </c>
      <c r="M993" s="20" t="n"/>
      <c r="N993" s="20" t="n"/>
      <c r="O993" s="20" t="n"/>
      <c r="P993" s="20" t="n"/>
      <c r="Q993" s="20" t="n"/>
      <c r="R993" s="20" t="n"/>
      <c r="S993" s="20" t="n"/>
    </row>
    <row r="994">
      <c r="A994" s="15" t="n">
        <v>45523</v>
      </c>
      <c r="B994" s="20" t="n">
        <v>37</v>
      </c>
      <c r="C994" s="20" t="n">
        <v>17</v>
      </c>
      <c r="D994" s="17" t="inlineStr">
        <is>
          <t>Preston Way</t>
        </is>
      </c>
      <c r="E994" s="9">
        <f>if($A994&lt;&gt;"",E993+B994,"")</f>
        <v/>
      </c>
      <c r="F994" s="9">
        <f>if($A994&lt;&gt;"",F993+C994,"")</f>
        <v/>
      </c>
      <c r="G994" s="11">
        <f>IF($A994&lt;&gt;"",IF(F994-E994=0,"tie",IF(F994-E994&gt;0,"+"&amp;F994-E994,"+"&amp;E994-F994)),"")</f>
        <v/>
      </c>
      <c r="H994" s="12">
        <f>if($A994&lt;&gt;"",if(B994&gt;C994,if(B994&lt;60,1,2),""),"")</f>
        <v/>
      </c>
      <c r="I994" s="12">
        <f>if($A994&lt;&gt;"",if(C994&gt;B994,if(C994&lt;60,1,2),""),"")</f>
        <v/>
      </c>
      <c r="J994" s="9">
        <f>if($A994&lt;&gt;"",J993+H994,"")</f>
        <v/>
      </c>
      <c r="K994" s="9">
        <f>if($A994&lt;&gt;"",K993+I994,"")</f>
        <v/>
      </c>
      <c r="L994" s="11">
        <f>IF($A994&lt;&gt;"",IF(K994-J994=0,"tie",IF(K994-J994&gt;0,"+"&amp;K994-J994,"+"&amp;J994-K994)),"")</f>
        <v/>
      </c>
      <c r="M994" s="20" t="n"/>
      <c r="N994" s="20" t="n"/>
      <c r="O994" s="20" t="n"/>
      <c r="P994" s="20" t="n"/>
      <c r="Q994" s="20" t="n"/>
      <c r="R994" s="20" t="n"/>
      <c r="S994" s="20" t="n"/>
    </row>
    <row r="995">
      <c r="A995" s="15" t="n">
        <v>45523</v>
      </c>
      <c r="B995" s="20" t="n">
        <v>32</v>
      </c>
      <c r="C995" s="20" t="n">
        <v>20</v>
      </c>
      <c r="D995" s="17" t="inlineStr">
        <is>
          <t>Penmar</t>
        </is>
      </c>
      <c r="E995" s="9">
        <f>if($A995&lt;&gt;"",E994+B995,"")</f>
        <v/>
      </c>
      <c r="F995" s="9">
        <f>if($A995&lt;&gt;"",F994+C995,"")</f>
        <v/>
      </c>
      <c r="G995" s="11">
        <f>IF($A995&lt;&gt;"",IF(F995-E995=0,"tie",IF(F995-E995&gt;0,"+"&amp;F995-E995,"+"&amp;E995-F995)),"")</f>
        <v/>
      </c>
      <c r="H995" s="12">
        <f>if($A995&lt;&gt;"",if(B995&gt;C995,if(B995&lt;60,1,2),""),"")</f>
        <v/>
      </c>
      <c r="I995" s="12">
        <f>if($A995&lt;&gt;"",if(C995&gt;B995,if(C995&lt;60,1,2),""),"")</f>
        <v/>
      </c>
      <c r="J995" s="9">
        <f>if($A995&lt;&gt;"",J994+H995,"")</f>
        <v/>
      </c>
      <c r="K995" s="9">
        <f>if($A995&lt;&gt;"",K994+I995,"")</f>
        <v/>
      </c>
      <c r="L995" s="11">
        <f>IF($A995&lt;&gt;"",IF(K995-J995=0,"tie",IF(K995-J995&gt;0,"+"&amp;K995-J995,"+"&amp;J995-K995)),"")</f>
        <v/>
      </c>
      <c r="M995" s="20" t="n"/>
      <c r="N995" s="20" t="n"/>
      <c r="O995" s="20" t="n"/>
      <c r="P995" s="20" t="n"/>
      <c r="Q995" s="20" t="n"/>
      <c r="R995" s="20" t="n"/>
      <c r="S995" s="20" t="n"/>
    </row>
    <row r="996">
      <c r="A996" s="15" t="n">
        <v>45526</v>
      </c>
      <c r="B996" s="20" t="n">
        <v>64</v>
      </c>
      <c r="C996" s="20" t="n">
        <v>33</v>
      </c>
      <c r="D996" s="17" t="inlineStr">
        <is>
          <t xml:space="preserve">Arth, Culver City </t>
        </is>
      </c>
      <c r="E996" s="9">
        <f>if($A996&lt;&gt;"",E995+B996,"")</f>
        <v/>
      </c>
      <c r="F996" s="9">
        <f>if($A996&lt;&gt;"",F995+C996,"")</f>
        <v/>
      </c>
      <c r="G996" s="11">
        <f>IF($A996&lt;&gt;"",IF(F996-E996=0,"tie",IF(F996-E996&gt;0,"+"&amp;F996-E996,"+"&amp;E996-F996)),"")</f>
        <v/>
      </c>
      <c r="H996" s="12">
        <f>if($A996&lt;&gt;"",if(B996&gt;C996,if(B996&lt;60,1,2),""),"")</f>
        <v/>
      </c>
      <c r="I996" s="12">
        <f>if($A996&lt;&gt;"",if(C996&gt;B996,if(C996&lt;60,1,2),""),"")</f>
        <v/>
      </c>
      <c r="J996" s="9">
        <f>if($A996&lt;&gt;"",J995+H996,"")</f>
        <v/>
      </c>
      <c r="K996" s="9">
        <f>if($A996&lt;&gt;"",K995+I996,"")</f>
        <v/>
      </c>
      <c r="L996" s="11">
        <f>IF($A996&lt;&gt;"",IF(K996-J996=0,"tie",IF(K996-J996&gt;0,"+"&amp;K996-J996,"+"&amp;J996-K996)),"")</f>
        <v/>
      </c>
      <c r="M996" s="20" t="n"/>
      <c r="N996" s="20" t="n"/>
      <c r="O996" s="20" t="n"/>
      <c r="P996" s="20" t="n"/>
      <c r="Q996" s="20" t="n"/>
      <c r="R996" s="20" t="n"/>
      <c r="S996" s="20" t="n"/>
    </row>
    <row r="997">
      <c r="A997" s="15" t="n">
        <v>45528</v>
      </c>
      <c r="B997" s="20" t="n">
        <v>26</v>
      </c>
      <c r="C997" s="20" t="n">
        <v>32</v>
      </c>
      <c r="D997" s="17" t="inlineStr">
        <is>
          <t>Preston Way</t>
        </is>
      </c>
      <c r="E997" s="9">
        <f>if($A997&lt;&gt;"",E996+B997,"")</f>
        <v/>
      </c>
      <c r="F997" s="9">
        <f>if($A997&lt;&gt;"",F996+C997,"")</f>
        <v/>
      </c>
      <c r="G997" s="11">
        <f>IF($A997&lt;&gt;"",IF(F997-E997=0,"tie",IF(F997-E997&gt;0,"+"&amp;F997-E997,"+"&amp;E997-F997)),"")</f>
        <v/>
      </c>
      <c r="H997" s="12">
        <f>if($A997&lt;&gt;"",if(B997&gt;C997,if(B997&lt;60,1,2),""),"")</f>
        <v/>
      </c>
      <c r="I997" s="12">
        <f>if($A997&lt;&gt;"",if(C997&gt;B997,if(C997&lt;60,1,2),""),"")</f>
        <v/>
      </c>
      <c r="J997" s="9">
        <f>if($A997&lt;&gt;"",J996+H997,"")</f>
        <v/>
      </c>
      <c r="K997" s="9">
        <f>if($A997&lt;&gt;"",K996+I997,"")</f>
        <v/>
      </c>
      <c r="L997" s="11">
        <f>IF($A997&lt;&gt;"",IF(K997-J997=0,"tie",IF(K997-J997&gt;0,"+"&amp;K997-J997,"+"&amp;J997-K997)),"")</f>
        <v/>
      </c>
      <c r="M997" s="20" t="n"/>
      <c r="N997" s="20" t="n"/>
      <c r="O997" s="20" t="n"/>
      <c r="P997" s="20" t="n"/>
      <c r="Q997" s="20" t="n"/>
      <c r="R997" s="20" t="n"/>
      <c r="S997" s="20" t="n"/>
    </row>
    <row r="998">
      <c r="A998" s="15" t="n">
        <v>45529</v>
      </c>
      <c r="B998" s="20" t="n">
        <v>33</v>
      </c>
      <c r="C998" s="20" t="n">
        <v>13</v>
      </c>
      <c r="D998" s="17" t="inlineStr">
        <is>
          <t>Zinque, Venice</t>
        </is>
      </c>
      <c r="E998" s="9">
        <f>if($A998&lt;&gt;"",E997+B998,"")</f>
        <v/>
      </c>
      <c r="F998" s="9">
        <f>if($A998&lt;&gt;"",F997+C998,"")</f>
        <v/>
      </c>
      <c r="G998" s="11">
        <f>IF($A998&lt;&gt;"",IF(F998-E998=0,"tie",IF(F998-E998&gt;0,"+"&amp;F998-E998,"+"&amp;E998-F998)),"")</f>
        <v/>
      </c>
      <c r="H998" s="12">
        <f>if($A998&lt;&gt;"",if(B998&gt;C998,if(B998&lt;60,1,2),""),"")</f>
        <v/>
      </c>
      <c r="I998" s="12">
        <f>if($A998&lt;&gt;"",if(C998&gt;B998,if(C998&lt;60,1,2),""),"")</f>
        <v/>
      </c>
      <c r="J998" s="9">
        <f>if($A998&lt;&gt;"",J997+H998,"")</f>
        <v/>
      </c>
      <c r="K998" s="9">
        <f>if($A998&lt;&gt;"",K997+I998,"")</f>
        <v/>
      </c>
      <c r="L998" s="11">
        <f>IF($A998&lt;&gt;"",IF(K998-J998=0,"tie",IF(K998-J998&gt;0,"+"&amp;K998-J998,"+"&amp;J998-K998)),"")</f>
        <v/>
      </c>
      <c r="M998" s="20" t="n"/>
      <c r="N998" s="20" t="n"/>
      <c r="O998" s="20" t="n"/>
      <c r="P998" s="20" t="n"/>
      <c r="Q998" s="20" t="n"/>
      <c r="R998" s="20" t="n"/>
      <c r="S998" s="20" t="n"/>
    </row>
    <row r="999">
      <c r="A999" s="15" t="n">
        <v>45531</v>
      </c>
      <c r="B999" s="20" t="n">
        <v>49</v>
      </c>
      <c r="C999" s="20" t="n">
        <v>62</v>
      </c>
      <c r="D999" s="17" t="inlineStr">
        <is>
          <t>Belles, Venice</t>
        </is>
      </c>
      <c r="E999" s="9">
        <f>if($A999&lt;&gt;"",E998+B999,"")</f>
        <v/>
      </c>
      <c r="F999" s="9">
        <f>if($A999&lt;&gt;"",F998+C999,"")</f>
        <v/>
      </c>
      <c r="G999" s="11">
        <f>IF($A999&lt;&gt;"",IF(F999-E999=0,"tie",IF(F999-E999&gt;0,"+"&amp;F999-E999,"+"&amp;E999-F999)),"")</f>
        <v/>
      </c>
      <c r="H999" s="12">
        <f>if($A999&lt;&gt;"",if(B999&gt;C999,if(B999&lt;60,1,2),""),"")</f>
        <v/>
      </c>
      <c r="I999" s="12">
        <f>if($A999&lt;&gt;"",if(C999&gt;B999,if(C999&lt;60,1,2),""),"")</f>
        <v/>
      </c>
      <c r="J999" s="9">
        <f>if($A999&lt;&gt;"",J998+H999,"")</f>
        <v/>
      </c>
      <c r="K999" s="9">
        <f>if($A999&lt;&gt;"",K998+I999,"")</f>
        <v/>
      </c>
      <c r="L999" s="11">
        <f>IF($A999&lt;&gt;"",IF(K999-J999=0,"tie",IF(K999-J999&gt;0,"+"&amp;K999-J999,"+"&amp;J999-K999)),"")</f>
        <v/>
      </c>
      <c r="M999" s="20" t="n"/>
      <c r="N999" s="20" t="n"/>
      <c r="O999" s="20" t="n"/>
      <c r="P999" s="20" t="n"/>
      <c r="Q999" s="20" t="n"/>
      <c r="R999" s="20" t="n"/>
      <c r="S999" s="20" t="n"/>
    </row>
    <row r="1000">
      <c r="A1000" s="15" t="n">
        <v>45532</v>
      </c>
      <c r="B1000" s="20" t="n">
        <v>35</v>
      </c>
      <c r="C1000" s="20" t="n">
        <v>19</v>
      </c>
      <c r="D1000" s="17" t="inlineStr">
        <is>
          <t xml:space="preserve">Denny's, Cerritos </t>
        </is>
      </c>
      <c r="E1000" s="9">
        <f>if($A1000&lt;&gt;"",E999+B1000,"")</f>
        <v/>
      </c>
      <c r="F1000" s="9">
        <f>if($A1000&lt;&gt;"",F999+C1000,"")</f>
        <v/>
      </c>
      <c r="G1000" s="11">
        <f>IF($A1000&lt;&gt;"",IF(F1000-E1000=0,"tie",IF(F1000-E1000&gt;0,"+"&amp;F1000-E1000,"+"&amp;E1000-F1000)),"")</f>
        <v/>
      </c>
      <c r="H1000" s="12">
        <f>if($A1000&lt;&gt;"",if(B1000&gt;C1000,if(B1000&lt;60,1,2),""),"")</f>
        <v/>
      </c>
      <c r="I1000" s="12">
        <f>if($A1000&lt;&gt;"",if(C1000&gt;B1000,if(C1000&lt;60,1,2),""),"")</f>
        <v/>
      </c>
      <c r="J1000" s="9">
        <f>if($A1000&lt;&gt;"",J999+H1000,"")</f>
        <v/>
      </c>
      <c r="K1000" s="9">
        <f>if($A1000&lt;&gt;"",K999+I1000,"")</f>
        <v/>
      </c>
      <c r="L1000" s="11">
        <f>IF($A1000&lt;&gt;"",IF(K1000-J1000=0,"tie",IF(K1000-J1000&gt;0,"+"&amp;K1000-J1000,"+"&amp;J1000-K1000)),"")</f>
        <v/>
      </c>
      <c r="M1000" s="20" t="n"/>
      <c r="N1000" s="20" t="n"/>
      <c r="O1000" s="20" t="n"/>
      <c r="P1000" s="20" t="n"/>
      <c r="Q1000" s="20" t="n"/>
      <c r="R1000" s="20" t="n"/>
      <c r="S1000" s="20" t="n"/>
    </row>
    <row r="1001">
      <c r="A1001" s="15" t="n">
        <v>45532</v>
      </c>
      <c r="B1001" s="20" t="n">
        <v>34</v>
      </c>
      <c r="C1001" s="20" t="n">
        <v>33</v>
      </c>
      <c r="D1001" s="17" t="inlineStr">
        <is>
          <t>Preston Way</t>
        </is>
      </c>
      <c r="E1001" s="9">
        <f>if($A1001&lt;&gt;"",E1000+B1001,"")</f>
        <v/>
      </c>
      <c r="F1001" s="9">
        <f>if($A1001&lt;&gt;"",F1000+C1001,"")</f>
        <v/>
      </c>
      <c r="G1001" s="11">
        <f>IF($A1001&lt;&gt;"",IF(F1001-E1001=0,"tie",IF(F1001-E1001&gt;0,"+"&amp;F1001-E1001,"+"&amp;E1001-F1001)),"")</f>
        <v/>
      </c>
      <c r="H1001" s="12">
        <f>if($A1001&lt;&gt;"",if(B1001&gt;C1001,if(B1001&lt;60,1,2),""),"")</f>
        <v/>
      </c>
      <c r="I1001" s="12">
        <f>if($A1001&lt;&gt;"",if(C1001&gt;B1001,if(C1001&lt;60,1,2),""),"")</f>
        <v/>
      </c>
      <c r="J1001" s="9">
        <f>if($A1001&lt;&gt;"",J1000+H1001,"")</f>
        <v/>
      </c>
      <c r="K1001" s="9">
        <f>if($A1001&lt;&gt;"",K1000+I1001,"")</f>
        <v/>
      </c>
      <c r="L1001" s="11">
        <f>IF($A1001&lt;&gt;"",IF(K1001-J1001=0,"tie",IF(K1001-J1001&gt;0,"+"&amp;K1001-J1001,"+"&amp;J1001-K1001)),"")</f>
        <v/>
      </c>
      <c r="M1001" s="20" t="n"/>
      <c r="N1001" s="20" t="n"/>
      <c r="O1001" s="20" t="n"/>
      <c r="P1001" s="20" t="n"/>
      <c r="Q1001" s="20" t="n"/>
      <c r="R1001" s="20" t="n"/>
      <c r="S1001" s="20" t="n"/>
    </row>
    <row r="1002">
      <c r="A1002" s="15" t="n">
        <v>45536</v>
      </c>
      <c r="B1002" s="20" t="n">
        <v>30</v>
      </c>
      <c r="C1002" s="20" t="n">
        <v>42</v>
      </c>
      <c r="D1002" s="17" t="inlineStr">
        <is>
          <t>Zinque, Venice</t>
        </is>
      </c>
      <c r="E1002" s="9">
        <f>if($A1002&lt;&gt;"",E1001+B1002,"")</f>
        <v/>
      </c>
      <c r="F1002" s="9">
        <f>if($A1002&lt;&gt;"",F1001+C1002,"")</f>
        <v/>
      </c>
      <c r="G1002" s="11">
        <f>IF($A1002&lt;&gt;"",IF(F1002-E1002=0,"tie",IF(F1002-E1002&gt;0,"+"&amp;F1002-E1002,"+"&amp;E1002-F1002)),"")</f>
        <v/>
      </c>
      <c r="H1002" s="12">
        <f>if($A1002&lt;&gt;"",if(B1002&gt;C1002,if(B1002&lt;60,1,2),""),"")</f>
        <v/>
      </c>
      <c r="I1002" s="12">
        <f>if($A1002&lt;&gt;"",if(C1002&gt;B1002,if(C1002&lt;60,1,2),""),"")</f>
        <v/>
      </c>
      <c r="J1002" s="9">
        <f>if($A1002&lt;&gt;"",J1001+H1002,"")</f>
        <v/>
      </c>
      <c r="K1002" s="9">
        <f>if($A1002&lt;&gt;"",K1001+I1002,"")</f>
        <v/>
      </c>
      <c r="L1002" s="11">
        <f>IF($A1002&lt;&gt;"",IF(K1002-J1002=0,"tie",IF(K1002-J1002&gt;0,"+"&amp;K1002-J1002,"+"&amp;J1002-K1002)),"")</f>
        <v/>
      </c>
      <c r="M1002" s="20" t="n"/>
      <c r="N1002" s="20" t="n"/>
      <c r="O1002" s="20" t="n"/>
      <c r="P1002" s="20" t="n"/>
      <c r="Q1002" s="20" t="n"/>
      <c r="R1002" s="20" t="n"/>
      <c r="S1002" s="20" t="n"/>
    </row>
    <row r="1003">
      <c r="A1003" s="15" t="n">
        <v>45537</v>
      </c>
      <c r="B1003" s="20" t="n">
        <v>39</v>
      </c>
      <c r="C1003" s="20" t="n">
        <v>27</v>
      </c>
      <c r="D1003" s="17" t="inlineStr">
        <is>
          <t>Penmar</t>
        </is>
      </c>
      <c r="E1003" s="9">
        <f>if($A1003&lt;&gt;"",E1002+B1003,"")</f>
        <v/>
      </c>
      <c r="F1003" s="9">
        <f>if($A1003&lt;&gt;"",F1002+C1003,"")</f>
        <v/>
      </c>
      <c r="G1003" s="11">
        <f>IF($A1003&lt;&gt;"",IF(F1003-E1003=0,"tie",IF(F1003-E1003&gt;0,"+"&amp;F1003-E1003,"+"&amp;E1003-F1003)),"")</f>
        <v/>
      </c>
      <c r="H1003" s="12">
        <f>if($A1003&lt;&gt;"",if(B1003&gt;C1003,if(B1003&lt;60,1,2),""),"")</f>
        <v/>
      </c>
      <c r="I1003" s="12">
        <f>if($A1003&lt;&gt;"",if(C1003&gt;B1003,if(C1003&lt;60,1,2),""),"")</f>
        <v/>
      </c>
      <c r="J1003" s="9">
        <f>if($A1003&lt;&gt;"",J1002+H1003,"")</f>
        <v/>
      </c>
      <c r="K1003" s="9">
        <f>if($A1003&lt;&gt;"",K1002+I1003,"")</f>
        <v/>
      </c>
      <c r="L1003" s="11">
        <f>IF($A1003&lt;&gt;"",IF(K1003-J1003=0,"tie",IF(K1003-J1003&gt;0,"+"&amp;K1003-J1003,"+"&amp;J1003-K1003)),"")</f>
        <v/>
      </c>
      <c r="M1003" s="20" t="n"/>
      <c r="N1003" s="20" t="n"/>
      <c r="O1003" s="20" t="n"/>
      <c r="P1003" s="20" t="n"/>
      <c r="Q1003" s="20" t="n"/>
      <c r="R1003" s="20" t="n"/>
      <c r="S1003" s="20" t="n"/>
    </row>
    <row r="1004">
      <c r="A1004" s="15" t="n">
        <v>45537</v>
      </c>
      <c r="B1004" s="20" t="n">
        <v>39</v>
      </c>
      <c r="C1004" s="20" t="n">
        <v>37</v>
      </c>
      <c r="D1004" s="17" t="inlineStr">
        <is>
          <t>Preston Way</t>
        </is>
      </c>
      <c r="E1004" s="9">
        <f>if($A1004&lt;&gt;"",E1003+B1004,"")</f>
        <v/>
      </c>
      <c r="F1004" s="9">
        <f>if($A1004&lt;&gt;"",F1003+C1004,"")</f>
        <v/>
      </c>
      <c r="G1004" s="11">
        <f>IF($A1004&lt;&gt;"",IF(F1004-E1004=0,"tie",IF(F1004-E1004&gt;0,"+"&amp;F1004-E1004,"+"&amp;E1004-F1004)),"")</f>
        <v/>
      </c>
      <c r="H1004" s="12">
        <f>if($A1004&lt;&gt;"",if(B1004&gt;C1004,if(B1004&lt;60,1,2),""),"")</f>
        <v/>
      </c>
      <c r="I1004" s="12">
        <f>if($A1004&lt;&gt;"",if(C1004&gt;B1004,if(C1004&lt;60,1,2),""),"")</f>
        <v/>
      </c>
      <c r="J1004" s="9">
        <f>if($A1004&lt;&gt;"",J1003+H1004,"")</f>
        <v/>
      </c>
      <c r="K1004" s="9">
        <f>if($A1004&lt;&gt;"",K1003+I1004,"")</f>
        <v/>
      </c>
      <c r="L1004" s="11">
        <f>IF($A1004&lt;&gt;"",IF(K1004-J1004=0,"tie",IF(K1004-J1004&gt;0,"+"&amp;K1004-J1004,"+"&amp;J1004-K1004)),"")</f>
        <v/>
      </c>
      <c r="M1004" s="20" t="n"/>
      <c r="N1004" s="20" t="n"/>
      <c r="O1004" s="20" t="n"/>
      <c r="P1004" s="20" t="n"/>
      <c r="Q1004" s="20" t="n"/>
      <c r="R1004" s="20" t="n"/>
      <c r="S1004" s="20" t="n"/>
    </row>
    <row r="1005">
      <c r="A1005" s="15" t="n">
        <v>45538</v>
      </c>
      <c r="B1005" s="20" t="n">
        <v>32</v>
      </c>
      <c r="C1005" s="20" t="n">
        <v>29</v>
      </c>
      <c r="D1005" s="17" t="inlineStr">
        <is>
          <t>Preston Way</t>
        </is>
      </c>
      <c r="E1005" s="9">
        <f>if($A1005&lt;&gt;"",E1004+B1005,"")</f>
        <v/>
      </c>
      <c r="F1005" s="9">
        <f>if($A1005&lt;&gt;"",F1004+C1005,"")</f>
        <v/>
      </c>
      <c r="G1005" s="11">
        <f>IF($A1005&lt;&gt;"",IF(F1005-E1005=0,"tie",IF(F1005-E1005&gt;0,"+"&amp;F1005-E1005,"+"&amp;E1005-F1005)),"")</f>
        <v/>
      </c>
      <c r="H1005" s="12">
        <f>if($A1005&lt;&gt;"",if(B1005&gt;C1005,if(B1005&lt;60,1,2),""),"")</f>
        <v/>
      </c>
      <c r="I1005" s="12">
        <f>if($A1005&lt;&gt;"",if(C1005&gt;B1005,if(C1005&lt;60,1,2),""),"")</f>
        <v/>
      </c>
      <c r="J1005" s="9">
        <f>if($A1005&lt;&gt;"",J1004+H1005,"")</f>
        <v/>
      </c>
      <c r="K1005" s="9">
        <f>if($A1005&lt;&gt;"",K1004+I1005,"")</f>
        <v/>
      </c>
      <c r="L1005" s="11">
        <f>IF($A1005&lt;&gt;"",IF(K1005-J1005=0,"tie",IF(K1005-J1005&gt;0,"+"&amp;K1005-J1005,"+"&amp;J1005-K1005)),"")</f>
        <v/>
      </c>
      <c r="M1005" s="20" t="n"/>
      <c r="N1005" s="20" t="n"/>
      <c r="O1005" s="20" t="n"/>
      <c r="P1005" s="20" t="n"/>
      <c r="Q1005" s="20" t="n"/>
      <c r="R1005" s="20" t="n"/>
      <c r="S1005" s="20" t="n"/>
    </row>
    <row r="1006">
      <c r="A1006" s="15" t="n">
        <v>45539</v>
      </c>
      <c r="B1006" s="20" t="n">
        <v>32</v>
      </c>
      <c r="C1006" s="20" t="n">
        <v>24</v>
      </c>
      <c r="D1006" s="17" t="inlineStr">
        <is>
          <t>Preston Way</t>
        </is>
      </c>
      <c r="E1006" s="9">
        <f>if($A1006&lt;&gt;"",E1005+B1006,"")</f>
        <v/>
      </c>
      <c r="F1006" s="9">
        <f>if($A1006&lt;&gt;"",F1005+C1006,"")</f>
        <v/>
      </c>
      <c r="G1006" s="11">
        <f>IF($A1006&lt;&gt;"",IF(F1006-E1006=0,"tie",IF(F1006-E1006&gt;0,"+"&amp;F1006-E1006,"+"&amp;E1006-F1006)),"")</f>
        <v/>
      </c>
      <c r="H1006" s="12">
        <f>if($A1006&lt;&gt;"",if(B1006&gt;C1006,if(B1006&lt;60,1,2),""),"")</f>
        <v/>
      </c>
      <c r="I1006" s="12">
        <f>if($A1006&lt;&gt;"",if(C1006&gt;B1006,if(C1006&lt;60,1,2),""),"")</f>
        <v/>
      </c>
      <c r="J1006" s="9">
        <f>if($A1006&lt;&gt;"",J1005+H1006,"")</f>
        <v/>
      </c>
      <c r="K1006" s="9">
        <f>if($A1006&lt;&gt;"",K1005+I1006,"")</f>
        <v/>
      </c>
      <c r="L1006" s="11">
        <f>IF($A1006&lt;&gt;"",IF(K1006-J1006=0,"tie",IF(K1006-J1006&gt;0,"+"&amp;K1006-J1006,"+"&amp;J1006-K1006)),"")</f>
        <v/>
      </c>
      <c r="M1006" s="20" t="n"/>
      <c r="N1006" s="20" t="n"/>
      <c r="O1006" s="20" t="n"/>
      <c r="P1006" s="20" t="n"/>
      <c r="Q1006" s="20" t="n"/>
      <c r="R1006" s="20" t="n"/>
      <c r="S1006" s="20" t="n"/>
    </row>
    <row r="1007">
      <c r="A1007" s="15" t="n">
        <v>45539</v>
      </c>
      <c r="B1007" s="20" t="n">
        <v>31</v>
      </c>
      <c r="C1007" s="20" t="n">
        <v>23</v>
      </c>
      <c r="D1007" s="17" t="inlineStr">
        <is>
          <t>Preston Way</t>
        </is>
      </c>
      <c r="E1007" s="9">
        <f>if($A1007&lt;&gt;"",E1006+B1007,"")</f>
        <v/>
      </c>
      <c r="F1007" s="9">
        <f>if($A1007&lt;&gt;"",F1006+C1007,"")</f>
        <v/>
      </c>
      <c r="G1007" s="11">
        <f>IF($A1007&lt;&gt;"",IF(F1007-E1007=0,"tie",IF(F1007-E1007&gt;0,"+"&amp;F1007-E1007,"+"&amp;E1007-F1007)),"")</f>
        <v/>
      </c>
      <c r="H1007" s="12">
        <f>if($A1007&lt;&gt;"",if(B1007&gt;C1007,if(B1007&lt;60,1,2),""),"")</f>
        <v/>
      </c>
      <c r="I1007" s="12">
        <f>if($A1007&lt;&gt;"",if(C1007&gt;B1007,if(C1007&lt;60,1,2),""),"")</f>
        <v/>
      </c>
      <c r="J1007" s="9">
        <f>if($A1007&lt;&gt;"",J1006+H1007,"")</f>
        <v/>
      </c>
      <c r="K1007" s="9">
        <f>if($A1007&lt;&gt;"",K1006+I1007,"")</f>
        <v/>
      </c>
      <c r="L1007" s="11">
        <f>IF($A1007&lt;&gt;"",IF(K1007-J1007=0,"tie",IF(K1007-J1007&gt;0,"+"&amp;K1007-J1007,"+"&amp;J1007-K1007)),"")</f>
        <v/>
      </c>
      <c r="M1007" s="20" t="n"/>
      <c r="N1007" s="20" t="n"/>
      <c r="O1007" s="20" t="n"/>
      <c r="P1007" s="20" t="n"/>
      <c r="Q1007" s="20" t="n"/>
      <c r="R1007" s="20" t="n"/>
      <c r="S1007" s="20" t="n"/>
    </row>
    <row r="1008">
      <c r="A1008" s="15" t="n">
        <v>45540</v>
      </c>
      <c r="B1008" s="20" t="n">
        <v>34</v>
      </c>
      <c r="C1008" s="20" t="n">
        <v>32</v>
      </c>
      <c r="D1008" s="17" t="inlineStr">
        <is>
          <t>Preston Way</t>
        </is>
      </c>
      <c r="E1008" s="9">
        <f>if($A1008&lt;&gt;"",E1007+B1008,"")</f>
        <v/>
      </c>
      <c r="F1008" s="9">
        <f>if($A1008&lt;&gt;"",F1007+C1008,"")</f>
        <v/>
      </c>
      <c r="G1008" s="11">
        <f>IF($A1008&lt;&gt;"",IF(F1008-E1008=0,"tie",IF(F1008-E1008&gt;0,"+"&amp;F1008-E1008,"+"&amp;E1008-F1008)),"")</f>
        <v/>
      </c>
      <c r="H1008" s="12">
        <f>if($A1008&lt;&gt;"",if(B1008&gt;C1008,if(B1008&lt;60,1,2),""),"")</f>
        <v/>
      </c>
      <c r="I1008" s="12">
        <f>if($A1008&lt;&gt;"",if(C1008&gt;B1008,if(C1008&lt;60,1,2),""),"")</f>
        <v/>
      </c>
      <c r="J1008" s="9">
        <f>if($A1008&lt;&gt;"",J1007+H1008,"")</f>
        <v/>
      </c>
      <c r="K1008" s="9">
        <f>if($A1008&lt;&gt;"",K1007+I1008,"")</f>
        <v/>
      </c>
      <c r="L1008" s="11">
        <f>IF($A1008&lt;&gt;"",IF(K1008-J1008=0,"tie",IF(K1008-J1008&gt;0,"+"&amp;K1008-J1008,"+"&amp;J1008-K1008)),"")</f>
        <v/>
      </c>
      <c r="M1008" s="20" t="n"/>
      <c r="N1008" s="20" t="n"/>
      <c r="O1008" s="20" t="n"/>
      <c r="P1008" s="20" t="n"/>
      <c r="Q1008" s="20" t="n"/>
      <c r="R1008" s="20" t="n"/>
      <c r="S1008" s="20" t="n"/>
    </row>
    <row r="1009">
      <c r="A1009" s="15" t="n">
        <v>45543</v>
      </c>
      <c r="B1009" s="20" t="n">
        <v>60</v>
      </c>
      <c r="C1009" s="20" t="n">
        <v>68</v>
      </c>
      <c r="D1009" s="17" t="inlineStr">
        <is>
          <t>Zinque, Venice</t>
        </is>
      </c>
      <c r="E1009" s="9">
        <f>if($A1009&lt;&gt;"",E1008+B1009,"")</f>
        <v/>
      </c>
      <c r="F1009" s="9">
        <f>if($A1009&lt;&gt;"",F1008+C1009,"")</f>
        <v/>
      </c>
      <c r="G1009" s="11">
        <f>IF($A1009&lt;&gt;"",IF(F1009-E1009=0,"tie",IF(F1009-E1009&gt;0,"+"&amp;F1009-E1009,"+"&amp;E1009-F1009)),"")</f>
        <v/>
      </c>
      <c r="H1009" s="12">
        <f>if($A1009&lt;&gt;"",if(B1009&gt;C1009,if(B1009&lt;60,1,2),""),"")</f>
        <v/>
      </c>
      <c r="I1009" s="12">
        <f>if($A1009&lt;&gt;"",if(C1009&gt;B1009,if(C1009&lt;60,1,2),""),"")</f>
        <v/>
      </c>
      <c r="J1009" s="9">
        <f>if($A1009&lt;&gt;"",J1008+H1009,"")</f>
        <v/>
      </c>
      <c r="K1009" s="9">
        <f>if($A1009&lt;&gt;"",K1008+I1009,"")</f>
        <v/>
      </c>
      <c r="L1009" s="11">
        <f>IF($A1009&lt;&gt;"",IF(K1009-J1009=0,"tie",IF(K1009-J1009&gt;0,"+"&amp;K1009-J1009,"+"&amp;J1009-K1009)),"")</f>
        <v/>
      </c>
      <c r="M1009" s="20" t="n"/>
      <c r="N1009" s="20" t="n"/>
      <c r="O1009" s="20" t="n"/>
      <c r="P1009" s="20" t="n"/>
      <c r="Q1009" s="20" t="n"/>
      <c r="R1009" s="20" t="n"/>
      <c r="S1009" s="20" t="n"/>
    </row>
    <row r="1010">
      <c r="A1010" s="15" t="n">
        <v>45544</v>
      </c>
      <c r="B1010" s="20" t="n">
        <v>49</v>
      </c>
      <c r="C1010" s="20" t="n">
        <v>68</v>
      </c>
      <c r="D1010" s="25" t="inlineStr">
        <is>
          <t>iHop, MDR</t>
        </is>
      </c>
      <c r="E1010" s="9">
        <f>if($A1010&lt;&gt;"",E1009+B1010,"")</f>
        <v/>
      </c>
      <c r="F1010" s="9">
        <f>if($A1010&lt;&gt;"",F1009+C1010,"")</f>
        <v/>
      </c>
      <c r="G1010" s="11">
        <f>IF($A1010&lt;&gt;"",IF(F1010-E1010=0,"tie",IF(F1010-E1010&gt;0,"+"&amp;F1010-E1010,"+"&amp;E1010-F1010)),"")</f>
        <v/>
      </c>
      <c r="H1010" s="12">
        <f>if($A1010&lt;&gt;"",if(B1010&gt;C1010,if(B1010&lt;60,1,2),""),"")</f>
        <v/>
      </c>
      <c r="I1010" s="12">
        <f>if($A1010&lt;&gt;"",if(C1010&gt;B1010,if(C1010&lt;60,1,2),""),"")</f>
        <v/>
      </c>
      <c r="J1010" s="9">
        <f>if($A1010&lt;&gt;"",J1009+H1010,"")</f>
        <v/>
      </c>
      <c r="K1010" s="9">
        <f>if($A1010&lt;&gt;"",K1009+I1010,"")</f>
        <v/>
      </c>
      <c r="L1010" s="11">
        <f>IF($A1010&lt;&gt;"",IF(K1010-J1010=0,"tie",IF(K1010-J1010&gt;0,"+"&amp;K1010-J1010,"+"&amp;J1010-K1010)),"")</f>
        <v/>
      </c>
      <c r="M1010" s="20" t="n"/>
      <c r="N1010" s="20" t="n"/>
      <c r="O1010" s="20" t="n"/>
      <c r="P1010" s="20" t="n"/>
      <c r="Q1010" s="20" t="n"/>
      <c r="R1010" s="20" t="n"/>
      <c r="S1010" s="20" t="n"/>
    </row>
    <row r="1011">
      <c r="A1011" s="15" t="n">
        <v>45545</v>
      </c>
      <c r="B1011" s="20" t="n">
        <v>31</v>
      </c>
      <c r="C1011" s="20" t="n">
        <v>23</v>
      </c>
      <c r="D1011" s="17" t="inlineStr">
        <is>
          <t>Preston Way</t>
        </is>
      </c>
      <c r="E1011" s="9">
        <f>if($A1011&lt;&gt;"",E1010+B1011,"")</f>
        <v/>
      </c>
      <c r="F1011" s="9">
        <f>if($A1011&lt;&gt;"",F1010+C1011,"")</f>
        <v/>
      </c>
      <c r="G1011" s="11">
        <f>IF($A1011&lt;&gt;"",IF(F1011-E1011=0,"tie",IF(F1011-E1011&gt;0,"+"&amp;F1011-E1011,"+"&amp;E1011-F1011)),"")</f>
        <v/>
      </c>
      <c r="H1011" s="12">
        <f>if($A1011&lt;&gt;"",if(B1011&gt;C1011,if(B1011&lt;60,1,2),""),"")</f>
        <v/>
      </c>
      <c r="I1011" s="12">
        <f>if($A1011&lt;&gt;"",if(C1011&gt;B1011,if(C1011&lt;60,1,2),""),"")</f>
        <v/>
      </c>
      <c r="J1011" s="9">
        <f>if($A1011&lt;&gt;"",J1010+H1011,"")</f>
        <v/>
      </c>
      <c r="K1011" s="9">
        <f>if($A1011&lt;&gt;"",K1010+I1011,"")</f>
        <v/>
      </c>
      <c r="L1011" s="11">
        <f>IF($A1011&lt;&gt;"",IF(K1011-J1011=0,"tie",IF(K1011-J1011&gt;0,"+"&amp;K1011-J1011,"+"&amp;J1011-K1011)),"")</f>
        <v/>
      </c>
      <c r="M1011" s="20" t="n"/>
      <c r="N1011" s="20" t="n"/>
      <c r="O1011" s="20" t="n"/>
      <c r="P1011" s="20" t="n"/>
      <c r="Q1011" s="20" t="n"/>
      <c r="R1011" s="20" t="n"/>
      <c r="S1011" s="20" t="n"/>
    </row>
    <row r="1012">
      <c r="A1012" s="15" t="n">
        <v>45545</v>
      </c>
      <c r="B1012" s="20" t="n">
        <v>46</v>
      </c>
      <c r="C1012" s="20" t="n">
        <v>26</v>
      </c>
      <c r="D1012" s="17" t="inlineStr">
        <is>
          <t>Preston Way</t>
        </is>
      </c>
      <c r="E1012" s="9">
        <f>if($A1012&lt;&gt;"",E1011+B1012,"")</f>
        <v/>
      </c>
      <c r="F1012" s="9">
        <f>if($A1012&lt;&gt;"",F1011+C1012,"")</f>
        <v/>
      </c>
      <c r="G1012" s="11">
        <f>IF($A1012&lt;&gt;"",IF(F1012-E1012=0,"tie",IF(F1012-E1012&gt;0,"+"&amp;F1012-E1012,"+"&amp;E1012-F1012)),"")</f>
        <v/>
      </c>
      <c r="H1012" s="12">
        <f>if($A1012&lt;&gt;"",if(B1012&gt;C1012,if(B1012&lt;60,1,2),""),"")</f>
        <v/>
      </c>
      <c r="I1012" s="12">
        <f>if($A1012&lt;&gt;"",if(C1012&gt;B1012,if(C1012&lt;60,1,2),""),"")</f>
        <v/>
      </c>
      <c r="J1012" s="9">
        <f>if($A1012&lt;&gt;"",J1011+H1012,"")</f>
        <v/>
      </c>
      <c r="K1012" s="9">
        <f>if($A1012&lt;&gt;"",K1011+I1012,"")</f>
        <v/>
      </c>
      <c r="L1012" s="11">
        <f>IF($A1012&lt;&gt;"",IF(K1012-J1012=0,"tie",IF(K1012-J1012&gt;0,"+"&amp;K1012-J1012,"+"&amp;J1012-K1012)),"")</f>
        <v/>
      </c>
      <c r="M1012" s="20" t="n"/>
      <c r="N1012" s="20" t="n"/>
      <c r="O1012" s="20" t="n"/>
      <c r="P1012" s="20" t="n"/>
      <c r="Q1012" s="20" t="n"/>
      <c r="R1012" s="20" t="n"/>
      <c r="S1012" s="20" t="n"/>
    </row>
    <row r="1013">
      <c r="A1013" s="15" t="n">
        <v>45545</v>
      </c>
      <c r="B1013" s="20" t="n">
        <v>34</v>
      </c>
      <c r="C1013" s="20" t="n">
        <v>20</v>
      </c>
      <c r="D1013" s="17" t="inlineStr">
        <is>
          <t>Preston Way</t>
        </is>
      </c>
      <c r="E1013" s="9">
        <f>if($A1013&lt;&gt;"",E1012+B1013,"")</f>
        <v/>
      </c>
      <c r="F1013" s="9">
        <f>if($A1013&lt;&gt;"",F1012+C1013,"")</f>
        <v/>
      </c>
      <c r="G1013" s="11">
        <f>IF($A1013&lt;&gt;"",IF(F1013-E1013=0,"tie",IF(F1013-E1013&gt;0,"+"&amp;F1013-E1013,"+"&amp;E1013-F1013)),"")</f>
        <v/>
      </c>
      <c r="H1013" s="12">
        <f>if($A1013&lt;&gt;"",if(B1013&gt;C1013,if(B1013&lt;60,1,2),""),"")</f>
        <v/>
      </c>
      <c r="I1013" s="12">
        <f>if($A1013&lt;&gt;"",if(C1013&gt;B1013,if(C1013&lt;60,1,2),""),"")</f>
        <v/>
      </c>
      <c r="J1013" s="9">
        <f>if($A1013&lt;&gt;"",J1012+H1013,"")</f>
        <v/>
      </c>
      <c r="K1013" s="9">
        <f>if($A1013&lt;&gt;"",K1012+I1013,"")</f>
        <v/>
      </c>
      <c r="L1013" s="11">
        <f>IF($A1013&lt;&gt;"",IF(K1013-J1013=0,"tie",IF(K1013-J1013&gt;0,"+"&amp;K1013-J1013,"+"&amp;J1013-K1013)),"")</f>
        <v/>
      </c>
      <c r="M1013" s="20" t="n"/>
      <c r="N1013" s="20" t="n"/>
      <c r="O1013" s="20" t="n"/>
      <c r="P1013" s="20" t="n"/>
      <c r="Q1013" s="20" t="n"/>
      <c r="R1013" s="20" t="n"/>
      <c r="S1013" s="20" t="n"/>
    </row>
    <row r="1014">
      <c r="A1014" s="15" t="n">
        <v>45547</v>
      </c>
      <c r="B1014" s="20" t="n">
        <v>32</v>
      </c>
      <c r="C1014" s="20" t="n">
        <v>16</v>
      </c>
      <c r="D1014" s="17" t="inlineStr">
        <is>
          <t>Companion, Venice</t>
        </is>
      </c>
      <c r="E1014" s="9">
        <f>if($A1014&lt;&gt;"",E1013+B1014,"")</f>
        <v/>
      </c>
      <c r="F1014" s="9">
        <f>if($A1014&lt;&gt;"",F1013+C1014,"")</f>
        <v/>
      </c>
      <c r="G1014" s="11">
        <f>IF($A1014&lt;&gt;"",IF(F1014-E1014=0,"tie",IF(F1014-E1014&gt;0,"+"&amp;F1014-E1014,"+"&amp;E1014-F1014)),"")</f>
        <v/>
      </c>
      <c r="H1014" s="12">
        <f>if($A1014&lt;&gt;"",if(B1014&gt;C1014,if(B1014&lt;60,1,2),""),"")</f>
        <v/>
      </c>
      <c r="I1014" s="12">
        <f>if($A1014&lt;&gt;"",if(C1014&gt;B1014,if(C1014&lt;60,1,2),""),"")</f>
        <v/>
      </c>
      <c r="J1014" s="9">
        <f>if($A1014&lt;&gt;"",J1013+H1014,"")</f>
        <v/>
      </c>
      <c r="K1014" s="9">
        <f>if($A1014&lt;&gt;"",K1013+I1014,"")</f>
        <v/>
      </c>
      <c r="L1014" s="11">
        <f>IF($A1014&lt;&gt;"",IF(K1014-J1014=0,"tie",IF(K1014-J1014&gt;0,"+"&amp;K1014-J1014,"+"&amp;J1014-K1014)),"")</f>
        <v/>
      </c>
      <c r="M1014" s="20" t="n"/>
      <c r="N1014" s="20" t="n"/>
      <c r="O1014" s="20" t="n"/>
      <c r="P1014" s="20" t="n"/>
      <c r="Q1014" s="20" t="n"/>
      <c r="R1014" s="20" t="n"/>
      <c r="S1014" s="20" t="n"/>
    </row>
    <row r="1015">
      <c r="A1015" s="15" t="n">
        <v>45547</v>
      </c>
      <c r="B1015" s="20" t="n">
        <v>33</v>
      </c>
      <c r="C1015" s="20" t="n">
        <v>5</v>
      </c>
      <c r="D1015" s="17" t="inlineStr">
        <is>
          <t>Preston Way</t>
        </is>
      </c>
      <c r="E1015" s="9">
        <f>if($A1015&lt;&gt;"",E1014+B1015,"")</f>
        <v/>
      </c>
      <c r="F1015" s="9">
        <f>if($A1015&lt;&gt;"",F1014+C1015,"")</f>
        <v/>
      </c>
      <c r="G1015" s="11">
        <f>IF($A1015&lt;&gt;"",IF(F1015-E1015=0,"tie",IF(F1015-E1015&gt;0,"+"&amp;F1015-E1015,"+"&amp;E1015-F1015)),"")</f>
        <v/>
      </c>
      <c r="H1015" s="12">
        <f>if($A1015&lt;&gt;"",if(B1015&gt;C1015,if(B1015&lt;60,1,2),""),"")</f>
        <v/>
      </c>
      <c r="I1015" s="12">
        <f>if($A1015&lt;&gt;"",if(C1015&gt;B1015,if(C1015&lt;60,1,2),""),"")</f>
        <v/>
      </c>
      <c r="J1015" s="9">
        <f>if($A1015&lt;&gt;"",J1014+H1015,"")</f>
        <v/>
      </c>
      <c r="K1015" s="9">
        <f>if($A1015&lt;&gt;"",K1014+I1015,"")</f>
        <v/>
      </c>
      <c r="L1015" s="11">
        <f>IF($A1015&lt;&gt;"",IF(K1015-J1015=0,"tie",IF(K1015-J1015&gt;0,"+"&amp;K1015-J1015,"+"&amp;J1015-K1015)),"")</f>
        <v/>
      </c>
      <c r="M1015" s="20" t="n"/>
      <c r="N1015" s="20" t="n"/>
      <c r="O1015" s="20" t="n"/>
      <c r="P1015" s="20" t="n"/>
      <c r="Q1015" s="20" t="n"/>
      <c r="R1015" s="20" t="n"/>
      <c r="S1015" s="20" t="n"/>
    </row>
    <row r="1016">
      <c r="A1016" s="15" t="n">
        <v>45547</v>
      </c>
      <c r="B1016" s="20" t="n">
        <v>31</v>
      </c>
      <c r="C1016" s="20" t="n">
        <v>29</v>
      </c>
      <c r="D1016" s="17" t="inlineStr">
        <is>
          <t>Tacos Tamix, Pacific Ave, Venice</t>
        </is>
      </c>
      <c r="E1016" s="9">
        <f>if($A1016&lt;&gt;"",E1015+B1016,"")</f>
        <v/>
      </c>
      <c r="F1016" s="9">
        <f>if($A1016&lt;&gt;"",F1015+C1016,"")</f>
        <v/>
      </c>
      <c r="G1016" s="11">
        <f>IF($A1016&lt;&gt;"",IF(F1016-E1016=0,"tie",IF(F1016-E1016&gt;0,"+"&amp;F1016-E1016,"+"&amp;E1016-F1016)),"")</f>
        <v/>
      </c>
      <c r="H1016" s="12">
        <f>if($A1016&lt;&gt;"",if(B1016&gt;C1016,if(B1016&lt;60,1,2),""),"")</f>
        <v/>
      </c>
      <c r="I1016" s="12">
        <f>if($A1016&lt;&gt;"",if(C1016&gt;B1016,if(C1016&lt;60,1,2),""),"")</f>
        <v/>
      </c>
      <c r="J1016" s="9">
        <f>if($A1016&lt;&gt;"",J1015+H1016,"")</f>
        <v/>
      </c>
      <c r="K1016" s="9">
        <f>if($A1016&lt;&gt;"",K1015+I1016,"")</f>
        <v/>
      </c>
      <c r="L1016" s="11">
        <f>IF($A1016&lt;&gt;"",IF(K1016-J1016=0,"tie",IF(K1016-J1016&gt;0,"+"&amp;K1016-J1016,"+"&amp;J1016-K1016)),"")</f>
        <v/>
      </c>
      <c r="M1016" s="20" t="n"/>
      <c r="N1016" s="20" t="n"/>
      <c r="O1016" s="20" t="n"/>
      <c r="P1016" s="20" t="n"/>
      <c r="Q1016" s="20" t="n"/>
      <c r="R1016" s="20" t="n"/>
      <c r="S1016" s="20" t="n"/>
    </row>
    <row r="1017">
      <c r="A1017" s="15" t="n">
        <v>45548</v>
      </c>
      <c r="B1017" s="20" t="n">
        <v>22</v>
      </c>
      <c r="C1017" s="20" t="n">
        <v>35</v>
      </c>
      <c r="D1017" s="17" t="inlineStr">
        <is>
          <t>Preston Way</t>
        </is>
      </c>
      <c r="E1017" s="9">
        <f>if($A1017&lt;&gt;"",E1016+B1017,"")</f>
        <v/>
      </c>
      <c r="F1017" s="9">
        <f>if($A1017&lt;&gt;"",F1016+C1017,"")</f>
        <v/>
      </c>
      <c r="G1017" s="11">
        <f>IF($A1017&lt;&gt;"",IF(F1017-E1017=0,"tie",IF(F1017-E1017&gt;0,"+"&amp;F1017-E1017,"+"&amp;E1017-F1017)),"")</f>
        <v/>
      </c>
      <c r="H1017" s="12">
        <f>if($A1017&lt;&gt;"",if(B1017&gt;C1017,if(B1017&lt;60,1,2),""),"")</f>
        <v/>
      </c>
      <c r="I1017" s="12">
        <f>if($A1017&lt;&gt;"",if(C1017&gt;B1017,if(C1017&lt;60,1,2),""),"")</f>
        <v/>
      </c>
      <c r="J1017" s="9">
        <f>if($A1017&lt;&gt;"",J1016+H1017,"")</f>
        <v/>
      </c>
      <c r="K1017" s="9">
        <f>if($A1017&lt;&gt;"",K1016+I1017,"")</f>
        <v/>
      </c>
      <c r="L1017" s="11">
        <f>IF($A1017&lt;&gt;"",IF(K1017-J1017=0,"tie",IF(K1017-J1017&gt;0,"+"&amp;K1017-J1017,"+"&amp;J1017-K1017)),"")</f>
        <v/>
      </c>
      <c r="M1017" s="20" t="n"/>
      <c r="N1017" s="20" t="n"/>
      <c r="O1017" s="20" t="n"/>
      <c r="P1017" s="20" t="n"/>
      <c r="Q1017" s="20" t="n"/>
      <c r="R1017" s="20" t="n"/>
      <c r="S1017" s="20" t="n"/>
    </row>
    <row r="1018">
      <c r="A1018" s="15" t="n">
        <v>45549</v>
      </c>
      <c r="B1018" s="20" t="n">
        <v>75</v>
      </c>
      <c r="C1018" s="20" t="n">
        <v>61</v>
      </c>
      <c r="D1018" s="17" t="inlineStr">
        <is>
          <t>Vito's</t>
        </is>
      </c>
      <c r="E1018" s="9">
        <f>if($A1018&lt;&gt;"",E1017+B1018,"")</f>
        <v/>
      </c>
      <c r="F1018" s="9">
        <f>if($A1018&lt;&gt;"",F1017+C1018,"")</f>
        <v/>
      </c>
      <c r="G1018" s="11">
        <f>IF($A1018&lt;&gt;"",IF(F1018-E1018=0,"tie",IF(F1018-E1018&gt;0,"+"&amp;F1018-E1018,"+"&amp;E1018-F1018)),"")</f>
        <v/>
      </c>
      <c r="H1018" s="12">
        <f>if($A1018&lt;&gt;"",if(B1018&gt;C1018,if(B1018&lt;60,1,2),""),"")</f>
        <v/>
      </c>
      <c r="I1018" s="12">
        <f>if($A1018&lt;&gt;"",if(C1018&gt;B1018,if(C1018&lt;60,1,2),""),"")</f>
        <v/>
      </c>
      <c r="J1018" s="9">
        <f>if($A1018&lt;&gt;"",J1017+H1018,"")</f>
        <v/>
      </c>
      <c r="K1018" s="9">
        <f>if($A1018&lt;&gt;"",K1017+I1018,"")</f>
        <v/>
      </c>
      <c r="L1018" s="11">
        <f>IF($A1018&lt;&gt;"",IF(K1018-J1018=0,"tie",IF(K1018-J1018&gt;0,"+"&amp;K1018-J1018,"+"&amp;J1018-K1018)),"")</f>
        <v/>
      </c>
      <c r="M1018" s="20" t="n"/>
      <c r="N1018" s="20" t="n"/>
      <c r="O1018" s="20" t="n"/>
      <c r="P1018" s="20" t="n"/>
      <c r="Q1018" s="20" t="n"/>
      <c r="R1018" s="20" t="n"/>
      <c r="S1018" s="20" t="n"/>
    </row>
    <row r="1019">
      <c r="A1019" s="15" t="n">
        <v>45551</v>
      </c>
      <c r="B1019" s="20" t="n">
        <v>44</v>
      </c>
      <c r="C1019" s="20" t="n">
        <v>19</v>
      </c>
      <c r="D1019" s="17" t="inlineStr">
        <is>
          <t>Preston Way</t>
        </is>
      </c>
      <c r="E1019" s="9">
        <f>if($A1019&lt;&gt;"",E1018+B1019,"")</f>
        <v/>
      </c>
      <c r="F1019" s="9">
        <f>if($A1019&lt;&gt;"",F1018+C1019,"")</f>
        <v/>
      </c>
      <c r="G1019" s="11">
        <f>IF($A1019&lt;&gt;"",IF(F1019-E1019=0,"tie",IF(F1019-E1019&gt;0,"+"&amp;F1019-E1019,"+"&amp;E1019-F1019)),"")</f>
        <v/>
      </c>
      <c r="H1019" s="12">
        <f>if($A1019&lt;&gt;"",if(B1019&gt;C1019,if(B1019&lt;60,1,2),""),"")</f>
        <v/>
      </c>
      <c r="I1019" s="12">
        <f>if($A1019&lt;&gt;"",if(C1019&gt;B1019,if(C1019&lt;60,1,2),""),"")</f>
        <v/>
      </c>
      <c r="J1019" s="9">
        <f>if($A1019&lt;&gt;"",J1018+H1019,"")</f>
        <v/>
      </c>
      <c r="K1019" s="9">
        <f>if($A1019&lt;&gt;"",K1018+I1019,"")</f>
        <v/>
      </c>
      <c r="L1019" s="11">
        <f>IF($A1019&lt;&gt;"",IF(K1019-J1019=0,"tie",IF(K1019-J1019&gt;0,"+"&amp;K1019-J1019,"+"&amp;J1019-K1019)),"")</f>
        <v/>
      </c>
      <c r="M1019" s="20" t="n"/>
      <c r="N1019" s="20" t="n"/>
      <c r="O1019" s="20" t="n"/>
      <c r="P1019" s="20" t="n"/>
      <c r="Q1019" s="20" t="n"/>
      <c r="R1019" s="20" t="n"/>
      <c r="S1019" s="20" t="n"/>
    </row>
    <row r="1020">
      <c r="A1020" s="15" t="n">
        <v>45553</v>
      </c>
      <c r="B1020" s="20" t="n">
        <v>33</v>
      </c>
      <c r="C1020" s="20" t="n">
        <v>38</v>
      </c>
      <c r="D1020" s="17" t="inlineStr">
        <is>
          <t>Preston Way</t>
        </is>
      </c>
      <c r="E1020" s="9">
        <f>if($A1020&lt;&gt;"",E1019+B1020,"")</f>
        <v/>
      </c>
      <c r="F1020" s="9">
        <f>if($A1020&lt;&gt;"",F1019+C1020,"")</f>
        <v/>
      </c>
      <c r="G1020" s="11">
        <f>IF($A1020&lt;&gt;"",IF(F1020-E1020=0,"tie",IF(F1020-E1020&gt;0,"+"&amp;F1020-E1020,"+"&amp;E1020-F1020)),"")</f>
        <v/>
      </c>
      <c r="H1020" s="12">
        <f>if($A1020&lt;&gt;"",if(B1020&gt;C1020,if(B1020&lt;60,1,2),""),"")</f>
        <v/>
      </c>
      <c r="I1020" s="12">
        <f>if($A1020&lt;&gt;"",if(C1020&gt;B1020,if(C1020&lt;60,1,2),""),"")</f>
        <v/>
      </c>
      <c r="J1020" s="9">
        <f>if($A1020&lt;&gt;"",J1019+H1020,"")</f>
        <v/>
      </c>
      <c r="K1020" s="9">
        <f>if($A1020&lt;&gt;"",K1019+I1020,"")</f>
        <v/>
      </c>
      <c r="L1020" s="11">
        <f>IF($A1020&lt;&gt;"",IF(K1020-J1020=0,"tie",IF(K1020-J1020&gt;0,"+"&amp;K1020-J1020,"+"&amp;J1020-K1020)),"")</f>
        <v/>
      </c>
      <c r="M1020" s="20" t="n"/>
      <c r="N1020" s="20" t="n"/>
      <c r="O1020" s="20" t="n"/>
      <c r="P1020" s="20" t="n"/>
      <c r="Q1020" s="20" t="n"/>
      <c r="R1020" s="20" t="n"/>
      <c r="S1020" s="20" t="n"/>
    </row>
    <row r="1021">
      <c r="A1021" s="15" t="n">
        <v>45554</v>
      </c>
      <c r="B1021" s="20" t="n">
        <v>64</v>
      </c>
      <c r="C1021" s="20" t="n">
        <v>51</v>
      </c>
      <c r="D1021" s="17" t="inlineStr">
        <is>
          <t>Harris Ranch steakhouse, Cailinga￼</t>
        </is>
      </c>
      <c r="E1021" s="9">
        <f>if($A1021&lt;&gt;"",E1020+B1021,"")</f>
        <v/>
      </c>
      <c r="F1021" s="9">
        <f>if($A1021&lt;&gt;"",F1020+C1021,"")</f>
        <v/>
      </c>
      <c r="G1021" s="11">
        <f>IF($A1021&lt;&gt;"",IF(F1021-E1021=0,"tie",IF(F1021-E1021&gt;0,"+"&amp;F1021-E1021,"+"&amp;E1021-F1021)),"")</f>
        <v/>
      </c>
      <c r="H1021" s="12">
        <f>if($A1021&lt;&gt;"",if(B1021&gt;C1021,if(B1021&lt;60,1,2),""),"")</f>
        <v/>
      </c>
      <c r="I1021" s="12">
        <f>if($A1021&lt;&gt;"",if(C1021&gt;B1021,if(C1021&lt;60,1,2),""),"")</f>
        <v/>
      </c>
      <c r="J1021" s="9">
        <f>if($A1021&lt;&gt;"",J1020+H1021,"")</f>
        <v/>
      </c>
      <c r="K1021" s="9">
        <f>if($A1021&lt;&gt;"",K1020+I1021,"")</f>
        <v/>
      </c>
      <c r="L1021" s="11">
        <f>IF($A1021&lt;&gt;"",IF(K1021-J1021=0,"tie",IF(K1021-J1021&gt;0,"+"&amp;K1021-J1021,"+"&amp;J1021-K1021)),"")</f>
        <v/>
      </c>
      <c r="M1021" s="20" t="n"/>
      <c r="N1021" s="20" t="n"/>
      <c r="O1021" s="20" t="n"/>
      <c r="P1021" s="20" t="n"/>
      <c r="Q1021" s="20" t="n"/>
      <c r="R1021" s="20" t="n"/>
      <c r="S1021" s="20" t="n"/>
    </row>
    <row r="1022">
      <c r="A1022" s="15" t="n">
        <v>45555</v>
      </c>
      <c r="B1022" s="20" t="n">
        <v>36</v>
      </c>
      <c r="C1022" s="20" t="n">
        <v>34</v>
      </c>
      <c r="D1022" s="17" t="inlineStr">
        <is>
          <t>Harris Ranch, Cailinga￼</t>
        </is>
      </c>
      <c r="E1022" s="9">
        <f>if($A1022&lt;&gt;"",E1021+B1022,"")</f>
        <v/>
      </c>
      <c r="F1022" s="9">
        <f>if($A1022&lt;&gt;"",F1021+C1022,"")</f>
        <v/>
      </c>
      <c r="G1022" s="11">
        <f>IF($A1022&lt;&gt;"",IF(F1022-E1022=0,"tie",IF(F1022-E1022&gt;0,"+"&amp;F1022-E1022,"+"&amp;E1022-F1022)),"")</f>
        <v/>
      </c>
      <c r="H1022" s="12">
        <f>if($A1022&lt;&gt;"",if(B1022&gt;C1022,if(B1022&lt;60,1,2),""),"")</f>
        <v/>
      </c>
      <c r="I1022" s="12">
        <f>if($A1022&lt;&gt;"",if(C1022&gt;B1022,if(C1022&lt;60,1,2),""),"")</f>
        <v/>
      </c>
      <c r="J1022" s="9">
        <f>if($A1022&lt;&gt;"",J1021+H1022,"")</f>
        <v/>
      </c>
      <c r="K1022" s="9">
        <f>if($A1022&lt;&gt;"",K1021+I1022,"")</f>
        <v/>
      </c>
      <c r="L1022" s="11">
        <f>IF($A1022&lt;&gt;"",IF(K1022-J1022=0,"tie",IF(K1022-J1022&gt;0,"+"&amp;K1022-J1022,"+"&amp;J1022-K1022)),"")</f>
        <v/>
      </c>
      <c r="M1022" s="20" t="n"/>
      <c r="N1022" s="20" t="n"/>
      <c r="O1022" s="20" t="n"/>
      <c r="P1022" s="20" t="n"/>
      <c r="Q1022" s="20" t="n"/>
      <c r="R1022" s="20" t="n"/>
      <c r="S1022" s="20" t="n"/>
    </row>
    <row r="1023">
      <c r="A1023" s="15" t="n">
        <v>45556</v>
      </c>
      <c r="B1023" s="20" t="n">
        <v>31</v>
      </c>
      <c r="C1023" s="20" t="n">
        <v>22</v>
      </c>
      <c r="D1023" s="17" t="inlineStr">
        <is>
          <t>Dill's Deli, Redding</t>
        </is>
      </c>
      <c r="E1023" s="9">
        <f>if($A1023&lt;&gt;"",E1022+B1023,"")</f>
        <v/>
      </c>
      <c r="F1023" s="9">
        <f>if($A1023&lt;&gt;"",F1022+C1023,"")</f>
        <v/>
      </c>
      <c r="G1023" s="11">
        <f>IF($A1023&lt;&gt;"",IF(F1023-E1023=0,"tie",IF(F1023-E1023&gt;0,"+"&amp;F1023-E1023,"+"&amp;E1023-F1023)),"")</f>
        <v/>
      </c>
      <c r="H1023" s="12">
        <f>if($A1023&lt;&gt;"",if(B1023&gt;C1023,if(B1023&lt;60,1,2),""),"")</f>
        <v/>
      </c>
      <c r="I1023" s="12">
        <f>if($A1023&lt;&gt;"",if(C1023&gt;B1023,if(C1023&lt;60,1,2),""),"")</f>
        <v/>
      </c>
      <c r="J1023" s="9">
        <f>if($A1023&lt;&gt;"",J1022+H1023,"")</f>
        <v/>
      </c>
      <c r="K1023" s="9">
        <f>if($A1023&lt;&gt;"",K1022+I1023,"")</f>
        <v/>
      </c>
      <c r="L1023" s="11">
        <f>IF($A1023&lt;&gt;"",IF(K1023-J1023=0,"tie",IF(K1023-J1023&gt;0,"+"&amp;K1023-J1023,"+"&amp;J1023-K1023)),"")</f>
        <v/>
      </c>
      <c r="M1023" s="20" t="n"/>
      <c r="N1023" s="20" t="n"/>
      <c r="O1023" s="20" t="n"/>
      <c r="P1023" s="20" t="n"/>
      <c r="Q1023" s="20" t="n"/>
      <c r="R1023" s="20" t="n"/>
      <c r="S1023" s="20" t="n"/>
    </row>
    <row r="1024">
      <c r="A1024" s="15" t="n">
        <v>45556</v>
      </c>
      <c r="B1024" s="20" t="n">
        <v>37</v>
      </c>
      <c r="C1024" s="20" t="n">
        <v>18</v>
      </c>
      <c r="D1024" s="17" t="inlineStr">
        <is>
          <t>Rogue Valley State Park, OR</t>
        </is>
      </c>
      <c r="E1024" s="9">
        <f>if($A1024&lt;&gt;"",E1023+B1024,"")</f>
        <v/>
      </c>
      <c r="F1024" s="9">
        <f>if($A1024&lt;&gt;"",F1023+C1024,"")</f>
        <v/>
      </c>
      <c r="G1024" s="11">
        <f>IF($A1024&lt;&gt;"",IF(F1024-E1024=0,"tie",IF(F1024-E1024&gt;0,"+"&amp;F1024-E1024,"+"&amp;E1024-F1024)),"")</f>
        <v/>
      </c>
      <c r="H1024" s="12">
        <f>if($A1024&lt;&gt;"",if(B1024&gt;C1024,if(B1024&lt;60,1,2),""),"")</f>
        <v/>
      </c>
      <c r="I1024" s="12">
        <f>if($A1024&lt;&gt;"",if(C1024&gt;B1024,if(C1024&lt;60,1,2),""),"")</f>
        <v/>
      </c>
      <c r="J1024" s="9">
        <f>if($A1024&lt;&gt;"",J1023+H1024,"")</f>
        <v/>
      </c>
      <c r="K1024" s="9">
        <f>if($A1024&lt;&gt;"",K1023+I1024,"")</f>
        <v/>
      </c>
      <c r="L1024" s="11">
        <f>IF($A1024&lt;&gt;"",IF(K1024-J1024=0,"tie",IF(K1024-J1024&gt;0,"+"&amp;K1024-J1024,"+"&amp;J1024-K1024)),"")</f>
        <v/>
      </c>
      <c r="M1024" s="20" t="n"/>
      <c r="N1024" s="20" t="n"/>
      <c r="O1024" s="20" t="n"/>
      <c r="P1024" s="20" t="n"/>
      <c r="Q1024" s="20" t="n"/>
      <c r="R1024" s="20" t="n"/>
      <c r="S1024" s="20" t="n"/>
    </row>
    <row r="1025">
      <c r="A1025" s="15" t="n">
        <v>45557</v>
      </c>
      <c r="B1025" s="20" t="n">
        <v>38</v>
      </c>
      <c r="C1025" s="20" t="n">
        <v>42</v>
      </c>
      <c r="D1025" s="17" t="inlineStr">
        <is>
          <t>Burly County Park , OR</t>
        </is>
      </c>
      <c r="E1025" s="9">
        <f>if($A1025&lt;&gt;"",E1024+B1025,"")</f>
        <v/>
      </c>
      <c r="F1025" s="9">
        <f>if($A1025&lt;&gt;"",F1024+C1025,"")</f>
        <v/>
      </c>
      <c r="G1025" s="11">
        <f>IF($A1025&lt;&gt;"",IF(F1025-E1025=0,"tie",IF(F1025-E1025&gt;0,"+"&amp;F1025-E1025,"+"&amp;E1025-F1025)),"")</f>
        <v/>
      </c>
      <c r="H1025" s="12">
        <f>if($A1025&lt;&gt;"",if(B1025&gt;C1025,if(B1025&lt;60,1,2),""),"")</f>
        <v/>
      </c>
      <c r="I1025" s="12">
        <f>if($A1025&lt;&gt;"",if(C1025&gt;B1025,if(C1025&lt;60,1,2),""),"")</f>
        <v/>
      </c>
      <c r="J1025" s="9">
        <f>if($A1025&lt;&gt;"",J1024+H1025,"")</f>
        <v/>
      </c>
      <c r="K1025" s="9">
        <f>if($A1025&lt;&gt;"",K1024+I1025,"")</f>
        <v/>
      </c>
      <c r="L1025" s="11">
        <f>IF($A1025&lt;&gt;"",IF(K1025-J1025=0,"tie",IF(K1025-J1025&gt;0,"+"&amp;K1025-J1025,"+"&amp;J1025-K1025)),"")</f>
        <v/>
      </c>
      <c r="M1025" s="20" t="n"/>
      <c r="N1025" s="20" t="n"/>
      <c r="O1025" s="20" t="n"/>
      <c r="P1025" s="20" t="n"/>
      <c r="Q1025" s="20" t="n"/>
      <c r="R1025" s="20" t="n"/>
      <c r="S1025" s="20" t="n"/>
    </row>
    <row r="1026">
      <c r="A1026" s="15" t="n">
        <v>45558</v>
      </c>
      <c r="B1026" s="20" t="n">
        <v>61</v>
      </c>
      <c r="C1026" s="20" t="n">
        <v>34</v>
      </c>
      <c r="D1026" s="17" t="inlineStr">
        <is>
          <t>Pirates Cove, Bar View, OR</t>
        </is>
      </c>
      <c r="E1026" s="9">
        <f>if($A1026&lt;&gt;"",E1025+B1026,"")</f>
        <v/>
      </c>
      <c r="F1026" s="9">
        <f>if($A1026&lt;&gt;"",F1025+C1026,"")</f>
        <v/>
      </c>
      <c r="G1026" s="11">
        <f>IF($A1026&lt;&gt;"",IF(F1026-E1026=0,"tie",IF(F1026-E1026&gt;0,"+"&amp;F1026-E1026,"+"&amp;E1026-F1026)),"")</f>
        <v/>
      </c>
      <c r="H1026" s="12">
        <f>if($A1026&lt;&gt;"",if(B1026&gt;C1026,if(B1026&lt;60,1,2),""),"")</f>
        <v/>
      </c>
      <c r="I1026" s="12">
        <f>if($A1026&lt;&gt;"",if(C1026&gt;B1026,if(C1026&lt;60,1,2),""),"")</f>
        <v/>
      </c>
      <c r="J1026" s="9">
        <f>if($A1026&lt;&gt;"",J1025+H1026,"")</f>
        <v/>
      </c>
      <c r="K1026" s="9">
        <f>if($A1026&lt;&gt;"",K1025+I1026,"")</f>
        <v/>
      </c>
      <c r="L1026" s="11">
        <f>IF($A1026&lt;&gt;"",IF(K1026-J1026=0,"tie",IF(K1026-J1026&gt;0,"+"&amp;K1026-J1026,"+"&amp;J1026-K1026)),"")</f>
        <v/>
      </c>
      <c r="M1026" s="20" t="n"/>
      <c r="N1026" s="20" t="n"/>
      <c r="O1026" s="20" t="n"/>
      <c r="P1026" s="20" t="n"/>
      <c r="Q1026" s="20" t="n"/>
      <c r="R1026" s="20" t="n"/>
      <c r="S1026" s="20" t="n"/>
    </row>
    <row r="1027">
      <c r="A1027" s="15" t="n">
        <v>45560</v>
      </c>
      <c r="B1027" s="20" t="n">
        <v>12</v>
      </c>
      <c r="C1027" s="20" t="n">
        <v>34</v>
      </c>
      <c r="D1027" s="17" t="inlineStr">
        <is>
          <t>Tapiola Park, Asteria, OR</t>
        </is>
      </c>
      <c r="E1027" s="9">
        <f>if($A1027&lt;&gt;"",E1026+B1027,"")</f>
        <v/>
      </c>
      <c r="F1027" s="9">
        <f>if($A1027&lt;&gt;"",F1026+C1027,"")</f>
        <v/>
      </c>
      <c r="G1027" s="11">
        <f>IF($A1027&lt;&gt;"",IF(F1027-E1027=0,"tie",IF(F1027-E1027&gt;0,"+"&amp;F1027-E1027,"+"&amp;E1027-F1027)),"")</f>
        <v/>
      </c>
      <c r="H1027" s="12">
        <f>if($A1027&lt;&gt;"",if(B1027&gt;C1027,if(B1027&lt;60,1,2),""),"")</f>
        <v/>
      </c>
      <c r="I1027" s="12">
        <f>if($A1027&lt;&gt;"",if(C1027&gt;B1027,if(C1027&lt;60,1,2),""),"")</f>
        <v/>
      </c>
      <c r="J1027" s="9">
        <f>if($A1027&lt;&gt;"",J1026+H1027,"")</f>
        <v/>
      </c>
      <c r="K1027" s="9">
        <f>if($A1027&lt;&gt;"",K1026+I1027,"")</f>
        <v/>
      </c>
      <c r="L1027" s="11">
        <f>IF($A1027&lt;&gt;"",IF(K1027-J1027=0,"tie",IF(K1027-J1027&gt;0,"+"&amp;K1027-J1027,"+"&amp;J1027-K1027)),"")</f>
        <v/>
      </c>
      <c r="M1027" s="20" t="n"/>
      <c r="N1027" s="20" t="n"/>
      <c r="O1027" s="20" t="n"/>
      <c r="P1027" s="20" t="n"/>
      <c r="Q1027" s="20" t="n"/>
      <c r="R1027" s="20" t="n"/>
      <c r="S1027" s="20" t="n"/>
    </row>
    <row r="1028">
      <c r="A1028" s="15" t="n">
        <v>45560</v>
      </c>
      <c r="B1028" s="20" t="n">
        <v>16</v>
      </c>
      <c r="C1028" s="20" t="n">
        <v>34</v>
      </c>
      <c r="D1028" s="17" t="inlineStr">
        <is>
          <t>Tapiola Park, Asteria, OR</t>
        </is>
      </c>
      <c r="E1028" s="9">
        <f>if($A1028&lt;&gt;"",E1027+B1028,"")</f>
        <v/>
      </c>
      <c r="F1028" s="9">
        <f>if($A1028&lt;&gt;"",F1027+C1028,"")</f>
        <v/>
      </c>
      <c r="G1028" s="11">
        <f>IF($A1028&lt;&gt;"",IF(F1028-E1028=0,"tie",IF(F1028-E1028&gt;0,"+"&amp;F1028-E1028,"+"&amp;E1028-F1028)),"")</f>
        <v/>
      </c>
      <c r="H1028" s="12">
        <f>if($A1028&lt;&gt;"",if(B1028&gt;C1028,if(B1028&lt;60,1,2),""),"")</f>
        <v/>
      </c>
      <c r="I1028" s="12">
        <f>if($A1028&lt;&gt;"",if(C1028&gt;B1028,if(C1028&lt;60,1,2),""),"")</f>
        <v/>
      </c>
      <c r="J1028" s="9">
        <f>if($A1028&lt;&gt;"",J1027+H1028,"")</f>
        <v/>
      </c>
      <c r="K1028" s="9">
        <f>if($A1028&lt;&gt;"",K1027+I1028,"")</f>
        <v/>
      </c>
      <c r="L1028" s="11">
        <f>IF($A1028&lt;&gt;"",IF(K1028-J1028=0,"tie",IF(K1028-J1028&gt;0,"+"&amp;K1028-J1028,"+"&amp;J1028-K1028)),"")</f>
        <v/>
      </c>
      <c r="M1028" s="20" t="n"/>
      <c r="N1028" s="20" t="n"/>
      <c r="O1028" s="20" t="n"/>
      <c r="P1028" s="20" t="n"/>
      <c r="Q1028" s="20" t="n"/>
      <c r="R1028" s="20" t="n"/>
      <c r="S1028" s="20" t="n"/>
    </row>
    <row r="1029">
      <c r="A1029" s="15" t="n">
        <v>45560</v>
      </c>
      <c r="B1029" s="20" t="n">
        <v>25</v>
      </c>
      <c r="C1029" s="20" t="n">
        <v>33</v>
      </c>
      <c r="D1029" s="17" t="inlineStr">
        <is>
          <t>Ilwaco, WA</t>
        </is>
      </c>
      <c r="E1029" s="9">
        <f>if($A1029&lt;&gt;"",E1028+B1029,"")</f>
        <v/>
      </c>
      <c r="F1029" s="9">
        <f>if($A1029&lt;&gt;"",F1028+C1029,"")</f>
        <v/>
      </c>
      <c r="G1029" s="11">
        <f>IF($A1029&lt;&gt;"",IF(F1029-E1029=0,"tie",IF(F1029-E1029&gt;0,"+"&amp;F1029-E1029,"+"&amp;E1029-F1029)),"")</f>
        <v/>
      </c>
      <c r="H1029" s="12">
        <f>if($A1029&lt;&gt;"",if(B1029&gt;C1029,if(B1029&lt;60,1,2),""),"")</f>
        <v/>
      </c>
      <c r="I1029" s="12">
        <f>if($A1029&lt;&gt;"",if(C1029&gt;B1029,if(C1029&lt;60,1,2),""),"")</f>
        <v/>
      </c>
      <c r="J1029" s="9">
        <f>if($A1029&lt;&gt;"",J1028+H1029,"")</f>
        <v/>
      </c>
      <c r="K1029" s="9">
        <f>if($A1029&lt;&gt;"",K1028+I1029,"")</f>
        <v/>
      </c>
      <c r="L1029" s="11">
        <f>IF($A1029&lt;&gt;"",IF(K1029-J1029=0,"tie",IF(K1029-J1029&gt;0,"+"&amp;K1029-J1029,"+"&amp;J1029-K1029)),"")</f>
        <v/>
      </c>
      <c r="M1029" s="20" t="n"/>
      <c r="N1029" s="20" t="n"/>
      <c r="O1029" s="20" t="n"/>
      <c r="P1029" s="20" t="n"/>
      <c r="Q1029" s="20" t="n"/>
      <c r="R1029" s="20" t="n"/>
      <c r="S1029" s="20" t="n"/>
    </row>
    <row r="1030">
      <c r="A1030" s="15" t="n">
        <v>45561</v>
      </c>
      <c r="B1030" s="20" t="n">
        <v>63</v>
      </c>
      <c r="C1030" s="20" t="n">
        <v>48</v>
      </c>
      <c r="D1030" s="17" t="inlineStr">
        <is>
          <t>Old Town Cafe, Ilwaco, WA</t>
        </is>
      </c>
      <c r="E1030" s="9">
        <f>if($A1030&lt;&gt;"",E1029+B1030,"")</f>
        <v/>
      </c>
      <c r="F1030" s="9">
        <f>if($A1030&lt;&gt;"",F1029+C1030,"")</f>
        <v/>
      </c>
      <c r="G1030" s="11">
        <f>IF($A1030&lt;&gt;"",IF(F1030-E1030=0,"tie",IF(F1030-E1030&gt;0,"+"&amp;F1030-E1030,"+"&amp;E1030-F1030)),"")</f>
        <v/>
      </c>
      <c r="H1030" s="12">
        <f>if($A1030&lt;&gt;"",if(B1030&gt;C1030,if(B1030&lt;60,1,2),""),"")</f>
        <v/>
      </c>
      <c r="I1030" s="12">
        <f>if($A1030&lt;&gt;"",if(C1030&gt;B1030,if(C1030&lt;60,1,2),""),"")</f>
        <v/>
      </c>
      <c r="J1030" s="9">
        <f>if($A1030&lt;&gt;"",J1029+H1030,"")</f>
        <v/>
      </c>
      <c r="K1030" s="9">
        <f>if($A1030&lt;&gt;"",K1029+I1030,"")</f>
        <v/>
      </c>
      <c r="L1030" s="11">
        <f>IF($A1030&lt;&gt;"",IF(K1030-J1030=0,"tie",IF(K1030-J1030&gt;0,"+"&amp;K1030-J1030,"+"&amp;J1030-K1030)),"")</f>
        <v/>
      </c>
      <c r="M1030" s="20" t="n"/>
      <c r="N1030" s="20" t="n"/>
      <c r="O1030" s="20" t="n"/>
      <c r="P1030" s="20" t="n"/>
      <c r="Q1030" s="20" t="n"/>
      <c r="R1030" s="20" t="n"/>
      <c r="S1030" s="20" t="n"/>
    </row>
    <row r="1031">
      <c r="A1031" s="15" t="n">
        <v>45561</v>
      </c>
      <c r="B1031" s="20" t="n">
        <v>22</v>
      </c>
      <c r="C1031" s="20" t="n">
        <v>35</v>
      </c>
      <c r="D1031" s="17" t="inlineStr">
        <is>
          <t>Grayland Beach State Park, WA</t>
        </is>
      </c>
      <c r="E1031" s="9">
        <f>if($A1031&lt;&gt;"",E1030+B1031,"")</f>
        <v/>
      </c>
      <c r="F1031" s="9">
        <f>if($A1031&lt;&gt;"",F1030+C1031,"")</f>
        <v/>
      </c>
      <c r="G1031" s="11">
        <f>IF($A1031&lt;&gt;"",IF(F1031-E1031=0,"tie",IF(F1031-E1031&gt;0,"+"&amp;F1031-E1031,"+"&amp;E1031-F1031)),"")</f>
        <v/>
      </c>
      <c r="H1031" s="12">
        <f>if($A1031&lt;&gt;"",if(B1031&gt;C1031,if(B1031&lt;60,1,2),""),"")</f>
        <v/>
      </c>
      <c r="I1031" s="12">
        <f>if($A1031&lt;&gt;"",if(C1031&gt;B1031,if(C1031&lt;60,1,2),""),"")</f>
        <v/>
      </c>
      <c r="J1031" s="9">
        <f>if($A1031&lt;&gt;"",J1030+H1031,"")</f>
        <v/>
      </c>
      <c r="K1031" s="9">
        <f>if($A1031&lt;&gt;"",K1030+I1031,"")</f>
        <v/>
      </c>
      <c r="L1031" s="11">
        <f>IF($A1031&lt;&gt;"",IF(K1031-J1031=0,"tie",IF(K1031-J1031&gt;0,"+"&amp;K1031-J1031,"+"&amp;J1031-K1031)),"")</f>
        <v/>
      </c>
      <c r="M1031" s="20" t="n"/>
      <c r="N1031" s="20" t="n"/>
      <c r="O1031" s="20" t="n"/>
      <c r="P1031" s="20" t="n"/>
      <c r="Q1031" s="20" t="n"/>
      <c r="R1031" s="20" t="n"/>
      <c r="S1031" s="20" t="n"/>
    </row>
    <row r="1032">
      <c r="A1032" s="15" t="n">
        <v>45562</v>
      </c>
      <c r="B1032" s="20" t="n">
        <v>27</v>
      </c>
      <c r="C1032" s="20" t="n">
        <v>31</v>
      </c>
      <c r="D1032" s="17" t="inlineStr">
        <is>
          <t>Billy's Bar and Grill, Aberdeen, WA</t>
        </is>
      </c>
      <c r="E1032" s="9">
        <f>if($A1032&lt;&gt;"",E1031+B1032,"")</f>
        <v/>
      </c>
      <c r="F1032" s="9">
        <f>if($A1032&lt;&gt;"",F1031+C1032,"")</f>
        <v/>
      </c>
      <c r="G1032" s="11">
        <f>IF($A1032&lt;&gt;"",IF(F1032-E1032=0,"tie",IF(F1032-E1032&gt;0,"+"&amp;F1032-E1032,"+"&amp;E1032-F1032)),"")</f>
        <v/>
      </c>
      <c r="H1032" s="12">
        <f>if($A1032&lt;&gt;"",if(B1032&gt;C1032,if(B1032&lt;60,1,2),""),"")</f>
        <v/>
      </c>
      <c r="I1032" s="12">
        <f>if($A1032&lt;&gt;"",if(C1032&gt;B1032,if(C1032&lt;60,1,2),""),"")</f>
        <v/>
      </c>
      <c r="J1032" s="9">
        <f>if($A1032&lt;&gt;"",J1031+H1032,"")</f>
        <v/>
      </c>
      <c r="K1032" s="9">
        <f>if($A1032&lt;&gt;"",K1031+I1032,"")</f>
        <v/>
      </c>
      <c r="L1032" s="11">
        <f>IF($A1032&lt;&gt;"",IF(K1032-J1032=0,"tie",IF(K1032-J1032&gt;0,"+"&amp;K1032-J1032,"+"&amp;J1032-K1032)),"")</f>
        <v/>
      </c>
      <c r="M1032" s="20" t="n"/>
      <c r="N1032" s="20" t="n"/>
      <c r="O1032" s="20" t="n"/>
      <c r="P1032" s="20" t="n"/>
      <c r="Q1032" s="20" t="n"/>
      <c r="R1032" s="20" t="n"/>
      <c r="S1032" s="20" t="n"/>
    </row>
    <row r="1033">
      <c r="A1033" s="15" t="n">
        <v>45563</v>
      </c>
      <c r="B1033" s="20" t="n">
        <v>31</v>
      </c>
      <c r="C1033" s="20" t="n">
        <v>17</v>
      </c>
      <c r="D1033" s="17" t="inlineStr">
        <is>
          <t>Kalaloch, WA</t>
        </is>
      </c>
      <c r="E1033" s="9">
        <f>if($A1033&lt;&gt;"",E1032+B1033,"")</f>
        <v/>
      </c>
      <c r="F1033" s="9">
        <f>if($A1033&lt;&gt;"",F1032+C1033,"")</f>
        <v/>
      </c>
      <c r="G1033" s="11">
        <f>IF($A1033&lt;&gt;"",IF(F1033-E1033=0,"tie",IF(F1033-E1033&gt;0,"+"&amp;F1033-E1033,"+"&amp;E1033-F1033)),"")</f>
        <v/>
      </c>
      <c r="H1033" s="12">
        <f>if($A1033&lt;&gt;"",if(B1033&gt;C1033,if(B1033&lt;60,1,2),""),"")</f>
        <v/>
      </c>
      <c r="I1033" s="12">
        <f>if($A1033&lt;&gt;"",if(C1033&gt;B1033,if(C1033&lt;60,1,2),""),"")</f>
        <v/>
      </c>
      <c r="J1033" s="9">
        <f>if($A1033&lt;&gt;"",J1032+H1033,"")</f>
        <v/>
      </c>
      <c r="K1033" s="9">
        <f>if($A1033&lt;&gt;"",K1032+I1033,"")</f>
        <v/>
      </c>
      <c r="L1033" s="11">
        <f>IF($A1033&lt;&gt;"",IF(K1033-J1033=0,"tie",IF(K1033-J1033&gt;0,"+"&amp;K1033-J1033,"+"&amp;J1033-K1033)),"")</f>
        <v/>
      </c>
      <c r="M1033" s="20" t="n"/>
      <c r="N1033" s="20" t="n"/>
      <c r="O1033" s="20" t="n"/>
      <c r="P1033" s="20" t="n"/>
      <c r="Q1033" s="20" t="n"/>
      <c r="R1033" s="20" t="n"/>
      <c r="S1033" s="20" t="n"/>
    </row>
    <row r="1034">
      <c r="A1034" s="15" t="n">
        <v>45563</v>
      </c>
      <c r="B1034" s="20" t="n">
        <v>38</v>
      </c>
      <c r="C1034" s="20" t="n">
        <v>22</v>
      </c>
      <c r="D1034" s="17" t="inlineStr">
        <is>
          <t>Mora Campground, La Puch, WA</t>
        </is>
      </c>
      <c r="E1034" s="9">
        <f>if($A1034&lt;&gt;"",E1033+B1034,"")</f>
        <v/>
      </c>
      <c r="F1034" s="9">
        <f>if($A1034&lt;&gt;"",F1033+C1034,"")</f>
        <v/>
      </c>
      <c r="G1034" s="11">
        <f>IF($A1034&lt;&gt;"",IF(F1034-E1034=0,"tie",IF(F1034-E1034&gt;0,"+"&amp;F1034-E1034,"+"&amp;E1034-F1034)),"")</f>
        <v/>
      </c>
      <c r="H1034" s="12">
        <f>if($A1034&lt;&gt;"",if(B1034&gt;C1034,if(B1034&lt;60,1,2),""),"")</f>
        <v/>
      </c>
      <c r="I1034" s="12">
        <f>if($A1034&lt;&gt;"",if(C1034&gt;B1034,if(C1034&lt;60,1,2),""),"")</f>
        <v/>
      </c>
      <c r="J1034" s="9">
        <f>if($A1034&lt;&gt;"",J1033+H1034,"")</f>
        <v/>
      </c>
      <c r="K1034" s="9">
        <f>if($A1034&lt;&gt;"",K1033+I1034,"")</f>
        <v/>
      </c>
      <c r="L1034" s="11">
        <f>IF($A1034&lt;&gt;"",IF(K1034-J1034=0,"tie",IF(K1034-J1034&gt;0,"+"&amp;K1034-J1034,"+"&amp;J1034-K1034)),"")</f>
        <v/>
      </c>
      <c r="M1034" s="20" t="n"/>
      <c r="N1034" s="20" t="n"/>
      <c r="O1034" s="20" t="n"/>
      <c r="P1034" s="20" t="n"/>
      <c r="Q1034" s="20" t="n"/>
      <c r="R1034" s="20" t="n"/>
      <c r="S1034" s="20" t="n"/>
    </row>
    <row r="1035">
      <c r="A1035" s="15" t="n">
        <v>45564</v>
      </c>
      <c r="B1035" s="20" t="n">
        <v>33</v>
      </c>
      <c r="C1035" s="20" t="n">
        <v>29</v>
      </c>
      <c r="D1035" s="17" t="inlineStr">
        <is>
          <t>Mora Campground, La Puch, WA</t>
        </is>
      </c>
      <c r="E1035" s="9">
        <f>if($A1035&lt;&gt;"",E1034+B1035,"")</f>
        <v/>
      </c>
      <c r="F1035" s="9">
        <f>if($A1035&lt;&gt;"",F1034+C1035,"")</f>
        <v/>
      </c>
      <c r="G1035" s="11">
        <f>IF($A1035&lt;&gt;"",IF(F1035-E1035=0,"tie",IF(F1035-E1035&gt;0,"+"&amp;F1035-E1035,"+"&amp;E1035-F1035)),"")</f>
        <v/>
      </c>
      <c r="H1035" s="12">
        <f>if($A1035&lt;&gt;"",if(B1035&gt;C1035,if(B1035&lt;60,1,2),""),"")</f>
        <v/>
      </c>
      <c r="I1035" s="12">
        <f>if($A1035&lt;&gt;"",if(C1035&gt;B1035,if(C1035&lt;60,1,2),""),"")</f>
        <v/>
      </c>
      <c r="J1035" s="9">
        <f>if($A1035&lt;&gt;"",J1034+H1035,"")</f>
        <v/>
      </c>
      <c r="K1035" s="9">
        <f>if($A1035&lt;&gt;"",K1034+I1035,"")</f>
        <v/>
      </c>
      <c r="L1035" s="11">
        <f>IF($A1035&lt;&gt;"",IF(K1035-J1035=0,"tie",IF(K1035-J1035&gt;0,"+"&amp;K1035-J1035,"+"&amp;J1035-K1035)),"")</f>
        <v/>
      </c>
      <c r="M1035" s="20" t="n"/>
      <c r="N1035" s="20" t="n"/>
      <c r="O1035" s="20" t="n"/>
      <c r="P1035" s="20" t="n"/>
      <c r="Q1035" s="20" t="n"/>
      <c r="R1035" s="20" t="n"/>
      <c r="S1035" s="20" t="n"/>
    </row>
    <row r="1036">
      <c r="A1036" s="15" t="n">
        <v>45564</v>
      </c>
      <c r="B1036" s="20" t="n">
        <v>62</v>
      </c>
      <c r="C1036" s="20" t="n">
        <v>50</v>
      </c>
      <c r="D1036" s="17" t="inlineStr">
        <is>
          <t>By the Bsy Cafe, Sekiu, WA</t>
        </is>
      </c>
      <c r="E1036" s="9">
        <f>if($A1036&lt;&gt;"",E1035+B1036,"")</f>
        <v/>
      </c>
      <c r="F1036" s="9">
        <f>if($A1036&lt;&gt;"",F1035+C1036,"")</f>
        <v/>
      </c>
      <c r="G1036" s="11">
        <f>IF($A1036&lt;&gt;"",IF(F1036-E1036=0,"tie",IF(F1036-E1036&gt;0,"+"&amp;F1036-E1036,"+"&amp;E1036-F1036)),"")</f>
        <v/>
      </c>
      <c r="H1036" s="12">
        <f>if($A1036&lt;&gt;"",if(B1036&gt;C1036,if(B1036&lt;60,1,2),""),"")</f>
        <v/>
      </c>
      <c r="I1036" s="12">
        <f>if($A1036&lt;&gt;"",if(C1036&gt;B1036,if(C1036&lt;60,1,2),""),"")</f>
        <v/>
      </c>
      <c r="J1036" s="9">
        <f>if($A1036&lt;&gt;"",J1035+H1036,"")</f>
        <v/>
      </c>
      <c r="K1036" s="9">
        <f>if($A1036&lt;&gt;"",K1035+I1036,"")</f>
        <v/>
      </c>
      <c r="L1036" s="11">
        <f>IF($A1036&lt;&gt;"",IF(K1036-J1036=0,"tie",IF(K1036-J1036&gt;0,"+"&amp;K1036-J1036,"+"&amp;J1036-K1036)),"")</f>
        <v/>
      </c>
      <c r="M1036" s="20" t="n"/>
      <c r="N1036" s="20" t="n"/>
      <c r="O1036" s="20" t="n"/>
      <c r="P1036" s="20" t="n"/>
      <c r="Q1036" s="20" t="n"/>
      <c r="R1036" s="20" t="n"/>
      <c r="S1036" s="20" t="n"/>
    </row>
    <row r="1037">
      <c r="A1037" s="15" t="n">
        <v>45566</v>
      </c>
      <c r="B1037" s="20" t="n">
        <v>33</v>
      </c>
      <c r="C1037" s="20" t="n">
        <v>34</v>
      </c>
      <c r="D1037" s="17" t="inlineStr">
        <is>
          <t>Sol Duc Campground, WA</t>
        </is>
      </c>
      <c r="E1037" s="9">
        <f>if($A1037&lt;&gt;"",E1036+B1037,"")</f>
        <v/>
      </c>
      <c r="F1037" s="9">
        <f>if($A1037&lt;&gt;"",F1036+C1037,"")</f>
        <v/>
      </c>
      <c r="G1037" s="11">
        <f>IF($A1037&lt;&gt;"",IF(F1037-E1037=0,"tie",IF(F1037-E1037&gt;0,"+"&amp;F1037-E1037,"+"&amp;E1037-F1037)),"")</f>
        <v/>
      </c>
      <c r="H1037" s="12">
        <f>if($A1037&lt;&gt;"",if(B1037&gt;C1037,if(B1037&lt;60,1,2),""),"")</f>
        <v/>
      </c>
      <c r="I1037" s="12">
        <f>if($A1037&lt;&gt;"",if(C1037&gt;B1037,if(C1037&lt;60,1,2),""),"")</f>
        <v/>
      </c>
      <c r="J1037" s="9">
        <f>if($A1037&lt;&gt;"",J1036+H1037,"")</f>
        <v/>
      </c>
      <c r="K1037" s="9">
        <f>if($A1037&lt;&gt;"",K1036+I1037,"")</f>
        <v/>
      </c>
      <c r="L1037" s="11">
        <f>IF($A1037&lt;&gt;"",IF(K1037-J1037=0,"tie",IF(K1037-J1037&gt;0,"+"&amp;K1037-J1037,"+"&amp;J1037-K1037)),"")</f>
        <v/>
      </c>
      <c r="M1037" s="20" t="n"/>
      <c r="N1037" s="20" t="n"/>
      <c r="O1037" s="20" t="n"/>
      <c r="P1037" s="20" t="n"/>
      <c r="Q1037" s="20" t="n"/>
      <c r="R1037" s="20" t="n"/>
      <c r="S1037" s="20" t="n"/>
    </row>
    <row r="1038">
      <c r="A1038" s="15" t="n">
        <v>45566</v>
      </c>
      <c r="B1038" s="20" t="n">
        <v>31</v>
      </c>
      <c r="C1038" s="20" t="n">
        <v>25</v>
      </c>
      <c r="D1038" s="17" t="inlineStr">
        <is>
          <t>Port Angeles Ferry Terminal, WA</t>
        </is>
      </c>
      <c r="E1038" s="9">
        <f>if($A1038&lt;&gt;"",E1037+B1038,"")</f>
        <v/>
      </c>
      <c r="F1038" s="9">
        <f>if($A1038&lt;&gt;"",F1037+C1038,"")</f>
        <v/>
      </c>
      <c r="G1038" s="11">
        <f>IF($A1038&lt;&gt;"",IF(F1038-E1038=0,"tie",IF(F1038-E1038&gt;0,"+"&amp;F1038-E1038,"+"&amp;E1038-F1038)),"")</f>
        <v/>
      </c>
      <c r="H1038" s="12">
        <f>if($A1038&lt;&gt;"",if(B1038&gt;C1038,if(B1038&lt;60,1,2),""),"")</f>
        <v/>
      </c>
      <c r="I1038" s="12">
        <f>if($A1038&lt;&gt;"",if(C1038&gt;B1038,if(C1038&lt;60,1,2),""),"")</f>
        <v/>
      </c>
      <c r="J1038" s="9">
        <f>if($A1038&lt;&gt;"",J1037+H1038,"")</f>
        <v/>
      </c>
      <c r="K1038" s="9">
        <f>if($A1038&lt;&gt;"",K1037+I1038,"")</f>
        <v/>
      </c>
      <c r="L1038" s="11">
        <f>IF($A1038&lt;&gt;"",IF(K1038-J1038=0,"tie",IF(K1038-J1038&gt;0,"+"&amp;K1038-J1038,"+"&amp;J1038-K1038)),"")</f>
        <v/>
      </c>
      <c r="M1038" s="20" t="n"/>
      <c r="N1038" s="20" t="n"/>
      <c r="O1038" s="20" t="n"/>
      <c r="P1038" s="20" t="n"/>
      <c r="Q1038" s="20" t="n"/>
      <c r="R1038" s="20" t="n"/>
      <c r="S1038" s="20" t="n"/>
    </row>
    <row r="1039">
      <c r="A1039" s="15" t="n">
        <v>45566</v>
      </c>
      <c r="B1039" s="20" t="n">
        <v>32</v>
      </c>
      <c r="C1039" s="20" t="n">
        <v>34</v>
      </c>
      <c r="D1039" s="17" t="inlineStr">
        <is>
          <t>Port Angeles, WA</t>
        </is>
      </c>
      <c r="E1039" s="9">
        <f>if($A1039&lt;&gt;"",E1038+B1039,"")</f>
        <v/>
      </c>
      <c r="F1039" s="9">
        <f>if($A1039&lt;&gt;"",F1038+C1039,"")</f>
        <v/>
      </c>
      <c r="G1039" s="11">
        <f>IF($A1039&lt;&gt;"",IF(F1039-E1039=0,"tie",IF(F1039-E1039&gt;0,"+"&amp;F1039-E1039,"+"&amp;E1039-F1039)),"")</f>
        <v/>
      </c>
      <c r="H1039" s="12">
        <f>if($A1039&lt;&gt;"",if(B1039&gt;C1039,if(B1039&lt;60,1,2),""),"")</f>
        <v/>
      </c>
      <c r="I1039" s="12">
        <f>if($A1039&lt;&gt;"",if(C1039&gt;B1039,if(C1039&lt;60,1,2),""),"")</f>
        <v/>
      </c>
      <c r="J1039" s="9">
        <f>if($A1039&lt;&gt;"",J1038+H1039,"")</f>
        <v/>
      </c>
      <c r="K1039" s="9">
        <f>if($A1039&lt;&gt;"",K1038+I1039,"")</f>
        <v/>
      </c>
      <c r="L1039" s="11">
        <f>IF($A1039&lt;&gt;"",IF(K1039-J1039=0,"tie",IF(K1039-J1039&gt;0,"+"&amp;K1039-J1039,"+"&amp;J1039-K1039)),"")</f>
        <v/>
      </c>
      <c r="M1039" s="20" t="n"/>
      <c r="N1039" s="20" t="n"/>
      <c r="O1039" s="20" t="n"/>
      <c r="P1039" s="20" t="n"/>
      <c r="Q1039" s="20" t="n"/>
      <c r="R1039" s="20" t="n"/>
      <c r="S1039" s="20" t="n"/>
    </row>
    <row r="1040">
      <c r="A1040" s="15" t="n">
        <v>45567</v>
      </c>
      <c r="B1040" s="20" t="n">
        <v>28</v>
      </c>
      <c r="C1040" s="20" t="n">
        <v>65</v>
      </c>
      <c r="D1040" s="17" t="inlineStr">
        <is>
          <t>Port Angeles, WA - Victoria, BC Ferry</t>
        </is>
      </c>
      <c r="E1040" s="9">
        <f>if($A1040&lt;&gt;"",E1039+B1040,"")</f>
        <v/>
      </c>
      <c r="F1040" s="9">
        <f>if($A1040&lt;&gt;"",F1039+C1040,"")</f>
        <v/>
      </c>
      <c r="G1040" s="11">
        <f>IF($A1040&lt;&gt;"",IF(F1040-E1040=0,"tie",IF(F1040-E1040&gt;0,"+"&amp;F1040-E1040,"+"&amp;E1040-F1040)),"")</f>
        <v/>
      </c>
      <c r="H1040" s="12">
        <f>if($A1040&lt;&gt;"",if(B1040&gt;C1040,if(B1040&lt;60,1,2),""),"")</f>
        <v/>
      </c>
      <c r="I1040" s="12">
        <f>if($A1040&lt;&gt;"",if(C1040&gt;B1040,if(C1040&lt;60,1,2),""),"")</f>
        <v/>
      </c>
      <c r="J1040" s="9">
        <f>if($A1040&lt;&gt;"",J1039+H1040,"")</f>
        <v/>
      </c>
      <c r="K1040" s="9">
        <f>if($A1040&lt;&gt;"",K1039+I1040,"")</f>
        <v/>
      </c>
      <c r="L1040" s="11">
        <f>IF($A1040&lt;&gt;"",IF(K1040-J1040=0,"tie",IF(K1040-J1040&gt;0,"+"&amp;K1040-J1040,"+"&amp;J1040-K1040)),"")</f>
        <v/>
      </c>
      <c r="M1040" s="20" t="n"/>
      <c r="N1040" s="20" t="n"/>
      <c r="O1040" s="20" t="n"/>
      <c r="P1040" s="20" t="n"/>
      <c r="Q1040" s="20" t="n"/>
      <c r="R1040" s="20" t="n"/>
      <c r="S1040" s="20" t="n"/>
    </row>
    <row r="1041">
      <c r="A1041" s="15" t="n">
        <v>45567</v>
      </c>
      <c r="B1041" s="20" t="n">
        <v>28</v>
      </c>
      <c r="C1041" s="20" t="n">
        <v>51</v>
      </c>
      <c r="D1041" s="17" t="inlineStr">
        <is>
          <t>Victoria, BC</t>
        </is>
      </c>
      <c r="E1041" s="9">
        <f>if($A1041&lt;&gt;"",E1040+B1041,"")</f>
        <v/>
      </c>
      <c r="F1041" s="9">
        <f>if($A1041&lt;&gt;"",F1040+C1041,"")</f>
        <v/>
      </c>
      <c r="G1041" s="11">
        <f>IF($A1041&lt;&gt;"",IF(F1041-E1041=0,"tie",IF(F1041-E1041&gt;0,"+"&amp;F1041-E1041,"+"&amp;E1041-F1041)),"")</f>
        <v/>
      </c>
      <c r="H1041" s="12">
        <f>if($A1041&lt;&gt;"",if(B1041&gt;C1041,if(B1041&lt;60,1,2),""),"")</f>
        <v/>
      </c>
      <c r="I1041" s="12">
        <f>if($A1041&lt;&gt;"",if(C1041&gt;B1041,if(C1041&lt;60,1,2),""),"")</f>
        <v/>
      </c>
      <c r="J1041" s="9">
        <f>if($A1041&lt;&gt;"",J1040+H1041,"")</f>
        <v/>
      </c>
      <c r="K1041" s="9">
        <f>if($A1041&lt;&gt;"",K1040+I1041,"")</f>
        <v/>
      </c>
      <c r="L1041" s="11">
        <f>IF($A1041&lt;&gt;"",IF(K1041-J1041=0,"tie",IF(K1041-J1041&gt;0,"+"&amp;K1041-J1041,"+"&amp;J1041-K1041)),"")</f>
        <v/>
      </c>
      <c r="M1041" s="20" t="n"/>
      <c r="N1041" s="20" t="n"/>
      <c r="O1041" s="20" t="n"/>
      <c r="P1041" s="20" t="n"/>
      <c r="Q1041" s="20" t="n"/>
      <c r="R1041" s="20" t="n"/>
      <c r="S1041" s="20" t="n"/>
    </row>
    <row r="1042">
      <c r="A1042" s="15" t="n">
        <v>45568</v>
      </c>
      <c r="B1042" s="20" t="n">
        <v>53</v>
      </c>
      <c r="C1042" s="20" t="n">
        <v>34</v>
      </c>
      <c r="D1042" s="17" t="inlineStr">
        <is>
          <t>Butchart Gardens, BC</t>
        </is>
      </c>
      <c r="E1042" s="9">
        <f>if($A1042&lt;&gt;"",E1041+B1042,"")</f>
        <v/>
      </c>
      <c r="F1042" s="9">
        <f>if($A1042&lt;&gt;"",F1041+C1042,"")</f>
        <v/>
      </c>
      <c r="G1042" s="11">
        <f>IF($A1042&lt;&gt;"",IF(F1042-E1042=0,"tie",IF(F1042-E1042&gt;0,"+"&amp;F1042-E1042,"+"&amp;E1042-F1042)),"")</f>
        <v/>
      </c>
      <c r="H1042" s="12">
        <f>if($A1042&lt;&gt;"",if(B1042&gt;C1042,if(B1042&lt;60,1,2),""),"")</f>
        <v/>
      </c>
      <c r="I1042" s="12">
        <f>if($A1042&lt;&gt;"",if(C1042&gt;B1042,if(C1042&lt;60,1,2),""),"")</f>
        <v/>
      </c>
      <c r="J1042" s="9">
        <f>if($A1042&lt;&gt;"",J1041+H1042,"")</f>
        <v/>
      </c>
      <c r="K1042" s="9">
        <f>if($A1042&lt;&gt;"",K1041+I1042,"")</f>
        <v/>
      </c>
      <c r="L1042" s="11">
        <f>IF($A1042&lt;&gt;"",IF(K1042-J1042=0,"tie",IF(K1042-J1042&gt;0,"+"&amp;K1042-J1042,"+"&amp;J1042-K1042)),"")</f>
        <v/>
      </c>
      <c r="M1042" s="20" t="n"/>
      <c r="N1042" s="20" t="n"/>
      <c r="O1042" s="20" t="n"/>
      <c r="P1042" s="20" t="n"/>
      <c r="Q1042" s="20" t="n"/>
      <c r="R1042" s="20" t="n"/>
      <c r="S1042" s="20" t="n"/>
    </row>
    <row r="1043">
      <c r="A1043" s="15" t="n">
        <v>45568</v>
      </c>
      <c r="B1043" s="20" t="n">
        <v>26</v>
      </c>
      <c r="C1043" s="20" t="n">
        <v>33</v>
      </c>
      <c r="D1043" s="17" t="inlineStr">
        <is>
          <t>St. Elizabeth, Sydney, BC</t>
        </is>
      </c>
      <c r="E1043" s="9">
        <f>if($A1043&lt;&gt;"",E1042+B1043,"")</f>
        <v/>
      </c>
      <c r="F1043" s="9">
        <f>if($A1043&lt;&gt;"",F1042+C1043,"")</f>
        <v/>
      </c>
      <c r="G1043" s="11">
        <f>IF($A1043&lt;&gt;"",IF(F1043-E1043=0,"tie",IF(F1043-E1043&gt;0,"+"&amp;F1043-E1043,"+"&amp;E1043-F1043)),"")</f>
        <v/>
      </c>
      <c r="H1043" s="12">
        <f>if($A1043&lt;&gt;"",if(B1043&gt;C1043,if(B1043&lt;60,1,2),""),"")</f>
        <v/>
      </c>
      <c r="I1043" s="12">
        <f>if($A1043&lt;&gt;"",if(C1043&gt;B1043,if(C1043&lt;60,1,2),""),"")</f>
        <v/>
      </c>
      <c r="J1043" s="9">
        <f>if($A1043&lt;&gt;"",J1042+H1043,"")</f>
        <v/>
      </c>
      <c r="K1043" s="9">
        <f>if($A1043&lt;&gt;"",K1042+I1043,"")</f>
        <v/>
      </c>
      <c r="L1043" s="11">
        <f>IF($A1043&lt;&gt;"",IF(K1043-J1043=0,"tie",IF(K1043-J1043&gt;0,"+"&amp;K1043-J1043,"+"&amp;J1043-K1043)),"")</f>
        <v/>
      </c>
      <c r="M1043" s="20" t="n"/>
      <c r="N1043" s="20" t="n"/>
      <c r="O1043" s="20" t="n"/>
      <c r="P1043" s="20" t="n"/>
      <c r="Q1043" s="20" t="n"/>
      <c r="R1043" s="20" t="n"/>
      <c r="S1043" s="20" t="n"/>
    </row>
    <row r="1044">
      <c r="A1044" s="15" t="n">
        <v>45569</v>
      </c>
      <c r="B1044" s="20" t="n">
        <v>12</v>
      </c>
      <c r="C1044" s="20" t="n">
        <v>34</v>
      </c>
      <c r="D1044" s="17" t="inlineStr">
        <is>
          <t>Malahat, BC</t>
        </is>
      </c>
      <c r="E1044" s="9">
        <f>if($A1044&lt;&gt;"",E1043+B1044,"")</f>
        <v/>
      </c>
      <c r="F1044" s="9">
        <f>if($A1044&lt;&gt;"",F1043+C1044,"")</f>
        <v/>
      </c>
      <c r="G1044" s="11">
        <f>IF($A1044&lt;&gt;"",IF(F1044-E1044=0,"tie",IF(F1044-E1044&gt;0,"+"&amp;F1044-E1044,"+"&amp;E1044-F1044)),"")</f>
        <v/>
      </c>
      <c r="H1044" s="12">
        <f>if($A1044&lt;&gt;"",if(B1044&gt;C1044,if(B1044&lt;60,1,2),""),"")</f>
        <v/>
      </c>
      <c r="I1044" s="12">
        <f>if($A1044&lt;&gt;"",if(C1044&gt;B1044,if(C1044&lt;60,1,2),""),"")</f>
        <v/>
      </c>
      <c r="J1044" s="9">
        <f>if($A1044&lt;&gt;"",J1043+H1044,"")</f>
        <v/>
      </c>
      <c r="K1044" s="9">
        <f>if($A1044&lt;&gt;"",K1043+I1044,"")</f>
        <v/>
      </c>
      <c r="L1044" s="11">
        <f>IF($A1044&lt;&gt;"",IF(K1044-J1044=0,"tie",IF(K1044-J1044&gt;0,"+"&amp;K1044-J1044,"+"&amp;J1044-K1044)),"")</f>
        <v/>
      </c>
      <c r="M1044" s="20" t="n"/>
      <c r="N1044" s="20" t="n"/>
      <c r="O1044" s="20" t="n"/>
      <c r="P1044" s="20" t="n"/>
      <c r="Q1044" s="20" t="n"/>
      <c r="R1044" s="20" t="n"/>
      <c r="S1044" s="20" t="n"/>
    </row>
    <row r="1045">
      <c r="A1045" s="15" t="n">
        <v>45569</v>
      </c>
      <c r="B1045" s="20" t="n">
        <v>29</v>
      </c>
      <c r="C1045" s="20" t="n">
        <v>33</v>
      </c>
      <c r="D1045" s="17" t="inlineStr">
        <is>
          <t>Bridgeman Bistro, Mill Bay, BC</t>
        </is>
      </c>
      <c r="E1045" s="9">
        <f>if($A1045&lt;&gt;"",E1044+B1045,"")</f>
        <v/>
      </c>
      <c r="F1045" s="9">
        <f>if($A1045&lt;&gt;"",F1044+C1045,"")</f>
        <v/>
      </c>
      <c r="G1045" s="11">
        <f>IF($A1045&lt;&gt;"",IF(F1045-E1045=0,"tie",IF(F1045-E1045&gt;0,"+"&amp;F1045-E1045,"+"&amp;E1045-F1045)),"")</f>
        <v/>
      </c>
      <c r="H1045" s="12">
        <f>if($A1045&lt;&gt;"",if(B1045&gt;C1045,if(B1045&lt;60,1,2),""),"")</f>
        <v/>
      </c>
      <c r="I1045" s="12">
        <f>if($A1045&lt;&gt;"",if(C1045&gt;B1045,if(C1045&lt;60,1,2),""),"")</f>
        <v/>
      </c>
      <c r="J1045" s="9">
        <f>if($A1045&lt;&gt;"",J1044+H1045,"")</f>
        <v/>
      </c>
      <c r="K1045" s="9">
        <f>if($A1045&lt;&gt;"",K1044+I1045,"")</f>
        <v/>
      </c>
      <c r="L1045" s="11">
        <f>IF($A1045&lt;&gt;"",IF(K1045-J1045=0,"tie",IF(K1045-J1045&gt;0,"+"&amp;K1045-J1045,"+"&amp;J1045-K1045)),"")</f>
        <v/>
      </c>
      <c r="M1045" s="20" t="n"/>
      <c r="N1045" s="20" t="n"/>
      <c r="O1045" s="20" t="n"/>
      <c r="P1045" s="20" t="n"/>
      <c r="Q1045" s="20" t="n"/>
      <c r="R1045" s="20" t="n"/>
      <c r="S1045" s="20" t="n"/>
    </row>
    <row r="1046">
      <c r="A1046" s="15" t="n">
        <v>45570</v>
      </c>
      <c r="B1046" s="20" t="n">
        <v>25</v>
      </c>
      <c r="C1046" s="20" t="n">
        <v>31</v>
      </c>
      <c r="D1046" s="17" t="inlineStr">
        <is>
          <t>Beehive Campground, Mill Bay, BC</t>
        </is>
      </c>
      <c r="E1046" s="9">
        <f>if($A1046&lt;&gt;"",E1045+B1046,"")</f>
        <v/>
      </c>
      <c r="F1046" s="9">
        <f>if($A1046&lt;&gt;"",F1045+C1046,"")</f>
        <v/>
      </c>
      <c r="G1046" s="11">
        <f>IF($A1046&lt;&gt;"",IF(F1046-E1046=0,"tie",IF(F1046-E1046&gt;0,"+"&amp;F1046-E1046,"+"&amp;E1046-F1046)),"")</f>
        <v/>
      </c>
      <c r="H1046" s="12">
        <f>if($A1046&lt;&gt;"",if(B1046&gt;C1046,if(B1046&lt;60,1,2),""),"")</f>
        <v/>
      </c>
      <c r="I1046" s="12">
        <f>if($A1046&lt;&gt;"",if(C1046&gt;B1046,if(C1046&lt;60,1,2),""),"")</f>
        <v/>
      </c>
      <c r="J1046" s="9">
        <f>if($A1046&lt;&gt;"",J1045+H1046,"")</f>
        <v/>
      </c>
      <c r="K1046" s="9">
        <f>if($A1046&lt;&gt;"",K1045+I1046,"")</f>
        <v/>
      </c>
      <c r="L1046" s="11">
        <f>IF($A1046&lt;&gt;"",IF(K1046-J1046=0,"tie",IF(K1046-J1046&gt;0,"+"&amp;K1046-J1046,"+"&amp;J1046-K1046)),"")</f>
        <v/>
      </c>
      <c r="M1046" s="20" t="n"/>
      <c r="N1046" s="20" t="n"/>
      <c r="O1046" s="20" t="n"/>
      <c r="P1046" s="20" t="n"/>
      <c r="Q1046" s="20" t="n"/>
      <c r="R1046" s="20" t="n"/>
      <c r="S1046" s="20" t="n"/>
    </row>
    <row r="1047">
      <c r="A1047" s="15" t="n">
        <v>45570</v>
      </c>
      <c r="B1047" s="20" t="n">
        <v>26</v>
      </c>
      <c r="C1047" s="20" t="n">
        <v>37</v>
      </c>
      <c r="D1047" s="17" t="inlineStr">
        <is>
          <t>Ladysmith, BC</t>
        </is>
      </c>
      <c r="E1047" s="9">
        <f>if($A1047&lt;&gt;"",E1046+B1047,"")</f>
        <v/>
      </c>
      <c r="F1047" s="9">
        <f>if($A1047&lt;&gt;"",F1046+C1047,"")</f>
        <v/>
      </c>
      <c r="G1047" s="11">
        <f>IF($A1047&lt;&gt;"",IF(F1047-E1047=0,"tie",IF(F1047-E1047&gt;0,"+"&amp;F1047-E1047,"+"&amp;E1047-F1047)),"")</f>
        <v/>
      </c>
      <c r="H1047" s="12">
        <f>if($A1047&lt;&gt;"",if(B1047&gt;C1047,if(B1047&lt;60,1,2),""),"")</f>
        <v/>
      </c>
      <c r="I1047" s="12">
        <f>if($A1047&lt;&gt;"",if(C1047&gt;B1047,if(C1047&lt;60,1,2),""),"")</f>
        <v/>
      </c>
      <c r="J1047" s="9">
        <f>if($A1047&lt;&gt;"",J1046+H1047,"")</f>
        <v/>
      </c>
      <c r="K1047" s="9">
        <f>if($A1047&lt;&gt;"",K1046+I1047,"")</f>
        <v/>
      </c>
      <c r="L1047" s="11">
        <f>IF($A1047&lt;&gt;"",IF(K1047-J1047=0,"tie",IF(K1047-J1047&gt;0,"+"&amp;K1047-J1047,"+"&amp;J1047-K1047)),"")</f>
        <v/>
      </c>
      <c r="M1047" s="20" t="n"/>
      <c r="N1047" s="20" t="n"/>
      <c r="O1047" s="20" t="n"/>
      <c r="P1047" s="20" t="n"/>
      <c r="Q1047" s="20" t="n"/>
      <c r="R1047" s="20" t="n"/>
      <c r="S1047" s="20" t="n"/>
    </row>
    <row r="1048">
      <c r="A1048" s="15" t="n">
        <v>45571</v>
      </c>
      <c r="B1048" s="20" t="n">
        <v>28</v>
      </c>
      <c r="C1048" s="20" t="n">
        <v>32</v>
      </c>
      <c r="D1048" s="17" t="inlineStr">
        <is>
          <t>Ladysmith, BC</t>
        </is>
      </c>
      <c r="E1048" s="9">
        <f>if($A1048&lt;&gt;"",E1047+B1048,"")</f>
        <v/>
      </c>
      <c r="F1048" s="9">
        <f>if($A1048&lt;&gt;"",F1047+C1048,"")</f>
        <v/>
      </c>
      <c r="G1048" s="11">
        <f>IF($A1048&lt;&gt;"",IF(F1048-E1048=0,"tie",IF(F1048-E1048&gt;0,"+"&amp;F1048-E1048,"+"&amp;E1048-F1048)),"")</f>
        <v/>
      </c>
      <c r="H1048" s="12">
        <f>if($A1048&lt;&gt;"",if(B1048&gt;C1048,if(B1048&lt;60,1,2),""),"")</f>
        <v/>
      </c>
      <c r="I1048" s="12">
        <f>if($A1048&lt;&gt;"",if(C1048&gt;B1048,if(C1048&lt;60,1,2),""),"")</f>
        <v/>
      </c>
      <c r="J1048" s="9">
        <f>if($A1048&lt;&gt;"",J1047+H1048,"")</f>
        <v/>
      </c>
      <c r="K1048" s="9">
        <f>if($A1048&lt;&gt;"",K1047+I1048,"")</f>
        <v/>
      </c>
      <c r="L1048" s="11">
        <f>IF($A1048&lt;&gt;"",IF(K1048-J1048=0,"tie",IF(K1048-J1048&gt;0,"+"&amp;K1048-J1048,"+"&amp;J1048-K1048)),"")</f>
        <v/>
      </c>
      <c r="M1048" s="20" t="n"/>
      <c r="N1048" s="20" t="n"/>
      <c r="O1048" s="20" t="n"/>
      <c r="P1048" s="20" t="n"/>
      <c r="Q1048" s="20" t="n"/>
      <c r="R1048" s="20" t="n"/>
      <c r="S1048" s="20" t="n"/>
    </row>
    <row r="1049">
      <c r="A1049" s="15" t="n">
        <v>45571</v>
      </c>
      <c r="B1049" s="20" t="n">
        <v>49</v>
      </c>
      <c r="C1049" s="20" t="n">
        <v>47</v>
      </c>
      <c r="D1049" s="17" t="inlineStr">
        <is>
          <t>Nanaimo, BC</t>
        </is>
      </c>
      <c r="E1049" s="9">
        <f>if($A1049&lt;&gt;"",E1048+B1049,"")</f>
        <v/>
      </c>
      <c r="F1049" s="9">
        <f>if($A1049&lt;&gt;"",F1048+C1049,"")</f>
        <v/>
      </c>
      <c r="G1049" s="11">
        <f>IF($A1049&lt;&gt;"",IF(F1049-E1049=0,"tie",IF(F1049-E1049&gt;0,"+"&amp;F1049-E1049,"+"&amp;E1049-F1049)),"")</f>
        <v/>
      </c>
      <c r="H1049" s="12">
        <f>if($A1049&lt;&gt;"",if(B1049&gt;C1049,if(B1049&lt;60,1,2),""),"")</f>
        <v/>
      </c>
      <c r="I1049" s="12">
        <f>if($A1049&lt;&gt;"",if(C1049&gt;B1049,if(C1049&lt;60,1,2),""),"")</f>
        <v/>
      </c>
      <c r="J1049" s="9">
        <f>if($A1049&lt;&gt;"",J1048+H1049,"")</f>
        <v/>
      </c>
      <c r="K1049" s="9">
        <f>if($A1049&lt;&gt;"",K1048+I1049,"")</f>
        <v/>
      </c>
      <c r="L1049" s="11">
        <f>IF($A1049&lt;&gt;"",IF(K1049-J1049=0,"tie",IF(K1049-J1049&gt;0,"+"&amp;K1049-J1049,"+"&amp;J1049-K1049)),"")</f>
        <v/>
      </c>
      <c r="M1049" s="20" t="n"/>
      <c r="N1049" s="20" t="n"/>
      <c r="O1049" s="20" t="n"/>
      <c r="P1049" s="20" t="n"/>
      <c r="Q1049" s="20" t="n"/>
      <c r="R1049" s="20" t="n"/>
      <c r="S1049" s="20" t="n"/>
    </row>
    <row r="1050">
      <c r="A1050" s="15" t="n">
        <v>45574</v>
      </c>
      <c r="B1050" s="20" t="n">
        <v>38</v>
      </c>
      <c r="C1050" s="20" t="n">
        <v>63</v>
      </c>
      <c r="D1050" s="17" t="inlineStr">
        <is>
          <t>Thetis Island, BC</t>
        </is>
      </c>
      <c r="E1050" s="9">
        <f>if($A1050&lt;&gt;"",E1049+B1050,"")</f>
        <v/>
      </c>
      <c r="F1050" s="9">
        <f>if($A1050&lt;&gt;"",F1049+C1050,"")</f>
        <v/>
      </c>
      <c r="G1050" s="11">
        <f>IF($A1050&lt;&gt;"",IF(F1050-E1050=0,"tie",IF(F1050-E1050&gt;0,"+"&amp;F1050-E1050,"+"&amp;E1050-F1050)),"")</f>
        <v/>
      </c>
      <c r="H1050" s="12">
        <f>if($A1050&lt;&gt;"",if(B1050&gt;C1050,if(B1050&lt;60,1,2),""),"")</f>
        <v/>
      </c>
      <c r="I1050" s="12">
        <f>if($A1050&lt;&gt;"",if(C1050&gt;B1050,if(C1050&lt;60,1,2),""),"")</f>
        <v/>
      </c>
      <c r="J1050" s="9">
        <f>if($A1050&lt;&gt;"",J1049+H1050,"")</f>
        <v/>
      </c>
      <c r="K1050" s="9">
        <f>if($A1050&lt;&gt;"",K1049+I1050,"")</f>
        <v/>
      </c>
      <c r="L1050" s="11">
        <f>IF($A1050&lt;&gt;"",IF(K1050-J1050=0,"tie",IF(K1050-J1050&gt;0,"+"&amp;K1050-J1050,"+"&amp;J1050-K1050)),"")</f>
        <v/>
      </c>
      <c r="M1050" s="20" t="n"/>
      <c r="N1050" s="20" t="n"/>
      <c r="O1050" s="20" t="n"/>
      <c r="P1050" s="20" t="n"/>
      <c r="Q1050" s="20" t="n"/>
      <c r="R1050" s="20" t="n"/>
      <c r="S1050" s="20" t="n"/>
    </row>
    <row r="1051">
      <c r="A1051" s="15" t="n">
        <v>45575</v>
      </c>
      <c r="B1051" s="20" t="n">
        <v>63</v>
      </c>
      <c r="C1051" s="20" t="n">
        <v>68</v>
      </c>
      <c r="D1051" s="17" t="inlineStr">
        <is>
          <t>Trees, Parksville</t>
        </is>
      </c>
      <c r="E1051" s="9">
        <f>if($A1051&lt;&gt;"",E1050+B1051,"")</f>
        <v/>
      </c>
      <c r="F1051" s="9">
        <f>if($A1051&lt;&gt;"",F1050+C1051,"")</f>
        <v/>
      </c>
      <c r="G1051" s="11">
        <f>IF($A1051&lt;&gt;"",IF(F1051-E1051=0,"tie",IF(F1051-E1051&gt;0,"+"&amp;F1051-E1051,"+"&amp;E1051-F1051)),"")</f>
        <v/>
      </c>
      <c r="H1051" s="12">
        <f>if($A1051&lt;&gt;"",if(B1051&gt;C1051,if(B1051&lt;60,1,2),""),"")</f>
        <v/>
      </c>
      <c r="I1051" s="12">
        <f>if($A1051&lt;&gt;"",if(C1051&gt;B1051,if(C1051&lt;60,1,2),""),"")</f>
        <v/>
      </c>
      <c r="J1051" s="9">
        <f>if($A1051&lt;&gt;"",J1050+H1051,"")</f>
        <v/>
      </c>
      <c r="K1051" s="9">
        <f>if($A1051&lt;&gt;"",K1050+I1051,"")</f>
        <v/>
      </c>
      <c r="L1051" s="11">
        <f>IF($A1051&lt;&gt;"",IF(K1051-J1051=0,"tie",IF(K1051-J1051&gt;0,"+"&amp;K1051-J1051,"+"&amp;J1051-K1051)),"")</f>
        <v/>
      </c>
      <c r="M1051" s="20" t="n"/>
      <c r="N1051" s="20" t="n"/>
      <c r="O1051" s="20" t="n"/>
      <c r="P1051" s="20" t="n"/>
      <c r="Q1051" s="20" t="n"/>
      <c r="R1051" s="20" t="n"/>
      <c r="S1051" s="20" t="n"/>
    </row>
    <row r="1052">
      <c r="A1052" s="15" t="n">
        <v>45580</v>
      </c>
      <c r="B1052" s="20" t="n">
        <v>32</v>
      </c>
      <c r="C1052" s="20" t="n">
        <v>12</v>
      </c>
      <c r="D1052" s="17" t="inlineStr">
        <is>
          <t>Victoria, BC</t>
        </is>
      </c>
      <c r="E1052" s="9">
        <f>if($A1052&lt;&gt;"",E1051+B1052,"")</f>
        <v/>
      </c>
      <c r="F1052" s="9">
        <f>if($A1052&lt;&gt;"",F1051+C1052,"")</f>
        <v/>
      </c>
      <c r="G1052" s="11">
        <f>IF($A1052&lt;&gt;"",IF(F1052-E1052=0,"tie",IF(F1052-E1052&gt;0,"+"&amp;F1052-E1052,"+"&amp;E1052-F1052)),"")</f>
        <v/>
      </c>
      <c r="H1052" s="12">
        <f>if($A1052&lt;&gt;"",if(B1052&gt;C1052,if(B1052&lt;60,1,2),""),"")</f>
        <v/>
      </c>
      <c r="I1052" s="12">
        <f>if($A1052&lt;&gt;"",if(C1052&gt;B1052,if(C1052&lt;60,1,2),""),"")</f>
        <v/>
      </c>
      <c r="J1052" s="9">
        <f>if($A1052&lt;&gt;"",J1051+H1052,"")</f>
        <v/>
      </c>
      <c r="K1052" s="9">
        <f>if($A1052&lt;&gt;"",K1051+I1052,"")</f>
        <v/>
      </c>
      <c r="L1052" s="11">
        <f>IF($A1052&lt;&gt;"",IF(K1052-J1052=0,"tie",IF(K1052-J1052&gt;0,"+"&amp;K1052-J1052,"+"&amp;J1052-K1052)),"")</f>
        <v/>
      </c>
      <c r="M1052" s="20" t="n"/>
      <c r="N1052" s="20" t="n"/>
      <c r="O1052" s="20" t="n"/>
      <c r="P1052" s="20" t="n"/>
      <c r="Q1052" s="20" t="n"/>
      <c r="R1052" s="20" t="n"/>
      <c r="S1052" s="20" t="n"/>
    </row>
    <row r="1053">
      <c r="A1053" s="15" t="n">
        <v>45580</v>
      </c>
      <c r="B1053" s="20" t="n">
        <v>67</v>
      </c>
      <c r="C1053" s="20" t="n">
        <v>58</v>
      </c>
      <c r="D1053" s="17" t="inlineStr">
        <is>
          <t>Victoria /Port Angeles Ferry</t>
        </is>
      </c>
      <c r="E1053" s="9">
        <f>if($A1053&lt;&gt;"",E1052+B1053,"")</f>
        <v/>
      </c>
      <c r="F1053" s="9">
        <f>if($A1053&lt;&gt;"",F1052+C1053,"")</f>
        <v/>
      </c>
      <c r="G1053" s="11">
        <f>IF($A1053&lt;&gt;"",IF(F1053-E1053=0,"tie",IF(F1053-E1053&gt;0,"+"&amp;F1053-E1053,"+"&amp;E1053-F1053)),"")</f>
        <v/>
      </c>
      <c r="H1053" s="12">
        <f>if($A1053&lt;&gt;"",if(B1053&gt;C1053,if(B1053&lt;60,1,2),""),"")</f>
        <v/>
      </c>
      <c r="I1053" s="12">
        <f>if($A1053&lt;&gt;"",if(C1053&gt;B1053,if(C1053&lt;60,1,2),""),"")</f>
        <v/>
      </c>
      <c r="J1053" s="9">
        <f>if($A1053&lt;&gt;"",J1052+H1053,"")</f>
        <v/>
      </c>
      <c r="K1053" s="9">
        <f>if($A1053&lt;&gt;"",K1052+I1053,"")</f>
        <v/>
      </c>
      <c r="L1053" s="11">
        <f>IF($A1053&lt;&gt;"",IF(K1053-J1053=0,"tie",IF(K1053-J1053&gt;0,"+"&amp;K1053-J1053,"+"&amp;J1053-K1053)),"")</f>
        <v/>
      </c>
      <c r="M1053" s="20" t="n"/>
      <c r="N1053" s="20" t="n"/>
      <c r="O1053" s="20" t="n"/>
      <c r="P1053" s="20" t="n"/>
      <c r="Q1053" s="20" t="n"/>
      <c r="R1053" s="20" t="n"/>
      <c r="S1053" s="20" t="n"/>
    </row>
    <row r="1054">
      <c r="A1054" s="15" t="n">
        <v>45580</v>
      </c>
      <c r="B1054" s="20" t="n">
        <v>17</v>
      </c>
      <c r="C1054" s="20" t="n">
        <v>34</v>
      </c>
      <c r="D1054" s="17" t="inlineStr">
        <is>
          <t>Traylor's, Port Angeles, WA</t>
        </is>
      </c>
      <c r="E1054" s="9">
        <f>if($A1054&lt;&gt;"",E1053+B1054,"")</f>
        <v/>
      </c>
      <c r="F1054" s="9">
        <f>if($A1054&lt;&gt;"",F1053+C1054,"")</f>
        <v/>
      </c>
      <c r="G1054" s="11">
        <f>IF($A1054&lt;&gt;"",IF(F1054-E1054=0,"tie",IF(F1054-E1054&gt;0,"+"&amp;F1054-E1054,"+"&amp;E1054-F1054)),"")</f>
        <v/>
      </c>
      <c r="H1054" s="12">
        <f>if($A1054&lt;&gt;"",if(B1054&gt;C1054,if(B1054&lt;60,1,2),""),"")</f>
        <v/>
      </c>
      <c r="I1054" s="12">
        <f>if($A1054&lt;&gt;"",if(C1054&gt;B1054,if(C1054&lt;60,1,2),""),"")</f>
        <v/>
      </c>
      <c r="J1054" s="9">
        <f>if($A1054&lt;&gt;"",J1053+H1054,"")</f>
        <v/>
      </c>
      <c r="K1054" s="9">
        <f>if($A1054&lt;&gt;"",K1053+I1054,"")</f>
        <v/>
      </c>
      <c r="L1054" s="11">
        <f>IF($A1054&lt;&gt;"",IF(K1054-J1054=0,"tie",IF(K1054-J1054&gt;0,"+"&amp;K1054-J1054,"+"&amp;J1054-K1054)),"")</f>
        <v/>
      </c>
      <c r="M1054" s="20" t="n"/>
      <c r="N1054" s="20" t="n"/>
      <c r="O1054" s="20" t="n"/>
      <c r="P1054" s="20" t="n"/>
      <c r="Q1054" s="20" t="n"/>
      <c r="R1054" s="20" t="n"/>
      <c r="S1054" s="20" t="n"/>
    </row>
    <row r="1055">
      <c r="A1055" s="15" t="n">
        <v>45581</v>
      </c>
      <c r="B1055" s="20" t="n">
        <v>26</v>
      </c>
      <c r="C1055" s="20" t="n">
        <v>33</v>
      </c>
      <c r="D1055" s="17" t="inlineStr">
        <is>
          <t>Triton Cove State Park, WA</t>
        </is>
      </c>
      <c r="E1055" s="9">
        <f>if($A1055&lt;&gt;"",E1054+B1055,"")</f>
        <v/>
      </c>
      <c r="F1055" s="9">
        <f>if($A1055&lt;&gt;"",F1054+C1055,"")</f>
        <v/>
      </c>
      <c r="G1055" s="11">
        <f>IF($A1055&lt;&gt;"",IF(F1055-E1055=0,"tie",IF(F1055-E1055&gt;0,"+"&amp;F1055-E1055,"+"&amp;E1055-F1055)),"")</f>
        <v/>
      </c>
      <c r="H1055" s="12">
        <f>if($A1055&lt;&gt;"",if(B1055&gt;C1055,if(B1055&lt;60,1,2),""),"")</f>
        <v/>
      </c>
      <c r="I1055" s="12">
        <f>if($A1055&lt;&gt;"",if(C1055&gt;B1055,if(C1055&lt;60,1,2),""),"")</f>
        <v/>
      </c>
      <c r="J1055" s="9">
        <f>if($A1055&lt;&gt;"",J1054+H1055,"")</f>
        <v/>
      </c>
      <c r="K1055" s="9">
        <f>if($A1055&lt;&gt;"",K1054+I1055,"")</f>
        <v/>
      </c>
      <c r="L1055" s="11">
        <f>IF($A1055&lt;&gt;"",IF(K1055-J1055=0,"tie",IF(K1055-J1055&gt;0,"+"&amp;K1055-J1055,"+"&amp;J1055-K1055)),"")</f>
        <v/>
      </c>
      <c r="M1055" s="20" t="n"/>
      <c r="N1055" s="20" t="n"/>
      <c r="O1055" s="20" t="n"/>
      <c r="P1055" s="20" t="n"/>
      <c r="Q1055" s="20" t="n"/>
      <c r="R1055" s="20" t="n"/>
      <c r="S1055" s="20" t="n"/>
    </row>
    <row r="1056">
      <c r="A1056" s="15" t="n">
        <v>45581</v>
      </c>
      <c r="B1056" s="20" t="n">
        <v>40</v>
      </c>
      <c r="C1056" s="20" t="n">
        <v>25</v>
      </c>
      <c r="D1056" s="17" t="inlineStr">
        <is>
          <t>Olympia, WA</t>
        </is>
      </c>
      <c r="E1056" s="9">
        <f>if($A1056&lt;&gt;"",E1055+B1056,"")</f>
        <v/>
      </c>
      <c r="F1056" s="9">
        <f>if($A1056&lt;&gt;"",F1055+C1056,"")</f>
        <v/>
      </c>
      <c r="G1056" s="11">
        <f>IF($A1056&lt;&gt;"",IF(F1056-E1056=0,"tie",IF(F1056-E1056&gt;0,"+"&amp;F1056-E1056,"+"&amp;E1056-F1056)),"")</f>
        <v/>
      </c>
      <c r="H1056" s="12">
        <f>if($A1056&lt;&gt;"",if(B1056&gt;C1056,if(B1056&lt;60,1,2),""),"")</f>
        <v/>
      </c>
      <c r="I1056" s="12">
        <f>if($A1056&lt;&gt;"",if(C1056&gt;B1056,if(C1056&lt;60,1,2),""),"")</f>
        <v/>
      </c>
      <c r="J1056" s="9">
        <f>if($A1056&lt;&gt;"",J1055+H1056,"")</f>
        <v/>
      </c>
      <c r="K1056" s="9">
        <f>if($A1056&lt;&gt;"",K1055+I1056,"")</f>
        <v/>
      </c>
      <c r="L1056" s="11">
        <f>IF($A1056&lt;&gt;"",IF(K1056-J1056=0,"tie",IF(K1056-J1056&gt;0,"+"&amp;K1056-J1056,"+"&amp;J1056-K1056)),"")</f>
        <v/>
      </c>
      <c r="M1056" s="20" t="n"/>
      <c r="N1056" s="20" t="n"/>
      <c r="O1056" s="20" t="n"/>
      <c r="P1056" s="20" t="n"/>
      <c r="Q1056" s="20" t="n"/>
      <c r="R1056" s="20" t="n"/>
      <c r="S1056" s="20" t="n"/>
    </row>
    <row r="1057">
      <c r="A1057" s="15" t="n">
        <v>45582</v>
      </c>
      <c r="B1057" s="20" t="n">
        <v>10</v>
      </c>
      <c r="C1057" s="20" t="n">
        <v>32</v>
      </c>
      <c r="D1057" s="17" t="inlineStr">
        <is>
          <t>Aurora, OR</t>
        </is>
      </c>
      <c r="E1057" s="9">
        <f>if($A1057&lt;&gt;"",E1056+B1057,"")</f>
        <v/>
      </c>
      <c r="F1057" s="9">
        <f>if($A1057&lt;&gt;"",F1056+C1057,"")</f>
        <v/>
      </c>
      <c r="G1057" s="11">
        <f>IF($A1057&lt;&gt;"",IF(F1057-E1057=0,"tie",IF(F1057-E1057&gt;0,"+"&amp;F1057-E1057,"+"&amp;E1057-F1057)),"")</f>
        <v/>
      </c>
      <c r="H1057" s="12">
        <f>if($A1057&lt;&gt;"",if(B1057&gt;C1057,if(B1057&lt;60,1,2),""),"")</f>
        <v/>
      </c>
      <c r="I1057" s="12">
        <f>if($A1057&lt;&gt;"",if(C1057&gt;B1057,if(C1057&lt;60,1,2),""),"")</f>
        <v/>
      </c>
      <c r="J1057" s="9">
        <f>if($A1057&lt;&gt;"",J1056+H1057,"")</f>
        <v/>
      </c>
      <c r="K1057" s="9">
        <f>if($A1057&lt;&gt;"",K1056+I1057,"")</f>
        <v/>
      </c>
      <c r="L1057" s="11">
        <f>IF($A1057&lt;&gt;"",IF(K1057-J1057=0,"tie",IF(K1057-J1057&gt;0,"+"&amp;K1057-J1057,"+"&amp;J1057-K1057)),"")</f>
        <v/>
      </c>
      <c r="M1057" s="20" t="n"/>
      <c r="N1057" s="20" t="n"/>
      <c r="O1057" s="20" t="n"/>
      <c r="P1057" s="20" t="n"/>
      <c r="Q1057" s="20" t="n"/>
      <c r="R1057" s="20" t="n"/>
      <c r="S1057" s="20" t="n"/>
    </row>
    <row r="1058">
      <c r="A1058" s="15" t="n">
        <v>45584</v>
      </c>
      <c r="B1058" s="20" t="n">
        <v>34</v>
      </c>
      <c r="C1058" s="20" t="n">
        <v>32</v>
      </c>
      <c r="D1058" s="17" t="inlineStr">
        <is>
          <t xml:space="preserve">Susanville </t>
        </is>
      </c>
      <c r="E1058" s="9">
        <f>if($A1058&lt;&gt;"",E1057+B1058,"")</f>
        <v/>
      </c>
      <c r="F1058" s="9">
        <f>if($A1058&lt;&gt;"",F1057+C1058,"")</f>
        <v/>
      </c>
      <c r="G1058" s="11">
        <f>IF($A1058&lt;&gt;"",IF(F1058-E1058=0,"tie",IF(F1058-E1058&gt;0,"+"&amp;F1058-E1058,"+"&amp;E1058-F1058)),"")</f>
        <v/>
      </c>
      <c r="H1058" s="12">
        <f>if($A1058&lt;&gt;"",if(B1058&gt;C1058,if(B1058&lt;60,1,2),""),"")</f>
        <v/>
      </c>
      <c r="I1058" s="12">
        <f>if($A1058&lt;&gt;"",if(C1058&gt;B1058,if(C1058&lt;60,1,2),""),"")</f>
        <v/>
      </c>
      <c r="J1058" s="9">
        <f>if($A1058&lt;&gt;"",J1057+H1058,"")</f>
        <v/>
      </c>
      <c r="K1058" s="9">
        <f>if($A1058&lt;&gt;"",K1057+I1058,"")</f>
        <v/>
      </c>
      <c r="L1058" s="11">
        <f>IF($A1058&lt;&gt;"",IF(K1058-J1058=0,"tie",IF(K1058-J1058&gt;0,"+"&amp;K1058-J1058,"+"&amp;J1058-K1058)),"")</f>
        <v/>
      </c>
      <c r="M1058" s="20" t="n"/>
      <c r="N1058" s="20" t="n"/>
      <c r="O1058" s="20" t="n"/>
      <c r="P1058" s="20" t="n"/>
      <c r="Q1058" s="20" t="n"/>
      <c r="R1058" s="20" t="n"/>
      <c r="S1058" s="20" t="n"/>
    </row>
    <row r="1059">
      <c r="A1059" s="15" t="n">
        <v>45585</v>
      </c>
      <c r="B1059" s="20" t="n">
        <v>25</v>
      </c>
      <c r="C1059" s="20" t="n">
        <v>33</v>
      </c>
      <c r="D1059" s="17" t="inlineStr">
        <is>
          <t>Campground by the Lake, Tahoe</t>
        </is>
      </c>
      <c r="E1059" s="9">
        <f>if($A1059&lt;&gt;"",E1058+B1059,"")</f>
        <v/>
      </c>
      <c r="F1059" s="9">
        <f>if($A1059&lt;&gt;"",F1058+C1059,"")</f>
        <v/>
      </c>
      <c r="G1059" s="11">
        <f>IF($A1059&lt;&gt;"",IF(F1059-E1059=0,"tie",IF(F1059-E1059&gt;0,"+"&amp;F1059-E1059,"+"&amp;E1059-F1059)),"")</f>
        <v/>
      </c>
      <c r="H1059" s="12">
        <f>if($A1059&lt;&gt;"",if(B1059&gt;C1059,if(B1059&lt;60,1,2),""),"")</f>
        <v/>
      </c>
      <c r="I1059" s="12">
        <f>if($A1059&lt;&gt;"",if(C1059&gt;B1059,if(C1059&lt;60,1,2),""),"")</f>
        <v/>
      </c>
      <c r="J1059" s="9">
        <f>if($A1059&lt;&gt;"",J1058+H1059,"")</f>
        <v/>
      </c>
      <c r="K1059" s="9">
        <f>if($A1059&lt;&gt;"",K1058+I1059,"")</f>
        <v/>
      </c>
      <c r="L1059" s="11">
        <f>IF($A1059&lt;&gt;"",IF(K1059-J1059=0,"tie",IF(K1059-J1059&gt;0,"+"&amp;K1059-J1059,"+"&amp;J1059-K1059)),"")</f>
        <v/>
      </c>
      <c r="M1059" s="20" t="n"/>
      <c r="N1059" s="20" t="n"/>
      <c r="O1059" s="20" t="n"/>
      <c r="P1059" s="20" t="n"/>
      <c r="Q1059" s="20" t="n"/>
      <c r="R1059" s="20" t="n"/>
      <c r="S1059" s="20" t="n"/>
    </row>
    <row r="1060">
      <c r="A1060" s="15" t="n">
        <v>45586</v>
      </c>
      <c r="B1060" s="20" t="n">
        <v>33</v>
      </c>
      <c r="C1060" s="20" t="n">
        <v>13</v>
      </c>
      <c r="D1060" s="17" t="inlineStr">
        <is>
          <t>Campground by the Lake, Tahoe</t>
        </is>
      </c>
      <c r="E1060" s="9">
        <f>if($A1060&lt;&gt;"",E1059+B1060,"")</f>
        <v/>
      </c>
      <c r="F1060" s="9">
        <f>if($A1060&lt;&gt;"",F1059+C1060,"")</f>
        <v/>
      </c>
      <c r="G1060" s="11">
        <f>IF($A1060&lt;&gt;"",IF(F1060-E1060=0,"tie",IF(F1060-E1060&gt;0,"+"&amp;F1060-E1060,"+"&amp;E1060-F1060)),"")</f>
        <v/>
      </c>
      <c r="H1060" s="12">
        <f>if($A1060&lt;&gt;"",if(B1060&gt;C1060,if(B1060&lt;60,1,2),""),"")</f>
        <v/>
      </c>
      <c r="I1060" s="12">
        <f>if($A1060&lt;&gt;"",if(C1060&gt;B1060,if(C1060&lt;60,1,2),""),"")</f>
        <v/>
      </c>
      <c r="J1060" s="9">
        <f>if($A1060&lt;&gt;"",J1059+H1060,"")</f>
        <v/>
      </c>
      <c r="K1060" s="9">
        <f>if($A1060&lt;&gt;"",K1059+I1060,"")</f>
        <v/>
      </c>
      <c r="L1060" s="11">
        <f>IF($A1060&lt;&gt;"",IF(K1060-J1060=0,"tie",IF(K1060-J1060&gt;0,"+"&amp;K1060-J1060,"+"&amp;J1060-K1060)),"")</f>
        <v/>
      </c>
      <c r="M1060" s="20" t="n"/>
      <c r="N1060" s="20" t="n"/>
      <c r="O1060" s="20" t="n"/>
      <c r="P1060" s="20" t="n"/>
      <c r="Q1060" s="20" t="n"/>
      <c r="R1060" s="20" t="n"/>
      <c r="S1060" s="20" t="n"/>
    </row>
    <row r="1061">
      <c r="A1061" s="15" t="n">
        <v>45586</v>
      </c>
      <c r="B1061" s="20" t="n">
        <v>17</v>
      </c>
      <c r="C1061" s="20" t="n">
        <v>34</v>
      </c>
      <c r="D1061" s="17" t="inlineStr">
        <is>
          <t>Campground by the Lake, Tahoe</t>
        </is>
      </c>
      <c r="E1061" s="9">
        <f>if($A1061&lt;&gt;"",E1060+B1061,"")</f>
        <v/>
      </c>
      <c r="F1061" s="9">
        <f>if($A1061&lt;&gt;"",F1060+C1061,"")</f>
        <v/>
      </c>
      <c r="G1061" s="11">
        <f>IF($A1061&lt;&gt;"",IF(F1061-E1061=0,"tie",IF(F1061-E1061&gt;0,"+"&amp;F1061-E1061,"+"&amp;E1061-F1061)),"")</f>
        <v/>
      </c>
      <c r="H1061" s="12">
        <f>if($A1061&lt;&gt;"",if(B1061&gt;C1061,if(B1061&lt;60,1,2),""),"")</f>
        <v/>
      </c>
      <c r="I1061" s="12">
        <f>if($A1061&lt;&gt;"",if(C1061&gt;B1061,if(C1061&lt;60,1,2),""),"")</f>
        <v/>
      </c>
      <c r="J1061" s="9">
        <f>if($A1061&lt;&gt;"",J1060+H1061,"")</f>
        <v/>
      </c>
      <c r="K1061" s="9">
        <f>if($A1061&lt;&gt;"",K1060+I1061,"")</f>
        <v/>
      </c>
      <c r="L1061" s="11">
        <f>IF($A1061&lt;&gt;"",IF(K1061-J1061=0,"tie",IF(K1061-J1061&gt;0,"+"&amp;K1061-J1061,"+"&amp;J1061-K1061)),"")</f>
        <v/>
      </c>
      <c r="M1061" s="20" t="n"/>
      <c r="N1061" s="20" t="n"/>
      <c r="O1061" s="20" t="n"/>
      <c r="P1061" s="20" t="n"/>
      <c r="Q1061" s="20" t="n"/>
      <c r="R1061" s="20" t="n"/>
      <c r="S1061" s="20" t="n"/>
    </row>
    <row r="1062">
      <c r="A1062" s="15" t="n">
        <v>45586</v>
      </c>
      <c r="B1062" s="20" t="n">
        <v>15</v>
      </c>
      <c r="C1062" s="20" t="n">
        <v>34</v>
      </c>
      <c r="D1062" s="17" t="inlineStr">
        <is>
          <t>Campground by the Lake, Tahoe</t>
        </is>
      </c>
      <c r="E1062" s="9">
        <f>if($A1062&lt;&gt;"",E1061+B1062,"")</f>
        <v/>
      </c>
      <c r="F1062" s="9">
        <f>if($A1062&lt;&gt;"",F1061+C1062,"")</f>
        <v/>
      </c>
      <c r="G1062" s="11">
        <f>IF($A1062&lt;&gt;"",IF(F1062-E1062=0,"tie",IF(F1062-E1062&gt;0,"+"&amp;F1062-E1062,"+"&amp;E1062-F1062)),"")</f>
        <v/>
      </c>
      <c r="H1062" s="12">
        <f>if($A1062&lt;&gt;"",if(B1062&gt;C1062,if(B1062&lt;60,1,2),""),"")</f>
        <v/>
      </c>
      <c r="I1062" s="12">
        <f>if($A1062&lt;&gt;"",if(C1062&gt;B1062,if(C1062&lt;60,1,2),""),"")</f>
        <v/>
      </c>
      <c r="J1062" s="9">
        <f>if($A1062&lt;&gt;"",J1061+H1062,"")</f>
        <v/>
      </c>
      <c r="K1062" s="9">
        <f>if($A1062&lt;&gt;"",K1061+I1062,"")</f>
        <v/>
      </c>
      <c r="L1062" s="11">
        <f>IF($A1062&lt;&gt;"",IF(K1062-J1062=0,"tie",IF(K1062-J1062&gt;0,"+"&amp;K1062-J1062,"+"&amp;J1062-K1062)),"")</f>
        <v/>
      </c>
      <c r="M1062" s="20" t="n"/>
      <c r="N1062" s="20" t="n"/>
      <c r="O1062" s="20" t="n"/>
      <c r="P1062" s="20" t="n"/>
      <c r="Q1062" s="20" t="n"/>
      <c r="R1062" s="20" t="n"/>
      <c r="S1062" s="20" t="n"/>
    </row>
    <row r="1063">
      <c r="A1063" s="15" t="n">
        <v>45587</v>
      </c>
      <c r="B1063" s="20" t="n">
        <v>68</v>
      </c>
      <c r="C1063" s="20" t="n">
        <v>63</v>
      </c>
      <c r="D1063" s="17" t="inlineStr">
        <is>
          <t>Campground by the Lake, Tahoe</t>
        </is>
      </c>
      <c r="E1063" s="9">
        <f>if($A1063&lt;&gt;"",E1062+B1063,"")</f>
        <v/>
      </c>
      <c r="F1063" s="9">
        <f>if($A1063&lt;&gt;"",F1062+C1063,"")</f>
        <v/>
      </c>
      <c r="G1063" s="11">
        <f>IF($A1063&lt;&gt;"",IF(F1063-E1063=0,"tie",IF(F1063-E1063&gt;0,"+"&amp;F1063-E1063,"+"&amp;E1063-F1063)),"")</f>
        <v/>
      </c>
      <c r="H1063" s="12">
        <f>if($A1063&lt;&gt;"",if(B1063&gt;C1063,if(B1063&lt;60,1,2),""),"")</f>
        <v/>
      </c>
      <c r="I1063" s="12">
        <f>if($A1063&lt;&gt;"",if(C1063&gt;B1063,if(C1063&lt;60,1,2),""),"")</f>
        <v/>
      </c>
      <c r="J1063" s="9">
        <f>if($A1063&lt;&gt;"",J1062+H1063,"")</f>
        <v/>
      </c>
      <c r="K1063" s="9">
        <f>if($A1063&lt;&gt;"",K1062+I1063,"")</f>
        <v/>
      </c>
      <c r="L1063" s="11">
        <f>IF($A1063&lt;&gt;"",IF(K1063-J1063=0,"tie",IF(K1063-J1063&gt;0,"+"&amp;K1063-J1063,"+"&amp;J1063-K1063)),"")</f>
        <v/>
      </c>
      <c r="M1063" s="20" t="n"/>
      <c r="N1063" s="20" t="n"/>
      <c r="O1063" s="20" t="n"/>
      <c r="P1063" s="20" t="n"/>
      <c r="Q1063" s="20" t="n"/>
      <c r="R1063" s="20" t="n"/>
      <c r="S1063" s="20" t="n"/>
    </row>
    <row r="1064">
      <c r="A1064" s="15" t="n">
        <v>45588</v>
      </c>
      <c r="B1064" s="20" t="n">
        <v>34</v>
      </c>
      <c r="C1064" s="20" t="n">
        <v>20</v>
      </c>
      <c r="D1064" s="17" t="inlineStr">
        <is>
          <t>Lodi</t>
        </is>
      </c>
      <c r="E1064" s="9">
        <f>if($A1064&lt;&gt;"",E1063+B1064,"")</f>
        <v/>
      </c>
      <c r="F1064" s="9">
        <f>if($A1064&lt;&gt;"",F1063+C1064,"")</f>
        <v/>
      </c>
      <c r="G1064" s="11">
        <f>IF($A1064&lt;&gt;"",IF(F1064-E1064=0,"tie",IF(F1064-E1064&gt;0,"+"&amp;F1064-E1064,"+"&amp;E1064-F1064)),"")</f>
        <v/>
      </c>
      <c r="H1064" s="12">
        <f>if($A1064&lt;&gt;"",if(B1064&gt;C1064,if(B1064&lt;60,1,2),""),"")</f>
        <v/>
      </c>
      <c r="I1064" s="12">
        <f>if($A1064&lt;&gt;"",if(C1064&gt;B1064,if(C1064&lt;60,1,2),""),"")</f>
        <v/>
      </c>
      <c r="J1064" s="9">
        <f>if($A1064&lt;&gt;"",J1063+H1064,"")</f>
        <v/>
      </c>
      <c r="K1064" s="9">
        <f>if($A1064&lt;&gt;"",K1063+I1064,"")</f>
        <v/>
      </c>
      <c r="L1064" s="11">
        <f>IF($A1064&lt;&gt;"",IF(K1064-J1064=0,"tie",IF(K1064-J1064&gt;0,"+"&amp;K1064-J1064,"+"&amp;J1064-K1064)),"")</f>
        <v/>
      </c>
      <c r="M1064" s="20" t="n"/>
      <c r="N1064" s="20" t="n"/>
      <c r="O1064" s="20" t="n"/>
      <c r="P1064" s="20" t="n"/>
      <c r="Q1064" s="20" t="n"/>
      <c r="R1064" s="20" t="n"/>
      <c r="S1064" s="20" t="n"/>
    </row>
    <row r="1065">
      <c r="A1065" s="15" t="n">
        <v>45588</v>
      </c>
      <c r="B1065" s="20" t="n">
        <v>18</v>
      </c>
      <c r="C1065" s="20" t="n">
        <v>33</v>
      </c>
      <c r="D1065" s="17" t="inlineStr">
        <is>
          <t>Costco, Fresno</t>
        </is>
      </c>
      <c r="E1065" s="9">
        <f>if($A1065&lt;&gt;"",E1064+B1065,"")</f>
        <v/>
      </c>
      <c r="F1065" s="9">
        <f>if($A1065&lt;&gt;"",F1064+C1065,"")</f>
        <v/>
      </c>
      <c r="G1065" s="11">
        <f>IF($A1065&lt;&gt;"",IF(F1065-E1065=0,"tie",IF(F1065-E1065&gt;0,"+"&amp;F1065-E1065,"+"&amp;E1065-F1065)),"")</f>
        <v/>
      </c>
      <c r="H1065" s="12">
        <f>if($A1065&lt;&gt;"",if(B1065&gt;C1065,if(B1065&lt;60,1,2),""),"")</f>
        <v/>
      </c>
      <c r="I1065" s="12">
        <f>if($A1065&lt;&gt;"",if(C1065&gt;B1065,if(C1065&lt;60,1,2),""),"")</f>
        <v/>
      </c>
      <c r="J1065" s="9">
        <f>if($A1065&lt;&gt;"",J1064+H1065,"")</f>
        <v/>
      </c>
      <c r="K1065" s="9">
        <f>if($A1065&lt;&gt;"",K1064+I1065,"")</f>
        <v/>
      </c>
      <c r="L1065" s="11">
        <f>IF($A1065&lt;&gt;"",IF(K1065-J1065=0,"tie",IF(K1065-J1065&gt;0,"+"&amp;K1065-J1065,"+"&amp;J1065-K1065)),"")</f>
        <v/>
      </c>
      <c r="M1065" s="20" t="n"/>
      <c r="N1065" s="20" t="n"/>
      <c r="O1065" s="20" t="n"/>
      <c r="P1065" s="20" t="n"/>
      <c r="Q1065" s="20" t="n"/>
      <c r="R1065" s="20" t="n"/>
      <c r="S1065" s="20" t="n"/>
    </row>
    <row r="1066">
      <c r="A1066" s="15" t="n">
        <v>45589</v>
      </c>
      <c r="B1066" s="20" t="n">
        <v>31</v>
      </c>
      <c r="C1066" s="20" t="n">
        <v>29</v>
      </c>
      <c r="D1066" s="17" t="inlineStr">
        <is>
          <t>Pixley, CA</t>
        </is>
      </c>
      <c r="E1066" s="9">
        <f>if($A1066&lt;&gt;"",E1065+B1066,"")</f>
        <v/>
      </c>
      <c r="F1066" s="9">
        <f>if($A1066&lt;&gt;"",F1065+C1066,"")</f>
        <v/>
      </c>
      <c r="G1066" s="11">
        <f>IF($A1066&lt;&gt;"",IF(F1066-E1066=0,"tie",IF(F1066-E1066&gt;0,"+"&amp;F1066-E1066,"+"&amp;E1066-F1066)),"")</f>
        <v/>
      </c>
      <c r="H1066" s="12">
        <f>if($A1066&lt;&gt;"",if(B1066&gt;C1066,if(B1066&lt;60,1,2),""),"")</f>
        <v/>
      </c>
      <c r="I1066" s="12">
        <f>if($A1066&lt;&gt;"",if(C1066&gt;B1066,if(C1066&lt;60,1,2),""),"")</f>
        <v/>
      </c>
      <c r="J1066" s="9">
        <f>if($A1066&lt;&gt;"",J1065+H1066,"")</f>
        <v/>
      </c>
      <c r="K1066" s="9">
        <f>if($A1066&lt;&gt;"",K1065+I1066,"")</f>
        <v/>
      </c>
      <c r="L1066" s="11">
        <f>IF($A1066&lt;&gt;"",IF(K1066-J1066=0,"tie",IF(K1066-J1066&gt;0,"+"&amp;K1066-J1066,"+"&amp;J1066-K1066)),"")</f>
        <v/>
      </c>
      <c r="M1066" s="20" t="n"/>
      <c r="N1066" s="20" t="n"/>
      <c r="O1066" s="20" t="n"/>
      <c r="P1066" s="20" t="n"/>
      <c r="Q1066" s="20" t="n"/>
      <c r="R1066" s="20" t="n"/>
      <c r="S1066" s="20" t="n"/>
    </row>
    <row r="1067">
      <c r="A1067" s="15" t="n">
        <v>45590</v>
      </c>
      <c r="B1067" s="20" t="n">
        <v>37</v>
      </c>
      <c r="C1067" s="20" t="n">
        <v>19</v>
      </c>
      <c r="D1067" s="17" t="inlineStr">
        <is>
          <t>Zinque, Venice</t>
        </is>
      </c>
      <c r="E1067" s="9">
        <f>if($A1067&lt;&gt;"",E1066+B1067,"")</f>
        <v/>
      </c>
      <c r="F1067" s="9">
        <f>if($A1067&lt;&gt;"",F1066+C1067,"")</f>
        <v/>
      </c>
      <c r="G1067" s="11">
        <f>IF($A1067&lt;&gt;"",IF(F1067-E1067=0,"tie",IF(F1067-E1067&gt;0,"+"&amp;F1067-E1067,"+"&amp;E1067-F1067)),"")</f>
        <v/>
      </c>
      <c r="H1067" s="12">
        <f>if($A1067&lt;&gt;"",if(B1067&gt;C1067,if(B1067&lt;60,1,2),""),"")</f>
        <v/>
      </c>
      <c r="I1067" s="12">
        <f>if($A1067&lt;&gt;"",if(C1067&gt;B1067,if(C1067&lt;60,1,2),""),"")</f>
        <v/>
      </c>
      <c r="J1067" s="9">
        <f>if($A1067&lt;&gt;"",J1066+H1067,"")</f>
        <v/>
      </c>
      <c r="K1067" s="9">
        <f>if($A1067&lt;&gt;"",K1066+I1067,"")</f>
        <v/>
      </c>
      <c r="L1067" s="11">
        <f>IF($A1067&lt;&gt;"",IF(K1067-J1067=0,"tie",IF(K1067-J1067&gt;0,"+"&amp;K1067-J1067,"+"&amp;J1067-K1067)),"")</f>
        <v/>
      </c>
      <c r="M1067" s="20" t="n"/>
      <c r="N1067" s="20" t="n"/>
      <c r="O1067" s="20" t="n"/>
      <c r="P1067" s="20" t="n"/>
      <c r="Q1067" s="20" t="n"/>
      <c r="R1067" s="20" t="n"/>
      <c r="S1067" s="20" t="n"/>
    </row>
    <row r="1068">
      <c r="A1068" s="15" t="n">
        <v>45592</v>
      </c>
      <c r="B1068" s="20" t="n">
        <v>28</v>
      </c>
      <c r="C1068" s="20" t="n">
        <v>39</v>
      </c>
      <c r="D1068" s="17" t="inlineStr">
        <is>
          <t>Preston Way</t>
        </is>
      </c>
      <c r="E1068" s="9">
        <f>if($A1068&lt;&gt;"",E1067+B1068,"")</f>
        <v/>
      </c>
      <c r="F1068" s="9">
        <f>if($A1068&lt;&gt;"",F1067+C1068,"")</f>
        <v/>
      </c>
      <c r="G1068" s="11">
        <f>IF($A1068&lt;&gt;"",IF(F1068-E1068=0,"tie",IF(F1068-E1068&gt;0,"+"&amp;F1068-E1068,"+"&amp;E1068-F1068)),"")</f>
        <v/>
      </c>
      <c r="H1068" s="12">
        <f>if($A1068&lt;&gt;"",if(B1068&gt;C1068,if(B1068&lt;60,1,2),""),"")</f>
        <v/>
      </c>
      <c r="I1068" s="12">
        <f>if($A1068&lt;&gt;"",if(C1068&gt;B1068,if(C1068&lt;60,1,2),""),"")</f>
        <v/>
      </c>
      <c r="J1068" s="9">
        <f>if($A1068&lt;&gt;"",J1067+H1068,"")</f>
        <v/>
      </c>
      <c r="K1068" s="9">
        <f>if($A1068&lt;&gt;"",K1067+I1068,"")</f>
        <v/>
      </c>
      <c r="L1068" s="11">
        <f>IF($A1068&lt;&gt;"",IF(K1068-J1068=0,"tie",IF(K1068-J1068&gt;0,"+"&amp;K1068-J1068,"+"&amp;J1068-K1068)),"")</f>
        <v/>
      </c>
      <c r="M1068" s="20" t="n"/>
      <c r="N1068" s="20" t="n"/>
      <c r="O1068" s="20" t="n"/>
      <c r="P1068" s="20" t="n"/>
      <c r="Q1068" s="20" t="n"/>
      <c r="R1068" s="20" t="n"/>
      <c r="S1068" s="20" t="n"/>
    </row>
    <row r="1069">
      <c r="A1069" s="15" t="n">
        <v>45593</v>
      </c>
      <c r="B1069" s="20" t="n">
        <v>32</v>
      </c>
      <c r="C1069" s="20" t="n">
        <v>29</v>
      </c>
      <c r="D1069" s="17" t="inlineStr">
        <is>
          <t>Preston Way</t>
        </is>
      </c>
      <c r="E1069" s="9">
        <f>if($A1069&lt;&gt;"",E1068+B1069,"")</f>
        <v/>
      </c>
      <c r="F1069" s="9">
        <f>if($A1069&lt;&gt;"",F1068+C1069,"")</f>
        <v/>
      </c>
      <c r="G1069" s="11">
        <f>IF($A1069&lt;&gt;"",IF(F1069-E1069=0,"tie",IF(F1069-E1069&gt;0,"+"&amp;F1069-E1069,"+"&amp;E1069-F1069)),"")</f>
        <v/>
      </c>
      <c r="H1069" s="12">
        <f>if($A1069&lt;&gt;"",if(B1069&gt;C1069,if(B1069&lt;60,1,2),""),"")</f>
        <v/>
      </c>
      <c r="I1069" s="12">
        <f>if($A1069&lt;&gt;"",if(C1069&gt;B1069,if(C1069&lt;60,1,2),""),"")</f>
        <v/>
      </c>
      <c r="J1069" s="9">
        <f>if($A1069&lt;&gt;"",J1068+H1069,"")</f>
        <v/>
      </c>
      <c r="K1069" s="9">
        <f>if($A1069&lt;&gt;"",K1068+I1069,"")</f>
        <v/>
      </c>
      <c r="L1069" s="11">
        <f>IF($A1069&lt;&gt;"",IF(K1069-J1069=0,"tie",IF(K1069-J1069&gt;0,"+"&amp;K1069-J1069,"+"&amp;J1069-K1069)),"")</f>
        <v/>
      </c>
      <c r="M1069" s="20" t="n"/>
      <c r="N1069" s="20" t="n"/>
      <c r="O1069" s="20" t="n"/>
      <c r="P1069" s="20" t="n"/>
      <c r="Q1069" s="20" t="n"/>
      <c r="R1069" s="20" t="n"/>
      <c r="S1069" s="20" t="n"/>
    </row>
    <row r="1070">
      <c r="A1070" s="15" t="n">
        <v>45593</v>
      </c>
      <c r="B1070" s="20" t="n">
        <v>34</v>
      </c>
      <c r="C1070" s="20" t="n">
        <v>23</v>
      </c>
      <c r="D1070" s="17" t="inlineStr">
        <is>
          <t>Preston Way</t>
        </is>
      </c>
      <c r="E1070" s="9">
        <f>if($A1070&lt;&gt;"",E1069+B1070,"")</f>
        <v/>
      </c>
      <c r="F1070" s="9">
        <f>if($A1070&lt;&gt;"",F1069+C1070,"")</f>
        <v/>
      </c>
      <c r="G1070" s="11">
        <f>IF($A1070&lt;&gt;"",IF(F1070-E1070=0,"tie",IF(F1070-E1070&gt;0,"+"&amp;F1070-E1070,"+"&amp;E1070-F1070)),"")</f>
        <v/>
      </c>
      <c r="H1070" s="12">
        <f>if($A1070&lt;&gt;"",if(B1070&gt;C1070,if(B1070&lt;60,1,2),""),"")</f>
        <v/>
      </c>
      <c r="I1070" s="12">
        <f>if($A1070&lt;&gt;"",if(C1070&gt;B1070,if(C1070&lt;60,1,2),""),"")</f>
        <v/>
      </c>
      <c r="J1070" s="9">
        <f>if($A1070&lt;&gt;"",J1069+H1070,"")</f>
        <v/>
      </c>
      <c r="K1070" s="9">
        <f>if($A1070&lt;&gt;"",K1069+I1070,"")</f>
        <v/>
      </c>
      <c r="L1070" s="11">
        <f>IF($A1070&lt;&gt;"",IF(K1070-J1070=0,"tie",IF(K1070-J1070&gt;0,"+"&amp;K1070-J1070,"+"&amp;J1070-K1070)),"")</f>
        <v/>
      </c>
      <c r="M1070" s="20" t="n"/>
      <c r="N1070" s="20" t="n"/>
      <c r="O1070" s="20" t="n"/>
      <c r="P1070" s="20" t="n"/>
      <c r="Q1070" s="20" t="n"/>
      <c r="R1070" s="20" t="n"/>
      <c r="S1070" s="20" t="n"/>
    </row>
    <row r="1071">
      <c r="A1071" s="15" t="n">
        <v>45593</v>
      </c>
      <c r="B1071" s="20" t="n">
        <v>16</v>
      </c>
      <c r="C1071" s="20" t="n">
        <v>33</v>
      </c>
      <c r="D1071" s="17" t="inlineStr">
        <is>
          <t>Preston Way</t>
        </is>
      </c>
      <c r="E1071" s="9">
        <f>if($A1071&lt;&gt;"",E1070+B1071,"")</f>
        <v/>
      </c>
      <c r="F1071" s="9">
        <f>if($A1071&lt;&gt;"",F1070+C1071,"")</f>
        <v/>
      </c>
      <c r="G1071" s="11">
        <f>IF($A1071&lt;&gt;"",IF(F1071-E1071=0,"tie",IF(F1071-E1071&gt;0,"+"&amp;F1071-E1071,"+"&amp;E1071-F1071)),"")</f>
        <v/>
      </c>
      <c r="H1071" s="12">
        <f>if($A1071&lt;&gt;"",if(B1071&gt;C1071,if(B1071&lt;60,1,2),""),"")</f>
        <v/>
      </c>
      <c r="I1071" s="12">
        <f>if($A1071&lt;&gt;"",if(C1071&gt;B1071,if(C1071&lt;60,1,2),""),"")</f>
        <v/>
      </c>
      <c r="J1071" s="9">
        <f>if($A1071&lt;&gt;"",J1070+H1071,"")</f>
        <v/>
      </c>
      <c r="K1071" s="9">
        <f>if($A1071&lt;&gt;"",K1070+I1071,"")</f>
        <v/>
      </c>
      <c r="L1071" s="11">
        <f>IF($A1071&lt;&gt;"",IF(K1071-J1071=0,"tie",IF(K1071-J1071&gt;0,"+"&amp;K1071-J1071,"+"&amp;J1071-K1071)),"")</f>
        <v/>
      </c>
      <c r="M1071" s="20" t="n"/>
      <c r="N1071" s="20" t="n"/>
      <c r="O1071" s="20" t="n"/>
      <c r="P1071" s="20" t="n"/>
      <c r="Q1071" s="20" t="n"/>
      <c r="R1071" s="20" t="n"/>
      <c r="S1071" s="20" t="n"/>
    </row>
    <row r="1072">
      <c r="A1072" s="15" t="n">
        <v>45595</v>
      </c>
      <c r="B1072" s="20" t="n">
        <v>32</v>
      </c>
      <c r="C1072" s="20" t="n">
        <v>27</v>
      </c>
      <c r="D1072" s="17" t="inlineStr">
        <is>
          <t>Preston Way</t>
        </is>
      </c>
      <c r="E1072" s="9">
        <f>if($A1072&lt;&gt;"",E1071+B1072,"")</f>
        <v/>
      </c>
      <c r="F1072" s="9">
        <f>if($A1072&lt;&gt;"",F1071+C1072,"")</f>
        <v/>
      </c>
      <c r="G1072" s="11">
        <f>IF($A1072&lt;&gt;"",IF(F1072-E1072=0,"tie",IF(F1072-E1072&gt;0,"+"&amp;F1072-E1072,"+"&amp;E1072-F1072)),"")</f>
        <v/>
      </c>
      <c r="H1072" s="12">
        <f>if($A1072&lt;&gt;"",if(B1072&gt;C1072,if(B1072&lt;60,1,2),""),"")</f>
        <v/>
      </c>
      <c r="I1072" s="12">
        <f>if($A1072&lt;&gt;"",if(C1072&gt;B1072,if(C1072&lt;60,1,2),""),"")</f>
        <v/>
      </c>
      <c r="J1072" s="9">
        <f>if($A1072&lt;&gt;"",J1071+H1072,"")</f>
        <v/>
      </c>
      <c r="K1072" s="9">
        <f>if($A1072&lt;&gt;"",K1071+I1072,"")</f>
        <v/>
      </c>
      <c r="L1072" s="11">
        <f>IF($A1072&lt;&gt;"",IF(K1072-J1072=0,"tie",IF(K1072-J1072&gt;0,"+"&amp;K1072-J1072,"+"&amp;J1072-K1072)),"")</f>
        <v/>
      </c>
      <c r="M1072" s="20" t="n"/>
      <c r="N1072" s="20" t="n"/>
      <c r="O1072" s="20" t="n"/>
      <c r="P1072" s="20" t="n"/>
      <c r="Q1072" s="20" t="n"/>
      <c r="R1072" s="20" t="n"/>
      <c r="S1072" s="20" t="n"/>
    </row>
    <row r="1073">
      <c r="A1073" s="15" t="n">
        <v>45595</v>
      </c>
      <c r="B1073" s="20" t="n">
        <v>16</v>
      </c>
      <c r="C1073" s="20" t="n">
        <v>41</v>
      </c>
      <c r="D1073" s="17" t="inlineStr">
        <is>
          <t>Preston Way</t>
        </is>
      </c>
      <c r="E1073" s="9">
        <f>if($A1073&lt;&gt;"",E1072+B1073,"")</f>
        <v/>
      </c>
      <c r="F1073" s="9">
        <f>if($A1073&lt;&gt;"",F1072+C1073,"")</f>
        <v/>
      </c>
      <c r="G1073" s="11">
        <f>IF($A1073&lt;&gt;"",IF(F1073-E1073=0,"tie",IF(F1073-E1073&gt;0,"+"&amp;F1073-E1073,"+"&amp;E1073-F1073)),"")</f>
        <v/>
      </c>
      <c r="H1073" s="12">
        <f>if($A1073&lt;&gt;"",if(B1073&gt;C1073,if(B1073&lt;60,1,2),""),"")</f>
        <v/>
      </c>
      <c r="I1073" s="12">
        <f>if($A1073&lt;&gt;"",if(C1073&gt;B1073,if(C1073&lt;60,1,2),""),"")</f>
        <v/>
      </c>
      <c r="J1073" s="9">
        <f>if($A1073&lt;&gt;"",J1072+H1073,"")</f>
        <v/>
      </c>
      <c r="K1073" s="9">
        <f>if($A1073&lt;&gt;"",K1072+I1073,"")</f>
        <v/>
      </c>
      <c r="L1073" s="11">
        <f>IF($A1073&lt;&gt;"",IF(K1073-J1073=0,"tie",IF(K1073-J1073&gt;0,"+"&amp;K1073-J1073,"+"&amp;J1073-K1073)),"")</f>
        <v/>
      </c>
      <c r="M1073" s="20" t="n"/>
      <c r="N1073" s="20" t="n"/>
      <c r="O1073" s="20" t="n"/>
      <c r="P1073" s="20" t="n"/>
      <c r="Q1073" s="20" t="n"/>
      <c r="R1073" s="20" t="n"/>
      <c r="S1073" s="20" t="n"/>
    </row>
    <row r="1074">
      <c r="A1074" s="15" t="n">
        <v>45595</v>
      </c>
      <c r="B1074" s="20" t="n">
        <v>27</v>
      </c>
      <c r="C1074" s="20" t="n">
        <v>33</v>
      </c>
      <c r="D1074" s="17" t="inlineStr">
        <is>
          <t>J Nichols, MDR</t>
        </is>
      </c>
      <c r="E1074" s="9">
        <f>if($A1074&lt;&gt;"",E1073+B1074,"")</f>
        <v/>
      </c>
      <c r="F1074" s="9">
        <f>if($A1074&lt;&gt;"",F1073+C1074,"")</f>
        <v/>
      </c>
      <c r="G1074" s="11">
        <f>IF($A1074&lt;&gt;"",IF(F1074-E1074=0,"tie",IF(F1074-E1074&gt;0,"+"&amp;F1074-E1074,"+"&amp;E1074-F1074)),"")</f>
        <v/>
      </c>
      <c r="H1074" s="12">
        <f>if($A1074&lt;&gt;"",if(B1074&gt;C1074,if(B1074&lt;60,1,2),""),"")</f>
        <v/>
      </c>
      <c r="I1074" s="12">
        <f>if($A1074&lt;&gt;"",if(C1074&gt;B1074,if(C1074&lt;60,1,2),""),"")</f>
        <v/>
      </c>
      <c r="J1074" s="9">
        <f>if($A1074&lt;&gt;"",J1073+H1074,"")</f>
        <v/>
      </c>
      <c r="K1074" s="9">
        <f>if($A1074&lt;&gt;"",K1073+I1074,"")</f>
        <v/>
      </c>
      <c r="L1074" s="11">
        <f>IF($A1074&lt;&gt;"",IF(K1074-J1074=0,"tie",IF(K1074-J1074&gt;0,"+"&amp;K1074-J1074,"+"&amp;J1074-K1074)),"")</f>
        <v/>
      </c>
      <c r="M1074" s="20" t="n"/>
      <c r="N1074" s="20" t="n"/>
      <c r="O1074" s="20" t="n"/>
      <c r="P1074" s="20" t="n"/>
      <c r="Q1074" s="20" t="n"/>
      <c r="R1074" s="20" t="n"/>
      <c r="S1074" s="20" t="n"/>
    </row>
    <row r="1075">
      <c r="A1075" s="15" t="n">
        <v>45597</v>
      </c>
      <c r="B1075" s="20" t="n">
        <v>38</v>
      </c>
      <c r="C1075" s="20" t="n">
        <v>26</v>
      </c>
      <c r="D1075" s="17" t="inlineStr">
        <is>
          <t>Preston Way</t>
        </is>
      </c>
      <c r="E1075" s="9">
        <f>if($A1075&lt;&gt;"",E1074+B1075,"")</f>
        <v/>
      </c>
      <c r="F1075" s="9">
        <f>if($A1075&lt;&gt;"",F1074+C1075,"")</f>
        <v/>
      </c>
      <c r="G1075" s="11">
        <f>IF($A1075&lt;&gt;"",IF(F1075-E1075=0,"tie",IF(F1075-E1075&gt;0,"+"&amp;F1075-E1075,"+"&amp;E1075-F1075)),"")</f>
        <v/>
      </c>
      <c r="H1075" s="12">
        <f>if($A1075&lt;&gt;"",if(B1075&gt;C1075,if(B1075&lt;60,1,2),""),"")</f>
        <v/>
      </c>
      <c r="I1075" s="12">
        <f>if($A1075&lt;&gt;"",if(C1075&gt;B1075,if(C1075&lt;60,1,2),""),"")</f>
        <v/>
      </c>
      <c r="J1075" s="9">
        <f>if($A1075&lt;&gt;"",J1074+H1075,"")</f>
        <v/>
      </c>
      <c r="K1075" s="9">
        <f>if($A1075&lt;&gt;"",K1074+I1075,"")</f>
        <v/>
      </c>
      <c r="L1075" s="11">
        <f>IF($A1075&lt;&gt;"",IF(K1075-J1075=0,"tie",IF(K1075-J1075&gt;0,"+"&amp;K1075-J1075,"+"&amp;J1075-K1075)),"")</f>
        <v/>
      </c>
      <c r="M1075" s="20" t="n"/>
      <c r="N1075" s="20" t="n"/>
      <c r="O1075" s="20" t="n"/>
      <c r="P1075" s="20" t="n"/>
      <c r="Q1075" s="20" t="n"/>
      <c r="R1075" s="20" t="n"/>
      <c r="S1075" s="20" t="n"/>
    </row>
    <row r="1076">
      <c r="A1076" s="15" t="n">
        <v>45599</v>
      </c>
      <c r="B1076" s="20" t="n">
        <v>25</v>
      </c>
      <c r="C1076" s="20" t="n">
        <v>40</v>
      </c>
      <c r="D1076" s="17" t="inlineStr">
        <is>
          <t>Zinque, Venice</t>
        </is>
      </c>
      <c r="E1076" s="9">
        <f>if($A1076&lt;&gt;"",E1075+B1076,"")</f>
        <v/>
      </c>
      <c r="F1076" s="9">
        <f>if($A1076&lt;&gt;"",F1075+C1076,"")</f>
        <v/>
      </c>
      <c r="G1076" s="11">
        <f>IF($A1076&lt;&gt;"",IF(F1076-E1076=0,"tie",IF(F1076-E1076&gt;0,"+"&amp;F1076-E1076,"+"&amp;E1076-F1076)),"")</f>
        <v/>
      </c>
      <c r="H1076" s="12">
        <f>if($A1076&lt;&gt;"",if(B1076&gt;C1076,if(B1076&lt;60,1,2),""),"")</f>
        <v/>
      </c>
      <c r="I1076" s="12">
        <f>if($A1076&lt;&gt;"",if(C1076&gt;B1076,if(C1076&lt;60,1,2),""),"")</f>
        <v/>
      </c>
      <c r="J1076" s="9">
        <f>if($A1076&lt;&gt;"",J1075+H1076,"")</f>
        <v/>
      </c>
      <c r="K1076" s="9">
        <f>if($A1076&lt;&gt;"",K1075+I1076,"")</f>
        <v/>
      </c>
      <c r="L1076" s="11">
        <f>IF($A1076&lt;&gt;"",IF(K1076-J1076=0,"tie",IF(K1076-J1076&gt;0,"+"&amp;K1076-J1076,"+"&amp;J1076-K1076)),"")</f>
        <v/>
      </c>
      <c r="M1076" s="20" t="n"/>
      <c r="N1076" s="20" t="n"/>
      <c r="O1076" s="20" t="n"/>
      <c r="P1076" s="20" t="n"/>
      <c r="Q1076" s="20" t="n"/>
      <c r="R1076" s="20" t="n"/>
      <c r="S1076" s="20" t="n"/>
    </row>
    <row r="1077">
      <c r="A1077" s="15" t="n">
        <v>45601</v>
      </c>
      <c r="B1077" s="20" t="n">
        <v>25</v>
      </c>
      <c r="C1077" s="20" t="n">
        <v>32</v>
      </c>
      <c r="D1077" s="17" t="inlineStr">
        <is>
          <t>Preston Way</t>
        </is>
      </c>
      <c r="E1077" s="9">
        <f>if($A1077&lt;&gt;"",E1076+B1077,"")</f>
        <v/>
      </c>
      <c r="F1077" s="9">
        <f>if($A1077&lt;&gt;"",F1076+C1077,"")</f>
        <v/>
      </c>
      <c r="G1077" s="11">
        <f>IF($A1077&lt;&gt;"",IF(F1077-E1077=0,"tie",IF(F1077-E1077&gt;0,"+"&amp;F1077-E1077,"+"&amp;E1077-F1077)),"")</f>
        <v/>
      </c>
      <c r="H1077" s="12">
        <f>if($A1077&lt;&gt;"",if(B1077&gt;C1077,if(B1077&lt;60,1,2),""),"")</f>
        <v/>
      </c>
      <c r="I1077" s="12">
        <f>if($A1077&lt;&gt;"",if(C1077&gt;B1077,if(C1077&lt;60,1,2),""),"")</f>
        <v/>
      </c>
      <c r="J1077" s="9">
        <f>if($A1077&lt;&gt;"",J1076+H1077,"")</f>
        <v/>
      </c>
      <c r="K1077" s="9">
        <f>if($A1077&lt;&gt;"",K1076+I1077,"")</f>
        <v/>
      </c>
      <c r="L1077" s="11">
        <f>IF($A1077&lt;&gt;"",IF(K1077-J1077=0,"tie",IF(K1077-J1077&gt;0,"+"&amp;K1077-J1077,"+"&amp;J1077-K1077)),"")</f>
        <v/>
      </c>
      <c r="M1077" s="20" t="n"/>
      <c r="N1077" s="20" t="n"/>
      <c r="O1077" s="20" t="n"/>
      <c r="P1077" s="20" t="n"/>
      <c r="Q1077" s="20" t="n"/>
      <c r="R1077" s="20" t="n"/>
      <c r="S1077" s="20" t="n"/>
    </row>
    <row r="1078">
      <c r="A1078" s="15" t="n">
        <v>45601</v>
      </c>
      <c r="B1078" s="20" t="n">
        <v>34</v>
      </c>
      <c r="C1078" s="20" t="n">
        <v>23</v>
      </c>
      <c r="D1078" s="17" t="inlineStr">
        <is>
          <t>Preston Way</t>
        </is>
      </c>
      <c r="E1078" s="9">
        <f>if($A1078&lt;&gt;"",E1077+B1078,"")</f>
        <v/>
      </c>
      <c r="F1078" s="9">
        <f>if($A1078&lt;&gt;"",F1077+C1078,"")</f>
        <v/>
      </c>
      <c r="G1078" s="11">
        <f>IF($A1078&lt;&gt;"",IF(F1078-E1078=0,"tie",IF(F1078-E1078&gt;0,"+"&amp;F1078-E1078,"+"&amp;E1078-F1078)),"")</f>
        <v/>
      </c>
      <c r="H1078" s="12">
        <f>if($A1078&lt;&gt;"",if(B1078&gt;C1078,if(B1078&lt;60,1,2),""),"")</f>
        <v/>
      </c>
      <c r="I1078" s="12">
        <f>if($A1078&lt;&gt;"",if(C1078&gt;B1078,if(C1078&lt;60,1,2),""),"")</f>
        <v/>
      </c>
      <c r="J1078" s="9">
        <f>if($A1078&lt;&gt;"",J1077+H1078,"")</f>
        <v/>
      </c>
      <c r="K1078" s="9">
        <f>if($A1078&lt;&gt;"",K1077+I1078,"")</f>
        <v/>
      </c>
      <c r="L1078" s="11">
        <f>IF($A1078&lt;&gt;"",IF(K1078-J1078=0,"tie",IF(K1078-J1078&gt;0,"+"&amp;K1078-J1078,"+"&amp;J1078-K1078)),"")</f>
        <v/>
      </c>
      <c r="M1078" s="20" t="n"/>
      <c r="N1078" s="20" t="n"/>
      <c r="O1078" s="20" t="n"/>
      <c r="P1078" s="20" t="n"/>
      <c r="Q1078" s="20" t="n"/>
      <c r="R1078" s="20" t="n"/>
      <c r="S1078" s="20" t="n"/>
    </row>
    <row r="1079">
      <c r="A1079" s="15" t="n">
        <v>45601</v>
      </c>
      <c r="B1079" s="20" t="n">
        <v>34</v>
      </c>
      <c r="C1079" s="20" t="n">
        <v>28</v>
      </c>
      <c r="D1079" s="17" t="inlineStr">
        <is>
          <t>Preston Way</t>
        </is>
      </c>
      <c r="E1079" s="9">
        <f>if($A1079&lt;&gt;"",E1078+B1079,"")</f>
        <v/>
      </c>
      <c r="F1079" s="9">
        <f>if($A1079&lt;&gt;"",F1078+C1079,"")</f>
        <v/>
      </c>
      <c r="G1079" s="11">
        <f>IF($A1079&lt;&gt;"",IF(F1079-E1079=0,"tie",IF(F1079-E1079&gt;0,"+"&amp;F1079-E1079,"+"&amp;E1079-F1079)),"")</f>
        <v/>
      </c>
      <c r="H1079" s="12">
        <f>if($A1079&lt;&gt;"",if(B1079&gt;C1079,if(B1079&lt;60,1,2),""),"")</f>
        <v/>
      </c>
      <c r="I1079" s="12">
        <f>if($A1079&lt;&gt;"",if(C1079&gt;B1079,if(C1079&lt;60,1,2),""),"")</f>
        <v/>
      </c>
      <c r="J1079" s="9">
        <f>if($A1079&lt;&gt;"",J1078+H1079,"")</f>
        <v/>
      </c>
      <c r="K1079" s="9">
        <f>if($A1079&lt;&gt;"",K1078+I1079,"")</f>
        <v/>
      </c>
      <c r="L1079" s="11">
        <f>IF($A1079&lt;&gt;"",IF(K1079-J1079=0,"tie",IF(K1079-J1079&gt;0,"+"&amp;K1079-J1079,"+"&amp;J1079-K1079)),"")</f>
        <v/>
      </c>
      <c r="M1079" s="20" t="n"/>
      <c r="N1079" s="20" t="n"/>
      <c r="O1079" s="20" t="n"/>
      <c r="P1079" s="20" t="n"/>
      <c r="Q1079" s="20" t="n"/>
      <c r="R1079" s="20" t="n"/>
      <c r="S1079" s="20" t="n"/>
    </row>
    <row r="1080">
      <c r="A1080" s="15" t="n">
        <v>45602</v>
      </c>
      <c r="B1080" s="20" t="n">
        <v>36</v>
      </c>
      <c r="C1080" s="20" t="n">
        <v>30</v>
      </c>
      <c r="D1080" s="17" t="inlineStr">
        <is>
          <t>Preston Way</t>
        </is>
      </c>
      <c r="E1080" s="9">
        <f>if($A1080&lt;&gt;"",E1079+B1080,"")</f>
        <v/>
      </c>
      <c r="F1080" s="9">
        <f>if($A1080&lt;&gt;"",F1079+C1080,"")</f>
        <v/>
      </c>
      <c r="G1080" s="11">
        <f>IF($A1080&lt;&gt;"",IF(F1080-E1080=0,"tie",IF(F1080-E1080&gt;0,"+"&amp;F1080-E1080,"+"&amp;E1080-F1080)),"")</f>
        <v/>
      </c>
      <c r="H1080" s="12">
        <f>if($A1080&lt;&gt;"",if(B1080&gt;C1080,if(B1080&lt;60,1,2),""),"")</f>
        <v/>
      </c>
      <c r="I1080" s="12">
        <f>if($A1080&lt;&gt;"",if(C1080&gt;B1080,if(C1080&lt;60,1,2),""),"")</f>
        <v/>
      </c>
      <c r="J1080" s="9">
        <f>if($A1080&lt;&gt;"",J1079+H1080,"")</f>
        <v/>
      </c>
      <c r="K1080" s="9">
        <f>if($A1080&lt;&gt;"",K1079+I1080,"")</f>
        <v/>
      </c>
      <c r="L1080" s="11">
        <f>IF($A1080&lt;&gt;"",IF(K1080-J1080=0,"tie",IF(K1080-J1080&gt;0,"+"&amp;K1080-J1080,"+"&amp;J1080-K1080)),"")</f>
        <v/>
      </c>
      <c r="M1080" s="20" t="n"/>
      <c r="N1080" s="20" t="n"/>
      <c r="O1080" s="20" t="n"/>
      <c r="P1080" s="20" t="n"/>
      <c r="Q1080" s="20" t="n"/>
      <c r="R1080" s="20" t="n"/>
      <c r="S1080" s="20" t="n"/>
    </row>
    <row r="1081">
      <c r="A1081" s="15" t="n">
        <v>45603</v>
      </c>
      <c r="B1081" s="20" t="n">
        <v>29</v>
      </c>
      <c r="C1081" s="20" t="n">
        <v>32</v>
      </c>
      <c r="D1081" s="17" t="inlineStr">
        <is>
          <t>Mel's Diner, Santa Monica</t>
        </is>
      </c>
      <c r="E1081" s="9">
        <f>if($A1081&lt;&gt;"",E1080+B1081,"")</f>
        <v/>
      </c>
      <c r="F1081" s="9">
        <f>if($A1081&lt;&gt;"",F1080+C1081,"")</f>
        <v/>
      </c>
      <c r="G1081" s="11">
        <f>IF($A1081&lt;&gt;"",IF(F1081-E1081=0,"tie",IF(F1081-E1081&gt;0,"+"&amp;F1081-E1081,"+"&amp;E1081-F1081)),"")</f>
        <v/>
      </c>
      <c r="H1081" s="12">
        <f>if($A1081&lt;&gt;"",if(B1081&gt;C1081,if(B1081&lt;60,1,2),""),"")</f>
        <v/>
      </c>
      <c r="I1081" s="12">
        <f>if($A1081&lt;&gt;"",if(C1081&gt;B1081,if(C1081&lt;60,1,2),""),"")</f>
        <v/>
      </c>
      <c r="J1081" s="9">
        <f>if($A1081&lt;&gt;"",J1080+H1081,"")</f>
        <v/>
      </c>
      <c r="K1081" s="9">
        <f>if($A1081&lt;&gt;"",K1080+I1081,"")</f>
        <v/>
      </c>
      <c r="L1081" s="11">
        <f>IF($A1081&lt;&gt;"",IF(K1081-J1081=0,"tie",IF(K1081-J1081&gt;0,"+"&amp;K1081-J1081,"+"&amp;J1081-K1081)),"")</f>
        <v/>
      </c>
      <c r="M1081" s="20" t="n"/>
      <c r="N1081" s="20" t="n"/>
      <c r="O1081" s="20" t="n"/>
      <c r="P1081" s="20" t="n"/>
      <c r="Q1081" s="20" t="n"/>
      <c r="R1081" s="20" t="n"/>
      <c r="S1081" s="20" t="n"/>
    </row>
    <row r="1082">
      <c r="A1082" s="15" t="n">
        <v>45606</v>
      </c>
      <c r="B1082" s="20" t="n">
        <v>62</v>
      </c>
      <c r="C1082" s="20" t="n">
        <v>63</v>
      </c>
      <c r="D1082" s="17" t="inlineStr">
        <is>
          <t>Zinque, Venice</t>
        </is>
      </c>
      <c r="E1082" s="9">
        <f>if($A1082&lt;&gt;"",E1081+B1082,"")</f>
        <v/>
      </c>
      <c r="F1082" s="9">
        <f>if($A1082&lt;&gt;"",F1081+C1082,"")</f>
        <v/>
      </c>
      <c r="G1082" s="11">
        <f>IF($A1082&lt;&gt;"",IF(F1082-E1082=0,"tie",IF(F1082-E1082&gt;0,"+"&amp;F1082-E1082,"+"&amp;E1082-F1082)),"")</f>
        <v/>
      </c>
      <c r="H1082" s="12">
        <f>if($A1082&lt;&gt;"",if(B1082&gt;C1082,if(B1082&lt;60,1,2),""),"")</f>
        <v/>
      </c>
      <c r="I1082" s="12">
        <f>if($A1082&lt;&gt;"",if(C1082&gt;B1082,if(C1082&lt;60,1,2),""),"")</f>
        <v/>
      </c>
      <c r="J1082" s="9">
        <f>if($A1082&lt;&gt;"",J1081+H1082,"")</f>
        <v/>
      </c>
      <c r="K1082" s="9">
        <f>if($A1082&lt;&gt;"",K1081+I1082,"")</f>
        <v/>
      </c>
      <c r="L1082" s="11">
        <f>IF($A1082&lt;&gt;"",IF(K1082-J1082=0,"tie",IF(K1082-J1082&gt;0,"+"&amp;K1082-J1082,"+"&amp;J1082-K1082)),"")</f>
        <v/>
      </c>
      <c r="M1082" s="20" t="n"/>
      <c r="N1082" s="20" t="n"/>
      <c r="O1082" s="20" t="n"/>
      <c r="P1082" s="20" t="n"/>
      <c r="Q1082" s="20" t="n"/>
      <c r="R1082" s="20" t="n"/>
      <c r="S1082" s="20" t="n"/>
    </row>
    <row r="1083">
      <c r="A1083" s="15" t="n">
        <v>45606</v>
      </c>
      <c r="B1083" s="20" t="n">
        <v>35</v>
      </c>
      <c r="C1083" s="20" t="n">
        <v>28</v>
      </c>
      <c r="D1083" s="17" t="inlineStr">
        <is>
          <t>Preston Way</t>
        </is>
      </c>
      <c r="E1083" s="9">
        <f>if($A1083&lt;&gt;"",E1082+B1083,"")</f>
        <v/>
      </c>
      <c r="F1083" s="9">
        <f>if($A1083&lt;&gt;"",F1082+C1083,"")</f>
        <v/>
      </c>
      <c r="G1083" s="11">
        <f>IF($A1083&lt;&gt;"",IF(F1083-E1083=0,"tie",IF(F1083-E1083&gt;0,"+"&amp;F1083-E1083,"+"&amp;E1083-F1083)),"")</f>
        <v/>
      </c>
      <c r="H1083" s="12">
        <f>if($A1083&lt;&gt;"",if(B1083&gt;C1083,if(B1083&lt;60,1,2),""),"")</f>
        <v/>
      </c>
      <c r="I1083" s="12">
        <f>if($A1083&lt;&gt;"",if(C1083&gt;B1083,if(C1083&lt;60,1,2),""),"")</f>
        <v/>
      </c>
      <c r="J1083" s="9">
        <f>if($A1083&lt;&gt;"",J1082+H1083,"")</f>
        <v/>
      </c>
      <c r="K1083" s="9">
        <f>if($A1083&lt;&gt;"",K1082+I1083,"")</f>
        <v/>
      </c>
      <c r="L1083" s="11">
        <f>IF($A1083&lt;&gt;"",IF(K1083-J1083=0,"tie",IF(K1083-J1083&gt;0,"+"&amp;K1083-J1083,"+"&amp;J1083-K1083)),"")</f>
        <v/>
      </c>
      <c r="M1083" s="20" t="n"/>
      <c r="N1083" s="20" t="n"/>
      <c r="O1083" s="20" t="n"/>
      <c r="P1083" s="20" t="n"/>
      <c r="Q1083" s="20" t="n"/>
      <c r="R1083" s="20" t="n"/>
      <c r="S1083" s="20" t="n"/>
    </row>
    <row r="1084">
      <c r="A1084" s="15" t="n">
        <v>45607</v>
      </c>
      <c r="B1084" s="20" t="n">
        <v>31</v>
      </c>
      <c r="C1084" s="20" t="n">
        <v>26</v>
      </c>
      <c r="D1084" s="17" t="inlineStr">
        <is>
          <t>Saby's</t>
        </is>
      </c>
      <c r="E1084" s="9">
        <f>if($A1084&lt;&gt;"",E1083+B1084,"")</f>
        <v/>
      </c>
      <c r="F1084" s="9">
        <f>if($A1084&lt;&gt;"",F1083+C1084,"")</f>
        <v/>
      </c>
      <c r="G1084" s="11">
        <f>IF($A1084&lt;&gt;"",IF(F1084-E1084=0,"tie",IF(F1084-E1084&gt;0,"+"&amp;F1084-E1084,"+"&amp;E1084-F1084)),"")</f>
        <v/>
      </c>
      <c r="H1084" s="12">
        <f>if($A1084&lt;&gt;"",if(B1084&gt;C1084,if(B1084&lt;60,1,2),""),"")</f>
        <v/>
      </c>
      <c r="I1084" s="12">
        <f>if($A1084&lt;&gt;"",if(C1084&gt;B1084,if(C1084&lt;60,1,2),""),"")</f>
        <v/>
      </c>
      <c r="J1084" s="9">
        <f>if($A1084&lt;&gt;"",J1083+H1084,"")</f>
        <v/>
      </c>
      <c r="K1084" s="9">
        <f>if($A1084&lt;&gt;"",K1083+I1084,"")</f>
        <v/>
      </c>
      <c r="L1084" s="11">
        <f>IF($A1084&lt;&gt;"",IF(K1084-J1084=0,"tie",IF(K1084-J1084&gt;0,"+"&amp;K1084-J1084,"+"&amp;J1084-K1084)),"")</f>
        <v/>
      </c>
      <c r="M1084" s="20" t="n"/>
      <c r="N1084" s="20" t="n"/>
      <c r="O1084" s="20" t="n"/>
      <c r="P1084" s="20" t="n"/>
      <c r="Q1084" s="20" t="n"/>
      <c r="R1084" s="20" t="n"/>
      <c r="S1084" s="20" t="n"/>
    </row>
    <row r="1085">
      <c r="A1085" s="15" t="n">
        <v>45607</v>
      </c>
      <c r="B1085" s="20" t="n">
        <v>36</v>
      </c>
      <c r="C1085" s="20" t="n">
        <v>30</v>
      </c>
      <c r="D1085" s="17" t="inlineStr">
        <is>
          <t>Preston Way</t>
        </is>
      </c>
      <c r="E1085" s="9">
        <f>if($A1085&lt;&gt;"",E1084+B1085,"")</f>
        <v/>
      </c>
      <c r="F1085" s="9">
        <f>if($A1085&lt;&gt;"",F1084+C1085,"")</f>
        <v/>
      </c>
      <c r="G1085" s="11">
        <f>IF($A1085&lt;&gt;"",IF(F1085-E1085=0,"tie",IF(F1085-E1085&gt;0,"+"&amp;F1085-E1085,"+"&amp;E1085-F1085)),"")</f>
        <v/>
      </c>
      <c r="H1085" s="12">
        <f>if($A1085&lt;&gt;"",if(B1085&gt;C1085,if(B1085&lt;60,1,2),""),"")</f>
        <v/>
      </c>
      <c r="I1085" s="12">
        <f>if($A1085&lt;&gt;"",if(C1085&gt;B1085,if(C1085&lt;60,1,2),""),"")</f>
        <v/>
      </c>
      <c r="J1085" s="9">
        <f>if($A1085&lt;&gt;"",J1084+H1085,"")</f>
        <v/>
      </c>
      <c r="K1085" s="9">
        <f>if($A1085&lt;&gt;"",K1084+I1085,"")</f>
        <v/>
      </c>
      <c r="L1085" s="11">
        <f>IF($A1085&lt;&gt;"",IF(K1085-J1085=0,"tie",IF(K1085-J1085&gt;0,"+"&amp;K1085-J1085,"+"&amp;J1085-K1085)),"")</f>
        <v/>
      </c>
      <c r="M1085" s="20" t="n"/>
      <c r="N1085" s="20" t="n"/>
      <c r="O1085" s="20" t="n"/>
      <c r="P1085" s="20" t="n"/>
      <c r="Q1085" s="20" t="n"/>
      <c r="R1085" s="20" t="n"/>
      <c r="S1085" s="20" t="n"/>
    </row>
    <row r="1086">
      <c r="A1086" s="15" t="n">
        <v>45608</v>
      </c>
      <c r="B1086" s="20" t="n">
        <v>32</v>
      </c>
      <c r="C1086" s="20" t="n">
        <v>25</v>
      </c>
      <c r="D1086" s="17" t="inlineStr">
        <is>
          <t xml:space="preserve">Johnnie's Pastrami </t>
        </is>
      </c>
      <c r="E1086" s="9">
        <f>if($A1086&lt;&gt;"",E1085+B1086,"")</f>
        <v/>
      </c>
      <c r="F1086" s="9">
        <f>if($A1086&lt;&gt;"",F1085+C1086,"")</f>
        <v/>
      </c>
      <c r="G1086" s="11">
        <f>IF($A1086&lt;&gt;"",IF(F1086-E1086=0,"tie",IF(F1086-E1086&gt;0,"+"&amp;F1086-E1086,"+"&amp;E1086-F1086)),"")</f>
        <v/>
      </c>
      <c r="H1086" s="12">
        <f>if($A1086&lt;&gt;"",if(B1086&gt;C1086,if(B1086&lt;60,1,2),""),"")</f>
        <v/>
      </c>
      <c r="I1086" s="12">
        <f>if($A1086&lt;&gt;"",if(C1086&gt;B1086,if(C1086&lt;60,1,2),""),"")</f>
        <v/>
      </c>
      <c r="J1086" s="9">
        <f>if($A1086&lt;&gt;"",J1085+H1086,"")</f>
        <v/>
      </c>
      <c r="K1086" s="9">
        <f>if($A1086&lt;&gt;"",K1085+I1086,"")</f>
        <v/>
      </c>
      <c r="L1086" s="11">
        <f>IF($A1086&lt;&gt;"",IF(K1086-J1086=0,"tie",IF(K1086-J1086&gt;0,"+"&amp;K1086-J1086,"+"&amp;J1086-K1086)),"")</f>
        <v/>
      </c>
      <c r="M1086" s="20" t="n"/>
      <c r="N1086" s="20" t="n"/>
      <c r="O1086" s="20" t="n"/>
      <c r="P1086" s="20" t="n"/>
      <c r="Q1086" s="20" t="n"/>
      <c r="R1086" s="20" t="n"/>
      <c r="S1086" s="20" t="n"/>
    </row>
    <row r="1087">
      <c r="A1087" s="15" t="n">
        <v>45609</v>
      </c>
      <c r="B1087" s="20" t="n">
        <v>13</v>
      </c>
      <c r="C1087" s="20" t="n">
        <v>32</v>
      </c>
      <c r="D1087" s="17" t="inlineStr">
        <is>
          <t>Preston Way</t>
        </is>
      </c>
      <c r="E1087" s="9">
        <f>if($A1087&lt;&gt;"",E1086+B1087,"")</f>
        <v/>
      </c>
      <c r="F1087" s="9">
        <f>if($A1087&lt;&gt;"",F1086+C1087,"")</f>
        <v/>
      </c>
      <c r="G1087" s="11">
        <f>IF($A1087&lt;&gt;"",IF(F1087-E1087=0,"tie",IF(F1087-E1087&gt;0,"+"&amp;F1087-E1087,"+"&amp;E1087-F1087)),"")</f>
        <v/>
      </c>
      <c r="H1087" s="12">
        <f>if($A1087&lt;&gt;"",if(B1087&gt;C1087,if(B1087&lt;60,1,2),""),"")</f>
        <v/>
      </c>
      <c r="I1087" s="12">
        <f>if($A1087&lt;&gt;"",if(C1087&gt;B1087,if(C1087&lt;60,1,2),""),"")</f>
        <v/>
      </c>
      <c r="J1087" s="9">
        <f>if($A1087&lt;&gt;"",J1086+H1087,"")</f>
        <v/>
      </c>
      <c r="K1087" s="9">
        <f>if($A1087&lt;&gt;"",K1086+I1087,"")</f>
        <v/>
      </c>
      <c r="L1087" s="11">
        <f>IF($A1087&lt;&gt;"",IF(K1087-J1087=0,"tie",IF(K1087-J1087&gt;0,"+"&amp;K1087-J1087,"+"&amp;J1087-K1087)),"")</f>
        <v/>
      </c>
      <c r="M1087" s="20" t="n"/>
      <c r="N1087" s="20" t="n"/>
      <c r="O1087" s="20" t="n"/>
      <c r="P1087" s="20" t="n"/>
      <c r="Q1087" s="20" t="n"/>
      <c r="R1087" s="20" t="n"/>
      <c r="S1087" s="20" t="n"/>
    </row>
    <row r="1088">
      <c r="A1088" s="15" t="n">
        <v>45609</v>
      </c>
      <c r="B1088" s="20" t="n">
        <v>32</v>
      </c>
      <c r="C1088" s="20" t="n">
        <v>17</v>
      </c>
      <c r="D1088" s="17" t="inlineStr">
        <is>
          <t>Preston Way</t>
        </is>
      </c>
      <c r="E1088" s="9">
        <f>if($A1088&lt;&gt;"",E1087+B1088,"")</f>
        <v/>
      </c>
      <c r="F1088" s="9">
        <f>if($A1088&lt;&gt;"",F1087+C1088,"")</f>
        <v/>
      </c>
      <c r="G1088" s="11">
        <f>IF($A1088&lt;&gt;"",IF(F1088-E1088=0,"tie",IF(F1088-E1088&gt;0,"+"&amp;F1088-E1088,"+"&amp;E1088-F1088)),"")</f>
        <v/>
      </c>
      <c r="H1088" s="12">
        <f>if($A1088&lt;&gt;"",if(B1088&gt;C1088,if(B1088&lt;60,1,2),""),"")</f>
        <v/>
      </c>
      <c r="I1088" s="12">
        <f>if($A1088&lt;&gt;"",if(C1088&gt;B1088,if(C1088&lt;60,1,2),""),"")</f>
        <v/>
      </c>
      <c r="J1088" s="9">
        <f>if($A1088&lt;&gt;"",J1087+H1088,"")</f>
        <v/>
      </c>
      <c r="K1088" s="9">
        <f>if($A1088&lt;&gt;"",K1087+I1088,"")</f>
        <v/>
      </c>
      <c r="L1088" s="11">
        <f>IF($A1088&lt;&gt;"",IF(K1088-J1088=0,"tie",IF(K1088-J1088&gt;0,"+"&amp;K1088-J1088,"+"&amp;J1088-K1088)),"")</f>
        <v/>
      </c>
      <c r="M1088" s="20" t="n"/>
      <c r="N1088" s="20" t="n"/>
      <c r="O1088" s="20" t="n"/>
      <c r="P1088" s="20" t="n"/>
      <c r="Q1088" s="20" t="n"/>
      <c r="R1088" s="20" t="n"/>
      <c r="S1088" s="20" t="n"/>
    </row>
    <row r="1089">
      <c r="A1089" s="15" t="n">
        <v>45610</v>
      </c>
      <c r="B1089" s="20" t="n">
        <v>31</v>
      </c>
      <c r="C1089" s="20" t="n">
        <v>20</v>
      </c>
      <c r="D1089" s="17" t="inlineStr">
        <is>
          <t>Preston Way</t>
        </is>
      </c>
      <c r="E1089" s="9">
        <f>if($A1089&lt;&gt;"",E1088+B1089,"")</f>
        <v/>
      </c>
      <c r="F1089" s="9">
        <f>if($A1089&lt;&gt;"",F1088+C1089,"")</f>
        <v/>
      </c>
      <c r="G1089" s="11">
        <f>IF($A1089&lt;&gt;"",IF(F1089-E1089=0,"tie",IF(F1089-E1089&gt;0,"+"&amp;F1089-E1089,"+"&amp;E1089-F1089)),"")</f>
        <v/>
      </c>
      <c r="H1089" s="12">
        <f>if($A1089&lt;&gt;"",if(B1089&gt;C1089,if(B1089&lt;60,1,2),""),"")</f>
        <v/>
      </c>
      <c r="I1089" s="12">
        <f>if($A1089&lt;&gt;"",if(C1089&gt;B1089,if(C1089&lt;60,1,2),""),"")</f>
        <v/>
      </c>
      <c r="J1089" s="9">
        <f>if($A1089&lt;&gt;"",J1088+H1089,"")</f>
        <v/>
      </c>
      <c r="K1089" s="9">
        <f>if($A1089&lt;&gt;"",K1088+I1089,"")</f>
        <v/>
      </c>
      <c r="L1089" s="11">
        <f>IF($A1089&lt;&gt;"",IF(K1089-J1089=0,"tie",IF(K1089-J1089&gt;0,"+"&amp;K1089-J1089,"+"&amp;J1089-K1089)),"")</f>
        <v/>
      </c>
      <c r="M1089" s="20" t="n"/>
      <c r="N1089" s="20" t="n"/>
      <c r="O1089" s="20" t="n"/>
      <c r="P1089" s="20" t="n"/>
      <c r="Q1089" s="20" t="n"/>
      <c r="R1089" s="20" t="n"/>
      <c r="S1089" s="20" t="n"/>
    </row>
    <row r="1090">
      <c r="A1090" s="15" t="n">
        <v>45610</v>
      </c>
      <c r="B1090" s="20" t="n">
        <v>69</v>
      </c>
      <c r="C1090" s="20" t="n">
        <v>54</v>
      </c>
      <c r="D1090" s="17" t="inlineStr">
        <is>
          <t xml:space="preserve">Roscoe's Chicken &amp; Waffles </t>
        </is>
      </c>
      <c r="E1090" s="9">
        <f>if($A1090&lt;&gt;"",E1089+B1090,"")</f>
        <v/>
      </c>
      <c r="F1090" s="9">
        <f>if($A1090&lt;&gt;"",F1089+C1090,"")</f>
        <v/>
      </c>
      <c r="G1090" s="11">
        <f>IF($A1090&lt;&gt;"",IF(F1090-E1090=0,"tie",IF(F1090-E1090&gt;0,"+"&amp;F1090-E1090,"+"&amp;E1090-F1090)),"")</f>
        <v/>
      </c>
      <c r="H1090" s="12">
        <f>if($A1090&lt;&gt;"",if(B1090&gt;C1090,if(B1090&lt;60,1,2),""),"")</f>
        <v/>
      </c>
      <c r="I1090" s="12">
        <f>if($A1090&lt;&gt;"",if(C1090&gt;B1090,if(C1090&lt;60,1,2),""),"")</f>
        <v/>
      </c>
      <c r="J1090" s="9">
        <f>if($A1090&lt;&gt;"",J1089+H1090,"")</f>
        <v/>
      </c>
      <c r="K1090" s="9">
        <f>if($A1090&lt;&gt;"",K1089+I1090,"")</f>
        <v/>
      </c>
      <c r="L1090" s="11">
        <f>IF($A1090&lt;&gt;"",IF(K1090-J1090=0,"tie",IF(K1090-J1090&gt;0,"+"&amp;K1090-J1090,"+"&amp;J1090-K1090)),"")</f>
        <v/>
      </c>
      <c r="M1090" s="20" t="n"/>
      <c r="N1090" s="20" t="n"/>
      <c r="O1090" s="20" t="n"/>
      <c r="P1090" s="20" t="n"/>
      <c r="Q1090" s="20" t="n"/>
      <c r="R1090" s="20" t="n"/>
      <c r="S1090" s="20" t="n"/>
    </row>
    <row r="1091">
      <c r="A1091" s="15" t="n">
        <v>45611</v>
      </c>
      <c r="B1091" s="20" t="n">
        <v>33</v>
      </c>
      <c r="C1091" s="20" t="n">
        <v>30</v>
      </c>
      <c r="D1091" s="17" t="inlineStr">
        <is>
          <t>Preston Way</t>
        </is>
      </c>
      <c r="E1091" s="9">
        <f>if($A1091&lt;&gt;"",E1090+B1091,"")</f>
        <v/>
      </c>
      <c r="F1091" s="9">
        <f>if($A1091&lt;&gt;"",F1090+C1091,"")</f>
        <v/>
      </c>
      <c r="G1091" s="11">
        <f>IF($A1091&lt;&gt;"",IF(F1091-E1091=0,"tie",IF(F1091-E1091&gt;0,"+"&amp;F1091-E1091,"+"&amp;E1091-F1091)),"")</f>
        <v/>
      </c>
      <c r="H1091" s="12">
        <f>if($A1091&lt;&gt;"",if(B1091&gt;C1091,if(B1091&lt;60,1,2),""),"")</f>
        <v/>
      </c>
      <c r="I1091" s="12">
        <f>if($A1091&lt;&gt;"",if(C1091&gt;B1091,if(C1091&lt;60,1,2),""),"")</f>
        <v/>
      </c>
      <c r="J1091" s="9">
        <f>if($A1091&lt;&gt;"",J1090+H1091,"")</f>
        <v/>
      </c>
      <c r="K1091" s="9">
        <f>if($A1091&lt;&gt;"",K1090+I1091,"")</f>
        <v/>
      </c>
      <c r="L1091" s="11">
        <f>IF($A1091&lt;&gt;"",IF(K1091-J1091=0,"tie",IF(K1091-J1091&gt;0,"+"&amp;K1091-J1091,"+"&amp;J1091-K1091)),"")</f>
        <v/>
      </c>
      <c r="M1091" s="20" t="n"/>
      <c r="N1091" s="20" t="n"/>
      <c r="O1091" s="20" t="n"/>
      <c r="P1091" s="20" t="n"/>
      <c r="Q1091" s="20" t="n"/>
      <c r="R1091" s="20" t="n"/>
      <c r="S1091" s="20" t="n"/>
    </row>
    <row r="1092">
      <c r="A1092" s="15" t="n">
        <v>45612</v>
      </c>
      <c r="B1092" s="20" t="n">
        <v>26</v>
      </c>
      <c r="C1092" s="20" t="n">
        <v>55</v>
      </c>
      <c r="D1092" s="17" t="inlineStr">
        <is>
          <t>Preston Way</t>
        </is>
      </c>
      <c r="E1092" s="9">
        <f>if($A1092&lt;&gt;"",E1091+B1092,"")</f>
        <v/>
      </c>
      <c r="F1092" s="9">
        <f>if($A1092&lt;&gt;"",F1091+C1092,"")</f>
        <v/>
      </c>
      <c r="G1092" s="11">
        <f>IF($A1092&lt;&gt;"",IF(F1092-E1092=0,"tie",IF(F1092-E1092&gt;0,"+"&amp;F1092-E1092,"+"&amp;E1092-F1092)),"")</f>
        <v/>
      </c>
      <c r="H1092" s="12">
        <f>if($A1092&lt;&gt;"",if(B1092&gt;C1092,if(B1092&lt;60,1,2),""),"")</f>
        <v/>
      </c>
      <c r="I1092" s="12">
        <f>if($A1092&lt;&gt;"",if(C1092&gt;B1092,if(C1092&lt;60,1,2),""),"")</f>
        <v/>
      </c>
      <c r="J1092" s="9">
        <f>if($A1092&lt;&gt;"",J1091+H1092,"")</f>
        <v/>
      </c>
      <c r="K1092" s="9">
        <f>if($A1092&lt;&gt;"",K1091+I1092,"")</f>
        <v/>
      </c>
      <c r="L1092" s="11">
        <f>IF($A1092&lt;&gt;"",IF(K1092-J1092=0,"tie",IF(K1092-J1092&gt;0,"+"&amp;K1092-J1092,"+"&amp;J1092-K1092)),"")</f>
        <v/>
      </c>
      <c r="M1092" s="20" t="n"/>
      <c r="N1092" s="20" t="n"/>
      <c r="O1092" s="20" t="n"/>
      <c r="P1092" s="20" t="n"/>
      <c r="Q1092" s="20" t="n"/>
      <c r="R1092" s="20" t="n"/>
      <c r="S1092" s="20" t="n"/>
    </row>
    <row r="1093">
      <c r="A1093" s="15" t="n">
        <v>45613</v>
      </c>
      <c r="B1093" s="20" t="n">
        <v>33</v>
      </c>
      <c r="C1093" s="20" t="n">
        <v>35</v>
      </c>
      <c r="D1093" s="17" t="inlineStr">
        <is>
          <t>Zinque, Venice</t>
        </is>
      </c>
      <c r="E1093" s="9">
        <f>if($A1093&lt;&gt;"",E1092+B1093,"")</f>
        <v/>
      </c>
      <c r="F1093" s="9">
        <f>if($A1093&lt;&gt;"",F1092+C1093,"")</f>
        <v/>
      </c>
      <c r="G1093" s="11">
        <f>IF($A1093&lt;&gt;"",IF(F1093-E1093=0,"tie",IF(F1093-E1093&gt;0,"+"&amp;F1093-E1093,"+"&amp;E1093-F1093)),"")</f>
        <v/>
      </c>
      <c r="H1093" s="12">
        <f>if($A1093&lt;&gt;"",if(B1093&gt;C1093,if(B1093&lt;60,1,2),""),"")</f>
        <v/>
      </c>
      <c r="I1093" s="12">
        <f>if($A1093&lt;&gt;"",if(C1093&gt;B1093,if(C1093&lt;60,1,2),""),"")</f>
        <v/>
      </c>
      <c r="J1093" s="9">
        <f>if($A1093&lt;&gt;"",J1092+H1093,"")</f>
        <v/>
      </c>
      <c r="K1093" s="9">
        <f>if($A1093&lt;&gt;"",K1092+I1093,"")</f>
        <v/>
      </c>
      <c r="L1093" s="11">
        <f>IF($A1093&lt;&gt;"",IF(K1093-J1093=0,"tie",IF(K1093-J1093&gt;0,"+"&amp;K1093-J1093,"+"&amp;J1093-K1093)),"")</f>
        <v/>
      </c>
      <c r="M1093" s="20" t="n"/>
      <c r="N1093" s="20" t="n"/>
      <c r="O1093" s="20" t="n"/>
      <c r="P1093" s="20" t="n"/>
      <c r="Q1093" s="20" t="n"/>
      <c r="R1093" s="20" t="n"/>
      <c r="S1093" s="20" t="n"/>
    </row>
    <row r="1094">
      <c r="A1094" s="15" t="n">
        <v>45614</v>
      </c>
      <c r="B1094" s="20" t="n">
        <v>25</v>
      </c>
      <c r="C1094" s="20" t="n">
        <v>37</v>
      </c>
      <c r="D1094" s="17" t="inlineStr">
        <is>
          <t>Preston Way</t>
        </is>
      </c>
      <c r="E1094" s="9">
        <f>if($A1094&lt;&gt;"",E1093+B1094,"")</f>
        <v/>
      </c>
      <c r="F1094" s="9">
        <f>if($A1094&lt;&gt;"",F1093+C1094,"")</f>
        <v/>
      </c>
      <c r="G1094" s="11">
        <f>IF($A1094&lt;&gt;"",IF(F1094-E1094=0,"tie",IF(F1094-E1094&gt;0,"+"&amp;F1094-E1094,"+"&amp;E1094-F1094)),"")</f>
        <v/>
      </c>
      <c r="H1094" s="12">
        <f>if($A1094&lt;&gt;"",if(B1094&gt;C1094,if(B1094&lt;60,1,2),""),"")</f>
        <v/>
      </c>
      <c r="I1094" s="12">
        <f>if($A1094&lt;&gt;"",if(C1094&gt;B1094,if(C1094&lt;60,1,2),""),"")</f>
        <v/>
      </c>
      <c r="J1094" s="9">
        <f>if($A1094&lt;&gt;"",J1093+H1094,"")</f>
        <v/>
      </c>
      <c r="K1094" s="9">
        <f>if($A1094&lt;&gt;"",K1093+I1094,"")</f>
        <v/>
      </c>
      <c r="L1094" s="11">
        <f>IF($A1094&lt;&gt;"",IF(K1094-J1094=0,"tie",IF(K1094-J1094&gt;0,"+"&amp;K1094-J1094,"+"&amp;J1094-K1094)),"")</f>
        <v/>
      </c>
      <c r="M1094" s="20" t="n"/>
      <c r="N1094" s="20" t="n"/>
      <c r="O1094" s="20" t="n"/>
      <c r="P1094" s="20" t="n"/>
      <c r="Q1094" s="20" t="n"/>
      <c r="R1094" s="20" t="n"/>
      <c r="S1094" s="20" t="n"/>
    </row>
    <row r="1095">
      <c r="A1095" s="15" t="n">
        <v>45614</v>
      </c>
      <c r="B1095" s="20" t="n">
        <v>27</v>
      </c>
      <c r="C1095" s="20" t="n">
        <v>37</v>
      </c>
      <c r="D1095" s="17" t="inlineStr">
        <is>
          <t>Preston Way</t>
        </is>
      </c>
      <c r="E1095" s="9">
        <f>if($A1095&lt;&gt;"",E1094+B1095,"")</f>
        <v/>
      </c>
      <c r="F1095" s="9">
        <f>if($A1095&lt;&gt;"",F1094+C1095,"")</f>
        <v/>
      </c>
      <c r="G1095" s="11">
        <f>IF($A1095&lt;&gt;"",IF(F1095-E1095=0,"tie",IF(F1095-E1095&gt;0,"+"&amp;F1095-E1095,"+"&amp;E1095-F1095)),"")</f>
        <v/>
      </c>
      <c r="H1095" s="12">
        <f>if($A1095&lt;&gt;"",if(B1095&gt;C1095,if(B1095&lt;60,1,2),""),"")</f>
        <v/>
      </c>
      <c r="I1095" s="12">
        <f>if($A1095&lt;&gt;"",if(C1095&gt;B1095,if(C1095&lt;60,1,2),""),"")</f>
        <v/>
      </c>
      <c r="J1095" s="9">
        <f>if($A1095&lt;&gt;"",J1094+H1095,"")</f>
        <v/>
      </c>
      <c r="K1095" s="9">
        <f>if($A1095&lt;&gt;"",K1094+I1095,"")</f>
        <v/>
      </c>
      <c r="L1095" s="11">
        <f>IF($A1095&lt;&gt;"",IF(K1095-J1095=0,"tie",IF(K1095-J1095&gt;0,"+"&amp;K1095-J1095,"+"&amp;J1095-K1095)),"")</f>
        <v/>
      </c>
      <c r="M1095" s="20" t="n"/>
      <c r="N1095" s="20" t="n"/>
      <c r="O1095" s="20" t="n"/>
      <c r="P1095" s="20" t="n"/>
      <c r="Q1095" s="20" t="n"/>
      <c r="R1095" s="20" t="n"/>
      <c r="S1095" s="20" t="n"/>
    </row>
    <row r="1096">
      <c r="A1096" s="15" t="n">
        <v>45614</v>
      </c>
      <c r="B1096" s="20" t="n">
        <v>34</v>
      </c>
      <c r="C1096" s="20" t="n">
        <v>61</v>
      </c>
      <c r="D1096" s="17" t="inlineStr">
        <is>
          <t>Café 50's, WLA</t>
        </is>
      </c>
      <c r="E1096" s="9">
        <f>if($A1096&lt;&gt;"",E1095+B1096,"")</f>
        <v/>
      </c>
      <c r="F1096" s="9">
        <f>if($A1096&lt;&gt;"",F1095+C1096,"")</f>
        <v/>
      </c>
      <c r="G1096" s="11">
        <f>IF($A1096&lt;&gt;"",IF(F1096-E1096=0,"tie",IF(F1096-E1096&gt;0,"+"&amp;F1096-E1096,"+"&amp;E1096-F1096)),"")</f>
        <v/>
      </c>
      <c r="H1096" s="12">
        <f>if($A1096&lt;&gt;"",if(B1096&gt;C1096,if(B1096&lt;60,1,2),""),"")</f>
        <v/>
      </c>
      <c r="I1096" s="12">
        <f>if($A1096&lt;&gt;"",if(C1096&gt;B1096,if(C1096&lt;60,1,2),""),"")</f>
        <v/>
      </c>
      <c r="J1096" s="9">
        <f>if($A1096&lt;&gt;"",J1095+H1096,"")</f>
        <v/>
      </c>
      <c r="K1096" s="9">
        <f>if($A1096&lt;&gt;"",K1095+I1096,"")</f>
        <v/>
      </c>
      <c r="L1096" s="11">
        <f>IF($A1096&lt;&gt;"",IF(K1096-J1096=0,"tie",IF(K1096-J1096&gt;0,"+"&amp;K1096-J1096,"+"&amp;J1096-K1096)),"")</f>
        <v/>
      </c>
      <c r="M1096" s="20" t="n"/>
      <c r="N1096" s="20" t="n"/>
      <c r="O1096" s="20" t="n"/>
      <c r="P1096" s="20" t="n"/>
      <c r="Q1096" s="20" t="n"/>
      <c r="R1096" s="20" t="n"/>
      <c r="S1096" s="20" t="n"/>
    </row>
    <row r="1097">
      <c r="A1097" s="15" t="n">
        <v>45616</v>
      </c>
      <c r="B1097" s="20" t="n">
        <v>25</v>
      </c>
      <c r="C1097" s="20" t="n">
        <v>38</v>
      </c>
      <c r="D1097" s="17" t="inlineStr">
        <is>
          <t>Layla's</t>
        </is>
      </c>
      <c r="E1097" s="9">
        <f>if($A1097&lt;&gt;"",E1096+B1097,"")</f>
        <v/>
      </c>
      <c r="F1097" s="9">
        <f>if($A1097&lt;&gt;"",F1096+C1097,"")</f>
        <v/>
      </c>
      <c r="G1097" s="11">
        <f>IF($A1097&lt;&gt;"",IF(F1097-E1097=0,"tie",IF(F1097-E1097&gt;0,"+"&amp;F1097-E1097,"+"&amp;E1097-F1097)),"")</f>
        <v/>
      </c>
      <c r="H1097" s="12">
        <f>if($A1097&lt;&gt;"",if(B1097&gt;C1097,if(B1097&lt;60,1,2),""),"")</f>
        <v/>
      </c>
      <c r="I1097" s="12">
        <f>if($A1097&lt;&gt;"",if(C1097&gt;B1097,if(C1097&lt;60,1,2),""),"")</f>
        <v/>
      </c>
      <c r="J1097" s="9">
        <f>if($A1097&lt;&gt;"",J1096+H1097,"")</f>
        <v/>
      </c>
      <c r="K1097" s="9">
        <f>if($A1097&lt;&gt;"",K1096+I1097,"")</f>
        <v/>
      </c>
      <c r="L1097" s="11">
        <f>IF($A1097&lt;&gt;"",IF(K1097-J1097=0,"tie",IF(K1097-J1097&gt;0,"+"&amp;K1097-J1097,"+"&amp;J1097-K1097)),"")</f>
        <v/>
      </c>
      <c r="M1097" s="20" t="n"/>
      <c r="N1097" s="20" t="n"/>
      <c r="O1097" s="20" t="n"/>
      <c r="P1097" s="20" t="n"/>
      <c r="Q1097" s="20" t="n"/>
      <c r="R1097" s="20" t="n"/>
      <c r="S1097" s="20" t="n"/>
    </row>
    <row r="1098">
      <c r="A1098" s="15" t="n">
        <v>45617</v>
      </c>
      <c r="B1098" s="20" t="n">
        <v>23</v>
      </c>
      <c r="C1098" s="20" t="n">
        <v>34</v>
      </c>
      <c r="D1098" s="17" t="inlineStr">
        <is>
          <t>Preston Way</t>
        </is>
      </c>
      <c r="E1098" s="9">
        <f>if($A1098&lt;&gt;"",E1097+B1098,"")</f>
        <v/>
      </c>
      <c r="F1098" s="9">
        <f>if($A1098&lt;&gt;"",F1097+C1098,"")</f>
        <v/>
      </c>
      <c r="G1098" s="11">
        <f>IF($A1098&lt;&gt;"",IF(F1098-E1098=0,"tie",IF(F1098-E1098&gt;0,"+"&amp;F1098-E1098,"+"&amp;E1098-F1098)),"")</f>
        <v/>
      </c>
      <c r="H1098" s="12">
        <f>if($A1098&lt;&gt;"",if(B1098&gt;C1098,if(B1098&lt;60,1,2),""),"")</f>
        <v/>
      </c>
      <c r="I1098" s="12">
        <f>if($A1098&lt;&gt;"",if(C1098&gt;B1098,if(C1098&lt;60,1,2),""),"")</f>
        <v/>
      </c>
      <c r="J1098" s="9">
        <f>if($A1098&lt;&gt;"",J1097+H1098,"")</f>
        <v/>
      </c>
      <c r="K1098" s="9">
        <f>if($A1098&lt;&gt;"",K1097+I1098,"")</f>
        <v/>
      </c>
      <c r="L1098" s="11">
        <f>IF($A1098&lt;&gt;"",IF(K1098-J1098=0,"tie",IF(K1098-J1098&gt;0,"+"&amp;K1098-J1098,"+"&amp;J1098-K1098)),"")</f>
        <v/>
      </c>
      <c r="M1098" s="20" t="n"/>
      <c r="N1098" s="20" t="n"/>
      <c r="O1098" s="20" t="n"/>
      <c r="P1098" s="20" t="n"/>
      <c r="Q1098" s="20" t="n"/>
      <c r="R1098" s="20" t="n"/>
      <c r="S1098" s="20" t="n"/>
    </row>
    <row r="1099">
      <c r="A1099" s="15" t="n">
        <v>45617</v>
      </c>
      <c r="B1099" s="20" t="n">
        <v>52</v>
      </c>
      <c r="C1099" s="20" t="n">
        <v>65</v>
      </c>
      <c r="D1099" s="17" t="inlineStr">
        <is>
          <t>La Cabana, Venice</t>
        </is>
      </c>
      <c r="E1099" s="9">
        <f>if($A1099&lt;&gt;"",E1098+B1099,"")</f>
        <v/>
      </c>
      <c r="F1099" s="9">
        <f>if($A1099&lt;&gt;"",F1098+C1099,"")</f>
        <v/>
      </c>
      <c r="G1099" s="11">
        <f>IF($A1099&lt;&gt;"",IF(F1099-E1099=0,"tie",IF(F1099-E1099&gt;0,"+"&amp;F1099-E1099,"+"&amp;E1099-F1099)),"")</f>
        <v/>
      </c>
      <c r="H1099" s="12">
        <f>if($A1099&lt;&gt;"",if(B1099&gt;C1099,if(B1099&lt;60,1,2),""),"")</f>
        <v/>
      </c>
      <c r="I1099" s="12">
        <f>if($A1099&lt;&gt;"",if(C1099&gt;B1099,if(C1099&lt;60,1,2),""),"")</f>
        <v/>
      </c>
      <c r="J1099" s="9">
        <f>if($A1099&lt;&gt;"",J1098+H1099,"")</f>
        <v/>
      </c>
      <c r="K1099" s="9">
        <f>if($A1099&lt;&gt;"",K1098+I1099,"")</f>
        <v/>
      </c>
      <c r="L1099" s="11">
        <f>IF($A1099&lt;&gt;"",IF(K1099-J1099=0,"tie",IF(K1099-J1099&gt;0,"+"&amp;K1099-J1099,"+"&amp;J1099-K1099)),"")</f>
        <v/>
      </c>
      <c r="M1099" s="20" t="n"/>
      <c r="N1099" s="20" t="n"/>
      <c r="O1099" s="20" t="n"/>
      <c r="P1099" s="20" t="n"/>
      <c r="Q1099" s="20" t="n"/>
      <c r="R1099" s="20" t="n"/>
      <c r="S1099" s="20" t="n"/>
    </row>
    <row r="1100">
      <c r="A1100" s="15" t="n">
        <v>45618</v>
      </c>
      <c r="B1100" s="20" t="n">
        <v>19</v>
      </c>
      <c r="C1100" s="20" t="n">
        <v>31</v>
      </c>
      <c r="D1100" s="17" t="inlineStr">
        <is>
          <t>Preston Way</t>
        </is>
      </c>
      <c r="E1100" s="9">
        <f>if($A1100&lt;&gt;"",E1099+B1100,"")</f>
        <v/>
      </c>
      <c r="F1100" s="9">
        <f>if($A1100&lt;&gt;"",F1099+C1100,"")</f>
        <v/>
      </c>
      <c r="G1100" s="11">
        <f>IF($A1100&lt;&gt;"",IF(F1100-E1100=0,"tie",IF(F1100-E1100&gt;0,"+"&amp;F1100-E1100,"+"&amp;E1100-F1100)),"")</f>
        <v/>
      </c>
      <c r="H1100" s="12">
        <f>if($A1100&lt;&gt;"",if(B1100&gt;C1100,if(B1100&lt;60,1,2),""),"")</f>
        <v/>
      </c>
      <c r="I1100" s="12">
        <f>if($A1100&lt;&gt;"",if(C1100&gt;B1100,if(C1100&lt;60,1,2),""),"")</f>
        <v/>
      </c>
      <c r="J1100" s="9">
        <f>if($A1100&lt;&gt;"",J1099+H1100,"")</f>
        <v/>
      </c>
      <c r="K1100" s="9">
        <f>if($A1100&lt;&gt;"",K1099+I1100,"")</f>
        <v/>
      </c>
      <c r="L1100" s="11">
        <f>IF($A1100&lt;&gt;"",IF(K1100-J1100=0,"tie",IF(K1100-J1100&gt;0,"+"&amp;K1100-J1100,"+"&amp;J1100-K1100)),"")</f>
        <v/>
      </c>
      <c r="M1100" s="20" t="n"/>
      <c r="N1100" s="20" t="n"/>
      <c r="O1100" s="20" t="n"/>
      <c r="P1100" s="20" t="n"/>
      <c r="Q1100" s="20" t="n"/>
      <c r="R1100" s="20" t="n"/>
      <c r="S1100" s="20" t="n"/>
    </row>
    <row r="1101">
      <c r="A1101" s="15" t="n">
        <v>45620</v>
      </c>
      <c r="B1101" s="20" t="n">
        <v>40</v>
      </c>
      <c r="C1101" s="20" t="n">
        <v>21</v>
      </c>
      <c r="D1101" s="17" t="inlineStr">
        <is>
          <t>Preston Way</t>
        </is>
      </c>
      <c r="E1101" s="9">
        <f>if($A1101&lt;&gt;"",E1100+B1101,"")</f>
        <v/>
      </c>
      <c r="F1101" s="9">
        <f>if($A1101&lt;&gt;"",F1100+C1101,"")</f>
        <v/>
      </c>
      <c r="G1101" s="11">
        <f>IF($A1101&lt;&gt;"",IF(F1101-E1101=0,"tie",IF(F1101-E1101&gt;0,"+"&amp;F1101-E1101,"+"&amp;E1101-F1101)),"")</f>
        <v/>
      </c>
      <c r="H1101" s="12">
        <f>if($A1101&lt;&gt;"",if(B1101&gt;C1101,if(B1101&lt;60,1,2),""),"")</f>
        <v/>
      </c>
      <c r="I1101" s="12">
        <f>if($A1101&lt;&gt;"",if(C1101&gt;B1101,if(C1101&lt;60,1,2),""),"")</f>
        <v/>
      </c>
      <c r="J1101" s="9">
        <f>if($A1101&lt;&gt;"",J1100+H1101,"")</f>
        <v/>
      </c>
      <c r="K1101" s="9">
        <f>if($A1101&lt;&gt;"",K1100+I1101,"")</f>
        <v/>
      </c>
      <c r="L1101" s="11">
        <f>IF($A1101&lt;&gt;"",IF(K1101-J1101=0,"tie",IF(K1101-J1101&gt;0,"+"&amp;K1101-J1101,"+"&amp;J1101-K1101)),"")</f>
        <v/>
      </c>
      <c r="M1101" s="20" t="n"/>
      <c r="N1101" s="20" t="n"/>
      <c r="O1101" s="20" t="n"/>
      <c r="P1101" s="20" t="n"/>
      <c r="Q1101" s="20" t="n"/>
      <c r="R1101" s="20" t="n"/>
      <c r="S1101" s="20" t="n"/>
    </row>
    <row r="1102">
      <c r="A1102" s="15" t="n">
        <v>45621</v>
      </c>
      <c r="B1102" s="20" t="n">
        <v>36</v>
      </c>
      <c r="C1102" s="20" t="n">
        <v>32</v>
      </c>
      <c r="D1102" s="17" t="inlineStr">
        <is>
          <t>Preston Way</t>
        </is>
      </c>
      <c r="E1102" s="9">
        <f>if($A1102&lt;&gt;"",E1101+B1102,"")</f>
        <v/>
      </c>
      <c r="F1102" s="9">
        <f>if($A1102&lt;&gt;"",F1101+C1102,"")</f>
        <v/>
      </c>
      <c r="G1102" s="11">
        <f>IF($A1102&lt;&gt;"",IF(F1102-E1102=0,"tie",IF(F1102-E1102&gt;0,"+"&amp;F1102-E1102,"+"&amp;E1102-F1102)),"")</f>
        <v/>
      </c>
      <c r="H1102" s="12">
        <f>if($A1102&lt;&gt;"",if(B1102&gt;C1102,if(B1102&lt;60,1,2),""),"")</f>
        <v/>
      </c>
      <c r="I1102" s="12">
        <f>if($A1102&lt;&gt;"",if(C1102&gt;B1102,if(C1102&lt;60,1,2),""),"")</f>
        <v/>
      </c>
      <c r="J1102" s="9">
        <f>if($A1102&lt;&gt;"",J1101+H1102,"")</f>
        <v/>
      </c>
      <c r="K1102" s="9">
        <f>if($A1102&lt;&gt;"",K1101+I1102,"")</f>
        <v/>
      </c>
      <c r="L1102" s="11">
        <f>IF($A1102&lt;&gt;"",IF(K1102-J1102=0,"tie",IF(K1102-J1102&gt;0,"+"&amp;K1102-J1102,"+"&amp;J1102-K1102)),"")</f>
        <v/>
      </c>
      <c r="M1102" s="20" t="n"/>
      <c r="N1102" s="20" t="n"/>
      <c r="O1102" s="20" t="n"/>
      <c r="P1102" s="20" t="n"/>
      <c r="Q1102" s="20" t="n"/>
      <c r="R1102" s="20" t="n"/>
      <c r="S1102" s="20" t="n"/>
    </row>
    <row r="1103">
      <c r="A1103" s="15" t="n">
        <v>45621</v>
      </c>
      <c r="B1103" s="20" t="n">
        <v>19</v>
      </c>
      <c r="C1103" s="20" t="n">
        <v>31</v>
      </c>
      <c r="D1103" s="17" t="inlineStr">
        <is>
          <t>Preston Way</t>
        </is>
      </c>
      <c r="E1103" s="9">
        <f>if($A1103&lt;&gt;"",E1102+B1103,"")</f>
        <v/>
      </c>
      <c r="F1103" s="9">
        <f>if($A1103&lt;&gt;"",F1102+C1103,"")</f>
        <v/>
      </c>
      <c r="G1103" s="11">
        <f>IF($A1103&lt;&gt;"",IF(F1103-E1103=0,"tie",IF(F1103-E1103&gt;0,"+"&amp;F1103-E1103,"+"&amp;E1103-F1103)),"")</f>
        <v/>
      </c>
      <c r="H1103" s="12">
        <f>if($A1103&lt;&gt;"",if(B1103&gt;C1103,if(B1103&lt;60,1,2),""),"")</f>
        <v/>
      </c>
      <c r="I1103" s="12">
        <f>if($A1103&lt;&gt;"",if(C1103&gt;B1103,if(C1103&lt;60,1,2),""),"")</f>
        <v/>
      </c>
      <c r="J1103" s="9">
        <f>if($A1103&lt;&gt;"",J1102+H1103,"")</f>
        <v/>
      </c>
      <c r="K1103" s="9">
        <f>if($A1103&lt;&gt;"",K1102+I1103,"")</f>
        <v/>
      </c>
      <c r="L1103" s="11">
        <f>IF($A1103&lt;&gt;"",IF(K1103-J1103=0,"tie",IF(K1103-J1103&gt;0,"+"&amp;K1103-J1103,"+"&amp;J1103-K1103)),"")</f>
        <v/>
      </c>
      <c r="M1103" s="20" t="n"/>
      <c r="N1103" s="20" t="n"/>
      <c r="O1103" s="20" t="n"/>
      <c r="P1103" s="20" t="n"/>
      <c r="Q1103" s="20" t="n"/>
      <c r="R1103" s="20" t="n"/>
      <c r="S1103" s="20" t="n"/>
    </row>
    <row r="1104">
      <c r="A1104" s="15" t="n">
        <v>45621</v>
      </c>
      <c r="B1104" s="20" t="n">
        <v>42</v>
      </c>
      <c r="C1104" s="20" t="n">
        <v>48</v>
      </c>
      <c r="D1104" s="17" t="inlineStr">
        <is>
          <t>J Nichols, MDR</t>
        </is>
      </c>
      <c r="E1104" s="9">
        <f>if($A1104&lt;&gt;"",E1103+B1104,"")</f>
        <v/>
      </c>
      <c r="F1104" s="9">
        <f>if($A1104&lt;&gt;"",F1103+C1104,"")</f>
        <v/>
      </c>
      <c r="G1104" s="11">
        <f>IF($A1104&lt;&gt;"",IF(F1104-E1104=0,"tie",IF(F1104-E1104&gt;0,"+"&amp;F1104-E1104,"+"&amp;E1104-F1104)),"")</f>
        <v/>
      </c>
      <c r="H1104" s="12">
        <f>if($A1104&lt;&gt;"",if(B1104&gt;C1104,if(B1104&lt;60,1,2),""),"")</f>
        <v/>
      </c>
      <c r="I1104" s="12">
        <f>if($A1104&lt;&gt;"",if(C1104&gt;B1104,if(C1104&lt;60,1,2),""),"")</f>
        <v/>
      </c>
      <c r="J1104" s="9">
        <f>if($A1104&lt;&gt;"",J1103+H1104,"")</f>
        <v/>
      </c>
      <c r="K1104" s="9">
        <f>if($A1104&lt;&gt;"",K1103+I1104,"")</f>
        <v/>
      </c>
      <c r="L1104" s="11">
        <f>IF($A1104&lt;&gt;"",IF(K1104-J1104=0,"tie",IF(K1104-J1104&gt;0,"+"&amp;K1104-J1104,"+"&amp;J1104-K1104)),"")</f>
        <v/>
      </c>
      <c r="M1104" s="20" t="n"/>
      <c r="N1104" s="20" t="n"/>
      <c r="O1104" s="20" t="n"/>
      <c r="P1104" s="20" t="n"/>
      <c r="Q1104" s="20" t="n"/>
      <c r="R1104" s="20" t="n"/>
      <c r="S1104" s="20" t="n"/>
    </row>
    <row r="1105">
      <c r="A1105" s="15" t="n">
        <v>45622</v>
      </c>
      <c r="B1105" s="20" t="n">
        <v>16</v>
      </c>
      <c r="C1105" s="20" t="n">
        <v>31</v>
      </c>
      <c r="D1105" s="17" t="inlineStr">
        <is>
          <t>Preston Way</t>
        </is>
      </c>
      <c r="E1105" s="9">
        <f>if($A1105&lt;&gt;"",E1104+B1105,"")</f>
        <v/>
      </c>
      <c r="F1105" s="9">
        <f>if($A1105&lt;&gt;"",F1104+C1105,"")</f>
        <v/>
      </c>
      <c r="G1105" s="11">
        <f>IF($A1105&lt;&gt;"",IF(F1105-E1105=0,"tie",IF(F1105-E1105&gt;0,"+"&amp;F1105-E1105,"+"&amp;E1105-F1105)),"")</f>
        <v/>
      </c>
      <c r="H1105" s="12">
        <f>if($A1105&lt;&gt;"",if(B1105&gt;C1105,if(B1105&lt;60,1,2),""),"")</f>
        <v/>
      </c>
      <c r="I1105" s="12">
        <f>if($A1105&lt;&gt;"",if(C1105&gt;B1105,if(C1105&lt;60,1,2),""),"")</f>
        <v/>
      </c>
      <c r="J1105" s="9">
        <f>if($A1105&lt;&gt;"",J1104+H1105,"")</f>
        <v/>
      </c>
      <c r="K1105" s="9">
        <f>if($A1105&lt;&gt;"",K1104+I1105,"")</f>
        <v/>
      </c>
      <c r="L1105" s="11">
        <f>IF($A1105&lt;&gt;"",IF(K1105-J1105=0,"tie",IF(K1105-J1105&gt;0,"+"&amp;K1105-J1105,"+"&amp;J1105-K1105)),"")</f>
        <v/>
      </c>
      <c r="M1105" s="20" t="n"/>
      <c r="N1105" s="20" t="n"/>
      <c r="O1105" s="20" t="n"/>
      <c r="P1105" s="20" t="n"/>
      <c r="Q1105" s="20" t="n"/>
      <c r="R1105" s="20" t="n"/>
      <c r="S1105" s="20" t="n"/>
    </row>
    <row r="1106">
      <c r="A1106" s="15" t="n">
        <v>45622</v>
      </c>
      <c r="B1106" s="20" t="n">
        <v>31</v>
      </c>
      <c r="C1106" s="20" t="n">
        <v>17</v>
      </c>
      <c r="D1106" s="17" t="inlineStr">
        <is>
          <t>Preston Way</t>
        </is>
      </c>
      <c r="E1106" s="9">
        <f>if($A1106&lt;&gt;"",E1105+B1106,"")</f>
        <v/>
      </c>
      <c r="F1106" s="9">
        <f>if($A1106&lt;&gt;"",F1105+C1106,"")</f>
        <v/>
      </c>
      <c r="G1106" s="11">
        <f>IF($A1106&lt;&gt;"",IF(F1106-E1106=0,"tie",IF(F1106-E1106&gt;0,"+"&amp;F1106-E1106,"+"&amp;E1106-F1106)),"")</f>
        <v/>
      </c>
      <c r="H1106" s="12">
        <f>if($A1106&lt;&gt;"",if(B1106&gt;C1106,if(B1106&lt;60,1,2),""),"")</f>
        <v/>
      </c>
      <c r="I1106" s="12">
        <f>if($A1106&lt;&gt;"",if(C1106&gt;B1106,if(C1106&lt;60,1,2),""),"")</f>
        <v/>
      </c>
      <c r="J1106" s="9">
        <f>if($A1106&lt;&gt;"",J1105+H1106,"")</f>
        <v/>
      </c>
      <c r="K1106" s="9">
        <f>if($A1106&lt;&gt;"",K1105+I1106,"")</f>
        <v/>
      </c>
      <c r="L1106" s="11">
        <f>IF($A1106&lt;&gt;"",IF(K1106-J1106=0,"tie",IF(K1106-J1106&gt;0,"+"&amp;K1106-J1106,"+"&amp;J1106-K1106)),"")</f>
        <v/>
      </c>
      <c r="M1106" s="20" t="n"/>
      <c r="N1106" s="20" t="n"/>
      <c r="O1106" s="20" t="n"/>
      <c r="P1106" s="20" t="n"/>
      <c r="Q1106" s="20" t="n"/>
      <c r="R1106" s="20" t="n"/>
      <c r="S1106" s="20" t="n"/>
    </row>
    <row r="1107">
      <c r="A1107" s="15" t="n">
        <v>45623</v>
      </c>
      <c r="B1107" s="20" t="n">
        <v>32</v>
      </c>
      <c r="C1107" s="20" t="n">
        <v>31</v>
      </c>
      <c r="D1107" s="17" t="inlineStr">
        <is>
          <t>Preston Way</t>
        </is>
      </c>
      <c r="E1107" s="9">
        <f>if($A1107&lt;&gt;"",E1106+B1107,"")</f>
        <v/>
      </c>
      <c r="F1107" s="9">
        <f>if($A1107&lt;&gt;"",F1106+C1107,"")</f>
        <v/>
      </c>
      <c r="G1107" s="11">
        <f>IF($A1107&lt;&gt;"",IF(F1107-E1107=0,"tie",IF(F1107-E1107&gt;0,"+"&amp;F1107-E1107,"+"&amp;E1107-F1107)),"")</f>
        <v/>
      </c>
      <c r="H1107" s="12">
        <f>if($A1107&lt;&gt;"",if(B1107&gt;C1107,if(B1107&lt;60,1,2),""),"")</f>
        <v/>
      </c>
      <c r="I1107" s="12">
        <f>if($A1107&lt;&gt;"",if(C1107&gt;B1107,if(C1107&lt;60,1,2),""),"")</f>
        <v/>
      </c>
      <c r="J1107" s="9">
        <f>if($A1107&lt;&gt;"",J1106+H1107,"")</f>
        <v/>
      </c>
      <c r="K1107" s="9">
        <f>if($A1107&lt;&gt;"",K1106+I1107,"")</f>
        <v/>
      </c>
      <c r="L1107" s="11">
        <f>IF($A1107&lt;&gt;"",IF(K1107-J1107=0,"tie",IF(K1107-J1107&gt;0,"+"&amp;K1107-J1107,"+"&amp;J1107-K1107)),"")</f>
        <v/>
      </c>
      <c r="M1107" s="20" t="n"/>
      <c r="N1107" s="20" t="n"/>
      <c r="O1107" s="20" t="n"/>
      <c r="P1107" s="20" t="n"/>
      <c r="Q1107" s="20" t="n"/>
      <c r="R1107" s="20" t="n"/>
      <c r="S1107" s="20" t="n"/>
    </row>
    <row r="1108">
      <c r="A1108" s="15" t="n">
        <v>45624</v>
      </c>
      <c r="B1108" s="20" t="n">
        <v>34</v>
      </c>
      <c r="C1108" s="20" t="n">
        <v>25</v>
      </c>
      <c r="D1108" s="17" t="inlineStr">
        <is>
          <t>Preston Way</t>
        </is>
      </c>
      <c r="E1108" s="9">
        <f>if($A1108&lt;&gt;"",E1107+B1108,"")</f>
        <v/>
      </c>
      <c r="F1108" s="9">
        <f>if($A1108&lt;&gt;"",F1107+C1108,"")</f>
        <v/>
      </c>
      <c r="G1108" s="11">
        <f>IF($A1108&lt;&gt;"",IF(F1108-E1108=0,"tie",IF(F1108-E1108&gt;0,"+"&amp;F1108-E1108,"+"&amp;E1108-F1108)),"")</f>
        <v/>
      </c>
      <c r="H1108" s="12">
        <f>if($A1108&lt;&gt;"",if(B1108&gt;C1108,if(B1108&lt;60,1,2),""),"")</f>
        <v/>
      </c>
      <c r="I1108" s="12">
        <f>if($A1108&lt;&gt;"",if(C1108&gt;B1108,if(C1108&lt;60,1,2),""),"")</f>
        <v/>
      </c>
      <c r="J1108" s="9">
        <f>if($A1108&lt;&gt;"",J1107+H1108,"")</f>
        <v/>
      </c>
      <c r="K1108" s="9">
        <f>if($A1108&lt;&gt;"",K1107+I1108,"")</f>
        <v/>
      </c>
      <c r="L1108" s="11">
        <f>IF($A1108&lt;&gt;"",IF(K1108-J1108=0,"tie",IF(K1108-J1108&gt;0,"+"&amp;K1108-J1108,"+"&amp;J1108-K1108)),"")</f>
        <v/>
      </c>
      <c r="M1108" s="20" t="n"/>
      <c r="N1108" s="20" t="n"/>
      <c r="O1108" s="20" t="n"/>
      <c r="P1108" s="20" t="n"/>
      <c r="Q1108" s="20" t="n"/>
      <c r="R1108" s="20" t="n"/>
      <c r="S1108" s="20" t="n"/>
    </row>
    <row r="1109">
      <c r="A1109" s="15" t="n">
        <v>45625</v>
      </c>
      <c r="B1109" s="20" t="n">
        <v>42</v>
      </c>
      <c r="C1109" s="20" t="n">
        <v>45</v>
      </c>
      <c r="D1109" s="17" t="inlineStr">
        <is>
          <t>Preston Way</t>
        </is>
      </c>
      <c r="E1109" s="9">
        <f>if($A1109&lt;&gt;"",E1108+B1109,"")</f>
        <v/>
      </c>
      <c r="F1109" s="9">
        <f>if($A1109&lt;&gt;"",F1108+C1109,"")</f>
        <v/>
      </c>
      <c r="G1109" s="11">
        <f>IF($A1109&lt;&gt;"",IF(F1109-E1109=0,"tie",IF(F1109-E1109&gt;0,"+"&amp;F1109-E1109,"+"&amp;E1109-F1109)),"")</f>
        <v/>
      </c>
      <c r="H1109" s="12">
        <f>if($A1109&lt;&gt;"",if(B1109&gt;C1109,if(B1109&lt;60,1,2),""),"")</f>
        <v/>
      </c>
      <c r="I1109" s="12">
        <f>if($A1109&lt;&gt;"",if(C1109&gt;B1109,if(C1109&lt;60,1,2),""),"")</f>
        <v/>
      </c>
      <c r="J1109" s="9">
        <f>if($A1109&lt;&gt;"",J1108+H1109,"")</f>
        <v/>
      </c>
      <c r="K1109" s="9">
        <f>if($A1109&lt;&gt;"",K1108+I1109,"")</f>
        <v/>
      </c>
      <c r="L1109" s="11">
        <f>IF($A1109&lt;&gt;"",IF(K1109-J1109=0,"tie",IF(K1109-J1109&gt;0,"+"&amp;K1109-J1109,"+"&amp;J1109-K1109)),"")</f>
        <v/>
      </c>
      <c r="M1109" s="20" t="n"/>
      <c r="N1109" s="20" t="n"/>
      <c r="O1109" s="20" t="n"/>
      <c r="P1109" s="20" t="n"/>
      <c r="Q1109" s="20" t="n"/>
      <c r="R1109" s="20" t="n"/>
      <c r="S1109" s="20" t="n"/>
    </row>
    <row r="1110">
      <c r="A1110" s="15" t="n">
        <v>45627</v>
      </c>
      <c r="B1110" s="20" t="n">
        <v>32</v>
      </c>
      <c r="C1110" s="20" t="n">
        <v>11</v>
      </c>
      <c r="D1110" s="17" t="inlineStr">
        <is>
          <t>Zinque, Venice</t>
        </is>
      </c>
      <c r="E1110" s="9">
        <f>if($A1110&lt;&gt;"",E1109+B1110,"")</f>
        <v/>
      </c>
      <c r="F1110" s="9">
        <f>if($A1110&lt;&gt;"",F1109+C1110,"")</f>
        <v/>
      </c>
      <c r="G1110" s="11">
        <f>IF($A1110&lt;&gt;"",IF(F1110-E1110=0,"tie",IF(F1110-E1110&gt;0,"+"&amp;F1110-E1110,"+"&amp;E1110-F1110)),"")</f>
        <v/>
      </c>
      <c r="H1110" s="12">
        <f>if($A1110&lt;&gt;"",if(B1110&gt;C1110,if(B1110&lt;60,1,2),""),"")</f>
        <v/>
      </c>
      <c r="I1110" s="12">
        <f>if($A1110&lt;&gt;"",if(C1110&gt;B1110,if(C1110&lt;60,1,2),""),"")</f>
        <v/>
      </c>
      <c r="J1110" s="9">
        <f>if($A1110&lt;&gt;"",J1109+H1110,"")</f>
        <v/>
      </c>
      <c r="K1110" s="9">
        <f>if($A1110&lt;&gt;"",K1109+I1110,"")</f>
        <v/>
      </c>
      <c r="L1110" s="11">
        <f>IF($A1110&lt;&gt;"",IF(K1110-J1110=0,"tie",IF(K1110-J1110&gt;0,"+"&amp;K1110-J1110,"+"&amp;J1110-K1110)),"")</f>
        <v/>
      </c>
      <c r="M1110" s="20" t="n"/>
      <c r="N1110" s="20" t="n"/>
      <c r="O1110" s="20" t="n"/>
      <c r="P1110" s="20" t="n"/>
      <c r="Q1110" s="20" t="n"/>
      <c r="R1110" s="20" t="n"/>
      <c r="S1110" s="20" t="n"/>
    </row>
    <row r="1111">
      <c r="A1111" s="15" t="n">
        <v>45628</v>
      </c>
      <c r="B1111" s="20" t="n">
        <v>27</v>
      </c>
      <c r="C1111" s="20" t="n">
        <v>31</v>
      </c>
      <c r="D1111" s="17" t="inlineStr">
        <is>
          <t>Preston Way</t>
        </is>
      </c>
      <c r="E1111" s="9">
        <f>if($A1111&lt;&gt;"",E1110+B1111,"")</f>
        <v/>
      </c>
      <c r="F1111" s="9">
        <f>if($A1111&lt;&gt;"",F1110+C1111,"")</f>
        <v/>
      </c>
      <c r="G1111" s="11">
        <f>IF($A1111&lt;&gt;"",IF(F1111-E1111=0,"tie",IF(F1111-E1111&gt;0,"+"&amp;F1111-E1111,"+"&amp;E1111-F1111)),"")</f>
        <v/>
      </c>
      <c r="H1111" s="12">
        <f>if($A1111&lt;&gt;"",if(B1111&gt;C1111,if(B1111&lt;60,1,2),""),"")</f>
        <v/>
      </c>
      <c r="I1111" s="12">
        <f>if($A1111&lt;&gt;"",if(C1111&gt;B1111,if(C1111&lt;60,1,2),""),"")</f>
        <v/>
      </c>
      <c r="J1111" s="9">
        <f>if($A1111&lt;&gt;"",J1110+H1111,"")</f>
        <v/>
      </c>
      <c r="K1111" s="9">
        <f>if($A1111&lt;&gt;"",K1110+I1111,"")</f>
        <v/>
      </c>
      <c r="L1111" s="11">
        <f>IF($A1111&lt;&gt;"",IF(K1111-J1111=0,"tie",IF(K1111-J1111&gt;0,"+"&amp;K1111-J1111,"+"&amp;J1111-K1111)),"")</f>
        <v/>
      </c>
      <c r="M1111" s="20" t="n"/>
      <c r="N1111" s="20" t="n"/>
      <c r="O1111" s="20" t="n"/>
      <c r="P1111" s="20" t="n"/>
      <c r="Q1111" s="20" t="n"/>
      <c r="R1111" s="20" t="n"/>
      <c r="S1111" s="20" t="n"/>
    </row>
    <row r="1112">
      <c r="A1112" s="15" t="n">
        <v>45628</v>
      </c>
      <c r="B1112" s="20" t="n">
        <v>34</v>
      </c>
      <c r="C1112" s="20" t="n">
        <v>21</v>
      </c>
      <c r="D1112" s="17" t="inlineStr">
        <is>
          <t>Preston Way</t>
        </is>
      </c>
      <c r="E1112" s="9">
        <f>if($A1112&lt;&gt;"",E1111+B1112,"")</f>
        <v/>
      </c>
      <c r="F1112" s="9">
        <f>if($A1112&lt;&gt;"",F1111+C1112,"")</f>
        <v/>
      </c>
      <c r="G1112" s="11">
        <f>IF($A1112&lt;&gt;"",IF(F1112-E1112=0,"tie",IF(F1112-E1112&gt;0,"+"&amp;F1112-E1112,"+"&amp;E1112-F1112)),"")</f>
        <v/>
      </c>
      <c r="H1112" s="12">
        <f>if($A1112&lt;&gt;"",if(B1112&gt;C1112,if(B1112&lt;60,1,2),""),"")</f>
        <v/>
      </c>
      <c r="I1112" s="12">
        <f>if($A1112&lt;&gt;"",if(C1112&gt;B1112,if(C1112&lt;60,1,2),""),"")</f>
        <v/>
      </c>
      <c r="J1112" s="9">
        <f>if($A1112&lt;&gt;"",J1111+H1112,"")</f>
        <v/>
      </c>
      <c r="K1112" s="9">
        <f>if($A1112&lt;&gt;"",K1111+I1112,"")</f>
        <v/>
      </c>
      <c r="L1112" s="11">
        <f>IF($A1112&lt;&gt;"",IF(K1112-J1112=0,"tie",IF(K1112-J1112&gt;0,"+"&amp;K1112-J1112,"+"&amp;J1112-K1112)),"")</f>
        <v/>
      </c>
      <c r="M1112" s="20" t="n"/>
      <c r="N1112" s="20" t="n"/>
      <c r="O1112" s="20" t="n"/>
      <c r="P1112" s="20" t="n"/>
      <c r="Q1112" s="20" t="n"/>
      <c r="R1112" s="20" t="n"/>
      <c r="S1112" s="20" t="n"/>
    </row>
    <row r="1113">
      <c r="A1113" s="15" t="n">
        <v>45629</v>
      </c>
      <c r="B1113" s="20" t="n">
        <v>41</v>
      </c>
      <c r="C1113" s="20" t="n">
        <v>31</v>
      </c>
      <c r="D1113" s="17" t="inlineStr">
        <is>
          <t>Preston Way</t>
        </is>
      </c>
      <c r="E1113" s="9">
        <f>if($A1113&lt;&gt;"",E1112+B1113,"")</f>
        <v/>
      </c>
      <c r="F1113" s="9">
        <f>if($A1113&lt;&gt;"",F1112+C1113,"")</f>
        <v/>
      </c>
      <c r="G1113" s="11">
        <f>IF($A1113&lt;&gt;"",IF(F1113-E1113=0,"tie",IF(F1113-E1113&gt;0,"+"&amp;F1113-E1113,"+"&amp;E1113-F1113)),"")</f>
        <v/>
      </c>
      <c r="H1113" s="12">
        <f>if($A1113&lt;&gt;"",if(B1113&gt;C1113,if(B1113&lt;60,1,2),""),"")</f>
        <v/>
      </c>
      <c r="I1113" s="12">
        <f>if($A1113&lt;&gt;"",if(C1113&gt;B1113,if(C1113&lt;60,1,2),""),"")</f>
        <v/>
      </c>
      <c r="J1113" s="9">
        <f>if($A1113&lt;&gt;"",J1112+H1113,"")</f>
        <v/>
      </c>
      <c r="K1113" s="9">
        <f>if($A1113&lt;&gt;"",K1112+I1113,"")</f>
        <v/>
      </c>
      <c r="L1113" s="11">
        <f>IF($A1113&lt;&gt;"",IF(K1113-J1113=0,"tie",IF(K1113-J1113&gt;0,"+"&amp;K1113-J1113,"+"&amp;J1113-K1113)),"")</f>
        <v/>
      </c>
      <c r="M1113" s="20" t="n"/>
      <c r="N1113" s="20" t="n"/>
      <c r="O1113" s="20" t="n"/>
      <c r="P1113" s="20" t="n"/>
      <c r="Q1113" s="20" t="n"/>
      <c r="R1113" s="20" t="n"/>
      <c r="S1113" s="20" t="n"/>
    </row>
    <row r="1114">
      <c r="A1114" s="15" t="n">
        <v>45630</v>
      </c>
      <c r="B1114" s="20" t="n">
        <v>16</v>
      </c>
      <c r="C1114" s="20" t="n">
        <v>32</v>
      </c>
      <c r="D1114" s="17" t="inlineStr">
        <is>
          <t>Preston Way</t>
        </is>
      </c>
      <c r="E1114" s="9">
        <f>if($A1114&lt;&gt;"",E1113+B1114,"")</f>
        <v/>
      </c>
      <c r="F1114" s="9">
        <f>if($A1114&lt;&gt;"",F1113+C1114,"")</f>
        <v/>
      </c>
      <c r="G1114" s="11">
        <f>IF($A1114&lt;&gt;"",IF(F1114-E1114=0,"tie",IF(F1114-E1114&gt;0,"+"&amp;F1114-E1114,"+"&amp;E1114-F1114)),"")</f>
        <v/>
      </c>
      <c r="H1114" s="12">
        <f>if($A1114&lt;&gt;"",if(B1114&gt;C1114,if(B1114&lt;60,1,2),""),"")</f>
        <v/>
      </c>
      <c r="I1114" s="12">
        <f>if($A1114&lt;&gt;"",if(C1114&gt;B1114,if(C1114&lt;60,1,2),""),"")</f>
        <v/>
      </c>
      <c r="J1114" s="9">
        <f>if($A1114&lt;&gt;"",J1113+H1114,"")</f>
        <v/>
      </c>
      <c r="K1114" s="9">
        <f>if($A1114&lt;&gt;"",K1113+I1114,"")</f>
        <v/>
      </c>
      <c r="L1114" s="11">
        <f>IF($A1114&lt;&gt;"",IF(K1114-J1114=0,"tie",IF(K1114-J1114&gt;0,"+"&amp;K1114-J1114,"+"&amp;J1114-K1114)),"")</f>
        <v/>
      </c>
      <c r="M1114" s="20" t="n"/>
      <c r="N1114" s="20" t="n"/>
      <c r="O1114" s="20" t="n"/>
      <c r="P1114" s="20" t="n"/>
      <c r="Q1114" s="20" t="n"/>
      <c r="R1114" s="20" t="n"/>
      <c r="S1114" s="20" t="n"/>
    </row>
    <row r="1115">
      <c r="A1115" s="15" t="n">
        <v>45630</v>
      </c>
      <c r="B1115" s="20" t="n">
        <v>35</v>
      </c>
      <c r="C1115" s="20" t="n">
        <v>31</v>
      </c>
      <c r="D1115" s="17" t="inlineStr">
        <is>
          <t>Preston Way</t>
        </is>
      </c>
      <c r="E1115" s="9">
        <f>if($A1115&lt;&gt;"",E1114+B1115,"")</f>
        <v/>
      </c>
      <c r="F1115" s="9">
        <f>if($A1115&lt;&gt;"",F1114+C1115,"")</f>
        <v/>
      </c>
      <c r="G1115" s="11">
        <f>IF($A1115&lt;&gt;"",IF(F1115-E1115=0,"tie",IF(F1115-E1115&gt;0,"+"&amp;F1115-E1115,"+"&amp;E1115-F1115)),"")</f>
        <v/>
      </c>
      <c r="H1115" s="12">
        <f>if($A1115&lt;&gt;"",if(B1115&gt;C1115,if(B1115&lt;60,1,2),""),"")</f>
        <v/>
      </c>
      <c r="I1115" s="12">
        <f>if($A1115&lt;&gt;"",if(C1115&gt;B1115,if(C1115&lt;60,1,2),""),"")</f>
        <v/>
      </c>
      <c r="J1115" s="9">
        <f>if($A1115&lt;&gt;"",J1114+H1115,"")</f>
        <v/>
      </c>
      <c r="K1115" s="9">
        <f>if($A1115&lt;&gt;"",K1114+I1115,"")</f>
        <v/>
      </c>
      <c r="L1115" s="11">
        <f>IF($A1115&lt;&gt;"",IF(K1115-J1115=0,"tie",IF(K1115-J1115&gt;0,"+"&amp;K1115-J1115,"+"&amp;J1115-K1115)),"")</f>
        <v/>
      </c>
      <c r="M1115" s="20" t="n"/>
      <c r="N1115" s="20" t="n"/>
      <c r="O1115" s="20" t="n"/>
      <c r="P1115" s="20" t="n"/>
      <c r="Q1115" s="20" t="n"/>
      <c r="R1115" s="20" t="n"/>
      <c r="S1115" s="20" t="n"/>
    </row>
    <row r="1116">
      <c r="A1116" s="15" t="n">
        <v>45631</v>
      </c>
      <c r="B1116" s="20" t="n">
        <v>35</v>
      </c>
      <c r="C1116" s="20" t="n">
        <v>25</v>
      </c>
      <c r="D1116" s="17" t="inlineStr">
        <is>
          <t>Preston Way</t>
        </is>
      </c>
      <c r="E1116" s="9">
        <f>if($A1116&lt;&gt;"",E1115+B1116,"")</f>
        <v/>
      </c>
      <c r="F1116" s="9">
        <f>if($A1116&lt;&gt;"",F1115+C1116,"")</f>
        <v/>
      </c>
      <c r="G1116" s="11">
        <f>IF($A1116&lt;&gt;"",IF(F1116-E1116=0,"tie",IF(F1116-E1116&gt;0,"+"&amp;F1116-E1116,"+"&amp;E1116-F1116)),"")</f>
        <v/>
      </c>
      <c r="H1116" s="12">
        <f>if($A1116&lt;&gt;"",if(B1116&gt;C1116,if(B1116&lt;60,1,2),""),"")</f>
        <v/>
      </c>
      <c r="I1116" s="12">
        <f>if($A1116&lt;&gt;"",if(C1116&gt;B1116,if(C1116&lt;60,1,2),""),"")</f>
        <v/>
      </c>
      <c r="J1116" s="9">
        <f>if($A1116&lt;&gt;"",J1115+H1116,"")</f>
        <v/>
      </c>
      <c r="K1116" s="9">
        <f>if($A1116&lt;&gt;"",K1115+I1116,"")</f>
        <v/>
      </c>
      <c r="L1116" s="11">
        <f>IF($A1116&lt;&gt;"",IF(K1116-J1116=0,"tie",IF(K1116-J1116&gt;0,"+"&amp;K1116-J1116,"+"&amp;J1116-K1116)),"")</f>
        <v/>
      </c>
      <c r="M1116" s="20" t="n"/>
      <c r="N1116" s="20" t="n"/>
      <c r="O1116" s="20" t="n"/>
      <c r="P1116" s="20" t="n"/>
      <c r="Q1116" s="20" t="n"/>
      <c r="R1116" s="20" t="n"/>
      <c r="S1116" s="20" t="n"/>
    </row>
    <row r="1117">
      <c r="A1117" s="15" t="n">
        <v>45631</v>
      </c>
      <c r="B1117" s="20" t="n">
        <v>18</v>
      </c>
      <c r="C1117" s="20" t="n">
        <v>33</v>
      </c>
      <c r="D1117" s="17" t="inlineStr">
        <is>
          <t>Panda Express, MDR</t>
        </is>
      </c>
      <c r="E1117" s="9">
        <f>if($A1117&lt;&gt;"",E1116+B1117,"")</f>
        <v/>
      </c>
      <c r="F1117" s="9">
        <f>if($A1117&lt;&gt;"",F1116+C1117,"")</f>
        <v/>
      </c>
      <c r="G1117" s="11">
        <f>IF($A1117&lt;&gt;"",IF(F1117-E1117=0,"tie",IF(F1117-E1117&gt;0,"+"&amp;F1117-E1117,"+"&amp;E1117-F1117)),"")</f>
        <v/>
      </c>
      <c r="H1117" s="12">
        <f>if($A1117&lt;&gt;"",if(B1117&gt;C1117,if(B1117&lt;60,1,2),""),"")</f>
        <v/>
      </c>
      <c r="I1117" s="12">
        <f>if($A1117&lt;&gt;"",if(C1117&gt;B1117,if(C1117&lt;60,1,2),""),"")</f>
        <v/>
      </c>
      <c r="J1117" s="9">
        <f>if($A1117&lt;&gt;"",J1116+H1117,"")</f>
        <v/>
      </c>
      <c r="K1117" s="9">
        <f>if($A1117&lt;&gt;"",K1116+I1117,"")</f>
        <v/>
      </c>
      <c r="L1117" s="11">
        <f>IF($A1117&lt;&gt;"",IF(K1117-J1117=0,"tie",IF(K1117-J1117&gt;0,"+"&amp;K1117-J1117,"+"&amp;J1117-K1117)),"")</f>
        <v/>
      </c>
      <c r="M1117" s="20" t="n"/>
      <c r="N1117" s="20" t="n"/>
      <c r="O1117" s="20" t="n"/>
      <c r="P1117" s="20" t="n"/>
      <c r="Q1117" s="20" t="n"/>
      <c r="R1117" s="20" t="n"/>
      <c r="S1117" s="20" t="n"/>
    </row>
    <row r="1118">
      <c r="A1118" s="15" t="n">
        <v>45632</v>
      </c>
      <c r="B1118" s="20" t="n">
        <v>31</v>
      </c>
      <c r="C1118" s="20" t="n">
        <v>21</v>
      </c>
      <c r="D1118" s="17" t="inlineStr">
        <is>
          <t>Preston Way</t>
        </is>
      </c>
      <c r="E1118" s="9">
        <f>if($A1118&lt;&gt;"",E1117+B1118,"")</f>
        <v/>
      </c>
      <c r="F1118" s="9">
        <f>if($A1118&lt;&gt;"",F1117+C1118,"")</f>
        <v/>
      </c>
      <c r="G1118" s="11">
        <f>IF($A1118&lt;&gt;"",IF(F1118-E1118=0,"tie",IF(F1118-E1118&gt;0,"+"&amp;F1118-E1118,"+"&amp;E1118-F1118)),"")</f>
        <v/>
      </c>
      <c r="H1118" s="12">
        <f>if($A1118&lt;&gt;"",if(B1118&gt;C1118,if(B1118&lt;60,1,2),""),"")</f>
        <v/>
      </c>
      <c r="I1118" s="12">
        <f>if($A1118&lt;&gt;"",if(C1118&gt;B1118,if(C1118&lt;60,1,2),""),"")</f>
        <v/>
      </c>
      <c r="J1118" s="9">
        <f>if($A1118&lt;&gt;"",J1117+H1118,"")</f>
        <v/>
      </c>
      <c r="K1118" s="9">
        <f>if($A1118&lt;&gt;"",K1117+I1118,"")</f>
        <v/>
      </c>
      <c r="L1118" s="11">
        <f>IF($A1118&lt;&gt;"",IF(K1118-J1118=0,"tie",IF(K1118-J1118&gt;0,"+"&amp;K1118-J1118,"+"&amp;J1118-K1118)),"")</f>
        <v/>
      </c>
      <c r="M1118" s="20" t="n"/>
      <c r="N1118" s="20" t="n"/>
      <c r="O1118" s="20" t="n"/>
      <c r="P1118" s="20" t="n"/>
      <c r="Q1118" s="20" t="n"/>
      <c r="R1118" s="20" t="n"/>
      <c r="S1118" s="20" t="n"/>
    </row>
    <row r="1119">
      <c r="A1119" s="15" t="n">
        <v>45632</v>
      </c>
      <c r="B1119" s="20" t="n">
        <v>6</v>
      </c>
      <c r="C1119" s="20" t="n">
        <v>33</v>
      </c>
      <c r="D1119" s="17" t="inlineStr">
        <is>
          <t>Preston Way</t>
        </is>
      </c>
      <c r="E1119" s="9">
        <f>if($A1119&lt;&gt;"",E1118+B1119,"")</f>
        <v/>
      </c>
      <c r="F1119" s="9">
        <f>if($A1119&lt;&gt;"",F1118+C1119,"")</f>
        <v/>
      </c>
      <c r="G1119" s="11">
        <f>IF($A1119&lt;&gt;"",IF(F1119-E1119=0,"tie",IF(F1119-E1119&gt;0,"+"&amp;F1119-E1119,"+"&amp;E1119-F1119)),"")</f>
        <v/>
      </c>
      <c r="H1119" s="12">
        <f>if($A1119&lt;&gt;"",if(B1119&gt;C1119,if(B1119&lt;60,1,2),""),"")</f>
        <v/>
      </c>
      <c r="I1119" s="12">
        <f>if($A1119&lt;&gt;"",if(C1119&gt;B1119,if(C1119&lt;60,1,2),""),"")</f>
        <v/>
      </c>
      <c r="J1119" s="9">
        <f>if($A1119&lt;&gt;"",J1118+H1119,"")</f>
        <v/>
      </c>
      <c r="K1119" s="9">
        <f>if($A1119&lt;&gt;"",K1118+I1119,"")</f>
        <v/>
      </c>
      <c r="L1119" s="11">
        <f>IF($A1119&lt;&gt;"",IF(K1119-J1119=0,"tie",IF(K1119-J1119&gt;0,"+"&amp;K1119-J1119,"+"&amp;J1119-K1119)),"")</f>
        <v/>
      </c>
      <c r="M1119" s="20" t="n"/>
      <c r="N1119" s="20" t="n"/>
      <c r="O1119" s="20" t="n"/>
      <c r="P1119" s="20" t="n"/>
      <c r="Q1119" s="20" t="n"/>
      <c r="R1119" s="20" t="n"/>
      <c r="S1119" s="20" t="n"/>
    </row>
    <row r="1120">
      <c r="A1120" s="15" t="n">
        <v>45632</v>
      </c>
      <c r="B1120" s="20" t="n">
        <v>34</v>
      </c>
      <c r="C1120" s="20" t="n">
        <v>17</v>
      </c>
      <c r="D1120" s="17" t="inlineStr">
        <is>
          <t>Preston Way</t>
        </is>
      </c>
      <c r="E1120" s="9">
        <f>if($A1120&lt;&gt;"",E1119+B1120,"")</f>
        <v/>
      </c>
      <c r="F1120" s="9">
        <f>if($A1120&lt;&gt;"",F1119+C1120,"")</f>
        <v/>
      </c>
      <c r="G1120" s="11">
        <f>IF($A1120&lt;&gt;"",IF(F1120-E1120=0,"tie",IF(F1120-E1120&gt;0,"+"&amp;F1120-E1120,"+"&amp;E1120-F1120)),"")</f>
        <v/>
      </c>
      <c r="H1120" s="12">
        <f>if($A1120&lt;&gt;"",if(B1120&gt;C1120,if(B1120&lt;60,1,2),""),"")</f>
        <v/>
      </c>
      <c r="I1120" s="12">
        <f>if($A1120&lt;&gt;"",if(C1120&gt;B1120,if(C1120&lt;60,1,2),""),"")</f>
        <v/>
      </c>
      <c r="J1120" s="9">
        <f>if($A1120&lt;&gt;"",J1119+H1120,"")</f>
        <v/>
      </c>
      <c r="K1120" s="9">
        <f>if($A1120&lt;&gt;"",K1119+I1120,"")</f>
        <v/>
      </c>
      <c r="L1120" s="11">
        <f>IF($A1120&lt;&gt;"",IF(K1120-J1120=0,"tie",IF(K1120-J1120&gt;0,"+"&amp;K1120-J1120,"+"&amp;J1120-K1120)),"")</f>
        <v/>
      </c>
      <c r="M1120" s="20" t="n"/>
      <c r="N1120" s="20" t="n"/>
      <c r="O1120" s="20" t="n"/>
      <c r="P1120" s="20" t="n"/>
      <c r="Q1120" s="20" t="n"/>
      <c r="R1120" s="20" t="n"/>
      <c r="S1120" s="20" t="n"/>
    </row>
    <row r="1121">
      <c r="A1121" s="15" t="n">
        <v>45633</v>
      </c>
      <c r="B1121" s="20" t="n">
        <v>35</v>
      </c>
      <c r="C1121" s="20" t="n">
        <v>17</v>
      </c>
      <c r="D1121" s="17" t="inlineStr">
        <is>
          <t>Preston Way</t>
        </is>
      </c>
      <c r="E1121" s="9">
        <f>if($A1121&lt;&gt;"",E1120+B1121,"")</f>
        <v/>
      </c>
      <c r="F1121" s="9">
        <f>if($A1121&lt;&gt;"",F1120+C1121,"")</f>
        <v/>
      </c>
      <c r="G1121" s="11">
        <f>IF($A1121&lt;&gt;"",IF(F1121-E1121=0,"tie",IF(F1121-E1121&gt;0,"+"&amp;F1121-E1121,"+"&amp;E1121-F1121)),"")</f>
        <v/>
      </c>
      <c r="H1121" s="12">
        <f>if($A1121&lt;&gt;"",if(B1121&gt;C1121,if(B1121&lt;60,1,2),""),"")</f>
        <v/>
      </c>
      <c r="I1121" s="12">
        <f>if($A1121&lt;&gt;"",if(C1121&gt;B1121,if(C1121&lt;60,1,2),""),"")</f>
        <v/>
      </c>
      <c r="J1121" s="9">
        <f>if($A1121&lt;&gt;"",J1120+H1121,"")</f>
        <v/>
      </c>
      <c r="K1121" s="9">
        <f>if($A1121&lt;&gt;"",K1120+I1121,"")</f>
        <v/>
      </c>
      <c r="L1121" s="11">
        <f>IF($A1121&lt;&gt;"",IF(K1121-J1121=0,"tie",IF(K1121-J1121&gt;0,"+"&amp;K1121-J1121,"+"&amp;J1121-K1121)),"")</f>
        <v/>
      </c>
      <c r="M1121" s="20" t="n"/>
      <c r="N1121" s="20" t="n"/>
      <c r="O1121" s="20" t="n"/>
      <c r="P1121" s="20" t="n"/>
      <c r="Q1121" s="20" t="n"/>
      <c r="R1121" s="20" t="n"/>
      <c r="S1121" s="20" t="n"/>
    </row>
    <row r="1122">
      <c r="A1122" s="15" t="n">
        <v>45634</v>
      </c>
      <c r="B1122" s="20" t="n">
        <v>16</v>
      </c>
      <c r="C1122" s="20" t="n">
        <v>36</v>
      </c>
      <c r="D1122" s="17" t="inlineStr">
        <is>
          <t>Zinque, Venice</t>
        </is>
      </c>
      <c r="E1122" s="9">
        <f>if($A1122&lt;&gt;"",E1121+B1122,"")</f>
        <v/>
      </c>
      <c r="F1122" s="9">
        <f>if($A1122&lt;&gt;"",F1121+C1122,"")</f>
        <v/>
      </c>
      <c r="G1122" s="11">
        <f>IF($A1122&lt;&gt;"",IF(F1122-E1122=0,"tie",IF(F1122-E1122&gt;0,"+"&amp;F1122-E1122,"+"&amp;E1122-F1122)),"")</f>
        <v/>
      </c>
      <c r="H1122" s="12">
        <f>if($A1122&lt;&gt;"",if(B1122&gt;C1122,if(B1122&lt;60,1,2),""),"")</f>
        <v/>
      </c>
      <c r="I1122" s="12">
        <f>if($A1122&lt;&gt;"",if(C1122&gt;B1122,if(C1122&lt;60,1,2),""),"")</f>
        <v/>
      </c>
      <c r="J1122" s="9">
        <f>if($A1122&lt;&gt;"",J1121+H1122,"")</f>
        <v/>
      </c>
      <c r="K1122" s="9">
        <f>if($A1122&lt;&gt;"",K1121+I1122,"")</f>
        <v/>
      </c>
      <c r="L1122" s="11">
        <f>IF($A1122&lt;&gt;"",IF(K1122-J1122=0,"tie",IF(K1122-J1122&gt;0,"+"&amp;K1122-J1122,"+"&amp;J1122-K1122)),"")</f>
        <v/>
      </c>
      <c r="M1122" s="20" t="n"/>
      <c r="N1122" s="20" t="n"/>
      <c r="O1122" s="20" t="n"/>
      <c r="P1122" s="20" t="n"/>
      <c r="Q1122" s="20" t="n"/>
      <c r="R1122" s="20" t="n"/>
      <c r="S1122" s="20" t="n"/>
    </row>
    <row r="1123">
      <c r="A1123" s="15" t="n">
        <v>45635</v>
      </c>
      <c r="B1123" s="20" t="n">
        <v>22</v>
      </c>
      <c r="C1123" s="20" t="n">
        <v>51</v>
      </c>
      <c r="D1123" s="17" t="inlineStr">
        <is>
          <t>Preston Way</t>
        </is>
      </c>
      <c r="E1123" s="9">
        <f>if($A1123&lt;&gt;"",E1122+B1123,"")</f>
        <v/>
      </c>
      <c r="F1123" s="9">
        <f>if($A1123&lt;&gt;"",F1122+C1123,"")</f>
        <v/>
      </c>
      <c r="G1123" s="11">
        <f>IF($A1123&lt;&gt;"",IF(F1123-E1123=0,"tie",IF(F1123-E1123&gt;0,"+"&amp;F1123-E1123,"+"&amp;E1123-F1123)),"")</f>
        <v/>
      </c>
      <c r="H1123" s="12">
        <f>if($A1123&lt;&gt;"",if(B1123&gt;C1123,if(B1123&lt;60,1,2),""),"")</f>
        <v/>
      </c>
      <c r="I1123" s="12">
        <f>if($A1123&lt;&gt;"",if(C1123&gt;B1123,if(C1123&lt;60,1,2),""),"")</f>
        <v/>
      </c>
      <c r="J1123" s="9">
        <f>if($A1123&lt;&gt;"",J1122+H1123,"")</f>
        <v/>
      </c>
      <c r="K1123" s="9">
        <f>if($A1123&lt;&gt;"",K1122+I1123,"")</f>
        <v/>
      </c>
      <c r="L1123" s="11">
        <f>IF($A1123&lt;&gt;"",IF(K1123-J1123=0,"tie",IF(K1123-J1123&gt;0,"+"&amp;K1123-J1123,"+"&amp;J1123-K1123)),"")</f>
        <v/>
      </c>
      <c r="M1123" s="20" t="n"/>
      <c r="N1123" s="20" t="n"/>
      <c r="O1123" s="20" t="n"/>
      <c r="P1123" s="20" t="n"/>
      <c r="Q1123" s="20" t="n"/>
      <c r="R1123" s="20" t="n"/>
      <c r="S1123" s="20" t="n"/>
    </row>
    <row r="1124">
      <c r="A1124" s="15" t="n">
        <v>45635</v>
      </c>
      <c r="B1124" s="20" t="n">
        <v>24</v>
      </c>
      <c r="C1124" s="20" t="n">
        <v>37</v>
      </c>
      <c r="D1124" s="17" t="inlineStr">
        <is>
          <t>Mañana Café, Venice</t>
        </is>
      </c>
      <c r="E1124" s="9">
        <f>if($A1124&lt;&gt;"",E1123+B1124,"")</f>
        <v/>
      </c>
      <c r="F1124" s="9">
        <f>if($A1124&lt;&gt;"",F1123+C1124,"")</f>
        <v/>
      </c>
      <c r="G1124" s="11">
        <f>IF($A1124&lt;&gt;"",IF(F1124-E1124=0,"tie",IF(F1124-E1124&gt;0,"+"&amp;F1124-E1124,"+"&amp;E1124-F1124)),"")</f>
        <v/>
      </c>
      <c r="H1124" s="12">
        <f>if($A1124&lt;&gt;"",if(B1124&gt;C1124,if(B1124&lt;60,1,2),""),"")</f>
        <v/>
      </c>
      <c r="I1124" s="12">
        <f>if($A1124&lt;&gt;"",if(C1124&gt;B1124,if(C1124&lt;60,1,2),""),"")</f>
        <v/>
      </c>
      <c r="J1124" s="9">
        <f>if($A1124&lt;&gt;"",J1123+H1124,"")</f>
        <v/>
      </c>
      <c r="K1124" s="9">
        <f>if($A1124&lt;&gt;"",K1123+I1124,"")</f>
        <v/>
      </c>
      <c r="L1124" s="11">
        <f>IF($A1124&lt;&gt;"",IF(K1124-J1124=0,"tie",IF(K1124-J1124&gt;0,"+"&amp;K1124-J1124,"+"&amp;J1124-K1124)),"")</f>
        <v/>
      </c>
      <c r="M1124" s="20" t="n"/>
      <c r="N1124" s="20" t="n"/>
      <c r="O1124" s="20" t="n"/>
      <c r="P1124" s="20" t="n"/>
      <c r="Q1124" s="20" t="n"/>
      <c r="R1124" s="20" t="n"/>
      <c r="S1124" s="20" t="n"/>
    </row>
    <row r="1125">
      <c r="A1125" s="15" t="n">
        <v>45635</v>
      </c>
      <c r="B1125" s="20" t="n">
        <v>23</v>
      </c>
      <c r="C1125" s="20" t="n">
        <v>39</v>
      </c>
      <c r="D1125" s="17" t="inlineStr">
        <is>
          <t>Preston Way</t>
        </is>
      </c>
      <c r="E1125" s="9">
        <f>if($A1125&lt;&gt;"",E1124+B1125,"")</f>
        <v/>
      </c>
      <c r="F1125" s="9">
        <f>if($A1125&lt;&gt;"",F1124+C1125,"")</f>
        <v/>
      </c>
      <c r="G1125" s="11">
        <f>IF($A1125&lt;&gt;"",IF(F1125-E1125=0,"tie",IF(F1125-E1125&gt;0,"+"&amp;F1125-E1125,"+"&amp;E1125-F1125)),"")</f>
        <v/>
      </c>
      <c r="H1125" s="12">
        <f>if($A1125&lt;&gt;"",if(B1125&gt;C1125,if(B1125&lt;60,1,2),""),"")</f>
        <v/>
      </c>
      <c r="I1125" s="12">
        <f>if($A1125&lt;&gt;"",if(C1125&gt;B1125,if(C1125&lt;60,1,2),""),"")</f>
        <v/>
      </c>
      <c r="J1125" s="9">
        <f>if($A1125&lt;&gt;"",J1124+H1125,"")</f>
        <v/>
      </c>
      <c r="K1125" s="9">
        <f>if($A1125&lt;&gt;"",K1124+I1125,"")</f>
        <v/>
      </c>
      <c r="L1125" s="11">
        <f>IF($A1125&lt;&gt;"",IF(K1125-J1125=0,"tie",IF(K1125-J1125&gt;0,"+"&amp;K1125-J1125,"+"&amp;J1125-K1125)),"")</f>
        <v/>
      </c>
      <c r="M1125" s="20" t="n"/>
      <c r="N1125" s="20" t="n"/>
      <c r="O1125" s="20" t="n"/>
      <c r="P1125" s="20" t="n"/>
      <c r="Q1125" s="20" t="n"/>
      <c r="R1125" s="20" t="n"/>
      <c r="S1125" s="20" t="n"/>
    </row>
    <row r="1126">
      <c r="A1126" s="15" t="n">
        <v>45636</v>
      </c>
      <c r="B1126" s="20" t="n">
        <v>24</v>
      </c>
      <c r="C1126" s="20" t="n">
        <v>34</v>
      </c>
      <c r="D1126" s="17" t="inlineStr">
        <is>
          <t>George's Burgers, Santa Monica</t>
        </is>
      </c>
      <c r="E1126" s="9">
        <f>if($A1126&lt;&gt;"",E1125+B1126,"")</f>
        <v/>
      </c>
      <c r="F1126" s="9">
        <f>if($A1126&lt;&gt;"",F1125+C1126,"")</f>
        <v/>
      </c>
      <c r="G1126" s="11">
        <f>IF($A1126&lt;&gt;"",IF(F1126-E1126=0,"tie",IF(F1126-E1126&gt;0,"+"&amp;F1126-E1126,"+"&amp;E1126-F1126)),"")</f>
        <v/>
      </c>
      <c r="H1126" s="12">
        <f>if($A1126&lt;&gt;"",if(B1126&gt;C1126,if(B1126&lt;60,1,2),""),"")</f>
        <v/>
      </c>
      <c r="I1126" s="12">
        <f>if($A1126&lt;&gt;"",if(C1126&gt;B1126,if(C1126&lt;60,1,2),""),"")</f>
        <v/>
      </c>
      <c r="J1126" s="9">
        <f>if($A1126&lt;&gt;"",J1125+H1126,"")</f>
        <v/>
      </c>
      <c r="K1126" s="9">
        <f>if($A1126&lt;&gt;"",K1125+I1126,"")</f>
        <v/>
      </c>
      <c r="L1126" s="11">
        <f>IF($A1126&lt;&gt;"",IF(K1126-J1126=0,"tie",IF(K1126-J1126&gt;0,"+"&amp;K1126-J1126,"+"&amp;J1126-K1126)),"")</f>
        <v/>
      </c>
      <c r="M1126" s="20" t="n"/>
      <c r="N1126" s="20" t="n"/>
      <c r="O1126" s="20" t="n"/>
      <c r="P1126" s="20" t="n"/>
      <c r="Q1126" s="20" t="n"/>
      <c r="R1126" s="20" t="n"/>
      <c r="S1126" s="20" t="n"/>
    </row>
    <row r="1127">
      <c r="A1127" s="15" t="n">
        <v>45637</v>
      </c>
      <c r="B1127" s="20" t="n">
        <v>29</v>
      </c>
      <c r="C1127" s="20" t="n">
        <v>31</v>
      </c>
      <c r="D1127" s="17" t="inlineStr">
        <is>
          <t>Preston Way</t>
        </is>
      </c>
      <c r="E1127" s="9">
        <f>if($A1127&lt;&gt;"",E1126+B1127,"")</f>
        <v/>
      </c>
      <c r="F1127" s="9">
        <f>if($A1127&lt;&gt;"",F1126+C1127,"")</f>
        <v/>
      </c>
      <c r="G1127" s="11">
        <f>IF($A1127&lt;&gt;"",IF(F1127-E1127=0,"tie",IF(F1127-E1127&gt;0,"+"&amp;F1127-E1127,"+"&amp;E1127-F1127)),"")</f>
        <v/>
      </c>
      <c r="H1127" s="12">
        <f>if($A1127&lt;&gt;"",if(B1127&gt;C1127,if(B1127&lt;60,1,2),""),"")</f>
        <v/>
      </c>
      <c r="I1127" s="12">
        <f>if($A1127&lt;&gt;"",if(C1127&gt;B1127,if(C1127&lt;60,1,2),""),"")</f>
        <v/>
      </c>
      <c r="J1127" s="9">
        <f>if($A1127&lt;&gt;"",J1126+H1127,"")</f>
        <v/>
      </c>
      <c r="K1127" s="9">
        <f>if($A1127&lt;&gt;"",K1126+I1127,"")</f>
        <v/>
      </c>
      <c r="L1127" s="11">
        <f>IF($A1127&lt;&gt;"",IF(K1127-J1127=0,"tie",IF(K1127-J1127&gt;0,"+"&amp;K1127-J1127,"+"&amp;J1127-K1127)),"")</f>
        <v/>
      </c>
      <c r="M1127" s="20" t="n"/>
      <c r="N1127" s="20" t="n"/>
      <c r="O1127" s="20" t="n"/>
      <c r="P1127" s="20" t="n"/>
      <c r="Q1127" s="20" t="n"/>
      <c r="R1127" s="20" t="n"/>
      <c r="S1127" s="20" t="n"/>
    </row>
    <row r="1128">
      <c r="A1128" s="15" t="n">
        <v>45638</v>
      </c>
      <c r="B1128" s="20" t="n">
        <v>62</v>
      </c>
      <c r="C1128" s="20" t="n">
        <v>42</v>
      </c>
      <c r="D1128" s="17" t="inlineStr">
        <is>
          <t>Preston Way</t>
        </is>
      </c>
      <c r="E1128" s="9">
        <f>if($A1128&lt;&gt;"",E1127+B1128,"")</f>
        <v/>
      </c>
      <c r="F1128" s="9">
        <f>if($A1128&lt;&gt;"",F1127+C1128,"")</f>
        <v/>
      </c>
      <c r="G1128" s="11">
        <f>IF($A1128&lt;&gt;"",IF(F1128-E1128=0,"tie",IF(F1128-E1128&gt;0,"+"&amp;F1128-E1128,"+"&amp;E1128-F1128)),"")</f>
        <v/>
      </c>
      <c r="H1128" s="12">
        <f>if($A1128&lt;&gt;"",if(B1128&gt;C1128,if(B1128&lt;60,1,2),""),"")</f>
        <v/>
      </c>
      <c r="I1128" s="12">
        <f>if($A1128&lt;&gt;"",if(C1128&gt;B1128,if(C1128&lt;60,1,2),""),"")</f>
        <v/>
      </c>
      <c r="J1128" s="9">
        <f>if($A1128&lt;&gt;"",J1127+H1128,"")</f>
        <v/>
      </c>
      <c r="K1128" s="9">
        <f>if($A1128&lt;&gt;"",K1127+I1128,"")</f>
        <v/>
      </c>
      <c r="L1128" s="11">
        <f>IF($A1128&lt;&gt;"",IF(K1128-J1128=0,"tie",IF(K1128-J1128&gt;0,"+"&amp;K1128-J1128,"+"&amp;J1128-K1128)),"")</f>
        <v/>
      </c>
      <c r="M1128" s="20" t="n"/>
      <c r="N1128" s="20" t="n"/>
      <c r="O1128" s="20" t="n"/>
      <c r="P1128" s="20" t="n"/>
      <c r="Q1128" s="20" t="n"/>
      <c r="R1128" s="20" t="n"/>
      <c r="S1128" s="20" t="n"/>
    </row>
    <row r="1129">
      <c r="A1129" s="15" t="n">
        <v>45639</v>
      </c>
      <c r="B1129" s="20" t="n">
        <v>36</v>
      </c>
      <c r="C1129" s="20" t="n">
        <v>18</v>
      </c>
      <c r="D1129" s="17" t="inlineStr">
        <is>
          <t>Preston Way</t>
        </is>
      </c>
      <c r="E1129" s="9">
        <f>if($A1129&lt;&gt;"",E1128+B1129,"")</f>
        <v/>
      </c>
      <c r="F1129" s="9">
        <f>if($A1129&lt;&gt;"",F1128+C1129,"")</f>
        <v/>
      </c>
      <c r="G1129" s="11">
        <f>IF($A1129&lt;&gt;"",IF(F1129-E1129=0,"tie",IF(F1129-E1129&gt;0,"+"&amp;F1129-E1129,"+"&amp;E1129-F1129)),"")</f>
        <v/>
      </c>
      <c r="H1129" s="12">
        <f>if($A1129&lt;&gt;"",if(B1129&gt;C1129,if(B1129&lt;60,1,2),""),"")</f>
        <v/>
      </c>
      <c r="I1129" s="12">
        <f>if($A1129&lt;&gt;"",if(C1129&gt;B1129,if(C1129&lt;60,1,2),""),"")</f>
        <v/>
      </c>
      <c r="J1129" s="9">
        <f>if($A1129&lt;&gt;"",J1128+H1129,"")</f>
        <v/>
      </c>
      <c r="K1129" s="9">
        <f>if($A1129&lt;&gt;"",K1128+I1129,"")</f>
        <v/>
      </c>
      <c r="L1129" s="11">
        <f>IF($A1129&lt;&gt;"",IF(K1129-J1129=0,"tie",IF(K1129-J1129&gt;0,"+"&amp;K1129-J1129,"+"&amp;J1129-K1129)),"")</f>
        <v/>
      </c>
      <c r="M1129" s="20" t="n"/>
      <c r="N1129" s="20" t="n"/>
      <c r="O1129" s="20" t="n"/>
      <c r="P1129" s="20" t="n"/>
      <c r="Q1129" s="20" t="n"/>
      <c r="R1129" s="20" t="n"/>
      <c r="S1129" s="20" t="n"/>
    </row>
    <row r="1130">
      <c r="A1130" s="15" t="n">
        <v>45641</v>
      </c>
      <c r="B1130" s="20" t="n">
        <v>31</v>
      </c>
      <c r="C1130" s="20" t="n">
        <v>20</v>
      </c>
      <c r="D1130" s="17" t="inlineStr">
        <is>
          <t>Zinque, Venice</t>
        </is>
      </c>
      <c r="E1130" s="9">
        <f>if($A1130&lt;&gt;"",E1129+B1130,"")</f>
        <v/>
      </c>
      <c r="F1130" s="9">
        <f>if($A1130&lt;&gt;"",F1129+C1130,"")</f>
        <v/>
      </c>
      <c r="G1130" s="11">
        <f>IF($A1130&lt;&gt;"",IF(F1130-E1130=0,"tie",IF(F1130-E1130&gt;0,"+"&amp;F1130-E1130,"+"&amp;E1130-F1130)),"")</f>
        <v/>
      </c>
      <c r="H1130" s="12">
        <f>if($A1130&lt;&gt;"",if(B1130&gt;C1130,if(B1130&lt;60,1,2),""),"")</f>
        <v/>
      </c>
      <c r="I1130" s="12">
        <f>if($A1130&lt;&gt;"",if(C1130&gt;B1130,if(C1130&lt;60,1,2),""),"")</f>
        <v/>
      </c>
      <c r="J1130" s="9">
        <f>if($A1130&lt;&gt;"",J1129+H1130,"")</f>
        <v/>
      </c>
      <c r="K1130" s="9">
        <f>if($A1130&lt;&gt;"",K1129+I1130,"")</f>
        <v/>
      </c>
      <c r="L1130" s="11">
        <f>IF($A1130&lt;&gt;"",IF(K1130-J1130=0,"tie",IF(K1130-J1130&gt;0,"+"&amp;K1130-J1130,"+"&amp;J1130-K1130)),"")</f>
        <v/>
      </c>
      <c r="M1130" s="20" t="n"/>
      <c r="N1130" s="20" t="n"/>
      <c r="O1130" s="20" t="n"/>
      <c r="P1130" s="20" t="n"/>
      <c r="Q1130" s="20" t="n"/>
      <c r="R1130" s="20" t="n"/>
      <c r="S1130" s="20" t="n"/>
    </row>
    <row r="1131">
      <c r="A1131" s="15" t="n">
        <v>45642</v>
      </c>
      <c r="B1131" s="20" t="n">
        <v>32</v>
      </c>
      <c r="C1131" s="20" t="n">
        <v>28</v>
      </c>
      <c r="D1131" s="17" t="inlineStr">
        <is>
          <t>Preston Way</t>
        </is>
      </c>
      <c r="E1131" s="9">
        <f>if($A1131&lt;&gt;"",E1130+B1131,"")</f>
        <v/>
      </c>
      <c r="F1131" s="9">
        <f>if($A1131&lt;&gt;"",F1130+C1131,"")</f>
        <v/>
      </c>
      <c r="G1131" s="11">
        <f>IF($A1131&lt;&gt;"",IF(F1131-E1131=0,"tie",IF(F1131-E1131&gt;0,"+"&amp;F1131-E1131,"+"&amp;E1131-F1131)),"")</f>
        <v/>
      </c>
      <c r="H1131" s="12">
        <f>if($A1131&lt;&gt;"",if(B1131&gt;C1131,if(B1131&lt;60,1,2),""),"")</f>
        <v/>
      </c>
      <c r="I1131" s="12">
        <f>if($A1131&lt;&gt;"",if(C1131&gt;B1131,if(C1131&lt;60,1,2),""),"")</f>
        <v/>
      </c>
      <c r="J1131" s="9">
        <f>if($A1131&lt;&gt;"",J1130+H1131,"")</f>
        <v/>
      </c>
      <c r="K1131" s="9">
        <f>if($A1131&lt;&gt;"",K1130+I1131,"")</f>
        <v/>
      </c>
      <c r="L1131" s="11">
        <f>IF($A1131&lt;&gt;"",IF(K1131-J1131=0,"tie",IF(K1131-J1131&gt;0,"+"&amp;K1131-J1131,"+"&amp;J1131-K1131)),"")</f>
        <v/>
      </c>
      <c r="M1131" s="20" t="n"/>
      <c r="N1131" s="20" t="n"/>
      <c r="O1131" s="20" t="n"/>
      <c r="P1131" s="20" t="n"/>
      <c r="Q1131" s="20" t="n"/>
      <c r="R1131" s="20" t="n"/>
      <c r="S1131" s="20" t="n"/>
    </row>
    <row r="1132">
      <c r="A1132" s="15" t="n">
        <v>45643</v>
      </c>
      <c r="B1132" s="20" t="n">
        <v>35</v>
      </c>
      <c r="C1132" s="20" t="n">
        <v>47</v>
      </c>
      <c r="D1132" s="17" t="inlineStr">
        <is>
          <t>Preston Way</t>
        </is>
      </c>
      <c r="E1132" s="9">
        <f>if($A1132&lt;&gt;"",E1131+B1132,"")</f>
        <v/>
      </c>
      <c r="F1132" s="9">
        <f>if($A1132&lt;&gt;"",F1131+C1132,"")</f>
        <v/>
      </c>
      <c r="G1132" s="11">
        <f>IF($A1132&lt;&gt;"",IF(F1132-E1132=0,"tie",IF(F1132-E1132&gt;0,"+"&amp;F1132-E1132,"+"&amp;E1132-F1132)),"")</f>
        <v/>
      </c>
      <c r="H1132" s="12">
        <f>if($A1132&lt;&gt;"",if(B1132&gt;C1132,if(B1132&lt;60,1,2),""),"")</f>
        <v/>
      </c>
      <c r="I1132" s="12">
        <f>if($A1132&lt;&gt;"",if(C1132&gt;B1132,if(C1132&lt;60,1,2),""),"")</f>
        <v/>
      </c>
      <c r="J1132" s="9">
        <f>if($A1132&lt;&gt;"",J1131+H1132,"")</f>
        <v/>
      </c>
      <c r="K1132" s="9">
        <f>if($A1132&lt;&gt;"",K1131+I1132,"")</f>
        <v/>
      </c>
      <c r="L1132" s="11">
        <f>IF($A1132&lt;&gt;"",IF(K1132-J1132=0,"tie",IF(K1132-J1132&gt;0,"+"&amp;K1132-J1132,"+"&amp;J1132-K1132)),"")</f>
        <v/>
      </c>
      <c r="M1132" s="20" t="n"/>
      <c r="N1132" s="20" t="n"/>
      <c r="O1132" s="20" t="n"/>
      <c r="P1132" s="20" t="n"/>
      <c r="Q1132" s="20" t="n"/>
      <c r="R1132" s="20" t="n"/>
      <c r="S1132" s="20" t="n"/>
    </row>
    <row r="1133">
      <c r="A1133" s="15" t="n">
        <v>45645</v>
      </c>
      <c r="B1133" s="20" t="n">
        <v>31</v>
      </c>
      <c r="C1133" s="20" t="n">
        <v>27</v>
      </c>
      <c r="D1133" s="17" t="inlineStr">
        <is>
          <t>Preston Way</t>
        </is>
      </c>
      <c r="E1133" s="9">
        <f>if($A1133&lt;&gt;"",E1132+B1133,"")</f>
        <v/>
      </c>
      <c r="F1133" s="9">
        <f>if($A1133&lt;&gt;"",F1132+C1133,"")</f>
        <v/>
      </c>
      <c r="G1133" s="11">
        <f>IF($A1133&lt;&gt;"",IF(F1133-E1133=0,"tie",IF(F1133-E1133&gt;0,"+"&amp;F1133-E1133,"+"&amp;E1133-F1133)),"")</f>
        <v/>
      </c>
      <c r="H1133" s="12">
        <f>if($A1133&lt;&gt;"",if(B1133&gt;C1133,if(B1133&lt;60,1,2),""),"")</f>
        <v/>
      </c>
      <c r="I1133" s="12">
        <f>if($A1133&lt;&gt;"",if(C1133&gt;B1133,if(C1133&lt;60,1,2),""),"")</f>
        <v/>
      </c>
      <c r="J1133" s="9">
        <f>if($A1133&lt;&gt;"",J1132+H1133,"")</f>
        <v/>
      </c>
      <c r="K1133" s="9">
        <f>if($A1133&lt;&gt;"",K1132+I1133,"")</f>
        <v/>
      </c>
      <c r="L1133" s="11">
        <f>IF($A1133&lt;&gt;"",IF(K1133-J1133=0,"tie",IF(K1133-J1133&gt;0,"+"&amp;K1133-J1133,"+"&amp;J1133-K1133)),"")</f>
        <v/>
      </c>
      <c r="M1133" s="20" t="n"/>
      <c r="N1133" s="20" t="n"/>
      <c r="O1133" s="20" t="n"/>
      <c r="P1133" s="20" t="n"/>
      <c r="Q1133" s="20" t="n"/>
      <c r="R1133" s="20" t="n"/>
      <c r="S1133" s="20" t="n"/>
    </row>
    <row r="1134">
      <c r="A1134" s="15" t="n">
        <v>45647</v>
      </c>
      <c r="B1134" s="20" t="n">
        <v>35</v>
      </c>
      <c r="C1134" s="20" t="n">
        <v>32</v>
      </c>
      <c r="D1134" s="17" t="inlineStr">
        <is>
          <t>Preston Way</t>
        </is>
      </c>
      <c r="E1134" s="9">
        <f>if($A1134&lt;&gt;"",E1133+B1134,"")</f>
        <v/>
      </c>
      <c r="F1134" s="9">
        <f>if($A1134&lt;&gt;"",F1133+C1134,"")</f>
        <v/>
      </c>
      <c r="G1134" s="11">
        <f>IF($A1134&lt;&gt;"",IF(F1134-E1134=0,"tie",IF(F1134-E1134&gt;0,"+"&amp;F1134-E1134,"+"&amp;E1134-F1134)),"")</f>
        <v/>
      </c>
      <c r="H1134" s="12">
        <f>if($A1134&lt;&gt;"",if(B1134&gt;C1134,if(B1134&lt;60,1,2),""),"")</f>
        <v/>
      </c>
      <c r="I1134" s="12">
        <f>if($A1134&lt;&gt;"",if(C1134&gt;B1134,if(C1134&lt;60,1,2),""),"")</f>
        <v/>
      </c>
      <c r="J1134" s="9">
        <f>if($A1134&lt;&gt;"",J1133+H1134,"")</f>
        <v/>
      </c>
      <c r="K1134" s="9">
        <f>if($A1134&lt;&gt;"",K1133+I1134,"")</f>
        <v/>
      </c>
      <c r="L1134" s="11">
        <f>IF($A1134&lt;&gt;"",IF(K1134-J1134=0,"tie",IF(K1134-J1134&gt;0,"+"&amp;K1134-J1134,"+"&amp;J1134-K1134)),"")</f>
        <v/>
      </c>
      <c r="M1134" s="20" t="n"/>
      <c r="N1134" s="20" t="n"/>
      <c r="O1134" s="20" t="n"/>
      <c r="P1134" s="20" t="n"/>
      <c r="Q1134" s="20" t="n"/>
      <c r="R1134" s="20" t="n"/>
      <c r="S1134" s="20" t="n"/>
    </row>
    <row r="1135">
      <c r="A1135" s="15" t="n">
        <v>45656</v>
      </c>
      <c r="B1135" s="20" t="n">
        <v>33</v>
      </c>
      <c r="C1135" s="20" t="n">
        <v>8</v>
      </c>
      <c r="D1135" s="17" t="inlineStr">
        <is>
          <t>Preston Way</t>
        </is>
      </c>
      <c r="E1135" s="9">
        <f>if($A1135&lt;&gt;"",E1134+B1135,"")</f>
        <v/>
      </c>
      <c r="F1135" s="9">
        <f>if($A1135&lt;&gt;"",F1134+C1135,"")</f>
        <v/>
      </c>
      <c r="G1135" s="11">
        <f>IF($A1135&lt;&gt;"",IF(F1135-E1135=0,"tie",IF(F1135-E1135&gt;0,"+"&amp;F1135-E1135,"+"&amp;E1135-F1135)),"")</f>
        <v/>
      </c>
      <c r="H1135" s="12">
        <f>if($A1135&lt;&gt;"",if(B1135&gt;C1135,if(B1135&lt;60,1,2),""),"")</f>
        <v/>
      </c>
      <c r="I1135" s="12">
        <f>if($A1135&lt;&gt;"",if(C1135&gt;B1135,if(C1135&lt;60,1,2),""),"")</f>
        <v/>
      </c>
      <c r="J1135" s="9">
        <f>if($A1135&lt;&gt;"",J1134+H1135,"")</f>
        <v/>
      </c>
      <c r="K1135" s="9">
        <f>if($A1135&lt;&gt;"",K1134+I1135,"")</f>
        <v/>
      </c>
      <c r="L1135" s="11">
        <f>IF($A1135&lt;&gt;"",IF(K1135-J1135=0,"tie",IF(K1135-J1135&gt;0,"+"&amp;K1135-J1135,"+"&amp;J1135-K1135)),"")</f>
        <v/>
      </c>
      <c r="M1135" s="20" t="n"/>
      <c r="N1135" s="20" t="n"/>
      <c r="O1135" s="20" t="n"/>
      <c r="P1135" s="20" t="n"/>
      <c r="Q1135" s="20" t="n"/>
      <c r="R1135" s="20" t="n"/>
      <c r="S1135" s="20" t="n"/>
    </row>
    <row r="1136">
      <c r="A1136" s="15" t="n">
        <v>45659</v>
      </c>
      <c r="B1136" s="20" t="n">
        <v>29</v>
      </c>
      <c r="C1136" s="20" t="n">
        <v>49</v>
      </c>
      <c r="D1136" s="17" t="inlineStr">
        <is>
          <t>Preston Way</t>
        </is>
      </c>
      <c r="E1136" s="9">
        <f>if($A1136&lt;&gt;"",E1135+B1136,"")</f>
        <v/>
      </c>
      <c r="F1136" s="9">
        <f>if($A1136&lt;&gt;"",F1135+C1136,"")</f>
        <v/>
      </c>
      <c r="G1136" s="11">
        <f>IF($A1136&lt;&gt;"",IF(F1136-E1136=0,"tie",IF(F1136-E1136&gt;0,"+"&amp;F1136-E1136,"+"&amp;E1136-F1136)),"")</f>
        <v/>
      </c>
      <c r="H1136" s="12">
        <f>if($A1136&lt;&gt;"",if(B1136&gt;C1136,if(B1136&lt;60,1,2),""),"")</f>
        <v/>
      </c>
      <c r="I1136" s="12">
        <f>if($A1136&lt;&gt;"",if(C1136&gt;B1136,if(C1136&lt;60,1,2),""),"")</f>
        <v/>
      </c>
      <c r="J1136" s="9">
        <f>if($A1136&lt;&gt;"",J1135+H1136,"")</f>
        <v/>
      </c>
      <c r="K1136" s="9">
        <f>if($A1136&lt;&gt;"",K1135+I1136,"")</f>
        <v/>
      </c>
      <c r="L1136" s="11">
        <f>IF($A1136&lt;&gt;"",IF(K1136-J1136=0,"tie",IF(K1136-J1136&gt;0,"+"&amp;K1136-J1136,"+"&amp;J1136-K1136)),"")</f>
        <v/>
      </c>
      <c r="M1136" s="20" t="n"/>
      <c r="N1136" s="20" t="n"/>
      <c r="O1136" s="20" t="n"/>
      <c r="P1136" s="20" t="n"/>
      <c r="Q1136" s="20" t="n"/>
      <c r="R1136" s="20" t="n"/>
      <c r="S1136" s="20" t="n"/>
    </row>
    <row r="1137">
      <c r="A1137" s="15" t="n">
        <v>45660</v>
      </c>
      <c r="B1137" s="20" t="n">
        <v>30</v>
      </c>
      <c r="C1137" s="20" t="n">
        <v>34</v>
      </c>
      <c r="D1137" s="17" t="inlineStr">
        <is>
          <t>Preston Way</t>
        </is>
      </c>
      <c r="E1137" s="9">
        <f>if($A1137&lt;&gt;"",E1136+B1137,"")</f>
        <v/>
      </c>
      <c r="F1137" s="9">
        <f>if($A1137&lt;&gt;"",F1136+C1137,"")</f>
        <v/>
      </c>
      <c r="G1137" s="11">
        <f>IF($A1137&lt;&gt;"",IF(F1137-E1137=0,"tie",IF(F1137-E1137&gt;0,"+"&amp;F1137-E1137,"+"&amp;E1137-F1137)),"")</f>
        <v/>
      </c>
      <c r="H1137" s="12">
        <f>if($A1137&lt;&gt;"",if(B1137&gt;C1137,if(B1137&lt;60,1,2),""),"")</f>
        <v/>
      </c>
      <c r="I1137" s="12">
        <f>if($A1137&lt;&gt;"",if(C1137&gt;B1137,if(C1137&lt;60,1,2),""),"")</f>
        <v/>
      </c>
      <c r="J1137" s="9">
        <f>if($A1137&lt;&gt;"",J1136+H1137,"")</f>
        <v/>
      </c>
      <c r="K1137" s="9">
        <f>if($A1137&lt;&gt;"",K1136+I1137,"")</f>
        <v/>
      </c>
      <c r="L1137" s="11">
        <f>IF($A1137&lt;&gt;"",IF(K1137-J1137=0,"tie",IF(K1137-J1137&gt;0,"+"&amp;K1137-J1137,"+"&amp;J1137-K1137)),"")</f>
        <v/>
      </c>
      <c r="M1137" s="20" t="n"/>
      <c r="N1137" s="20" t="n"/>
      <c r="O1137" s="20" t="n"/>
      <c r="P1137" s="20" t="n"/>
      <c r="Q1137" s="20" t="n"/>
      <c r="R1137" s="20" t="n"/>
      <c r="S1137" s="20" t="n"/>
    </row>
    <row r="1138">
      <c r="A1138" s="15" t="n">
        <v>45660</v>
      </c>
      <c r="B1138" s="20" t="n">
        <v>26</v>
      </c>
      <c r="C1138" s="20" t="n">
        <v>63</v>
      </c>
      <c r="D1138" s="17" t="inlineStr">
        <is>
          <t>Teddy's Diner</t>
        </is>
      </c>
      <c r="E1138" s="9">
        <f>if($A1138&lt;&gt;"",E1137+B1138,"")</f>
        <v/>
      </c>
      <c r="F1138" s="9">
        <f>if($A1138&lt;&gt;"",F1137+C1138,"")</f>
        <v/>
      </c>
      <c r="G1138" s="11">
        <f>IF($A1138&lt;&gt;"",IF(F1138-E1138=0,"tie",IF(F1138-E1138&gt;0,"+"&amp;F1138-E1138,"+"&amp;E1138-F1138)),"")</f>
        <v/>
      </c>
      <c r="H1138" s="12">
        <f>if($A1138&lt;&gt;"",if(B1138&gt;C1138,if(B1138&lt;60,1,2),""),"")</f>
        <v/>
      </c>
      <c r="I1138" s="12">
        <f>if($A1138&lt;&gt;"",if(C1138&gt;B1138,if(C1138&lt;60,1,2),""),"")</f>
        <v/>
      </c>
      <c r="J1138" s="9">
        <f>if($A1138&lt;&gt;"",J1137+H1138,"")</f>
        <v/>
      </c>
      <c r="K1138" s="9">
        <f>if($A1138&lt;&gt;"",K1137+I1138,"")</f>
        <v/>
      </c>
      <c r="L1138" s="11">
        <f>IF($A1138&lt;&gt;"",IF(K1138-J1138=0,"tie",IF(K1138-J1138&gt;0,"+"&amp;K1138-J1138,"+"&amp;J1138-K1138)),"")</f>
        <v/>
      </c>
      <c r="M1138" s="20" t="n"/>
      <c r="N1138" s="20" t="n"/>
      <c r="O1138" s="20" t="n"/>
      <c r="P1138" s="20" t="n"/>
      <c r="Q1138" s="20" t="n"/>
      <c r="R1138" s="20" t="n"/>
      <c r="S1138" s="20" t="n"/>
    </row>
    <row r="1139">
      <c r="A1139" s="15" t="n">
        <v>45662</v>
      </c>
      <c r="B1139" s="20" t="n">
        <v>36</v>
      </c>
      <c r="C1139" s="20" t="n">
        <v>14</v>
      </c>
      <c r="D1139" s="17" t="inlineStr">
        <is>
          <t>Zinque, Venice</t>
        </is>
      </c>
      <c r="E1139" s="9">
        <f>if($A1139&lt;&gt;"",E1138+B1139,"")</f>
        <v/>
      </c>
      <c r="F1139" s="9">
        <f>if($A1139&lt;&gt;"",F1138+C1139,"")</f>
        <v/>
      </c>
      <c r="G1139" s="11">
        <f>IF($A1139&lt;&gt;"",IF(F1139-E1139=0,"tie",IF(F1139-E1139&gt;0,"+"&amp;F1139-E1139,"+"&amp;E1139-F1139)),"")</f>
        <v/>
      </c>
      <c r="H1139" s="12">
        <f>if($A1139&lt;&gt;"",if(B1139&gt;C1139,if(B1139&lt;60,1,2),""),"")</f>
        <v/>
      </c>
      <c r="I1139" s="12">
        <f>if($A1139&lt;&gt;"",if(C1139&gt;B1139,if(C1139&lt;60,1,2),""),"")</f>
        <v/>
      </c>
      <c r="J1139" s="9">
        <f>if($A1139&lt;&gt;"",J1138+H1139,"")</f>
        <v/>
      </c>
      <c r="K1139" s="9">
        <f>if($A1139&lt;&gt;"",K1138+I1139,"")</f>
        <v/>
      </c>
      <c r="L1139" s="11">
        <f>IF($A1139&lt;&gt;"",IF(K1139-J1139=0,"tie",IF(K1139-J1139&gt;0,"+"&amp;K1139-J1139,"+"&amp;J1139-K1139)),"")</f>
        <v/>
      </c>
      <c r="M1139" s="20" t="n"/>
      <c r="N1139" s="20" t="n"/>
      <c r="O1139" s="20" t="n"/>
      <c r="P1139" s="20" t="n"/>
      <c r="Q1139" s="20" t="n"/>
      <c r="R1139" s="20" t="n"/>
      <c r="S1139" s="20" t="n"/>
    </row>
    <row r="1140">
      <c r="A1140" s="15" t="n">
        <v>45663</v>
      </c>
      <c r="B1140" s="20" t="n">
        <v>27</v>
      </c>
      <c r="C1140" s="20" t="n">
        <v>39</v>
      </c>
      <c r="D1140" s="17" t="inlineStr">
        <is>
          <t>Preston Way</t>
        </is>
      </c>
      <c r="E1140" s="9">
        <f>if($A1140&lt;&gt;"",E1139+B1140,"")</f>
        <v/>
      </c>
      <c r="F1140" s="9">
        <f>if($A1140&lt;&gt;"",F1139+C1140,"")</f>
        <v/>
      </c>
      <c r="G1140" s="11">
        <f>IF($A1140&lt;&gt;"",IF(F1140-E1140=0,"tie",IF(F1140-E1140&gt;0,"+"&amp;F1140-E1140,"+"&amp;E1140-F1140)),"")</f>
        <v/>
      </c>
      <c r="H1140" s="12">
        <f>if($A1140&lt;&gt;"",if(B1140&gt;C1140,if(B1140&lt;60,1,2),""),"")</f>
        <v/>
      </c>
      <c r="I1140" s="12">
        <f>if($A1140&lt;&gt;"",if(C1140&gt;B1140,if(C1140&lt;60,1,2),""),"")</f>
        <v/>
      </c>
      <c r="J1140" s="9">
        <f>if($A1140&lt;&gt;"",J1139+H1140,"")</f>
        <v/>
      </c>
      <c r="K1140" s="9">
        <f>if($A1140&lt;&gt;"",K1139+I1140,"")</f>
        <v/>
      </c>
      <c r="L1140" s="11">
        <f>IF($A1140&lt;&gt;"",IF(K1140-J1140=0,"tie",IF(K1140-J1140&gt;0,"+"&amp;K1140-J1140,"+"&amp;J1140-K1140)),"")</f>
        <v/>
      </c>
      <c r="M1140" s="20" t="n"/>
      <c r="N1140" s="20" t="n"/>
      <c r="O1140" s="20" t="n"/>
      <c r="P1140" s="20" t="n"/>
      <c r="Q1140" s="20" t="n"/>
      <c r="R1140" s="20" t="n"/>
      <c r="S1140" s="20" t="n"/>
    </row>
    <row r="1141">
      <c r="A1141" s="15" t="n">
        <v>45664</v>
      </c>
      <c r="B1141" s="20" t="n">
        <v>36</v>
      </c>
      <c r="C1141" s="20" t="n">
        <v>18</v>
      </c>
      <c r="D1141" s="17" t="inlineStr">
        <is>
          <t>Preston Way</t>
        </is>
      </c>
      <c r="E1141" s="9">
        <f>if($A1141&lt;&gt;"",E1140+B1141,"")</f>
        <v/>
      </c>
      <c r="F1141" s="9">
        <f>if($A1141&lt;&gt;"",F1140+C1141,"")</f>
        <v/>
      </c>
      <c r="G1141" s="11">
        <f>IF($A1141&lt;&gt;"",IF(F1141-E1141=0,"tie",IF(F1141-E1141&gt;0,"+"&amp;F1141-E1141,"+"&amp;E1141-F1141)),"")</f>
        <v/>
      </c>
      <c r="H1141" s="12">
        <f>if($A1141&lt;&gt;"",if(B1141&gt;C1141,if(B1141&lt;60,1,2),""),"")</f>
        <v/>
      </c>
      <c r="I1141" s="12">
        <f>if($A1141&lt;&gt;"",if(C1141&gt;B1141,if(C1141&lt;60,1,2),""),"")</f>
        <v/>
      </c>
      <c r="J1141" s="9">
        <f>if($A1141&lt;&gt;"",J1140+H1141,"")</f>
        <v/>
      </c>
      <c r="K1141" s="9">
        <f>if($A1141&lt;&gt;"",K1140+I1141,"")</f>
        <v/>
      </c>
      <c r="L1141" s="11">
        <f>IF($A1141&lt;&gt;"",IF(K1141-J1141=0,"tie",IF(K1141-J1141&gt;0,"+"&amp;K1141-J1141,"+"&amp;J1141-K1141)),"")</f>
        <v/>
      </c>
      <c r="M1141" s="20" t="n"/>
      <c r="N1141" s="20" t="n"/>
      <c r="O1141" s="20" t="n"/>
      <c r="P1141" s="20" t="n"/>
      <c r="Q1141" s="20" t="n"/>
      <c r="R1141" s="20" t="n"/>
      <c r="S1141" s="20" t="n"/>
    </row>
    <row r="1142">
      <c r="A1142" s="15" t="n">
        <v>45669</v>
      </c>
      <c r="B1142" s="20" t="n">
        <v>26</v>
      </c>
      <c r="C1142" s="20" t="n">
        <v>33</v>
      </c>
      <c r="D1142" s="17" t="inlineStr">
        <is>
          <t>Zinque, Venice</t>
        </is>
      </c>
      <c r="E1142" s="9">
        <f>if($A1142&lt;&gt;"",E1141+B1142,"")</f>
        <v/>
      </c>
      <c r="F1142" s="9">
        <f>if($A1142&lt;&gt;"",F1141+C1142,"")</f>
        <v/>
      </c>
      <c r="G1142" s="11">
        <f>IF($A1142&lt;&gt;"",IF(F1142-E1142=0,"tie",IF(F1142-E1142&gt;0,"+"&amp;F1142-E1142,"+"&amp;E1142-F1142)),"")</f>
        <v/>
      </c>
      <c r="H1142" s="12">
        <f>if($A1142&lt;&gt;"",if(B1142&gt;C1142,if(B1142&lt;60,1,2),""),"")</f>
        <v/>
      </c>
      <c r="I1142" s="12">
        <f>if($A1142&lt;&gt;"",if(C1142&gt;B1142,if(C1142&lt;60,1,2),""),"")</f>
        <v/>
      </c>
      <c r="J1142" s="9">
        <f>if($A1142&lt;&gt;"",J1141+H1142,"")</f>
        <v/>
      </c>
      <c r="K1142" s="9">
        <f>if($A1142&lt;&gt;"",K1141+I1142,"")</f>
        <v/>
      </c>
      <c r="L1142" s="11">
        <f>IF($A1142&lt;&gt;"",IF(K1142-J1142=0,"tie",IF(K1142-J1142&gt;0,"+"&amp;K1142-J1142,"+"&amp;J1142-K1142)),"")</f>
        <v/>
      </c>
      <c r="M1142" s="20" t="n"/>
      <c r="N1142" s="20" t="n"/>
      <c r="O1142" s="20" t="n"/>
      <c r="P1142" s="20" t="n"/>
      <c r="Q1142" s="20" t="n"/>
      <c r="R1142" s="20" t="n"/>
      <c r="S1142" s="20" t="n"/>
    </row>
    <row r="1143">
      <c r="A1143" s="15" t="n">
        <v>45670</v>
      </c>
      <c r="B1143" s="20" t="n">
        <v>31</v>
      </c>
      <c r="C1143" s="20" t="n">
        <v>22</v>
      </c>
      <c r="D1143" s="17" t="inlineStr">
        <is>
          <t>Preston Way</t>
        </is>
      </c>
      <c r="E1143" s="9">
        <f>if($A1143&lt;&gt;"",E1142+B1143,"")</f>
        <v/>
      </c>
      <c r="F1143" s="9">
        <f>if($A1143&lt;&gt;"",F1142+C1143,"")</f>
        <v/>
      </c>
      <c r="G1143" s="11">
        <f>IF($A1143&lt;&gt;"",IF(F1143-E1143=0,"tie",IF(F1143-E1143&gt;0,"+"&amp;F1143-E1143,"+"&amp;E1143-F1143)),"")</f>
        <v/>
      </c>
      <c r="H1143" s="12">
        <f>if($A1143&lt;&gt;"",if(B1143&gt;C1143,if(B1143&lt;60,1,2),""),"")</f>
        <v/>
      </c>
      <c r="I1143" s="12">
        <f>if($A1143&lt;&gt;"",if(C1143&gt;B1143,if(C1143&lt;60,1,2),""),"")</f>
        <v/>
      </c>
      <c r="J1143" s="9">
        <f>if($A1143&lt;&gt;"",J1142+H1143,"")</f>
        <v/>
      </c>
      <c r="K1143" s="9">
        <f>if($A1143&lt;&gt;"",K1142+I1143,"")</f>
        <v/>
      </c>
      <c r="L1143" s="11">
        <f>IF($A1143&lt;&gt;"",IF(K1143-J1143=0,"tie",IF(K1143-J1143&gt;0,"+"&amp;K1143-J1143,"+"&amp;J1143-K1143)),"")</f>
        <v/>
      </c>
      <c r="M1143" s="20" t="n"/>
      <c r="N1143" s="20" t="n"/>
      <c r="O1143" s="20" t="n"/>
      <c r="P1143" s="20" t="n"/>
      <c r="Q1143" s="20" t="n"/>
      <c r="R1143" s="20" t="n"/>
      <c r="S1143" s="20" t="n"/>
    </row>
    <row r="1144">
      <c r="A1144" s="15" t="n">
        <v>45673</v>
      </c>
      <c r="B1144" s="20" t="n">
        <v>19</v>
      </c>
      <c r="C1144" s="20" t="n">
        <v>35</v>
      </c>
      <c r="D1144" s="17" t="inlineStr">
        <is>
          <t>Preston Way</t>
        </is>
      </c>
      <c r="E1144" s="9">
        <f>if($A1144&lt;&gt;"",E1143+B1144,"")</f>
        <v/>
      </c>
      <c r="F1144" s="9">
        <f>if($A1144&lt;&gt;"",F1143+C1144,"")</f>
        <v/>
      </c>
      <c r="G1144" s="11">
        <f>IF($A1144&lt;&gt;"",IF(F1144-E1144=0,"tie",IF(F1144-E1144&gt;0,"+"&amp;F1144-E1144,"+"&amp;E1144-F1144)),"")</f>
        <v/>
      </c>
      <c r="H1144" s="12">
        <f>if($A1144&lt;&gt;"",if(B1144&gt;C1144,if(B1144&lt;60,1,2),""),"")</f>
        <v/>
      </c>
      <c r="I1144" s="12">
        <f>if($A1144&lt;&gt;"",if(C1144&gt;B1144,if(C1144&lt;60,1,2),""),"")</f>
        <v/>
      </c>
      <c r="J1144" s="9">
        <f>if($A1144&lt;&gt;"",J1143+H1144,"")</f>
        <v/>
      </c>
      <c r="K1144" s="9">
        <f>if($A1144&lt;&gt;"",K1143+I1144,"")</f>
        <v/>
      </c>
      <c r="L1144" s="11">
        <f>IF($A1144&lt;&gt;"",IF(K1144-J1144=0,"tie",IF(K1144-J1144&gt;0,"+"&amp;K1144-J1144,"+"&amp;J1144-K1144)),"")</f>
        <v/>
      </c>
      <c r="M1144" s="20" t="n"/>
      <c r="N1144" s="20" t="n"/>
      <c r="O1144" s="20" t="n"/>
      <c r="P1144" s="20" t="n"/>
      <c r="Q1144" s="20" t="n"/>
      <c r="R1144" s="20" t="n"/>
      <c r="S1144" s="20" t="n"/>
    </row>
    <row r="1145">
      <c r="A1145" s="15" t="n">
        <v>45673</v>
      </c>
      <c r="B1145" s="20" t="n">
        <v>21</v>
      </c>
      <c r="C1145" s="20" t="n">
        <v>38</v>
      </c>
      <c r="D1145" s="17" t="inlineStr">
        <is>
          <t>Rockos, Culver City</t>
        </is>
      </c>
      <c r="E1145" s="9">
        <f>if($A1145&lt;&gt;"",E1144+B1145,"")</f>
        <v/>
      </c>
      <c r="F1145" s="9">
        <f>if($A1145&lt;&gt;"",F1144+C1145,"")</f>
        <v/>
      </c>
      <c r="G1145" s="11">
        <f>IF($A1145&lt;&gt;"",IF(F1145-E1145=0,"tie",IF(F1145-E1145&gt;0,"+"&amp;F1145-E1145,"+"&amp;E1145-F1145)),"")</f>
        <v/>
      </c>
      <c r="H1145" s="12">
        <f>if($A1145&lt;&gt;"",if(B1145&gt;C1145,if(B1145&lt;60,1,2),""),"")</f>
        <v/>
      </c>
      <c r="I1145" s="12">
        <f>if($A1145&lt;&gt;"",if(C1145&gt;B1145,if(C1145&lt;60,1,2),""),"")</f>
        <v/>
      </c>
      <c r="J1145" s="9">
        <f>if($A1145&lt;&gt;"",J1144+H1145,"")</f>
        <v/>
      </c>
      <c r="K1145" s="9">
        <f>if($A1145&lt;&gt;"",K1144+I1145,"")</f>
        <v/>
      </c>
      <c r="L1145" s="11">
        <f>IF($A1145&lt;&gt;"",IF(K1145-J1145=0,"tie",IF(K1145-J1145&gt;0,"+"&amp;K1145-J1145,"+"&amp;J1145-K1145)),"")</f>
        <v/>
      </c>
      <c r="M1145" s="20" t="n"/>
      <c r="N1145" s="20" t="n"/>
      <c r="O1145" s="20" t="n"/>
      <c r="P1145" s="20" t="n"/>
      <c r="Q1145" s="20" t="n"/>
      <c r="R1145" s="20" t="n"/>
      <c r="S1145" s="20" t="n"/>
    </row>
    <row r="1146">
      <c r="A1146" s="15" t="n">
        <v>45674</v>
      </c>
      <c r="B1146" s="20" t="n">
        <v>42</v>
      </c>
      <c r="C1146" s="20" t="n">
        <v>26</v>
      </c>
      <c r="D1146" s="17" t="inlineStr">
        <is>
          <t>Mañana Cafe, Culver City</t>
        </is>
      </c>
      <c r="E1146" s="9">
        <f>if($A1146&lt;&gt;"",E1145+B1146,"")</f>
        <v/>
      </c>
      <c r="F1146" s="9">
        <f>if($A1146&lt;&gt;"",F1145+C1146,"")</f>
        <v/>
      </c>
      <c r="G1146" s="11">
        <f>IF($A1146&lt;&gt;"",IF(F1146-E1146=0,"tie",IF(F1146-E1146&gt;0,"+"&amp;F1146-E1146,"+"&amp;E1146-F1146)),"")</f>
        <v/>
      </c>
      <c r="H1146" s="12">
        <f>if($A1146&lt;&gt;"",if(B1146&gt;C1146,if(B1146&lt;60,1,2),""),"")</f>
        <v/>
      </c>
      <c r="I1146" s="12">
        <f>if($A1146&lt;&gt;"",if(C1146&gt;B1146,if(C1146&lt;60,1,2),""),"")</f>
        <v/>
      </c>
      <c r="J1146" s="9">
        <f>if($A1146&lt;&gt;"",J1145+H1146,"")</f>
        <v/>
      </c>
      <c r="K1146" s="9">
        <f>if($A1146&lt;&gt;"",K1145+I1146,"")</f>
        <v/>
      </c>
      <c r="L1146" s="11">
        <f>IF($A1146&lt;&gt;"",IF(K1146-J1146=0,"tie",IF(K1146-J1146&gt;0,"+"&amp;K1146-J1146,"+"&amp;J1146-K1146)),"")</f>
        <v/>
      </c>
      <c r="M1146" s="20" t="n"/>
      <c r="N1146" s="20" t="n"/>
      <c r="O1146" s="20" t="n"/>
      <c r="P1146" s="20" t="n"/>
      <c r="Q1146" s="20" t="n"/>
      <c r="R1146" s="20" t="n"/>
      <c r="S1146" s="20" t="n"/>
    </row>
    <row r="1147">
      <c r="A1147" s="15" t="n">
        <v>45674</v>
      </c>
      <c r="B1147" s="20" t="n">
        <v>36</v>
      </c>
      <c r="C1147" s="20" t="n">
        <v>33</v>
      </c>
      <c r="D1147" s="17" t="inlineStr">
        <is>
          <t>Preston Way</t>
        </is>
      </c>
      <c r="E1147" s="9">
        <f>if($A1147&lt;&gt;"",E1146+B1147,"")</f>
        <v/>
      </c>
      <c r="F1147" s="9">
        <f>if($A1147&lt;&gt;"",F1146+C1147,"")</f>
        <v/>
      </c>
      <c r="G1147" s="11">
        <f>IF($A1147&lt;&gt;"",IF(F1147-E1147=0,"tie",IF(F1147-E1147&gt;0,"+"&amp;F1147-E1147,"+"&amp;E1147-F1147)),"")</f>
        <v/>
      </c>
      <c r="H1147" s="12">
        <f>if($A1147&lt;&gt;"",if(B1147&gt;C1147,if(B1147&lt;60,1,2),""),"")</f>
        <v/>
      </c>
      <c r="I1147" s="12">
        <f>if($A1147&lt;&gt;"",if(C1147&gt;B1147,if(C1147&lt;60,1,2),""),"")</f>
        <v/>
      </c>
      <c r="J1147" s="9">
        <f>if($A1147&lt;&gt;"",J1146+H1147,"")</f>
        <v/>
      </c>
      <c r="K1147" s="9">
        <f>if($A1147&lt;&gt;"",K1146+I1147,"")</f>
        <v/>
      </c>
      <c r="L1147" s="11">
        <f>IF($A1147&lt;&gt;"",IF(K1147-J1147=0,"tie",IF(K1147-J1147&gt;0,"+"&amp;K1147-J1147,"+"&amp;J1147-K1147)),"")</f>
        <v/>
      </c>
      <c r="M1147" s="20" t="n"/>
      <c r="N1147" s="20" t="n"/>
      <c r="O1147" s="20" t="n"/>
      <c r="P1147" s="20" t="n"/>
      <c r="Q1147" s="20" t="n"/>
      <c r="R1147" s="20" t="n"/>
      <c r="S1147" s="20" t="n"/>
    </row>
    <row r="1148">
      <c r="A1148" s="15" t="n">
        <v>45677</v>
      </c>
      <c r="B1148" s="20" t="n">
        <v>21</v>
      </c>
      <c r="C1148" s="20" t="n">
        <v>35</v>
      </c>
      <c r="D1148" s="17" t="inlineStr">
        <is>
          <t>Old Mill Café, Modesto ￼</t>
        </is>
      </c>
      <c r="E1148" s="9">
        <f>if($A1148&lt;&gt;"",E1147+B1148,"")</f>
        <v/>
      </c>
      <c r="F1148" s="9">
        <f>if($A1148&lt;&gt;"",F1147+C1148,"")</f>
        <v/>
      </c>
      <c r="G1148" s="11">
        <f>IF($A1148&lt;&gt;"",IF(F1148-E1148=0,"tie",IF(F1148-E1148&gt;0,"+"&amp;F1148-E1148,"+"&amp;E1148-F1148)),"")</f>
        <v/>
      </c>
      <c r="H1148" s="12">
        <f>if($A1148&lt;&gt;"",if(B1148&gt;C1148,if(B1148&lt;60,1,2),""),"")</f>
        <v/>
      </c>
      <c r="I1148" s="12">
        <f>if($A1148&lt;&gt;"",if(C1148&gt;B1148,if(C1148&lt;60,1,2),""),"")</f>
        <v/>
      </c>
      <c r="J1148" s="9">
        <f>if($A1148&lt;&gt;"",J1147+H1148,"")</f>
        <v/>
      </c>
      <c r="K1148" s="9">
        <f>if($A1148&lt;&gt;"",K1147+I1148,"")</f>
        <v/>
      </c>
      <c r="L1148" s="11">
        <f>IF($A1148&lt;&gt;"",IF(K1148-J1148=0,"tie",IF(K1148-J1148&gt;0,"+"&amp;K1148-J1148,"+"&amp;J1148-K1148)),"")</f>
        <v/>
      </c>
      <c r="M1148" s="20" t="n"/>
      <c r="N1148" s="20" t="n"/>
      <c r="O1148" s="20" t="n"/>
      <c r="P1148" s="20" t="n"/>
      <c r="Q1148" s="20" t="n"/>
      <c r="R1148" s="20" t="n"/>
      <c r="S1148" s="20" t="n"/>
    </row>
    <row r="1149">
      <c r="A1149" s="15" t="n">
        <v>45678</v>
      </c>
      <c r="B1149" s="20" t="n">
        <v>24</v>
      </c>
      <c r="C1149" s="20" t="n">
        <v>32</v>
      </c>
      <c r="D1149" s="17" t="inlineStr">
        <is>
          <t>Harris Ranch, Coalinga</t>
        </is>
      </c>
      <c r="E1149" s="9">
        <f>if($A1149&lt;&gt;"",E1148+B1149,"")</f>
        <v/>
      </c>
      <c r="F1149" s="9">
        <f>if($A1149&lt;&gt;"",F1148+C1149,"")</f>
        <v/>
      </c>
      <c r="G1149" s="11">
        <f>IF($A1149&lt;&gt;"",IF(F1149-E1149=0,"tie",IF(F1149-E1149&gt;0,"+"&amp;F1149-E1149,"+"&amp;E1149-F1149)),"")</f>
        <v/>
      </c>
      <c r="H1149" s="12">
        <f>if($A1149&lt;&gt;"",if(B1149&gt;C1149,if(B1149&lt;60,1,2),""),"")</f>
        <v/>
      </c>
      <c r="I1149" s="12">
        <f>if($A1149&lt;&gt;"",if(C1149&gt;B1149,if(C1149&lt;60,1,2),""),"")</f>
        <v/>
      </c>
      <c r="J1149" s="9">
        <f>if($A1149&lt;&gt;"",J1148+H1149,"")</f>
        <v/>
      </c>
      <c r="K1149" s="9">
        <f>if($A1149&lt;&gt;"",K1148+I1149,"")</f>
        <v/>
      </c>
      <c r="L1149" s="11">
        <f>IF($A1149&lt;&gt;"",IF(K1149-J1149=0,"tie",IF(K1149-J1149&gt;0,"+"&amp;K1149-J1149,"+"&amp;J1149-K1149)),"")</f>
        <v/>
      </c>
      <c r="M1149" s="20" t="n"/>
      <c r="N1149" s="20" t="n"/>
      <c r="O1149" s="20" t="n"/>
      <c r="P1149" s="20" t="n"/>
      <c r="Q1149" s="20" t="n"/>
      <c r="R1149" s="20" t="n"/>
      <c r="S1149" s="20" t="n"/>
    </row>
    <row r="1150">
      <c r="A1150" s="15" t="n">
        <v>45679</v>
      </c>
      <c r="B1150" s="20" t="n">
        <v>17</v>
      </c>
      <c r="C1150" s="20" t="n">
        <v>33</v>
      </c>
      <c r="D1150" s="17" t="inlineStr">
        <is>
          <t>Preston Way</t>
        </is>
      </c>
      <c r="E1150" s="9">
        <f>if($A1150&lt;&gt;"",E1149+B1150,"")</f>
        <v/>
      </c>
      <c r="F1150" s="9">
        <f>if($A1150&lt;&gt;"",F1149+C1150,"")</f>
        <v/>
      </c>
      <c r="G1150" s="11">
        <f>IF($A1150&lt;&gt;"",IF(F1150-E1150=0,"tie",IF(F1150-E1150&gt;0,"+"&amp;F1150-E1150,"+"&amp;E1150-F1150)),"")</f>
        <v/>
      </c>
      <c r="H1150" s="12">
        <f>if($A1150&lt;&gt;"",if(B1150&gt;C1150,if(B1150&lt;60,1,2),""),"")</f>
        <v/>
      </c>
      <c r="I1150" s="12">
        <f>if($A1150&lt;&gt;"",if(C1150&gt;B1150,if(C1150&lt;60,1,2),""),"")</f>
        <v/>
      </c>
      <c r="J1150" s="9">
        <f>if($A1150&lt;&gt;"",J1149+H1150,"")</f>
        <v/>
      </c>
      <c r="K1150" s="9">
        <f>if($A1150&lt;&gt;"",K1149+I1150,"")</f>
        <v/>
      </c>
      <c r="L1150" s="11">
        <f>IF($A1150&lt;&gt;"",IF(K1150-J1150=0,"tie",IF(K1150-J1150&gt;0,"+"&amp;K1150-J1150,"+"&amp;J1150-K1150)),"")</f>
        <v/>
      </c>
      <c r="M1150" s="20" t="n"/>
      <c r="N1150" s="20" t="n"/>
      <c r="O1150" s="20" t="n"/>
      <c r="P1150" s="20" t="n"/>
      <c r="Q1150" s="20" t="n"/>
      <c r="R1150" s="20" t="n"/>
      <c r="S1150" s="20" t="n"/>
    </row>
    <row r="1151">
      <c r="A1151" s="15" t="n">
        <v>45680</v>
      </c>
      <c r="B1151" s="20" t="n">
        <v>33</v>
      </c>
      <c r="C1151" s="20" t="n">
        <v>12</v>
      </c>
      <c r="D1151" s="17" t="inlineStr">
        <is>
          <t>Preston Way</t>
        </is>
      </c>
      <c r="E1151" s="9">
        <f>if($A1151&lt;&gt;"",E1150+B1151,"")</f>
        <v/>
      </c>
      <c r="F1151" s="9">
        <f>if($A1151&lt;&gt;"",F1150+C1151,"")</f>
        <v/>
      </c>
      <c r="G1151" s="11">
        <f>IF($A1151&lt;&gt;"",IF(F1151-E1151=0,"tie",IF(F1151-E1151&gt;0,"+"&amp;F1151-E1151,"+"&amp;E1151-F1151)),"")</f>
        <v/>
      </c>
      <c r="H1151" s="12">
        <f>if($A1151&lt;&gt;"",if(B1151&gt;C1151,if(B1151&lt;60,1,2),""),"")</f>
        <v/>
      </c>
      <c r="I1151" s="12">
        <f>if($A1151&lt;&gt;"",if(C1151&gt;B1151,if(C1151&lt;60,1,2),""),"")</f>
        <v/>
      </c>
      <c r="J1151" s="9">
        <f>if($A1151&lt;&gt;"",J1150+H1151,"")</f>
        <v/>
      </c>
      <c r="K1151" s="9">
        <f>if($A1151&lt;&gt;"",K1150+I1151,"")</f>
        <v/>
      </c>
      <c r="L1151" s="11">
        <f>IF($A1151&lt;&gt;"",IF(K1151-J1151=0,"tie",IF(K1151-J1151&gt;0,"+"&amp;K1151-J1151,"+"&amp;J1151-K1151)),"")</f>
        <v/>
      </c>
      <c r="M1151" s="20" t="n"/>
      <c r="N1151" s="20" t="n"/>
      <c r="O1151" s="20" t="n"/>
      <c r="P1151" s="20" t="n"/>
      <c r="Q1151" s="20" t="n"/>
      <c r="R1151" s="20" t="n"/>
      <c r="S1151" s="20" t="n"/>
    </row>
    <row r="1152">
      <c r="A1152" s="15" t="n">
        <v>45680</v>
      </c>
      <c r="B1152" s="20" t="n">
        <v>17</v>
      </c>
      <c r="C1152" s="20" t="n">
        <v>33</v>
      </c>
      <c r="D1152" s="17" t="inlineStr">
        <is>
          <t>Preston Way</t>
        </is>
      </c>
      <c r="E1152" s="9">
        <f>if($A1152&lt;&gt;"",E1151+B1152,"")</f>
        <v/>
      </c>
      <c r="F1152" s="9">
        <f>if($A1152&lt;&gt;"",F1151+C1152,"")</f>
        <v/>
      </c>
      <c r="G1152" s="11">
        <f>IF($A1152&lt;&gt;"",IF(F1152-E1152=0,"tie",IF(F1152-E1152&gt;0,"+"&amp;F1152-E1152,"+"&amp;E1152-F1152)),"")</f>
        <v/>
      </c>
      <c r="H1152" s="12">
        <f>if($A1152&lt;&gt;"",if(B1152&gt;C1152,if(B1152&lt;60,1,2),""),"")</f>
        <v/>
      </c>
      <c r="I1152" s="12">
        <f>if($A1152&lt;&gt;"",if(C1152&gt;B1152,if(C1152&lt;60,1,2),""),"")</f>
        <v/>
      </c>
      <c r="J1152" s="9">
        <f>if($A1152&lt;&gt;"",J1151+H1152,"")</f>
        <v/>
      </c>
      <c r="K1152" s="9">
        <f>if($A1152&lt;&gt;"",K1151+I1152,"")</f>
        <v/>
      </c>
      <c r="L1152" s="11">
        <f>IF($A1152&lt;&gt;"",IF(K1152-J1152=0,"tie",IF(K1152-J1152&gt;0,"+"&amp;K1152-J1152,"+"&amp;J1152-K1152)),"")</f>
        <v/>
      </c>
      <c r="M1152" s="20" t="n"/>
      <c r="N1152" s="20" t="n"/>
      <c r="O1152" s="20" t="n"/>
      <c r="P1152" s="20" t="n"/>
      <c r="Q1152" s="20" t="n"/>
      <c r="R1152" s="20" t="n"/>
      <c r="S1152" s="20" t="n"/>
    </row>
    <row r="1153">
      <c r="A1153" s="15" t="n">
        <v>45681</v>
      </c>
      <c r="B1153" s="20" t="n">
        <v>34</v>
      </c>
      <c r="C1153" s="20" t="n">
        <v>33</v>
      </c>
      <c r="D1153" s="17" t="inlineStr">
        <is>
          <t>Preston Way</t>
        </is>
      </c>
      <c r="E1153" s="9">
        <f>if($A1153&lt;&gt;"",E1152+B1153,"")</f>
        <v/>
      </c>
      <c r="F1153" s="9">
        <f>if($A1153&lt;&gt;"",F1152+C1153,"")</f>
        <v/>
      </c>
      <c r="G1153" s="11">
        <f>IF($A1153&lt;&gt;"",IF(F1153-E1153=0,"tie",IF(F1153-E1153&gt;0,"+"&amp;F1153-E1153,"+"&amp;E1153-F1153)),"")</f>
        <v/>
      </c>
      <c r="H1153" s="12">
        <f>if($A1153&lt;&gt;"",if(B1153&gt;C1153,if(B1153&lt;60,1,2),""),"")</f>
        <v/>
      </c>
      <c r="I1153" s="12">
        <f>if($A1153&lt;&gt;"",if(C1153&gt;B1153,if(C1153&lt;60,1,2),""),"")</f>
        <v/>
      </c>
      <c r="J1153" s="9">
        <f>if($A1153&lt;&gt;"",J1152+H1153,"")</f>
        <v/>
      </c>
      <c r="K1153" s="9">
        <f>if($A1153&lt;&gt;"",K1152+I1153,"")</f>
        <v/>
      </c>
      <c r="L1153" s="11">
        <f>IF($A1153&lt;&gt;"",IF(K1153-J1153=0,"tie",IF(K1153-J1153&gt;0,"+"&amp;K1153-J1153,"+"&amp;J1153-K1153)),"")</f>
        <v/>
      </c>
      <c r="M1153" s="20" t="n"/>
      <c r="N1153" s="20" t="n"/>
      <c r="O1153" s="20" t="n"/>
      <c r="P1153" s="20" t="n"/>
      <c r="Q1153" s="20" t="n"/>
      <c r="R1153" s="20" t="n"/>
      <c r="S1153" s="20" t="n"/>
    </row>
    <row r="1154">
      <c r="A1154" s="15" t="n">
        <v>45694</v>
      </c>
      <c r="B1154" s="20" t="n">
        <v>23</v>
      </c>
      <c r="C1154" s="20" t="n">
        <v>39</v>
      </c>
      <c r="D1154" s="17" t="inlineStr">
        <is>
          <t>Simple Simon, Riverside￼</t>
        </is>
      </c>
      <c r="E1154" s="9">
        <f>if($A1154&lt;&gt;"",E1153+B1154,"")</f>
        <v/>
      </c>
      <c r="F1154" s="9">
        <f>if($A1154&lt;&gt;"",F1153+C1154,"")</f>
        <v/>
      </c>
      <c r="G1154" s="11">
        <f>IF($A1154&lt;&gt;"",IF(F1154-E1154=0,"tie",IF(F1154-E1154&gt;0,"+"&amp;F1154-E1154,"+"&amp;E1154-F1154)),"")</f>
        <v/>
      </c>
      <c r="H1154" s="12">
        <f>if($A1154&lt;&gt;"",if(B1154&gt;C1154,if(B1154&lt;60,1,2),""),"")</f>
        <v/>
      </c>
      <c r="I1154" s="12">
        <f>if($A1154&lt;&gt;"",if(C1154&gt;B1154,if(C1154&lt;60,1,2),""),"")</f>
        <v/>
      </c>
      <c r="J1154" s="9">
        <f>if($A1154&lt;&gt;"",J1153+H1154,"")</f>
        <v/>
      </c>
      <c r="K1154" s="9">
        <f>if($A1154&lt;&gt;"",K1153+I1154,"")</f>
        <v/>
      </c>
      <c r="L1154" s="11">
        <f>IF($A1154&lt;&gt;"",IF(K1154-J1154=0,"tie",IF(K1154-J1154&gt;0,"+"&amp;K1154-J1154,"+"&amp;J1154-K1154)),"")</f>
        <v/>
      </c>
      <c r="M1154" s="20" t="n"/>
      <c r="N1154" s="20" t="n"/>
      <c r="O1154" s="20" t="n"/>
      <c r="P1154" s="20" t="n"/>
      <c r="Q1154" s="20" t="n"/>
      <c r="R1154" s="20" t="n"/>
      <c r="S1154" s="20" t="n"/>
    </row>
    <row r="1155">
      <c r="A1155" s="15" t="n">
        <v>45695</v>
      </c>
      <c r="B1155" s="20" t="n">
        <v>39</v>
      </c>
      <c r="C1155" s="20" t="n">
        <v>30</v>
      </c>
      <c r="D1155" s="17" t="inlineStr">
        <is>
          <t>Preston Way</t>
        </is>
      </c>
      <c r="E1155" s="9">
        <f>if($A1155&lt;&gt;"",E1154+B1155,"")</f>
        <v/>
      </c>
      <c r="F1155" s="9">
        <f>if($A1155&lt;&gt;"",F1154+C1155,"")</f>
        <v/>
      </c>
      <c r="G1155" s="11">
        <f>IF($A1155&lt;&gt;"",IF(F1155-E1155=0,"tie",IF(F1155-E1155&gt;0,"+"&amp;F1155-E1155,"+"&amp;E1155-F1155)),"")</f>
        <v/>
      </c>
      <c r="H1155" s="12">
        <f>if($A1155&lt;&gt;"",if(B1155&gt;C1155,if(B1155&lt;60,1,2),""),"")</f>
        <v/>
      </c>
      <c r="I1155" s="12">
        <f>if($A1155&lt;&gt;"",if(C1155&gt;B1155,if(C1155&lt;60,1,2),""),"")</f>
        <v/>
      </c>
      <c r="J1155" s="9">
        <f>if($A1155&lt;&gt;"",J1154+H1155,"")</f>
        <v/>
      </c>
      <c r="K1155" s="9">
        <f>if($A1155&lt;&gt;"",K1154+I1155,"")</f>
        <v/>
      </c>
      <c r="L1155" s="11">
        <f>IF($A1155&lt;&gt;"",IF(K1155-J1155=0,"tie",IF(K1155-J1155&gt;0,"+"&amp;K1155-J1155,"+"&amp;J1155-K1155)),"")</f>
        <v/>
      </c>
      <c r="M1155" s="20" t="n"/>
      <c r="N1155" s="20" t="n"/>
      <c r="O1155" s="20" t="n"/>
      <c r="P1155" s="20" t="n"/>
      <c r="Q1155" s="20" t="n"/>
      <c r="R1155" s="20" t="n"/>
      <c r="S1155" s="20" t="n"/>
    </row>
    <row r="1156">
      <c r="A1156" s="15" t="n">
        <v>45698</v>
      </c>
      <c r="B1156" s="20" t="n">
        <v>39</v>
      </c>
      <c r="C1156" s="20" t="n">
        <v>78</v>
      </c>
      <c r="D1156" s="17" t="inlineStr">
        <is>
          <t>Café 50's, WLA</t>
        </is>
      </c>
      <c r="E1156" s="9">
        <f>if($A1156&lt;&gt;"",E1155+B1156,"")</f>
        <v/>
      </c>
      <c r="F1156" s="9">
        <f>if($A1156&lt;&gt;"",F1155+C1156,"")</f>
        <v/>
      </c>
      <c r="G1156" s="11">
        <f>IF($A1156&lt;&gt;"",IF(F1156-E1156=0,"tie",IF(F1156-E1156&gt;0,"+"&amp;F1156-E1156,"+"&amp;E1156-F1156)),"")</f>
        <v/>
      </c>
      <c r="H1156" s="12">
        <f>if($A1156&lt;&gt;"",if(B1156&gt;C1156,if(B1156&lt;60,1,2),""),"")</f>
        <v/>
      </c>
      <c r="I1156" s="12">
        <f>if($A1156&lt;&gt;"",if(C1156&gt;B1156,if(C1156&lt;60,1,2),""),"")</f>
        <v/>
      </c>
      <c r="J1156" s="9">
        <f>if($A1156&lt;&gt;"",J1155+H1156,"")</f>
        <v/>
      </c>
      <c r="K1156" s="9">
        <f>if($A1156&lt;&gt;"",K1155+I1156,"")</f>
        <v/>
      </c>
      <c r="L1156" s="11">
        <f>IF($A1156&lt;&gt;"",IF(K1156-J1156=0,"tie",IF(K1156-J1156&gt;0,"+"&amp;K1156-J1156,"+"&amp;J1156-K1156)),"")</f>
        <v/>
      </c>
      <c r="M1156" s="20" t="n"/>
      <c r="N1156" s="20" t="n"/>
      <c r="O1156" s="20" t="n"/>
      <c r="P1156" s="20" t="n"/>
      <c r="Q1156" s="20" t="n"/>
      <c r="R1156" s="20" t="n"/>
      <c r="S1156" s="20" t="n"/>
    </row>
    <row r="1157">
      <c r="A1157" s="15" t="n">
        <v>45701</v>
      </c>
      <c r="B1157" s="20" t="n">
        <v>25</v>
      </c>
      <c r="C1157" s="20" t="n">
        <v>36</v>
      </c>
      <c r="D1157" s="17" t="inlineStr">
        <is>
          <t>Preston Way</t>
        </is>
      </c>
      <c r="E1157" s="9">
        <f>if($A1157&lt;&gt;"",E1156+B1157,"")</f>
        <v/>
      </c>
      <c r="F1157" s="9">
        <f>if($A1157&lt;&gt;"",F1156+C1157,"")</f>
        <v/>
      </c>
      <c r="G1157" s="11">
        <f>IF($A1157&lt;&gt;"",IF(F1157-E1157=0,"tie",IF(F1157-E1157&gt;0,"+"&amp;F1157-E1157,"+"&amp;E1157-F1157)),"")</f>
        <v/>
      </c>
      <c r="H1157" s="12">
        <f>if($A1157&lt;&gt;"",if(B1157&gt;C1157,if(B1157&lt;60,1,2),""),"")</f>
        <v/>
      </c>
      <c r="I1157" s="12">
        <f>if($A1157&lt;&gt;"",if(C1157&gt;B1157,if(C1157&lt;60,1,2),""),"")</f>
        <v/>
      </c>
      <c r="J1157" s="9">
        <f>if($A1157&lt;&gt;"",J1156+H1157,"")</f>
        <v/>
      </c>
      <c r="K1157" s="9">
        <f>if($A1157&lt;&gt;"",K1156+I1157,"")</f>
        <v/>
      </c>
      <c r="L1157" s="11">
        <f>IF($A1157&lt;&gt;"",IF(K1157-J1157=0,"tie",IF(K1157-J1157&gt;0,"+"&amp;K1157-J1157,"+"&amp;J1157-K1157)),"")</f>
        <v/>
      </c>
      <c r="M1157" s="20" t="n"/>
      <c r="N1157" s="20" t="n"/>
      <c r="O1157" s="20" t="n"/>
      <c r="P1157" s="20" t="n"/>
      <c r="Q1157" s="20" t="n"/>
      <c r="R1157" s="20" t="n"/>
      <c r="S1157" s="20" t="n"/>
    </row>
    <row r="1158">
      <c r="A1158" s="15" t="n">
        <v>45702</v>
      </c>
      <c r="B1158" s="20" t="n">
        <v>35</v>
      </c>
      <c r="C1158" s="20" t="n">
        <v>27</v>
      </c>
      <c r="D1158" s="17" t="inlineStr">
        <is>
          <t>Preston Way</t>
        </is>
      </c>
      <c r="E1158" s="9">
        <f>if($A1158&lt;&gt;"",E1157+B1158,"")</f>
        <v/>
      </c>
      <c r="F1158" s="9">
        <f>if($A1158&lt;&gt;"",F1157+C1158,"")</f>
        <v/>
      </c>
      <c r="G1158" s="11">
        <f>IF($A1158&lt;&gt;"",IF(F1158-E1158=0,"tie",IF(F1158-E1158&gt;0,"+"&amp;F1158-E1158,"+"&amp;E1158-F1158)),"")</f>
        <v/>
      </c>
      <c r="H1158" s="12">
        <f>if($A1158&lt;&gt;"",if(B1158&gt;C1158,if(B1158&lt;60,1,2),""),"")</f>
        <v/>
      </c>
      <c r="I1158" s="12">
        <f>if($A1158&lt;&gt;"",if(C1158&gt;B1158,if(C1158&lt;60,1,2),""),"")</f>
        <v/>
      </c>
      <c r="J1158" s="9">
        <f>if($A1158&lt;&gt;"",J1157+H1158,"")</f>
        <v/>
      </c>
      <c r="K1158" s="9">
        <f>if($A1158&lt;&gt;"",K1157+I1158,"")</f>
        <v/>
      </c>
      <c r="L1158" s="11">
        <f>IF($A1158&lt;&gt;"",IF(K1158-J1158=0,"tie",IF(K1158-J1158&gt;0,"+"&amp;K1158-J1158,"+"&amp;J1158-K1158)),"")</f>
        <v/>
      </c>
      <c r="M1158" s="20" t="n"/>
      <c r="N1158" s="20" t="n"/>
      <c r="O1158" s="20" t="n"/>
      <c r="P1158" s="20" t="n"/>
      <c r="Q1158" s="20" t="n"/>
      <c r="R1158" s="20" t="n"/>
      <c r="S1158" s="20" t="n"/>
    </row>
    <row r="1159">
      <c r="A1159" s="15" t="n">
        <v>45702</v>
      </c>
      <c r="B1159" s="20" t="n">
        <v>27</v>
      </c>
      <c r="C1159" s="20" t="n">
        <v>34</v>
      </c>
      <c r="D1159" s="17" t="inlineStr">
        <is>
          <t>Olive Ave Mkt, Redlands</t>
        </is>
      </c>
      <c r="E1159" s="9">
        <f>if($A1159&lt;&gt;"",E1158+B1159,"")</f>
        <v/>
      </c>
      <c r="F1159" s="9">
        <f>if($A1159&lt;&gt;"",F1158+C1159,"")</f>
        <v/>
      </c>
      <c r="G1159" s="11">
        <f>IF($A1159&lt;&gt;"",IF(F1159-E1159=0,"tie",IF(F1159-E1159&gt;0,"+"&amp;F1159-E1159,"+"&amp;E1159-F1159)),"")</f>
        <v/>
      </c>
      <c r="H1159" s="12">
        <f>if($A1159&lt;&gt;"",if(B1159&gt;C1159,if(B1159&lt;60,1,2),""),"")</f>
        <v/>
      </c>
      <c r="I1159" s="12">
        <f>if($A1159&lt;&gt;"",if(C1159&gt;B1159,if(C1159&lt;60,1,2),""),"")</f>
        <v/>
      </c>
      <c r="J1159" s="9">
        <f>if($A1159&lt;&gt;"",J1158+H1159,"")</f>
        <v/>
      </c>
      <c r="K1159" s="9">
        <f>if($A1159&lt;&gt;"",K1158+I1159,"")</f>
        <v/>
      </c>
      <c r="L1159" s="11">
        <f>IF($A1159&lt;&gt;"",IF(K1159-J1159=0,"tie",IF(K1159-J1159&gt;0,"+"&amp;K1159-J1159,"+"&amp;J1159-K1159)),"")</f>
        <v/>
      </c>
      <c r="M1159" s="20" t="n"/>
      <c r="N1159" s="20" t="n"/>
      <c r="O1159" s="20" t="n"/>
      <c r="P1159" s="20" t="n"/>
      <c r="Q1159" s="20" t="n"/>
      <c r="R1159" s="20" t="n"/>
      <c r="S1159" s="20" t="n"/>
    </row>
    <row r="1160">
      <c r="A1160" s="15" t="n">
        <v>45707</v>
      </c>
      <c r="B1160" s="20" t="n">
        <v>27</v>
      </c>
      <c r="C1160" s="20" t="n">
        <v>33</v>
      </c>
      <c r="D1160" s="17" t="inlineStr">
        <is>
          <t>Preston Way</t>
        </is>
      </c>
      <c r="E1160" s="9">
        <f>if($A1160&lt;&gt;"",E1159+B1160,"")</f>
        <v/>
      </c>
      <c r="F1160" s="9">
        <f>if($A1160&lt;&gt;"",F1159+C1160,"")</f>
        <v/>
      </c>
      <c r="G1160" s="11">
        <f>IF($A1160&lt;&gt;"",IF(F1160-E1160=0,"tie",IF(F1160-E1160&gt;0,"+"&amp;F1160-E1160,"+"&amp;E1160-F1160)),"")</f>
        <v/>
      </c>
      <c r="H1160" s="12">
        <f>if($A1160&lt;&gt;"",if(B1160&gt;C1160,if(B1160&lt;60,1,2),""),"")</f>
        <v/>
      </c>
      <c r="I1160" s="12">
        <f>if($A1160&lt;&gt;"",if(C1160&gt;B1160,if(C1160&lt;60,1,2),""),"")</f>
        <v/>
      </c>
      <c r="J1160" s="9">
        <f>if($A1160&lt;&gt;"",J1159+H1160,"")</f>
        <v/>
      </c>
      <c r="K1160" s="9">
        <f>if($A1160&lt;&gt;"",K1159+I1160,"")</f>
        <v/>
      </c>
      <c r="L1160" s="11">
        <f>IF($A1160&lt;&gt;"",IF(K1160-J1160=0,"tie",IF(K1160-J1160&gt;0,"+"&amp;K1160-J1160,"+"&amp;J1160-K1160)),"")</f>
        <v/>
      </c>
      <c r="M1160" s="20" t="n"/>
      <c r="N1160" s="20" t="n"/>
      <c r="O1160" s="20" t="n"/>
      <c r="P1160" s="20" t="n"/>
      <c r="Q1160" s="20" t="n"/>
      <c r="R1160" s="20" t="n"/>
      <c r="S1160" s="20" t="n"/>
    </row>
    <row r="1161">
      <c r="A1161" s="15" t="n">
        <v>45708</v>
      </c>
      <c r="B1161" s="20" t="n">
        <v>48</v>
      </c>
      <c r="C1161" s="20" t="n">
        <v>63</v>
      </c>
      <c r="D1161" s="17" t="inlineStr">
        <is>
          <t>Barn, Koreatown</t>
        </is>
      </c>
      <c r="E1161" s="9">
        <f>if($A1161&lt;&gt;"",E1160+B1161,"")</f>
        <v/>
      </c>
      <c r="F1161" s="9">
        <f>if($A1161&lt;&gt;"",F1160+C1161,"")</f>
        <v/>
      </c>
      <c r="G1161" s="11">
        <f>IF($A1161&lt;&gt;"",IF(F1161-E1161=0,"tie",IF(F1161-E1161&gt;0,"+"&amp;F1161-E1161,"+"&amp;E1161-F1161)),"")</f>
        <v/>
      </c>
      <c r="H1161" s="12">
        <f>if($A1161&lt;&gt;"",if(B1161&gt;C1161,if(B1161&lt;60,1,2),""),"")</f>
        <v/>
      </c>
      <c r="I1161" s="12">
        <f>if($A1161&lt;&gt;"",if(C1161&gt;B1161,if(C1161&lt;60,1,2),""),"")</f>
        <v/>
      </c>
      <c r="J1161" s="9">
        <f>if($A1161&lt;&gt;"",J1160+H1161,"")</f>
        <v/>
      </c>
      <c r="K1161" s="9">
        <f>if($A1161&lt;&gt;"",K1160+I1161,"")</f>
        <v/>
      </c>
      <c r="L1161" s="11">
        <f>IF($A1161&lt;&gt;"",IF(K1161-J1161=0,"tie",IF(K1161-J1161&gt;0,"+"&amp;K1161-J1161,"+"&amp;J1161-K1161)),"")</f>
        <v/>
      </c>
      <c r="M1161" s="20" t="n"/>
      <c r="N1161" s="20" t="n"/>
      <c r="O1161" s="20" t="n"/>
      <c r="P1161" s="20" t="n"/>
      <c r="Q1161" s="20" t="n"/>
      <c r="R1161" s="20" t="n"/>
      <c r="S1161" s="20" t="n"/>
    </row>
    <row r="1162">
      <c r="A1162" s="15" t="n">
        <v>45709</v>
      </c>
      <c r="B1162" s="20" t="n">
        <v>49</v>
      </c>
      <c r="C1162" s="20" t="n">
        <v>71</v>
      </c>
      <c r="D1162" s="17" t="inlineStr">
        <is>
          <t>Sidewalk Cafe, Venice</t>
        </is>
      </c>
      <c r="E1162" s="9">
        <f>if($A1162&lt;&gt;"",E1161+B1162,"")</f>
        <v/>
      </c>
      <c r="F1162" s="9">
        <f>if($A1162&lt;&gt;"",F1161+C1162,"")</f>
        <v/>
      </c>
      <c r="G1162" s="11">
        <f>IF($A1162&lt;&gt;"",IF(F1162-E1162=0,"tie",IF(F1162-E1162&gt;0,"+"&amp;F1162-E1162,"+"&amp;E1162-F1162)),"")</f>
        <v/>
      </c>
      <c r="H1162" s="12">
        <f>if($A1162&lt;&gt;"",if(B1162&gt;C1162,if(B1162&lt;60,1,2),""),"")</f>
        <v/>
      </c>
      <c r="I1162" s="12">
        <f>if($A1162&lt;&gt;"",if(C1162&gt;B1162,if(C1162&lt;60,1,2),""),"")</f>
        <v/>
      </c>
      <c r="J1162" s="9">
        <f>if($A1162&lt;&gt;"",J1161+H1162,"")</f>
        <v/>
      </c>
      <c r="K1162" s="9">
        <f>if($A1162&lt;&gt;"",K1161+I1162,"")</f>
        <v/>
      </c>
      <c r="L1162" s="11">
        <f>IF($A1162&lt;&gt;"",IF(K1162-J1162=0,"tie",IF(K1162-J1162&gt;0,"+"&amp;K1162-J1162,"+"&amp;J1162-K1162)),"")</f>
        <v/>
      </c>
      <c r="M1162" s="20" t="n"/>
      <c r="N1162" s="20" t="n"/>
      <c r="O1162" s="20" t="n"/>
      <c r="P1162" s="20" t="n"/>
      <c r="Q1162" s="20" t="n"/>
      <c r="R1162" s="20" t="n"/>
      <c r="S1162" s="20" t="n"/>
    </row>
    <row r="1163">
      <c r="A1163" s="15" t="n">
        <v>45711</v>
      </c>
      <c r="B1163" s="20" t="n">
        <v>31</v>
      </c>
      <c r="C1163" s="20" t="n">
        <v>15</v>
      </c>
      <c r="D1163" s="17" t="inlineStr">
        <is>
          <t>Zinque, Venice</t>
        </is>
      </c>
      <c r="E1163" s="9">
        <f>if($A1163&lt;&gt;"",E1162+B1163,"")</f>
        <v/>
      </c>
      <c r="F1163" s="9">
        <f>if($A1163&lt;&gt;"",F1162+C1163,"")</f>
        <v/>
      </c>
      <c r="G1163" s="11">
        <f>IF($A1163&lt;&gt;"",IF(F1163-E1163=0,"tie",IF(F1163-E1163&gt;0,"+"&amp;F1163-E1163,"+"&amp;E1163-F1163)),"")</f>
        <v/>
      </c>
      <c r="H1163" s="12">
        <f>if($A1163&lt;&gt;"",if(B1163&gt;C1163,if(B1163&lt;60,1,2),""),"")</f>
        <v/>
      </c>
      <c r="I1163" s="12">
        <f>if($A1163&lt;&gt;"",if(C1163&gt;B1163,if(C1163&lt;60,1,2),""),"")</f>
        <v/>
      </c>
      <c r="J1163" s="9">
        <f>if($A1163&lt;&gt;"",J1162+H1163,"")</f>
        <v/>
      </c>
      <c r="K1163" s="9">
        <f>if($A1163&lt;&gt;"",K1162+I1163,"")</f>
        <v/>
      </c>
      <c r="L1163" s="11">
        <f>IF($A1163&lt;&gt;"",IF(K1163-J1163=0,"tie",IF(K1163-J1163&gt;0,"+"&amp;K1163-J1163,"+"&amp;J1163-K1163)),"")</f>
        <v/>
      </c>
      <c r="M1163" s="20" t="n"/>
      <c r="N1163" s="20" t="n"/>
      <c r="O1163" s="20" t="n"/>
      <c r="P1163" s="20" t="n"/>
      <c r="Q1163" s="20" t="n"/>
      <c r="R1163" s="20" t="n"/>
      <c r="S1163" s="20" t="n"/>
    </row>
    <row r="1164">
      <c r="A1164" s="15" t="n">
        <v>45712</v>
      </c>
      <c r="B1164" s="20" t="n">
        <v>64</v>
      </c>
      <c r="C1164" s="20" t="n">
        <v>62</v>
      </c>
      <c r="D1164" s="17" t="inlineStr">
        <is>
          <t>Preston Way</t>
        </is>
      </c>
      <c r="E1164" s="9">
        <f>if($A1164&lt;&gt;"",E1163+B1164,"")</f>
        <v/>
      </c>
      <c r="F1164" s="9">
        <f>if($A1164&lt;&gt;"",F1163+C1164,"")</f>
        <v/>
      </c>
      <c r="G1164" s="11">
        <f>IF($A1164&lt;&gt;"",IF(F1164-E1164=0,"tie",IF(F1164-E1164&gt;0,"+"&amp;F1164-E1164,"+"&amp;E1164-F1164)),"")</f>
        <v/>
      </c>
      <c r="H1164" s="12">
        <f>if($A1164&lt;&gt;"",if(B1164&gt;C1164,if(B1164&lt;60,1,2),""),"")</f>
        <v/>
      </c>
      <c r="I1164" s="12">
        <f>if($A1164&lt;&gt;"",if(C1164&gt;B1164,if(C1164&lt;60,1,2),""),"")</f>
        <v/>
      </c>
      <c r="J1164" s="9">
        <f>if($A1164&lt;&gt;"",J1163+H1164,"")</f>
        <v/>
      </c>
      <c r="K1164" s="9">
        <f>if($A1164&lt;&gt;"",K1163+I1164,"")</f>
        <v/>
      </c>
      <c r="L1164" s="11">
        <f>IF($A1164&lt;&gt;"",IF(K1164-J1164=0,"tie",IF(K1164-J1164&gt;0,"+"&amp;K1164-J1164,"+"&amp;J1164-K1164)),"")</f>
        <v/>
      </c>
      <c r="M1164" s="20" t="n"/>
      <c r="N1164" s="20" t="n"/>
      <c r="O1164" s="20" t="n"/>
      <c r="P1164" s="20" t="n"/>
      <c r="Q1164" s="20" t="n"/>
      <c r="R1164" s="20" t="n"/>
      <c r="S1164" s="20" t="n"/>
    </row>
    <row r="1165">
      <c r="A1165" s="15" t="n">
        <v>45713</v>
      </c>
      <c r="B1165" s="20" t="n">
        <v>32</v>
      </c>
      <c r="C1165" s="20" t="n">
        <v>25</v>
      </c>
      <c r="D1165" s="17" t="inlineStr">
        <is>
          <t>Teddy's Diner</t>
        </is>
      </c>
      <c r="E1165" s="9">
        <f>if($A1165&lt;&gt;"",E1164+B1165,"")</f>
        <v/>
      </c>
      <c r="F1165" s="9">
        <f>if($A1165&lt;&gt;"",F1164+C1165,"")</f>
        <v/>
      </c>
      <c r="G1165" s="11">
        <f>IF($A1165&lt;&gt;"",IF(F1165-E1165=0,"tie",IF(F1165-E1165&gt;0,"+"&amp;F1165-E1165,"+"&amp;E1165-F1165)),"")</f>
        <v/>
      </c>
      <c r="H1165" s="12">
        <f>if($A1165&lt;&gt;"",if(B1165&gt;C1165,if(B1165&lt;60,1,2),""),"")</f>
        <v/>
      </c>
      <c r="I1165" s="12">
        <f>if($A1165&lt;&gt;"",if(C1165&gt;B1165,if(C1165&lt;60,1,2),""),"")</f>
        <v/>
      </c>
      <c r="J1165" s="9">
        <f>if($A1165&lt;&gt;"",J1164+H1165,"")</f>
        <v/>
      </c>
      <c r="K1165" s="9">
        <f>if($A1165&lt;&gt;"",K1164+I1165,"")</f>
        <v/>
      </c>
      <c r="L1165" s="11">
        <f>IF($A1165&lt;&gt;"",IF(K1165-J1165=0,"tie",IF(K1165-J1165&gt;0,"+"&amp;K1165-J1165,"+"&amp;J1165-K1165)),"")</f>
        <v/>
      </c>
      <c r="M1165" s="20" t="n"/>
      <c r="N1165" s="20" t="n"/>
      <c r="O1165" s="20" t="n"/>
      <c r="P1165" s="20" t="n"/>
      <c r="Q1165" s="20" t="n"/>
      <c r="R1165" s="20" t="n"/>
      <c r="S1165" s="20" t="n"/>
    </row>
    <row r="1166">
      <c r="A1166" s="15" t="n">
        <v>45715</v>
      </c>
      <c r="B1166" s="20" t="n">
        <v>24</v>
      </c>
      <c r="C1166" s="20" t="n">
        <v>31</v>
      </c>
      <c r="D1166" s="17" t="inlineStr">
        <is>
          <t xml:space="preserve">Dinah's </t>
        </is>
      </c>
      <c r="E1166" s="9">
        <f>if($A1166&lt;&gt;"",E1165+B1166,"")</f>
        <v/>
      </c>
      <c r="F1166" s="9">
        <f>if($A1166&lt;&gt;"",F1165+C1166,"")</f>
        <v/>
      </c>
      <c r="G1166" s="11">
        <f>IF($A1166&lt;&gt;"",IF(F1166-E1166=0,"tie",IF(F1166-E1166&gt;0,"+"&amp;F1166-E1166,"+"&amp;E1166-F1166)),"")</f>
        <v/>
      </c>
      <c r="H1166" s="12">
        <f>if($A1166&lt;&gt;"",if(B1166&gt;C1166,if(B1166&lt;60,1,2),""),"")</f>
        <v/>
      </c>
      <c r="I1166" s="12">
        <f>if($A1166&lt;&gt;"",if(C1166&gt;B1166,if(C1166&lt;60,1,2),""),"")</f>
        <v/>
      </c>
      <c r="J1166" s="9">
        <f>if($A1166&lt;&gt;"",J1165+H1166,"")</f>
        <v/>
      </c>
      <c r="K1166" s="9">
        <f>if($A1166&lt;&gt;"",K1165+I1166,"")</f>
        <v/>
      </c>
      <c r="L1166" s="11">
        <f>IF($A1166&lt;&gt;"",IF(K1166-J1166=0,"tie",IF(K1166-J1166&gt;0,"+"&amp;K1166-J1166,"+"&amp;J1166-K1166)),"")</f>
        <v/>
      </c>
      <c r="M1166" s="20" t="n"/>
      <c r="N1166" s="20" t="n"/>
      <c r="O1166" s="20" t="n"/>
      <c r="P1166" s="20" t="n"/>
      <c r="Q1166" s="20" t="n"/>
      <c r="R1166" s="20" t="n"/>
      <c r="S1166" s="20" t="n"/>
    </row>
    <row r="1167">
      <c r="A1167" s="15" t="n">
        <v>45716</v>
      </c>
      <c r="B1167" s="20" t="n">
        <v>30</v>
      </c>
      <c r="C1167" s="20" t="n">
        <v>33</v>
      </c>
      <c r="D1167" s="17" t="inlineStr">
        <is>
          <t>Preston Way</t>
        </is>
      </c>
      <c r="E1167" s="9">
        <f>if($A1167&lt;&gt;"",E1166+B1167,"")</f>
        <v/>
      </c>
      <c r="F1167" s="9">
        <f>if($A1167&lt;&gt;"",F1166+C1167,"")</f>
        <v/>
      </c>
      <c r="G1167" s="11">
        <f>IF($A1167&lt;&gt;"",IF(F1167-E1167=0,"tie",IF(F1167-E1167&gt;0,"+"&amp;F1167-E1167,"+"&amp;E1167-F1167)),"")</f>
        <v/>
      </c>
      <c r="H1167" s="12">
        <f>if($A1167&lt;&gt;"",if(B1167&gt;C1167,if(B1167&lt;60,1,2),""),"")</f>
        <v/>
      </c>
      <c r="I1167" s="12">
        <f>if($A1167&lt;&gt;"",if(C1167&gt;B1167,if(C1167&lt;60,1,2),""),"")</f>
        <v/>
      </c>
      <c r="J1167" s="9">
        <f>if($A1167&lt;&gt;"",J1166+H1167,"")</f>
        <v/>
      </c>
      <c r="K1167" s="9">
        <f>if($A1167&lt;&gt;"",K1166+I1167,"")</f>
        <v/>
      </c>
      <c r="L1167" s="11">
        <f>IF($A1167&lt;&gt;"",IF(K1167-J1167=0,"tie",IF(K1167-J1167&gt;0,"+"&amp;K1167-J1167,"+"&amp;J1167-K1167)),"")</f>
        <v/>
      </c>
      <c r="M1167" s="20" t="n"/>
      <c r="N1167" s="20" t="n"/>
      <c r="O1167" s="20" t="n"/>
      <c r="P1167" s="20" t="n"/>
      <c r="Q1167" s="20" t="n"/>
      <c r="R1167" s="20" t="n"/>
      <c r="S1167" s="20" t="n"/>
    </row>
    <row r="1168">
      <c r="A1168" s="15" t="n">
        <v>45724</v>
      </c>
      <c r="B1168" s="20" t="n">
        <v>37</v>
      </c>
      <c r="C1168" s="20" t="n">
        <v>35</v>
      </c>
      <c r="D1168" s="17" t="inlineStr">
        <is>
          <t>Preston Way</t>
        </is>
      </c>
      <c r="E1168" s="9">
        <f>if($A1168&lt;&gt;"",E1167+B1168,"")</f>
        <v/>
      </c>
      <c r="F1168" s="9">
        <f>if($A1168&lt;&gt;"",F1167+C1168,"")</f>
        <v/>
      </c>
      <c r="G1168" s="11">
        <f>IF($A1168&lt;&gt;"",IF(F1168-E1168=0,"tie",IF(F1168-E1168&gt;0,"+"&amp;F1168-E1168,"+"&amp;E1168-F1168)),"")</f>
        <v/>
      </c>
      <c r="H1168" s="12">
        <f>if($A1168&lt;&gt;"",if(B1168&gt;C1168,if(B1168&lt;60,1,2),""),"")</f>
        <v/>
      </c>
      <c r="I1168" s="12">
        <f>if($A1168&lt;&gt;"",if(C1168&gt;B1168,if(C1168&lt;60,1,2),""),"")</f>
        <v/>
      </c>
      <c r="J1168" s="9">
        <f>if($A1168&lt;&gt;"",J1167+H1168,"")</f>
        <v/>
      </c>
      <c r="K1168" s="9">
        <f>if($A1168&lt;&gt;"",K1167+I1168,"")</f>
        <v/>
      </c>
      <c r="L1168" s="11">
        <f>IF($A1168&lt;&gt;"",IF(K1168-J1168=0,"tie",IF(K1168-J1168&gt;0,"+"&amp;K1168-J1168,"+"&amp;J1168-K1168)),"")</f>
        <v/>
      </c>
      <c r="M1168" s="20" t="n"/>
      <c r="N1168" s="20" t="n"/>
      <c r="O1168" s="20" t="n"/>
      <c r="P1168" s="20" t="n"/>
      <c r="Q1168" s="20" t="n"/>
      <c r="R1168" s="20" t="n"/>
      <c r="S1168" s="20" t="n"/>
    </row>
    <row r="1169">
      <c r="A1169" s="15" t="n">
        <v>45725</v>
      </c>
      <c r="B1169" s="20" t="n">
        <v>33</v>
      </c>
      <c r="C1169" s="20" t="n">
        <v>29</v>
      </c>
      <c r="D1169" s="17" t="inlineStr">
        <is>
          <t>Zinque, Venice</t>
        </is>
      </c>
      <c r="E1169" s="9">
        <f>if($A1169&lt;&gt;"",E1168+B1169,"")</f>
        <v/>
      </c>
      <c r="F1169" s="9">
        <f>if($A1169&lt;&gt;"",F1168+C1169,"")</f>
        <v/>
      </c>
      <c r="G1169" s="11">
        <f>IF($A1169&lt;&gt;"",IF(F1169-E1169=0,"tie",IF(F1169-E1169&gt;0,"+"&amp;F1169-E1169,"+"&amp;E1169-F1169)),"")</f>
        <v/>
      </c>
      <c r="H1169" s="12">
        <f>if($A1169&lt;&gt;"",if(B1169&gt;C1169,if(B1169&lt;60,1,2),""),"")</f>
        <v/>
      </c>
      <c r="I1169" s="12">
        <f>if($A1169&lt;&gt;"",if(C1169&gt;B1169,if(C1169&lt;60,1,2),""),"")</f>
        <v/>
      </c>
      <c r="J1169" s="9">
        <f>if($A1169&lt;&gt;"",J1168+H1169,"")</f>
        <v/>
      </c>
      <c r="K1169" s="9">
        <f>if($A1169&lt;&gt;"",K1168+I1169,"")</f>
        <v/>
      </c>
      <c r="L1169" s="11">
        <f>IF($A1169&lt;&gt;"",IF(K1169-J1169=0,"tie",IF(K1169-J1169&gt;0,"+"&amp;K1169-J1169,"+"&amp;J1169-K1169)),"")</f>
        <v/>
      </c>
      <c r="M1169" s="20" t="n"/>
      <c r="N1169" s="20" t="n"/>
      <c r="O1169" s="20" t="n"/>
      <c r="P1169" s="20" t="n"/>
      <c r="Q1169" s="20" t="n"/>
      <c r="R1169" s="20" t="n"/>
      <c r="S1169" s="20" t="n"/>
    </row>
    <row r="1170">
      <c r="A1170" s="15" t="n">
        <v>45726</v>
      </c>
      <c r="B1170" s="20" t="n">
        <v>33</v>
      </c>
      <c r="C1170" s="20" t="n">
        <v>31</v>
      </c>
      <c r="D1170" s="17" t="inlineStr">
        <is>
          <t>Rutt's</t>
        </is>
      </c>
      <c r="E1170" s="9">
        <f>if($A1170&lt;&gt;"",E1169+B1170,"")</f>
        <v/>
      </c>
      <c r="F1170" s="9">
        <f>if($A1170&lt;&gt;"",F1169+C1170,"")</f>
        <v/>
      </c>
      <c r="G1170" s="11">
        <f>IF($A1170&lt;&gt;"",IF(F1170-E1170=0,"tie",IF(F1170-E1170&gt;0,"+"&amp;F1170-E1170,"+"&amp;E1170-F1170)),"")</f>
        <v/>
      </c>
      <c r="H1170" s="12">
        <f>if($A1170&lt;&gt;"",if(B1170&gt;C1170,if(B1170&lt;60,1,2),""),"")</f>
        <v/>
      </c>
      <c r="I1170" s="12">
        <f>if($A1170&lt;&gt;"",if(C1170&gt;B1170,if(C1170&lt;60,1,2),""),"")</f>
        <v/>
      </c>
      <c r="J1170" s="9">
        <f>if($A1170&lt;&gt;"",J1169+H1170,"")</f>
        <v/>
      </c>
      <c r="K1170" s="9">
        <f>if($A1170&lt;&gt;"",K1169+I1170,"")</f>
        <v/>
      </c>
      <c r="L1170" s="11">
        <f>IF($A1170&lt;&gt;"",IF(K1170-J1170=0,"tie",IF(K1170-J1170&gt;0,"+"&amp;K1170-J1170,"+"&amp;J1170-K1170)),"")</f>
        <v/>
      </c>
      <c r="M1170" s="20" t="n"/>
      <c r="N1170" s="20" t="n"/>
      <c r="O1170" s="20" t="n"/>
      <c r="P1170" s="20" t="n"/>
      <c r="Q1170" s="20" t="n"/>
      <c r="R1170" s="20" t="n"/>
      <c r="S1170" s="20" t="n"/>
    </row>
    <row r="1171">
      <c r="A1171" s="15" t="n">
        <v>45727</v>
      </c>
      <c r="B1171" s="20" t="n">
        <v>61</v>
      </c>
      <c r="C1171" s="20" t="n">
        <v>46</v>
      </c>
      <c r="D1171" s="17" t="inlineStr">
        <is>
          <t>Preston Way</t>
        </is>
      </c>
      <c r="E1171" s="9">
        <f>if($A1171&lt;&gt;"",E1170+B1171,"")</f>
        <v/>
      </c>
      <c r="F1171" s="9">
        <f>if($A1171&lt;&gt;"",F1170+C1171,"")</f>
        <v/>
      </c>
      <c r="G1171" s="11">
        <f>IF($A1171&lt;&gt;"",IF(F1171-E1171=0,"tie",IF(F1171-E1171&gt;0,"+"&amp;F1171-E1171,"+"&amp;E1171-F1171)),"")</f>
        <v/>
      </c>
      <c r="H1171" s="12">
        <f>if($A1171&lt;&gt;"",if(B1171&gt;C1171,if(B1171&lt;60,1,2),""),"")</f>
        <v/>
      </c>
      <c r="I1171" s="12">
        <f>if($A1171&lt;&gt;"",if(C1171&gt;B1171,if(C1171&lt;60,1,2),""),"")</f>
        <v/>
      </c>
      <c r="J1171" s="9">
        <f>if($A1171&lt;&gt;"",J1170+H1171,"")</f>
        <v/>
      </c>
      <c r="K1171" s="9">
        <f>if($A1171&lt;&gt;"",K1170+I1171,"")</f>
        <v/>
      </c>
      <c r="L1171" s="11">
        <f>IF($A1171&lt;&gt;"",IF(K1171-J1171=0,"tie",IF(K1171-J1171&gt;0,"+"&amp;K1171-J1171,"+"&amp;J1171-K1171)),"")</f>
        <v/>
      </c>
      <c r="M1171" s="20" t="n"/>
      <c r="N1171" s="20" t="n"/>
      <c r="O1171" s="20" t="n"/>
      <c r="P1171" s="20" t="n"/>
      <c r="Q1171" s="20" t="n"/>
      <c r="R1171" s="20" t="n"/>
      <c r="S1171" s="20" t="n"/>
    </row>
    <row r="1172">
      <c r="A1172" s="15" t="n">
        <v>45728</v>
      </c>
      <c r="B1172" s="20" t="n">
        <v>43</v>
      </c>
      <c r="C1172" s="20" t="n">
        <v>28</v>
      </c>
      <c r="D1172" s="17" t="inlineStr">
        <is>
          <t>Maxine's</t>
        </is>
      </c>
      <c r="E1172" s="9">
        <f>if($A1172&lt;&gt;"",E1171+B1172,"")</f>
        <v/>
      </c>
      <c r="F1172" s="9">
        <f>if($A1172&lt;&gt;"",F1171+C1172,"")</f>
        <v/>
      </c>
      <c r="G1172" s="11">
        <f>IF($A1172&lt;&gt;"",IF(F1172-E1172=0,"tie",IF(F1172-E1172&gt;0,"+"&amp;F1172-E1172,"+"&amp;E1172-F1172)),"")</f>
        <v/>
      </c>
      <c r="H1172" s="12">
        <f>if($A1172&lt;&gt;"",if(B1172&gt;C1172,if(B1172&lt;60,1,2),""),"")</f>
        <v/>
      </c>
      <c r="I1172" s="12">
        <f>if($A1172&lt;&gt;"",if(C1172&gt;B1172,if(C1172&lt;60,1,2),""),"")</f>
        <v/>
      </c>
      <c r="J1172" s="9">
        <f>if($A1172&lt;&gt;"",J1171+H1172,"")</f>
        <v/>
      </c>
      <c r="K1172" s="9">
        <f>if($A1172&lt;&gt;"",K1171+I1172,"")</f>
        <v/>
      </c>
      <c r="L1172" s="11">
        <f>IF($A1172&lt;&gt;"",IF(K1172-J1172=0,"tie",IF(K1172-J1172&gt;0,"+"&amp;K1172-J1172,"+"&amp;J1172-K1172)),"")</f>
        <v/>
      </c>
      <c r="M1172" s="20" t="n"/>
      <c r="N1172" s="20" t="n"/>
      <c r="O1172" s="20" t="n"/>
      <c r="P1172" s="20" t="n"/>
      <c r="Q1172" s="20" t="n"/>
      <c r="R1172" s="20" t="n"/>
      <c r="S1172" s="20" t="n"/>
    </row>
    <row r="1173">
      <c r="A1173" s="15" t="n">
        <v>45728</v>
      </c>
      <c r="B1173" s="20" t="n">
        <v>22</v>
      </c>
      <c r="C1173" s="20" t="n">
        <v>35</v>
      </c>
      <c r="D1173" s="17" t="inlineStr">
        <is>
          <t>Preston Way</t>
        </is>
      </c>
      <c r="E1173" s="9">
        <f>if($A1173&lt;&gt;"",E1172+B1173,"")</f>
        <v/>
      </c>
      <c r="F1173" s="9">
        <f>if($A1173&lt;&gt;"",F1172+C1173,"")</f>
        <v/>
      </c>
      <c r="G1173" s="11">
        <f>IF($A1173&lt;&gt;"",IF(F1173-E1173=0,"tie",IF(F1173-E1173&gt;0,"+"&amp;F1173-E1173,"+"&amp;E1173-F1173)),"")</f>
        <v/>
      </c>
      <c r="H1173" s="12">
        <f>if($A1173&lt;&gt;"",if(B1173&gt;C1173,if(B1173&lt;60,1,2),""),"")</f>
        <v/>
      </c>
      <c r="I1173" s="12">
        <f>if($A1173&lt;&gt;"",if(C1173&gt;B1173,if(C1173&lt;60,1,2),""),"")</f>
        <v/>
      </c>
      <c r="J1173" s="9">
        <f>if($A1173&lt;&gt;"",J1172+H1173,"")</f>
        <v/>
      </c>
      <c r="K1173" s="9">
        <f>if($A1173&lt;&gt;"",K1172+I1173,"")</f>
        <v/>
      </c>
      <c r="L1173" s="11">
        <f>IF($A1173&lt;&gt;"",IF(K1173-J1173=0,"tie",IF(K1173-J1173&gt;0,"+"&amp;K1173-J1173,"+"&amp;J1173-K1173)),"")</f>
        <v/>
      </c>
      <c r="M1173" s="20" t="n"/>
      <c r="N1173" s="20" t="n"/>
      <c r="O1173" s="20" t="n"/>
      <c r="P1173" s="20" t="n"/>
      <c r="Q1173" s="20" t="n"/>
      <c r="R1173" s="20" t="n"/>
      <c r="S1173" s="20" t="n"/>
    </row>
    <row r="1174">
      <c r="A1174" s="15" t="n">
        <v>45729</v>
      </c>
      <c r="B1174" s="20" t="n">
        <v>31</v>
      </c>
      <c r="C1174" s="20" t="n">
        <v>19</v>
      </c>
      <c r="D1174" s="17" t="inlineStr">
        <is>
          <t xml:space="preserve">Johnnie's Pastrami </t>
        </is>
      </c>
      <c r="E1174" s="9">
        <f>if($A1174&lt;&gt;"",E1173+B1174,"")</f>
        <v/>
      </c>
      <c r="F1174" s="9">
        <f>if($A1174&lt;&gt;"",F1173+C1174,"")</f>
        <v/>
      </c>
      <c r="G1174" s="11">
        <f>IF($A1174&lt;&gt;"",IF(F1174-E1174=0,"tie",IF(F1174-E1174&gt;0,"+"&amp;F1174-E1174,"+"&amp;E1174-F1174)),"")</f>
        <v/>
      </c>
      <c r="H1174" s="12">
        <f>if($A1174&lt;&gt;"",if(B1174&gt;C1174,if(B1174&lt;60,1,2),""),"")</f>
        <v/>
      </c>
      <c r="I1174" s="12">
        <f>if($A1174&lt;&gt;"",if(C1174&gt;B1174,if(C1174&lt;60,1,2),""),"")</f>
        <v/>
      </c>
      <c r="J1174" s="9">
        <f>if($A1174&lt;&gt;"",J1173+H1174,"")</f>
        <v/>
      </c>
      <c r="K1174" s="9">
        <f>if($A1174&lt;&gt;"",K1173+I1174,"")</f>
        <v/>
      </c>
      <c r="L1174" s="11">
        <f>IF($A1174&lt;&gt;"",IF(K1174-J1174=0,"tie",IF(K1174-J1174&gt;0,"+"&amp;K1174-J1174,"+"&amp;J1174-K1174)),"")</f>
        <v/>
      </c>
      <c r="M1174" s="20" t="n"/>
      <c r="N1174" s="20" t="n"/>
      <c r="O1174" s="20" t="n"/>
      <c r="P1174" s="20" t="n"/>
      <c r="Q1174" s="20" t="n"/>
      <c r="R1174" s="20" t="n"/>
      <c r="S1174" s="20" t="n"/>
    </row>
    <row r="1175">
      <c r="A1175" s="15" t="n">
        <v>45729</v>
      </c>
      <c r="B1175" s="20" t="n">
        <v>64</v>
      </c>
      <c r="C1175" s="20" t="n">
        <v>40</v>
      </c>
      <c r="D1175" s="17" t="inlineStr">
        <is>
          <t xml:space="preserve">Yardhouse </t>
        </is>
      </c>
      <c r="E1175" s="9">
        <f>if($A1175&lt;&gt;"",E1174+B1175,"")</f>
        <v/>
      </c>
      <c r="F1175" s="9">
        <f>if($A1175&lt;&gt;"",F1174+C1175,"")</f>
        <v/>
      </c>
      <c r="G1175" s="11">
        <f>IF($A1175&lt;&gt;"",IF(F1175-E1175=0,"tie",IF(F1175-E1175&gt;0,"+"&amp;F1175-E1175,"+"&amp;E1175-F1175)),"")</f>
        <v/>
      </c>
      <c r="H1175" s="12">
        <f>if($A1175&lt;&gt;"",if(B1175&gt;C1175,if(B1175&lt;60,1,2),""),"")</f>
        <v/>
      </c>
      <c r="I1175" s="12">
        <f>if($A1175&lt;&gt;"",if(C1175&gt;B1175,if(C1175&lt;60,1,2),""),"")</f>
        <v/>
      </c>
      <c r="J1175" s="9">
        <f>if($A1175&lt;&gt;"",J1174+H1175,"")</f>
        <v/>
      </c>
      <c r="K1175" s="9">
        <f>if($A1175&lt;&gt;"",K1174+I1175,"")</f>
        <v/>
      </c>
      <c r="L1175" s="11">
        <f>IF($A1175&lt;&gt;"",IF(K1175-J1175=0,"tie",IF(K1175-J1175&gt;0,"+"&amp;K1175-J1175,"+"&amp;J1175-K1175)),"")</f>
        <v/>
      </c>
      <c r="M1175" s="20" t="n"/>
      <c r="N1175" s="20" t="n"/>
      <c r="O1175" s="20" t="n"/>
      <c r="P1175" s="20" t="n"/>
      <c r="Q1175" s="20" t="n"/>
      <c r="R1175" s="20" t="n"/>
      <c r="S1175" s="20" t="n"/>
    </row>
    <row r="1176">
      <c r="A1176" s="15" t="n">
        <v>45730</v>
      </c>
      <c r="B1176" s="20" t="n">
        <v>39</v>
      </c>
      <c r="C1176" s="20" t="n">
        <v>35</v>
      </c>
      <c r="D1176" s="17" t="inlineStr">
        <is>
          <t>Zinque, Venice</t>
        </is>
      </c>
      <c r="E1176" s="9">
        <f>if($A1176&lt;&gt;"",E1175+B1176,"")</f>
        <v/>
      </c>
      <c r="F1176" s="9">
        <f>if($A1176&lt;&gt;"",F1175+C1176,"")</f>
        <v/>
      </c>
      <c r="G1176" s="11">
        <f>IF($A1176&lt;&gt;"",IF(F1176-E1176=0,"tie",IF(F1176-E1176&gt;0,"+"&amp;F1176-E1176,"+"&amp;E1176-F1176)),"")</f>
        <v/>
      </c>
      <c r="H1176" s="12">
        <f>if($A1176&lt;&gt;"",if(B1176&gt;C1176,if(B1176&lt;60,1,2),""),"")</f>
        <v/>
      </c>
      <c r="I1176" s="12">
        <f>if($A1176&lt;&gt;"",if(C1176&gt;B1176,if(C1176&lt;60,1,2),""),"")</f>
        <v/>
      </c>
      <c r="J1176" s="9">
        <f>if($A1176&lt;&gt;"",J1175+H1176,"")</f>
        <v/>
      </c>
      <c r="K1176" s="9">
        <f>if($A1176&lt;&gt;"",K1175+I1176,"")</f>
        <v/>
      </c>
      <c r="L1176" s="11">
        <f>IF($A1176&lt;&gt;"",IF(K1176-J1176=0,"tie",IF(K1176-J1176&gt;0,"+"&amp;K1176-J1176,"+"&amp;J1176-K1176)),"")</f>
        <v/>
      </c>
      <c r="M1176" s="20" t="n"/>
      <c r="N1176" s="20" t="n"/>
      <c r="O1176" s="20" t="n"/>
      <c r="P1176" s="20" t="n"/>
      <c r="Q1176" s="20" t="n"/>
      <c r="R1176" s="20" t="n"/>
      <c r="S1176" s="20" t="n"/>
    </row>
    <row r="1177">
      <c r="A1177" s="15" t="n">
        <v>45733</v>
      </c>
      <c r="B1177" s="20" t="n">
        <v>40</v>
      </c>
      <c r="C1177" s="20" t="n">
        <v>36</v>
      </c>
      <c r="D1177" s="17" t="inlineStr">
        <is>
          <t>Preston Way</t>
        </is>
      </c>
      <c r="E1177" s="9">
        <f>if($A1177&lt;&gt;"",E1176+B1177,"")</f>
        <v/>
      </c>
      <c r="F1177" s="9">
        <f>if($A1177&lt;&gt;"",F1176+C1177,"")</f>
        <v/>
      </c>
      <c r="G1177" s="11">
        <f>IF($A1177&lt;&gt;"",IF(F1177-E1177=0,"tie",IF(F1177-E1177&gt;0,"+"&amp;F1177-E1177,"+"&amp;E1177-F1177)),"")</f>
        <v/>
      </c>
      <c r="H1177" s="12">
        <f>if($A1177&lt;&gt;"",if(B1177&gt;C1177,if(B1177&lt;60,1,2),""),"")</f>
        <v/>
      </c>
      <c r="I1177" s="12">
        <f>if($A1177&lt;&gt;"",if(C1177&gt;B1177,if(C1177&lt;60,1,2),""),"")</f>
        <v/>
      </c>
      <c r="J1177" s="9">
        <f>if($A1177&lt;&gt;"",J1176+H1177,"")</f>
        <v/>
      </c>
      <c r="K1177" s="9">
        <f>if($A1177&lt;&gt;"",K1176+I1177,"")</f>
        <v/>
      </c>
      <c r="L1177" s="11">
        <f>IF($A1177&lt;&gt;"",IF(K1177-J1177=0,"tie",IF(K1177-J1177&gt;0,"+"&amp;K1177-J1177,"+"&amp;J1177-K1177)),"")</f>
        <v/>
      </c>
      <c r="M1177" s="20" t="n"/>
      <c r="N1177" s="20" t="n"/>
      <c r="O1177" s="20" t="n"/>
      <c r="P1177" s="20" t="n"/>
      <c r="Q1177" s="20" t="n"/>
      <c r="R1177" s="20" t="n"/>
      <c r="S1177" s="20" t="n"/>
    </row>
    <row r="1178">
      <c r="A1178" s="15" t="n">
        <v>45733</v>
      </c>
      <c r="B1178" s="20" t="n">
        <v>55</v>
      </c>
      <c r="C1178" s="20" t="n">
        <v>30</v>
      </c>
      <c r="D1178" s="17" t="inlineStr">
        <is>
          <t>Preston Way</t>
        </is>
      </c>
      <c r="E1178" s="9">
        <f>if($A1178&lt;&gt;"",E1177+B1178,"")</f>
        <v/>
      </c>
      <c r="F1178" s="9">
        <f>if($A1178&lt;&gt;"",F1177+C1178,"")</f>
        <v/>
      </c>
      <c r="G1178" s="11">
        <f>IF($A1178&lt;&gt;"",IF(F1178-E1178=0,"tie",IF(F1178-E1178&gt;0,"+"&amp;F1178-E1178,"+"&amp;E1178-F1178)),"")</f>
        <v/>
      </c>
      <c r="H1178" s="12">
        <f>if($A1178&lt;&gt;"",if(B1178&gt;C1178,if(B1178&lt;60,1,2),""),"")</f>
        <v/>
      </c>
      <c r="I1178" s="12">
        <f>if($A1178&lt;&gt;"",if(C1178&gt;B1178,if(C1178&lt;60,1,2),""),"")</f>
        <v/>
      </c>
      <c r="J1178" s="9">
        <f>if($A1178&lt;&gt;"",J1177+H1178,"")</f>
        <v/>
      </c>
      <c r="K1178" s="9">
        <f>if($A1178&lt;&gt;"",K1177+I1178,"")</f>
        <v/>
      </c>
      <c r="L1178" s="11">
        <f>IF($A1178&lt;&gt;"",IF(K1178-J1178=0,"tie",IF(K1178-J1178&gt;0,"+"&amp;K1178-J1178,"+"&amp;J1178-K1178)),"")</f>
        <v/>
      </c>
      <c r="M1178" s="20" t="n"/>
      <c r="N1178" s="20" t="n"/>
      <c r="O1178" s="20" t="n"/>
      <c r="P1178" s="20" t="n"/>
      <c r="Q1178" s="20" t="n"/>
      <c r="R1178" s="20" t="n"/>
      <c r="S1178" s="20" t="n"/>
    </row>
    <row r="1179">
      <c r="A1179" s="15" t="n">
        <v>45733</v>
      </c>
      <c r="B1179" s="20" t="n">
        <v>17</v>
      </c>
      <c r="C1179" s="20" t="n">
        <v>35</v>
      </c>
      <c r="D1179" s="17" t="inlineStr">
        <is>
          <t>Preston Way</t>
        </is>
      </c>
      <c r="E1179" s="9">
        <f>if($A1179&lt;&gt;"",E1178+B1179,"")</f>
        <v/>
      </c>
      <c r="F1179" s="9">
        <f>if($A1179&lt;&gt;"",F1178+C1179,"")</f>
        <v/>
      </c>
      <c r="G1179" s="11">
        <f>IF($A1179&lt;&gt;"",IF(F1179-E1179=0,"tie",IF(F1179-E1179&gt;0,"+"&amp;F1179-E1179,"+"&amp;E1179-F1179)),"")</f>
        <v/>
      </c>
      <c r="H1179" s="12">
        <f>if($A1179&lt;&gt;"",if(B1179&gt;C1179,if(B1179&lt;60,1,2),""),"")</f>
        <v/>
      </c>
      <c r="I1179" s="12">
        <f>if($A1179&lt;&gt;"",if(C1179&gt;B1179,if(C1179&lt;60,1,2),""),"")</f>
        <v/>
      </c>
      <c r="J1179" s="9">
        <f>if($A1179&lt;&gt;"",J1178+H1179,"")</f>
        <v/>
      </c>
      <c r="K1179" s="9">
        <f>if($A1179&lt;&gt;"",K1178+I1179,"")</f>
        <v/>
      </c>
      <c r="L1179" s="11">
        <f>IF($A1179&lt;&gt;"",IF(K1179-J1179=0,"tie",IF(K1179-J1179&gt;0,"+"&amp;K1179-J1179,"+"&amp;J1179-K1179)),"")</f>
        <v/>
      </c>
      <c r="M1179" s="20" t="n"/>
      <c r="N1179" s="20" t="n"/>
      <c r="O1179" s="20" t="n"/>
      <c r="P1179" s="20" t="n"/>
      <c r="Q1179" s="20" t="n"/>
      <c r="R1179" s="20" t="n"/>
      <c r="S1179" s="20" t="n"/>
    </row>
    <row r="1180">
      <c r="A1180" s="15" t="n">
        <v>45738</v>
      </c>
      <c r="B1180" s="20" t="n">
        <v>36</v>
      </c>
      <c r="C1180" s="20" t="n">
        <v>37</v>
      </c>
      <c r="D1180" s="17" t="inlineStr">
        <is>
          <t>Carpinteria State Beach</t>
        </is>
      </c>
      <c r="E1180" s="9">
        <f>if($A1180&lt;&gt;"",E1179+B1180,"")</f>
        <v/>
      </c>
      <c r="F1180" s="9">
        <f>if($A1180&lt;&gt;"",F1179+C1180,"")</f>
        <v/>
      </c>
      <c r="G1180" s="11">
        <f>IF($A1180&lt;&gt;"",IF(F1180-E1180=0,"tie",IF(F1180-E1180&gt;0,"+"&amp;F1180-E1180,"+"&amp;E1180-F1180)),"")</f>
        <v/>
      </c>
      <c r="H1180" s="12">
        <f>if($A1180&lt;&gt;"",if(B1180&gt;C1180,if(B1180&lt;60,1,2),""),"")</f>
        <v/>
      </c>
      <c r="I1180" s="12">
        <f>if($A1180&lt;&gt;"",if(C1180&gt;B1180,if(C1180&lt;60,1,2),""),"")</f>
        <v/>
      </c>
      <c r="J1180" s="9">
        <f>if($A1180&lt;&gt;"",J1179+H1180,"")</f>
        <v/>
      </c>
      <c r="K1180" s="9">
        <f>if($A1180&lt;&gt;"",K1179+I1180,"")</f>
        <v/>
      </c>
      <c r="L1180" s="11">
        <f>IF($A1180&lt;&gt;"",IF(K1180-J1180=0,"tie",IF(K1180-J1180&gt;0,"+"&amp;K1180-J1180,"+"&amp;J1180-K1180)),"")</f>
        <v/>
      </c>
      <c r="M1180" s="20" t="n"/>
      <c r="N1180" s="20" t="n"/>
      <c r="O1180" s="20" t="n"/>
      <c r="P1180" s="20" t="n"/>
      <c r="Q1180" s="20" t="n"/>
      <c r="R1180" s="20" t="n"/>
      <c r="S1180" s="20" t="n"/>
    </row>
    <row r="1181">
      <c r="A1181" s="15" t="n">
        <v>45739</v>
      </c>
      <c r="B1181" s="20" t="n">
        <v>31</v>
      </c>
      <c r="C1181" s="20" t="n">
        <v>37</v>
      </c>
      <c r="D1181" s="17" t="inlineStr">
        <is>
          <t xml:space="preserve">The Spot, Carpinteria </t>
        </is>
      </c>
      <c r="E1181" s="9">
        <f>if($A1181&lt;&gt;"",E1180+B1181,"")</f>
        <v/>
      </c>
      <c r="F1181" s="9">
        <f>if($A1181&lt;&gt;"",F1180+C1181,"")</f>
        <v/>
      </c>
      <c r="G1181" s="11">
        <f>IF($A1181&lt;&gt;"",IF(F1181-E1181=0,"tie",IF(F1181-E1181&gt;0,"+"&amp;F1181-E1181,"+"&amp;E1181-F1181)),"")</f>
        <v/>
      </c>
      <c r="H1181" s="12">
        <f>if($A1181&lt;&gt;"",if(B1181&gt;C1181,if(B1181&lt;60,1,2),""),"")</f>
        <v/>
      </c>
      <c r="I1181" s="12">
        <f>if($A1181&lt;&gt;"",if(C1181&gt;B1181,if(C1181&lt;60,1,2),""),"")</f>
        <v/>
      </c>
      <c r="J1181" s="9">
        <f>if($A1181&lt;&gt;"",J1180+H1181,"")</f>
        <v/>
      </c>
      <c r="K1181" s="9">
        <f>if($A1181&lt;&gt;"",K1180+I1181,"")</f>
        <v/>
      </c>
      <c r="L1181" s="11">
        <f>IF($A1181&lt;&gt;"",IF(K1181-J1181=0,"tie",IF(K1181-J1181&gt;0,"+"&amp;K1181-J1181,"+"&amp;J1181-K1181)),"")</f>
        <v/>
      </c>
      <c r="M1181" s="20" t="n"/>
      <c r="N1181" s="20" t="n"/>
      <c r="O1181" s="20" t="n"/>
      <c r="P1181" s="20" t="n"/>
      <c r="Q1181" s="20" t="n"/>
      <c r="R1181" s="20" t="n"/>
      <c r="S1181" s="20" t="n"/>
    </row>
    <row r="1182">
      <c r="A1182" s="15" t="n">
        <v>45739</v>
      </c>
      <c r="B1182" s="20" t="n">
        <v>38</v>
      </c>
      <c r="C1182" s="20" t="n">
        <v>17</v>
      </c>
      <c r="D1182" s="17" t="inlineStr">
        <is>
          <t>Island Brewery, Carpinteria</t>
        </is>
      </c>
      <c r="E1182" s="9">
        <f>if($A1182&lt;&gt;"",E1181+B1182,"")</f>
        <v/>
      </c>
      <c r="F1182" s="9">
        <f>if($A1182&lt;&gt;"",F1181+C1182,"")</f>
        <v/>
      </c>
      <c r="G1182" s="11">
        <f>IF($A1182&lt;&gt;"",IF(F1182-E1182=0,"tie",IF(F1182-E1182&gt;0,"+"&amp;F1182-E1182,"+"&amp;E1182-F1182)),"")</f>
        <v/>
      </c>
      <c r="H1182" s="12">
        <f>if($A1182&lt;&gt;"",if(B1182&gt;C1182,if(B1182&lt;60,1,2),""),"")</f>
        <v/>
      </c>
      <c r="I1182" s="12">
        <f>if($A1182&lt;&gt;"",if(C1182&gt;B1182,if(C1182&lt;60,1,2),""),"")</f>
        <v/>
      </c>
      <c r="J1182" s="9">
        <f>if($A1182&lt;&gt;"",J1181+H1182,"")</f>
        <v/>
      </c>
      <c r="K1182" s="9">
        <f>if($A1182&lt;&gt;"",K1181+I1182,"")</f>
        <v/>
      </c>
      <c r="L1182" s="11">
        <f>IF($A1182&lt;&gt;"",IF(K1182-J1182=0,"tie",IF(K1182-J1182&gt;0,"+"&amp;K1182-J1182,"+"&amp;J1182-K1182)),"")</f>
        <v/>
      </c>
      <c r="M1182" s="20" t="n"/>
      <c r="N1182" s="20" t="n"/>
      <c r="O1182" s="20" t="n"/>
      <c r="P1182" s="20" t="n"/>
      <c r="Q1182" s="20" t="n"/>
      <c r="R1182" s="20" t="n"/>
      <c r="S1182" s="20" t="n"/>
    </row>
    <row r="1183">
      <c r="A1183" s="15" t="n">
        <v>45742</v>
      </c>
      <c r="B1183" s="20" t="n">
        <v>30</v>
      </c>
      <c r="C1183" s="20" t="n">
        <v>36</v>
      </c>
      <c r="D1183" s="17" t="inlineStr">
        <is>
          <t>Zinque, Venice</t>
        </is>
      </c>
      <c r="E1183" s="9">
        <f>if($A1183&lt;&gt;"",E1182+B1183,"")</f>
        <v/>
      </c>
      <c r="F1183" s="9">
        <f>if($A1183&lt;&gt;"",F1182+C1183,"")</f>
        <v/>
      </c>
      <c r="G1183" s="11">
        <f>IF($A1183&lt;&gt;"",IF(F1183-E1183=0,"tie",IF(F1183-E1183&gt;0,"+"&amp;F1183-E1183,"+"&amp;E1183-F1183)),"")</f>
        <v/>
      </c>
      <c r="H1183" s="12">
        <f>if($A1183&lt;&gt;"",if(B1183&gt;C1183,if(B1183&lt;60,1,2),""),"")</f>
        <v/>
      </c>
      <c r="I1183" s="12">
        <f>if($A1183&lt;&gt;"",if(C1183&gt;B1183,if(C1183&lt;60,1,2),""),"")</f>
        <v/>
      </c>
      <c r="J1183" s="9">
        <f>if($A1183&lt;&gt;"",J1182+H1183,"")</f>
        <v/>
      </c>
      <c r="K1183" s="9">
        <f>if($A1183&lt;&gt;"",K1182+I1183,"")</f>
        <v/>
      </c>
      <c r="L1183" s="11">
        <f>IF($A1183&lt;&gt;"",IF(K1183-J1183=0,"tie",IF(K1183-J1183&gt;0,"+"&amp;K1183-J1183,"+"&amp;J1183-K1183)),"")</f>
        <v/>
      </c>
      <c r="M1183" s="20" t="n"/>
      <c r="N1183" s="20" t="n"/>
      <c r="O1183" s="20" t="n"/>
      <c r="P1183" s="20" t="n"/>
      <c r="Q1183" s="20" t="n"/>
      <c r="R1183" s="20" t="n"/>
      <c r="S1183" s="20" t="n"/>
    </row>
    <row r="1184">
      <c r="A1184" s="15" t="n">
        <v>45744</v>
      </c>
      <c r="B1184" s="20" t="n">
        <v>35</v>
      </c>
      <c r="C1184" s="20" t="n">
        <v>39</v>
      </c>
      <c r="D1184" s="17" t="inlineStr">
        <is>
          <t>Preston Way</t>
        </is>
      </c>
      <c r="E1184" s="9">
        <f>if($A1184&lt;&gt;"",E1183+B1184,"")</f>
        <v/>
      </c>
      <c r="F1184" s="9">
        <f>if($A1184&lt;&gt;"",F1183+C1184,"")</f>
        <v/>
      </c>
      <c r="G1184" s="11">
        <f>IF($A1184&lt;&gt;"",IF(F1184-E1184=0,"tie",IF(F1184-E1184&gt;0,"+"&amp;F1184-E1184,"+"&amp;E1184-F1184)),"")</f>
        <v/>
      </c>
      <c r="H1184" s="12">
        <f>if($A1184&lt;&gt;"",if(B1184&gt;C1184,if(B1184&lt;60,1,2),""),"")</f>
        <v/>
      </c>
      <c r="I1184" s="12">
        <f>if($A1184&lt;&gt;"",if(C1184&gt;B1184,if(C1184&lt;60,1,2),""),"")</f>
        <v/>
      </c>
      <c r="J1184" s="9">
        <f>if($A1184&lt;&gt;"",J1183+H1184,"")</f>
        <v/>
      </c>
      <c r="K1184" s="9">
        <f>if($A1184&lt;&gt;"",K1183+I1184,"")</f>
        <v/>
      </c>
      <c r="L1184" s="11">
        <f>IF($A1184&lt;&gt;"",IF(K1184-J1184=0,"tie",IF(K1184-J1184&gt;0,"+"&amp;K1184-J1184,"+"&amp;J1184-K1184)),"")</f>
        <v/>
      </c>
      <c r="M1184" s="20" t="n"/>
      <c r="N1184" s="20" t="n"/>
      <c r="O1184" s="20" t="n"/>
      <c r="P1184" s="20" t="n"/>
      <c r="Q1184" s="20" t="n"/>
      <c r="R1184" s="20" t="n"/>
      <c r="S1184" s="20" t="n"/>
    </row>
    <row r="1185">
      <c r="A1185" s="15" t="n">
        <v>45746</v>
      </c>
      <c r="B1185" s="20" t="n">
        <v>31</v>
      </c>
      <c r="C1185" s="20" t="n">
        <v>21</v>
      </c>
      <c r="D1185" s="17" t="inlineStr">
        <is>
          <t>Zinque, Venice</t>
        </is>
      </c>
      <c r="E1185" s="9">
        <f>if($A1185&lt;&gt;"",E1184+B1185,"")</f>
        <v/>
      </c>
      <c r="F1185" s="9">
        <f>if($A1185&lt;&gt;"",F1184+C1185,"")</f>
        <v/>
      </c>
      <c r="G1185" s="11">
        <f>IF($A1185&lt;&gt;"",IF(F1185-E1185=0,"tie",IF(F1185-E1185&gt;0,"+"&amp;F1185-E1185,"+"&amp;E1185-F1185)),"")</f>
        <v/>
      </c>
      <c r="H1185" s="12">
        <f>if($A1185&lt;&gt;"",if(B1185&gt;C1185,if(B1185&lt;60,1,2),""),"")</f>
        <v/>
      </c>
      <c r="I1185" s="12">
        <f>if($A1185&lt;&gt;"",if(C1185&gt;B1185,if(C1185&lt;60,1,2),""),"")</f>
        <v/>
      </c>
      <c r="J1185" s="9">
        <f>if($A1185&lt;&gt;"",J1184+H1185,"")</f>
        <v/>
      </c>
      <c r="K1185" s="9">
        <f>if($A1185&lt;&gt;"",K1184+I1185,"")</f>
        <v/>
      </c>
      <c r="L1185" s="11">
        <f>IF($A1185&lt;&gt;"",IF(K1185-J1185=0,"tie",IF(K1185-J1185&gt;0,"+"&amp;K1185-J1185,"+"&amp;J1185-K1185)),"")</f>
        <v/>
      </c>
      <c r="M1185" s="20" t="n"/>
      <c r="N1185" s="20" t="n"/>
      <c r="O1185" s="20" t="n"/>
      <c r="P1185" s="20" t="n"/>
      <c r="Q1185" s="20" t="n"/>
      <c r="R1185" s="20" t="n"/>
      <c r="S1185" s="20" t="n"/>
    </row>
    <row r="1186">
      <c r="A1186" s="15" t="n">
        <v>45747</v>
      </c>
      <c r="B1186" s="20" t="n">
        <v>33</v>
      </c>
      <c r="C1186" s="20" t="n">
        <v>25</v>
      </c>
      <c r="D1186" s="17" t="inlineStr">
        <is>
          <t>Preston Way</t>
        </is>
      </c>
      <c r="E1186" s="9">
        <f>if($A1186&lt;&gt;"",E1185+B1186,"")</f>
        <v/>
      </c>
      <c r="F1186" s="9">
        <f>if($A1186&lt;&gt;"",F1185+C1186,"")</f>
        <v/>
      </c>
      <c r="G1186" s="11">
        <f>IF($A1186&lt;&gt;"",IF(F1186-E1186=0,"tie",IF(F1186-E1186&gt;0,"+"&amp;F1186-E1186,"+"&amp;E1186-F1186)),"")</f>
        <v/>
      </c>
      <c r="H1186" s="12">
        <f>if($A1186&lt;&gt;"",if(B1186&gt;C1186,if(B1186&lt;60,1,2),""),"")</f>
        <v/>
      </c>
      <c r="I1186" s="12">
        <f>if($A1186&lt;&gt;"",if(C1186&gt;B1186,if(C1186&lt;60,1,2),""),"")</f>
        <v/>
      </c>
      <c r="J1186" s="9">
        <f>if($A1186&lt;&gt;"",J1185+H1186,"")</f>
        <v/>
      </c>
      <c r="K1186" s="9">
        <f>if($A1186&lt;&gt;"",K1185+I1186,"")</f>
        <v/>
      </c>
      <c r="L1186" s="11">
        <f>IF($A1186&lt;&gt;"",IF(K1186-J1186=0,"tie",IF(K1186-J1186&gt;0,"+"&amp;K1186-J1186,"+"&amp;J1186-K1186)),"")</f>
        <v/>
      </c>
      <c r="M1186" s="20" t="n"/>
      <c r="N1186" s="20" t="n"/>
      <c r="O1186" s="20" t="n"/>
      <c r="P1186" s="20" t="n"/>
      <c r="Q1186" s="20" t="n"/>
      <c r="R1186" s="20" t="n"/>
      <c r="S1186" s="20" t="n"/>
    </row>
    <row r="1187">
      <c r="A1187" s="15" t="n">
        <v>45748</v>
      </c>
      <c r="B1187" s="20" t="n">
        <v>35</v>
      </c>
      <c r="C1187" s="20" t="n">
        <v>22</v>
      </c>
      <c r="D1187" s="17" t="inlineStr">
        <is>
          <t>Zinque, Venice</t>
        </is>
      </c>
      <c r="E1187" s="9">
        <f>if($A1187&lt;&gt;"",E1186+B1187,"")</f>
        <v/>
      </c>
      <c r="F1187" s="9">
        <f>if($A1187&lt;&gt;"",F1186+C1187,"")</f>
        <v/>
      </c>
      <c r="G1187" s="11">
        <f>IF($A1187&lt;&gt;"",IF(F1187-E1187=0,"tie",IF(F1187-E1187&gt;0,"+"&amp;F1187-E1187,"+"&amp;E1187-F1187)),"")</f>
        <v/>
      </c>
      <c r="H1187" s="12">
        <f>if($A1187&lt;&gt;"",if(B1187&gt;C1187,if(B1187&lt;60,1,2),""),"")</f>
        <v/>
      </c>
      <c r="I1187" s="12">
        <f>if($A1187&lt;&gt;"",if(C1187&gt;B1187,if(C1187&lt;60,1,2),""),"")</f>
        <v/>
      </c>
      <c r="J1187" s="9">
        <f>if($A1187&lt;&gt;"",J1186+H1187,"")</f>
        <v/>
      </c>
      <c r="K1187" s="9">
        <f>if($A1187&lt;&gt;"",K1186+I1187,"")</f>
        <v/>
      </c>
      <c r="L1187" s="11">
        <f>IF($A1187&lt;&gt;"",IF(K1187-J1187=0,"tie",IF(K1187-J1187&gt;0,"+"&amp;K1187-J1187,"+"&amp;J1187-K1187)),"")</f>
        <v/>
      </c>
      <c r="M1187" s="20" t="n"/>
      <c r="N1187" s="20" t="n"/>
      <c r="O1187" s="20" t="n"/>
      <c r="P1187" s="20" t="n"/>
      <c r="Q1187" s="20" t="n"/>
      <c r="R1187" s="20" t="n"/>
      <c r="S1187" s="20" t="n"/>
    </row>
    <row r="1188">
      <c r="A1188" s="15" t="n">
        <v>45749</v>
      </c>
      <c r="B1188" s="20" t="n">
        <v>31</v>
      </c>
      <c r="C1188" s="20" t="n">
        <v>11</v>
      </c>
      <c r="D1188" s="17" t="inlineStr">
        <is>
          <t>Preston Way</t>
        </is>
      </c>
      <c r="E1188" s="9">
        <f>if($A1188&lt;&gt;"",E1187+B1188,"")</f>
        <v/>
      </c>
      <c r="F1188" s="9">
        <f>if($A1188&lt;&gt;"",F1187+C1188,"")</f>
        <v/>
      </c>
      <c r="G1188" s="11">
        <f>IF($A1188&lt;&gt;"",IF(F1188-E1188=0,"tie",IF(F1188-E1188&gt;0,"+"&amp;F1188-E1188,"+"&amp;E1188-F1188)),"")</f>
        <v/>
      </c>
      <c r="H1188" s="12">
        <f>if($A1188&lt;&gt;"",if(B1188&gt;C1188,if(B1188&lt;60,1,2),""),"")</f>
        <v/>
      </c>
      <c r="I1188" s="12">
        <f>if($A1188&lt;&gt;"",if(C1188&gt;B1188,if(C1188&lt;60,1,2),""),"")</f>
        <v/>
      </c>
      <c r="J1188" s="9">
        <f>if($A1188&lt;&gt;"",J1187+H1188,"")</f>
        <v/>
      </c>
      <c r="K1188" s="9">
        <f>if($A1188&lt;&gt;"",K1187+I1188,"")</f>
        <v/>
      </c>
      <c r="L1188" s="11">
        <f>IF($A1188&lt;&gt;"",IF(K1188-J1188=0,"tie",IF(K1188-J1188&gt;0,"+"&amp;K1188-J1188,"+"&amp;J1188-K1188)),"")</f>
        <v/>
      </c>
      <c r="M1188" s="20" t="n"/>
      <c r="N1188" s="20" t="n"/>
      <c r="O1188" s="20" t="n"/>
      <c r="P1188" s="20" t="n"/>
      <c r="Q1188" s="20" t="n"/>
      <c r="R1188" s="20" t="n"/>
      <c r="S1188" s="20" t="n"/>
    </row>
    <row r="1189">
      <c r="A1189" s="15" t="n">
        <v>45750</v>
      </c>
      <c r="B1189" s="20" t="n">
        <v>31</v>
      </c>
      <c r="C1189" s="20" t="n">
        <v>27</v>
      </c>
      <c r="D1189" s="17" t="inlineStr">
        <is>
          <t>Preston Way</t>
        </is>
      </c>
      <c r="E1189" s="9">
        <f>if($A1189&lt;&gt;"",E1188+B1189,"")</f>
        <v/>
      </c>
      <c r="F1189" s="9">
        <f>if($A1189&lt;&gt;"",F1188+C1189,"")</f>
        <v/>
      </c>
      <c r="G1189" s="11">
        <f>IF($A1189&lt;&gt;"",IF(F1189-E1189=0,"tie",IF(F1189-E1189&gt;0,"+"&amp;F1189-E1189,"+"&amp;E1189-F1189)),"")</f>
        <v/>
      </c>
      <c r="H1189" s="12">
        <f>if($A1189&lt;&gt;"",if(B1189&gt;C1189,if(B1189&lt;60,1,2),""),"")</f>
        <v/>
      </c>
      <c r="I1189" s="12">
        <f>if($A1189&lt;&gt;"",if(C1189&gt;B1189,if(C1189&lt;60,1,2),""),"")</f>
        <v/>
      </c>
      <c r="J1189" s="9">
        <f>if($A1189&lt;&gt;"",J1188+H1189,"")</f>
        <v/>
      </c>
      <c r="K1189" s="9">
        <f>if($A1189&lt;&gt;"",K1188+I1189,"")</f>
        <v/>
      </c>
      <c r="L1189" s="11">
        <f>IF($A1189&lt;&gt;"",IF(K1189-J1189=0,"tie",IF(K1189-J1189&gt;0,"+"&amp;K1189-J1189,"+"&amp;J1189-K1189)),"")</f>
        <v/>
      </c>
      <c r="M1189" s="20" t="n"/>
      <c r="N1189" s="20" t="n"/>
      <c r="O1189" s="20" t="n"/>
      <c r="P1189" s="20" t="n"/>
      <c r="Q1189" s="20" t="n"/>
      <c r="R1189" s="20" t="n"/>
      <c r="S1189" s="20" t="n"/>
    </row>
    <row r="1190">
      <c r="A1190" s="15" t="n">
        <v>45751</v>
      </c>
      <c r="B1190" s="20" t="n">
        <v>26</v>
      </c>
      <c r="C1190" s="20" t="n">
        <v>36</v>
      </c>
      <c r="D1190" s="17" t="inlineStr">
        <is>
          <t>Preston Way</t>
        </is>
      </c>
      <c r="E1190" s="9">
        <f>if($A1190&lt;&gt;"",E1189+B1190,"")</f>
        <v/>
      </c>
      <c r="F1190" s="9">
        <f>if($A1190&lt;&gt;"",F1189+C1190,"")</f>
        <v/>
      </c>
      <c r="G1190" s="11">
        <f>IF($A1190&lt;&gt;"",IF(F1190-E1190=0,"tie",IF(F1190-E1190&gt;0,"+"&amp;F1190-E1190,"+"&amp;E1190-F1190)),"")</f>
        <v/>
      </c>
      <c r="H1190" s="12">
        <f>if($A1190&lt;&gt;"",if(B1190&gt;C1190,if(B1190&lt;60,1,2),""),"")</f>
        <v/>
      </c>
      <c r="I1190" s="12">
        <f>if($A1190&lt;&gt;"",if(C1190&gt;B1190,if(C1190&lt;60,1,2),""),"")</f>
        <v/>
      </c>
      <c r="J1190" s="9">
        <f>if($A1190&lt;&gt;"",J1189+H1190,"")</f>
        <v/>
      </c>
      <c r="K1190" s="9">
        <f>if($A1190&lt;&gt;"",K1189+I1190,"")</f>
        <v/>
      </c>
      <c r="L1190" s="11">
        <f>IF($A1190&lt;&gt;"",IF(K1190-J1190=0,"tie",IF(K1190-J1190&gt;0,"+"&amp;K1190-J1190,"+"&amp;J1190-K1190)),"")</f>
        <v/>
      </c>
      <c r="M1190" s="20" t="n"/>
      <c r="N1190" s="20" t="n"/>
      <c r="O1190" s="20" t="n"/>
      <c r="P1190" s="20" t="n"/>
      <c r="Q1190" s="20" t="n"/>
      <c r="R1190" s="20" t="n"/>
      <c r="S1190" s="20" t="n"/>
    </row>
    <row r="1191">
      <c r="A1191" s="15" t="n">
        <v>45757</v>
      </c>
      <c r="B1191" s="20" t="n">
        <v>37</v>
      </c>
      <c r="C1191" s="20" t="n">
        <v>25</v>
      </c>
      <c r="D1191" s="17" t="inlineStr">
        <is>
          <t>Portos, West Covina</t>
        </is>
      </c>
      <c r="E1191" s="9">
        <f>if($A1191&lt;&gt;"",E1190+B1191,"")</f>
        <v/>
      </c>
      <c r="F1191" s="9">
        <f>if($A1191&lt;&gt;"",F1190+C1191,"")</f>
        <v/>
      </c>
      <c r="G1191" s="11">
        <f>IF($A1191&lt;&gt;"",IF(F1191-E1191=0,"tie",IF(F1191-E1191&gt;0,"+"&amp;F1191-E1191,"+"&amp;E1191-F1191)),"")</f>
        <v/>
      </c>
      <c r="H1191" s="12">
        <f>if($A1191&lt;&gt;"",if(B1191&gt;C1191,if(B1191&lt;60,1,2),""),"")</f>
        <v/>
      </c>
      <c r="I1191" s="12">
        <f>if($A1191&lt;&gt;"",if(C1191&gt;B1191,if(C1191&lt;60,1,2),""),"")</f>
        <v/>
      </c>
      <c r="J1191" s="9">
        <f>if($A1191&lt;&gt;"",J1190+H1191,"")</f>
        <v/>
      </c>
      <c r="K1191" s="9">
        <f>if($A1191&lt;&gt;"",K1190+I1191,"")</f>
        <v/>
      </c>
      <c r="L1191" s="11">
        <f>IF($A1191&lt;&gt;"",IF(K1191-J1191=0,"tie",IF(K1191-J1191&gt;0,"+"&amp;K1191-J1191,"+"&amp;J1191-K1191)),"")</f>
        <v/>
      </c>
      <c r="M1191" s="20" t="n"/>
      <c r="N1191" s="20" t="n"/>
      <c r="O1191" s="20" t="n"/>
      <c r="P1191" s="20" t="n"/>
      <c r="Q1191" s="20" t="n"/>
      <c r="R1191" s="20" t="n"/>
      <c r="S1191" s="20" t="n"/>
    </row>
    <row r="1192">
      <c r="A1192" s="15" t="n">
        <v>45757</v>
      </c>
      <c r="B1192" s="20" t="n">
        <v>13</v>
      </c>
      <c r="C1192" s="20" t="n">
        <v>32</v>
      </c>
      <c r="D1192" s="17" t="inlineStr">
        <is>
          <t>Mario's, Bermuda Dunes</t>
        </is>
      </c>
      <c r="E1192" s="9">
        <f>if($A1192&lt;&gt;"",E1191+B1192,"")</f>
        <v/>
      </c>
      <c r="F1192" s="9">
        <f>if($A1192&lt;&gt;"",F1191+C1192,"")</f>
        <v/>
      </c>
      <c r="G1192" s="11">
        <f>IF($A1192&lt;&gt;"",IF(F1192-E1192=0,"tie",IF(F1192-E1192&gt;0,"+"&amp;F1192-E1192,"+"&amp;E1192-F1192)),"")</f>
        <v/>
      </c>
      <c r="H1192" s="12">
        <f>if($A1192&lt;&gt;"",if(B1192&gt;C1192,if(B1192&lt;60,1,2),""),"")</f>
        <v/>
      </c>
      <c r="I1192" s="12">
        <f>if($A1192&lt;&gt;"",if(C1192&gt;B1192,if(C1192&lt;60,1,2),""),"")</f>
        <v/>
      </c>
      <c r="J1192" s="9">
        <f>if($A1192&lt;&gt;"",J1191+H1192,"")</f>
        <v/>
      </c>
      <c r="K1192" s="9">
        <f>if($A1192&lt;&gt;"",K1191+I1192,"")</f>
        <v/>
      </c>
      <c r="L1192" s="11">
        <f>IF($A1192&lt;&gt;"",IF(K1192-J1192=0,"tie",IF(K1192-J1192&gt;0,"+"&amp;K1192-J1192,"+"&amp;J1192-K1192)),"")</f>
        <v/>
      </c>
      <c r="M1192" s="20" t="n"/>
      <c r="N1192" s="20" t="n"/>
      <c r="O1192" s="20" t="n"/>
      <c r="P1192" s="20" t="n"/>
      <c r="Q1192" s="20" t="n"/>
      <c r="R1192" s="20" t="n"/>
      <c r="S1192" s="20" t="n"/>
    </row>
    <row r="1193">
      <c r="A1193" s="15" t="n">
        <v>45758</v>
      </c>
      <c r="B1193" s="20" t="n">
        <v>31</v>
      </c>
      <c r="C1193" s="20" t="n">
        <v>34</v>
      </c>
      <c r="D1193" s="17" t="inlineStr">
        <is>
          <t>Red Ocotillo, Borrego Springs</t>
        </is>
      </c>
      <c r="E1193" s="9">
        <f>if($A1193&lt;&gt;"",E1192+B1193,"")</f>
        <v/>
      </c>
      <c r="F1193" s="9">
        <f>if($A1193&lt;&gt;"",F1192+C1193,"")</f>
        <v/>
      </c>
      <c r="G1193" s="11">
        <f>IF($A1193&lt;&gt;"",IF(F1193-E1193=0,"tie",IF(F1193-E1193&gt;0,"+"&amp;F1193-E1193,"+"&amp;E1193-F1193)),"")</f>
        <v/>
      </c>
      <c r="H1193" s="12">
        <f>if($A1193&lt;&gt;"",if(B1193&gt;C1193,if(B1193&lt;60,1,2),""),"")</f>
        <v/>
      </c>
      <c r="I1193" s="12">
        <f>if($A1193&lt;&gt;"",if(C1193&gt;B1193,if(C1193&lt;60,1,2),""),"")</f>
        <v/>
      </c>
      <c r="J1193" s="9">
        <f>if($A1193&lt;&gt;"",J1192+H1193,"")</f>
        <v/>
      </c>
      <c r="K1193" s="9">
        <f>if($A1193&lt;&gt;"",K1192+I1193,"")</f>
        <v/>
      </c>
      <c r="L1193" s="11">
        <f>IF($A1193&lt;&gt;"",IF(K1193-J1193=0,"tie",IF(K1193-J1193&gt;0,"+"&amp;K1193-J1193,"+"&amp;J1193-K1193)),"")</f>
        <v/>
      </c>
      <c r="M1193" s="20" t="n"/>
      <c r="N1193" s="20" t="n"/>
      <c r="O1193" s="20" t="n"/>
      <c r="P1193" s="20" t="n"/>
      <c r="Q1193" s="20" t="n"/>
      <c r="R1193" s="20" t="n"/>
      <c r="S1193" s="20" t="n"/>
    </row>
    <row r="1194">
      <c r="A1194" s="15" t="n">
        <v>45759</v>
      </c>
      <c r="B1194" s="20" t="n">
        <v>45</v>
      </c>
      <c r="C1194" s="20" t="n">
        <v>46</v>
      </c>
      <c r="D1194" s="17" t="inlineStr">
        <is>
          <t>Propeller, Borrego Springs ￼</t>
        </is>
      </c>
      <c r="E1194" s="9">
        <f>if($A1194&lt;&gt;"",E1193+B1194,"")</f>
        <v/>
      </c>
      <c r="F1194" s="9">
        <f>if($A1194&lt;&gt;"",F1193+C1194,"")</f>
        <v/>
      </c>
      <c r="G1194" s="11">
        <f>IF($A1194&lt;&gt;"",IF(F1194-E1194=0,"tie",IF(F1194-E1194&gt;0,"+"&amp;F1194-E1194,"+"&amp;E1194-F1194)),"")</f>
        <v/>
      </c>
      <c r="H1194" s="12">
        <f>if($A1194&lt;&gt;"",if(B1194&gt;C1194,if(B1194&lt;60,1,2),""),"")</f>
        <v/>
      </c>
      <c r="I1194" s="12">
        <f>if($A1194&lt;&gt;"",if(C1194&gt;B1194,if(C1194&lt;60,1,2),""),"")</f>
        <v/>
      </c>
      <c r="J1194" s="9">
        <f>if($A1194&lt;&gt;"",J1193+H1194,"")</f>
        <v/>
      </c>
      <c r="K1194" s="9">
        <f>if($A1194&lt;&gt;"",K1193+I1194,"")</f>
        <v/>
      </c>
      <c r="L1194" s="11">
        <f>IF($A1194&lt;&gt;"",IF(K1194-J1194=0,"tie",IF(K1194-J1194&gt;0,"+"&amp;K1194-J1194,"+"&amp;J1194-K1194)),"")</f>
        <v/>
      </c>
      <c r="M1194" s="20" t="n"/>
      <c r="N1194" s="20" t="n"/>
      <c r="O1194" s="20" t="n"/>
      <c r="P1194" s="20" t="n"/>
      <c r="Q1194" s="20" t="n"/>
      <c r="R1194" s="20" t="n"/>
      <c r="S1194" s="20" t="n"/>
    </row>
    <row r="1195">
      <c r="A1195" s="15" t="n">
        <v>45760</v>
      </c>
      <c r="B1195" s="20" t="n">
        <v>32</v>
      </c>
      <c r="C1195" s="20" t="n">
        <v>22</v>
      </c>
      <c r="D1195" s="17" t="inlineStr">
        <is>
          <t>Sally's</t>
        </is>
      </c>
      <c r="E1195" s="9">
        <f>if($A1195&lt;&gt;"",E1194+B1195,"")</f>
        <v/>
      </c>
      <c r="F1195" s="9">
        <f>if($A1195&lt;&gt;"",F1194+C1195,"")</f>
        <v/>
      </c>
      <c r="G1195" s="11">
        <f>IF($A1195&lt;&gt;"",IF(F1195-E1195=0,"tie",IF(F1195-E1195&gt;0,"+"&amp;F1195-E1195,"+"&amp;E1195-F1195)),"")</f>
        <v/>
      </c>
      <c r="H1195" s="12">
        <f>if($A1195&lt;&gt;"",if(B1195&gt;C1195,if(B1195&lt;60,1,2),""),"")</f>
        <v/>
      </c>
      <c r="I1195" s="12">
        <f>if($A1195&lt;&gt;"",if(C1195&gt;B1195,if(C1195&lt;60,1,2),""),"")</f>
        <v/>
      </c>
      <c r="J1195" s="9">
        <f>if($A1195&lt;&gt;"",J1194+H1195,"")</f>
        <v/>
      </c>
      <c r="K1195" s="9">
        <f>if($A1195&lt;&gt;"",K1194+I1195,"")</f>
        <v/>
      </c>
      <c r="L1195" s="11">
        <f>IF($A1195&lt;&gt;"",IF(K1195-J1195=0,"tie",IF(K1195-J1195&gt;0,"+"&amp;K1195-J1195,"+"&amp;J1195-K1195)),"")</f>
        <v/>
      </c>
      <c r="M1195" s="20" t="n"/>
      <c r="N1195" s="20" t="n"/>
      <c r="O1195" s="20" t="n"/>
      <c r="P1195" s="20" t="n"/>
      <c r="Q1195" s="20" t="n"/>
      <c r="R1195" s="20" t="n"/>
      <c r="S1195" s="20" t="n"/>
    </row>
    <row r="1196">
      <c r="A1196" s="15" t="n">
        <v>45761</v>
      </c>
      <c r="B1196" s="20" t="n">
        <v>14</v>
      </c>
      <c r="C1196" s="20" t="n">
        <v>36</v>
      </c>
      <c r="D1196" s="17" t="inlineStr">
        <is>
          <t>Keedy's</t>
        </is>
      </c>
      <c r="E1196" s="9">
        <f>if($A1196&lt;&gt;"",E1195+B1196,"")</f>
        <v/>
      </c>
      <c r="F1196" s="9">
        <f>if($A1196&lt;&gt;"",F1195+C1196,"")</f>
        <v/>
      </c>
      <c r="G1196" s="11">
        <f>IF($A1196&lt;&gt;"",IF(F1196-E1196=0,"tie",IF(F1196-E1196&gt;0,"+"&amp;F1196-E1196,"+"&amp;E1196-F1196)),"")</f>
        <v/>
      </c>
      <c r="H1196" s="12">
        <f>if($A1196&lt;&gt;"",if(B1196&gt;C1196,if(B1196&lt;60,1,2),""),"")</f>
        <v/>
      </c>
      <c r="I1196" s="12">
        <f>if($A1196&lt;&gt;"",if(C1196&gt;B1196,if(C1196&lt;60,1,2),""),"")</f>
        <v/>
      </c>
      <c r="J1196" s="9">
        <f>if($A1196&lt;&gt;"",J1195+H1196,"")</f>
        <v/>
      </c>
      <c r="K1196" s="9">
        <f>if($A1196&lt;&gt;"",K1195+I1196,"")</f>
        <v/>
      </c>
      <c r="L1196" s="11">
        <f>IF($A1196&lt;&gt;"",IF(K1196-J1196=0,"tie",IF(K1196-J1196&gt;0,"+"&amp;K1196-J1196,"+"&amp;J1196-K1196)),"")</f>
        <v/>
      </c>
      <c r="M1196" s="20" t="n"/>
      <c r="N1196" s="20" t="n"/>
      <c r="O1196" s="20" t="n"/>
      <c r="P1196" s="20" t="n"/>
      <c r="Q1196" s="20" t="n"/>
      <c r="R1196" s="20" t="n"/>
      <c r="S1196" s="20" t="n"/>
    </row>
    <row r="1197">
      <c r="A1197" s="15" t="n">
        <v>45765</v>
      </c>
      <c r="B1197" s="20" t="n">
        <v>28</v>
      </c>
      <c r="C1197" s="20" t="n">
        <v>38</v>
      </c>
      <c r="D1197" s="17" t="inlineStr">
        <is>
          <t>Preston Way</t>
        </is>
      </c>
      <c r="E1197" s="9">
        <f>if($A1197&lt;&gt;"",E1196+B1197,"")</f>
        <v/>
      </c>
      <c r="F1197" s="9">
        <f>if($A1197&lt;&gt;"",F1196+C1197,"")</f>
        <v/>
      </c>
      <c r="G1197" s="11">
        <f>IF($A1197&lt;&gt;"",IF(F1197-E1197=0,"tie",IF(F1197-E1197&gt;0,"+"&amp;F1197-E1197,"+"&amp;E1197-F1197)),"")</f>
        <v/>
      </c>
      <c r="H1197" s="12">
        <f>if($A1197&lt;&gt;"",if(B1197&gt;C1197,if(B1197&lt;60,1,2),""),"")</f>
        <v/>
      </c>
      <c r="I1197" s="12">
        <f>if($A1197&lt;&gt;"",if(C1197&gt;B1197,if(C1197&lt;60,1,2),""),"")</f>
        <v/>
      </c>
      <c r="J1197" s="9">
        <f>if($A1197&lt;&gt;"",J1196+H1197,"")</f>
        <v/>
      </c>
      <c r="K1197" s="9">
        <f>if($A1197&lt;&gt;"",K1196+I1197,"")</f>
        <v/>
      </c>
      <c r="L1197" s="11">
        <f>IF($A1197&lt;&gt;"",IF(K1197-J1197=0,"tie",IF(K1197-J1197&gt;0,"+"&amp;K1197-J1197,"+"&amp;J1197-K1197)),"")</f>
        <v/>
      </c>
      <c r="M1197" s="20" t="n"/>
      <c r="N1197" s="20" t="n"/>
      <c r="O1197" s="20" t="n"/>
      <c r="P1197" s="20" t="n"/>
      <c r="Q1197" s="20" t="n"/>
      <c r="R1197" s="20" t="n"/>
      <c r="S1197" s="20" t="n"/>
    </row>
    <row r="1198">
      <c r="A1198" s="15" t="n">
        <v>45768</v>
      </c>
      <c r="B1198" s="20" t="n">
        <v>36</v>
      </c>
      <c r="C1198" s="20" t="n">
        <v>20</v>
      </c>
      <c r="D1198" s="17" t="inlineStr">
        <is>
          <t>Preston Way</t>
        </is>
      </c>
      <c r="E1198" s="9">
        <f>if($A1198&lt;&gt;"",E1197+B1198,"")</f>
        <v/>
      </c>
      <c r="F1198" s="9">
        <f>if($A1198&lt;&gt;"",F1197+C1198,"")</f>
        <v/>
      </c>
      <c r="G1198" s="11">
        <f>IF($A1198&lt;&gt;"",IF(F1198-E1198=0,"tie",IF(F1198-E1198&gt;0,"+"&amp;F1198-E1198,"+"&amp;E1198-F1198)),"")</f>
        <v/>
      </c>
      <c r="H1198" s="12">
        <f>if($A1198&lt;&gt;"",if(B1198&gt;C1198,if(B1198&lt;60,1,2),""),"")</f>
        <v/>
      </c>
      <c r="I1198" s="12">
        <f>if($A1198&lt;&gt;"",if(C1198&gt;B1198,if(C1198&lt;60,1,2),""),"")</f>
        <v/>
      </c>
      <c r="J1198" s="9">
        <f>if($A1198&lt;&gt;"",J1197+H1198,"")</f>
        <v/>
      </c>
      <c r="K1198" s="9">
        <f>if($A1198&lt;&gt;"",K1197+I1198,"")</f>
        <v/>
      </c>
      <c r="L1198" s="11">
        <f>IF($A1198&lt;&gt;"",IF(K1198-J1198=0,"tie",IF(K1198-J1198&gt;0,"+"&amp;K1198-J1198,"+"&amp;J1198-K1198)),"")</f>
        <v/>
      </c>
      <c r="M1198" s="20" t="n"/>
      <c r="N1198" s="20" t="n"/>
      <c r="O1198" s="20" t="n"/>
      <c r="P1198" s="20" t="n"/>
      <c r="Q1198" s="20" t="n"/>
      <c r="R1198" s="20" t="n"/>
      <c r="S1198" s="20" t="n"/>
    </row>
    <row r="1199">
      <c r="A1199" s="15" t="n">
        <v>45768</v>
      </c>
      <c r="B1199" s="20" t="n">
        <v>61</v>
      </c>
      <c r="C1199" s="20" t="n">
        <v>49</v>
      </c>
      <c r="D1199" s="17" t="inlineStr">
        <is>
          <t>George's Burgers, Santa Monica</t>
        </is>
      </c>
      <c r="E1199" s="9">
        <f>if($A1199&lt;&gt;"",E1198+B1199,"")</f>
        <v/>
      </c>
      <c r="F1199" s="9">
        <f>if($A1199&lt;&gt;"",F1198+C1199,"")</f>
        <v/>
      </c>
      <c r="G1199" s="11">
        <f>IF($A1199&lt;&gt;"",IF(F1199-E1199=0,"tie",IF(F1199-E1199&gt;0,"+"&amp;F1199-E1199,"+"&amp;E1199-F1199)),"")</f>
        <v/>
      </c>
      <c r="H1199" s="12">
        <f>if($A1199&lt;&gt;"",if(B1199&gt;C1199,if(B1199&lt;60,1,2),""),"")</f>
        <v/>
      </c>
      <c r="I1199" s="12">
        <f>if($A1199&lt;&gt;"",if(C1199&gt;B1199,if(C1199&lt;60,1,2),""),"")</f>
        <v/>
      </c>
      <c r="J1199" s="9">
        <f>if($A1199&lt;&gt;"",J1198+H1199,"")</f>
        <v/>
      </c>
      <c r="K1199" s="9">
        <f>if($A1199&lt;&gt;"",K1198+I1199,"")</f>
        <v/>
      </c>
      <c r="L1199" s="11">
        <f>IF($A1199&lt;&gt;"",IF(K1199-J1199=0,"tie",IF(K1199-J1199&gt;0,"+"&amp;K1199-J1199,"+"&amp;J1199-K1199)),"")</f>
        <v/>
      </c>
      <c r="M1199" s="20" t="n"/>
      <c r="N1199" s="20" t="n"/>
      <c r="O1199" s="20" t="n"/>
      <c r="P1199" s="20" t="n"/>
      <c r="Q1199" s="20" t="n"/>
      <c r="R1199" s="20" t="n"/>
      <c r="S1199" s="20" t="n"/>
    </row>
    <row r="1200">
      <c r="A1200" s="15" t="n">
        <v>45769</v>
      </c>
      <c r="B1200" s="20" t="n">
        <v>25</v>
      </c>
      <c r="C1200" s="20" t="n">
        <v>32</v>
      </c>
      <c r="D1200" s="17" t="inlineStr">
        <is>
          <t>Preston Way</t>
        </is>
      </c>
      <c r="E1200" s="9">
        <f>if($A1200&lt;&gt;"",E1199+B1200,"")</f>
        <v/>
      </c>
      <c r="F1200" s="9">
        <f>if($A1200&lt;&gt;"",F1199+C1200,"")</f>
        <v/>
      </c>
      <c r="G1200" s="11">
        <f>IF($A1200&lt;&gt;"",IF(F1200-E1200=0,"tie",IF(F1200-E1200&gt;0,"+"&amp;F1200-E1200,"+"&amp;E1200-F1200)),"")</f>
        <v/>
      </c>
      <c r="H1200" s="12">
        <f>if($A1200&lt;&gt;"",if(B1200&gt;C1200,if(B1200&lt;60,1,2),""),"")</f>
        <v/>
      </c>
      <c r="I1200" s="12">
        <f>if($A1200&lt;&gt;"",if(C1200&gt;B1200,if(C1200&lt;60,1,2),""),"")</f>
        <v/>
      </c>
      <c r="J1200" s="9">
        <f>if($A1200&lt;&gt;"",J1199+H1200,"")</f>
        <v/>
      </c>
      <c r="K1200" s="9">
        <f>if($A1200&lt;&gt;"",K1199+I1200,"")</f>
        <v/>
      </c>
      <c r="L1200" s="11">
        <f>IF($A1200&lt;&gt;"",IF(K1200-J1200=0,"tie",IF(K1200-J1200&gt;0,"+"&amp;K1200-J1200,"+"&amp;J1200-K1200)),"")</f>
        <v/>
      </c>
      <c r="M1200" s="20" t="n"/>
      <c r="N1200" s="20" t="n"/>
      <c r="O1200" s="20" t="n"/>
      <c r="P1200" s="20" t="n"/>
      <c r="Q1200" s="20" t="n"/>
      <c r="R1200" s="20" t="n"/>
      <c r="S1200" s="20" t="n"/>
    </row>
    <row r="1201">
      <c r="A1201" s="15" t="n">
        <v>45770</v>
      </c>
      <c r="B1201" s="20" t="n">
        <v>45</v>
      </c>
      <c r="C1201" s="20" t="n">
        <v>36</v>
      </c>
      <c r="D1201" s="17" t="inlineStr">
        <is>
          <t>Papille Gustive, Santa Monica</t>
        </is>
      </c>
      <c r="E1201" s="9">
        <f>if($A1201&lt;&gt;"",E1200+B1201,"")</f>
        <v/>
      </c>
      <c r="F1201" s="9">
        <f>if($A1201&lt;&gt;"",F1200+C1201,"")</f>
        <v/>
      </c>
      <c r="G1201" s="11">
        <f>IF($A1201&lt;&gt;"",IF(F1201-E1201=0,"tie",IF(F1201-E1201&gt;0,"+"&amp;F1201-E1201,"+"&amp;E1201-F1201)),"")</f>
        <v/>
      </c>
      <c r="H1201" s="12">
        <f>if($A1201&lt;&gt;"",if(B1201&gt;C1201,if(B1201&lt;60,1,2),""),"")</f>
        <v/>
      </c>
      <c r="I1201" s="12">
        <f>if($A1201&lt;&gt;"",if(C1201&gt;B1201,if(C1201&lt;60,1,2),""),"")</f>
        <v/>
      </c>
      <c r="J1201" s="9">
        <f>if($A1201&lt;&gt;"",J1200+H1201,"")</f>
        <v/>
      </c>
      <c r="K1201" s="9">
        <f>if($A1201&lt;&gt;"",K1200+I1201,"")</f>
        <v/>
      </c>
      <c r="L1201" s="11">
        <f>IF($A1201&lt;&gt;"",IF(K1201-J1201=0,"tie",IF(K1201-J1201&gt;0,"+"&amp;K1201-J1201,"+"&amp;J1201-K1201)),"")</f>
        <v/>
      </c>
      <c r="M1201" s="20" t="n"/>
      <c r="N1201" s="20" t="n"/>
      <c r="O1201" s="20" t="n"/>
      <c r="P1201" s="20" t="n"/>
      <c r="Q1201" s="20" t="n"/>
      <c r="R1201" s="20" t="n"/>
      <c r="S1201" s="20" t="n"/>
    </row>
    <row r="1202">
      <c r="A1202" s="15" t="n">
        <v>45770</v>
      </c>
      <c r="B1202" s="20" t="n">
        <v>30</v>
      </c>
      <c r="C1202" s="20" t="n">
        <v>37</v>
      </c>
      <c r="D1202" s="17" t="inlineStr">
        <is>
          <t>Preston Way</t>
        </is>
      </c>
      <c r="E1202" s="9">
        <f>if($A1202&lt;&gt;"",E1201+B1202,"")</f>
        <v/>
      </c>
      <c r="F1202" s="9">
        <f>if($A1202&lt;&gt;"",F1201+C1202,"")</f>
        <v/>
      </c>
      <c r="G1202" s="11">
        <f>IF($A1202&lt;&gt;"",IF(F1202-E1202=0,"tie",IF(F1202-E1202&gt;0,"+"&amp;F1202-E1202,"+"&amp;E1202-F1202)),"")</f>
        <v/>
      </c>
      <c r="H1202" s="12">
        <f>if($A1202&lt;&gt;"",if(B1202&gt;C1202,if(B1202&lt;60,1,2),""),"")</f>
        <v/>
      </c>
      <c r="I1202" s="12">
        <f>if($A1202&lt;&gt;"",if(C1202&gt;B1202,if(C1202&lt;60,1,2),""),"")</f>
        <v/>
      </c>
      <c r="J1202" s="9">
        <f>if($A1202&lt;&gt;"",J1201+H1202,"")</f>
        <v/>
      </c>
      <c r="K1202" s="9">
        <f>if($A1202&lt;&gt;"",K1201+I1202,"")</f>
        <v/>
      </c>
      <c r="L1202" s="11">
        <f>IF($A1202&lt;&gt;"",IF(K1202-J1202=0,"tie",IF(K1202-J1202&gt;0,"+"&amp;K1202-J1202,"+"&amp;J1202-K1202)),"")</f>
        <v/>
      </c>
      <c r="M1202" s="20" t="n"/>
      <c r="N1202" s="20" t="n"/>
      <c r="O1202" s="20" t="n"/>
      <c r="P1202" s="20" t="n"/>
      <c r="Q1202" s="20" t="n"/>
      <c r="R1202" s="20" t="n"/>
      <c r="S1202" s="20" t="n"/>
    </row>
    <row r="1203">
      <c r="A1203" s="15" t="n">
        <v>45773</v>
      </c>
      <c r="B1203" s="20" t="n">
        <v>18</v>
      </c>
      <c r="C1203" s="20" t="n">
        <v>31</v>
      </c>
      <c r="D1203" s="17" t="inlineStr">
        <is>
          <t>Dakota</t>
        </is>
      </c>
      <c r="E1203" s="9">
        <f>if($A1203&lt;&gt;"",E1202+B1203,"")</f>
        <v/>
      </c>
      <c r="F1203" s="9">
        <f>if($A1203&lt;&gt;"",F1202+C1203,"")</f>
        <v/>
      </c>
      <c r="G1203" s="11">
        <f>IF($A1203&lt;&gt;"",IF(F1203-E1203=0,"tie",IF(F1203-E1203&gt;0,"+"&amp;F1203-E1203,"+"&amp;E1203-F1203)),"")</f>
        <v/>
      </c>
      <c r="H1203" s="12">
        <f>if($A1203&lt;&gt;"",if(B1203&gt;C1203,if(B1203&lt;60,1,2),""),"")</f>
        <v/>
      </c>
      <c r="I1203" s="12">
        <f>if($A1203&lt;&gt;"",if(C1203&gt;B1203,if(C1203&lt;60,1,2),""),"")</f>
        <v/>
      </c>
      <c r="J1203" s="9">
        <f>if($A1203&lt;&gt;"",J1202+H1203,"")</f>
        <v/>
      </c>
      <c r="K1203" s="9">
        <f>if($A1203&lt;&gt;"",K1202+I1203,"")</f>
        <v/>
      </c>
      <c r="L1203" s="11">
        <f>IF($A1203&lt;&gt;"",IF(K1203-J1203=0,"tie",IF(K1203-J1203&gt;0,"+"&amp;K1203-J1203,"+"&amp;J1203-K1203)),"")</f>
        <v/>
      </c>
      <c r="M1203" s="20" t="n"/>
      <c r="N1203" s="20" t="n"/>
      <c r="O1203" s="20" t="n"/>
      <c r="P1203" s="20" t="n"/>
      <c r="Q1203" s="20" t="n"/>
      <c r="R1203" s="20" t="n"/>
      <c r="S1203" s="20" t="n"/>
    </row>
    <row r="1204">
      <c r="A1204" s="15" t="n">
        <v>45774</v>
      </c>
      <c r="B1204" s="20" t="n">
        <v>18</v>
      </c>
      <c r="C1204" s="20" t="n">
        <v>35</v>
      </c>
      <c r="D1204" s="17" t="inlineStr">
        <is>
          <t>Dakota - Patio</t>
        </is>
      </c>
      <c r="E1204" s="9">
        <f>if($A1204&lt;&gt;"",E1203+B1204,"")</f>
        <v/>
      </c>
      <c r="F1204" s="9">
        <f>if($A1204&lt;&gt;"",F1203+C1204,"")</f>
        <v/>
      </c>
      <c r="G1204" s="11">
        <f>IF($A1204&lt;&gt;"",IF(F1204-E1204=0,"tie",IF(F1204-E1204&gt;0,"+"&amp;F1204-E1204,"+"&amp;E1204-F1204)),"")</f>
        <v/>
      </c>
      <c r="H1204" s="12">
        <f>if($A1204&lt;&gt;"",if(B1204&gt;C1204,if(B1204&lt;60,1,2),""),"")</f>
        <v/>
      </c>
      <c r="I1204" s="12">
        <f>if($A1204&lt;&gt;"",if(C1204&gt;B1204,if(C1204&lt;60,1,2),""),"")</f>
        <v/>
      </c>
      <c r="J1204" s="9">
        <f>if($A1204&lt;&gt;"",J1203+H1204,"")</f>
        <v/>
      </c>
      <c r="K1204" s="9">
        <f>if($A1204&lt;&gt;"",K1203+I1204,"")</f>
        <v/>
      </c>
      <c r="L1204" s="11">
        <f>IF($A1204&lt;&gt;"",IF(K1204-J1204=0,"tie",IF(K1204-J1204&gt;0,"+"&amp;K1204-J1204,"+"&amp;J1204-K1204)),"")</f>
        <v/>
      </c>
      <c r="M1204" s="20" t="n"/>
      <c r="N1204" s="20" t="n"/>
      <c r="O1204" s="20" t="n"/>
      <c r="P1204" s="20" t="n"/>
      <c r="Q1204" s="20" t="n"/>
      <c r="R1204" s="20" t="n"/>
      <c r="S1204" s="20" t="n"/>
    </row>
    <row r="1205">
      <c r="A1205" s="15" t="n">
        <v>45774</v>
      </c>
      <c r="B1205" s="20" t="n">
        <v>19</v>
      </c>
      <c r="C1205" s="20" t="n">
        <v>31</v>
      </c>
      <c r="D1205" s="17" t="inlineStr">
        <is>
          <t xml:space="preserve">LG's Steakhouse </t>
        </is>
      </c>
      <c r="E1205" s="9">
        <f>if($A1205&lt;&gt;"",E1204+B1205,"")</f>
        <v/>
      </c>
      <c r="F1205" s="9">
        <f>if($A1205&lt;&gt;"",F1204+C1205,"")</f>
        <v/>
      </c>
      <c r="G1205" s="11">
        <f>IF($A1205&lt;&gt;"",IF(F1205-E1205=0,"tie",IF(F1205-E1205&gt;0,"+"&amp;F1205-E1205,"+"&amp;E1205-F1205)),"")</f>
        <v/>
      </c>
      <c r="H1205" s="12">
        <f>if($A1205&lt;&gt;"",if(B1205&gt;C1205,if(B1205&lt;60,1,2),""),"")</f>
        <v/>
      </c>
      <c r="I1205" s="12">
        <f>if($A1205&lt;&gt;"",if(C1205&gt;B1205,if(C1205&lt;60,1,2),""),"")</f>
        <v/>
      </c>
      <c r="J1205" s="9">
        <f>if($A1205&lt;&gt;"",J1204+H1205,"")</f>
        <v/>
      </c>
      <c r="K1205" s="9">
        <f>if($A1205&lt;&gt;"",K1204+I1205,"")</f>
        <v/>
      </c>
      <c r="L1205" s="11">
        <f>IF($A1205&lt;&gt;"",IF(K1205-J1205=0,"tie",IF(K1205-J1205&gt;0,"+"&amp;K1205-J1205,"+"&amp;J1205-K1205)),"")</f>
        <v/>
      </c>
      <c r="M1205" s="20" t="n"/>
      <c r="N1205" s="20" t="n"/>
      <c r="O1205" s="20" t="n"/>
      <c r="P1205" s="20" t="n"/>
      <c r="Q1205" s="20" t="n"/>
      <c r="R1205" s="20" t="n"/>
      <c r="S1205" s="20" t="n"/>
    </row>
    <row r="1206">
      <c r="A1206" s="15" t="n">
        <v>45776</v>
      </c>
      <c r="B1206" s="20" t="n">
        <v>39</v>
      </c>
      <c r="C1206" s="20" t="n">
        <v>40</v>
      </c>
      <c r="D1206" s="17" t="inlineStr">
        <is>
          <t>Preston Way</t>
        </is>
      </c>
      <c r="E1206" s="9">
        <f>if($A1206&lt;&gt;"",E1205+B1206,"")</f>
        <v/>
      </c>
      <c r="F1206" s="9">
        <f>if($A1206&lt;&gt;"",F1205+C1206,"")</f>
        <v/>
      </c>
      <c r="G1206" s="11">
        <f>IF($A1206&lt;&gt;"",IF(F1206-E1206=0,"tie",IF(F1206-E1206&gt;0,"+"&amp;F1206-E1206,"+"&amp;E1206-F1206)),"")</f>
        <v/>
      </c>
      <c r="H1206" s="12">
        <f>if($A1206&lt;&gt;"",if(B1206&gt;C1206,if(B1206&lt;60,1,2),""),"")</f>
        <v/>
      </c>
      <c r="I1206" s="12">
        <f>if($A1206&lt;&gt;"",if(C1206&gt;B1206,if(C1206&lt;60,1,2),""),"")</f>
        <v/>
      </c>
      <c r="J1206" s="9">
        <f>if($A1206&lt;&gt;"",J1205+H1206,"")</f>
        <v/>
      </c>
      <c r="K1206" s="9">
        <f>if($A1206&lt;&gt;"",K1205+I1206,"")</f>
        <v/>
      </c>
      <c r="L1206" s="11">
        <f>IF($A1206&lt;&gt;"",IF(K1206-J1206=0,"tie",IF(K1206-J1206&gt;0,"+"&amp;K1206-J1206,"+"&amp;J1206-K1206)),"")</f>
        <v/>
      </c>
      <c r="M1206" s="20" t="n"/>
      <c r="N1206" s="20" t="n"/>
      <c r="O1206" s="20" t="n"/>
      <c r="P1206" s="20" t="n"/>
      <c r="Q1206" s="20" t="n"/>
      <c r="R1206" s="20" t="n"/>
      <c r="S1206" s="20" t="n"/>
    </row>
    <row r="1207">
      <c r="A1207" s="15" t="n">
        <v>45778</v>
      </c>
      <c r="B1207" s="20" t="n">
        <v>32</v>
      </c>
      <c r="C1207" s="20" t="n">
        <v>26</v>
      </c>
      <c r="D1207" s="17" t="inlineStr">
        <is>
          <t>Preston Way</t>
        </is>
      </c>
      <c r="E1207" s="9">
        <f>if($A1207&lt;&gt;"",E1206+B1207,"")</f>
        <v/>
      </c>
      <c r="F1207" s="9">
        <f>if($A1207&lt;&gt;"",F1206+C1207,"")</f>
        <v/>
      </c>
      <c r="G1207" s="11">
        <f>IF($A1207&lt;&gt;"",IF(F1207-E1207=0,"tie",IF(F1207-E1207&gt;0,"+"&amp;F1207-E1207,"+"&amp;E1207-F1207)),"")</f>
        <v/>
      </c>
      <c r="H1207" s="12">
        <f>if($A1207&lt;&gt;"",if(B1207&gt;C1207,if(B1207&lt;60,1,2),""),"")</f>
        <v/>
      </c>
      <c r="I1207" s="12">
        <f>if($A1207&lt;&gt;"",if(C1207&gt;B1207,if(C1207&lt;60,1,2),""),"")</f>
        <v/>
      </c>
      <c r="J1207" s="9">
        <f>if($A1207&lt;&gt;"",J1206+H1207,"")</f>
        <v/>
      </c>
      <c r="K1207" s="9">
        <f>if($A1207&lt;&gt;"",K1206+I1207,"")</f>
        <v/>
      </c>
      <c r="L1207" s="11">
        <f>IF($A1207&lt;&gt;"",IF(K1207-J1207=0,"tie",IF(K1207-J1207&gt;0,"+"&amp;K1207-J1207,"+"&amp;J1207-K1207)),"")</f>
        <v/>
      </c>
      <c r="M1207" s="20" t="n"/>
      <c r="N1207" s="20" t="n"/>
      <c r="O1207" s="20" t="n"/>
      <c r="P1207" s="20" t="n"/>
      <c r="Q1207" s="20" t="n"/>
      <c r="R1207" s="20" t="n"/>
      <c r="S1207" s="20" t="n"/>
    </row>
    <row r="1208">
      <c r="A1208" s="15" t="n">
        <v>45781</v>
      </c>
      <c r="B1208" s="20" t="n">
        <v>74</v>
      </c>
      <c r="C1208" s="20" t="n">
        <v>57</v>
      </c>
      <c r="D1208" s="17" t="inlineStr">
        <is>
          <t xml:space="preserve">Blueys </t>
        </is>
      </c>
      <c r="E1208" s="9">
        <f>if($A1208&lt;&gt;"",E1207+B1208,"")</f>
        <v/>
      </c>
      <c r="F1208" s="9">
        <f>if($A1208&lt;&gt;"",F1207+C1208,"")</f>
        <v/>
      </c>
      <c r="G1208" s="11">
        <f>IF($A1208&lt;&gt;"",IF(F1208-E1208=0,"tie",IF(F1208-E1208&gt;0,"+"&amp;F1208-E1208,"+"&amp;E1208-F1208)),"")</f>
        <v/>
      </c>
      <c r="H1208" s="12">
        <f>if($A1208&lt;&gt;"",if(B1208&gt;C1208,if(B1208&lt;60,1,2),""),"")</f>
        <v/>
      </c>
      <c r="I1208" s="12">
        <f>if($A1208&lt;&gt;"",if(C1208&gt;B1208,if(C1208&lt;60,1,2),""),"")</f>
        <v/>
      </c>
      <c r="J1208" s="9">
        <f>if($A1208&lt;&gt;"",J1207+H1208,"")</f>
        <v/>
      </c>
      <c r="K1208" s="9">
        <f>if($A1208&lt;&gt;"",K1207+I1208,"")</f>
        <v/>
      </c>
      <c r="L1208" s="11">
        <f>IF($A1208&lt;&gt;"",IF(K1208-J1208=0,"tie",IF(K1208-J1208&gt;0,"+"&amp;K1208-J1208,"+"&amp;J1208-K1208)),"")</f>
        <v/>
      </c>
      <c r="M1208" s="20" t="n"/>
      <c r="N1208" s="20" t="n"/>
      <c r="O1208" s="20" t="n"/>
      <c r="P1208" s="20" t="n"/>
      <c r="Q1208" s="20" t="n"/>
      <c r="R1208" s="20" t="n"/>
      <c r="S1208" s="20" t="n"/>
    </row>
    <row r="1209">
      <c r="A1209" s="15" t="n">
        <v>45783</v>
      </c>
      <c r="B1209" s="20" t="n">
        <v>20</v>
      </c>
      <c r="C1209" s="20" t="n">
        <v>37</v>
      </c>
      <c r="D1209" s="17" t="inlineStr">
        <is>
          <t>Preston Way</t>
        </is>
      </c>
      <c r="E1209" s="9">
        <f>if($A1209&lt;&gt;"",E1208+B1209,"")</f>
        <v/>
      </c>
      <c r="F1209" s="9">
        <f>if($A1209&lt;&gt;"",F1208+C1209,"")</f>
        <v/>
      </c>
      <c r="G1209" s="11">
        <f>IF($A1209&lt;&gt;"",IF(F1209-E1209=0,"tie",IF(F1209-E1209&gt;0,"+"&amp;F1209-E1209,"+"&amp;E1209-F1209)),"")</f>
        <v/>
      </c>
      <c r="H1209" s="12">
        <f>if($A1209&lt;&gt;"",if(B1209&gt;C1209,if(B1209&lt;60,1,2),""),"")</f>
        <v/>
      </c>
      <c r="I1209" s="12">
        <f>if($A1209&lt;&gt;"",if(C1209&gt;B1209,if(C1209&lt;60,1,2),""),"")</f>
        <v/>
      </c>
      <c r="J1209" s="9">
        <f>if($A1209&lt;&gt;"",J1208+H1209,"")</f>
        <v/>
      </c>
      <c r="K1209" s="9">
        <f>if($A1209&lt;&gt;"",K1208+I1209,"")</f>
        <v/>
      </c>
      <c r="L1209" s="11">
        <f>IF($A1209&lt;&gt;"",IF(K1209-J1209=0,"tie",IF(K1209-J1209&gt;0,"+"&amp;K1209-J1209,"+"&amp;J1209-K1209)),"")</f>
        <v/>
      </c>
      <c r="M1209" s="20" t="n"/>
      <c r="N1209" s="20" t="n"/>
      <c r="O1209" s="20" t="n"/>
      <c r="P1209" s="20" t="n"/>
      <c r="Q1209" s="20" t="n"/>
      <c r="R1209" s="20" t="n"/>
      <c r="S1209" s="20" t="n"/>
    </row>
    <row r="1210">
      <c r="A1210" s="15" t="n">
        <v>45784</v>
      </c>
      <c r="B1210" s="20" t="n">
        <v>11</v>
      </c>
      <c r="C1210" s="20" t="n">
        <v>33</v>
      </c>
      <c r="D1210" s="17" t="inlineStr">
        <is>
          <t>Preston Way</t>
        </is>
      </c>
      <c r="E1210" s="9">
        <f>if($A1210&lt;&gt;"",E1209+B1210,"")</f>
        <v/>
      </c>
      <c r="F1210" s="9">
        <f>if($A1210&lt;&gt;"",F1209+C1210,"")</f>
        <v/>
      </c>
      <c r="G1210" s="11">
        <f>IF($A1210&lt;&gt;"",IF(F1210-E1210=0,"tie",IF(F1210-E1210&gt;0,"+"&amp;F1210-E1210,"+"&amp;E1210-F1210)),"")</f>
        <v/>
      </c>
      <c r="H1210" s="12">
        <f>if($A1210&lt;&gt;"",if(B1210&gt;C1210,if(B1210&lt;60,1,2),""),"")</f>
        <v/>
      </c>
      <c r="I1210" s="12">
        <f>if($A1210&lt;&gt;"",if(C1210&gt;B1210,if(C1210&lt;60,1,2),""),"")</f>
        <v/>
      </c>
      <c r="J1210" s="9">
        <f>if($A1210&lt;&gt;"",J1209+H1210,"")</f>
        <v/>
      </c>
      <c r="K1210" s="9">
        <f>if($A1210&lt;&gt;"",K1209+I1210,"")</f>
        <v/>
      </c>
      <c r="L1210" s="11">
        <f>IF($A1210&lt;&gt;"",IF(K1210-J1210=0,"tie",IF(K1210-J1210&gt;0,"+"&amp;K1210-J1210,"+"&amp;J1210-K1210)),"")</f>
        <v/>
      </c>
      <c r="M1210" s="20" t="n"/>
      <c r="N1210" s="20" t="n"/>
      <c r="O1210" s="20" t="n"/>
      <c r="P1210" s="20" t="n"/>
      <c r="Q1210" s="20" t="n"/>
      <c r="R1210" s="20" t="n"/>
      <c r="S1210" s="20" t="n"/>
    </row>
    <row r="1211">
      <c r="A1211" s="15" t="n">
        <v>45784</v>
      </c>
      <c r="B1211" s="20" t="n">
        <v>29</v>
      </c>
      <c r="C1211" s="20" t="n">
        <v>32</v>
      </c>
      <c r="D1211" s="17" t="inlineStr">
        <is>
          <t>Ggiata Deli, Venice</t>
        </is>
      </c>
      <c r="E1211" s="9">
        <f>if($A1211&lt;&gt;"",E1210+B1211,"")</f>
        <v/>
      </c>
      <c r="F1211" s="9">
        <f>if($A1211&lt;&gt;"",F1210+C1211,"")</f>
        <v/>
      </c>
      <c r="G1211" s="11">
        <f>IF($A1211&lt;&gt;"",IF(F1211-E1211=0,"tie",IF(F1211-E1211&gt;0,"+"&amp;F1211-E1211,"+"&amp;E1211-F1211)),"")</f>
        <v/>
      </c>
      <c r="H1211" s="12">
        <f>if($A1211&lt;&gt;"",if(B1211&gt;C1211,if(B1211&lt;60,1,2),""),"")</f>
        <v/>
      </c>
      <c r="I1211" s="12">
        <f>if($A1211&lt;&gt;"",if(C1211&gt;B1211,if(C1211&lt;60,1,2),""),"")</f>
        <v/>
      </c>
      <c r="J1211" s="9">
        <f>if($A1211&lt;&gt;"",J1210+H1211,"")</f>
        <v/>
      </c>
      <c r="K1211" s="9">
        <f>if($A1211&lt;&gt;"",K1210+I1211,"")</f>
        <v/>
      </c>
      <c r="L1211" s="11">
        <f>IF($A1211&lt;&gt;"",IF(K1211-J1211=0,"tie",IF(K1211-J1211&gt;0,"+"&amp;K1211-J1211,"+"&amp;J1211-K1211)),"")</f>
        <v/>
      </c>
      <c r="M1211" s="20" t="n"/>
      <c r="N1211" s="20" t="n"/>
      <c r="O1211" s="20" t="n"/>
      <c r="P1211" s="20" t="n"/>
      <c r="Q1211" s="20" t="n"/>
      <c r="R1211" s="20" t="n"/>
      <c r="S1211" s="20" t="n"/>
    </row>
    <row r="1212">
      <c r="A1212" s="15" t="n">
        <v>45785</v>
      </c>
      <c r="B1212" s="20" t="n">
        <v>42</v>
      </c>
      <c r="C1212" s="20" t="n">
        <v>16</v>
      </c>
      <c r="D1212" s="17" t="inlineStr">
        <is>
          <t>Mendocino Farms, MDR ￼</t>
        </is>
      </c>
      <c r="E1212" s="9">
        <f>if($A1212&lt;&gt;"",E1211+B1212,"")</f>
        <v/>
      </c>
      <c r="F1212" s="9">
        <f>if($A1212&lt;&gt;"",F1211+C1212,"")</f>
        <v/>
      </c>
      <c r="G1212" s="11">
        <f>IF($A1212&lt;&gt;"",IF(F1212-E1212=0,"tie",IF(F1212-E1212&gt;0,"+"&amp;F1212-E1212,"+"&amp;E1212-F1212)),"")</f>
        <v/>
      </c>
      <c r="H1212" s="12">
        <f>if($A1212&lt;&gt;"",if(B1212&gt;C1212,if(B1212&lt;60,1,2),""),"")</f>
        <v/>
      </c>
      <c r="I1212" s="12">
        <f>if($A1212&lt;&gt;"",if(C1212&gt;B1212,if(C1212&lt;60,1,2),""),"")</f>
        <v/>
      </c>
      <c r="J1212" s="9">
        <f>if($A1212&lt;&gt;"",J1211+H1212,"")</f>
        <v/>
      </c>
      <c r="K1212" s="9">
        <f>if($A1212&lt;&gt;"",K1211+I1212,"")</f>
        <v/>
      </c>
      <c r="L1212" s="11">
        <f>IF($A1212&lt;&gt;"",IF(K1212-J1212=0,"tie",IF(K1212-J1212&gt;0,"+"&amp;K1212-J1212,"+"&amp;J1212-K1212)),"")</f>
        <v/>
      </c>
      <c r="M1212" s="20" t="n"/>
      <c r="N1212" s="20" t="n"/>
      <c r="O1212" s="20" t="n"/>
      <c r="P1212" s="20" t="n"/>
      <c r="Q1212" s="20" t="n"/>
      <c r="R1212" s="20" t="n"/>
      <c r="S1212" s="20" t="n"/>
    </row>
    <row r="1213">
      <c r="A1213" s="15" t="n">
        <v>45786</v>
      </c>
      <c r="B1213" s="20" t="n">
        <v>31</v>
      </c>
      <c r="C1213" s="20" t="n">
        <v>20</v>
      </c>
      <c r="D1213" s="17" t="inlineStr">
        <is>
          <t>Zinque, Venice</t>
        </is>
      </c>
      <c r="E1213" s="9">
        <f>if($A1213&lt;&gt;"",E1212+B1213,"")</f>
        <v/>
      </c>
      <c r="F1213" s="9">
        <f>if($A1213&lt;&gt;"",F1212+C1213,"")</f>
        <v/>
      </c>
      <c r="G1213" s="11">
        <f>IF($A1213&lt;&gt;"",IF(F1213-E1213=0,"tie",IF(F1213-E1213&gt;0,"+"&amp;F1213-E1213,"+"&amp;E1213-F1213)),"")</f>
        <v/>
      </c>
      <c r="H1213" s="12">
        <f>if($A1213&lt;&gt;"",if(B1213&gt;C1213,if(B1213&lt;60,1,2),""),"")</f>
        <v/>
      </c>
      <c r="I1213" s="12">
        <f>if($A1213&lt;&gt;"",if(C1213&gt;B1213,if(C1213&lt;60,1,2),""),"")</f>
        <v/>
      </c>
      <c r="J1213" s="9">
        <f>if($A1213&lt;&gt;"",J1212+H1213,"")</f>
        <v/>
      </c>
      <c r="K1213" s="9">
        <f>if($A1213&lt;&gt;"",K1212+I1213,"")</f>
        <v/>
      </c>
      <c r="L1213" s="11">
        <f>IF($A1213&lt;&gt;"",IF(K1213-J1213=0,"tie",IF(K1213-J1213&gt;0,"+"&amp;K1213-J1213,"+"&amp;J1213-K1213)),"")</f>
        <v/>
      </c>
      <c r="M1213" s="20" t="n"/>
      <c r="N1213" s="20" t="n"/>
      <c r="O1213" s="20" t="n"/>
      <c r="P1213" s="20" t="n"/>
      <c r="Q1213" s="20" t="n"/>
      <c r="R1213" s="20" t="n"/>
      <c r="S1213" s="20" t="n"/>
    </row>
    <row r="1214">
      <c r="A1214" s="15" t="n">
        <v>45786</v>
      </c>
      <c r="B1214" s="20" t="n">
        <v>29</v>
      </c>
      <c r="C1214" s="20" t="n">
        <v>38</v>
      </c>
      <c r="D1214" s="17" t="inlineStr">
        <is>
          <t>Preston Way</t>
        </is>
      </c>
      <c r="E1214" s="9">
        <f>if($A1214&lt;&gt;"",E1213+B1214,"")</f>
        <v/>
      </c>
      <c r="F1214" s="9">
        <f>if($A1214&lt;&gt;"",F1213+C1214,"")</f>
        <v/>
      </c>
      <c r="G1214" s="11">
        <f>IF($A1214&lt;&gt;"",IF(F1214-E1214=0,"tie",IF(F1214-E1214&gt;0,"+"&amp;F1214-E1214,"+"&amp;E1214-F1214)),"")</f>
        <v/>
      </c>
      <c r="H1214" s="12">
        <f>if($A1214&lt;&gt;"",if(B1214&gt;C1214,if(B1214&lt;60,1,2),""),"")</f>
        <v/>
      </c>
      <c r="I1214" s="12">
        <f>if($A1214&lt;&gt;"",if(C1214&gt;B1214,if(C1214&lt;60,1,2),""),"")</f>
        <v/>
      </c>
      <c r="J1214" s="9">
        <f>if($A1214&lt;&gt;"",J1213+H1214,"")</f>
        <v/>
      </c>
      <c r="K1214" s="9">
        <f>if($A1214&lt;&gt;"",K1213+I1214,"")</f>
        <v/>
      </c>
      <c r="L1214" s="11">
        <f>IF($A1214&lt;&gt;"",IF(K1214-J1214=0,"tie",IF(K1214-J1214&gt;0,"+"&amp;K1214-J1214,"+"&amp;J1214-K1214)),"")</f>
        <v/>
      </c>
      <c r="M1214" s="20" t="n"/>
      <c r="N1214" s="20" t="n"/>
      <c r="O1214" s="20" t="n"/>
      <c r="P1214" s="20" t="n"/>
      <c r="Q1214" s="20" t="n"/>
      <c r="R1214" s="20" t="n"/>
      <c r="S1214" s="20" t="n"/>
    </row>
    <row r="1215">
      <c r="A1215" s="15" t="n">
        <v>45789</v>
      </c>
      <c r="B1215" s="20" t="n">
        <v>33</v>
      </c>
      <c r="C1215" s="20" t="n">
        <v>36</v>
      </c>
      <c r="D1215" s="17" t="inlineStr">
        <is>
          <t>Preston Way</t>
        </is>
      </c>
      <c r="E1215" s="9">
        <f>if($A1215&lt;&gt;"",E1214+B1215,"")</f>
        <v/>
      </c>
      <c r="F1215" s="9">
        <f>if($A1215&lt;&gt;"",F1214+C1215,"")</f>
        <v/>
      </c>
      <c r="G1215" s="11">
        <f>IF($A1215&lt;&gt;"",IF(F1215-E1215=0,"tie",IF(F1215-E1215&gt;0,"+"&amp;F1215-E1215,"+"&amp;E1215-F1215)),"")</f>
        <v/>
      </c>
      <c r="H1215" s="12">
        <f>if($A1215&lt;&gt;"",if(B1215&gt;C1215,if(B1215&lt;60,1,2),""),"")</f>
        <v/>
      </c>
      <c r="I1215" s="12">
        <f>if($A1215&lt;&gt;"",if(C1215&gt;B1215,if(C1215&lt;60,1,2),""),"")</f>
        <v/>
      </c>
      <c r="J1215" s="9">
        <f>if($A1215&lt;&gt;"",J1214+H1215,"")</f>
        <v/>
      </c>
      <c r="K1215" s="9">
        <f>if($A1215&lt;&gt;"",K1214+I1215,"")</f>
        <v/>
      </c>
      <c r="L1215" s="11">
        <f>IF($A1215&lt;&gt;"",IF(K1215-J1215=0,"tie",IF(K1215-J1215&gt;0,"+"&amp;K1215-J1215,"+"&amp;J1215-K1215)),"")</f>
        <v/>
      </c>
      <c r="M1215" s="20" t="n"/>
      <c r="N1215" s="20" t="n"/>
      <c r="O1215" s="20" t="n"/>
      <c r="P1215" s="20" t="n"/>
      <c r="Q1215" s="20" t="n"/>
      <c r="R1215" s="20" t="n"/>
      <c r="S1215" s="20" t="n"/>
    </row>
    <row r="1216">
      <c r="A1216" s="15" t="n">
        <v>45791</v>
      </c>
      <c r="B1216" s="20" t="n">
        <v>31</v>
      </c>
      <c r="C1216" s="20" t="n">
        <v>21</v>
      </c>
      <c r="D1216" s="17" t="inlineStr">
        <is>
          <t>Preston Way</t>
        </is>
      </c>
      <c r="E1216" s="9">
        <f>if($A1216&lt;&gt;"",E1215+B1216,"")</f>
        <v/>
      </c>
      <c r="F1216" s="9">
        <f>if($A1216&lt;&gt;"",F1215+C1216,"")</f>
        <v/>
      </c>
      <c r="G1216" s="11">
        <f>IF($A1216&lt;&gt;"",IF(F1216-E1216=0,"tie",IF(F1216-E1216&gt;0,"+"&amp;F1216-E1216,"+"&amp;E1216-F1216)),"")</f>
        <v/>
      </c>
      <c r="H1216" s="12">
        <f>if($A1216&lt;&gt;"",if(B1216&gt;C1216,if(B1216&lt;60,1,2),""),"")</f>
        <v/>
      </c>
      <c r="I1216" s="12">
        <f>if($A1216&lt;&gt;"",if(C1216&gt;B1216,if(C1216&lt;60,1,2),""),"")</f>
        <v/>
      </c>
      <c r="J1216" s="9">
        <f>if($A1216&lt;&gt;"",J1215+H1216,"")</f>
        <v/>
      </c>
      <c r="K1216" s="9">
        <f>if($A1216&lt;&gt;"",K1215+I1216,"")</f>
        <v/>
      </c>
      <c r="L1216" s="11">
        <f>IF($A1216&lt;&gt;"",IF(K1216-J1216=0,"tie",IF(K1216-J1216&gt;0,"+"&amp;K1216-J1216,"+"&amp;J1216-K1216)),"")</f>
        <v/>
      </c>
      <c r="M1216" s="20" t="n"/>
      <c r="N1216" s="20" t="n"/>
      <c r="O1216" s="20" t="n"/>
      <c r="P1216" s="20" t="n"/>
      <c r="Q1216" s="20" t="n"/>
      <c r="R1216" s="20" t="n"/>
      <c r="S1216" s="20" t="n"/>
    </row>
    <row r="1217">
      <c r="A1217" s="15" t="n">
        <v>45792</v>
      </c>
      <c r="B1217" s="20" t="n">
        <v>39</v>
      </c>
      <c r="C1217" s="20" t="n">
        <v>7</v>
      </c>
      <c r="D1217" s="17" t="inlineStr">
        <is>
          <t>Zinque, Venice</t>
        </is>
      </c>
      <c r="E1217" s="9">
        <f>if($A1217&lt;&gt;"",E1216+B1217,"")</f>
        <v/>
      </c>
      <c r="F1217" s="9">
        <f>if($A1217&lt;&gt;"",F1216+C1217,"")</f>
        <v/>
      </c>
      <c r="G1217" s="11">
        <f>IF($A1217&lt;&gt;"",IF(F1217-E1217=0,"tie",IF(F1217-E1217&gt;0,"+"&amp;F1217-E1217,"+"&amp;E1217-F1217)),"")</f>
        <v/>
      </c>
      <c r="H1217" s="12">
        <f>if($A1217&lt;&gt;"",if(B1217&gt;C1217,if(B1217&lt;60,1,2),""),"")</f>
        <v/>
      </c>
      <c r="I1217" s="12">
        <f>if($A1217&lt;&gt;"",if(C1217&gt;B1217,if(C1217&lt;60,1,2),""),"")</f>
        <v/>
      </c>
      <c r="J1217" s="9">
        <f>if($A1217&lt;&gt;"",J1216+H1217,"")</f>
        <v/>
      </c>
      <c r="K1217" s="9">
        <f>if($A1217&lt;&gt;"",K1216+I1217,"")</f>
        <v/>
      </c>
      <c r="L1217" s="11">
        <f>IF($A1217&lt;&gt;"",IF(K1217-J1217=0,"tie",IF(K1217-J1217&gt;0,"+"&amp;K1217-J1217,"+"&amp;J1217-K1217)),"")</f>
        <v/>
      </c>
      <c r="M1217" s="20" t="n"/>
      <c r="N1217" s="20" t="n"/>
      <c r="O1217" s="20" t="n"/>
      <c r="P1217" s="20" t="n"/>
      <c r="Q1217" s="20" t="n"/>
      <c r="R1217" s="20" t="n"/>
      <c r="S1217" s="20" t="n"/>
    </row>
    <row r="1218">
      <c r="A1218" s="15" t="n">
        <v>45798</v>
      </c>
      <c r="B1218" s="20" t="n">
        <v>34</v>
      </c>
      <c r="C1218" s="20" t="n">
        <v>72</v>
      </c>
      <c r="D1218" s="17" t="inlineStr">
        <is>
          <t>Zinque, Venice</t>
        </is>
      </c>
      <c r="E1218" s="9">
        <f>if($A1218&lt;&gt;"",E1217+B1218,"")</f>
        <v/>
      </c>
      <c r="F1218" s="9">
        <f>if($A1218&lt;&gt;"",F1217+C1218,"")</f>
        <v/>
      </c>
      <c r="G1218" s="11">
        <f>IF($A1218&lt;&gt;"",IF(F1218-E1218=0,"tie",IF(F1218-E1218&gt;0,"+"&amp;F1218-E1218,"+"&amp;E1218-F1218)),"")</f>
        <v/>
      </c>
      <c r="H1218" s="12">
        <f>if($A1218&lt;&gt;"",if(B1218&gt;C1218,if(B1218&lt;60,1,2),""),"")</f>
        <v/>
      </c>
      <c r="I1218" s="12">
        <f>if($A1218&lt;&gt;"",if(C1218&gt;B1218,if(C1218&lt;60,1,2),""),"")</f>
        <v/>
      </c>
      <c r="J1218" s="9">
        <f>if($A1218&lt;&gt;"",J1217+H1218,"")</f>
        <v/>
      </c>
      <c r="K1218" s="9">
        <f>if($A1218&lt;&gt;"",K1217+I1218,"")</f>
        <v/>
      </c>
      <c r="L1218" s="11">
        <f>IF($A1218&lt;&gt;"",IF(K1218-J1218=0,"tie",IF(K1218-J1218&gt;0,"+"&amp;K1218-J1218,"+"&amp;J1218-K1218)),"")</f>
        <v/>
      </c>
      <c r="M1218" s="20" t="n"/>
      <c r="N1218" s="20" t="n"/>
      <c r="O1218" s="20" t="n"/>
      <c r="P1218" s="20" t="n"/>
      <c r="Q1218" s="20" t="n"/>
      <c r="R1218" s="20" t="n"/>
      <c r="S1218" s="20" t="n"/>
    </row>
    <row r="1219">
      <c r="A1219" s="15" t="n">
        <v>45799</v>
      </c>
      <c r="B1219" s="20" t="n">
        <v>21</v>
      </c>
      <c r="C1219" s="20" t="n">
        <v>35</v>
      </c>
      <c r="D1219" s="17" t="inlineStr">
        <is>
          <t>Preston Way</t>
        </is>
      </c>
      <c r="E1219" s="9">
        <f>if($A1219&lt;&gt;"",E1218+B1219,"")</f>
        <v/>
      </c>
      <c r="F1219" s="9">
        <f>if($A1219&lt;&gt;"",F1218+C1219,"")</f>
        <v/>
      </c>
      <c r="G1219" s="11">
        <f>IF($A1219&lt;&gt;"",IF(F1219-E1219=0,"tie",IF(F1219-E1219&gt;0,"+"&amp;F1219-E1219,"+"&amp;E1219-F1219)),"")</f>
        <v/>
      </c>
      <c r="H1219" s="12">
        <f>if($A1219&lt;&gt;"",if(B1219&gt;C1219,if(B1219&lt;60,1,2),""),"")</f>
        <v/>
      </c>
      <c r="I1219" s="12">
        <f>if($A1219&lt;&gt;"",if(C1219&gt;B1219,if(C1219&lt;60,1,2),""),"")</f>
        <v/>
      </c>
      <c r="J1219" s="9">
        <f>if($A1219&lt;&gt;"",J1218+H1219,"")</f>
        <v/>
      </c>
      <c r="K1219" s="9">
        <f>if($A1219&lt;&gt;"",K1218+I1219,"")</f>
        <v/>
      </c>
      <c r="L1219" s="11">
        <f>IF($A1219&lt;&gt;"",IF(K1219-J1219=0,"tie",IF(K1219-J1219&gt;0,"+"&amp;K1219-J1219,"+"&amp;J1219-K1219)),"")</f>
        <v/>
      </c>
      <c r="M1219" s="20" t="n"/>
      <c r="N1219" s="20" t="n"/>
      <c r="O1219" s="20" t="n"/>
      <c r="P1219" s="20" t="n"/>
      <c r="Q1219" s="20" t="n"/>
      <c r="R1219" s="20" t="n"/>
      <c r="S1219" s="20" t="n"/>
    </row>
    <row r="1220">
      <c r="A1220" s="15" t="n">
        <v>45802</v>
      </c>
      <c r="B1220" s="20" t="n">
        <v>62</v>
      </c>
      <c r="C1220" s="20" t="n">
        <v>53</v>
      </c>
      <c r="D1220" s="17" t="inlineStr">
        <is>
          <t>Mar Vista Market</t>
        </is>
      </c>
      <c r="E1220" s="9">
        <f>if($A1220&lt;&gt;"",E1219+B1220,"")</f>
        <v/>
      </c>
      <c r="F1220" s="9">
        <f>if($A1220&lt;&gt;"",F1219+C1220,"")</f>
        <v/>
      </c>
      <c r="G1220" s="11">
        <f>IF($A1220&lt;&gt;"",IF(F1220-E1220=0,"tie",IF(F1220-E1220&gt;0,"+"&amp;F1220-E1220,"+"&amp;E1220-F1220)),"")</f>
        <v/>
      </c>
      <c r="H1220" s="12">
        <f>if($A1220&lt;&gt;"",if(B1220&gt;C1220,if(B1220&lt;60,1,2),""),"")</f>
        <v/>
      </c>
      <c r="I1220" s="12">
        <f>if($A1220&lt;&gt;"",if(C1220&gt;B1220,if(C1220&lt;60,1,2),""),"")</f>
        <v/>
      </c>
      <c r="J1220" s="9">
        <f>if($A1220&lt;&gt;"",J1219+H1220,"")</f>
        <v/>
      </c>
      <c r="K1220" s="9">
        <f>if($A1220&lt;&gt;"",K1219+I1220,"")</f>
        <v/>
      </c>
      <c r="L1220" s="11">
        <f>IF($A1220&lt;&gt;"",IF(K1220-J1220=0,"tie",IF(K1220-J1220&gt;0,"+"&amp;K1220-J1220,"+"&amp;J1220-K1220)),"")</f>
        <v/>
      </c>
      <c r="M1220" s="20" t="n"/>
      <c r="N1220" s="20" t="n"/>
      <c r="O1220" s="20" t="n"/>
      <c r="P1220" s="20" t="n"/>
      <c r="Q1220" s="20" t="n"/>
      <c r="R1220" s="20" t="n"/>
      <c r="S1220" s="20" t="n"/>
    </row>
    <row r="1221">
      <c r="A1221" s="15" t="n">
        <v>45803</v>
      </c>
      <c r="B1221" s="20" t="n">
        <v>32</v>
      </c>
      <c r="C1221" s="20" t="n">
        <v>13</v>
      </c>
      <c r="D1221" s="17" t="inlineStr">
        <is>
          <t>Zinque, Venice</t>
        </is>
      </c>
      <c r="E1221" s="9">
        <f>if($A1221&lt;&gt;"",E1220+B1221,"")</f>
        <v/>
      </c>
      <c r="F1221" s="9">
        <f>if($A1221&lt;&gt;"",F1220+C1221,"")</f>
        <v/>
      </c>
      <c r="G1221" s="11">
        <f>IF($A1221&lt;&gt;"",IF(F1221-E1221=0,"tie",IF(F1221-E1221&gt;0,"+"&amp;F1221-E1221,"+"&amp;E1221-F1221)),"")</f>
        <v/>
      </c>
      <c r="H1221" s="12">
        <f>if($A1221&lt;&gt;"",if(B1221&gt;C1221,if(B1221&lt;60,1,2),""),"")</f>
        <v/>
      </c>
      <c r="I1221" s="12">
        <f>if($A1221&lt;&gt;"",if(C1221&gt;B1221,if(C1221&lt;60,1,2),""),"")</f>
        <v/>
      </c>
      <c r="J1221" s="9">
        <f>if($A1221&lt;&gt;"",J1220+H1221,"")</f>
        <v/>
      </c>
      <c r="K1221" s="9">
        <f>if($A1221&lt;&gt;"",K1220+I1221,"")</f>
        <v/>
      </c>
      <c r="L1221" s="11">
        <f>IF($A1221&lt;&gt;"",IF(K1221-J1221=0,"tie",IF(K1221-J1221&gt;0,"+"&amp;K1221-J1221,"+"&amp;J1221-K1221)),"")</f>
        <v/>
      </c>
      <c r="M1221" s="20" t="n"/>
      <c r="N1221" s="20" t="n"/>
      <c r="O1221" s="20" t="n"/>
      <c r="P1221" s="20" t="n"/>
      <c r="Q1221" s="20" t="n"/>
      <c r="R1221" s="20" t="n"/>
      <c r="S1221" s="20" t="n"/>
    </row>
    <row r="1222">
      <c r="A1222" s="15" t="n">
        <v>45805</v>
      </c>
      <c r="B1222" s="20" t="n">
        <v>26</v>
      </c>
      <c r="C1222" s="20" t="n">
        <v>37</v>
      </c>
      <c r="D1222" s="17" t="inlineStr">
        <is>
          <t>Preston Way</t>
        </is>
      </c>
      <c r="E1222" s="9">
        <f>if($A1222&lt;&gt;"",E1221+B1222,"")</f>
        <v/>
      </c>
      <c r="F1222" s="9">
        <f>if($A1222&lt;&gt;"",F1221+C1222,"")</f>
        <v/>
      </c>
      <c r="G1222" s="11">
        <f>IF($A1222&lt;&gt;"",IF(F1222-E1222=0,"tie",IF(F1222-E1222&gt;0,"+"&amp;F1222-E1222,"+"&amp;E1222-F1222)),"")</f>
        <v/>
      </c>
      <c r="H1222" s="12">
        <f>if($A1222&lt;&gt;"",if(B1222&gt;C1222,if(B1222&lt;60,1,2),""),"")</f>
        <v/>
      </c>
      <c r="I1222" s="12">
        <f>if($A1222&lt;&gt;"",if(C1222&gt;B1222,if(C1222&lt;60,1,2),""),"")</f>
        <v/>
      </c>
      <c r="J1222" s="9">
        <f>if($A1222&lt;&gt;"",J1221+H1222,"")</f>
        <v/>
      </c>
      <c r="K1222" s="9">
        <f>if($A1222&lt;&gt;"",K1221+I1222,"")</f>
        <v/>
      </c>
      <c r="L1222" s="11">
        <f>IF($A1222&lt;&gt;"",IF(K1222-J1222=0,"tie",IF(K1222-J1222&gt;0,"+"&amp;K1222-J1222,"+"&amp;J1222-K1222)),"")</f>
        <v/>
      </c>
      <c r="M1222" s="20" t="n"/>
      <c r="N1222" s="20" t="n"/>
      <c r="O1222" s="20" t="n"/>
      <c r="P1222" s="20" t="n"/>
      <c r="Q1222" s="20" t="n"/>
      <c r="R1222" s="20" t="n"/>
      <c r="S1222" s="20" t="n"/>
    </row>
    <row r="1223">
      <c r="A1223" s="15" t="n">
        <v>45809</v>
      </c>
      <c r="B1223" s="20" t="n">
        <v>31</v>
      </c>
      <c r="C1223" s="20" t="n">
        <v>30</v>
      </c>
      <c r="D1223" s="17" t="inlineStr">
        <is>
          <t>Shoop's, Santa Monica</t>
        </is>
      </c>
      <c r="E1223" s="9">
        <f>if($A1223&lt;&gt;"",E1222+B1223,"")</f>
        <v/>
      </c>
      <c r="F1223" s="9">
        <f>if($A1223&lt;&gt;"",F1222+C1223,"")</f>
        <v/>
      </c>
      <c r="G1223" s="11">
        <f>IF($A1223&lt;&gt;"",IF(F1223-E1223=0,"tie",IF(F1223-E1223&gt;0,"+"&amp;F1223-E1223,"+"&amp;E1223-F1223)),"")</f>
        <v/>
      </c>
      <c r="H1223" s="12">
        <f>if($A1223&lt;&gt;"",if(B1223&gt;C1223,if(B1223&lt;60,1,2),""),"")</f>
        <v/>
      </c>
      <c r="I1223" s="12">
        <f>if($A1223&lt;&gt;"",if(C1223&gt;B1223,if(C1223&lt;60,1,2),""),"")</f>
        <v/>
      </c>
      <c r="J1223" s="9">
        <f>if($A1223&lt;&gt;"",J1222+H1223,"")</f>
        <v/>
      </c>
      <c r="K1223" s="9">
        <f>if($A1223&lt;&gt;"",K1222+I1223,"")</f>
        <v/>
      </c>
      <c r="L1223" s="11">
        <f>IF($A1223&lt;&gt;"",IF(K1223-J1223=0,"tie",IF(K1223-J1223&gt;0,"+"&amp;K1223-J1223,"+"&amp;J1223-K1223)),"")</f>
        <v/>
      </c>
      <c r="M1223" s="20" t="n"/>
      <c r="N1223" s="20" t="n"/>
      <c r="O1223" s="20" t="n"/>
      <c r="P1223" s="20" t="n"/>
      <c r="Q1223" s="20" t="n"/>
      <c r="R1223" s="20" t="n"/>
      <c r="S1223" s="20" t="n"/>
    </row>
    <row r="1224">
      <c r="A1224" s="15" t="n">
        <v>45810</v>
      </c>
      <c r="B1224" s="20" t="n">
        <v>23</v>
      </c>
      <c r="C1224" s="20" t="n">
        <v>42</v>
      </c>
      <c r="D1224" s="17" t="inlineStr">
        <is>
          <t>Zinque, Venice</t>
        </is>
      </c>
      <c r="E1224" s="9">
        <f>if($A1224&lt;&gt;"",E1223+B1224,"")</f>
        <v/>
      </c>
      <c r="F1224" s="9">
        <f>if($A1224&lt;&gt;"",F1223+C1224,"")</f>
        <v/>
      </c>
      <c r="G1224" s="11">
        <f>IF($A1224&lt;&gt;"",IF(F1224-E1224=0,"tie",IF(F1224-E1224&gt;0,"+"&amp;F1224-E1224,"+"&amp;E1224-F1224)),"")</f>
        <v/>
      </c>
      <c r="H1224" s="12">
        <f>if($A1224&lt;&gt;"",if(B1224&gt;C1224,if(B1224&lt;60,1,2),""),"")</f>
        <v/>
      </c>
      <c r="I1224" s="12">
        <f>if($A1224&lt;&gt;"",if(C1224&gt;B1224,if(C1224&lt;60,1,2),""),"")</f>
        <v/>
      </c>
      <c r="J1224" s="9">
        <f>if($A1224&lt;&gt;"",J1223+H1224,"")</f>
        <v/>
      </c>
      <c r="K1224" s="9">
        <f>if($A1224&lt;&gt;"",K1223+I1224,"")</f>
        <v/>
      </c>
      <c r="L1224" s="11">
        <f>IF($A1224&lt;&gt;"",IF(K1224-J1224=0,"tie",IF(K1224-J1224&gt;0,"+"&amp;K1224-J1224,"+"&amp;J1224-K1224)),"")</f>
        <v/>
      </c>
      <c r="M1224" s="20" t="n"/>
      <c r="N1224" s="20" t="n"/>
      <c r="O1224" s="20" t="n"/>
      <c r="P1224" s="20" t="n"/>
      <c r="Q1224" s="20" t="n"/>
      <c r="R1224" s="20" t="n"/>
      <c r="S1224" s="20" t="n"/>
    </row>
    <row r="1225">
      <c r="A1225" s="15" t="n">
        <v>45811</v>
      </c>
      <c r="B1225" s="20" t="n">
        <v>61</v>
      </c>
      <c r="C1225" s="20" t="n">
        <v>38</v>
      </c>
      <c r="D1225" s="17" t="inlineStr">
        <is>
          <t>Preston Way</t>
        </is>
      </c>
      <c r="E1225" s="9">
        <f>if($A1225&lt;&gt;"",E1224+B1225,"")</f>
        <v/>
      </c>
      <c r="F1225" s="9">
        <f>if($A1225&lt;&gt;"",F1224+C1225,"")</f>
        <v/>
      </c>
      <c r="G1225" s="11">
        <f>IF($A1225&lt;&gt;"",IF(F1225-E1225=0,"tie",IF(F1225-E1225&gt;0,"+"&amp;F1225-E1225,"+"&amp;E1225-F1225)),"")</f>
        <v/>
      </c>
      <c r="H1225" s="12">
        <f>if($A1225&lt;&gt;"",if(B1225&gt;C1225,if(B1225&lt;60,1,2),""),"")</f>
        <v/>
      </c>
      <c r="I1225" s="12">
        <f>if($A1225&lt;&gt;"",if(C1225&gt;B1225,if(C1225&lt;60,1,2),""),"")</f>
        <v/>
      </c>
      <c r="J1225" s="9">
        <f>if($A1225&lt;&gt;"",J1224+H1225,"")</f>
        <v/>
      </c>
      <c r="K1225" s="9">
        <f>if($A1225&lt;&gt;"",K1224+I1225,"")</f>
        <v/>
      </c>
      <c r="L1225" s="11">
        <f>IF($A1225&lt;&gt;"",IF(K1225-J1225=0,"tie",IF(K1225-J1225&gt;0,"+"&amp;K1225-J1225,"+"&amp;J1225-K1225)),"")</f>
        <v/>
      </c>
      <c r="M1225" s="20" t="n"/>
      <c r="N1225" s="20" t="n"/>
      <c r="O1225" s="20" t="n"/>
      <c r="P1225" s="20" t="n"/>
      <c r="Q1225" s="20" t="n"/>
      <c r="R1225" s="20" t="n"/>
      <c r="S1225" s="20" t="n"/>
    </row>
    <row r="1226">
      <c r="A1226" s="15" t="n">
        <v>45817</v>
      </c>
      <c r="B1226" s="20" t="n">
        <v>20</v>
      </c>
      <c r="C1226" s="20" t="n">
        <v>31</v>
      </c>
      <c r="D1226" s="17" t="inlineStr">
        <is>
          <t>Preston Way</t>
        </is>
      </c>
      <c r="E1226" s="9">
        <f>if($A1226&lt;&gt;"",E1225+B1226,"")</f>
        <v/>
      </c>
      <c r="F1226" s="9">
        <f>if($A1226&lt;&gt;"",F1225+C1226,"")</f>
        <v/>
      </c>
      <c r="G1226" s="11">
        <f>IF($A1226&lt;&gt;"",IF(F1226-E1226=0,"tie",IF(F1226-E1226&gt;0,"+"&amp;F1226-E1226,"+"&amp;E1226-F1226)),"")</f>
        <v/>
      </c>
      <c r="H1226" s="12">
        <f>if($A1226&lt;&gt;"",if(B1226&gt;C1226,if(B1226&lt;60,1,2),""),"")</f>
        <v/>
      </c>
      <c r="I1226" s="12">
        <f>if($A1226&lt;&gt;"",if(C1226&gt;B1226,if(C1226&lt;60,1,2),""),"")</f>
        <v/>
      </c>
      <c r="J1226" s="9">
        <f>if($A1226&lt;&gt;"",J1225+H1226,"")</f>
        <v/>
      </c>
      <c r="K1226" s="9">
        <f>if($A1226&lt;&gt;"",K1225+I1226,"")</f>
        <v/>
      </c>
      <c r="L1226" s="11">
        <f>IF($A1226&lt;&gt;"",IF(K1226-J1226=0,"tie",IF(K1226-J1226&gt;0,"+"&amp;K1226-J1226,"+"&amp;J1226-K1226)),"")</f>
        <v/>
      </c>
      <c r="M1226" s="20" t="n"/>
      <c r="N1226" s="20" t="n"/>
      <c r="O1226" s="20" t="n"/>
      <c r="P1226" s="20" t="n"/>
      <c r="Q1226" s="20" t="n"/>
      <c r="R1226" s="20" t="n"/>
      <c r="S1226" s="20" t="n"/>
    </row>
    <row r="1227">
      <c r="A1227" s="15" t="n">
        <v>45819</v>
      </c>
      <c r="B1227" s="20" t="n">
        <v>39</v>
      </c>
      <c r="C1227" s="20" t="n">
        <v>38</v>
      </c>
      <c r="D1227" s="17" t="inlineStr">
        <is>
          <t>Preston Way</t>
        </is>
      </c>
      <c r="E1227" s="9">
        <f>if($A1227&lt;&gt;"",E1226+B1227,"")</f>
        <v/>
      </c>
      <c r="F1227" s="9">
        <f>if($A1227&lt;&gt;"",F1226+C1227,"")</f>
        <v/>
      </c>
      <c r="G1227" s="11">
        <f>IF($A1227&lt;&gt;"",IF(F1227-E1227=0,"tie",IF(F1227-E1227&gt;0,"+"&amp;F1227-E1227,"+"&amp;E1227-F1227)),"")</f>
        <v/>
      </c>
      <c r="H1227" s="12">
        <f>if($A1227&lt;&gt;"",if(B1227&gt;C1227,if(B1227&lt;60,1,2),""),"")</f>
        <v/>
      </c>
      <c r="I1227" s="12">
        <f>if($A1227&lt;&gt;"",if(C1227&gt;B1227,if(C1227&lt;60,1,2),""),"")</f>
        <v/>
      </c>
      <c r="J1227" s="9">
        <f>if($A1227&lt;&gt;"",J1226+H1227,"")</f>
        <v/>
      </c>
      <c r="K1227" s="9">
        <f>if($A1227&lt;&gt;"",K1226+I1227,"")</f>
        <v/>
      </c>
      <c r="L1227" s="11">
        <f>IF($A1227&lt;&gt;"",IF(K1227-J1227=0,"tie",IF(K1227-J1227&gt;0,"+"&amp;K1227-J1227,"+"&amp;J1227-K1227)),"")</f>
        <v/>
      </c>
      <c r="M1227" s="20" t="n"/>
      <c r="N1227" s="20" t="n"/>
      <c r="O1227" s="20" t="n"/>
      <c r="P1227" s="20" t="n"/>
      <c r="Q1227" s="20" t="n"/>
      <c r="R1227" s="20" t="n"/>
      <c r="S1227" s="20" t="n"/>
    </row>
    <row r="1228">
      <c r="A1228" s="15" t="n">
        <v>45820</v>
      </c>
      <c r="B1228" s="20" t="n">
        <v>32</v>
      </c>
      <c r="C1228" s="20" t="n">
        <v>33</v>
      </c>
      <c r="D1228" s="17" t="inlineStr">
        <is>
          <t>Preston Way</t>
        </is>
      </c>
      <c r="E1228" s="9">
        <f>if($A1228&lt;&gt;"",E1227+B1228,"")</f>
        <v/>
      </c>
      <c r="F1228" s="9">
        <f>if($A1228&lt;&gt;"",F1227+C1228,"")</f>
        <v/>
      </c>
      <c r="G1228" s="11">
        <f>IF($A1228&lt;&gt;"",IF(F1228-E1228=0,"tie",IF(F1228-E1228&gt;0,"+"&amp;F1228-E1228,"+"&amp;E1228-F1228)),"")</f>
        <v/>
      </c>
      <c r="H1228" s="12">
        <f>if($A1228&lt;&gt;"",if(B1228&gt;C1228,if(B1228&lt;60,1,2),""),"")</f>
        <v/>
      </c>
      <c r="I1228" s="12">
        <f>if($A1228&lt;&gt;"",if(C1228&gt;B1228,if(C1228&lt;60,1,2),""),"")</f>
        <v/>
      </c>
      <c r="J1228" s="9">
        <f>if($A1228&lt;&gt;"",J1227+H1228,"")</f>
        <v/>
      </c>
      <c r="K1228" s="9">
        <f>if($A1228&lt;&gt;"",K1227+I1228,"")</f>
        <v/>
      </c>
      <c r="L1228" s="11">
        <f>IF($A1228&lt;&gt;"",IF(K1228-J1228=0,"tie",IF(K1228-J1228&gt;0,"+"&amp;K1228-J1228,"+"&amp;J1228-K1228)),"")</f>
        <v/>
      </c>
      <c r="M1228" s="20" t="n"/>
      <c r="N1228" s="20" t="n"/>
      <c r="O1228" s="20" t="n"/>
      <c r="P1228" s="20" t="n"/>
      <c r="Q1228" s="20" t="n"/>
      <c r="R1228" s="20" t="n"/>
      <c r="S1228" s="20" t="n"/>
    </row>
    <row r="1229">
      <c r="A1229" s="15" t="n">
        <v>45824</v>
      </c>
      <c r="B1229" s="20" t="n">
        <v>34</v>
      </c>
      <c r="C1229" s="20" t="n">
        <v>29</v>
      </c>
      <c r="D1229" s="17" t="inlineStr">
        <is>
          <t>Zinque, Venice</t>
        </is>
      </c>
      <c r="E1229" s="9">
        <f>if($A1229&lt;&gt;"",E1228+B1229,"")</f>
        <v/>
      </c>
      <c r="F1229" s="9">
        <f>if($A1229&lt;&gt;"",F1228+C1229,"")</f>
        <v/>
      </c>
      <c r="G1229" s="11">
        <f>IF($A1229&lt;&gt;"",IF(F1229-E1229=0,"tie",IF(F1229-E1229&gt;0,"+"&amp;F1229-E1229,"+"&amp;E1229-F1229)),"")</f>
        <v/>
      </c>
      <c r="H1229" s="12">
        <f>if($A1229&lt;&gt;"",if(B1229&gt;C1229,if(B1229&lt;60,1,2),""),"")</f>
        <v/>
      </c>
      <c r="I1229" s="12">
        <f>if($A1229&lt;&gt;"",if(C1229&gt;B1229,if(C1229&lt;60,1,2),""),"")</f>
        <v/>
      </c>
      <c r="J1229" s="9">
        <f>if($A1229&lt;&gt;"",J1228+H1229,"")</f>
        <v/>
      </c>
      <c r="K1229" s="9">
        <f>if($A1229&lt;&gt;"",K1228+I1229,"")</f>
        <v/>
      </c>
      <c r="L1229" s="11">
        <f>IF($A1229&lt;&gt;"",IF(K1229-J1229=0,"tie",IF(K1229-J1229&gt;0,"+"&amp;K1229-J1229,"+"&amp;J1229-K1229)),"")</f>
        <v/>
      </c>
      <c r="M1229" s="20" t="n"/>
      <c r="N1229" s="20" t="n"/>
      <c r="O1229" s="20" t="n"/>
      <c r="P1229" s="20" t="n"/>
      <c r="Q1229" s="20" t="n"/>
      <c r="R1229" s="20" t="n"/>
      <c r="S1229" s="20" t="n"/>
    </row>
    <row r="1230">
      <c r="A1230" s="15" t="n">
        <v>45824</v>
      </c>
      <c r="B1230" s="20" t="n">
        <v>45</v>
      </c>
      <c r="C1230" s="20" t="n">
        <v>66</v>
      </c>
      <c r="D1230" s="17" t="inlineStr">
        <is>
          <t>iHop, Sepulveda, Culver City</t>
        </is>
      </c>
      <c r="E1230" s="9">
        <f>if($A1230&lt;&gt;"",E1229+B1230,"")</f>
        <v/>
      </c>
      <c r="F1230" s="9">
        <f>if($A1230&lt;&gt;"",F1229+C1230,"")</f>
        <v/>
      </c>
      <c r="G1230" s="11">
        <f>IF($A1230&lt;&gt;"",IF(F1230-E1230=0,"tie",IF(F1230-E1230&gt;0,"+"&amp;F1230-E1230,"+"&amp;E1230-F1230)),"")</f>
        <v/>
      </c>
      <c r="H1230" s="12">
        <f>if($A1230&lt;&gt;"",if(B1230&gt;C1230,if(B1230&lt;60,1,2),""),"")</f>
        <v/>
      </c>
      <c r="I1230" s="12">
        <f>if($A1230&lt;&gt;"",if(C1230&gt;B1230,if(C1230&lt;60,1,2),""),"")</f>
        <v/>
      </c>
      <c r="J1230" s="9">
        <f>if($A1230&lt;&gt;"",J1229+H1230,"")</f>
        <v/>
      </c>
      <c r="K1230" s="9">
        <f>if($A1230&lt;&gt;"",K1229+I1230,"")</f>
        <v/>
      </c>
      <c r="L1230" s="11">
        <f>IF($A1230&lt;&gt;"",IF(K1230-J1230=0,"tie",IF(K1230-J1230&gt;0,"+"&amp;K1230-J1230,"+"&amp;J1230-K1230)),"")</f>
        <v/>
      </c>
      <c r="M1230" s="20" t="n"/>
      <c r="N1230" s="20" t="n"/>
      <c r="O1230" s="20" t="n"/>
      <c r="P1230" s="20" t="n"/>
      <c r="Q1230" s="20" t="n"/>
      <c r="R1230" s="20" t="n"/>
      <c r="S1230" s="20" t="n"/>
    </row>
    <row r="1231">
      <c r="A1231" s="15" t="n">
        <v>45831</v>
      </c>
      <c r="B1231" s="20" t="n">
        <v>19</v>
      </c>
      <c r="C1231" s="20" t="n">
        <v>31</v>
      </c>
      <c r="D1231" s="17" t="inlineStr">
        <is>
          <t>Preston Way</t>
        </is>
      </c>
      <c r="E1231" s="9">
        <f>if($A1231&lt;&gt;"",E1230+B1231,"")</f>
        <v/>
      </c>
      <c r="F1231" s="9">
        <f>if($A1231&lt;&gt;"",F1230+C1231,"")</f>
        <v/>
      </c>
      <c r="G1231" s="11">
        <f>IF($A1231&lt;&gt;"",IF(F1231-E1231=0,"tie",IF(F1231-E1231&gt;0,"+"&amp;F1231-E1231,"+"&amp;E1231-F1231)),"")</f>
        <v/>
      </c>
      <c r="H1231" s="12">
        <f>if($A1231&lt;&gt;"",if(B1231&gt;C1231,if(B1231&lt;60,1,2),""),"")</f>
        <v/>
      </c>
      <c r="I1231" s="12">
        <f>if($A1231&lt;&gt;"",if(C1231&gt;B1231,if(C1231&lt;60,1,2),""),"")</f>
        <v/>
      </c>
      <c r="J1231" s="9">
        <f>if($A1231&lt;&gt;"",J1230+H1231,"")</f>
        <v/>
      </c>
      <c r="K1231" s="9">
        <f>if($A1231&lt;&gt;"",K1230+I1231,"")</f>
        <v/>
      </c>
      <c r="L1231" s="11">
        <f>IF($A1231&lt;&gt;"",IF(K1231-J1231=0,"tie",IF(K1231-J1231&gt;0,"+"&amp;K1231-J1231,"+"&amp;J1231-K1231)),"")</f>
        <v/>
      </c>
      <c r="M1231" s="20" t="n"/>
      <c r="N1231" s="20" t="n"/>
      <c r="O1231" s="20" t="n"/>
      <c r="P1231" s="20" t="n"/>
      <c r="Q1231" s="20" t="n"/>
      <c r="R1231" s="20" t="n"/>
      <c r="S1231" s="20" t="n"/>
    </row>
    <row r="1232">
      <c r="A1232" s="15" t="n">
        <v>45832</v>
      </c>
      <c r="B1232" s="20" t="n">
        <v>38</v>
      </c>
      <c r="C1232" s="20" t="n">
        <v>34</v>
      </c>
      <c r="D1232" s="17" t="inlineStr">
        <is>
          <t>Preston Way</t>
        </is>
      </c>
      <c r="E1232" s="9">
        <f>if($A1232&lt;&gt;"",E1231+B1232,"")</f>
        <v/>
      </c>
      <c r="F1232" s="9">
        <f>if($A1232&lt;&gt;"",F1231+C1232,"")</f>
        <v/>
      </c>
      <c r="G1232" s="11">
        <f>IF($A1232&lt;&gt;"",IF(F1232-E1232=0,"tie",IF(F1232-E1232&gt;0,"+"&amp;F1232-E1232,"+"&amp;E1232-F1232)),"")</f>
        <v/>
      </c>
      <c r="H1232" s="12">
        <f>if($A1232&lt;&gt;"",if(B1232&gt;C1232,if(B1232&lt;60,1,2),""),"")</f>
        <v/>
      </c>
      <c r="I1232" s="12">
        <f>if($A1232&lt;&gt;"",if(C1232&gt;B1232,if(C1232&lt;60,1,2),""),"")</f>
        <v/>
      </c>
      <c r="J1232" s="9">
        <f>if($A1232&lt;&gt;"",J1231+H1232,"")</f>
        <v/>
      </c>
      <c r="K1232" s="9">
        <f>if($A1232&lt;&gt;"",K1231+I1232,"")</f>
        <v/>
      </c>
      <c r="L1232" s="11">
        <f>IF($A1232&lt;&gt;"",IF(K1232-J1232=0,"tie",IF(K1232-J1232&gt;0,"+"&amp;K1232-J1232,"+"&amp;J1232-K1232)),"")</f>
        <v/>
      </c>
      <c r="M1232" s="20" t="n"/>
      <c r="N1232" s="20" t="n"/>
      <c r="O1232" s="20" t="n"/>
      <c r="P1232" s="20" t="n"/>
      <c r="Q1232" s="20" t="n"/>
      <c r="R1232" s="20" t="n"/>
      <c r="S1232" s="20" t="n"/>
    </row>
    <row r="1233">
      <c r="A1233" s="15" t="n">
        <v>45836</v>
      </c>
      <c r="B1233" s="20" t="n">
        <v>34</v>
      </c>
      <c r="C1233" s="20" t="n">
        <v>38</v>
      </c>
      <c r="D1233" s="17" t="inlineStr">
        <is>
          <t>George's Burgers, Santa Monica</t>
        </is>
      </c>
      <c r="E1233" s="9">
        <f>if($A1233&lt;&gt;"",E1232+B1233,"")</f>
        <v/>
      </c>
      <c r="F1233" s="9">
        <f>if($A1233&lt;&gt;"",F1232+C1233,"")</f>
        <v/>
      </c>
      <c r="G1233" s="11">
        <f>IF($A1233&lt;&gt;"",IF(F1233-E1233=0,"tie",IF(F1233-E1233&gt;0,"+"&amp;F1233-E1233,"+"&amp;E1233-F1233)),"")</f>
        <v/>
      </c>
      <c r="H1233" s="12">
        <f>if($A1233&lt;&gt;"",if(B1233&gt;C1233,if(B1233&lt;60,1,2),""),"")</f>
        <v/>
      </c>
      <c r="I1233" s="12">
        <f>if($A1233&lt;&gt;"",if(C1233&gt;B1233,if(C1233&lt;60,1,2),""),"")</f>
        <v/>
      </c>
      <c r="J1233" s="9">
        <f>if($A1233&lt;&gt;"",J1232+H1233,"")</f>
        <v/>
      </c>
      <c r="K1233" s="9">
        <f>if($A1233&lt;&gt;"",K1232+I1233,"")</f>
        <v/>
      </c>
      <c r="L1233" s="11">
        <f>IF($A1233&lt;&gt;"",IF(K1233-J1233=0,"tie",IF(K1233-J1233&gt;0,"+"&amp;K1233-J1233,"+"&amp;J1233-K1233)),"")</f>
        <v/>
      </c>
      <c r="M1233" s="20" t="n"/>
      <c r="N1233" s="20" t="n"/>
      <c r="O1233" s="20" t="n"/>
      <c r="P1233" s="20" t="n"/>
      <c r="Q1233" s="20" t="n"/>
      <c r="R1233" s="20" t="n"/>
      <c r="S1233" s="20" t="n"/>
    </row>
    <row r="1234">
      <c r="A1234" s="15" t="n">
        <v>45837</v>
      </c>
      <c r="B1234" s="20" t="n">
        <v>26</v>
      </c>
      <c r="C1234" s="20" t="n">
        <v>33</v>
      </c>
      <c r="D1234" s="17" t="inlineStr">
        <is>
          <t>Paris Baguette, West Covina</t>
        </is>
      </c>
      <c r="E1234" s="9">
        <f>if($A1234&lt;&gt;"",E1233+B1234,"")</f>
        <v/>
      </c>
      <c r="F1234" s="9">
        <f>if($A1234&lt;&gt;"",F1233+C1234,"")</f>
        <v/>
      </c>
      <c r="G1234" s="11">
        <f>IF($A1234&lt;&gt;"",IF(F1234-E1234=0,"tie",IF(F1234-E1234&gt;0,"+"&amp;F1234-E1234,"+"&amp;E1234-F1234)),"")</f>
        <v/>
      </c>
      <c r="H1234" s="12">
        <f>if($A1234&lt;&gt;"",if(B1234&gt;C1234,if(B1234&lt;60,1,2),""),"")</f>
        <v/>
      </c>
      <c r="I1234" s="12">
        <f>if($A1234&lt;&gt;"",if(C1234&gt;B1234,if(C1234&lt;60,1,2),""),"")</f>
        <v/>
      </c>
      <c r="J1234" s="9">
        <f>if($A1234&lt;&gt;"",J1233+H1234,"")</f>
        <v/>
      </c>
      <c r="K1234" s="9">
        <f>if($A1234&lt;&gt;"",K1233+I1234,"")</f>
        <v/>
      </c>
      <c r="L1234" s="11">
        <f>IF($A1234&lt;&gt;"",IF(K1234-J1234=0,"tie",IF(K1234-J1234&gt;0,"+"&amp;K1234-J1234,"+"&amp;J1234-K1234)),"")</f>
        <v/>
      </c>
      <c r="M1234" s="20" t="n"/>
      <c r="N1234" s="20" t="n"/>
      <c r="O1234" s="20" t="n"/>
      <c r="P1234" s="20" t="n"/>
      <c r="Q1234" s="20" t="n"/>
      <c r="R1234" s="20" t="n"/>
      <c r="S1234" s="20" t="n"/>
    </row>
    <row r="1235">
      <c r="A1235" s="15" t="n">
        <v>45837</v>
      </c>
      <c r="B1235" s="20" t="n">
        <v>65</v>
      </c>
      <c r="C1235" s="20" t="n">
        <v>56</v>
      </c>
      <c r="D1235" s="17" t="inlineStr">
        <is>
          <t>Hideout, Palm Desert</t>
        </is>
      </c>
      <c r="E1235" s="9">
        <f>if($A1235&lt;&gt;"",E1234+B1235,"")</f>
        <v/>
      </c>
      <c r="F1235" s="9">
        <f>if($A1235&lt;&gt;"",F1234+C1235,"")</f>
        <v/>
      </c>
      <c r="G1235" s="11">
        <f>IF($A1235&lt;&gt;"",IF(F1235-E1235=0,"tie",IF(F1235-E1235&gt;0,"+"&amp;F1235-E1235,"+"&amp;E1235-F1235)),"")</f>
        <v/>
      </c>
      <c r="H1235" s="12">
        <f>if($A1235&lt;&gt;"",if(B1235&gt;C1235,if(B1235&lt;60,1,2),""),"")</f>
        <v/>
      </c>
      <c r="I1235" s="12">
        <f>if($A1235&lt;&gt;"",if(C1235&gt;B1235,if(C1235&lt;60,1,2),""),"")</f>
        <v/>
      </c>
      <c r="J1235" s="9">
        <f>if($A1235&lt;&gt;"",J1234+H1235,"")</f>
        <v/>
      </c>
      <c r="K1235" s="9">
        <f>if($A1235&lt;&gt;"",K1234+I1235,"")</f>
        <v/>
      </c>
      <c r="L1235" s="11">
        <f>IF($A1235&lt;&gt;"",IF(K1235-J1235=0,"tie",IF(K1235-J1235&gt;0,"+"&amp;K1235-J1235,"+"&amp;J1235-K1235)),"")</f>
        <v/>
      </c>
      <c r="M1235" s="20" t="n"/>
      <c r="N1235" s="20" t="n"/>
      <c r="O1235" s="20" t="n"/>
      <c r="P1235" s="20" t="n"/>
      <c r="Q1235" s="20" t="n"/>
      <c r="R1235" s="20" t="n"/>
      <c r="S1235" s="20" t="n"/>
    </row>
    <row r="1236">
      <c r="A1236" s="15" t="n">
        <v>45840</v>
      </c>
      <c r="B1236" s="20" t="n">
        <v>18</v>
      </c>
      <c r="C1236" s="20" t="n">
        <v>31</v>
      </c>
      <c r="D1236" s="17" t="inlineStr">
        <is>
          <t>Zinque, Venice</t>
        </is>
      </c>
      <c r="E1236" s="9">
        <f>if($A1236&lt;&gt;"",E1235+B1236,"")</f>
        <v/>
      </c>
      <c r="F1236" s="9">
        <f>if($A1236&lt;&gt;"",F1235+C1236,"")</f>
        <v/>
      </c>
      <c r="G1236" s="11">
        <f>IF($A1236&lt;&gt;"",IF(F1236-E1236=0,"tie",IF(F1236-E1236&gt;0,"+"&amp;F1236-E1236,"+"&amp;E1236-F1236)),"")</f>
        <v/>
      </c>
      <c r="H1236" s="12">
        <f>if($A1236&lt;&gt;"",if(B1236&gt;C1236,if(B1236&lt;60,1,2),""),"")</f>
        <v/>
      </c>
      <c r="I1236" s="12">
        <f>if($A1236&lt;&gt;"",if(C1236&gt;B1236,if(C1236&lt;60,1,2),""),"")</f>
        <v/>
      </c>
      <c r="J1236" s="9">
        <f>if($A1236&lt;&gt;"",J1235+H1236,"")</f>
        <v/>
      </c>
      <c r="K1236" s="9">
        <f>if($A1236&lt;&gt;"",K1235+I1236,"")</f>
        <v/>
      </c>
      <c r="L1236" s="11">
        <f>IF($A1236&lt;&gt;"",IF(K1236-J1236=0,"tie",IF(K1236-J1236&gt;0,"+"&amp;K1236-J1236,"+"&amp;J1236-K1236)),"")</f>
        <v/>
      </c>
      <c r="M1236" s="20" t="n"/>
      <c r="N1236" s="20" t="n"/>
      <c r="O1236" s="20" t="n"/>
      <c r="P1236" s="20" t="n"/>
      <c r="Q1236" s="20" t="n"/>
      <c r="R1236" s="20" t="n"/>
      <c r="S1236" s="20" t="n"/>
    </row>
    <row r="1237">
      <c r="A1237" s="15" t="n">
        <v>45840</v>
      </c>
      <c r="B1237" s="20" t="n">
        <v>28</v>
      </c>
      <c r="C1237" s="20" t="n">
        <v>34</v>
      </c>
      <c r="D1237" s="17" t="inlineStr">
        <is>
          <t>Clark Street Diner</t>
        </is>
      </c>
      <c r="E1237" s="9">
        <f>if($A1237&lt;&gt;"",E1236+B1237,"")</f>
        <v/>
      </c>
      <c r="F1237" s="9">
        <f>if($A1237&lt;&gt;"",F1236+C1237,"")</f>
        <v/>
      </c>
      <c r="G1237" s="11">
        <f>IF($A1237&lt;&gt;"",IF(F1237-E1237=0,"tie",IF(F1237-E1237&gt;0,"+"&amp;F1237-E1237,"+"&amp;E1237-F1237)),"")</f>
        <v/>
      </c>
      <c r="H1237" s="12">
        <f>if($A1237&lt;&gt;"",if(B1237&gt;C1237,if(B1237&lt;60,1,2),""),"")</f>
        <v/>
      </c>
      <c r="I1237" s="12">
        <f>if($A1237&lt;&gt;"",if(C1237&gt;B1237,if(C1237&lt;60,1,2),""),"")</f>
        <v/>
      </c>
      <c r="J1237" s="9">
        <f>if($A1237&lt;&gt;"",J1236+H1237,"")</f>
        <v/>
      </c>
      <c r="K1237" s="9">
        <f>if($A1237&lt;&gt;"",K1236+I1237,"")</f>
        <v/>
      </c>
      <c r="L1237" s="11">
        <f>IF($A1237&lt;&gt;"",IF(K1237-J1237=0,"tie",IF(K1237-J1237&gt;0,"+"&amp;K1237-J1237,"+"&amp;J1237-K1237)),"")</f>
        <v/>
      </c>
      <c r="M1237" s="20" t="n"/>
      <c r="N1237" s="20" t="n"/>
      <c r="O1237" s="20" t="n"/>
      <c r="P1237" s="20" t="n"/>
      <c r="Q1237" s="20" t="n"/>
      <c r="R1237" s="20" t="n"/>
      <c r="S1237" s="20" t="n"/>
    </row>
    <row r="1238">
      <c r="A1238" s="15" t="n">
        <v>45841</v>
      </c>
      <c r="B1238" s="20" t="n">
        <v>42</v>
      </c>
      <c r="C1238" s="20" t="n">
        <v>30</v>
      </c>
      <c r="D1238" s="17" t="inlineStr">
        <is>
          <t>Preston Way</t>
        </is>
      </c>
      <c r="E1238" s="9">
        <f>if($A1238&lt;&gt;"",E1237+B1238,"")</f>
        <v/>
      </c>
      <c r="F1238" s="9">
        <f>if($A1238&lt;&gt;"",F1237+C1238,"")</f>
        <v/>
      </c>
      <c r="G1238" s="11">
        <f>IF($A1238&lt;&gt;"",IF(F1238-E1238=0,"tie",IF(F1238-E1238&gt;0,"+"&amp;F1238-E1238,"+"&amp;E1238-F1238)),"")</f>
        <v/>
      </c>
      <c r="H1238" s="12">
        <f>if($A1238&lt;&gt;"",if(B1238&gt;C1238,if(B1238&lt;60,1,2),""),"")</f>
        <v/>
      </c>
      <c r="I1238" s="12">
        <f>if($A1238&lt;&gt;"",if(C1238&gt;B1238,if(C1238&lt;60,1,2),""),"")</f>
        <v/>
      </c>
      <c r="J1238" s="9">
        <f>if($A1238&lt;&gt;"",J1237+H1238,"")</f>
        <v/>
      </c>
      <c r="K1238" s="9">
        <f>if($A1238&lt;&gt;"",K1237+I1238,"")</f>
        <v/>
      </c>
      <c r="L1238" s="11">
        <f>IF($A1238&lt;&gt;"",IF(K1238-J1238=0,"tie",IF(K1238-J1238&gt;0,"+"&amp;K1238-J1238,"+"&amp;J1238-K1238)),"")</f>
        <v/>
      </c>
      <c r="M1238" s="20" t="n"/>
      <c r="N1238" s="20" t="n"/>
      <c r="O1238" s="20" t="n"/>
      <c r="P1238" s="20" t="n"/>
      <c r="Q1238" s="20" t="n"/>
      <c r="R1238" s="20" t="n"/>
      <c r="S1238" s="20" t="n"/>
    </row>
    <row r="1239">
      <c r="A1239" s="15" t="n">
        <v>45842</v>
      </c>
      <c r="B1239" s="20" t="n">
        <v>28</v>
      </c>
      <c r="C1239" s="20" t="n">
        <v>34</v>
      </c>
      <c r="D1239" s="17" t="inlineStr">
        <is>
          <t xml:space="preserve">The Boy and the Bear, Culver City </t>
        </is>
      </c>
      <c r="E1239" s="9">
        <f>if($A1239&lt;&gt;"",E1238+B1239,"")</f>
        <v/>
      </c>
      <c r="F1239" s="9">
        <f>if($A1239&lt;&gt;"",F1238+C1239,"")</f>
        <v/>
      </c>
      <c r="G1239" s="11">
        <f>IF($A1239&lt;&gt;"",IF(F1239-E1239=0,"tie",IF(F1239-E1239&gt;0,"+"&amp;F1239-E1239,"+"&amp;E1239-F1239)),"")</f>
        <v/>
      </c>
      <c r="H1239" s="12">
        <f>if($A1239&lt;&gt;"",if(B1239&gt;C1239,if(B1239&lt;60,1,2),""),"")</f>
        <v/>
      </c>
      <c r="I1239" s="12">
        <f>if($A1239&lt;&gt;"",if(C1239&gt;B1239,if(C1239&lt;60,1,2),""),"")</f>
        <v/>
      </c>
      <c r="J1239" s="9">
        <f>if($A1239&lt;&gt;"",J1238+H1239,"")</f>
        <v/>
      </c>
      <c r="K1239" s="9">
        <f>if($A1239&lt;&gt;"",K1238+I1239,"")</f>
        <v/>
      </c>
      <c r="L1239" s="11">
        <f>IF($A1239&lt;&gt;"",IF(K1239-J1239=0,"tie",IF(K1239-J1239&gt;0,"+"&amp;K1239-J1239,"+"&amp;J1239-K1239)),"")</f>
        <v/>
      </c>
      <c r="M1239" s="20" t="n"/>
      <c r="N1239" s="20" t="n"/>
      <c r="O1239" s="20" t="n"/>
      <c r="P1239" s="20" t="n"/>
      <c r="Q1239" s="20" t="n"/>
      <c r="R1239" s="20" t="n"/>
      <c r="S1239" s="20" t="n"/>
    </row>
    <row r="1240">
      <c r="A1240" s="15" t="n">
        <v>45844</v>
      </c>
      <c r="B1240" s="20" t="n">
        <v>38</v>
      </c>
      <c r="C1240" s="20" t="n">
        <v>30</v>
      </c>
      <c r="D1240" s="17" t="inlineStr">
        <is>
          <t xml:space="preserve">Companion, Venice </t>
        </is>
      </c>
      <c r="E1240" s="9">
        <f>if($A1240&lt;&gt;"",E1239+B1240,"")</f>
        <v/>
      </c>
      <c r="F1240" s="9">
        <f>if($A1240&lt;&gt;"",F1239+C1240,"")</f>
        <v/>
      </c>
      <c r="G1240" s="11">
        <f>IF($A1240&lt;&gt;"",IF(F1240-E1240=0,"tie",IF(F1240-E1240&gt;0,"+"&amp;F1240-E1240,"+"&amp;E1240-F1240)),"")</f>
        <v/>
      </c>
      <c r="H1240" s="12">
        <f>if($A1240&lt;&gt;"",if(B1240&gt;C1240,if(B1240&lt;60,1,2),""),"")</f>
        <v/>
      </c>
      <c r="I1240" s="12">
        <f>if($A1240&lt;&gt;"",if(C1240&gt;B1240,if(C1240&lt;60,1,2),""),"")</f>
        <v/>
      </c>
      <c r="J1240" s="9">
        <f>if($A1240&lt;&gt;"",J1239+H1240,"")</f>
        <v/>
      </c>
      <c r="K1240" s="9">
        <f>if($A1240&lt;&gt;"",K1239+I1240,"")</f>
        <v/>
      </c>
      <c r="L1240" s="11">
        <f>IF($A1240&lt;&gt;"",IF(K1240-J1240=0,"tie",IF(K1240-J1240&gt;0,"+"&amp;K1240-J1240,"+"&amp;J1240-K1240)),"")</f>
        <v/>
      </c>
      <c r="M1240" s="20" t="n"/>
      <c r="N1240" s="20" t="n"/>
      <c r="O1240" s="20" t="n"/>
      <c r="P1240" s="20" t="n"/>
      <c r="Q1240" s="20" t="n"/>
      <c r="R1240" s="20" t="n"/>
      <c r="S1240" s="20" t="n"/>
    </row>
    <row r="1241">
      <c r="A1241" s="15" t="n">
        <v>45848</v>
      </c>
      <c r="B1241" s="20" t="n">
        <v>54</v>
      </c>
      <c r="C1241" s="20" t="n">
        <v>63</v>
      </c>
      <c r="D1241" s="17" t="inlineStr">
        <is>
          <t>Simpang Asia Indonesian</t>
        </is>
      </c>
      <c r="E1241" s="9">
        <f>if($A1241&lt;&gt;"",E1240+B1241,"")</f>
        <v/>
      </c>
      <c r="F1241" s="9">
        <f>if($A1241&lt;&gt;"",F1240+C1241,"")</f>
        <v/>
      </c>
      <c r="G1241" s="11">
        <f>IF($A1241&lt;&gt;"",IF(F1241-E1241=0,"tie",IF(F1241-E1241&gt;0,"+"&amp;F1241-E1241,"+"&amp;E1241-F1241)),"")</f>
        <v/>
      </c>
      <c r="H1241" s="12">
        <f>if($A1241&lt;&gt;"",if(B1241&gt;C1241,if(B1241&lt;60,1,2),""),"")</f>
        <v/>
      </c>
      <c r="I1241" s="12">
        <f>if($A1241&lt;&gt;"",if(C1241&gt;B1241,if(C1241&lt;60,1,2),""),"")</f>
        <v/>
      </c>
      <c r="J1241" s="9">
        <f>if($A1241&lt;&gt;"",J1240+H1241,"")</f>
        <v/>
      </c>
      <c r="K1241" s="9">
        <f>if($A1241&lt;&gt;"",K1240+I1241,"")</f>
        <v/>
      </c>
      <c r="L1241" s="11">
        <f>IF($A1241&lt;&gt;"",IF(K1241-J1241=0,"tie",IF(K1241-J1241&gt;0,"+"&amp;K1241-J1241,"+"&amp;J1241-K1241)),"")</f>
        <v/>
      </c>
      <c r="M1241" s="20" t="n"/>
      <c r="N1241" s="20" t="n"/>
      <c r="O1241" s="20" t="n"/>
      <c r="P1241" s="20" t="n"/>
      <c r="Q1241" s="20" t="n"/>
      <c r="R1241" s="20" t="n"/>
      <c r="S1241" s="20" t="n"/>
    </row>
    <row r="1242">
      <c r="A1242" s="15" t="n">
        <v>45861</v>
      </c>
      <c r="B1242" s="20" t="n">
        <v>67</v>
      </c>
      <c r="C1242" s="20" t="n">
        <v>58</v>
      </c>
      <c r="D1242" s="17" t="inlineStr">
        <is>
          <t xml:space="preserve">The Manchester </t>
        </is>
      </c>
      <c r="E1242" s="9">
        <f>if($A1242&lt;&gt;"",E1241+B1242,"")</f>
        <v/>
      </c>
      <c r="F1242" s="9">
        <f>if($A1242&lt;&gt;"",F1241+C1242,"")</f>
        <v/>
      </c>
      <c r="G1242" s="11">
        <f>IF($A1242&lt;&gt;"",IF(F1242-E1242=0,"tie",IF(F1242-E1242&gt;0,"+"&amp;F1242-E1242,"+"&amp;E1242-F1242)),"")</f>
        <v/>
      </c>
      <c r="H1242" s="12">
        <f>if($A1242&lt;&gt;"",if(B1242&gt;C1242,if(B1242&lt;60,1,2),""),"")</f>
        <v/>
      </c>
      <c r="I1242" s="12">
        <f>if($A1242&lt;&gt;"",if(C1242&gt;B1242,if(C1242&lt;60,1,2),""),"")</f>
        <v/>
      </c>
      <c r="J1242" s="9">
        <f>if($A1242&lt;&gt;"",J1241+H1242,"")</f>
        <v/>
      </c>
      <c r="K1242" s="9">
        <f>if($A1242&lt;&gt;"",K1241+I1242,"")</f>
        <v/>
      </c>
      <c r="L1242" s="11">
        <f>IF($A1242&lt;&gt;"",IF(K1242-J1242=0,"tie",IF(K1242-J1242&gt;0,"+"&amp;K1242-J1242,"+"&amp;J1242-K1242)),"")</f>
        <v/>
      </c>
      <c r="M1242" s="20" t="n"/>
      <c r="N1242" s="20" t="n"/>
      <c r="O1242" s="20" t="n"/>
      <c r="P1242" s="20" t="n"/>
      <c r="Q1242" s="20" t="n"/>
      <c r="R1242" s="20" t="n"/>
      <c r="S1242" s="20" t="n"/>
    </row>
    <row r="1243">
      <c r="A1243" s="15" t="n">
        <v>45863</v>
      </c>
      <c r="B1243" s="20" t="n">
        <v>31</v>
      </c>
      <c r="C1243" s="20" t="n">
        <v>11</v>
      </c>
      <c r="D1243" s="17" t="inlineStr">
        <is>
          <t>In-N-Out</t>
        </is>
      </c>
      <c r="E1243" s="9">
        <f>if($A1243&lt;&gt;"",E1242+B1243,"")</f>
        <v/>
      </c>
      <c r="F1243" s="9">
        <f>if($A1243&lt;&gt;"",F1242+C1243,"")</f>
        <v/>
      </c>
      <c r="G1243" s="11">
        <f>IF($A1243&lt;&gt;"",IF(F1243-E1243=0,"tie",IF(F1243-E1243&gt;0,"+"&amp;F1243-E1243,"+"&amp;E1243-F1243)),"")</f>
        <v/>
      </c>
      <c r="H1243" s="12">
        <f>if($A1243&lt;&gt;"",if(B1243&gt;C1243,if(B1243&lt;60,1,2),""),"")</f>
        <v/>
      </c>
      <c r="I1243" s="12">
        <f>if($A1243&lt;&gt;"",if(C1243&gt;B1243,if(C1243&lt;60,1,2),""),"")</f>
        <v/>
      </c>
      <c r="J1243" s="9">
        <f>if($A1243&lt;&gt;"",J1242+H1243,"")</f>
        <v/>
      </c>
      <c r="K1243" s="9">
        <f>if($A1243&lt;&gt;"",K1242+I1243,"")</f>
        <v/>
      </c>
      <c r="L1243" s="11">
        <f>IF($A1243&lt;&gt;"",IF(K1243-J1243=0,"tie",IF(K1243-J1243&gt;0,"+"&amp;K1243-J1243,"+"&amp;J1243-K1243)),"")</f>
        <v/>
      </c>
      <c r="M1243" s="20" t="n"/>
      <c r="N1243" s="20" t="n"/>
      <c r="O1243" s="20" t="n"/>
      <c r="P1243" s="20" t="n"/>
      <c r="Q1243" s="20" t="n"/>
      <c r="R1243" s="20" t="n"/>
      <c r="S1243" s="20" t="n"/>
    </row>
    <row r="1244">
      <c r="A1244" s="15" t="n">
        <v>45868</v>
      </c>
      <c r="B1244" s="20" t="n">
        <v>31</v>
      </c>
      <c r="C1244" s="20" t="n">
        <v>30</v>
      </c>
      <c r="D1244" s="17" t="inlineStr">
        <is>
          <t>Preston Way</t>
        </is>
      </c>
      <c r="E1244" s="9">
        <f>if($A1244&lt;&gt;"",E1243+B1244,"")</f>
        <v/>
      </c>
      <c r="F1244" s="9">
        <f>if($A1244&lt;&gt;"",F1243+C1244,"")</f>
        <v/>
      </c>
      <c r="G1244" s="11">
        <f>IF($A1244&lt;&gt;"",IF(F1244-E1244=0,"tie",IF(F1244-E1244&gt;0,"+"&amp;F1244-E1244,"+"&amp;E1244-F1244)),"")</f>
        <v/>
      </c>
      <c r="H1244" s="12">
        <f>if($A1244&lt;&gt;"",if(B1244&gt;C1244,if(B1244&lt;60,1,2),""),"")</f>
        <v/>
      </c>
      <c r="I1244" s="12">
        <f>if($A1244&lt;&gt;"",if(C1244&gt;B1244,if(C1244&lt;60,1,2),""),"")</f>
        <v/>
      </c>
      <c r="J1244" s="9">
        <f>if($A1244&lt;&gt;"",J1243+H1244,"")</f>
        <v/>
      </c>
      <c r="K1244" s="9">
        <f>if($A1244&lt;&gt;"",K1243+I1244,"")</f>
        <v/>
      </c>
      <c r="L1244" s="11">
        <f>IF($A1244&lt;&gt;"",IF(K1244-J1244=0,"tie",IF(K1244-J1244&gt;0,"+"&amp;K1244-J1244,"+"&amp;J1244-K1244)),"")</f>
        <v/>
      </c>
      <c r="M1244" s="20" t="n"/>
      <c r="N1244" s="20" t="n"/>
      <c r="O1244" s="20" t="n"/>
      <c r="P1244" s="20" t="n"/>
      <c r="Q1244" s="20" t="n"/>
      <c r="R1244" s="20" t="n"/>
      <c r="S1244" s="20" t="n"/>
    </row>
    <row r="1245">
      <c r="A1245" s="15" t="n">
        <v>45870</v>
      </c>
      <c r="B1245" s="20" t="n">
        <v>35</v>
      </c>
      <c r="C1245" s="20" t="n">
        <v>37</v>
      </c>
      <c r="D1245" s="17" t="inlineStr">
        <is>
          <t>Preston Way</t>
        </is>
      </c>
      <c r="E1245" s="9">
        <f>if($A1245&lt;&gt;"",E1244+B1245,"")</f>
        <v/>
      </c>
      <c r="F1245" s="9">
        <f>if($A1245&lt;&gt;"",F1244+C1245,"")</f>
        <v/>
      </c>
      <c r="G1245" s="11">
        <f>IF($A1245&lt;&gt;"",IF(F1245-E1245=0,"tie",IF(F1245-E1245&gt;0,"+"&amp;F1245-E1245,"+"&amp;E1245-F1245)),"")</f>
        <v/>
      </c>
      <c r="H1245" s="12">
        <f>if($A1245&lt;&gt;"",if(B1245&gt;C1245,if(B1245&lt;60,1,2),""),"")</f>
        <v/>
      </c>
      <c r="I1245" s="12">
        <f>if($A1245&lt;&gt;"",if(C1245&gt;B1245,if(C1245&lt;60,1,2),""),"")</f>
        <v/>
      </c>
      <c r="J1245" s="9">
        <f>if($A1245&lt;&gt;"",J1244+H1245,"")</f>
        <v/>
      </c>
      <c r="K1245" s="9">
        <f>if($A1245&lt;&gt;"",K1244+I1245,"")</f>
        <v/>
      </c>
      <c r="L1245" s="11">
        <f>IF($A1245&lt;&gt;"",IF(K1245-J1245=0,"tie",IF(K1245-J1245&gt;0,"+"&amp;K1245-J1245,"+"&amp;J1245-K1245)),"")</f>
        <v/>
      </c>
      <c r="M1245" s="20" t="n"/>
      <c r="N1245" s="20" t="n"/>
      <c r="O1245" s="20" t="n"/>
      <c r="P1245" s="20" t="n"/>
      <c r="Q1245" s="20" t="n"/>
      <c r="R1245" s="20" t="n"/>
      <c r="S1245" s="20" t="n"/>
    </row>
    <row r="1246">
      <c r="A1246" s="15" t="n">
        <v>45871</v>
      </c>
      <c r="B1246" s="20" t="n">
        <v>67</v>
      </c>
      <c r="C1246" s="20" t="n">
        <v>38</v>
      </c>
      <c r="D1246" s="17" t="inlineStr">
        <is>
          <t>Tartine, Santa Monica</t>
        </is>
      </c>
      <c r="E1246" s="9">
        <f>if($A1246&lt;&gt;"",E1245+B1246,"")</f>
        <v/>
      </c>
      <c r="F1246" s="9">
        <f>if($A1246&lt;&gt;"",F1245+C1246,"")</f>
        <v/>
      </c>
      <c r="G1246" s="11">
        <f>IF($A1246&lt;&gt;"",IF(F1246-E1246=0,"tie",IF(F1246-E1246&gt;0,"+"&amp;F1246-E1246,"+"&amp;E1246-F1246)),"")</f>
        <v/>
      </c>
      <c r="H1246" s="12">
        <f>if($A1246&lt;&gt;"",if(B1246&gt;C1246,if(B1246&lt;60,1,2),""),"")</f>
        <v/>
      </c>
      <c r="I1246" s="12">
        <f>if($A1246&lt;&gt;"",if(C1246&gt;B1246,if(C1246&lt;60,1,2),""),"")</f>
        <v/>
      </c>
      <c r="J1246" s="9">
        <f>if($A1246&lt;&gt;"",J1245+H1246,"")</f>
        <v/>
      </c>
      <c r="K1246" s="9">
        <f>if($A1246&lt;&gt;"",K1245+I1246,"")</f>
        <v/>
      </c>
      <c r="L1246" s="11">
        <f>IF($A1246&lt;&gt;"",IF(K1246-J1246=0,"tie",IF(K1246-J1246&gt;0,"+"&amp;K1246-J1246,"+"&amp;J1246-K1246)),"")</f>
        <v/>
      </c>
      <c r="M1246" s="20" t="n"/>
      <c r="N1246" s="20" t="n"/>
      <c r="O1246" s="20" t="n"/>
      <c r="P1246" s="20" t="n"/>
      <c r="Q1246" s="20" t="n"/>
      <c r="R1246" s="20" t="n"/>
      <c r="S1246" s="20" t="n"/>
    </row>
    <row r="1247">
      <c r="A1247" s="15" t="n">
        <v>45871</v>
      </c>
      <c r="B1247" s="20" t="n">
        <v>38</v>
      </c>
      <c r="C1247" s="20" t="n">
        <v>32</v>
      </c>
      <c r="D1247" s="17" t="inlineStr">
        <is>
          <t>Preston Way</t>
        </is>
      </c>
      <c r="E1247" s="9">
        <f>if($A1247&lt;&gt;"",E1246+B1247,"")</f>
        <v/>
      </c>
      <c r="F1247" s="9">
        <f>if($A1247&lt;&gt;"",F1246+C1247,"")</f>
        <v/>
      </c>
      <c r="G1247" s="11">
        <f>IF($A1247&lt;&gt;"",IF(F1247-E1247=0,"tie",IF(F1247-E1247&gt;0,"+"&amp;F1247-E1247,"+"&amp;E1247-F1247)),"")</f>
        <v/>
      </c>
      <c r="H1247" s="12">
        <f>if($A1247&lt;&gt;"",if(B1247&gt;C1247,if(B1247&lt;60,1,2),""),"")</f>
        <v/>
      </c>
      <c r="I1247" s="12">
        <f>if($A1247&lt;&gt;"",if(C1247&gt;B1247,if(C1247&lt;60,1,2),""),"")</f>
        <v/>
      </c>
      <c r="J1247" s="9">
        <f>if($A1247&lt;&gt;"",J1246+H1247,"")</f>
        <v/>
      </c>
      <c r="K1247" s="9">
        <f>if($A1247&lt;&gt;"",K1246+I1247,"")</f>
        <v/>
      </c>
      <c r="L1247" s="11">
        <f>IF($A1247&lt;&gt;"",IF(K1247-J1247=0,"tie",IF(K1247-J1247&gt;0,"+"&amp;K1247-J1247,"+"&amp;J1247-K1247)),"")</f>
        <v/>
      </c>
      <c r="M1247" s="20" t="n"/>
      <c r="N1247" s="20" t="n"/>
      <c r="O1247" s="20" t="n"/>
      <c r="P1247" s="20" t="n"/>
      <c r="Q1247" s="20" t="n"/>
      <c r="R1247" s="20" t="n"/>
      <c r="S1247" s="20" t="n"/>
    </row>
    <row r="1248">
      <c r="A1248" s="15" t="n">
        <v>45872</v>
      </c>
      <c r="B1248" s="20" t="n">
        <v>37</v>
      </c>
      <c r="C1248" s="20" t="n">
        <v>26</v>
      </c>
      <c r="D1248" s="17" t="inlineStr">
        <is>
          <t>Preston Way</t>
        </is>
      </c>
      <c r="E1248" s="9">
        <f>if($A1248&lt;&gt;"",E1247+B1248,"")</f>
        <v/>
      </c>
      <c r="F1248" s="9">
        <f>if($A1248&lt;&gt;"",F1247+C1248,"")</f>
        <v/>
      </c>
      <c r="G1248" s="11">
        <f>IF($A1248&lt;&gt;"",IF(F1248-E1248=0,"tie",IF(F1248-E1248&gt;0,"+"&amp;F1248-E1248,"+"&amp;E1248-F1248)),"")</f>
        <v/>
      </c>
      <c r="H1248" s="12">
        <f>if($A1248&lt;&gt;"",if(B1248&gt;C1248,if(B1248&lt;60,1,2),""),"")</f>
        <v/>
      </c>
      <c r="I1248" s="12">
        <f>if($A1248&lt;&gt;"",if(C1248&gt;B1248,if(C1248&lt;60,1,2),""),"")</f>
        <v/>
      </c>
      <c r="J1248" s="9">
        <f>if($A1248&lt;&gt;"",J1247+H1248,"")</f>
        <v/>
      </c>
      <c r="K1248" s="9">
        <f>if($A1248&lt;&gt;"",K1247+I1248,"")</f>
        <v/>
      </c>
      <c r="L1248" s="11">
        <f>IF($A1248&lt;&gt;"",IF(K1248-J1248=0,"tie",IF(K1248-J1248&gt;0,"+"&amp;K1248-J1248,"+"&amp;J1248-K1248)),"")</f>
        <v/>
      </c>
      <c r="M1248" s="20" t="n"/>
      <c r="N1248" s="20" t="n"/>
      <c r="O1248" s="20" t="n"/>
      <c r="P1248" s="20" t="n"/>
      <c r="Q1248" s="20" t="n"/>
      <c r="R1248" s="20" t="n"/>
      <c r="S1248" s="20" t="n"/>
    </row>
    <row r="1249">
      <c r="A1249" s="15" t="n">
        <v>45872</v>
      </c>
      <c r="B1249" s="20" t="n">
        <v>48</v>
      </c>
      <c r="C1249" s="20" t="n">
        <v>61</v>
      </c>
      <c r="D1249" s="17" t="inlineStr">
        <is>
          <t>Bottega Louie</t>
        </is>
      </c>
      <c r="E1249" s="9">
        <f>if($A1249&lt;&gt;"",E1248+B1249,"")</f>
        <v/>
      </c>
      <c r="F1249" s="9">
        <f>if($A1249&lt;&gt;"",F1248+C1249,"")</f>
        <v/>
      </c>
      <c r="G1249" s="11">
        <f>IF($A1249&lt;&gt;"",IF(F1249-E1249=0,"tie",IF(F1249-E1249&gt;0,"+"&amp;F1249-E1249,"+"&amp;E1249-F1249)),"")</f>
        <v/>
      </c>
      <c r="H1249" s="12">
        <f>if($A1249&lt;&gt;"",if(B1249&gt;C1249,if(B1249&lt;60,1,2),""),"")</f>
        <v/>
      </c>
      <c r="I1249" s="12">
        <f>if($A1249&lt;&gt;"",if(C1249&gt;B1249,if(C1249&lt;60,1,2),""),"")</f>
        <v/>
      </c>
      <c r="J1249" s="9">
        <f>if($A1249&lt;&gt;"",J1248+H1249,"")</f>
        <v/>
      </c>
      <c r="K1249" s="9">
        <f>if($A1249&lt;&gt;"",K1248+I1249,"")</f>
        <v/>
      </c>
      <c r="L1249" s="11">
        <f>IF($A1249&lt;&gt;"",IF(K1249-J1249=0,"tie",IF(K1249-J1249&gt;0,"+"&amp;K1249-J1249,"+"&amp;J1249-K1249)),"")</f>
        <v/>
      </c>
      <c r="M1249" s="20" t="n"/>
      <c r="N1249" s="20" t="n"/>
      <c r="O1249" s="20" t="n"/>
      <c r="P1249" s="20" t="n"/>
      <c r="Q1249" s="20" t="n"/>
      <c r="R1249" s="20" t="n"/>
      <c r="S1249" s="20" t="n"/>
    </row>
    <row r="1250">
      <c r="A1250" s="15" t="n">
        <v>45873</v>
      </c>
      <c r="B1250" s="20" t="n">
        <v>19</v>
      </c>
      <c r="C1250" s="20" t="n">
        <v>35</v>
      </c>
      <c r="D1250" s="17" t="inlineStr">
        <is>
          <t>George's Burgers, Santa Monica</t>
        </is>
      </c>
      <c r="E1250" s="9">
        <f>if($A1250&lt;&gt;"",E1249+B1250,"")</f>
        <v/>
      </c>
      <c r="F1250" s="9">
        <f>if($A1250&lt;&gt;"",F1249+C1250,"")</f>
        <v/>
      </c>
      <c r="G1250" s="11">
        <f>IF($A1250&lt;&gt;"",IF(F1250-E1250=0,"tie",IF(F1250-E1250&gt;0,"+"&amp;F1250-E1250,"+"&amp;E1250-F1250)),"")</f>
        <v/>
      </c>
      <c r="H1250" s="12">
        <f>if($A1250&lt;&gt;"",if(B1250&gt;C1250,if(B1250&lt;60,1,2),""),"")</f>
        <v/>
      </c>
      <c r="I1250" s="12">
        <f>if($A1250&lt;&gt;"",if(C1250&gt;B1250,if(C1250&lt;60,1,2),""),"")</f>
        <v/>
      </c>
      <c r="J1250" s="9">
        <f>if($A1250&lt;&gt;"",J1249+H1250,"")</f>
        <v/>
      </c>
      <c r="K1250" s="9">
        <f>if($A1250&lt;&gt;"",K1249+I1250,"")</f>
        <v/>
      </c>
      <c r="L1250" s="11">
        <f>IF($A1250&lt;&gt;"",IF(K1250-J1250=0,"tie",IF(K1250-J1250&gt;0,"+"&amp;K1250-J1250,"+"&amp;J1250-K1250)),"")</f>
        <v/>
      </c>
      <c r="M1250" s="20" t="n"/>
      <c r="N1250" s="20" t="n"/>
      <c r="O1250" s="20" t="n"/>
      <c r="P1250" s="20" t="n"/>
      <c r="Q1250" s="20" t="n"/>
      <c r="R1250" s="20" t="n"/>
      <c r="S1250" s="20" t="n"/>
    </row>
    <row r="1251">
      <c r="A1251" s="15" t="n">
        <v>45876</v>
      </c>
      <c r="B1251" s="20" t="n">
        <v>39</v>
      </c>
      <c r="C1251" s="20" t="n">
        <v>61</v>
      </c>
      <c r="D1251" s="17" t="inlineStr">
        <is>
          <t>J Nichols, MDR</t>
        </is>
      </c>
      <c r="E1251" s="9">
        <f>if($A1251&lt;&gt;"",E1250+B1251,"")</f>
        <v/>
      </c>
      <c r="F1251" s="9">
        <f>if($A1251&lt;&gt;"",F1250+C1251,"")</f>
        <v/>
      </c>
      <c r="G1251" s="11">
        <f>IF($A1251&lt;&gt;"",IF(F1251-E1251=0,"tie",IF(F1251-E1251&gt;0,"+"&amp;F1251-E1251,"+"&amp;E1251-F1251)),"")</f>
        <v/>
      </c>
      <c r="H1251" s="12">
        <f>if($A1251&lt;&gt;"",if(B1251&gt;C1251,if(B1251&lt;60,1,2),""),"")</f>
        <v/>
      </c>
      <c r="I1251" s="12">
        <f>if($A1251&lt;&gt;"",if(C1251&gt;B1251,if(C1251&lt;60,1,2),""),"")</f>
        <v/>
      </c>
      <c r="J1251" s="9">
        <f>if($A1251&lt;&gt;"",J1250+H1251,"")</f>
        <v/>
      </c>
      <c r="K1251" s="9">
        <f>if($A1251&lt;&gt;"",K1250+I1251,"")</f>
        <v/>
      </c>
      <c r="L1251" s="11">
        <f>IF($A1251&lt;&gt;"",IF(K1251-J1251=0,"tie",IF(K1251-J1251&gt;0,"+"&amp;K1251-J1251,"+"&amp;J1251-K1251)),"")</f>
        <v/>
      </c>
      <c r="M1251" s="20" t="n"/>
      <c r="N1251" s="20" t="n"/>
      <c r="O1251" s="20" t="n"/>
      <c r="P1251" s="20" t="n"/>
      <c r="Q1251" s="20" t="n"/>
      <c r="R1251" s="20" t="n"/>
      <c r="S1251" s="20" t="n"/>
    </row>
    <row r="1252">
      <c r="A1252" s="15" t="n">
        <v>45877</v>
      </c>
      <c r="B1252" s="20" t="n">
        <v>44</v>
      </c>
      <c r="C1252" s="20" t="n">
        <v>35</v>
      </c>
      <c r="D1252" s="17" t="inlineStr">
        <is>
          <t>Preston Way</t>
        </is>
      </c>
      <c r="E1252" s="9">
        <f>if($A1252&lt;&gt;"",E1251+B1252,"")</f>
        <v/>
      </c>
      <c r="F1252" s="9">
        <f>if($A1252&lt;&gt;"",F1251+C1252,"")</f>
        <v/>
      </c>
      <c r="G1252" s="11">
        <f>IF($A1252&lt;&gt;"",IF(F1252-E1252=0,"tie",IF(F1252-E1252&gt;0,"+"&amp;F1252-E1252,"+"&amp;E1252-F1252)),"")</f>
        <v/>
      </c>
      <c r="H1252" s="12">
        <f>if($A1252&lt;&gt;"",if(B1252&gt;C1252,if(B1252&lt;60,1,2),""),"")</f>
        <v/>
      </c>
      <c r="I1252" s="12">
        <f>if($A1252&lt;&gt;"",if(C1252&gt;B1252,if(C1252&lt;60,1,2),""),"")</f>
        <v/>
      </c>
      <c r="J1252" s="9">
        <f>if($A1252&lt;&gt;"",J1251+H1252,"")</f>
        <v/>
      </c>
      <c r="K1252" s="9">
        <f>if($A1252&lt;&gt;"",K1251+I1252,"")</f>
        <v/>
      </c>
      <c r="L1252" s="11">
        <f>IF($A1252&lt;&gt;"",IF(K1252-J1252=0,"tie",IF(K1252-J1252&gt;0,"+"&amp;K1252-J1252,"+"&amp;J1252-K1252)),"")</f>
        <v/>
      </c>
      <c r="M1252" s="20" t="n"/>
      <c r="N1252" s="20" t="n"/>
      <c r="O1252" s="20" t="n"/>
      <c r="P1252" s="20" t="n"/>
      <c r="Q1252" s="20" t="n"/>
      <c r="R1252" s="20" t="n"/>
      <c r="S1252" s="20" t="n"/>
    </row>
    <row r="1253">
      <c r="A1253" s="15" t="n">
        <v>45880</v>
      </c>
      <c r="B1253" s="20" t="n">
        <v>24</v>
      </c>
      <c r="C1253" s="20" t="n">
        <v>37</v>
      </c>
      <c r="D1253" s="17" t="inlineStr">
        <is>
          <t>Maxine's</t>
        </is>
      </c>
      <c r="E1253" s="9">
        <f>if($A1253&lt;&gt;"",E1252+B1253,"")</f>
        <v/>
      </c>
      <c r="F1253" s="9">
        <f>if($A1253&lt;&gt;"",F1252+C1253,"")</f>
        <v/>
      </c>
      <c r="G1253" s="11">
        <f>IF($A1253&lt;&gt;"",IF(F1253-E1253=0,"tie",IF(F1253-E1253&gt;0,"+"&amp;F1253-E1253,"+"&amp;E1253-F1253)),"")</f>
        <v/>
      </c>
      <c r="H1253" s="12">
        <f>if($A1253&lt;&gt;"",if(B1253&gt;C1253,if(B1253&lt;60,1,2),""),"")</f>
        <v/>
      </c>
      <c r="I1253" s="12">
        <f>if($A1253&lt;&gt;"",if(C1253&gt;B1253,if(C1253&lt;60,1,2),""),"")</f>
        <v/>
      </c>
      <c r="J1253" s="9">
        <f>if($A1253&lt;&gt;"",J1252+H1253,"")</f>
        <v/>
      </c>
      <c r="K1253" s="9">
        <f>if($A1253&lt;&gt;"",K1252+I1253,"")</f>
        <v/>
      </c>
      <c r="L1253" s="11">
        <f>IF($A1253&lt;&gt;"",IF(K1253-J1253=0,"tie",IF(K1253-J1253&gt;0,"+"&amp;K1253-J1253,"+"&amp;J1253-K1253)),"")</f>
        <v/>
      </c>
      <c r="M1253" s="20" t="n"/>
      <c r="N1253" s="20" t="n"/>
      <c r="O1253" s="20" t="n"/>
      <c r="P1253" s="20" t="n"/>
      <c r="Q1253" s="20" t="n"/>
      <c r="R1253" s="20" t="n"/>
      <c r="S1253" s="20" t="n"/>
    </row>
    <row r="1254">
      <c r="A1254" s="15" t="n">
        <v>45881</v>
      </c>
      <c r="B1254" s="20" t="n">
        <v>33</v>
      </c>
      <c r="C1254" s="20" t="n">
        <v>20</v>
      </c>
      <c r="D1254" s="17" t="inlineStr">
        <is>
          <t>Preston Way</t>
        </is>
      </c>
      <c r="E1254" s="9">
        <f>if($A1254&lt;&gt;"",E1253+B1254,"")</f>
        <v/>
      </c>
      <c r="F1254" s="9">
        <f>if($A1254&lt;&gt;"",F1253+C1254,"")</f>
        <v/>
      </c>
      <c r="G1254" s="11">
        <f>IF($A1254&lt;&gt;"",IF(F1254-E1254=0,"tie",IF(F1254-E1254&gt;0,"+"&amp;F1254-E1254,"+"&amp;E1254-F1254)),"")</f>
        <v/>
      </c>
      <c r="H1254" s="12">
        <f>if($A1254&lt;&gt;"",if(B1254&gt;C1254,if(B1254&lt;60,1,2),""),"")</f>
        <v/>
      </c>
      <c r="I1254" s="12">
        <f>if($A1254&lt;&gt;"",if(C1254&gt;B1254,if(C1254&lt;60,1,2),""),"")</f>
        <v/>
      </c>
      <c r="J1254" s="9">
        <f>if($A1254&lt;&gt;"",J1253+H1254,"")</f>
        <v/>
      </c>
      <c r="K1254" s="9">
        <f>if($A1254&lt;&gt;"",K1253+I1254,"")</f>
        <v/>
      </c>
      <c r="L1254" s="11">
        <f>IF($A1254&lt;&gt;"",IF(K1254-J1254=0,"tie",IF(K1254-J1254&gt;0,"+"&amp;K1254-J1254,"+"&amp;J1254-K1254)),"")</f>
        <v/>
      </c>
      <c r="M1254" s="20" t="n"/>
      <c r="N1254" s="20" t="n"/>
      <c r="O1254" s="20" t="n"/>
      <c r="P1254" s="20" t="n"/>
      <c r="Q1254" s="20" t="n"/>
      <c r="R1254" s="20" t="n"/>
      <c r="S1254" s="20" t="n"/>
    </row>
    <row r="1255">
      <c r="A1255" s="15" t="n">
        <v>45882</v>
      </c>
      <c r="B1255" s="20" t="n">
        <v>38</v>
      </c>
      <c r="C1255" s="20" t="n">
        <v>36</v>
      </c>
      <c r="D1255" s="17" t="inlineStr">
        <is>
          <t>Preston Way</t>
        </is>
      </c>
      <c r="E1255" s="9">
        <f>if($A1255&lt;&gt;"",E1254+B1255,"")</f>
        <v/>
      </c>
      <c r="F1255" s="9">
        <f>if($A1255&lt;&gt;"",F1254+C1255,"")</f>
        <v/>
      </c>
      <c r="G1255" s="11">
        <f>IF($A1255&lt;&gt;"",IF(F1255-E1255=0,"tie",IF(F1255-E1255&gt;0,"+"&amp;F1255-E1255,"+"&amp;E1255-F1255)),"")</f>
        <v/>
      </c>
      <c r="H1255" s="12">
        <f>if($A1255&lt;&gt;"",if(B1255&gt;C1255,if(B1255&lt;60,1,2),""),"")</f>
        <v/>
      </c>
      <c r="I1255" s="12">
        <f>if($A1255&lt;&gt;"",if(C1255&gt;B1255,if(C1255&lt;60,1,2),""),"")</f>
        <v/>
      </c>
      <c r="J1255" s="9">
        <f>if($A1255&lt;&gt;"",J1254+H1255,"")</f>
        <v/>
      </c>
      <c r="K1255" s="9">
        <f>if($A1255&lt;&gt;"",K1254+I1255,"")</f>
        <v/>
      </c>
      <c r="L1255" s="11">
        <f>IF($A1255&lt;&gt;"",IF(K1255-J1255=0,"tie",IF(K1255-J1255&gt;0,"+"&amp;K1255-J1255,"+"&amp;J1255-K1255)),"")</f>
        <v/>
      </c>
      <c r="M1255" s="20" t="n"/>
      <c r="N1255" s="20" t="n"/>
      <c r="O1255" s="20" t="n"/>
      <c r="P1255" s="20" t="n"/>
      <c r="Q1255" s="20" t="n"/>
      <c r="R1255" s="20" t="n"/>
      <c r="S1255" s="20" t="n"/>
    </row>
    <row r="1256">
      <c r="A1256" s="15" t="n">
        <v>45884</v>
      </c>
      <c r="B1256" s="20" t="n">
        <v>32</v>
      </c>
      <c r="C1256" s="20" t="n">
        <v>31</v>
      </c>
      <c r="D1256" s="17" t="inlineStr">
        <is>
          <t>Le Pain Quotidien</t>
        </is>
      </c>
      <c r="E1256" s="9">
        <f>if($A1256&lt;&gt;"",E1255+B1256,"")</f>
        <v/>
      </c>
      <c r="F1256" s="9">
        <f>if($A1256&lt;&gt;"",F1255+C1256,"")</f>
        <v/>
      </c>
      <c r="G1256" s="11">
        <f>IF($A1256&lt;&gt;"",IF(F1256-E1256=0,"tie",IF(F1256-E1256&gt;0,"+"&amp;F1256-E1256,"+"&amp;E1256-F1256)),"")</f>
        <v/>
      </c>
      <c r="H1256" s="12">
        <f>if($A1256&lt;&gt;"",if(B1256&gt;C1256,if(B1256&lt;60,1,2),""),"")</f>
        <v/>
      </c>
      <c r="I1256" s="12">
        <f>if($A1256&lt;&gt;"",if(C1256&gt;B1256,if(C1256&lt;60,1,2),""),"")</f>
        <v/>
      </c>
      <c r="J1256" s="9">
        <f>if($A1256&lt;&gt;"",J1255+H1256,"")</f>
        <v/>
      </c>
      <c r="K1256" s="9">
        <f>if($A1256&lt;&gt;"",K1255+I1256,"")</f>
        <v/>
      </c>
      <c r="L1256" s="11">
        <f>IF($A1256&lt;&gt;"",IF(K1256-J1256=0,"tie",IF(K1256-J1256&gt;0,"+"&amp;K1256-J1256,"+"&amp;J1256-K1256)),"")</f>
        <v/>
      </c>
      <c r="M1256" s="20" t="n"/>
      <c r="N1256" s="20" t="n"/>
      <c r="O1256" s="20" t="n"/>
      <c r="P1256" s="20" t="n"/>
      <c r="Q1256" s="20" t="n"/>
      <c r="R1256" s="20" t="n"/>
      <c r="S1256" s="20" t="n"/>
    </row>
    <row r="1257">
      <c r="A1257" s="15" t="n">
        <v>45885</v>
      </c>
      <c r="B1257" s="20" t="n">
        <v>66</v>
      </c>
      <c r="C1257" s="20" t="n">
        <v>44</v>
      </c>
      <c r="D1257" s="17" t="inlineStr">
        <is>
          <t>Corktree, Carpinteria</t>
        </is>
      </c>
      <c r="E1257" s="9">
        <f>if($A1257&lt;&gt;"",E1256+B1257,"")</f>
        <v/>
      </c>
      <c r="F1257" s="9">
        <f>if($A1257&lt;&gt;"",F1256+C1257,"")</f>
        <v/>
      </c>
      <c r="G1257" s="11">
        <f>IF($A1257&lt;&gt;"",IF(F1257-E1257=0,"tie",IF(F1257-E1257&gt;0,"+"&amp;F1257-E1257,"+"&amp;E1257-F1257)),"")</f>
        <v/>
      </c>
      <c r="H1257" s="12">
        <f>if($A1257&lt;&gt;"",if(B1257&gt;C1257,if(B1257&lt;60,1,2),""),"")</f>
        <v/>
      </c>
      <c r="I1257" s="12">
        <f>if($A1257&lt;&gt;"",if(C1257&gt;B1257,if(C1257&lt;60,1,2),""),"")</f>
        <v/>
      </c>
      <c r="J1257" s="9">
        <f>if($A1257&lt;&gt;"",J1256+H1257,"")</f>
        <v/>
      </c>
      <c r="K1257" s="9">
        <f>if($A1257&lt;&gt;"",K1256+I1257,"")</f>
        <v/>
      </c>
      <c r="L1257" s="11">
        <f>IF($A1257&lt;&gt;"",IF(K1257-J1257=0,"tie",IF(K1257-J1257&gt;0,"+"&amp;K1257-J1257,"+"&amp;J1257-K1257)),"")</f>
        <v/>
      </c>
      <c r="M1257" s="20" t="n"/>
      <c r="N1257" s="20" t="n"/>
      <c r="O1257" s="20" t="n"/>
      <c r="P1257" s="20" t="n"/>
      <c r="Q1257" s="20" t="n"/>
      <c r="R1257" s="20" t="n"/>
      <c r="S1257" s="20" t="n"/>
    </row>
    <row r="1258">
      <c r="A1258" s="15" t="n">
        <v>45886</v>
      </c>
      <c r="B1258" s="20" t="n">
        <v>33</v>
      </c>
      <c r="C1258" s="20" t="n">
        <v>24</v>
      </c>
      <c r="D1258" s="17" t="inlineStr">
        <is>
          <t>Esau's, Carpinteria</t>
        </is>
      </c>
      <c r="E1258" s="9">
        <f>if($A1258&lt;&gt;"",E1257+B1258,"")</f>
        <v/>
      </c>
      <c r="F1258" s="9">
        <f>if($A1258&lt;&gt;"",F1257+C1258,"")</f>
        <v/>
      </c>
      <c r="G1258" s="11">
        <f>IF($A1258&lt;&gt;"",IF(F1258-E1258=0,"tie",IF(F1258-E1258&gt;0,"+"&amp;F1258-E1258,"+"&amp;E1258-F1258)),"")</f>
        <v/>
      </c>
      <c r="H1258" s="12">
        <f>if($A1258&lt;&gt;"",if(B1258&gt;C1258,if(B1258&lt;60,1,2),""),"")</f>
        <v/>
      </c>
      <c r="I1258" s="12">
        <f>if($A1258&lt;&gt;"",if(C1258&gt;B1258,if(C1258&lt;60,1,2),""),"")</f>
        <v/>
      </c>
      <c r="J1258" s="9">
        <f>if($A1258&lt;&gt;"",J1257+H1258,"")</f>
        <v/>
      </c>
      <c r="K1258" s="9">
        <f>if($A1258&lt;&gt;"",K1257+I1258,"")</f>
        <v/>
      </c>
      <c r="L1258" s="11">
        <f>IF($A1258&lt;&gt;"",IF(K1258-J1258=0,"tie",IF(K1258-J1258&gt;0,"+"&amp;K1258-J1258,"+"&amp;J1258-K1258)),"")</f>
        <v/>
      </c>
      <c r="M1258" s="20" t="n"/>
      <c r="N1258" s="20" t="n"/>
      <c r="O1258" s="20" t="n"/>
      <c r="P1258" s="20" t="n"/>
      <c r="Q1258" s="20" t="n"/>
      <c r="R1258" s="20" t="n"/>
      <c r="S1258" s="20" t="n"/>
    </row>
    <row r="1259">
      <c r="A1259" s="15" t="n">
        <v>45886</v>
      </c>
      <c r="B1259" s="20" t="n">
        <v>33</v>
      </c>
      <c r="C1259" s="20" t="n">
        <v>27</v>
      </c>
      <c r="D1259" s="17" t="inlineStr">
        <is>
          <t xml:space="preserve">Brent's, Westlake Village </t>
        </is>
      </c>
      <c r="E1259" s="9">
        <f>if($A1259&lt;&gt;"",E1258+B1259,"")</f>
        <v/>
      </c>
      <c r="F1259" s="9">
        <f>if($A1259&lt;&gt;"",F1258+C1259,"")</f>
        <v/>
      </c>
      <c r="G1259" s="11">
        <f>IF($A1259&lt;&gt;"",IF(F1259-E1259=0,"tie",IF(F1259-E1259&gt;0,"+"&amp;F1259-E1259,"+"&amp;E1259-F1259)),"")</f>
        <v/>
      </c>
      <c r="H1259" s="12">
        <f>if($A1259&lt;&gt;"",if(B1259&gt;C1259,if(B1259&lt;60,1,2),""),"")</f>
        <v/>
      </c>
      <c r="I1259" s="12">
        <f>if($A1259&lt;&gt;"",if(C1259&gt;B1259,if(C1259&lt;60,1,2),""),"")</f>
        <v/>
      </c>
      <c r="J1259" s="9">
        <f>if($A1259&lt;&gt;"",J1258+H1259,"")</f>
        <v/>
      </c>
      <c r="K1259" s="9">
        <f>if($A1259&lt;&gt;"",K1258+I1259,"")</f>
        <v/>
      </c>
      <c r="L1259" s="11">
        <f>IF($A1259&lt;&gt;"",IF(K1259-J1259=0,"tie",IF(K1259-J1259&gt;0,"+"&amp;K1259-J1259,"+"&amp;J1259-K1259)),"")</f>
        <v/>
      </c>
      <c r="M1259" s="20" t="n"/>
      <c r="N1259" s="20" t="n"/>
      <c r="O1259" s="20" t="n"/>
      <c r="P1259" s="20" t="n"/>
      <c r="Q1259" s="20" t="n"/>
      <c r="R1259" s="20" t="n"/>
      <c r="S1259" s="20" t="n"/>
    </row>
    <row r="1260">
      <c r="A1260" s="15" t="n">
        <v>45890</v>
      </c>
      <c r="B1260" s="20" t="n">
        <v>37</v>
      </c>
      <c r="C1260" s="20" t="n">
        <v>15</v>
      </c>
      <c r="D1260" s="17" t="inlineStr">
        <is>
          <t>Electric Bleu</t>
        </is>
      </c>
      <c r="E1260" s="9">
        <f>if($A1260&lt;&gt;"",E1259+B1260,"")</f>
        <v/>
      </c>
      <c r="F1260" s="9">
        <f>if($A1260&lt;&gt;"",F1259+C1260,"")</f>
        <v/>
      </c>
      <c r="G1260" s="11">
        <f>IF($A1260&lt;&gt;"",IF(F1260-E1260=0,"tie",IF(F1260-E1260&gt;0,"+"&amp;F1260-E1260,"+"&amp;E1260-F1260)),"")</f>
        <v/>
      </c>
      <c r="H1260" s="12">
        <f>if($A1260&lt;&gt;"",if(B1260&gt;C1260,if(B1260&lt;60,1,2),""),"")</f>
        <v/>
      </c>
      <c r="I1260" s="12">
        <f>if($A1260&lt;&gt;"",if(C1260&gt;B1260,if(C1260&lt;60,1,2),""),"")</f>
        <v/>
      </c>
      <c r="J1260" s="9">
        <f>if($A1260&lt;&gt;"",J1259+H1260,"")</f>
        <v/>
      </c>
      <c r="K1260" s="9">
        <f>if($A1260&lt;&gt;"",K1259+I1260,"")</f>
        <v/>
      </c>
      <c r="L1260" s="11">
        <f>IF($A1260&lt;&gt;"",IF(K1260-J1260=0,"tie",IF(K1260-J1260&gt;0,"+"&amp;K1260-J1260,"+"&amp;J1260-K1260)),"")</f>
        <v/>
      </c>
      <c r="M1260" s="20" t="n"/>
      <c r="N1260" s="20" t="n"/>
      <c r="O1260" s="20" t="n"/>
      <c r="P1260" s="20" t="n"/>
      <c r="Q1260" s="20" t="n"/>
      <c r="R1260" s="20" t="n"/>
      <c r="S1260" s="20" t="n"/>
    </row>
    <row r="1261">
      <c r="A1261" s="15" t="n">
        <v>45892</v>
      </c>
      <c r="B1261" s="20" t="n">
        <v>18</v>
      </c>
      <c r="C1261" s="20" t="n">
        <v>35</v>
      </c>
      <c r="D1261" s="17" t="inlineStr">
        <is>
          <t>Zinque, Venice</t>
        </is>
      </c>
      <c r="E1261" s="9">
        <f>if($A1261&lt;&gt;"",E1260+B1261,"")</f>
        <v/>
      </c>
      <c r="F1261" s="9">
        <f>if($A1261&lt;&gt;"",F1260+C1261,"")</f>
        <v/>
      </c>
      <c r="G1261" s="11">
        <f>IF($A1261&lt;&gt;"",IF(F1261-E1261=0,"tie",IF(F1261-E1261&gt;0,"+"&amp;F1261-E1261,"+"&amp;E1261-F1261)),"")</f>
        <v/>
      </c>
      <c r="H1261" s="12">
        <f>if($A1261&lt;&gt;"",if(B1261&gt;C1261,if(B1261&lt;60,1,2),""),"")</f>
        <v/>
      </c>
      <c r="I1261" s="12">
        <f>if($A1261&lt;&gt;"",if(C1261&gt;B1261,if(C1261&lt;60,1,2),""),"")</f>
        <v/>
      </c>
      <c r="J1261" s="9">
        <f>if($A1261&lt;&gt;"",J1260+H1261,"")</f>
        <v/>
      </c>
      <c r="K1261" s="9">
        <f>if($A1261&lt;&gt;"",K1260+I1261,"")</f>
        <v/>
      </c>
      <c r="L1261" s="11">
        <f>IF($A1261&lt;&gt;"",IF(K1261-J1261=0,"tie",IF(K1261-J1261&gt;0,"+"&amp;K1261-J1261,"+"&amp;J1261-K1261)),"")</f>
        <v/>
      </c>
      <c r="M1261" s="20" t="n"/>
      <c r="N1261" s="20" t="n"/>
      <c r="O1261" s="20" t="n"/>
      <c r="P1261" s="20" t="n"/>
      <c r="Q1261" s="20" t="n"/>
      <c r="R1261" s="20" t="n"/>
      <c r="S1261" s="20" t="n"/>
    </row>
    <row r="1262">
      <c r="A1262" s="15" t="n">
        <v>45896</v>
      </c>
      <c r="B1262" s="20" t="n">
        <v>24</v>
      </c>
      <c r="C1262" s="20" t="n">
        <v>33</v>
      </c>
      <c r="D1262" s="17" t="inlineStr">
        <is>
          <t>Dinah's</t>
        </is>
      </c>
      <c r="E1262" s="9">
        <f>if($A1262&lt;&gt;"",E1261+B1262,"")</f>
        <v/>
      </c>
      <c r="F1262" s="9">
        <f>if($A1262&lt;&gt;"",F1261+C1262,"")</f>
        <v/>
      </c>
      <c r="G1262" s="11">
        <f>IF($A1262&lt;&gt;"",IF(F1262-E1262=0,"tie",IF(F1262-E1262&gt;0,"+"&amp;F1262-E1262,"+"&amp;E1262-F1262)),"")</f>
        <v/>
      </c>
      <c r="H1262" s="12">
        <f>if($A1262&lt;&gt;"",if(B1262&gt;C1262,if(B1262&lt;60,1,2),""),"")</f>
        <v/>
      </c>
      <c r="I1262" s="12">
        <f>if($A1262&lt;&gt;"",if(C1262&gt;B1262,if(C1262&lt;60,1,2),""),"")</f>
        <v/>
      </c>
      <c r="J1262" s="9">
        <f>if($A1262&lt;&gt;"",J1261+H1262,"")</f>
        <v/>
      </c>
      <c r="K1262" s="9">
        <f>if($A1262&lt;&gt;"",K1261+I1262,"")</f>
        <v/>
      </c>
      <c r="L1262" s="11">
        <f>IF($A1262&lt;&gt;"",IF(K1262-J1262=0,"tie",IF(K1262-J1262&gt;0,"+"&amp;K1262-J1262,"+"&amp;J1262-K1262)),"")</f>
        <v/>
      </c>
      <c r="M1262" s="20" t="n"/>
      <c r="N1262" s="20" t="n"/>
      <c r="O1262" s="20" t="n"/>
      <c r="P1262" s="20" t="n"/>
      <c r="Q1262" s="20" t="n"/>
      <c r="R1262" s="20" t="n"/>
      <c r="S1262" s="20" t="n"/>
    </row>
    <row r="1263">
      <c r="A1263" s="15" t="n">
        <v>45904</v>
      </c>
      <c r="B1263" s="20" t="n">
        <v>32</v>
      </c>
      <c r="C1263" s="20" t="n">
        <v>34</v>
      </c>
      <c r="D1263" s="17" t="inlineStr">
        <is>
          <t xml:space="preserve">The Manchester </t>
        </is>
      </c>
      <c r="E1263" s="9">
        <f>if($A1263&lt;&gt;"",E1262+B1263,"")</f>
        <v/>
      </c>
      <c r="F1263" s="9">
        <f>if($A1263&lt;&gt;"",F1262+C1263,"")</f>
        <v/>
      </c>
      <c r="G1263" s="11">
        <f>IF($A1263&lt;&gt;"",IF(F1263-E1263=0,"tie",IF(F1263-E1263&gt;0,"+"&amp;F1263-E1263,"+"&amp;E1263-F1263)),"")</f>
        <v/>
      </c>
      <c r="H1263" s="12">
        <f>if($A1263&lt;&gt;"",if(B1263&gt;C1263,if(B1263&lt;60,1,2),""),"")</f>
        <v/>
      </c>
      <c r="I1263" s="12">
        <f>if($A1263&lt;&gt;"",if(C1263&gt;B1263,if(C1263&lt;60,1,2),""),"")</f>
        <v/>
      </c>
      <c r="J1263" s="9">
        <f>if($A1263&lt;&gt;"",J1262+H1263,"")</f>
        <v/>
      </c>
      <c r="K1263" s="9">
        <f>if($A1263&lt;&gt;"",K1262+I1263,"")</f>
        <v/>
      </c>
      <c r="L1263" s="11">
        <f>IF($A1263&lt;&gt;"",IF(K1263-J1263=0,"tie",IF(K1263-J1263&gt;0,"+"&amp;K1263-J1263,"+"&amp;J1263-K1263)),"")</f>
        <v/>
      </c>
      <c r="M1263" s="20" t="n"/>
      <c r="N1263" s="20" t="n"/>
      <c r="O1263" s="20" t="n"/>
      <c r="P1263" s="20" t="n"/>
      <c r="Q1263" s="20" t="n"/>
      <c r="R1263" s="20" t="n"/>
      <c r="S1263" s="20" t="n"/>
    </row>
    <row r="1264">
      <c r="A1264" s="15" t="n">
        <v>45905</v>
      </c>
      <c r="B1264" s="20" t="n">
        <v>38</v>
      </c>
      <c r="C1264" s="20" t="n">
        <v>42</v>
      </c>
      <c r="D1264" s="17" t="inlineStr">
        <is>
          <t>Preston Way</t>
        </is>
      </c>
      <c r="E1264" s="9">
        <f>if($A1264&lt;&gt;"",E1263+B1264,"")</f>
        <v/>
      </c>
      <c r="F1264" s="9">
        <f>if($A1264&lt;&gt;"",F1263+C1264,"")</f>
        <v/>
      </c>
      <c r="G1264" s="11">
        <f>IF($A1264&lt;&gt;"",IF(F1264-E1264=0,"tie",IF(F1264-E1264&gt;0,"+"&amp;F1264-E1264,"+"&amp;E1264-F1264)),"")</f>
        <v/>
      </c>
      <c r="H1264" s="12">
        <f>if($A1264&lt;&gt;"",if(B1264&gt;C1264,if(B1264&lt;60,1,2),""),"")</f>
        <v/>
      </c>
      <c r="I1264" s="12">
        <f>if($A1264&lt;&gt;"",if(C1264&gt;B1264,if(C1264&lt;60,1,2),""),"")</f>
        <v/>
      </c>
      <c r="J1264" s="9">
        <f>if($A1264&lt;&gt;"",J1263+H1264,"")</f>
        <v/>
      </c>
      <c r="K1264" s="9">
        <f>if($A1264&lt;&gt;"",K1263+I1264,"")</f>
        <v/>
      </c>
      <c r="L1264" s="11">
        <f>IF($A1264&lt;&gt;"",IF(K1264-J1264=0,"tie",IF(K1264-J1264&gt;0,"+"&amp;K1264-J1264,"+"&amp;J1264-K1264)),"")</f>
        <v/>
      </c>
      <c r="M1264" s="20" t="n"/>
      <c r="N1264" s="20" t="n"/>
      <c r="O1264" s="20" t="n"/>
      <c r="P1264" s="20" t="n"/>
      <c r="Q1264" s="20" t="n"/>
      <c r="R1264" s="20" t="n"/>
      <c r="S1264" s="20" t="n"/>
    </row>
    <row r="1265">
      <c r="A1265" s="15" t="n">
        <v>45905</v>
      </c>
      <c r="B1265" s="20" t="n">
        <v>43</v>
      </c>
      <c r="C1265" s="20" t="n">
        <v>50</v>
      </c>
      <c r="D1265" s="17" t="inlineStr">
        <is>
          <t>iHop, Sepulveda, Culver City</t>
        </is>
      </c>
      <c r="E1265" s="9">
        <f>if($A1265&lt;&gt;"",E1264+B1265,"")</f>
        <v/>
      </c>
      <c r="F1265" s="9">
        <f>if($A1265&lt;&gt;"",F1264+C1265,"")</f>
        <v/>
      </c>
      <c r="G1265" s="11">
        <f>IF($A1265&lt;&gt;"",IF(F1265-E1265=0,"tie",IF(F1265-E1265&gt;0,"+"&amp;F1265-E1265,"+"&amp;E1265-F1265)),"")</f>
        <v/>
      </c>
      <c r="H1265" s="12">
        <f>if($A1265&lt;&gt;"",if(B1265&gt;C1265,if(B1265&lt;60,1,2),""),"")</f>
        <v/>
      </c>
      <c r="I1265" s="12">
        <f>if($A1265&lt;&gt;"",if(C1265&gt;B1265,if(C1265&lt;60,1,2),""),"")</f>
        <v/>
      </c>
      <c r="J1265" s="9">
        <f>if($A1265&lt;&gt;"",J1264+H1265,"")</f>
        <v/>
      </c>
      <c r="K1265" s="9">
        <f>if($A1265&lt;&gt;"",K1264+I1265,"")</f>
        <v/>
      </c>
      <c r="L1265" s="11">
        <f>IF($A1265&lt;&gt;"",IF(K1265-J1265=0,"tie",IF(K1265-J1265&gt;0,"+"&amp;K1265-J1265,"+"&amp;J1265-K1265)),"")</f>
        <v/>
      </c>
      <c r="M1265" s="20" t="n"/>
      <c r="N1265" s="20" t="n"/>
      <c r="O1265" s="20" t="n"/>
      <c r="P1265" s="20" t="n"/>
      <c r="Q1265" s="20" t="n"/>
      <c r="R1265" s="20" t="n"/>
      <c r="S1265" s="20" t="n"/>
    </row>
    <row r="1266">
      <c r="A1266" s="15" t="n">
        <v>45907</v>
      </c>
      <c r="B1266" s="20" t="n">
        <v>66</v>
      </c>
      <c r="C1266" s="20" t="n">
        <v>39</v>
      </c>
      <c r="D1266" s="17" t="inlineStr">
        <is>
          <t>Preston Way</t>
        </is>
      </c>
      <c r="E1266" s="9">
        <f>if($A1266&lt;&gt;"",E1265+B1266,"")</f>
        <v/>
      </c>
      <c r="F1266" s="9">
        <f>if($A1266&lt;&gt;"",F1265+C1266,"")</f>
        <v/>
      </c>
      <c r="G1266" s="11">
        <f>IF($A1266&lt;&gt;"",IF(F1266-E1266=0,"tie",IF(F1266-E1266&gt;0,"+"&amp;F1266-E1266,"+"&amp;E1266-F1266)),"")</f>
        <v/>
      </c>
      <c r="H1266" s="12">
        <f>if($A1266&lt;&gt;"",if(B1266&gt;C1266,if(B1266&lt;60,1,2),""),"")</f>
        <v/>
      </c>
      <c r="I1266" s="12">
        <f>if($A1266&lt;&gt;"",if(C1266&gt;B1266,if(C1266&lt;60,1,2),""),"")</f>
        <v/>
      </c>
      <c r="J1266" s="9">
        <f>if($A1266&lt;&gt;"",J1265+H1266,"")</f>
        <v/>
      </c>
      <c r="K1266" s="9">
        <f>if($A1266&lt;&gt;"",K1265+I1266,"")</f>
        <v/>
      </c>
      <c r="L1266" s="11">
        <f>IF($A1266&lt;&gt;"",IF(K1266-J1266=0,"tie",IF(K1266-J1266&gt;0,"+"&amp;K1266-J1266,"+"&amp;J1266-K1266)),"")</f>
        <v/>
      </c>
      <c r="M1266" s="20" t="n"/>
      <c r="N1266" s="20" t="n"/>
      <c r="O1266" s="20" t="n"/>
      <c r="P1266" s="20" t="n"/>
      <c r="Q1266" s="20" t="n"/>
      <c r="R1266" s="20" t="n"/>
      <c r="S1266" s="20" t="n"/>
    </row>
    <row r="1267">
      <c r="A1267" s="15" t="n">
        <v>45908</v>
      </c>
      <c r="B1267" s="20" t="n">
        <v>32</v>
      </c>
      <c r="C1267" s="20" t="n">
        <v>29</v>
      </c>
      <c r="D1267" s="17" t="inlineStr">
        <is>
          <t>Zinque, Venice</t>
        </is>
      </c>
      <c r="E1267" s="9">
        <f>if($A1267&lt;&gt;"",E1266+B1267,"")</f>
        <v/>
      </c>
      <c r="F1267" s="9">
        <f>if($A1267&lt;&gt;"",F1266+C1267,"")</f>
        <v/>
      </c>
      <c r="G1267" s="11">
        <f>IF($A1267&lt;&gt;"",IF(F1267-E1267=0,"tie",IF(F1267-E1267&gt;0,"+"&amp;F1267-E1267,"+"&amp;E1267-F1267)),"")</f>
        <v/>
      </c>
      <c r="H1267" s="12">
        <f>if($A1267&lt;&gt;"",if(B1267&gt;C1267,if(B1267&lt;60,1,2),""),"")</f>
        <v/>
      </c>
      <c r="I1267" s="12">
        <f>if($A1267&lt;&gt;"",if(C1267&gt;B1267,if(C1267&lt;60,1,2),""),"")</f>
        <v/>
      </c>
      <c r="J1267" s="9">
        <f>if($A1267&lt;&gt;"",J1266+H1267,"")</f>
        <v/>
      </c>
      <c r="K1267" s="9">
        <f>if($A1267&lt;&gt;"",K1266+I1267,"")</f>
        <v/>
      </c>
      <c r="L1267" s="11">
        <f>IF($A1267&lt;&gt;"",IF(K1267-J1267=0,"tie",IF(K1267-J1267&gt;0,"+"&amp;K1267-J1267,"+"&amp;J1267-K1267)),"")</f>
        <v/>
      </c>
      <c r="M1267" s="20" t="n"/>
      <c r="N1267" s="20" t="n"/>
      <c r="O1267" s="20" t="n"/>
      <c r="P1267" s="20" t="n"/>
      <c r="Q1267" s="20" t="n"/>
      <c r="R1267" s="20" t="n"/>
      <c r="S1267" s="20" t="n"/>
    </row>
    <row r="1268">
      <c r="A1268" s="15" t="n">
        <v>45910</v>
      </c>
      <c r="B1268" s="20" t="n">
        <v>41</v>
      </c>
      <c r="C1268" s="20" t="n">
        <v>63</v>
      </c>
      <c r="D1268" s="17" t="inlineStr">
        <is>
          <t>Gjelina</t>
        </is>
      </c>
      <c r="E1268" s="9">
        <f>if($A1268&lt;&gt;"",E1267+B1268,"")</f>
        <v/>
      </c>
      <c r="F1268" s="9">
        <f>if($A1268&lt;&gt;"",F1267+C1268,"")</f>
        <v/>
      </c>
      <c r="G1268" s="11">
        <f>IF($A1268&lt;&gt;"",IF(F1268-E1268=0,"tie",IF(F1268-E1268&gt;0,"+"&amp;F1268-E1268,"+"&amp;E1268-F1268)),"")</f>
        <v/>
      </c>
      <c r="H1268" s="12">
        <f>if($A1268&lt;&gt;"",if(B1268&gt;C1268,if(B1268&lt;60,1,2),""),"")</f>
        <v/>
      </c>
      <c r="I1268" s="12">
        <f>if($A1268&lt;&gt;"",if(C1268&gt;B1268,if(C1268&lt;60,1,2),""),"")</f>
        <v/>
      </c>
      <c r="J1268" s="9">
        <f>if($A1268&lt;&gt;"",J1267+H1268,"")</f>
        <v/>
      </c>
      <c r="K1268" s="9">
        <f>if($A1268&lt;&gt;"",K1267+I1268,"")</f>
        <v/>
      </c>
      <c r="L1268" s="11">
        <f>IF($A1268&lt;&gt;"",IF(K1268-J1268=0,"tie",IF(K1268-J1268&gt;0,"+"&amp;K1268-J1268,"+"&amp;J1268-K1268)),"")</f>
        <v/>
      </c>
      <c r="M1268" s="20" t="n"/>
      <c r="N1268" s="20" t="n"/>
      <c r="O1268" s="20" t="n"/>
      <c r="P1268" s="20" t="n"/>
      <c r="Q1268" s="20" t="n"/>
      <c r="R1268" s="20" t="n"/>
      <c r="S1268" s="20" t="n"/>
    </row>
    <row r="1269">
      <c r="A1269" s="15" t="n">
        <v>45912</v>
      </c>
      <c r="B1269" s="20" t="n">
        <v>36</v>
      </c>
      <c r="C1269" s="20" t="n">
        <v>26</v>
      </c>
      <c r="D1269" s="17" t="inlineStr">
        <is>
          <t>Preston Way</t>
        </is>
      </c>
      <c r="E1269" s="9">
        <f>if($A1269&lt;&gt;"",E1268+B1269,"")</f>
        <v/>
      </c>
      <c r="F1269" s="9">
        <f>if($A1269&lt;&gt;"",F1268+C1269,"")</f>
        <v/>
      </c>
      <c r="G1269" s="11">
        <f>IF($A1269&lt;&gt;"",IF(F1269-E1269=0,"tie",IF(F1269-E1269&gt;0,"+"&amp;F1269-E1269,"+"&amp;E1269-F1269)),"")</f>
        <v/>
      </c>
      <c r="H1269" s="12">
        <f>if($A1269&lt;&gt;"",if(B1269&gt;C1269,if(B1269&lt;60,1,2),""),"")</f>
        <v/>
      </c>
      <c r="I1269" s="12">
        <f>if($A1269&lt;&gt;"",if(C1269&gt;B1269,if(C1269&lt;60,1,2),""),"")</f>
        <v/>
      </c>
      <c r="J1269" s="9">
        <f>if($A1269&lt;&gt;"",J1268+H1269,"")</f>
        <v/>
      </c>
      <c r="K1269" s="9">
        <f>if($A1269&lt;&gt;"",K1268+I1269,"")</f>
        <v/>
      </c>
      <c r="L1269" s="11">
        <f>IF($A1269&lt;&gt;"",IF(K1269-J1269=0,"tie",IF(K1269-J1269&gt;0,"+"&amp;K1269-J1269,"+"&amp;J1269-K1269)),"")</f>
        <v/>
      </c>
      <c r="M1269" s="20" t="n"/>
      <c r="N1269" s="20" t="n"/>
      <c r="O1269" s="20" t="n"/>
      <c r="P1269" s="20" t="n"/>
      <c r="Q1269" s="20" t="n"/>
      <c r="R1269" s="20" t="n"/>
      <c r="S1269" s="20" t="n"/>
    </row>
    <row r="1270">
      <c r="A1270" s="15" t="n">
        <v>45824</v>
      </c>
      <c r="B1270" s="20" t="n">
        <v>36</v>
      </c>
      <c r="C1270" s="20" t="n">
        <v>26</v>
      </c>
      <c r="D1270" s="17" t="inlineStr">
        <is>
          <t>Bluey's</t>
        </is>
      </c>
      <c r="E1270" s="9">
        <f>if($A1270&lt;&gt;"",E1269+B1270,"")</f>
        <v/>
      </c>
      <c r="F1270" s="9">
        <f>if($A1270&lt;&gt;"",F1269+C1270,"")</f>
        <v/>
      </c>
      <c r="G1270" s="11">
        <f>IF($A1270&lt;&gt;"",IF(F1270-E1270=0,"tie",IF(F1270-E1270&gt;0,"+"&amp;F1270-E1270,"+"&amp;E1270-F1270)),"")</f>
        <v/>
      </c>
      <c r="H1270" s="12">
        <f>if($A1270&lt;&gt;"",if(B1270&gt;C1270,if(B1270&lt;60,1,2),""),"")</f>
        <v/>
      </c>
      <c r="I1270" s="12">
        <f>if($A1270&lt;&gt;"",if(C1270&gt;B1270,if(C1270&lt;60,1,2),""),"")</f>
        <v/>
      </c>
      <c r="J1270" s="9">
        <f>if($A1270&lt;&gt;"",J1269+H1270,"")</f>
        <v/>
      </c>
      <c r="K1270" s="9">
        <f>if($A1270&lt;&gt;"",K1269+I1270,"")</f>
        <v/>
      </c>
      <c r="L1270" s="11">
        <f>IF($A1270&lt;&gt;"",IF(K1270-J1270=0,"tie",IF(K1270-J1270&gt;0,"+"&amp;K1270-J1270,"+"&amp;J1270-K1270)),"")</f>
        <v/>
      </c>
      <c r="M1270" s="20" t="n"/>
      <c r="N1270" s="20" t="n"/>
      <c r="O1270" s="20" t="n"/>
      <c r="P1270" s="20" t="n"/>
      <c r="Q1270" s="20" t="n"/>
      <c r="R1270" s="20" t="n"/>
      <c r="S1270" s="20" t="n"/>
    </row>
    <row r="1271">
      <c r="A1271" s="15" t="n">
        <v>45919</v>
      </c>
      <c r="B1271" s="20" t="n">
        <v>33</v>
      </c>
      <c r="C1271" s="20" t="n">
        <v>9</v>
      </c>
      <c r="D1271" s="17" t="inlineStr">
        <is>
          <t>Checker Hall, Highland Hall, Highland Park</t>
        </is>
      </c>
      <c r="E1271" s="9">
        <f>if($A1271&lt;&gt;"",E1270+B1271,"")</f>
        <v/>
      </c>
      <c r="F1271" s="9">
        <f>if($A1271&lt;&gt;"",F1270+C1271,"")</f>
        <v/>
      </c>
      <c r="G1271" s="11">
        <f>IF($A1271&lt;&gt;"",IF(F1271-E1271=0,"tie",IF(F1271-E1271&gt;0,"+"&amp;F1271-E1271,"+"&amp;E1271-F1271)),"")</f>
        <v/>
      </c>
      <c r="H1271" s="12">
        <f>if($A1271&lt;&gt;"",if(B1271&gt;C1271,if(B1271&lt;60,1,2),""),"")</f>
        <v/>
      </c>
      <c r="I1271" s="12">
        <f>if($A1271&lt;&gt;"",if(C1271&gt;B1271,if(C1271&lt;60,1,2),""),"")</f>
        <v/>
      </c>
      <c r="J1271" s="9">
        <f>if($A1271&lt;&gt;"",J1270+H1271,"")</f>
        <v/>
      </c>
      <c r="K1271" s="9">
        <f>if($A1271&lt;&gt;"",K1270+I1271,"")</f>
        <v/>
      </c>
      <c r="L1271" s="11">
        <f>IF($A1271&lt;&gt;"",IF(K1271-J1271=0,"tie",IF(K1271-J1271&gt;0,"+"&amp;K1271-J1271,"+"&amp;J1271-K1271)),"")</f>
        <v/>
      </c>
      <c r="M1271" s="20" t="n"/>
      <c r="N1271" s="20" t="n"/>
      <c r="O1271" s="20" t="n"/>
      <c r="P1271" s="20" t="n"/>
      <c r="Q1271" s="20" t="n"/>
      <c r="R1271" s="20" t="n"/>
      <c r="S1271" s="20" t="n"/>
    </row>
    <row r="1272">
      <c r="A1272" s="15" t="n">
        <v>45922</v>
      </c>
      <c r="B1272" s="20" t="n">
        <v>29</v>
      </c>
      <c r="C1272" s="20" t="n">
        <v>39</v>
      </c>
      <c r="D1272" s="17" t="inlineStr">
        <is>
          <t>Preston Way</t>
        </is>
      </c>
      <c r="E1272" s="9">
        <f>if($A1272&lt;&gt;"",E1271+B1272,"")</f>
        <v/>
      </c>
      <c r="F1272" s="9">
        <f>if($A1272&lt;&gt;"",F1271+C1272,"")</f>
        <v/>
      </c>
      <c r="G1272" s="11">
        <f>IF($A1272&lt;&gt;"",IF(F1272-E1272=0,"tie",IF(F1272-E1272&gt;0,"+"&amp;F1272-E1272,"+"&amp;E1272-F1272)),"")</f>
        <v/>
      </c>
      <c r="H1272" s="12">
        <f>if($A1272&lt;&gt;"",if(B1272&gt;C1272,if(B1272&lt;60,1,2),""),"")</f>
        <v/>
      </c>
      <c r="I1272" s="12">
        <f>if($A1272&lt;&gt;"",if(C1272&gt;B1272,if(C1272&lt;60,1,2),""),"")</f>
        <v/>
      </c>
      <c r="J1272" s="9">
        <f>if($A1272&lt;&gt;"",J1271+H1272,"")</f>
        <v/>
      </c>
      <c r="K1272" s="9">
        <f>if($A1272&lt;&gt;"",K1271+I1272,"")</f>
        <v/>
      </c>
      <c r="L1272" s="11">
        <f>IF($A1272&lt;&gt;"",IF(K1272-J1272=0,"tie",IF(K1272-J1272&gt;0,"+"&amp;K1272-J1272,"+"&amp;J1272-K1272)),"")</f>
        <v/>
      </c>
      <c r="M1272" s="20" t="n"/>
      <c r="N1272" s="20" t="n"/>
      <c r="O1272" s="20" t="n"/>
      <c r="P1272" s="20" t="n"/>
      <c r="Q1272" s="20" t="n"/>
      <c r="R1272" s="20" t="n"/>
      <c r="S1272" s="20" t="n"/>
    </row>
    <row r="1273">
      <c r="A1273" s="15" t="n">
        <v>45923</v>
      </c>
      <c r="B1273" s="20" t="n">
        <v>48</v>
      </c>
      <c r="C1273" s="20" t="n">
        <v>28</v>
      </c>
      <c r="D1273" s="17" t="inlineStr">
        <is>
          <t>Preston Way</t>
        </is>
      </c>
      <c r="E1273" s="9">
        <f>if($A1273&lt;&gt;"",E1272+B1273,"")</f>
        <v/>
      </c>
      <c r="F1273" s="9">
        <f>if($A1273&lt;&gt;"",F1272+C1273,"")</f>
        <v/>
      </c>
      <c r="G1273" s="11">
        <f>IF($A1273&lt;&gt;"",IF(F1273-E1273=0,"tie",IF(F1273-E1273&gt;0,"+"&amp;F1273-E1273,"+"&amp;E1273-F1273)),"")</f>
        <v/>
      </c>
      <c r="H1273" s="12">
        <f>if($A1273&lt;&gt;"",if(B1273&gt;C1273,if(B1273&lt;60,1,2),""),"")</f>
        <v/>
      </c>
      <c r="I1273" s="12">
        <f>if($A1273&lt;&gt;"",if(C1273&gt;B1273,if(C1273&lt;60,1,2),""),"")</f>
        <v/>
      </c>
      <c r="J1273" s="9">
        <f>if($A1273&lt;&gt;"",J1272+H1273,"")</f>
        <v/>
      </c>
      <c r="K1273" s="9">
        <f>if($A1273&lt;&gt;"",K1272+I1273,"")</f>
        <v/>
      </c>
      <c r="L1273" s="11">
        <f>IF($A1273&lt;&gt;"",IF(K1273-J1273=0,"tie",IF(K1273-J1273&gt;0,"+"&amp;K1273-J1273,"+"&amp;J1273-K1273)),"")</f>
        <v/>
      </c>
      <c r="M1273" s="20" t="n"/>
      <c r="N1273" s="20" t="n"/>
      <c r="O1273" s="20" t="n"/>
      <c r="P1273" s="20" t="n"/>
      <c r="Q1273" s="20" t="n"/>
      <c r="R1273" s="20" t="n"/>
      <c r="S1273" s="20" t="n"/>
    </row>
    <row r="1274">
      <c r="A1274" s="15" t="n">
        <v>45923</v>
      </c>
      <c r="B1274" s="20" t="n">
        <v>30</v>
      </c>
      <c r="C1274" s="20" t="n">
        <v>34</v>
      </c>
      <c r="D1274" s="17" t="inlineStr">
        <is>
          <t>Preston Way</t>
        </is>
      </c>
      <c r="E1274" s="9">
        <f>if($A1274&lt;&gt;"",E1273+B1274,"")</f>
        <v/>
      </c>
      <c r="F1274" s="9">
        <f>if($A1274&lt;&gt;"",F1273+C1274,"")</f>
        <v/>
      </c>
      <c r="G1274" s="11">
        <f>IF($A1274&lt;&gt;"",IF(F1274-E1274=0,"tie",IF(F1274-E1274&gt;0,"+"&amp;F1274-E1274,"+"&amp;E1274-F1274)),"")</f>
        <v/>
      </c>
      <c r="H1274" s="12">
        <f>if($A1274&lt;&gt;"",if(B1274&gt;C1274,if(B1274&lt;60,1,2),""),"")</f>
        <v/>
      </c>
      <c r="I1274" s="12">
        <f>if($A1274&lt;&gt;"",if(C1274&gt;B1274,if(C1274&lt;60,1,2),""),"")</f>
        <v/>
      </c>
      <c r="J1274" s="9">
        <f>if($A1274&lt;&gt;"",J1273+H1274,"")</f>
        <v/>
      </c>
      <c r="K1274" s="9">
        <f>if($A1274&lt;&gt;"",K1273+I1274,"")</f>
        <v/>
      </c>
      <c r="L1274" s="11">
        <f>IF($A1274&lt;&gt;"",IF(K1274-J1274=0,"tie",IF(K1274-J1274&gt;0,"+"&amp;K1274-J1274,"+"&amp;J1274-K1274)),"")</f>
        <v/>
      </c>
      <c r="M1274" s="20" t="n"/>
      <c r="N1274" s="20" t="n"/>
      <c r="O1274" s="20" t="n"/>
      <c r="P1274" s="20" t="n"/>
      <c r="Q1274" s="20" t="n"/>
      <c r="R1274" s="20" t="n"/>
      <c r="S1274" s="20" t="n"/>
    </row>
    <row r="1275">
      <c r="A1275" s="15" t="n">
        <v>45925</v>
      </c>
      <c r="B1275" s="20" t="n">
        <v>33</v>
      </c>
      <c r="C1275" s="20" t="n">
        <v>28</v>
      </c>
      <c r="D1275" s="17" t="inlineStr">
        <is>
          <t>Preston Way</t>
        </is>
      </c>
      <c r="E1275" s="9">
        <f>if($A1275&lt;&gt;"",E1274+B1275,"")</f>
        <v/>
      </c>
      <c r="F1275" s="9">
        <f>if($A1275&lt;&gt;"",F1274+C1275,"")</f>
        <v/>
      </c>
      <c r="G1275" s="11">
        <f>IF($A1275&lt;&gt;"",IF(F1275-E1275=0,"tie",IF(F1275-E1275&gt;0,"+"&amp;F1275-E1275,"+"&amp;E1275-F1275)),"")</f>
        <v/>
      </c>
      <c r="H1275" s="12">
        <f>if($A1275&lt;&gt;"",if(B1275&gt;C1275,if(B1275&lt;60,1,2),""),"")</f>
        <v/>
      </c>
      <c r="I1275" s="12">
        <f>if($A1275&lt;&gt;"",if(C1275&gt;B1275,if(C1275&lt;60,1,2),""),"")</f>
        <v/>
      </c>
      <c r="J1275" s="9">
        <f>if($A1275&lt;&gt;"",J1274+H1275,"")</f>
        <v/>
      </c>
      <c r="K1275" s="9">
        <f>if($A1275&lt;&gt;"",K1274+I1275,"")</f>
        <v/>
      </c>
      <c r="L1275" s="11">
        <f>IF($A1275&lt;&gt;"",IF(K1275-J1275=0,"tie",IF(K1275-J1275&gt;0,"+"&amp;K1275-J1275,"+"&amp;J1275-K1275)),"")</f>
        <v/>
      </c>
      <c r="M1275" s="20" t="n"/>
      <c r="N1275" s="20" t="n"/>
      <c r="O1275" s="20" t="n"/>
      <c r="P1275" s="20" t="n"/>
      <c r="Q1275" s="20" t="n"/>
      <c r="R1275" s="20" t="n"/>
      <c r="S1275" s="20" t="n"/>
    </row>
    <row r="1276">
      <c r="A1276" s="15" t="n">
        <v>45925</v>
      </c>
      <c r="B1276" s="20" t="n">
        <v>34</v>
      </c>
      <c r="C1276" s="20" t="n">
        <v>8</v>
      </c>
      <c r="D1276" s="17" t="inlineStr">
        <is>
          <t>Preston Way</t>
        </is>
      </c>
      <c r="E1276" s="9">
        <f>if($A1276&lt;&gt;"",E1275+B1276,"")</f>
        <v/>
      </c>
      <c r="F1276" s="9">
        <f>if($A1276&lt;&gt;"",F1275+C1276,"")</f>
        <v/>
      </c>
      <c r="G1276" s="11">
        <f>IF($A1276&lt;&gt;"",IF(F1276-E1276=0,"tie",IF(F1276-E1276&gt;0,"+"&amp;F1276-E1276,"+"&amp;E1276-F1276)),"")</f>
        <v/>
      </c>
      <c r="H1276" s="12">
        <f>if($A1276&lt;&gt;"",if(B1276&gt;C1276,if(B1276&lt;60,1,2),""),"")</f>
        <v/>
      </c>
      <c r="I1276" s="12">
        <f>if($A1276&lt;&gt;"",if(C1276&gt;B1276,if(C1276&lt;60,1,2),""),"")</f>
        <v/>
      </c>
      <c r="J1276" s="9">
        <f>if($A1276&lt;&gt;"",J1275+H1276,"")</f>
        <v/>
      </c>
      <c r="K1276" s="9">
        <f>if($A1276&lt;&gt;"",K1275+I1276,"")</f>
        <v/>
      </c>
      <c r="L1276" s="11">
        <f>IF($A1276&lt;&gt;"",IF(K1276-J1276=0,"tie",IF(K1276-J1276&gt;0,"+"&amp;K1276-J1276,"+"&amp;J1276-K1276)),"")</f>
        <v/>
      </c>
      <c r="M1276" s="20" t="n"/>
      <c r="N1276" s="20" t="n"/>
      <c r="O1276" s="20" t="n"/>
      <c r="P1276" s="20" t="n"/>
      <c r="Q1276" s="20" t="n"/>
      <c r="R1276" s="20" t="n"/>
      <c r="S1276" s="20" t="n"/>
    </row>
    <row r="1277">
      <c r="A1277" s="15" t="n">
        <v>45926</v>
      </c>
      <c r="B1277" s="20" t="n">
        <v>24</v>
      </c>
      <c r="C1277" s="20" t="n">
        <v>31</v>
      </c>
      <c r="D1277" s="17" t="inlineStr">
        <is>
          <t>Zinque, Venice</t>
        </is>
      </c>
      <c r="E1277" s="9">
        <f>if($A1277&lt;&gt;"",E1276+B1277,"")</f>
        <v/>
      </c>
      <c r="F1277" s="9">
        <f>if($A1277&lt;&gt;"",F1276+C1277,"")</f>
        <v/>
      </c>
      <c r="G1277" s="11">
        <f>IF($A1277&lt;&gt;"",IF(F1277-E1277=0,"tie",IF(F1277-E1277&gt;0,"+"&amp;F1277-E1277,"+"&amp;E1277-F1277)),"")</f>
        <v/>
      </c>
      <c r="H1277" s="12">
        <f>if($A1277&lt;&gt;"",if(B1277&gt;C1277,if(B1277&lt;60,1,2),""),"")</f>
        <v/>
      </c>
      <c r="I1277" s="12">
        <f>if($A1277&lt;&gt;"",if(C1277&gt;B1277,if(C1277&lt;60,1,2),""),"")</f>
        <v/>
      </c>
      <c r="J1277" s="9">
        <f>if($A1277&lt;&gt;"",J1276+H1277,"")</f>
        <v/>
      </c>
      <c r="K1277" s="9">
        <f>if($A1277&lt;&gt;"",K1276+I1277,"")</f>
        <v/>
      </c>
      <c r="L1277" s="11">
        <f>IF($A1277&lt;&gt;"",IF(K1277-J1277=0,"tie",IF(K1277-J1277&gt;0,"+"&amp;K1277-J1277,"+"&amp;J1277-K1277)),"")</f>
        <v/>
      </c>
      <c r="M1277" s="20" t="n"/>
      <c r="N1277" s="20" t="n"/>
      <c r="O1277" s="20" t="n"/>
      <c r="P1277" s="20" t="n"/>
      <c r="Q1277" s="20" t="n"/>
      <c r="R1277" s="20" t="n"/>
      <c r="S1277" s="20" t="n"/>
    </row>
    <row r="1278">
      <c r="A1278" s="15" t="n">
        <v>45931</v>
      </c>
      <c r="B1278" s="20" t="n">
        <v>16</v>
      </c>
      <c r="C1278" s="20" t="n">
        <v>42</v>
      </c>
      <c r="D1278" s="17" t="inlineStr">
        <is>
          <t>Huntington Beach, CA</t>
        </is>
      </c>
      <c r="E1278" s="9">
        <f>if($A1278&lt;&gt;"",E1277+B1278,"")</f>
        <v/>
      </c>
      <c r="F1278" s="9">
        <f>if($A1278&lt;&gt;"",F1277+C1278,"")</f>
        <v/>
      </c>
      <c r="G1278" s="11">
        <f>IF($A1278&lt;&gt;"",IF(F1278-E1278=0,"tie",IF(F1278-E1278&gt;0,"+"&amp;F1278-E1278,"+"&amp;E1278-F1278)),"")</f>
        <v/>
      </c>
      <c r="H1278" s="12">
        <f>if($A1278&lt;&gt;"",if(B1278&gt;C1278,if(B1278&lt;60,1,2),""),"")</f>
        <v/>
      </c>
      <c r="I1278" s="12">
        <f>if($A1278&lt;&gt;"",if(C1278&gt;B1278,if(C1278&lt;60,1,2),""),"")</f>
        <v/>
      </c>
      <c r="J1278" s="9">
        <f>if($A1278&lt;&gt;"",J1277+H1278,"")</f>
        <v/>
      </c>
      <c r="K1278" s="9">
        <f>if($A1278&lt;&gt;"",K1277+I1278,"")</f>
        <v/>
      </c>
      <c r="L1278" s="11">
        <f>IF($A1278&lt;&gt;"",IF(K1278-J1278=0,"tie",IF(K1278-J1278&gt;0,"+"&amp;K1278-J1278,"+"&amp;J1278-K1278)),"")</f>
        <v/>
      </c>
      <c r="M1278" s="20" t="n"/>
      <c r="N1278" s="20" t="n"/>
      <c r="O1278" s="20" t="n"/>
      <c r="P1278" s="20" t="n"/>
      <c r="Q1278" s="20" t="n"/>
      <c r="R1278" s="20" t="n"/>
      <c r="S1278" s="20" t="n"/>
    </row>
    <row r="1279">
      <c r="A1279" s="15" t="n">
        <v>45931</v>
      </c>
      <c r="B1279" s="20" t="n">
        <v>31</v>
      </c>
      <c r="C1279" s="20" t="n">
        <v>27</v>
      </c>
      <c r="D1279" s="17" t="inlineStr">
        <is>
          <t>Ola Mexican Kitchen, HB</t>
        </is>
      </c>
      <c r="E1279" s="9">
        <f>if($A1279&lt;&gt;"",E1278+B1279,"")</f>
        <v/>
      </c>
      <c r="F1279" s="9">
        <f>if($A1279&lt;&gt;"",F1278+C1279,"")</f>
        <v/>
      </c>
      <c r="G1279" s="11">
        <f>IF($A1279&lt;&gt;"",IF(F1279-E1279=0,"tie",IF(F1279-E1279&gt;0,"+"&amp;F1279-E1279,"+"&amp;E1279-F1279)),"")</f>
        <v/>
      </c>
      <c r="H1279" s="12">
        <f>if($A1279&lt;&gt;"",if(B1279&gt;C1279,if(B1279&lt;60,1,2),""),"")</f>
        <v/>
      </c>
      <c r="I1279" s="12">
        <f>if($A1279&lt;&gt;"",if(C1279&gt;B1279,if(C1279&lt;60,1,2),""),"")</f>
        <v/>
      </c>
      <c r="J1279" s="9">
        <f>if($A1279&lt;&gt;"",J1278+H1279,"")</f>
        <v/>
      </c>
      <c r="K1279" s="9">
        <f>if($A1279&lt;&gt;"",K1278+I1279,"")</f>
        <v/>
      </c>
      <c r="L1279" s="11">
        <f>IF($A1279&lt;&gt;"",IF(K1279-J1279=0,"tie",IF(K1279-J1279&gt;0,"+"&amp;K1279-J1279,"+"&amp;J1279-K1279)),"")</f>
        <v/>
      </c>
      <c r="M1279" s="20" t="n"/>
      <c r="N1279" s="20" t="n"/>
      <c r="O1279" s="20" t="n"/>
      <c r="P1279" s="20" t="n"/>
      <c r="Q1279" s="20" t="n"/>
      <c r="R1279" s="20" t="n"/>
      <c r="S1279" s="20" t="n"/>
    </row>
    <row r="1280">
      <c r="A1280" s="15" t="n">
        <v>45932</v>
      </c>
      <c r="B1280" s="20" t="n">
        <v>33</v>
      </c>
      <c r="C1280" s="20" t="n">
        <v>23</v>
      </c>
      <c r="D1280" s="17" t="inlineStr">
        <is>
          <t>Nelson's, Terrina, Palos Verdes</t>
        </is>
      </c>
      <c r="E1280" s="9">
        <f>if($A1280&lt;&gt;"",E1279+B1280,"")</f>
        <v/>
      </c>
      <c r="F1280" s="9">
        <f>if($A1280&lt;&gt;"",F1279+C1280,"")</f>
        <v/>
      </c>
      <c r="G1280" s="11">
        <f>IF($A1280&lt;&gt;"",IF(F1280-E1280=0,"tie",IF(F1280-E1280&gt;0,"+"&amp;F1280-E1280,"+"&amp;E1280-F1280)),"")</f>
        <v/>
      </c>
      <c r="H1280" s="12">
        <f>if($A1280&lt;&gt;"",if(B1280&gt;C1280,if(B1280&lt;60,1,2),""),"")</f>
        <v/>
      </c>
      <c r="I1280" s="12">
        <f>if($A1280&lt;&gt;"",if(C1280&gt;B1280,if(C1280&lt;60,1,2),""),"")</f>
        <v/>
      </c>
      <c r="J1280" s="9">
        <f>if($A1280&lt;&gt;"",J1279+H1280,"")</f>
        <v/>
      </c>
      <c r="K1280" s="9">
        <f>if($A1280&lt;&gt;"",K1279+I1280,"")</f>
        <v/>
      </c>
      <c r="L1280" s="11">
        <f>IF($A1280&lt;&gt;"",IF(K1280-J1280=0,"tie",IF(K1280-J1280&gt;0,"+"&amp;K1280-J1280,"+"&amp;J1280-K1280)),"")</f>
        <v/>
      </c>
      <c r="M1280" s="20" t="n"/>
      <c r="N1280" s="20" t="n"/>
      <c r="O1280" s="20" t="n"/>
      <c r="P1280" s="20" t="n"/>
      <c r="Q1280" s="20" t="n"/>
      <c r="R1280" s="20" t="n"/>
      <c r="S1280" s="20" t="n"/>
    </row>
    <row r="1281">
      <c r="A1281" s="15" t="n">
        <v>45933</v>
      </c>
      <c r="B1281" s="20" t="n">
        <v>34</v>
      </c>
      <c r="C1281" s="20" t="n">
        <v>70</v>
      </c>
      <c r="D1281" s="17" t="inlineStr">
        <is>
          <t>Café 50's, WLA</t>
        </is>
      </c>
      <c r="E1281" s="9">
        <f>if($A1281&lt;&gt;"",E1280+B1281,"")</f>
        <v/>
      </c>
      <c r="F1281" s="9">
        <f>if($A1281&lt;&gt;"",F1280+C1281,"")</f>
        <v/>
      </c>
      <c r="G1281" s="11">
        <f>IF($A1281&lt;&gt;"",IF(F1281-E1281=0,"tie",IF(F1281-E1281&gt;0,"+"&amp;F1281-E1281,"+"&amp;E1281-F1281)),"")</f>
        <v/>
      </c>
      <c r="H1281" s="12">
        <f>if($A1281&lt;&gt;"",if(B1281&gt;C1281,if(B1281&lt;60,1,2),""),"")</f>
        <v/>
      </c>
      <c r="I1281" s="12">
        <f>if($A1281&lt;&gt;"",if(C1281&gt;B1281,if(C1281&lt;60,1,2),""),"")</f>
        <v/>
      </c>
      <c r="J1281" s="9">
        <f>if($A1281&lt;&gt;"",J1280+H1281,"")</f>
        <v/>
      </c>
      <c r="K1281" s="9">
        <f>if($A1281&lt;&gt;"",K1280+I1281,"")</f>
        <v/>
      </c>
      <c r="L1281" s="11">
        <f>IF($A1281&lt;&gt;"",IF(K1281-J1281=0,"tie",IF(K1281-J1281&gt;0,"+"&amp;K1281-J1281,"+"&amp;J1281-K1281)),"")</f>
        <v/>
      </c>
      <c r="M1281" s="20" t="n"/>
      <c r="N1281" s="20" t="n"/>
      <c r="O1281" s="20" t="n"/>
      <c r="P1281" s="20" t="n"/>
      <c r="Q1281" s="20" t="n"/>
      <c r="R1281" s="20" t="n"/>
      <c r="S1281" s="20" t="n"/>
    </row>
    <row r="1282">
      <c r="A1282" s="15" t="n">
        <v>45935</v>
      </c>
      <c r="B1282" s="20" t="n">
        <v>28</v>
      </c>
      <c r="C1282" s="20" t="n">
        <v>33</v>
      </c>
      <c r="D1282" s="17" t="inlineStr">
        <is>
          <t>Zinque, Venice</t>
        </is>
      </c>
      <c r="E1282" s="9">
        <f>if($A1282&lt;&gt;"",E1281+B1282,"")</f>
        <v/>
      </c>
      <c r="F1282" s="9">
        <f>if($A1282&lt;&gt;"",F1281+C1282,"")</f>
        <v/>
      </c>
      <c r="G1282" s="11">
        <f>IF($A1282&lt;&gt;"",IF(F1282-E1282=0,"tie",IF(F1282-E1282&gt;0,"+"&amp;F1282-E1282,"+"&amp;E1282-F1282)),"")</f>
        <v/>
      </c>
      <c r="H1282" s="12">
        <f>if($A1282&lt;&gt;"",if(B1282&gt;C1282,if(B1282&lt;60,1,2),""),"")</f>
        <v/>
      </c>
      <c r="I1282" s="12">
        <f>if($A1282&lt;&gt;"",if(C1282&gt;B1282,if(C1282&lt;60,1,2),""),"")</f>
        <v/>
      </c>
      <c r="J1282" s="9">
        <f>if($A1282&lt;&gt;"",J1281+H1282,"")</f>
        <v/>
      </c>
      <c r="K1282" s="9">
        <f>if($A1282&lt;&gt;"",K1281+I1282,"")</f>
        <v/>
      </c>
      <c r="L1282" s="11">
        <f>IF($A1282&lt;&gt;"",IF(K1282-J1282=0,"tie",IF(K1282-J1282&gt;0,"+"&amp;K1282-J1282,"+"&amp;J1282-K1282)),"")</f>
        <v/>
      </c>
      <c r="M1282" s="20" t="n"/>
      <c r="N1282" s="20" t="n"/>
      <c r="O1282" s="20" t="n"/>
      <c r="P1282" s="20" t="n"/>
      <c r="Q1282" s="20" t="n"/>
      <c r="R1282" s="20" t="n"/>
      <c r="S1282" s="20" t="n"/>
    </row>
    <row r="1283">
      <c r="A1283" s="15" t="n">
        <v>45936</v>
      </c>
      <c r="B1283" s="20" t="n">
        <v>19</v>
      </c>
      <c r="C1283" s="20" t="n">
        <v>35</v>
      </c>
      <c r="D1283" s="17" t="inlineStr">
        <is>
          <t>The Spot, Carpinteria</t>
        </is>
      </c>
      <c r="E1283" s="9">
        <f>if($A1283&lt;&gt;"",E1282+B1283,"")</f>
        <v/>
      </c>
      <c r="F1283" s="9">
        <f>if($A1283&lt;&gt;"",F1282+C1283,"")</f>
        <v/>
      </c>
      <c r="G1283" s="11">
        <f>IF($A1283&lt;&gt;"",IF(F1283-E1283=0,"tie",IF(F1283-E1283&gt;0,"+"&amp;F1283-E1283,"+"&amp;E1283-F1283)),"")</f>
        <v/>
      </c>
      <c r="H1283" s="12">
        <f>if($A1283&lt;&gt;"",if(B1283&gt;C1283,if(B1283&lt;60,1,2),""),"")</f>
        <v/>
      </c>
      <c r="I1283" s="12">
        <f>if($A1283&lt;&gt;"",if(C1283&gt;B1283,if(C1283&lt;60,1,2),""),"")</f>
        <v/>
      </c>
      <c r="J1283" s="9">
        <f>if($A1283&lt;&gt;"",J1282+H1283,"")</f>
        <v/>
      </c>
      <c r="K1283" s="9">
        <f>if($A1283&lt;&gt;"",K1282+I1283,"")</f>
        <v/>
      </c>
      <c r="L1283" s="11">
        <f>IF($A1283&lt;&gt;"",IF(K1283-J1283=0,"tie",IF(K1283-J1283&gt;0,"+"&amp;K1283-J1283,"+"&amp;J1283-K1283)),"")</f>
        <v/>
      </c>
      <c r="M1283" s="20" t="n"/>
      <c r="N1283" s="20" t="n"/>
      <c r="O1283" s="20" t="n"/>
      <c r="P1283" s="20" t="n"/>
      <c r="Q1283" s="20" t="n"/>
      <c r="R1283" s="20" t="n"/>
      <c r="S1283" s="20" t="n"/>
    </row>
    <row r="1284">
      <c r="A1284" s="15" t="n">
        <v>45937</v>
      </c>
      <c r="B1284" s="20" t="n">
        <v>41</v>
      </c>
      <c r="C1284" s="20" t="n">
        <v>32</v>
      </c>
      <c r="D1284" s="17" t="inlineStr">
        <is>
          <t>Carpinteria</t>
        </is>
      </c>
      <c r="E1284" s="9">
        <f>if($A1284&lt;&gt;"",E1283+B1284,"")</f>
        <v/>
      </c>
      <c r="F1284" s="9">
        <f>if($A1284&lt;&gt;"",F1283+C1284,"")</f>
        <v/>
      </c>
      <c r="G1284" s="11">
        <f>IF($A1284&lt;&gt;"",IF(F1284-E1284=0,"tie",IF(F1284-E1284&gt;0,"+"&amp;F1284-E1284,"+"&amp;E1284-F1284)),"")</f>
        <v/>
      </c>
      <c r="H1284" s="12">
        <f>if($A1284&lt;&gt;"",if(B1284&gt;C1284,if(B1284&lt;60,1,2),""),"")</f>
        <v/>
      </c>
      <c r="I1284" s="12">
        <f>if($A1284&lt;&gt;"",if(C1284&gt;B1284,if(C1284&lt;60,1,2),""),"")</f>
        <v/>
      </c>
      <c r="J1284" s="9">
        <f>if($A1284&lt;&gt;"",J1283+H1284,"")</f>
        <v/>
      </c>
      <c r="K1284" s="9">
        <f>if($A1284&lt;&gt;"",K1283+I1284,"")</f>
        <v/>
      </c>
      <c r="L1284" s="11">
        <f>IF($A1284&lt;&gt;"",IF(K1284-J1284=0,"tie",IF(K1284-J1284&gt;0,"+"&amp;K1284-J1284,"+"&amp;J1284-K1284)),"")</f>
        <v/>
      </c>
      <c r="M1284" s="20" t="n"/>
      <c r="N1284" s="20" t="n"/>
      <c r="O1284" s="20" t="n"/>
      <c r="P1284" s="20" t="n"/>
      <c r="Q1284" s="20" t="n"/>
      <c r="R1284" s="20" t="n"/>
      <c r="S1284" s="20" t="n"/>
    </row>
    <row r="1285">
      <c r="A1285" s="15" t="n">
        <v>45938</v>
      </c>
      <c r="B1285" s="20" t="n">
        <v>33</v>
      </c>
      <c r="C1285" s="20" t="n">
        <v>28</v>
      </c>
      <c r="D1285" s="17" t="inlineStr">
        <is>
          <t>Preston Way</t>
        </is>
      </c>
      <c r="E1285" s="9">
        <f>if($A1285&lt;&gt;"",E1284+B1285,"")</f>
        <v/>
      </c>
      <c r="F1285" s="9">
        <f>if($A1285&lt;&gt;"",F1284+C1285,"")</f>
        <v/>
      </c>
      <c r="G1285" s="11">
        <f>IF($A1285&lt;&gt;"",IF(F1285-E1285=0,"tie",IF(F1285-E1285&gt;0,"+"&amp;F1285-E1285,"+"&amp;E1285-F1285)),"")</f>
        <v/>
      </c>
      <c r="H1285" s="12">
        <f>if($A1285&lt;&gt;"",if(B1285&gt;C1285,if(B1285&lt;60,1,2),""),"")</f>
        <v/>
      </c>
      <c r="I1285" s="12">
        <f>if($A1285&lt;&gt;"",if(C1285&gt;B1285,if(C1285&lt;60,1,2),""),"")</f>
        <v/>
      </c>
      <c r="J1285" s="9">
        <f>if($A1285&lt;&gt;"",J1284+H1285,"")</f>
        <v/>
      </c>
      <c r="K1285" s="9">
        <f>if($A1285&lt;&gt;"",K1284+I1285,"")</f>
        <v/>
      </c>
      <c r="L1285" s="11">
        <f>IF($A1285&lt;&gt;"",IF(K1285-J1285=0,"tie",IF(K1285-J1285&gt;0,"+"&amp;K1285-J1285,"+"&amp;J1285-K1285)),"")</f>
        <v/>
      </c>
      <c r="M1285" s="20" t="n"/>
      <c r="N1285" s="20" t="n"/>
      <c r="O1285" s="20" t="n"/>
      <c r="P1285" s="20" t="n"/>
      <c r="Q1285" s="20" t="n"/>
      <c r="R1285" s="20" t="n"/>
      <c r="S1285" s="20" t="n"/>
    </row>
    <row r="1286">
      <c r="A1286" s="15" t="n">
        <v>45940</v>
      </c>
      <c r="B1286" s="20" t="n">
        <v>33</v>
      </c>
      <c r="C1286" s="20" t="n">
        <v>32</v>
      </c>
      <c r="D1286" s="17" t="inlineStr">
        <is>
          <t>Preston Way</t>
        </is>
      </c>
      <c r="E1286" s="9">
        <f>if($A1286&lt;&gt;"",E1285+B1286,"")</f>
        <v/>
      </c>
      <c r="F1286" s="9">
        <f>if($A1286&lt;&gt;"",F1285+C1286,"")</f>
        <v/>
      </c>
      <c r="G1286" s="11">
        <f>IF($A1286&lt;&gt;"",IF(F1286-E1286=0,"tie",IF(F1286-E1286&gt;0,"+"&amp;F1286-E1286,"+"&amp;E1286-F1286)),"")</f>
        <v/>
      </c>
      <c r="H1286" s="12">
        <f>if($A1286&lt;&gt;"",if(B1286&gt;C1286,if(B1286&lt;60,1,2),""),"")</f>
        <v/>
      </c>
      <c r="I1286" s="12">
        <f>if($A1286&lt;&gt;"",if(C1286&gt;B1286,if(C1286&lt;60,1,2),""),"")</f>
        <v/>
      </c>
      <c r="J1286" s="9">
        <f>if($A1286&lt;&gt;"",J1285+H1286,"")</f>
        <v/>
      </c>
      <c r="K1286" s="9">
        <f>if($A1286&lt;&gt;"",K1285+I1286,"")</f>
        <v/>
      </c>
      <c r="L1286" s="11">
        <f>IF($A1286&lt;&gt;"",IF(K1286-J1286=0,"tie",IF(K1286-J1286&gt;0,"+"&amp;K1286-J1286,"+"&amp;J1286-K1286)),"")</f>
        <v/>
      </c>
      <c r="M1286" s="20" t="n"/>
      <c r="N1286" s="20" t="n"/>
      <c r="O1286" s="20" t="n"/>
      <c r="P1286" s="20" t="n"/>
      <c r="Q1286" s="20" t="n"/>
      <c r="R1286" s="20" t="n"/>
      <c r="S1286" s="20" t="n"/>
    </row>
    <row r="1287">
      <c r="A1287" s="15" t="n">
        <v>45942</v>
      </c>
      <c r="B1287" s="20" t="n">
        <v>33</v>
      </c>
      <c r="C1287" s="20" t="n">
        <v>28</v>
      </c>
      <c r="D1287" s="17" t="inlineStr">
        <is>
          <t>Zinque, Venice</t>
        </is>
      </c>
      <c r="E1287" s="9">
        <f>if($A1287&lt;&gt;"",E1286+B1287,"")</f>
        <v/>
      </c>
      <c r="F1287" s="9">
        <f>if($A1287&lt;&gt;"",F1286+C1287,"")</f>
        <v/>
      </c>
      <c r="G1287" s="11">
        <f>IF($A1287&lt;&gt;"",IF(F1287-E1287=0,"tie",IF(F1287-E1287&gt;0,"+"&amp;F1287-E1287,"+"&amp;E1287-F1287)),"")</f>
        <v/>
      </c>
      <c r="H1287" s="12">
        <f>if($A1287&lt;&gt;"",if(B1287&gt;C1287,if(B1287&lt;60,1,2),""),"")</f>
        <v/>
      </c>
      <c r="I1287" s="12">
        <f>if($A1287&lt;&gt;"",if(C1287&gt;B1287,if(C1287&lt;60,1,2),""),"")</f>
        <v/>
      </c>
      <c r="J1287" s="9">
        <f>if($A1287&lt;&gt;"",J1286+H1287,"")</f>
        <v/>
      </c>
      <c r="K1287" s="9">
        <f>if($A1287&lt;&gt;"",K1286+I1287,"")</f>
        <v/>
      </c>
      <c r="L1287" s="11">
        <f>IF($A1287&lt;&gt;"",IF(K1287-J1287=0,"tie",IF(K1287-J1287&gt;0,"+"&amp;K1287-J1287,"+"&amp;J1287-K1287)),"")</f>
        <v/>
      </c>
      <c r="M1287" s="20" t="n"/>
      <c r="N1287" s="20" t="n"/>
      <c r="O1287" s="20" t="n"/>
      <c r="P1287" s="20" t="n"/>
      <c r="Q1287" s="20" t="n"/>
      <c r="R1287" s="20" t="n"/>
      <c r="S1287" s="20" t="n"/>
    </row>
    <row r="1288">
      <c r="A1288" s="15" t="n">
        <v>45942</v>
      </c>
      <c r="B1288" s="20" t="n">
        <v>28</v>
      </c>
      <c r="C1288" s="20" t="n">
        <v>33</v>
      </c>
      <c r="D1288" s="17" t="inlineStr">
        <is>
          <t>J Nichols, MDR</t>
        </is>
      </c>
      <c r="E1288" s="9">
        <f>if($A1288&lt;&gt;"",E1287+B1288,"")</f>
        <v/>
      </c>
      <c r="F1288" s="9">
        <f>if($A1288&lt;&gt;"",F1287+C1288,"")</f>
        <v/>
      </c>
      <c r="G1288" s="11">
        <f>IF($A1288&lt;&gt;"",IF(F1288-E1288=0,"tie",IF(F1288-E1288&gt;0,"+"&amp;F1288-E1288,"+"&amp;E1288-F1288)),"")</f>
        <v/>
      </c>
      <c r="H1288" s="12">
        <f>if($A1288&lt;&gt;"",if(B1288&gt;C1288,if(B1288&lt;60,1,2),""),"")</f>
        <v/>
      </c>
      <c r="I1288" s="12">
        <f>if($A1288&lt;&gt;"",if(C1288&gt;B1288,if(C1288&lt;60,1,2),""),"")</f>
        <v/>
      </c>
      <c r="J1288" s="9">
        <f>if($A1288&lt;&gt;"",J1287+H1288,"")</f>
        <v/>
      </c>
      <c r="K1288" s="9">
        <f>if($A1288&lt;&gt;"",K1287+I1288,"")</f>
        <v/>
      </c>
      <c r="L1288" s="11">
        <f>IF($A1288&lt;&gt;"",IF(K1288-J1288=0,"tie",IF(K1288-J1288&gt;0,"+"&amp;K1288-J1288,"+"&amp;J1288-K1288)),"")</f>
        <v/>
      </c>
      <c r="M1288" s="20" t="n"/>
      <c r="N1288" s="20" t="n"/>
      <c r="O1288" s="20" t="n"/>
      <c r="P1288" s="20" t="n"/>
      <c r="Q1288" s="20" t="n"/>
      <c r="R1288" s="20" t="n"/>
      <c r="S1288" s="20" t="n"/>
    </row>
    <row r="1289">
      <c r="A1289" s="15" t="n">
        <v>45943</v>
      </c>
      <c r="B1289" s="20" t="n">
        <v>34</v>
      </c>
      <c r="C1289" s="20" t="n">
        <v>38</v>
      </c>
      <c r="D1289" s="17" t="inlineStr">
        <is>
          <t>Preston Way</t>
        </is>
      </c>
      <c r="E1289" s="9">
        <f>if($A1289&lt;&gt;"",E1288+B1289,"")</f>
        <v/>
      </c>
      <c r="F1289" s="9">
        <f>if($A1289&lt;&gt;"",F1288+C1289,"")</f>
        <v/>
      </c>
      <c r="G1289" s="11">
        <f>IF($A1289&lt;&gt;"",IF(F1289-E1289=0,"tie",IF(F1289-E1289&gt;0,"+"&amp;F1289-E1289,"+"&amp;E1289-F1289)),"")</f>
        <v/>
      </c>
      <c r="H1289" s="12">
        <f>if($A1289&lt;&gt;"",if(B1289&gt;C1289,if(B1289&lt;60,1,2),""),"")</f>
        <v/>
      </c>
      <c r="I1289" s="12">
        <f>if($A1289&lt;&gt;"",if(C1289&gt;B1289,if(C1289&lt;60,1,2),""),"")</f>
        <v/>
      </c>
      <c r="J1289" s="9">
        <f>if($A1289&lt;&gt;"",J1288+H1289,"")</f>
        <v/>
      </c>
      <c r="K1289" s="9">
        <f>if($A1289&lt;&gt;"",K1288+I1289,"")</f>
        <v/>
      </c>
      <c r="L1289" s="11">
        <f>IF($A1289&lt;&gt;"",IF(K1289-J1289=0,"tie",IF(K1289-J1289&gt;0,"+"&amp;K1289-J1289,"+"&amp;J1289-K1289)),"")</f>
        <v/>
      </c>
      <c r="M1289" s="20" t="n"/>
      <c r="N1289" s="20" t="n"/>
      <c r="O1289" s="20" t="n"/>
      <c r="P1289" s="20" t="n"/>
      <c r="Q1289" s="20" t="n"/>
      <c r="R1289" s="20" t="n"/>
      <c r="S1289" s="20" t="n"/>
    </row>
    <row r="1290">
      <c r="A1290" s="15" t="n">
        <v>45946</v>
      </c>
      <c r="B1290" s="20" t="n">
        <v>31</v>
      </c>
      <c r="C1290" s="20" t="n">
        <v>22</v>
      </c>
      <c r="D1290" s="17" t="inlineStr">
        <is>
          <t>Preston Way</t>
        </is>
      </c>
      <c r="E1290" s="9">
        <f>if($A1290&lt;&gt;"",E1289+B1290,"")</f>
        <v/>
      </c>
      <c r="F1290" s="9">
        <f>if($A1290&lt;&gt;"",F1289+C1290,"")</f>
        <v/>
      </c>
      <c r="G1290" s="11">
        <f>IF($A1290&lt;&gt;"",IF(F1290-E1290=0,"tie",IF(F1290-E1290&gt;0,"+"&amp;F1290-E1290,"+"&amp;E1290-F1290)),"")</f>
        <v/>
      </c>
      <c r="H1290" s="12">
        <f>if($A1290&lt;&gt;"",if(B1290&gt;C1290,if(B1290&lt;60,1,2),""),"")</f>
        <v/>
      </c>
      <c r="I1290" s="12">
        <f>if($A1290&lt;&gt;"",if(C1290&gt;B1290,if(C1290&lt;60,1,2),""),"")</f>
        <v/>
      </c>
      <c r="J1290" s="9">
        <f>if($A1290&lt;&gt;"",J1289+H1290,"")</f>
        <v/>
      </c>
      <c r="K1290" s="9">
        <f>if($A1290&lt;&gt;"",K1289+I1290,"")</f>
        <v/>
      </c>
      <c r="L1290" s="11">
        <f>IF($A1290&lt;&gt;"",IF(K1290-J1290=0,"tie",IF(K1290-J1290&gt;0,"+"&amp;K1290-J1290,"+"&amp;J1290-K1290)),"")</f>
        <v/>
      </c>
      <c r="M1290" s="20" t="n"/>
      <c r="N1290" s="20" t="n"/>
      <c r="O1290" s="20" t="n"/>
      <c r="P1290" s="20" t="n"/>
      <c r="Q1290" s="20" t="n"/>
      <c r="R1290" s="20" t="n"/>
      <c r="S1290" s="20" t="n"/>
    </row>
    <row r="1291">
      <c r="A1291" s="15" t="n">
        <v>45952</v>
      </c>
      <c r="B1291" s="20" t="n">
        <v>67</v>
      </c>
      <c r="C1291" s="20" t="n">
        <v>41</v>
      </c>
      <c r="D1291" s="17" t="inlineStr">
        <is>
          <t>Maxine's</t>
        </is>
      </c>
      <c r="E1291" s="9">
        <f>if($A1291&lt;&gt;"",E1290+B1291,"")</f>
        <v/>
      </c>
      <c r="F1291" s="9">
        <f>if($A1291&lt;&gt;"",F1290+C1291,"")</f>
        <v/>
      </c>
      <c r="G1291" s="11">
        <f>IF($A1291&lt;&gt;"",IF(F1291-E1291=0,"tie",IF(F1291-E1291&gt;0,"+"&amp;F1291-E1291,"+"&amp;E1291-F1291)),"")</f>
        <v/>
      </c>
      <c r="H1291" s="12">
        <f>if($A1291&lt;&gt;"",if(B1291&gt;C1291,if(B1291&lt;60,1,2),""),"")</f>
        <v/>
      </c>
      <c r="I1291" s="12">
        <f>if($A1291&lt;&gt;"",if(C1291&gt;B1291,if(C1291&lt;60,1,2),""),"")</f>
        <v/>
      </c>
      <c r="J1291" s="9">
        <f>if($A1291&lt;&gt;"",J1290+H1291,"")</f>
        <v/>
      </c>
      <c r="K1291" s="9">
        <f>if($A1291&lt;&gt;"",K1290+I1291,"")</f>
        <v/>
      </c>
      <c r="L1291" s="11">
        <f>IF($A1291&lt;&gt;"",IF(K1291-J1291=0,"tie",IF(K1291-J1291&gt;0,"+"&amp;K1291-J1291,"+"&amp;J1291-K1291)),"")</f>
        <v/>
      </c>
      <c r="M1291" s="20" t="n"/>
      <c r="N1291" s="20" t="n"/>
      <c r="O1291" s="20" t="n"/>
      <c r="P1291" s="20" t="n"/>
      <c r="Q1291" s="20" t="n"/>
      <c r="R1291" s="20" t="n"/>
      <c r="S1291" s="20" t="n"/>
    </row>
    <row r="1292">
      <c r="A1292" s="15" t="n">
        <v>45952</v>
      </c>
      <c r="B1292" s="20" t="n">
        <v>42</v>
      </c>
      <c r="C1292" s="20" t="n">
        <v>27</v>
      </c>
      <c r="D1292" s="17" t="inlineStr">
        <is>
          <t>George's Burgers, Santa Monica</t>
        </is>
      </c>
      <c r="E1292" s="9">
        <f>if($A1292&lt;&gt;"",E1291+B1292,"")</f>
        <v/>
      </c>
      <c r="F1292" s="9">
        <f>if($A1292&lt;&gt;"",F1291+C1292,"")</f>
        <v/>
      </c>
      <c r="G1292" s="11">
        <f>IF($A1292&lt;&gt;"",IF(F1292-E1292=0,"tie",IF(F1292-E1292&gt;0,"+"&amp;F1292-E1292,"+"&amp;E1292-F1292)),"")</f>
        <v/>
      </c>
      <c r="H1292" s="12">
        <f>if($A1292&lt;&gt;"",if(B1292&gt;C1292,if(B1292&lt;60,1,2),""),"")</f>
        <v/>
      </c>
      <c r="I1292" s="12">
        <f>if($A1292&lt;&gt;"",if(C1292&gt;B1292,if(C1292&lt;60,1,2),""),"")</f>
        <v/>
      </c>
      <c r="J1292" s="9">
        <f>if($A1292&lt;&gt;"",J1291+H1292,"")</f>
        <v/>
      </c>
      <c r="K1292" s="9">
        <f>if($A1292&lt;&gt;"",K1291+I1292,"")</f>
        <v/>
      </c>
      <c r="L1292" s="11">
        <f>IF($A1292&lt;&gt;"",IF(K1292-J1292=0,"tie",IF(K1292-J1292&gt;0,"+"&amp;K1292-J1292,"+"&amp;J1292-K1292)),"")</f>
        <v/>
      </c>
      <c r="M1292" s="20" t="n"/>
      <c r="N1292" s="20" t="n"/>
      <c r="O1292" s="20" t="n"/>
      <c r="P1292" s="20" t="n"/>
      <c r="Q1292" s="20" t="n"/>
      <c r="R1292" s="20" t="n"/>
      <c r="S1292" s="20" t="n"/>
    </row>
    <row r="1293">
      <c r="A1293" s="15" t="n">
        <v>45960</v>
      </c>
      <c r="B1293" s="20" t="n">
        <v>30</v>
      </c>
      <c r="C1293" s="20" t="n">
        <v>33</v>
      </c>
      <c r="D1293" s="17" t="inlineStr">
        <is>
          <t>Zinque, Venice</t>
        </is>
      </c>
      <c r="E1293" s="9">
        <f>if($A1293&lt;&gt;"",E1292+B1293,"")</f>
        <v/>
      </c>
      <c r="F1293" s="9">
        <f>if($A1293&lt;&gt;"",F1292+C1293,"")</f>
        <v/>
      </c>
      <c r="G1293" s="11">
        <f>IF($A1293&lt;&gt;"",IF(F1293-E1293=0,"tie",IF(F1293-E1293&gt;0,"+"&amp;F1293-E1293,"+"&amp;E1293-F1293)),"")</f>
        <v/>
      </c>
      <c r="H1293" s="12">
        <f>if($A1293&lt;&gt;"",if(B1293&gt;C1293,if(B1293&lt;60,1,2),""),"")</f>
        <v/>
      </c>
      <c r="I1293" s="12">
        <f>if($A1293&lt;&gt;"",if(C1293&gt;B1293,if(C1293&lt;60,1,2),""),"")</f>
        <v/>
      </c>
      <c r="J1293" s="9">
        <f>if($A1293&lt;&gt;"",J1292+H1293,"")</f>
        <v/>
      </c>
      <c r="K1293" s="9">
        <f>if($A1293&lt;&gt;"",K1292+I1293,"")</f>
        <v/>
      </c>
      <c r="L1293" s="11">
        <f>IF($A1293&lt;&gt;"",IF(K1293-J1293=0,"tie",IF(K1293-J1293&gt;0,"+"&amp;K1293-J1293,"+"&amp;J1293-K1293)),"")</f>
        <v/>
      </c>
      <c r="M1293" s="20" t="n"/>
      <c r="N1293" s="20" t="n"/>
      <c r="O1293" s="20" t="n"/>
      <c r="P1293" s="20" t="n"/>
      <c r="Q1293" s="20" t="n"/>
      <c r="R1293" s="20" t="n"/>
      <c r="S1293" s="20" t="n"/>
    </row>
    <row r="1294">
      <c r="A1294" s="15" t="n">
        <v>45961</v>
      </c>
      <c r="B1294" s="20" t="n">
        <v>39</v>
      </c>
      <c r="C1294" s="20" t="n">
        <v>34</v>
      </c>
      <c r="D1294" s="17" t="inlineStr">
        <is>
          <t>Preston Way</t>
        </is>
      </c>
      <c r="E1294" s="9">
        <f>if($A1294&lt;&gt;"",E1293+B1294,"")</f>
        <v/>
      </c>
      <c r="F1294" s="9">
        <f>if($A1294&lt;&gt;"",F1293+C1294,"")</f>
        <v/>
      </c>
      <c r="G1294" s="11">
        <f>IF($A1294&lt;&gt;"",IF(F1294-E1294=0,"tie",IF(F1294-E1294&gt;0,"+"&amp;F1294-E1294,"+"&amp;E1294-F1294)),"")</f>
        <v/>
      </c>
      <c r="H1294" s="12">
        <f>if($A1294&lt;&gt;"",if(B1294&gt;C1294,if(B1294&lt;60,1,2),""),"")</f>
        <v/>
      </c>
      <c r="I1294" s="12">
        <f>if($A1294&lt;&gt;"",if(C1294&gt;B1294,if(C1294&lt;60,1,2),""),"")</f>
        <v/>
      </c>
      <c r="J1294" s="9">
        <f>if($A1294&lt;&gt;"",J1293+H1294,"")</f>
        <v/>
      </c>
      <c r="K1294" s="9">
        <f>if($A1294&lt;&gt;"",K1293+I1294,"")</f>
        <v/>
      </c>
      <c r="L1294" s="11">
        <f>IF($A1294&lt;&gt;"",IF(K1294-J1294=0,"tie",IF(K1294-J1294&gt;0,"+"&amp;K1294-J1294,"+"&amp;J1294-K1294)),"")</f>
        <v/>
      </c>
      <c r="M1294" s="20" t="n"/>
      <c r="N1294" s="20" t="n"/>
      <c r="O1294" s="20" t="n"/>
      <c r="P1294" s="20" t="n"/>
      <c r="Q1294" s="20" t="n"/>
      <c r="R1294" s="20" t="n"/>
      <c r="S1294" s="20" t="n"/>
    </row>
    <row r="1295">
      <c r="A1295" s="15" t="n">
        <v>45963</v>
      </c>
      <c r="B1295" s="20" t="n">
        <v>39</v>
      </c>
      <c r="C1295" s="20" t="n">
        <v>38</v>
      </c>
      <c r="D1295" s="17" t="inlineStr">
        <is>
          <t>East Coast Bagel</t>
        </is>
      </c>
      <c r="E1295" s="9">
        <f>if($A1295&lt;&gt;"",E1294+B1295,"")</f>
        <v/>
      </c>
      <c r="F1295" s="9">
        <f>if($A1295&lt;&gt;"",F1294+C1295,"")</f>
        <v/>
      </c>
      <c r="G1295" s="11">
        <f>IF($A1295&lt;&gt;"",IF(F1295-E1295=0,"tie",IF(F1295-E1295&gt;0,"+"&amp;F1295-E1295,"+"&amp;E1295-F1295)),"")</f>
        <v/>
      </c>
      <c r="H1295" s="12">
        <f>if($A1295&lt;&gt;"",if(B1295&gt;C1295,if(B1295&lt;60,1,2),""),"")</f>
        <v/>
      </c>
      <c r="I1295" s="12">
        <f>if($A1295&lt;&gt;"",if(C1295&gt;B1295,if(C1295&lt;60,1,2),""),"")</f>
        <v/>
      </c>
      <c r="J1295" s="9">
        <f>if($A1295&lt;&gt;"",J1294+H1295,"")</f>
        <v/>
      </c>
      <c r="K1295" s="9">
        <f>if($A1295&lt;&gt;"",K1294+I1295,"")</f>
        <v/>
      </c>
      <c r="L1295" s="11">
        <f>IF($A1295&lt;&gt;"",IF(K1295-J1295=0,"tie",IF(K1295-J1295&gt;0,"+"&amp;K1295-J1295,"+"&amp;J1295-K1295)),"")</f>
        <v/>
      </c>
      <c r="M1295" s="20" t="n"/>
      <c r="N1295" s="20" t="n"/>
      <c r="O1295" s="20" t="n"/>
      <c r="P1295" s="20" t="n"/>
      <c r="Q1295" s="20" t="n"/>
      <c r="R1295" s="20" t="n"/>
      <c r="S1295" s="20" t="n"/>
    </row>
    <row r="1296">
      <c r="A1296" s="15" t="n">
        <v>45964</v>
      </c>
      <c r="B1296" s="20" t="n">
        <v>25</v>
      </c>
      <c r="C1296" s="20" t="n">
        <v>39</v>
      </c>
      <c r="D1296" s="17" t="inlineStr">
        <is>
          <t>Preston Way</t>
        </is>
      </c>
      <c r="E1296" s="9">
        <f>if($A1296&lt;&gt;"",E1295+B1296,"")</f>
        <v/>
      </c>
      <c r="F1296" s="9">
        <f>if($A1296&lt;&gt;"",F1295+C1296,"")</f>
        <v/>
      </c>
      <c r="G1296" s="11">
        <f>IF($A1296&lt;&gt;"",IF(F1296-E1296=0,"tie",IF(F1296-E1296&gt;0,"+"&amp;F1296-E1296,"+"&amp;E1296-F1296)),"")</f>
        <v/>
      </c>
      <c r="H1296" s="12">
        <f>if($A1296&lt;&gt;"",if(B1296&gt;C1296,if(B1296&lt;60,1,2),""),"")</f>
        <v/>
      </c>
      <c r="I1296" s="12">
        <f>if($A1296&lt;&gt;"",if(C1296&gt;B1296,if(C1296&lt;60,1,2),""),"")</f>
        <v/>
      </c>
      <c r="J1296" s="9">
        <f>if($A1296&lt;&gt;"",J1295+H1296,"")</f>
        <v/>
      </c>
      <c r="K1296" s="9">
        <f>if($A1296&lt;&gt;"",K1295+I1296,"")</f>
        <v/>
      </c>
      <c r="L1296" s="11">
        <f>IF($A1296&lt;&gt;"",IF(K1296-J1296=0,"tie",IF(K1296-J1296&gt;0,"+"&amp;K1296-J1296,"+"&amp;J1296-K1296)),"")</f>
        <v/>
      </c>
      <c r="M1296" s="20" t="n"/>
      <c r="N1296" s="20" t="n"/>
      <c r="O1296" s="20" t="n"/>
      <c r="P1296" s="20" t="n"/>
      <c r="Q1296" s="20" t="n"/>
      <c r="R1296" s="20" t="n"/>
      <c r="S1296" s="20" t="n"/>
    </row>
    <row r="1297">
      <c r="A1297" s="15" t="n">
        <v>45966</v>
      </c>
      <c r="B1297" s="20" t="n">
        <v>53</v>
      </c>
      <c r="C1297" s="20" t="n">
        <v>67</v>
      </c>
      <c r="D1297" s="17" t="inlineStr">
        <is>
          <t>Café 50's, WLA</t>
        </is>
      </c>
      <c r="E1297" s="9">
        <f>if($A1297&lt;&gt;"",E1296+B1297,"")</f>
        <v/>
      </c>
      <c r="F1297" s="9">
        <f>if($A1297&lt;&gt;"",F1296+C1297,"")</f>
        <v/>
      </c>
      <c r="G1297" s="11">
        <f>IF($A1297&lt;&gt;"",IF(F1297-E1297=0,"tie",IF(F1297-E1297&gt;0,"+"&amp;F1297-E1297,"+"&amp;E1297-F1297)),"")</f>
        <v/>
      </c>
      <c r="H1297" s="12">
        <f>if($A1297&lt;&gt;"",if(B1297&gt;C1297,if(B1297&lt;60,1,2),""),"")</f>
        <v/>
      </c>
      <c r="I1297" s="12">
        <f>if($A1297&lt;&gt;"",if(C1297&gt;B1297,if(C1297&lt;60,1,2),""),"")</f>
        <v/>
      </c>
      <c r="J1297" s="9">
        <f>if($A1297&lt;&gt;"",J1296+H1297,"")</f>
        <v/>
      </c>
      <c r="K1297" s="9">
        <f>if($A1297&lt;&gt;"",K1296+I1297,"")</f>
        <v/>
      </c>
      <c r="L1297" s="11">
        <f>IF($A1297&lt;&gt;"",IF(K1297-J1297=0,"tie",IF(K1297-J1297&gt;0,"+"&amp;K1297-J1297,"+"&amp;J1297-K1297)),"")</f>
        <v/>
      </c>
      <c r="M1297" s="20" t="n"/>
      <c r="N1297" s="20" t="n"/>
      <c r="O1297" s="20" t="n"/>
      <c r="P1297" s="20" t="n"/>
      <c r="Q1297" s="20" t="n"/>
      <c r="R1297" s="20" t="n"/>
      <c r="S1297" s="20" t="n"/>
    </row>
    <row r="1298">
      <c r="A1298" s="15" t="n">
        <v>45967</v>
      </c>
      <c r="B1298" s="20" t="n">
        <v>24</v>
      </c>
      <c r="C1298" s="20" t="n">
        <v>53</v>
      </c>
      <c r="D1298" s="17" t="inlineStr">
        <is>
          <t>Dakota Trail</t>
        </is>
      </c>
      <c r="E1298" s="9">
        <f>if($A1298&lt;&gt;"",E1297+B1298,"")</f>
        <v/>
      </c>
      <c r="F1298" s="9">
        <f>if($A1298&lt;&gt;"",F1297+C1298,"")</f>
        <v/>
      </c>
      <c r="G1298" s="11">
        <f>IF($A1298&lt;&gt;"",IF(F1298-E1298=0,"tie",IF(F1298-E1298&gt;0,"+"&amp;F1298-E1298,"+"&amp;E1298-F1298)),"")</f>
        <v/>
      </c>
      <c r="H1298" s="12">
        <f>if($A1298&lt;&gt;"",if(B1298&gt;C1298,if(B1298&lt;60,1,2),""),"")</f>
        <v/>
      </c>
      <c r="I1298" s="12">
        <f>if($A1298&lt;&gt;"",if(C1298&gt;B1298,if(C1298&lt;60,1,2),""),"")</f>
        <v/>
      </c>
      <c r="J1298" s="9">
        <f>if($A1298&lt;&gt;"",J1297+H1298,"")</f>
        <v/>
      </c>
      <c r="K1298" s="9">
        <f>if($A1298&lt;&gt;"",K1297+I1298,"")</f>
        <v/>
      </c>
      <c r="L1298" s="11">
        <f>IF($A1298&lt;&gt;"",IF(K1298-J1298=0,"tie",IF(K1298-J1298&gt;0,"+"&amp;K1298-J1298,"+"&amp;J1298-K1298)),"")</f>
        <v/>
      </c>
      <c r="M1298" s="20" t="n"/>
      <c r="N1298" s="20" t="n"/>
      <c r="O1298" s="20" t="n"/>
      <c r="P1298" s="20" t="n"/>
      <c r="Q1298" s="20" t="n"/>
      <c r="R1298" s="20" t="n"/>
      <c r="S1298" s="20" t="n"/>
    </row>
    <row r="1299">
      <c r="A1299" s="15" t="n">
        <v>45968</v>
      </c>
      <c r="B1299" s="20" t="n">
        <v>38</v>
      </c>
      <c r="C1299" s="20" t="n">
        <v>25</v>
      </c>
      <c r="D1299" s="17" t="inlineStr">
        <is>
          <t>Dakota Trail</t>
        </is>
      </c>
      <c r="E1299" s="9">
        <f>if($A1299&lt;&gt;"",E1298+B1299,"")</f>
        <v/>
      </c>
      <c r="F1299" s="9">
        <f>if($A1299&lt;&gt;"",F1298+C1299,"")</f>
        <v/>
      </c>
      <c r="G1299" s="11">
        <f>IF($A1299&lt;&gt;"",IF(F1299-E1299=0,"tie",IF(F1299-E1299&gt;0,"+"&amp;F1299-E1299,"+"&amp;E1299-F1299)),"")</f>
        <v/>
      </c>
      <c r="H1299" s="12">
        <f>if($A1299&lt;&gt;"",if(B1299&gt;C1299,if(B1299&lt;60,1,2),""),"")</f>
        <v/>
      </c>
      <c r="I1299" s="12">
        <f>if($A1299&lt;&gt;"",if(C1299&gt;B1299,if(C1299&lt;60,1,2),""),"")</f>
        <v/>
      </c>
      <c r="J1299" s="9">
        <f>if($A1299&lt;&gt;"",J1298+H1299,"")</f>
        <v/>
      </c>
      <c r="K1299" s="9">
        <f>if($A1299&lt;&gt;"",K1298+I1299,"")</f>
        <v/>
      </c>
      <c r="L1299" s="11">
        <f>IF($A1299&lt;&gt;"",IF(K1299-J1299=0,"tie",IF(K1299-J1299&gt;0,"+"&amp;K1299-J1299,"+"&amp;J1299-K1299)),"")</f>
        <v/>
      </c>
      <c r="M1299" s="20" t="n"/>
      <c r="N1299" s="20" t="n"/>
      <c r="O1299" s="20" t="n"/>
      <c r="P1299" s="20" t="n"/>
      <c r="Q1299" s="20" t="n"/>
      <c r="R1299" s="20" t="n"/>
      <c r="S1299" s="20" t="n"/>
    </row>
    <row r="1300">
      <c r="A1300" s="15" t="n">
        <v>45969</v>
      </c>
      <c r="B1300" s="20" t="n">
        <v>33</v>
      </c>
      <c r="C1300" s="20" t="n">
        <v>24</v>
      </c>
      <c r="D1300" s="17" t="inlineStr">
        <is>
          <t>The Lunch Spot, Palm Desert</t>
        </is>
      </c>
      <c r="E1300" s="9">
        <f>if($A1300&lt;&gt;"",E1299+B1300,"")</f>
        <v/>
      </c>
      <c r="F1300" s="9">
        <f>if($A1300&lt;&gt;"",F1299+C1300,"")</f>
        <v/>
      </c>
      <c r="G1300" s="11">
        <f>IF($A1300&lt;&gt;"",IF(F1300-E1300=0,"tie",IF(F1300-E1300&gt;0,"+"&amp;F1300-E1300,"+"&amp;E1300-F1300)),"")</f>
        <v/>
      </c>
      <c r="H1300" s="12">
        <f>if($A1300&lt;&gt;"",if(B1300&gt;C1300,if(B1300&lt;60,1,2),""),"")</f>
        <v/>
      </c>
      <c r="I1300" s="12">
        <f>if($A1300&lt;&gt;"",if(C1300&gt;B1300,if(C1300&lt;60,1,2),""),"")</f>
        <v/>
      </c>
      <c r="J1300" s="9">
        <f>if($A1300&lt;&gt;"",J1299+H1300,"")</f>
        <v/>
      </c>
      <c r="K1300" s="9">
        <f>if($A1300&lt;&gt;"",K1299+I1300,"")</f>
        <v/>
      </c>
      <c r="L1300" s="11">
        <f>IF($A1300&lt;&gt;"",IF(K1300-J1300=0,"tie",IF(K1300-J1300&gt;0,"+"&amp;K1300-J1300,"+"&amp;J1300-K1300)),"")</f>
        <v/>
      </c>
      <c r="M1300" s="20" t="n"/>
      <c r="N1300" s="20" t="n"/>
      <c r="O1300" s="20" t="n"/>
      <c r="P1300" s="20" t="n"/>
      <c r="Q1300" s="20" t="n"/>
      <c r="R1300" s="20" t="n"/>
      <c r="S1300" s="20" t="n"/>
    </row>
    <row r="1301">
      <c r="A1301" s="15" t="n">
        <v>45970</v>
      </c>
      <c r="B1301" s="20" t="n">
        <v>37</v>
      </c>
      <c r="C1301" s="20" t="n">
        <v>31</v>
      </c>
      <c r="D1301" s="17" t="inlineStr">
        <is>
          <t>Dakota Trail</t>
        </is>
      </c>
      <c r="E1301" s="9">
        <f>if($A1301&lt;&gt;"",E1300+B1301,"")</f>
        <v/>
      </c>
      <c r="F1301" s="9">
        <f>if($A1301&lt;&gt;"",F1300+C1301,"")</f>
        <v/>
      </c>
      <c r="G1301" s="11">
        <f>IF($A1301&lt;&gt;"",IF(F1301-E1301=0,"tie",IF(F1301-E1301&gt;0,"+"&amp;F1301-E1301,"+"&amp;E1301-F1301)),"")</f>
        <v/>
      </c>
      <c r="H1301" s="12">
        <f>if($A1301&lt;&gt;"",if(B1301&gt;C1301,if(B1301&lt;60,1,2),""),"")</f>
        <v/>
      </c>
      <c r="I1301" s="12">
        <f>if($A1301&lt;&gt;"",if(C1301&gt;B1301,if(C1301&lt;60,1,2),""),"")</f>
        <v/>
      </c>
      <c r="J1301" s="9">
        <f>if($A1301&lt;&gt;"",J1300+H1301,"")</f>
        <v/>
      </c>
      <c r="K1301" s="9">
        <f>if($A1301&lt;&gt;"",K1300+I1301,"")</f>
        <v/>
      </c>
      <c r="L1301" s="11">
        <f>IF($A1301&lt;&gt;"",IF(K1301-J1301=0,"tie",IF(K1301-J1301&gt;0,"+"&amp;K1301-J1301,"+"&amp;J1301-K1301)),"")</f>
        <v/>
      </c>
      <c r="M1301" s="20" t="n"/>
      <c r="N1301" s="20" t="n"/>
      <c r="O1301" s="20" t="n"/>
      <c r="P1301" s="20" t="n"/>
      <c r="Q1301" s="20" t="n"/>
      <c r="R1301" s="20" t="n"/>
      <c r="S1301" s="20" t="n"/>
    </row>
    <row r="1302">
      <c r="A1302" s="15" t="n">
        <v>45974</v>
      </c>
      <c r="B1302" s="20" t="n">
        <v>34</v>
      </c>
      <c r="C1302" s="20" t="n">
        <v>18</v>
      </c>
      <c r="D1302" s="17" t="inlineStr">
        <is>
          <t>Maple Block</t>
        </is>
      </c>
      <c r="E1302" s="9">
        <f>if($A1302&lt;&gt;"",E1301+B1302,"")</f>
        <v/>
      </c>
      <c r="F1302" s="9">
        <f>if($A1302&lt;&gt;"",F1301+C1302,"")</f>
        <v/>
      </c>
      <c r="G1302" s="11">
        <f>IF($A1302&lt;&gt;"",IF(F1302-E1302=0,"tie",IF(F1302-E1302&gt;0,"+"&amp;F1302-E1302,"+"&amp;E1302-F1302)),"")</f>
        <v/>
      </c>
      <c r="H1302" s="12">
        <f>if($A1302&lt;&gt;"",if(B1302&gt;C1302,if(B1302&lt;60,1,2),""),"")</f>
        <v/>
      </c>
      <c r="I1302" s="12">
        <f>if($A1302&lt;&gt;"",if(C1302&gt;B1302,if(C1302&lt;60,1,2),""),"")</f>
        <v/>
      </c>
      <c r="J1302" s="9">
        <f>if($A1302&lt;&gt;"",J1301+H1302,"")</f>
        <v/>
      </c>
      <c r="K1302" s="9">
        <f>if($A1302&lt;&gt;"",K1301+I1302,"")</f>
        <v/>
      </c>
      <c r="L1302" s="11">
        <f>IF($A1302&lt;&gt;"",IF(K1302-J1302=0,"tie",IF(K1302-J1302&gt;0,"+"&amp;K1302-J1302,"+"&amp;J1302-K1302)),"")</f>
        <v/>
      </c>
      <c r="M1302" s="20" t="n"/>
      <c r="N1302" s="20" t="n"/>
      <c r="O1302" s="20" t="n"/>
      <c r="P1302" s="20" t="n"/>
      <c r="Q1302" s="20" t="n"/>
      <c r="R1302" s="20" t="n"/>
      <c r="S1302" s="20" t="n"/>
    </row>
    <row r="1303">
      <c r="A1303" s="15" t="n">
        <v>45977</v>
      </c>
      <c r="B1303" s="20" t="n">
        <v>36</v>
      </c>
      <c r="C1303" s="20" t="n">
        <v>14</v>
      </c>
      <c r="D1303" s="17" t="inlineStr">
        <is>
          <t>Café 50's, WLA</t>
        </is>
      </c>
      <c r="E1303" s="9">
        <f>if($A1303&lt;&gt;"",E1302+B1303,"")</f>
        <v/>
      </c>
      <c r="F1303" s="9">
        <f>if($A1303&lt;&gt;"",F1302+C1303,"")</f>
        <v/>
      </c>
      <c r="G1303" s="11">
        <f>IF($A1303&lt;&gt;"",IF(F1303-E1303=0,"tie",IF(F1303-E1303&gt;0,"+"&amp;F1303-E1303,"+"&amp;E1303-F1303)),"")</f>
        <v/>
      </c>
      <c r="H1303" s="12">
        <f>if($A1303&lt;&gt;"",if(B1303&gt;C1303,if(B1303&lt;60,1,2),""),"")</f>
        <v/>
      </c>
      <c r="I1303" s="12">
        <f>if($A1303&lt;&gt;"",if(C1303&gt;B1303,if(C1303&lt;60,1,2),""),"")</f>
        <v/>
      </c>
      <c r="J1303" s="9">
        <f>if($A1303&lt;&gt;"",J1302+H1303,"")</f>
        <v/>
      </c>
      <c r="K1303" s="9">
        <f>if($A1303&lt;&gt;"",K1302+I1303,"")</f>
        <v/>
      </c>
      <c r="L1303" s="11">
        <f>IF($A1303&lt;&gt;"",IF(K1303-J1303=0,"tie",IF(K1303-J1303&gt;0,"+"&amp;K1303-J1303,"+"&amp;J1303-K1303)),"")</f>
        <v/>
      </c>
      <c r="M1303" s="20" t="n"/>
      <c r="N1303" s="20" t="n"/>
      <c r="O1303" s="20" t="n"/>
      <c r="P1303" s="20" t="n"/>
      <c r="Q1303" s="20" t="n"/>
      <c r="R1303" s="20" t="n"/>
      <c r="S1303" s="20" t="n"/>
    </row>
    <row r="1304">
      <c r="A1304" s="15" t="n">
        <v>45977</v>
      </c>
      <c r="B1304" s="20" t="n">
        <v>33</v>
      </c>
      <c r="C1304" s="20" t="n">
        <v>21</v>
      </c>
      <c r="D1304" s="17" t="inlineStr">
        <is>
          <t>Preston Way</t>
        </is>
      </c>
      <c r="E1304" s="9">
        <f>if($A1304&lt;&gt;"",E1303+B1304,"")</f>
        <v/>
      </c>
      <c r="F1304" s="9">
        <f>if($A1304&lt;&gt;"",F1303+C1304,"")</f>
        <v/>
      </c>
      <c r="G1304" s="11">
        <f>IF($A1304&lt;&gt;"",IF(F1304-E1304=0,"tie",IF(F1304-E1304&gt;0,"+"&amp;F1304-E1304,"+"&amp;E1304-F1304)),"")</f>
        <v/>
      </c>
      <c r="H1304" s="12">
        <f>if($A1304&lt;&gt;"",if(B1304&gt;C1304,if(B1304&lt;60,1,2),""),"")</f>
        <v/>
      </c>
      <c r="I1304" s="12">
        <f>if($A1304&lt;&gt;"",if(C1304&gt;B1304,if(C1304&lt;60,1,2),""),"")</f>
        <v/>
      </c>
      <c r="J1304" s="9">
        <f>if($A1304&lt;&gt;"",J1303+H1304,"")</f>
        <v/>
      </c>
      <c r="K1304" s="9">
        <f>if($A1304&lt;&gt;"",K1303+I1304,"")</f>
        <v/>
      </c>
      <c r="L1304" s="11">
        <f>IF($A1304&lt;&gt;"",IF(K1304-J1304=0,"tie",IF(K1304-J1304&gt;0,"+"&amp;K1304-J1304,"+"&amp;J1304-K1304)),"")</f>
        <v/>
      </c>
      <c r="M1304" s="20" t="n"/>
      <c r="N1304" s="20" t="n"/>
      <c r="O1304" s="20" t="n"/>
      <c r="P1304" s="20" t="n"/>
      <c r="Q1304" s="20" t="n"/>
      <c r="R1304" s="20" t="n"/>
      <c r="S1304" s="20" t="n"/>
    </row>
    <row r="1305">
      <c r="A1305" s="15" t="n">
        <v>45977</v>
      </c>
      <c r="B1305" s="20" t="n">
        <v>67</v>
      </c>
      <c r="C1305" s="20" t="n">
        <v>50</v>
      </c>
      <c r="D1305" s="17" t="inlineStr">
        <is>
          <t>Elysee Bakery and Café, Westwood</t>
        </is>
      </c>
      <c r="E1305" s="9">
        <f>if($A1305&lt;&gt;"",E1304+B1305,"")</f>
        <v/>
      </c>
      <c r="F1305" s="9">
        <f>if($A1305&lt;&gt;"",F1304+C1305,"")</f>
        <v/>
      </c>
      <c r="G1305" s="11">
        <f>IF($A1305&lt;&gt;"",IF(F1305-E1305=0,"tie",IF(F1305-E1305&gt;0,"+"&amp;F1305-E1305,"+"&amp;E1305-F1305)),"")</f>
        <v/>
      </c>
      <c r="H1305" s="12">
        <f>if($A1305&lt;&gt;"",if(B1305&gt;C1305,if(B1305&lt;60,1,2),""),"")</f>
        <v/>
      </c>
      <c r="I1305" s="12">
        <f>if($A1305&lt;&gt;"",if(C1305&gt;B1305,if(C1305&lt;60,1,2),""),"")</f>
        <v/>
      </c>
      <c r="J1305" s="9">
        <f>if($A1305&lt;&gt;"",J1304+H1305,"")</f>
        <v/>
      </c>
      <c r="K1305" s="9">
        <f>if($A1305&lt;&gt;"",K1304+I1305,"")</f>
        <v/>
      </c>
      <c r="L1305" s="11">
        <f>IF($A1305&lt;&gt;"",IF(K1305-J1305=0,"tie",IF(K1305-J1305&gt;0,"+"&amp;K1305-J1305,"+"&amp;J1305-K1305)),"")</f>
        <v/>
      </c>
      <c r="M1305" s="20" t="n"/>
      <c r="N1305" s="20" t="n"/>
      <c r="O1305" s="20" t="n"/>
      <c r="P1305" s="20" t="n"/>
      <c r="Q1305" s="20" t="n"/>
      <c r="R1305" s="20" t="n"/>
      <c r="S1305" s="20" t="n"/>
    </row>
    <row r="1306">
      <c r="A1306" s="15" t="n">
        <v>45980</v>
      </c>
      <c r="B1306" s="20" t="n">
        <v>37</v>
      </c>
      <c r="C1306" s="20" t="n">
        <v>21</v>
      </c>
      <c r="D1306" s="17" t="inlineStr">
        <is>
          <t>Rockinwagner</t>
        </is>
      </c>
      <c r="E1306" s="9">
        <f>if($A1306&lt;&gt;"",E1305+B1306,"")</f>
        <v/>
      </c>
      <c r="F1306" s="9">
        <f>if($A1306&lt;&gt;"",F1305+C1306,"")</f>
        <v/>
      </c>
      <c r="G1306" s="11">
        <f>IF($A1306&lt;&gt;"",IF(F1306-E1306=0,"tie",IF(F1306-E1306&gt;0,"+"&amp;F1306-E1306,"+"&amp;E1306-F1306)),"")</f>
        <v/>
      </c>
      <c r="H1306" s="12">
        <f>if($A1306&lt;&gt;"",if(B1306&gt;C1306,if(B1306&lt;60,1,2),""),"")</f>
        <v/>
      </c>
      <c r="I1306" s="12">
        <f>if($A1306&lt;&gt;"",if(C1306&gt;B1306,if(C1306&lt;60,1,2),""),"")</f>
        <v/>
      </c>
      <c r="J1306" s="9">
        <f>if($A1306&lt;&gt;"",J1305+H1306,"")</f>
        <v/>
      </c>
      <c r="K1306" s="9">
        <f>if($A1306&lt;&gt;"",K1305+I1306,"")</f>
        <v/>
      </c>
      <c r="L1306" s="11">
        <f>IF($A1306&lt;&gt;"",IF(K1306-J1306=0,"tie",IF(K1306-J1306&gt;0,"+"&amp;K1306-J1306,"+"&amp;J1306-K1306)),"")</f>
        <v/>
      </c>
      <c r="M1306" s="20" t="n"/>
      <c r="N1306" s="20" t="n"/>
      <c r="O1306" s="20" t="n"/>
      <c r="P1306" s="20" t="n"/>
      <c r="Q1306" s="20" t="n"/>
      <c r="R1306" s="20" t="n"/>
      <c r="S1306" s="20" t="n"/>
    </row>
    <row r="1307">
      <c r="A1307" s="15" t="n">
        <v>45981</v>
      </c>
      <c r="B1307" s="20" t="n">
        <v>33</v>
      </c>
      <c r="C1307" s="20" t="n">
        <v>27</v>
      </c>
      <c r="D1307" s="17" t="inlineStr">
        <is>
          <t>iHop, MDR</t>
        </is>
      </c>
      <c r="E1307" s="9">
        <f>if($A1307&lt;&gt;"",E1306+B1307,"")</f>
        <v/>
      </c>
      <c r="F1307" s="9">
        <f>if($A1307&lt;&gt;"",F1306+C1307,"")</f>
        <v/>
      </c>
      <c r="G1307" s="11">
        <f>IF($A1307&lt;&gt;"",IF(F1307-E1307=0,"tie",IF(F1307-E1307&gt;0,"+"&amp;F1307-E1307,"+"&amp;E1307-F1307)),"")</f>
        <v/>
      </c>
      <c r="H1307" s="12">
        <f>if($A1307&lt;&gt;"",if(B1307&gt;C1307,if(B1307&lt;60,1,2),""),"")</f>
        <v/>
      </c>
      <c r="I1307" s="12">
        <f>if($A1307&lt;&gt;"",if(C1307&gt;B1307,if(C1307&lt;60,1,2),""),"")</f>
        <v/>
      </c>
      <c r="J1307" s="9">
        <f>if($A1307&lt;&gt;"",J1306+H1307,"")</f>
        <v/>
      </c>
      <c r="K1307" s="9">
        <f>if($A1307&lt;&gt;"",K1306+I1307,"")</f>
        <v/>
      </c>
      <c r="L1307" s="11">
        <f>IF($A1307&lt;&gt;"",IF(K1307-J1307=0,"tie",IF(K1307-J1307&gt;0,"+"&amp;K1307-J1307,"+"&amp;J1307-K1307)),"")</f>
        <v/>
      </c>
      <c r="M1307" s="20" t="n"/>
      <c r="N1307" s="20" t="n"/>
      <c r="O1307" s="20" t="n"/>
      <c r="P1307" s="20" t="n"/>
      <c r="Q1307" s="20" t="n"/>
      <c r="R1307" s="20" t="n"/>
      <c r="S1307" s="20" t="n"/>
    </row>
    <row r="1308">
      <c r="A1308" s="15" t="n">
        <v>45982</v>
      </c>
      <c r="B1308" s="20" t="n">
        <v>36</v>
      </c>
      <c r="C1308" s="20" t="n">
        <v>25</v>
      </c>
      <c r="D1308" s="17" t="inlineStr">
        <is>
          <t>Preston Way</t>
        </is>
      </c>
      <c r="E1308" s="9">
        <f>if($A1308&lt;&gt;"",E1307+B1308,"")</f>
        <v/>
      </c>
      <c r="F1308" s="9">
        <f>if($A1308&lt;&gt;"",F1307+C1308,"")</f>
        <v/>
      </c>
      <c r="G1308" s="11">
        <f>IF($A1308&lt;&gt;"",IF(F1308-E1308=0,"tie",IF(F1308-E1308&gt;0,"+"&amp;F1308-E1308,"+"&amp;E1308-F1308)),"")</f>
        <v/>
      </c>
      <c r="H1308" s="12">
        <f>if($A1308&lt;&gt;"",if(B1308&gt;C1308,if(B1308&lt;60,1,2),""),"")</f>
        <v/>
      </c>
      <c r="I1308" s="12">
        <f>if($A1308&lt;&gt;"",if(C1308&gt;B1308,if(C1308&lt;60,1,2),""),"")</f>
        <v/>
      </c>
      <c r="J1308" s="9">
        <f>if($A1308&lt;&gt;"",J1307+H1308,"")</f>
        <v/>
      </c>
      <c r="K1308" s="9">
        <f>if($A1308&lt;&gt;"",K1307+I1308,"")</f>
        <v/>
      </c>
      <c r="L1308" s="11">
        <f>IF($A1308&lt;&gt;"",IF(K1308-J1308=0,"tie",IF(K1308-J1308&gt;0,"+"&amp;K1308-J1308,"+"&amp;J1308-K1308)),"")</f>
        <v/>
      </c>
      <c r="M1308" s="20" t="n"/>
      <c r="N1308" s="20" t="n"/>
      <c r="O1308" s="20" t="n"/>
      <c r="P1308" s="20" t="n"/>
      <c r="Q1308" s="20" t="n"/>
      <c r="R1308" s="20" t="n"/>
      <c r="S1308" s="20" t="n"/>
    </row>
    <row r="1309">
      <c r="A1309" s="15" t="n">
        <v>45983</v>
      </c>
      <c r="B1309" s="20" t="n">
        <v>32</v>
      </c>
      <c r="C1309" s="20" t="n">
        <v>20</v>
      </c>
      <c r="D1309" s="17" t="inlineStr">
        <is>
          <t>Preston Way</t>
        </is>
      </c>
      <c r="E1309" s="9">
        <f>if($A1309&lt;&gt;"",E1308+B1309,"")</f>
        <v/>
      </c>
      <c r="F1309" s="9">
        <f>if($A1309&lt;&gt;"",F1308+C1309,"")</f>
        <v/>
      </c>
      <c r="G1309" s="11">
        <f>IF($A1309&lt;&gt;"",IF(F1309-E1309=0,"tie",IF(F1309-E1309&gt;0,"+"&amp;F1309-E1309,"+"&amp;E1309-F1309)),"")</f>
        <v/>
      </c>
      <c r="H1309" s="12">
        <f>if($A1309&lt;&gt;"",if(B1309&gt;C1309,if(B1309&lt;60,1,2),""),"")</f>
        <v/>
      </c>
      <c r="I1309" s="12">
        <f>if($A1309&lt;&gt;"",if(C1309&gt;B1309,if(C1309&lt;60,1,2),""),"")</f>
        <v/>
      </c>
      <c r="J1309" s="9">
        <f>if($A1309&lt;&gt;"",J1308+H1309,"")</f>
        <v/>
      </c>
      <c r="K1309" s="9">
        <f>if($A1309&lt;&gt;"",K1308+I1309,"")</f>
        <v/>
      </c>
      <c r="L1309" s="11">
        <f>IF($A1309&lt;&gt;"",IF(K1309-J1309=0,"tie",IF(K1309-J1309&gt;0,"+"&amp;K1309-J1309,"+"&amp;J1309-K1309)),"")</f>
        <v/>
      </c>
      <c r="M1309" s="20" t="n"/>
      <c r="N1309" s="20" t="n"/>
      <c r="O1309" s="20" t="n"/>
      <c r="P1309" s="20" t="n"/>
      <c r="Q1309" s="20" t="n"/>
      <c r="R1309" s="20" t="n"/>
      <c r="S1309" s="20" t="n"/>
    </row>
    <row r="1310">
      <c r="A1310" s="15" t="n">
        <v>45984</v>
      </c>
      <c r="B1310" s="20" t="n">
        <v>18</v>
      </c>
      <c r="C1310" s="20" t="n">
        <v>31</v>
      </c>
      <c r="D1310" s="17" t="inlineStr">
        <is>
          <t>Dakota Trail</t>
        </is>
      </c>
      <c r="E1310" s="9">
        <f>if($A1310&lt;&gt;"",E1309+B1310,"")</f>
        <v/>
      </c>
      <c r="F1310" s="9">
        <f>if($A1310&lt;&gt;"",F1309+C1310,"")</f>
        <v/>
      </c>
      <c r="G1310" s="11">
        <f>IF($A1310&lt;&gt;"",IF(F1310-E1310=0,"tie",IF(F1310-E1310&gt;0,"+"&amp;F1310-E1310,"+"&amp;E1310-F1310)),"")</f>
        <v/>
      </c>
      <c r="H1310" s="12">
        <f>if($A1310&lt;&gt;"",if(B1310&gt;C1310,if(B1310&lt;60,1,2),""),"")</f>
        <v/>
      </c>
      <c r="I1310" s="12">
        <f>if($A1310&lt;&gt;"",if(C1310&gt;B1310,if(C1310&lt;60,1,2),""),"")</f>
        <v/>
      </c>
      <c r="J1310" s="9">
        <f>if($A1310&lt;&gt;"",J1309+H1310,"")</f>
        <v/>
      </c>
      <c r="K1310" s="9">
        <f>if($A1310&lt;&gt;"",K1309+I1310,"")</f>
        <v/>
      </c>
      <c r="L1310" s="11">
        <f>IF($A1310&lt;&gt;"",IF(K1310-J1310=0,"tie",IF(K1310-J1310&gt;0,"+"&amp;K1310-J1310,"+"&amp;J1310-K1310)),"")</f>
        <v/>
      </c>
      <c r="M1310" s="20" t="n"/>
      <c r="N1310" s="20" t="n"/>
      <c r="O1310" s="20" t="n"/>
      <c r="P1310" s="20" t="n"/>
      <c r="Q1310" s="20" t="n"/>
      <c r="R1310" s="20" t="n"/>
      <c r="S1310" s="20" t="n"/>
    </row>
    <row r="1311">
      <c r="A1311" s="15" t="n">
        <v>45994</v>
      </c>
      <c r="B1311" s="20" t="n">
        <v>35</v>
      </c>
      <c r="C1311" s="20" t="n">
        <v>11</v>
      </c>
      <c r="D1311" s="17" t="inlineStr">
        <is>
          <t>Preston Way</t>
        </is>
      </c>
      <c r="E1311" s="9">
        <f>if($A1311&lt;&gt;"",E1310+B1311,"")</f>
        <v/>
      </c>
      <c r="F1311" s="9">
        <f>if($A1311&lt;&gt;"",F1310+C1311,"")</f>
        <v/>
      </c>
      <c r="G1311" s="11">
        <f>IF($A1311&lt;&gt;"",IF(F1311-E1311=0,"tie",IF(F1311-E1311&gt;0,"+"&amp;F1311-E1311,"+"&amp;E1311-F1311)),"")</f>
        <v/>
      </c>
      <c r="H1311" s="12">
        <f>if($A1311&lt;&gt;"",if(B1311&gt;C1311,if(B1311&lt;60,1,2),""),"")</f>
        <v/>
      </c>
      <c r="I1311" s="12">
        <f>if($A1311&lt;&gt;"",if(C1311&gt;B1311,if(C1311&lt;60,1,2),""),"")</f>
        <v/>
      </c>
      <c r="J1311" s="9">
        <f>if($A1311&lt;&gt;"",J1310+H1311,"")</f>
        <v/>
      </c>
      <c r="K1311" s="9">
        <f>if($A1311&lt;&gt;"",K1310+I1311,"")</f>
        <v/>
      </c>
      <c r="L1311" s="11">
        <f>IF($A1311&lt;&gt;"",IF(K1311-J1311=0,"tie",IF(K1311-J1311&gt;0,"+"&amp;K1311-J1311,"+"&amp;J1311-K1311)),"")</f>
        <v/>
      </c>
      <c r="M1311" s="20" t="n"/>
      <c r="N1311" s="20" t="n"/>
      <c r="O1311" s="20" t="n"/>
      <c r="P1311" s="20" t="n"/>
      <c r="Q1311" s="20" t="n"/>
      <c r="R1311" s="20" t="n"/>
      <c r="S1311" s="20" t="n"/>
    </row>
    <row r="1312">
      <c r="A1312" s="15" t="n">
        <v>45996</v>
      </c>
      <c r="B1312" s="20" t="n">
        <v>36</v>
      </c>
      <c r="C1312" s="20" t="n">
        <v>17</v>
      </c>
      <c r="D1312" s="17" t="inlineStr">
        <is>
          <t>Preston Way</t>
        </is>
      </c>
      <c r="E1312" s="9">
        <f>if($A1312&lt;&gt;"",E1311+B1312,"")</f>
        <v/>
      </c>
      <c r="F1312" s="9">
        <f>if($A1312&lt;&gt;"",F1311+C1312,"")</f>
        <v/>
      </c>
      <c r="G1312" s="11">
        <f>IF($A1312&lt;&gt;"",IF(F1312-E1312=0,"tie",IF(F1312-E1312&gt;0,"+"&amp;F1312-E1312,"+"&amp;E1312-F1312)),"")</f>
        <v/>
      </c>
      <c r="H1312" s="12">
        <f>if($A1312&lt;&gt;"",if(B1312&gt;C1312,if(B1312&lt;60,1,2),""),"")</f>
        <v/>
      </c>
      <c r="I1312" s="12">
        <f>if($A1312&lt;&gt;"",if(C1312&gt;B1312,if(C1312&lt;60,1,2),""),"")</f>
        <v/>
      </c>
      <c r="J1312" s="9">
        <f>if($A1312&lt;&gt;"",J1311+H1312,"")</f>
        <v/>
      </c>
      <c r="K1312" s="9">
        <f>if($A1312&lt;&gt;"",K1311+I1312,"")</f>
        <v/>
      </c>
      <c r="L1312" s="11">
        <f>IF($A1312&lt;&gt;"",IF(K1312-J1312=0,"tie",IF(K1312-J1312&gt;0,"+"&amp;K1312-J1312,"+"&amp;J1312-K1312)),"")</f>
        <v/>
      </c>
      <c r="M1312" s="20" t="n"/>
      <c r="N1312" s="20" t="n"/>
      <c r="O1312" s="20" t="n"/>
      <c r="P1312" s="20" t="n"/>
      <c r="Q1312" s="20" t="n"/>
      <c r="R1312" s="20" t="n"/>
      <c r="S1312" s="20" t="n"/>
    </row>
    <row r="1313">
      <c r="A1313" s="15" t="n">
        <v>45996</v>
      </c>
      <c r="B1313" s="20" t="n">
        <v>33</v>
      </c>
      <c r="C1313" s="20" t="n">
        <v>22</v>
      </c>
      <c r="D1313" s="17" t="inlineStr">
        <is>
          <t>Elysee Bakery and Café, Westwood</t>
        </is>
      </c>
      <c r="E1313" s="9">
        <f>if($A1313&lt;&gt;"",E1312+B1313,"")</f>
        <v/>
      </c>
      <c r="F1313" s="9">
        <f>if($A1313&lt;&gt;"",F1312+C1313,"")</f>
        <v/>
      </c>
      <c r="G1313" s="11">
        <f>IF($A1313&lt;&gt;"",IF(F1313-E1313=0,"tie",IF(F1313-E1313&gt;0,"+"&amp;F1313-E1313,"+"&amp;E1313-F1313)),"")</f>
        <v/>
      </c>
      <c r="H1313" s="12">
        <f>if($A1313&lt;&gt;"",if(B1313&gt;C1313,if(B1313&lt;60,1,2),""),"")</f>
        <v/>
      </c>
      <c r="I1313" s="12">
        <f>if($A1313&lt;&gt;"",if(C1313&gt;B1313,if(C1313&lt;60,1,2),""),"")</f>
        <v/>
      </c>
      <c r="J1313" s="9">
        <f>if($A1313&lt;&gt;"",J1312+H1313,"")</f>
        <v/>
      </c>
      <c r="K1313" s="9">
        <f>if($A1313&lt;&gt;"",K1312+I1313,"")</f>
        <v/>
      </c>
      <c r="L1313" s="11">
        <f>IF($A1313&lt;&gt;"",IF(K1313-J1313=0,"tie",IF(K1313-J1313&gt;0,"+"&amp;K1313-J1313,"+"&amp;J1313-K1313)),"")</f>
        <v/>
      </c>
      <c r="M1313" s="20" t="n"/>
      <c r="N1313" s="20" t="n"/>
      <c r="O1313" s="20" t="n"/>
      <c r="P1313" s="20" t="n"/>
      <c r="Q1313" s="20" t="n"/>
      <c r="R1313" s="20" t="n"/>
      <c r="S1313" s="20" t="n"/>
    </row>
    <row r="1314">
      <c r="A1314" s="15" t="n">
        <v>45998</v>
      </c>
      <c r="B1314" s="20" t="n">
        <v>58</v>
      </c>
      <c r="C1314" s="20" t="n">
        <v>64</v>
      </c>
      <c r="D1314" s="17" t="inlineStr">
        <is>
          <t>Zinque, Venice</t>
        </is>
      </c>
      <c r="E1314" s="9">
        <f>if($A1314&lt;&gt;"",E1313+B1314,"")</f>
        <v/>
      </c>
      <c r="F1314" s="9">
        <f>if($A1314&lt;&gt;"",F1313+C1314,"")</f>
        <v/>
      </c>
      <c r="G1314" s="11">
        <f>IF($A1314&lt;&gt;"",IF(F1314-E1314=0,"tie",IF(F1314-E1314&gt;0,"+"&amp;F1314-E1314,"+"&amp;E1314-F1314)),"")</f>
        <v/>
      </c>
      <c r="H1314" s="12">
        <f>if($A1314&lt;&gt;"",if(B1314&gt;C1314,if(B1314&lt;60,1,2),""),"")</f>
        <v/>
      </c>
      <c r="I1314" s="12">
        <f>if($A1314&lt;&gt;"",if(C1314&gt;B1314,if(C1314&lt;60,1,2),""),"")</f>
        <v/>
      </c>
      <c r="J1314" s="9">
        <f>if($A1314&lt;&gt;"",J1313+H1314,"")</f>
        <v/>
      </c>
      <c r="K1314" s="9">
        <f>if($A1314&lt;&gt;"",K1313+I1314,"")</f>
        <v/>
      </c>
      <c r="L1314" s="11">
        <f>IF($A1314&lt;&gt;"",IF(K1314-J1314=0,"tie",IF(K1314-J1314&gt;0,"+"&amp;K1314-J1314,"+"&amp;J1314-K1314)),"")</f>
        <v/>
      </c>
      <c r="M1314" s="20" t="n"/>
      <c r="N1314" s="20" t="n"/>
      <c r="O1314" s="20" t="n"/>
      <c r="P1314" s="20" t="n"/>
      <c r="Q1314" s="20" t="n"/>
      <c r="R1314" s="20" t="n"/>
      <c r="S1314" s="20" t="n"/>
    </row>
    <row r="1315">
      <c r="A1315" s="15" t="n">
        <v>45998</v>
      </c>
      <c r="B1315" s="20" t="n">
        <v>31</v>
      </c>
      <c r="C1315" s="20" t="n">
        <v>48</v>
      </c>
      <c r="D1315" s="17" t="inlineStr">
        <is>
          <t>George's Burgers, Santa Monica</t>
        </is>
      </c>
      <c r="E1315" s="9">
        <f>if($A1315&lt;&gt;"",E1314+B1315,"")</f>
        <v/>
      </c>
      <c r="F1315" s="9">
        <f>if($A1315&lt;&gt;"",F1314+C1315,"")</f>
        <v/>
      </c>
      <c r="G1315" s="11">
        <f>IF($A1315&lt;&gt;"",IF(F1315-E1315=0,"tie",IF(F1315-E1315&gt;0,"+"&amp;F1315-E1315,"+"&amp;E1315-F1315)),"")</f>
        <v/>
      </c>
      <c r="H1315" s="12">
        <f>if($A1315&lt;&gt;"",if(B1315&gt;C1315,if(B1315&lt;60,1,2),""),"")</f>
        <v/>
      </c>
      <c r="I1315" s="12">
        <f>if($A1315&lt;&gt;"",if(C1315&gt;B1315,if(C1315&lt;60,1,2),""),"")</f>
        <v/>
      </c>
      <c r="J1315" s="9">
        <f>if($A1315&lt;&gt;"",J1314+H1315,"")</f>
        <v/>
      </c>
      <c r="K1315" s="9">
        <f>if($A1315&lt;&gt;"",K1314+I1315,"")</f>
        <v/>
      </c>
      <c r="L1315" s="11">
        <f>IF($A1315&lt;&gt;"",IF(K1315-J1315=0,"tie",IF(K1315-J1315&gt;0,"+"&amp;K1315-J1315,"+"&amp;J1315-K1315)),"")</f>
        <v/>
      </c>
      <c r="M1315" s="20" t="n"/>
      <c r="N1315" s="20" t="n"/>
      <c r="O1315" s="20" t="n"/>
      <c r="P1315" s="20" t="n"/>
      <c r="Q1315" s="20" t="n"/>
      <c r="R1315" s="20" t="n"/>
      <c r="S1315" s="20" t="n"/>
    </row>
    <row r="1316">
      <c r="A1316" s="15" t="n">
        <v>45999</v>
      </c>
      <c r="B1316" s="20" t="n">
        <v>29</v>
      </c>
      <c r="C1316" s="20" t="n">
        <v>35</v>
      </c>
      <c r="D1316" s="17" t="inlineStr">
        <is>
          <t>Rockinwagner</t>
        </is>
      </c>
      <c r="E1316" s="9">
        <f>if($A1316&lt;&gt;"",E1315+B1316,"")</f>
        <v/>
      </c>
      <c r="F1316" s="9">
        <f>if($A1316&lt;&gt;"",F1315+C1316,"")</f>
        <v/>
      </c>
      <c r="G1316" s="11">
        <f>IF($A1316&lt;&gt;"",IF(F1316-E1316=0,"tie",IF(F1316-E1316&gt;0,"+"&amp;F1316-E1316,"+"&amp;E1316-F1316)),"")</f>
        <v/>
      </c>
      <c r="H1316" s="12">
        <f>if($A1316&lt;&gt;"",if(B1316&gt;C1316,if(B1316&lt;60,1,2),""),"")</f>
        <v/>
      </c>
      <c r="I1316" s="12">
        <f>if($A1316&lt;&gt;"",if(C1316&gt;B1316,if(C1316&lt;60,1,2),""),"")</f>
        <v/>
      </c>
      <c r="J1316" s="9">
        <f>if($A1316&lt;&gt;"",J1315+H1316,"")</f>
        <v/>
      </c>
      <c r="K1316" s="9">
        <f>if($A1316&lt;&gt;"",K1315+I1316,"")</f>
        <v/>
      </c>
      <c r="L1316" s="11">
        <f>IF($A1316&lt;&gt;"",IF(K1316-J1316=0,"tie",IF(K1316-J1316&gt;0,"+"&amp;K1316-J1316,"+"&amp;J1316-K1316)),"")</f>
        <v/>
      </c>
      <c r="M1316" s="20" t="n"/>
      <c r="N1316" s="20" t="n"/>
      <c r="O1316" s="20" t="n"/>
      <c r="P1316" s="20" t="n"/>
      <c r="Q1316" s="20" t="n"/>
      <c r="R1316" s="20" t="n"/>
      <c r="S1316" s="20" t="n"/>
    </row>
    <row r="1317">
      <c r="A1317" s="15" t="n">
        <v>46002</v>
      </c>
      <c r="B1317" s="20" t="n">
        <v>32</v>
      </c>
      <c r="C1317" s="20" t="n">
        <v>28</v>
      </c>
      <c r="D1317" s="17" t="inlineStr">
        <is>
          <t>Café 50's, WLA</t>
        </is>
      </c>
      <c r="E1317" s="9">
        <f>if($A1317&lt;&gt;"",E1316+B1317,"")</f>
        <v/>
      </c>
      <c r="F1317" s="9">
        <f>if($A1317&lt;&gt;"",F1316+C1317,"")</f>
        <v/>
      </c>
      <c r="G1317" s="11">
        <f>IF($A1317&lt;&gt;"",IF(F1317-E1317=0,"tie",IF(F1317-E1317&gt;0,"+"&amp;F1317-E1317,"+"&amp;E1317-F1317)),"")</f>
        <v/>
      </c>
      <c r="H1317" s="12">
        <f>if($A1317&lt;&gt;"",if(B1317&gt;C1317,if(B1317&lt;60,1,2),""),"")</f>
        <v/>
      </c>
      <c r="I1317" s="12">
        <f>if($A1317&lt;&gt;"",if(C1317&gt;B1317,if(C1317&lt;60,1,2),""),"")</f>
        <v/>
      </c>
      <c r="J1317" s="9">
        <f>if($A1317&lt;&gt;"",J1316+H1317,"")</f>
        <v/>
      </c>
      <c r="K1317" s="9">
        <f>if($A1317&lt;&gt;"",K1316+I1317,"")</f>
        <v/>
      </c>
      <c r="L1317" s="11">
        <f>IF($A1317&lt;&gt;"",IF(K1317-J1317=0,"tie",IF(K1317-J1317&gt;0,"+"&amp;K1317-J1317,"+"&amp;J1317-K1317)),"")</f>
        <v/>
      </c>
      <c r="M1317" s="20" t="n"/>
      <c r="N1317" s="20" t="n"/>
      <c r="O1317" s="20" t="n"/>
      <c r="P1317" s="20" t="n"/>
      <c r="Q1317" s="20" t="n"/>
      <c r="R1317" s="20" t="n"/>
      <c r="S1317" s="20" t="n"/>
    </row>
    <row r="1318">
      <c r="A1318" s="15" t="n">
        <v>46004</v>
      </c>
      <c r="B1318" s="20" t="n">
        <v>54</v>
      </c>
      <c r="C1318" s="20" t="n">
        <v>68</v>
      </c>
      <c r="D1318" s="17" t="inlineStr">
        <is>
          <t>Hof's Hut, Long Beach</t>
        </is>
      </c>
      <c r="E1318" s="9">
        <f>if($A1318&lt;&gt;"",E1317+B1318,"")</f>
        <v/>
      </c>
      <c r="F1318" s="9">
        <f>if($A1318&lt;&gt;"",F1317+C1318,"")</f>
        <v/>
      </c>
      <c r="G1318" s="11">
        <f>IF($A1318&lt;&gt;"",IF(F1318-E1318=0,"tie",IF(F1318-E1318&gt;0,"+"&amp;F1318-E1318,"+"&amp;E1318-F1318)),"")</f>
        <v/>
      </c>
      <c r="H1318" s="12">
        <f>if($A1318&lt;&gt;"",if(B1318&gt;C1318,if(B1318&lt;60,1,2),""),"")</f>
        <v/>
      </c>
      <c r="I1318" s="12">
        <f>if($A1318&lt;&gt;"",if(C1318&gt;B1318,if(C1318&lt;60,1,2),""),"")</f>
        <v/>
      </c>
      <c r="J1318" s="9">
        <f>if($A1318&lt;&gt;"",J1317+H1318,"")</f>
        <v/>
      </c>
      <c r="K1318" s="9">
        <f>if($A1318&lt;&gt;"",K1317+I1318,"")</f>
        <v/>
      </c>
      <c r="L1318" s="11">
        <f>IF($A1318&lt;&gt;"",IF(K1318-J1318=0,"tie",IF(K1318-J1318&gt;0,"+"&amp;K1318-J1318,"+"&amp;J1318-K1318)),"")</f>
        <v/>
      </c>
      <c r="M1318" s="20" t="n"/>
      <c r="N1318" s="20" t="n"/>
      <c r="O1318" s="20" t="n"/>
      <c r="P1318" s="20" t="n"/>
      <c r="Q1318" s="20" t="n"/>
      <c r="R1318" s="20" t="n"/>
      <c r="S1318" s="20" t="n"/>
    </row>
    <row r="1319">
      <c r="A1319" s="15" t="n">
        <v>46005</v>
      </c>
      <c r="B1319" s="20" t="n">
        <v>37</v>
      </c>
      <c r="C1319" s="20" t="n">
        <v>27</v>
      </c>
      <c r="D1319" s="17" t="inlineStr">
        <is>
          <t>Preston Way</t>
        </is>
      </c>
      <c r="E1319" s="9">
        <f>if($A1319&lt;&gt;"",E1318+B1319,"")</f>
        <v/>
      </c>
      <c r="F1319" s="9">
        <f>if($A1319&lt;&gt;"",F1318+C1319,"")</f>
        <v/>
      </c>
      <c r="G1319" s="11">
        <f>IF($A1319&lt;&gt;"",IF(F1319-E1319=0,"tie",IF(F1319-E1319&gt;0,"+"&amp;F1319-E1319,"+"&amp;E1319-F1319)),"")</f>
        <v/>
      </c>
      <c r="H1319" s="12">
        <f>if($A1319&lt;&gt;"",if(B1319&gt;C1319,if(B1319&lt;60,1,2),""),"")</f>
        <v/>
      </c>
      <c r="I1319" s="12">
        <f>if($A1319&lt;&gt;"",if(C1319&gt;B1319,if(C1319&lt;60,1,2),""),"")</f>
        <v/>
      </c>
      <c r="J1319" s="9">
        <f>if($A1319&lt;&gt;"",J1318+H1319,"")</f>
        <v/>
      </c>
      <c r="K1319" s="9">
        <f>if($A1319&lt;&gt;"",K1318+I1319,"")</f>
        <v/>
      </c>
      <c r="L1319" s="11">
        <f>IF($A1319&lt;&gt;"",IF(K1319-J1319=0,"tie",IF(K1319-J1319&gt;0,"+"&amp;K1319-J1319,"+"&amp;J1319-K1319)),"")</f>
        <v/>
      </c>
      <c r="M1319" s="20" t="n"/>
      <c r="N1319" s="20" t="n"/>
      <c r="O1319" s="20" t="n"/>
      <c r="P1319" s="20" t="n"/>
      <c r="Q1319" s="20" t="n"/>
      <c r="R1319" s="20" t="n"/>
      <c r="S1319" s="20" t="n"/>
    </row>
    <row r="1320">
      <c r="A1320" s="15" t="n">
        <v>46006</v>
      </c>
      <c r="B1320" s="20" t="n">
        <v>26</v>
      </c>
      <c r="C1320" s="20" t="n">
        <v>31</v>
      </c>
      <c r="D1320" s="17" t="inlineStr">
        <is>
          <t>Preston Way</t>
        </is>
      </c>
      <c r="E1320" s="9">
        <f>if($A1320&lt;&gt;"",E1319+B1320,"")</f>
        <v/>
      </c>
      <c r="F1320" s="9">
        <f>if($A1320&lt;&gt;"",F1319+C1320,"")</f>
        <v/>
      </c>
      <c r="G1320" s="11">
        <f>IF($A1320&lt;&gt;"",IF(F1320-E1320=0,"tie",IF(F1320-E1320&gt;0,"+"&amp;F1320-E1320,"+"&amp;E1320-F1320)),"")</f>
        <v/>
      </c>
      <c r="H1320" s="12">
        <f>if($A1320&lt;&gt;"",if(B1320&gt;C1320,if(B1320&lt;60,1,2),""),"")</f>
        <v/>
      </c>
      <c r="I1320" s="12">
        <f>if($A1320&lt;&gt;"",if(C1320&gt;B1320,if(C1320&lt;60,1,2),""),"")</f>
        <v/>
      </c>
      <c r="J1320" s="9">
        <f>if($A1320&lt;&gt;"",J1319+H1320,"")</f>
        <v/>
      </c>
      <c r="K1320" s="9">
        <f>if($A1320&lt;&gt;"",K1319+I1320,"")</f>
        <v/>
      </c>
      <c r="L1320" s="11">
        <f>IF($A1320&lt;&gt;"",IF(K1320-J1320=0,"tie",IF(K1320-J1320&gt;0,"+"&amp;K1320-J1320,"+"&amp;J1320-K1320)),"")</f>
        <v/>
      </c>
      <c r="M1320" s="20" t="n"/>
      <c r="N1320" s="20" t="n"/>
      <c r="O1320" s="20" t="n"/>
      <c r="P1320" s="20" t="n"/>
      <c r="Q1320" s="20" t="n"/>
      <c r="R1320" s="20" t="n"/>
      <c r="S1320" s="20" t="n"/>
    </row>
    <row r="1321">
      <c r="A1321" s="15" t="n">
        <v>46008</v>
      </c>
      <c r="B1321" s="20" t="n">
        <v>31</v>
      </c>
      <c r="C1321" s="20" t="n">
        <v>45</v>
      </c>
      <c r="D1321" s="17" t="inlineStr">
        <is>
          <t>Preston Way</t>
        </is>
      </c>
      <c r="E1321" s="9">
        <f>if($A1321&lt;&gt;"",E1320+B1321,"")</f>
        <v/>
      </c>
      <c r="F1321" s="9">
        <f>if($A1321&lt;&gt;"",F1320+C1321,"")</f>
        <v/>
      </c>
      <c r="G1321" s="11">
        <f>IF($A1321&lt;&gt;"",IF(F1321-E1321=0,"tie",IF(F1321-E1321&gt;0,"+"&amp;F1321-E1321,"+"&amp;E1321-F1321)),"")</f>
        <v/>
      </c>
      <c r="H1321" s="12">
        <f>if($A1321&lt;&gt;"",if(B1321&gt;C1321,if(B1321&lt;60,1,2),""),"")</f>
        <v/>
      </c>
      <c r="I1321" s="12">
        <f>if($A1321&lt;&gt;"",if(C1321&gt;B1321,if(C1321&lt;60,1,2),""),"")</f>
        <v/>
      </c>
      <c r="J1321" s="9">
        <f>if($A1321&lt;&gt;"",J1320+H1321,"")</f>
        <v/>
      </c>
      <c r="K1321" s="9">
        <f>if($A1321&lt;&gt;"",K1320+I1321,"")</f>
        <v/>
      </c>
      <c r="L1321" s="11">
        <f>IF($A1321&lt;&gt;"",IF(K1321-J1321=0,"tie",IF(K1321-J1321&gt;0,"+"&amp;K1321-J1321,"+"&amp;J1321-K1321)),"")</f>
        <v/>
      </c>
      <c r="M1321" s="20" t="n"/>
      <c r="N1321" s="20" t="n"/>
      <c r="O1321" s="20" t="n"/>
      <c r="P1321" s="20" t="n"/>
      <c r="Q1321" s="20" t="n"/>
      <c r="R1321" s="20" t="n"/>
      <c r="S1321" s="20" t="n"/>
    </row>
    <row r="1322">
      <c r="A1322" s="15" t="n">
        <v>46009</v>
      </c>
      <c r="B1322" s="20" t="n">
        <v>31</v>
      </c>
      <c r="C1322" s="20" t="n">
        <v>32</v>
      </c>
      <c r="D1322" s="17" t="inlineStr">
        <is>
          <t>Zinque, Venice</t>
        </is>
      </c>
      <c r="E1322" s="9">
        <f>if($A1322&lt;&gt;"",E1321+B1322,"")</f>
        <v/>
      </c>
      <c r="F1322" s="9">
        <f>if($A1322&lt;&gt;"",F1321+C1322,"")</f>
        <v/>
      </c>
      <c r="G1322" s="11">
        <f>IF($A1322&lt;&gt;"",IF(F1322-E1322=0,"tie",IF(F1322-E1322&gt;0,"+"&amp;F1322-E1322,"+"&amp;E1322-F1322)),"")</f>
        <v/>
      </c>
      <c r="H1322" s="12">
        <f>if($A1322&lt;&gt;"",if(B1322&gt;C1322,if(B1322&lt;60,1,2),""),"")</f>
        <v/>
      </c>
      <c r="I1322" s="12">
        <f>if($A1322&lt;&gt;"",if(C1322&gt;B1322,if(C1322&lt;60,1,2),""),"")</f>
        <v/>
      </c>
      <c r="J1322" s="9">
        <f>if($A1322&lt;&gt;"",J1321+H1322,"")</f>
        <v/>
      </c>
      <c r="K1322" s="9">
        <f>if($A1322&lt;&gt;"",K1321+I1322,"")</f>
        <v/>
      </c>
      <c r="L1322" s="11">
        <f>IF($A1322&lt;&gt;"",IF(K1322-J1322=0,"tie",IF(K1322-J1322&gt;0,"+"&amp;K1322-J1322,"+"&amp;J1322-K1322)),"")</f>
        <v/>
      </c>
      <c r="M1322" s="20" t="n"/>
      <c r="N1322" s="20" t="n"/>
      <c r="O1322" s="20" t="n"/>
      <c r="P1322" s="20" t="n"/>
      <c r="Q1322" s="20" t="n"/>
      <c r="R1322" s="20" t="n"/>
      <c r="S1322" s="20" t="n"/>
    </row>
    <row r="1323">
      <c r="A1323" s="15" t="n">
        <v>46009</v>
      </c>
      <c r="B1323" s="20" t="n">
        <v>33</v>
      </c>
      <c r="C1323" s="20" t="n">
        <v>38</v>
      </c>
      <c r="D1323" s="17" t="inlineStr">
        <is>
          <t>iHop, MDR</t>
        </is>
      </c>
      <c r="E1323" s="9">
        <f>if($A1323&lt;&gt;"",E1322+B1323,"")</f>
        <v/>
      </c>
      <c r="F1323" s="9">
        <f>if($A1323&lt;&gt;"",F1322+C1323,"")</f>
        <v/>
      </c>
      <c r="G1323" s="11">
        <f>IF($A1323&lt;&gt;"",IF(F1323-E1323=0,"tie",IF(F1323-E1323&gt;0,"+"&amp;F1323-E1323,"+"&amp;E1323-F1323)),"")</f>
        <v/>
      </c>
      <c r="H1323" s="12">
        <f>if($A1323&lt;&gt;"",if(B1323&gt;C1323,if(B1323&lt;60,1,2),""),"")</f>
        <v/>
      </c>
      <c r="I1323" s="12">
        <f>if($A1323&lt;&gt;"",if(C1323&gt;B1323,if(C1323&lt;60,1,2),""),"")</f>
        <v/>
      </c>
      <c r="J1323" s="9">
        <f>if($A1323&lt;&gt;"",J1322+H1323,"")</f>
        <v/>
      </c>
      <c r="K1323" s="9">
        <f>if($A1323&lt;&gt;"",K1322+I1323,"")</f>
        <v/>
      </c>
      <c r="L1323" s="11">
        <f>IF($A1323&lt;&gt;"",IF(K1323-J1323=0,"tie",IF(K1323-J1323&gt;0,"+"&amp;K1323-J1323,"+"&amp;J1323-K1323)),"")</f>
        <v/>
      </c>
      <c r="M1323" s="20" t="n"/>
      <c r="N1323" s="20" t="n"/>
      <c r="O1323" s="20" t="n"/>
      <c r="P1323" s="20" t="n"/>
      <c r="Q1323" s="20" t="n"/>
      <c r="R1323" s="20" t="n"/>
      <c r="S1323" s="20" t="n"/>
    </row>
    <row r="1324">
      <c r="A1324" s="15" t="n">
        <v>46012</v>
      </c>
      <c r="B1324" s="20" t="n">
        <v>47</v>
      </c>
      <c r="C1324" s="20" t="n">
        <v>67</v>
      </c>
      <c r="D1324" s="17" t="inlineStr">
        <is>
          <t>Zinque, Venice</t>
        </is>
      </c>
      <c r="E1324" s="9">
        <f>if($A1324&lt;&gt;"",E1323+B1324,"")</f>
        <v/>
      </c>
      <c r="F1324" s="9">
        <f>if($A1324&lt;&gt;"",F1323+C1324,"")</f>
        <v/>
      </c>
      <c r="G1324" s="11">
        <f>IF($A1324&lt;&gt;"",IF(F1324-E1324=0,"tie",IF(F1324-E1324&gt;0,"+"&amp;F1324-E1324,"+"&amp;E1324-F1324)),"")</f>
        <v/>
      </c>
      <c r="H1324" s="12">
        <f>if($A1324&lt;&gt;"",if(B1324&gt;C1324,if(B1324&lt;60,1,2),""),"")</f>
        <v/>
      </c>
      <c r="I1324" s="12">
        <f>if($A1324&lt;&gt;"",if(C1324&gt;B1324,if(C1324&lt;60,1,2),""),"")</f>
        <v/>
      </c>
      <c r="J1324" s="9">
        <f>if($A1324&lt;&gt;"",J1323+H1324,"")</f>
        <v/>
      </c>
      <c r="K1324" s="9">
        <f>if($A1324&lt;&gt;"",K1323+I1324,"")</f>
        <v/>
      </c>
      <c r="L1324" s="11">
        <f>IF($A1324&lt;&gt;"",IF(K1324-J1324=0,"tie",IF(K1324-J1324&gt;0,"+"&amp;K1324-J1324,"+"&amp;J1324-K1324)),"")</f>
        <v/>
      </c>
      <c r="M1324" s="20" t="n"/>
      <c r="N1324" s="20" t="n"/>
      <c r="O1324" s="20" t="n"/>
      <c r="P1324" s="20" t="n"/>
      <c r="Q1324" s="20" t="n"/>
      <c r="R1324" s="20" t="n"/>
      <c r="S1324" s="20" t="n"/>
    </row>
    <row r="1325">
      <c r="A1325" s="15" t="n">
        <v>46012</v>
      </c>
      <c r="B1325" s="20" t="n">
        <v>22</v>
      </c>
      <c r="C1325" s="20" t="n">
        <v>31</v>
      </c>
      <c r="D1325" s="17" t="inlineStr">
        <is>
          <t>Preston Way</t>
        </is>
      </c>
      <c r="E1325" s="9">
        <f>if($A1325&lt;&gt;"",E1324+B1325,"")</f>
        <v/>
      </c>
      <c r="F1325" s="9">
        <f>if($A1325&lt;&gt;"",F1324+C1325,"")</f>
        <v/>
      </c>
      <c r="G1325" s="11">
        <f>IF($A1325&lt;&gt;"",IF(F1325-E1325=0,"tie",IF(F1325-E1325&gt;0,"+"&amp;F1325-E1325,"+"&amp;E1325-F1325)),"")</f>
        <v/>
      </c>
      <c r="H1325" s="12">
        <f>if($A1325&lt;&gt;"",if(B1325&gt;C1325,if(B1325&lt;60,1,2),""),"")</f>
        <v/>
      </c>
      <c r="I1325" s="12">
        <f>if($A1325&lt;&gt;"",if(C1325&gt;B1325,if(C1325&lt;60,1,2),""),"")</f>
        <v/>
      </c>
      <c r="J1325" s="9">
        <f>if($A1325&lt;&gt;"",J1324+H1325,"")</f>
        <v/>
      </c>
      <c r="K1325" s="9">
        <f>if($A1325&lt;&gt;"",K1324+I1325,"")</f>
        <v/>
      </c>
      <c r="L1325" s="11">
        <f>IF($A1325&lt;&gt;"",IF(K1325-J1325=0,"tie",IF(K1325-J1325&gt;0,"+"&amp;K1325-J1325,"+"&amp;J1325-K1325)),"")</f>
        <v/>
      </c>
      <c r="M1325" s="20" t="n"/>
      <c r="N1325" s="20" t="n"/>
      <c r="O1325" s="20" t="n"/>
      <c r="P1325" s="20" t="n"/>
      <c r="Q1325" s="20" t="n"/>
      <c r="R1325" s="20" t="n"/>
      <c r="S1325" s="20" t="n"/>
    </row>
    <row r="1326">
      <c r="A1326" s="15" t="n">
        <v>46013</v>
      </c>
      <c r="B1326" s="20" t="n">
        <v>26</v>
      </c>
      <c r="C1326" s="20" t="n">
        <v>33</v>
      </c>
      <c r="D1326" s="17" t="inlineStr">
        <is>
          <t>Mañana, Culver City</t>
        </is>
      </c>
      <c r="E1326" s="9">
        <f>if($A1326&lt;&gt;"",E1325+B1326,"")</f>
        <v/>
      </c>
      <c r="F1326" s="9">
        <f>if($A1326&lt;&gt;"",F1325+C1326,"")</f>
        <v/>
      </c>
      <c r="G1326" s="11">
        <f>IF($A1326&lt;&gt;"",IF(F1326-E1326=0,"tie",IF(F1326-E1326&gt;0,"+"&amp;F1326-E1326,"+"&amp;E1326-F1326)),"")</f>
        <v/>
      </c>
      <c r="H1326" s="12">
        <f>if($A1326&lt;&gt;"",if(B1326&gt;C1326,if(B1326&lt;60,1,2),""),"")</f>
        <v/>
      </c>
      <c r="I1326" s="12">
        <f>if($A1326&lt;&gt;"",if(C1326&gt;B1326,if(C1326&lt;60,1,2),""),"")</f>
        <v/>
      </c>
      <c r="J1326" s="9">
        <f>if($A1326&lt;&gt;"",J1325+H1326,"")</f>
        <v/>
      </c>
      <c r="K1326" s="9">
        <f>if($A1326&lt;&gt;"",K1325+I1326,"")</f>
        <v/>
      </c>
      <c r="L1326" s="11">
        <f>IF($A1326&lt;&gt;"",IF(K1326-J1326=0,"tie",IF(K1326-J1326&gt;0,"+"&amp;K1326-J1326,"+"&amp;J1326-K1326)),"")</f>
        <v/>
      </c>
      <c r="M1326" s="20" t="n"/>
      <c r="N1326" s="20" t="n"/>
      <c r="O1326" s="20" t="n"/>
      <c r="P1326" s="20" t="n"/>
      <c r="Q1326" s="20" t="n"/>
      <c r="R1326" s="20" t="n"/>
      <c r="S1326" s="20" t="n"/>
    </row>
    <row r="1327">
      <c r="A1327" s="15" t="n">
        <v>46014</v>
      </c>
      <c r="B1327" s="20" t="n">
        <v>41</v>
      </c>
      <c r="C1327" s="20" t="n">
        <v>33</v>
      </c>
      <c r="D1327" s="17" t="inlineStr">
        <is>
          <t>Millcross, Culver City</t>
        </is>
      </c>
      <c r="E1327" s="9">
        <f>if($A1327&lt;&gt;"",E1326+B1327,"")</f>
        <v/>
      </c>
      <c r="F1327" s="9">
        <f>if($A1327&lt;&gt;"",F1326+C1327,"")</f>
        <v/>
      </c>
      <c r="G1327" s="11">
        <f>IF($A1327&lt;&gt;"",IF(F1327-E1327=0,"tie",IF(F1327-E1327&gt;0,"+"&amp;F1327-E1327,"+"&amp;E1327-F1327)),"")</f>
        <v/>
      </c>
      <c r="H1327" s="12">
        <f>if($A1327&lt;&gt;"",if(B1327&gt;C1327,if(B1327&lt;60,1,2),""),"")</f>
        <v/>
      </c>
      <c r="I1327" s="12">
        <f>if($A1327&lt;&gt;"",if(C1327&gt;B1327,if(C1327&lt;60,1,2),""),"")</f>
        <v/>
      </c>
      <c r="J1327" s="9">
        <f>if($A1327&lt;&gt;"",J1326+H1327,"")</f>
        <v/>
      </c>
      <c r="K1327" s="9">
        <f>if($A1327&lt;&gt;"",K1326+I1327,"")</f>
        <v/>
      </c>
      <c r="L1327" s="11">
        <f>IF($A1327&lt;&gt;"",IF(K1327-J1327=0,"tie",IF(K1327-J1327&gt;0,"+"&amp;K1327-J1327,"+"&amp;J1327-K1327)),"")</f>
        <v/>
      </c>
      <c r="M1327" s="20" t="n"/>
      <c r="N1327" s="20" t="n"/>
      <c r="O1327" s="20" t="n"/>
      <c r="P1327" s="20" t="n"/>
      <c r="Q1327" s="20" t="n"/>
      <c r="R1327" s="20" t="n"/>
      <c r="S1327" s="20" t="n"/>
    </row>
    <row r="1328">
      <c r="A1328" s="15" t="n">
        <v>46015</v>
      </c>
      <c r="B1328" s="20" t="n">
        <v>23</v>
      </c>
      <c r="C1328" s="20" t="n">
        <v>35</v>
      </c>
      <c r="D1328" s="17" t="inlineStr">
        <is>
          <t xml:space="preserve">Maxine's </t>
        </is>
      </c>
      <c r="E1328" s="9">
        <f>if($A1328&lt;&gt;"",E1327+B1328,"")</f>
        <v/>
      </c>
      <c r="F1328" s="9">
        <f>if($A1328&lt;&gt;"",F1327+C1328,"")</f>
        <v/>
      </c>
      <c r="G1328" s="11">
        <f>IF($A1328&lt;&gt;"",IF(F1328-E1328=0,"tie",IF(F1328-E1328&gt;0,"+"&amp;F1328-E1328,"+"&amp;E1328-F1328)),"")</f>
        <v/>
      </c>
      <c r="H1328" s="12">
        <f>if($A1328&lt;&gt;"",if(B1328&gt;C1328,if(B1328&lt;60,1,2),""),"")</f>
        <v/>
      </c>
      <c r="I1328" s="12">
        <f>if($A1328&lt;&gt;"",if(C1328&gt;B1328,if(C1328&lt;60,1,2),""),"")</f>
        <v/>
      </c>
      <c r="J1328" s="9">
        <f>if($A1328&lt;&gt;"",J1327+H1328,"")</f>
        <v/>
      </c>
      <c r="K1328" s="9">
        <f>if($A1328&lt;&gt;"",K1327+I1328,"")</f>
        <v/>
      </c>
      <c r="L1328" s="11">
        <f>IF($A1328&lt;&gt;"",IF(K1328-J1328=0,"tie",IF(K1328-J1328&gt;0,"+"&amp;K1328-J1328,"+"&amp;J1328-K1328)),"")</f>
        <v/>
      </c>
      <c r="M1328" s="20" t="n"/>
      <c r="N1328" s="20" t="n"/>
      <c r="O1328" s="20" t="n"/>
      <c r="P1328" s="20" t="n"/>
      <c r="Q1328" s="20" t="n"/>
      <c r="R1328" s="20" t="n"/>
      <c r="S1328" s="20" t="n"/>
    </row>
    <row r="1329">
      <c r="A1329" s="15" t="n">
        <v>46022</v>
      </c>
      <c r="B1329" s="20" t="n">
        <v>37</v>
      </c>
      <c r="C1329" s="20" t="n">
        <v>28</v>
      </c>
      <c r="D1329" s="17" t="inlineStr">
        <is>
          <t>Preston Way</t>
        </is>
      </c>
      <c r="E1329" s="9">
        <f>if($A1329&lt;&gt;"",E1328+B1329,"")</f>
        <v/>
      </c>
      <c r="F1329" s="9">
        <f>if($A1329&lt;&gt;"",F1328+C1329,"")</f>
        <v/>
      </c>
      <c r="G1329" s="11">
        <f>IF($A1329&lt;&gt;"",IF(F1329-E1329=0,"tie",IF(F1329-E1329&gt;0,"+"&amp;F1329-E1329,"+"&amp;E1329-F1329)),"")</f>
        <v/>
      </c>
      <c r="H1329" s="12">
        <f>if($A1329&lt;&gt;"",if(B1329&gt;C1329,if(B1329&lt;60,1,2),""),"")</f>
        <v/>
      </c>
      <c r="I1329" s="12">
        <f>if($A1329&lt;&gt;"",if(C1329&gt;B1329,if(C1329&lt;60,1,2),""),"")</f>
        <v/>
      </c>
      <c r="J1329" s="9">
        <f>if($A1329&lt;&gt;"",J1328+H1329,"")</f>
        <v/>
      </c>
      <c r="K1329" s="9">
        <f>if($A1329&lt;&gt;"",K1328+I1329,"")</f>
        <v/>
      </c>
      <c r="L1329" s="11">
        <f>IF($A1329&lt;&gt;"",IF(K1329-J1329=0,"tie",IF(K1329-J1329&gt;0,"+"&amp;K1329-J1329,"+"&amp;J1329-K1329)),"")</f>
        <v/>
      </c>
      <c r="M1329" s="20" t="n"/>
      <c r="N1329" s="20" t="n"/>
      <c r="O1329" s="20" t="n"/>
      <c r="P1329" s="20" t="n"/>
      <c r="Q1329" s="20" t="n"/>
      <c r="R1329" s="20" t="n"/>
      <c r="S1329" s="20" t="n"/>
    </row>
    <row r="1330">
      <c r="A1330" s="15" t="n">
        <v>46026</v>
      </c>
      <c r="B1330" s="20" t="n">
        <v>34</v>
      </c>
      <c r="C1330" s="20" t="n">
        <v>23</v>
      </c>
      <c r="D1330" s="17" t="inlineStr">
        <is>
          <t>Zinque, Venice</t>
        </is>
      </c>
      <c r="E1330" s="9">
        <f>if($A1330&lt;&gt;"",E1329+B1330,"")</f>
        <v/>
      </c>
      <c r="F1330" s="9">
        <f>if($A1330&lt;&gt;"",F1329+C1330,"")</f>
        <v/>
      </c>
      <c r="G1330" s="11">
        <f>IF($A1330&lt;&gt;"",IF(F1330-E1330=0,"tie",IF(F1330-E1330&gt;0,"+"&amp;F1330-E1330,"+"&amp;E1330-F1330)),"")</f>
        <v/>
      </c>
      <c r="H1330" s="12">
        <f>if($A1330&lt;&gt;"",if(B1330&gt;C1330,if(B1330&lt;60,1,2),""),"")</f>
        <v/>
      </c>
      <c r="I1330" s="12">
        <f>if($A1330&lt;&gt;"",if(C1330&gt;B1330,if(C1330&lt;60,1,2),""),"")</f>
        <v/>
      </c>
      <c r="J1330" s="9">
        <f>if($A1330&lt;&gt;"",J1329+H1330,"")</f>
        <v/>
      </c>
      <c r="K1330" s="9">
        <f>if($A1330&lt;&gt;"",K1329+I1330,"")</f>
        <v/>
      </c>
      <c r="L1330" s="11">
        <f>IF($A1330&lt;&gt;"",IF(K1330-J1330=0,"tie",IF(K1330-J1330&gt;0,"+"&amp;K1330-J1330,"+"&amp;J1330-K1330)),"")</f>
        <v/>
      </c>
      <c r="M1330" s="20" t="n"/>
      <c r="N1330" s="20" t="n"/>
      <c r="O1330" s="20" t="n"/>
      <c r="P1330" s="20" t="n"/>
      <c r="Q1330" s="20" t="n"/>
      <c r="R1330" s="20" t="n"/>
      <c r="S1330" s="20" t="n"/>
    </row>
    <row r="1331">
      <c r="A1331" s="15" t="n">
        <v>46026</v>
      </c>
      <c r="B1331" s="20" t="n">
        <v>91</v>
      </c>
      <c r="C1331" s="20" t="n">
        <v>98</v>
      </c>
      <c r="D1331" s="17" t="inlineStr">
        <is>
          <t>Saguaro Cafe</t>
        </is>
      </c>
      <c r="E1331" s="9">
        <f>if($A1331&lt;&gt;"",E1330+B1331,"")</f>
        <v/>
      </c>
      <c r="F1331" s="9">
        <f>if($A1331&lt;&gt;"",F1330+C1331,"")</f>
        <v/>
      </c>
      <c r="G1331" s="11">
        <f>IF($A1331&lt;&gt;"",IF(F1331-E1331=0,"tie",IF(F1331-E1331&gt;0,"+"&amp;F1331-E1331,"+"&amp;E1331-F1331)),"")</f>
        <v/>
      </c>
      <c r="H1331" s="12">
        <f>if($A1331&lt;&gt;"",if(B1331&gt;C1331,if(B1331&lt;60,1,2),""),"")</f>
        <v/>
      </c>
      <c r="I1331" s="12">
        <f>if($A1331&lt;&gt;"",if(C1331&gt;B1331,if(C1331&lt;60,1,2),""),"")</f>
        <v/>
      </c>
      <c r="J1331" s="9">
        <f>if($A1331&lt;&gt;"",J1330+H1331,"")</f>
        <v/>
      </c>
      <c r="K1331" s="9">
        <f>if($A1331&lt;&gt;"",K1330+I1331,"")</f>
        <v/>
      </c>
      <c r="L1331" s="11">
        <f>IF($A1331&lt;&gt;"",IF(K1331-J1331=0,"tie",IF(K1331-J1331&gt;0,"+"&amp;K1331-J1331,"+"&amp;J1331-K1331)),"")</f>
        <v/>
      </c>
      <c r="M1331" s="20" t="n"/>
      <c r="N1331" s="20" t="n"/>
      <c r="O1331" s="20" t="n"/>
      <c r="P1331" s="20" t="n"/>
      <c r="Q1331" s="20" t="n"/>
      <c r="R1331" s="20" t="n"/>
      <c r="S1331" s="20" t="n"/>
    </row>
    <row r="1332">
      <c r="A1332" s="15" t="n">
        <v>46027</v>
      </c>
      <c r="B1332" s="20" t="n">
        <v>17</v>
      </c>
      <c r="C1332" s="20" t="n">
        <v>39</v>
      </c>
      <c r="D1332" s="17" t="inlineStr">
        <is>
          <t>Preston Way</t>
        </is>
      </c>
      <c r="E1332" s="9">
        <f>if($A1332&lt;&gt;"",E1331+B1332,"")</f>
        <v/>
      </c>
      <c r="F1332" s="9">
        <f>if($A1332&lt;&gt;"",F1331+C1332,"")</f>
        <v/>
      </c>
      <c r="G1332" s="11">
        <f>IF($A1332&lt;&gt;"",IF(F1332-E1332=0,"tie",IF(F1332-E1332&gt;0,"+"&amp;F1332-E1332,"+"&amp;E1332-F1332)),"")</f>
        <v/>
      </c>
      <c r="H1332" s="12">
        <f>if($A1332&lt;&gt;"",if(B1332&gt;C1332,if(B1332&lt;60,1,2),""),"")</f>
        <v/>
      </c>
      <c r="I1332" s="12">
        <f>if($A1332&lt;&gt;"",if(C1332&gt;B1332,if(C1332&lt;60,1,2),""),"")</f>
        <v/>
      </c>
      <c r="J1332" s="9">
        <f>if($A1332&lt;&gt;"",J1331+H1332,"")</f>
        <v/>
      </c>
      <c r="K1332" s="9">
        <f>if($A1332&lt;&gt;"",K1331+I1332,"")</f>
        <v/>
      </c>
      <c r="L1332" s="11">
        <f>IF($A1332&lt;&gt;"",IF(K1332-J1332=0,"tie",IF(K1332-J1332&gt;0,"+"&amp;K1332-J1332,"+"&amp;J1332-K1332)),"")</f>
        <v/>
      </c>
      <c r="M1332" s="20" t="n"/>
      <c r="N1332" s="20" t="n"/>
      <c r="O1332" s="20" t="n"/>
      <c r="P1332" s="20" t="n"/>
      <c r="Q1332" s="20" t="n"/>
      <c r="R1332" s="20" t="n"/>
      <c r="S1332" s="20" t="n"/>
    </row>
    <row r="1333">
      <c r="A1333" s="15" t="n">
        <v>46027</v>
      </c>
      <c r="B1333" s="20" t="n">
        <v>18</v>
      </c>
      <c r="C1333" s="20" t="n">
        <v>31</v>
      </c>
      <c r="D1333" s="17" t="inlineStr">
        <is>
          <t>Preston Way</t>
        </is>
      </c>
      <c r="E1333" s="9">
        <f>if($A1333&lt;&gt;"",E1332+B1333,"")</f>
        <v/>
      </c>
      <c r="F1333" s="9">
        <f>if($A1333&lt;&gt;"",F1332+C1333,"")</f>
        <v/>
      </c>
      <c r="G1333" s="11">
        <f>IF($A1333&lt;&gt;"",IF(F1333-E1333=0,"tie",IF(F1333-E1333&gt;0,"+"&amp;F1333-E1333,"+"&amp;E1333-F1333)),"")</f>
        <v/>
      </c>
      <c r="H1333" s="12">
        <f>if($A1333&lt;&gt;"",if(B1333&gt;C1333,if(B1333&lt;60,1,2),""),"")</f>
        <v/>
      </c>
      <c r="I1333" s="12">
        <f>if($A1333&lt;&gt;"",if(C1333&gt;B1333,if(C1333&lt;60,1,2),""),"")</f>
        <v/>
      </c>
      <c r="J1333" s="9">
        <f>if($A1333&lt;&gt;"",J1332+H1333,"")</f>
        <v/>
      </c>
      <c r="K1333" s="9">
        <f>if($A1333&lt;&gt;"",K1332+I1333,"")</f>
        <v/>
      </c>
      <c r="L1333" s="11">
        <f>IF($A1333&lt;&gt;"",IF(K1333-J1333=0,"tie",IF(K1333-J1333&gt;0,"+"&amp;K1333-J1333,"+"&amp;J1333-K1333)),"")</f>
        <v/>
      </c>
      <c r="M1333" s="20" t="n"/>
      <c r="N1333" s="20" t="n"/>
      <c r="O1333" s="20" t="n"/>
      <c r="P1333" s="20" t="n"/>
      <c r="Q1333" s="20" t="n"/>
      <c r="R1333" s="20" t="n"/>
      <c r="S1333" s="20" t="n"/>
    </row>
    <row r="1334">
      <c r="A1334" s="15" t="n">
        <v>46029</v>
      </c>
      <c r="B1334" s="20" t="n">
        <v>35</v>
      </c>
      <c r="C1334" s="20" t="n">
        <v>45</v>
      </c>
      <c r="D1334" s="17" t="inlineStr">
        <is>
          <t>Metro Cafe, Culver City</t>
        </is>
      </c>
      <c r="E1334" s="9">
        <f>if($A1334&lt;&gt;"",E1333+B1334,"")</f>
        <v/>
      </c>
      <c r="F1334" s="9">
        <f>if($A1334&lt;&gt;"",F1333+C1334,"")</f>
        <v/>
      </c>
      <c r="G1334" s="11">
        <f>IF($A1334&lt;&gt;"",IF(F1334-E1334=0,"tie",IF(F1334-E1334&gt;0,"+"&amp;F1334-E1334,"+"&amp;E1334-F1334)),"")</f>
        <v/>
      </c>
      <c r="H1334" s="12">
        <f>if($A1334&lt;&gt;"",if(B1334&gt;C1334,if(B1334&lt;60,1,2),""),"")</f>
        <v/>
      </c>
      <c r="I1334" s="12">
        <f>if($A1334&lt;&gt;"",if(C1334&gt;B1334,if(C1334&lt;60,1,2),""),"")</f>
        <v/>
      </c>
      <c r="J1334" s="9">
        <f>if($A1334&lt;&gt;"",J1333+H1334,"")</f>
        <v/>
      </c>
      <c r="K1334" s="9">
        <f>if($A1334&lt;&gt;"",K1333+I1334,"")</f>
        <v/>
      </c>
      <c r="L1334" s="11">
        <f>IF($A1334&lt;&gt;"",IF(K1334-J1334=0,"tie",IF(K1334-J1334&gt;0,"+"&amp;K1334-J1334,"+"&amp;J1334-K1334)),"")</f>
        <v/>
      </c>
      <c r="M1334" s="20" t="n"/>
      <c r="N1334" s="20" t="n"/>
      <c r="O1334" s="20" t="n"/>
      <c r="P1334" s="20" t="n"/>
      <c r="Q1334" s="20" t="n"/>
      <c r="R1334" s="20" t="n"/>
      <c r="S1334" s="20" t="n"/>
    </row>
    <row r="1335">
      <c r="A1335" s="15" t="n">
        <v>46033</v>
      </c>
      <c r="B1335" s="20" t="n">
        <v>34</v>
      </c>
      <c r="C1335" s="20" t="n">
        <v>26</v>
      </c>
      <c r="D1335" s="17" t="inlineStr">
        <is>
          <t>Zinque, Venice</t>
        </is>
      </c>
      <c r="E1335" s="9">
        <f>if($A1335&lt;&gt;"",E1334+B1335,"")</f>
        <v/>
      </c>
      <c r="F1335" s="9">
        <f>if($A1335&lt;&gt;"",F1334+C1335,"")</f>
        <v/>
      </c>
      <c r="G1335" s="11">
        <f>IF($A1335&lt;&gt;"",IF(F1335-E1335=0,"tie",IF(F1335-E1335&gt;0,"+"&amp;F1335-E1335,"+"&amp;E1335-F1335)),"")</f>
        <v/>
      </c>
      <c r="H1335" s="12">
        <f>if($A1335&lt;&gt;"",if(B1335&gt;C1335,if(B1335&lt;60,1,2),""),"")</f>
        <v/>
      </c>
      <c r="I1335" s="12">
        <f>if($A1335&lt;&gt;"",if(C1335&gt;B1335,if(C1335&lt;60,1,2),""),"")</f>
        <v/>
      </c>
      <c r="J1335" s="9">
        <f>if($A1335&lt;&gt;"",J1334+H1335,"")</f>
        <v/>
      </c>
      <c r="K1335" s="9">
        <f>if($A1335&lt;&gt;"",K1334+I1335,"")</f>
        <v/>
      </c>
      <c r="L1335" s="11">
        <f>IF($A1335&lt;&gt;"",IF(K1335-J1335=0,"tie",IF(K1335-J1335&gt;0,"+"&amp;K1335-J1335,"+"&amp;J1335-K1335)),"")</f>
        <v/>
      </c>
      <c r="M1335" s="20" t="n"/>
      <c r="N1335" s="20" t="n"/>
      <c r="O1335" s="20" t="n"/>
      <c r="P1335" s="20" t="n"/>
      <c r="Q1335" s="20" t="n"/>
      <c r="R1335" s="20" t="n"/>
      <c r="S1335" s="20" t="n"/>
    </row>
    <row r="1336">
      <c r="A1336" s="15" t="n">
        <v>46033</v>
      </c>
      <c r="B1336" s="20" t="n">
        <v>69</v>
      </c>
      <c r="C1336" s="20" t="n">
        <v>39</v>
      </c>
      <c r="D1336" s="17" t="inlineStr">
        <is>
          <t>Tacos Por Favor</t>
        </is>
      </c>
      <c r="E1336" s="9">
        <f>if($A1336&lt;&gt;"",E1335+B1336,"")</f>
        <v/>
      </c>
      <c r="F1336" s="9">
        <f>if($A1336&lt;&gt;"",F1335+C1336,"")</f>
        <v/>
      </c>
      <c r="G1336" s="11">
        <f>IF($A1336&lt;&gt;"",IF(F1336-E1336=0,"tie",IF(F1336-E1336&gt;0,"+"&amp;F1336-E1336,"+"&amp;E1336-F1336)),"")</f>
        <v/>
      </c>
      <c r="H1336" s="12">
        <f>if($A1336&lt;&gt;"",if(B1336&gt;C1336,if(B1336&lt;60,1,2),""),"")</f>
        <v/>
      </c>
      <c r="I1336" s="12">
        <f>if($A1336&lt;&gt;"",if(C1336&gt;B1336,if(C1336&lt;60,1,2),""),"")</f>
        <v/>
      </c>
      <c r="J1336" s="9">
        <f>if($A1336&lt;&gt;"",J1335+H1336,"")</f>
        <v/>
      </c>
      <c r="K1336" s="9">
        <f>if($A1336&lt;&gt;"",K1335+I1336,"")</f>
        <v/>
      </c>
      <c r="L1336" s="11">
        <f>IF($A1336&lt;&gt;"",IF(K1336-J1336=0,"tie",IF(K1336-J1336&gt;0,"+"&amp;K1336-J1336,"+"&amp;J1336-K1336)),"")</f>
        <v/>
      </c>
      <c r="M1336" s="20" t="n"/>
      <c r="N1336" s="20" t="n"/>
      <c r="O1336" s="20" t="n"/>
      <c r="P1336" s="20" t="n"/>
      <c r="Q1336" s="20" t="n"/>
      <c r="R1336" s="20" t="n"/>
      <c r="S1336" s="20" t="n"/>
    </row>
    <row r="1337">
      <c r="A1337" s="15" t="n">
        <v>46034</v>
      </c>
      <c r="B1337" s="20" t="n">
        <v>24</v>
      </c>
      <c r="C1337" s="20" t="n">
        <v>31</v>
      </c>
      <c r="D1337" s="17" t="inlineStr">
        <is>
          <t>Preston Way</t>
        </is>
      </c>
      <c r="E1337" s="9">
        <f>if($A1337&lt;&gt;"",E1336+B1337,"")</f>
        <v/>
      </c>
      <c r="F1337" s="9">
        <f>if($A1337&lt;&gt;"",F1336+C1337,"")</f>
        <v/>
      </c>
      <c r="G1337" s="11">
        <f>IF($A1337&lt;&gt;"",IF(F1337-E1337=0,"tie",IF(F1337-E1337&gt;0,"+"&amp;F1337-E1337,"+"&amp;E1337-F1337)),"")</f>
        <v/>
      </c>
      <c r="H1337" s="12">
        <f>if($A1337&lt;&gt;"",if(B1337&gt;C1337,if(B1337&lt;60,1,2),""),"")</f>
        <v/>
      </c>
      <c r="I1337" s="12">
        <f>if($A1337&lt;&gt;"",if(C1337&gt;B1337,if(C1337&lt;60,1,2),""),"")</f>
        <v/>
      </c>
      <c r="J1337" s="9">
        <f>if($A1337&lt;&gt;"",J1336+H1337,"")</f>
        <v/>
      </c>
      <c r="K1337" s="9">
        <f>if($A1337&lt;&gt;"",K1336+I1337,"")</f>
        <v/>
      </c>
      <c r="L1337" s="11">
        <f>IF($A1337&lt;&gt;"",IF(K1337-J1337=0,"tie",IF(K1337-J1337&gt;0,"+"&amp;K1337-J1337,"+"&amp;J1337-K1337)),"")</f>
        <v/>
      </c>
      <c r="M1337" s="20" t="n"/>
      <c r="N1337" s="20" t="n"/>
      <c r="O1337" s="20" t="n"/>
      <c r="P1337" s="20" t="n"/>
      <c r="Q1337" s="20" t="n"/>
      <c r="R1337" s="20" t="n"/>
      <c r="S1337" s="20" t="n"/>
    </row>
    <row r="1338">
      <c r="A1338" s="15" t="n">
        <v>46040</v>
      </c>
      <c r="B1338" s="20" t="n">
        <v>35</v>
      </c>
      <c r="C1338" s="20" t="n">
        <v>33</v>
      </c>
      <c r="D1338" s="17" t="inlineStr">
        <is>
          <t>Penny's, West Covina</t>
        </is>
      </c>
      <c r="E1338" s="9">
        <f>if($A1338&lt;&gt;"",E1337+B1338,"")</f>
        <v/>
      </c>
      <c r="F1338" s="9">
        <f>if($A1338&lt;&gt;"",F1337+C1338,"")</f>
        <v/>
      </c>
      <c r="G1338" s="11">
        <f>IF($A1338&lt;&gt;"",IF(F1338-E1338=0,"tie",IF(F1338-E1338&gt;0,"+"&amp;F1338-E1338,"+"&amp;E1338-F1338)),"")</f>
        <v/>
      </c>
      <c r="H1338" s="12">
        <f>if($A1338&lt;&gt;"",if(B1338&gt;C1338,if(B1338&lt;60,1,2),""),"")</f>
        <v/>
      </c>
      <c r="I1338" s="12">
        <f>if($A1338&lt;&gt;"",if(C1338&gt;B1338,if(C1338&lt;60,1,2),""),"")</f>
        <v/>
      </c>
      <c r="J1338" s="9">
        <f>if($A1338&lt;&gt;"",J1337+H1338,"")</f>
        <v/>
      </c>
      <c r="K1338" s="9">
        <f>if($A1338&lt;&gt;"",K1337+I1338,"")</f>
        <v/>
      </c>
      <c r="L1338" s="11">
        <f>IF($A1338&lt;&gt;"",IF(K1338-J1338=0,"tie",IF(K1338-J1338&gt;0,"+"&amp;K1338-J1338,"+"&amp;J1338-K1338)),"")</f>
        <v/>
      </c>
      <c r="M1338" s="20" t="n"/>
      <c r="N1338" s="20" t="n"/>
      <c r="O1338" s="20" t="n"/>
      <c r="P1338" s="20" t="n"/>
      <c r="Q1338" s="20" t="n"/>
      <c r="R1338" s="20" t="n"/>
      <c r="S1338" s="20" t="n"/>
    </row>
    <row r="1339">
      <c r="A1339" s="15" t="n">
        <v>46052</v>
      </c>
      <c r="B1339" s="20" t="n">
        <v>19</v>
      </c>
      <c r="C1339" s="20" t="n">
        <v>38</v>
      </c>
      <c r="D1339" s="17" t="inlineStr">
        <is>
          <t>Dakota Trail</t>
        </is>
      </c>
      <c r="E1339" s="9">
        <f>if($A1339&lt;&gt;"",E1338+B1339,"")</f>
        <v/>
      </c>
      <c r="F1339" s="9">
        <f>if($A1339&lt;&gt;"",F1338+C1339,"")</f>
        <v/>
      </c>
      <c r="G1339" s="11">
        <f>IF($A1339&lt;&gt;"",IF(F1339-E1339=0,"tie",IF(F1339-E1339&gt;0,"+"&amp;F1339-E1339,"+"&amp;E1339-F1339)),"")</f>
        <v/>
      </c>
      <c r="H1339" s="12">
        <f>if($A1339&lt;&gt;"",if(B1339&gt;C1339,if(B1339&lt;60,1,2),""),"")</f>
        <v/>
      </c>
      <c r="I1339" s="12">
        <f>if($A1339&lt;&gt;"",if(C1339&gt;B1339,if(C1339&lt;60,1,2),""),"")</f>
        <v/>
      </c>
      <c r="J1339" s="9">
        <f>if($A1339&lt;&gt;"",J1338+H1339,"")</f>
        <v/>
      </c>
      <c r="K1339" s="9">
        <f>if($A1339&lt;&gt;"",K1338+I1339,"")</f>
        <v/>
      </c>
      <c r="L1339" s="11">
        <f>IF($A1339&lt;&gt;"",IF(K1339-J1339=0,"tie",IF(K1339-J1339&gt;0,"+"&amp;K1339-J1339,"+"&amp;J1339-K1339)),"")</f>
        <v/>
      </c>
      <c r="M1339" s="20" t="n"/>
      <c r="N1339" s="20" t="n"/>
      <c r="O1339" s="20" t="n"/>
      <c r="P1339" s="20" t="n"/>
      <c r="Q1339" s="20" t="n"/>
      <c r="R1339" s="20" t="n"/>
      <c r="S1339" s="20" t="n"/>
    </row>
    <row r="1340">
      <c r="A1340" s="15" t="n">
        <v>46053</v>
      </c>
      <c r="B1340" s="20" t="n">
        <v>34</v>
      </c>
      <c r="C1340" s="20" t="n">
        <v>36</v>
      </c>
      <c r="D1340" s="17" t="inlineStr">
        <is>
          <t>McDonald's, Calimesa</t>
        </is>
      </c>
      <c r="E1340" s="9">
        <f>if($A1340&lt;&gt;"",E1339+B1340,"")</f>
        <v/>
      </c>
      <c r="F1340" s="9">
        <f>if($A1340&lt;&gt;"",F1339+C1340,"")</f>
        <v/>
      </c>
      <c r="G1340" s="11">
        <f>IF($A1340&lt;&gt;"",IF(F1340-E1340=0,"tie",IF(F1340-E1340&gt;0,"+"&amp;F1340-E1340,"+"&amp;E1340-F1340)),"")</f>
        <v/>
      </c>
      <c r="H1340" s="12">
        <f>if($A1340&lt;&gt;"",if(B1340&gt;C1340,if(B1340&lt;60,1,2),""),"")</f>
        <v/>
      </c>
      <c r="I1340" s="12">
        <f>if($A1340&lt;&gt;"",if(C1340&gt;B1340,if(C1340&lt;60,1,2),""),"")</f>
        <v/>
      </c>
      <c r="J1340" s="9">
        <f>if($A1340&lt;&gt;"",J1339+H1340,"")</f>
        <v/>
      </c>
      <c r="K1340" s="9">
        <f>if($A1340&lt;&gt;"",K1339+I1340,"")</f>
        <v/>
      </c>
      <c r="L1340" s="11">
        <f>IF($A1340&lt;&gt;"",IF(K1340-J1340=0,"tie",IF(K1340-J1340&gt;0,"+"&amp;K1340-J1340,"+"&amp;J1340-K1340)),"")</f>
        <v/>
      </c>
      <c r="M1340" s="20" t="n"/>
      <c r="N1340" s="20" t="n"/>
      <c r="O1340" s="20" t="n"/>
      <c r="P1340" s="20" t="n"/>
      <c r="Q1340" s="20" t="n"/>
      <c r="R1340" s="20" t="n"/>
      <c r="S1340" s="20" t="n"/>
    </row>
    <row r="1341">
      <c r="A1341" s="15" t="n">
        <v>46055</v>
      </c>
      <c r="B1341" s="20" t="n">
        <v>31</v>
      </c>
      <c r="C1341" s="20" t="n">
        <v>30</v>
      </c>
      <c r="D1341" s="17" t="inlineStr">
        <is>
          <t>Preston Way</t>
        </is>
      </c>
      <c r="E1341" s="9">
        <f>if($A1341&lt;&gt;"",E1340+B1341,"")</f>
        <v/>
      </c>
      <c r="F1341" s="9">
        <f>if($A1341&lt;&gt;"",F1340+C1341,"")</f>
        <v/>
      </c>
      <c r="G1341" s="11">
        <f>IF($A1341&lt;&gt;"",IF(F1341-E1341=0,"tie",IF(F1341-E1341&gt;0,"+"&amp;F1341-E1341,"+"&amp;E1341-F1341)),"")</f>
        <v/>
      </c>
      <c r="H1341" s="12">
        <f>if($A1341&lt;&gt;"",if(B1341&gt;C1341,if(B1341&lt;60,1,2),""),"")</f>
        <v/>
      </c>
      <c r="I1341" s="12">
        <f>if($A1341&lt;&gt;"",if(C1341&gt;B1341,if(C1341&lt;60,1,2),""),"")</f>
        <v/>
      </c>
      <c r="J1341" s="9">
        <f>if($A1341&lt;&gt;"",J1340+H1341,"")</f>
        <v/>
      </c>
      <c r="K1341" s="9">
        <f>if($A1341&lt;&gt;"",K1340+I1341,"")</f>
        <v/>
      </c>
      <c r="L1341" s="11">
        <f>IF($A1341&lt;&gt;"",IF(K1341-J1341=0,"tie",IF(K1341-J1341&gt;0,"+"&amp;K1341-J1341,"+"&amp;J1341-K1341)),"")</f>
        <v/>
      </c>
      <c r="M1341" s="20" t="n"/>
      <c r="N1341" s="20" t="n"/>
      <c r="O1341" s="20" t="n"/>
      <c r="P1341" s="20" t="n"/>
      <c r="Q1341" s="20" t="n"/>
      <c r="R1341" s="20" t="n"/>
      <c r="S1341" s="20" t="n"/>
    </row>
    <row r="1342">
      <c r="A1342" s="15" t="n">
        <v>46056</v>
      </c>
      <c r="B1342" s="20" t="n">
        <v>42</v>
      </c>
      <c r="C1342" s="20" t="n">
        <v>35</v>
      </c>
      <c r="D1342" s="17" t="inlineStr">
        <is>
          <t>Preston Way</t>
        </is>
      </c>
      <c r="E1342" s="9">
        <f>if($A1342&lt;&gt;"",E1341+B1342,"")</f>
        <v/>
      </c>
      <c r="F1342" s="9">
        <f>if($A1342&lt;&gt;"",F1341+C1342,"")</f>
        <v/>
      </c>
      <c r="G1342" s="11">
        <f>IF($A1342&lt;&gt;"",IF(F1342-E1342=0,"tie",IF(F1342-E1342&gt;0,"+"&amp;F1342-E1342,"+"&amp;E1342-F1342)),"")</f>
        <v/>
      </c>
      <c r="H1342" s="12">
        <f>if($A1342&lt;&gt;"",if(B1342&gt;C1342,if(B1342&lt;60,1,2),""),"")</f>
        <v/>
      </c>
      <c r="I1342" s="12">
        <f>if($A1342&lt;&gt;"",if(C1342&gt;B1342,if(C1342&lt;60,1,2),""),"")</f>
        <v/>
      </c>
      <c r="J1342" s="9">
        <f>if($A1342&lt;&gt;"",J1341+H1342,"")</f>
        <v/>
      </c>
      <c r="K1342" s="9">
        <f>if($A1342&lt;&gt;"",K1341+I1342,"")</f>
        <v/>
      </c>
      <c r="L1342" s="11">
        <f>IF($A1342&lt;&gt;"",IF(K1342-J1342=0,"tie",IF(K1342-J1342&gt;0,"+"&amp;K1342-J1342,"+"&amp;J1342-K1342)),"")</f>
        <v/>
      </c>
      <c r="M1342" s="20" t="n"/>
      <c r="N1342" s="20" t="n"/>
      <c r="O1342" s="20" t="n"/>
      <c r="P1342" s="20" t="n"/>
      <c r="Q1342" s="20" t="n"/>
      <c r="R1342" s="20" t="n"/>
      <c r="S1342" s="20" t="n"/>
    </row>
    <row r="1343">
      <c r="A1343" s="15" t="n">
        <v>46057</v>
      </c>
      <c r="B1343" s="20" t="n">
        <v>20</v>
      </c>
      <c r="C1343" s="20" t="n">
        <v>32</v>
      </c>
      <c r="D1343" s="17" t="inlineStr">
        <is>
          <t>Preston Way</t>
        </is>
      </c>
      <c r="E1343" s="9">
        <f>if($A1343&lt;&gt;"",E1342+B1343,"")</f>
        <v/>
      </c>
      <c r="F1343" s="9">
        <f>if($A1343&lt;&gt;"",F1342+C1343,"")</f>
        <v/>
      </c>
      <c r="G1343" s="11">
        <f>IF($A1343&lt;&gt;"",IF(F1343-E1343=0,"tie",IF(F1343-E1343&gt;0,"+"&amp;F1343-E1343,"+"&amp;E1343-F1343)),"")</f>
        <v/>
      </c>
      <c r="H1343" s="12">
        <f>if($A1343&lt;&gt;"",if(B1343&gt;C1343,if(B1343&lt;60,1,2),""),"")</f>
        <v/>
      </c>
      <c r="I1343" s="12">
        <f>if($A1343&lt;&gt;"",if(C1343&gt;B1343,if(C1343&lt;60,1,2),""),"")</f>
        <v/>
      </c>
      <c r="J1343" s="9">
        <f>if($A1343&lt;&gt;"",J1342+H1343,"")</f>
        <v/>
      </c>
      <c r="K1343" s="9">
        <f>if($A1343&lt;&gt;"",K1342+I1343,"")</f>
        <v/>
      </c>
      <c r="L1343" s="11">
        <f>IF($A1343&lt;&gt;"",IF(K1343-J1343=0,"tie",IF(K1343-J1343&gt;0,"+"&amp;K1343-J1343,"+"&amp;J1343-K1343)),"")</f>
        <v/>
      </c>
      <c r="M1343" s="20" t="n"/>
      <c r="N1343" s="20" t="n"/>
      <c r="O1343" s="20" t="n"/>
      <c r="P1343" s="20" t="n"/>
      <c r="Q1343" s="20" t="n"/>
      <c r="R1343" s="20" t="n"/>
      <c r="S1343" s="20" t="n"/>
    </row>
    <row r="1344">
      <c r="A1344" s="15" t="n">
        <v>46057</v>
      </c>
      <c r="B1344" s="20" t="n">
        <v>32</v>
      </c>
      <c r="C1344" s="20" t="n">
        <v>7</v>
      </c>
      <c r="D1344" s="17" t="inlineStr">
        <is>
          <t>Preston Way</t>
        </is>
      </c>
      <c r="E1344" s="9">
        <f>if($A1344&lt;&gt;"",E1343+B1344,"")</f>
        <v/>
      </c>
      <c r="F1344" s="9">
        <f>if($A1344&lt;&gt;"",F1343+C1344,"")</f>
        <v/>
      </c>
      <c r="G1344" s="11">
        <f>IF($A1344&lt;&gt;"",IF(F1344-E1344=0,"tie",IF(F1344-E1344&gt;0,"+"&amp;F1344-E1344,"+"&amp;E1344-F1344)),"")</f>
        <v/>
      </c>
      <c r="H1344" s="12">
        <f>if($A1344&lt;&gt;"",if(B1344&gt;C1344,if(B1344&lt;60,1,2),""),"")</f>
        <v/>
      </c>
      <c r="I1344" s="12">
        <f>if($A1344&lt;&gt;"",if(C1344&gt;B1344,if(C1344&lt;60,1,2),""),"")</f>
        <v/>
      </c>
      <c r="J1344" s="9">
        <f>if($A1344&lt;&gt;"",J1343+H1344,"")</f>
        <v/>
      </c>
      <c r="K1344" s="9">
        <f>if($A1344&lt;&gt;"",K1343+I1344,"")</f>
        <v/>
      </c>
      <c r="L1344" s="11">
        <f>IF($A1344&lt;&gt;"",IF(K1344-J1344=0,"tie",IF(K1344-J1344&gt;0,"+"&amp;K1344-J1344,"+"&amp;J1344-K1344)),"")</f>
        <v/>
      </c>
      <c r="M1344" s="20" t="n"/>
      <c r="N1344" s="20" t="n"/>
      <c r="O1344" s="20" t="n"/>
      <c r="P1344" s="20" t="n"/>
      <c r="Q1344" s="20" t="n"/>
      <c r="R1344" s="20" t="n"/>
      <c r="S1344" s="20" t="n"/>
    </row>
    <row r="1345">
      <c r="A1345" s="15" t="n">
        <v>46059</v>
      </c>
      <c r="B1345" s="20" t="n">
        <v>41</v>
      </c>
      <c r="C1345" s="20" t="n">
        <v>35</v>
      </c>
      <c r="D1345" s="17" t="inlineStr">
        <is>
          <t xml:space="preserve">Breakaway Cafe, Culver City </t>
        </is>
      </c>
      <c r="E1345" s="9">
        <f>if($A1345&lt;&gt;"",E1344+B1345,"")</f>
        <v/>
      </c>
      <c r="F1345" s="9">
        <f>if($A1345&lt;&gt;"",F1344+C1345,"")</f>
        <v/>
      </c>
      <c r="G1345" s="11">
        <f>IF($A1345&lt;&gt;"",IF(F1345-E1345=0,"tie",IF(F1345-E1345&gt;0,"+"&amp;F1345-E1345,"+"&amp;E1345-F1345)),"")</f>
        <v/>
      </c>
      <c r="H1345" s="12">
        <f>if($A1345&lt;&gt;"",if(B1345&gt;C1345,if(B1345&lt;60,1,2),""),"")</f>
        <v/>
      </c>
      <c r="I1345" s="12">
        <f>if($A1345&lt;&gt;"",if(C1345&gt;B1345,if(C1345&lt;60,1,2),""),"")</f>
        <v/>
      </c>
      <c r="J1345" s="9">
        <f>if($A1345&lt;&gt;"",J1344+H1345,"")</f>
        <v/>
      </c>
      <c r="K1345" s="9">
        <f>if($A1345&lt;&gt;"",K1344+I1345,"")</f>
        <v/>
      </c>
      <c r="L1345" s="11">
        <f>IF($A1345&lt;&gt;"",IF(K1345-J1345=0,"tie",IF(K1345-J1345&gt;0,"+"&amp;K1345-J1345,"+"&amp;J1345-K1345)),"")</f>
        <v/>
      </c>
      <c r="M1345" s="20" t="n"/>
      <c r="N1345" s="20" t="n"/>
      <c r="O1345" s="20" t="n"/>
      <c r="P1345" s="20" t="n"/>
      <c r="Q1345" s="20" t="n"/>
      <c r="R1345" s="20" t="n"/>
      <c r="S1345" s="20" t="n"/>
    </row>
    <row r="1346">
      <c r="A1346" s="15" t="n">
        <v>46061</v>
      </c>
      <c r="B1346" s="20" t="n">
        <v>34</v>
      </c>
      <c r="C1346" s="20" t="n">
        <v>32</v>
      </c>
      <c r="D1346" s="17" t="inlineStr">
        <is>
          <t>Zinque, Venice</t>
        </is>
      </c>
      <c r="E1346" s="9">
        <f>if($A1346&lt;&gt;"",E1345+B1346,"")</f>
        <v/>
      </c>
      <c r="F1346" s="9">
        <f>if($A1346&lt;&gt;"",F1345+C1346,"")</f>
        <v/>
      </c>
      <c r="G1346" s="11">
        <f>IF($A1346&lt;&gt;"",IF(F1346-E1346=0,"tie",IF(F1346-E1346&gt;0,"+"&amp;F1346-E1346,"+"&amp;E1346-F1346)),"")</f>
        <v/>
      </c>
      <c r="H1346" s="12">
        <f>if($A1346&lt;&gt;"",if(B1346&gt;C1346,if(B1346&lt;60,1,2),""),"")</f>
        <v/>
      </c>
      <c r="I1346" s="12">
        <f>if($A1346&lt;&gt;"",if(C1346&gt;B1346,if(C1346&lt;60,1,2),""),"")</f>
        <v/>
      </c>
      <c r="J1346" s="9">
        <f>if($A1346&lt;&gt;"",J1345+H1346,"")</f>
        <v/>
      </c>
      <c r="K1346" s="9">
        <f>if($A1346&lt;&gt;"",K1345+I1346,"")</f>
        <v/>
      </c>
      <c r="L1346" s="11">
        <f>IF($A1346&lt;&gt;"",IF(K1346-J1346=0,"tie",IF(K1346-J1346&gt;0,"+"&amp;K1346-J1346,"+"&amp;J1346-K1346)),"")</f>
        <v/>
      </c>
      <c r="M1346" s="20" t="n"/>
      <c r="N1346" s="20" t="n"/>
      <c r="O1346" s="20" t="n"/>
      <c r="P1346" s="20" t="n"/>
      <c r="Q1346" s="20" t="n"/>
      <c r="R1346" s="20" t="n"/>
      <c r="S1346" s="20" t="n"/>
    </row>
    <row r="1347">
      <c r="A1347" s="15" t="n">
        <v>46068</v>
      </c>
      <c r="B1347" s="20" t="n">
        <v>63</v>
      </c>
      <c r="C1347" s="20" t="n">
        <v>27</v>
      </c>
      <c r="D1347" s="17" t="inlineStr">
        <is>
          <t>Rae's, Santa Monica</t>
        </is>
      </c>
      <c r="E1347" s="9">
        <f>if($A1347&lt;&gt;"",E1346+B1347,"")</f>
        <v/>
      </c>
      <c r="F1347" s="9">
        <f>if($A1347&lt;&gt;"",F1346+C1347,"")</f>
        <v/>
      </c>
      <c r="G1347" s="11">
        <f>IF($A1347&lt;&gt;"",IF(F1347-E1347=0,"tie",IF(F1347-E1347&gt;0,"+"&amp;F1347-E1347,"+"&amp;E1347-F1347)),"")</f>
        <v/>
      </c>
      <c r="H1347" s="12">
        <f>if($A1347&lt;&gt;"",if(B1347&gt;C1347,if(B1347&lt;60,1,2),""),"")</f>
        <v/>
      </c>
      <c r="I1347" s="12">
        <f>if($A1347&lt;&gt;"",if(C1347&gt;B1347,if(C1347&lt;60,1,2),""),"")</f>
        <v/>
      </c>
      <c r="J1347" s="9">
        <f>if($A1347&lt;&gt;"",J1346+H1347,"")</f>
        <v/>
      </c>
      <c r="K1347" s="9">
        <f>if($A1347&lt;&gt;"",K1346+I1347,"")</f>
        <v/>
      </c>
      <c r="L1347" s="11">
        <f>IF($A1347&lt;&gt;"",IF(K1347-J1347=0,"tie",IF(K1347-J1347&gt;0,"+"&amp;K1347-J1347,"+"&amp;J1347-K1347)),"")</f>
        <v/>
      </c>
      <c r="M1347" s="20" t="n"/>
      <c r="N1347" s="20" t="n"/>
      <c r="O1347" s="20" t="n"/>
      <c r="P1347" s="20" t="n"/>
      <c r="Q1347" s="20" t="n"/>
      <c r="R1347" s="20" t="n"/>
      <c r="S1347" s="20" t="n"/>
    </row>
    <row r="1348">
      <c r="A1348" s="15" t="n">
        <v>46072</v>
      </c>
      <c r="B1348" s="20" t="n">
        <v>63</v>
      </c>
      <c r="C1348" s="20" t="n">
        <v>48</v>
      </c>
      <c r="D1348" s="17" t="inlineStr">
        <is>
          <t>J Nichols, MDR</t>
        </is>
      </c>
      <c r="E1348" s="9">
        <f>if($A1348&lt;&gt;"",E1347+B1348,"")</f>
        <v/>
      </c>
      <c r="F1348" s="9">
        <f>if($A1348&lt;&gt;"",F1347+C1348,"")</f>
        <v/>
      </c>
      <c r="G1348" s="11">
        <f>IF($A1348&lt;&gt;"",IF(F1348-E1348=0,"tie",IF(F1348-E1348&gt;0,"+"&amp;F1348-E1348,"+"&amp;E1348-F1348)),"")</f>
        <v/>
      </c>
      <c r="H1348" s="12">
        <f>if($A1348&lt;&gt;"",if(B1348&gt;C1348,if(B1348&lt;60,1,2),""),"")</f>
        <v/>
      </c>
      <c r="I1348" s="12">
        <f>if($A1348&lt;&gt;"",if(C1348&gt;B1348,if(C1348&lt;60,1,2),""),"")</f>
        <v/>
      </c>
      <c r="J1348" s="9">
        <f>if($A1348&lt;&gt;"",J1347+H1348,"")</f>
        <v/>
      </c>
      <c r="K1348" s="9">
        <f>if($A1348&lt;&gt;"",K1347+I1348,"")</f>
        <v/>
      </c>
      <c r="L1348" s="11">
        <f>IF($A1348&lt;&gt;"",IF(K1348-J1348=0,"tie",IF(K1348-J1348&gt;0,"+"&amp;K1348-J1348,"+"&amp;J1348-K1348)),"")</f>
        <v/>
      </c>
      <c r="M1348" s="20" t="n"/>
      <c r="N1348" s="20" t="n"/>
      <c r="O1348" s="20" t="n"/>
      <c r="P1348" s="20" t="n"/>
      <c r="Q1348" s="20" t="n"/>
      <c r="R1348" s="20" t="n"/>
      <c r="S1348" s="20" t="n"/>
    </row>
    <row r="1349">
      <c r="A1349" s="15" t="n">
        <v>46075</v>
      </c>
      <c r="B1349" s="20" t="n">
        <v>28</v>
      </c>
      <c r="C1349" s="20" t="n">
        <v>32</v>
      </c>
      <c r="D1349" s="17" t="inlineStr">
        <is>
          <t>Zinque, Venice</t>
        </is>
      </c>
      <c r="E1349" s="9">
        <f>if($A1349&lt;&gt;"",E1348+B1349,"")</f>
        <v/>
      </c>
      <c r="F1349" s="9">
        <f>if($A1349&lt;&gt;"",F1348+C1349,"")</f>
        <v/>
      </c>
      <c r="G1349" s="11">
        <f>IF($A1349&lt;&gt;"",IF(F1349-E1349=0,"tie",IF(F1349-E1349&gt;0,"+"&amp;F1349-E1349,"+"&amp;E1349-F1349)),"")</f>
        <v/>
      </c>
      <c r="H1349" s="12">
        <f>if($A1349&lt;&gt;"",if(B1349&gt;C1349,if(B1349&lt;60,1,2),""),"")</f>
        <v/>
      </c>
      <c r="I1349" s="12">
        <f>if($A1349&lt;&gt;"",if(C1349&gt;B1349,if(C1349&lt;60,1,2),""),"")</f>
        <v/>
      </c>
      <c r="J1349" s="9">
        <f>if($A1349&lt;&gt;"",J1348+H1349,"")</f>
        <v/>
      </c>
      <c r="K1349" s="9">
        <f>if($A1349&lt;&gt;"",K1348+I1349,"")</f>
        <v/>
      </c>
      <c r="L1349" s="11">
        <f>IF($A1349&lt;&gt;"",IF(K1349-J1349=0,"tie",IF(K1349-J1349&gt;0,"+"&amp;K1349-J1349,"+"&amp;J1349-K1349)),"")</f>
        <v/>
      </c>
      <c r="M1349" s="20" t="n"/>
      <c r="N1349" s="20" t="n"/>
      <c r="O1349" s="20" t="n"/>
      <c r="P1349" s="20" t="n"/>
      <c r="Q1349" s="20" t="n"/>
      <c r="R1349" s="20" t="n"/>
      <c r="S1349" s="20" t="n"/>
    </row>
    <row r="1350">
      <c r="A1350" s="15" t="n">
        <v>46075</v>
      </c>
      <c r="B1350" s="20" t="n">
        <v>31</v>
      </c>
      <c r="C1350" s="20" t="n">
        <v>29</v>
      </c>
      <c r="D1350" s="17" t="inlineStr">
        <is>
          <t>Preston Way</t>
        </is>
      </c>
      <c r="E1350" s="9">
        <f>if($A1350&lt;&gt;"",E1349+B1350,"")</f>
        <v/>
      </c>
      <c r="F1350" s="9">
        <f>if($A1350&lt;&gt;"",F1349+C1350,"")</f>
        <v/>
      </c>
      <c r="G1350" s="11">
        <f>IF($A1350&lt;&gt;"",IF(F1350-E1350=0,"tie",IF(F1350-E1350&gt;0,"+"&amp;F1350-E1350,"+"&amp;E1350-F1350)),"")</f>
        <v/>
      </c>
      <c r="H1350" s="12">
        <f>if($A1350&lt;&gt;"",if(B1350&gt;C1350,if(B1350&lt;60,1,2),""),"")</f>
        <v/>
      </c>
      <c r="I1350" s="12">
        <f>if($A1350&lt;&gt;"",if(C1350&gt;B1350,if(C1350&lt;60,1,2),""),"")</f>
        <v/>
      </c>
      <c r="J1350" s="9">
        <f>if($A1350&lt;&gt;"",J1349+H1350,"")</f>
        <v/>
      </c>
      <c r="K1350" s="9">
        <f>if($A1350&lt;&gt;"",K1349+I1350,"")</f>
        <v/>
      </c>
      <c r="L1350" s="11">
        <f>IF($A1350&lt;&gt;"",IF(K1350-J1350=0,"tie",IF(K1350-J1350&gt;0,"+"&amp;K1350-J1350,"+"&amp;J1350-K1350)),"")</f>
        <v/>
      </c>
      <c r="M1350" s="20" t="n"/>
      <c r="N1350" s="20" t="n"/>
      <c r="O1350" s="20" t="n"/>
      <c r="P1350" s="20" t="n"/>
      <c r="Q1350" s="20" t="n"/>
      <c r="R1350" s="20" t="n"/>
      <c r="S1350" s="20" t="n"/>
    </row>
    <row r="1351">
      <c r="A1351" s="15" t="n">
        <v>46076</v>
      </c>
      <c r="B1351" s="20" t="n">
        <v>37</v>
      </c>
      <c r="C1351" s="20" t="n">
        <v>43</v>
      </c>
      <c r="D1351" s="17" t="inlineStr">
        <is>
          <t>Preston Way</t>
        </is>
      </c>
      <c r="E1351" s="9">
        <f>if($A1351&lt;&gt;"",E1350+B1351,"")</f>
        <v/>
      </c>
      <c r="F1351" s="9">
        <f>if($A1351&lt;&gt;"",F1350+C1351,"")</f>
        <v/>
      </c>
      <c r="G1351" s="11">
        <f>IF($A1351&lt;&gt;"",IF(F1351-E1351=0,"tie",IF(F1351-E1351&gt;0,"+"&amp;F1351-E1351,"+"&amp;E1351-F1351)),"")</f>
        <v/>
      </c>
      <c r="H1351" s="12">
        <f>if($A1351&lt;&gt;"",if(B1351&gt;C1351,if(B1351&lt;60,1,2),""),"")</f>
        <v/>
      </c>
      <c r="I1351" s="12">
        <f>if($A1351&lt;&gt;"",if(C1351&gt;B1351,if(C1351&lt;60,1,2),""),"")</f>
        <v/>
      </c>
      <c r="J1351" s="9">
        <f>if($A1351&lt;&gt;"",J1350+H1351,"")</f>
        <v/>
      </c>
      <c r="K1351" s="9">
        <f>if($A1351&lt;&gt;"",K1350+I1351,"")</f>
        <v/>
      </c>
      <c r="L1351" s="11">
        <f>IF($A1351&lt;&gt;"",IF(K1351-J1351=0,"tie",IF(K1351-J1351&gt;0,"+"&amp;K1351-J1351,"+"&amp;J1351-K1351)),"")</f>
        <v/>
      </c>
      <c r="M1351" s="20" t="n"/>
      <c r="N1351" s="20" t="n"/>
      <c r="O1351" s="20" t="n"/>
      <c r="P1351" s="20" t="n"/>
      <c r="Q1351" s="20" t="n"/>
      <c r="R1351" s="20" t="n"/>
      <c r="S1351" s="20" t="n"/>
    </row>
    <row r="1352">
      <c r="A1352" s="15" t="n">
        <v>46076</v>
      </c>
      <c r="B1352" s="20" t="n">
        <v>31</v>
      </c>
      <c r="C1352" s="20" t="n">
        <v>11</v>
      </c>
      <c r="D1352" s="17" t="inlineStr">
        <is>
          <t>Preston Way</t>
        </is>
      </c>
      <c r="E1352" s="9">
        <f>if($A1352&lt;&gt;"",E1351+B1352,"")</f>
        <v/>
      </c>
      <c r="F1352" s="9">
        <f>if($A1352&lt;&gt;"",F1351+C1352,"")</f>
        <v/>
      </c>
      <c r="G1352" s="11">
        <f>IF($A1352&lt;&gt;"",IF(F1352-E1352=0,"tie",IF(F1352-E1352&gt;0,"+"&amp;F1352-E1352,"+"&amp;E1352-F1352)),"")</f>
        <v/>
      </c>
      <c r="H1352" s="12">
        <f>if($A1352&lt;&gt;"",if(B1352&gt;C1352,if(B1352&lt;60,1,2),""),"")</f>
        <v/>
      </c>
      <c r="I1352" s="12">
        <f>if($A1352&lt;&gt;"",if(C1352&gt;B1352,if(C1352&lt;60,1,2),""),"")</f>
        <v/>
      </c>
      <c r="J1352" s="9">
        <f>if($A1352&lt;&gt;"",J1351+H1352,"")</f>
        <v/>
      </c>
      <c r="K1352" s="9">
        <f>if($A1352&lt;&gt;"",K1351+I1352,"")</f>
        <v/>
      </c>
      <c r="L1352" s="11">
        <f>IF($A1352&lt;&gt;"",IF(K1352-J1352=0,"tie",IF(K1352-J1352&gt;0,"+"&amp;K1352-J1352,"+"&amp;J1352-K1352)),"")</f>
        <v/>
      </c>
      <c r="M1352" s="20" t="n"/>
      <c r="N1352" s="20" t="n"/>
      <c r="O1352" s="20" t="n"/>
      <c r="P1352" s="20" t="n"/>
      <c r="Q1352" s="20" t="n"/>
      <c r="R1352" s="20" t="n"/>
      <c r="S1352" s="20" t="n"/>
    </row>
    <row r="1353">
      <c r="A1353" s="15" t="n">
        <v>46077</v>
      </c>
      <c r="B1353" s="20" t="n">
        <v>23</v>
      </c>
      <c r="C1353" s="20" t="n">
        <v>35</v>
      </c>
      <c r="D1353" s="17" t="inlineStr">
        <is>
          <t>The Penmar, Venice</t>
        </is>
      </c>
      <c r="E1353" s="9">
        <f>if($A1353&lt;&gt;"",E1352+B1353,"")</f>
        <v/>
      </c>
      <c r="F1353" s="9">
        <f>if($A1353&lt;&gt;"",F1352+C1353,"")</f>
        <v/>
      </c>
      <c r="G1353" s="11">
        <f>IF($A1353&lt;&gt;"",IF(F1353-E1353=0,"tie",IF(F1353-E1353&gt;0,"+"&amp;F1353-E1353,"+"&amp;E1353-F1353)),"")</f>
        <v/>
      </c>
      <c r="H1353" s="12">
        <f>if($A1353&lt;&gt;"",if(B1353&gt;C1353,if(B1353&lt;60,1,2),""),"")</f>
        <v/>
      </c>
      <c r="I1353" s="12">
        <f>if($A1353&lt;&gt;"",if(C1353&gt;B1353,if(C1353&lt;60,1,2),""),"")</f>
        <v/>
      </c>
      <c r="J1353" s="9">
        <f>if($A1353&lt;&gt;"",J1352+H1353,"")</f>
        <v/>
      </c>
      <c r="K1353" s="9">
        <f>if($A1353&lt;&gt;"",K1352+I1353,"")</f>
        <v/>
      </c>
      <c r="L1353" s="11">
        <f>IF($A1353&lt;&gt;"",IF(K1353-J1353=0,"tie",IF(K1353-J1353&gt;0,"+"&amp;K1353-J1353,"+"&amp;J1353-K1353)),"")</f>
        <v/>
      </c>
      <c r="M1353" s="20" t="n"/>
      <c r="N1353" s="20" t="n"/>
      <c r="O1353" s="20" t="n"/>
      <c r="P1353" s="20" t="n"/>
      <c r="Q1353" s="20" t="n"/>
      <c r="R1353" s="20" t="n"/>
      <c r="S1353" s="20" t="n"/>
    </row>
    <row r="1354">
      <c r="A1354" s="15" t="n">
        <v>46078</v>
      </c>
      <c r="B1354" s="20" t="n">
        <v>29</v>
      </c>
      <c r="C1354" s="20" t="n">
        <v>45</v>
      </c>
      <c r="D1354" s="17" t="inlineStr">
        <is>
          <t>Preston Way</t>
        </is>
      </c>
      <c r="E1354" s="9">
        <f>if($A1354&lt;&gt;"",E1353+B1354,"")</f>
        <v/>
      </c>
      <c r="F1354" s="9">
        <f>if($A1354&lt;&gt;"",F1353+C1354,"")</f>
        <v/>
      </c>
      <c r="G1354" s="11">
        <f>IF($A1354&lt;&gt;"",IF(F1354-E1354=0,"tie",IF(F1354-E1354&gt;0,"+"&amp;F1354-E1354,"+"&amp;E1354-F1354)),"")</f>
        <v/>
      </c>
      <c r="H1354" s="12">
        <f>if($A1354&lt;&gt;"",if(B1354&gt;C1354,if(B1354&lt;60,1,2),""),"")</f>
        <v/>
      </c>
      <c r="I1354" s="12">
        <f>if($A1354&lt;&gt;"",if(C1354&gt;B1354,if(C1354&lt;60,1,2),""),"")</f>
        <v/>
      </c>
      <c r="J1354" s="9">
        <f>if($A1354&lt;&gt;"",J1353+H1354,"")</f>
        <v/>
      </c>
      <c r="K1354" s="9">
        <f>if($A1354&lt;&gt;"",K1353+I1354,"")</f>
        <v/>
      </c>
      <c r="L1354" s="11">
        <f>IF($A1354&lt;&gt;"",IF(K1354-J1354=0,"tie",IF(K1354-J1354&gt;0,"+"&amp;K1354-J1354,"+"&amp;J1354-K1354)),"")</f>
        <v/>
      </c>
      <c r="M1354" s="20" t="n"/>
      <c r="N1354" s="20" t="n"/>
      <c r="O1354" s="20" t="n"/>
      <c r="P1354" s="20" t="n"/>
      <c r="Q1354" s="20" t="n"/>
      <c r="R1354" s="20" t="n"/>
      <c r="S1354" s="20" t="n"/>
    </row>
    <row r="1355">
      <c r="A1355" s="15" t="n">
        <v>46079</v>
      </c>
      <c r="B1355" s="20" t="n">
        <v>55</v>
      </c>
      <c r="C1355" s="20" t="n">
        <v>65</v>
      </c>
      <c r="D1355" s="17" t="inlineStr">
        <is>
          <t>Cafe Belen</t>
        </is>
      </c>
      <c r="E1355" s="9">
        <f>if($A1355&lt;&gt;"",E1354+B1355,"")</f>
        <v/>
      </c>
      <c r="F1355" s="9">
        <f>if($A1355&lt;&gt;"",F1354+C1355,"")</f>
        <v/>
      </c>
      <c r="G1355" s="11">
        <f>IF($A1355&lt;&gt;"",IF(F1355-E1355=0,"tie",IF(F1355-E1355&gt;0,"+"&amp;F1355-E1355,"+"&amp;E1355-F1355)),"")</f>
        <v/>
      </c>
      <c r="H1355" s="12">
        <f>if($A1355&lt;&gt;"",if(B1355&gt;C1355,if(B1355&lt;60,1,2),""),"")</f>
        <v/>
      </c>
      <c r="I1355" s="12">
        <f>if($A1355&lt;&gt;"",if(C1355&gt;B1355,if(C1355&lt;60,1,2),""),"")</f>
        <v/>
      </c>
      <c r="J1355" s="9">
        <f>if($A1355&lt;&gt;"",J1354+H1355,"")</f>
        <v/>
      </c>
      <c r="K1355" s="9">
        <f>if($A1355&lt;&gt;"",K1354+I1355,"")</f>
        <v/>
      </c>
      <c r="L1355" s="11">
        <f>IF($A1355&lt;&gt;"",IF(K1355-J1355=0,"tie",IF(K1355-J1355&gt;0,"+"&amp;K1355-J1355,"+"&amp;J1355-K1355)),"")</f>
        <v/>
      </c>
      <c r="M1355" s="20" t="n"/>
      <c r="N1355" s="20" t="n"/>
      <c r="O1355" s="20" t="n"/>
      <c r="P1355" s="20" t="n"/>
      <c r="Q1355" s="20" t="n"/>
      <c r="R1355" s="20" t="n"/>
      <c r="S1355" s="20" t="n"/>
    </row>
    <row r="1356">
      <c r="A1356" s="15" t="n">
        <v>46080</v>
      </c>
      <c r="B1356" s="20" t="n">
        <v>36</v>
      </c>
      <c r="C1356" s="20" t="n">
        <v>27</v>
      </c>
      <c r="D1356" s="17" t="inlineStr">
        <is>
          <t>Preston Way</t>
        </is>
      </c>
      <c r="E1356" s="9">
        <f>if($A1356&lt;&gt;"",E1355+B1356,"")</f>
        <v/>
      </c>
      <c r="F1356" s="9">
        <f>if($A1356&lt;&gt;"",F1355+C1356,"")</f>
        <v/>
      </c>
      <c r="G1356" s="11">
        <f>IF($A1356&lt;&gt;"",IF(F1356-E1356=0,"tie",IF(F1356-E1356&gt;0,"+"&amp;F1356-E1356,"+"&amp;E1356-F1356)),"")</f>
        <v/>
      </c>
      <c r="H1356" s="12">
        <f>if($A1356&lt;&gt;"",if(B1356&gt;C1356,if(B1356&lt;60,1,2),""),"")</f>
        <v/>
      </c>
      <c r="I1356" s="12">
        <f>if($A1356&lt;&gt;"",if(C1356&gt;B1356,if(C1356&lt;60,1,2),""),"")</f>
        <v/>
      </c>
      <c r="J1356" s="9">
        <f>if($A1356&lt;&gt;"",J1355+H1356,"")</f>
        <v/>
      </c>
      <c r="K1356" s="9">
        <f>if($A1356&lt;&gt;"",K1355+I1356,"")</f>
        <v/>
      </c>
      <c r="L1356" s="11">
        <f>IF($A1356&lt;&gt;"",IF(K1356-J1356=0,"tie",IF(K1356-J1356&gt;0,"+"&amp;K1356-J1356,"+"&amp;J1356-K1356)),"")</f>
        <v/>
      </c>
      <c r="M1356" s="20" t="n"/>
      <c r="N1356" s="20" t="n"/>
      <c r="O1356" s="20" t="n"/>
      <c r="P1356" s="20" t="n"/>
      <c r="Q1356" s="20" t="n"/>
      <c r="R1356" s="20" t="n"/>
      <c r="S1356" s="20" t="n"/>
    </row>
    <row r="1357">
      <c r="A1357" s="15" t="n">
        <v>46080</v>
      </c>
      <c r="B1357" s="20" t="n">
        <v>67</v>
      </c>
      <c r="C1357" s="20" t="n">
        <v>62</v>
      </c>
      <c r="D1357" s="17" t="inlineStr">
        <is>
          <t>Tacos Por Favor</t>
        </is>
      </c>
      <c r="E1357" s="9">
        <f>if($A1357&lt;&gt;"",E1356+B1357,"")</f>
        <v/>
      </c>
      <c r="F1357" s="9">
        <f>if($A1357&lt;&gt;"",F1356+C1357,"")</f>
        <v/>
      </c>
      <c r="G1357" s="11">
        <f>IF($A1357&lt;&gt;"",IF(F1357-E1357=0,"tie",IF(F1357-E1357&gt;0,"+"&amp;F1357-E1357,"+"&amp;E1357-F1357)),"")</f>
        <v/>
      </c>
      <c r="H1357" s="12">
        <f>if($A1357&lt;&gt;"",if(B1357&gt;C1357,if(B1357&lt;60,1,2),""),"")</f>
        <v/>
      </c>
      <c r="I1357" s="12">
        <f>if($A1357&lt;&gt;"",if(C1357&gt;B1357,if(C1357&lt;60,1,2),""),"")</f>
        <v/>
      </c>
      <c r="J1357" s="9">
        <f>if($A1357&lt;&gt;"",J1356+H1357,"")</f>
        <v/>
      </c>
      <c r="K1357" s="9">
        <f>if($A1357&lt;&gt;"",K1356+I1357,"")</f>
        <v/>
      </c>
      <c r="L1357" s="11">
        <f>IF($A1357&lt;&gt;"",IF(K1357-J1357=0,"tie",IF(K1357-J1357&gt;0,"+"&amp;K1357-J1357,"+"&amp;J1357-K1357)),"")</f>
        <v/>
      </c>
      <c r="M1357" s="20" t="n"/>
      <c r="N1357" s="20" t="n"/>
      <c r="O1357" s="20" t="n"/>
      <c r="P1357" s="20" t="n"/>
      <c r="Q1357" s="20" t="n"/>
      <c r="R1357" s="20" t="n"/>
      <c r="S1357" s="20" t="n"/>
    </row>
    <row r="1358">
      <c r="A1358" s="15" t="n">
        <v>46081</v>
      </c>
      <c r="B1358" s="20" t="n">
        <v>31</v>
      </c>
      <c r="C1358" s="20" t="n">
        <v>17</v>
      </c>
      <c r="D1358" s="17" t="inlineStr">
        <is>
          <t xml:space="preserve">Surpuba Bread and Food </t>
        </is>
      </c>
      <c r="E1358" s="9">
        <f>if($A1358&lt;&gt;"",E1357+B1358,"")</f>
        <v/>
      </c>
      <c r="F1358" s="9">
        <f>if($A1358&lt;&gt;"",F1357+C1358,"")</f>
        <v/>
      </c>
      <c r="G1358" s="11">
        <f>IF($A1358&lt;&gt;"",IF(F1358-E1358=0,"tie",IF(F1358-E1358&gt;0,"+"&amp;F1358-E1358,"+"&amp;E1358-F1358)),"")</f>
        <v/>
      </c>
      <c r="H1358" s="12">
        <f>if($A1358&lt;&gt;"",if(B1358&gt;C1358,if(B1358&lt;60,1,2),""),"")</f>
        <v/>
      </c>
      <c r="I1358" s="12">
        <f>if($A1358&lt;&gt;"",if(C1358&gt;B1358,if(C1358&lt;60,1,2),""),"")</f>
        <v/>
      </c>
      <c r="J1358" s="9">
        <f>if($A1358&lt;&gt;"",J1357+H1358,"")</f>
        <v/>
      </c>
      <c r="K1358" s="9">
        <f>if($A1358&lt;&gt;"",K1357+I1358,"")</f>
        <v/>
      </c>
      <c r="L1358" s="11">
        <f>IF($A1358&lt;&gt;"",IF(K1358-J1358=0,"tie",IF(K1358-J1358&gt;0,"+"&amp;K1358-J1358,"+"&amp;J1358-K1358)),"")</f>
        <v/>
      </c>
      <c r="M1358" s="20" t="n"/>
      <c r="N1358" s="20" t="n"/>
      <c r="O1358" s="20" t="n"/>
      <c r="P1358" s="20" t="n"/>
      <c r="Q1358" s="20" t="n"/>
      <c r="R1358" s="20" t="n"/>
      <c r="S1358" s="20" t="n"/>
    </row>
    <row r="1359">
      <c r="A1359" s="15" t="n">
        <v>46083</v>
      </c>
      <c r="B1359" s="20" t="n">
        <v>31</v>
      </c>
      <c r="C1359" s="20" t="n">
        <v>18</v>
      </c>
      <c r="D1359" s="17" t="inlineStr">
        <is>
          <t>Preston Way</t>
        </is>
      </c>
      <c r="E1359" s="9">
        <f>if($A1359&lt;&gt;"",E1358+B1359,"")</f>
        <v/>
      </c>
      <c r="F1359" s="9">
        <f>if($A1359&lt;&gt;"",F1358+C1359,"")</f>
        <v/>
      </c>
      <c r="G1359" s="11">
        <f>IF($A1359&lt;&gt;"",IF(F1359-E1359=0,"tie",IF(F1359-E1359&gt;0,"+"&amp;F1359-E1359,"+"&amp;E1359-F1359)),"")</f>
        <v/>
      </c>
      <c r="H1359" s="12">
        <f>if($A1359&lt;&gt;"",if(B1359&gt;C1359,if(B1359&lt;60,1,2),""),"")</f>
        <v/>
      </c>
      <c r="I1359" s="12">
        <f>if($A1359&lt;&gt;"",if(C1359&gt;B1359,if(C1359&lt;60,1,2),""),"")</f>
        <v/>
      </c>
      <c r="J1359" s="9">
        <f>if($A1359&lt;&gt;"",J1358+H1359,"")</f>
        <v/>
      </c>
      <c r="K1359" s="9">
        <f>if($A1359&lt;&gt;"",K1358+I1359,"")</f>
        <v/>
      </c>
      <c r="L1359" s="11">
        <f>IF($A1359&lt;&gt;"",IF(K1359-J1359=0,"tie",IF(K1359-J1359&gt;0,"+"&amp;K1359-J1359,"+"&amp;J1359-K1359)),"")</f>
        <v/>
      </c>
      <c r="M1359" s="20" t="n"/>
      <c r="N1359" s="20" t="n"/>
      <c r="O1359" s="20" t="n"/>
      <c r="P1359" s="20" t="n"/>
      <c r="Q1359" s="20" t="n"/>
      <c r="R1359" s="20" t="n"/>
      <c r="S1359" s="20" t="n"/>
    </row>
    <row r="1360">
      <c r="A1360" s="15" t="n">
        <v>46088</v>
      </c>
      <c r="B1360" s="20" t="n">
        <v>36</v>
      </c>
      <c r="C1360" s="20" t="n">
        <v>19</v>
      </c>
      <c r="D1360" s="17" t="inlineStr">
        <is>
          <t>Dakota Trail</t>
        </is>
      </c>
      <c r="E1360" s="9">
        <f>if($A1360&lt;&gt;"",E1359+B1360,"")</f>
        <v/>
      </c>
      <c r="F1360" s="9">
        <f>if($A1360&lt;&gt;"",F1359+C1360,"")</f>
        <v/>
      </c>
      <c r="G1360" s="11">
        <f>IF($A1360&lt;&gt;"",IF(F1360-E1360=0,"tie",IF(F1360-E1360&gt;0,"+"&amp;F1360-E1360,"+"&amp;E1360-F1360)),"")</f>
        <v/>
      </c>
      <c r="H1360" s="12">
        <f>if($A1360&lt;&gt;"",if(B1360&gt;C1360,if(B1360&lt;60,1,2),""),"")</f>
        <v/>
      </c>
      <c r="I1360" s="12">
        <f>if($A1360&lt;&gt;"",if(C1360&gt;B1360,if(C1360&lt;60,1,2),""),"")</f>
        <v/>
      </c>
      <c r="J1360" s="9">
        <f>if($A1360&lt;&gt;"",J1359+H1360,"")</f>
        <v/>
      </c>
      <c r="K1360" s="9">
        <f>if($A1360&lt;&gt;"",K1359+I1360,"")</f>
        <v/>
      </c>
      <c r="L1360" s="11">
        <f>IF($A1360&lt;&gt;"",IF(K1360-J1360=0,"tie",IF(K1360-J1360&gt;0,"+"&amp;K1360-J1360,"+"&amp;J1360-K1360)),"")</f>
        <v/>
      </c>
      <c r="M1360" s="20" t="n"/>
      <c r="N1360" s="20" t="n"/>
      <c r="O1360" s="20" t="n"/>
      <c r="P1360" s="20" t="n"/>
      <c r="Q1360" s="20" t="n"/>
      <c r="R1360" s="20" t="n"/>
      <c r="S1360" s="20" t="n"/>
    </row>
    <row r="1361">
      <c r="A1361" s="15" t="n">
        <v>46089</v>
      </c>
      <c r="B1361" s="20" t="n">
        <v>36</v>
      </c>
      <c r="C1361" s="20" t="n">
        <v>32</v>
      </c>
      <c r="D1361" s="17" t="inlineStr">
        <is>
          <t xml:space="preserve">The Mill, Murietta </t>
        </is>
      </c>
      <c r="E1361" s="9">
        <f>if($A1361&lt;&gt;"",E1360+B1361,"")</f>
        <v/>
      </c>
      <c r="F1361" s="9">
        <f>if($A1361&lt;&gt;"",F1360+C1361,"")</f>
        <v/>
      </c>
      <c r="G1361" s="11">
        <f>IF($A1361&lt;&gt;"",IF(F1361-E1361=0,"tie",IF(F1361-E1361&gt;0,"+"&amp;F1361-E1361,"+"&amp;E1361-F1361)),"")</f>
        <v/>
      </c>
      <c r="H1361" s="12">
        <f>if($A1361&lt;&gt;"",if(B1361&gt;C1361,if(B1361&lt;60,1,2),""),"")</f>
        <v/>
      </c>
      <c r="I1361" s="12">
        <f>if($A1361&lt;&gt;"",if(C1361&gt;B1361,if(C1361&lt;60,1,2),""),"")</f>
        <v/>
      </c>
      <c r="J1361" s="9">
        <f>if($A1361&lt;&gt;"",J1360+H1361,"")</f>
        <v/>
      </c>
      <c r="K1361" s="9">
        <f>if($A1361&lt;&gt;"",K1360+I1361,"")</f>
        <v/>
      </c>
      <c r="L1361" s="11">
        <f>IF($A1361&lt;&gt;"",IF(K1361-J1361=0,"tie",IF(K1361-J1361&gt;0,"+"&amp;K1361-J1361,"+"&amp;J1361-K1361)),"")</f>
        <v/>
      </c>
      <c r="M1361" s="20" t="n"/>
      <c r="N1361" s="20" t="n"/>
      <c r="O1361" s="20" t="n"/>
      <c r="P1361" s="20" t="n"/>
      <c r="Q1361" s="20" t="n"/>
      <c r="R1361" s="20" t="n"/>
      <c r="S1361" s="20" t="n"/>
    </row>
    <row r="1362">
      <c r="A1362" s="15" t="n">
        <v>46091</v>
      </c>
      <c r="B1362" s="20" t="n">
        <v>33</v>
      </c>
      <c r="C1362" s="20" t="n">
        <v>30</v>
      </c>
      <c r="D1362" s="17" t="inlineStr">
        <is>
          <t>Dakota Trail</t>
        </is>
      </c>
      <c r="E1362" s="9">
        <f>if($A1362&lt;&gt;"",E1361+B1362,"")</f>
        <v/>
      </c>
      <c r="F1362" s="9">
        <f>if($A1362&lt;&gt;"",F1361+C1362,"")</f>
        <v/>
      </c>
      <c r="G1362" s="11">
        <f>IF($A1362&lt;&gt;"",IF(F1362-E1362=0,"tie",IF(F1362-E1362&gt;0,"+"&amp;F1362-E1362,"+"&amp;E1362-F1362)),"")</f>
        <v/>
      </c>
      <c r="H1362" s="12">
        <f>if($A1362&lt;&gt;"",if(B1362&gt;C1362,if(B1362&lt;60,1,2),""),"")</f>
        <v/>
      </c>
      <c r="I1362" s="12">
        <f>if($A1362&lt;&gt;"",if(C1362&gt;B1362,if(C1362&lt;60,1,2),""),"")</f>
        <v/>
      </c>
      <c r="J1362" s="9">
        <f>if($A1362&lt;&gt;"",J1361+H1362,"")</f>
        <v/>
      </c>
      <c r="K1362" s="9">
        <f>if($A1362&lt;&gt;"",K1361+I1362,"")</f>
        <v/>
      </c>
      <c r="L1362" s="11">
        <f>IF($A1362&lt;&gt;"",IF(K1362-J1362=0,"tie",IF(K1362-J1362&gt;0,"+"&amp;K1362-J1362,"+"&amp;J1362-K1362)),"")</f>
        <v/>
      </c>
      <c r="M1362" s="20" t="n"/>
      <c r="N1362" s="20" t="n"/>
      <c r="O1362" s="20" t="n"/>
      <c r="P1362" s="20" t="n"/>
      <c r="Q1362" s="20" t="n"/>
      <c r="R1362" s="20" t="n"/>
      <c r="S1362" s="20" t="n"/>
    </row>
    <row r="1363">
      <c r="A1363" s="15" t="n">
        <v>46091</v>
      </c>
      <c r="B1363" s="20" t="n">
        <v>64</v>
      </c>
      <c r="C1363" s="20" t="n">
        <v>61</v>
      </c>
      <c r="D1363" s="17" t="inlineStr">
        <is>
          <t xml:space="preserve">Ba Ba Loo, Palm Desert </t>
        </is>
      </c>
      <c r="E1363" s="9">
        <f>if($A1363&lt;&gt;"",E1362+B1363,"")</f>
        <v/>
      </c>
      <c r="F1363" s="9">
        <f>if($A1363&lt;&gt;"",F1362+C1363,"")</f>
        <v/>
      </c>
      <c r="G1363" s="11">
        <f>IF($A1363&lt;&gt;"",IF(F1363-E1363=0,"tie",IF(F1363-E1363&gt;0,"+"&amp;F1363-E1363,"+"&amp;E1363-F1363)),"")</f>
        <v/>
      </c>
      <c r="H1363" s="12">
        <f>if($A1363&lt;&gt;"",if(B1363&gt;C1363,if(B1363&lt;60,1,2),""),"")</f>
        <v/>
      </c>
      <c r="I1363" s="12">
        <f>if($A1363&lt;&gt;"",if(C1363&gt;B1363,if(C1363&lt;60,1,2),""),"")</f>
        <v/>
      </c>
      <c r="J1363" s="9">
        <f>if($A1363&lt;&gt;"",J1362+H1363,"")</f>
        <v/>
      </c>
      <c r="K1363" s="9">
        <f>if($A1363&lt;&gt;"",K1362+I1363,"")</f>
        <v/>
      </c>
      <c r="L1363" s="11">
        <f>IF($A1363&lt;&gt;"",IF(K1363-J1363=0,"tie",IF(K1363-J1363&gt;0,"+"&amp;K1363-J1363,"+"&amp;J1363-K1363)),"")</f>
        <v/>
      </c>
      <c r="M1363" s="20" t="n"/>
      <c r="N1363" s="20" t="n"/>
      <c r="O1363" s="20" t="n"/>
      <c r="P1363" s="20" t="n"/>
      <c r="Q1363" s="20" t="n"/>
      <c r="R1363" s="20" t="n"/>
      <c r="S1363" s="20" t="n"/>
    </row>
    <row r="1364">
      <c r="A1364" s="15" t="n">
        <v>46093</v>
      </c>
      <c r="B1364" s="20" t="n">
        <v>36</v>
      </c>
      <c r="C1364" s="20" t="n">
        <v>25</v>
      </c>
      <c r="D1364" s="17" t="inlineStr">
        <is>
          <t>BNP Paribas</t>
        </is>
      </c>
      <c r="E1364" s="9">
        <f>if($A1364&lt;&gt;"",E1363+B1364,"")</f>
        <v/>
      </c>
      <c r="F1364" s="9">
        <f>if($A1364&lt;&gt;"",F1363+C1364,"")</f>
        <v/>
      </c>
      <c r="G1364" s="11">
        <f>IF($A1364&lt;&gt;"",IF(F1364-E1364=0,"tie",IF(F1364-E1364&gt;0,"+"&amp;F1364-E1364,"+"&amp;E1364-F1364)),"")</f>
        <v/>
      </c>
      <c r="H1364" s="12">
        <f>if($A1364&lt;&gt;"",if(B1364&gt;C1364,if(B1364&lt;60,1,2),""),"")</f>
        <v/>
      </c>
      <c r="I1364" s="12">
        <f>if($A1364&lt;&gt;"",if(C1364&gt;B1364,if(C1364&lt;60,1,2),""),"")</f>
        <v/>
      </c>
      <c r="J1364" s="9">
        <f>if($A1364&lt;&gt;"",J1363+H1364,"")</f>
        <v/>
      </c>
      <c r="K1364" s="9">
        <f>if($A1364&lt;&gt;"",K1363+I1364,"")</f>
        <v/>
      </c>
      <c r="L1364" s="11">
        <f>IF($A1364&lt;&gt;"",IF(K1364-J1364=0,"tie",IF(K1364-J1364&gt;0,"+"&amp;K1364-J1364,"+"&amp;J1364-K1364)),"")</f>
        <v/>
      </c>
      <c r="M1364" s="20" t="n"/>
      <c r="N1364" s="20" t="n"/>
      <c r="O1364" s="20" t="n"/>
      <c r="P1364" s="20" t="n"/>
      <c r="Q1364" s="20" t="n"/>
      <c r="R1364" s="20" t="n"/>
      <c r="S1364" s="20" t="n"/>
    </row>
    <row r="1365">
      <c r="A1365" s="15" t="n">
        <v>46093</v>
      </c>
      <c r="B1365" s="20" t="n">
        <v>42</v>
      </c>
      <c r="C1365" s="20" t="n">
        <v>49</v>
      </c>
      <c r="D1365" s="17" t="inlineStr">
        <is>
          <t>Cliffhouse, La Quinta</t>
        </is>
      </c>
      <c r="E1365" s="9">
        <f>if($A1365&lt;&gt;"",E1364+B1365,"")</f>
        <v/>
      </c>
      <c r="F1365" s="9">
        <f>if($A1365&lt;&gt;"",F1364+C1365,"")</f>
        <v/>
      </c>
      <c r="G1365" s="11">
        <f>IF($A1365&lt;&gt;"",IF(F1365-E1365=0,"tie",IF(F1365-E1365&gt;0,"+"&amp;F1365-E1365,"+"&amp;E1365-F1365)),"")</f>
        <v/>
      </c>
      <c r="H1365" s="12">
        <f>if($A1365&lt;&gt;"",if(B1365&gt;C1365,if(B1365&lt;60,1,2),""),"")</f>
        <v/>
      </c>
      <c r="I1365" s="12">
        <f>if($A1365&lt;&gt;"",if(C1365&gt;B1365,if(C1365&lt;60,1,2),""),"")</f>
        <v/>
      </c>
      <c r="J1365" s="9">
        <f>if($A1365&lt;&gt;"",J1364+H1365,"")</f>
        <v/>
      </c>
      <c r="K1365" s="9">
        <f>if($A1365&lt;&gt;"",K1364+I1365,"")</f>
        <v/>
      </c>
      <c r="L1365" s="11">
        <f>IF($A1365&lt;&gt;"",IF(K1365-J1365=0,"tie",IF(K1365-J1365&gt;0,"+"&amp;K1365-J1365,"+"&amp;J1365-K1365)),"")</f>
        <v/>
      </c>
      <c r="M1365" s="20" t="n"/>
      <c r="N1365" s="20" t="n"/>
      <c r="O1365" s="20" t="n"/>
      <c r="P1365" s="20" t="n"/>
      <c r="Q1365" s="20" t="n"/>
      <c r="R1365" s="20" t="n"/>
      <c r="S1365" s="20" t="n"/>
    </row>
    <row r="1366">
      <c r="A1366" s="15" t="n">
        <v>46094</v>
      </c>
      <c r="B1366" s="20" t="n">
        <v>47</v>
      </c>
      <c r="C1366" s="20" t="n">
        <v>62</v>
      </c>
      <c r="D1366" s="17" t="inlineStr">
        <is>
          <t>Black Bear Diner, Colton</t>
        </is>
      </c>
      <c r="E1366" s="9">
        <f>if($A1366&lt;&gt;"",E1365+B1366,"")</f>
        <v/>
      </c>
      <c r="F1366" s="9">
        <f>if($A1366&lt;&gt;"",F1365+C1366,"")</f>
        <v/>
      </c>
      <c r="G1366" s="11">
        <f>IF($A1366&lt;&gt;"",IF(F1366-E1366=0,"tie",IF(F1366-E1366&gt;0,"+"&amp;F1366-E1366,"+"&amp;E1366-F1366)),"")</f>
        <v/>
      </c>
      <c r="H1366" s="12">
        <f>if($A1366&lt;&gt;"",if(B1366&gt;C1366,if(B1366&lt;60,1,2),""),"")</f>
        <v/>
      </c>
      <c r="I1366" s="12">
        <f>if($A1366&lt;&gt;"",if(C1366&gt;B1366,if(C1366&lt;60,1,2),""),"")</f>
        <v/>
      </c>
      <c r="J1366" s="9">
        <f>if($A1366&lt;&gt;"",J1365+H1366,"")</f>
        <v/>
      </c>
      <c r="K1366" s="9">
        <f>if($A1366&lt;&gt;"",K1365+I1366,"")</f>
        <v/>
      </c>
      <c r="L1366" s="11">
        <f>IF($A1366&lt;&gt;"",IF(K1366-J1366=0,"tie",IF(K1366-J1366&gt;0,"+"&amp;K1366-J1366,"+"&amp;J1366-K1366)),"")</f>
        <v/>
      </c>
      <c r="M1366" s="20" t="n"/>
      <c r="N1366" s="20" t="n"/>
      <c r="O1366" s="20" t="n"/>
      <c r="P1366" s="20" t="n"/>
      <c r="Q1366" s="20" t="n"/>
      <c r="R1366" s="20" t="n"/>
      <c r="S1366" s="20" t="n"/>
    </row>
    <row r="1367">
      <c r="A1367" s="15" t="n">
        <v>46096</v>
      </c>
      <c r="B1367" s="20" t="n">
        <v>20</v>
      </c>
      <c r="C1367" s="20" t="n">
        <v>49</v>
      </c>
      <c r="D1367" s="17" t="inlineStr">
        <is>
          <t>Zinque, Venice</t>
        </is>
      </c>
      <c r="E1367" s="9">
        <f>if($A1367&lt;&gt;"",E1366+B1367,"")</f>
        <v/>
      </c>
      <c r="F1367" s="9">
        <f>if($A1367&lt;&gt;"",F1366+C1367,"")</f>
        <v/>
      </c>
      <c r="G1367" s="11">
        <f>IF($A1367&lt;&gt;"",IF(F1367-E1367=0,"tie",IF(F1367-E1367&gt;0,"+"&amp;F1367-E1367,"+"&amp;E1367-F1367)),"")</f>
        <v/>
      </c>
      <c r="H1367" s="12">
        <f>if($A1367&lt;&gt;"",if(B1367&gt;C1367,if(B1367&lt;60,1,2),""),"")</f>
        <v/>
      </c>
      <c r="I1367" s="12">
        <f>if($A1367&lt;&gt;"",if(C1367&gt;B1367,if(C1367&lt;60,1,2),""),"")</f>
        <v/>
      </c>
      <c r="J1367" s="9">
        <f>if($A1367&lt;&gt;"",J1366+H1367,"")</f>
        <v/>
      </c>
      <c r="K1367" s="9">
        <f>if($A1367&lt;&gt;"",K1366+I1367,"")</f>
        <v/>
      </c>
      <c r="L1367" s="11">
        <f>IF($A1367&lt;&gt;"",IF(K1367-J1367=0,"tie",IF(K1367-J1367&gt;0,"+"&amp;K1367-J1367,"+"&amp;J1367-K1367)),"")</f>
        <v/>
      </c>
      <c r="M1367" s="20" t="n"/>
      <c r="N1367" s="20" t="n"/>
      <c r="O1367" s="20" t="n"/>
      <c r="P1367" s="20" t="n"/>
      <c r="Q1367" s="20" t="n"/>
      <c r="R1367" s="20" t="n"/>
      <c r="S1367" s="20" t="n"/>
    </row>
    <row r="1368">
      <c r="A1368" s="15" t="n">
        <v>46099</v>
      </c>
      <c r="B1368" s="20" t="n">
        <v>43</v>
      </c>
      <c r="C1368" s="20" t="n">
        <v>32</v>
      </c>
      <c r="D1368" s="17" t="inlineStr">
        <is>
          <t>Noah's Bagels, MDR</t>
        </is>
      </c>
      <c r="E1368" s="9">
        <f>if($A1368&lt;&gt;"",E1367+B1368,"")</f>
        <v/>
      </c>
      <c r="F1368" s="9">
        <f>if($A1368&lt;&gt;"",F1367+C1368,"")</f>
        <v/>
      </c>
      <c r="G1368" s="11">
        <f>IF($A1368&lt;&gt;"",IF(F1368-E1368=0,"tie",IF(F1368-E1368&gt;0,"+"&amp;F1368-E1368,"+"&amp;E1368-F1368)),"")</f>
        <v/>
      </c>
      <c r="H1368" s="12">
        <f>if($A1368&lt;&gt;"",if(B1368&gt;C1368,if(B1368&lt;60,1,2),""),"")</f>
        <v/>
      </c>
      <c r="I1368" s="12">
        <f>if($A1368&lt;&gt;"",if(C1368&gt;B1368,if(C1368&lt;60,1,2),""),"")</f>
        <v/>
      </c>
      <c r="J1368" s="9">
        <f>if($A1368&lt;&gt;"",J1367+H1368,"")</f>
        <v/>
      </c>
      <c r="K1368" s="9">
        <f>if($A1368&lt;&gt;"",K1367+I1368,"")</f>
        <v/>
      </c>
      <c r="L1368" s="11">
        <f>IF($A1368&lt;&gt;"",IF(K1368-J1368=0,"tie",IF(K1368-J1368&gt;0,"+"&amp;K1368-J1368,"+"&amp;J1368-K1368)),"")</f>
        <v/>
      </c>
      <c r="M1368" s="20" t="n"/>
      <c r="N1368" s="20" t="n"/>
      <c r="O1368" s="20" t="n"/>
      <c r="P1368" s="20" t="n"/>
      <c r="Q1368" s="20" t="n"/>
      <c r="R1368" s="20" t="n"/>
      <c r="S1368" s="20" t="n"/>
    </row>
    <row r="1369">
      <c r="A1369" s="15" t="n">
        <v>46099</v>
      </c>
      <c r="B1369" s="20" t="n">
        <v>69</v>
      </c>
      <c r="C1369" s="20" t="n">
        <v>63</v>
      </c>
      <c r="D1369" s="17" t="inlineStr">
        <is>
          <t>Urban Plates</t>
        </is>
      </c>
      <c r="E1369" s="9">
        <f>if($A1369&lt;&gt;"",E1368+B1369,"")</f>
        <v/>
      </c>
      <c r="F1369" s="9">
        <f>if($A1369&lt;&gt;"",F1368+C1369,"")</f>
        <v/>
      </c>
      <c r="G1369" s="11">
        <f>IF($A1369&lt;&gt;"",IF(F1369-E1369=0,"tie",IF(F1369-E1369&gt;0,"+"&amp;F1369-E1369,"+"&amp;E1369-F1369)),"")</f>
        <v/>
      </c>
      <c r="H1369" s="12">
        <f>if($A1369&lt;&gt;"",if(B1369&gt;C1369,if(B1369&lt;60,1,2),""),"")</f>
        <v/>
      </c>
      <c r="I1369" s="12">
        <f>if($A1369&lt;&gt;"",if(C1369&gt;B1369,if(C1369&lt;60,1,2),""),"")</f>
        <v/>
      </c>
      <c r="J1369" s="9">
        <f>if($A1369&lt;&gt;"",J1368+H1369,"")</f>
        <v/>
      </c>
      <c r="K1369" s="9">
        <f>if($A1369&lt;&gt;"",K1368+I1369,"")</f>
        <v/>
      </c>
      <c r="L1369" s="11">
        <f>IF($A1369&lt;&gt;"",IF(K1369-J1369=0,"tie",IF(K1369-J1369&gt;0,"+"&amp;K1369-J1369,"+"&amp;J1369-K1369)),"")</f>
        <v/>
      </c>
      <c r="M1369" s="20" t="n"/>
      <c r="N1369" s="20" t="n"/>
      <c r="O1369" s="20" t="n"/>
      <c r="P1369" s="20" t="n"/>
      <c r="Q1369" s="20" t="n"/>
      <c r="R1369" s="20" t="n"/>
      <c r="S1369" s="20" t="n"/>
    </row>
    <row r="1370">
      <c r="A1370" s="15" t="n">
        <v>46103</v>
      </c>
      <c r="B1370" s="20" t="n">
        <v>35</v>
      </c>
      <c r="C1370" s="20" t="n">
        <v>23</v>
      </c>
      <c r="D1370" s="17" t="inlineStr">
        <is>
          <t>Zinque, Venice</t>
        </is>
      </c>
      <c r="E1370" s="9">
        <f>if($A1370&lt;&gt;"",E1369+B1370,"")</f>
        <v/>
      </c>
      <c r="F1370" s="9">
        <f>if($A1370&lt;&gt;"",F1369+C1370,"")</f>
        <v/>
      </c>
      <c r="G1370" s="11">
        <f>IF($A1370&lt;&gt;"",IF(F1370-E1370=0,"tie",IF(F1370-E1370&gt;0,"+"&amp;F1370-E1370,"+"&amp;E1370-F1370)),"")</f>
        <v/>
      </c>
      <c r="H1370" s="12">
        <f>if($A1370&lt;&gt;"",if(B1370&gt;C1370,if(B1370&lt;60,1,2),""),"")</f>
        <v/>
      </c>
      <c r="I1370" s="12">
        <f>if($A1370&lt;&gt;"",if(C1370&gt;B1370,if(C1370&lt;60,1,2),""),"")</f>
        <v/>
      </c>
      <c r="J1370" s="9">
        <f>if($A1370&lt;&gt;"",J1369+H1370,"")</f>
        <v/>
      </c>
      <c r="K1370" s="9">
        <f>if($A1370&lt;&gt;"",K1369+I1370,"")</f>
        <v/>
      </c>
      <c r="L1370" s="11">
        <f>IF($A1370&lt;&gt;"",IF(K1370-J1370=0,"tie",IF(K1370-J1370&gt;0,"+"&amp;K1370-J1370,"+"&amp;J1370-K1370)),"")</f>
        <v/>
      </c>
      <c r="M1370" s="20" t="n"/>
      <c r="N1370" s="20" t="n"/>
      <c r="O1370" s="20" t="n"/>
      <c r="P1370" s="20" t="n"/>
      <c r="Q1370" s="20" t="n"/>
      <c r="R1370" s="20" t="n"/>
      <c r="S1370" s="20" t="n"/>
    </row>
    <row r="1371">
      <c r="A1371" s="15" t="n">
        <v>46105</v>
      </c>
      <c r="B1371" s="20" t="n">
        <v>66</v>
      </c>
      <c r="C1371" s="20" t="n">
        <v>52</v>
      </c>
      <c r="D1371" s="17" t="inlineStr">
        <is>
          <t>Preston Way</t>
        </is>
      </c>
      <c r="E1371" s="9">
        <f>if($A1371&lt;&gt;"",E1370+B1371,"")</f>
        <v/>
      </c>
      <c r="F1371" s="9">
        <f>if($A1371&lt;&gt;"",F1370+C1371,"")</f>
        <v/>
      </c>
      <c r="G1371" s="11">
        <f>IF($A1371&lt;&gt;"",IF(F1371-E1371=0,"tie",IF(F1371-E1371&gt;0,"+"&amp;F1371-E1371,"+"&amp;E1371-F1371)),"")</f>
        <v/>
      </c>
      <c r="H1371" s="12">
        <f>if($A1371&lt;&gt;"",if(B1371&gt;C1371,if(B1371&lt;60,1,2),""),"")</f>
        <v/>
      </c>
      <c r="I1371" s="12">
        <f>if($A1371&lt;&gt;"",if(C1371&gt;B1371,if(C1371&lt;60,1,2),""),"")</f>
        <v/>
      </c>
      <c r="J1371" s="9">
        <f>if($A1371&lt;&gt;"",J1370+H1371,"")</f>
        <v/>
      </c>
      <c r="K1371" s="9">
        <f>if($A1371&lt;&gt;"",K1370+I1371,"")</f>
        <v/>
      </c>
      <c r="L1371" s="11">
        <f>IF($A1371&lt;&gt;"",IF(K1371-J1371=0,"tie",IF(K1371-J1371&gt;0,"+"&amp;K1371-J1371,"+"&amp;J1371-K1371)),"")</f>
        <v/>
      </c>
      <c r="M1371" s="20" t="n"/>
      <c r="N1371" s="20" t="n"/>
      <c r="O1371" s="20" t="n"/>
      <c r="P1371" s="20" t="n"/>
      <c r="Q1371" s="20" t="n"/>
      <c r="R1371" s="20" t="n"/>
      <c r="S1371" s="20" t="n"/>
    </row>
    <row r="1372">
      <c r="A1372" s="15" t="n">
        <v>46107</v>
      </c>
      <c r="B1372" s="20" t="n">
        <v>34</v>
      </c>
      <c r="C1372" s="20" t="n">
        <v>35</v>
      </c>
      <c r="D1372" s="17" t="inlineStr">
        <is>
          <t>Hamburger Habit</t>
        </is>
      </c>
      <c r="E1372" s="9">
        <f>if($A1372&lt;&gt;"",E1371+B1372,"")</f>
        <v/>
      </c>
      <c r="F1372" s="9">
        <f>if($A1372&lt;&gt;"",F1371+C1372,"")</f>
        <v/>
      </c>
      <c r="G1372" s="11">
        <f>IF($A1372&lt;&gt;"",IF(F1372-E1372=0,"tie",IF(F1372-E1372&gt;0,"+"&amp;F1372-E1372,"+"&amp;E1372-F1372)),"")</f>
        <v/>
      </c>
      <c r="H1372" s="12">
        <f>if($A1372&lt;&gt;"",if(B1372&gt;C1372,if(B1372&lt;60,1,2),""),"")</f>
        <v/>
      </c>
      <c r="I1372" s="12">
        <f>if($A1372&lt;&gt;"",if(C1372&gt;B1372,if(C1372&lt;60,1,2),""),"")</f>
        <v/>
      </c>
      <c r="J1372" s="9">
        <f>if($A1372&lt;&gt;"",J1371+H1372,"")</f>
        <v/>
      </c>
      <c r="K1372" s="9">
        <f>if($A1372&lt;&gt;"",K1371+I1372,"")</f>
        <v/>
      </c>
      <c r="L1372" s="11">
        <f>IF($A1372&lt;&gt;"",IF(K1372-J1372=0,"tie",IF(K1372-J1372&gt;0,"+"&amp;K1372-J1372,"+"&amp;J1372-K1372)),"")</f>
        <v/>
      </c>
      <c r="M1372" s="20" t="n"/>
      <c r="N1372" s="20" t="n"/>
      <c r="O1372" s="20" t="n"/>
      <c r="P1372" s="20" t="n"/>
      <c r="Q1372" s="20" t="n"/>
      <c r="R1372" s="20" t="n"/>
      <c r="S1372" s="20" t="n"/>
    </row>
    <row r="1373">
      <c r="A1373" s="15" t="n">
        <v>46108</v>
      </c>
      <c r="B1373" s="20" t="n">
        <v>37</v>
      </c>
      <c r="C1373" s="20" t="n">
        <v>28</v>
      </c>
      <c r="D1373" s="17" t="inlineStr">
        <is>
          <t>Preston Way</t>
        </is>
      </c>
      <c r="E1373" s="9">
        <f>if($A1373&lt;&gt;"",E1372+B1373,"")</f>
        <v/>
      </c>
      <c r="F1373" s="9">
        <f>if($A1373&lt;&gt;"",F1372+C1373,"")</f>
        <v/>
      </c>
      <c r="G1373" s="11">
        <f>IF($A1373&lt;&gt;"",IF(F1373-E1373=0,"tie",IF(F1373-E1373&gt;0,"+"&amp;F1373-E1373,"+"&amp;E1373-F1373)),"")</f>
        <v/>
      </c>
      <c r="H1373" s="12">
        <f>if($A1373&lt;&gt;"",if(B1373&gt;C1373,if(B1373&lt;60,1,2),""),"")</f>
        <v/>
      </c>
      <c r="I1373" s="12">
        <f>if($A1373&lt;&gt;"",if(C1373&gt;B1373,if(C1373&lt;60,1,2),""),"")</f>
        <v/>
      </c>
      <c r="J1373" s="9">
        <f>if($A1373&lt;&gt;"",J1372+H1373,"")</f>
        <v/>
      </c>
      <c r="K1373" s="9">
        <f>if($A1373&lt;&gt;"",K1372+I1373,"")</f>
        <v/>
      </c>
      <c r="L1373" s="11">
        <f>IF($A1373&lt;&gt;"",IF(K1373-J1373=0,"tie",IF(K1373-J1373&gt;0,"+"&amp;K1373-J1373,"+"&amp;J1373-K1373)),"")</f>
        <v/>
      </c>
      <c r="M1373" s="20" t="n"/>
      <c r="N1373" s="20" t="n"/>
      <c r="O1373" s="20" t="n"/>
      <c r="P1373" s="20" t="n"/>
      <c r="Q1373" s="20" t="n"/>
      <c r="R1373" s="20" t="n"/>
      <c r="S1373" s="20" t="n"/>
    </row>
    <row r="1374">
      <c r="A1374" s="15" t="n">
        <v>46109</v>
      </c>
      <c r="B1374" s="20" t="n">
        <v>63</v>
      </c>
      <c r="C1374" s="20" t="n">
        <v>66</v>
      </c>
      <c r="D1374" s="17" t="inlineStr">
        <is>
          <t>Venice Beach Club, @Rose</t>
        </is>
      </c>
      <c r="E1374" s="9">
        <f>if($A1374&lt;&gt;"",E1373+B1374,"")</f>
        <v/>
      </c>
      <c r="F1374" s="9">
        <f>if($A1374&lt;&gt;"",F1373+C1374,"")</f>
        <v/>
      </c>
      <c r="G1374" s="11">
        <f>IF($A1374&lt;&gt;"",IF(F1374-E1374=0,"tie",IF(F1374-E1374&gt;0,"+"&amp;F1374-E1374,"+"&amp;E1374-F1374)),"")</f>
        <v/>
      </c>
      <c r="H1374" s="12">
        <f>if($A1374&lt;&gt;"",if(B1374&gt;C1374,if(B1374&lt;60,1,2),""),"")</f>
        <v/>
      </c>
      <c r="I1374" s="12">
        <f>if($A1374&lt;&gt;"",if(C1374&gt;B1374,if(C1374&lt;60,1,2),""),"")</f>
        <v/>
      </c>
      <c r="J1374" s="9">
        <f>if($A1374&lt;&gt;"",J1373+H1374,"")</f>
        <v/>
      </c>
      <c r="K1374" s="9">
        <f>if($A1374&lt;&gt;"",K1373+I1374,"")</f>
        <v/>
      </c>
      <c r="L1374" s="11">
        <f>IF($A1374&lt;&gt;"",IF(K1374-J1374=0,"tie",IF(K1374-J1374&gt;0,"+"&amp;K1374-J1374,"+"&amp;J1374-K1374)),"")</f>
        <v/>
      </c>
      <c r="M1374" s="20" t="n"/>
      <c r="N1374" s="20" t="n"/>
      <c r="O1374" s="20" t="n"/>
      <c r="P1374" s="20" t="n"/>
      <c r="Q1374" s="20" t="n"/>
      <c r="R1374" s="20" t="n"/>
      <c r="S1374" s="20" t="n"/>
    </row>
    <row r="1375">
      <c r="A1375" s="15" t="n">
        <v>46110</v>
      </c>
      <c r="B1375" s="20" t="n">
        <v>31</v>
      </c>
      <c r="C1375" s="20" t="n">
        <v>29</v>
      </c>
      <c r="D1375" s="17" t="inlineStr">
        <is>
          <t>Zinque, Venice</t>
        </is>
      </c>
      <c r="E1375" s="9">
        <f>if($A1375&lt;&gt;"",E1374+B1375,"")</f>
        <v/>
      </c>
      <c r="F1375" s="9">
        <f>if($A1375&lt;&gt;"",F1374+C1375,"")</f>
        <v/>
      </c>
      <c r="G1375" s="11">
        <f>IF($A1375&lt;&gt;"",IF(F1375-E1375=0,"tie",IF(F1375-E1375&gt;0,"+"&amp;F1375-E1375,"+"&amp;E1375-F1375)),"")</f>
        <v/>
      </c>
      <c r="H1375" s="12">
        <f>if($A1375&lt;&gt;"",if(B1375&gt;C1375,if(B1375&lt;60,1,2),""),"")</f>
        <v/>
      </c>
      <c r="I1375" s="12">
        <f>if($A1375&lt;&gt;"",if(C1375&gt;B1375,if(C1375&lt;60,1,2),""),"")</f>
        <v/>
      </c>
      <c r="J1375" s="9">
        <f>if($A1375&lt;&gt;"",J1374+H1375,"")</f>
        <v/>
      </c>
      <c r="K1375" s="9">
        <f>if($A1375&lt;&gt;"",K1374+I1375,"")</f>
        <v/>
      </c>
      <c r="L1375" s="11">
        <f>IF($A1375&lt;&gt;"",IF(K1375-J1375=0,"tie",IF(K1375-J1375&gt;0,"+"&amp;K1375-J1375,"+"&amp;J1375-K1375)),"")</f>
        <v/>
      </c>
      <c r="M1375" s="20" t="n"/>
      <c r="N1375" s="20" t="n"/>
      <c r="O1375" s="20" t="n"/>
      <c r="P1375" s="20" t="n"/>
      <c r="Q1375" s="20" t="n"/>
      <c r="R1375" s="20" t="n"/>
      <c r="S1375" s="20" t="n"/>
    </row>
    <row r="1376">
      <c r="A1376" s="15" t="n">
        <v>46111</v>
      </c>
      <c r="B1376" s="20" t="n">
        <v>27</v>
      </c>
      <c r="C1376" s="20" t="n">
        <v>33</v>
      </c>
      <c r="D1376" s="17" t="inlineStr">
        <is>
          <t>Flake, Venice</t>
        </is>
      </c>
      <c r="E1376" s="9">
        <f>if($A1376&lt;&gt;"",E1375+B1376,"")</f>
        <v/>
      </c>
      <c r="F1376" s="9">
        <f>if($A1376&lt;&gt;"",F1375+C1376,"")</f>
        <v/>
      </c>
      <c r="G1376" s="11">
        <f>IF($A1376&lt;&gt;"",IF(F1376-E1376=0,"tie",IF(F1376-E1376&gt;0,"+"&amp;F1376-E1376,"+"&amp;E1376-F1376)),"")</f>
        <v/>
      </c>
      <c r="H1376" s="12">
        <f>if($A1376&lt;&gt;"",if(B1376&gt;C1376,if(B1376&lt;60,1,2),""),"")</f>
        <v/>
      </c>
      <c r="I1376" s="12">
        <f>if($A1376&lt;&gt;"",if(C1376&gt;B1376,if(C1376&lt;60,1,2),""),"")</f>
        <v/>
      </c>
      <c r="J1376" s="9">
        <f>if($A1376&lt;&gt;"",J1375+H1376,"")</f>
        <v/>
      </c>
      <c r="K1376" s="9">
        <f>if($A1376&lt;&gt;"",K1375+I1376,"")</f>
        <v/>
      </c>
      <c r="L1376" s="11">
        <f>IF($A1376&lt;&gt;"",IF(K1376-J1376=0,"tie",IF(K1376-J1376&gt;0,"+"&amp;K1376-J1376,"+"&amp;J1376-K1376)),"")</f>
        <v/>
      </c>
      <c r="M1376" s="20" t="n"/>
      <c r="N1376" s="20" t="n"/>
      <c r="O1376" s="20" t="n"/>
      <c r="P1376" s="20" t="n"/>
      <c r="Q1376" s="20" t="n"/>
      <c r="R1376" s="20" t="n"/>
      <c r="S1376" s="20" t="n"/>
    </row>
    <row r="1377">
      <c r="A1377" s="15" t="n">
        <v>46114</v>
      </c>
      <c r="B1377" s="20" t="n">
        <v>33</v>
      </c>
      <c r="C1377" s="20" t="n">
        <v>28</v>
      </c>
      <c r="D1377" s="17" t="inlineStr">
        <is>
          <t>Urban Plates</t>
        </is>
      </c>
      <c r="E1377" s="9">
        <f>if($A1377&lt;&gt;"",E1376+B1377,"")</f>
        <v/>
      </c>
      <c r="F1377" s="9">
        <f>if($A1377&lt;&gt;"",F1376+C1377,"")</f>
        <v/>
      </c>
      <c r="G1377" s="11">
        <f>IF($A1377&lt;&gt;"",IF(F1377-E1377=0,"tie",IF(F1377-E1377&gt;0,"+"&amp;F1377-E1377,"+"&amp;E1377-F1377)),"")</f>
        <v/>
      </c>
      <c r="H1377" s="12">
        <f>if($A1377&lt;&gt;"",if(B1377&gt;C1377,if(B1377&lt;60,1,2),""),"")</f>
        <v/>
      </c>
      <c r="I1377" s="12">
        <f>if($A1377&lt;&gt;"",if(C1377&gt;B1377,if(C1377&lt;60,1,2),""),"")</f>
        <v/>
      </c>
      <c r="J1377" s="9">
        <f>if($A1377&lt;&gt;"",J1376+H1377,"")</f>
        <v/>
      </c>
      <c r="K1377" s="9">
        <f>if($A1377&lt;&gt;"",K1376+I1377,"")</f>
        <v/>
      </c>
      <c r="L1377" s="11">
        <f>IF($A1377&lt;&gt;"",IF(K1377-J1377=0,"tie",IF(K1377-J1377&gt;0,"+"&amp;K1377-J1377,"+"&amp;J1377-K1377)),"")</f>
        <v/>
      </c>
      <c r="M1377" s="20" t="n"/>
      <c r="N1377" s="20" t="n"/>
      <c r="O1377" s="20" t="n"/>
      <c r="P1377" s="20" t="n"/>
      <c r="Q1377" s="20" t="n"/>
      <c r="R1377" s="20" t="n"/>
      <c r="S1377" s="20" t="n"/>
    </row>
    <row r="1378">
      <c r="A1378" s="15" t="n">
        <v>46115</v>
      </c>
      <c r="B1378" s="20" t="n">
        <v>27</v>
      </c>
      <c r="C1378" s="20" t="n">
        <v>33</v>
      </c>
      <c r="D1378" s="17" t="inlineStr">
        <is>
          <t>Preston Way</t>
        </is>
      </c>
      <c r="E1378" s="9">
        <f>if($A1378&lt;&gt;"",E1377+B1378,"")</f>
        <v/>
      </c>
      <c r="F1378" s="9">
        <f>if($A1378&lt;&gt;"",F1377+C1378,"")</f>
        <v/>
      </c>
      <c r="G1378" s="11">
        <f>IF($A1378&lt;&gt;"",IF(F1378-E1378=0,"tie",IF(F1378-E1378&gt;0,"+"&amp;F1378-E1378,"+"&amp;E1378-F1378)),"")</f>
        <v/>
      </c>
      <c r="H1378" s="12">
        <f>if($A1378&lt;&gt;"",if(B1378&gt;C1378,if(B1378&lt;60,1,2),""),"")</f>
        <v/>
      </c>
      <c r="I1378" s="12">
        <f>if($A1378&lt;&gt;"",if(C1378&gt;B1378,if(C1378&lt;60,1,2),""),"")</f>
        <v/>
      </c>
      <c r="J1378" s="9">
        <f>if($A1378&lt;&gt;"",J1377+H1378,"")</f>
        <v/>
      </c>
      <c r="K1378" s="9">
        <f>if($A1378&lt;&gt;"",K1377+I1378,"")</f>
        <v/>
      </c>
      <c r="L1378" s="11">
        <f>IF($A1378&lt;&gt;"",IF(K1378-J1378=0,"tie",IF(K1378-J1378&gt;0,"+"&amp;K1378-J1378,"+"&amp;J1378-K1378)),"")</f>
        <v/>
      </c>
      <c r="M1378" s="20" t="n"/>
      <c r="N1378" s="20" t="n"/>
      <c r="O1378" s="20" t="n"/>
      <c r="P1378" s="20" t="n"/>
      <c r="Q1378" s="20" t="n"/>
      <c r="R1378" s="20" t="n"/>
      <c r="S1378" s="20" t="n"/>
    </row>
    <row r="1379">
      <c r="A1379" s="15" t="n">
        <v>46115</v>
      </c>
      <c r="B1379" s="20" t="n">
        <v>75</v>
      </c>
      <c r="C1379" s="20" t="n">
        <v>69</v>
      </c>
      <c r="D1379" s="17" t="inlineStr">
        <is>
          <t>Pasta Sisters, Culver City</t>
        </is>
      </c>
      <c r="E1379" s="9">
        <f>if($A1379&lt;&gt;"",E1378+B1379,"")</f>
        <v/>
      </c>
      <c r="F1379" s="9">
        <f>if($A1379&lt;&gt;"",F1378+C1379,"")</f>
        <v/>
      </c>
      <c r="G1379" s="11">
        <f>IF($A1379&lt;&gt;"",IF(F1379-E1379=0,"tie",IF(F1379-E1379&gt;0,"+"&amp;F1379-E1379,"+"&amp;E1379-F1379)),"")</f>
        <v/>
      </c>
      <c r="H1379" s="12">
        <f>if($A1379&lt;&gt;"",if(B1379&gt;C1379,if(B1379&lt;60,1,2),""),"")</f>
        <v/>
      </c>
      <c r="I1379" s="12">
        <f>if($A1379&lt;&gt;"",if(C1379&gt;B1379,if(C1379&lt;60,1,2),""),"")</f>
        <v/>
      </c>
      <c r="J1379" s="9">
        <f>if($A1379&lt;&gt;"",J1378+H1379,"")</f>
        <v/>
      </c>
      <c r="K1379" s="9">
        <f>if($A1379&lt;&gt;"",K1378+I1379,"")</f>
        <v/>
      </c>
      <c r="L1379" s="11">
        <f>IF($A1379&lt;&gt;"",IF(K1379-J1379=0,"tie",IF(K1379-J1379&gt;0,"+"&amp;K1379-J1379,"+"&amp;J1379-K1379)),"")</f>
        <v/>
      </c>
      <c r="M1379" s="20" t="n"/>
      <c r="N1379" s="20" t="n"/>
      <c r="O1379" s="20" t="n"/>
      <c r="P1379" s="20" t="n"/>
      <c r="Q1379" s="20" t="n"/>
      <c r="R1379" s="20" t="n"/>
      <c r="S1379" s="20" t="n"/>
    </row>
    <row r="1380">
      <c r="A1380" s="15" t="n">
        <v>46117</v>
      </c>
      <c r="B1380" s="20" t="n">
        <v>21</v>
      </c>
      <c r="C1380" s="20" t="n">
        <v>34</v>
      </c>
      <c r="D1380" s="17" t="inlineStr">
        <is>
          <t>Preston Way</t>
        </is>
      </c>
      <c r="E1380" s="9">
        <f>if($A1380&lt;&gt;"",E1379+B1380,"")</f>
        <v/>
      </c>
      <c r="F1380" s="9">
        <f>if($A1380&lt;&gt;"",F1379+C1380,"")</f>
        <v/>
      </c>
      <c r="G1380" s="11">
        <f>IF($A1380&lt;&gt;"",IF(F1380-E1380=0,"tie",IF(F1380-E1380&gt;0,"+"&amp;F1380-E1380,"+"&amp;E1380-F1380)),"")</f>
        <v/>
      </c>
      <c r="H1380" s="12">
        <f>if($A1380&lt;&gt;"",if(B1380&gt;C1380,if(B1380&lt;60,1,2),""),"")</f>
        <v/>
      </c>
      <c r="I1380" s="12">
        <f>if($A1380&lt;&gt;"",if(C1380&gt;B1380,if(C1380&lt;60,1,2),""),"")</f>
        <v/>
      </c>
      <c r="J1380" s="9">
        <f>if($A1380&lt;&gt;"",J1379+H1380,"")</f>
        <v/>
      </c>
      <c r="K1380" s="9">
        <f>if($A1380&lt;&gt;"",K1379+I1380,"")</f>
        <v/>
      </c>
      <c r="L1380" s="11">
        <f>IF($A1380&lt;&gt;"",IF(K1380-J1380=0,"tie",IF(K1380-J1380&gt;0,"+"&amp;K1380-J1380,"+"&amp;J1380-K1380)),"")</f>
        <v/>
      </c>
      <c r="M1380" s="20" t="n"/>
      <c r="N1380" s="20" t="n"/>
      <c r="O1380" s="20" t="n"/>
      <c r="P1380" s="20" t="n"/>
      <c r="Q1380" s="20" t="n"/>
      <c r="R1380" s="20" t="n"/>
      <c r="S1380" s="20" t="n"/>
    </row>
    <row r="1381">
      <c r="A1381" s="15" t="n">
        <v>46119</v>
      </c>
      <c r="B1381" s="20" t="n">
        <v>27</v>
      </c>
      <c r="C1381" s="20" t="n">
        <v>32</v>
      </c>
      <c r="D1381" s="17" t="inlineStr">
        <is>
          <t>Centinella Café, Culver City</t>
        </is>
      </c>
      <c r="E1381" s="9">
        <f>if($A1381&lt;&gt;"",E1380+B1381,"")</f>
        <v/>
      </c>
      <c r="F1381" s="9">
        <f>if($A1381&lt;&gt;"",F1380+C1381,"")</f>
        <v/>
      </c>
      <c r="G1381" s="11">
        <f>IF($A1381&lt;&gt;"",IF(F1381-E1381=0,"tie",IF(F1381-E1381&gt;0,"+"&amp;F1381-E1381,"+"&amp;E1381-F1381)),"")</f>
        <v/>
      </c>
      <c r="H1381" s="12">
        <f>if($A1381&lt;&gt;"",if(B1381&gt;C1381,if(B1381&lt;60,1,2),""),"")</f>
        <v/>
      </c>
      <c r="I1381" s="12">
        <f>if($A1381&lt;&gt;"",if(C1381&gt;B1381,if(C1381&lt;60,1,2),""),"")</f>
        <v/>
      </c>
      <c r="J1381" s="9">
        <f>if($A1381&lt;&gt;"",J1380+H1381,"")</f>
        <v/>
      </c>
      <c r="K1381" s="9">
        <f>if($A1381&lt;&gt;"",K1380+I1381,"")</f>
        <v/>
      </c>
      <c r="L1381" s="11">
        <f>IF($A1381&lt;&gt;"",IF(K1381-J1381=0,"tie",IF(K1381-J1381&gt;0,"+"&amp;K1381-J1381,"+"&amp;J1381-K1381)),"")</f>
        <v/>
      </c>
      <c r="M1381" s="20" t="n"/>
      <c r="N1381" s="20" t="n"/>
      <c r="O1381" s="20" t="n"/>
      <c r="P1381" s="20" t="n"/>
      <c r="Q1381" s="20" t="n"/>
      <c r="R1381" s="20" t="n"/>
      <c r="S1381" s="20" t="n"/>
    </row>
    <row r="1382">
      <c r="A1382" s="15" t="n">
        <v>46122</v>
      </c>
      <c r="B1382" s="20" t="n">
        <v>31</v>
      </c>
      <c r="C1382" s="20" t="n">
        <v>45</v>
      </c>
      <c r="D1382" s="17" t="inlineStr">
        <is>
          <t>Malibu</t>
        </is>
      </c>
      <c r="E1382" s="9">
        <f>if($A1382&lt;&gt;"",E1381+B1382,"")</f>
        <v/>
      </c>
      <c r="F1382" s="9">
        <f>if($A1382&lt;&gt;"",F1381+C1382,"")</f>
        <v/>
      </c>
      <c r="G1382" s="11">
        <f>IF($A1382&lt;&gt;"",IF(F1382-E1382=0,"tie",IF(F1382-E1382&gt;0,"+"&amp;F1382-E1382,"+"&amp;E1382-F1382)),"")</f>
        <v/>
      </c>
      <c r="H1382" s="12">
        <f>if($A1382&lt;&gt;"",if(B1382&gt;C1382,if(B1382&lt;60,1,2),""),"")</f>
        <v/>
      </c>
      <c r="I1382" s="12">
        <f>if($A1382&lt;&gt;"",if(C1382&gt;B1382,if(C1382&lt;60,1,2),""),"")</f>
        <v/>
      </c>
      <c r="J1382" s="9">
        <f>if($A1382&lt;&gt;"",J1381+H1382,"")</f>
        <v/>
      </c>
      <c r="K1382" s="9">
        <f>if($A1382&lt;&gt;"",K1381+I1382,"")</f>
        <v/>
      </c>
      <c r="L1382" s="11">
        <f>IF($A1382&lt;&gt;"",IF(K1382-J1382=0,"tie",IF(K1382-J1382&gt;0,"+"&amp;K1382-J1382,"+"&amp;J1382-K1382)),"")</f>
        <v/>
      </c>
      <c r="M1382" s="20" t="n"/>
      <c r="N1382" s="20" t="n"/>
      <c r="O1382" s="20" t="n"/>
      <c r="P1382" s="20" t="n"/>
      <c r="Q1382" s="20" t="n"/>
      <c r="R1382" s="20" t="n"/>
      <c r="S1382" s="20" t="n"/>
    </row>
    <row r="1383">
      <c r="A1383" s="15" t="n">
        <v>46123</v>
      </c>
      <c r="B1383" s="20" t="n">
        <v>36</v>
      </c>
      <c r="C1383" s="20" t="n">
        <v>21</v>
      </c>
      <c r="D1383" s="17" t="inlineStr">
        <is>
          <t>Brass Bird Cafe, Carpinteria</t>
        </is>
      </c>
      <c r="E1383" s="9">
        <f>if($A1383&lt;&gt;"",E1382+B1383,"")</f>
        <v/>
      </c>
      <c r="F1383" s="9">
        <f>if($A1383&lt;&gt;"",F1382+C1383,"")</f>
        <v/>
      </c>
      <c r="G1383" s="11">
        <f>IF($A1383&lt;&gt;"",IF(F1383-E1383=0,"tie",IF(F1383-E1383&gt;0,"+"&amp;F1383-E1383,"+"&amp;E1383-F1383)),"")</f>
        <v/>
      </c>
      <c r="H1383" s="12">
        <f>if($A1383&lt;&gt;"",if(B1383&gt;C1383,if(B1383&lt;60,1,2),""),"")</f>
        <v/>
      </c>
      <c r="I1383" s="12">
        <f>if($A1383&lt;&gt;"",if(C1383&gt;B1383,if(C1383&lt;60,1,2),""),"")</f>
        <v/>
      </c>
      <c r="J1383" s="9">
        <f>if($A1383&lt;&gt;"",J1382+H1383,"")</f>
        <v/>
      </c>
      <c r="K1383" s="9">
        <f>if($A1383&lt;&gt;"",K1382+I1383,"")</f>
        <v/>
      </c>
      <c r="L1383" s="11">
        <f>IF($A1383&lt;&gt;"",IF(K1383-J1383=0,"tie",IF(K1383-J1383&gt;0,"+"&amp;K1383-J1383,"+"&amp;J1383-K1383)),"")</f>
        <v/>
      </c>
      <c r="M1383" s="20" t="n"/>
      <c r="N1383" s="20" t="n"/>
      <c r="O1383" s="20" t="n"/>
      <c r="P1383" s="20" t="n"/>
      <c r="Q1383" s="20" t="n"/>
      <c r="R1383" s="20" t="n"/>
      <c r="S1383" s="20" t="n"/>
    </row>
    <row r="1384">
      <c r="A1384" s="15" t="n">
        <v>46123</v>
      </c>
      <c r="B1384" s="20" t="n">
        <v>64</v>
      </c>
      <c r="C1384" s="20" t="n">
        <v>43</v>
      </c>
      <c r="D1384" s="17" t="inlineStr">
        <is>
          <t>The Spot, Carpinteria</t>
        </is>
      </c>
      <c r="E1384" s="9">
        <f>if($A1384&lt;&gt;"",E1383+B1384,"")</f>
        <v/>
      </c>
      <c r="F1384" s="9">
        <f>if($A1384&lt;&gt;"",F1383+C1384,"")</f>
        <v/>
      </c>
      <c r="G1384" s="11">
        <f>IF($A1384&lt;&gt;"",IF(F1384-E1384=0,"tie",IF(F1384-E1384&gt;0,"+"&amp;F1384-E1384,"+"&amp;E1384-F1384)),"")</f>
        <v/>
      </c>
      <c r="H1384" s="12">
        <f>if($A1384&lt;&gt;"",if(B1384&gt;C1384,if(B1384&lt;60,1,2),""),"")</f>
        <v/>
      </c>
      <c r="I1384" s="12">
        <f>if($A1384&lt;&gt;"",if(C1384&gt;B1384,if(C1384&lt;60,1,2),""),"")</f>
        <v/>
      </c>
      <c r="J1384" s="9">
        <f>if($A1384&lt;&gt;"",J1383+H1384,"")</f>
        <v/>
      </c>
      <c r="K1384" s="9">
        <f>if($A1384&lt;&gt;"",K1383+I1384,"")</f>
        <v/>
      </c>
      <c r="L1384" s="11">
        <f>IF($A1384&lt;&gt;"",IF(K1384-J1384=0,"tie",IF(K1384-J1384&gt;0,"+"&amp;K1384-J1384,"+"&amp;J1384-K1384)),"")</f>
        <v/>
      </c>
      <c r="M1384" s="20" t="n"/>
      <c r="N1384" s="20" t="n"/>
      <c r="O1384" s="20" t="n"/>
      <c r="P1384" s="20" t="n"/>
      <c r="Q1384" s="20" t="n"/>
      <c r="R1384" s="20" t="n"/>
      <c r="S1384" s="20" t="n"/>
    </row>
    <row r="1385">
      <c r="A1385" s="15" t="n">
        <v>46124</v>
      </c>
      <c r="B1385" s="20" t="n">
        <v>33</v>
      </c>
      <c r="C1385" s="20" t="n">
        <v>23</v>
      </c>
      <c r="D1385" s="17" t="inlineStr">
        <is>
          <t>Esau's, Carpinteria</t>
        </is>
      </c>
      <c r="E1385" s="9">
        <f>if($A1385&lt;&gt;"",E1384+B1385,"")</f>
        <v/>
      </c>
      <c r="F1385" s="9">
        <f>if($A1385&lt;&gt;"",F1384+C1385,"")</f>
        <v/>
      </c>
      <c r="G1385" s="11">
        <f>IF($A1385&lt;&gt;"",IF(F1385-E1385=0,"tie",IF(F1385-E1385&gt;0,"+"&amp;F1385-E1385,"+"&amp;E1385-F1385)),"")</f>
        <v/>
      </c>
      <c r="H1385" s="12">
        <f>if($A1385&lt;&gt;"",if(B1385&gt;C1385,if(B1385&lt;60,1,2),""),"")</f>
        <v/>
      </c>
      <c r="I1385" s="12">
        <f>if($A1385&lt;&gt;"",if(C1385&gt;B1385,if(C1385&lt;60,1,2),""),"")</f>
        <v/>
      </c>
      <c r="J1385" s="9">
        <f>if($A1385&lt;&gt;"",J1384+H1385,"")</f>
        <v/>
      </c>
      <c r="K1385" s="9">
        <f>if($A1385&lt;&gt;"",K1384+I1385,"")</f>
        <v/>
      </c>
      <c r="L1385" s="11">
        <f>IF($A1385&lt;&gt;"",IF(K1385-J1385=0,"tie",IF(K1385-J1385&gt;0,"+"&amp;K1385-J1385,"+"&amp;J1385-K1385)),"")</f>
        <v/>
      </c>
      <c r="M1385" s="17" t="n"/>
      <c r="N1385" s="17" t="n"/>
      <c r="O1385" s="17" t="n"/>
      <c r="P1385" s="17" t="n"/>
      <c r="Q1385" s="17" t="n"/>
      <c r="R1385" s="17" t="n"/>
      <c r="S1385" s="17" t="n"/>
    </row>
    <row r="1386">
      <c r="A1386" s="15" t="n">
        <v>46125</v>
      </c>
      <c r="B1386" s="20" t="n">
        <v>16</v>
      </c>
      <c r="C1386" s="20" t="n">
        <v>32</v>
      </c>
      <c r="D1386" s="17" t="inlineStr">
        <is>
          <t>Preston Way</t>
        </is>
      </c>
      <c r="E1386" s="9">
        <f>if($A1386&lt;&gt;"",E1385+B1386,"")</f>
        <v/>
      </c>
      <c r="F1386" s="9">
        <f>if($A1386&lt;&gt;"",F1385+C1386,"")</f>
        <v/>
      </c>
      <c r="G1386" s="11">
        <f>IF($A1386&lt;&gt;"",IF(F1386-E1386=0,"tie",IF(F1386-E1386&gt;0,"+"&amp;F1386-E1386,"+"&amp;E1386-F1386)),"")</f>
        <v/>
      </c>
      <c r="H1386" s="12">
        <f>if($A1386&lt;&gt;"",if(B1386&gt;C1386,if(B1386&lt;60,1,2),""),"")</f>
        <v/>
      </c>
      <c r="I1386" s="12">
        <f>if($A1386&lt;&gt;"",if(C1386&gt;B1386,if(C1386&lt;60,1,2),""),"")</f>
        <v/>
      </c>
      <c r="J1386" s="9">
        <f>if($A1386&lt;&gt;"",J1385+H1386,"")</f>
        <v/>
      </c>
      <c r="K1386" s="9">
        <f>if($A1386&lt;&gt;"",K1385+I1386,"")</f>
        <v/>
      </c>
      <c r="L1386" s="11">
        <f>IF($A1386&lt;&gt;"",IF(K1386-J1386=0,"tie",IF(K1386-J1386&gt;0,"+"&amp;K1386-J1386,"+"&amp;J1386-K1386)),"")</f>
        <v/>
      </c>
      <c r="M1386" s="17" t="n"/>
      <c r="N1386" s="17" t="n"/>
      <c r="O1386" s="17" t="n"/>
      <c r="P1386" s="17" t="n"/>
      <c r="Q1386" s="17" t="n"/>
      <c r="R1386" s="17" t="n"/>
      <c r="S1386" s="17" t="n"/>
    </row>
    <row r="1387">
      <c r="A1387" s="15" t="n">
        <v>46125</v>
      </c>
      <c r="B1387" s="20" t="n">
        <v>32</v>
      </c>
      <c r="C1387" s="20" t="n">
        <v>20</v>
      </c>
      <c r="D1387" s="17" t="inlineStr">
        <is>
          <t>Palisades Lutheran Church</t>
        </is>
      </c>
      <c r="E1387" s="9">
        <f>if($A1387&lt;&gt;"",E1386+B1387,"")</f>
        <v/>
      </c>
      <c r="F1387" s="9">
        <f>if($A1387&lt;&gt;"",F1386+C1387,"")</f>
        <v/>
      </c>
      <c r="G1387" s="11">
        <f>IF($A1387&lt;&gt;"",IF(F1387-E1387=0,"tie",IF(F1387-E1387&gt;0,"+"&amp;F1387-E1387,"+"&amp;E1387-F1387)),"")</f>
        <v/>
      </c>
      <c r="H1387" s="12">
        <f>if($A1387&lt;&gt;"",if(B1387&gt;C1387,if(B1387&lt;60,1,2),""),"")</f>
        <v/>
      </c>
      <c r="I1387" s="12">
        <f>if($A1387&lt;&gt;"",if(C1387&gt;B1387,if(C1387&lt;60,1,2),""),"")</f>
        <v/>
      </c>
      <c r="J1387" s="9">
        <f>if($A1387&lt;&gt;"",J1386+H1387,"")</f>
        <v/>
      </c>
      <c r="K1387" s="9">
        <f>if($A1387&lt;&gt;"",K1386+I1387,"")</f>
        <v/>
      </c>
      <c r="L1387" s="11">
        <f>IF($A1387&lt;&gt;"",IF(K1387-J1387=0,"tie",IF(K1387-J1387&gt;0,"+"&amp;K1387-J1387,"+"&amp;J1387-K1387)),"")</f>
        <v/>
      </c>
      <c r="M1387" s="17" t="n"/>
      <c r="N1387" s="17" t="n"/>
      <c r="O1387" s="17" t="n"/>
      <c r="P1387" s="17" t="n"/>
      <c r="Q1387" s="17" t="n"/>
      <c r="R1387" s="17" t="n"/>
      <c r="S1387" s="17" t="n"/>
    </row>
    <row r="1388">
      <c r="A1388" s="15" t="n">
        <v>46131</v>
      </c>
      <c r="B1388" s="20" t="n">
        <v>44</v>
      </c>
      <c r="C1388" s="20" t="n">
        <v>34</v>
      </c>
      <c r="D1388" s="17" t="inlineStr">
        <is>
          <t>Zinque, Venice</t>
        </is>
      </c>
      <c r="E1388" s="9">
        <f>if($A1388&lt;&gt;"",E1387+B1388,"")</f>
        <v/>
      </c>
      <c r="F1388" s="9">
        <f>if($A1388&lt;&gt;"",F1387+C1388,"")</f>
        <v/>
      </c>
      <c r="G1388" s="11">
        <f>IF($A1388&lt;&gt;"",IF(F1388-E1388=0,"tie",IF(F1388-E1388&gt;0,"+"&amp;F1388-E1388,"+"&amp;E1388-F1388)),"")</f>
        <v/>
      </c>
      <c r="H1388" s="12">
        <f>if($A1388&lt;&gt;"",if(B1388&gt;C1388,if(B1388&lt;60,1,2),""),"")</f>
        <v/>
      </c>
      <c r="I1388" s="12">
        <f>if($A1388&lt;&gt;"",if(C1388&gt;B1388,if(C1388&lt;60,1,2),""),"")</f>
        <v/>
      </c>
      <c r="J1388" s="9">
        <f>if($A1388&lt;&gt;"",J1387+H1388,"")</f>
        <v/>
      </c>
      <c r="K1388" s="9">
        <f>if($A1388&lt;&gt;"",K1387+I1388,"")</f>
        <v/>
      </c>
      <c r="L1388" s="11">
        <f>IF($A1388&lt;&gt;"",IF(K1388-J1388=0,"tie",IF(K1388-J1388&gt;0,"+"&amp;K1388-J1388,"+"&amp;J1388-K1388)),"")</f>
        <v/>
      </c>
      <c r="M1388" s="17" t="n"/>
      <c r="N1388" s="17" t="n"/>
      <c r="O1388" s="17" t="n"/>
      <c r="P1388" s="17" t="n"/>
      <c r="Q1388" s="17" t="n"/>
      <c r="R1388" s="17" t="n"/>
      <c r="S1388" s="17" t="n"/>
    </row>
    <row r="1389">
      <c r="A1389" s="15" t="n">
        <v>46132</v>
      </c>
      <c r="B1389" s="20" t="n">
        <v>31</v>
      </c>
      <c r="C1389" s="20" t="n">
        <v>30</v>
      </c>
      <c r="D1389" s="17" t="inlineStr">
        <is>
          <t>Preston Way</t>
        </is>
      </c>
      <c r="E1389" s="9">
        <f>if($A1389&lt;&gt;"",E1388+B1389,"")</f>
        <v/>
      </c>
      <c r="F1389" s="9">
        <f>if($A1389&lt;&gt;"",F1388+C1389,"")</f>
        <v/>
      </c>
      <c r="G1389" s="11">
        <f>IF($A1389&lt;&gt;"",IF(F1389-E1389=0,"tie",IF(F1389-E1389&gt;0,"+"&amp;F1389-E1389,"+"&amp;E1389-F1389)),"")</f>
        <v/>
      </c>
      <c r="H1389" s="12">
        <f>if($A1389&lt;&gt;"",if(B1389&gt;C1389,if(B1389&lt;60,1,2),""),"")</f>
        <v/>
      </c>
      <c r="I1389" s="12">
        <f>if($A1389&lt;&gt;"",if(C1389&gt;B1389,if(C1389&lt;60,1,2),""),"")</f>
        <v/>
      </c>
      <c r="J1389" s="9">
        <f>if($A1389&lt;&gt;"",J1388+H1389,"")</f>
        <v/>
      </c>
      <c r="K1389" s="9">
        <f>if($A1389&lt;&gt;"",K1388+I1389,"")</f>
        <v/>
      </c>
      <c r="L1389" s="11">
        <f>IF($A1389&lt;&gt;"",IF(K1389-J1389=0,"tie",IF(K1389-J1389&gt;0,"+"&amp;K1389-J1389,"+"&amp;J1389-K1389)),"")</f>
        <v/>
      </c>
      <c r="M1389" s="17" t="n"/>
      <c r="N1389" s="17" t="n"/>
      <c r="O1389" s="17" t="n"/>
      <c r="P1389" s="17" t="n"/>
      <c r="Q1389" s="17" t="n"/>
      <c r="R1389" s="17" t="n"/>
      <c r="S1389" s="17" t="n"/>
    </row>
    <row r="1390">
      <c r="A1390" s="15" t="n">
        <v>46132</v>
      </c>
      <c r="B1390" s="20" t="n">
        <v>38</v>
      </c>
      <c r="C1390" s="20" t="n">
        <v>34</v>
      </c>
      <c r="D1390" s="17" t="inlineStr">
        <is>
          <t>Preston Way</t>
        </is>
      </c>
      <c r="E1390" s="9">
        <f>if($A1390&lt;&gt;"",E1389+B1390,"")</f>
        <v/>
      </c>
      <c r="F1390" s="9">
        <f>if($A1390&lt;&gt;"",F1389+C1390,"")</f>
        <v/>
      </c>
      <c r="G1390" s="11">
        <f>IF($A1390&lt;&gt;"",IF(F1390-E1390=0,"tie",IF(F1390-E1390&gt;0,"+"&amp;F1390-E1390,"+"&amp;E1390-F1390)),"")</f>
        <v/>
      </c>
      <c r="H1390" s="12">
        <f>if($A1390&lt;&gt;"",if(B1390&gt;C1390,if(B1390&lt;60,1,2),""),"")</f>
        <v/>
      </c>
      <c r="I1390" s="12">
        <f>if($A1390&lt;&gt;"",if(C1390&gt;B1390,if(C1390&lt;60,1,2),""),"")</f>
        <v/>
      </c>
      <c r="J1390" s="9">
        <f>if($A1390&lt;&gt;"",J1389+H1390,"")</f>
        <v/>
      </c>
      <c r="K1390" s="9">
        <f>if($A1390&lt;&gt;"",K1389+I1390,"")</f>
        <v/>
      </c>
      <c r="L1390" s="11">
        <f>IF($A1390&lt;&gt;"",IF(K1390-J1390=0,"tie",IF(K1390-J1390&gt;0,"+"&amp;K1390-J1390,"+"&amp;J1390-K1390)),"")</f>
        <v/>
      </c>
      <c r="M1390" s="17" t="n"/>
      <c r="N1390" s="17" t="n"/>
      <c r="O1390" s="17" t="n"/>
      <c r="P1390" s="17" t="n"/>
      <c r="Q1390" s="17" t="n"/>
      <c r="R1390" s="17" t="n"/>
      <c r="S1390" s="17" t="n"/>
    </row>
    <row r="1391">
      <c r="A1391" s="15" t="n">
        <v>46134</v>
      </c>
      <c r="B1391" s="20" t="n">
        <v>37</v>
      </c>
      <c r="C1391" s="20" t="n">
        <v>29</v>
      </c>
      <c r="D1391" s="17" t="inlineStr">
        <is>
          <t>The Penmar, Venice</t>
        </is>
      </c>
      <c r="E1391" s="9">
        <f>if($A1391&lt;&gt;"",E1390+B1391,"")</f>
        <v/>
      </c>
      <c r="F1391" s="9">
        <f>if($A1391&lt;&gt;"",F1390+C1391,"")</f>
        <v/>
      </c>
      <c r="G1391" s="11">
        <f>IF($A1391&lt;&gt;"",IF(F1391-E1391=0,"tie",IF(F1391-E1391&gt;0,"+"&amp;F1391-E1391,"+"&amp;E1391-F1391)),"")</f>
        <v/>
      </c>
      <c r="H1391" s="12">
        <f>if($A1391&lt;&gt;"",if(B1391&gt;C1391,if(B1391&lt;60,1,2),""),"")</f>
        <v/>
      </c>
      <c r="I1391" s="12">
        <f>if($A1391&lt;&gt;"",if(C1391&gt;B1391,if(C1391&lt;60,1,2),""),"")</f>
        <v/>
      </c>
      <c r="J1391" s="9">
        <f>if($A1391&lt;&gt;"",J1390+H1391,"")</f>
        <v/>
      </c>
      <c r="K1391" s="9">
        <f>if($A1391&lt;&gt;"",K1390+I1391,"")</f>
        <v/>
      </c>
      <c r="L1391" s="11">
        <f>IF($A1391&lt;&gt;"",IF(K1391-J1391=0,"tie",IF(K1391-J1391&gt;0,"+"&amp;K1391-J1391,"+"&amp;J1391-K1391)),"")</f>
        <v/>
      </c>
      <c r="M1391" s="17" t="n"/>
      <c r="N1391" s="17" t="n"/>
      <c r="O1391" s="17" t="n"/>
      <c r="P1391" s="17" t="n"/>
      <c r="Q1391" s="17" t="n"/>
      <c r="R1391" s="17" t="n"/>
      <c r="S1391" s="17" t="n"/>
    </row>
    <row r="1392">
      <c r="A1392" s="15" t="n">
        <v>46134</v>
      </c>
      <c r="B1392" s="20" t="n">
        <v>34</v>
      </c>
      <c r="C1392" s="20" t="n">
        <v>37</v>
      </c>
      <c r="D1392" s="17" t="inlineStr">
        <is>
          <t>Preston Way</t>
        </is>
      </c>
      <c r="E1392" s="9">
        <f>if($A1392&lt;&gt;"",E1391+B1392,"")</f>
        <v/>
      </c>
      <c r="F1392" s="9">
        <f>if($A1392&lt;&gt;"",F1391+C1392,"")</f>
        <v/>
      </c>
      <c r="G1392" s="11">
        <f>IF($A1392&lt;&gt;"",IF(F1392-E1392=0,"tie",IF(F1392-E1392&gt;0,"+"&amp;F1392-E1392,"+"&amp;E1392-F1392)),"")</f>
        <v/>
      </c>
      <c r="H1392" s="12">
        <f>if($A1392&lt;&gt;"",if(B1392&gt;C1392,if(B1392&lt;60,1,2),""),"")</f>
        <v/>
      </c>
      <c r="I1392" s="12">
        <f>if($A1392&lt;&gt;"",if(C1392&gt;B1392,if(C1392&lt;60,1,2),""),"")</f>
        <v/>
      </c>
      <c r="J1392" s="9">
        <f>if($A1392&lt;&gt;"",J1391+H1392,"")</f>
        <v/>
      </c>
      <c r="K1392" s="9">
        <f>if($A1392&lt;&gt;"",K1391+I1392,"")</f>
        <v/>
      </c>
      <c r="L1392" s="11">
        <f>IF($A1392&lt;&gt;"",IF(K1392-J1392=0,"tie",IF(K1392-J1392&gt;0,"+"&amp;K1392-J1392,"+"&amp;J1392-K1392)),"")</f>
        <v/>
      </c>
      <c r="M1392" s="17" t="n"/>
      <c r="N1392" s="17" t="n"/>
      <c r="O1392" s="17" t="n"/>
      <c r="P1392" s="17" t="n"/>
      <c r="Q1392" s="17" t="n"/>
      <c r="R1392" s="17" t="n"/>
      <c r="S1392" s="17" t="n"/>
    </row>
    <row r="1393">
      <c r="A1393" s="15" t="n">
        <v>46135</v>
      </c>
      <c r="B1393" s="20" t="n">
        <v>62</v>
      </c>
      <c r="C1393" s="20" t="n">
        <v>45</v>
      </c>
      <c r="D1393" s="17" t="inlineStr">
        <is>
          <t>Bike Shed Moto Co, DTLA</t>
        </is>
      </c>
      <c r="E1393" s="9">
        <f>if($A1393&lt;&gt;"",E1392+B1393,"")</f>
        <v/>
      </c>
      <c r="F1393" s="9">
        <f>if($A1393&lt;&gt;"",F1392+C1393,"")</f>
        <v/>
      </c>
      <c r="G1393" s="11">
        <f>IF($A1393&lt;&gt;"",IF(F1393-E1393=0,"tie",IF(F1393-E1393&gt;0,"+"&amp;F1393-E1393,"+"&amp;E1393-F1393)),"")</f>
        <v/>
      </c>
      <c r="H1393" s="12">
        <f>if($A1393&lt;&gt;"",if(B1393&gt;C1393,if(B1393&lt;60,1,2),""),"")</f>
        <v/>
      </c>
      <c r="I1393" s="12">
        <f>if($A1393&lt;&gt;"",if(C1393&gt;B1393,if(C1393&lt;60,1,2),""),"")</f>
        <v/>
      </c>
      <c r="J1393" s="9">
        <f>if($A1393&lt;&gt;"",J1392+H1393,"")</f>
        <v/>
      </c>
      <c r="K1393" s="9">
        <f>if($A1393&lt;&gt;"",K1392+I1393,"")</f>
        <v/>
      </c>
      <c r="L1393" s="11">
        <f>IF($A1393&lt;&gt;"",IF(K1393-J1393=0,"tie",IF(K1393-J1393&gt;0,"+"&amp;K1393-J1393,"+"&amp;J1393-K1393)),"")</f>
        <v/>
      </c>
      <c r="M1393" s="17" t="n"/>
      <c r="N1393" s="17" t="n"/>
      <c r="O1393" s="17" t="n"/>
      <c r="P1393" s="17" t="n"/>
      <c r="Q1393" s="17" t="n"/>
      <c r="R1393" s="17" t="n"/>
      <c r="S1393" s="17" t="n"/>
    </row>
    <row r="1394">
      <c r="A1394" s="15" t="n">
        <v>46138</v>
      </c>
      <c r="B1394" s="20" t="n">
        <v>31</v>
      </c>
      <c r="C1394" s="20" t="n">
        <v>26</v>
      </c>
      <c r="D1394" s="17" t="inlineStr">
        <is>
          <t>Palm Cafe, La Quinta</t>
        </is>
      </c>
      <c r="E1394" s="9">
        <f>if($A1394&lt;&gt;"",E1393+B1394,"")</f>
        <v/>
      </c>
      <c r="F1394" s="9">
        <f>if($A1394&lt;&gt;"",F1393+C1394,"")</f>
        <v/>
      </c>
      <c r="G1394" s="11">
        <f>IF($A1394&lt;&gt;"",IF(F1394-E1394=0,"tie",IF(F1394-E1394&gt;0,"+"&amp;F1394-E1394,"+"&amp;E1394-F1394)),"")</f>
        <v/>
      </c>
      <c r="H1394" s="12">
        <f>if($A1394&lt;&gt;"",if(B1394&gt;C1394,if(B1394&lt;60,1,2),""),"")</f>
        <v/>
      </c>
      <c r="I1394" s="12">
        <f>if($A1394&lt;&gt;"",if(C1394&gt;B1394,if(C1394&lt;60,1,2),""),"")</f>
        <v/>
      </c>
      <c r="J1394" s="9">
        <f>if($A1394&lt;&gt;"",J1393+H1394,"")</f>
        <v/>
      </c>
      <c r="K1394" s="9">
        <f>if($A1394&lt;&gt;"",K1393+I1394,"")</f>
        <v/>
      </c>
      <c r="L1394" s="11">
        <f>IF($A1394&lt;&gt;"",IF(K1394-J1394=0,"tie",IF(K1394-J1394&gt;0,"+"&amp;K1394-J1394,"+"&amp;J1394-K1394)),"")</f>
        <v/>
      </c>
      <c r="M1394" s="17" t="n"/>
      <c r="N1394" s="17" t="n"/>
      <c r="O1394" s="17" t="n"/>
      <c r="P1394" s="17" t="n"/>
      <c r="Q1394" s="17" t="n"/>
      <c r="R1394" s="17" t="n"/>
      <c r="S1394" s="17" t="n"/>
    </row>
    <row r="1395">
      <c r="A1395" s="15" t="n">
        <v>46142</v>
      </c>
      <c r="B1395" s="20" t="n">
        <v>62</v>
      </c>
      <c r="C1395" s="20" t="n">
        <v>58</v>
      </c>
      <c r="D1395" s="17" t="inlineStr">
        <is>
          <t>Beethoven Market</t>
        </is>
      </c>
      <c r="E1395" s="9">
        <f>if($A1395&lt;&gt;"",E1394+B1395,"")</f>
        <v/>
      </c>
      <c r="F1395" s="9">
        <f>if($A1395&lt;&gt;"",F1394+C1395,"")</f>
        <v/>
      </c>
      <c r="G1395" s="11">
        <f>IF($A1395&lt;&gt;"",IF(F1395-E1395=0,"tie",IF(F1395-E1395&gt;0,"+"&amp;F1395-E1395,"+"&amp;E1395-F1395)),"")</f>
        <v/>
      </c>
      <c r="H1395" s="12">
        <f>if($A1395&lt;&gt;"",if(B1395&gt;C1395,if(B1395&lt;60,1,2),""),"")</f>
        <v/>
      </c>
      <c r="I1395" s="12">
        <f>if($A1395&lt;&gt;"",if(C1395&gt;B1395,if(C1395&lt;60,1,2),""),"")</f>
        <v/>
      </c>
      <c r="J1395" s="9">
        <f>if($A1395&lt;&gt;"",J1394+H1395,"")</f>
        <v/>
      </c>
      <c r="K1395" s="9">
        <f>if($A1395&lt;&gt;"",K1394+I1395,"")</f>
        <v/>
      </c>
      <c r="L1395" s="11">
        <f>IF($A1395&lt;&gt;"",IF(K1395-J1395=0,"tie",IF(K1395-J1395&gt;0,"+"&amp;K1395-J1395,"+"&amp;J1395-K1395)),"")</f>
        <v/>
      </c>
      <c r="M1395" s="17" t="n"/>
      <c r="N1395" s="17" t="n"/>
      <c r="O1395" s="17" t="n"/>
      <c r="P1395" s="17" t="n"/>
      <c r="Q1395" s="17" t="n"/>
      <c r="R1395" s="17" t="n"/>
      <c r="S1395" s="17" t="n"/>
    </row>
    <row r="1396">
      <c r="A1396" s="15" t="n">
        <v>46143</v>
      </c>
      <c r="B1396" s="20" t="n">
        <v>19</v>
      </c>
      <c r="C1396" s="20" t="n">
        <v>31</v>
      </c>
      <c r="D1396" s="17" t="inlineStr">
        <is>
          <t>Preston Way</t>
        </is>
      </c>
      <c r="E1396" s="9">
        <f>if($A1396&lt;&gt;"",E1395+B1396,"")</f>
        <v/>
      </c>
      <c r="F1396" s="9">
        <f>if($A1396&lt;&gt;"",F1395+C1396,"")</f>
        <v/>
      </c>
      <c r="G1396" s="11">
        <f>IF($A1396&lt;&gt;"",IF(F1396-E1396=0,"tie",IF(F1396-E1396&gt;0,"+"&amp;F1396-E1396,"+"&amp;E1396-F1396)),"")</f>
        <v/>
      </c>
      <c r="H1396" s="12">
        <f>if($A1396&lt;&gt;"",if(B1396&gt;C1396,if(B1396&lt;60,1,2),""),"")</f>
        <v/>
      </c>
      <c r="I1396" s="12">
        <f>if($A1396&lt;&gt;"",if(C1396&gt;B1396,if(C1396&lt;60,1,2),""),"")</f>
        <v/>
      </c>
      <c r="J1396" s="9">
        <f>if($A1396&lt;&gt;"",J1395+H1396,"")</f>
        <v/>
      </c>
      <c r="K1396" s="9">
        <f>if($A1396&lt;&gt;"",K1395+I1396,"")</f>
        <v/>
      </c>
      <c r="L1396" s="11">
        <f>IF($A1396&lt;&gt;"",IF(K1396-J1396=0,"tie",IF(K1396-J1396&gt;0,"+"&amp;K1396-J1396,"+"&amp;J1396-K1396)),"")</f>
        <v/>
      </c>
      <c r="M1396" s="17" t="n"/>
      <c r="N1396" s="17" t="n"/>
      <c r="O1396" s="17" t="n"/>
      <c r="P1396" s="17" t="n"/>
      <c r="Q1396" s="17" t="n"/>
      <c r="R1396" s="17" t="n"/>
      <c r="S1396" s="17" t="n"/>
    </row>
    <row r="1397">
      <c r="A1397" s="15" t="n">
        <v>46149</v>
      </c>
      <c r="B1397" s="20" t="n">
        <v>69</v>
      </c>
      <c r="C1397" s="20" t="n">
        <v>63</v>
      </c>
      <c r="D1397" s="17" t="inlineStr">
        <is>
          <t>Hopdoddy, Playa del Rey</t>
        </is>
      </c>
      <c r="E1397" s="9">
        <f>if($A1397&lt;&gt;"",E1396+B1397,"")</f>
        <v/>
      </c>
      <c r="F1397" s="9">
        <f>if($A1397&lt;&gt;"",F1396+C1397,"")</f>
        <v/>
      </c>
      <c r="G1397" s="11">
        <f>IF($A1397&lt;&gt;"",IF(F1397-E1397=0,"tie",IF(F1397-E1397&gt;0,"+"&amp;F1397-E1397,"+"&amp;E1397-F1397)),"")</f>
        <v/>
      </c>
      <c r="H1397" s="12">
        <f>if($A1397&lt;&gt;"",if(B1397&gt;C1397,if(B1397&lt;60,1,2),""),"")</f>
        <v/>
      </c>
      <c r="I1397" s="12">
        <f>if($A1397&lt;&gt;"",if(C1397&gt;B1397,if(C1397&lt;60,1,2),""),"")</f>
        <v/>
      </c>
      <c r="J1397" s="9">
        <f>if($A1397&lt;&gt;"",J1396+H1397,"")</f>
        <v/>
      </c>
      <c r="K1397" s="9">
        <f>if($A1397&lt;&gt;"",K1396+I1397,"")</f>
        <v/>
      </c>
      <c r="L1397" s="11">
        <f>IF($A1397&lt;&gt;"",IF(K1397-J1397=0,"tie",IF(K1397-J1397&gt;0,"+"&amp;K1397-J1397,"+"&amp;J1397-K1397)),"")</f>
        <v/>
      </c>
      <c r="M1397" s="17" t="n"/>
      <c r="N1397" s="17" t="n"/>
      <c r="O1397" s="17" t="n"/>
      <c r="P1397" s="17" t="n"/>
      <c r="Q1397" s="17" t="n"/>
      <c r="R1397" s="17" t="n"/>
      <c r="S1397" s="17" t="n"/>
    </row>
    <row r="1398">
      <c r="A1398" s="15" t="n">
        <v>46155</v>
      </c>
      <c r="B1398" s="20" t="n">
        <v>32</v>
      </c>
      <c r="C1398" s="20" t="n">
        <v>24</v>
      </c>
      <c r="D1398" s="17" t="inlineStr">
        <is>
          <t>Preston Way</t>
        </is>
      </c>
      <c r="E1398" s="9">
        <f>if($A1398&lt;&gt;"",E1397+B1398,"")</f>
        <v/>
      </c>
      <c r="F1398" s="9">
        <f>if($A1398&lt;&gt;"",F1397+C1398,"")</f>
        <v/>
      </c>
      <c r="G1398" s="11">
        <f>IF($A1398&lt;&gt;"",IF(F1398-E1398=0,"tie",IF(F1398-E1398&gt;0,"+"&amp;F1398-E1398,"+"&amp;E1398-F1398)),"")</f>
        <v/>
      </c>
      <c r="H1398" s="12">
        <f>if($A1398&lt;&gt;"",if(B1398&gt;C1398,if(B1398&lt;60,1,2),""),"")</f>
        <v/>
      </c>
      <c r="I1398" s="12">
        <f>if($A1398&lt;&gt;"",if(C1398&gt;B1398,if(C1398&lt;60,1,2),""),"")</f>
        <v/>
      </c>
      <c r="J1398" s="9">
        <f>if($A1398&lt;&gt;"",J1397+H1398,"")</f>
        <v/>
      </c>
      <c r="K1398" s="9">
        <f>if($A1398&lt;&gt;"",K1397+I1398,"")</f>
        <v/>
      </c>
      <c r="L1398" s="11">
        <f>IF($A1398&lt;&gt;"",IF(K1398-J1398=0,"tie",IF(K1398-J1398&gt;0,"+"&amp;K1398-J1398,"+"&amp;J1398-K1398)),"")</f>
        <v/>
      </c>
      <c r="M1398" s="17" t="n"/>
      <c r="N1398" s="17" t="n"/>
      <c r="O1398" s="17" t="n"/>
      <c r="P1398" s="17" t="n"/>
      <c r="Q1398" s="17" t="n"/>
      <c r="R1398" s="17" t="n"/>
      <c r="S1398" s="17" t="n"/>
    </row>
    <row r="1399">
      <c r="A1399" s="15" t="n">
        <v>46156</v>
      </c>
      <c r="B1399" s="20" t="n">
        <v>61</v>
      </c>
      <c r="C1399" s="20" t="n">
        <v>46</v>
      </c>
      <c r="D1399" s="17" t="inlineStr">
        <is>
          <t>The Cloverfield</t>
        </is>
      </c>
      <c r="E1399" s="9">
        <f>if($A1399&lt;&gt;"",E1398+B1399,"")</f>
        <v/>
      </c>
      <c r="F1399" s="9">
        <f>if($A1399&lt;&gt;"",F1398+C1399,"")</f>
        <v/>
      </c>
      <c r="G1399" s="11">
        <f>IF($A1399&lt;&gt;"",IF(F1399-E1399=0,"tie",IF(F1399-E1399&gt;0,"+"&amp;F1399-E1399,"+"&amp;E1399-F1399)),"")</f>
        <v/>
      </c>
      <c r="H1399" s="12">
        <f>if($A1399&lt;&gt;"",if(B1399&gt;C1399,if(B1399&lt;60,1,2),""),"")</f>
        <v/>
      </c>
      <c r="I1399" s="12">
        <f>if($A1399&lt;&gt;"",if(C1399&gt;B1399,if(C1399&lt;60,1,2),""),"")</f>
        <v/>
      </c>
      <c r="J1399" s="9">
        <f>if($A1399&lt;&gt;"",J1398+H1399,"")</f>
        <v/>
      </c>
      <c r="K1399" s="9">
        <f>if($A1399&lt;&gt;"",K1398+I1399,"")</f>
        <v/>
      </c>
      <c r="L1399" s="11">
        <f>IF($A1399&lt;&gt;"",IF(K1399-J1399=0,"tie",IF(K1399-J1399&gt;0,"+"&amp;K1399-J1399,"+"&amp;J1399-K1399)),"")</f>
        <v/>
      </c>
      <c r="M1399" s="17" t="n"/>
      <c r="N1399" s="17" t="n"/>
      <c r="O1399" s="17" t="n"/>
      <c r="P1399" s="17" t="n"/>
      <c r="Q1399" s="17" t="n"/>
      <c r="R1399" s="17" t="n"/>
      <c r="S1399" s="17" t="n"/>
    </row>
    <row r="1400">
      <c r="A1400" s="15" t="n">
        <v>46158</v>
      </c>
      <c r="B1400" s="20" t="n">
        <v>31</v>
      </c>
      <c r="C1400" s="20" t="n">
        <v>32</v>
      </c>
      <c r="D1400" s="17" t="inlineStr">
        <is>
          <t>Sauced, Redondo Beach</t>
        </is>
      </c>
      <c r="E1400" s="9">
        <f>if($A1400&lt;&gt;"",E1399+B1400,"")</f>
        <v/>
      </c>
      <c r="F1400" s="9">
        <f>if($A1400&lt;&gt;"",F1399+C1400,"")</f>
        <v/>
      </c>
      <c r="G1400" s="11">
        <f>IF($A1400&lt;&gt;"",IF(F1400-E1400=0,"tie",IF(F1400-E1400&gt;0,"+"&amp;F1400-E1400,"+"&amp;E1400-F1400)),"")</f>
        <v/>
      </c>
      <c r="H1400" s="12">
        <f>if($A1400&lt;&gt;"",if(B1400&gt;C1400,if(B1400&lt;60,1,2),""),"")</f>
        <v/>
      </c>
      <c r="I1400" s="12">
        <f>if($A1400&lt;&gt;"",if(C1400&gt;B1400,if(C1400&lt;60,1,2),""),"")</f>
        <v/>
      </c>
      <c r="J1400" s="9">
        <f>if($A1400&lt;&gt;"",J1399+H1400,"")</f>
        <v/>
      </c>
      <c r="K1400" s="9">
        <f>if($A1400&lt;&gt;"",K1399+I1400,"")</f>
        <v/>
      </c>
      <c r="L1400" s="11">
        <f>IF($A1400&lt;&gt;"",IF(K1400-J1400=0,"tie",IF(K1400-J1400&gt;0,"+"&amp;K1400-J1400,"+"&amp;J1400-K1400)),"")</f>
        <v/>
      </c>
      <c r="M1400" s="17" t="n"/>
      <c r="N1400" s="17" t="n"/>
      <c r="O1400" s="17" t="n"/>
      <c r="P1400" s="17" t="n"/>
      <c r="Q1400" s="17" t="n"/>
      <c r="R1400" s="17" t="n"/>
      <c r="S1400" s="17" t="n"/>
    </row>
    <row r="1401">
      <c r="A1401" s="15" t="n">
        <v>46160</v>
      </c>
      <c r="B1401" s="20" t="n">
        <v>33</v>
      </c>
      <c r="C1401" s="20" t="n">
        <v>24</v>
      </c>
      <c r="D1401" s="17" t="inlineStr">
        <is>
          <t>Newport Dunes RV Park</t>
        </is>
      </c>
      <c r="E1401" s="9">
        <f>if($A1401&lt;&gt;"",E1400+B1401,"")</f>
        <v/>
      </c>
      <c r="F1401" s="9">
        <f>if($A1401&lt;&gt;"",F1400+C1401,"")</f>
        <v/>
      </c>
      <c r="G1401" s="11">
        <f>IF($A1401&lt;&gt;"",IF(F1401-E1401=0,"tie",IF(F1401-E1401&gt;0,"+"&amp;F1401-E1401,"+"&amp;E1401-F1401)),"")</f>
        <v/>
      </c>
      <c r="H1401" s="12">
        <f>if($A1401&lt;&gt;"",if(B1401&gt;C1401,if(B1401&lt;60,1,2),""),"")</f>
        <v/>
      </c>
      <c r="I1401" s="12">
        <f>if($A1401&lt;&gt;"",if(C1401&gt;B1401,if(C1401&lt;60,1,2),""),"")</f>
        <v/>
      </c>
      <c r="J1401" s="9">
        <f>if($A1401&lt;&gt;"",J1400+H1401,"")</f>
        <v/>
      </c>
      <c r="K1401" s="9">
        <f>if($A1401&lt;&gt;"",K1400+I1401,"")</f>
        <v/>
      </c>
      <c r="L1401" s="11">
        <f>IF($A1401&lt;&gt;"",IF(K1401-J1401=0,"tie",IF(K1401-J1401&gt;0,"+"&amp;K1401-J1401,"+"&amp;J1401-K1401)),"")</f>
        <v/>
      </c>
      <c r="M1401" s="17" t="n"/>
      <c r="N1401" s="17" t="n"/>
      <c r="O1401" s="17" t="n"/>
      <c r="P1401" s="17" t="n"/>
      <c r="Q1401" s="17" t="n"/>
      <c r="R1401" s="17" t="n"/>
      <c r="S1401" s="17" t="n"/>
    </row>
    <row r="1402">
      <c r="A1402" s="15" t="n">
        <v>46161</v>
      </c>
      <c r="B1402" s="20" t="n">
        <v>21</v>
      </c>
      <c r="C1402" s="20" t="n">
        <v>32</v>
      </c>
      <c r="D1402" s="17" t="inlineStr">
        <is>
          <t>Newport Dunes RV Park</t>
        </is>
      </c>
      <c r="E1402" s="9">
        <f>if($A1402&lt;&gt;"",E1401+B1402,"")</f>
        <v/>
      </c>
      <c r="F1402" s="9">
        <f>if($A1402&lt;&gt;"",F1401+C1402,"")</f>
        <v/>
      </c>
      <c r="G1402" s="11">
        <f>IF($A1402&lt;&gt;"",IF(F1402-E1402=0,"tie",IF(F1402-E1402&gt;0,"+"&amp;F1402-E1402,"+"&amp;E1402-F1402)),"")</f>
        <v/>
      </c>
      <c r="H1402" s="12">
        <f>if($A1402&lt;&gt;"",if(B1402&gt;C1402,if(B1402&lt;60,1,2),""),"")</f>
        <v/>
      </c>
      <c r="I1402" s="12">
        <f>if($A1402&lt;&gt;"",if(C1402&gt;B1402,if(C1402&lt;60,1,2),""),"")</f>
        <v/>
      </c>
      <c r="J1402" s="9">
        <f>if($A1402&lt;&gt;"",J1401+H1402,"")</f>
        <v/>
      </c>
      <c r="K1402" s="9">
        <f>if($A1402&lt;&gt;"",K1401+I1402,"")</f>
        <v/>
      </c>
      <c r="L1402" s="11">
        <f>IF($A1402&lt;&gt;"",IF(K1402-J1402=0,"tie",IF(K1402-J1402&gt;0,"+"&amp;K1402-J1402,"+"&amp;J1402-K1402)),"")</f>
        <v/>
      </c>
      <c r="M1402" s="17" t="n"/>
      <c r="N1402" s="17" t="n"/>
      <c r="O1402" s="17" t="n"/>
      <c r="P1402" s="17" t="n"/>
      <c r="Q1402" s="17" t="n"/>
      <c r="R1402" s="17" t="n"/>
      <c r="S1402" s="17" t="n"/>
    </row>
    <row r="1403">
      <c r="A1403" s="15" t="n">
        <v>46161</v>
      </c>
      <c r="B1403" s="20" t="n">
        <v>35</v>
      </c>
      <c r="C1403" s="20" t="n">
        <v>37</v>
      </c>
      <c r="D1403" s="17" t="inlineStr">
        <is>
          <t>Bread Basket, Tustin</t>
        </is>
      </c>
      <c r="E1403" s="9">
        <f>if($A1403&lt;&gt;"",E1402+B1403,"")</f>
        <v/>
      </c>
      <c r="F1403" s="9">
        <f>if($A1403&lt;&gt;"",F1402+C1403,"")</f>
        <v/>
      </c>
      <c r="G1403" s="11">
        <f>IF($A1403&lt;&gt;"",IF(F1403-E1403=0,"tie",IF(F1403-E1403&gt;0,"+"&amp;F1403-E1403,"+"&amp;E1403-F1403)),"")</f>
        <v/>
      </c>
      <c r="H1403" s="12">
        <f>if($A1403&lt;&gt;"",if(B1403&gt;C1403,if(B1403&lt;60,1,2),""),"")</f>
        <v/>
      </c>
      <c r="I1403" s="12">
        <f>if($A1403&lt;&gt;"",if(C1403&gt;B1403,if(C1403&lt;60,1,2),""),"")</f>
        <v/>
      </c>
      <c r="J1403" s="9">
        <f>if($A1403&lt;&gt;"",J1402+H1403,"")</f>
        <v/>
      </c>
      <c r="K1403" s="9">
        <f>if($A1403&lt;&gt;"",K1402+I1403,"")</f>
        <v/>
      </c>
      <c r="L1403" s="11">
        <f>IF($A1403&lt;&gt;"",IF(K1403-J1403=0,"tie",IF(K1403-J1403&gt;0,"+"&amp;K1403-J1403,"+"&amp;J1403-K1403)),"")</f>
        <v/>
      </c>
      <c r="M1403" s="17" t="n"/>
      <c r="N1403" s="17" t="n"/>
      <c r="O1403" s="17" t="n"/>
      <c r="P1403" s="17" t="n"/>
      <c r="Q1403" s="17" t="n"/>
      <c r="R1403" s="17" t="n"/>
      <c r="S1403" s="17" t="n"/>
    </row>
    <row r="1404">
      <c r="A1404" s="15" t="n">
        <v>46163</v>
      </c>
      <c r="B1404" s="20" t="n">
        <v>26</v>
      </c>
      <c r="C1404" s="20" t="n">
        <v>35</v>
      </c>
      <c r="D1404" s="17" t="inlineStr">
        <is>
          <t>Keedy's, La Quinta</t>
        </is>
      </c>
      <c r="E1404" s="9">
        <f>if($A1404&lt;&gt;"",E1403+B1404,"")</f>
        <v/>
      </c>
      <c r="F1404" s="9">
        <f>if($A1404&lt;&gt;"",F1403+C1404,"")</f>
        <v/>
      </c>
      <c r="G1404" s="11">
        <f>IF($A1404&lt;&gt;"",IF(F1404-E1404=0,"tie",IF(F1404-E1404&gt;0,"+"&amp;F1404-E1404,"+"&amp;E1404-F1404)),"")</f>
        <v/>
      </c>
      <c r="H1404" s="12">
        <f>if($A1404&lt;&gt;"",if(B1404&gt;C1404,if(B1404&lt;60,1,2),""),"")</f>
        <v/>
      </c>
      <c r="I1404" s="12">
        <f>if($A1404&lt;&gt;"",if(C1404&gt;B1404,if(C1404&lt;60,1,2),""),"")</f>
        <v/>
      </c>
      <c r="J1404" s="9">
        <f>if($A1404&lt;&gt;"",J1403+H1404,"")</f>
        <v/>
      </c>
      <c r="K1404" s="9">
        <f>if($A1404&lt;&gt;"",K1403+I1404,"")</f>
        <v/>
      </c>
      <c r="L1404" s="11">
        <f>IF($A1404&lt;&gt;"",IF(K1404-J1404=0,"tie",IF(K1404-J1404&gt;0,"+"&amp;K1404-J1404,"+"&amp;J1404-K1404)),"")</f>
        <v/>
      </c>
      <c r="M1404" s="17" t="n"/>
      <c r="N1404" s="17" t="n"/>
      <c r="O1404" s="17" t="n"/>
      <c r="P1404" s="17" t="n"/>
      <c r="Q1404" s="17" t="n"/>
      <c r="R1404" s="17" t="n"/>
      <c r="S1404" s="17" t="n"/>
    </row>
    <row r="1405">
      <c r="A1405" s="15" t="n">
        <v>46163</v>
      </c>
      <c r="B1405" s="20" t="n">
        <v>37</v>
      </c>
      <c r="C1405" s="20" t="n">
        <v>39</v>
      </c>
      <c r="D1405" s="17" t="inlineStr">
        <is>
          <t>Dakota Trail</t>
        </is>
      </c>
      <c r="E1405" s="9">
        <f>if($A1405&lt;&gt;"",E1404+B1405,"")</f>
        <v/>
      </c>
      <c r="F1405" s="9">
        <f>if($A1405&lt;&gt;"",F1404+C1405,"")</f>
        <v/>
      </c>
      <c r="G1405" s="11">
        <f>IF($A1405&lt;&gt;"",IF(F1405-E1405=0,"tie",IF(F1405-E1405&gt;0,"+"&amp;F1405-E1405,"+"&amp;E1405-F1405)),"")</f>
        <v/>
      </c>
      <c r="H1405" s="12">
        <f>if($A1405&lt;&gt;"",if(B1405&gt;C1405,if(B1405&lt;60,1,2),""),"")</f>
        <v/>
      </c>
      <c r="I1405" s="12">
        <f>if($A1405&lt;&gt;"",if(C1405&gt;B1405,if(C1405&lt;60,1,2),""),"")</f>
        <v/>
      </c>
      <c r="J1405" s="9">
        <f>if($A1405&lt;&gt;"",J1404+H1405,"")</f>
        <v/>
      </c>
      <c r="K1405" s="9">
        <f>if($A1405&lt;&gt;"",K1404+I1405,"")</f>
        <v/>
      </c>
      <c r="L1405" s="11">
        <f>IF($A1405&lt;&gt;"",IF(K1405-J1405=0,"tie",IF(K1405-J1405&gt;0,"+"&amp;K1405-J1405,"+"&amp;J1405-K1405)),"")</f>
        <v/>
      </c>
      <c r="M1405" s="17" t="n"/>
      <c r="N1405" s="17" t="n"/>
      <c r="O1405" s="17" t="n"/>
      <c r="P1405" s="17" t="n"/>
      <c r="Q1405" s="17" t="n"/>
      <c r="R1405" s="17" t="n"/>
      <c r="S1405" s="17" t="n"/>
    </row>
    <row r="1406">
      <c r="A1406" s="15" t="n">
        <v>46164</v>
      </c>
      <c r="B1406" s="20" t="n">
        <v>32</v>
      </c>
      <c r="C1406" s="20" t="n">
        <v>23</v>
      </c>
      <c r="D1406" s="17" t="inlineStr">
        <is>
          <t>Dakota Trail</t>
        </is>
      </c>
      <c r="E1406" s="9">
        <f>if($A1406&lt;&gt;"",E1405+B1406,"")</f>
        <v/>
      </c>
      <c r="F1406" s="9">
        <f>if($A1406&lt;&gt;"",F1405+C1406,"")</f>
        <v/>
      </c>
      <c r="G1406" s="11">
        <f>IF($A1406&lt;&gt;"",IF(F1406-E1406=0,"tie",IF(F1406-E1406&gt;0,"+"&amp;F1406-E1406,"+"&amp;E1406-F1406)),"")</f>
        <v/>
      </c>
      <c r="H1406" s="12">
        <f>if($A1406&lt;&gt;"",if(B1406&gt;C1406,if(B1406&lt;60,1,2),""),"")</f>
        <v/>
      </c>
      <c r="I1406" s="12">
        <f>if($A1406&lt;&gt;"",if(C1406&gt;B1406,if(C1406&lt;60,1,2),""),"")</f>
        <v/>
      </c>
      <c r="J1406" s="9">
        <f>if($A1406&lt;&gt;"",J1405+H1406,"")</f>
        <v/>
      </c>
      <c r="K1406" s="9">
        <f>if($A1406&lt;&gt;"",K1405+I1406,"")</f>
        <v/>
      </c>
      <c r="L1406" s="11">
        <f>IF($A1406&lt;&gt;"",IF(K1406-J1406=0,"tie",IF(K1406-J1406&gt;0,"+"&amp;K1406-J1406,"+"&amp;J1406-K1406)),"")</f>
        <v/>
      </c>
      <c r="M1406" s="17" t="n"/>
      <c r="N1406" s="17" t="n"/>
      <c r="O1406" s="17" t="n"/>
      <c r="P1406" s="17" t="n"/>
      <c r="Q1406" s="17" t="n"/>
      <c r="R1406" s="17" t="n"/>
      <c r="S1406" s="17" t="n"/>
    </row>
    <row r="1407">
      <c r="A1407" s="15" t="n">
        <v>46169</v>
      </c>
      <c r="B1407" s="20" t="n">
        <v>30</v>
      </c>
      <c r="C1407" s="20" t="n">
        <v>36</v>
      </c>
      <c r="D1407" s="17" t="inlineStr">
        <is>
          <t>Broken Spanish</t>
        </is>
      </c>
      <c r="E1407" s="9">
        <f>if($A1407&lt;&gt;"",E1406+B1407,"")</f>
        <v/>
      </c>
      <c r="F1407" s="9">
        <f>if($A1407&lt;&gt;"",F1406+C1407,"")</f>
        <v/>
      </c>
      <c r="G1407" s="11">
        <f>IF($A1407&lt;&gt;"",IF(F1407-E1407=0,"tie",IF(F1407-E1407&gt;0,"+"&amp;F1407-E1407,"+"&amp;E1407-F1407)),"")</f>
        <v/>
      </c>
      <c r="H1407" s="12">
        <f>if($A1407&lt;&gt;"",if(B1407&gt;C1407,if(B1407&lt;60,1,2),""),"")</f>
        <v/>
      </c>
      <c r="I1407" s="12">
        <f>if($A1407&lt;&gt;"",if(C1407&gt;B1407,if(C1407&lt;60,1,2),""),"")</f>
        <v/>
      </c>
      <c r="J1407" s="9">
        <f>if($A1407&lt;&gt;"",J1406+H1407,"")</f>
        <v/>
      </c>
      <c r="K1407" s="9">
        <f>if($A1407&lt;&gt;"",K1406+I1407,"")</f>
        <v/>
      </c>
      <c r="L1407" s="11">
        <f>IF($A1407&lt;&gt;"",IF(K1407-J1407=0,"tie",IF(K1407-J1407&gt;0,"+"&amp;K1407-J1407,"+"&amp;J1407-K1407)),"")</f>
        <v/>
      </c>
      <c r="M1407" s="17" t="n"/>
      <c r="N1407" s="17" t="n"/>
      <c r="O1407" s="17" t="n"/>
      <c r="P1407" s="17" t="n"/>
      <c r="Q1407" s="17" t="n"/>
      <c r="R1407" s="17" t="n"/>
      <c r="S1407" s="17" t="n"/>
    </row>
    <row r="1408">
      <c r="A1408" s="15" t="n">
        <v>46170</v>
      </c>
      <c r="B1408" s="20" t="n">
        <v>26</v>
      </c>
      <c r="C1408" s="20" t="n">
        <v>31</v>
      </c>
      <c r="D1408" s="17" t="inlineStr">
        <is>
          <t>Preston Way</t>
        </is>
      </c>
      <c r="E1408" s="9">
        <f>if($A1408&lt;&gt;"",E1407+B1408,"")</f>
        <v/>
      </c>
      <c r="F1408" s="9">
        <f>if($A1408&lt;&gt;"",F1407+C1408,"")</f>
        <v/>
      </c>
      <c r="G1408" s="11">
        <f>IF($A1408&lt;&gt;"",IF(F1408-E1408=0,"tie",IF(F1408-E1408&gt;0,"+"&amp;F1408-E1408,"+"&amp;E1408-F1408)),"")</f>
        <v/>
      </c>
      <c r="H1408" s="12">
        <f>if($A1408&lt;&gt;"",if(B1408&gt;C1408,if(B1408&lt;60,1,2),""),"")</f>
        <v/>
      </c>
      <c r="I1408" s="12">
        <f>if($A1408&lt;&gt;"",if(C1408&gt;B1408,if(C1408&lt;60,1,2),""),"")</f>
        <v/>
      </c>
      <c r="J1408" s="9">
        <f>if($A1408&lt;&gt;"",J1407+H1408,"")</f>
        <v/>
      </c>
      <c r="K1408" s="9">
        <f>if($A1408&lt;&gt;"",K1407+I1408,"")</f>
        <v/>
      </c>
      <c r="L1408" s="11">
        <f>IF($A1408&lt;&gt;"",IF(K1408-J1408=0,"tie",IF(K1408-J1408&gt;0,"+"&amp;K1408-J1408,"+"&amp;J1408-K1408)),"")</f>
        <v/>
      </c>
      <c r="M1408" s="17" t="n"/>
      <c r="N1408" s="17" t="n"/>
      <c r="O1408" s="17" t="n"/>
      <c r="P1408" s="17" t="n"/>
      <c r="Q1408" s="17" t="n"/>
      <c r="R1408" s="17" t="n"/>
      <c r="S1408" s="17" t="n"/>
    </row>
    <row r="1409">
      <c r="A1409" s="15" t="n">
        <v>46170</v>
      </c>
      <c r="B1409" s="20" t="n">
        <v>26</v>
      </c>
      <c r="C1409" s="20" t="n">
        <v>41</v>
      </c>
      <c r="D1409" s="17" t="inlineStr">
        <is>
          <t>George's Burgers, Santa Monica</t>
        </is>
      </c>
      <c r="E1409" s="9">
        <f>if($A1409&lt;&gt;"",E1408+B1409,"")</f>
        <v/>
      </c>
      <c r="F1409" s="9">
        <f>if($A1409&lt;&gt;"",F1408+C1409,"")</f>
        <v/>
      </c>
      <c r="G1409" s="11">
        <f>IF($A1409&lt;&gt;"",IF(F1409-E1409=0,"tie",IF(F1409-E1409&gt;0,"+"&amp;F1409-E1409,"+"&amp;E1409-F1409)),"")</f>
        <v/>
      </c>
      <c r="H1409" s="12">
        <f>if($A1409&lt;&gt;"",if(B1409&gt;C1409,if(B1409&lt;60,1,2),""),"")</f>
        <v/>
      </c>
      <c r="I1409" s="12">
        <f>if($A1409&lt;&gt;"",if(C1409&gt;B1409,if(C1409&lt;60,1,2),""),"")</f>
        <v/>
      </c>
      <c r="J1409" s="9">
        <f>if($A1409&lt;&gt;"",J1408+H1409,"")</f>
        <v/>
      </c>
      <c r="K1409" s="9">
        <f>if($A1409&lt;&gt;"",K1408+I1409,"")</f>
        <v/>
      </c>
      <c r="L1409" s="11">
        <f>IF($A1409&lt;&gt;"",IF(K1409-J1409=0,"tie",IF(K1409-J1409&gt;0,"+"&amp;K1409-J1409,"+"&amp;J1409-K1409)),"")</f>
        <v/>
      </c>
      <c r="M1409" s="17" t="n"/>
      <c r="N1409" s="17" t="n"/>
      <c r="O1409" s="17" t="n"/>
      <c r="P1409" s="17" t="n"/>
      <c r="Q1409" s="17" t="n"/>
      <c r="R1409" s="17" t="n"/>
      <c r="S1409" s="17" t="n"/>
    </row>
    <row r="1410">
      <c r="A1410" s="15" t="n">
        <v>46171</v>
      </c>
      <c r="B1410" s="20" t="n">
        <v>32</v>
      </c>
      <c r="C1410" s="20" t="n">
        <v>34</v>
      </c>
      <c r="D1410" s="17" t="inlineStr">
        <is>
          <t>Preston Way</t>
        </is>
      </c>
      <c r="E1410" s="9">
        <f>if($A1410&lt;&gt;"",E1409+B1410,"")</f>
        <v/>
      </c>
      <c r="F1410" s="9">
        <f>if($A1410&lt;&gt;"",F1409+C1410,"")</f>
        <v/>
      </c>
      <c r="G1410" s="11">
        <f>IF($A1410&lt;&gt;"",IF(F1410-E1410=0,"tie",IF(F1410-E1410&gt;0,"+"&amp;F1410-E1410,"+"&amp;E1410-F1410)),"")</f>
        <v/>
      </c>
      <c r="H1410" s="12">
        <f>if($A1410&lt;&gt;"",if(B1410&gt;C1410,if(B1410&lt;60,1,2),""),"")</f>
        <v/>
      </c>
      <c r="I1410" s="12">
        <f>if($A1410&lt;&gt;"",if(C1410&gt;B1410,if(C1410&lt;60,1,2),""),"")</f>
        <v/>
      </c>
      <c r="J1410" s="9">
        <f>if($A1410&lt;&gt;"",J1409+H1410,"")</f>
        <v/>
      </c>
      <c r="K1410" s="9">
        <f>if($A1410&lt;&gt;"",K1409+I1410,"")</f>
        <v/>
      </c>
      <c r="L1410" s="11">
        <f>IF($A1410&lt;&gt;"",IF(K1410-J1410=0,"tie",IF(K1410-J1410&gt;0,"+"&amp;K1410-J1410,"+"&amp;J1410-K1410)),"")</f>
        <v/>
      </c>
      <c r="M1410" s="17" t="n"/>
      <c r="N1410" s="17" t="n"/>
      <c r="O1410" s="17" t="n"/>
      <c r="P1410" s="17" t="n"/>
      <c r="Q1410" s="17" t="n"/>
      <c r="R1410" s="17" t="n"/>
      <c r="S1410" s="17" t="n"/>
    </row>
    <row r="1411">
      <c r="A1411" s="15" t="n">
        <v>46173</v>
      </c>
      <c r="B1411" s="20" t="n">
        <v>38</v>
      </c>
      <c r="C1411" s="20" t="n">
        <v>28</v>
      </c>
      <c r="D1411" s="17" t="inlineStr">
        <is>
          <t>Zinque, Venice</t>
        </is>
      </c>
      <c r="E1411" s="9">
        <f>if($A1411&lt;&gt;"",E1410+B1411,"")</f>
        <v/>
      </c>
      <c r="F1411" s="9">
        <f>if($A1411&lt;&gt;"",F1410+C1411,"")</f>
        <v/>
      </c>
      <c r="G1411" s="11">
        <f>IF($A1411&lt;&gt;"",IF(F1411-E1411=0,"tie",IF(F1411-E1411&gt;0,"+"&amp;F1411-E1411,"+"&amp;E1411-F1411)),"")</f>
        <v/>
      </c>
      <c r="H1411" s="12">
        <f>if($A1411&lt;&gt;"",if(B1411&gt;C1411,if(B1411&lt;60,1,2),""),"")</f>
        <v/>
      </c>
      <c r="I1411" s="12">
        <f>if($A1411&lt;&gt;"",if(C1411&gt;B1411,if(C1411&lt;60,1,2),""),"")</f>
        <v/>
      </c>
      <c r="J1411" s="9">
        <f>if($A1411&lt;&gt;"",J1410+H1411,"")</f>
        <v/>
      </c>
      <c r="K1411" s="9">
        <f>if($A1411&lt;&gt;"",K1410+I1411,"")</f>
        <v/>
      </c>
      <c r="L1411" s="11">
        <f>IF($A1411&lt;&gt;"",IF(K1411-J1411=0,"tie",IF(K1411-J1411&gt;0,"+"&amp;K1411-J1411,"+"&amp;J1411-K1411)),"")</f>
        <v/>
      </c>
      <c r="M1411" s="17" t="n"/>
      <c r="N1411" s="17" t="n"/>
      <c r="O1411" s="17" t="n"/>
      <c r="P1411" s="17" t="n"/>
      <c r="Q1411" s="17" t="n"/>
      <c r="R1411" s="17" t="n"/>
      <c r="S1411" s="17" t="n"/>
    </row>
    <row r="1412">
      <c r="A1412" s="15" t="n">
        <v>46173</v>
      </c>
      <c r="B1412" s="20" t="n">
        <v>35</v>
      </c>
      <c r="C1412" s="20" t="n">
        <v>16</v>
      </c>
      <c r="D1412" s="17" t="inlineStr">
        <is>
          <t>Preston Way</t>
        </is>
      </c>
      <c r="E1412" s="9">
        <f>if($A1412&lt;&gt;"",E1411+B1412,"")</f>
        <v/>
      </c>
      <c r="F1412" s="9">
        <f>if($A1412&lt;&gt;"",F1411+C1412,"")</f>
        <v/>
      </c>
      <c r="G1412" s="11">
        <f>IF($A1412&lt;&gt;"",IF(F1412-E1412=0,"tie",IF(F1412-E1412&gt;0,"+"&amp;F1412-E1412,"+"&amp;E1412-F1412)),"")</f>
        <v/>
      </c>
      <c r="H1412" s="12">
        <f>if($A1412&lt;&gt;"",if(B1412&gt;C1412,if(B1412&lt;60,1,2),""),"")</f>
        <v/>
      </c>
      <c r="I1412" s="12">
        <f>if($A1412&lt;&gt;"",if(C1412&gt;B1412,if(C1412&lt;60,1,2),""),"")</f>
        <v/>
      </c>
      <c r="J1412" s="9">
        <f>if($A1412&lt;&gt;"",J1411+H1412,"")</f>
        <v/>
      </c>
      <c r="K1412" s="9">
        <f>if($A1412&lt;&gt;"",K1411+I1412,"")</f>
        <v/>
      </c>
      <c r="L1412" s="11">
        <f>IF($A1412&lt;&gt;"",IF(K1412-J1412=0,"tie",IF(K1412-J1412&gt;0,"+"&amp;K1412-J1412,"+"&amp;J1412-K1412)),"")</f>
        <v/>
      </c>
      <c r="M1412" s="17" t="n"/>
      <c r="N1412" s="17" t="n"/>
      <c r="O1412" s="17" t="n"/>
      <c r="P1412" s="17" t="n"/>
      <c r="Q1412" s="17" t="n"/>
      <c r="R1412" s="17" t="n"/>
      <c r="S1412" s="17" t="n"/>
    </row>
    <row r="1413">
      <c r="A1413" s="15" t="n">
        <v>46175</v>
      </c>
      <c r="B1413" s="20" t="n">
        <v>36</v>
      </c>
      <c r="C1413" s="20" t="n">
        <v>46</v>
      </c>
      <c r="D1413" s="17" t="inlineStr">
        <is>
          <t>Zinque, Venice</t>
        </is>
      </c>
      <c r="E1413" s="9">
        <f>if($A1413&lt;&gt;"",E1412+B1413,"")</f>
        <v/>
      </c>
      <c r="F1413" s="9">
        <f>if($A1413&lt;&gt;"",F1412+C1413,"")</f>
        <v/>
      </c>
      <c r="G1413" s="11">
        <f>IF($A1413&lt;&gt;"",IF(F1413-E1413=0,"tie",IF(F1413-E1413&gt;0,"+"&amp;F1413-E1413,"+"&amp;E1413-F1413)),"")</f>
        <v/>
      </c>
      <c r="H1413" s="12">
        <f>if($A1413&lt;&gt;"",if(B1413&gt;C1413,if(B1413&lt;60,1,2),""),"")</f>
        <v/>
      </c>
      <c r="I1413" s="12">
        <f>if($A1413&lt;&gt;"",if(C1413&gt;B1413,if(C1413&lt;60,1,2),""),"")</f>
        <v/>
      </c>
      <c r="J1413" s="9">
        <f>if($A1413&lt;&gt;"",J1412+H1413,"")</f>
        <v/>
      </c>
      <c r="K1413" s="9">
        <f>if($A1413&lt;&gt;"",K1412+I1413,"")</f>
        <v/>
      </c>
      <c r="L1413" s="11">
        <f>IF($A1413&lt;&gt;"",IF(K1413-J1413=0,"tie",IF(K1413-J1413&gt;0,"+"&amp;K1413-J1413,"+"&amp;J1413-K1413)),"")</f>
        <v/>
      </c>
      <c r="M1413" s="17" t="n"/>
      <c r="N1413" s="17" t="n"/>
      <c r="O1413" s="17" t="n"/>
      <c r="P1413" s="17" t="n"/>
      <c r="Q1413" s="17" t="n"/>
      <c r="R1413" s="17" t="n"/>
      <c r="S1413" s="17" t="n"/>
    </row>
    <row r="1414">
      <c r="A1414" s="15" t="n">
        <v>46176</v>
      </c>
      <c r="B1414" s="20" t="n">
        <v>17</v>
      </c>
      <c r="C1414" s="20" t="n">
        <v>38</v>
      </c>
      <c r="D1414" s="17" t="inlineStr">
        <is>
          <t>Preston Way</t>
        </is>
      </c>
      <c r="E1414" s="9">
        <f>if($A1414&lt;&gt;"",E1413+B1414,"")</f>
        <v/>
      </c>
      <c r="F1414" s="9">
        <f>if($A1414&lt;&gt;"",F1413+C1414,"")</f>
        <v/>
      </c>
      <c r="G1414" s="11">
        <f>IF($A1414&lt;&gt;"",IF(F1414-E1414=0,"tie",IF(F1414-E1414&gt;0,"+"&amp;F1414-E1414,"+"&amp;E1414-F1414)),"")</f>
        <v/>
      </c>
      <c r="H1414" s="12">
        <f>if($A1414&lt;&gt;"",if(B1414&gt;C1414,if(B1414&lt;60,1,2),""),"")</f>
        <v/>
      </c>
      <c r="I1414" s="12">
        <f>if($A1414&lt;&gt;"",if(C1414&gt;B1414,if(C1414&lt;60,1,2),""),"")</f>
        <v/>
      </c>
      <c r="J1414" s="9">
        <f>if($A1414&lt;&gt;"",J1413+H1414,"")</f>
        <v/>
      </c>
      <c r="K1414" s="9">
        <f>if($A1414&lt;&gt;"",K1413+I1414,"")</f>
        <v/>
      </c>
      <c r="L1414" s="11">
        <f>IF($A1414&lt;&gt;"",IF(K1414-J1414=0,"tie",IF(K1414-J1414&gt;0,"+"&amp;K1414-J1414,"+"&amp;J1414-K1414)),"")</f>
        <v/>
      </c>
      <c r="M1414" s="17" t="n"/>
      <c r="N1414" s="17" t="n"/>
      <c r="O1414" s="17" t="n"/>
      <c r="P1414" s="17" t="n"/>
      <c r="Q1414" s="17" t="n"/>
      <c r="R1414" s="17" t="n"/>
      <c r="S1414" s="17" t="n"/>
    </row>
    <row r="1415">
      <c r="A1415" s="15" t="n">
        <v>46177</v>
      </c>
      <c r="B1415" s="20" t="n">
        <v>38</v>
      </c>
      <c r="C1415" s="20" t="n">
        <v>29</v>
      </c>
      <c r="D1415" s="17" t="inlineStr">
        <is>
          <t>Preston Way</t>
        </is>
      </c>
      <c r="E1415" s="9">
        <f>if($A1415&lt;&gt;"",E1414+B1415,"")</f>
        <v/>
      </c>
      <c r="F1415" s="9">
        <f>if($A1415&lt;&gt;"",F1414+C1415,"")</f>
        <v/>
      </c>
      <c r="G1415" s="11">
        <f>IF($A1415&lt;&gt;"",IF(F1415-E1415=0,"tie",IF(F1415-E1415&gt;0,"+"&amp;F1415-E1415,"+"&amp;E1415-F1415)),"")</f>
        <v/>
      </c>
      <c r="H1415" s="12">
        <f>if($A1415&lt;&gt;"",if(B1415&gt;C1415,if(B1415&lt;60,1,2),""),"")</f>
        <v/>
      </c>
      <c r="I1415" s="12">
        <f>if($A1415&lt;&gt;"",if(C1415&gt;B1415,if(C1415&lt;60,1,2),""),"")</f>
        <v/>
      </c>
      <c r="J1415" s="9">
        <f>if($A1415&lt;&gt;"",J1414+H1415,"")</f>
        <v/>
      </c>
      <c r="K1415" s="9">
        <f>if($A1415&lt;&gt;"",K1414+I1415,"")</f>
        <v/>
      </c>
      <c r="L1415" s="11">
        <f>IF($A1415&lt;&gt;"",IF(K1415-J1415=0,"tie",IF(K1415-J1415&gt;0,"+"&amp;K1415-J1415,"+"&amp;J1415-K1415)),"")</f>
        <v/>
      </c>
      <c r="M1415" s="17" t="n"/>
      <c r="N1415" s="17" t="n"/>
      <c r="O1415" s="17" t="n"/>
      <c r="P1415" s="17" t="n"/>
      <c r="Q1415" s="17" t="n"/>
      <c r="R1415" s="17" t="n"/>
      <c r="S1415" s="17" t="n"/>
    </row>
    <row r="1416">
      <c r="A1416" s="15" t="n">
        <v>46178</v>
      </c>
      <c r="B1416" s="20" t="n">
        <v>37</v>
      </c>
      <c r="C1416" s="20" t="n">
        <v>34</v>
      </c>
      <c r="D1416" s="17" t="inlineStr">
        <is>
          <t>Preston Way</t>
        </is>
      </c>
      <c r="E1416" s="9">
        <f>if($A1416&lt;&gt;"",E1415+B1416,"")</f>
        <v/>
      </c>
      <c r="F1416" s="9">
        <f>if($A1416&lt;&gt;"",F1415+C1416,"")</f>
        <v/>
      </c>
      <c r="G1416" s="11">
        <f>IF($A1416&lt;&gt;"",IF(F1416-E1416=0,"tie",IF(F1416-E1416&gt;0,"+"&amp;F1416-E1416,"+"&amp;E1416-F1416)),"")</f>
        <v/>
      </c>
      <c r="H1416" s="12">
        <f>if($A1416&lt;&gt;"",if(B1416&gt;C1416,if(B1416&lt;60,1,2),""),"")</f>
        <v/>
      </c>
      <c r="I1416" s="12">
        <f>if($A1416&lt;&gt;"",if(C1416&gt;B1416,if(C1416&lt;60,1,2),""),"")</f>
        <v/>
      </c>
      <c r="J1416" s="9">
        <f>if($A1416&lt;&gt;"",J1415+H1416,"")</f>
        <v/>
      </c>
      <c r="K1416" s="9">
        <f>if($A1416&lt;&gt;"",K1415+I1416,"")</f>
        <v/>
      </c>
      <c r="L1416" s="11">
        <f>IF($A1416&lt;&gt;"",IF(K1416-J1416=0,"tie",IF(K1416-J1416&gt;0,"+"&amp;K1416-J1416,"+"&amp;J1416-K1416)),"")</f>
        <v/>
      </c>
      <c r="M1416" s="17" t="n"/>
      <c r="N1416" s="17" t="n"/>
      <c r="O1416" s="17" t="n"/>
      <c r="P1416" s="17" t="n"/>
      <c r="Q1416" s="17" t="n"/>
      <c r="R1416" s="17" t="n"/>
      <c r="S1416" s="17" t="n"/>
    </row>
    <row r="1417">
      <c r="A1417" s="15" t="n">
        <v>46180</v>
      </c>
      <c r="B1417" s="20" t="n">
        <v>43</v>
      </c>
      <c r="C1417" s="20" t="n">
        <v>63</v>
      </c>
      <c r="D1417" s="17" t="inlineStr">
        <is>
          <t xml:space="preserve">Leo Carrillo </t>
        </is>
      </c>
      <c r="E1417" s="9">
        <f>if($A1417&lt;&gt;"",E1416+B1417,"")</f>
        <v/>
      </c>
      <c r="F1417" s="9">
        <f>if($A1417&lt;&gt;"",F1416+C1417,"")</f>
        <v/>
      </c>
      <c r="G1417" s="11">
        <f>IF($A1417&lt;&gt;"",IF(F1417-E1417=0,"tie",IF(F1417-E1417&gt;0,"+"&amp;F1417-E1417,"+"&amp;E1417-F1417)),"")</f>
        <v/>
      </c>
      <c r="H1417" s="12">
        <f>if($A1417&lt;&gt;"",if(B1417&gt;C1417,if(B1417&lt;60,1,2),""),"")</f>
        <v/>
      </c>
      <c r="I1417" s="12">
        <f>if($A1417&lt;&gt;"",if(C1417&gt;B1417,if(C1417&lt;60,1,2),""),"")</f>
        <v/>
      </c>
      <c r="J1417" s="9">
        <f>if($A1417&lt;&gt;"",J1416+H1417,"")</f>
        <v/>
      </c>
      <c r="K1417" s="9">
        <f>if($A1417&lt;&gt;"",K1416+I1417,"")</f>
        <v/>
      </c>
      <c r="L1417" s="11">
        <f>IF($A1417&lt;&gt;"",IF(K1417-J1417=0,"tie",IF(K1417-J1417&gt;0,"+"&amp;K1417-J1417,"+"&amp;J1417-K1417)),"")</f>
        <v/>
      </c>
      <c r="M1417" s="17" t="n"/>
      <c r="N1417" s="17" t="n"/>
      <c r="O1417" s="17" t="n"/>
      <c r="P1417" s="17" t="n"/>
      <c r="Q1417" s="17" t="n"/>
      <c r="R1417" s="17" t="n"/>
      <c r="S1417" s="17" t="n"/>
    </row>
    <row r="1418">
      <c r="A1418" s="22" t="n">
        <v>46181</v>
      </c>
      <c r="B1418" s="20" t="n">
        <v>22</v>
      </c>
      <c r="C1418" s="20" t="n">
        <v>35</v>
      </c>
      <c r="D1418" s="17" t="inlineStr">
        <is>
          <t>Malibu</t>
        </is>
      </c>
      <c r="E1418" s="9">
        <f>if($A1418&lt;&gt;"",E1417+B1418,"")</f>
        <v/>
      </c>
      <c r="F1418" s="9">
        <f>if($A1418&lt;&gt;"",F1417+C1418,"")</f>
        <v/>
      </c>
      <c r="G1418" s="11">
        <f>IF($A1418&lt;&gt;"",IF(F1418-E1418=0,"tie",IF(F1418-E1418&gt;0,"+"&amp;F1418-E1418,"+"&amp;E1418-F1418)),"")</f>
        <v/>
      </c>
      <c r="H1418" s="12">
        <f>if($A1418&lt;&gt;"",if(B1418&gt;C1418,if(B1418&lt;60,1,2),""),"")</f>
        <v/>
      </c>
      <c r="I1418" s="12">
        <f>if($A1418&lt;&gt;"",if(C1418&gt;B1418,if(C1418&lt;60,1,2),""),"")</f>
        <v/>
      </c>
      <c r="J1418" s="9">
        <f>if($A1418&lt;&gt;"",J1417+H1418,"")</f>
        <v/>
      </c>
      <c r="K1418" s="9">
        <f>if($A1418&lt;&gt;"",K1417+I1418,"")</f>
        <v/>
      </c>
      <c r="L1418" s="11">
        <f>IF($A1418&lt;&gt;"",IF(K1418-J1418=0,"tie",IF(K1418-J1418&gt;0,"+"&amp;K1418-J1418,"+"&amp;J1418-K1418)),"")</f>
        <v/>
      </c>
      <c r="M1418" s="17" t="n"/>
      <c r="N1418" s="17" t="n"/>
      <c r="O1418" s="17" t="n"/>
      <c r="P1418" s="17" t="n"/>
      <c r="Q1418" s="17" t="n"/>
      <c r="R1418" s="17" t="n"/>
      <c r="S1418" s="17" t="n"/>
    </row>
    <row r="1419">
      <c r="A1419" s="15" t="n">
        <v>46185</v>
      </c>
      <c r="B1419" s="20" t="n">
        <v>65</v>
      </c>
      <c r="C1419" s="20" t="n">
        <v>51</v>
      </c>
      <c r="D1419" s="17" t="inlineStr">
        <is>
          <t>George's Burgers, Santa Monica</t>
        </is>
      </c>
      <c r="E1419" s="9">
        <f>if($A1419&lt;&gt;"",E1418+B1419,"")</f>
        <v/>
      </c>
      <c r="F1419" s="9">
        <f>if($A1419&lt;&gt;"",F1418+C1419,"")</f>
        <v/>
      </c>
      <c r="G1419" s="11">
        <f>IF($A1419&lt;&gt;"",IF(F1419-E1419=0,"tie",IF(F1419-E1419&gt;0,"+"&amp;F1419-E1419,"+"&amp;E1419-F1419)),"")</f>
        <v/>
      </c>
      <c r="H1419" s="12">
        <f>if($A1419&lt;&gt;"",if(B1419&gt;C1419,if(B1419&lt;60,1,2),""),"")</f>
        <v/>
      </c>
      <c r="I1419" s="12">
        <f>if($A1419&lt;&gt;"",if(C1419&gt;B1419,if(C1419&lt;60,1,2),""),"")</f>
        <v/>
      </c>
      <c r="J1419" s="9">
        <f>if($A1419&lt;&gt;"",J1418+H1419,"")</f>
        <v/>
      </c>
      <c r="K1419" s="9">
        <f>if($A1419&lt;&gt;"",K1418+I1419,"")</f>
        <v/>
      </c>
      <c r="L1419" s="11">
        <f>IF($A1419&lt;&gt;"",IF(K1419-J1419=0,"tie",IF(K1419-J1419&gt;0,"+"&amp;K1419-J1419,"+"&amp;J1419-K1419)),"")</f>
        <v/>
      </c>
      <c r="M1419" s="17" t="n"/>
      <c r="N1419" s="17" t="n"/>
      <c r="O1419" s="17" t="n"/>
      <c r="P1419" s="17" t="n"/>
      <c r="Q1419" s="17" t="n"/>
      <c r="R1419" s="17" t="n"/>
      <c r="S1419" s="17" t="n"/>
    </row>
    <row r="1420">
      <c r="A1420" s="15" t="n">
        <v>46187</v>
      </c>
      <c r="B1420" s="20" t="n">
        <v>34</v>
      </c>
      <c r="C1420" s="20" t="n">
        <v>20</v>
      </c>
      <c r="D1420" s="17" t="inlineStr">
        <is>
          <t>Zinque, Venice</t>
        </is>
      </c>
      <c r="E1420" s="9">
        <f>if($A1420&lt;&gt;"",E1419+B1420,"")</f>
        <v/>
      </c>
      <c r="F1420" s="9">
        <f>if($A1420&lt;&gt;"",F1419+C1420,"")</f>
        <v/>
      </c>
      <c r="G1420" s="11">
        <f>IF($A1420&lt;&gt;"",IF(F1420-E1420=0,"tie",IF(F1420-E1420&gt;0,"+"&amp;F1420-E1420,"+"&amp;E1420-F1420)),"")</f>
        <v/>
      </c>
      <c r="H1420" s="12">
        <f>if($A1420&lt;&gt;"",if(B1420&gt;C1420,if(B1420&lt;60,1,2),""),"")</f>
        <v/>
      </c>
      <c r="I1420" s="12">
        <f>if($A1420&lt;&gt;"",if(C1420&gt;B1420,if(C1420&lt;60,1,2),""),"")</f>
        <v/>
      </c>
      <c r="J1420" s="9">
        <f>if($A1420&lt;&gt;"",J1419+H1420,"")</f>
        <v/>
      </c>
      <c r="K1420" s="9">
        <f>if($A1420&lt;&gt;"",K1419+I1420,"")</f>
        <v/>
      </c>
      <c r="L1420" s="11">
        <f>IF($A1420&lt;&gt;"",IF(K1420-J1420=0,"tie",IF(K1420-J1420&gt;0,"+"&amp;K1420-J1420,"+"&amp;J1420-K1420)),"")</f>
        <v/>
      </c>
      <c r="M1420" s="17" t="n"/>
      <c r="N1420" s="17" t="n"/>
      <c r="O1420" s="17" t="n"/>
      <c r="P1420" s="17" t="n"/>
      <c r="Q1420" s="17" t="n"/>
      <c r="R1420" s="17" t="n"/>
      <c r="S1420" s="17" t="n"/>
    </row>
    <row r="1421">
      <c r="A1421" s="15" t="n">
        <v>46188</v>
      </c>
      <c r="B1421" s="20" t="n">
        <v>25</v>
      </c>
      <c r="C1421" s="20" t="n">
        <v>38</v>
      </c>
      <c r="D1421" s="17" t="inlineStr">
        <is>
          <t>Lutheran Church of the Palisades</t>
        </is>
      </c>
      <c r="E1421" s="9">
        <f>if($A1421&lt;&gt;"",E1420+B1421,"")</f>
        <v/>
      </c>
      <c r="F1421" s="9">
        <f>if($A1421&lt;&gt;"",F1420+C1421,"")</f>
        <v/>
      </c>
      <c r="G1421" s="11">
        <f>IF($A1421&lt;&gt;"",IF(F1421-E1421=0,"tie",IF(F1421-E1421&gt;0,"+"&amp;F1421-E1421,"+"&amp;E1421-F1421)),"")</f>
        <v/>
      </c>
      <c r="H1421" s="12">
        <f>if($A1421&lt;&gt;"",if(B1421&gt;C1421,if(B1421&lt;60,1,2),""),"")</f>
        <v/>
      </c>
      <c r="I1421" s="12">
        <f>if($A1421&lt;&gt;"",if(C1421&gt;B1421,if(C1421&lt;60,1,2),""),"")</f>
        <v/>
      </c>
      <c r="J1421" s="9">
        <f>if($A1421&lt;&gt;"",J1420+H1421,"")</f>
        <v/>
      </c>
      <c r="K1421" s="9">
        <f>if($A1421&lt;&gt;"",K1420+I1421,"")</f>
        <v/>
      </c>
      <c r="L1421" s="11">
        <f>IF($A1421&lt;&gt;"",IF(K1421-J1421=0,"tie",IF(K1421-J1421&gt;0,"+"&amp;K1421-J1421,"+"&amp;J1421-K1421)),"")</f>
        <v/>
      </c>
      <c r="M1421" s="17" t="n"/>
      <c r="N1421" s="17" t="n"/>
      <c r="O1421" s="17" t="n"/>
      <c r="P1421" s="17" t="n"/>
      <c r="Q1421" s="17" t="n"/>
      <c r="R1421" s="17" t="n"/>
      <c r="S1421" s="17" t="n"/>
    </row>
    <row r="1422">
      <c r="A1422" s="15" t="n">
        <v>46189</v>
      </c>
      <c r="B1422" s="20" t="n">
        <v>43</v>
      </c>
      <c r="C1422" s="20" t="n">
        <v>34</v>
      </c>
      <c r="D1422" s="17" t="inlineStr">
        <is>
          <t>Preston Way</t>
        </is>
      </c>
      <c r="E1422" s="9">
        <f>if($A1422&lt;&gt;"",E1421+B1422,"")</f>
        <v/>
      </c>
      <c r="F1422" s="9">
        <f>if($A1422&lt;&gt;"",F1421+C1422,"")</f>
        <v/>
      </c>
      <c r="G1422" s="11">
        <f>IF($A1422&lt;&gt;"",IF(F1422-E1422=0,"tie",IF(F1422-E1422&gt;0,"+"&amp;F1422-E1422,"+"&amp;E1422-F1422)),"")</f>
        <v/>
      </c>
      <c r="H1422" s="12">
        <f>if($A1422&lt;&gt;"",if(B1422&gt;C1422,if(B1422&lt;60,1,2),""),"")</f>
        <v/>
      </c>
      <c r="I1422" s="12">
        <f>if($A1422&lt;&gt;"",if(C1422&gt;B1422,if(C1422&lt;60,1,2),""),"")</f>
        <v/>
      </c>
      <c r="J1422" s="9">
        <f>if($A1422&lt;&gt;"",J1421+H1422,"")</f>
        <v/>
      </c>
      <c r="K1422" s="9">
        <f>if($A1422&lt;&gt;"",K1421+I1422,"")</f>
        <v/>
      </c>
      <c r="L1422" s="11">
        <f>IF($A1422&lt;&gt;"",IF(K1422-J1422=0,"tie",IF(K1422-J1422&gt;0,"+"&amp;K1422-J1422,"+"&amp;J1422-K1422)),"")</f>
        <v/>
      </c>
      <c r="M1422" s="17" t="n"/>
      <c r="N1422" s="17" t="n"/>
      <c r="O1422" s="17" t="n"/>
      <c r="P1422" s="17" t="n"/>
      <c r="Q1422" s="17" t="n"/>
      <c r="R1422" s="17" t="n"/>
      <c r="S1422" s="17" t="n"/>
    </row>
    <row r="1423">
      <c r="A1423" s="15" t="n"/>
      <c r="B1423" s="20" t="n"/>
      <c r="C1423" s="20" t="n"/>
      <c r="D1423" s="17" t="n"/>
      <c r="E1423" s="9">
        <f>if($A1423&lt;&gt;"",E1422+B1423,"")</f>
        <v/>
      </c>
      <c r="F1423" s="9">
        <f>if($A1423&lt;&gt;"",F1422+C1423,"")</f>
        <v/>
      </c>
      <c r="G1423" s="11">
        <f>IF($A1423&lt;&gt;"",IF(F1423-E1423=0,"tie",IF(F1423-E1423&gt;0,"+"&amp;F1423-E1423,"+"&amp;E1423-F1423)),"")</f>
        <v/>
      </c>
      <c r="H1423" s="12">
        <f>if($A1423&lt;&gt;"",if(B1423&gt;C1423,if(B1423&lt;60,1,2),""),"")</f>
        <v/>
      </c>
      <c r="I1423" s="12">
        <f>if($A1423&lt;&gt;"",if(C1423&gt;B1423,if(C1423&lt;60,1,2),""),"")</f>
        <v/>
      </c>
      <c r="J1423" s="9">
        <f>if($A1423&lt;&gt;"",J1422+H1423,"")</f>
        <v/>
      </c>
      <c r="K1423" s="9">
        <f>if($A1423&lt;&gt;"",K1422+I1423,"")</f>
        <v/>
      </c>
      <c r="L1423" s="11">
        <f>IF($A1423&lt;&gt;"",IF(K1423-J1423=0,"tie",IF(K1423-J1423&gt;0,"+"&amp;K1423-J1423,"+"&amp;J1423-K1423)),"")</f>
        <v/>
      </c>
      <c r="M1423" s="17" t="n"/>
      <c r="N1423" s="17" t="n"/>
      <c r="O1423" s="17" t="n"/>
      <c r="P1423" s="17" t="n"/>
      <c r="Q1423" s="17" t="n"/>
      <c r="R1423" s="17" t="n"/>
      <c r="S1423" s="17" t="n"/>
    </row>
    <row r="1424">
      <c r="A1424" s="15" t="n"/>
      <c r="B1424" s="20" t="n"/>
      <c r="C1424" s="20" t="n"/>
      <c r="D1424" s="17" t="n"/>
      <c r="E1424" s="9">
        <f>if($A1424&lt;&gt;"",E1423+B1424,"")</f>
        <v/>
      </c>
      <c r="F1424" s="9">
        <f>if($A1424&lt;&gt;"",F1423+C1424,"")</f>
        <v/>
      </c>
      <c r="G1424" s="11">
        <f>IF($A1424&lt;&gt;"",IF(F1424-E1424=0,"tie",IF(F1424-E1424&gt;0,"+"&amp;F1424-E1424,"+"&amp;E1424-F1424)),"")</f>
        <v/>
      </c>
      <c r="H1424" s="12">
        <f>if($A1424&lt;&gt;"",if(B1424&gt;C1424,if(B1424&lt;60,1,2),""),"")</f>
        <v/>
      </c>
      <c r="I1424" s="12">
        <f>if($A1424&lt;&gt;"",if(C1424&gt;B1424,if(C1424&lt;60,1,2),""),"")</f>
        <v/>
      </c>
      <c r="J1424" s="9">
        <f>if($A1424&lt;&gt;"",J1423+H1424,"")</f>
        <v/>
      </c>
      <c r="K1424" s="9">
        <f>if($A1424&lt;&gt;"",K1423+I1424,"")</f>
        <v/>
      </c>
      <c r="L1424" s="11">
        <f>IF($A1424&lt;&gt;"",IF(K1424-J1424=0,"tie",IF(K1424-J1424&gt;0,"+"&amp;K1424-J1424,"+"&amp;J1424-K1424)),"")</f>
        <v/>
      </c>
      <c r="M1424" s="17" t="n"/>
      <c r="N1424" s="17" t="n"/>
      <c r="O1424" s="17" t="n"/>
      <c r="P1424" s="17" t="n"/>
      <c r="Q1424" s="17" t="n"/>
      <c r="R1424" s="17" t="n"/>
      <c r="S1424" s="17" t="n"/>
    </row>
    <row r="1425">
      <c r="A1425" s="15" t="n"/>
      <c r="B1425" s="20" t="n"/>
      <c r="C1425" s="20" t="n"/>
      <c r="D1425" s="17" t="n"/>
      <c r="E1425" s="9">
        <f>if($A1425&lt;&gt;"",E1424+B1425,"")</f>
        <v/>
      </c>
      <c r="F1425" s="9">
        <f>if($A1425&lt;&gt;"",F1424+C1425,"")</f>
        <v/>
      </c>
      <c r="G1425" s="11">
        <f>IF($A1425&lt;&gt;"",IF(F1425-E1425=0,"tie",IF(F1425-E1425&gt;0,"+"&amp;F1425-E1425,"+"&amp;E1425-F1425)),"")</f>
        <v/>
      </c>
      <c r="H1425" s="12">
        <f>if($A1425&lt;&gt;"",if(B1425&gt;C1425,if(B1425&lt;60,1,2),""),"")</f>
        <v/>
      </c>
      <c r="I1425" s="12">
        <f>if($A1425&lt;&gt;"",if(C1425&gt;B1425,if(C1425&lt;60,1,2),""),"")</f>
        <v/>
      </c>
      <c r="J1425" s="9">
        <f>if($A1425&lt;&gt;"",J1424+H1425,"")</f>
        <v/>
      </c>
      <c r="K1425" s="9">
        <f>if($A1425&lt;&gt;"",K1424+I1425,"")</f>
        <v/>
      </c>
      <c r="L1425" s="11">
        <f>IF($A1425&lt;&gt;"",IF(K1425-J1425=0,"tie",IF(K1425-J1425&gt;0,"+"&amp;K1425-J1425,"+"&amp;J1425-K1425)),"")</f>
        <v/>
      </c>
      <c r="M1425" s="17" t="n"/>
      <c r="N1425" s="17" t="n"/>
      <c r="O1425" s="17" t="n"/>
      <c r="P1425" s="17" t="n"/>
      <c r="Q1425" s="17" t="n"/>
      <c r="R1425" s="17" t="n"/>
      <c r="S1425" s="17" t="n"/>
    </row>
    <row r="1426">
      <c r="A1426" s="15" t="n"/>
      <c r="B1426" s="20" t="n"/>
      <c r="C1426" s="20" t="n"/>
      <c r="D1426" s="17" t="n"/>
      <c r="E1426" s="9">
        <f>if($A1426&lt;&gt;"",E1425+B1426,"")</f>
        <v/>
      </c>
      <c r="F1426" s="9">
        <f>if($A1426&lt;&gt;"",F1425+C1426,"")</f>
        <v/>
      </c>
      <c r="G1426" s="11">
        <f>IF($A1426&lt;&gt;"",IF(F1426-E1426=0,"tie",IF(F1426-E1426&gt;0,"+"&amp;F1426-E1426,"+"&amp;E1426-F1426)),"")</f>
        <v/>
      </c>
      <c r="H1426" s="12">
        <f>if($A1426&lt;&gt;"",if(B1426&gt;C1426,if(B1426&lt;60,1,2),""),"")</f>
        <v/>
      </c>
      <c r="I1426" s="12">
        <f>if($A1426&lt;&gt;"",if(C1426&gt;B1426,if(C1426&lt;60,1,2),""),"")</f>
        <v/>
      </c>
      <c r="J1426" s="9">
        <f>if($A1426&lt;&gt;"",J1425+H1426,"")</f>
        <v/>
      </c>
      <c r="K1426" s="9">
        <f>if($A1426&lt;&gt;"",K1425+I1426,"")</f>
        <v/>
      </c>
      <c r="L1426" s="11">
        <f>IF($A1426&lt;&gt;"",IF(K1426-J1426=0,"tie",IF(K1426-J1426&gt;0,"+"&amp;K1426-J1426,"+"&amp;J1426-K1426)),"")</f>
        <v/>
      </c>
      <c r="M1426" s="17" t="n"/>
      <c r="N1426" s="17" t="n"/>
      <c r="O1426" s="17" t="n"/>
      <c r="P1426" s="17" t="n"/>
      <c r="Q1426" s="17" t="n"/>
      <c r="R1426" s="17" t="n"/>
      <c r="S1426" s="17" t="n"/>
    </row>
    <row r="1427">
      <c r="A1427" s="15" t="n"/>
      <c r="B1427" s="20" t="n"/>
      <c r="C1427" s="20" t="n"/>
      <c r="D1427" s="17" t="n"/>
      <c r="E1427" s="9">
        <f>if($A1427&lt;&gt;"",E1426+B1427,"")</f>
        <v/>
      </c>
      <c r="F1427" s="9">
        <f>if($A1427&lt;&gt;"",F1426+C1427,"")</f>
        <v/>
      </c>
      <c r="G1427" s="11">
        <f>IF($A1427&lt;&gt;"",IF(F1427-E1427=0,"tie",IF(F1427-E1427&gt;0,"+"&amp;F1427-E1427,"+"&amp;E1427-F1427)),"")</f>
        <v/>
      </c>
      <c r="H1427" s="12">
        <f>if($A1427&lt;&gt;"",if(B1427&gt;C1427,if(B1427&lt;60,1,2),""),"")</f>
        <v/>
      </c>
      <c r="I1427" s="12">
        <f>if($A1427&lt;&gt;"",if(C1427&gt;B1427,if(C1427&lt;60,1,2),""),"")</f>
        <v/>
      </c>
      <c r="J1427" s="9">
        <f>if($A1427&lt;&gt;"",J1426+H1427,"")</f>
        <v/>
      </c>
      <c r="K1427" s="9">
        <f>if($A1427&lt;&gt;"",K1426+I1427,"")</f>
        <v/>
      </c>
      <c r="L1427" s="11">
        <f>IF($A1427&lt;&gt;"",IF(K1427-J1427=0,"tie",IF(K1427-J1427&gt;0,"+"&amp;K1427-J1427,"+"&amp;J1427-K1427)),"")</f>
        <v/>
      </c>
      <c r="M1427" s="17" t="n"/>
      <c r="N1427" s="17" t="n"/>
      <c r="O1427" s="17" t="n"/>
      <c r="P1427" s="17" t="n"/>
      <c r="Q1427" s="17" t="n"/>
      <c r="R1427" s="17" t="n"/>
      <c r="S1427" s="17" t="n"/>
    </row>
    <row r="1428">
      <c r="A1428" s="15" t="n"/>
      <c r="B1428" s="20" t="n"/>
      <c r="C1428" s="20" t="n"/>
      <c r="D1428" s="17" t="n"/>
      <c r="E1428" s="9">
        <f>if($A1428&lt;&gt;"",E1427+B1428,"")</f>
        <v/>
      </c>
      <c r="F1428" s="9">
        <f>if($A1428&lt;&gt;"",F1427+C1428,"")</f>
        <v/>
      </c>
      <c r="G1428" s="11">
        <f>IF($A1428&lt;&gt;"",IF(F1428-E1428=0,"tie",IF(F1428-E1428&gt;0,"+"&amp;F1428-E1428,"+"&amp;E1428-F1428)),"")</f>
        <v/>
      </c>
      <c r="H1428" s="12">
        <f>if($A1428&lt;&gt;"",if(B1428&gt;C1428,if(B1428&lt;60,1,2),""),"")</f>
        <v/>
      </c>
      <c r="I1428" s="12">
        <f>if($A1428&lt;&gt;"",if(C1428&gt;B1428,if(C1428&lt;60,1,2),""),"")</f>
        <v/>
      </c>
      <c r="J1428" s="9">
        <f>if($A1428&lt;&gt;"",J1427+H1428,"")</f>
        <v/>
      </c>
      <c r="K1428" s="9">
        <f>if($A1428&lt;&gt;"",K1427+I1428,"")</f>
        <v/>
      </c>
      <c r="L1428" s="11">
        <f>IF($A1428&lt;&gt;"",IF(K1428-J1428=0,"tie",IF(K1428-J1428&gt;0,"+"&amp;K1428-J1428,"+"&amp;J1428-K1428)),"")</f>
        <v/>
      </c>
      <c r="M1428" s="17" t="n"/>
      <c r="N1428" s="17" t="n"/>
      <c r="O1428" s="17" t="n"/>
      <c r="P1428" s="17" t="n"/>
      <c r="Q1428" s="17" t="n"/>
      <c r="R1428" s="17" t="n"/>
      <c r="S1428" s="17" t="n"/>
    </row>
    <row r="1429">
      <c r="A1429" s="15" t="n"/>
      <c r="B1429" s="20" t="n"/>
      <c r="C1429" s="20" t="n"/>
      <c r="D1429" s="17" t="n"/>
      <c r="E1429" s="9">
        <f>if($A1429&lt;&gt;"",E1428+B1429,"")</f>
        <v/>
      </c>
      <c r="F1429" s="9">
        <f>if($A1429&lt;&gt;"",F1428+C1429,"")</f>
        <v/>
      </c>
      <c r="G1429" s="11">
        <f>IF($A1429&lt;&gt;"",IF(F1429-E1429=0,"tie",IF(F1429-E1429&gt;0,"+"&amp;F1429-E1429,"+"&amp;E1429-F1429)),"")</f>
        <v/>
      </c>
      <c r="H1429" s="12">
        <f>if($A1429&lt;&gt;"",if(B1429&gt;C1429,if(B1429&lt;60,1,2),""),"")</f>
        <v/>
      </c>
      <c r="I1429" s="12">
        <f>if($A1429&lt;&gt;"",if(C1429&gt;B1429,if(C1429&lt;60,1,2),""),"")</f>
        <v/>
      </c>
      <c r="J1429" s="9">
        <f>if($A1429&lt;&gt;"",J1428+H1429,"")</f>
        <v/>
      </c>
      <c r="K1429" s="9">
        <f>if($A1429&lt;&gt;"",K1428+I1429,"")</f>
        <v/>
      </c>
      <c r="L1429" s="11">
        <f>IF($A1429&lt;&gt;"",IF(K1429-J1429=0,"tie",IF(K1429-J1429&gt;0,"+"&amp;K1429-J1429,"+"&amp;J1429-K1429)),"")</f>
        <v/>
      </c>
      <c r="M1429" s="17" t="n"/>
      <c r="N1429" s="17" t="n"/>
      <c r="O1429" s="17" t="n"/>
      <c r="P1429" s="17" t="n"/>
      <c r="Q1429" s="17" t="n"/>
      <c r="R1429" s="17" t="n"/>
      <c r="S1429" s="17" t="n"/>
    </row>
    <row r="1430">
      <c r="A1430" s="15" t="n"/>
      <c r="B1430" s="20" t="n"/>
      <c r="C1430" s="20" t="n"/>
      <c r="D1430" s="17" t="n"/>
      <c r="E1430" s="9">
        <f>if($A1430&lt;&gt;"",E1429+B1430,"")</f>
        <v/>
      </c>
      <c r="F1430" s="9">
        <f>if($A1430&lt;&gt;"",F1429+C1430,"")</f>
        <v/>
      </c>
      <c r="G1430" s="11">
        <f>IF($A1430&lt;&gt;"",IF(F1430-E1430=0,"tie",IF(F1430-E1430&gt;0,"+"&amp;F1430-E1430,"+"&amp;E1430-F1430)),"")</f>
        <v/>
      </c>
      <c r="H1430" s="12">
        <f>if($A1430&lt;&gt;"",if(B1430&gt;C1430,if(B1430&lt;60,1,2),""),"")</f>
        <v/>
      </c>
      <c r="I1430" s="12">
        <f>if($A1430&lt;&gt;"",if(C1430&gt;B1430,if(C1430&lt;60,1,2),""),"")</f>
        <v/>
      </c>
      <c r="J1430" s="9">
        <f>if($A1430&lt;&gt;"",J1429+H1430,"")</f>
        <v/>
      </c>
      <c r="K1430" s="9">
        <f>if($A1430&lt;&gt;"",K1429+I1430,"")</f>
        <v/>
      </c>
      <c r="L1430" s="11">
        <f>IF($A1430&lt;&gt;"",IF(K1430-J1430=0,"tie",IF(K1430-J1430&gt;0,"+"&amp;K1430-J1430,"+"&amp;J1430-K1430)),"")</f>
        <v/>
      </c>
      <c r="M1430" s="17" t="n"/>
      <c r="N1430" s="17" t="n"/>
      <c r="O1430" s="17" t="n"/>
      <c r="P1430" s="17" t="n"/>
      <c r="Q1430" s="17" t="n"/>
      <c r="R1430" s="17" t="n"/>
      <c r="S1430" s="17" t="n"/>
    </row>
    <row r="1431">
      <c r="A1431" s="15" t="n"/>
      <c r="B1431" s="20" t="n"/>
      <c r="C1431" s="20" t="n"/>
      <c r="D1431" s="17" t="n"/>
      <c r="E1431" s="9">
        <f>if($A1431&lt;&gt;"",E1430+B1431,"")</f>
        <v/>
      </c>
      <c r="F1431" s="9">
        <f>if($A1431&lt;&gt;"",F1430+C1431,"")</f>
        <v/>
      </c>
      <c r="G1431" s="11">
        <f>IF($A1431&lt;&gt;"",IF(F1431-E1431=0,"tie",IF(F1431-E1431&gt;0,"+"&amp;F1431-E1431,"+"&amp;E1431-F1431)),"")</f>
        <v/>
      </c>
      <c r="H1431" s="12">
        <f>if($A1431&lt;&gt;"",if(B1431&gt;C1431,if(B1431&lt;60,1,2),""),"")</f>
        <v/>
      </c>
      <c r="I1431" s="12">
        <f>if($A1431&lt;&gt;"",if(C1431&gt;B1431,if(C1431&lt;60,1,2),""),"")</f>
        <v/>
      </c>
      <c r="J1431" s="9">
        <f>if($A1431&lt;&gt;"",J1430+H1431,"")</f>
        <v/>
      </c>
      <c r="K1431" s="9">
        <f>if($A1431&lt;&gt;"",K1430+I1431,"")</f>
        <v/>
      </c>
      <c r="L1431" s="11">
        <f>IF($A1431&lt;&gt;"",IF(K1431-J1431=0,"tie",IF(K1431-J1431&gt;0,"+"&amp;K1431-J1431,"+"&amp;J1431-K1431)),"")</f>
        <v/>
      </c>
      <c r="M1431" s="17" t="n"/>
      <c r="N1431" s="17" t="n"/>
      <c r="O1431" s="17" t="n"/>
      <c r="P1431" s="17" t="n"/>
      <c r="Q1431" s="17" t="n"/>
      <c r="R1431" s="17" t="n"/>
      <c r="S1431" s="17" t="n"/>
    </row>
    <row r="1432">
      <c r="A1432" s="15" t="n"/>
      <c r="B1432" s="20" t="n"/>
      <c r="C1432" s="20" t="n"/>
      <c r="D1432" s="17" t="n"/>
      <c r="E1432" s="9">
        <f>if($A1432&lt;&gt;"",E1431+B1432,"")</f>
        <v/>
      </c>
      <c r="F1432" s="9">
        <f>if($A1432&lt;&gt;"",F1431+C1432,"")</f>
        <v/>
      </c>
      <c r="G1432" s="11">
        <f>IF($A1432&lt;&gt;"",IF(F1432-E1432=0,"tie",IF(F1432-E1432&gt;0,"+"&amp;F1432-E1432,"+"&amp;E1432-F1432)),"")</f>
        <v/>
      </c>
      <c r="H1432" s="12">
        <f>if($A1432&lt;&gt;"",if(B1432&gt;C1432,if(B1432&lt;60,1,2),""),"")</f>
        <v/>
      </c>
      <c r="I1432" s="12">
        <f>if($A1432&lt;&gt;"",if(C1432&gt;B1432,if(C1432&lt;60,1,2),""),"")</f>
        <v/>
      </c>
      <c r="J1432" s="9">
        <f>if($A1432&lt;&gt;"",J1431+H1432,"")</f>
        <v/>
      </c>
      <c r="K1432" s="9">
        <f>if($A1432&lt;&gt;"",K1431+I1432,"")</f>
        <v/>
      </c>
      <c r="L1432" s="11">
        <f>IF($A1432&lt;&gt;"",IF(K1432-J1432=0,"tie",IF(K1432-J1432&gt;0,"+"&amp;K1432-J1432,"+"&amp;J1432-K1432)),"")</f>
        <v/>
      </c>
      <c r="M1432" s="17" t="n"/>
      <c r="N1432" s="17" t="n"/>
      <c r="O1432" s="17" t="n"/>
      <c r="P1432" s="17" t="n"/>
      <c r="Q1432" s="17" t="n"/>
      <c r="R1432" s="17" t="n"/>
      <c r="S1432" s="17" t="n"/>
    </row>
    <row r="1433">
      <c r="A1433" s="15" t="n"/>
      <c r="B1433" s="20" t="n"/>
      <c r="C1433" s="20" t="n"/>
      <c r="D1433" s="17" t="n"/>
      <c r="E1433" s="9">
        <f>if($A1433&lt;&gt;"",E1432+B1433,"")</f>
        <v/>
      </c>
      <c r="F1433" s="9">
        <f>if($A1433&lt;&gt;"",F1432+C1433,"")</f>
        <v/>
      </c>
      <c r="G1433" s="11">
        <f>IF($A1433&lt;&gt;"",IF(F1433-E1433=0,"tie",IF(F1433-E1433&gt;0,"+"&amp;F1433-E1433,"+"&amp;E1433-F1433)),"")</f>
        <v/>
      </c>
      <c r="H1433" s="12">
        <f>if($A1433&lt;&gt;"",if(B1433&gt;C1433,if(B1433&lt;60,1,2),""),"")</f>
        <v/>
      </c>
      <c r="I1433" s="12">
        <f>if($A1433&lt;&gt;"",if(C1433&gt;B1433,if(C1433&lt;60,1,2),""),"")</f>
        <v/>
      </c>
      <c r="J1433" s="9">
        <f>if($A1433&lt;&gt;"",J1432+H1433,"")</f>
        <v/>
      </c>
      <c r="K1433" s="9">
        <f>if($A1433&lt;&gt;"",K1432+I1433,"")</f>
        <v/>
      </c>
      <c r="L1433" s="11">
        <f>IF($A1433&lt;&gt;"",IF(K1433-J1433=0,"tie",IF(K1433-J1433&gt;0,"+"&amp;K1433-J1433,"+"&amp;J1433-K1433)),"")</f>
        <v/>
      </c>
      <c r="M1433" s="17" t="n"/>
      <c r="N1433" s="17" t="n"/>
      <c r="O1433" s="17" t="n"/>
      <c r="P1433" s="17" t="n"/>
      <c r="Q1433" s="17" t="n"/>
      <c r="R1433" s="17" t="n"/>
      <c r="S1433" s="17" t="n"/>
    </row>
    <row r="1434">
      <c r="A1434" s="15" t="n"/>
      <c r="B1434" s="20" t="n"/>
      <c r="C1434" s="20" t="n"/>
      <c r="D1434" s="17" t="n"/>
      <c r="E1434" s="9">
        <f>if($A1434&lt;&gt;"",E1433+B1434,"")</f>
        <v/>
      </c>
      <c r="F1434" s="9">
        <f>if($A1434&lt;&gt;"",F1433+C1434,"")</f>
        <v/>
      </c>
      <c r="G1434" s="11">
        <f>IF($A1434&lt;&gt;"",IF(F1434-E1434=0,"tie",IF(F1434-E1434&gt;0,"+"&amp;F1434-E1434,"+"&amp;E1434-F1434)),"")</f>
        <v/>
      </c>
      <c r="H1434" s="12">
        <f>if($A1434&lt;&gt;"",if(B1434&gt;C1434,if(B1434&lt;60,1,2),""),"")</f>
        <v/>
      </c>
      <c r="I1434" s="12">
        <f>if($A1434&lt;&gt;"",if(C1434&gt;B1434,if(C1434&lt;60,1,2),""),"")</f>
        <v/>
      </c>
      <c r="J1434" s="9">
        <f>if($A1434&lt;&gt;"",J1433+H1434,"")</f>
        <v/>
      </c>
      <c r="K1434" s="9">
        <f>if($A1434&lt;&gt;"",K1433+I1434,"")</f>
        <v/>
      </c>
      <c r="L1434" s="11">
        <f>IF($A1434&lt;&gt;"",IF(K1434-J1434=0,"tie",IF(K1434-J1434&gt;0,"+"&amp;K1434-J1434,"+"&amp;J1434-K1434)),"")</f>
        <v/>
      </c>
      <c r="M1434" s="17" t="n"/>
      <c r="N1434" s="17" t="n"/>
      <c r="O1434" s="17" t="n"/>
      <c r="P1434" s="17" t="n"/>
      <c r="Q1434" s="17" t="n"/>
      <c r="R1434" s="17" t="n"/>
      <c r="S1434" s="17" t="n"/>
    </row>
    <row r="1435">
      <c r="A1435" s="15" t="n"/>
      <c r="B1435" s="20" t="n"/>
      <c r="C1435" s="20" t="n"/>
      <c r="D1435" s="17" t="n"/>
      <c r="E1435" s="9">
        <f>if($A1435&lt;&gt;"",E1434+B1435,"")</f>
        <v/>
      </c>
      <c r="F1435" s="9">
        <f>if($A1435&lt;&gt;"",F1434+C1435,"")</f>
        <v/>
      </c>
      <c r="G1435" s="11">
        <f>IF($A1435&lt;&gt;"",IF(F1435-E1435=0,"tie",IF(F1435-E1435&gt;0,"+"&amp;F1435-E1435,"+"&amp;E1435-F1435)),"")</f>
        <v/>
      </c>
      <c r="H1435" s="12">
        <f>if($A1435&lt;&gt;"",if(B1435&gt;C1435,if(B1435&lt;60,1,2),""),"")</f>
        <v/>
      </c>
      <c r="I1435" s="12">
        <f>if($A1435&lt;&gt;"",if(C1435&gt;B1435,if(C1435&lt;60,1,2),""),"")</f>
        <v/>
      </c>
      <c r="J1435" s="9">
        <f>if($A1435&lt;&gt;"",J1434+H1435,"")</f>
        <v/>
      </c>
      <c r="K1435" s="9">
        <f>if($A1435&lt;&gt;"",K1434+I1435,"")</f>
        <v/>
      </c>
      <c r="L1435" s="11">
        <f>IF($A1435&lt;&gt;"",IF(K1435-J1435=0,"tie",IF(K1435-J1435&gt;0,"+"&amp;K1435-J1435,"+"&amp;J1435-K1435)),"")</f>
        <v/>
      </c>
      <c r="M1435" s="17" t="n"/>
      <c r="N1435" s="17" t="n"/>
      <c r="O1435" s="17" t="n"/>
      <c r="P1435" s="17" t="n"/>
      <c r="Q1435" s="17" t="n"/>
      <c r="R1435" s="17" t="n"/>
      <c r="S1435" s="17" t="n"/>
    </row>
    <row r="1436">
      <c r="A1436" s="15" t="n"/>
      <c r="B1436" s="20" t="n"/>
      <c r="C1436" s="20" t="n"/>
      <c r="D1436" s="17" t="n"/>
      <c r="E1436" s="9">
        <f>if($A1436&lt;&gt;"",E1435+B1436,"")</f>
        <v/>
      </c>
      <c r="F1436" s="9">
        <f>if($A1436&lt;&gt;"",F1435+C1436,"")</f>
        <v/>
      </c>
      <c r="G1436" s="11">
        <f>IF($A1436&lt;&gt;"",IF(F1436-E1436=0,"tie",IF(F1436-E1436&gt;0,"+"&amp;F1436-E1436,"+"&amp;E1436-F1436)),"")</f>
        <v/>
      </c>
      <c r="H1436" s="12">
        <f>if($A1436&lt;&gt;"",if(B1436&gt;C1436,if(B1436&lt;60,1,2),""),"")</f>
        <v/>
      </c>
      <c r="I1436" s="12">
        <f>if($A1436&lt;&gt;"",if(C1436&gt;B1436,if(C1436&lt;60,1,2),""),"")</f>
        <v/>
      </c>
      <c r="J1436" s="9">
        <f>if($A1436&lt;&gt;"",J1435+H1436,"")</f>
        <v/>
      </c>
      <c r="K1436" s="9">
        <f>if($A1436&lt;&gt;"",K1435+I1436,"")</f>
        <v/>
      </c>
      <c r="L1436" s="11">
        <f>IF($A1436&lt;&gt;"",IF(K1436-J1436=0,"tie",IF(K1436-J1436&gt;0,"+"&amp;K1436-J1436,"+"&amp;J1436-K1436)),"")</f>
        <v/>
      </c>
      <c r="M1436" s="17" t="n"/>
      <c r="N1436" s="17" t="n"/>
      <c r="O1436" s="17" t="n"/>
      <c r="P1436" s="17" t="n"/>
      <c r="Q1436" s="17" t="n"/>
      <c r="R1436" s="17" t="n"/>
      <c r="S1436" s="17" t="n"/>
    </row>
    <row r="1437">
      <c r="A1437" s="15" t="n"/>
      <c r="B1437" s="20" t="n"/>
      <c r="C1437" s="20" t="n"/>
      <c r="D1437" s="17" t="n"/>
      <c r="E1437" s="9">
        <f>if($A1437&lt;&gt;"",E1436+B1437,"")</f>
        <v/>
      </c>
      <c r="F1437" s="9">
        <f>if($A1437&lt;&gt;"",F1436+C1437,"")</f>
        <v/>
      </c>
      <c r="G1437" s="11">
        <f>IF($A1437&lt;&gt;"",IF(F1437-E1437=0,"tie",IF(F1437-E1437&gt;0,"+"&amp;F1437-E1437,"+"&amp;E1437-F1437)),"")</f>
        <v/>
      </c>
      <c r="H1437" s="12">
        <f>if($A1437&lt;&gt;"",if(B1437&gt;C1437,if(B1437&lt;60,1,2),""),"")</f>
        <v/>
      </c>
      <c r="I1437" s="12">
        <f>if($A1437&lt;&gt;"",if(C1437&gt;B1437,if(C1437&lt;60,1,2),""),"")</f>
        <v/>
      </c>
      <c r="J1437" s="9">
        <f>if($A1437&lt;&gt;"",J1436+H1437,"")</f>
        <v/>
      </c>
      <c r="K1437" s="9">
        <f>if($A1437&lt;&gt;"",K1436+I1437,"")</f>
        <v/>
      </c>
      <c r="L1437" s="11">
        <f>IF($A1437&lt;&gt;"",IF(K1437-J1437=0,"tie",IF(K1437-J1437&gt;0,"+"&amp;K1437-J1437,"+"&amp;J1437-K1437)),"")</f>
        <v/>
      </c>
      <c r="M1437" s="17" t="n"/>
      <c r="N1437" s="17" t="n"/>
      <c r="O1437" s="17" t="n"/>
      <c r="P1437" s="17" t="n"/>
      <c r="Q1437" s="17" t="n"/>
      <c r="R1437" s="17" t="n"/>
      <c r="S1437" s="17" t="n"/>
    </row>
    <row r="1438">
      <c r="A1438" s="15" t="n"/>
      <c r="B1438" s="20" t="n"/>
      <c r="C1438" s="20" t="n"/>
      <c r="D1438" s="17" t="n"/>
      <c r="E1438" s="9">
        <f>if($A1438&lt;&gt;"",E1437+B1438,"")</f>
        <v/>
      </c>
      <c r="F1438" s="9">
        <f>if($A1438&lt;&gt;"",F1437+C1438,"")</f>
        <v/>
      </c>
      <c r="G1438" s="11">
        <f>IF($A1438&lt;&gt;"",IF(F1438-E1438=0,"tie",IF(F1438-E1438&gt;0,"+"&amp;F1438-E1438,"+"&amp;E1438-F1438)),"")</f>
        <v/>
      </c>
      <c r="H1438" s="12">
        <f>if($A1438&lt;&gt;"",if(B1438&gt;C1438,if(B1438&lt;60,1,2),""),"")</f>
        <v/>
      </c>
      <c r="I1438" s="12">
        <f>if($A1438&lt;&gt;"",if(C1438&gt;B1438,if(C1438&lt;60,1,2),""),"")</f>
        <v/>
      </c>
      <c r="J1438" s="9">
        <f>if($A1438&lt;&gt;"",J1437+H1438,"")</f>
        <v/>
      </c>
      <c r="K1438" s="9">
        <f>if($A1438&lt;&gt;"",K1437+I1438,"")</f>
        <v/>
      </c>
      <c r="L1438" s="11">
        <f>IF($A1438&lt;&gt;"",IF(K1438-J1438=0,"tie",IF(K1438-J1438&gt;0,"+"&amp;K1438-J1438,"+"&amp;J1438-K1438)),"")</f>
        <v/>
      </c>
      <c r="M1438" s="17" t="n"/>
      <c r="N1438" s="17" t="n"/>
      <c r="O1438" s="17" t="n"/>
      <c r="P1438" s="17" t="n"/>
      <c r="Q1438" s="17" t="n"/>
      <c r="R1438" s="17" t="n"/>
      <c r="S1438" s="17" t="n"/>
    </row>
    <row r="1439">
      <c r="A1439" s="15" t="n"/>
      <c r="B1439" s="20" t="n"/>
      <c r="C1439" s="20" t="n"/>
      <c r="D1439" s="17" t="n"/>
      <c r="E1439" s="9">
        <f>if($A1439&lt;&gt;"",E1438+B1439,"")</f>
        <v/>
      </c>
      <c r="F1439" s="9">
        <f>if($A1439&lt;&gt;"",F1438+C1439,"")</f>
        <v/>
      </c>
      <c r="G1439" s="11">
        <f>IF($A1439&lt;&gt;"",IF(F1439-E1439=0,"tie",IF(F1439-E1439&gt;0,"+"&amp;F1439-E1439,"+"&amp;E1439-F1439)),"")</f>
        <v/>
      </c>
      <c r="H1439" s="12">
        <f>if($A1439&lt;&gt;"",if(B1439&gt;C1439,if(B1439&lt;60,1,2),""),"")</f>
        <v/>
      </c>
      <c r="I1439" s="12">
        <f>if($A1439&lt;&gt;"",if(C1439&gt;B1439,if(C1439&lt;60,1,2),""),"")</f>
        <v/>
      </c>
      <c r="J1439" s="9">
        <f>if($A1439&lt;&gt;"",J1438+H1439,"")</f>
        <v/>
      </c>
      <c r="K1439" s="9">
        <f>if($A1439&lt;&gt;"",K1438+I1439,"")</f>
        <v/>
      </c>
      <c r="L1439" s="11">
        <f>IF($A1439&lt;&gt;"",IF(K1439-J1439=0,"tie",IF(K1439-J1439&gt;0,"+"&amp;K1439-J1439,"+"&amp;J1439-K1439)),"")</f>
        <v/>
      </c>
      <c r="M1439" s="17" t="n"/>
      <c r="N1439" s="17" t="n"/>
      <c r="O1439" s="17" t="n"/>
      <c r="P1439" s="17" t="n"/>
      <c r="Q1439" s="17" t="n"/>
      <c r="R1439" s="17" t="n"/>
      <c r="S1439" s="17" t="n"/>
    </row>
    <row r="1440">
      <c r="A1440" s="15" t="n"/>
      <c r="B1440" s="20" t="n"/>
      <c r="C1440" s="20" t="n"/>
      <c r="D1440" s="17" t="n"/>
      <c r="E1440" s="9">
        <f>if($A1440&lt;&gt;"",E1439+B1440,"")</f>
        <v/>
      </c>
      <c r="F1440" s="9">
        <f>if($A1440&lt;&gt;"",F1439+C1440,"")</f>
        <v/>
      </c>
      <c r="G1440" s="11">
        <f>IF($A1440&lt;&gt;"",IF(F1440-E1440=0,"tie",IF(F1440-E1440&gt;0,"+"&amp;F1440-E1440,"+"&amp;E1440-F1440)),"")</f>
        <v/>
      </c>
      <c r="H1440" s="12">
        <f>if($A1440&lt;&gt;"",if(B1440&gt;C1440,if(B1440&lt;60,1,2),""),"")</f>
        <v/>
      </c>
      <c r="I1440" s="12">
        <f>if($A1440&lt;&gt;"",if(C1440&gt;B1440,if(C1440&lt;60,1,2),""),"")</f>
        <v/>
      </c>
      <c r="J1440" s="9">
        <f>if($A1440&lt;&gt;"",J1439+H1440,"")</f>
        <v/>
      </c>
      <c r="K1440" s="9">
        <f>if($A1440&lt;&gt;"",K1439+I1440,"")</f>
        <v/>
      </c>
      <c r="L1440" s="11">
        <f>IF($A1440&lt;&gt;"",IF(K1440-J1440=0,"tie",IF(K1440-J1440&gt;0,"+"&amp;K1440-J1440,"+"&amp;J1440-K1440)),"")</f>
        <v/>
      </c>
      <c r="M1440" s="17" t="n"/>
      <c r="N1440" s="17" t="n"/>
      <c r="O1440" s="17" t="n"/>
      <c r="P1440" s="17" t="n"/>
      <c r="Q1440" s="17" t="n"/>
      <c r="R1440" s="17" t="n"/>
      <c r="S1440" s="17" t="n"/>
    </row>
    <row r="1441">
      <c r="A1441" s="15" t="n"/>
      <c r="B1441" s="20" t="n"/>
      <c r="C1441" s="20" t="n"/>
      <c r="D1441" s="17" t="n"/>
      <c r="E1441" s="9">
        <f>if($A1441&lt;&gt;"",E1440+B1441,"")</f>
        <v/>
      </c>
      <c r="F1441" s="9">
        <f>if($A1441&lt;&gt;"",F1440+C1441,"")</f>
        <v/>
      </c>
      <c r="G1441" s="11">
        <f>IF($A1441&lt;&gt;"",IF(F1441-E1441=0,"tie",IF(F1441-E1441&gt;0,"+"&amp;F1441-E1441,"+"&amp;E1441-F1441)),"")</f>
        <v/>
      </c>
      <c r="H1441" s="12">
        <f>if($A1441&lt;&gt;"",if(B1441&gt;C1441,if(B1441&lt;60,1,2),""),"")</f>
        <v/>
      </c>
      <c r="I1441" s="12">
        <f>if($A1441&lt;&gt;"",if(C1441&gt;B1441,if(C1441&lt;60,1,2),""),"")</f>
        <v/>
      </c>
      <c r="J1441" s="9">
        <f>if($A1441&lt;&gt;"",J1440+H1441,"")</f>
        <v/>
      </c>
      <c r="K1441" s="9">
        <f>if($A1441&lt;&gt;"",K1440+I1441,"")</f>
        <v/>
      </c>
      <c r="L1441" s="11">
        <f>IF($A1441&lt;&gt;"",IF(K1441-J1441=0,"tie",IF(K1441-J1441&gt;0,"+"&amp;K1441-J1441,"+"&amp;J1441-K1441)),"")</f>
        <v/>
      </c>
      <c r="M1441" s="17" t="n"/>
      <c r="N1441" s="17" t="n"/>
      <c r="O1441" s="17" t="n"/>
      <c r="P1441" s="17" t="n"/>
      <c r="Q1441" s="17" t="n"/>
      <c r="R1441" s="17" t="n"/>
      <c r="S1441" s="17" t="n"/>
    </row>
    <row r="1442">
      <c r="A1442" s="15" t="n"/>
      <c r="B1442" s="20" t="n"/>
      <c r="C1442" s="20" t="n"/>
      <c r="D1442" s="17" t="n"/>
      <c r="E1442" s="9">
        <f>if($A1442&lt;&gt;"",E1441+B1442,"")</f>
        <v/>
      </c>
      <c r="F1442" s="9">
        <f>if($A1442&lt;&gt;"",F1441+C1442,"")</f>
        <v/>
      </c>
      <c r="G1442" s="11">
        <f>IF($A1442&lt;&gt;"",IF(F1442-E1442=0,"tie",IF(F1442-E1442&gt;0,"+"&amp;F1442-E1442,"+"&amp;E1442-F1442)),"")</f>
        <v/>
      </c>
      <c r="H1442" s="12">
        <f>if($A1442&lt;&gt;"",if(B1442&gt;C1442,if(B1442&lt;60,1,2),""),"")</f>
        <v/>
      </c>
      <c r="I1442" s="12">
        <f>if($A1442&lt;&gt;"",if(C1442&gt;B1442,if(C1442&lt;60,1,2),""),"")</f>
        <v/>
      </c>
      <c r="J1442" s="9">
        <f>if($A1442&lt;&gt;"",J1441+H1442,"")</f>
        <v/>
      </c>
      <c r="K1442" s="9">
        <f>if($A1442&lt;&gt;"",K1441+I1442,"")</f>
        <v/>
      </c>
      <c r="L1442" s="11">
        <f>IF($A1442&lt;&gt;"",IF(K1442-J1442=0,"tie",IF(K1442-J1442&gt;0,"+"&amp;K1442-J1442,"+"&amp;J1442-K1442)),"")</f>
        <v/>
      </c>
      <c r="M1442" s="17" t="n"/>
      <c r="N1442" s="17" t="n"/>
      <c r="O1442" s="17" t="n"/>
      <c r="P1442" s="17" t="n"/>
      <c r="Q1442" s="17" t="n"/>
      <c r="R1442" s="17" t="n"/>
      <c r="S1442" s="17" t="n"/>
    </row>
    <row r="1443">
      <c r="A1443" s="15" t="n"/>
      <c r="B1443" s="20" t="n"/>
      <c r="C1443" s="20" t="n"/>
      <c r="D1443" s="17" t="n"/>
      <c r="E1443" s="9">
        <f>if($A1443&lt;&gt;"",E1442+B1443,"")</f>
        <v/>
      </c>
      <c r="F1443" s="9">
        <f>if($A1443&lt;&gt;"",F1442+C1443,"")</f>
        <v/>
      </c>
      <c r="G1443" s="11">
        <f>IF($A1443&lt;&gt;"",IF(F1443-E1443=0,"tie",IF(F1443-E1443&gt;0,"+"&amp;F1443-E1443,"+"&amp;E1443-F1443)),"")</f>
        <v/>
      </c>
      <c r="H1443" s="12">
        <f>if($A1443&lt;&gt;"",if(B1443&gt;C1443,if(B1443&lt;60,1,2),""),"")</f>
        <v/>
      </c>
      <c r="I1443" s="12">
        <f>if($A1443&lt;&gt;"",if(C1443&gt;B1443,if(C1443&lt;60,1,2),""),"")</f>
        <v/>
      </c>
      <c r="J1443" s="9">
        <f>if($A1443&lt;&gt;"",J1442+H1443,"")</f>
        <v/>
      </c>
      <c r="K1443" s="9">
        <f>if($A1443&lt;&gt;"",K1442+I1443,"")</f>
        <v/>
      </c>
      <c r="L1443" s="11">
        <f>IF($A1443&lt;&gt;"",IF(K1443-J1443=0,"tie",IF(K1443-J1443&gt;0,"+"&amp;K1443-J1443,"+"&amp;J1443-K1443)),"")</f>
        <v/>
      </c>
      <c r="M1443" s="17" t="n"/>
      <c r="N1443" s="17" t="n"/>
      <c r="O1443" s="17" t="n"/>
      <c r="P1443" s="17" t="n"/>
      <c r="Q1443" s="17" t="n"/>
      <c r="R1443" s="17" t="n"/>
      <c r="S1443" s="17" t="n"/>
    </row>
    <row r="1444">
      <c r="A1444" s="15" t="n"/>
      <c r="B1444" s="20" t="n"/>
      <c r="C1444" s="20" t="n"/>
      <c r="D1444" s="17" t="n"/>
      <c r="E1444" s="9">
        <f>if($A1444&lt;&gt;"",E1443+B1444,"")</f>
        <v/>
      </c>
      <c r="F1444" s="9">
        <f>if($A1444&lt;&gt;"",F1443+C1444,"")</f>
        <v/>
      </c>
      <c r="G1444" s="11">
        <f>IF($A1444&lt;&gt;"",IF(F1444-E1444=0,"tie",IF(F1444-E1444&gt;0,"+"&amp;F1444-E1444,"+"&amp;E1444-F1444)),"")</f>
        <v/>
      </c>
      <c r="H1444" s="12">
        <f>if($A1444&lt;&gt;"",if(B1444&gt;C1444,if(B1444&lt;60,1,2),""),"")</f>
        <v/>
      </c>
      <c r="I1444" s="12">
        <f>if($A1444&lt;&gt;"",if(C1444&gt;B1444,if(C1444&lt;60,1,2),""),"")</f>
        <v/>
      </c>
      <c r="J1444" s="9">
        <f>if($A1444&lt;&gt;"",J1443+H1444,"")</f>
        <v/>
      </c>
      <c r="K1444" s="9">
        <f>if($A1444&lt;&gt;"",K1443+I1444,"")</f>
        <v/>
      </c>
      <c r="L1444" s="11">
        <f>IF($A1444&lt;&gt;"",IF(K1444-J1444=0,"tie",IF(K1444-J1444&gt;0,"+"&amp;K1444-J1444,"+"&amp;J1444-K1444)),"")</f>
        <v/>
      </c>
      <c r="M1444" s="17" t="n"/>
      <c r="N1444" s="17" t="n"/>
      <c r="O1444" s="17" t="n"/>
      <c r="P1444" s="17" t="n"/>
      <c r="Q1444" s="17" t="n"/>
      <c r="R1444" s="17" t="n"/>
      <c r="S1444" s="17" t="n"/>
    </row>
    <row r="1445">
      <c r="A1445" s="15" t="n"/>
      <c r="B1445" s="20" t="n"/>
      <c r="C1445" s="20" t="n"/>
      <c r="D1445" s="17" t="n"/>
      <c r="E1445" s="9">
        <f>if($A1445&lt;&gt;"",E1444+B1445,"")</f>
        <v/>
      </c>
      <c r="F1445" s="9">
        <f>if($A1445&lt;&gt;"",F1444+C1445,"")</f>
        <v/>
      </c>
      <c r="G1445" s="11">
        <f>IF($A1445&lt;&gt;"",IF(F1445-E1445=0,"tie",IF(F1445-E1445&gt;0,"+"&amp;F1445-E1445,"+"&amp;E1445-F1445)),"")</f>
        <v/>
      </c>
      <c r="H1445" s="12">
        <f>if($A1445&lt;&gt;"",if(B1445&gt;C1445,if(B1445&lt;60,1,2),""),"")</f>
        <v/>
      </c>
      <c r="I1445" s="12">
        <f>if($A1445&lt;&gt;"",if(C1445&gt;B1445,if(C1445&lt;60,1,2),""),"")</f>
        <v/>
      </c>
      <c r="J1445" s="9">
        <f>if($A1445&lt;&gt;"",J1444+H1445,"")</f>
        <v/>
      </c>
      <c r="K1445" s="9">
        <f>if($A1445&lt;&gt;"",K1444+I1445,"")</f>
        <v/>
      </c>
      <c r="L1445" s="11">
        <f>IF($A1445&lt;&gt;"",IF(K1445-J1445=0,"tie",IF(K1445-J1445&gt;0,"+"&amp;K1445-J1445,"+"&amp;J1445-K1445)),"")</f>
        <v/>
      </c>
      <c r="M1445" s="17" t="n"/>
      <c r="N1445" s="17" t="n"/>
      <c r="O1445" s="17" t="n"/>
      <c r="P1445" s="17" t="n"/>
      <c r="Q1445" s="17" t="n"/>
      <c r="R1445" s="17" t="n"/>
      <c r="S1445" s="17" t="n"/>
    </row>
    <row r="1446">
      <c r="A1446" s="15" t="n"/>
      <c r="B1446" s="20" t="n"/>
      <c r="C1446" s="20" t="n"/>
      <c r="D1446" s="17" t="n"/>
      <c r="E1446" s="9">
        <f>if($A1446&lt;&gt;"",E1445+B1446,"")</f>
        <v/>
      </c>
      <c r="F1446" s="9">
        <f>if($A1446&lt;&gt;"",F1445+C1446,"")</f>
        <v/>
      </c>
      <c r="G1446" s="11">
        <f>IF($A1446&lt;&gt;"",IF(F1446-E1446=0,"tie",IF(F1446-E1446&gt;0,"+"&amp;F1446-E1446,"+"&amp;E1446-F1446)),"")</f>
        <v/>
      </c>
      <c r="H1446" s="12">
        <f>if($A1446&lt;&gt;"",if(B1446&gt;C1446,if(B1446&lt;60,1,2),""),"")</f>
        <v/>
      </c>
      <c r="I1446" s="12">
        <f>if($A1446&lt;&gt;"",if(C1446&gt;B1446,if(C1446&lt;60,1,2),""),"")</f>
        <v/>
      </c>
      <c r="J1446" s="9">
        <f>if($A1446&lt;&gt;"",J1445+H1446,"")</f>
        <v/>
      </c>
      <c r="K1446" s="9">
        <f>if($A1446&lt;&gt;"",K1445+I1446,"")</f>
        <v/>
      </c>
      <c r="L1446" s="11">
        <f>IF($A1446&lt;&gt;"",IF(K1446-J1446=0,"tie",IF(K1446-J1446&gt;0,"+"&amp;K1446-J1446,"+"&amp;J1446-K1446)),"")</f>
        <v/>
      </c>
      <c r="M1446" s="17" t="n"/>
      <c r="N1446" s="17" t="n"/>
      <c r="O1446" s="17" t="n"/>
      <c r="P1446" s="17" t="n"/>
      <c r="Q1446" s="17" t="n"/>
      <c r="R1446" s="17" t="n"/>
      <c r="S1446" s="17" t="n"/>
    </row>
    <row r="1447">
      <c r="A1447" s="15" t="n"/>
      <c r="B1447" s="20" t="n"/>
      <c r="C1447" s="20" t="n"/>
      <c r="D1447" s="17" t="n"/>
      <c r="E1447" s="9">
        <f>if($A1447&lt;&gt;"",E1446+B1447,"")</f>
        <v/>
      </c>
      <c r="F1447" s="9">
        <f>if($A1447&lt;&gt;"",F1446+C1447,"")</f>
        <v/>
      </c>
      <c r="G1447" s="11">
        <f>IF($A1447&lt;&gt;"",IF(F1447-E1447=0,"tie",IF(F1447-E1447&gt;0,"+"&amp;F1447-E1447,"+"&amp;E1447-F1447)),"")</f>
        <v/>
      </c>
      <c r="H1447" s="12">
        <f>if($A1447&lt;&gt;"",if(B1447&gt;C1447,if(B1447&lt;60,1,2),""),"")</f>
        <v/>
      </c>
      <c r="I1447" s="12">
        <f>if($A1447&lt;&gt;"",if(C1447&gt;B1447,if(C1447&lt;60,1,2),""),"")</f>
        <v/>
      </c>
      <c r="J1447" s="9">
        <f>if($A1447&lt;&gt;"",J1446+H1447,"")</f>
        <v/>
      </c>
      <c r="K1447" s="9">
        <f>if($A1447&lt;&gt;"",K1446+I1447,"")</f>
        <v/>
      </c>
      <c r="L1447" s="11">
        <f>IF($A1447&lt;&gt;"",IF(K1447-J1447=0,"tie",IF(K1447-J1447&gt;0,"+"&amp;K1447-J1447,"+"&amp;J1447-K1447)),"")</f>
        <v/>
      </c>
      <c r="M1447" s="17" t="n"/>
      <c r="N1447" s="17" t="n"/>
      <c r="O1447" s="17" t="n"/>
      <c r="P1447" s="17" t="n"/>
      <c r="Q1447" s="17" t="n"/>
      <c r="R1447" s="17" t="n"/>
      <c r="S1447" s="17" t="n"/>
    </row>
    <row r="1448">
      <c r="A1448" s="15" t="n"/>
      <c r="B1448" s="20" t="n"/>
      <c r="C1448" s="20" t="n"/>
      <c r="D1448" s="17" t="n"/>
      <c r="E1448" s="9">
        <f>if($A1448&lt;&gt;"",E1447+B1448,"")</f>
        <v/>
      </c>
      <c r="F1448" s="9">
        <f>if($A1448&lt;&gt;"",F1447+C1448,"")</f>
        <v/>
      </c>
      <c r="G1448" s="11">
        <f>IF($A1448&lt;&gt;"",IF(F1448-E1448=0,"tie",IF(F1448-E1448&gt;0,"+"&amp;F1448-E1448,"+"&amp;E1448-F1448)),"")</f>
        <v/>
      </c>
      <c r="H1448" s="12">
        <f>if($A1448&lt;&gt;"",if(B1448&gt;C1448,if(B1448&lt;60,1,2),""),"")</f>
        <v/>
      </c>
      <c r="I1448" s="12">
        <f>if($A1448&lt;&gt;"",if(C1448&gt;B1448,if(C1448&lt;60,1,2),""),"")</f>
        <v/>
      </c>
      <c r="J1448" s="9">
        <f>if($A1448&lt;&gt;"",J1447+H1448,"")</f>
        <v/>
      </c>
      <c r="K1448" s="9">
        <f>if($A1448&lt;&gt;"",K1447+I1448,"")</f>
        <v/>
      </c>
      <c r="L1448" s="11">
        <f>IF($A1448&lt;&gt;"",IF(K1448-J1448=0,"tie",IF(K1448-J1448&gt;0,"+"&amp;K1448-J1448,"+"&amp;J1448-K1448)),"")</f>
        <v/>
      </c>
      <c r="M1448" s="17" t="n"/>
      <c r="N1448" s="17" t="n"/>
      <c r="O1448" s="17" t="n"/>
      <c r="P1448" s="17" t="n"/>
      <c r="Q1448" s="17" t="n"/>
      <c r="R1448" s="17" t="n"/>
      <c r="S1448" s="17" t="n"/>
    </row>
    <row r="1449">
      <c r="A1449" s="15" t="n"/>
      <c r="B1449" s="20" t="n"/>
      <c r="C1449" s="20" t="n"/>
      <c r="D1449" s="17" t="n"/>
      <c r="E1449" s="9">
        <f>if($A1449&lt;&gt;"",E1448+B1449,"")</f>
        <v/>
      </c>
      <c r="F1449" s="9">
        <f>if($A1449&lt;&gt;"",F1448+C1449,"")</f>
        <v/>
      </c>
      <c r="G1449" s="11">
        <f>IF($A1449&lt;&gt;"",IF(F1449-E1449=0,"tie",IF(F1449-E1449&gt;0,"+"&amp;F1449-E1449,"+"&amp;E1449-F1449)),"")</f>
        <v/>
      </c>
      <c r="H1449" s="12">
        <f>if($A1449&lt;&gt;"",if(B1449&gt;C1449,if(B1449&lt;60,1,2),""),"")</f>
        <v/>
      </c>
      <c r="I1449" s="12">
        <f>if($A1449&lt;&gt;"",if(C1449&gt;B1449,if(C1449&lt;60,1,2),""),"")</f>
        <v/>
      </c>
      <c r="J1449" s="9">
        <f>if($A1449&lt;&gt;"",J1448+H1449,"")</f>
        <v/>
      </c>
      <c r="K1449" s="9">
        <f>if($A1449&lt;&gt;"",K1448+I1449,"")</f>
        <v/>
      </c>
      <c r="L1449" s="11">
        <f>IF($A1449&lt;&gt;"",IF(K1449-J1449=0,"tie",IF(K1449-J1449&gt;0,"+"&amp;K1449-J1449,"+"&amp;J1449-K1449)),"")</f>
        <v/>
      </c>
      <c r="M1449" s="17" t="n"/>
      <c r="N1449" s="17" t="n"/>
      <c r="O1449" s="17" t="n"/>
      <c r="P1449" s="17" t="n"/>
      <c r="Q1449" s="17" t="n"/>
      <c r="R1449" s="17" t="n"/>
      <c r="S1449" s="17" t="n"/>
    </row>
    <row r="1450">
      <c r="A1450" s="15" t="n">
        <v>60328</v>
      </c>
      <c r="B1450" s="23" t="n"/>
      <c r="C1450" s="23" t="n"/>
      <c r="D1450" s="17" t="inlineStr">
        <is>
          <t>Nancy's prediction on March 2, 2015</t>
        </is>
      </c>
      <c r="E1450" s="9" t="n"/>
      <c r="F1450" s="9" t="n"/>
      <c r="G1450" s="11" t="n"/>
      <c r="H1450" s="9" t="inlineStr">
        <is>
          <t>P: 2200</t>
        </is>
      </c>
      <c r="I1450" s="9" t="inlineStr">
        <is>
          <t>P: 1888</t>
        </is>
      </c>
      <c r="J1450" s="9" t="n"/>
      <c r="K1450" s="9" t="n"/>
      <c r="L1450" s="11" t="n"/>
      <c r="M1450" s="17" t="n"/>
      <c r="N1450" s="17" t="n"/>
      <c r="O1450" s="17" t="n"/>
      <c r="P1450" s="17" t="n"/>
      <c r="Q1450" s="17" t="n"/>
      <c r="R1450" s="17" t="n"/>
      <c r="S1450" s="17" t="n"/>
    </row>
    <row r="1451">
      <c r="A1451" s="24" t="n"/>
      <c r="B1451" s="20" t="n"/>
      <c r="C1451" s="20" t="n"/>
      <c r="D1451" s="25" t="n"/>
      <c r="E1451" s="20">
        <f>if($A1451&lt;&gt;"",#REF!+B1451,"")</f>
        <v/>
      </c>
      <c r="F1451" s="20">
        <f>if($A1451&lt;&gt;"",#REF!+C1451,"")</f>
        <v/>
      </c>
      <c r="G1451" s="25" t="n"/>
      <c r="H1451" s="20" t="n"/>
      <c r="I1451" s="20" t="n"/>
      <c r="J1451" s="20">
        <f>if($A1451&lt;&gt;"",#REF!+G1451,"")</f>
        <v/>
      </c>
      <c r="K1451" s="20">
        <f>if($A1451&lt;&gt;"",#REF!+H1451,"")</f>
        <v/>
      </c>
      <c r="L1451" s="25" t="n"/>
      <c r="M1451" s="20" t="n"/>
      <c r="N1451" s="20" t="n"/>
      <c r="O1451" s="20" t="n"/>
      <c r="P1451" s="20" t="n"/>
      <c r="Q1451" s="20" t="n"/>
      <c r="R1451" s="20" t="n"/>
      <c r="S1451" s="20" t="n"/>
    </row>
    <row r="1452">
      <c r="A1452" s="24" t="n"/>
      <c r="B1452" s="20" t="n"/>
      <c r="C1452" s="20" t="n"/>
      <c r="D1452" s="25" t="n"/>
      <c r="E1452" s="20">
        <f>if($A1452&lt;&gt;"",E1451+B1452,"")</f>
        <v/>
      </c>
      <c r="F1452" s="20">
        <f>if($A1452&lt;&gt;"",F1451+C1452,"")</f>
        <v/>
      </c>
      <c r="G1452" s="25" t="n"/>
      <c r="H1452" s="20" t="n"/>
      <c r="I1452" s="20" t="n"/>
      <c r="J1452" s="20">
        <f>if($A1452&lt;&gt;"",J1451+G1452,"")</f>
        <v/>
      </c>
      <c r="K1452" s="20">
        <f>if($A1452&lt;&gt;"",K1451+H1452,"")</f>
        <v/>
      </c>
      <c r="L1452" s="25" t="n"/>
      <c r="M1452" s="20" t="n"/>
      <c r="N1452" s="20" t="n"/>
      <c r="O1452" s="20" t="n"/>
      <c r="P1452" s="20" t="n"/>
      <c r="Q1452" s="20" t="n"/>
      <c r="R1452" s="20" t="n"/>
      <c r="S1452" s="20" t="n"/>
    </row>
    <row r="1453">
      <c r="A1453" s="24" t="n"/>
      <c r="B1453" s="20" t="n"/>
      <c r="C1453" s="20" t="n"/>
      <c r="D1453" s="25" t="n"/>
      <c r="E1453" s="20">
        <f>if($A1453&lt;&gt;"",E1452+B1453,"")</f>
        <v/>
      </c>
      <c r="F1453" s="20">
        <f>if($A1453&lt;&gt;"",F1452+C1453,"")</f>
        <v/>
      </c>
      <c r="G1453" s="25" t="n"/>
      <c r="H1453" s="20" t="n"/>
      <c r="I1453" s="20" t="n"/>
      <c r="J1453" s="20">
        <f>if($A1453&lt;&gt;"",J1452+G1453,"")</f>
        <v/>
      </c>
      <c r="K1453" s="20">
        <f>if($A1453&lt;&gt;"",K1452+H1453,"")</f>
        <v/>
      </c>
      <c r="L1453" s="25" t="n"/>
      <c r="M1453" s="20" t="n"/>
      <c r="N1453" s="20" t="n"/>
      <c r="O1453" s="20" t="n"/>
      <c r="P1453" s="20" t="n"/>
      <c r="Q1453" s="20" t="n"/>
      <c r="R1453" s="20" t="n"/>
      <c r="S1453" s="20" t="n"/>
    </row>
    <row r="1454">
      <c r="A1454" s="24" t="n"/>
      <c r="B1454" s="20" t="n"/>
      <c r="C1454" s="20" t="n"/>
      <c r="D1454" s="23" t="n"/>
      <c r="E1454" s="20" t="n"/>
      <c r="F1454" s="20" t="n"/>
      <c r="G1454" s="25" t="n"/>
      <c r="H1454" s="20" t="n"/>
      <c r="I1454" s="20" t="n"/>
      <c r="J1454" s="20" t="n"/>
      <c r="K1454" s="20" t="n"/>
      <c r="L1454" s="25" t="n"/>
      <c r="M1454" s="20" t="n"/>
      <c r="N1454" s="20" t="n"/>
      <c r="O1454" s="20" t="n"/>
      <c r="P1454" s="20" t="n">
        <v>85885</v>
      </c>
      <c r="Q1454" s="26" t="n"/>
      <c r="R1454" s="20" t="n"/>
      <c r="S1454" s="20" t="n"/>
    </row>
    <row r="1455">
      <c r="A1455" s="24" t="n"/>
      <c r="B1455" s="20" t="n"/>
      <c r="C1455" s="20" t="n"/>
      <c r="D1455" s="23" t="n"/>
      <c r="E1455" s="20" t="n"/>
      <c r="F1455" s="20" t="n"/>
      <c r="G1455" s="25" t="n"/>
      <c r="H1455" s="20" t="n"/>
      <c r="I1455" s="20" t="n"/>
      <c r="J1455" s="20" t="n"/>
      <c r="K1455" s="20" t="n"/>
      <c r="L1455" s="25" t="n"/>
      <c r="M1455" s="20" t="n"/>
      <c r="N1455" s="20" t="n"/>
      <c r="O1455" s="20" t="n"/>
      <c r="P1455" s="20" t="n"/>
      <c r="Q1455" s="26" t="n"/>
      <c r="R1455" s="20" t="n"/>
      <c r="S1455" s="20" t="n"/>
    </row>
    <row r="1456">
      <c r="A1456" s="24" t="n"/>
      <c r="B1456" s="20" t="n"/>
      <c r="C1456" s="20" t="n"/>
      <c r="D1456" s="23" t="n"/>
      <c r="E1456" s="20" t="n"/>
      <c r="F1456" s="20" t="n"/>
      <c r="G1456" s="25" t="n"/>
      <c r="H1456" s="20" t="n"/>
      <c r="I1456" s="20" t="n"/>
      <c r="J1456" s="20" t="n"/>
      <c r="K1456" s="20" t="n"/>
      <c r="L1456" s="25" t="n"/>
      <c r="M1456" s="20" t="n"/>
      <c r="N1456" s="20" t="n"/>
      <c r="O1456" s="20" t="n"/>
      <c r="P1456" s="20" t="n"/>
      <c r="Q1456" s="26" t="n"/>
      <c r="R1456" s="20" t="n"/>
      <c r="S1456" s="20" t="n"/>
    </row>
    <row r="1457">
      <c r="A1457" s="24" t="n"/>
      <c r="B1457" s="20" t="n"/>
      <c r="C1457" s="20" t="n"/>
      <c r="D1457" s="23" t="n"/>
      <c r="E1457" s="20" t="n"/>
      <c r="F1457" s="20" t="n"/>
      <c r="G1457" s="25" t="n"/>
      <c r="H1457" s="20" t="n"/>
      <c r="I1457" s="20" t="n"/>
      <c r="J1457" s="20" t="n"/>
      <c r="K1457" s="20" t="n"/>
      <c r="L1457" s="25" t="n"/>
      <c r="M1457" s="20" t="n"/>
      <c r="N1457" s="20" t="n"/>
      <c r="O1457" s="20" t="n"/>
      <c r="P1457" s="20" t="n"/>
      <c r="Q1457" s="26" t="n"/>
      <c r="R1457" s="20" t="n"/>
      <c r="S1457" s="20" t="n"/>
    </row>
    <row r="1458">
      <c r="A1458" s="24" t="n"/>
      <c r="B1458" s="20" t="n"/>
      <c r="C1458" s="20" t="n"/>
      <c r="D1458" s="23" t="n"/>
      <c r="E1458" s="20" t="n"/>
      <c r="F1458" s="20" t="n"/>
      <c r="G1458" s="25" t="n"/>
      <c r="H1458" s="20" t="n"/>
      <c r="I1458" s="20" t="n"/>
      <c r="J1458" s="20" t="n"/>
      <c r="K1458" s="20" t="n"/>
      <c r="L1458" s="25" t="n"/>
      <c r="M1458" s="20" t="n"/>
      <c r="N1458" s="20" t="n"/>
      <c r="O1458" s="20" t="n"/>
      <c r="P1458" s="20" t="n"/>
      <c r="Q1458" s="26" t="n"/>
      <c r="R1458" s="20" t="n"/>
      <c r="S1458" s="20" t="n"/>
    </row>
    <row r="1459">
      <c r="A1459" s="24" t="n"/>
      <c r="B1459" s="20" t="n"/>
      <c r="C1459" s="20" t="n"/>
      <c r="D1459" s="23" t="n"/>
      <c r="E1459" s="20" t="n"/>
      <c r="F1459" s="20" t="n"/>
      <c r="G1459" s="25" t="n"/>
      <c r="H1459" s="20" t="n"/>
      <c r="I1459" s="20" t="n"/>
      <c r="J1459" s="20" t="n"/>
      <c r="K1459" s="20" t="n"/>
      <c r="L1459" s="25" t="n"/>
      <c r="M1459" s="20" t="n"/>
      <c r="N1459" s="20" t="n"/>
      <c r="O1459" s="20" t="n"/>
      <c r="P1459" s="20" t="n"/>
      <c r="Q1459" s="26" t="n"/>
      <c r="R1459" s="20" t="n"/>
      <c r="S1459" s="20" t="n"/>
    </row>
    <row r="1460">
      <c r="A1460" s="24" t="n"/>
      <c r="B1460" s="20" t="n"/>
      <c r="C1460" s="20" t="n"/>
      <c r="D1460" s="23" t="n"/>
      <c r="E1460" s="20" t="n"/>
      <c r="F1460" s="20" t="n"/>
      <c r="G1460" s="25" t="n"/>
      <c r="H1460" s="20" t="n"/>
      <c r="I1460" s="20" t="n"/>
      <c r="J1460" s="20" t="n"/>
      <c r="K1460" s="20" t="n"/>
      <c r="L1460" s="25" t="n"/>
      <c r="M1460" s="20" t="n"/>
      <c r="N1460" s="20" t="n"/>
      <c r="O1460" s="20" t="n"/>
      <c r="P1460" s="20" t="n"/>
      <c r="Q1460" s="26" t="n"/>
      <c r="R1460" s="20" t="n"/>
      <c r="S1460" s="20" t="n"/>
    </row>
    <row r="1461">
      <c r="A1461" s="24" t="n"/>
      <c r="B1461" s="20" t="n"/>
      <c r="C1461" s="20" t="n"/>
      <c r="D1461" s="23" t="n"/>
      <c r="E1461" s="20" t="n"/>
      <c r="F1461" s="20" t="n"/>
      <c r="G1461" s="25" t="n"/>
      <c r="H1461" s="20" t="n"/>
      <c r="I1461" s="20" t="n"/>
      <c r="J1461" s="20" t="n"/>
      <c r="K1461" s="20" t="n"/>
      <c r="L1461" s="25" t="n"/>
      <c r="M1461" s="20" t="n"/>
      <c r="N1461" s="20" t="n"/>
      <c r="O1461" s="20" t="n"/>
      <c r="P1461" s="20" t="n"/>
      <c r="Q1461" s="26" t="n"/>
      <c r="R1461" s="20" t="n"/>
      <c r="S1461" s="20" t="n"/>
    </row>
    <row r="1462">
      <c r="A1462" s="24" t="n"/>
      <c r="B1462" s="20" t="n"/>
      <c r="C1462" s="20" t="n"/>
      <c r="D1462" s="23" t="n"/>
      <c r="E1462" s="20" t="n"/>
      <c r="F1462" s="20" t="n"/>
      <c r="G1462" s="25" t="n"/>
      <c r="H1462" s="20" t="n"/>
      <c r="I1462" s="20" t="n"/>
      <c r="J1462" s="20" t="n"/>
      <c r="K1462" s="20" t="n"/>
      <c r="L1462" s="25" t="n"/>
      <c r="M1462" s="20" t="n"/>
      <c r="N1462" s="20" t="n"/>
      <c r="O1462" s="20" t="n"/>
      <c r="P1462" s="20" t="n"/>
      <c r="Q1462" s="26" t="n"/>
      <c r="R1462" s="20" t="n"/>
      <c r="S1462" s="20" t="n"/>
    </row>
    <row r="1463">
      <c r="A1463" s="24" t="n"/>
      <c r="B1463" s="20" t="n"/>
      <c r="C1463" s="20" t="n"/>
      <c r="D1463" s="23" t="n"/>
      <c r="E1463" s="20" t="n"/>
      <c r="F1463" s="20" t="n"/>
      <c r="G1463" s="25" t="n"/>
      <c r="H1463" s="20" t="n"/>
      <c r="I1463" s="20" t="n"/>
      <c r="J1463" s="20" t="n"/>
      <c r="K1463" s="20" t="n"/>
      <c r="L1463" s="25" t="n"/>
      <c r="M1463" s="20" t="n"/>
      <c r="N1463" s="20" t="n"/>
      <c r="O1463" s="20" t="n"/>
      <c r="P1463" s="20" t="n"/>
      <c r="Q1463" s="26" t="n"/>
      <c r="R1463" s="20" t="n"/>
      <c r="S1463" s="20" t="n"/>
    </row>
    <row r="1464">
      <c r="A1464" s="24" t="n"/>
      <c r="B1464" s="20" t="n"/>
      <c r="C1464" s="20" t="n"/>
      <c r="D1464" s="23" t="n"/>
      <c r="E1464" s="20" t="n"/>
      <c r="F1464" s="20" t="n"/>
      <c r="G1464" s="25" t="n"/>
      <c r="H1464" s="20" t="n"/>
      <c r="I1464" s="20" t="n"/>
      <c r="J1464" s="20" t="n"/>
      <c r="K1464" s="20" t="n"/>
      <c r="L1464" s="25" t="n"/>
      <c r="M1464" s="20" t="n"/>
      <c r="N1464" s="20" t="n"/>
      <c r="O1464" s="20" t="n"/>
      <c r="P1464" s="20" t="n"/>
      <c r="Q1464" s="26" t="n"/>
      <c r="R1464" s="20" t="n"/>
      <c r="S1464" s="20" t="n"/>
    </row>
    <row r="1465">
      <c r="A1465" s="24" t="n"/>
      <c r="B1465" s="20" t="n"/>
      <c r="C1465" s="20" t="n"/>
      <c r="D1465" s="23" t="n"/>
      <c r="E1465" s="20" t="n"/>
      <c r="F1465" s="20" t="n"/>
      <c r="G1465" s="25" t="n"/>
      <c r="H1465" s="20" t="n"/>
      <c r="I1465" s="20" t="n"/>
      <c r="J1465" s="20" t="n"/>
      <c r="K1465" s="20" t="n"/>
      <c r="L1465" s="25" t="n"/>
      <c r="M1465" s="20" t="n"/>
      <c r="N1465" s="20" t="n"/>
      <c r="O1465" s="20" t="n"/>
      <c r="P1465" s="20" t="n"/>
      <c r="Q1465" s="26" t="n"/>
      <c r="R1465" s="20" t="n"/>
      <c r="S1465" s="20" t="n"/>
    </row>
    <row r="1466">
      <c r="A1466" s="24" t="n"/>
      <c r="B1466" s="20" t="n"/>
      <c r="C1466" s="20" t="n"/>
      <c r="D1466" s="23" t="n"/>
      <c r="E1466" s="20" t="n"/>
      <c r="F1466" s="20" t="n"/>
      <c r="G1466" s="25" t="n"/>
      <c r="H1466" s="20" t="n"/>
      <c r="I1466" s="20" t="n"/>
      <c r="J1466" s="20" t="n"/>
      <c r="K1466" s="20" t="n"/>
      <c r="L1466" s="25" t="n"/>
      <c r="M1466" s="20" t="n"/>
      <c r="N1466" s="20" t="n"/>
      <c r="O1466" s="20" t="n"/>
      <c r="P1466" s="20" t="n"/>
      <c r="Q1466" s="26" t="n"/>
      <c r="R1466" s="20" t="n"/>
      <c r="S1466" s="20" t="n"/>
    </row>
    <row r="1467">
      <c r="A1467" s="24" t="n"/>
      <c r="B1467" s="20" t="n"/>
      <c r="C1467" s="20" t="n"/>
      <c r="D1467" s="23" t="n"/>
      <c r="E1467" s="20" t="n"/>
      <c r="F1467" s="20" t="n"/>
      <c r="G1467" s="25" t="n"/>
      <c r="H1467" s="20" t="n"/>
      <c r="I1467" s="20" t="n"/>
      <c r="J1467" s="20" t="n"/>
      <c r="K1467" s="20" t="n"/>
      <c r="L1467" s="25" t="n"/>
      <c r="M1467" s="20" t="n"/>
      <c r="N1467" s="20" t="n"/>
      <c r="O1467" s="20" t="n"/>
      <c r="P1467" s="20" t="n"/>
      <c r="Q1467" s="26" t="n"/>
      <c r="R1467" s="20" t="n"/>
      <c r="S1467" s="20" t="n"/>
    </row>
    <row r="1468">
      <c r="A1468" s="24" t="n"/>
      <c r="B1468" s="20" t="n"/>
      <c r="C1468" s="20" t="n"/>
      <c r="D1468" s="23" t="n"/>
      <c r="E1468" s="20" t="n"/>
      <c r="F1468" s="20" t="n"/>
      <c r="G1468" s="25" t="n"/>
      <c r="H1468" s="20" t="n"/>
      <c r="I1468" s="20" t="n"/>
      <c r="J1468" s="20" t="n"/>
      <c r="K1468" s="20" t="n"/>
      <c r="L1468" s="25" t="n"/>
      <c r="M1468" s="20" t="n"/>
      <c r="N1468" s="20" t="n"/>
      <c r="O1468" s="20" t="n"/>
      <c r="P1468" s="20" t="n"/>
      <c r="Q1468" s="26" t="n"/>
      <c r="R1468" s="20" t="n"/>
      <c r="S1468" s="20" t="n"/>
    </row>
    <row r="1469">
      <c r="A1469" s="24" t="n"/>
      <c r="B1469" s="20" t="n"/>
      <c r="C1469" s="20" t="n"/>
      <c r="D1469" s="23" t="n"/>
      <c r="E1469" s="20" t="n"/>
      <c r="F1469" s="20" t="n"/>
      <c r="G1469" s="25" t="n"/>
      <c r="H1469" s="20" t="n"/>
      <c r="I1469" s="20" t="n"/>
      <c r="J1469" s="20" t="n"/>
      <c r="K1469" s="20" t="n"/>
      <c r="L1469" s="25" t="n"/>
      <c r="M1469" s="20" t="n"/>
      <c r="N1469" s="20" t="n"/>
      <c r="O1469" s="20" t="n"/>
      <c r="P1469" s="20" t="n"/>
      <c r="Q1469" s="26" t="n"/>
      <c r="R1469" s="20" t="n"/>
      <c r="S1469" s="20" t="n"/>
    </row>
    <row r="1470">
      <c r="A1470" s="24" t="n"/>
      <c r="B1470" s="20" t="n"/>
      <c r="C1470" s="20" t="n"/>
      <c r="D1470" s="23" t="n"/>
      <c r="E1470" s="20" t="n"/>
      <c r="F1470" s="20" t="n"/>
      <c r="G1470" s="25" t="n"/>
      <c r="H1470" s="20" t="n"/>
      <c r="I1470" s="20" t="n"/>
      <c r="J1470" s="20" t="n"/>
      <c r="K1470" s="20" t="n"/>
      <c r="L1470" s="25" t="n"/>
      <c r="M1470" s="20" t="n"/>
      <c r="N1470" s="20" t="n"/>
      <c r="O1470" s="20" t="n"/>
      <c r="P1470" s="20" t="n"/>
      <c r="Q1470" s="26" t="n"/>
      <c r="R1470" s="20" t="n"/>
      <c r="S1470" s="20" t="n"/>
    </row>
    <row r="1471">
      <c r="A1471" s="24" t="n"/>
      <c r="B1471" s="20" t="n"/>
      <c r="C1471" s="20" t="n"/>
      <c r="D1471" s="23" t="n"/>
      <c r="E1471" s="20" t="n"/>
      <c r="F1471" s="20" t="n"/>
      <c r="G1471" s="25" t="n"/>
      <c r="H1471" s="20" t="n"/>
      <c r="I1471" s="20" t="n"/>
      <c r="J1471" s="20" t="n"/>
      <c r="K1471" s="20" t="n"/>
      <c r="L1471" s="25" t="n"/>
      <c r="M1471" s="20" t="n"/>
      <c r="N1471" s="20" t="n"/>
      <c r="O1471" s="20" t="n"/>
      <c r="P1471" s="20" t="n"/>
      <c r="Q1471" s="26" t="n"/>
      <c r="R1471" s="20" t="n"/>
      <c r="S1471" s="20" t="n"/>
    </row>
    <row r="1472">
      <c r="A1472" s="24" t="n"/>
      <c r="B1472" s="20" t="n"/>
      <c r="C1472" s="20" t="n"/>
      <c r="D1472" s="23" t="n"/>
      <c r="E1472" s="20" t="n"/>
      <c r="F1472" s="20" t="n"/>
      <c r="G1472" s="25" t="n"/>
      <c r="H1472" s="20" t="n"/>
      <c r="I1472" s="20" t="n"/>
      <c r="J1472" s="20" t="n"/>
      <c r="K1472" s="20" t="n"/>
      <c r="L1472" s="25" t="n"/>
      <c r="M1472" s="20" t="n"/>
      <c r="N1472" s="20" t="n"/>
      <c r="O1472" s="20" t="n"/>
      <c r="P1472" s="20" t="n"/>
      <c r="Q1472" s="26" t="n"/>
      <c r="R1472" s="20" t="n"/>
      <c r="S1472" s="20" t="n"/>
    </row>
    <row r="1473">
      <c r="A1473" s="24" t="n"/>
      <c r="B1473" s="20" t="n"/>
      <c r="C1473" s="20" t="n"/>
      <c r="D1473" s="23" t="n"/>
      <c r="E1473" s="20" t="n"/>
      <c r="F1473" s="20" t="n"/>
      <c r="G1473" s="25" t="n"/>
      <c r="H1473" s="20" t="n"/>
      <c r="I1473" s="20" t="n"/>
      <c r="J1473" s="20" t="n"/>
      <c r="K1473" s="20" t="n"/>
      <c r="L1473" s="25" t="n"/>
      <c r="M1473" s="20" t="n"/>
      <c r="N1473" s="20" t="n"/>
      <c r="O1473" s="20" t="n"/>
      <c r="P1473" s="20" t="n"/>
      <c r="Q1473" s="26" t="n"/>
      <c r="R1473" s="20" t="n"/>
      <c r="S1473" s="20" t="n"/>
    </row>
    <row r="1474">
      <c r="A1474" s="24" t="n"/>
      <c r="B1474" s="20" t="n"/>
      <c r="C1474" s="20" t="n"/>
      <c r="D1474" s="23" t="n"/>
      <c r="E1474" s="20" t="n"/>
      <c r="F1474" s="20" t="n"/>
      <c r="G1474" s="25" t="n"/>
      <c r="H1474" s="20" t="n"/>
      <c r="I1474" s="20" t="n"/>
      <c r="J1474" s="20" t="n"/>
      <c r="K1474" s="20" t="n"/>
      <c r="L1474" s="25" t="n"/>
      <c r="M1474" s="20" t="n"/>
      <c r="N1474" s="20" t="n"/>
      <c r="O1474" s="20" t="n"/>
      <c r="P1474" s="20" t="n"/>
      <c r="Q1474" s="26" t="n"/>
      <c r="R1474" s="20" t="n"/>
      <c r="S1474" s="20" t="n"/>
    </row>
    <row r="1475">
      <c r="A1475" s="24" t="n"/>
      <c r="B1475" s="20" t="n"/>
      <c r="C1475" s="20" t="n"/>
      <c r="D1475" s="23" t="n"/>
      <c r="E1475" s="20" t="n"/>
      <c r="F1475" s="20" t="n"/>
      <c r="G1475" s="25" t="n"/>
      <c r="H1475" s="20" t="n"/>
      <c r="I1475" s="20" t="n"/>
      <c r="J1475" s="20" t="n"/>
      <c r="K1475" s="20" t="n"/>
      <c r="L1475" s="25" t="n"/>
      <c r="M1475" s="20" t="n"/>
      <c r="N1475" s="20" t="n"/>
      <c r="O1475" s="20" t="n"/>
      <c r="P1475" s="20" t="n"/>
      <c r="Q1475" s="26" t="n"/>
      <c r="R1475" s="20" t="n"/>
      <c r="S1475" s="20" t="n"/>
    </row>
    <row r="1476">
      <c r="A1476" s="24" t="n"/>
      <c r="B1476" s="20" t="n"/>
      <c r="C1476" s="20" t="n"/>
      <c r="D1476" s="23" t="n"/>
      <c r="E1476" s="20" t="n"/>
      <c r="F1476" s="20" t="n"/>
      <c r="G1476" s="25" t="n"/>
      <c r="H1476" s="20" t="n"/>
      <c r="I1476" s="20" t="n"/>
      <c r="J1476" s="20" t="n"/>
      <c r="K1476" s="20" t="n"/>
      <c r="L1476" s="25" t="n"/>
      <c r="M1476" s="20" t="n"/>
      <c r="N1476" s="20" t="n"/>
      <c r="O1476" s="20" t="n"/>
      <c r="P1476" s="20" t="n"/>
      <c r="Q1476" s="26" t="n"/>
      <c r="R1476" s="20" t="n"/>
      <c r="S1476" s="20" t="n"/>
    </row>
    <row r="1477">
      <c r="A1477" s="24" t="n"/>
      <c r="B1477" s="20" t="n"/>
      <c r="C1477" s="20" t="n"/>
      <c r="D1477" s="23" t="n"/>
      <c r="E1477" s="20" t="n"/>
      <c r="F1477" s="20" t="n"/>
      <c r="G1477" s="25" t="n"/>
      <c r="H1477" s="20" t="n"/>
      <c r="I1477" s="20" t="n"/>
      <c r="J1477" s="20" t="n"/>
      <c r="K1477" s="20" t="n"/>
      <c r="L1477" s="25" t="n"/>
      <c r="M1477" s="20" t="n"/>
      <c r="N1477" s="20" t="n"/>
      <c r="O1477" s="20" t="n"/>
      <c r="P1477" s="20" t="n"/>
      <c r="Q1477" s="26" t="n"/>
      <c r="R1477" s="20" t="n"/>
      <c r="S1477" s="20" t="n"/>
    </row>
    <row r="1478">
      <c r="A1478" s="24" t="n"/>
      <c r="B1478" s="20" t="n"/>
      <c r="C1478" s="20" t="n"/>
      <c r="D1478" s="23" t="n"/>
      <c r="E1478" s="20" t="n"/>
      <c r="F1478" s="20" t="n"/>
      <c r="G1478" s="25" t="n"/>
      <c r="H1478" s="20" t="n"/>
      <c r="I1478" s="20" t="n"/>
      <c r="J1478" s="20" t="n"/>
      <c r="K1478" s="20" t="n"/>
      <c r="L1478" s="25" t="n"/>
      <c r="M1478" s="20" t="n"/>
      <c r="N1478" s="20" t="n"/>
      <c r="O1478" s="20" t="n"/>
      <c r="P1478" s="20" t="n"/>
      <c r="Q1478" s="26" t="n"/>
      <c r="R1478" s="20" t="n"/>
      <c r="S1478" s="20" t="n"/>
    </row>
    <row r="1479">
      <c r="A1479" s="24" t="n"/>
      <c r="B1479" s="20" t="n"/>
      <c r="C1479" s="20" t="n"/>
      <c r="D1479" s="23" t="n"/>
      <c r="E1479" s="20" t="n"/>
      <c r="F1479" s="20" t="n"/>
      <c r="G1479" s="25" t="n"/>
      <c r="H1479" s="20" t="n"/>
      <c r="I1479" s="20" t="n"/>
      <c r="J1479" s="20" t="n"/>
      <c r="K1479" s="20" t="n"/>
      <c r="L1479" s="25" t="n"/>
      <c r="M1479" s="20" t="n"/>
      <c r="N1479" s="20" t="n"/>
      <c r="O1479" s="20" t="n"/>
      <c r="P1479" s="20" t="n"/>
      <c r="Q1479" s="26" t="n"/>
      <c r="R1479" s="20" t="n"/>
      <c r="S1479" s="20" t="n"/>
    </row>
    <row r="1480">
      <c r="A1480" s="24" t="n"/>
      <c r="B1480" s="20" t="n"/>
      <c r="C1480" s="20" t="n"/>
      <c r="D1480" s="23" t="n"/>
      <c r="E1480" s="20" t="n"/>
      <c r="F1480" s="20" t="n"/>
      <c r="G1480" s="25" t="n"/>
      <c r="H1480" s="20" t="n"/>
      <c r="I1480" s="20" t="n"/>
      <c r="J1480" s="20" t="n"/>
      <c r="K1480" s="20" t="n"/>
      <c r="L1480" s="25" t="n"/>
      <c r="M1480" s="20" t="n"/>
      <c r="N1480" s="20" t="n"/>
      <c r="O1480" s="20" t="n"/>
      <c r="P1480" s="20" t="n"/>
      <c r="Q1480" s="26" t="n"/>
      <c r="R1480" s="20" t="n"/>
      <c r="S1480" s="20" t="n"/>
    </row>
    <row r="1481">
      <c r="A1481" s="24" t="n"/>
      <c r="B1481" s="20" t="n"/>
      <c r="C1481" s="20" t="n"/>
      <c r="D1481" s="23" t="n"/>
      <c r="E1481" s="20" t="n"/>
      <c r="F1481" s="20" t="n"/>
      <c r="G1481" s="25" t="n"/>
      <c r="H1481" s="20" t="n"/>
      <c r="I1481" s="20" t="n"/>
      <c r="J1481" s="20" t="n"/>
      <c r="K1481" s="20" t="n"/>
      <c r="L1481" s="25" t="n"/>
      <c r="M1481" s="20" t="n"/>
      <c r="N1481" s="20" t="n"/>
      <c r="O1481" s="20" t="n"/>
      <c r="P1481" s="20" t="n"/>
      <c r="Q1481" s="26" t="n"/>
      <c r="R1481" s="20" t="n"/>
      <c r="S1481" s="20" t="n"/>
    </row>
    <row r="1482">
      <c r="A1482" s="24" t="n"/>
      <c r="B1482" s="20" t="n"/>
      <c r="C1482" s="20" t="n"/>
      <c r="D1482" s="23" t="n"/>
      <c r="E1482" s="20" t="n"/>
      <c r="F1482" s="20" t="n"/>
      <c r="G1482" s="25" t="n"/>
      <c r="H1482" s="20" t="n"/>
      <c r="I1482" s="20" t="n"/>
      <c r="J1482" s="20" t="n"/>
      <c r="K1482" s="20" t="n"/>
      <c r="L1482" s="25" t="n"/>
      <c r="M1482" s="20" t="n"/>
      <c r="N1482" s="20" t="n"/>
      <c r="O1482" s="20" t="n"/>
      <c r="P1482" s="20" t="n"/>
      <c r="Q1482" s="26" t="n"/>
      <c r="R1482" s="20" t="n"/>
      <c r="S1482" s="20" t="n"/>
    </row>
    <row r="1483">
      <c r="A1483" s="24" t="n"/>
      <c r="B1483" s="20" t="n"/>
      <c r="C1483" s="20" t="n"/>
      <c r="D1483" s="23" t="n"/>
      <c r="E1483" s="20" t="n"/>
      <c r="F1483" s="20" t="n"/>
      <c r="G1483" s="25" t="n"/>
      <c r="H1483" s="20" t="n"/>
      <c r="I1483" s="20" t="n"/>
      <c r="J1483" s="20" t="n"/>
      <c r="K1483" s="20" t="n"/>
      <c r="L1483" s="25" t="n"/>
      <c r="M1483" s="20" t="n"/>
      <c r="N1483" s="20" t="n"/>
      <c r="O1483" s="20" t="n"/>
      <c r="P1483" s="20" t="n"/>
      <c r="Q1483" s="26" t="n"/>
      <c r="R1483" s="20" t="n"/>
      <c r="S1483" s="20" t="n"/>
    </row>
    <row r="1484">
      <c r="A1484" s="24" t="n"/>
      <c r="B1484" s="20" t="n"/>
      <c r="C1484" s="20" t="n"/>
      <c r="D1484" s="23" t="n"/>
      <c r="E1484" s="20" t="n"/>
      <c r="F1484" s="20" t="n"/>
      <c r="G1484" s="25" t="n"/>
      <c r="H1484" s="20" t="n"/>
      <c r="I1484" s="20" t="n"/>
      <c r="J1484" s="20" t="n"/>
      <c r="K1484" s="20" t="n"/>
      <c r="L1484" s="25" t="n"/>
      <c r="M1484" s="20" t="n"/>
      <c r="N1484" s="20" t="n"/>
      <c r="O1484" s="20" t="n"/>
      <c r="P1484" s="20" t="n"/>
      <c r="Q1484" s="26" t="n"/>
      <c r="R1484" s="20" t="n"/>
      <c r="S1484" s="20" t="n"/>
    </row>
    <row r="1485">
      <c r="A1485" s="24" t="n"/>
      <c r="B1485" s="20" t="n"/>
      <c r="C1485" s="20" t="n"/>
      <c r="D1485" s="23" t="n"/>
      <c r="E1485" s="20" t="n"/>
      <c r="F1485" s="20" t="n"/>
      <c r="G1485" s="25" t="n"/>
      <c r="H1485" s="20" t="n"/>
      <c r="I1485" s="20" t="n"/>
      <c r="J1485" s="20" t="n"/>
      <c r="K1485" s="20" t="n"/>
      <c r="L1485" s="25" t="n"/>
      <c r="M1485" s="20" t="n"/>
      <c r="N1485" s="20" t="n"/>
      <c r="O1485" s="20" t="n"/>
      <c r="P1485" s="20" t="n"/>
      <c r="Q1485" s="26" t="n"/>
      <c r="R1485" s="20" t="n"/>
      <c r="S1485" s="20" t="n"/>
    </row>
    <row r="1486">
      <c r="A1486" s="24" t="n"/>
      <c r="B1486" s="20" t="n"/>
      <c r="C1486" s="20" t="n"/>
      <c r="D1486" s="23" t="n"/>
      <c r="E1486" s="20" t="n"/>
      <c r="F1486" s="20" t="n"/>
      <c r="G1486" s="25" t="n"/>
      <c r="H1486" s="20" t="n"/>
      <c r="I1486" s="20" t="n"/>
      <c r="J1486" s="20" t="n"/>
      <c r="K1486" s="20" t="n"/>
      <c r="L1486" s="25" t="n"/>
      <c r="M1486" s="20" t="n"/>
      <c r="N1486" s="20" t="n"/>
      <c r="O1486" s="20" t="n"/>
      <c r="P1486" s="20" t="n"/>
      <c r="Q1486" s="26" t="n"/>
      <c r="R1486" s="20" t="n"/>
      <c r="S1486" s="20" t="n"/>
    </row>
    <row r="1487">
      <c r="A1487" s="24" t="n"/>
      <c r="B1487" s="20" t="n"/>
      <c r="C1487" s="20" t="n"/>
      <c r="D1487" s="23" t="n"/>
      <c r="E1487" s="20" t="n"/>
      <c r="F1487" s="20" t="n"/>
      <c r="G1487" s="25" t="n"/>
      <c r="H1487" s="20" t="n"/>
      <c r="I1487" s="20" t="n"/>
      <c r="J1487" s="20" t="n"/>
      <c r="K1487" s="20" t="n"/>
      <c r="L1487" s="25" t="n"/>
      <c r="M1487" s="20" t="n"/>
      <c r="N1487" s="20" t="n"/>
      <c r="O1487" s="20" t="n"/>
      <c r="P1487" s="20" t="n"/>
      <c r="Q1487" s="26" t="n"/>
      <c r="R1487" s="20" t="n"/>
      <c r="S1487" s="20" t="n"/>
    </row>
    <row r="1488">
      <c r="A1488" s="24" t="n"/>
      <c r="B1488" s="20" t="n"/>
      <c r="C1488" s="20" t="n"/>
      <c r="D1488" s="23" t="n"/>
      <c r="E1488" s="20" t="n"/>
      <c r="F1488" s="20" t="n"/>
      <c r="G1488" s="25" t="n"/>
      <c r="H1488" s="20" t="n"/>
      <c r="I1488" s="20" t="n"/>
      <c r="J1488" s="20" t="n"/>
      <c r="K1488" s="20" t="n"/>
      <c r="L1488" s="25" t="n"/>
      <c r="M1488" s="20" t="n"/>
      <c r="N1488" s="20" t="n"/>
      <c r="O1488" s="20" t="n"/>
      <c r="P1488" s="20" t="n"/>
      <c r="Q1488" s="26" t="n"/>
      <c r="R1488" s="20" t="n"/>
      <c r="S1488" s="20" t="n"/>
    </row>
    <row r="1489">
      <c r="A1489" s="24" t="n"/>
      <c r="B1489" s="20" t="n"/>
      <c r="C1489" s="20" t="n"/>
      <c r="D1489" s="23" t="n"/>
      <c r="E1489" s="20" t="n"/>
      <c r="F1489" s="20" t="n"/>
      <c r="G1489" s="25" t="n"/>
      <c r="H1489" s="20" t="n"/>
      <c r="I1489" s="20" t="n"/>
      <c r="J1489" s="20" t="n"/>
      <c r="K1489" s="20" t="n"/>
      <c r="L1489" s="25" t="n"/>
      <c r="M1489" s="20" t="n"/>
      <c r="N1489" s="20" t="n"/>
      <c r="O1489" s="20" t="n"/>
      <c r="P1489" s="20" t="n"/>
      <c r="Q1489" s="26" t="n"/>
      <c r="R1489" s="20" t="n"/>
      <c r="S1489" s="20" t="n"/>
    </row>
    <row r="1490">
      <c r="A1490" s="24" t="n"/>
      <c r="B1490" s="20" t="n"/>
      <c r="C1490" s="20" t="n"/>
      <c r="D1490" s="23" t="n"/>
      <c r="E1490" s="20" t="n"/>
      <c r="F1490" s="20" t="n"/>
      <c r="G1490" s="25" t="n"/>
      <c r="H1490" s="20" t="n"/>
      <c r="I1490" s="20" t="n"/>
      <c r="J1490" s="20" t="n"/>
      <c r="K1490" s="20" t="n"/>
      <c r="L1490" s="25" t="n"/>
      <c r="M1490" s="20" t="n"/>
      <c r="N1490" s="20" t="n"/>
      <c r="O1490" s="20" t="n"/>
      <c r="P1490" s="20" t="n"/>
      <c r="Q1490" s="26" t="n"/>
      <c r="R1490" s="20" t="n"/>
      <c r="S1490" s="20" t="n"/>
    </row>
    <row r="1491">
      <c r="A1491" s="24" t="n"/>
      <c r="B1491" s="20" t="n"/>
      <c r="C1491" s="20" t="n"/>
      <c r="D1491" s="23" t="n"/>
      <c r="E1491" s="20" t="n"/>
      <c r="F1491" s="20" t="n"/>
      <c r="G1491" s="25" t="n"/>
      <c r="H1491" s="20" t="n"/>
      <c r="I1491" s="20" t="n"/>
      <c r="J1491" s="20" t="n"/>
      <c r="K1491" s="20" t="n"/>
      <c r="L1491" s="25" t="n"/>
      <c r="M1491" s="20" t="n"/>
      <c r="N1491" s="20" t="n"/>
      <c r="O1491" s="20" t="n"/>
      <c r="P1491" s="20" t="n"/>
      <c r="Q1491" s="26" t="n"/>
      <c r="R1491" s="20" t="n"/>
      <c r="S1491" s="20" t="n"/>
    </row>
    <row r="1492">
      <c r="A1492" s="24" t="n"/>
      <c r="B1492" s="20" t="n"/>
      <c r="C1492" s="20" t="n"/>
      <c r="D1492" s="23" t="n"/>
      <c r="E1492" s="20" t="n"/>
      <c r="F1492" s="20" t="n"/>
      <c r="G1492" s="25" t="n"/>
      <c r="H1492" s="20" t="n"/>
      <c r="I1492" s="20" t="n"/>
      <c r="J1492" s="20" t="n"/>
      <c r="K1492" s="20" t="n"/>
      <c r="L1492" s="25" t="n"/>
      <c r="M1492" s="20" t="n"/>
      <c r="N1492" s="20" t="n"/>
      <c r="O1492" s="20" t="n"/>
      <c r="P1492" s="20" t="n"/>
      <c r="Q1492" s="26" t="n"/>
      <c r="R1492" s="20" t="n"/>
      <c r="S1492" s="20" t="n"/>
    </row>
    <row r="1493">
      <c r="A1493" s="24" t="n"/>
      <c r="B1493" s="20" t="n"/>
      <c r="C1493" s="20" t="n"/>
      <c r="D1493" s="23" t="n"/>
      <c r="E1493" s="20" t="n"/>
      <c r="F1493" s="20" t="n"/>
      <c r="G1493" s="25" t="n"/>
      <c r="H1493" s="20" t="n"/>
      <c r="I1493" s="20" t="n"/>
      <c r="J1493" s="20" t="n"/>
      <c r="K1493" s="20" t="n"/>
      <c r="L1493" s="25" t="n"/>
      <c r="M1493" s="20" t="n"/>
      <c r="N1493" s="20" t="n"/>
      <c r="O1493" s="20" t="n"/>
      <c r="P1493" s="20" t="n"/>
      <c r="Q1493" s="26" t="n"/>
      <c r="R1493" s="20" t="n"/>
      <c r="S1493" s="20" t="n"/>
    </row>
    <row r="1494">
      <c r="A1494" s="24" t="n"/>
      <c r="B1494" s="20" t="n"/>
      <c r="C1494" s="20" t="n"/>
      <c r="D1494" s="23" t="n"/>
      <c r="E1494" s="20" t="n"/>
      <c r="F1494" s="20" t="n"/>
      <c r="G1494" s="25" t="n"/>
      <c r="H1494" s="20" t="n"/>
      <c r="I1494" s="20" t="n"/>
      <c r="J1494" s="20" t="n"/>
      <c r="K1494" s="20" t="n"/>
      <c r="L1494" s="25" t="n"/>
      <c r="M1494" s="20" t="n"/>
      <c r="N1494" s="20" t="n"/>
      <c r="O1494" s="20" t="n"/>
      <c r="P1494" s="20" t="n"/>
      <c r="Q1494" s="26" t="n"/>
      <c r="R1494" s="20" t="n"/>
      <c r="S1494" s="20" t="n"/>
    </row>
    <row r="1495">
      <c r="A1495" s="24" t="n"/>
      <c r="B1495" s="20" t="n"/>
      <c r="C1495" s="20" t="n"/>
      <c r="D1495" s="23" t="n"/>
      <c r="E1495" s="20" t="n"/>
      <c r="F1495" s="20" t="n"/>
      <c r="G1495" s="25" t="n"/>
      <c r="H1495" s="20" t="n"/>
      <c r="I1495" s="20" t="n"/>
      <c r="J1495" s="20" t="n"/>
      <c r="K1495" s="20" t="n"/>
      <c r="L1495" s="25" t="n"/>
      <c r="M1495" s="20" t="n"/>
      <c r="N1495" s="20" t="n"/>
      <c r="O1495" s="20" t="n"/>
      <c r="P1495" s="20" t="n"/>
      <c r="Q1495" s="26" t="n"/>
      <c r="R1495" s="20" t="n"/>
      <c r="S1495" s="20" t="n"/>
    </row>
    <row r="1496">
      <c r="A1496" s="24" t="n"/>
      <c r="B1496" s="20" t="n"/>
      <c r="C1496" s="20" t="n"/>
      <c r="D1496" s="23" t="n"/>
      <c r="E1496" s="20" t="n"/>
      <c r="F1496" s="20" t="n"/>
      <c r="G1496" s="25" t="n"/>
      <c r="H1496" s="20" t="n"/>
      <c r="I1496" s="20" t="n"/>
      <c r="J1496" s="20" t="n"/>
      <c r="K1496" s="20" t="n"/>
      <c r="L1496" s="25" t="n"/>
      <c r="M1496" s="20" t="n"/>
      <c r="N1496" s="20" t="n"/>
      <c r="O1496" s="20" t="n"/>
      <c r="P1496" s="20" t="n"/>
      <c r="Q1496" s="26" t="n"/>
      <c r="R1496" s="20" t="n"/>
      <c r="S1496" s="20" t="n"/>
    </row>
    <row r="1497">
      <c r="A1497" s="24" t="n"/>
      <c r="B1497" s="20" t="n"/>
      <c r="C1497" s="20" t="n"/>
      <c r="D1497" s="23" t="n"/>
      <c r="E1497" s="20" t="n"/>
      <c r="F1497" s="20" t="n"/>
      <c r="G1497" s="25" t="n"/>
      <c r="H1497" s="20" t="n"/>
      <c r="I1497" s="20" t="n"/>
      <c r="J1497" s="20" t="n"/>
      <c r="K1497" s="20" t="n"/>
      <c r="L1497" s="25" t="n"/>
      <c r="M1497" s="20" t="n"/>
      <c r="N1497" s="20" t="n"/>
      <c r="O1497" s="20" t="n"/>
      <c r="P1497" s="20" t="n"/>
      <c r="Q1497" s="26" t="n"/>
      <c r="R1497" s="20" t="n"/>
      <c r="S1497" s="20" t="n"/>
    </row>
    <row r="1498">
      <c r="A1498" s="24" t="n"/>
      <c r="B1498" s="20" t="n"/>
      <c r="C1498" s="20" t="n"/>
      <c r="D1498" s="23" t="n"/>
      <c r="E1498" s="20" t="n"/>
      <c r="F1498" s="20" t="n"/>
      <c r="G1498" s="25" t="n"/>
      <c r="H1498" s="20" t="n"/>
      <c r="I1498" s="20" t="n"/>
      <c r="J1498" s="20" t="n"/>
      <c r="K1498" s="20" t="n"/>
      <c r="L1498" s="25" t="n"/>
      <c r="M1498" s="20" t="n"/>
      <c r="N1498" s="20" t="n"/>
      <c r="O1498" s="20" t="n"/>
      <c r="P1498" s="20" t="n"/>
      <c r="Q1498" s="26" t="n"/>
      <c r="R1498" s="20" t="n"/>
      <c r="S1498" s="20" t="n"/>
    </row>
    <row r="1499">
      <c r="A1499" s="24" t="n"/>
      <c r="B1499" s="20" t="n"/>
      <c r="C1499" s="20" t="n"/>
      <c r="D1499" s="23" t="n"/>
      <c r="E1499" s="20" t="n"/>
      <c r="F1499" s="20" t="n"/>
      <c r="G1499" s="25" t="n"/>
      <c r="H1499" s="20" t="n"/>
      <c r="I1499" s="20" t="n"/>
      <c r="J1499" s="20" t="n"/>
      <c r="K1499" s="20" t="n"/>
      <c r="L1499" s="25" t="n"/>
      <c r="M1499" s="20" t="n"/>
      <c r="N1499" s="20" t="n"/>
      <c r="O1499" s="20" t="n"/>
      <c r="P1499" s="20" t="n"/>
      <c r="Q1499" s="26" t="n"/>
      <c r="R1499" s="20" t="n"/>
      <c r="S1499" s="20" t="n"/>
    </row>
    <row r="1500">
      <c r="A1500" s="24" t="n"/>
      <c r="B1500" s="20" t="n"/>
      <c r="C1500" s="20" t="n"/>
      <c r="D1500" s="23" t="n"/>
      <c r="E1500" s="20" t="n"/>
      <c r="F1500" s="20" t="n"/>
      <c r="G1500" s="25" t="n"/>
      <c r="H1500" s="20" t="n"/>
      <c r="I1500" s="20" t="n"/>
      <c r="J1500" s="20" t="n"/>
      <c r="K1500" s="20" t="n"/>
      <c r="L1500" s="25" t="n"/>
      <c r="M1500" s="20" t="n"/>
      <c r="N1500" s="20" t="n"/>
      <c r="O1500" s="20" t="n"/>
      <c r="P1500" s="20" t="n"/>
      <c r="Q1500" s="26" t="n"/>
      <c r="R1500" s="20" t="n"/>
      <c r="S1500" s="20" t="n"/>
    </row>
    <row r="1501">
      <c r="A1501" s="24" t="n"/>
      <c r="B1501" s="20" t="n"/>
      <c r="C1501" s="20" t="n"/>
      <c r="D1501" s="23" t="n"/>
      <c r="E1501" s="20" t="n"/>
      <c r="F1501" s="20" t="n"/>
      <c r="G1501" s="25" t="n"/>
      <c r="H1501" s="20" t="n"/>
      <c r="I1501" s="20" t="n"/>
      <c r="J1501" s="20" t="n"/>
      <c r="K1501" s="20" t="n"/>
      <c r="L1501" s="25" t="n"/>
      <c r="M1501" s="20" t="n"/>
      <c r="N1501" s="20" t="n"/>
      <c r="O1501" s="20" t="n"/>
      <c r="P1501" s="20" t="n"/>
      <c r="Q1501" s="26" t="n"/>
      <c r="R1501" s="20" t="n"/>
      <c r="S1501" s="20" t="n"/>
    </row>
    <row r="1502">
      <c r="A1502" s="24" t="n"/>
      <c r="B1502" s="20" t="n"/>
      <c r="C1502" s="20" t="n"/>
      <c r="D1502" s="23" t="n"/>
      <c r="E1502" s="20" t="n"/>
      <c r="F1502" s="20" t="n"/>
      <c r="G1502" s="25" t="n"/>
      <c r="H1502" s="20" t="n"/>
      <c r="I1502" s="20" t="n"/>
      <c r="J1502" s="20" t="n"/>
      <c r="K1502" s="20" t="n"/>
      <c r="L1502" s="25" t="n"/>
      <c r="M1502" s="20" t="n"/>
      <c r="N1502" s="20" t="n"/>
      <c r="O1502" s="20" t="n"/>
      <c r="P1502" s="20" t="n"/>
      <c r="Q1502" s="26" t="n"/>
      <c r="R1502" s="20" t="n"/>
      <c r="S1502" s="20" t="n"/>
    </row>
    <row r="1503">
      <c r="A1503" s="24" t="n"/>
      <c r="B1503" s="20" t="n"/>
      <c r="C1503" s="20" t="n"/>
      <c r="D1503" s="23" t="n"/>
      <c r="E1503" s="20" t="n"/>
      <c r="F1503" s="20" t="n"/>
      <c r="G1503" s="25" t="n"/>
      <c r="H1503" s="20" t="n"/>
      <c r="I1503" s="20" t="n"/>
      <c r="J1503" s="20" t="n"/>
      <c r="K1503" s="20" t="n"/>
      <c r="L1503" s="25" t="n"/>
      <c r="M1503" s="20" t="n"/>
      <c r="N1503" s="20" t="n"/>
      <c r="O1503" s="20" t="n"/>
      <c r="P1503" s="20" t="n"/>
      <c r="Q1503" s="26" t="n"/>
      <c r="R1503" s="20" t="n"/>
      <c r="S1503" s="20" t="n"/>
    </row>
    <row r="1504">
      <c r="A1504" s="24" t="n"/>
      <c r="B1504" s="20" t="n"/>
      <c r="C1504" s="20" t="n"/>
      <c r="D1504" s="23" t="n"/>
      <c r="E1504" s="20" t="n"/>
      <c r="F1504" s="20" t="n"/>
      <c r="G1504" s="25" t="n"/>
      <c r="H1504" s="20" t="n"/>
      <c r="I1504" s="20" t="n"/>
      <c r="J1504" s="20" t="n"/>
      <c r="K1504" s="20" t="n"/>
      <c r="L1504" s="25" t="n"/>
      <c r="M1504" s="20" t="n"/>
      <c r="N1504" s="20" t="n"/>
      <c r="O1504" s="20" t="n"/>
      <c r="P1504" s="20" t="n"/>
      <c r="Q1504" s="26" t="n"/>
      <c r="R1504" s="20" t="n"/>
      <c r="S1504" s="20" t="n"/>
    </row>
    <row r="1505">
      <c r="A1505" s="24" t="n"/>
      <c r="B1505" s="20" t="n"/>
      <c r="C1505" s="20" t="n"/>
      <c r="D1505" s="23" t="n"/>
      <c r="E1505" s="20" t="n"/>
      <c r="F1505" s="20" t="n"/>
      <c r="G1505" s="25" t="n"/>
      <c r="H1505" s="20" t="n"/>
      <c r="I1505" s="20" t="n"/>
      <c r="J1505" s="20" t="n"/>
      <c r="K1505" s="20" t="n"/>
      <c r="L1505" s="25" t="n"/>
      <c r="M1505" s="20" t="n"/>
      <c r="N1505" s="20" t="n"/>
      <c r="O1505" s="20" t="n"/>
      <c r="P1505" s="20" t="n"/>
      <c r="Q1505" s="26" t="n"/>
      <c r="R1505" s="20" t="n"/>
      <c r="S1505" s="20" t="n"/>
    </row>
    <row r="1506">
      <c r="A1506" s="24" t="n"/>
      <c r="B1506" s="20" t="n"/>
      <c r="C1506" s="20" t="n"/>
      <c r="D1506" s="23" t="n"/>
      <c r="E1506" s="20" t="n"/>
      <c r="F1506" s="20" t="n"/>
      <c r="G1506" s="25" t="n"/>
      <c r="H1506" s="20" t="n"/>
      <c r="I1506" s="20" t="n"/>
      <c r="J1506" s="20" t="n"/>
      <c r="K1506" s="20" t="n"/>
      <c r="L1506" s="25" t="n"/>
      <c r="M1506" s="20" t="n"/>
      <c r="N1506" s="20" t="n"/>
      <c r="O1506" s="20" t="n"/>
      <c r="P1506" s="20" t="n"/>
      <c r="Q1506" s="26" t="n"/>
      <c r="R1506" s="20" t="n"/>
      <c r="S1506" s="20" t="n"/>
    </row>
    <row r="1507">
      <c r="A1507" s="24" t="n"/>
      <c r="B1507" s="20" t="n"/>
      <c r="C1507" s="20" t="n"/>
      <c r="D1507" s="23" t="n"/>
      <c r="E1507" s="20" t="n"/>
      <c r="F1507" s="20" t="n"/>
      <c r="G1507" s="25" t="n"/>
      <c r="H1507" s="20" t="n"/>
      <c r="I1507" s="20" t="n"/>
      <c r="J1507" s="20" t="n"/>
      <c r="K1507" s="20" t="n"/>
      <c r="L1507" s="25" t="n"/>
      <c r="M1507" s="20" t="n"/>
      <c r="N1507" s="20" t="n"/>
      <c r="O1507" s="20" t="n"/>
      <c r="P1507" s="20" t="n"/>
      <c r="Q1507" s="26" t="n"/>
      <c r="R1507" s="20" t="n"/>
      <c r="S1507" s="20" t="n"/>
    </row>
    <row r="1508">
      <c r="A1508" s="24" t="n"/>
      <c r="B1508" s="20" t="n"/>
      <c r="C1508" s="20" t="n"/>
      <c r="D1508" s="23" t="n"/>
      <c r="E1508" s="20" t="n"/>
      <c r="F1508" s="20" t="n"/>
      <c r="G1508" s="25" t="n"/>
      <c r="H1508" s="20" t="n"/>
      <c r="I1508" s="20" t="n"/>
      <c r="J1508" s="20" t="n"/>
      <c r="K1508" s="20" t="n"/>
      <c r="L1508" s="25" t="n"/>
      <c r="M1508" s="20" t="n"/>
      <c r="N1508" s="20" t="n"/>
      <c r="O1508" s="20" t="n"/>
      <c r="P1508" s="20" t="n"/>
      <c r="Q1508" s="26" t="n"/>
      <c r="R1508" s="20" t="n"/>
      <c r="S1508" s="20" t="n"/>
    </row>
    <row r="1509">
      <c r="A1509" s="24" t="n"/>
      <c r="B1509" s="20" t="n"/>
      <c r="C1509" s="20" t="n"/>
      <c r="D1509" s="23" t="n"/>
      <c r="E1509" s="20" t="n"/>
      <c r="F1509" s="20" t="n"/>
      <c r="G1509" s="25" t="n"/>
      <c r="H1509" s="20" t="n"/>
      <c r="I1509" s="20" t="n"/>
      <c r="J1509" s="20" t="n"/>
      <c r="K1509" s="20" t="n"/>
      <c r="L1509" s="25" t="n"/>
      <c r="M1509" s="20" t="n"/>
      <c r="N1509" s="20" t="n"/>
      <c r="O1509" s="20" t="n"/>
      <c r="P1509" s="20" t="n"/>
      <c r="Q1509" s="26" t="n"/>
      <c r="R1509" s="20" t="n"/>
      <c r="S1509" s="20" t="n"/>
    </row>
    <row r="1510">
      <c r="A1510" s="24" t="n"/>
      <c r="B1510" s="20" t="n"/>
      <c r="C1510" s="20" t="n"/>
      <c r="D1510" s="23" t="n"/>
      <c r="E1510" s="20" t="n"/>
      <c r="F1510" s="20" t="n"/>
      <c r="G1510" s="25" t="n"/>
      <c r="H1510" s="20" t="n"/>
      <c r="I1510" s="20" t="n"/>
      <c r="J1510" s="20" t="n"/>
      <c r="K1510" s="20" t="n"/>
      <c r="L1510" s="25" t="n"/>
      <c r="M1510" s="20" t="n"/>
      <c r="N1510" s="20" t="n"/>
      <c r="O1510" s="20" t="n"/>
      <c r="P1510" s="20" t="n"/>
      <c r="Q1510" s="26" t="n"/>
      <c r="R1510" s="20" t="n"/>
      <c r="S1510" s="20" t="n"/>
    </row>
    <row r="1511">
      <c r="A1511" s="24" t="n"/>
      <c r="B1511" s="20" t="n"/>
      <c r="C1511" s="20" t="n"/>
      <c r="D1511" s="23" t="n"/>
      <c r="E1511" s="20" t="n"/>
      <c r="F1511" s="20" t="n"/>
      <c r="G1511" s="25" t="n"/>
      <c r="H1511" s="20" t="n"/>
      <c r="I1511" s="20" t="n"/>
      <c r="J1511" s="20" t="n"/>
      <c r="K1511" s="20" t="n"/>
      <c r="L1511" s="25" t="n"/>
      <c r="M1511" s="20" t="n"/>
      <c r="N1511" s="20" t="n"/>
      <c r="O1511" s="20" t="n"/>
      <c r="P1511" s="20" t="n"/>
      <c r="Q1511" s="26" t="n"/>
      <c r="R1511" s="20" t="n"/>
      <c r="S1511" s="20" t="n"/>
    </row>
    <row r="1512">
      <c r="A1512" s="24" t="n"/>
      <c r="B1512" s="20" t="n"/>
      <c r="C1512" s="20" t="n"/>
      <c r="D1512" s="23" t="n"/>
      <c r="E1512" s="20" t="n"/>
      <c r="F1512" s="20" t="n"/>
      <c r="G1512" s="25" t="n"/>
      <c r="H1512" s="20" t="n"/>
      <c r="I1512" s="20" t="n"/>
      <c r="J1512" s="20" t="n"/>
      <c r="K1512" s="20" t="n"/>
      <c r="L1512" s="25" t="n"/>
      <c r="M1512" s="20" t="n"/>
      <c r="N1512" s="20" t="n"/>
      <c r="O1512" s="20" t="n"/>
      <c r="P1512" s="20" t="n"/>
      <c r="Q1512" s="26" t="n"/>
      <c r="R1512" s="20" t="n"/>
      <c r="S1512" s="20" t="n"/>
    </row>
    <row r="1513">
      <c r="A1513" s="24" t="n"/>
      <c r="B1513" s="20" t="n"/>
      <c r="C1513" s="20" t="n"/>
      <c r="D1513" s="23" t="n"/>
      <c r="E1513" s="20" t="n"/>
      <c r="F1513" s="20" t="n"/>
      <c r="G1513" s="25" t="n"/>
      <c r="H1513" s="20" t="n"/>
      <c r="I1513" s="20" t="n"/>
      <c r="J1513" s="20" t="n"/>
      <c r="K1513" s="20" t="n"/>
      <c r="L1513" s="25" t="n"/>
      <c r="M1513" s="20" t="n"/>
      <c r="N1513" s="20" t="n"/>
      <c r="O1513" s="20" t="n"/>
      <c r="P1513" s="20" t="n"/>
      <c r="Q1513" s="26" t="n"/>
      <c r="R1513" s="20" t="n"/>
      <c r="S1513" s="20" t="n"/>
    </row>
    <row r="1514">
      <c r="A1514" s="24" t="n"/>
      <c r="B1514" s="20" t="n"/>
      <c r="C1514" s="20" t="n"/>
      <c r="D1514" s="23" t="n"/>
      <c r="E1514" s="20" t="n"/>
      <c r="F1514" s="20" t="n"/>
      <c r="G1514" s="25" t="n"/>
      <c r="H1514" s="20" t="n"/>
      <c r="I1514" s="20" t="n"/>
      <c r="J1514" s="20" t="n"/>
      <c r="K1514" s="20" t="n"/>
      <c r="L1514" s="25" t="n"/>
      <c r="M1514" s="20" t="n"/>
      <c r="N1514" s="20" t="n"/>
      <c r="O1514" s="20" t="n"/>
      <c r="P1514" s="20" t="n"/>
      <c r="Q1514" s="26" t="n"/>
      <c r="R1514" s="20" t="n"/>
      <c r="S1514" s="20" t="n"/>
    </row>
    <row r="1515">
      <c r="A1515" s="24" t="n"/>
      <c r="B1515" s="20" t="n"/>
      <c r="C1515" s="20" t="n"/>
      <c r="D1515" s="23" t="n"/>
      <c r="E1515" s="20" t="n"/>
      <c r="F1515" s="20" t="n"/>
      <c r="G1515" s="25" t="n"/>
      <c r="H1515" s="20" t="n"/>
      <c r="I1515" s="20" t="n"/>
      <c r="J1515" s="20" t="n"/>
      <c r="K1515" s="20" t="n"/>
      <c r="L1515" s="25" t="n"/>
      <c r="M1515" s="20" t="n"/>
      <c r="N1515" s="20" t="n"/>
      <c r="O1515" s="20" t="n"/>
      <c r="P1515" s="20" t="n"/>
      <c r="Q1515" s="26" t="n"/>
      <c r="R1515" s="20" t="n"/>
      <c r="S1515" s="20" t="n"/>
    </row>
    <row r="1516">
      <c r="A1516" s="24" t="n"/>
      <c r="B1516" s="20" t="n"/>
      <c r="C1516" s="20" t="n"/>
      <c r="D1516" s="23" t="n"/>
      <c r="E1516" s="20" t="n"/>
      <c r="F1516" s="20" t="n"/>
      <c r="G1516" s="25" t="n"/>
      <c r="H1516" s="20" t="n"/>
      <c r="I1516" s="20" t="n"/>
      <c r="J1516" s="20" t="n"/>
      <c r="K1516" s="20" t="n"/>
      <c r="L1516" s="25" t="n"/>
      <c r="M1516" s="20" t="n"/>
      <c r="N1516" s="20" t="n"/>
      <c r="O1516" s="20" t="n"/>
      <c r="P1516" s="20" t="n"/>
      <c r="Q1516" s="26" t="n"/>
      <c r="R1516" s="20" t="n"/>
      <c r="S1516" s="20" t="n"/>
    </row>
    <row r="1517">
      <c r="A1517" s="24" t="n"/>
      <c r="B1517" s="20" t="n"/>
      <c r="C1517" s="20" t="n"/>
      <c r="D1517" s="23" t="n"/>
      <c r="E1517" s="20" t="n"/>
      <c r="F1517" s="20" t="n"/>
      <c r="G1517" s="25" t="n"/>
      <c r="H1517" s="20" t="n"/>
      <c r="I1517" s="20" t="n"/>
      <c r="J1517" s="20" t="n"/>
      <c r="K1517" s="20" t="n"/>
      <c r="L1517" s="25" t="n"/>
      <c r="M1517" s="20" t="n"/>
      <c r="N1517" s="20" t="n"/>
      <c r="O1517" s="20" t="n"/>
      <c r="P1517" s="20" t="n"/>
      <c r="Q1517" s="26" t="n"/>
      <c r="R1517" s="20" t="n"/>
      <c r="S1517" s="20" t="n"/>
    </row>
    <row r="1518">
      <c r="A1518" s="24" t="n"/>
      <c r="B1518" s="20" t="n"/>
      <c r="C1518" s="20" t="n"/>
      <c r="D1518" s="23" t="n"/>
      <c r="E1518" s="20" t="n"/>
      <c r="F1518" s="20" t="n"/>
      <c r="G1518" s="25" t="n"/>
      <c r="H1518" s="20" t="n"/>
      <c r="I1518" s="20" t="n"/>
      <c r="J1518" s="20" t="n"/>
      <c r="K1518" s="20" t="n"/>
      <c r="L1518" s="25" t="n"/>
      <c r="M1518" s="20" t="n"/>
      <c r="N1518" s="20" t="n"/>
      <c r="O1518" s="20" t="n"/>
      <c r="P1518" s="20" t="n"/>
      <c r="Q1518" s="26" t="n"/>
      <c r="R1518" s="20" t="n"/>
      <c r="S1518" s="20" t="n"/>
    </row>
    <row r="1519">
      <c r="A1519" s="24" t="n"/>
      <c r="B1519" s="20" t="n"/>
      <c r="C1519" s="20" t="n"/>
      <c r="D1519" s="23" t="n"/>
      <c r="E1519" s="20" t="n"/>
      <c r="F1519" s="20" t="n"/>
      <c r="G1519" s="25" t="n"/>
      <c r="H1519" s="20" t="n"/>
      <c r="I1519" s="20" t="n"/>
      <c r="J1519" s="20" t="n"/>
      <c r="K1519" s="20" t="n"/>
      <c r="L1519" s="25" t="n"/>
      <c r="M1519" s="20" t="n"/>
      <c r="N1519" s="20" t="n"/>
      <c r="O1519" s="20" t="n"/>
      <c r="P1519" s="20" t="n"/>
      <c r="Q1519" s="26" t="n"/>
      <c r="R1519" s="20" t="n"/>
      <c r="S1519" s="20" t="n"/>
    </row>
    <row r="1520">
      <c r="A1520" s="24" t="n"/>
      <c r="B1520" s="20" t="n"/>
      <c r="C1520" s="20" t="n"/>
      <c r="D1520" s="23" t="n"/>
      <c r="E1520" s="20" t="n"/>
      <c r="F1520" s="20" t="n"/>
      <c r="G1520" s="25" t="n"/>
      <c r="H1520" s="20" t="n"/>
      <c r="I1520" s="20" t="n"/>
      <c r="J1520" s="20" t="n"/>
      <c r="K1520" s="20" t="n"/>
      <c r="L1520" s="25" t="n"/>
      <c r="M1520" s="20" t="n"/>
      <c r="N1520" s="20" t="n"/>
      <c r="O1520" s="20" t="n"/>
      <c r="P1520" s="20" t="n"/>
      <c r="Q1520" s="26" t="n"/>
      <c r="R1520" s="20" t="n"/>
      <c r="S1520" s="20" t="n"/>
    </row>
    <row r="1521">
      <c r="A1521" s="24" t="n"/>
      <c r="B1521" s="20" t="n"/>
      <c r="C1521" s="20" t="n"/>
      <c r="D1521" s="23" t="n"/>
      <c r="E1521" s="20" t="n"/>
      <c r="F1521" s="20" t="n"/>
      <c r="G1521" s="25" t="n"/>
      <c r="H1521" s="20" t="n"/>
      <c r="I1521" s="20" t="n"/>
      <c r="J1521" s="20" t="n"/>
      <c r="K1521" s="20" t="n"/>
      <c r="L1521" s="25" t="n"/>
      <c r="M1521" s="20" t="n"/>
      <c r="N1521" s="20" t="n"/>
      <c r="O1521" s="20" t="n"/>
      <c r="P1521" s="20" t="n"/>
      <c r="Q1521" s="26" t="n"/>
      <c r="R1521" s="20" t="n"/>
      <c r="S1521" s="20" t="n"/>
    </row>
    <row r="1522">
      <c r="A1522" s="24" t="n"/>
      <c r="B1522" s="20" t="n"/>
      <c r="C1522" s="20" t="n"/>
      <c r="D1522" s="23" t="n"/>
      <c r="E1522" s="20" t="n"/>
      <c r="F1522" s="20" t="n"/>
      <c r="G1522" s="25" t="n"/>
      <c r="H1522" s="20" t="n"/>
      <c r="I1522" s="20" t="n"/>
      <c r="J1522" s="20" t="n"/>
      <c r="K1522" s="20" t="n"/>
      <c r="L1522" s="25" t="n"/>
      <c r="M1522" s="20" t="n"/>
      <c r="N1522" s="20" t="n"/>
      <c r="O1522" s="20" t="n"/>
      <c r="P1522" s="20" t="n"/>
      <c r="Q1522" s="26" t="n"/>
      <c r="R1522" s="20" t="n"/>
      <c r="S1522" s="20" t="n"/>
    </row>
    <row r="1523">
      <c r="A1523" s="24" t="n"/>
      <c r="B1523" s="20" t="n"/>
      <c r="C1523" s="20" t="n"/>
      <c r="D1523" s="23" t="n"/>
      <c r="E1523" s="20" t="n"/>
      <c r="F1523" s="20" t="n"/>
      <c r="G1523" s="25" t="n"/>
      <c r="H1523" s="20" t="n"/>
      <c r="I1523" s="20" t="n"/>
      <c r="J1523" s="20" t="n"/>
      <c r="K1523" s="20" t="n"/>
      <c r="L1523" s="25" t="n"/>
      <c r="M1523" s="20" t="n"/>
      <c r="N1523" s="20" t="n"/>
      <c r="O1523" s="20" t="n"/>
      <c r="P1523" s="20" t="n"/>
      <c r="Q1523" s="26" t="n"/>
      <c r="R1523" s="20" t="n"/>
      <c r="S1523" s="20" t="n"/>
    </row>
    <row r="1524">
      <c r="A1524" s="24" t="n"/>
      <c r="B1524" s="20" t="n"/>
      <c r="C1524" s="20" t="n"/>
      <c r="D1524" s="23" t="n"/>
      <c r="E1524" s="20" t="n"/>
      <c r="F1524" s="20" t="n"/>
      <c r="G1524" s="25" t="n"/>
      <c r="H1524" s="20" t="n"/>
      <c r="I1524" s="20" t="n"/>
      <c r="J1524" s="20" t="n"/>
      <c r="K1524" s="20" t="n"/>
      <c r="L1524" s="25" t="n"/>
      <c r="M1524" s="20" t="n"/>
      <c r="N1524" s="20" t="n"/>
      <c r="O1524" s="20" t="n"/>
      <c r="P1524" s="20" t="n"/>
      <c r="Q1524" s="26" t="n"/>
      <c r="R1524" s="20" t="n"/>
      <c r="S1524" s="20" t="n"/>
    </row>
    <row r="1525">
      <c r="A1525" s="24" t="n"/>
      <c r="B1525" s="20" t="n"/>
      <c r="C1525" s="20" t="n"/>
      <c r="D1525" s="23" t="n"/>
      <c r="E1525" s="20" t="n"/>
      <c r="F1525" s="20" t="n"/>
      <c r="G1525" s="25" t="n"/>
      <c r="H1525" s="20" t="n"/>
      <c r="I1525" s="20" t="n"/>
      <c r="J1525" s="20" t="n"/>
      <c r="K1525" s="20" t="n"/>
      <c r="L1525" s="25" t="n"/>
      <c r="M1525" s="20" t="n"/>
      <c r="N1525" s="20" t="n"/>
      <c r="O1525" s="20" t="n"/>
      <c r="P1525" s="20" t="n"/>
      <c r="Q1525" s="26" t="n"/>
      <c r="R1525" s="20" t="n"/>
      <c r="S1525" s="20" t="n"/>
    </row>
    <row r="1526">
      <c r="A1526" s="24" t="n"/>
      <c r="B1526" s="20" t="n"/>
      <c r="C1526" s="20" t="n"/>
      <c r="D1526" s="23" t="n"/>
      <c r="E1526" s="20" t="n"/>
      <c r="F1526" s="20" t="n"/>
      <c r="G1526" s="25" t="n"/>
      <c r="H1526" s="20" t="n"/>
      <c r="I1526" s="20" t="n"/>
      <c r="J1526" s="20" t="n"/>
      <c r="K1526" s="20" t="n"/>
      <c r="L1526" s="25" t="n"/>
      <c r="M1526" s="20" t="n"/>
      <c r="N1526" s="20" t="n"/>
      <c r="O1526" s="20" t="n"/>
      <c r="P1526" s="20" t="n"/>
      <c r="Q1526" s="26" t="n"/>
      <c r="R1526" s="20" t="n"/>
      <c r="S1526" s="20" t="n"/>
    </row>
    <row r="1527">
      <c r="A1527" s="24" t="n"/>
      <c r="B1527" s="20" t="n"/>
      <c r="C1527" s="20" t="n"/>
      <c r="D1527" s="23" t="n"/>
      <c r="E1527" s="20" t="n"/>
      <c r="F1527" s="20" t="n"/>
      <c r="G1527" s="25" t="n"/>
      <c r="H1527" s="20" t="n"/>
      <c r="I1527" s="20" t="n"/>
      <c r="J1527" s="20" t="n"/>
      <c r="K1527" s="20" t="n"/>
      <c r="L1527" s="25" t="n"/>
      <c r="M1527" s="20" t="n"/>
      <c r="N1527" s="20" t="n"/>
      <c r="O1527" s="20" t="n"/>
      <c r="P1527" s="20" t="n"/>
      <c r="Q1527" s="26" t="n"/>
      <c r="R1527" s="20" t="n"/>
      <c r="S1527" s="20" t="n"/>
    </row>
    <row r="1528">
      <c r="A1528" s="24" t="n"/>
      <c r="B1528" s="20" t="n"/>
      <c r="C1528" s="20" t="n"/>
      <c r="D1528" s="23" t="n"/>
      <c r="E1528" s="20" t="n"/>
      <c r="F1528" s="20" t="n"/>
      <c r="G1528" s="25" t="n"/>
      <c r="H1528" s="20" t="n"/>
      <c r="I1528" s="20" t="n"/>
      <c r="J1528" s="20" t="n"/>
      <c r="K1528" s="20" t="n"/>
      <c r="L1528" s="25" t="n"/>
      <c r="M1528" s="20" t="n"/>
      <c r="N1528" s="20" t="n"/>
      <c r="O1528" s="20" t="n"/>
      <c r="P1528" s="20" t="n"/>
      <c r="Q1528" s="26" t="n"/>
      <c r="R1528" s="20" t="n"/>
      <c r="S1528" s="20" t="n"/>
    </row>
    <row r="1529">
      <c r="A1529" s="24" t="n"/>
      <c r="B1529" s="20" t="n"/>
      <c r="C1529" s="20" t="n"/>
      <c r="D1529" s="23" t="n"/>
      <c r="E1529" s="20" t="n"/>
      <c r="F1529" s="20" t="n"/>
      <c r="G1529" s="25" t="n"/>
      <c r="H1529" s="20" t="n"/>
      <c r="I1529" s="20" t="n"/>
      <c r="J1529" s="20" t="n"/>
      <c r="K1529" s="20" t="n"/>
      <c r="L1529" s="25" t="n"/>
      <c r="M1529" s="20" t="n"/>
      <c r="N1529" s="20" t="n"/>
      <c r="O1529" s="20" t="n"/>
      <c r="P1529" s="20" t="n"/>
      <c r="Q1529" s="26" t="n"/>
      <c r="R1529" s="20" t="n"/>
      <c r="S1529" s="20" t="n"/>
    </row>
    <row r="1530">
      <c r="A1530" s="24" t="n"/>
      <c r="B1530" s="20" t="n"/>
      <c r="C1530" s="20" t="n"/>
      <c r="D1530" s="23" t="n"/>
      <c r="E1530" s="20" t="n"/>
      <c r="F1530" s="20" t="n"/>
      <c r="G1530" s="25" t="n"/>
      <c r="H1530" s="20" t="n"/>
      <c r="I1530" s="20" t="n"/>
      <c r="J1530" s="20" t="n"/>
      <c r="K1530" s="20" t="n"/>
      <c r="L1530" s="25" t="n"/>
      <c r="M1530" s="20" t="n"/>
      <c r="N1530" s="20" t="n"/>
      <c r="O1530" s="20" t="n"/>
      <c r="P1530" s="20" t="n"/>
      <c r="Q1530" s="26" t="n"/>
      <c r="R1530" s="20" t="n"/>
      <c r="S1530" s="20" t="n"/>
    </row>
    <row r="1531">
      <c r="A1531" s="24" t="n"/>
      <c r="B1531" s="20" t="n"/>
      <c r="C1531" s="20" t="n"/>
      <c r="D1531" s="23" t="n"/>
      <c r="E1531" s="20" t="n"/>
      <c r="F1531" s="20" t="n"/>
      <c r="G1531" s="25" t="n"/>
      <c r="H1531" s="20" t="n"/>
      <c r="I1531" s="20" t="n"/>
      <c r="J1531" s="20" t="n"/>
      <c r="K1531" s="20" t="n"/>
      <c r="L1531" s="25" t="n"/>
      <c r="M1531" s="20" t="n"/>
      <c r="N1531" s="20" t="n"/>
      <c r="O1531" s="20" t="n"/>
      <c r="P1531" s="20" t="n"/>
      <c r="Q1531" s="26" t="n"/>
      <c r="R1531" s="20" t="n"/>
      <c r="S1531" s="20" t="n"/>
    </row>
    <row r="1532">
      <c r="A1532" s="24" t="n"/>
      <c r="B1532" s="20" t="n"/>
      <c r="C1532" s="20" t="n"/>
      <c r="D1532" s="23" t="n"/>
      <c r="E1532" s="20" t="n"/>
      <c r="F1532" s="20" t="n"/>
      <c r="G1532" s="25" t="n"/>
      <c r="H1532" s="20" t="n"/>
      <c r="I1532" s="20" t="n"/>
      <c r="J1532" s="20" t="n"/>
      <c r="K1532" s="20" t="n"/>
      <c r="L1532" s="25" t="n"/>
      <c r="M1532" s="20" t="n"/>
      <c r="N1532" s="20" t="n"/>
      <c r="O1532" s="20" t="n"/>
      <c r="P1532" s="20" t="n"/>
      <c r="Q1532" s="26" t="n"/>
      <c r="R1532" s="20" t="n"/>
      <c r="S1532" s="20" t="n"/>
    </row>
    <row r="1533">
      <c r="A1533" s="24" t="n"/>
      <c r="B1533" s="20" t="n"/>
      <c r="C1533" s="20" t="n"/>
      <c r="D1533" s="23" t="n"/>
      <c r="E1533" s="20" t="n"/>
      <c r="F1533" s="20" t="n"/>
      <c r="G1533" s="25" t="n"/>
      <c r="H1533" s="20" t="n"/>
      <c r="I1533" s="20" t="n"/>
      <c r="J1533" s="20" t="n"/>
      <c r="K1533" s="20" t="n"/>
      <c r="L1533" s="25" t="n"/>
      <c r="M1533" s="20" t="n"/>
      <c r="N1533" s="20" t="n"/>
      <c r="O1533" s="20" t="n"/>
      <c r="P1533" s="20" t="n"/>
      <c r="Q1533" s="26" t="n"/>
      <c r="R1533" s="20" t="n"/>
      <c r="S1533" s="20" t="n"/>
    </row>
    <row r="1534">
      <c r="A1534" s="24" t="n"/>
      <c r="B1534" s="20" t="n"/>
      <c r="C1534" s="20" t="n"/>
      <c r="D1534" s="23" t="n"/>
      <c r="E1534" s="20" t="n"/>
      <c r="F1534" s="20" t="n"/>
      <c r="G1534" s="25" t="n"/>
      <c r="H1534" s="20" t="n"/>
      <c r="I1534" s="20" t="n"/>
      <c r="J1534" s="20" t="n"/>
      <c r="K1534" s="20" t="n"/>
      <c r="L1534" s="25" t="n"/>
      <c r="M1534" s="20" t="n"/>
      <c r="N1534" s="20" t="n"/>
      <c r="O1534" s="20" t="n"/>
      <c r="P1534" s="20" t="n"/>
      <c r="Q1534" s="26" t="n"/>
      <c r="R1534" s="20" t="n"/>
      <c r="S1534" s="20" t="n"/>
    </row>
    <row r="1535">
      <c r="A1535" s="24" t="n"/>
      <c r="B1535" s="20" t="n"/>
      <c r="C1535" s="20" t="n"/>
      <c r="D1535" s="23" t="n"/>
      <c r="E1535" s="20" t="n"/>
      <c r="F1535" s="20" t="n"/>
      <c r="G1535" s="25" t="n"/>
      <c r="H1535" s="20" t="n"/>
      <c r="I1535" s="20" t="n"/>
      <c r="J1535" s="20" t="n"/>
      <c r="K1535" s="20" t="n"/>
      <c r="L1535" s="25" t="n"/>
      <c r="M1535" s="20" t="n"/>
      <c r="N1535" s="20" t="n"/>
      <c r="O1535" s="20" t="n"/>
      <c r="P1535" s="20" t="n"/>
      <c r="Q1535" s="26" t="n"/>
      <c r="R1535" s="20" t="n"/>
      <c r="S1535" s="20" t="n"/>
    </row>
    <row r="1536">
      <c r="A1536" s="24" t="n"/>
      <c r="B1536" s="20" t="n"/>
      <c r="C1536" s="20" t="n"/>
      <c r="D1536" s="23" t="n"/>
      <c r="E1536" s="20" t="n"/>
      <c r="F1536" s="20" t="n"/>
      <c r="G1536" s="25" t="n"/>
      <c r="H1536" s="20" t="n"/>
      <c r="I1536" s="20" t="n"/>
      <c r="J1536" s="20" t="n"/>
      <c r="K1536" s="20" t="n"/>
      <c r="L1536" s="25" t="n"/>
      <c r="M1536" s="20" t="n"/>
      <c r="N1536" s="20" t="n"/>
      <c r="O1536" s="20" t="n"/>
      <c r="P1536" s="20" t="n"/>
      <c r="Q1536" s="26" t="n"/>
      <c r="R1536" s="20" t="n"/>
      <c r="S1536" s="20" t="n"/>
    </row>
    <row r="1537">
      <c r="A1537" s="24" t="n"/>
      <c r="B1537" s="20" t="n"/>
      <c r="C1537" s="20" t="n"/>
      <c r="D1537" s="23" t="n"/>
      <c r="E1537" s="20" t="n"/>
      <c r="F1537" s="20" t="n"/>
      <c r="G1537" s="25" t="n"/>
      <c r="H1537" s="20" t="n"/>
      <c r="I1537" s="20" t="n"/>
      <c r="J1537" s="20" t="n"/>
      <c r="K1537" s="20" t="n"/>
      <c r="L1537" s="25" t="n"/>
      <c r="M1537" s="20" t="n"/>
      <c r="N1537" s="20" t="n"/>
      <c r="O1537" s="20" t="n"/>
      <c r="P1537" s="20" t="n"/>
      <c r="Q1537" s="26" t="n"/>
      <c r="R1537" s="20" t="n"/>
      <c r="S1537" s="20" t="n"/>
    </row>
    <row r="1538">
      <c r="A1538" s="24" t="n"/>
      <c r="B1538" s="20" t="n"/>
      <c r="C1538" s="20" t="n"/>
      <c r="D1538" s="23" t="n"/>
      <c r="E1538" s="20" t="n"/>
      <c r="F1538" s="20" t="n"/>
      <c r="G1538" s="25" t="n"/>
      <c r="H1538" s="20" t="n"/>
      <c r="I1538" s="20" t="n"/>
      <c r="J1538" s="20" t="n"/>
      <c r="K1538" s="20" t="n"/>
      <c r="L1538" s="25" t="n"/>
      <c r="M1538" s="20" t="n"/>
      <c r="N1538" s="20" t="n"/>
      <c r="O1538" s="20" t="n"/>
      <c r="P1538" s="20" t="n"/>
      <c r="Q1538" s="26" t="n"/>
      <c r="R1538" s="20" t="n"/>
      <c r="S1538" s="20" t="n"/>
    </row>
    <row r="1539">
      <c r="A1539" s="24" t="n"/>
      <c r="B1539" s="20" t="n"/>
      <c r="C1539" s="20" t="n"/>
      <c r="D1539" s="23" t="n"/>
      <c r="E1539" s="20" t="n"/>
      <c r="F1539" s="20" t="n"/>
      <c r="G1539" s="25" t="n"/>
      <c r="H1539" s="20" t="n"/>
      <c r="I1539" s="20" t="n"/>
      <c r="J1539" s="20" t="n"/>
      <c r="K1539" s="20" t="n"/>
      <c r="L1539" s="25" t="n"/>
      <c r="M1539" s="20" t="n"/>
      <c r="N1539" s="20" t="n"/>
      <c r="O1539" s="20" t="n"/>
      <c r="P1539" s="20" t="n"/>
      <c r="Q1539" s="26" t="n"/>
      <c r="R1539" s="20" t="n"/>
      <c r="S1539" s="20" t="n"/>
    </row>
    <row r="1540">
      <c r="A1540" s="24" t="n"/>
      <c r="B1540" s="20" t="n"/>
      <c r="C1540" s="20" t="n"/>
      <c r="D1540" s="23" t="n"/>
      <c r="E1540" s="20" t="n"/>
      <c r="F1540" s="20" t="n"/>
      <c r="G1540" s="25" t="n"/>
      <c r="H1540" s="20" t="n"/>
      <c r="I1540" s="20" t="n"/>
      <c r="J1540" s="20" t="n"/>
      <c r="K1540" s="20" t="n"/>
      <c r="L1540" s="25" t="n"/>
      <c r="M1540" s="20" t="n"/>
      <c r="N1540" s="20" t="n"/>
      <c r="O1540" s="20" t="n"/>
      <c r="P1540" s="20" t="n"/>
      <c r="Q1540" s="26" t="n"/>
      <c r="R1540" s="20" t="n"/>
      <c r="S1540" s="20" t="n"/>
    </row>
    <row r="1541">
      <c r="A1541" s="24" t="n"/>
      <c r="B1541" s="20" t="n"/>
      <c r="C1541" s="20" t="n"/>
      <c r="D1541" s="23" t="n"/>
      <c r="E1541" s="20" t="n"/>
      <c r="F1541" s="20" t="n"/>
      <c r="G1541" s="25" t="n"/>
      <c r="H1541" s="20" t="n"/>
      <c r="I1541" s="20" t="n"/>
      <c r="J1541" s="20" t="n"/>
      <c r="K1541" s="20" t="n"/>
      <c r="L1541" s="25" t="n"/>
      <c r="M1541" s="20" t="n"/>
      <c r="N1541" s="20" t="n"/>
      <c r="O1541" s="20" t="n"/>
      <c r="P1541" s="20" t="n"/>
      <c r="Q1541" s="26" t="n"/>
      <c r="R1541" s="20" t="n"/>
      <c r="S1541" s="20" t="n"/>
    </row>
    <row r="1542">
      <c r="A1542" s="24" t="n"/>
      <c r="B1542" s="20" t="n"/>
      <c r="C1542" s="20" t="n"/>
      <c r="D1542" s="23" t="n"/>
      <c r="E1542" s="20" t="n"/>
      <c r="F1542" s="20" t="n"/>
      <c r="G1542" s="25" t="n"/>
      <c r="H1542" s="20" t="n"/>
      <c r="I1542" s="20" t="n"/>
      <c r="J1542" s="20" t="n"/>
      <c r="K1542" s="20" t="n"/>
      <c r="L1542" s="25" t="n"/>
      <c r="M1542" s="20" t="n"/>
      <c r="N1542" s="20" t="n"/>
      <c r="O1542" s="20" t="n"/>
      <c r="P1542" s="20" t="n"/>
      <c r="Q1542" s="26" t="n"/>
      <c r="R1542" s="20" t="n"/>
      <c r="S1542" s="20" t="n"/>
    </row>
    <row r="1543">
      <c r="A1543" s="24" t="n"/>
      <c r="B1543" s="20" t="n"/>
      <c r="C1543" s="20" t="n"/>
      <c r="D1543" s="23" t="n"/>
      <c r="E1543" s="20" t="n"/>
      <c r="F1543" s="20" t="n"/>
      <c r="G1543" s="25" t="n"/>
      <c r="H1543" s="20" t="n"/>
      <c r="I1543" s="20" t="n"/>
      <c r="J1543" s="20" t="n"/>
      <c r="K1543" s="20" t="n"/>
      <c r="L1543" s="25" t="n"/>
      <c r="M1543" s="20" t="n"/>
      <c r="N1543" s="20" t="n"/>
      <c r="O1543" s="20" t="n"/>
      <c r="P1543" s="20" t="n"/>
      <c r="Q1543" s="26" t="n"/>
      <c r="R1543" s="20" t="n"/>
      <c r="S1543" s="20" t="n"/>
    </row>
    <row r="1544">
      <c r="A1544" s="24" t="n"/>
      <c r="B1544" s="20" t="n"/>
      <c r="C1544" s="20" t="n"/>
      <c r="D1544" s="23" t="n"/>
      <c r="E1544" s="20" t="n"/>
      <c r="F1544" s="20" t="n"/>
      <c r="G1544" s="25" t="n"/>
      <c r="H1544" s="20" t="n"/>
      <c r="I1544" s="20" t="n"/>
      <c r="J1544" s="20" t="n"/>
      <c r="K1544" s="20" t="n"/>
      <c r="L1544" s="25" t="n"/>
      <c r="M1544" s="20" t="n"/>
      <c r="N1544" s="20" t="n"/>
      <c r="O1544" s="20" t="n"/>
      <c r="P1544" s="20" t="n"/>
      <c r="Q1544" s="26" t="n"/>
      <c r="R1544" s="20" t="n"/>
      <c r="S1544" s="20" t="n"/>
    </row>
    <row r="1545">
      <c r="A1545" s="24" t="n"/>
      <c r="B1545" s="20" t="n"/>
      <c r="C1545" s="20" t="n"/>
      <c r="D1545" s="23" t="n"/>
      <c r="E1545" s="20" t="n"/>
      <c r="F1545" s="20" t="n"/>
      <c r="G1545" s="25" t="n"/>
      <c r="H1545" s="20" t="n"/>
      <c r="I1545" s="20" t="n"/>
      <c r="J1545" s="20" t="n"/>
      <c r="K1545" s="20" t="n"/>
      <c r="L1545" s="25" t="n"/>
      <c r="M1545" s="20" t="n"/>
      <c r="N1545" s="20" t="n"/>
      <c r="O1545" s="20" t="n"/>
      <c r="P1545" s="20" t="n"/>
      <c r="Q1545" s="26" t="n"/>
      <c r="R1545" s="20" t="n"/>
      <c r="S1545" s="20" t="n"/>
    </row>
    <row r="1546">
      <c r="A1546" s="24" t="n"/>
      <c r="B1546" s="20" t="n"/>
      <c r="C1546" s="20" t="n"/>
      <c r="D1546" s="23" t="n"/>
      <c r="E1546" s="20" t="n"/>
      <c r="F1546" s="20" t="n"/>
      <c r="G1546" s="25" t="n"/>
      <c r="H1546" s="20" t="n"/>
      <c r="I1546" s="20" t="n"/>
      <c r="J1546" s="20" t="n"/>
      <c r="K1546" s="20" t="n"/>
      <c r="L1546" s="25" t="n"/>
      <c r="M1546" s="20" t="n"/>
      <c r="N1546" s="20" t="n"/>
      <c r="O1546" s="20" t="n"/>
      <c r="P1546" s="20" t="n"/>
      <c r="Q1546" s="26" t="n"/>
      <c r="R1546" s="20" t="n"/>
      <c r="S1546" s="20" t="n"/>
    </row>
    <row r="1547">
      <c r="A1547" s="24" t="n"/>
      <c r="B1547" s="20" t="n"/>
      <c r="C1547" s="20" t="n"/>
      <c r="D1547" s="23" t="n"/>
      <c r="E1547" s="20" t="n"/>
      <c r="F1547" s="20" t="n"/>
      <c r="G1547" s="25" t="n"/>
      <c r="H1547" s="20" t="n"/>
      <c r="I1547" s="20" t="n"/>
      <c r="J1547" s="20" t="n"/>
      <c r="K1547" s="20" t="n"/>
      <c r="L1547" s="25" t="n"/>
      <c r="M1547" s="20" t="n"/>
      <c r="N1547" s="20" t="n"/>
      <c r="O1547" s="20" t="n"/>
      <c r="P1547" s="20" t="n"/>
      <c r="Q1547" s="26" t="n"/>
      <c r="R1547" s="20" t="n"/>
      <c r="S1547" s="20" t="n"/>
    </row>
    <row r="1548">
      <c r="A1548" s="24" t="n"/>
      <c r="B1548" s="20" t="n"/>
      <c r="C1548" s="20" t="n"/>
      <c r="D1548" s="23" t="n"/>
      <c r="E1548" s="20" t="n"/>
      <c r="F1548" s="20" t="n"/>
      <c r="G1548" s="25" t="n"/>
      <c r="H1548" s="20" t="n"/>
      <c r="I1548" s="20" t="n"/>
      <c r="J1548" s="20" t="n"/>
      <c r="K1548" s="20" t="n"/>
      <c r="L1548" s="25" t="n"/>
      <c r="M1548" s="20" t="n"/>
      <c r="N1548" s="20" t="n"/>
      <c r="O1548" s="20" t="n"/>
      <c r="P1548" s="20" t="n"/>
      <c r="Q1548" s="26" t="n"/>
      <c r="R1548" s="20" t="n"/>
      <c r="S1548" s="20" t="n"/>
    </row>
    <row r="1549">
      <c r="A1549" s="24" t="n"/>
      <c r="B1549" s="20" t="n"/>
      <c r="C1549" s="20" t="n"/>
      <c r="D1549" s="23" t="n"/>
      <c r="E1549" s="20" t="n"/>
      <c r="F1549" s="20" t="n"/>
      <c r="G1549" s="25" t="n"/>
      <c r="H1549" s="20" t="n"/>
      <c r="I1549" s="20" t="n"/>
      <c r="J1549" s="20" t="n"/>
      <c r="K1549" s="20" t="n"/>
      <c r="L1549" s="25" t="n"/>
      <c r="M1549" s="20" t="n"/>
      <c r="N1549" s="20" t="n"/>
      <c r="O1549" s="20" t="n"/>
      <c r="P1549" s="20" t="n"/>
      <c r="Q1549" s="26" t="n"/>
      <c r="R1549" s="20" t="n"/>
      <c r="S1549" s="20" t="n"/>
    </row>
    <row r="1550">
      <c r="A1550" s="24" t="n"/>
      <c r="B1550" s="20" t="n"/>
      <c r="C1550" s="20" t="n"/>
      <c r="D1550" s="23" t="n"/>
      <c r="E1550" s="20" t="n"/>
      <c r="F1550" s="20" t="n"/>
      <c r="G1550" s="25" t="n"/>
      <c r="H1550" s="20" t="n"/>
      <c r="I1550" s="20" t="n"/>
      <c r="J1550" s="20" t="n"/>
      <c r="K1550" s="20" t="n"/>
      <c r="L1550" s="25" t="n"/>
      <c r="M1550" s="20" t="n"/>
      <c r="N1550" s="20" t="n"/>
      <c r="O1550" s="20" t="n"/>
      <c r="P1550" s="20" t="n"/>
      <c r="Q1550" s="26" t="n"/>
      <c r="R1550" s="20" t="n"/>
      <c r="S1550" s="20" t="n"/>
    </row>
    <row r="1551">
      <c r="A1551" s="24" t="n"/>
      <c r="B1551" s="20" t="n"/>
      <c r="C1551" s="20" t="n"/>
      <c r="D1551" s="23" t="n"/>
      <c r="E1551" s="20" t="n"/>
      <c r="F1551" s="20" t="n"/>
      <c r="G1551" s="25" t="n"/>
      <c r="H1551" s="20" t="n"/>
      <c r="I1551" s="20" t="n"/>
      <c r="J1551" s="20" t="n"/>
      <c r="K1551" s="20" t="n"/>
      <c r="L1551" s="25" t="n"/>
      <c r="M1551" s="20" t="n"/>
      <c r="N1551" s="20" t="n"/>
      <c r="O1551" s="20" t="n"/>
      <c r="P1551" s="20" t="n"/>
      <c r="Q1551" s="26" t="n"/>
      <c r="R1551" s="20" t="n"/>
      <c r="S1551" s="20" t="n"/>
    </row>
    <row r="1552">
      <c r="A1552" s="24" t="n"/>
      <c r="B1552" s="20" t="n"/>
      <c r="C1552" s="20" t="n"/>
      <c r="D1552" s="23" t="n"/>
      <c r="E1552" s="20" t="n"/>
      <c r="F1552" s="20" t="n"/>
      <c r="G1552" s="25" t="n"/>
      <c r="H1552" s="20" t="n"/>
      <c r="I1552" s="20" t="n"/>
      <c r="J1552" s="20" t="n"/>
      <c r="K1552" s="20" t="n"/>
      <c r="L1552" s="25" t="n"/>
      <c r="M1552" s="20" t="n"/>
      <c r="N1552" s="20" t="n"/>
      <c r="O1552" s="20" t="n"/>
      <c r="P1552" s="20" t="n"/>
      <c r="Q1552" s="26" t="n"/>
      <c r="R1552" s="20" t="n"/>
      <c r="S1552" s="20" t="n"/>
    </row>
    <row r="1553">
      <c r="A1553" s="24" t="n"/>
      <c r="B1553" s="20" t="n"/>
      <c r="C1553" s="20" t="n"/>
      <c r="D1553" s="23" t="n"/>
      <c r="E1553" s="20" t="n"/>
      <c r="F1553" s="20" t="n"/>
      <c r="G1553" s="25" t="n"/>
      <c r="H1553" s="20" t="n"/>
      <c r="I1553" s="20" t="n"/>
      <c r="J1553" s="20" t="n"/>
      <c r="K1553" s="20" t="n"/>
      <c r="L1553" s="25" t="n"/>
      <c r="M1553" s="20" t="n"/>
      <c r="N1553" s="20" t="n"/>
      <c r="O1553" s="20" t="n"/>
      <c r="P1553" s="20" t="n"/>
      <c r="Q1553" s="26" t="n"/>
      <c r="R1553" s="20" t="n"/>
      <c r="S1553" s="20" t="n"/>
    </row>
    <row r="1554">
      <c r="A1554" s="24" t="n"/>
      <c r="B1554" s="20" t="n"/>
      <c r="C1554" s="20" t="n"/>
      <c r="D1554" s="23" t="n"/>
      <c r="E1554" s="20" t="n"/>
      <c r="F1554" s="20" t="n"/>
      <c r="G1554" s="25" t="n"/>
      <c r="H1554" s="20" t="n"/>
      <c r="I1554" s="20" t="n"/>
      <c r="J1554" s="20" t="n"/>
      <c r="K1554" s="20" t="n"/>
      <c r="L1554" s="25" t="n"/>
      <c r="M1554" s="20" t="n"/>
      <c r="N1554" s="20" t="n"/>
      <c r="O1554" s="20" t="n"/>
      <c r="P1554" s="20" t="n"/>
      <c r="Q1554" s="26" t="n"/>
      <c r="R1554" s="20" t="n"/>
      <c r="S1554" s="20" t="n"/>
    </row>
    <row r="1555">
      <c r="A1555" s="24" t="n"/>
      <c r="B1555" s="20" t="n"/>
      <c r="C1555" s="20" t="n"/>
      <c r="D1555" s="23" t="n"/>
      <c r="E1555" s="20" t="n"/>
      <c r="F1555" s="20" t="n"/>
      <c r="G1555" s="25" t="n"/>
      <c r="H1555" s="20" t="n"/>
      <c r="I1555" s="20" t="n"/>
      <c r="J1555" s="20" t="n"/>
      <c r="K1555" s="20" t="n"/>
      <c r="L1555" s="25" t="n"/>
      <c r="M1555" s="20" t="n"/>
      <c r="N1555" s="20" t="n"/>
      <c r="O1555" s="20" t="n"/>
      <c r="P1555" s="20" t="n"/>
      <c r="Q1555" s="26" t="n"/>
      <c r="R1555" s="20" t="n"/>
      <c r="S1555" s="20" t="n"/>
    </row>
    <row r="1556">
      <c r="A1556" s="24" t="n"/>
      <c r="B1556" s="20" t="n"/>
      <c r="C1556" s="20" t="n"/>
      <c r="D1556" s="23" t="n"/>
      <c r="E1556" s="20" t="n"/>
      <c r="F1556" s="20" t="n"/>
      <c r="G1556" s="25" t="n"/>
      <c r="H1556" s="20" t="n"/>
      <c r="I1556" s="20" t="n"/>
      <c r="J1556" s="20" t="n"/>
      <c r="K1556" s="20" t="n"/>
      <c r="L1556" s="25" t="n"/>
      <c r="M1556" s="20" t="n"/>
      <c r="N1556" s="20" t="n"/>
      <c r="O1556" s="20" t="n"/>
      <c r="P1556" s="20" t="n"/>
      <c r="Q1556" s="26" t="n"/>
      <c r="R1556" s="20" t="n"/>
      <c r="S1556" s="20" t="n"/>
    </row>
    <row r="1557">
      <c r="A1557" s="24" t="n"/>
      <c r="B1557" s="20" t="n"/>
      <c r="C1557" s="20" t="n"/>
      <c r="D1557" s="23" t="n"/>
      <c r="E1557" s="20" t="n"/>
      <c r="F1557" s="20" t="n"/>
      <c r="G1557" s="25" t="n"/>
      <c r="H1557" s="20" t="n"/>
      <c r="I1557" s="20" t="n"/>
      <c r="J1557" s="20" t="n"/>
      <c r="K1557" s="20" t="n"/>
      <c r="L1557" s="25" t="n"/>
      <c r="M1557" s="20" t="n"/>
      <c r="N1557" s="20" t="n"/>
      <c r="O1557" s="20" t="n"/>
      <c r="P1557" s="20" t="n"/>
      <c r="Q1557" s="26" t="n"/>
      <c r="R1557" s="20" t="n"/>
      <c r="S1557" s="20" t="n"/>
    </row>
    <row r="1558">
      <c r="A1558" s="24" t="n"/>
      <c r="B1558" s="20" t="n"/>
      <c r="C1558" s="20" t="n"/>
      <c r="D1558" s="23" t="n"/>
      <c r="E1558" s="20" t="n"/>
      <c r="F1558" s="20" t="n"/>
      <c r="G1558" s="25" t="n"/>
      <c r="H1558" s="20" t="n"/>
      <c r="I1558" s="20" t="n"/>
      <c r="J1558" s="20" t="n"/>
      <c r="K1558" s="20" t="n"/>
      <c r="L1558" s="25" t="n"/>
      <c r="M1558" s="20" t="n"/>
      <c r="N1558" s="20" t="n"/>
      <c r="O1558" s="20" t="n"/>
      <c r="P1558" s="20" t="n"/>
      <c r="Q1558" s="26" t="n"/>
      <c r="R1558" s="20" t="n"/>
      <c r="S1558" s="20" t="n"/>
    </row>
    <row r="1559">
      <c r="A1559" s="24" t="n"/>
      <c r="B1559" s="20" t="n"/>
      <c r="C1559" s="20" t="n"/>
      <c r="D1559" s="23" t="n"/>
      <c r="E1559" s="20" t="n"/>
      <c r="F1559" s="20" t="n"/>
      <c r="G1559" s="25" t="n"/>
      <c r="H1559" s="20" t="n"/>
      <c r="I1559" s="20" t="n"/>
      <c r="J1559" s="20" t="n"/>
      <c r="K1559" s="20" t="n"/>
      <c r="L1559" s="25" t="n"/>
      <c r="M1559" s="20" t="n"/>
      <c r="N1559" s="20" t="n"/>
      <c r="O1559" s="20" t="n"/>
      <c r="P1559" s="20" t="n"/>
      <c r="Q1559" s="26" t="n"/>
      <c r="R1559" s="20" t="n"/>
      <c r="S1559" s="20" t="n"/>
    </row>
    <row r="1560">
      <c r="A1560" s="24" t="n"/>
      <c r="B1560" s="20" t="n"/>
      <c r="C1560" s="20" t="n"/>
      <c r="D1560" s="23" t="n"/>
      <c r="E1560" s="20" t="n"/>
      <c r="F1560" s="20" t="n"/>
      <c r="G1560" s="25" t="n"/>
      <c r="H1560" s="20" t="n"/>
      <c r="I1560" s="20" t="n"/>
      <c r="J1560" s="20" t="n"/>
      <c r="K1560" s="20" t="n"/>
      <c r="L1560" s="25" t="n"/>
      <c r="M1560" s="20" t="n"/>
      <c r="N1560" s="20" t="n"/>
      <c r="O1560" s="20" t="n"/>
      <c r="P1560" s="20" t="n"/>
      <c r="Q1560" s="26" t="n"/>
      <c r="R1560" s="20" t="n"/>
      <c r="S1560" s="20" t="n"/>
    </row>
    <row r="1561">
      <c r="A1561" s="24" t="n"/>
      <c r="B1561" s="20" t="n"/>
      <c r="C1561" s="20" t="n"/>
      <c r="D1561" s="23" t="n"/>
      <c r="E1561" s="20" t="n"/>
      <c r="F1561" s="20" t="n"/>
      <c r="G1561" s="25" t="n"/>
      <c r="H1561" s="20" t="n"/>
      <c r="I1561" s="20" t="n"/>
      <c r="J1561" s="20" t="n"/>
      <c r="K1561" s="20" t="n"/>
      <c r="L1561" s="25" t="n"/>
      <c r="M1561" s="20" t="n"/>
      <c r="N1561" s="20" t="n"/>
      <c r="O1561" s="20" t="n"/>
      <c r="P1561" s="20" t="n"/>
      <c r="Q1561" s="26" t="n"/>
      <c r="R1561" s="20" t="n"/>
      <c r="S1561" s="20" t="n"/>
    </row>
    <row r="1562">
      <c r="A1562" s="24" t="n"/>
      <c r="B1562" s="20" t="n"/>
      <c r="C1562" s="20" t="n"/>
      <c r="D1562" s="23" t="n"/>
      <c r="E1562" s="20" t="n"/>
      <c r="F1562" s="20" t="n"/>
      <c r="G1562" s="25" t="n"/>
      <c r="H1562" s="20" t="n"/>
      <c r="I1562" s="20" t="n"/>
      <c r="J1562" s="20" t="n"/>
      <c r="K1562" s="20" t="n"/>
      <c r="L1562" s="25" t="n"/>
      <c r="M1562" s="20" t="n"/>
      <c r="N1562" s="20" t="n"/>
      <c r="O1562" s="20" t="n"/>
      <c r="P1562" s="20" t="n"/>
      <c r="Q1562" s="26" t="n"/>
      <c r="R1562" s="20" t="n"/>
      <c r="S1562" s="20" t="n"/>
    </row>
    <row r="1563">
      <c r="A1563" s="24" t="n"/>
      <c r="B1563" s="20" t="n"/>
      <c r="C1563" s="20" t="n"/>
      <c r="D1563" s="23" t="n"/>
      <c r="E1563" s="20" t="n"/>
      <c r="F1563" s="20" t="n"/>
      <c r="G1563" s="25" t="n"/>
      <c r="H1563" s="20" t="n"/>
      <c r="I1563" s="20" t="n"/>
      <c r="J1563" s="20" t="n"/>
      <c r="K1563" s="20" t="n"/>
      <c r="L1563" s="25" t="n"/>
      <c r="M1563" s="20" t="n"/>
      <c r="N1563" s="20" t="n"/>
      <c r="O1563" s="20" t="n"/>
      <c r="P1563" s="20" t="n"/>
      <c r="Q1563" s="26" t="n"/>
      <c r="R1563" s="20" t="n"/>
      <c r="S1563" s="20" t="n"/>
    </row>
    <row r="1564">
      <c r="A1564" s="24" t="n"/>
      <c r="B1564" s="20" t="n"/>
      <c r="C1564" s="20" t="n"/>
      <c r="D1564" s="23" t="n"/>
      <c r="E1564" s="20" t="n"/>
      <c r="F1564" s="20" t="n"/>
      <c r="G1564" s="25" t="n"/>
      <c r="H1564" s="20" t="n"/>
      <c r="I1564" s="20" t="n"/>
      <c r="J1564" s="20" t="n"/>
      <c r="K1564" s="20" t="n"/>
      <c r="L1564" s="25" t="n"/>
      <c r="M1564" s="20" t="n"/>
      <c r="N1564" s="20" t="n"/>
      <c r="O1564" s="20" t="n"/>
      <c r="P1564" s="20" t="n"/>
      <c r="Q1564" s="26" t="n"/>
      <c r="R1564" s="20" t="n"/>
      <c r="S1564" s="20" t="n"/>
    </row>
    <row r="1565">
      <c r="A1565" s="24" t="n"/>
      <c r="B1565" s="20" t="n"/>
      <c r="C1565" s="20" t="n"/>
      <c r="D1565" s="23" t="n"/>
      <c r="E1565" s="20" t="n"/>
      <c r="F1565" s="20" t="n"/>
      <c r="G1565" s="25" t="n"/>
      <c r="H1565" s="20" t="n"/>
      <c r="I1565" s="20" t="n"/>
      <c r="J1565" s="20" t="n"/>
      <c r="K1565" s="20" t="n"/>
      <c r="L1565" s="25" t="n"/>
      <c r="M1565" s="20" t="n"/>
      <c r="N1565" s="20" t="n"/>
      <c r="O1565" s="20" t="n"/>
      <c r="P1565" s="20" t="n"/>
      <c r="Q1565" s="26" t="n"/>
      <c r="R1565" s="20" t="n"/>
      <c r="S1565" s="20" t="n"/>
    </row>
    <row r="1566">
      <c r="A1566" s="24" t="n"/>
      <c r="B1566" s="20" t="n"/>
      <c r="C1566" s="20" t="n"/>
      <c r="D1566" s="23" t="n"/>
      <c r="E1566" s="20" t="n"/>
      <c r="F1566" s="20" t="n"/>
      <c r="G1566" s="25" t="n"/>
      <c r="H1566" s="20" t="n"/>
      <c r="I1566" s="20" t="n"/>
      <c r="J1566" s="20" t="n"/>
      <c r="K1566" s="20" t="n"/>
      <c r="L1566" s="25" t="n"/>
      <c r="M1566" s="20" t="n"/>
      <c r="N1566" s="20" t="n"/>
      <c r="O1566" s="20" t="n"/>
      <c r="P1566" s="20" t="n"/>
      <c r="Q1566" s="26" t="n"/>
      <c r="R1566" s="20" t="n"/>
      <c r="S1566" s="20" t="n"/>
    </row>
    <row r="1567">
      <c r="A1567" s="24" t="n"/>
      <c r="B1567" s="20" t="n"/>
      <c r="C1567" s="20" t="n"/>
      <c r="D1567" s="23" t="n"/>
      <c r="E1567" s="20" t="n"/>
      <c r="F1567" s="20" t="n"/>
      <c r="G1567" s="25" t="n"/>
      <c r="H1567" s="20" t="n"/>
      <c r="I1567" s="20" t="n"/>
      <c r="J1567" s="20" t="n"/>
      <c r="K1567" s="20" t="n"/>
      <c r="L1567" s="25" t="n"/>
      <c r="M1567" s="20" t="n"/>
      <c r="N1567" s="20" t="n"/>
      <c r="O1567" s="20" t="n"/>
      <c r="P1567" s="20" t="n"/>
      <c r="Q1567" s="26" t="n"/>
      <c r="R1567" s="20" t="n"/>
      <c r="S1567" s="20" t="n"/>
    </row>
    <row r="1568">
      <c r="A1568" s="24" t="n"/>
      <c r="B1568" s="20" t="n"/>
      <c r="C1568" s="20" t="n"/>
      <c r="D1568" s="23" t="n"/>
      <c r="E1568" s="20" t="n"/>
      <c r="F1568" s="20" t="n"/>
      <c r="G1568" s="25" t="n"/>
      <c r="H1568" s="20" t="n"/>
      <c r="I1568" s="20" t="n"/>
      <c r="J1568" s="20" t="n"/>
      <c r="K1568" s="20" t="n"/>
      <c r="L1568" s="25" t="n"/>
      <c r="M1568" s="20" t="n"/>
      <c r="N1568" s="20" t="n"/>
      <c r="O1568" s="20" t="n"/>
      <c r="P1568" s="20" t="n"/>
      <c r="Q1568" s="26" t="n"/>
      <c r="R1568" s="20" t="n"/>
      <c r="S1568" s="20" t="n"/>
    </row>
    <row r="1569">
      <c r="A1569" s="24" t="n"/>
      <c r="B1569" s="20" t="n"/>
      <c r="C1569" s="20" t="n"/>
      <c r="D1569" s="23" t="n"/>
      <c r="E1569" s="20" t="n"/>
      <c r="F1569" s="20" t="n"/>
      <c r="G1569" s="25" t="n"/>
      <c r="H1569" s="20" t="n"/>
      <c r="I1569" s="20" t="n"/>
      <c r="J1569" s="20" t="n"/>
      <c r="K1569" s="20" t="n"/>
      <c r="L1569" s="25" t="n"/>
      <c r="M1569" s="20" t="n"/>
      <c r="N1569" s="20" t="n"/>
      <c r="O1569" s="20" t="n"/>
      <c r="P1569" s="20" t="n"/>
      <c r="Q1569" s="26" t="n"/>
      <c r="R1569" s="20" t="n"/>
      <c r="S1569" s="20" t="n"/>
    </row>
    <row r="1570">
      <c r="A1570" s="24" t="n"/>
      <c r="B1570" s="20" t="n"/>
      <c r="C1570" s="20" t="n"/>
      <c r="D1570" s="23" t="n"/>
      <c r="E1570" s="20" t="n"/>
      <c r="F1570" s="20" t="n"/>
      <c r="G1570" s="25" t="n"/>
      <c r="H1570" s="20" t="n"/>
      <c r="I1570" s="20" t="n"/>
      <c r="J1570" s="20" t="n"/>
      <c r="K1570" s="20" t="n"/>
      <c r="L1570" s="25" t="n"/>
      <c r="M1570" s="20" t="n"/>
      <c r="N1570" s="20" t="n"/>
      <c r="O1570" s="20" t="n"/>
      <c r="P1570" s="20" t="n"/>
      <c r="Q1570" s="26" t="n"/>
      <c r="R1570" s="20" t="n"/>
      <c r="S1570" s="20" t="n"/>
    </row>
    <row r="1571">
      <c r="A1571" s="24" t="n"/>
      <c r="B1571" s="20" t="n"/>
      <c r="C1571" s="20" t="n"/>
      <c r="D1571" s="23" t="n"/>
      <c r="E1571" s="20" t="n"/>
      <c r="F1571" s="20" t="n"/>
      <c r="G1571" s="25" t="n"/>
      <c r="H1571" s="20" t="n"/>
      <c r="I1571" s="20" t="n"/>
      <c r="J1571" s="20" t="n"/>
      <c r="K1571" s="20" t="n"/>
      <c r="L1571" s="25" t="n"/>
      <c r="M1571" s="20" t="n"/>
      <c r="N1571" s="20" t="n"/>
      <c r="O1571" s="20" t="n"/>
      <c r="P1571" s="20" t="n"/>
      <c r="Q1571" s="26" t="n"/>
      <c r="R1571" s="20" t="n"/>
      <c r="S1571" s="20" t="n"/>
    </row>
    <row r="1572">
      <c r="A1572" s="24" t="n"/>
      <c r="B1572" s="20" t="n"/>
      <c r="C1572" s="20" t="n"/>
      <c r="D1572" s="23" t="n"/>
      <c r="E1572" s="20" t="n"/>
      <c r="F1572" s="20" t="n"/>
      <c r="G1572" s="25" t="n"/>
      <c r="H1572" s="20" t="n"/>
      <c r="I1572" s="20" t="n"/>
      <c r="J1572" s="20" t="n"/>
      <c r="K1572" s="20" t="n"/>
      <c r="L1572" s="25" t="n"/>
      <c r="M1572" s="20" t="n"/>
      <c r="N1572" s="20" t="n"/>
      <c r="O1572" s="20" t="n"/>
      <c r="P1572" s="20" t="n"/>
      <c r="Q1572" s="26" t="n"/>
      <c r="R1572" s="20" t="n"/>
      <c r="S1572" s="20" t="n"/>
    </row>
    <row r="1573">
      <c r="A1573" s="24" t="n"/>
      <c r="B1573" s="20" t="n"/>
      <c r="C1573" s="20" t="n"/>
      <c r="D1573" s="23" t="n"/>
      <c r="E1573" s="20" t="n"/>
      <c r="F1573" s="20" t="n"/>
      <c r="G1573" s="25" t="n"/>
      <c r="H1573" s="20" t="n"/>
      <c r="I1573" s="20" t="n"/>
      <c r="J1573" s="20" t="n"/>
      <c r="K1573" s="20" t="n"/>
      <c r="L1573" s="25" t="n"/>
      <c r="M1573" s="20" t="n"/>
      <c r="N1573" s="20" t="n"/>
      <c r="O1573" s="20" t="n"/>
      <c r="P1573" s="20" t="n"/>
      <c r="Q1573" s="26" t="n"/>
      <c r="R1573" s="20" t="n"/>
      <c r="S1573" s="20" t="n"/>
    </row>
    <row r="1574">
      <c r="A1574" s="24" t="n"/>
      <c r="B1574" s="20" t="n"/>
      <c r="C1574" s="20" t="n"/>
      <c r="D1574" s="23" t="n"/>
      <c r="E1574" s="20" t="n"/>
      <c r="F1574" s="20" t="n"/>
      <c r="G1574" s="25" t="n"/>
      <c r="H1574" s="20" t="n"/>
      <c r="I1574" s="20" t="n"/>
      <c r="J1574" s="20" t="n"/>
      <c r="K1574" s="20" t="n"/>
      <c r="L1574" s="25" t="n"/>
      <c r="M1574" s="20" t="n"/>
      <c r="N1574" s="20" t="n"/>
      <c r="O1574" s="20" t="n"/>
      <c r="P1574" s="20" t="n"/>
      <c r="Q1574" s="26" t="n"/>
      <c r="R1574" s="20" t="n"/>
      <c r="S1574" s="20" t="n"/>
    </row>
    <row r="1575">
      <c r="A1575" s="24" t="n"/>
      <c r="B1575" s="20" t="n"/>
      <c r="C1575" s="20" t="n"/>
      <c r="D1575" s="23" t="n"/>
      <c r="E1575" s="20" t="n"/>
      <c r="F1575" s="20" t="n"/>
      <c r="G1575" s="25" t="n"/>
      <c r="H1575" s="20" t="n"/>
      <c r="I1575" s="20" t="n"/>
      <c r="J1575" s="20" t="n"/>
      <c r="K1575" s="20" t="n"/>
      <c r="L1575" s="25" t="n"/>
      <c r="M1575" s="20" t="n"/>
      <c r="N1575" s="20" t="n"/>
      <c r="O1575" s="20" t="n"/>
      <c r="P1575" s="20" t="n"/>
      <c r="Q1575" s="26" t="n"/>
      <c r="R1575" s="20" t="n"/>
      <c r="S1575" s="20" t="n"/>
    </row>
    <row r="1576">
      <c r="A1576" s="24" t="n"/>
      <c r="B1576" s="20" t="n"/>
      <c r="C1576" s="20" t="n"/>
      <c r="D1576" s="23" t="n"/>
      <c r="E1576" s="20" t="n"/>
      <c r="F1576" s="20" t="n"/>
      <c r="G1576" s="25" t="n"/>
      <c r="H1576" s="20" t="n"/>
      <c r="I1576" s="20" t="n"/>
      <c r="J1576" s="20" t="n"/>
      <c r="K1576" s="20" t="n"/>
      <c r="L1576" s="25" t="n"/>
      <c r="M1576" s="20" t="n"/>
      <c r="N1576" s="20" t="n"/>
      <c r="O1576" s="20" t="n"/>
      <c r="P1576" s="20" t="n"/>
      <c r="Q1576" s="26" t="n"/>
      <c r="R1576" s="20" t="n"/>
      <c r="S1576" s="20" t="n"/>
    </row>
    <row r="1577">
      <c r="A1577" s="24" t="n"/>
      <c r="B1577" s="20" t="n"/>
      <c r="C1577" s="20" t="n"/>
      <c r="D1577" s="23" t="n"/>
      <c r="E1577" s="20" t="n"/>
      <c r="F1577" s="20" t="n"/>
      <c r="G1577" s="25" t="n"/>
      <c r="H1577" s="20" t="n"/>
      <c r="I1577" s="20" t="n"/>
      <c r="J1577" s="20" t="n"/>
      <c r="K1577" s="20" t="n"/>
      <c r="L1577" s="25" t="n"/>
      <c r="M1577" s="20" t="n"/>
      <c r="N1577" s="20" t="n"/>
      <c r="O1577" s="20" t="n"/>
      <c r="P1577" s="20" t="n"/>
      <c r="Q1577" s="26" t="n"/>
      <c r="R1577" s="20" t="n"/>
      <c r="S1577" s="20" t="n"/>
    </row>
    <row r="1578">
      <c r="A1578" s="24" t="n"/>
      <c r="B1578" s="20" t="n"/>
      <c r="C1578" s="20" t="n"/>
      <c r="D1578" s="23" t="n"/>
      <c r="E1578" s="20" t="n"/>
      <c r="F1578" s="20" t="n"/>
      <c r="G1578" s="25" t="n"/>
      <c r="H1578" s="20" t="n"/>
      <c r="I1578" s="20" t="n"/>
      <c r="J1578" s="20" t="n"/>
      <c r="K1578" s="20" t="n"/>
      <c r="L1578" s="25" t="n"/>
      <c r="M1578" s="20" t="n"/>
      <c r="N1578" s="20" t="n"/>
      <c r="O1578" s="20" t="n"/>
      <c r="P1578" s="20" t="n"/>
      <c r="Q1578" s="26" t="n"/>
      <c r="R1578" s="20" t="n"/>
      <c r="S1578" s="20" t="n"/>
    </row>
    <row r="1579">
      <c r="A1579" s="24" t="n"/>
      <c r="B1579" s="20" t="n"/>
      <c r="C1579" s="20" t="n"/>
      <c r="D1579" s="23" t="n"/>
      <c r="E1579" s="20" t="n"/>
      <c r="F1579" s="20" t="n"/>
      <c r="G1579" s="25" t="n"/>
      <c r="H1579" s="20" t="n"/>
      <c r="I1579" s="20" t="n"/>
      <c r="J1579" s="20" t="n"/>
      <c r="K1579" s="20" t="n"/>
      <c r="L1579" s="25" t="n"/>
      <c r="M1579" s="20" t="n"/>
      <c r="N1579" s="20" t="n"/>
      <c r="O1579" s="20" t="n"/>
      <c r="P1579" s="20" t="n"/>
      <c r="Q1579" s="26" t="n"/>
      <c r="R1579" s="20" t="n"/>
      <c r="S1579" s="20" t="n"/>
    </row>
    <row r="1580">
      <c r="A1580" s="24" t="n"/>
      <c r="B1580" s="20" t="n"/>
      <c r="C1580" s="20" t="n"/>
      <c r="D1580" s="23" t="n"/>
      <c r="E1580" s="20" t="n"/>
      <c r="F1580" s="20" t="n"/>
      <c r="G1580" s="25" t="n"/>
      <c r="H1580" s="20" t="n"/>
      <c r="I1580" s="20" t="n"/>
      <c r="J1580" s="20" t="n"/>
      <c r="K1580" s="20" t="n"/>
      <c r="L1580" s="25" t="n"/>
      <c r="M1580" s="20" t="n"/>
      <c r="N1580" s="20" t="n"/>
      <c r="O1580" s="20" t="n"/>
      <c r="P1580" s="20" t="n"/>
      <c r="Q1580" s="26" t="n"/>
      <c r="R1580" s="20" t="n"/>
      <c r="S1580" s="20" t="n"/>
    </row>
    <row r="1581">
      <c r="A1581" s="24" t="n"/>
      <c r="B1581" s="20" t="n"/>
      <c r="C1581" s="20" t="n"/>
      <c r="D1581" s="23" t="n"/>
      <c r="E1581" s="20" t="n"/>
      <c r="F1581" s="20" t="n"/>
      <c r="G1581" s="25" t="n"/>
      <c r="H1581" s="20" t="n"/>
      <c r="I1581" s="20" t="n"/>
      <c r="J1581" s="20" t="n"/>
      <c r="K1581" s="20" t="n"/>
      <c r="L1581" s="25" t="n"/>
      <c r="M1581" s="20" t="n"/>
      <c r="N1581" s="20" t="n"/>
      <c r="O1581" s="20" t="n"/>
      <c r="P1581" s="20" t="n"/>
      <c r="Q1581" s="26" t="n"/>
      <c r="R1581" s="20" t="n"/>
      <c r="S1581" s="20" t="n"/>
    </row>
    <row r="1582">
      <c r="A1582" s="24" t="n"/>
      <c r="B1582" s="20" t="n"/>
      <c r="C1582" s="20" t="n"/>
      <c r="D1582" s="23" t="n"/>
      <c r="E1582" s="20" t="n"/>
      <c r="F1582" s="20" t="n"/>
      <c r="G1582" s="25" t="n"/>
      <c r="H1582" s="20" t="n"/>
      <c r="I1582" s="20" t="n"/>
      <c r="J1582" s="20" t="n"/>
      <c r="K1582" s="20" t="n"/>
      <c r="L1582" s="25" t="n"/>
      <c r="M1582" s="20" t="n"/>
      <c r="N1582" s="20" t="n"/>
      <c r="O1582" s="20" t="n"/>
      <c r="P1582" s="20" t="n"/>
      <c r="Q1582" s="26" t="n"/>
      <c r="R1582" s="20" t="n"/>
      <c r="S1582" s="20" t="n"/>
    </row>
    <row r="1583">
      <c r="A1583" s="24" t="n"/>
      <c r="B1583" s="20" t="n"/>
      <c r="C1583" s="20" t="n"/>
      <c r="D1583" s="23" t="n"/>
      <c r="E1583" s="20" t="n"/>
      <c r="F1583" s="20" t="n"/>
      <c r="G1583" s="25" t="n"/>
      <c r="H1583" s="20" t="n"/>
      <c r="I1583" s="20" t="n"/>
      <c r="J1583" s="20" t="n"/>
      <c r="K1583" s="20" t="n"/>
      <c r="L1583" s="25" t="n"/>
      <c r="M1583" s="20" t="n"/>
      <c r="N1583" s="20" t="n"/>
      <c r="O1583" s="20" t="n"/>
      <c r="P1583" s="20" t="n"/>
      <c r="Q1583" s="26" t="n"/>
      <c r="R1583" s="20" t="n"/>
      <c r="S1583" s="20" t="n"/>
    </row>
    <row r="1584">
      <c r="A1584" s="24" t="n"/>
      <c r="B1584" s="20" t="n"/>
      <c r="C1584" s="20" t="n"/>
      <c r="D1584" s="23" t="n"/>
      <c r="E1584" s="20" t="n"/>
      <c r="F1584" s="20" t="n"/>
      <c r="G1584" s="25" t="n"/>
      <c r="H1584" s="20" t="n"/>
      <c r="I1584" s="20" t="n"/>
      <c r="J1584" s="20" t="n"/>
      <c r="K1584" s="20" t="n"/>
      <c r="L1584" s="25" t="n"/>
      <c r="M1584" s="20" t="n"/>
      <c r="N1584" s="20" t="n"/>
      <c r="O1584" s="20" t="n"/>
      <c r="P1584" s="20" t="n"/>
      <c r="Q1584" s="26" t="n"/>
      <c r="R1584" s="20" t="n"/>
      <c r="S1584" s="20" t="n"/>
    </row>
    <row r="1585">
      <c r="A1585" s="24" t="n"/>
      <c r="B1585" s="20" t="n"/>
      <c r="C1585" s="20" t="n"/>
      <c r="D1585" s="23" t="n"/>
      <c r="E1585" s="20" t="n"/>
      <c r="F1585" s="20" t="n"/>
      <c r="G1585" s="25" t="n"/>
      <c r="H1585" s="20" t="n"/>
      <c r="I1585" s="20" t="n"/>
      <c r="J1585" s="20" t="n"/>
      <c r="K1585" s="20" t="n"/>
      <c r="L1585" s="25" t="n"/>
      <c r="M1585" s="20" t="n"/>
      <c r="N1585" s="20" t="n"/>
      <c r="O1585" s="20" t="n"/>
      <c r="P1585" s="20" t="n"/>
      <c r="Q1585" s="26" t="n"/>
      <c r="R1585" s="20" t="n"/>
      <c r="S1585" s="20" t="n"/>
    </row>
    <row r="1586">
      <c r="A1586" s="24" t="n"/>
      <c r="B1586" s="20" t="n"/>
      <c r="C1586" s="20" t="n"/>
      <c r="D1586" s="23" t="n"/>
      <c r="E1586" s="20" t="n"/>
      <c r="F1586" s="20" t="n"/>
      <c r="G1586" s="25" t="n"/>
      <c r="H1586" s="20" t="n"/>
      <c r="I1586" s="20" t="n"/>
      <c r="J1586" s="20" t="n"/>
      <c r="K1586" s="20" t="n"/>
      <c r="L1586" s="25" t="n"/>
      <c r="M1586" s="20" t="n"/>
      <c r="N1586" s="20" t="n"/>
      <c r="O1586" s="20" t="n"/>
      <c r="P1586" s="20" t="n"/>
      <c r="Q1586" s="26" t="n"/>
      <c r="R1586" s="20" t="n"/>
      <c r="S1586" s="20" t="n"/>
    </row>
    <row r="1587">
      <c r="A1587" s="24" t="n"/>
      <c r="B1587" s="20" t="n"/>
      <c r="C1587" s="20" t="n"/>
      <c r="D1587" s="23" t="n"/>
      <c r="E1587" s="20" t="n"/>
      <c r="F1587" s="20" t="n"/>
      <c r="G1587" s="25" t="n"/>
      <c r="H1587" s="20" t="n"/>
      <c r="I1587" s="20" t="n"/>
      <c r="J1587" s="20" t="n"/>
      <c r="K1587" s="20" t="n"/>
      <c r="L1587" s="25" t="n"/>
      <c r="M1587" s="20" t="n"/>
      <c r="N1587" s="20" t="n"/>
      <c r="O1587" s="20" t="n"/>
      <c r="P1587" s="20" t="n"/>
      <c r="Q1587" s="26" t="n"/>
      <c r="R1587" s="20" t="n"/>
      <c r="S1587" s="20" t="n"/>
    </row>
    <row r="1588">
      <c r="A1588" s="24" t="n"/>
      <c r="B1588" s="20" t="n"/>
      <c r="C1588" s="20" t="n"/>
      <c r="D1588" s="23" t="n"/>
      <c r="E1588" s="20" t="n"/>
      <c r="F1588" s="20" t="n"/>
      <c r="G1588" s="25" t="n"/>
      <c r="H1588" s="20" t="n"/>
      <c r="I1588" s="20" t="n"/>
      <c r="J1588" s="20" t="n"/>
      <c r="K1588" s="20" t="n"/>
      <c r="L1588" s="25" t="n"/>
      <c r="M1588" s="20" t="n"/>
      <c r="N1588" s="20" t="n"/>
      <c r="O1588" s="20" t="n"/>
      <c r="P1588" s="20" t="n"/>
      <c r="Q1588" s="26" t="n"/>
      <c r="R1588" s="20" t="n"/>
      <c r="S1588" s="20" t="n"/>
    </row>
    <row r="1589">
      <c r="A1589" s="24" t="n"/>
      <c r="B1589" s="20" t="n"/>
      <c r="C1589" s="20" t="n"/>
      <c r="D1589" s="23" t="n"/>
      <c r="E1589" s="20" t="n"/>
      <c r="F1589" s="20" t="n"/>
      <c r="G1589" s="25" t="n"/>
      <c r="H1589" s="20" t="n"/>
      <c r="I1589" s="20" t="n"/>
      <c r="J1589" s="20" t="n"/>
      <c r="K1589" s="20" t="n"/>
      <c r="L1589" s="25" t="n"/>
      <c r="M1589" s="20" t="n"/>
      <c r="N1589" s="20" t="n"/>
      <c r="O1589" s="20" t="n"/>
      <c r="P1589" s="20" t="n"/>
      <c r="Q1589" s="26" t="n"/>
      <c r="R1589" s="20" t="n"/>
      <c r="S1589" s="20" t="n"/>
    </row>
    <row r="1590">
      <c r="A1590" s="24" t="n"/>
      <c r="B1590" s="20" t="n"/>
      <c r="C1590" s="20" t="n"/>
      <c r="D1590" s="23" t="n"/>
      <c r="E1590" s="20" t="n"/>
      <c r="F1590" s="20" t="n"/>
      <c r="G1590" s="25" t="n"/>
      <c r="H1590" s="20" t="n"/>
      <c r="I1590" s="20" t="n"/>
      <c r="J1590" s="20" t="n"/>
      <c r="K1590" s="20" t="n"/>
      <c r="L1590" s="25" t="n"/>
      <c r="M1590" s="20" t="n"/>
      <c r="N1590" s="20" t="n"/>
      <c r="O1590" s="20" t="n"/>
      <c r="P1590" s="20" t="n"/>
      <c r="Q1590" s="26" t="n"/>
      <c r="R1590" s="20" t="n"/>
      <c r="S1590" s="20" t="n"/>
    </row>
    <row r="1591">
      <c r="A1591" s="24" t="n"/>
      <c r="B1591" s="20" t="n"/>
      <c r="C1591" s="20" t="n"/>
      <c r="D1591" s="23" t="n"/>
      <c r="E1591" s="20" t="n"/>
      <c r="F1591" s="20" t="n"/>
      <c r="G1591" s="25" t="n"/>
      <c r="H1591" s="20" t="n"/>
      <c r="I1591" s="20" t="n"/>
      <c r="J1591" s="20" t="n"/>
      <c r="K1591" s="20" t="n"/>
      <c r="L1591" s="25" t="n"/>
      <c r="M1591" s="20" t="n"/>
      <c r="N1591" s="20" t="n"/>
      <c r="O1591" s="20" t="n"/>
      <c r="P1591" s="20" t="n"/>
      <c r="Q1591" s="26" t="n"/>
      <c r="R1591" s="20" t="n"/>
      <c r="S1591" s="20" t="n"/>
    </row>
    <row r="1592">
      <c r="A1592" s="24" t="n"/>
      <c r="B1592" s="20" t="n"/>
      <c r="C1592" s="20" t="n"/>
      <c r="D1592" s="23" t="n"/>
      <c r="E1592" s="20" t="n"/>
      <c r="F1592" s="20" t="n"/>
      <c r="G1592" s="25" t="n"/>
      <c r="H1592" s="20" t="n"/>
      <c r="I1592" s="20" t="n"/>
      <c r="J1592" s="20" t="n"/>
      <c r="K1592" s="20" t="n"/>
      <c r="L1592" s="25" t="n"/>
      <c r="M1592" s="20" t="n"/>
      <c r="N1592" s="20" t="n"/>
      <c r="O1592" s="20" t="n"/>
      <c r="P1592" s="20" t="n"/>
      <c r="Q1592" s="26" t="n"/>
      <c r="R1592" s="20" t="n"/>
      <c r="S1592" s="20" t="n"/>
    </row>
    <row r="1593">
      <c r="A1593" s="24" t="n"/>
      <c r="B1593" s="20" t="n"/>
      <c r="C1593" s="20" t="n"/>
      <c r="D1593" s="23" t="n"/>
      <c r="E1593" s="20" t="n"/>
      <c r="F1593" s="20" t="n"/>
      <c r="G1593" s="25" t="n"/>
      <c r="H1593" s="20" t="n"/>
      <c r="I1593" s="20" t="n"/>
      <c r="J1593" s="20" t="n"/>
      <c r="K1593" s="20" t="n"/>
      <c r="L1593" s="25" t="n"/>
      <c r="M1593" s="20" t="n"/>
      <c r="N1593" s="20" t="n"/>
      <c r="O1593" s="20" t="n"/>
      <c r="P1593" s="20" t="n"/>
      <c r="Q1593" s="26" t="n"/>
      <c r="R1593" s="20" t="n"/>
      <c r="S1593" s="20" t="n"/>
    </row>
    <row r="1594">
      <c r="A1594" s="24" t="n"/>
      <c r="B1594" s="20" t="n"/>
      <c r="C1594" s="20" t="n"/>
      <c r="D1594" s="23" t="n"/>
      <c r="E1594" s="20" t="n"/>
      <c r="F1594" s="20" t="n"/>
      <c r="G1594" s="25" t="n"/>
      <c r="H1594" s="20" t="n"/>
      <c r="I1594" s="20" t="n"/>
      <c r="J1594" s="20" t="n"/>
      <c r="K1594" s="20" t="n"/>
      <c r="L1594" s="25" t="n"/>
      <c r="M1594" s="20" t="n"/>
      <c r="N1594" s="20" t="n"/>
      <c r="O1594" s="20" t="n"/>
      <c r="P1594" s="20" t="n"/>
      <c r="Q1594" s="26" t="n"/>
      <c r="R1594" s="20" t="n"/>
      <c r="S1594" s="20" t="n"/>
    </row>
    <row r="1595">
      <c r="A1595" s="24" t="n"/>
      <c r="B1595" s="20" t="n"/>
      <c r="C1595" s="20" t="n"/>
      <c r="D1595" s="23" t="n"/>
      <c r="E1595" s="20" t="n"/>
      <c r="F1595" s="20" t="n"/>
      <c r="G1595" s="25" t="n"/>
      <c r="H1595" s="20" t="n"/>
      <c r="I1595" s="20" t="n"/>
      <c r="J1595" s="20" t="n"/>
      <c r="K1595" s="20" t="n"/>
      <c r="L1595" s="25" t="n"/>
      <c r="M1595" s="20" t="n"/>
      <c r="N1595" s="20" t="n"/>
      <c r="O1595" s="20" t="n"/>
      <c r="P1595" s="20" t="n"/>
      <c r="Q1595" s="26" t="n"/>
      <c r="R1595" s="20" t="n"/>
      <c r="S1595" s="20" t="n"/>
    </row>
    <row r="1596">
      <c r="A1596" s="24" t="n"/>
      <c r="B1596" s="20" t="n"/>
      <c r="C1596" s="20" t="n"/>
      <c r="D1596" s="23" t="n"/>
      <c r="E1596" s="20" t="n"/>
      <c r="F1596" s="20" t="n"/>
      <c r="G1596" s="25" t="n"/>
      <c r="H1596" s="20" t="n"/>
      <c r="I1596" s="20" t="n"/>
      <c r="J1596" s="20" t="n"/>
      <c r="K1596" s="20" t="n"/>
      <c r="L1596" s="25" t="n"/>
      <c r="M1596" s="20" t="n"/>
      <c r="N1596" s="20" t="n"/>
      <c r="O1596" s="20" t="n"/>
      <c r="P1596" s="20" t="n"/>
      <c r="Q1596" s="26" t="n"/>
      <c r="R1596" s="20" t="n"/>
      <c r="S1596" s="20" t="n"/>
    </row>
    <row r="1597">
      <c r="A1597" s="24" t="n"/>
      <c r="B1597" s="20" t="n"/>
      <c r="C1597" s="20" t="n"/>
      <c r="D1597" s="23" t="n"/>
      <c r="E1597" s="20" t="n"/>
      <c r="F1597" s="20" t="n"/>
      <c r="G1597" s="25" t="n"/>
      <c r="H1597" s="20" t="n"/>
      <c r="I1597" s="20" t="n"/>
      <c r="J1597" s="20" t="n"/>
      <c r="K1597" s="20" t="n"/>
      <c r="L1597" s="25" t="n"/>
      <c r="M1597" s="20" t="n"/>
      <c r="N1597" s="20" t="n"/>
      <c r="O1597" s="20" t="n"/>
      <c r="P1597" s="20" t="n"/>
      <c r="Q1597" s="26" t="n"/>
      <c r="R1597" s="20" t="n"/>
      <c r="S1597" s="20" t="n"/>
    </row>
    <row r="1598">
      <c r="A1598" s="24" t="n"/>
      <c r="B1598" s="20" t="n"/>
      <c r="C1598" s="20" t="n"/>
      <c r="D1598" s="23" t="n"/>
      <c r="E1598" s="20" t="n"/>
      <c r="F1598" s="20" t="n"/>
      <c r="G1598" s="25" t="n"/>
      <c r="H1598" s="20" t="n"/>
      <c r="I1598" s="20" t="n"/>
      <c r="J1598" s="20" t="n"/>
      <c r="K1598" s="20" t="n"/>
      <c r="L1598" s="25" t="n"/>
      <c r="M1598" s="20" t="n"/>
      <c r="N1598" s="20" t="n"/>
      <c r="O1598" s="20" t="n"/>
      <c r="P1598" s="20" t="n"/>
      <c r="Q1598" s="26" t="n"/>
      <c r="R1598" s="20" t="n"/>
      <c r="S1598" s="20" t="n"/>
    </row>
    <row r="1599">
      <c r="A1599" s="24" t="n"/>
      <c r="B1599" s="20" t="n"/>
      <c r="C1599" s="20" t="n"/>
      <c r="D1599" s="23" t="n"/>
      <c r="E1599" s="20" t="n"/>
      <c r="F1599" s="20" t="n"/>
      <c r="G1599" s="25" t="n"/>
      <c r="H1599" s="20" t="n"/>
      <c r="I1599" s="20" t="n"/>
      <c r="J1599" s="20" t="n"/>
      <c r="K1599" s="20" t="n"/>
      <c r="L1599" s="25" t="n"/>
      <c r="M1599" s="20" t="n"/>
      <c r="N1599" s="20" t="n"/>
      <c r="O1599" s="20" t="n"/>
      <c r="P1599" s="20" t="n"/>
      <c r="Q1599" s="26" t="n"/>
      <c r="R1599" s="20" t="n"/>
      <c r="S1599" s="20" t="n"/>
    </row>
    <row r="1600">
      <c r="A1600" s="24" t="n"/>
      <c r="B1600" s="20" t="n"/>
      <c r="C1600" s="20" t="n"/>
      <c r="D1600" s="23" t="n"/>
      <c r="E1600" s="20" t="n"/>
      <c r="F1600" s="20" t="n"/>
      <c r="G1600" s="25" t="n"/>
      <c r="H1600" s="20" t="n"/>
      <c r="I1600" s="20" t="n"/>
      <c r="J1600" s="20" t="n"/>
      <c r="K1600" s="20" t="n"/>
      <c r="L1600" s="25" t="n"/>
      <c r="M1600" s="20" t="n"/>
      <c r="N1600" s="20" t="n"/>
      <c r="O1600" s="20" t="n"/>
      <c r="P1600" s="20" t="n"/>
      <c r="Q1600" s="26" t="n"/>
      <c r="R1600" s="20" t="n"/>
      <c r="S1600" s="20" t="n"/>
    </row>
    <row r="1601">
      <c r="A1601" s="24" t="n"/>
      <c r="B1601" s="20" t="n"/>
      <c r="C1601" s="20" t="n"/>
      <c r="D1601" s="23" t="n"/>
      <c r="E1601" s="20" t="n"/>
      <c r="F1601" s="20" t="n"/>
      <c r="G1601" s="25" t="n"/>
      <c r="H1601" s="20" t="n"/>
      <c r="I1601" s="20" t="n"/>
      <c r="J1601" s="20" t="n"/>
      <c r="K1601" s="20" t="n"/>
      <c r="L1601" s="25" t="n"/>
      <c r="M1601" s="20" t="n"/>
      <c r="N1601" s="20" t="n"/>
      <c r="O1601" s="20" t="n"/>
      <c r="P1601" s="20" t="n"/>
      <c r="Q1601" s="26" t="n"/>
      <c r="R1601" s="20" t="n"/>
      <c r="S1601" s="20" t="n"/>
    </row>
    <row r="1602">
      <c r="A1602" s="24" t="n"/>
      <c r="B1602" s="20" t="n"/>
      <c r="C1602" s="20" t="n"/>
      <c r="D1602" s="23" t="n"/>
      <c r="E1602" s="20" t="n"/>
      <c r="F1602" s="20" t="n"/>
      <c r="G1602" s="25" t="n"/>
      <c r="H1602" s="20" t="n"/>
      <c r="I1602" s="20" t="n"/>
      <c r="J1602" s="20" t="n"/>
      <c r="K1602" s="20" t="n"/>
      <c r="L1602" s="25" t="n"/>
      <c r="M1602" s="20" t="n"/>
      <c r="N1602" s="20" t="n"/>
      <c r="O1602" s="20" t="n"/>
      <c r="P1602" s="20" t="n"/>
      <c r="Q1602" s="26" t="n"/>
      <c r="R1602" s="20" t="n"/>
      <c r="S1602" s="20" t="n"/>
    </row>
    <row r="1603">
      <c r="A1603" s="24" t="n"/>
      <c r="B1603" s="20" t="n"/>
      <c r="C1603" s="20" t="n"/>
      <c r="D1603" s="23" t="n"/>
      <c r="E1603" s="20" t="n"/>
      <c r="F1603" s="20" t="n"/>
      <c r="G1603" s="25" t="n"/>
      <c r="H1603" s="20" t="n"/>
      <c r="I1603" s="20" t="n"/>
      <c r="J1603" s="20" t="n"/>
      <c r="K1603" s="20" t="n"/>
      <c r="L1603" s="25" t="n"/>
      <c r="M1603" s="20" t="n"/>
      <c r="N1603" s="20" t="n"/>
      <c r="O1603" s="20" t="n"/>
      <c r="P1603" s="20" t="n"/>
      <c r="Q1603" s="26" t="n"/>
      <c r="R1603" s="20" t="n"/>
      <c r="S1603" s="20" t="n"/>
    </row>
    <row r="1604">
      <c r="A1604" s="24" t="n"/>
      <c r="B1604" s="20" t="n"/>
      <c r="C1604" s="20" t="n"/>
      <c r="D1604" s="23" t="n"/>
      <c r="E1604" s="20" t="n"/>
      <c r="F1604" s="20" t="n"/>
      <c r="G1604" s="25" t="n"/>
      <c r="H1604" s="20" t="n"/>
      <c r="I1604" s="20" t="n"/>
      <c r="J1604" s="20" t="n"/>
      <c r="K1604" s="20" t="n"/>
      <c r="L1604" s="25" t="n"/>
      <c r="M1604" s="20" t="n"/>
      <c r="N1604" s="20" t="n"/>
      <c r="O1604" s="20" t="n"/>
      <c r="P1604" s="20" t="n"/>
      <c r="Q1604" s="26" t="n"/>
      <c r="R1604" s="20" t="n"/>
      <c r="S1604" s="20" t="n"/>
    </row>
    <row r="1605">
      <c r="A1605" s="24" t="n"/>
      <c r="B1605" s="20" t="n"/>
      <c r="C1605" s="20" t="n"/>
      <c r="D1605" s="23" t="n"/>
      <c r="E1605" s="20" t="n"/>
      <c r="F1605" s="20" t="n"/>
      <c r="G1605" s="25" t="n"/>
      <c r="H1605" s="20" t="n"/>
      <c r="I1605" s="20" t="n"/>
      <c r="J1605" s="20" t="n"/>
      <c r="K1605" s="20" t="n"/>
      <c r="L1605" s="25" t="n"/>
      <c r="M1605" s="20" t="n"/>
      <c r="N1605" s="20" t="n"/>
      <c r="O1605" s="20" t="n"/>
      <c r="P1605" s="20" t="n"/>
      <c r="Q1605" s="26" t="n"/>
      <c r="R1605" s="20" t="n"/>
      <c r="S1605" s="20" t="n"/>
    </row>
    <row r="1606">
      <c r="A1606" s="24" t="n"/>
      <c r="B1606" s="20" t="n"/>
      <c r="C1606" s="20" t="n"/>
      <c r="D1606" s="23" t="n"/>
      <c r="E1606" s="20" t="n"/>
      <c r="F1606" s="20" t="n"/>
      <c r="G1606" s="25" t="n"/>
      <c r="H1606" s="20" t="n"/>
      <c r="I1606" s="20" t="n"/>
      <c r="J1606" s="20" t="n"/>
      <c r="K1606" s="20" t="n"/>
      <c r="L1606" s="25" t="n"/>
      <c r="M1606" s="20" t="n"/>
      <c r="N1606" s="20" t="n"/>
      <c r="O1606" s="20" t="n"/>
      <c r="P1606" s="20" t="n"/>
      <c r="Q1606" s="26" t="n"/>
      <c r="R1606" s="20" t="n"/>
      <c r="S1606" s="20" t="n"/>
    </row>
    <row r="1607">
      <c r="A1607" s="24" t="n"/>
      <c r="B1607" s="20" t="n"/>
      <c r="C1607" s="20" t="n"/>
      <c r="D1607" s="23" t="n"/>
      <c r="E1607" s="20" t="n"/>
      <c r="F1607" s="20" t="n"/>
      <c r="G1607" s="25" t="n"/>
      <c r="H1607" s="20" t="n"/>
      <c r="I1607" s="20" t="n"/>
      <c r="J1607" s="20" t="n"/>
      <c r="K1607" s="20" t="n"/>
      <c r="L1607" s="25" t="n"/>
      <c r="M1607" s="20" t="n"/>
      <c r="N1607" s="20" t="n"/>
      <c r="O1607" s="20" t="n"/>
      <c r="P1607" s="20" t="n"/>
      <c r="Q1607" s="26" t="n"/>
      <c r="R1607" s="20" t="n"/>
      <c r="S1607" s="20" t="n"/>
    </row>
    <row r="1608">
      <c r="A1608" s="24" t="n"/>
      <c r="B1608" s="20" t="n"/>
      <c r="C1608" s="20" t="n"/>
      <c r="D1608" s="23" t="n"/>
      <c r="E1608" s="20" t="n"/>
      <c r="F1608" s="20" t="n"/>
      <c r="G1608" s="25" t="n"/>
      <c r="H1608" s="20" t="n"/>
      <c r="I1608" s="20" t="n"/>
      <c r="J1608" s="20" t="n"/>
      <c r="K1608" s="20" t="n"/>
      <c r="L1608" s="25" t="n"/>
      <c r="M1608" s="20" t="n"/>
      <c r="N1608" s="20" t="n"/>
      <c r="O1608" s="20" t="n"/>
      <c r="P1608" s="20" t="n"/>
      <c r="Q1608" s="26" t="n"/>
      <c r="R1608" s="20" t="n"/>
      <c r="S1608" s="20" t="n"/>
    </row>
    <row r="1609">
      <c r="A1609" s="24" t="n"/>
      <c r="B1609" s="20" t="n"/>
      <c r="C1609" s="20" t="n"/>
      <c r="D1609" s="23" t="n"/>
      <c r="E1609" s="20" t="n"/>
      <c r="F1609" s="20" t="n"/>
      <c r="G1609" s="25" t="n"/>
      <c r="H1609" s="20" t="n"/>
      <c r="I1609" s="20" t="n"/>
      <c r="J1609" s="20" t="n"/>
      <c r="K1609" s="20" t="n"/>
      <c r="L1609" s="25" t="n"/>
      <c r="M1609" s="20" t="n"/>
      <c r="N1609" s="20" t="n"/>
      <c r="O1609" s="20" t="n"/>
      <c r="P1609" s="20" t="n"/>
      <c r="Q1609" s="26" t="n"/>
      <c r="R1609" s="20" t="n"/>
      <c r="S1609" s="20" t="n"/>
    </row>
    <row r="1610">
      <c r="A1610" s="24" t="n"/>
      <c r="B1610" s="20" t="n"/>
      <c r="C1610" s="20" t="n"/>
      <c r="D1610" s="23" t="n"/>
      <c r="E1610" s="20" t="n"/>
      <c r="F1610" s="20" t="n"/>
      <c r="G1610" s="25" t="n"/>
      <c r="H1610" s="20" t="n"/>
      <c r="I1610" s="20" t="n"/>
      <c r="J1610" s="20" t="n"/>
      <c r="K1610" s="20" t="n"/>
      <c r="L1610" s="25" t="n"/>
      <c r="M1610" s="20" t="n"/>
      <c r="N1610" s="20" t="n"/>
      <c r="O1610" s="20" t="n"/>
      <c r="P1610" s="20" t="n"/>
      <c r="Q1610" s="26" t="n"/>
      <c r="R1610" s="20" t="n"/>
      <c r="S1610" s="20" t="n"/>
    </row>
    <row r="1611">
      <c r="A1611" s="24" t="n"/>
      <c r="B1611" s="20" t="n"/>
      <c r="C1611" s="20" t="n"/>
      <c r="D1611" s="23" t="n"/>
      <c r="E1611" s="20" t="n"/>
      <c r="F1611" s="20" t="n"/>
      <c r="G1611" s="25" t="n"/>
      <c r="H1611" s="20" t="n"/>
      <c r="I1611" s="20" t="n"/>
      <c r="J1611" s="20" t="n"/>
      <c r="K1611" s="20" t="n"/>
      <c r="L1611" s="25" t="n"/>
      <c r="M1611" s="20" t="n"/>
      <c r="N1611" s="20" t="n"/>
      <c r="O1611" s="20" t="n"/>
      <c r="P1611" s="20" t="n"/>
      <c r="Q1611" s="26" t="n"/>
      <c r="R1611" s="20" t="n"/>
      <c r="S1611" s="20" t="n"/>
    </row>
    <row r="1612">
      <c r="A1612" s="24" t="n"/>
      <c r="B1612" s="20" t="n"/>
      <c r="C1612" s="20" t="n"/>
      <c r="D1612" s="23" t="n"/>
      <c r="E1612" s="20" t="n"/>
      <c r="F1612" s="20" t="n"/>
      <c r="G1612" s="25" t="n"/>
      <c r="H1612" s="20" t="n"/>
      <c r="I1612" s="20" t="n"/>
      <c r="J1612" s="20" t="n"/>
      <c r="K1612" s="20" t="n"/>
      <c r="L1612" s="25" t="n"/>
      <c r="M1612" s="20" t="n"/>
      <c r="N1612" s="20" t="n"/>
      <c r="O1612" s="20" t="n"/>
      <c r="P1612" s="20" t="n"/>
      <c r="Q1612" s="26" t="n"/>
      <c r="R1612" s="20" t="n"/>
      <c r="S1612" s="20" t="n"/>
    </row>
    <row r="1613">
      <c r="A1613" s="24" t="n"/>
      <c r="B1613" s="20" t="n"/>
      <c r="C1613" s="20" t="n"/>
      <c r="D1613" s="23" t="n"/>
      <c r="E1613" s="20" t="n"/>
      <c r="F1613" s="20" t="n"/>
      <c r="G1613" s="25" t="n"/>
      <c r="H1613" s="20" t="n"/>
      <c r="I1613" s="20" t="n"/>
      <c r="J1613" s="20" t="n"/>
      <c r="K1613" s="20" t="n"/>
      <c r="L1613" s="25" t="n"/>
      <c r="M1613" s="20" t="n"/>
      <c r="N1613" s="20" t="n"/>
      <c r="O1613" s="20" t="n"/>
      <c r="P1613" s="20" t="n"/>
      <c r="Q1613" s="26" t="n"/>
      <c r="R1613" s="20" t="n"/>
      <c r="S1613" s="20" t="n"/>
    </row>
    <row r="1614">
      <c r="A1614" s="24" t="n"/>
      <c r="B1614" s="20" t="n"/>
      <c r="C1614" s="20" t="n"/>
      <c r="D1614" s="23" t="n"/>
      <c r="E1614" s="20" t="n"/>
      <c r="F1614" s="20" t="n"/>
      <c r="G1614" s="25" t="n"/>
      <c r="H1614" s="20" t="n"/>
      <c r="I1614" s="20" t="n"/>
      <c r="J1614" s="20" t="n"/>
      <c r="K1614" s="20" t="n"/>
      <c r="L1614" s="25" t="n"/>
      <c r="M1614" s="20" t="n"/>
      <c r="N1614" s="20" t="n"/>
      <c r="O1614" s="20" t="n"/>
      <c r="P1614" s="20" t="n"/>
      <c r="Q1614" s="26" t="n"/>
      <c r="R1614" s="20" t="n"/>
      <c r="S1614" s="20" t="n"/>
    </row>
    <row r="1615">
      <c r="A1615" s="24" t="n"/>
      <c r="B1615" s="20" t="n"/>
      <c r="C1615" s="20" t="n"/>
      <c r="D1615" s="23" t="n"/>
      <c r="E1615" s="20" t="n"/>
      <c r="F1615" s="20" t="n"/>
      <c r="G1615" s="25" t="n"/>
      <c r="H1615" s="20" t="n"/>
      <c r="I1615" s="20" t="n"/>
      <c r="J1615" s="20" t="n"/>
      <c r="K1615" s="20" t="n"/>
      <c r="L1615" s="25" t="n"/>
      <c r="M1615" s="20" t="n"/>
      <c r="N1615" s="20" t="n"/>
      <c r="O1615" s="20" t="n"/>
      <c r="P1615" s="20" t="n"/>
      <c r="Q1615" s="26" t="n"/>
      <c r="R1615" s="20" t="n"/>
      <c r="S1615" s="20" t="n"/>
    </row>
    <row r="1616">
      <c r="A1616" s="24" t="n"/>
      <c r="B1616" s="20" t="n"/>
      <c r="C1616" s="20" t="n"/>
      <c r="D1616" s="23" t="n"/>
      <c r="E1616" s="20" t="n"/>
      <c r="F1616" s="20" t="n"/>
      <c r="G1616" s="25" t="n"/>
      <c r="H1616" s="20" t="n"/>
      <c r="I1616" s="20" t="n"/>
      <c r="J1616" s="20" t="n"/>
      <c r="K1616" s="20" t="n"/>
      <c r="L1616" s="25" t="n"/>
      <c r="M1616" s="20" t="n"/>
      <c r="N1616" s="20" t="n"/>
      <c r="O1616" s="20" t="n"/>
      <c r="P1616" s="20" t="n"/>
      <c r="Q1616" s="26" t="n"/>
      <c r="R1616" s="20" t="n"/>
      <c r="S1616" s="20" t="n"/>
    </row>
    <row r="1617">
      <c r="A1617" s="24" t="n"/>
      <c r="B1617" s="20" t="n"/>
      <c r="C1617" s="20" t="n"/>
      <c r="D1617" s="23" t="n"/>
      <c r="E1617" s="20" t="n"/>
      <c r="F1617" s="20" t="n"/>
      <c r="G1617" s="25" t="n"/>
      <c r="H1617" s="20" t="n"/>
      <c r="I1617" s="20" t="n"/>
      <c r="J1617" s="20" t="n"/>
      <c r="K1617" s="20" t="n"/>
      <c r="L1617" s="25" t="n"/>
      <c r="M1617" s="20" t="n"/>
      <c r="N1617" s="20" t="n"/>
      <c r="O1617" s="20" t="n"/>
      <c r="P1617" s="20" t="n"/>
      <c r="Q1617" s="26" t="n"/>
      <c r="R1617" s="20" t="n"/>
      <c r="S1617" s="20" t="n"/>
    </row>
    <row r="1618">
      <c r="A1618" s="24" t="n"/>
      <c r="B1618" s="20" t="n"/>
      <c r="C1618" s="20" t="n"/>
      <c r="D1618" s="23" t="n"/>
      <c r="E1618" s="20" t="n"/>
      <c r="F1618" s="20" t="n"/>
      <c r="G1618" s="25" t="n"/>
      <c r="H1618" s="20" t="n"/>
      <c r="I1618" s="20" t="n"/>
      <c r="J1618" s="20" t="n"/>
      <c r="K1618" s="20" t="n"/>
      <c r="L1618" s="25" t="n"/>
      <c r="M1618" s="20" t="n"/>
      <c r="N1618" s="20" t="n"/>
      <c r="O1618" s="20" t="n"/>
      <c r="P1618" s="20" t="n"/>
      <c r="Q1618" s="26" t="n"/>
      <c r="R1618" s="20" t="n"/>
      <c r="S1618" s="20" t="n"/>
    </row>
    <row r="1619">
      <c r="A1619" s="24" t="n"/>
      <c r="B1619" s="20" t="n"/>
      <c r="C1619" s="20" t="n"/>
      <c r="D1619" s="23" t="n"/>
      <c r="E1619" s="20" t="n"/>
      <c r="F1619" s="20" t="n"/>
      <c r="G1619" s="25" t="n"/>
      <c r="H1619" s="20" t="n"/>
      <c r="I1619" s="20" t="n"/>
      <c r="J1619" s="20" t="n"/>
      <c r="K1619" s="20" t="n"/>
      <c r="L1619" s="25" t="n"/>
      <c r="M1619" s="20" t="n"/>
      <c r="N1619" s="20" t="n"/>
      <c r="O1619" s="20" t="n"/>
      <c r="P1619" s="20" t="n"/>
      <c r="Q1619" s="26" t="n"/>
      <c r="R1619" s="20" t="n"/>
      <c r="S1619" s="20" t="n"/>
    </row>
    <row r="1620">
      <c r="A1620" s="24" t="n"/>
      <c r="B1620" s="20" t="n"/>
      <c r="C1620" s="20" t="n"/>
      <c r="D1620" s="23" t="n"/>
      <c r="E1620" s="20" t="n"/>
      <c r="F1620" s="20" t="n"/>
      <c r="G1620" s="25" t="n"/>
      <c r="H1620" s="20" t="n"/>
      <c r="I1620" s="20" t="n"/>
      <c r="J1620" s="20" t="n"/>
      <c r="K1620" s="20" t="n"/>
      <c r="L1620" s="25" t="n"/>
      <c r="M1620" s="20" t="n"/>
      <c r="N1620" s="20" t="n"/>
      <c r="O1620" s="20" t="n"/>
      <c r="P1620" s="20" t="n"/>
      <c r="Q1620" s="26" t="n"/>
      <c r="R1620" s="20" t="n"/>
      <c r="S1620" s="20" t="n"/>
    </row>
    <row r="1621">
      <c r="A1621" s="24" t="n"/>
      <c r="B1621" s="20" t="n"/>
      <c r="C1621" s="20" t="n"/>
      <c r="D1621" s="23" t="n"/>
      <c r="E1621" s="20" t="n"/>
      <c r="F1621" s="20" t="n"/>
      <c r="G1621" s="25" t="n"/>
      <c r="H1621" s="20" t="n"/>
      <c r="I1621" s="20" t="n"/>
      <c r="J1621" s="20" t="n"/>
      <c r="K1621" s="20" t="n"/>
      <c r="L1621" s="25" t="n"/>
      <c r="M1621" s="20" t="n"/>
      <c r="N1621" s="20" t="n"/>
      <c r="O1621" s="20" t="n"/>
      <c r="P1621" s="20" t="n"/>
      <c r="Q1621" s="26" t="n"/>
      <c r="R1621" s="20" t="n"/>
      <c r="S1621" s="20" t="n"/>
    </row>
    <row r="1622">
      <c r="A1622" s="24" t="n"/>
      <c r="B1622" s="20" t="n"/>
      <c r="C1622" s="20" t="n"/>
      <c r="D1622" s="23" t="n"/>
      <c r="E1622" s="20" t="n"/>
      <c r="F1622" s="20" t="n"/>
      <c r="G1622" s="25" t="n"/>
      <c r="H1622" s="20" t="n"/>
      <c r="I1622" s="20" t="n"/>
      <c r="J1622" s="20" t="n"/>
      <c r="K1622" s="20" t="n"/>
      <c r="L1622" s="25" t="n"/>
      <c r="M1622" s="20" t="n"/>
      <c r="N1622" s="20" t="n"/>
      <c r="O1622" s="20" t="n"/>
      <c r="P1622" s="20" t="n"/>
      <c r="Q1622" s="26" t="n"/>
      <c r="R1622" s="20" t="n"/>
      <c r="S1622" s="20" t="n"/>
    </row>
    <row r="1623">
      <c r="A1623" s="24" t="n"/>
      <c r="B1623" s="20" t="n"/>
      <c r="C1623" s="20" t="n"/>
      <c r="D1623" s="23" t="n"/>
      <c r="E1623" s="20" t="n"/>
      <c r="F1623" s="20" t="n"/>
      <c r="G1623" s="25" t="n"/>
      <c r="H1623" s="20" t="n"/>
      <c r="I1623" s="20" t="n"/>
      <c r="J1623" s="20" t="n"/>
      <c r="K1623" s="20" t="n"/>
      <c r="L1623" s="25" t="n"/>
      <c r="M1623" s="20" t="n"/>
      <c r="N1623" s="20" t="n"/>
      <c r="O1623" s="20" t="n"/>
      <c r="P1623" s="20" t="n"/>
      <c r="Q1623" s="26" t="n"/>
      <c r="R1623" s="20" t="n"/>
      <c r="S1623" s="20" t="n"/>
    </row>
    <row r="1624">
      <c r="A1624" s="24" t="n"/>
      <c r="B1624" s="20" t="n"/>
      <c r="C1624" s="20" t="n"/>
      <c r="D1624" s="23" t="n"/>
      <c r="E1624" s="20" t="n"/>
      <c r="F1624" s="20" t="n"/>
      <c r="G1624" s="25" t="n"/>
      <c r="H1624" s="20" t="n"/>
      <c r="I1624" s="20" t="n"/>
      <c r="J1624" s="20" t="n"/>
      <c r="K1624" s="20" t="n"/>
      <c r="L1624" s="25" t="n"/>
      <c r="M1624" s="20" t="n"/>
      <c r="N1624" s="20" t="n"/>
      <c r="O1624" s="20" t="n"/>
      <c r="P1624" s="20" t="n"/>
      <c r="Q1624" s="26" t="n"/>
      <c r="R1624" s="20" t="n"/>
      <c r="S1624" s="20" t="n"/>
    </row>
    <row r="1625">
      <c r="A1625" s="24" t="n"/>
      <c r="B1625" s="20" t="n"/>
      <c r="C1625" s="20" t="n"/>
      <c r="D1625" s="23" t="n"/>
      <c r="E1625" s="20" t="n"/>
      <c r="F1625" s="20" t="n"/>
      <c r="G1625" s="25" t="n"/>
      <c r="H1625" s="20" t="n"/>
      <c r="I1625" s="20" t="n"/>
      <c r="J1625" s="20" t="n"/>
      <c r="K1625" s="20" t="n"/>
      <c r="L1625" s="25" t="n"/>
      <c r="M1625" s="20" t="n"/>
      <c r="N1625" s="20" t="n"/>
      <c r="O1625" s="20" t="n"/>
      <c r="P1625" s="20" t="n"/>
      <c r="Q1625" s="26" t="n"/>
      <c r="R1625" s="20" t="n"/>
      <c r="S1625" s="20" t="n"/>
    </row>
    <row r="1626">
      <c r="A1626" s="24" t="n"/>
      <c r="B1626" s="20" t="n"/>
      <c r="C1626" s="20" t="n"/>
      <c r="D1626" s="23" t="n"/>
      <c r="E1626" s="20" t="n"/>
      <c r="F1626" s="20" t="n"/>
      <c r="G1626" s="25" t="n"/>
      <c r="H1626" s="20" t="n"/>
      <c r="I1626" s="20" t="n"/>
      <c r="J1626" s="20" t="n"/>
      <c r="K1626" s="20" t="n"/>
      <c r="L1626" s="25" t="n"/>
      <c r="M1626" s="20" t="n"/>
      <c r="N1626" s="20" t="n"/>
      <c r="O1626" s="20" t="n"/>
      <c r="P1626" s="20" t="n"/>
      <c r="Q1626" s="26" t="n"/>
      <c r="R1626" s="20" t="n"/>
      <c r="S1626" s="20" t="n"/>
    </row>
    <row r="1627">
      <c r="A1627" s="24" t="n"/>
      <c r="B1627" s="20" t="n"/>
      <c r="C1627" s="20" t="n"/>
      <c r="D1627" s="23" t="n"/>
      <c r="E1627" s="20" t="n"/>
      <c r="F1627" s="20" t="n"/>
      <c r="G1627" s="25" t="n"/>
      <c r="H1627" s="20" t="n"/>
      <c r="I1627" s="20" t="n"/>
      <c r="J1627" s="20" t="n"/>
      <c r="K1627" s="20" t="n"/>
      <c r="L1627" s="25" t="n"/>
      <c r="M1627" s="20" t="n"/>
      <c r="N1627" s="20" t="n"/>
      <c r="O1627" s="20" t="n"/>
      <c r="P1627" s="20" t="n"/>
      <c r="Q1627" s="26" t="n"/>
      <c r="R1627" s="20" t="n"/>
      <c r="S1627" s="20" t="n"/>
    </row>
    <row r="1628">
      <c r="A1628" s="24" t="n"/>
      <c r="B1628" s="20" t="n"/>
      <c r="C1628" s="20" t="n"/>
      <c r="D1628" s="23" t="n"/>
      <c r="E1628" s="20" t="n"/>
      <c r="F1628" s="20" t="n"/>
      <c r="G1628" s="25" t="n"/>
      <c r="H1628" s="20" t="n"/>
      <c r="I1628" s="20" t="n"/>
      <c r="J1628" s="20" t="n"/>
      <c r="K1628" s="20" t="n"/>
      <c r="L1628" s="25" t="n"/>
      <c r="M1628" s="20" t="n"/>
      <c r="N1628" s="20" t="n"/>
      <c r="O1628" s="20" t="n"/>
      <c r="P1628" s="20" t="n"/>
      <c r="Q1628" s="26" t="n"/>
      <c r="R1628" s="20" t="n"/>
      <c r="S1628" s="20" t="n"/>
    </row>
    <row r="1629">
      <c r="A1629" s="24" t="n"/>
      <c r="B1629" s="20" t="n"/>
      <c r="C1629" s="20" t="n"/>
      <c r="D1629" s="23" t="n"/>
      <c r="E1629" s="20" t="n"/>
      <c r="F1629" s="20" t="n"/>
      <c r="G1629" s="25" t="n"/>
      <c r="H1629" s="20" t="n"/>
      <c r="I1629" s="20" t="n"/>
      <c r="J1629" s="20" t="n"/>
      <c r="K1629" s="20" t="n"/>
      <c r="L1629" s="25" t="n"/>
      <c r="M1629" s="20" t="n"/>
      <c r="N1629" s="20" t="n"/>
      <c r="O1629" s="20" t="n"/>
      <c r="P1629" s="20" t="n"/>
      <c r="Q1629" s="26" t="n"/>
      <c r="R1629" s="20" t="n"/>
      <c r="S1629" s="20" t="n"/>
    </row>
    <row r="1630">
      <c r="A1630" s="24" t="n"/>
      <c r="B1630" s="20" t="n"/>
      <c r="C1630" s="20" t="n"/>
      <c r="D1630" s="23" t="n"/>
      <c r="E1630" s="20" t="n"/>
      <c r="F1630" s="20" t="n"/>
      <c r="G1630" s="25" t="n"/>
      <c r="H1630" s="20" t="n"/>
      <c r="I1630" s="20" t="n"/>
      <c r="J1630" s="20" t="n"/>
      <c r="K1630" s="20" t="n"/>
      <c r="L1630" s="25" t="n"/>
      <c r="M1630" s="20" t="n"/>
      <c r="N1630" s="20" t="n"/>
      <c r="O1630" s="20" t="n"/>
      <c r="P1630" s="20" t="n"/>
      <c r="Q1630" s="26" t="n"/>
      <c r="R1630" s="20" t="n"/>
      <c r="S1630" s="20" t="n"/>
    </row>
    <row r="1631">
      <c r="A1631" s="24" t="n"/>
      <c r="B1631" s="20" t="n"/>
      <c r="C1631" s="20" t="n"/>
      <c r="D1631" s="23" t="n"/>
      <c r="E1631" s="20" t="n"/>
      <c r="F1631" s="20" t="n"/>
      <c r="G1631" s="25" t="n"/>
      <c r="H1631" s="20" t="n"/>
      <c r="I1631" s="20" t="n"/>
      <c r="J1631" s="20" t="n"/>
      <c r="K1631" s="20" t="n"/>
      <c r="L1631" s="25" t="n"/>
      <c r="M1631" s="20" t="n"/>
      <c r="N1631" s="20" t="n"/>
      <c r="O1631" s="20" t="n"/>
      <c r="P1631" s="20" t="n"/>
      <c r="Q1631" s="26" t="n"/>
      <c r="R1631" s="20" t="n"/>
      <c r="S1631" s="20" t="n"/>
    </row>
    <row r="1632">
      <c r="A1632" s="24" t="n"/>
      <c r="B1632" s="20" t="n"/>
      <c r="C1632" s="20" t="n"/>
      <c r="D1632" s="23" t="n"/>
      <c r="E1632" s="20" t="n"/>
      <c r="F1632" s="20" t="n"/>
      <c r="G1632" s="25" t="n"/>
      <c r="H1632" s="20" t="n"/>
      <c r="I1632" s="20" t="n"/>
      <c r="J1632" s="20" t="n"/>
      <c r="K1632" s="20" t="n"/>
      <c r="L1632" s="25" t="n"/>
      <c r="M1632" s="20" t="n"/>
      <c r="N1632" s="20" t="n"/>
      <c r="O1632" s="20" t="n"/>
      <c r="P1632" s="20" t="n"/>
      <c r="Q1632" s="26" t="n"/>
      <c r="R1632" s="20" t="n"/>
      <c r="S1632" s="20" t="n"/>
    </row>
    <row r="1633">
      <c r="A1633" s="24" t="n"/>
      <c r="B1633" s="20" t="n"/>
      <c r="C1633" s="20" t="n"/>
      <c r="D1633" s="23" t="n"/>
      <c r="E1633" s="20" t="n"/>
      <c r="F1633" s="20" t="n"/>
      <c r="G1633" s="25" t="n"/>
      <c r="H1633" s="20" t="n"/>
      <c r="I1633" s="20" t="n"/>
      <c r="J1633" s="20" t="n"/>
      <c r="K1633" s="20" t="n"/>
      <c r="L1633" s="25" t="n"/>
      <c r="M1633" s="20" t="n"/>
      <c r="N1633" s="20" t="n"/>
      <c r="O1633" s="20" t="n"/>
      <c r="P1633" s="20" t="n"/>
      <c r="Q1633" s="26" t="n"/>
      <c r="R1633" s="20" t="n"/>
      <c r="S1633" s="20" t="n"/>
    </row>
    <row r="1634">
      <c r="A1634" s="24" t="n"/>
      <c r="B1634" s="20" t="n"/>
      <c r="C1634" s="20" t="n"/>
      <c r="D1634" s="23" t="n"/>
      <c r="E1634" s="20" t="n"/>
      <c r="F1634" s="20" t="n"/>
      <c r="G1634" s="25" t="n"/>
      <c r="H1634" s="20" t="n"/>
      <c r="I1634" s="20" t="n"/>
      <c r="J1634" s="20" t="n"/>
      <c r="K1634" s="20" t="n"/>
      <c r="L1634" s="25" t="n"/>
      <c r="M1634" s="20" t="n"/>
      <c r="N1634" s="20" t="n"/>
      <c r="O1634" s="20" t="n"/>
      <c r="P1634" s="20" t="n"/>
      <c r="Q1634" s="26" t="n"/>
      <c r="R1634" s="20" t="n"/>
      <c r="S1634" s="20" t="n"/>
    </row>
    <row r="1635">
      <c r="A1635" s="24" t="n"/>
      <c r="B1635" s="20" t="n"/>
      <c r="C1635" s="20" t="n"/>
      <c r="D1635" s="23" t="n"/>
      <c r="E1635" s="20" t="n"/>
      <c r="F1635" s="20" t="n"/>
      <c r="G1635" s="25" t="n"/>
      <c r="H1635" s="20" t="n"/>
      <c r="I1635" s="20" t="n"/>
      <c r="J1635" s="20" t="n"/>
      <c r="K1635" s="20" t="n"/>
      <c r="L1635" s="25" t="n"/>
      <c r="M1635" s="20" t="n"/>
      <c r="N1635" s="20" t="n"/>
      <c r="O1635" s="20" t="n"/>
      <c r="P1635" s="20" t="n"/>
      <c r="Q1635" s="26" t="n"/>
      <c r="R1635" s="20" t="n"/>
      <c r="S1635" s="20" t="n"/>
    </row>
    <row r="1636">
      <c r="A1636" s="24" t="n"/>
      <c r="B1636" s="20" t="n"/>
      <c r="C1636" s="20" t="n"/>
      <c r="D1636" s="23" t="n"/>
      <c r="E1636" s="20" t="n"/>
      <c r="F1636" s="20" t="n"/>
      <c r="G1636" s="25" t="n"/>
      <c r="H1636" s="20" t="n"/>
      <c r="I1636" s="20" t="n"/>
      <c r="J1636" s="20" t="n"/>
      <c r="K1636" s="20" t="n"/>
      <c r="L1636" s="25" t="n"/>
      <c r="M1636" s="20" t="n"/>
      <c r="N1636" s="20" t="n"/>
      <c r="O1636" s="20" t="n"/>
      <c r="P1636" s="20" t="n"/>
      <c r="Q1636" s="26" t="n"/>
      <c r="R1636" s="20" t="n"/>
      <c r="S1636" s="20" t="n"/>
    </row>
    <row r="1637">
      <c r="A1637" s="24" t="n"/>
      <c r="B1637" s="20" t="n"/>
      <c r="C1637" s="20" t="n"/>
      <c r="D1637" s="23" t="n"/>
      <c r="E1637" s="20" t="n"/>
      <c r="F1637" s="20" t="n"/>
      <c r="G1637" s="25" t="n"/>
      <c r="H1637" s="20" t="n"/>
      <c r="I1637" s="20" t="n"/>
      <c r="J1637" s="20" t="n"/>
      <c r="K1637" s="20" t="n"/>
      <c r="L1637" s="25" t="n"/>
      <c r="M1637" s="20" t="n"/>
      <c r="N1637" s="20" t="n"/>
      <c r="O1637" s="20" t="n"/>
      <c r="P1637" s="20" t="n"/>
      <c r="Q1637" s="26" t="n"/>
      <c r="R1637" s="20" t="n"/>
      <c r="S1637" s="20" t="n"/>
    </row>
    <row r="1638">
      <c r="A1638" s="24" t="n"/>
      <c r="B1638" s="20" t="n"/>
      <c r="C1638" s="20" t="n"/>
      <c r="D1638" s="23" t="n"/>
      <c r="E1638" s="20" t="n"/>
      <c r="F1638" s="20" t="n"/>
      <c r="G1638" s="25" t="n"/>
      <c r="H1638" s="20" t="n"/>
      <c r="I1638" s="20" t="n"/>
      <c r="J1638" s="20" t="n"/>
      <c r="K1638" s="20" t="n"/>
      <c r="L1638" s="25" t="n"/>
      <c r="M1638" s="20" t="n"/>
      <c r="N1638" s="20" t="n"/>
      <c r="O1638" s="20" t="n"/>
      <c r="P1638" s="20" t="n"/>
      <c r="Q1638" s="26" t="n"/>
      <c r="R1638" s="20" t="n"/>
      <c r="S1638" s="20" t="n"/>
    </row>
    <row r="1639">
      <c r="A1639" s="24" t="n"/>
      <c r="B1639" s="20" t="n"/>
      <c r="C1639" s="20" t="n"/>
      <c r="D1639" s="23" t="n"/>
      <c r="E1639" s="20" t="n"/>
      <c r="F1639" s="20" t="n"/>
      <c r="G1639" s="25" t="n"/>
      <c r="H1639" s="20" t="n"/>
      <c r="I1639" s="20" t="n"/>
      <c r="J1639" s="20" t="n"/>
      <c r="K1639" s="20" t="n"/>
      <c r="L1639" s="25" t="n"/>
      <c r="M1639" s="20" t="n"/>
      <c r="N1639" s="20" t="n"/>
      <c r="O1639" s="20" t="n"/>
      <c r="P1639" s="20" t="n"/>
      <c r="Q1639" s="26" t="n"/>
      <c r="R1639" s="20" t="n"/>
      <c r="S1639" s="20" t="n"/>
    </row>
    <row r="1640">
      <c r="A1640" s="24" t="n"/>
      <c r="B1640" s="20" t="n"/>
      <c r="C1640" s="20" t="n"/>
      <c r="D1640" s="23" t="n"/>
      <c r="E1640" s="20" t="n"/>
      <c r="F1640" s="20" t="n"/>
      <c r="G1640" s="25" t="n"/>
      <c r="H1640" s="20" t="n"/>
      <c r="I1640" s="20" t="n"/>
      <c r="J1640" s="20" t="n"/>
      <c r="K1640" s="20" t="n"/>
      <c r="L1640" s="25" t="n"/>
      <c r="M1640" s="20" t="n"/>
      <c r="N1640" s="20" t="n"/>
      <c r="O1640" s="20" t="n"/>
      <c r="P1640" s="20" t="n"/>
      <c r="Q1640" s="26" t="n"/>
      <c r="R1640" s="20" t="n"/>
      <c r="S1640" s="20" t="n"/>
    </row>
    <row r="1641">
      <c r="A1641" s="24" t="n"/>
      <c r="B1641" s="20" t="n"/>
      <c r="C1641" s="20" t="n"/>
      <c r="D1641" s="23" t="n"/>
      <c r="E1641" s="20" t="n"/>
      <c r="F1641" s="20" t="n"/>
      <c r="G1641" s="25" t="n"/>
      <c r="H1641" s="20" t="n"/>
      <c r="I1641" s="20" t="n"/>
      <c r="J1641" s="20" t="n"/>
      <c r="K1641" s="20" t="n"/>
      <c r="L1641" s="25" t="n"/>
      <c r="M1641" s="20" t="n"/>
      <c r="N1641" s="20" t="n"/>
      <c r="O1641" s="20" t="n"/>
      <c r="P1641" s="20" t="n"/>
      <c r="Q1641" s="26" t="n"/>
      <c r="R1641" s="20" t="n"/>
      <c r="S1641" s="20" t="n"/>
    </row>
    <row r="1642">
      <c r="A1642" s="24" t="n"/>
      <c r="B1642" s="20" t="n"/>
      <c r="C1642" s="20" t="n"/>
      <c r="D1642" s="23" t="n"/>
      <c r="E1642" s="20" t="n"/>
      <c r="F1642" s="20" t="n"/>
      <c r="G1642" s="25" t="n"/>
      <c r="H1642" s="20" t="n"/>
      <c r="I1642" s="20" t="n"/>
      <c r="J1642" s="20" t="n"/>
      <c r="K1642" s="20" t="n"/>
      <c r="L1642" s="25" t="n"/>
      <c r="M1642" s="20" t="n"/>
      <c r="N1642" s="20" t="n"/>
      <c r="O1642" s="20" t="n"/>
      <c r="P1642" s="20" t="n"/>
      <c r="Q1642" s="26" t="n"/>
      <c r="R1642" s="20" t="n"/>
      <c r="S1642" s="20" t="n"/>
    </row>
    <row r="1643">
      <c r="A1643" s="24" t="n"/>
      <c r="B1643" s="20" t="n"/>
      <c r="C1643" s="20" t="n"/>
      <c r="D1643" s="23" t="n"/>
      <c r="E1643" s="20" t="n"/>
      <c r="F1643" s="20" t="n"/>
      <c r="G1643" s="25" t="n"/>
      <c r="H1643" s="20" t="n"/>
      <c r="I1643" s="20" t="n"/>
      <c r="J1643" s="20" t="n"/>
      <c r="K1643" s="20" t="n"/>
      <c r="L1643" s="25" t="n"/>
      <c r="M1643" s="20" t="n"/>
      <c r="N1643" s="20" t="n"/>
      <c r="O1643" s="20" t="n"/>
      <c r="P1643" s="20" t="n"/>
      <c r="Q1643" s="26" t="n"/>
      <c r="R1643" s="20" t="n"/>
      <c r="S1643" s="20" t="n"/>
    </row>
    <row r="1644">
      <c r="A1644" s="24" t="n"/>
      <c r="B1644" s="20" t="n"/>
      <c r="C1644" s="20" t="n"/>
      <c r="D1644" s="23" t="n"/>
      <c r="E1644" s="20" t="n"/>
      <c r="F1644" s="20" t="n"/>
      <c r="G1644" s="25" t="n"/>
      <c r="H1644" s="20" t="n"/>
      <c r="I1644" s="20" t="n"/>
      <c r="J1644" s="20" t="n"/>
      <c r="K1644" s="20" t="n"/>
      <c r="L1644" s="25" t="n"/>
      <c r="M1644" s="20" t="n"/>
      <c r="N1644" s="20" t="n"/>
      <c r="O1644" s="20" t="n"/>
      <c r="P1644" s="20" t="n"/>
      <c r="Q1644" s="26" t="n"/>
      <c r="R1644" s="20" t="n"/>
      <c r="S1644" s="20" t="n"/>
    </row>
    <row r="1645">
      <c r="A1645" s="24" t="n"/>
      <c r="B1645" s="20" t="n"/>
      <c r="C1645" s="20" t="n"/>
      <c r="D1645" s="23" t="n"/>
      <c r="E1645" s="20" t="n"/>
      <c r="F1645" s="20" t="n"/>
      <c r="G1645" s="25" t="n"/>
      <c r="H1645" s="20" t="n"/>
      <c r="I1645" s="20" t="n"/>
      <c r="J1645" s="20" t="n"/>
      <c r="K1645" s="20" t="n"/>
      <c r="L1645" s="25" t="n"/>
      <c r="M1645" s="20" t="n"/>
      <c r="N1645" s="20" t="n"/>
      <c r="O1645" s="20" t="n"/>
      <c r="P1645" s="20" t="n"/>
      <c r="Q1645" s="26" t="n"/>
      <c r="R1645" s="20" t="n"/>
      <c r="S1645" s="20" t="n"/>
    </row>
    <row r="1646">
      <c r="A1646" s="24" t="n"/>
      <c r="B1646" s="20" t="n"/>
      <c r="C1646" s="20" t="n"/>
      <c r="D1646" s="23" t="n"/>
      <c r="E1646" s="20" t="n"/>
      <c r="F1646" s="20" t="n"/>
      <c r="G1646" s="25" t="n"/>
      <c r="H1646" s="20" t="n"/>
      <c r="I1646" s="20" t="n"/>
      <c r="J1646" s="20" t="n"/>
      <c r="K1646" s="20" t="n"/>
      <c r="L1646" s="25" t="n"/>
      <c r="M1646" s="20" t="n"/>
      <c r="N1646" s="20" t="n"/>
      <c r="O1646" s="20" t="n"/>
      <c r="P1646" s="20" t="n"/>
      <c r="Q1646" s="26" t="n"/>
      <c r="R1646" s="20" t="n"/>
      <c r="S1646" s="20" t="n"/>
    </row>
    <row r="1647">
      <c r="A1647" s="24" t="n"/>
      <c r="B1647" s="20" t="n"/>
      <c r="C1647" s="20" t="n"/>
      <c r="D1647" s="23" t="n"/>
      <c r="E1647" s="20" t="n"/>
      <c r="F1647" s="20" t="n"/>
      <c r="G1647" s="25" t="n"/>
      <c r="H1647" s="20" t="n"/>
      <c r="I1647" s="20" t="n"/>
      <c r="J1647" s="20" t="n"/>
      <c r="K1647" s="20" t="n"/>
      <c r="L1647" s="25" t="n"/>
      <c r="M1647" s="20" t="n"/>
      <c r="N1647" s="20" t="n"/>
      <c r="O1647" s="20" t="n"/>
      <c r="P1647" s="20" t="n"/>
      <c r="Q1647" s="26" t="n"/>
      <c r="R1647" s="20" t="n"/>
      <c r="S1647" s="20" t="n"/>
    </row>
    <row r="1648">
      <c r="A1648" s="24" t="n"/>
      <c r="B1648" s="20" t="n"/>
      <c r="C1648" s="20" t="n"/>
      <c r="D1648" s="23" t="n"/>
      <c r="E1648" s="20" t="n"/>
      <c r="F1648" s="20" t="n"/>
      <c r="G1648" s="25" t="n"/>
      <c r="H1648" s="20" t="n"/>
      <c r="I1648" s="20" t="n"/>
      <c r="J1648" s="20" t="n"/>
      <c r="K1648" s="20" t="n"/>
      <c r="L1648" s="25" t="n"/>
      <c r="M1648" s="20" t="n"/>
      <c r="N1648" s="20" t="n"/>
      <c r="O1648" s="20" t="n"/>
      <c r="P1648" s="20" t="n"/>
      <c r="Q1648" s="26" t="n"/>
      <c r="R1648" s="20" t="n"/>
      <c r="S1648" s="20" t="n"/>
    </row>
    <row r="1649">
      <c r="A1649" s="24" t="n"/>
      <c r="B1649" s="20" t="n"/>
      <c r="C1649" s="20" t="n"/>
      <c r="D1649" s="23" t="n"/>
      <c r="E1649" s="20" t="n"/>
      <c r="F1649" s="20" t="n"/>
      <c r="G1649" s="25" t="n"/>
      <c r="H1649" s="20" t="n"/>
      <c r="I1649" s="20" t="n"/>
      <c r="J1649" s="20" t="n"/>
      <c r="K1649" s="20" t="n"/>
      <c r="L1649" s="25" t="n"/>
      <c r="M1649" s="20" t="n"/>
      <c r="N1649" s="20" t="n"/>
      <c r="O1649" s="20" t="n"/>
      <c r="P1649" s="20" t="n"/>
      <c r="Q1649" s="26" t="n"/>
      <c r="R1649" s="20" t="n"/>
      <c r="S1649" s="20" t="n"/>
    </row>
    <row r="1650">
      <c r="A1650" s="24" t="n"/>
      <c r="B1650" s="20" t="n"/>
      <c r="C1650" s="20" t="n"/>
      <c r="D1650" s="23" t="n"/>
      <c r="E1650" s="20" t="n"/>
      <c r="F1650" s="20" t="n"/>
      <c r="G1650" s="25" t="n"/>
      <c r="H1650" s="20" t="n"/>
      <c r="I1650" s="20" t="n"/>
      <c r="J1650" s="20" t="n"/>
      <c r="K1650" s="20" t="n"/>
      <c r="L1650" s="25" t="n"/>
      <c r="M1650" s="20" t="n"/>
      <c r="N1650" s="20" t="n"/>
      <c r="O1650" s="20" t="n"/>
      <c r="P1650" s="20" t="n"/>
      <c r="Q1650" s="26" t="n"/>
      <c r="R1650" s="20" t="n"/>
      <c r="S1650" s="20" t="n"/>
    </row>
    <row r="1651">
      <c r="A1651" s="24" t="n"/>
      <c r="B1651" s="20" t="n"/>
      <c r="C1651" s="20" t="n"/>
      <c r="D1651" s="23" t="n"/>
      <c r="E1651" s="20" t="n"/>
      <c r="F1651" s="20" t="n"/>
      <c r="G1651" s="25" t="n"/>
      <c r="H1651" s="20" t="n"/>
      <c r="I1651" s="20" t="n"/>
      <c r="J1651" s="20" t="n"/>
      <c r="K1651" s="20" t="n"/>
      <c r="L1651" s="25" t="n"/>
      <c r="M1651" s="20" t="n"/>
      <c r="N1651" s="20" t="n"/>
      <c r="O1651" s="20" t="n"/>
      <c r="P1651" s="20" t="n"/>
      <c r="Q1651" s="26" t="n"/>
      <c r="R1651" s="20" t="n"/>
      <c r="S1651" s="20" t="n"/>
    </row>
    <row r="1652">
      <c r="A1652" s="24" t="n"/>
      <c r="B1652" s="20" t="n"/>
      <c r="C1652" s="20" t="n"/>
      <c r="D1652" s="23" t="n"/>
      <c r="E1652" s="20" t="n"/>
      <c r="F1652" s="20" t="n"/>
      <c r="G1652" s="25" t="n"/>
      <c r="H1652" s="20" t="n"/>
      <c r="I1652" s="20" t="n"/>
      <c r="J1652" s="20" t="n"/>
      <c r="K1652" s="20" t="n"/>
      <c r="L1652" s="25" t="n"/>
      <c r="M1652" s="20" t="n"/>
      <c r="N1652" s="20" t="n"/>
      <c r="O1652" s="20" t="n"/>
      <c r="P1652" s="20" t="n"/>
      <c r="Q1652" s="26" t="n"/>
      <c r="R1652" s="20" t="n"/>
      <c r="S1652" s="20" t="n"/>
    </row>
    <row r="1653">
      <c r="A1653" s="24" t="n"/>
      <c r="B1653" s="20" t="n"/>
      <c r="C1653" s="20" t="n"/>
      <c r="D1653" s="23" t="n"/>
      <c r="E1653" s="20" t="n"/>
      <c r="F1653" s="20" t="n"/>
      <c r="G1653" s="25" t="n"/>
      <c r="H1653" s="20" t="n"/>
      <c r="I1653" s="20" t="n"/>
      <c r="J1653" s="20" t="n"/>
      <c r="K1653" s="20" t="n"/>
      <c r="L1653" s="25" t="n"/>
      <c r="M1653" s="20" t="n"/>
      <c r="N1653" s="20" t="n"/>
      <c r="O1653" s="20" t="n"/>
      <c r="P1653" s="20" t="n"/>
      <c r="Q1653" s="26" t="n"/>
      <c r="R1653" s="20" t="n"/>
      <c r="S1653" s="20" t="n"/>
    </row>
    <row r="1654">
      <c r="A1654" s="24" t="n"/>
      <c r="B1654" s="20" t="n"/>
      <c r="C1654" s="20" t="n"/>
      <c r="D1654" s="23" t="n"/>
      <c r="E1654" s="20" t="n"/>
      <c r="F1654" s="20" t="n"/>
      <c r="G1654" s="25" t="n"/>
      <c r="H1654" s="20" t="n"/>
      <c r="I1654" s="20" t="n"/>
      <c r="J1654" s="20" t="n"/>
      <c r="K1654" s="20" t="n"/>
      <c r="L1654" s="25" t="n"/>
      <c r="M1654" s="20" t="n"/>
      <c r="N1654" s="20" t="n"/>
      <c r="O1654" s="20" t="n"/>
      <c r="P1654" s="20" t="n"/>
      <c r="Q1654" s="26" t="n"/>
      <c r="R1654" s="20" t="n"/>
      <c r="S1654" s="20" t="n"/>
    </row>
    <row r="1655">
      <c r="A1655" s="24" t="n"/>
      <c r="B1655" s="20" t="n"/>
      <c r="C1655" s="20" t="n"/>
      <c r="D1655" s="23" t="n"/>
      <c r="E1655" s="20" t="n"/>
      <c r="F1655" s="20" t="n"/>
      <c r="G1655" s="25" t="n"/>
      <c r="H1655" s="20" t="n"/>
      <c r="I1655" s="20" t="n"/>
      <c r="J1655" s="20" t="n"/>
      <c r="K1655" s="20" t="n"/>
      <c r="L1655" s="25" t="n"/>
      <c r="M1655" s="20" t="n"/>
      <c r="N1655" s="20" t="n"/>
      <c r="O1655" s="20" t="n"/>
      <c r="P1655" s="20" t="n"/>
      <c r="Q1655" s="26" t="n"/>
      <c r="R1655" s="20" t="n"/>
      <c r="S1655" s="20" t="n"/>
    </row>
    <row r="1656">
      <c r="A1656" s="24" t="n"/>
      <c r="B1656" s="20" t="n"/>
      <c r="C1656" s="20" t="n"/>
      <c r="D1656" s="23" t="n"/>
      <c r="E1656" s="20" t="n"/>
      <c r="F1656" s="20" t="n"/>
      <c r="G1656" s="25" t="n"/>
      <c r="H1656" s="20" t="n"/>
      <c r="I1656" s="20" t="n"/>
      <c r="J1656" s="20" t="n"/>
      <c r="K1656" s="20" t="n"/>
      <c r="L1656" s="25" t="n"/>
      <c r="M1656" s="20" t="n"/>
      <c r="N1656" s="20" t="n"/>
      <c r="O1656" s="20" t="n"/>
      <c r="P1656" s="20" t="n"/>
      <c r="Q1656" s="26" t="n"/>
      <c r="R1656" s="20" t="n"/>
      <c r="S1656" s="20" t="n"/>
    </row>
    <row r="1657">
      <c r="A1657" s="24" t="n"/>
      <c r="B1657" s="20" t="n"/>
      <c r="C1657" s="20" t="n"/>
      <c r="D1657" s="23" t="n"/>
      <c r="E1657" s="20" t="n"/>
      <c r="F1657" s="20" t="n"/>
      <c r="G1657" s="25" t="n"/>
      <c r="H1657" s="20" t="n"/>
      <c r="I1657" s="20" t="n"/>
      <c r="J1657" s="20" t="n"/>
      <c r="K1657" s="20" t="n"/>
      <c r="L1657" s="25" t="n"/>
      <c r="M1657" s="20" t="n"/>
      <c r="N1657" s="20" t="n"/>
      <c r="O1657" s="20" t="n"/>
      <c r="P1657" s="20" t="n"/>
      <c r="Q1657" s="26" t="n"/>
      <c r="R1657" s="20" t="n"/>
      <c r="S1657" s="20" t="n"/>
    </row>
    <row r="1658">
      <c r="A1658" s="24" t="n"/>
      <c r="B1658" s="20" t="n"/>
      <c r="C1658" s="20" t="n"/>
      <c r="D1658" s="23" t="n"/>
      <c r="E1658" s="20" t="n"/>
      <c r="F1658" s="20" t="n"/>
      <c r="G1658" s="25" t="n"/>
      <c r="H1658" s="20" t="n"/>
      <c r="I1658" s="20" t="n"/>
      <c r="J1658" s="20" t="n"/>
      <c r="K1658" s="20" t="n"/>
      <c r="L1658" s="25" t="n"/>
      <c r="M1658" s="20" t="n"/>
      <c r="N1658" s="20" t="n"/>
      <c r="O1658" s="20" t="n"/>
      <c r="P1658" s="20" t="n"/>
      <c r="Q1658" s="26" t="n"/>
      <c r="R1658" s="20" t="n"/>
      <c r="S1658" s="20" t="n"/>
    </row>
    <row r="1659">
      <c r="A1659" s="24" t="n"/>
      <c r="B1659" s="20" t="n"/>
      <c r="C1659" s="20" t="n"/>
      <c r="D1659" s="23" t="n"/>
      <c r="E1659" s="20" t="n"/>
      <c r="F1659" s="20" t="n"/>
      <c r="G1659" s="25" t="n"/>
      <c r="H1659" s="20" t="n"/>
      <c r="I1659" s="20" t="n"/>
      <c r="J1659" s="20" t="n"/>
      <c r="K1659" s="20" t="n"/>
      <c r="L1659" s="25" t="n"/>
      <c r="M1659" s="20" t="n"/>
      <c r="N1659" s="20" t="n"/>
      <c r="O1659" s="20" t="n"/>
      <c r="P1659" s="20" t="n"/>
      <c r="Q1659" s="26" t="n"/>
      <c r="R1659" s="20" t="n"/>
      <c r="S1659" s="20" t="n"/>
    </row>
    <row r="1660">
      <c r="A1660" s="24" t="n"/>
      <c r="B1660" s="20" t="n"/>
      <c r="C1660" s="20" t="n"/>
      <c r="D1660" s="23" t="n"/>
      <c r="E1660" s="20" t="n"/>
      <c r="F1660" s="20" t="n"/>
      <c r="G1660" s="25" t="n"/>
      <c r="H1660" s="20" t="n"/>
      <c r="I1660" s="20" t="n"/>
      <c r="J1660" s="20" t="n"/>
      <c r="K1660" s="20" t="n"/>
      <c r="L1660" s="25" t="n"/>
      <c r="M1660" s="20" t="n"/>
      <c r="N1660" s="20" t="n"/>
      <c r="O1660" s="20" t="n"/>
      <c r="P1660" s="20" t="n"/>
      <c r="Q1660" s="26" t="n"/>
      <c r="R1660" s="20" t="n"/>
      <c r="S1660" s="20" t="n"/>
    </row>
    <row r="1661">
      <c r="A1661" s="24" t="n"/>
      <c r="B1661" s="20" t="n"/>
      <c r="C1661" s="20" t="n"/>
      <c r="D1661" s="23" t="n"/>
      <c r="E1661" s="20" t="n"/>
      <c r="F1661" s="20" t="n"/>
      <c r="G1661" s="25" t="n"/>
      <c r="H1661" s="20" t="n"/>
      <c r="I1661" s="20" t="n"/>
      <c r="J1661" s="20" t="n"/>
      <c r="K1661" s="20" t="n"/>
      <c r="L1661" s="25" t="n"/>
      <c r="M1661" s="20" t="n"/>
      <c r="N1661" s="20" t="n"/>
      <c r="O1661" s="20" t="n"/>
      <c r="P1661" s="20" t="n"/>
      <c r="Q1661" s="26" t="n"/>
      <c r="R1661" s="20" t="n"/>
      <c r="S1661" s="20" t="n"/>
    </row>
    <row r="1662">
      <c r="A1662" s="24" t="n"/>
      <c r="B1662" s="20" t="n"/>
      <c r="C1662" s="20" t="n"/>
      <c r="D1662" s="23" t="n"/>
      <c r="E1662" s="20" t="n"/>
      <c r="F1662" s="20" t="n"/>
      <c r="G1662" s="25" t="n"/>
      <c r="H1662" s="20" t="n"/>
      <c r="I1662" s="20" t="n"/>
      <c r="J1662" s="20" t="n"/>
      <c r="K1662" s="20" t="n"/>
      <c r="L1662" s="25" t="n"/>
      <c r="M1662" s="20" t="n"/>
      <c r="N1662" s="20" t="n"/>
      <c r="O1662" s="20" t="n"/>
      <c r="P1662" s="20" t="n"/>
      <c r="Q1662" s="26" t="n"/>
      <c r="R1662" s="20" t="n"/>
      <c r="S1662" s="20" t="n"/>
    </row>
    <row r="1663">
      <c r="A1663" s="24" t="n"/>
      <c r="B1663" s="20" t="n"/>
      <c r="C1663" s="20" t="n"/>
      <c r="D1663" s="23" t="n"/>
      <c r="E1663" s="20" t="n"/>
      <c r="F1663" s="20" t="n"/>
      <c r="G1663" s="25" t="n"/>
      <c r="H1663" s="20" t="n"/>
      <c r="I1663" s="20" t="n"/>
      <c r="J1663" s="20" t="n"/>
      <c r="K1663" s="20" t="n"/>
      <c r="L1663" s="25" t="n"/>
      <c r="M1663" s="20" t="n"/>
      <c r="N1663" s="20" t="n"/>
      <c r="O1663" s="20" t="n"/>
      <c r="P1663" s="20" t="n"/>
      <c r="Q1663" s="26" t="n"/>
      <c r="R1663" s="20" t="n"/>
      <c r="S1663" s="20" t="n"/>
    </row>
    <row r="1664">
      <c r="A1664" s="24" t="n"/>
      <c r="B1664" s="20" t="n"/>
      <c r="C1664" s="20" t="n"/>
      <c r="D1664" s="23" t="n"/>
      <c r="E1664" s="20" t="n"/>
      <c r="F1664" s="20" t="n"/>
      <c r="G1664" s="25" t="n"/>
      <c r="H1664" s="20" t="n"/>
      <c r="I1664" s="20" t="n"/>
      <c r="J1664" s="20" t="n"/>
      <c r="K1664" s="20" t="n"/>
      <c r="L1664" s="25" t="n"/>
      <c r="M1664" s="20" t="n"/>
      <c r="N1664" s="20" t="n"/>
      <c r="O1664" s="20" t="n"/>
      <c r="P1664" s="20" t="n"/>
      <c r="Q1664" s="26" t="n"/>
      <c r="R1664" s="20" t="n"/>
      <c r="S1664" s="20" t="n"/>
    </row>
    <row r="1665">
      <c r="A1665" s="24" t="n"/>
      <c r="B1665" s="20" t="n"/>
      <c r="C1665" s="20" t="n"/>
      <c r="D1665" s="23" t="n"/>
      <c r="E1665" s="20" t="n"/>
      <c r="F1665" s="20" t="n"/>
      <c r="G1665" s="25" t="n"/>
      <c r="H1665" s="20" t="n"/>
      <c r="I1665" s="20" t="n"/>
      <c r="J1665" s="20" t="n"/>
      <c r="K1665" s="20" t="n"/>
      <c r="L1665" s="25" t="n"/>
      <c r="M1665" s="20" t="n"/>
      <c r="N1665" s="20" t="n"/>
      <c r="O1665" s="20" t="n"/>
      <c r="P1665" s="20" t="n"/>
      <c r="Q1665" s="26" t="n"/>
      <c r="R1665" s="20" t="n"/>
      <c r="S1665" s="20" t="n"/>
    </row>
    <row r="1666">
      <c r="A1666" s="24" t="n"/>
      <c r="B1666" s="20" t="n"/>
      <c r="C1666" s="20" t="n"/>
      <c r="D1666" s="23" t="n"/>
      <c r="E1666" s="20" t="n"/>
      <c r="F1666" s="20" t="n"/>
      <c r="G1666" s="25" t="n"/>
      <c r="H1666" s="20" t="n"/>
      <c r="I1666" s="20" t="n"/>
      <c r="J1666" s="20" t="n"/>
      <c r="K1666" s="20" t="n"/>
      <c r="L1666" s="25" t="n"/>
      <c r="M1666" s="20" t="n"/>
      <c r="N1666" s="20" t="n"/>
      <c r="O1666" s="20" t="n"/>
      <c r="P1666" s="20" t="n"/>
      <c r="Q1666" s="26" t="n"/>
      <c r="R1666" s="20" t="n"/>
      <c r="S1666" s="20" t="n"/>
    </row>
    <row r="1667">
      <c r="A1667" s="24" t="n"/>
      <c r="B1667" s="20" t="n"/>
      <c r="C1667" s="20" t="n"/>
      <c r="D1667" s="23" t="n"/>
      <c r="E1667" s="20" t="n"/>
      <c r="F1667" s="20" t="n"/>
      <c r="G1667" s="25" t="n"/>
      <c r="H1667" s="20" t="n"/>
      <c r="I1667" s="20" t="n"/>
      <c r="J1667" s="20" t="n"/>
      <c r="K1667" s="20" t="n"/>
      <c r="L1667" s="25" t="n"/>
      <c r="M1667" s="20" t="n"/>
      <c r="N1667" s="20" t="n"/>
      <c r="O1667" s="20" t="n"/>
      <c r="P1667" s="20" t="n"/>
      <c r="Q1667" s="26" t="n"/>
      <c r="R1667" s="20" t="n"/>
      <c r="S1667" s="20" t="n"/>
    </row>
    <row r="1668">
      <c r="A1668" s="24" t="n"/>
      <c r="B1668" s="20" t="n"/>
      <c r="C1668" s="20" t="n"/>
      <c r="D1668" s="23" t="n"/>
      <c r="E1668" s="20" t="n"/>
      <c r="F1668" s="20" t="n"/>
      <c r="G1668" s="25" t="n"/>
      <c r="H1668" s="20" t="n"/>
      <c r="I1668" s="20" t="n"/>
      <c r="J1668" s="20" t="n"/>
      <c r="K1668" s="20" t="n"/>
      <c r="L1668" s="25" t="n"/>
      <c r="M1668" s="20" t="n"/>
      <c r="N1668" s="20" t="n"/>
      <c r="O1668" s="20" t="n"/>
      <c r="P1668" s="20" t="n"/>
      <c r="Q1668" s="26" t="n"/>
      <c r="R1668" s="20" t="n"/>
      <c r="S1668" s="20" t="n"/>
    </row>
    <row r="1669">
      <c r="A1669" s="24" t="n"/>
      <c r="B1669" s="20" t="n"/>
      <c r="C1669" s="20" t="n"/>
      <c r="D1669" s="23" t="n"/>
      <c r="E1669" s="20" t="n"/>
      <c r="F1669" s="20" t="n"/>
      <c r="G1669" s="25" t="n"/>
      <c r="H1669" s="20" t="n"/>
      <c r="I1669" s="20" t="n"/>
      <c r="J1669" s="20" t="n"/>
      <c r="K1669" s="20" t="n"/>
      <c r="L1669" s="25" t="n"/>
      <c r="M1669" s="20" t="n"/>
      <c r="N1669" s="20" t="n"/>
      <c r="O1669" s="20" t="n"/>
      <c r="P1669" s="20" t="n"/>
      <c r="Q1669" s="26" t="n"/>
      <c r="R1669" s="20" t="n"/>
      <c r="S1669" s="20" t="n"/>
    </row>
    <row r="1670">
      <c r="A1670" s="24" t="n"/>
      <c r="B1670" s="20" t="n"/>
      <c r="C1670" s="20" t="n"/>
      <c r="D1670" s="23" t="n"/>
      <c r="E1670" s="20" t="n"/>
      <c r="F1670" s="20" t="n"/>
      <c r="G1670" s="25" t="n"/>
      <c r="H1670" s="20" t="n"/>
      <c r="I1670" s="20" t="n"/>
      <c r="J1670" s="20" t="n"/>
      <c r="K1670" s="20" t="n"/>
      <c r="L1670" s="25" t="n"/>
      <c r="M1670" s="20" t="n"/>
      <c r="N1670" s="20" t="n"/>
      <c r="O1670" s="20" t="n"/>
      <c r="P1670" s="20" t="n"/>
      <c r="Q1670" s="26" t="n"/>
      <c r="R1670" s="20" t="n"/>
      <c r="S1670" s="20" t="n"/>
    </row>
    <row r="1671">
      <c r="A1671" s="24" t="n"/>
      <c r="B1671" s="20" t="n"/>
      <c r="C1671" s="20" t="n"/>
      <c r="D1671" s="23" t="n"/>
      <c r="E1671" s="20" t="n"/>
      <c r="F1671" s="20" t="n"/>
      <c r="G1671" s="25" t="n"/>
      <c r="H1671" s="20" t="n"/>
      <c r="I1671" s="20" t="n"/>
      <c r="J1671" s="20" t="n"/>
      <c r="K1671" s="20" t="n"/>
      <c r="L1671" s="25" t="n"/>
      <c r="M1671" s="20" t="n"/>
      <c r="N1671" s="20" t="n"/>
      <c r="O1671" s="20" t="n"/>
      <c r="P1671" s="20" t="n"/>
      <c r="Q1671" s="26" t="n"/>
      <c r="R1671" s="20" t="n"/>
      <c r="S1671" s="20" t="n"/>
    </row>
    <row r="1672">
      <c r="A1672" s="24" t="n"/>
      <c r="B1672" s="20" t="n"/>
      <c r="C1672" s="20" t="n"/>
      <c r="D1672" s="23" t="n"/>
      <c r="E1672" s="20" t="n"/>
      <c r="F1672" s="20" t="n"/>
      <c r="G1672" s="25" t="n"/>
      <c r="H1672" s="20" t="n"/>
      <c r="I1672" s="20" t="n"/>
      <c r="J1672" s="20" t="n"/>
      <c r="K1672" s="20" t="n"/>
      <c r="L1672" s="25" t="n"/>
      <c r="M1672" s="20" t="n"/>
      <c r="N1672" s="20" t="n"/>
      <c r="O1672" s="20" t="n"/>
      <c r="P1672" s="20" t="n"/>
      <c r="Q1672" s="26" t="n"/>
      <c r="R1672" s="20" t="n"/>
      <c r="S1672" s="20" t="n"/>
    </row>
    <row r="1673">
      <c r="A1673" s="24" t="n"/>
      <c r="B1673" s="20" t="n"/>
      <c r="C1673" s="20" t="n"/>
      <c r="D1673" s="23" t="n"/>
      <c r="E1673" s="20" t="n"/>
      <c r="F1673" s="20" t="n"/>
      <c r="G1673" s="25" t="n"/>
      <c r="H1673" s="20" t="n"/>
      <c r="I1673" s="20" t="n"/>
      <c r="J1673" s="20" t="n"/>
      <c r="K1673" s="20" t="n"/>
      <c r="L1673" s="25" t="n"/>
      <c r="M1673" s="20" t="n"/>
      <c r="N1673" s="20" t="n"/>
      <c r="O1673" s="20" t="n"/>
      <c r="P1673" s="20" t="n"/>
      <c r="Q1673" s="26" t="n"/>
      <c r="R1673" s="20" t="n"/>
      <c r="S1673" s="20" t="n"/>
    </row>
    <row r="1674">
      <c r="A1674" s="24" t="n"/>
      <c r="B1674" s="20" t="n"/>
      <c r="C1674" s="20" t="n"/>
      <c r="D1674" s="23" t="n"/>
      <c r="E1674" s="20" t="n"/>
      <c r="F1674" s="20" t="n"/>
      <c r="G1674" s="25" t="n"/>
      <c r="H1674" s="20" t="n"/>
      <c r="I1674" s="20" t="n"/>
      <c r="J1674" s="20" t="n"/>
      <c r="K1674" s="20" t="n"/>
      <c r="L1674" s="25" t="n"/>
      <c r="M1674" s="20" t="n"/>
      <c r="N1674" s="20" t="n"/>
      <c r="O1674" s="20" t="n"/>
      <c r="P1674" s="20" t="n"/>
      <c r="Q1674" s="26" t="n"/>
      <c r="R1674" s="20" t="n"/>
      <c r="S1674" s="20" t="n"/>
    </row>
    <row r="1675">
      <c r="A1675" s="24" t="n"/>
      <c r="B1675" s="20" t="n"/>
      <c r="C1675" s="20" t="n"/>
      <c r="D1675" s="23" t="n"/>
      <c r="E1675" s="20" t="n"/>
      <c r="F1675" s="20" t="n"/>
      <c r="G1675" s="25" t="n"/>
      <c r="H1675" s="20" t="n"/>
      <c r="I1675" s="20" t="n"/>
      <c r="J1675" s="20" t="n"/>
      <c r="K1675" s="20" t="n"/>
      <c r="L1675" s="25" t="n"/>
      <c r="M1675" s="20" t="n"/>
      <c r="N1675" s="20" t="n"/>
      <c r="O1675" s="20" t="n"/>
      <c r="P1675" s="20" t="n"/>
      <c r="Q1675" s="26" t="n"/>
      <c r="R1675" s="20" t="n"/>
      <c r="S1675" s="20" t="n"/>
    </row>
    <row r="1676">
      <c r="A1676" s="24" t="n"/>
      <c r="B1676" s="20" t="n"/>
      <c r="C1676" s="20" t="n"/>
      <c r="D1676" s="23" t="n"/>
      <c r="E1676" s="20" t="n"/>
      <c r="F1676" s="20" t="n"/>
      <c r="G1676" s="25" t="n"/>
      <c r="H1676" s="20" t="n"/>
      <c r="I1676" s="20" t="n"/>
      <c r="J1676" s="20" t="n"/>
      <c r="K1676" s="20" t="n"/>
      <c r="L1676" s="25" t="n"/>
      <c r="M1676" s="20" t="n"/>
      <c r="N1676" s="20" t="n"/>
      <c r="O1676" s="20" t="n"/>
      <c r="P1676" s="20" t="n"/>
      <c r="Q1676" s="26" t="n"/>
      <c r="R1676" s="20" t="n"/>
      <c r="S1676" s="20" t="n"/>
    </row>
    <row r="1677">
      <c r="A1677" s="24" t="n"/>
      <c r="B1677" s="20" t="n"/>
      <c r="C1677" s="20" t="n"/>
      <c r="D1677" s="23" t="n"/>
      <c r="E1677" s="20" t="n"/>
      <c r="F1677" s="20" t="n"/>
      <c r="G1677" s="25" t="n"/>
      <c r="H1677" s="20" t="n"/>
      <c r="I1677" s="20" t="n"/>
      <c r="J1677" s="20" t="n"/>
      <c r="K1677" s="20" t="n"/>
      <c r="L1677" s="25" t="n"/>
      <c r="M1677" s="20" t="n"/>
      <c r="N1677" s="20" t="n"/>
      <c r="O1677" s="20" t="n"/>
      <c r="P1677" s="20" t="n"/>
      <c r="Q1677" s="26" t="n"/>
      <c r="R1677" s="20" t="n"/>
      <c r="S1677" s="20" t="n"/>
    </row>
    <row r="1678">
      <c r="A1678" s="24" t="n"/>
      <c r="B1678" s="20" t="n"/>
      <c r="C1678" s="20" t="n"/>
      <c r="D1678" s="23" t="n"/>
      <c r="E1678" s="20" t="n"/>
      <c r="F1678" s="20" t="n"/>
      <c r="G1678" s="25" t="n"/>
      <c r="H1678" s="20" t="n"/>
      <c r="I1678" s="20" t="n"/>
      <c r="J1678" s="20" t="n"/>
      <c r="K1678" s="20" t="n"/>
      <c r="L1678" s="25" t="n"/>
      <c r="M1678" s="20" t="n"/>
      <c r="N1678" s="20" t="n"/>
      <c r="O1678" s="20" t="n"/>
      <c r="P1678" s="20" t="n"/>
      <c r="Q1678" s="26" t="n"/>
      <c r="R1678" s="20" t="n"/>
      <c r="S1678" s="20" t="n"/>
    </row>
    <row r="1679">
      <c r="A1679" s="24" t="n"/>
      <c r="B1679" s="20" t="n"/>
      <c r="C1679" s="20" t="n"/>
      <c r="D1679" s="23" t="n"/>
      <c r="E1679" s="20" t="n"/>
      <c r="F1679" s="20" t="n"/>
      <c r="G1679" s="25" t="n"/>
      <c r="H1679" s="20" t="n"/>
      <c r="I1679" s="20" t="n"/>
      <c r="J1679" s="20" t="n"/>
      <c r="K1679" s="20" t="n"/>
      <c r="L1679" s="25" t="n"/>
      <c r="M1679" s="20" t="n"/>
      <c r="N1679" s="20" t="n"/>
      <c r="O1679" s="20" t="n"/>
      <c r="P1679" s="20" t="n"/>
      <c r="Q1679" s="26" t="n"/>
      <c r="R1679" s="20" t="n"/>
      <c r="S1679" s="20" t="n"/>
    </row>
    <row r="1680">
      <c r="A1680" s="24" t="n"/>
      <c r="B1680" s="20" t="n"/>
      <c r="C1680" s="20" t="n"/>
      <c r="D1680" s="23" t="n"/>
      <c r="E1680" s="20" t="n"/>
      <c r="F1680" s="20" t="n"/>
      <c r="G1680" s="25" t="n"/>
      <c r="H1680" s="20" t="n"/>
      <c r="I1680" s="20" t="n"/>
      <c r="J1680" s="20" t="n"/>
      <c r="K1680" s="20" t="n"/>
      <c r="L1680" s="25" t="n"/>
      <c r="M1680" s="20" t="n"/>
      <c r="N1680" s="20" t="n"/>
      <c r="O1680" s="20" t="n"/>
      <c r="P1680" s="20" t="n"/>
      <c r="Q1680" s="26" t="n"/>
      <c r="R1680" s="20" t="n"/>
      <c r="S1680" s="20" t="n"/>
    </row>
    <row r="1681">
      <c r="A1681" s="24" t="n"/>
      <c r="B1681" s="20" t="n"/>
      <c r="C1681" s="20" t="n"/>
      <c r="D1681" s="23" t="n"/>
      <c r="E1681" s="20" t="n"/>
      <c r="F1681" s="20" t="n"/>
      <c r="G1681" s="25" t="n"/>
      <c r="H1681" s="20" t="n"/>
      <c r="I1681" s="20" t="n"/>
      <c r="J1681" s="20" t="n"/>
      <c r="K1681" s="20" t="n"/>
      <c r="L1681" s="25" t="n"/>
      <c r="M1681" s="20" t="n"/>
      <c r="N1681" s="20" t="n"/>
      <c r="O1681" s="20" t="n"/>
      <c r="P1681" s="20" t="n"/>
      <c r="Q1681" s="26" t="n"/>
      <c r="R1681" s="20" t="n"/>
      <c r="S1681" s="20" t="n"/>
    </row>
    <row r="1682">
      <c r="A1682" s="24" t="n"/>
      <c r="B1682" s="20" t="n"/>
      <c r="C1682" s="20" t="n"/>
      <c r="D1682" s="23" t="n"/>
      <c r="E1682" s="20" t="n"/>
      <c r="F1682" s="20" t="n"/>
      <c r="G1682" s="25" t="n"/>
      <c r="H1682" s="20" t="n"/>
      <c r="I1682" s="20" t="n"/>
      <c r="J1682" s="20" t="n"/>
      <c r="K1682" s="20" t="n"/>
      <c r="L1682" s="25" t="n"/>
      <c r="M1682" s="20" t="n"/>
      <c r="N1682" s="20" t="n"/>
      <c r="O1682" s="20" t="n"/>
      <c r="P1682" s="20" t="n"/>
      <c r="Q1682" s="26" t="n"/>
      <c r="R1682" s="20" t="n"/>
      <c r="S1682" s="20" t="n"/>
    </row>
    <row r="1683">
      <c r="A1683" s="24" t="n"/>
      <c r="B1683" s="20" t="n"/>
      <c r="C1683" s="20" t="n"/>
      <c r="D1683" s="23" t="n"/>
      <c r="E1683" s="20" t="n"/>
      <c r="F1683" s="20" t="n"/>
      <c r="G1683" s="25" t="n"/>
      <c r="H1683" s="20" t="n"/>
      <c r="I1683" s="20" t="n"/>
      <c r="J1683" s="20" t="n"/>
      <c r="K1683" s="20" t="n"/>
      <c r="L1683" s="25" t="n"/>
      <c r="M1683" s="20" t="n"/>
      <c r="N1683" s="20" t="n"/>
      <c r="O1683" s="20" t="n"/>
      <c r="P1683" s="20" t="n"/>
      <c r="Q1683" s="26" t="n"/>
      <c r="R1683" s="20" t="n"/>
      <c r="S1683" s="20" t="n"/>
    </row>
    <row r="1684">
      <c r="A1684" s="24" t="n"/>
      <c r="B1684" s="20" t="n"/>
      <c r="C1684" s="20" t="n"/>
      <c r="D1684" s="23" t="n"/>
      <c r="E1684" s="20" t="n"/>
      <c r="F1684" s="20" t="n"/>
      <c r="G1684" s="25" t="n"/>
      <c r="H1684" s="20" t="n"/>
      <c r="I1684" s="20" t="n"/>
      <c r="J1684" s="20" t="n"/>
      <c r="K1684" s="20" t="n"/>
      <c r="L1684" s="25" t="n"/>
      <c r="M1684" s="20" t="n"/>
      <c r="N1684" s="20" t="n"/>
      <c r="O1684" s="20" t="n"/>
      <c r="P1684" s="20" t="n"/>
      <c r="Q1684" s="26" t="n"/>
      <c r="R1684" s="20" t="n"/>
      <c r="S1684" s="20" t="n"/>
    </row>
    <row r="1685">
      <c r="A1685" s="24" t="n"/>
      <c r="B1685" s="20" t="n"/>
      <c r="C1685" s="20" t="n"/>
      <c r="D1685" s="23" t="n"/>
      <c r="E1685" s="20" t="n"/>
      <c r="F1685" s="20" t="n"/>
      <c r="G1685" s="25" t="n"/>
      <c r="H1685" s="20" t="n"/>
      <c r="I1685" s="20" t="n"/>
      <c r="J1685" s="20" t="n"/>
      <c r="K1685" s="20" t="n"/>
      <c r="L1685" s="25" t="n"/>
      <c r="M1685" s="20" t="n"/>
      <c r="N1685" s="20" t="n"/>
      <c r="O1685" s="20" t="n"/>
      <c r="P1685" s="20" t="n"/>
      <c r="Q1685" s="26" t="n"/>
      <c r="R1685" s="20" t="n"/>
      <c r="S1685" s="20" t="n"/>
    </row>
    <row r="1686">
      <c r="A1686" s="24" t="n"/>
      <c r="B1686" s="20" t="n"/>
      <c r="C1686" s="20" t="n"/>
      <c r="D1686" s="23" t="n"/>
      <c r="E1686" s="20" t="n"/>
      <c r="F1686" s="20" t="n"/>
      <c r="G1686" s="25" t="n"/>
      <c r="H1686" s="20" t="n"/>
      <c r="I1686" s="20" t="n"/>
      <c r="J1686" s="20" t="n"/>
      <c r="K1686" s="20" t="n"/>
      <c r="L1686" s="25" t="n"/>
      <c r="M1686" s="20" t="n"/>
      <c r="N1686" s="20" t="n"/>
      <c r="O1686" s="20" t="n"/>
      <c r="P1686" s="20" t="n"/>
      <c r="Q1686" s="26" t="n"/>
      <c r="R1686" s="20" t="n"/>
      <c r="S1686" s="20" t="n"/>
    </row>
    <row r="1687">
      <c r="A1687" s="24" t="n"/>
      <c r="B1687" s="20" t="n"/>
      <c r="C1687" s="20" t="n"/>
      <c r="D1687" s="23" t="n"/>
      <c r="E1687" s="20" t="n"/>
      <c r="F1687" s="20" t="n"/>
      <c r="G1687" s="25" t="n"/>
      <c r="H1687" s="20" t="n"/>
      <c r="I1687" s="20" t="n"/>
      <c r="J1687" s="20" t="n"/>
      <c r="K1687" s="20" t="n"/>
      <c r="L1687" s="25" t="n"/>
      <c r="M1687" s="20" t="n"/>
      <c r="N1687" s="20" t="n"/>
      <c r="O1687" s="20" t="n"/>
      <c r="P1687" s="20" t="n"/>
      <c r="Q1687" s="26" t="n"/>
      <c r="R1687" s="20" t="n"/>
      <c r="S1687" s="20" t="n"/>
    </row>
    <row r="1688">
      <c r="A1688" s="24" t="n"/>
      <c r="B1688" s="20" t="n"/>
      <c r="C1688" s="20" t="n"/>
      <c r="D1688" s="23" t="n"/>
      <c r="E1688" s="20" t="n"/>
      <c r="F1688" s="20" t="n"/>
      <c r="G1688" s="25" t="n"/>
      <c r="H1688" s="20" t="n"/>
      <c r="I1688" s="20" t="n"/>
      <c r="J1688" s="20" t="n"/>
      <c r="K1688" s="20" t="n"/>
      <c r="L1688" s="25" t="n"/>
      <c r="M1688" s="20" t="n"/>
      <c r="N1688" s="20" t="n"/>
      <c r="O1688" s="20" t="n"/>
      <c r="P1688" s="20" t="n"/>
      <c r="Q1688" s="26" t="n"/>
      <c r="R1688" s="20" t="n"/>
      <c r="S1688" s="20" t="n"/>
    </row>
    <row r="1689">
      <c r="A1689" s="24" t="n"/>
      <c r="B1689" s="20" t="n"/>
      <c r="C1689" s="20" t="n"/>
      <c r="D1689" s="23" t="n"/>
      <c r="E1689" s="20" t="n"/>
      <c r="F1689" s="20" t="n"/>
      <c r="G1689" s="25" t="n"/>
      <c r="H1689" s="20" t="n"/>
      <c r="I1689" s="20" t="n"/>
      <c r="J1689" s="20" t="n"/>
      <c r="K1689" s="20" t="n"/>
      <c r="L1689" s="25" t="n"/>
      <c r="M1689" s="20" t="n"/>
      <c r="N1689" s="20" t="n"/>
      <c r="O1689" s="20" t="n"/>
      <c r="P1689" s="20" t="n"/>
      <c r="Q1689" s="26" t="n"/>
      <c r="R1689" s="20" t="n"/>
      <c r="S1689" s="20" t="n"/>
    </row>
    <row r="1690">
      <c r="A1690" s="24" t="n"/>
      <c r="B1690" s="20" t="n"/>
      <c r="C1690" s="20" t="n"/>
      <c r="D1690" s="23" t="n"/>
      <c r="E1690" s="20" t="n"/>
      <c r="F1690" s="20" t="n"/>
      <c r="G1690" s="25" t="n"/>
      <c r="H1690" s="20" t="n"/>
      <c r="I1690" s="20" t="n"/>
      <c r="J1690" s="20" t="n"/>
      <c r="K1690" s="20" t="n"/>
      <c r="L1690" s="25" t="n"/>
      <c r="M1690" s="20" t="n"/>
      <c r="N1690" s="20" t="n"/>
      <c r="O1690" s="20" t="n"/>
      <c r="P1690" s="20" t="n"/>
      <c r="Q1690" s="26" t="n"/>
      <c r="R1690" s="20" t="n"/>
      <c r="S1690" s="20" t="n"/>
    </row>
    <row r="1691">
      <c r="A1691" s="24" t="n"/>
      <c r="B1691" s="20" t="n"/>
      <c r="C1691" s="20" t="n"/>
      <c r="D1691" s="23" t="n"/>
      <c r="E1691" s="20" t="n"/>
      <c r="F1691" s="20" t="n"/>
      <c r="G1691" s="25" t="n"/>
      <c r="H1691" s="20" t="n"/>
      <c r="I1691" s="20" t="n"/>
      <c r="J1691" s="20" t="n"/>
      <c r="K1691" s="20" t="n"/>
      <c r="L1691" s="25" t="n"/>
      <c r="M1691" s="20" t="n"/>
      <c r="N1691" s="20" t="n"/>
      <c r="O1691" s="20" t="n"/>
      <c r="P1691" s="20" t="n"/>
      <c r="Q1691" s="26" t="n"/>
      <c r="R1691" s="20" t="n"/>
      <c r="S1691" s="20" t="n"/>
    </row>
    <row r="1692">
      <c r="A1692" s="24" t="n"/>
      <c r="B1692" s="20" t="n"/>
      <c r="C1692" s="20" t="n"/>
      <c r="D1692" s="23" t="n"/>
      <c r="E1692" s="20" t="n"/>
      <c r="F1692" s="20" t="n"/>
      <c r="G1692" s="25" t="n"/>
      <c r="H1692" s="20" t="n"/>
      <c r="I1692" s="20" t="n"/>
      <c r="J1692" s="20" t="n"/>
      <c r="K1692" s="20" t="n"/>
      <c r="L1692" s="25" t="n"/>
      <c r="M1692" s="20" t="n"/>
      <c r="N1692" s="20" t="n"/>
      <c r="O1692" s="20" t="n"/>
      <c r="P1692" s="20" t="n"/>
      <c r="Q1692" s="26" t="n"/>
      <c r="R1692" s="20" t="n"/>
      <c r="S1692" s="20" t="n"/>
    </row>
    <row r="1693">
      <c r="A1693" s="24" t="n"/>
      <c r="B1693" s="20" t="n"/>
      <c r="C1693" s="20" t="n"/>
      <c r="D1693" s="23" t="n"/>
      <c r="E1693" s="20" t="n"/>
      <c r="F1693" s="20" t="n"/>
      <c r="G1693" s="25" t="n"/>
      <c r="H1693" s="20" t="n"/>
      <c r="I1693" s="20" t="n"/>
      <c r="J1693" s="20" t="n"/>
      <c r="K1693" s="20" t="n"/>
      <c r="L1693" s="25" t="n"/>
      <c r="M1693" s="20" t="n"/>
      <c r="N1693" s="20" t="n"/>
      <c r="O1693" s="20" t="n"/>
      <c r="P1693" s="20" t="n"/>
      <c r="Q1693" s="26" t="n"/>
      <c r="R1693" s="20" t="n"/>
      <c r="S1693" s="20" t="n"/>
    </row>
    <row r="1694">
      <c r="A1694" s="24" t="n"/>
      <c r="B1694" s="20" t="n"/>
      <c r="C1694" s="20" t="n"/>
      <c r="D1694" s="23" t="n"/>
      <c r="E1694" s="20" t="n"/>
      <c r="F1694" s="20" t="n"/>
      <c r="G1694" s="25" t="n"/>
      <c r="H1694" s="20" t="n"/>
      <c r="I1694" s="20" t="n"/>
      <c r="J1694" s="20" t="n"/>
      <c r="K1694" s="20" t="n"/>
      <c r="L1694" s="25" t="n"/>
      <c r="M1694" s="20" t="n"/>
      <c r="N1694" s="20" t="n"/>
      <c r="O1694" s="20" t="n"/>
      <c r="P1694" s="20" t="n"/>
      <c r="Q1694" s="26" t="n"/>
      <c r="R1694" s="20" t="n"/>
      <c r="S1694" s="20" t="n"/>
    </row>
    <row r="1695">
      <c r="A1695" s="24" t="n"/>
      <c r="B1695" s="20" t="n"/>
      <c r="C1695" s="20" t="n"/>
      <c r="D1695" s="23" t="n"/>
      <c r="E1695" s="20" t="n"/>
      <c r="F1695" s="20" t="n"/>
      <c r="G1695" s="25" t="n"/>
      <c r="H1695" s="20" t="n"/>
      <c r="I1695" s="20" t="n"/>
      <c r="J1695" s="20" t="n"/>
      <c r="K1695" s="20" t="n"/>
      <c r="L1695" s="25" t="n"/>
      <c r="M1695" s="20" t="n"/>
      <c r="N1695" s="20" t="n"/>
      <c r="O1695" s="20" t="n"/>
      <c r="P1695" s="20" t="n"/>
      <c r="Q1695" s="26" t="n"/>
      <c r="R1695" s="20" t="n"/>
      <c r="S1695" s="20" t="n"/>
    </row>
    <row r="1696">
      <c r="A1696" s="24" t="n"/>
      <c r="B1696" s="20" t="n"/>
      <c r="C1696" s="20" t="n"/>
      <c r="D1696" s="23" t="n"/>
      <c r="E1696" s="20" t="n"/>
      <c r="F1696" s="20" t="n"/>
      <c r="G1696" s="25" t="n"/>
      <c r="H1696" s="20" t="n"/>
      <c r="I1696" s="20" t="n"/>
      <c r="J1696" s="20" t="n"/>
      <c r="K1696" s="20" t="n"/>
      <c r="L1696" s="25" t="n"/>
      <c r="M1696" s="20" t="n"/>
      <c r="N1696" s="20" t="n"/>
      <c r="O1696" s="20" t="n"/>
      <c r="P1696" s="20" t="n"/>
      <c r="Q1696" s="26" t="n"/>
      <c r="R1696" s="20" t="n"/>
      <c r="S1696" s="20" t="n"/>
    </row>
    <row r="1697">
      <c r="A1697" s="24" t="n"/>
      <c r="B1697" s="20" t="n"/>
      <c r="C1697" s="20" t="n"/>
      <c r="D1697" s="23" t="n"/>
      <c r="E1697" s="20" t="n"/>
      <c r="F1697" s="20" t="n"/>
      <c r="G1697" s="25" t="n"/>
      <c r="H1697" s="20" t="n"/>
      <c r="I1697" s="20" t="n"/>
      <c r="J1697" s="20" t="n"/>
      <c r="K1697" s="20" t="n"/>
      <c r="L1697" s="25" t="n"/>
      <c r="M1697" s="20" t="n"/>
      <c r="N1697" s="20" t="n"/>
      <c r="O1697" s="20" t="n"/>
      <c r="P1697" s="20" t="n"/>
      <c r="Q1697" s="26" t="n"/>
      <c r="R1697" s="20" t="n"/>
      <c r="S1697" s="20" t="n"/>
    </row>
    <row r="1698">
      <c r="A1698" s="24" t="n"/>
      <c r="B1698" s="20" t="n"/>
      <c r="C1698" s="20" t="n"/>
      <c r="D1698" s="23" t="n"/>
      <c r="E1698" s="20" t="n"/>
      <c r="F1698" s="20" t="n"/>
      <c r="G1698" s="25" t="n"/>
      <c r="H1698" s="20" t="n"/>
      <c r="I1698" s="20" t="n"/>
      <c r="J1698" s="20" t="n"/>
      <c r="K1698" s="20" t="n"/>
      <c r="L1698" s="25" t="n"/>
      <c r="M1698" s="20" t="n"/>
      <c r="N1698" s="20" t="n"/>
      <c r="O1698" s="20" t="n"/>
      <c r="P1698" s="20" t="n"/>
      <c r="Q1698" s="26" t="n"/>
      <c r="R1698" s="20" t="n"/>
      <c r="S1698" s="20" t="n"/>
    </row>
    <row r="1699">
      <c r="A1699" s="24" t="n"/>
      <c r="B1699" s="20" t="n"/>
      <c r="C1699" s="20" t="n"/>
      <c r="D1699" s="23" t="n"/>
      <c r="E1699" s="20" t="n"/>
      <c r="F1699" s="20" t="n"/>
      <c r="G1699" s="25" t="n"/>
      <c r="H1699" s="20" t="n"/>
      <c r="I1699" s="20" t="n"/>
      <c r="J1699" s="20" t="n"/>
      <c r="K1699" s="20" t="n"/>
      <c r="L1699" s="25" t="n"/>
      <c r="M1699" s="20" t="n"/>
      <c r="N1699" s="20" t="n"/>
      <c r="O1699" s="20" t="n"/>
      <c r="P1699" s="20" t="n"/>
      <c r="Q1699" s="26" t="n"/>
      <c r="R1699" s="20" t="n"/>
      <c r="S1699" s="20" t="n"/>
    </row>
    <row r="1700">
      <c r="A1700" s="24" t="n"/>
      <c r="B1700" s="20" t="n"/>
      <c r="C1700" s="20" t="n"/>
      <c r="D1700" s="23" t="n"/>
      <c r="E1700" s="20" t="n"/>
      <c r="F1700" s="20" t="n"/>
      <c r="G1700" s="25" t="n"/>
      <c r="H1700" s="20" t="n"/>
      <c r="I1700" s="20" t="n"/>
      <c r="J1700" s="20" t="n"/>
      <c r="K1700" s="20" t="n"/>
      <c r="L1700" s="25" t="n"/>
      <c r="M1700" s="20" t="n"/>
      <c r="N1700" s="20" t="n"/>
      <c r="O1700" s="20" t="n"/>
      <c r="P1700" s="20" t="n"/>
      <c r="Q1700" s="26" t="n"/>
      <c r="R1700" s="20" t="n"/>
      <c r="S1700" s="20" t="n"/>
    </row>
    <row r="1701">
      <c r="A1701" s="24" t="n"/>
      <c r="B1701" s="20" t="n"/>
      <c r="C1701" s="20" t="n"/>
      <c r="D1701" s="23" t="n"/>
      <c r="E1701" s="20" t="n"/>
      <c r="F1701" s="20" t="n"/>
      <c r="G1701" s="25" t="n"/>
      <c r="H1701" s="20" t="n"/>
      <c r="I1701" s="20" t="n"/>
      <c r="J1701" s="20" t="n"/>
      <c r="K1701" s="20" t="n"/>
      <c r="L1701" s="25" t="n"/>
      <c r="M1701" s="20" t="n"/>
      <c r="N1701" s="20" t="n"/>
      <c r="O1701" s="20" t="n"/>
      <c r="P1701" s="20" t="n"/>
      <c r="Q1701" s="26" t="n"/>
      <c r="R1701" s="20" t="n"/>
      <c r="S1701" s="20" t="n"/>
    </row>
    <row r="1702">
      <c r="A1702" s="24" t="n"/>
      <c r="B1702" s="20" t="n"/>
      <c r="C1702" s="20" t="n"/>
      <c r="D1702" s="23" t="n"/>
      <c r="E1702" s="20" t="n"/>
      <c r="F1702" s="20" t="n"/>
      <c r="G1702" s="25" t="n"/>
      <c r="H1702" s="20" t="n"/>
      <c r="I1702" s="20" t="n"/>
      <c r="J1702" s="20" t="n"/>
      <c r="K1702" s="20" t="n"/>
      <c r="L1702" s="25" t="n"/>
      <c r="M1702" s="20" t="n"/>
      <c r="N1702" s="20" t="n"/>
      <c r="O1702" s="20" t="n"/>
      <c r="P1702" s="20" t="n"/>
      <c r="Q1702" s="26" t="n"/>
      <c r="R1702" s="20" t="n"/>
      <c r="S1702" s="20" t="n"/>
    </row>
    <row r="1703">
      <c r="A1703" s="24" t="n"/>
      <c r="B1703" s="20" t="n"/>
      <c r="C1703" s="20" t="n"/>
      <c r="D1703" s="23" t="n"/>
      <c r="E1703" s="20" t="n"/>
      <c r="F1703" s="20" t="n"/>
      <c r="G1703" s="25" t="n"/>
      <c r="H1703" s="20" t="n"/>
      <c r="I1703" s="20" t="n"/>
      <c r="J1703" s="20" t="n"/>
      <c r="K1703" s="20" t="n"/>
      <c r="L1703" s="25" t="n"/>
      <c r="M1703" s="20" t="n"/>
      <c r="N1703" s="20" t="n"/>
      <c r="O1703" s="20" t="n"/>
      <c r="P1703" s="20" t="n"/>
      <c r="Q1703" s="26" t="n"/>
      <c r="R1703" s="20" t="n"/>
      <c r="S1703" s="20" t="n"/>
    </row>
    <row r="1704">
      <c r="A1704" s="24" t="n"/>
      <c r="B1704" s="20" t="n"/>
      <c r="C1704" s="20" t="n"/>
      <c r="D1704" s="23" t="n"/>
      <c r="E1704" s="20" t="n"/>
      <c r="F1704" s="20" t="n"/>
      <c r="G1704" s="25" t="n"/>
      <c r="H1704" s="20" t="n"/>
      <c r="I1704" s="20" t="n"/>
      <c r="J1704" s="20" t="n"/>
      <c r="K1704" s="20" t="n"/>
      <c r="L1704" s="25" t="n"/>
      <c r="M1704" s="20" t="n"/>
      <c r="N1704" s="20" t="n"/>
      <c r="O1704" s="20" t="n"/>
      <c r="P1704" s="20" t="n"/>
      <c r="Q1704" s="26" t="n"/>
      <c r="R1704" s="20" t="n"/>
      <c r="S1704" s="20" t="n"/>
    </row>
    <row r="1705">
      <c r="A1705" s="24" t="n"/>
      <c r="B1705" s="20" t="n"/>
      <c r="C1705" s="20" t="n"/>
      <c r="D1705" s="23" t="n"/>
      <c r="E1705" s="20" t="n"/>
      <c r="F1705" s="20" t="n"/>
      <c r="G1705" s="25" t="n"/>
      <c r="H1705" s="20" t="n"/>
      <c r="I1705" s="20" t="n"/>
      <c r="J1705" s="20" t="n"/>
      <c r="K1705" s="20" t="n"/>
      <c r="L1705" s="25" t="n"/>
      <c r="M1705" s="20" t="n"/>
      <c r="N1705" s="20" t="n"/>
      <c r="O1705" s="20" t="n"/>
      <c r="P1705" s="20" t="n"/>
      <c r="Q1705" s="26" t="n"/>
      <c r="R1705" s="20" t="n"/>
      <c r="S1705" s="20" t="n"/>
    </row>
    <row r="1706">
      <c r="A1706" s="24" t="n"/>
      <c r="B1706" s="20" t="n"/>
      <c r="C1706" s="20" t="n"/>
      <c r="D1706" s="23" t="n"/>
      <c r="E1706" s="20" t="n"/>
      <c r="F1706" s="20" t="n"/>
      <c r="G1706" s="25" t="n"/>
      <c r="H1706" s="20" t="n"/>
      <c r="I1706" s="20" t="n"/>
      <c r="J1706" s="20" t="n"/>
      <c r="K1706" s="20" t="n"/>
      <c r="L1706" s="25" t="n"/>
      <c r="M1706" s="20" t="n"/>
      <c r="N1706" s="20" t="n"/>
      <c r="O1706" s="20" t="n"/>
      <c r="P1706" s="20" t="n"/>
      <c r="Q1706" s="26" t="n"/>
      <c r="R1706" s="20" t="n"/>
      <c r="S1706" s="20" t="n"/>
    </row>
    <row r="1707">
      <c r="A1707" s="24" t="n"/>
      <c r="B1707" s="20" t="n"/>
      <c r="C1707" s="20" t="n"/>
      <c r="D1707" s="23" t="n"/>
      <c r="E1707" s="20" t="n"/>
      <c r="F1707" s="20" t="n"/>
      <c r="G1707" s="25" t="n"/>
      <c r="H1707" s="20" t="n"/>
      <c r="I1707" s="20" t="n"/>
      <c r="J1707" s="20" t="n"/>
      <c r="K1707" s="20" t="n"/>
      <c r="L1707" s="25" t="n"/>
      <c r="M1707" s="20" t="n"/>
      <c r="N1707" s="20" t="n"/>
      <c r="O1707" s="20" t="n"/>
      <c r="P1707" s="20" t="n"/>
      <c r="Q1707" s="26" t="n"/>
      <c r="R1707" s="20" t="n"/>
      <c r="S1707" s="20" t="n"/>
    </row>
    <row r="1708">
      <c r="A1708" s="24" t="n"/>
      <c r="B1708" s="20" t="n"/>
      <c r="C1708" s="20" t="n"/>
      <c r="D1708" s="23" t="n"/>
      <c r="E1708" s="20" t="n"/>
      <c r="F1708" s="20" t="n"/>
      <c r="G1708" s="25" t="n"/>
      <c r="H1708" s="20" t="n"/>
      <c r="I1708" s="20" t="n"/>
      <c r="J1708" s="20" t="n"/>
      <c r="K1708" s="20" t="n"/>
      <c r="L1708" s="25" t="n"/>
      <c r="M1708" s="20" t="n"/>
      <c r="N1708" s="20" t="n"/>
      <c r="O1708" s="20" t="n"/>
      <c r="P1708" s="20" t="n"/>
      <c r="Q1708" s="26" t="n"/>
      <c r="R1708" s="20" t="n"/>
      <c r="S1708" s="20" t="n"/>
    </row>
    <row r="1709">
      <c r="A1709" s="24" t="n"/>
      <c r="B1709" s="20" t="n"/>
      <c r="C1709" s="20" t="n"/>
      <c r="D1709" s="23" t="n"/>
      <c r="E1709" s="20" t="n"/>
      <c r="F1709" s="20" t="n"/>
      <c r="G1709" s="25" t="n"/>
      <c r="H1709" s="20" t="n"/>
      <c r="I1709" s="20" t="n"/>
      <c r="J1709" s="20" t="n"/>
      <c r="K1709" s="20" t="n"/>
      <c r="L1709" s="25" t="n"/>
      <c r="M1709" s="20" t="n"/>
      <c r="N1709" s="20" t="n"/>
      <c r="O1709" s="20" t="n"/>
      <c r="P1709" s="20" t="n"/>
      <c r="Q1709" s="26" t="n"/>
      <c r="R1709" s="20" t="n"/>
      <c r="S1709" s="20" t="n"/>
    </row>
    <row r="1710">
      <c r="A1710" s="24" t="n"/>
      <c r="B1710" s="20" t="n"/>
      <c r="C1710" s="20" t="n"/>
      <c r="D1710" s="23" t="n"/>
      <c r="E1710" s="20" t="n"/>
      <c r="F1710" s="20" t="n"/>
      <c r="G1710" s="25" t="n"/>
      <c r="H1710" s="20" t="n"/>
      <c r="I1710" s="20" t="n"/>
      <c r="J1710" s="20" t="n"/>
      <c r="K1710" s="20" t="n"/>
      <c r="L1710" s="25" t="n"/>
      <c r="M1710" s="20" t="n"/>
      <c r="N1710" s="20" t="n"/>
      <c r="O1710" s="20" t="n"/>
      <c r="P1710" s="20" t="n"/>
      <c r="Q1710" s="26" t="n"/>
      <c r="R1710" s="20" t="n"/>
      <c r="S1710" s="20" t="n"/>
    </row>
    <row r="1711">
      <c r="A1711" s="24" t="n"/>
      <c r="B1711" s="20" t="n"/>
      <c r="C1711" s="20" t="n"/>
      <c r="D1711" s="23" t="n"/>
      <c r="E1711" s="20" t="n"/>
      <c r="F1711" s="20" t="n"/>
      <c r="G1711" s="25" t="n"/>
      <c r="H1711" s="20" t="n"/>
      <c r="I1711" s="20" t="n"/>
      <c r="J1711" s="20" t="n"/>
      <c r="K1711" s="20" t="n"/>
      <c r="L1711" s="25" t="n"/>
      <c r="M1711" s="20" t="n"/>
      <c r="N1711" s="20" t="n"/>
      <c r="O1711" s="20" t="n"/>
      <c r="P1711" s="20" t="n"/>
      <c r="Q1711" s="26" t="n"/>
      <c r="R1711" s="20" t="n"/>
      <c r="S1711" s="20" t="n"/>
    </row>
    <row r="1712">
      <c r="A1712" s="24" t="n"/>
      <c r="B1712" s="20" t="n"/>
      <c r="C1712" s="20" t="n"/>
      <c r="D1712" s="23" t="n"/>
      <c r="E1712" s="20" t="n"/>
      <c r="F1712" s="20" t="n"/>
      <c r="G1712" s="25" t="n"/>
      <c r="H1712" s="20" t="n"/>
      <c r="I1712" s="20" t="n"/>
      <c r="J1712" s="20" t="n"/>
      <c r="K1712" s="20" t="n"/>
      <c r="L1712" s="25" t="n"/>
      <c r="M1712" s="20" t="n"/>
      <c r="N1712" s="20" t="n"/>
      <c r="O1712" s="20" t="n"/>
      <c r="P1712" s="20" t="n"/>
      <c r="Q1712" s="26" t="n"/>
      <c r="R1712" s="20" t="n"/>
      <c r="S1712" s="20" t="n"/>
    </row>
    <row r="1713">
      <c r="A1713" s="24" t="n"/>
      <c r="B1713" s="20" t="n"/>
      <c r="C1713" s="20" t="n"/>
      <c r="D1713" s="23" t="n"/>
      <c r="E1713" s="20" t="n"/>
      <c r="F1713" s="20" t="n"/>
      <c r="G1713" s="25" t="n"/>
      <c r="H1713" s="20" t="n"/>
      <c r="I1713" s="20" t="n"/>
      <c r="J1713" s="20" t="n"/>
      <c r="K1713" s="20" t="n"/>
      <c r="L1713" s="25" t="n"/>
      <c r="M1713" s="20" t="n"/>
      <c r="N1713" s="20" t="n"/>
      <c r="O1713" s="20" t="n"/>
      <c r="P1713" s="20" t="n"/>
      <c r="Q1713" s="26" t="n"/>
      <c r="R1713" s="20" t="n"/>
      <c r="S1713" s="20" t="n"/>
    </row>
    <row r="1714">
      <c r="A1714" s="24" t="n"/>
      <c r="B1714" s="20" t="n"/>
      <c r="C1714" s="20" t="n"/>
      <c r="D1714" s="23" t="n"/>
      <c r="E1714" s="20" t="n"/>
      <c r="F1714" s="20" t="n"/>
      <c r="G1714" s="25" t="n"/>
      <c r="H1714" s="20" t="n"/>
      <c r="I1714" s="20" t="n"/>
      <c r="J1714" s="20" t="n"/>
      <c r="K1714" s="20" t="n"/>
      <c r="L1714" s="25" t="n"/>
      <c r="M1714" s="20" t="n"/>
      <c r="N1714" s="20" t="n"/>
      <c r="O1714" s="20" t="n"/>
      <c r="P1714" s="20" t="n"/>
      <c r="Q1714" s="26" t="n"/>
      <c r="R1714" s="20" t="n"/>
      <c r="S1714" s="20" t="n"/>
    </row>
    <row r="1715">
      <c r="A1715" s="24" t="n"/>
      <c r="B1715" s="20" t="n"/>
      <c r="C1715" s="20" t="n"/>
      <c r="D1715" s="23" t="n"/>
      <c r="E1715" s="20" t="n"/>
      <c r="F1715" s="20" t="n"/>
      <c r="G1715" s="25" t="n"/>
      <c r="H1715" s="20" t="n"/>
      <c r="I1715" s="20" t="n"/>
      <c r="J1715" s="20" t="n"/>
      <c r="K1715" s="20" t="n"/>
      <c r="L1715" s="25" t="n"/>
      <c r="M1715" s="20" t="n"/>
      <c r="N1715" s="20" t="n"/>
      <c r="O1715" s="20" t="n"/>
      <c r="P1715" s="20" t="n"/>
      <c r="Q1715" s="26" t="n"/>
      <c r="R1715" s="20" t="n"/>
      <c r="S1715" s="20" t="n"/>
    </row>
    <row r="1716">
      <c r="A1716" s="24" t="n"/>
      <c r="B1716" s="20" t="n"/>
      <c r="C1716" s="20" t="n"/>
      <c r="D1716" s="23" t="n"/>
      <c r="E1716" s="20" t="n"/>
      <c r="F1716" s="20" t="n"/>
      <c r="G1716" s="25" t="n"/>
      <c r="H1716" s="20" t="n"/>
      <c r="I1716" s="20" t="n"/>
      <c r="J1716" s="20" t="n"/>
      <c r="K1716" s="20" t="n"/>
      <c r="L1716" s="25" t="n"/>
      <c r="M1716" s="20" t="n"/>
      <c r="N1716" s="20" t="n"/>
      <c r="O1716" s="20" t="n"/>
      <c r="P1716" s="20" t="n"/>
      <c r="Q1716" s="26" t="n"/>
      <c r="R1716" s="20" t="n"/>
      <c r="S1716" s="20" t="n"/>
    </row>
    <row r="1717">
      <c r="A1717" s="24" t="n"/>
      <c r="B1717" s="20" t="n"/>
      <c r="C1717" s="20" t="n"/>
      <c r="D1717" s="23" t="n"/>
      <c r="E1717" s="20" t="n"/>
      <c r="F1717" s="20" t="n"/>
      <c r="G1717" s="25" t="n"/>
      <c r="H1717" s="20" t="n"/>
      <c r="I1717" s="20" t="n"/>
      <c r="J1717" s="20" t="n"/>
      <c r="K1717" s="20" t="n"/>
      <c r="L1717" s="25" t="n"/>
      <c r="M1717" s="20" t="n"/>
      <c r="N1717" s="20" t="n"/>
      <c r="O1717" s="20" t="n"/>
      <c r="P1717" s="20" t="n"/>
      <c r="Q1717" s="26" t="n"/>
      <c r="R1717" s="20" t="n"/>
      <c r="S1717" s="20" t="n"/>
    </row>
    <row r="1718">
      <c r="A1718" s="24" t="n"/>
      <c r="B1718" s="20" t="n"/>
      <c r="C1718" s="20" t="n"/>
      <c r="D1718" s="23" t="n"/>
      <c r="E1718" s="20" t="n"/>
      <c r="F1718" s="20" t="n"/>
      <c r="G1718" s="25" t="n"/>
      <c r="H1718" s="20" t="n"/>
      <c r="I1718" s="20" t="n"/>
      <c r="J1718" s="20" t="n"/>
      <c r="K1718" s="20" t="n"/>
      <c r="L1718" s="25" t="n"/>
      <c r="M1718" s="20" t="n"/>
      <c r="N1718" s="20" t="n"/>
      <c r="O1718" s="20" t="n"/>
      <c r="P1718" s="20" t="n"/>
      <c r="Q1718" s="26" t="n"/>
      <c r="R1718" s="20" t="n"/>
      <c r="S1718" s="20" t="n"/>
    </row>
    <row r="1719">
      <c r="A1719" s="24" t="n"/>
      <c r="B1719" s="20" t="n"/>
      <c r="C1719" s="20" t="n"/>
      <c r="D1719" s="23" t="n"/>
      <c r="E1719" s="20" t="n"/>
      <c r="F1719" s="20" t="n"/>
      <c r="G1719" s="25" t="n"/>
      <c r="H1719" s="20" t="n"/>
      <c r="I1719" s="20" t="n"/>
      <c r="J1719" s="20" t="n"/>
      <c r="K1719" s="20" t="n"/>
      <c r="L1719" s="25" t="n"/>
      <c r="M1719" s="20" t="n"/>
      <c r="N1719" s="20" t="n"/>
      <c r="O1719" s="20" t="n"/>
      <c r="P1719" s="20" t="n"/>
      <c r="Q1719" s="26" t="n"/>
      <c r="R1719" s="20" t="n"/>
      <c r="S1719" s="20" t="n"/>
    </row>
    <row r="1720">
      <c r="A1720" s="24" t="n"/>
      <c r="B1720" s="20" t="n"/>
      <c r="C1720" s="20" t="n"/>
      <c r="D1720" s="23" t="n"/>
      <c r="E1720" s="20" t="n"/>
      <c r="F1720" s="20" t="n"/>
      <c r="G1720" s="25" t="n"/>
      <c r="H1720" s="20" t="n"/>
      <c r="I1720" s="20" t="n"/>
      <c r="J1720" s="20" t="n"/>
      <c r="K1720" s="20" t="n"/>
      <c r="L1720" s="25" t="n"/>
      <c r="M1720" s="20" t="n"/>
      <c r="N1720" s="20" t="n"/>
      <c r="O1720" s="20" t="n"/>
      <c r="P1720" s="20" t="n"/>
      <c r="Q1720" s="26" t="n"/>
      <c r="R1720" s="20" t="n"/>
      <c r="S1720" s="20" t="n"/>
    </row>
    <row r="1721">
      <c r="A1721" s="24" t="n"/>
      <c r="B1721" s="20" t="n"/>
      <c r="C1721" s="20" t="n"/>
      <c r="D1721" s="23" t="n"/>
      <c r="E1721" s="20" t="n"/>
      <c r="F1721" s="20" t="n"/>
      <c r="G1721" s="25" t="n"/>
      <c r="H1721" s="20" t="n"/>
      <c r="I1721" s="20" t="n"/>
      <c r="J1721" s="20" t="n"/>
      <c r="K1721" s="20" t="n"/>
      <c r="L1721" s="25" t="n"/>
      <c r="M1721" s="20" t="n"/>
      <c r="N1721" s="20" t="n"/>
      <c r="O1721" s="20" t="n"/>
      <c r="P1721" s="20" t="n"/>
      <c r="Q1721" s="26" t="n"/>
      <c r="R1721" s="20" t="n"/>
      <c r="S1721" s="20" t="n"/>
    </row>
    <row r="1722">
      <c r="A1722" s="24" t="n"/>
      <c r="B1722" s="20" t="n"/>
      <c r="C1722" s="20" t="n"/>
      <c r="D1722" s="23" t="n"/>
      <c r="E1722" s="20" t="n"/>
      <c r="F1722" s="20" t="n"/>
      <c r="G1722" s="25" t="n"/>
      <c r="H1722" s="20" t="n"/>
      <c r="I1722" s="20" t="n"/>
      <c r="J1722" s="20" t="n"/>
      <c r="K1722" s="20" t="n"/>
      <c r="L1722" s="25" t="n"/>
      <c r="M1722" s="20" t="n"/>
      <c r="N1722" s="20" t="n"/>
      <c r="O1722" s="20" t="n"/>
      <c r="P1722" s="20" t="n"/>
      <c r="Q1722" s="26" t="n"/>
      <c r="R1722" s="20" t="n"/>
      <c r="S1722" s="20" t="n"/>
    </row>
    <row r="1723">
      <c r="A1723" s="24" t="n"/>
      <c r="B1723" s="20" t="n"/>
      <c r="C1723" s="20" t="n"/>
      <c r="D1723" s="23" t="n"/>
      <c r="E1723" s="20" t="n"/>
      <c r="F1723" s="20" t="n"/>
      <c r="G1723" s="25" t="n"/>
      <c r="H1723" s="20" t="n"/>
      <c r="I1723" s="20" t="n"/>
      <c r="J1723" s="20" t="n"/>
      <c r="K1723" s="20" t="n"/>
      <c r="L1723" s="25" t="n"/>
      <c r="M1723" s="20" t="n"/>
      <c r="N1723" s="20" t="n"/>
      <c r="O1723" s="20" t="n"/>
      <c r="P1723" s="20" t="n"/>
      <c r="Q1723" s="26" t="n"/>
      <c r="R1723" s="20" t="n"/>
      <c r="S1723" s="20" t="n"/>
    </row>
    <row r="1724">
      <c r="A1724" s="24" t="n"/>
      <c r="B1724" s="20" t="n"/>
      <c r="C1724" s="20" t="n"/>
      <c r="D1724" s="23" t="n"/>
      <c r="E1724" s="20" t="n"/>
      <c r="F1724" s="20" t="n"/>
      <c r="G1724" s="25" t="n"/>
      <c r="H1724" s="20" t="n"/>
      <c r="I1724" s="20" t="n"/>
      <c r="J1724" s="20" t="n"/>
      <c r="K1724" s="20" t="n"/>
      <c r="L1724" s="25" t="n"/>
      <c r="M1724" s="20" t="n"/>
      <c r="N1724" s="20" t="n"/>
      <c r="O1724" s="20" t="n"/>
      <c r="P1724" s="20" t="n"/>
      <c r="Q1724" s="26" t="n"/>
      <c r="R1724" s="20" t="n"/>
      <c r="S1724" s="20" t="n"/>
    </row>
    <row r="1725">
      <c r="A1725" s="24" t="n"/>
      <c r="B1725" s="20" t="n"/>
      <c r="C1725" s="20" t="n"/>
      <c r="D1725" s="23" t="n"/>
      <c r="E1725" s="20" t="n"/>
      <c r="F1725" s="20" t="n"/>
      <c r="G1725" s="25" t="n"/>
      <c r="H1725" s="20" t="n"/>
      <c r="I1725" s="20" t="n"/>
      <c r="J1725" s="20" t="n"/>
      <c r="K1725" s="20" t="n"/>
      <c r="L1725" s="25" t="n"/>
      <c r="M1725" s="20" t="n"/>
      <c r="N1725" s="20" t="n"/>
      <c r="O1725" s="20" t="n"/>
      <c r="P1725" s="20" t="n"/>
      <c r="Q1725" s="26" t="n"/>
      <c r="R1725" s="20" t="n"/>
      <c r="S1725" s="20" t="n"/>
    </row>
    <row r="1726">
      <c r="A1726" s="24" t="n"/>
      <c r="B1726" s="20" t="n"/>
      <c r="C1726" s="20" t="n"/>
      <c r="D1726" s="23" t="n"/>
      <c r="E1726" s="20" t="n"/>
      <c r="F1726" s="20" t="n"/>
      <c r="G1726" s="25" t="n"/>
      <c r="H1726" s="20" t="n"/>
      <c r="I1726" s="20" t="n"/>
      <c r="J1726" s="20" t="n"/>
      <c r="K1726" s="20" t="n"/>
      <c r="L1726" s="25" t="n"/>
      <c r="M1726" s="20" t="n"/>
      <c r="N1726" s="20" t="n"/>
      <c r="O1726" s="20" t="n"/>
      <c r="P1726" s="20" t="n"/>
      <c r="Q1726" s="26" t="n"/>
      <c r="R1726" s="20" t="n"/>
      <c r="S1726" s="20" t="n"/>
    </row>
    <row r="1727">
      <c r="A1727" s="24" t="n"/>
      <c r="B1727" s="20" t="n"/>
      <c r="C1727" s="20" t="n"/>
      <c r="D1727" s="23" t="n"/>
      <c r="E1727" s="20" t="n"/>
      <c r="F1727" s="20" t="n"/>
      <c r="G1727" s="25" t="n"/>
      <c r="H1727" s="20" t="n"/>
      <c r="I1727" s="20" t="n"/>
      <c r="J1727" s="20" t="n"/>
      <c r="K1727" s="20" t="n"/>
      <c r="L1727" s="25" t="n"/>
      <c r="M1727" s="20" t="n"/>
      <c r="N1727" s="20" t="n"/>
      <c r="O1727" s="20" t="n"/>
      <c r="P1727" s="20" t="n"/>
      <c r="Q1727" s="26" t="n"/>
      <c r="R1727" s="20" t="n"/>
      <c r="S1727" s="20" t="n"/>
    </row>
    <row r="1728">
      <c r="A1728" s="24" t="n"/>
      <c r="B1728" s="20" t="n"/>
      <c r="C1728" s="20" t="n"/>
      <c r="D1728" s="23" t="n"/>
      <c r="E1728" s="20" t="n"/>
      <c r="F1728" s="20" t="n"/>
      <c r="G1728" s="25" t="n"/>
      <c r="H1728" s="20" t="n"/>
      <c r="I1728" s="20" t="n"/>
      <c r="J1728" s="20" t="n"/>
      <c r="K1728" s="20" t="n"/>
      <c r="L1728" s="25" t="n"/>
      <c r="M1728" s="20" t="n"/>
      <c r="N1728" s="20" t="n"/>
      <c r="O1728" s="20" t="n"/>
      <c r="P1728" s="20" t="n"/>
      <c r="Q1728" s="26" t="n"/>
      <c r="R1728" s="20" t="n"/>
      <c r="S1728" s="20" t="n"/>
    </row>
    <row r="1729">
      <c r="A1729" s="24" t="n"/>
      <c r="B1729" s="20" t="n"/>
      <c r="C1729" s="20" t="n"/>
      <c r="D1729" s="23" t="n"/>
      <c r="E1729" s="20" t="n"/>
      <c r="F1729" s="20" t="n"/>
      <c r="G1729" s="25" t="n"/>
      <c r="H1729" s="20" t="n"/>
      <c r="I1729" s="20" t="n"/>
      <c r="J1729" s="20" t="n"/>
      <c r="K1729" s="20" t="n"/>
      <c r="L1729" s="25" t="n"/>
      <c r="M1729" s="20" t="n"/>
      <c r="N1729" s="20" t="n"/>
      <c r="O1729" s="20" t="n"/>
      <c r="P1729" s="20" t="n"/>
      <c r="Q1729" s="26" t="n"/>
      <c r="R1729" s="20" t="n"/>
      <c r="S1729" s="20" t="n"/>
    </row>
    <row r="1730">
      <c r="A1730" s="24" t="n"/>
      <c r="B1730" s="20" t="n"/>
      <c r="C1730" s="20" t="n"/>
      <c r="D1730" s="23" t="n"/>
      <c r="E1730" s="20" t="n"/>
      <c r="F1730" s="20" t="n"/>
      <c r="G1730" s="25" t="n"/>
      <c r="H1730" s="20" t="n"/>
      <c r="I1730" s="20" t="n"/>
      <c r="J1730" s="20" t="n"/>
      <c r="K1730" s="20" t="n"/>
      <c r="L1730" s="25" t="n"/>
      <c r="M1730" s="20" t="n"/>
      <c r="N1730" s="20" t="n"/>
      <c r="O1730" s="20" t="n"/>
      <c r="P1730" s="20" t="n"/>
      <c r="Q1730" s="26" t="n"/>
      <c r="R1730" s="20" t="n"/>
      <c r="S1730" s="20" t="n"/>
    </row>
    <row r="1731">
      <c r="A1731" s="24" t="n"/>
      <c r="B1731" s="20" t="n"/>
      <c r="C1731" s="20" t="n"/>
      <c r="D1731" s="23" t="n"/>
      <c r="E1731" s="20" t="n"/>
      <c r="F1731" s="20" t="n"/>
      <c r="G1731" s="25" t="n"/>
      <c r="H1731" s="20" t="n"/>
      <c r="I1731" s="20" t="n"/>
      <c r="J1731" s="20" t="n"/>
      <c r="K1731" s="20" t="n"/>
      <c r="L1731" s="25" t="n"/>
      <c r="M1731" s="20" t="n"/>
      <c r="N1731" s="20" t="n"/>
      <c r="O1731" s="20" t="n"/>
      <c r="P1731" s="20" t="n"/>
      <c r="Q1731" s="26" t="n"/>
      <c r="R1731" s="20" t="n"/>
      <c r="S1731" s="20" t="n"/>
    </row>
    <row r="1732">
      <c r="A1732" s="24" t="n"/>
      <c r="B1732" s="20" t="n"/>
      <c r="C1732" s="20" t="n"/>
      <c r="D1732" s="23" t="n"/>
      <c r="E1732" s="20" t="n"/>
      <c r="F1732" s="20" t="n"/>
      <c r="G1732" s="25" t="n"/>
      <c r="H1732" s="20" t="n"/>
      <c r="I1732" s="20" t="n"/>
      <c r="J1732" s="20" t="n"/>
      <c r="K1732" s="20" t="n"/>
      <c r="L1732" s="25" t="n"/>
      <c r="M1732" s="20" t="n"/>
      <c r="N1732" s="20" t="n"/>
      <c r="O1732" s="20" t="n"/>
      <c r="P1732" s="20" t="n"/>
      <c r="Q1732" s="26" t="n"/>
      <c r="R1732" s="20" t="n"/>
      <c r="S1732" s="20" t="n"/>
    </row>
    <row r="1733">
      <c r="A1733" s="24" t="n"/>
      <c r="B1733" s="20" t="n"/>
      <c r="C1733" s="20" t="n"/>
      <c r="D1733" s="23" t="n"/>
      <c r="E1733" s="20" t="n"/>
      <c r="F1733" s="20" t="n"/>
      <c r="G1733" s="25" t="n"/>
      <c r="H1733" s="20" t="n"/>
      <c r="I1733" s="20" t="n"/>
      <c r="J1733" s="20" t="n"/>
      <c r="K1733" s="20" t="n"/>
      <c r="L1733" s="25" t="n"/>
      <c r="M1733" s="20" t="n"/>
      <c r="N1733" s="20" t="n"/>
      <c r="O1733" s="20" t="n"/>
      <c r="P1733" s="20" t="n"/>
      <c r="Q1733" s="26" t="n"/>
      <c r="R1733" s="20" t="n"/>
      <c r="S1733" s="20" t="n"/>
    </row>
    <row r="1734">
      <c r="A1734" s="24" t="n"/>
      <c r="B1734" s="20" t="n"/>
      <c r="C1734" s="20" t="n"/>
      <c r="D1734" s="23" t="n"/>
      <c r="E1734" s="20" t="n"/>
      <c r="F1734" s="20" t="n"/>
      <c r="G1734" s="25" t="n"/>
      <c r="H1734" s="20" t="n"/>
      <c r="I1734" s="20" t="n"/>
      <c r="J1734" s="20" t="n"/>
      <c r="K1734" s="20" t="n"/>
      <c r="L1734" s="25" t="n"/>
      <c r="M1734" s="20" t="n"/>
      <c r="N1734" s="20" t="n"/>
      <c r="O1734" s="20" t="n"/>
      <c r="P1734" s="20" t="n"/>
      <c r="Q1734" s="26" t="n"/>
      <c r="R1734" s="20" t="n"/>
      <c r="S1734" s="20" t="n"/>
    </row>
    <row r="1735">
      <c r="A1735" s="24" t="n"/>
      <c r="B1735" s="20" t="n"/>
      <c r="C1735" s="20" t="n"/>
      <c r="D1735" s="23" t="n"/>
      <c r="E1735" s="20" t="n"/>
      <c r="F1735" s="20" t="n"/>
      <c r="G1735" s="25" t="n"/>
      <c r="H1735" s="20" t="n"/>
      <c r="I1735" s="20" t="n"/>
      <c r="J1735" s="20" t="n"/>
      <c r="K1735" s="20" t="n"/>
      <c r="L1735" s="25" t="n"/>
      <c r="M1735" s="20" t="n"/>
      <c r="N1735" s="20" t="n"/>
      <c r="O1735" s="20" t="n"/>
      <c r="P1735" s="20" t="n"/>
      <c r="Q1735" s="26" t="n"/>
      <c r="R1735" s="20" t="n"/>
      <c r="S1735" s="20" t="n"/>
    </row>
    <row r="1736">
      <c r="A1736" s="24" t="n"/>
      <c r="B1736" s="20" t="n"/>
      <c r="C1736" s="20" t="n"/>
      <c r="D1736" s="23" t="n"/>
      <c r="E1736" s="20" t="n"/>
      <c r="F1736" s="20" t="n"/>
      <c r="G1736" s="25" t="n"/>
      <c r="H1736" s="20" t="n"/>
      <c r="I1736" s="20" t="n"/>
      <c r="J1736" s="20" t="n"/>
      <c r="K1736" s="20" t="n"/>
      <c r="L1736" s="25" t="n"/>
      <c r="M1736" s="20" t="n"/>
      <c r="N1736" s="20" t="n"/>
      <c r="O1736" s="20" t="n"/>
      <c r="P1736" s="20" t="n"/>
      <c r="Q1736" s="26" t="n"/>
      <c r="R1736" s="20" t="n"/>
      <c r="S1736" s="20" t="n"/>
    </row>
    <row r="1737">
      <c r="A1737" s="24" t="n"/>
      <c r="B1737" s="20" t="n"/>
      <c r="C1737" s="20" t="n"/>
      <c r="D1737" s="23" t="n"/>
      <c r="E1737" s="20" t="n"/>
      <c r="F1737" s="20" t="n"/>
      <c r="G1737" s="25" t="n"/>
      <c r="H1737" s="20" t="n"/>
      <c r="I1737" s="20" t="n"/>
      <c r="J1737" s="20" t="n"/>
      <c r="K1737" s="20" t="n"/>
      <c r="L1737" s="25" t="n"/>
      <c r="M1737" s="20" t="n"/>
      <c r="N1737" s="20" t="n"/>
      <c r="O1737" s="20" t="n"/>
      <c r="P1737" s="20" t="n"/>
      <c r="Q1737" s="26" t="n"/>
      <c r="R1737" s="20" t="n"/>
      <c r="S1737" s="20" t="n"/>
    </row>
    <row r="1738">
      <c r="A1738" s="24" t="n"/>
      <c r="B1738" s="20" t="n"/>
      <c r="C1738" s="20" t="n"/>
      <c r="D1738" s="23" t="n"/>
      <c r="E1738" s="20" t="n"/>
      <c r="F1738" s="20" t="n"/>
      <c r="G1738" s="25" t="n"/>
      <c r="H1738" s="20" t="n"/>
      <c r="I1738" s="20" t="n"/>
      <c r="J1738" s="20" t="n"/>
      <c r="K1738" s="20" t="n"/>
      <c r="L1738" s="25" t="n"/>
      <c r="M1738" s="20" t="n"/>
      <c r="N1738" s="20" t="n"/>
      <c r="O1738" s="20" t="n"/>
      <c r="P1738" s="20" t="n"/>
      <c r="Q1738" s="26" t="n"/>
      <c r="R1738" s="20" t="n"/>
      <c r="S1738" s="20" t="n"/>
    </row>
    <row r="1739">
      <c r="A1739" s="24" t="n"/>
      <c r="B1739" s="20" t="n"/>
      <c r="C1739" s="20" t="n"/>
      <c r="D1739" s="23" t="n"/>
      <c r="E1739" s="20" t="n"/>
      <c r="F1739" s="20" t="n"/>
      <c r="G1739" s="25" t="n"/>
      <c r="H1739" s="20" t="n"/>
      <c r="I1739" s="20" t="n"/>
      <c r="J1739" s="20" t="n"/>
      <c r="K1739" s="20" t="n"/>
      <c r="L1739" s="25" t="n"/>
      <c r="M1739" s="20" t="n"/>
      <c r="N1739" s="20" t="n"/>
      <c r="O1739" s="20" t="n"/>
      <c r="P1739" s="20" t="n"/>
      <c r="Q1739" s="26" t="n"/>
      <c r="R1739" s="20" t="n"/>
      <c r="S1739" s="20" t="n"/>
    </row>
    <row r="1740">
      <c r="A1740" s="24" t="n"/>
      <c r="B1740" s="20" t="n"/>
      <c r="C1740" s="20" t="n"/>
      <c r="D1740" s="23" t="n"/>
      <c r="E1740" s="20" t="n"/>
      <c r="F1740" s="20" t="n"/>
      <c r="G1740" s="25" t="n"/>
      <c r="H1740" s="20" t="n"/>
      <c r="I1740" s="20" t="n"/>
      <c r="J1740" s="20" t="n"/>
      <c r="K1740" s="20" t="n"/>
      <c r="L1740" s="25" t="n"/>
      <c r="M1740" s="20" t="n"/>
      <c r="N1740" s="20" t="n"/>
      <c r="O1740" s="20" t="n"/>
      <c r="P1740" s="20" t="n"/>
      <c r="Q1740" s="26" t="n"/>
      <c r="R1740" s="20" t="n"/>
      <c r="S1740" s="20" t="n"/>
    </row>
    <row r="1741">
      <c r="A1741" s="24" t="n"/>
      <c r="B1741" s="20" t="n"/>
      <c r="C1741" s="20" t="n"/>
      <c r="D1741" s="23" t="n"/>
      <c r="E1741" s="20" t="n"/>
      <c r="F1741" s="20" t="n"/>
      <c r="G1741" s="25" t="n"/>
      <c r="H1741" s="20" t="n"/>
      <c r="I1741" s="20" t="n"/>
      <c r="J1741" s="20" t="n"/>
      <c r="K1741" s="20" t="n"/>
      <c r="L1741" s="25" t="n"/>
      <c r="M1741" s="20" t="n"/>
      <c r="N1741" s="20" t="n"/>
      <c r="O1741" s="20" t="n"/>
      <c r="P1741" s="20" t="n"/>
      <c r="Q1741" s="26" t="n"/>
      <c r="R1741" s="20" t="n"/>
      <c r="S1741" s="20" t="n"/>
    </row>
    <row r="1742">
      <c r="A1742" s="24" t="n"/>
      <c r="B1742" s="20" t="n"/>
      <c r="C1742" s="20" t="n"/>
      <c r="D1742" s="23" t="n"/>
      <c r="E1742" s="20" t="n"/>
      <c r="F1742" s="20" t="n"/>
      <c r="G1742" s="25" t="n"/>
      <c r="H1742" s="20" t="n"/>
      <c r="I1742" s="20" t="n"/>
      <c r="J1742" s="20" t="n"/>
      <c r="K1742" s="20" t="n"/>
      <c r="L1742" s="25" t="n"/>
      <c r="M1742" s="20" t="n"/>
      <c r="N1742" s="20" t="n"/>
      <c r="O1742" s="20" t="n"/>
      <c r="P1742" s="20" t="n"/>
      <c r="Q1742" s="26" t="n"/>
      <c r="R1742" s="20" t="n"/>
      <c r="S1742" s="20" t="n"/>
    </row>
    <row r="1743">
      <c r="A1743" s="24" t="n"/>
      <c r="B1743" s="20" t="n"/>
      <c r="C1743" s="20" t="n"/>
      <c r="D1743" s="23" t="n"/>
      <c r="E1743" s="20" t="n"/>
      <c r="F1743" s="20" t="n"/>
      <c r="G1743" s="25" t="n"/>
      <c r="H1743" s="20" t="n"/>
      <c r="I1743" s="20" t="n"/>
      <c r="J1743" s="20" t="n"/>
      <c r="K1743" s="20" t="n"/>
      <c r="L1743" s="25" t="n"/>
      <c r="M1743" s="20" t="n"/>
      <c r="N1743" s="20" t="n"/>
      <c r="O1743" s="20" t="n"/>
      <c r="P1743" s="20" t="n"/>
      <c r="Q1743" s="26" t="n"/>
      <c r="R1743" s="20" t="n"/>
      <c r="S1743" s="20" t="n"/>
    </row>
    <row r="1744">
      <c r="A1744" s="24" t="n"/>
      <c r="B1744" s="20" t="n"/>
      <c r="C1744" s="20" t="n"/>
      <c r="D1744" s="23" t="n"/>
      <c r="E1744" s="20" t="n"/>
      <c r="F1744" s="20" t="n"/>
      <c r="G1744" s="25" t="n"/>
      <c r="H1744" s="20" t="n"/>
      <c r="I1744" s="20" t="n"/>
      <c r="J1744" s="20" t="n"/>
      <c r="K1744" s="20" t="n"/>
      <c r="L1744" s="25" t="n"/>
      <c r="M1744" s="20" t="n"/>
      <c r="N1744" s="20" t="n"/>
      <c r="O1744" s="20" t="n"/>
      <c r="P1744" s="20" t="n"/>
      <c r="Q1744" s="26" t="n"/>
      <c r="R1744" s="20" t="n"/>
      <c r="S1744" s="20" t="n"/>
    </row>
    <row r="1745">
      <c r="A1745" s="24" t="n"/>
      <c r="B1745" s="20" t="n"/>
      <c r="C1745" s="20" t="n"/>
      <c r="D1745" s="23" t="n"/>
      <c r="E1745" s="20" t="n"/>
      <c r="F1745" s="20" t="n"/>
      <c r="G1745" s="25" t="n"/>
      <c r="H1745" s="20" t="n"/>
      <c r="I1745" s="20" t="n"/>
      <c r="J1745" s="20" t="n"/>
      <c r="K1745" s="20" t="n"/>
      <c r="L1745" s="25" t="n"/>
      <c r="M1745" s="20" t="n"/>
      <c r="N1745" s="20" t="n"/>
      <c r="O1745" s="20" t="n"/>
      <c r="P1745" s="20" t="n"/>
      <c r="Q1745" s="26" t="n"/>
      <c r="R1745" s="20" t="n"/>
      <c r="S1745" s="20" t="n"/>
    </row>
    <row r="1746">
      <c r="A1746" s="24" t="n"/>
      <c r="B1746" s="20" t="n"/>
      <c r="C1746" s="20" t="n"/>
      <c r="D1746" s="23" t="n"/>
      <c r="E1746" s="20" t="n"/>
      <c r="F1746" s="20" t="n"/>
      <c r="G1746" s="25" t="n"/>
      <c r="H1746" s="20" t="n"/>
      <c r="I1746" s="20" t="n"/>
      <c r="J1746" s="20" t="n"/>
      <c r="K1746" s="20" t="n"/>
      <c r="L1746" s="25" t="n"/>
      <c r="M1746" s="20" t="n"/>
      <c r="N1746" s="20" t="n"/>
      <c r="O1746" s="20" t="n"/>
      <c r="P1746" s="20" t="n"/>
      <c r="Q1746" s="26" t="n"/>
      <c r="R1746" s="20" t="n"/>
      <c r="S1746" s="20" t="n"/>
    </row>
    <row r="1747">
      <c r="A1747" s="24" t="n"/>
      <c r="B1747" s="20" t="n"/>
      <c r="C1747" s="20" t="n"/>
      <c r="D1747" s="23" t="n"/>
      <c r="E1747" s="20" t="n"/>
      <c r="F1747" s="20" t="n"/>
      <c r="G1747" s="25" t="n"/>
      <c r="H1747" s="20" t="n"/>
      <c r="I1747" s="20" t="n"/>
      <c r="J1747" s="20" t="n"/>
      <c r="K1747" s="20" t="n"/>
      <c r="L1747" s="25" t="n"/>
      <c r="M1747" s="20" t="n"/>
      <c r="N1747" s="20" t="n"/>
      <c r="O1747" s="20" t="n"/>
      <c r="P1747" s="20" t="n"/>
      <c r="Q1747" s="26" t="n"/>
      <c r="R1747" s="20" t="n"/>
      <c r="S1747" s="20" t="n"/>
    </row>
    <row r="1748">
      <c r="A1748" s="24" t="n"/>
      <c r="B1748" s="20" t="n"/>
      <c r="C1748" s="20" t="n"/>
      <c r="D1748" s="23" t="n"/>
      <c r="E1748" s="20" t="n"/>
      <c r="F1748" s="20" t="n"/>
      <c r="G1748" s="25" t="n"/>
      <c r="H1748" s="20" t="n"/>
      <c r="I1748" s="20" t="n"/>
      <c r="J1748" s="20" t="n"/>
      <c r="K1748" s="20" t="n"/>
      <c r="L1748" s="25" t="n"/>
      <c r="M1748" s="20" t="n"/>
      <c r="N1748" s="20" t="n"/>
      <c r="O1748" s="20" t="n"/>
      <c r="P1748" s="20" t="n"/>
      <c r="Q1748" s="26" t="n"/>
      <c r="R1748" s="20" t="n"/>
      <c r="S1748" s="20" t="n"/>
    </row>
    <row r="1749">
      <c r="A1749" s="24" t="n"/>
      <c r="B1749" s="20" t="n"/>
      <c r="C1749" s="20" t="n"/>
      <c r="D1749" s="23" t="n"/>
      <c r="E1749" s="20" t="n"/>
      <c r="F1749" s="20" t="n"/>
      <c r="G1749" s="25" t="n"/>
      <c r="H1749" s="20" t="n"/>
      <c r="I1749" s="20" t="n"/>
      <c r="J1749" s="20" t="n"/>
      <c r="K1749" s="20" t="n"/>
      <c r="L1749" s="25" t="n"/>
      <c r="M1749" s="20" t="n"/>
      <c r="N1749" s="20" t="n"/>
      <c r="O1749" s="20" t="n"/>
      <c r="P1749" s="20" t="n"/>
      <c r="Q1749" s="26" t="n"/>
      <c r="R1749" s="20" t="n"/>
      <c r="S1749" s="20" t="n"/>
    </row>
    <row r="1750">
      <c r="A1750" s="24" t="n"/>
      <c r="B1750" s="20" t="n"/>
      <c r="C1750" s="20" t="n"/>
      <c r="D1750" s="23" t="n"/>
      <c r="E1750" s="20" t="n"/>
      <c r="F1750" s="20" t="n"/>
      <c r="G1750" s="25" t="n"/>
      <c r="H1750" s="20" t="n"/>
      <c r="I1750" s="20" t="n"/>
      <c r="J1750" s="20" t="n"/>
      <c r="K1750" s="20" t="n"/>
      <c r="L1750" s="25" t="n"/>
      <c r="M1750" s="20" t="n"/>
      <c r="N1750" s="20" t="n"/>
      <c r="O1750" s="20" t="n"/>
      <c r="P1750" s="20" t="n"/>
      <c r="Q1750" s="26" t="n"/>
      <c r="R1750" s="20" t="n"/>
      <c r="S1750" s="20" t="n"/>
    </row>
    <row r="1751">
      <c r="A1751" s="24" t="n"/>
      <c r="B1751" s="20" t="n"/>
      <c r="C1751" s="20" t="n"/>
      <c r="D1751" s="23" t="n"/>
      <c r="E1751" s="20" t="n"/>
      <c r="F1751" s="20" t="n"/>
      <c r="G1751" s="25" t="n"/>
      <c r="H1751" s="20" t="n"/>
      <c r="I1751" s="20" t="n"/>
      <c r="J1751" s="20" t="n"/>
      <c r="K1751" s="20" t="n"/>
      <c r="L1751" s="25" t="n"/>
      <c r="M1751" s="20" t="n"/>
      <c r="N1751" s="20" t="n"/>
      <c r="O1751" s="20" t="n"/>
      <c r="P1751" s="20" t="n"/>
      <c r="Q1751" s="26" t="n"/>
      <c r="R1751" s="20" t="n"/>
      <c r="S1751" s="20" t="n"/>
    </row>
    <row r="1752">
      <c r="A1752" s="24" t="n"/>
      <c r="B1752" s="20" t="n"/>
      <c r="C1752" s="20" t="n"/>
      <c r="D1752" s="23" t="n"/>
      <c r="E1752" s="20" t="n"/>
      <c r="F1752" s="20" t="n"/>
      <c r="G1752" s="25" t="n"/>
      <c r="H1752" s="20" t="n"/>
      <c r="I1752" s="20" t="n"/>
      <c r="J1752" s="20" t="n"/>
      <c r="K1752" s="20" t="n"/>
      <c r="L1752" s="25" t="n"/>
      <c r="M1752" s="20" t="n"/>
      <c r="N1752" s="20" t="n"/>
      <c r="O1752" s="20" t="n"/>
      <c r="P1752" s="20" t="n"/>
      <c r="Q1752" s="26" t="n"/>
      <c r="R1752" s="20" t="n"/>
      <c r="S1752" s="20" t="n"/>
    </row>
    <row r="1753">
      <c r="A1753" s="24" t="n"/>
      <c r="B1753" s="20" t="n"/>
      <c r="C1753" s="20" t="n"/>
      <c r="D1753" s="23" t="n"/>
      <c r="E1753" s="20" t="n"/>
      <c r="F1753" s="20" t="n"/>
      <c r="G1753" s="25" t="n"/>
      <c r="H1753" s="20" t="n"/>
      <c r="I1753" s="20" t="n"/>
      <c r="J1753" s="20" t="n"/>
      <c r="K1753" s="20" t="n"/>
      <c r="L1753" s="25" t="n"/>
      <c r="M1753" s="20" t="n"/>
      <c r="N1753" s="20" t="n"/>
      <c r="O1753" s="20" t="n"/>
      <c r="P1753" s="20" t="n"/>
      <c r="Q1753" s="26" t="n"/>
      <c r="R1753" s="20" t="n"/>
      <c r="S1753" s="20" t="n"/>
    </row>
    <row r="1754">
      <c r="A1754" s="24" t="n"/>
      <c r="B1754" s="20" t="n"/>
      <c r="C1754" s="20" t="n"/>
      <c r="D1754" s="23" t="n"/>
      <c r="E1754" s="20" t="n"/>
      <c r="F1754" s="20" t="n"/>
      <c r="G1754" s="25" t="n"/>
      <c r="H1754" s="20" t="n"/>
      <c r="I1754" s="20" t="n"/>
      <c r="J1754" s="20" t="n"/>
      <c r="K1754" s="20" t="n"/>
      <c r="L1754" s="25" t="n"/>
      <c r="M1754" s="20" t="n"/>
      <c r="N1754" s="20" t="n"/>
      <c r="O1754" s="20" t="n"/>
      <c r="P1754" s="20" t="n"/>
      <c r="Q1754" s="26" t="n"/>
      <c r="R1754" s="20" t="n"/>
      <c r="S1754" s="20" t="n"/>
    </row>
    <row r="1755">
      <c r="A1755" s="24" t="n"/>
      <c r="B1755" s="20" t="n"/>
      <c r="C1755" s="20" t="n"/>
      <c r="D1755" s="23" t="n"/>
      <c r="E1755" s="20" t="n"/>
      <c r="F1755" s="20" t="n"/>
      <c r="G1755" s="25" t="n"/>
      <c r="H1755" s="20" t="n"/>
      <c r="I1755" s="20" t="n"/>
      <c r="J1755" s="20" t="n"/>
      <c r="K1755" s="20" t="n"/>
      <c r="L1755" s="25" t="n"/>
      <c r="M1755" s="20" t="n"/>
      <c r="N1755" s="20" t="n"/>
      <c r="O1755" s="20" t="n"/>
      <c r="P1755" s="20" t="n"/>
      <c r="Q1755" s="26" t="n"/>
      <c r="R1755" s="20" t="n"/>
      <c r="S1755" s="20" t="n"/>
    </row>
    <row r="1756">
      <c r="A1756" s="24" t="n"/>
      <c r="B1756" s="20" t="n"/>
      <c r="C1756" s="20" t="n"/>
      <c r="D1756" s="23" t="n"/>
      <c r="E1756" s="20" t="n"/>
      <c r="F1756" s="20" t="n"/>
      <c r="G1756" s="25" t="n"/>
      <c r="H1756" s="20" t="n"/>
      <c r="I1756" s="20" t="n"/>
      <c r="J1756" s="20" t="n"/>
      <c r="K1756" s="20" t="n"/>
      <c r="L1756" s="25" t="n"/>
      <c r="M1756" s="20" t="n"/>
      <c r="N1756" s="20" t="n"/>
      <c r="O1756" s="20" t="n"/>
      <c r="P1756" s="20" t="n"/>
      <c r="Q1756" s="26" t="n"/>
      <c r="R1756" s="20" t="n"/>
      <c r="S1756" s="20" t="n"/>
    </row>
    <row r="1757">
      <c r="A1757" s="24" t="n"/>
      <c r="B1757" s="20" t="n"/>
      <c r="C1757" s="20" t="n"/>
      <c r="D1757" s="23" t="n"/>
      <c r="E1757" s="20" t="n"/>
      <c r="F1757" s="20" t="n"/>
      <c r="G1757" s="25" t="n"/>
      <c r="H1757" s="20" t="n"/>
      <c r="I1757" s="20" t="n"/>
      <c r="J1757" s="20" t="n"/>
      <c r="K1757" s="20" t="n"/>
      <c r="L1757" s="25" t="n"/>
      <c r="M1757" s="20" t="n"/>
      <c r="N1757" s="20" t="n"/>
      <c r="O1757" s="20" t="n"/>
      <c r="P1757" s="20" t="n"/>
      <c r="Q1757" s="26" t="n"/>
      <c r="R1757" s="20" t="n"/>
      <c r="S1757" s="20" t="n"/>
    </row>
    <row r="1758">
      <c r="A1758" s="24" t="n"/>
      <c r="B1758" s="20" t="n"/>
      <c r="C1758" s="20" t="n"/>
      <c r="D1758" s="23" t="n"/>
      <c r="E1758" s="20" t="n"/>
      <c r="F1758" s="20" t="n"/>
      <c r="G1758" s="25" t="n"/>
      <c r="H1758" s="20" t="n"/>
      <c r="I1758" s="20" t="n"/>
      <c r="J1758" s="20" t="n"/>
      <c r="K1758" s="20" t="n"/>
      <c r="L1758" s="25" t="n"/>
      <c r="M1758" s="20" t="n"/>
      <c r="N1758" s="20" t="n"/>
      <c r="O1758" s="20" t="n"/>
      <c r="P1758" s="20" t="n"/>
      <c r="Q1758" s="26" t="n"/>
      <c r="R1758" s="20" t="n"/>
      <c r="S1758" s="20" t="n"/>
    </row>
    <row r="1759">
      <c r="A1759" s="24" t="n"/>
      <c r="B1759" s="20" t="n"/>
      <c r="C1759" s="20" t="n"/>
      <c r="D1759" s="23" t="n"/>
      <c r="E1759" s="20" t="n"/>
      <c r="F1759" s="20" t="n"/>
      <c r="G1759" s="25" t="n"/>
      <c r="H1759" s="20" t="n"/>
      <c r="I1759" s="20" t="n"/>
      <c r="J1759" s="20" t="n"/>
      <c r="K1759" s="20" t="n"/>
      <c r="L1759" s="25" t="n"/>
      <c r="M1759" s="20" t="n"/>
      <c r="N1759" s="20" t="n"/>
      <c r="O1759" s="20" t="n"/>
      <c r="P1759" s="20" t="n"/>
      <c r="Q1759" s="26" t="n"/>
      <c r="R1759" s="20" t="n"/>
      <c r="S1759" s="20" t="n"/>
    </row>
    <row r="1760">
      <c r="A1760" s="24" t="n"/>
      <c r="B1760" s="20" t="n"/>
      <c r="C1760" s="20" t="n"/>
      <c r="D1760" s="23" t="n"/>
      <c r="E1760" s="20" t="n"/>
      <c r="F1760" s="20" t="n"/>
      <c r="G1760" s="25" t="n"/>
      <c r="H1760" s="20" t="n"/>
      <c r="I1760" s="20" t="n"/>
      <c r="J1760" s="20" t="n"/>
      <c r="K1760" s="20" t="n"/>
      <c r="L1760" s="25" t="n"/>
      <c r="M1760" s="20" t="n"/>
      <c r="N1760" s="20" t="n"/>
      <c r="O1760" s="20" t="n"/>
      <c r="P1760" s="20" t="n"/>
      <c r="Q1760" s="26" t="n"/>
      <c r="R1760" s="20" t="n"/>
      <c r="S1760" s="20" t="n"/>
    </row>
    <row r="1761">
      <c r="A1761" s="24" t="n"/>
      <c r="B1761" s="20" t="n"/>
      <c r="C1761" s="20" t="n"/>
      <c r="D1761" s="23" t="n"/>
      <c r="E1761" s="20" t="n"/>
      <c r="F1761" s="20" t="n"/>
      <c r="G1761" s="25" t="n"/>
      <c r="H1761" s="20" t="n"/>
      <c r="I1761" s="20" t="n"/>
      <c r="J1761" s="20" t="n"/>
      <c r="K1761" s="20" t="n"/>
      <c r="L1761" s="25" t="n"/>
      <c r="M1761" s="20" t="n"/>
      <c r="N1761" s="20" t="n"/>
      <c r="O1761" s="20" t="n"/>
      <c r="P1761" s="20" t="n"/>
      <c r="Q1761" s="26" t="n"/>
      <c r="R1761" s="20" t="n"/>
      <c r="S1761" s="20" t="n"/>
    </row>
    <row r="1762">
      <c r="A1762" s="24" t="n"/>
      <c r="B1762" s="20" t="n"/>
      <c r="C1762" s="20" t="n"/>
      <c r="D1762" s="23" t="n"/>
      <c r="E1762" s="20" t="n"/>
      <c r="F1762" s="20" t="n"/>
      <c r="G1762" s="25" t="n"/>
      <c r="H1762" s="20" t="n"/>
      <c r="I1762" s="20" t="n"/>
      <c r="J1762" s="20" t="n"/>
      <c r="K1762" s="20" t="n"/>
      <c r="L1762" s="25" t="n"/>
      <c r="M1762" s="20" t="n"/>
      <c r="N1762" s="20" t="n"/>
      <c r="O1762" s="20" t="n"/>
      <c r="P1762" s="20" t="n"/>
      <c r="Q1762" s="26" t="n"/>
      <c r="R1762" s="20" t="n"/>
      <c r="S1762" s="20" t="n"/>
    </row>
    <row r="1763">
      <c r="A1763" s="24" t="n"/>
      <c r="B1763" s="20" t="n"/>
      <c r="C1763" s="20" t="n"/>
      <c r="D1763" s="23" t="n"/>
      <c r="E1763" s="20" t="n"/>
      <c r="F1763" s="20" t="n"/>
      <c r="G1763" s="25" t="n"/>
      <c r="H1763" s="20" t="n"/>
      <c r="I1763" s="20" t="n"/>
      <c r="J1763" s="20" t="n"/>
      <c r="K1763" s="20" t="n"/>
      <c r="L1763" s="25" t="n"/>
      <c r="M1763" s="20" t="n"/>
      <c r="N1763" s="20" t="n"/>
      <c r="O1763" s="20" t="n"/>
      <c r="P1763" s="20" t="n"/>
      <c r="Q1763" s="26" t="n"/>
      <c r="R1763" s="20" t="n"/>
      <c r="S1763" s="20" t="n"/>
    </row>
    <row r="1764">
      <c r="A1764" s="24" t="n"/>
      <c r="B1764" s="20" t="n"/>
      <c r="C1764" s="20" t="n"/>
      <c r="D1764" s="23" t="n"/>
      <c r="E1764" s="20" t="n"/>
      <c r="F1764" s="20" t="n"/>
      <c r="G1764" s="25" t="n"/>
      <c r="H1764" s="20" t="n"/>
      <c r="I1764" s="20" t="n"/>
      <c r="J1764" s="20" t="n"/>
      <c r="K1764" s="20" t="n"/>
      <c r="L1764" s="25" t="n"/>
      <c r="M1764" s="20" t="n"/>
      <c r="N1764" s="20" t="n"/>
      <c r="O1764" s="20" t="n"/>
      <c r="P1764" s="20" t="n"/>
      <c r="Q1764" s="26" t="n"/>
      <c r="R1764" s="20" t="n"/>
      <c r="S1764" s="20" t="n"/>
    </row>
    <row r="1765">
      <c r="A1765" s="24" t="n"/>
      <c r="B1765" s="20" t="n"/>
      <c r="C1765" s="20" t="n"/>
      <c r="D1765" s="23" t="n"/>
      <c r="E1765" s="20" t="n"/>
      <c r="F1765" s="20" t="n"/>
      <c r="G1765" s="25" t="n"/>
      <c r="H1765" s="20" t="n"/>
      <c r="I1765" s="20" t="n"/>
      <c r="J1765" s="20" t="n"/>
      <c r="K1765" s="20" t="n"/>
      <c r="L1765" s="25" t="n"/>
      <c r="M1765" s="20" t="n"/>
      <c r="N1765" s="20" t="n"/>
      <c r="O1765" s="20" t="n"/>
      <c r="P1765" s="20" t="n"/>
      <c r="Q1765" s="26" t="n"/>
      <c r="R1765" s="20" t="n"/>
      <c r="S1765" s="20" t="n"/>
    </row>
    <row r="1766">
      <c r="A1766" s="24" t="n"/>
      <c r="B1766" s="20" t="n"/>
      <c r="C1766" s="20" t="n"/>
      <c r="D1766" s="23" t="n"/>
      <c r="E1766" s="20" t="n"/>
      <c r="F1766" s="20" t="n"/>
      <c r="G1766" s="25" t="n"/>
      <c r="H1766" s="20" t="n"/>
      <c r="I1766" s="20" t="n"/>
      <c r="J1766" s="20" t="n"/>
      <c r="K1766" s="20" t="n"/>
      <c r="L1766" s="25" t="n"/>
      <c r="M1766" s="20" t="n"/>
      <c r="N1766" s="20" t="n"/>
      <c r="O1766" s="20" t="n"/>
      <c r="P1766" s="20" t="n"/>
      <c r="Q1766" s="26" t="n"/>
      <c r="R1766" s="20" t="n"/>
      <c r="S1766" s="20" t="n"/>
    </row>
    <row r="1767">
      <c r="A1767" s="24" t="n"/>
      <c r="B1767" s="20" t="n"/>
      <c r="C1767" s="20" t="n"/>
      <c r="D1767" s="23" t="n"/>
      <c r="E1767" s="20" t="n"/>
      <c r="F1767" s="20" t="n"/>
      <c r="G1767" s="25" t="n"/>
      <c r="H1767" s="20" t="n"/>
      <c r="I1767" s="20" t="n"/>
      <c r="J1767" s="20" t="n"/>
      <c r="K1767" s="20" t="n"/>
      <c r="L1767" s="25" t="n"/>
      <c r="M1767" s="20" t="n"/>
      <c r="N1767" s="20" t="n"/>
      <c r="O1767" s="20" t="n"/>
      <c r="P1767" s="20" t="n"/>
      <c r="Q1767" s="26" t="n"/>
      <c r="R1767" s="20" t="n"/>
      <c r="S1767" s="20" t="n"/>
    </row>
    <row r="1768">
      <c r="A1768" s="24" t="n"/>
      <c r="B1768" s="20" t="n"/>
      <c r="C1768" s="20" t="n"/>
      <c r="D1768" s="23" t="n"/>
      <c r="E1768" s="20" t="n"/>
      <c r="F1768" s="20" t="n"/>
      <c r="G1768" s="25" t="n"/>
      <c r="H1768" s="20" t="n"/>
      <c r="I1768" s="20" t="n"/>
      <c r="J1768" s="20" t="n"/>
      <c r="K1768" s="20" t="n"/>
      <c r="L1768" s="25" t="n"/>
      <c r="M1768" s="20" t="n"/>
      <c r="N1768" s="20" t="n"/>
      <c r="O1768" s="20" t="n"/>
      <c r="P1768" s="20" t="n"/>
      <c r="Q1768" s="26" t="n"/>
      <c r="R1768" s="20" t="n"/>
      <c r="S1768" s="20" t="n"/>
    </row>
    <row r="1769">
      <c r="A1769" s="24" t="n"/>
      <c r="B1769" s="20" t="n"/>
      <c r="C1769" s="20" t="n"/>
      <c r="D1769" s="23" t="n"/>
      <c r="E1769" s="20" t="n"/>
      <c r="F1769" s="20" t="n"/>
      <c r="G1769" s="25" t="n"/>
      <c r="H1769" s="20" t="n"/>
      <c r="I1769" s="20" t="n"/>
      <c r="J1769" s="20" t="n"/>
      <c r="K1769" s="20" t="n"/>
      <c r="L1769" s="25" t="n"/>
      <c r="M1769" s="20" t="n"/>
      <c r="N1769" s="20" t="n"/>
      <c r="O1769" s="20" t="n"/>
      <c r="P1769" s="20" t="n"/>
      <c r="Q1769" s="26" t="n"/>
      <c r="R1769" s="20" t="n"/>
      <c r="S1769" s="20" t="n"/>
    </row>
    <row r="1770">
      <c r="A1770" s="24" t="n"/>
      <c r="B1770" s="20" t="n"/>
      <c r="C1770" s="20" t="n"/>
      <c r="D1770" s="23" t="n"/>
      <c r="E1770" s="20" t="n"/>
      <c r="F1770" s="20" t="n"/>
      <c r="G1770" s="25" t="n"/>
      <c r="H1770" s="20" t="n"/>
      <c r="I1770" s="20" t="n"/>
      <c r="J1770" s="20" t="n"/>
      <c r="K1770" s="20" t="n"/>
      <c r="L1770" s="25" t="n"/>
      <c r="M1770" s="20" t="n"/>
      <c r="N1770" s="20" t="n"/>
      <c r="O1770" s="20" t="n"/>
      <c r="P1770" s="20" t="n"/>
      <c r="Q1770" s="26" t="n"/>
      <c r="R1770" s="20" t="n"/>
      <c r="S1770" s="20" t="n"/>
    </row>
    <row r="1771">
      <c r="A1771" s="24" t="n"/>
      <c r="B1771" s="20" t="n"/>
      <c r="C1771" s="20" t="n"/>
      <c r="D1771" s="23" t="n"/>
      <c r="E1771" s="20" t="n"/>
      <c r="F1771" s="20" t="n"/>
      <c r="G1771" s="25" t="n"/>
      <c r="H1771" s="20" t="n"/>
      <c r="I1771" s="20" t="n"/>
      <c r="J1771" s="20" t="n"/>
      <c r="K1771" s="20" t="n"/>
      <c r="L1771" s="25" t="n"/>
      <c r="M1771" s="20" t="n"/>
      <c r="N1771" s="20" t="n"/>
      <c r="O1771" s="20" t="n"/>
      <c r="P1771" s="20" t="n"/>
      <c r="Q1771" s="26" t="n"/>
      <c r="R1771" s="20" t="n"/>
      <c r="S1771" s="20" t="n"/>
    </row>
    <row r="1772">
      <c r="A1772" s="24" t="n"/>
      <c r="B1772" s="20" t="n"/>
      <c r="C1772" s="20" t="n"/>
      <c r="D1772" s="23" t="n"/>
      <c r="E1772" s="20" t="n"/>
      <c r="F1772" s="20" t="n"/>
      <c r="G1772" s="25" t="n"/>
      <c r="H1772" s="20" t="n"/>
      <c r="I1772" s="20" t="n"/>
      <c r="J1772" s="20" t="n"/>
      <c r="K1772" s="20" t="n"/>
      <c r="L1772" s="25" t="n"/>
      <c r="M1772" s="20" t="n"/>
      <c r="N1772" s="20" t="n"/>
      <c r="O1772" s="20" t="n"/>
      <c r="P1772" s="20" t="n"/>
      <c r="Q1772" s="26" t="n"/>
      <c r="R1772" s="20" t="n"/>
      <c r="S1772" s="20" t="n"/>
    </row>
    <row r="1773">
      <c r="A1773" s="24" t="n"/>
      <c r="B1773" s="20" t="n"/>
      <c r="C1773" s="20" t="n"/>
      <c r="D1773" s="23" t="n"/>
      <c r="E1773" s="20" t="n"/>
      <c r="F1773" s="20" t="n"/>
      <c r="G1773" s="25" t="n"/>
      <c r="H1773" s="20" t="n"/>
      <c r="I1773" s="20" t="n"/>
      <c r="J1773" s="20" t="n"/>
      <c r="K1773" s="20" t="n"/>
      <c r="L1773" s="25" t="n"/>
      <c r="M1773" s="20" t="n"/>
      <c r="N1773" s="20" t="n"/>
      <c r="O1773" s="20" t="n"/>
      <c r="P1773" s="20" t="n"/>
      <c r="Q1773" s="26" t="n"/>
      <c r="R1773" s="20" t="n"/>
      <c r="S1773" s="20" t="n"/>
    </row>
    <row r="1774">
      <c r="A1774" s="24" t="n"/>
      <c r="B1774" s="20" t="n"/>
      <c r="C1774" s="20" t="n"/>
      <c r="D1774" s="23" t="n"/>
      <c r="E1774" s="20" t="n"/>
      <c r="F1774" s="20" t="n"/>
      <c r="G1774" s="25" t="n"/>
      <c r="H1774" s="20" t="n"/>
      <c r="I1774" s="20" t="n"/>
      <c r="J1774" s="20" t="n"/>
      <c r="K1774" s="20" t="n"/>
      <c r="L1774" s="25" t="n"/>
      <c r="M1774" s="20" t="n"/>
      <c r="N1774" s="20" t="n"/>
      <c r="O1774" s="20" t="n"/>
      <c r="P1774" s="20" t="n"/>
      <c r="Q1774" s="26" t="n"/>
      <c r="R1774" s="20" t="n"/>
      <c r="S1774" s="20" t="n"/>
    </row>
    <row r="1775">
      <c r="A1775" s="24" t="n"/>
      <c r="B1775" s="20" t="n"/>
      <c r="C1775" s="20" t="n"/>
      <c r="D1775" s="23" t="n"/>
      <c r="E1775" s="20" t="n"/>
      <c r="F1775" s="20" t="n"/>
      <c r="G1775" s="25" t="n"/>
      <c r="H1775" s="20" t="n"/>
      <c r="I1775" s="20" t="n"/>
      <c r="J1775" s="20" t="n"/>
      <c r="K1775" s="20" t="n"/>
      <c r="L1775" s="25" t="n"/>
      <c r="M1775" s="20" t="n"/>
      <c r="N1775" s="20" t="n"/>
      <c r="O1775" s="20" t="n"/>
      <c r="P1775" s="20" t="n"/>
      <c r="Q1775" s="26" t="n"/>
      <c r="R1775" s="20" t="n"/>
      <c r="S1775" s="20" t="n"/>
    </row>
    <row r="1776">
      <c r="A1776" s="24" t="n"/>
      <c r="B1776" s="20" t="n"/>
      <c r="C1776" s="20" t="n"/>
      <c r="D1776" s="23" t="n"/>
      <c r="E1776" s="20" t="n"/>
      <c r="F1776" s="20" t="n"/>
      <c r="G1776" s="25" t="n"/>
      <c r="H1776" s="20" t="n"/>
      <c r="I1776" s="20" t="n"/>
      <c r="J1776" s="20" t="n"/>
      <c r="K1776" s="20" t="n"/>
      <c r="L1776" s="25" t="n"/>
      <c r="M1776" s="20" t="n"/>
      <c r="N1776" s="20" t="n"/>
      <c r="O1776" s="20" t="n"/>
      <c r="P1776" s="20" t="n"/>
      <c r="Q1776" s="26" t="n"/>
      <c r="R1776" s="20" t="n"/>
      <c r="S1776" s="20" t="n"/>
    </row>
    <row r="1777">
      <c r="A1777" s="24" t="n"/>
      <c r="B1777" s="20" t="n"/>
      <c r="C1777" s="20" t="n"/>
      <c r="D1777" s="23" t="n"/>
      <c r="E1777" s="20" t="n"/>
      <c r="F1777" s="20" t="n"/>
      <c r="G1777" s="25" t="n"/>
      <c r="H1777" s="20" t="n"/>
      <c r="I1777" s="20" t="n"/>
      <c r="J1777" s="20" t="n"/>
      <c r="K1777" s="20" t="n"/>
      <c r="L1777" s="25" t="n"/>
      <c r="M1777" s="20" t="n"/>
      <c r="N1777" s="20" t="n"/>
      <c r="O1777" s="20" t="n"/>
      <c r="P1777" s="20" t="n"/>
      <c r="Q1777" s="26" t="n"/>
      <c r="R1777" s="20" t="n"/>
      <c r="S1777" s="20" t="n"/>
    </row>
    <row r="1778">
      <c r="A1778" s="24" t="n"/>
      <c r="B1778" s="20" t="n"/>
      <c r="C1778" s="20" t="n"/>
      <c r="D1778" s="23" t="n"/>
      <c r="E1778" s="20" t="n"/>
      <c r="F1778" s="20" t="n"/>
      <c r="G1778" s="25" t="n"/>
      <c r="H1778" s="20" t="n"/>
      <c r="I1778" s="20" t="n"/>
      <c r="J1778" s="20" t="n"/>
      <c r="K1778" s="20" t="n"/>
      <c r="L1778" s="25" t="n"/>
      <c r="M1778" s="20" t="n"/>
      <c r="N1778" s="20" t="n"/>
      <c r="O1778" s="20" t="n"/>
      <c r="P1778" s="20" t="n"/>
      <c r="Q1778" s="26" t="n"/>
      <c r="R1778" s="20" t="n"/>
      <c r="S1778" s="20" t="n"/>
    </row>
    <row r="1779">
      <c r="A1779" s="24" t="n"/>
      <c r="B1779" s="20" t="n"/>
      <c r="C1779" s="20" t="n"/>
      <c r="D1779" s="23" t="n"/>
      <c r="E1779" s="20" t="n"/>
      <c r="F1779" s="20" t="n"/>
      <c r="G1779" s="25" t="n"/>
      <c r="H1779" s="20" t="n"/>
      <c r="I1779" s="20" t="n"/>
      <c r="J1779" s="20" t="n"/>
      <c r="K1779" s="20" t="n"/>
      <c r="L1779" s="25" t="n"/>
      <c r="M1779" s="20" t="n"/>
      <c r="N1779" s="20" t="n"/>
      <c r="O1779" s="20" t="n"/>
      <c r="P1779" s="20" t="n"/>
      <c r="Q1779" s="26" t="n"/>
      <c r="R1779" s="20" t="n"/>
      <c r="S1779" s="20" t="n"/>
    </row>
    <row r="1780">
      <c r="A1780" s="24" t="n"/>
      <c r="B1780" s="20" t="n"/>
      <c r="C1780" s="20" t="n"/>
      <c r="D1780" s="23" t="n"/>
      <c r="E1780" s="20" t="n"/>
      <c r="F1780" s="20" t="n"/>
      <c r="G1780" s="25" t="n"/>
      <c r="H1780" s="20" t="n"/>
      <c r="I1780" s="20" t="n"/>
      <c r="J1780" s="20" t="n"/>
      <c r="K1780" s="20" t="n"/>
      <c r="L1780" s="25" t="n"/>
      <c r="M1780" s="20" t="n"/>
      <c r="N1780" s="20" t="n"/>
      <c r="O1780" s="20" t="n"/>
      <c r="P1780" s="20" t="n"/>
      <c r="Q1780" s="26" t="n"/>
      <c r="R1780" s="20" t="n"/>
      <c r="S1780" s="20" t="n"/>
    </row>
    <row r="1781">
      <c r="A1781" s="24" t="n"/>
      <c r="B1781" s="20" t="n"/>
      <c r="C1781" s="20" t="n"/>
      <c r="D1781" s="23" t="n"/>
      <c r="E1781" s="20" t="n"/>
      <c r="F1781" s="20" t="n"/>
      <c r="G1781" s="25" t="n"/>
      <c r="H1781" s="20" t="n"/>
      <c r="I1781" s="20" t="n"/>
      <c r="J1781" s="20" t="n"/>
      <c r="K1781" s="20" t="n"/>
      <c r="L1781" s="25" t="n"/>
      <c r="M1781" s="20" t="n"/>
      <c r="N1781" s="20" t="n"/>
      <c r="O1781" s="20" t="n"/>
      <c r="P1781" s="20" t="n"/>
      <c r="Q1781" s="26" t="n"/>
      <c r="R1781" s="20" t="n"/>
      <c r="S1781" s="20" t="n"/>
    </row>
    <row r="1782">
      <c r="A1782" s="24" t="n"/>
      <c r="B1782" s="20" t="n"/>
      <c r="C1782" s="20" t="n"/>
      <c r="D1782" s="23" t="n"/>
      <c r="E1782" s="20" t="n"/>
      <c r="F1782" s="20" t="n"/>
      <c r="G1782" s="25" t="n"/>
      <c r="H1782" s="20" t="n"/>
      <c r="I1782" s="20" t="n"/>
      <c r="J1782" s="20" t="n"/>
      <c r="K1782" s="20" t="n"/>
      <c r="L1782" s="25" t="n"/>
      <c r="M1782" s="20" t="n"/>
      <c r="N1782" s="20" t="n"/>
      <c r="O1782" s="20" t="n"/>
      <c r="P1782" s="20" t="n"/>
      <c r="Q1782" s="26" t="n"/>
      <c r="R1782" s="20" t="n"/>
      <c r="S1782" s="20" t="n"/>
    </row>
    <row r="1783">
      <c r="A1783" s="24" t="n"/>
      <c r="B1783" s="20" t="n"/>
      <c r="C1783" s="20" t="n"/>
      <c r="D1783" s="23" t="n"/>
      <c r="E1783" s="20" t="n"/>
      <c r="F1783" s="20" t="n"/>
      <c r="G1783" s="25" t="n"/>
      <c r="H1783" s="20" t="n"/>
      <c r="I1783" s="20" t="n"/>
      <c r="J1783" s="20" t="n"/>
      <c r="K1783" s="20" t="n"/>
      <c r="L1783" s="25" t="n"/>
      <c r="M1783" s="20" t="n"/>
      <c r="N1783" s="20" t="n"/>
      <c r="O1783" s="20" t="n"/>
      <c r="P1783" s="20" t="n"/>
      <c r="Q1783" s="26" t="n"/>
      <c r="R1783" s="20" t="n"/>
      <c r="S1783" s="20" t="n"/>
    </row>
    <row r="1784">
      <c r="A1784" s="24" t="n"/>
      <c r="B1784" s="20" t="n"/>
      <c r="C1784" s="20" t="n"/>
      <c r="D1784" s="23" t="n"/>
      <c r="E1784" s="20" t="n"/>
      <c r="F1784" s="20" t="n"/>
      <c r="G1784" s="25" t="n"/>
      <c r="H1784" s="20" t="n"/>
      <c r="I1784" s="20" t="n"/>
      <c r="J1784" s="20" t="n"/>
      <c r="K1784" s="20" t="n"/>
      <c r="L1784" s="25" t="n"/>
      <c r="M1784" s="20" t="n"/>
      <c r="N1784" s="20" t="n"/>
      <c r="O1784" s="20" t="n"/>
      <c r="P1784" s="20" t="n"/>
      <c r="Q1784" s="26" t="n"/>
      <c r="R1784" s="20" t="n"/>
      <c r="S1784" s="20" t="n"/>
    </row>
    <row r="1785">
      <c r="A1785" s="24" t="n"/>
      <c r="B1785" s="20" t="n"/>
      <c r="C1785" s="20" t="n"/>
      <c r="D1785" s="23" t="n"/>
      <c r="E1785" s="20" t="n"/>
      <c r="F1785" s="20" t="n"/>
      <c r="G1785" s="25" t="n"/>
      <c r="H1785" s="20" t="n"/>
      <c r="I1785" s="20" t="n"/>
      <c r="J1785" s="20" t="n"/>
      <c r="K1785" s="20" t="n"/>
      <c r="L1785" s="25" t="n"/>
      <c r="M1785" s="20" t="n"/>
      <c r="N1785" s="20" t="n"/>
      <c r="O1785" s="20" t="n"/>
      <c r="P1785" s="20" t="n"/>
      <c r="Q1785" s="26" t="n"/>
      <c r="R1785" s="20" t="n"/>
      <c r="S1785" s="20" t="n"/>
    </row>
    <row r="1786">
      <c r="A1786" s="24" t="n"/>
      <c r="B1786" s="20" t="n"/>
      <c r="C1786" s="20" t="n"/>
      <c r="D1786" s="23" t="n"/>
      <c r="E1786" s="20" t="n"/>
      <c r="F1786" s="20" t="n"/>
      <c r="G1786" s="25" t="n"/>
      <c r="H1786" s="20" t="n"/>
      <c r="I1786" s="20" t="n"/>
      <c r="J1786" s="20" t="n"/>
      <c r="K1786" s="20" t="n"/>
      <c r="L1786" s="25" t="n"/>
      <c r="M1786" s="20" t="n"/>
      <c r="N1786" s="20" t="n"/>
      <c r="O1786" s="20" t="n"/>
      <c r="P1786" s="20" t="n"/>
      <c r="Q1786" s="26" t="n"/>
      <c r="R1786" s="20" t="n"/>
      <c r="S1786" s="20" t="n"/>
    </row>
    <row r="1787">
      <c r="A1787" s="24" t="n"/>
      <c r="B1787" s="20" t="n"/>
      <c r="C1787" s="20" t="n"/>
      <c r="D1787" s="23" t="n"/>
      <c r="E1787" s="20" t="n"/>
      <c r="F1787" s="20" t="n"/>
      <c r="G1787" s="25" t="n"/>
      <c r="H1787" s="20" t="n"/>
      <c r="I1787" s="20" t="n"/>
      <c r="J1787" s="20" t="n"/>
      <c r="K1787" s="20" t="n"/>
      <c r="L1787" s="25" t="n"/>
      <c r="M1787" s="20" t="n"/>
      <c r="N1787" s="20" t="n"/>
      <c r="O1787" s="20" t="n"/>
      <c r="P1787" s="20" t="n"/>
      <c r="Q1787" s="26" t="n"/>
      <c r="R1787" s="20" t="n"/>
      <c r="S1787" s="20" t="n"/>
    </row>
    <row r="1788">
      <c r="A1788" s="24" t="n"/>
      <c r="B1788" s="20" t="n"/>
      <c r="C1788" s="20" t="n"/>
      <c r="D1788" s="23" t="n"/>
      <c r="E1788" s="20" t="n"/>
      <c r="F1788" s="20" t="n"/>
      <c r="G1788" s="25" t="n"/>
      <c r="H1788" s="20" t="n"/>
      <c r="I1788" s="20" t="n"/>
      <c r="J1788" s="20" t="n"/>
      <c r="K1788" s="20" t="n"/>
      <c r="L1788" s="25" t="n"/>
      <c r="M1788" s="20" t="n"/>
      <c r="N1788" s="20" t="n"/>
      <c r="O1788" s="20" t="n"/>
      <c r="P1788" s="20" t="n"/>
      <c r="Q1788" s="26" t="n"/>
      <c r="R1788" s="20" t="n"/>
      <c r="S1788" s="20" t="n"/>
    </row>
    <row r="1789">
      <c r="A1789" s="24" t="n"/>
      <c r="B1789" s="20" t="n"/>
      <c r="C1789" s="20" t="n"/>
      <c r="D1789" s="23" t="n"/>
      <c r="E1789" s="20" t="n"/>
      <c r="F1789" s="20" t="n"/>
      <c r="G1789" s="25" t="n"/>
      <c r="H1789" s="20" t="n"/>
      <c r="I1789" s="20" t="n"/>
      <c r="J1789" s="20" t="n"/>
      <c r="K1789" s="20" t="n"/>
      <c r="L1789" s="25" t="n"/>
      <c r="M1789" s="20" t="n"/>
      <c r="N1789" s="20" t="n"/>
      <c r="O1789" s="20" t="n"/>
      <c r="P1789" s="20" t="n"/>
      <c r="Q1789" s="26" t="n"/>
      <c r="R1789" s="20" t="n"/>
      <c r="S1789" s="20" t="n"/>
    </row>
    <row r="1790">
      <c r="A1790" s="24" t="n"/>
      <c r="B1790" s="20" t="n"/>
      <c r="C1790" s="20" t="n"/>
      <c r="D1790" s="23" t="n"/>
      <c r="E1790" s="20" t="n"/>
      <c r="F1790" s="20" t="n"/>
      <c r="G1790" s="25" t="n"/>
      <c r="H1790" s="20" t="n"/>
      <c r="I1790" s="20" t="n"/>
      <c r="J1790" s="20" t="n"/>
      <c r="K1790" s="20" t="n"/>
      <c r="L1790" s="25" t="n"/>
      <c r="M1790" s="20" t="n"/>
      <c r="N1790" s="20" t="n"/>
      <c r="O1790" s="20" t="n"/>
      <c r="P1790" s="20" t="n"/>
      <c r="Q1790" s="26" t="n"/>
      <c r="R1790" s="20" t="n"/>
      <c r="S1790" s="20" t="n"/>
    </row>
    <row r="1791">
      <c r="A1791" s="24" t="n"/>
      <c r="B1791" s="20" t="n"/>
      <c r="C1791" s="20" t="n"/>
      <c r="D1791" s="23" t="n"/>
      <c r="E1791" s="20" t="n"/>
      <c r="F1791" s="20" t="n"/>
      <c r="G1791" s="25" t="n"/>
      <c r="H1791" s="20" t="n"/>
      <c r="I1791" s="20" t="n"/>
      <c r="J1791" s="20" t="n"/>
      <c r="K1791" s="20" t="n"/>
      <c r="L1791" s="25" t="n"/>
      <c r="M1791" s="20" t="n"/>
      <c r="N1791" s="20" t="n"/>
      <c r="O1791" s="20" t="n"/>
      <c r="P1791" s="20" t="n"/>
      <c r="Q1791" s="26" t="n"/>
      <c r="R1791" s="20" t="n"/>
      <c r="S1791" s="20" t="n"/>
    </row>
    <row r="1792">
      <c r="A1792" s="24" t="n"/>
      <c r="B1792" s="20" t="n"/>
      <c r="C1792" s="20" t="n"/>
      <c r="D1792" s="23" t="n"/>
      <c r="E1792" s="20" t="n"/>
      <c r="F1792" s="20" t="n"/>
      <c r="G1792" s="25" t="n"/>
      <c r="H1792" s="20" t="n"/>
      <c r="I1792" s="20" t="n"/>
      <c r="J1792" s="20" t="n"/>
      <c r="K1792" s="20" t="n"/>
      <c r="L1792" s="25" t="n"/>
      <c r="M1792" s="20" t="n"/>
      <c r="N1792" s="20" t="n"/>
      <c r="O1792" s="20" t="n"/>
      <c r="P1792" s="20" t="n"/>
      <c r="Q1792" s="26" t="n"/>
      <c r="R1792" s="20" t="n"/>
      <c r="S1792" s="20" t="n"/>
    </row>
    <row r="1793">
      <c r="A1793" s="24" t="n"/>
      <c r="B1793" s="20" t="n"/>
      <c r="C1793" s="20" t="n"/>
      <c r="D1793" s="23" t="n"/>
      <c r="E1793" s="20" t="n"/>
      <c r="F1793" s="20" t="n"/>
      <c r="G1793" s="25" t="n"/>
      <c r="H1793" s="20" t="n"/>
      <c r="I1793" s="20" t="n"/>
      <c r="J1793" s="20" t="n"/>
      <c r="K1793" s="20" t="n"/>
      <c r="L1793" s="25" t="n"/>
      <c r="M1793" s="20" t="n"/>
      <c r="N1793" s="20" t="n"/>
      <c r="O1793" s="20" t="n"/>
      <c r="P1793" s="20" t="n"/>
      <c r="Q1793" s="26" t="n"/>
      <c r="R1793" s="20" t="n"/>
      <c r="S1793" s="20" t="n"/>
    </row>
    <row r="1794">
      <c r="A1794" s="24" t="n"/>
      <c r="B1794" s="20" t="n"/>
      <c r="C1794" s="20" t="n"/>
      <c r="D1794" s="23" t="n"/>
      <c r="E1794" s="20" t="n"/>
      <c r="F1794" s="20" t="n"/>
      <c r="G1794" s="25" t="n"/>
      <c r="H1794" s="20" t="n"/>
      <c r="I1794" s="20" t="n"/>
      <c r="J1794" s="20" t="n"/>
      <c r="K1794" s="20" t="n"/>
      <c r="L1794" s="25" t="n"/>
      <c r="M1794" s="20" t="n"/>
      <c r="N1794" s="20" t="n"/>
      <c r="O1794" s="20" t="n"/>
      <c r="P1794" s="20" t="n"/>
      <c r="Q1794" s="26" t="n"/>
      <c r="R1794" s="20" t="n"/>
      <c r="S1794" s="20" t="n"/>
    </row>
    <row r="1795">
      <c r="A1795" s="24" t="n"/>
      <c r="B1795" s="20" t="n"/>
      <c r="C1795" s="20" t="n"/>
      <c r="D1795" s="23" t="n"/>
      <c r="E1795" s="20" t="n"/>
      <c r="F1795" s="20" t="n"/>
      <c r="G1795" s="25" t="n"/>
      <c r="H1795" s="20" t="n"/>
      <c r="I1795" s="20" t="n"/>
      <c r="J1795" s="20" t="n"/>
      <c r="K1795" s="20" t="n"/>
      <c r="L1795" s="25" t="n"/>
      <c r="M1795" s="20" t="n"/>
      <c r="N1795" s="20" t="n"/>
      <c r="O1795" s="20" t="n"/>
      <c r="P1795" s="20" t="n"/>
      <c r="Q1795" s="26" t="n"/>
      <c r="R1795" s="20" t="n"/>
      <c r="S1795" s="20" t="n"/>
    </row>
    <row r="1796">
      <c r="A1796" s="24" t="n"/>
      <c r="B1796" s="20" t="n"/>
      <c r="C1796" s="20" t="n"/>
      <c r="D1796" s="23" t="n"/>
      <c r="E1796" s="20" t="n"/>
      <c r="F1796" s="20" t="n"/>
      <c r="G1796" s="25" t="n"/>
      <c r="H1796" s="20" t="n"/>
      <c r="I1796" s="20" t="n"/>
      <c r="J1796" s="20" t="n"/>
      <c r="K1796" s="20" t="n"/>
      <c r="L1796" s="25" t="n"/>
      <c r="M1796" s="20" t="n"/>
      <c r="N1796" s="20" t="n"/>
      <c r="O1796" s="20" t="n"/>
      <c r="P1796" s="20" t="n"/>
      <c r="Q1796" s="26" t="n"/>
      <c r="R1796" s="20" t="n"/>
      <c r="S1796" s="20" t="n"/>
    </row>
    <row r="1797">
      <c r="A1797" s="24" t="n"/>
      <c r="B1797" s="20" t="n"/>
      <c r="C1797" s="20" t="n"/>
      <c r="D1797" s="23" t="n"/>
      <c r="E1797" s="20" t="n"/>
      <c r="F1797" s="20" t="n"/>
      <c r="G1797" s="25" t="n"/>
      <c r="H1797" s="20" t="n"/>
      <c r="I1797" s="20" t="n"/>
      <c r="J1797" s="20" t="n"/>
      <c r="K1797" s="20" t="n"/>
      <c r="L1797" s="25" t="n"/>
      <c r="M1797" s="20" t="n"/>
      <c r="N1797" s="20" t="n"/>
      <c r="O1797" s="20" t="n"/>
      <c r="P1797" s="20" t="n"/>
      <c r="Q1797" s="26" t="n"/>
      <c r="R1797" s="20" t="n"/>
      <c r="S1797" s="20" t="n"/>
    </row>
    <row r="1798">
      <c r="A1798" s="24" t="n"/>
      <c r="B1798" s="20" t="n"/>
      <c r="C1798" s="20" t="n"/>
      <c r="D1798" s="23" t="n"/>
      <c r="E1798" s="20" t="n"/>
      <c r="F1798" s="20" t="n"/>
      <c r="G1798" s="25" t="n"/>
      <c r="H1798" s="20" t="n"/>
      <c r="I1798" s="20" t="n"/>
      <c r="J1798" s="20" t="n"/>
      <c r="K1798" s="20" t="n"/>
      <c r="L1798" s="25" t="n"/>
      <c r="M1798" s="20" t="n"/>
      <c r="N1798" s="20" t="n"/>
      <c r="O1798" s="20" t="n"/>
      <c r="P1798" s="20" t="n"/>
      <c r="Q1798" s="26" t="n"/>
      <c r="R1798" s="20" t="n"/>
      <c r="S1798" s="20" t="n"/>
    </row>
    <row r="1799">
      <c r="A1799" s="24" t="n"/>
      <c r="B1799" s="20" t="n"/>
      <c r="C1799" s="20" t="n"/>
      <c r="D1799" s="23" t="n"/>
      <c r="E1799" s="20" t="n"/>
      <c r="F1799" s="20" t="n"/>
      <c r="G1799" s="25" t="n"/>
      <c r="H1799" s="20" t="n"/>
      <c r="I1799" s="20" t="n"/>
      <c r="J1799" s="20" t="n"/>
      <c r="K1799" s="20" t="n"/>
      <c r="L1799" s="25" t="n"/>
      <c r="M1799" s="20" t="n"/>
      <c r="N1799" s="20" t="n"/>
      <c r="O1799" s="20" t="n"/>
      <c r="P1799" s="20" t="n"/>
      <c r="Q1799" s="26" t="n"/>
      <c r="R1799" s="20" t="n"/>
      <c r="S1799" s="20" t="n"/>
    </row>
    <row r="1800">
      <c r="A1800" s="24" t="n"/>
      <c r="B1800" s="20" t="n"/>
      <c r="C1800" s="20" t="n"/>
      <c r="D1800" s="23" t="n"/>
      <c r="E1800" s="20" t="n"/>
      <c r="F1800" s="20" t="n"/>
      <c r="G1800" s="25" t="n"/>
      <c r="H1800" s="20" t="n"/>
      <c r="I1800" s="20" t="n"/>
      <c r="J1800" s="20" t="n"/>
      <c r="K1800" s="20" t="n"/>
      <c r="L1800" s="25" t="n"/>
      <c r="M1800" s="20" t="n"/>
      <c r="N1800" s="20" t="n"/>
      <c r="O1800" s="20" t="n"/>
      <c r="P1800" s="20" t="n"/>
      <c r="Q1800" s="26" t="n"/>
      <c r="R1800" s="20" t="n"/>
      <c r="S1800" s="20" t="n"/>
    </row>
    <row r="1801">
      <c r="A1801" s="24" t="n"/>
      <c r="B1801" s="20" t="n"/>
      <c r="C1801" s="20" t="n"/>
      <c r="D1801" s="23" t="n"/>
      <c r="E1801" s="20" t="n"/>
      <c r="F1801" s="20" t="n"/>
      <c r="G1801" s="25" t="n"/>
      <c r="H1801" s="20" t="n"/>
      <c r="I1801" s="20" t="n"/>
      <c r="J1801" s="20" t="n"/>
      <c r="K1801" s="20" t="n"/>
      <c r="L1801" s="25" t="n"/>
      <c r="M1801" s="20" t="n"/>
      <c r="N1801" s="20" t="n"/>
      <c r="O1801" s="20" t="n"/>
      <c r="P1801" s="20" t="n"/>
      <c r="Q1801" s="26" t="n"/>
      <c r="R1801" s="20" t="n"/>
      <c r="S1801" s="20" t="n"/>
    </row>
    <row r="1802">
      <c r="A1802" s="24" t="n"/>
      <c r="B1802" s="20" t="n"/>
      <c r="C1802" s="20" t="n"/>
      <c r="D1802" s="23" t="n"/>
      <c r="E1802" s="20" t="n"/>
      <c r="F1802" s="20" t="n"/>
      <c r="G1802" s="25" t="n"/>
      <c r="H1802" s="20" t="n"/>
      <c r="I1802" s="20" t="n"/>
      <c r="J1802" s="20" t="n"/>
      <c r="K1802" s="20" t="n"/>
      <c r="L1802" s="25" t="n"/>
      <c r="M1802" s="20" t="n"/>
      <c r="N1802" s="20" t="n"/>
      <c r="O1802" s="20" t="n"/>
      <c r="P1802" s="20" t="n"/>
      <c r="Q1802" s="26" t="n"/>
      <c r="R1802" s="20" t="n"/>
      <c r="S1802" s="20" t="n"/>
    </row>
    <row r="1803">
      <c r="A1803" s="24" t="n"/>
      <c r="B1803" s="20" t="n"/>
      <c r="C1803" s="20" t="n"/>
      <c r="D1803" s="23" t="n"/>
      <c r="E1803" s="20" t="n"/>
      <c r="F1803" s="20" t="n"/>
      <c r="G1803" s="25" t="n"/>
      <c r="H1803" s="20" t="n"/>
      <c r="I1803" s="20" t="n"/>
      <c r="J1803" s="20" t="n"/>
      <c r="K1803" s="20" t="n"/>
      <c r="L1803" s="25" t="n"/>
      <c r="M1803" s="20" t="n"/>
      <c r="N1803" s="20" t="n"/>
      <c r="O1803" s="20" t="n"/>
      <c r="P1803" s="20" t="n"/>
      <c r="Q1803" s="26" t="n"/>
      <c r="R1803" s="20" t="n"/>
      <c r="S1803" s="20" t="n"/>
    </row>
    <row r="1804">
      <c r="A1804" s="24" t="n"/>
      <c r="B1804" s="20" t="n"/>
      <c r="C1804" s="20" t="n"/>
      <c r="D1804" s="23" t="n"/>
      <c r="E1804" s="20" t="n"/>
      <c r="F1804" s="20" t="n"/>
      <c r="G1804" s="25" t="n"/>
      <c r="H1804" s="20" t="n"/>
      <c r="I1804" s="20" t="n"/>
      <c r="J1804" s="20" t="n"/>
      <c r="K1804" s="20" t="n"/>
      <c r="L1804" s="25" t="n"/>
      <c r="M1804" s="20" t="n"/>
      <c r="N1804" s="20" t="n"/>
      <c r="O1804" s="20" t="n"/>
      <c r="P1804" s="20" t="n"/>
      <c r="Q1804" s="26" t="n"/>
      <c r="R1804" s="20" t="n"/>
      <c r="S1804" s="20" t="n"/>
    </row>
    <row r="1805">
      <c r="A1805" s="24" t="n"/>
      <c r="B1805" s="20" t="n"/>
      <c r="C1805" s="20" t="n"/>
      <c r="D1805" s="23" t="n"/>
      <c r="E1805" s="20" t="n"/>
      <c r="F1805" s="20" t="n"/>
      <c r="G1805" s="25" t="n"/>
      <c r="H1805" s="20" t="n"/>
      <c r="I1805" s="20" t="n"/>
      <c r="J1805" s="20" t="n"/>
      <c r="K1805" s="20" t="n"/>
      <c r="L1805" s="25" t="n"/>
      <c r="M1805" s="20" t="n"/>
      <c r="N1805" s="20" t="n"/>
      <c r="O1805" s="20" t="n"/>
      <c r="P1805" s="20" t="n"/>
      <c r="Q1805" s="26" t="n"/>
      <c r="R1805" s="20" t="n"/>
      <c r="S1805" s="20" t="n"/>
    </row>
    <row r="1806">
      <c r="A1806" s="24" t="n"/>
      <c r="B1806" s="20" t="n"/>
      <c r="C1806" s="20" t="n"/>
      <c r="D1806" s="23" t="n"/>
      <c r="E1806" s="20" t="n"/>
      <c r="F1806" s="20" t="n"/>
      <c r="G1806" s="25" t="n"/>
      <c r="H1806" s="20" t="n"/>
      <c r="I1806" s="20" t="n"/>
      <c r="J1806" s="20" t="n"/>
      <c r="K1806" s="20" t="n"/>
      <c r="L1806" s="25" t="n"/>
      <c r="M1806" s="20" t="n"/>
      <c r="N1806" s="20" t="n"/>
      <c r="O1806" s="20" t="n"/>
      <c r="P1806" s="20" t="n"/>
      <c r="Q1806" s="26" t="n"/>
      <c r="R1806" s="20" t="n"/>
      <c r="S1806" s="20" t="n"/>
    </row>
    <row r="1807">
      <c r="A1807" s="24" t="n"/>
      <c r="B1807" s="20" t="n"/>
      <c r="C1807" s="20" t="n"/>
      <c r="D1807" s="23" t="n"/>
      <c r="E1807" s="20" t="n"/>
      <c r="F1807" s="20" t="n"/>
      <c r="G1807" s="25" t="n"/>
      <c r="H1807" s="20" t="n"/>
      <c r="I1807" s="20" t="n"/>
      <c r="J1807" s="20" t="n"/>
      <c r="K1807" s="20" t="n"/>
      <c r="L1807" s="25" t="n"/>
      <c r="M1807" s="20" t="n"/>
      <c r="N1807" s="20" t="n"/>
      <c r="O1807" s="20" t="n"/>
      <c r="P1807" s="20" t="n"/>
      <c r="Q1807" s="26" t="n"/>
      <c r="R1807" s="20" t="n"/>
      <c r="S1807" s="20" t="n"/>
    </row>
    <row r="1808">
      <c r="A1808" s="24" t="n"/>
      <c r="B1808" s="20" t="n"/>
      <c r="C1808" s="20" t="n"/>
      <c r="D1808" s="23" t="n"/>
      <c r="E1808" s="20" t="n"/>
      <c r="F1808" s="20" t="n"/>
      <c r="G1808" s="25" t="n"/>
      <c r="H1808" s="20" t="n"/>
      <c r="I1808" s="20" t="n"/>
      <c r="J1808" s="20" t="n"/>
      <c r="K1808" s="20" t="n"/>
      <c r="L1808" s="25" t="n"/>
      <c r="M1808" s="20" t="n"/>
      <c r="N1808" s="20" t="n"/>
      <c r="O1808" s="20" t="n"/>
      <c r="P1808" s="20" t="n"/>
      <c r="Q1808" s="26" t="n"/>
      <c r="R1808" s="20" t="n"/>
      <c r="S1808" s="20" t="n"/>
    </row>
    <row r="1809">
      <c r="A1809" s="24" t="n"/>
      <c r="B1809" s="20" t="n"/>
      <c r="C1809" s="20" t="n"/>
      <c r="D1809" s="23" t="n"/>
      <c r="E1809" s="20" t="n"/>
      <c r="F1809" s="20" t="n"/>
      <c r="G1809" s="25" t="n"/>
      <c r="H1809" s="20" t="n"/>
      <c r="I1809" s="20" t="n"/>
      <c r="J1809" s="20" t="n"/>
      <c r="K1809" s="20" t="n"/>
      <c r="L1809" s="25" t="n"/>
      <c r="M1809" s="20" t="n"/>
      <c r="N1809" s="20" t="n"/>
      <c r="O1809" s="20" t="n"/>
      <c r="P1809" s="20" t="n"/>
      <c r="Q1809" s="26" t="n"/>
      <c r="R1809" s="20" t="n"/>
      <c r="S1809" s="20" t="n"/>
    </row>
    <row r="1810">
      <c r="A1810" s="24" t="n"/>
      <c r="B1810" s="20" t="n"/>
      <c r="C1810" s="20" t="n"/>
      <c r="D1810" s="23" t="n"/>
      <c r="E1810" s="20" t="n"/>
      <c r="F1810" s="20" t="n"/>
      <c r="G1810" s="25" t="n"/>
      <c r="H1810" s="20" t="n"/>
      <c r="I1810" s="20" t="n"/>
      <c r="J1810" s="20" t="n"/>
      <c r="K1810" s="20" t="n"/>
      <c r="L1810" s="25" t="n"/>
      <c r="M1810" s="20" t="n"/>
      <c r="N1810" s="20" t="n"/>
      <c r="O1810" s="20" t="n"/>
      <c r="P1810" s="20" t="n"/>
      <c r="Q1810" s="26" t="n"/>
      <c r="R1810" s="20" t="n"/>
      <c r="S1810" s="20" t="n"/>
    </row>
    <row r="1811">
      <c r="A1811" s="24" t="n"/>
      <c r="B1811" s="20" t="n"/>
      <c r="C1811" s="20" t="n"/>
      <c r="D1811" s="23" t="n"/>
      <c r="E1811" s="20" t="n"/>
      <c r="F1811" s="20" t="n"/>
      <c r="G1811" s="25" t="n"/>
      <c r="H1811" s="20" t="n"/>
      <c r="I1811" s="20" t="n"/>
      <c r="J1811" s="20" t="n"/>
      <c r="K1811" s="20" t="n"/>
      <c r="L1811" s="25" t="n"/>
      <c r="M1811" s="20" t="n"/>
      <c r="N1811" s="20" t="n"/>
      <c r="O1811" s="20" t="n"/>
      <c r="P1811" s="20" t="n"/>
      <c r="Q1811" s="26" t="n"/>
      <c r="R1811" s="20" t="n"/>
      <c r="S1811" s="20" t="n"/>
    </row>
    <row r="1812">
      <c r="A1812" s="24" t="n"/>
      <c r="B1812" s="20" t="n"/>
      <c r="C1812" s="20" t="n"/>
      <c r="D1812" s="23" t="n"/>
      <c r="E1812" s="20" t="n"/>
      <c r="F1812" s="20" t="n"/>
      <c r="G1812" s="25" t="n"/>
      <c r="H1812" s="20" t="n"/>
      <c r="I1812" s="20" t="n"/>
      <c r="J1812" s="20" t="n"/>
      <c r="K1812" s="20" t="n"/>
      <c r="L1812" s="25" t="n"/>
      <c r="M1812" s="20" t="n"/>
      <c r="N1812" s="20" t="n"/>
      <c r="O1812" s="20" t="n"/>
      <c r="P1812" s="20" t="n"/>
      <c r="Q1812" s="26" t="n"/>
      <c r="R1812" s="20" t="n"/>
      <c r="S1812" s="20" t="n"/>
    </row>
    <row r="1813">
      <c r="A1813" s="24" t="n"/>
      <c r="B1813" s="20" t="n"/>
      <c r="C1813" s="20" t="n"/>
      <c r="D1813" s="23" t="n"/>
      <c r="E1813" s="20" t="n"/>
      <c r="F1813" s="20" t="n"/>
      <c r="G1813" s="25" t="n"/>
      <c r="H1813" s="20" t="n"/>
      <c r="I1813" s="20" t="n"/>
      <c r="J1813" s="20" t="n"/>
      <c r="K1813" s="20" t="n"/>
      <c r="L1813" s="25" t="n"/>
      <c r="M1813" s="20" t="n"/>
      <c r="N1813" s="20" t="n"/>
      <c r="O1813" s="20" t="n"/>
      <c r="P1813" s="20" t="n"/>
      <c r="Q1813" s="26" t="n"/>
      <c r="R1813" s="20" t="n"/>
      <c r="S1813" s="20" t="n"/>
    </row>
    <row r="1814">
      <c r="A1814" s="24" t="n"/>
      <c r="B1814" s="20" t="n"/>
      <c r="C1814" s="20" t="n"/>
      <c r="D1814" s="23" t="n"/>
      <c r="E1814" s="20" t="n"/>
      <c r="F1814" s="20" t="n"/>
      <c r="G1814" s="25" t="n"/>
      <c r="H1814" s="20" t="n"/>
      <c r="I1814" s="20" t="n"/>
      <c r="J1814" s="20" t="n"/>
      <c r="K1814" s="20" t="n"/>
      <c r="L1814" s="25" t="n"/>
      <c r="M1814" s="20" t="n"/>
      <c r="N1814" s="20" t="n"/>
      <c r="O1814" s="20" t="n"/>
      <c r="P1814" s="20" t="n"/>
      <c r="Q1814" s="26" t="n"/>
      <c r="R1814" s="20" t="n"/>
      <c r="S1814" s="20" t="n"/>
    </row>
    <row r="1815">
      <c r="A1815" s="24" t="n"/>
      <c r="B1815" s="20" t="n"/>
      <c r="C1815" s="20" t="n"/>
      <c r="D1815" s="23" t="n"/>
      <c r="E1815" s="20" t="n"/>
      <c r="F1815" s="20" t="n"/>
      <c r="G1815" s="25" t="n"/>
      <c r="H1815" s="20" t="n"/>
      <c r="I1815" s="20" t="n"/>
      <c r="J1815" s="20" t="n"/>
      <c r="K1815" s="20" t="n"/>
      <c r="L1815" s="25" t="n"/>
      <c r="M1815" s="20" t="n"/>
      <c r="N1815" s="20" t="n"/>
      <c r="O1815" s="20" t="n"/>
      <c r="P1815" s="20" t="n"/>
      <c r="Q1815" s="26" t="n"/>
      <c r="R1815" s="20" t="n"/>
      <c r="S1815" s="20" t="n"/>
    </row>
    <row r="1816">
      <c r="A1816" s="24" t="n"/>
      <c r="B1816" s="20" t="n"/>
      <c r="C1816" s="20" t="n"/>
      <c r="D1816" s="23" t="n"/>
      <c r="E1816" s="20" t="n"/>
      <c r="F1816" s="20" t="n"/>
      <c r="G1816" s="25" t="n"/>
      <c r="H1816" s="20" t="n"/>
      <c r="I1816" s="20" t="n"/>
      <c r="J1816" s="20" t="n"/>
      <c r="K1816" s="20" t="n"/>
      <c r="L1816" s="25" t="n"/>
      <c r="M1816" s="20" t="n"/>
      <c r="N1816" s="20" t="n"/>
      <c r="O1816" s="20" t="n"/>
      <c r="P1816" s="20" t="n"/>
      <c r="Q1816" s="26" t="n"/>
      <c r="R1816" s="20" t="n"/>
      <c r="S1816" s="20" t="n"/>
    </row>
    <row r="1817">
      <c r="A1817" s="24" t="n"/>
      <c r="B1817" s="20" t="n"/>
      <c r="C1817" s="20" t="n"/>
      <c r="D1817" s="23" t="n"/>
      <c r="E1817" s="20" t="n"/>
      <c r="F1817" s="20" t="n"/>
      <c r="G1817" s="25" t="n"/>
      <c r="H1817" s="20" t="n"/>
      <c r="I1817" s="20" t="n"/>
      <c r="J1817" s="20" t="n"/>
      <c r="K1817" s="20" t="n"/>
      <c r="L1817" s="25" t="n"/>
      <c r="M1817" s="20" t="n"/>
      <c r="N1817" s="20" t="n"/>
      <c r="O1817" s="20" t="n"/>
      <c r="P1817" s="20" t="n"/>
      <c r="Q1817" s="26" t="n"/>
      <c r="R1817" s="20" t="n"/>
      <c r="S1817" s="20" t="n"/>
    </row>
    <row r="1818">
      <c r="A1818" s="24" t="n"/>
      <c r="B1818" s="20" t="n"/>
      <c r="C1818" s="20" t="n"/>
      <c r="D1818" s="23" t="n"/>
      <c r="E1818" s="20" t="n"/>
      <c r="F1818" s="20" t="n"/>
      <c r="G1818" s="25" t="n"/>
      <c r="H1818" s="20" t="n"/>
      <c r="I1818" s="20" t="n"/>
      <c r="J1818" s="20" t="n"/>
      <c r="K1818" s="20" t="n"/>
      <c r="L1818" s="25" t="n"/>
      <c r="M1818" s="20" t="n"/>
      <c r="N1818" s="20" t="n"/>
      <c r="O1818" s="20" t="n"/>
      <c r="P1818" s="20" t="n"/>
      <c r="Q1818" s="26" t="n"/>
      <c r="R1818" s="20" t="n"/>
      <c r="S1818" s="20" t="n"/>
    </row>
    <row r="1819">
      <c r="A1819" s="24" t="n"/>
      <c r="B1819" s="20" t="n"/>
      <c r="C1819" s="20" t="n"/>
      <c r="D1819" s="23" t="n"/>
      <c r="E1819" s="20" t="n"/>
      <c r="F1819" s="20" t="n"/>
      <c r="G1819" s="25" t="n"/>
      <c r="H1819" s="20" t="n"/>
      <c r="I1819" s="20" t="n"/>
      <c r="J1819" s="20" t="n"/>
      <c r="K1819" s="20" t="n"/>
      <c r="L1819" s="25" t="n"/>
      <c r="M1819" s="20" t="n"/>
      <c r="N1819" s="20" t="n"/>
      <c r="O1819" s="20" t="n"/>
      <c r="P1819" s="20" t="n"/>
      <c r="Q1819" s="26" t="n"/>
      <c r="R1819" s="20" t="n"/>
      <c r="S1819" s="20" t="n"/>
    </row>
    <row r="1820">
      <c r="A1820" s="24" t="n"/>
      <c r="B1820" s="20" t="n"/>
      <c r="C1820" s="20" t="n"/>
      <c r="D1820" s="23" t="n"/>
      <c r="E1820" s="20" t="n"/>
      <c r="F1820" s="20" t="n"/>
      <c r="G1820" s="25" t="n"/>
      <c r="H1820" s="20" t="n"/>
      <c r="I1820" s="20" t="n"/>
      <c r="J1820" s="20" t="n"/>
      <c r="K1820" s="20" t="n"/>
      <c r="L1820" s="25" t="n"/>
      <c r="M1820" s="20" t="n"/>
      <c r="N1820" s="20" t="n"/>
      <c r="O1820" s="20" t="n"/>
      <c r="P1820" s="20" t="n"/>
      <c r="Q1820" s="26" t="n"/>
      <c r="R1820" s="20" t="n"/>
      <c r="S1820" s="20" t="n"/>
    </row>
    <row r="1821">
      <c r="A1821" s="24" t="n"/>
      <c r="B1821" s="20" t="n"/>
      <c r="C1821" s="20" t="n"/>
      <c r="D1821" s="23" t="n"/>
      <c r="E1821" s="20" t="n"/>
      <c r="F1821" s="20" t="n"/>
      <c r="G1821" s="25" t="n"/>
      <c r="H1821" s="20" t="n"/>
      <c r="I1821" s="20" t="n"/>
      <c r="J1821" s="20" t="n"/>
      <c r="K1821" s="20" t="n"/>
      <c r="L1821" s="25" t="n"/>
      <c r="M1821" s="20" t="n"/>
      <c r="N1821" s="20" t="n"/>
      <c r="O1821" s="20" t="n"/>
      <c r="P1821" s="20" t="n"/>
      <c r="Q1821" s="26" t="n"/>
      <c r="R1821" s="20" t="n"/>
      <c r="S1821" s="20" t="n"/>
    </row>
    <row r="1822">
      <c r="A1822" s="24" t="n"/>
      <c r="B1822" s="20" t="n"/>
      <c r="C1822" s="20" t="n"/>
      <c r="D1822" s="23" t="n"/>
      <c r="E1822" s="20" t="n"/>
      <c r="F1822" s="20" t="n"/>
      <c r="G1822" s="25" t="n"/>
      <c r="H1822" s="20" t="n"/>
      <c r="I1822" s="20" t="n"/>
      <c r="J1822" s="20" t="n"/>
      <c r="K1822" s="20" t="n"/>
      <c r="L1822" s="25" t="n"/>
      <c r="M1822" s="20" t="n"/>
      <c r="N1822" s="20" t="n"/>
      <c r="O1822" s="20" t="n"/>
      <c r="P1822" s="20" t="n"/>
      <c r="Q1822" s="26" t="n"/>
      <c r="R1822" s="20" t="n"/>
      <c r="S1822" s="20" t="n"/>
    </row>
    <row r="1823">
      <c r="A1823" s="24" t="n"/>
      <c r="B1823" s="20" t="n"/>
      <c r="C1823" s="20" t="n"/>
      <c r="D1823" s="23" t="n"/>
      <c r="E1823" s="20" t="n"/>
      <c r="F1823" s="20" t="n"/>
      <c r="G1823" s="25" t="n"/>
      <c r="H1823" s="20" t="n"/>
      <c r="I1823" s="20" t="n"/>
      <c r="J1823" s="20" t="n"/>
      <c r="K1823" s="20" t="n"/>
      <c r="L1823" s="25" t="n"/>
      <c r="M1823" s="20" t="n"/>
      <c r="N1823" s="20" t="n"/>
      <c r="O1823" s="20" t="n"/>
      <c r="P1823" s="20" t="n"/>
      <c r="Q1823" s="26" t="n"/>
      <c r="R1823" s="20" t="n"/>
      <c r="S1823" s="20" t="n"/>
    </row>
    <row r="1824">
      <c r="A1824" s="24" t="n"/>
      <c r="B1824" s="20" t="n"/>
      <c r="C1824" s="20" t="n"/>
      <c r="D1824" s="23" t="n"/>
      <c r="E1824" s="20" t="n"/>
      <c r="F1824" s="20" t="n"/>
      <c r="G1824" s="25" t="n"/>
      <c r="H1824" s="20" t="n"/>
      <c r="I1824" s="20" t="n"/>
      <c r="J1824" s="20" t="n"/>
      <c r="K1824" s="20" t="n"/>
      <c r="L1824" s="25" t="n"/>
      <c r="M1824" s="20" t="n"/>
      <c r="N1824" s="20" t="n"/>
      <c r="O1824" s="20" t="n"/>
      <c r="P1824" s="20" t="n"/>
      <c r="Q1824" s="26" t="n"/>
      <c r="R1824" s="20" t="n"/>
      <c r="S1824" s="20" t="n"/>
    </row>
    <row r="1825">
      <c r="A1825" s="24" t="n"/>
      <c r="B1825" s="20" t="n"/>
      <c r="C1825" s="20" t="n"/>
      <c r="D1825" s="23" t="n"/>
      <c r="E1825" s="20" t="n"/>
      <c r="F1825" s="20" t="n"/>
      <c r="G1825" s="25" t="n"/>
      <c r="H1825" s="20" t="n"/>
      <c r="I1825" s="20" t="n"/>
      <c r="J1825" s="20" t="n"/>
      <c r="K1825" s="20" t="n"/>
      <c r="L1825" s="25" t="n"/>
      <c r="M1825" s="20" t="n"/>
      <c r="N1825" s="20" t="n"/>
      <c r="O1825" s="20" t="n"/>
      <c r="P1825" s="20" t="n"/>
      <c r="Q1825" s="26" t="n"/>
      <c r="R1825" s="20" t="n"/>
      <c r="S1825" s="20" t="n"/>
    </row>
    <row r="1826">
      <c r="A1826" s="24" t="n"/>
      <c r="B1826" s="20" t="n"/>
      <c r="C1826" s="20" t="n"/>
      <c r="D1826" s="23" t="n"/>
      <c r="E1826" s="20" t="n"/>
      <c r="F1826" s="20" t="n"/>
      <c r="G1826" s="25" t="n"/>
      <c r="H1826" s="20" t="n"/>
      <c r="I1826" s="20" t="n"/>
      <c r="J1826" s="20" t="n"/>
      <c r="K1826" s="20" t="n"/>
      <c r="L1826" s="25" t="n"/>
      <c r="M1826" s="20" t="n"/>
      <c r="N1826" s="20" t="n"/>
      <c r="O1826" s="20" t="n"/>
      <c r="P1826" s="20" t="n"/>
      <c r="Q1826" s="26" t="n"/>
      <c r="R1826" s="20" t="n"/>
      <c r="S1826" s="20" t="n"/>
    </row>
    <row r="1827">
      <c r="A1827" s="24" t="n"/>
      <c r="B1827" s="20" t="n"/>
      <c r="C1827" s="20" t="n"/>
      <c r="D1827" s="23" t="n"/>
      <c r="E1827" s="20" t="n"/>
      <c r="F1827" s="20" t="n"/>
      <c r="G1827" s="25" t="n"/>
      <c r="H1827" s="20" t="n"/>
      <c r="I1827" s="20" t="n"/>
      <c r="J1827" s="20" t="n"/>
      <c r="K1827" s="20" t="n"/>
      <c r="L1827" s="25" t="n"/>
      <c r="M1827" s="20" t="n"/>
      <c r="N1827" s="20" t="n"/>
      <c r="O1827" s="20" t="n"/>
      <c r="P1827" s="20" t="n"/>
      <c r="Q1827" s="26" t="n"/>
      <c r="R1827" s="20" t="n"/>
      <c r="S1827" s="20" t="n"/>
    </row>
    <row r="1828">
      <c r="A1828" s="24" t="n"/>
      <c r="B1828" s="20" t="n"/>
      <c r="C1828" s="20" t="n"/>
      <c r="D1828" s="23" t="n"/>
      <c r="E1828" s="20" t="n"/>
      <c r="F1828" s="20" t="n"/>
      <c r="G1828" s="25" t="n"/>
      <c r="H1828" s="20" t="n"/>
      <c r="I1828" s="20" t="n"/>
      <c r="J1828" s="20" t="n"/>
      <c r="K1828" s="20" t="n"/>
      <c r="L1828" s="25" t="n"/>
      <c r="M1828" s="20" t="n"/>
      <c r="N1828" s="20" t="n"/>
      <c r="O1828" s="20" t="n"/>
      <c r="P1828" s="20" t="n"/>
      <c r="Q1828" s="26" t="n"/>
      <c r="R1828" s="20" t="n"/>
      <c r="S1828" s="20" t="n"/>
    </row>
    <row r="1829">
      <c r="A1829" s="24" t="n"/>
      <c r="B1829" s="20" t="n"/>
      <c r="C1829" s="20" t="n"/>
      <c r="D1829" s="23" t="n"/>
      <c r="E1829" s="20" t="n"/>
      <c r="F1829" s="20" t="n"/>
      <c r="G1829" s="25" t="n"/>
      <c r="H1829" s="20" t="n"/>
      <c r="I1829" s="20" t="n"/>
      <c r="J1829" s="20" t="n"/>
      <c r="K1829" s="20" t="n"/>
      <c r="L1829" s="25" t="n"/>
      <c r="M1829" s="20" t="n"/>
      <c r="N1829" s="20" t="n"/>
      <c r="O1829" s="20" t="n"/>
      <c r="P1829" s="20" t="n"/>
      <c r="Q1829" s="26" t="n"/>
      <c r="R1829" s="20" t="n"/>
      <c r="S1829" s="20" t="n"/>
    </row>
    <row r="1830">
      <c r="A1830" s="24" t="n"/>
      <c r="B1830" s="20" t="n"/>
      <c r="C1830" s="20" t="n"/>
      <c r="D1830" s="23" t="n"/>
      <c r="E1830" s="20" t="n"/>
      <c r="F1830" s="20" t="n"/>
      <c r="G1830" s="25" t="n"/>
      <c r="H1830" s="20" t="n"/>
      <c r="I1830" s="20" t="n"/>
      <c r="J1830" s="20" t="n"/>
      <c r="K1830" s="20" t="n"/>
      <c r="L1830" s="25" t="n"/>
      <c r="M1830" s="20" t="n"/>
      <c r="N1830" s="20" t="n"/>
      <c r="O1830" s="20" t="n"/>
      <c r="P1830" s="20" t="n"/>
      <c r="Q1830" s="26" t="n"/>
      <c r="R1830" s="20" t="n"/>
      <c r="S1830" s="20" t="n"/>
    </row>
    <row r="1831">
      <c r="A1831" s="24" t="n"/>
      <c r="B1831" s="20" t="n"/>
      <c r="C1831" s="20" t="n"/>
      <c r="D1831" s="23" t="n"/>
      <c r="E1831" s="20" t="n"/>
      <c r="F1831" s="20" t="n"/>
      <c r="G1831" s="25" t="n"/>
      <c r="H1831" s="20" t="n"/>
      <c r="I1831" s="20" t="n"/>
      <c r="J1831" s="20" t="n"/>
      <c r="K1831" s="20" t="n"/>
      <c r="L1831" s="25" t="n"/>
      <c r="M1831" s="20" t="n"/>
      <c r="N1831" s="20" t="n"/>
      <c r="O1831" s="20" t="n"/>
      <c r="P1831" s="20" t="n"/>
      <c r="Q1831" s="26" t="n"/>
      <c r="R1831" s="20" t="n"/>
      <c r="S1831" s="20" t="n"/>
    </row>
    <row r="1832">
      <c r="A1832" s="24" t="n"/>
      <c r="B1832" s="20" t="n"/>
      <c r="C1832" s="20" t="n"/>
      <c r="D1832" s="23" t="n"/>
      <c r="E1832" s="20" t="n"/>
      <c r="F1832" s="20" t="n"/>
      <c r="G1832" s="25" t="n"/>
      <c r="H1832" s="20" t="n"/>
      <c r="I1832" s="20" t="n"/>
      <c r="J1832" s="20" t="n"/>
      <c r="K1832" s="20" t="n"/>
      <c r="L1832" s="25" t="n"/>
      <c r="M1832" s="20" t="n"/>
      <c r="N1832" s="20" t="n"/>
      <c r="O1832" s="20" t="n"/>
      <c r="P1832" s="20" t="n"/>
      <c r="Q1832" s="26" t="n"/>
      <c r="R1832" s="20" t="n"/>
      <c r="S1832" s="20" t="n"/>
    </row>
    <row r="1833">
      <c r="A1833" s="24" t="n"/>
      <c r="B1833" s="20" t="n"/>
      <c r="C1833" s="20" t="n"/>
      <c r="D1833" s="23" t="n"/>
      <c r="E1833" s="20" t="n"/>
      <c r="F1833" s="20" t="n"/>
      <c r="G1833" s="25" t="n"/>
      <c r="H1833" s="20" t="n"/>
      <c r="I1833" s="20" t="n"/>
      <c r="J1833" s="20" t="n"/>
      <c r="K1833" s="20" t="n"/>
      <c r="L1833" s="25" t="n"/>
      <c r="M1833" s="20" t="n"/>
      <c r="N1833" s="20" t="n"/>
      <c r="O1833" s="20" t="n"/>
      <c r="P1833" s="20" t="n"/>
      <c r="Q1833" s="26" t="n"/>
      <c r="R1833" s="20" t="n"/>
      <c r="S1833" s="20" t="n"/>
    </row>
    <row r="1834">
      <c r="A1834" s="24" t="n"/>
      <c r="B1834" s="20" t="n"/>
      <c r="C1834" s="20" t="n"/>
      <c r="D1834" s="23" t="n"/>
      <c r="E1834" s="20" t="n"/>
      <c r="F1834" s="20" t="n"/>
      <c r="G1834" s="25" t="n"/>
      <c r="H1834" s="20" t="n"/>
      <c r="I1834" s="20" t="n"/>
      <c r="J1834" s="20" t="n"/>
      <c r="K1834" s="20" t="n"/>
      <c r="L1834" s="25" t="n"/>
      <c r="M1834" s="20" t="n"/>
      <c r="N1834" s="20" t="n"/>
      <c r="O1834" s="20" t="n"/>
      <c r="P1834" s="20" t="n"/>
      <c r="Q1834" s="26" t="n"/>
      <c r="R1834" s="20" t="n"/>
      <c r="S1834" s="20" t="n"/>
    </row>
    <row r="1835">
      <c r="A1835" s="24" t="n"/>
      <c r="B1835" s="20" t="n"/>
      <c r="C1835" s="20" t="n"/>
      <c r="D1835" s="23" t="n"/>
      <c r="E1835" s="20" t="n"/>
      <c r="F1835" s="20" t="n"/>
      <c r="G1835" s="25" t="n"/>
      <c r="H1835" s="20" t="n"/>
      <c r="I1835" s="20" t="n"/>
      <c r="J1835" s="20" t="n"/>
      <c r="K1835" s="20" t="n"/>
      <c r="L1835" s="25" t="n"/>
      <c r="M1835" s="20" t="n"/>
      <c r="N1835" s="20" t="n"/>
      <c r="O1835" s="20" t="n"/>
      <c r="P1835" s="20" t="n"/>
      <c r="Q1835" s="26" t="n"/>
      <c r="R1835" s="20" t="n"/>
      <c r="S1835" s="20" t="n"/>
    </row>
    <row r="1836">
      <c r="A1836" s="24" t="n"/>
      <c r="B1836" s="20" t="n"/>
      <c r="C1836" s="20" t="n"/>
      <c r="D1836" s="23" t="n"/>
      <c r="E1836" s="20" t="n"/>
      <c r="F1836" s="20" t="n"/>
      <c r="G1836" s="25" t="n"/>
      <c r="H1836" s="20" t="n"/>
      <c r="I1836" s="20" t="n"/>
      <c r="J1836" s="20" t="n"/>
      <c r="K1836" s="20" t="n"/>
      <c r="L1836" s="25" t="n"/>
      <c r="M1836" s="20" t="n"/>
      <c r="N1836" s="20" t="n"/>
      <c r="O1836" s="20" t="n"/>
      <c r="P1836" s="20" t="n"/>
      <c r="Q1836" s="26" t="n"/>
      <c r="R1836" s="20" t="n"/>
      <c r="S1836" s="20" t="n"/>
    </row>
    <row r="1837">
      <c r="A1837" s="24" t="n"/>
      <c r="B1837" s="20" t="n"/>
      <c r="C1837" s="20" t="n"/>
      <c r="D1837" s="23" t="n"/>
      <c r="E1837" s="20" t="n"/>
      <c r="F1837" s="20" t="n"/>
      <c r="G1837" s="25" t="n"/>
      <c r="H1837" s="20" t="n"/>
      <c r="I1837" s="20" t="n"/>
      <c r="J1837" s="20" t="n"/>
      <c r="K1837" s="20" t="n"/>
      <c r="L1837" s="25" t="n"/>
      <c r="M1837" s="20" t="n"/>
      <c r="N1837" s="20" t="n"/>
      <c r="O1837" s="20" t="n"/>
      <c r="P1837" s="20" t="n"/>
      <c r="Q1837" s="26" t="n"/>
      <c r="R1837" s="20" t="n"/>
      <c r="S1837" s="20" t="n"/>
    </row>
    <row r="1838">
      <c r="A1838" s="24" t="n"/>
      <c r="B1838" s="20" t="n"/>
      <c r="C1838" s="20" t="n"/>
      <c r="D1838" s="23" t="n"/>
      <c r="E1838" s="20" t="n"/>
      <c r="F1838" s="20" t="n"/>
      <c r="G1838" s="25" t="n"/>
      <c r="H1838" s="20" t="n"/>
      <c r="I1838" s="20" t="n"/>
      <c r="J1838" s="20" t="n"/>
      <c r="K1838" s="20" t="n"/>
      <c r="L1838" s="25" t="n"/>
      <c r="M1838" s="20" t="n"/>
      <c r="N1838" s="20" t="n"/>
      <c r="O1838" s="20" t="n"/>
      <c r="P1838" s="20" t="n"/>
      <c r="Q1838" s="26" t="n"/>
      <c r="R1838" s="20" t="n"/>
      <c r="S1838" s="20" t="n"/>
    </row>
    <row r="1839">
      <c r="A1839" s="24" t="n"/>
      <c r="B1839" s="20" t="n"/>
      <c r="C1839" s="20" t="n"/>
      <c r="D1839" s="23" t="n"/>
      <c r="E1839" s="20" t="n"/>
      <c r="F1839" s="20" t="n"/>
      <c r="G1839" s="25" t="n"/>
      <c r="H1839" s="20" t="n"/>
      <c r="I1839" s="20" t="n"/>
      <c r="J1839" s="20" t="n"/>
      <c r="K1839" s="20" t="n"/>
      <c r="L1839" s="25" t="n"/>
      <c r="M1839" s="20" t="n"/>
      <c r="N1839" s="20" t="n"/>
      <c r="O1839" s="20" t="n"/>
      <c r="P1839" s="20" t="n"/>
      <c r="Q1839" s="26" t="n"/>
      <c r="R1839" s="20" t="n"/>
      <c r="S1839" s="20" t="n"/>
    </row>
    <row r="1840">
      <c r="A1840" s="24" t="n"/>
      <c r="B1840" s="20" t="n"/>
      <c r="C1840" s="20" t="n"/>
      <c r="D1840" s="23" t="n"/>
      <c r="E1840" s="20" t="n"/>
      <c r="F1840" s="20" t="n"/>
      <c r="G1840" s="25" t="n"/>
      <c r="H1840" s="20" t="n"/>
      <c r="I1840" s="20" t="n"/>
      <c r="J1840" s="20" t="n"/>
      <c r="K1840" s="20" t="n"/>
      <c r="L1840" s="25" t="n"/>
      <c r="M1840" s="20" t="n"/>
      <c r="N1840" s="20" t="n"/>
      <c r="O1840" s="20" t="n"/>
      <c r="P1840" s="20" t="n"/>
      <c r="Q1840" s="26" t="n"/>
      <c r="R1840" s="20" t="n"/>
      <c r="S1840" s="20" t="n"/>
    </row>
    <row r="1841">
      <c r="A1841" s="24" t="n"/>
      <c r="B1841" s="20" t="n"/>
      <c r="C1841" s="20" t="n"/>
      <c r="D1841" s="23" t="n"/>
      <c r="E1841" s="20" t="n"/>
      <c r="F1841" s="20" t="n"/>
      <c r="G1841" s="25" t="n"/>
      <c r="H1841" s="20" t="n"/>
      <c r="I1841" s="20" t="n"/>
      <c r="J1841" s="20" t="n"/>
      <c r="K1841" s="20" t="n"/>
      <c r="L1841" s="25" t="n"/>
      <c r="M1841" s="20" t="n"/>
      <c r="N1841" s="20" t="n"/>
      <c r="O1841" s="20" t="n"/>
      <c r="P1841" s="20" t="n"/>
      <c r="Q1841" s="26" t="n"/>
      <c r="R1841" s="20" t="n"/>
      <c r="S1841" s="20" t="n"/>
    </row>
    <row r="1842">
      <c r="A1842" s="24" t="n"/>
      <c r="B1842" s="20" t="n"/>
      <c r="C1842" s="20" t="n"/>
      <c r="D1842" s="23" t="n"/>
      <c r="E1842" s="20" t="n"/>
      <c r="F1842" s="20" t="n"/>
      <c r="G1842" s="25" t="n"/>
      <c r="H1842" s="20" t="n"/>
      <c r="I1842" s="20" t="n"/>
      <c r="J1842" s="20" t="n"/>
      <c r="K1842" s="20" t="n"/>
      <c r="L1842" s="25" t="n"/>
      <c r="M1842" s="20" t="n"/>
      <c r="N1842" s="20" t="n"/>
      <c r="O1842" s="20" t="n"/>
      <c r="P1842" s="20" t="n"/>
      <c r="Q1842" s="26" t="n"/>
      <c r="R1842" s="20" t="n"/>
      <c r="S1842" s="20" t="n"/>
    </row>
    <row r="1843">
      <c r="A1843" s="24" t="n"/>
      <c r="B1843" s="20" t="n"/>
      <c r="C1843" s="20" t="n"/>
      <c r="D1843" s="23" t="n"/>
      <c r="E1843" s="20" t="n"/>
      <c r="F1843" s="20" t="n"/>
      <c r="G1843" s="25" t="n"/>
      <c r="H1843" s="20" t="n"/>
      <c r="I1843" s="20" t="n"/>
      <c r="J1843" s="20" t="n"/>
      <c r="K1843" s="20" t="n"/>
      <c r="L1843" s="25" t="n"/>
      <c r="M1843" s="20" t="n"/>
      <c r="N1843" s="20" t="n"/>
      <c r="O1843" s="20" t="n"/>
      <c r="P1843" s="20" t="n"/>
      <c r="Q1843" s="26" t="n"/>
      <c r="R1843" s="20" t="n"/>
      <c r="S1843" s="20" t="n"/>
    </row>
    <row r="1844">
      <c r="A1844" s="24" t="n"/>
      <c r="B1844" s="20" t="n"/>
      <c r="C1844" s="20" t="n"/>
      <c r="D1844" s="23" t="n"/>
      <c r="E1844" s="20" t="n"/>
      <c r="F1844" s="20" t="n"/>
      <c r="G1844" s="25" t="n"/>
      <c r="H1844" s="20" t="n"/>
      <c r="I1844" s="20" t="n"/>
      <c r="J1844" s="20" t="n"/>
      <c r="K1844" s="20" t="n"/>
      <c r="L1844" s="25" t="n"/>
      <c r="M1844" s="20" t="n"/>
      <c r="N1844" s="20" t="n"/>
      <c r="O1844" s="20" t="n"/>
      <c r="P1844" s="20" t="n"/>
      <c r="Q1844" s="26" t="n"/>
      <c r="R1844" s="20" t="n"/>
      <c r="S1844" s="20" t="n"/>
    </row>
    <row r="1845">
      <c r="A1845" s="24" t="n"/>
      <c r="B1845" s="20" t="n"/>
      <c r="C1845" s="20" t="n"/>
      <c r="D1845" s="23" t="n"/>
      <c r="E1845" s="20" t="n"/>
      <c r="F1845" s="20" t="n"/>
      <c r="G1845" s="25" t="n"/>
      <c r="H1845" s="20" t="n"/>
      <c r="I1845" s="20" t="n"/>
      <c r="J1845" s="20" t="n"/>
      <c r="K1845" s="20" t="n"/>
      <c r="L1845" s="25" t="n"/>
      <c r="M1845" s="20" t="n"/>
      <c r="N1845" s="20" t="n"/>
      <c r="O1845" s="20" t="n"/>
      <c r="P1845" s="20" t="n"/>
      <c r="Q1845" s="26" t="n"/>
      <c r="R1845" s="20" t="n"/>
      <c r="S1845" s="20" t="n"/>
    </row>
    <row r="1846">
      <c r="A1846" s="24" t="n"/>
      <c r="B1846" s="20" t="n"/>
      <c r="C1846" s="20" t="n"/>
      <c r="D1846" s="23" t="n"/>
      <c r="E1846" s="20" t="n"/>
      <c r="F1846" s="20" t="n"/>
      <c r="G1846" s="25" t="n"/>
      <c r="H1846" s="20" t="n"/>
      <c r="I1846" s="20" t="n"/>
      <c r="J1846" s="20" t="n"/>
      <c r="K1846" s="20" t="n"/>
      <c r="L1846" s="25" t="n"/>
      <c r="M1846" s="20" t="n"/>
      <c r="N1846" s="20" t="n"/>
      <c r="O1846" s="20" t="n"/>
      <c r="P1846" s="20" t="n"/>
      <c r="Q1846" s="26" t="n"/>
      <c r="R1846" s="20" t="n"/>
      <c r="S1846" s="20" t="n"/>
    </row>
    <row r="1847">
      <c r="A1847" s="24" t="n"/>
      <c r="B1847" s="20" t="n"/>
      <c r="C1847" s="20" t="n"/>
      <c r="D1847" s="23" t="n"/>
      <c r="E1847" s="20" t="n"/>
      <c r="F1847" s="20" t="n"/>
      <c r="G1847" s="25" t="n"/>
      <c r="H1847" s="20" t="n"/>
      <c r="I1847" s="20" t="n"/>
      <c r="J1847" s="20" t="n"/>
      <c r="K1847" s="20" t="n"/>
      <c r="L1847" s="25" t="n"/>
      <c r="M1847" s="20" t="n"/>
      <c r="N1847" s="20" t="n"/>
      <c r="O1847" s="20" t="n"/>
      <c r="P1847" s="20" t="n"/>
      <c r="Q1847" s="26" t="n"/>
      <c r="R1847" s="20" t="n"/>
      <c r="S1847" s="20" t="n"/>
    </row>
    <row r="1848">
      <c r="A1848" s="24" t="n"/>
      <c r="B1848" s="20" t="n"/>
      <c r="C1848" s="20" t="n"/>
      <c r="D1848" s="23" t="n"/>
      <c r="E1848" s="20" t="n"/>
      <c r="F1848" s="20" t="n"/>
      <c r="G1848" s="25" t="n"/>
      <c r="H1848" s="20" t="n"/>
      <c r="I1848" s="20" t="n"/>
      <c r="J1848" s="20" t="n"/>
      <c r="K1848" s="20" t="n"/>
      <c r="L1848" s="25" t="n"/>
      <c r="M1848" s="20" t="n"/>
      <c r="N1848" s="20" t="n"/>
      <c r="O1848" s="20" t="n"/>
      <c r="P1848" s="20" t="n"/>
      <c r="Q1848" s="26" t="n"/>
      <c r="R1848" s="20" t="n"/>
      <c r="S1848" s="20" t="n"/>
    </row>
    <row r="1849">
      <c r="A1849" s="24" t="n"/>
      <c r="B1849" s="20" t="n"/>
      <c r="C1849" s="20" t="n"/>
      <c r="D1849" s="23" t="n"/>
      <c r="E1849" s="20" t="n"/>
      <c r="F1849" s="20" t="n"/>
      <c r="G1849" s="25" t="n"/>
      <c r="H1849" s="20" t="n"/>
      <c r="I1849" s="20" t="n"/>
      <c r="J1849" s="20" t="n"/>
      <c r="K1849" s="20" t="n"/>
      <c r="L1849" s="25" t="n"/>
      <c r="M1849" s="20" t="n"/>
      <c r="N1849" s="20" t="n"/>
      <c r="O1849" s="20" t="n"/>
      <c r="P1849" s="20" t="n"/>
      <c r="Q1849" s="26" t="n"/>
      <c r="R1849" s="20" t="n"/>
      <c r="S1849" s="20" t="n"/>
    </row>
    <row r="1850">
      <c r="A1850" s="24" t="n"/>
      <c r="B1850" s="20" t="n"/>
      <c r="C1850" s="20" t="n"/>
      <c r="D1850" s="23" t="n"/>
      <c r="E1850" s="20" t="n"/>
      <c r="F1850" s="20" t="n"/>
      <c r="G1850" s="25" t="n"/>
      <c r="H1850" s="20" t="n"/>
      <c r="I1850" s="20" t="n"/>
      <c r="J1850" s="20" t="n"/>
      <c r="K1850" s="20" t="n"/>
      <c r="L1850" s="25" t="n"/>
      <c r="M1850" s="20" t="n"/>
      <c r="N1850" s="20" t="n"/>
      <c r="O1850" s="20" t="n"/>
      <c r="P1850" s="20" t="n"/>
      <c r="Q1850" s="26" t="n"/>
      <c r="R1850" s="20" t="n"/>
      <c r="S1850" s="20" t="n"/>
    </row>
    <row r="1851">
      <c r="A1851" s="24" t="n"/>
      <c r="B1851" s="20" t="n"/>
      <c r="C1851" s="20" t="n"/>
      <c r="D1851" s="23" t="n"/>
      <c r="E1851" s="20" t="n"/>
      <c r="F1851" s="20" t="n"/>
      <c r="G1851" s="25" t="n"/>
      <c r="H1851" s="20" t="n"/>
      <c r="I1851" s="20" t="n"/>
      <c r="J1851" s="20" t="n"/>
      <c r="K1851" s="20" t="n"/>
      <c r="L1851" s="25" t="n"/>
      <c r="M1851" s="20" t="n"/>
      <c r="N1851" s="20" t="n"/>
      <c r="O1851" s="20" t="n"/>
      <c r="P1851" s="20" t="n"/>
      <c r="Q1851" s="26" t="n"/>
      <c r="R1851" s="20" t="n"/>
      <c r="S1851" s="20" t="n"/>
    </row>
    <row r="1852">
      <c r="A1852" s="24" t="n"/>
      <c r="B1852" s="20" t="n"/>
      <c r="C1852" s="20" t="n"/>
      <c r="D1852" s="23" t="n"/>
      <c r="E1852" s="20" t="n"/>
      <c r="F1852" s="20" t="n"/>
      <c r="G1852" s="25" t="n"/>
      <c r="H1852" s="20" t="n"/>
      <c r="I1852" s="20" t="n"/>
      <c r="J1852" s="20" t="n"/>
      <c r="K1852" s="20" t="n"/>
      <c r="L1852" s="25" t="n"/>
      <c r="M1852" s="20" t="n"/>
      <c r="N1852" s="20" t="n"/>
      <c r="O1852" s="20" t="n"/>
      <c r="P1852" s="20" t="n"/>
      <c r="Q1852" s="26" t="n"/>
      <c r="R1852" s="20" t="n"/>
      <c r="S1852" s="20" t="n"/>
    </row>
    <row r="1853">
      <c r="A1853" s="24" t="n"/>
      <c r="B1853" s="20" t="n"/>
      <c r="C1853" s="20" t="n"/>
      <c r="D1853" s="23" t="n"/>
      <c r="E1853" s="20" t="n"/>
      <c r="F1853" s="20" t="n"/>
      <c r="G1853" s="25" t="n"/>
      <c r="H1853" s="20" t="n"/>
      <c r="I1853" s="20" t="n"/>
      <c r="J1853" s="20" t="n"/>
      <c r="K1853" s="20" t="n"/>
      <c r="L1853" s="25" t="n"/>
      <c r="M1853" s="20" t="n"/>
      <c r="N1853" s="20" t="n"/>
      <c r="O1853" s="20" t="n"/>
      <c r="P1853" s="20" t="n"/>
      <c r="Q1853" s="26" t="n"/>
      <c r="R1853" s="20" t="n"/>
      <c r="S1853" s="20" t="n"/>
    </row>
    <row r="1854">
      <c r="A1854" s="24" t="n"/>
      <c r="B1854" s="20" t="n"/>
      <c r="C1854" s="20" t="n"/>
      <c r="D1854" s="23" t="n"/>
      <c r="E1854" s="20" t="n"/>
      <c r="F1854" s="20" t="n"/>
      <c r="G1854" s="25" t="n"/>
      <c r="H1854" s="20" t="n"/>
      <c r="I1854" s="20" t="n"/>
      <c r="J1854" s="20" t="n"/>
      <c r="K1854" s="20" t="n"/>
      <c r="L1854" s="25" t="n"/>
      <c r="M1854" s="20" t="n"/>
      <c r="N1854" s="20" t="n"/>
      <c r="O1854" s="20" t="n"/>
      <c r="P1854" s="20" t="n"/>
      <c r="Q1854" s="26" t="n"/>
      <c r="R1854" s="20" t="n"/>
      <c r="S1854" s="20" t="n"/>
    </row>
    <row r="1855">
      <c r="A1855" s="24" t="n"/>
      <c r="B1855" s="20" t="n"/>
      <c r="C1855" s="20" t="n"/>
      <c r="D1855" s="23" t="n"/>
      <c r="E1855" s="20" t="n"/>
      <c r="F1855" s="20" t="n"/>
      <c r="G1855" s="25" t="n"/>
      <c r="H1855" s="20" t="n"/>
      <c r="I1855" s="20" t="n"/>
      <c r="J1855" s="20" t="n"/>
      <c r="K1855" s="20" t="n"/>
      <c r="L1855" s="25" t="n"/>
      <c r="M1855" s="20" t="n"/>
      <c r="N1855" s="20" t="n"/>
      <c r="O1855" s="20" t="n"/>
      <c r="P1855" s="20" t="n"/>
      <c r="Q1855" s="26" t="n"/>
      <c r="R1855" s="20" t="n"/>
      <c r="S1855" s="20" t="n"/>
    </row>
    <row r="1856">
      <c r="A1856" s="24" t="n"/>
      <c r="B1856" s="20" t="n"/>
      <c r="C1856" s="20" t="n"/>
      <c r="D1856" s="23" t="n"/>
      <c r="E1856" s="20" t="n"/>
      <c r="F1856" s="20" t="n"/>
      <c r="G1856" s="25" t="n"/>
      <c r="H1856" s="20" t="n"/>
      <c r="I1856" s="20" t="n"/>
      <c r="J1856" s="20" t="n"/>
      <c r="K1856" s="20" t="n"/>
      <c r="L1856" s="25" t="n"/>
      <c r="M1856" s="20" t="n"/>
      <c r="N1856" s="20" t="n"/>
      <c r="O1856" s="20" t="n"/>
      <c r="P1856" s="20" t="n"/>
      <c r="Q1856" s="26" t="n"/>
      <c r="R1856" s="20" t="n"/>
      <c r="S1856" s="20" t="n"/>
    </row>
    <row r="1857">
      <c r="A1857" s="24" t="n"/>
      <c r="B1857" s="20" t="n"/>
      <c r="C1857" s="20" t="n"/>
      <c r="D1857" s="23" t="n"/>
      <c r="E1857" s="20" t="n"/>
      <c r="F1857" s="20" t="n"/>
      <c r="G1857" s="25" t="n"/>
      <c r="H1857" s="20" t="n"/>
      <c r="I1857" s="20" t="n"/>
      <c r="J1857" s="20" t="n"/>
      <c r="K1857" s="20" t="n"/>
      <c r="L1857" s="25" t="n"/>
      <c r="M1857" s="20" t="n"/>
      <c r="N1857" s="20" t="n"/>
      <c r="O1857" s="20" t="n"/>
      <c r="P1857" s="20" t="n"/>
      <c r="Q1857" s="26" t="n"/>
      <c r="R1857" s="20" t="n"/>
      <c r="S1857" s="20" t="n"/>
    </row>
    <row r="1858">
      <c r="A1858" s="24" t="n"/>
      <c r="B1858" s="20" t="n"/>
      <c r="C1858" s="20" t="n"/>
      <c r="D1858" s="23" t="n"/>
      <c r="E1858" s="20" t="n"/>
      <c r="F1858" s="20" t="n"/>
      <c r="G1858" s="25" t="n"/>
      <c r="H1858" s="20" t="n"/>
      <c r="I1858" s="20" t="n"/>
      <c r="J1858" s="20" t="n"/>
      <c r="K1858" s="20" t="n"/>
      <c r="L1858" s="25" t="n"/>
      <c r="M1858" s="20" t="n"/>
      <c r="N1858" s="20" t="n"/>
      <c r="O1858" s="20" t="n"/>
      <c r="P1858" s="20" t="n"/>
      <c r="Q1858" s="26" t="n"/>
      <c r="R1858" s="20" t="n"/>
      <c r="S1858" s="20" t="n"/>
    </row>
    <row r="1859">
      <c r="A1859" s="24" t="n"/>
      <c r="B1859" s="20" t="n"/>
      <c r="C1859" s="20" t="n"/>
      <c r="D1859" s="23" t="n"/>
      <c r="E1859" s="20" t="n"/>
      <c r="F1859" s="20" t="n"/>
      <c r="G1859" s="25" t="n"/>
      <c r="H1859" s="20" t="n"/>
      <c r="I1859" s="20" t="n"/>
      <c r="J1859" s="20" t="n"/>
      <c r="K1859" s="20" t="n"/>
      <c r="L1859" s="25" t="n"/>
      <c r="M1859" s="20" t="n"/>
      <c r="N1859" s="20" t="n"/>
      <c r="O1859" s="20" t="n"/>
      <c r="P1859" s="20" t="n"/>
      <c r="Q1859" s="26" t="n"/>
      <c r="R1859" s="20" t="n"/>
      <c r="S1859" s="20" t="n"/>
    </row>
    <row r="1860">
      <c r="A1860" s="24" t="n"/>
      <c r="B1860" s="20" t="n"/>
      <c r="C1860" s="20" t="n"/>
      <c r="D1860" s="23" t="n"/>
      <c r="E1860" s="20" t="n"/>
      <c r="F1860" s="20" t="n"/>
      <c r="G1860" s="25" t="n"/>
      <c r="H1860" s="20" t="n"/>
      <c r="I1860" s="20" t="n"/>
      <c r="J1860" s="20" t="n"/>
      <c r="K1860" s="20" t="n"/>
      <c r="L1860" s="25" t="n"/>
      <c r="M1860" s="20" t="n"/>
      <c r="N1860" s="20" t="n"/>
      <c r="O1860" s="20" t="n"/>
      <c r="P1860" s="20" t="n"/>
      <c r="Q1860" s="26" t="n"/>
      <c r="R1860" s="20" t="n"/>
      <c r="S1860" s="20" t="n"/>
    </row>
    <row r="1861">
      <c r="A1861" s="24" t="n"/>
      <c r="B1861" s="20" t="n"/>
      <c r="C1861" s="20" t="n"/>
      <c r="D1861" s="23" t="n"/>
      <c r="E1861" s="20" t="n"/>
      <c r="F1861" s="20" t="n"/>
      <c r="G1861" s="25" t="n"/>
      <c r="H1861" s="20" t="n"/>
      <c r="I1861" s="20" t="n"/>
      <c r="J1861" s="20" t="n"/>
      <c r="K1861" s="20" t="n"/>
      <c r="L1861" s="25" t="n"/>
      <c r="M1861" s="20" t="n"/>
      <c r="N1861" s="20" t="n"/>
      <c r="O1861" s="20" t="n"/>
      <c r="P1861" s="20" t="n"/>
      <c r="Q1861" s="26" t="n"/>
      <c r="R1861" s="20" t="n"/>
      <c r="S1861" s="20" t="n"/>
    </row>
    <row r="1862">
      <c r="A1862" s="24" t="n"/>
      <c r="B1862" s="20" t="n"/>
      <c r="C1862" s="20" t="n"/>
      <c r="D1862" s="23" t="n"/>
      <c r="E1862" s="20" t="n"/>
      <c r="F1862" s="20" t="n"/>
      <c r="G1862" s="25" t="n"/>
      <c r="H1862" s="20" t="n"/>
      <c r="I1862" s="20" t="n"/>
      <c r="J1862" s="20" t="n"/>
      <c r="K1862" s="20" t="n"/>
      <c r="L1862" s="25" t="n"/>
      <c r="M1862" s="20" t="n"/>
      <c r="N1862" s="20" t="n"/>
      <c r="O1862" s="20" t="n"/>
      <c r="P1862" s="20" t="n"/>
      <c r="Q1862" s="26" t="n"/>
      <c r="R1862" s="20" t="n"/>
      <c r="S1862" s="20" t="n"/>
    </row>
    <row r="1863">
      <c r="A1863" s="24" t="n"/>
      <c r="B1863" s="20" t="n"/>
      <c r="C1863" s="20" t="n"/>
      <c r="D1863" s="23" t="n"/>
      <c r="E1863" s="20" t="n"/>
      <c r="F1863" s="20" t="n"/>
      <c r="G1863" s="25" t="n"/>
      <c r="H1863" s="20" t="n"/>
      <c r="I1863" s="20" t="n"/>
      <c r="J1863" s="20" t="n"/>
      <c r="K1863" s="20" t="n"/>
      <c r="L1863" s="25" t="n"/>
      <c r="M1863" s="20" t="n"/>
      <c r="N1863" s="20" t="n"/>
      <c r="O1863" s="20" t="n"/>
      <c r="P1863" s="20" t="n"/>
      <c r="Q1863" s="26" t="n"/>
      <c r="R1863" s="20" t="n"/>
      <c r="S1863" s="20" t="n"/>
    </row>
    <row r="1864">
      <c r="A1864" s="24" t="n"/>
      <c r="B1864" s="20" t="n"/>
      <c r="C1864" s="20" t="n"/>
      <c r="D1864" s="23" t="n"/>
      <c r="E1864" s="20" t="n"/>
      <c r="F1864" s="20" t="n"/>
      <c r="G1864" s="25" t="n"/>
      <c r="H1864" s="20" t="n"/>
      <c r="I1864" s="20" t="n"/>
      <c r="J1864" s="20" t="n"/>
      <c r="K1864" s="20" t="n"/>
      <c r="L1864" s="25" t="n"/>
      <c r="M1864" s="20" t="n"/>
      <c r="N1864" s="20" t="n"/>
      <c r="O1864" s="20" t="n"/>
      <c r="P1864" s="20" t="n"/>
      <c r="Q1864" s="26" t="n"/>
      <c r="R1864" s="20" t="n"/>
      <c r="S1864" s="20" t="n"/>
    </row>
    <row r="1865">
      <c r="A1865" s="24" t="n"/>
      <c r="B1865" s="20" t="n"/>
      <c r="C1865" s="20" t="n"/>
      <c r="D1865" s="23" t="n"/>
      <c r="E1865" s="20" t="n"/>
      <c r="F1865" s="20" t="n"/>
      <c r="G1865" s="25" t="n"/>
      <c r="H1865" s="20" t="n"/>
      <c r="I1865" s="20" t="n"/>
      <c r="J1865" s="20" t="n"/>
      <c r="K1865" s="20" t="n"/>
      <c r="L1865" s="25" t="n"/>
      <c r="M1865" s="20" t="n"/>
      <c r="N1865" s="20" t="n"/>
      <c r="O1865" s="20" t="n"/>
      <c r="P1865" s="20" t="n"/>
      <c r="Q1865" s="26" t="n"/>
      <c r="R1865" s="20" t="n"/>
      <c r="S1865" s="20" t="n"/>
    </row>
    <row r="1866">
      <c r="A1866" s="24" t="n"/>
      <c r="B1866" s="20" t="n"/>
      <c r="C1866" s="20" t="n"/>
      <c r="D1866" s="23" t="n"/>
      <c r="E1866" s="20" t="n"/>
      <c r="F1866" s="20" t="n"/>
      <c r="G1866" s="25" t="n"/>
      <c r="H1866" s="20" t="n"/>
      <c r="I1866" s="20" t="n"/>
      <c r="J1866" s="20" t="n"/>
      <c r="K1866" s="20" t="n"/>
      <c r="L1866" s="25" t="n"/>
      <c r="M1866" s="20" t="n"/>
      <c r="N1866" s="20" t="n"/>
      <c r="O1866" s="20" t="n"/>
      <c r="P1866" s="20" t="n"/>
      <c r="Q1866" s="26" t="n"/>
      <c r="R1866" s="20" t="n"/>
      <c r="S1866" s="20" t="n"/>
    </row>
    <row r="1867">
      <c r="A1867" s="24" t="n"/>
      <c r="B1867" s="20" t="n"/>
      <c r="C1867" s="20" t="n"/>
      <c r="D1867" s="23" t="n"/>
      <c r="E1867" s="20" t="n"/>
      <c r="F1867" s="20" t="n"/>
      <c r="G1867" s="25" t="n"/>
      <c r="H1867" s="20" t="n"/>
      <c r="I1867" s="20" t="n"/>
      <c r="J1867" s="20" t="n"/>
      <c r="K1867" s="20" t="n"/>
      <c r="L1867" s="25" t="n"/>
      <c r="M1867" s="20" t="n"/>
      <c r="N1867" s="20" t="n"/>
      <c r="O1867" s="20" t="n"/>
      <c r="P1867" s="20" t="n"/>
      <c r="Q1867" s="26" t="n"/>
      <c r="R1867" s="20" t="n"/>
      <c r="S1867" s="20" t="n"/>
    </row>
    <row r="1868">
      <c r="A1868" s="24" t="n"/>
      <c r="B1868" s="20" t="n"/>
      <c r="C1868" s="20" t="n"/>
      <c r="D1868" s="23" t="n"/>
      <c r="E1868" s="20" t="n"/>
      <c r="F1868" s="20" t="n"/>
      <c r="G1868" s="25" t="n"/>
      <c r="H1868" s="20" t="n"/>
      <c r="I1868" s="20" t="n"/>
      <c r="J1868" s="20" t="n"/>
      <c r="K1868" s="20" t="n"/>
      <c r="L1868" s="25" t="n"/>
      <c r="M1868" s="20" t="n"/>
      <c r="N1868" s="20" t="n"/>
      <c r="O1868" s="20" t="n"/>
      <c r="P1868" s="20" t="n"/>
      <c r="Q1868" s="26" t="n"/>
      <c r="R1868" s="20" t="n"/>
      <c r="S1868" s="20" t="n"/>
    </row>
    <row r="1869">
      <c r="A1869" s="24" t="n"/>
      <c r="B1869" s="20" t="n"/>
      <c r="C1869" s="20" t="n"/>
      <c r="D1869" s="23" t="n"/>
      <c r="E1869" s="20" t="n"/>
      <c r="F1869" s="20" t="n"/>
      <c r="G1869" s="25" t="n"/>
      <c r="H1869" s="20" t="n"/>
      <c r="I1869" s="20" t="n"/>
      <c r="J1869" s="20" t="n"/>
      <c r="K1869" s="20" t="n"/>
      <c r="L1869" s="25" t="n"/>
      <c r="M1869" s="20" t="n"/>
      <c r="N1869" s="20" t="n"/>
      <c r="O1869" s="20" t="n"/>
      <c r="P1869" s="20" t="n"/>
      <c r="Q1869" s="26" t="n"/>
      <c r="R1869" s="20" t="n"/>
      <c r="S1869" s="20" t="n"/>
    </row>
    <row r="1870">
      <c r="A1870" s="24" t="n"/>
      <c r="B1870" s="20" t="n"/>
      <c r="C1870" s="20" t="n"/>
      <c r="D1870" s="23" t="n"/>
      <c r="E1870" s="20" t="n"/>
      <c r="F1870" s="20" t="n"/>
      <c r="G1870" s="25" t="n"/>
      <c r="H1870" s="20" t="n"/>
      <c r="I1870" s="20" t="n"/>
      <c r="J1870" s="20" t="n"/>
      <c r="K1870" s="20" t="n"/>
      <c r="L1870" s="25" t="n"/>
      <c r="M1870" s="20" t="n"/>
      <c r="N1870" s="20" t="n"/>
      <c r="O1870" s="20" t="n"/>
      <c r="P1870" s="20" t="n"/>
      <c r="Q1870" s="26" t="n"/>
      <c r="R1870" s="20" t="n"/>
      <c r="S1870" s="20" t="n"/>
    </row>
    <row r="1871">
      <c r="A1871" s="24" t="n"/>
      <c r="B1871" s="20" t="n"/>
      <c r="C1871" s="20" t="n"/>
      <c r="D1871" s="23" t="n"/>
      <c r="E1871" s="20" t="n"/>
      <c r="F1871" s="20" t="n"/>
      <c r="G1871" s="25" t="n"/>
      <c r="H1871" s="20" t="n"/>
      <c r="I1871" s="20" t="n"/>
      <c r="J1871" s="20" t="n"/>
      <c r="K1871" s="20" t="n"/>
      <c r="L1871" s="25" t="n"/>
      <c r="M1871" s="20" t="n"/>
      <c r="N1871" s="20" t="n"/>
      <c r="O1871" s="20" t="n"/>
      <c r="P1871" s="20" t="n"/>
      <c r="Q1871" s="26" t="n"/>
      <c r="R1871" s="20" t="n"/>
      <c r="S1871" s="20" t="n"/>
    </row>
    <row r="1872">
      <c r="A1872" s="24" t="n"/>
      <c r="B1872" s="20" t="n"/>
      <c r="C1872" s="20" t="n"/>
      <c r="D1872" s="23" t="n"/>
      <c r="E1872" s="20" t="n"/>
      <c r="F1872" s="20" t="n"/>
      <c r="G1872" s="25" t="n"/>
      <c r="H1872" s="20" t="n"/>
      <c r="I1872" s="20" t="n"/>
      <c r="J1872" s="20" t="n"/>
      <c r="K1872" s="20" t="n"/>
      <c r="L1872" s="25" t="n"/>
      <c r="M1872" s="20" t="n"/>
      <c r="N1872" s="20" t="n"/>
      <c r="O1872" s="20" t="n"/>
      <c r="P1872" s="20" t="n"/>
      <c r="Q1872" s="26" t="n"/>
      <c r="R1872" s="20" t="n"/>
      <c r="S1872" s="20" t="n"/>
    </row>
    <row r="1873">
      <c r="A1873" s="24" t="n"/>
      <c r="B1873" s="20" t="n"/>
      <c r="C1873" s="20" t="n"/>
      <c r="D1873" s="23" t="n"/>
      <c r="E1873" s="20" t="n"/>
      <c r="F1873" s="20" t="n"/>
      <c r="G1873" s="25" t="n"/>
      <c r="H1873" s="20" t="n"/>
      <c r="I1873" s="20" t="n"/>
      <c r="J1873" s="20" t="n"/>
      <c r="K1873" s="20" t="n"/>
      <c r="L1873" s="25" t="n"/>
      <c r="M1873" s="20" t="n"/>
      <c r="N1873" s="20" t="n"/>
      <c r="O1873" s="20" t="n"/>
      <c r="P1873" s="20" t="n"/>
      <c r="Q1873" s="26" t="n"/>
      <c r="R1873" s="20" t="n"/>
      <c r="S1873" s="20" t="n"/>
    </row>
    <row r="1874">
      <c r="A1874" s="24" t="n"/>
      <c r="B1874" s="20" t="n"/>
      <c r="C1874" s="20" t="n"/>
      <c r="D1874" s="23" t="n"/>
      <c r="E1874" s="20" t="n"/>
      <c r="F1874" s="20" t="n"/>
      <c r="G1874" s="25" t="n"/>
      <c r="H1874" s="20" t="n"/>
      <c r="I1874" s="20" t="n"/>
      <c r="J1874" s="20" t="n"/>
      <c r="K1874" s="20" t="n"/>
      <c r="L1874" s="25" t="n"/>
      <c r="M1874" s="20" t="n"/>
      <c r="N1874" s="20" t="n"/>
      <c r="O1874" s="20" t="n"/>
      <c r="P1874" s="20" t="n"/>
      <c r="Q1874" s="26" t="n"/>
      <c r="R1874" s="20" t="n"/>
      <c r="S1874" s="20" t="n"/>
    </row>
    <row r="1875">
      <c r="A1875" s="24" t="n"/>
      <c r="B1875" s="20" t="n"/>
      <c r="C1875" s="20" t="n"/>
      <c r="D1875" s="23" t="n"/>
      <c r="E1875" s="20" t="n"/>
      <c r="F1875" s="20" t="n"/>
      <c r="G1875" s="25" t="n"/>
      <c r="H1875" s="20" t="n"/>
      <c r="I1875" s="20" t="n"/>
      <c r="J1875" s="20" t="n"/>
      <c r="K1875" s="20" t="n"/>
      <c r="L1875" s="25" t="n"/>
      <c r="M1875" s="20" t="n"/>
      <c r="N1875" s="20" t="n"/>
      <c r="O1875" s="20" t="n"/>
      <c r="P1875" s="20" t="n"/>
      <c r="Q1875" s="26" t="n"/>
      <c r="R1875" s="20" t="n"/>
      <c r="S1875" s="20" t="n"/>
    </row>
    <row r="1876">
      <c r="A1876" s="24" t="n"/>
      <c r="B1876" s="20" t="n"/>
      <c r="C1876" s="20" t="n"/>
      <c r="D1876" s="23" t="n"/>
      <c r="E1876" s="20" t="n"/>
      <c r="F1876" s="20" t="n"/>
      <c r="G1876" s="25" t="n"/>
      <c r="H1876" s="20" t="n"/>
      <c r="I1876" s="20" t="n"/>
      <c r="J1876" s="20" t="n"/>
      <c r="K1876" s="20" t="n"/>
      <c r="L1876" s="25" t="n"/>
      <c r="M1876" s="20" t="n"/>
      <c r="N1876" s="20" t="n"/>
      <c r="O1876" s="20" t="n"/>
      <c r="P1876" s="20" t="n"/>
      <c r="Q1876" s="26" t="n"/>
      <c r="R1876" s="20" t="n"/>
      <c r="S1876" s="20" t="n"/>
    </row>
    <row r="1877">
      <c r="A1877" s="24" t="n"/>
      <c r="B1877" s="20" t="n"/>
      <c r="C1877" s="20" t="n"/>
      <c r="D1877" s="23" t="n"/>
      <c r="E1877" s="20" t="n"/>
      <c r="F1877" s="20" t="n"/>
      <c r="G1877" s="25" t="n"/>
      <c r="H1877" s="20" t="n"/>
      <c r="I1877" s="20" t="n"/>
      <c r="J1877" s="20" t="n"/>
      <c r="K1877" s="20" t="n"/>
      <c r="L1877" s="25" t="n"/>
      <c r="M1877" s="20" t="n"/>
      <c r="N1877" s="20" t="n"/>
      <c r="O1877" s="20" t="n"/>
      <c r="P1877" s="20" t="n"/>
      <c r="Q1877" s="26" t="n"/>
      <c r="R1877" s="20" t="n"/>
      <c r="S1877" s="20" t="n"/>
    </row>
    <row r="1878">
      <c r="A1878" s="24" t="n"/>
      <c r="B1878" s="20" t="n"/>
      <c r="C1878" s="20" t="n"/>
      <c r="D1878" s="23" t="n"/>
      <c r="E1878" s="20" t="n"/>
      <c r="F1878" s="20" t="n"/>
      <c r="G1878" s="25" t="n"/>
      <c r="H1878" s="20" t="n"/>
      <c r="I1878" s="20" t="n"/>
      <c r="J1878" s="20" t="n"/>
      <c r="K1878" s="20" t="n"/>
      <c r="L1878" s="25" t="n"/>
      <c r="M1878" s="20" t="n"/>
      <c r="N1878" s="20" t="n"/>
      <c r="O1878" s="20" t="n"/>
      <c r="P1878" s="20" t="n"/>
      <c r="Q1878" s="26" t="n"/>
      <c r="R1878" s="20" t="n"/>
      <c r="S1878" s="20" t="n"/>
    </row>
    <row r="1879">
      <c r="A1879" s="24" t="n"/>
      <c r="B1879" s="20" t="n"/>
      <c r="C1879" s="20" t="n"/>
      <c r="D1879" s="23" t="n"/>
      <c r="E1879" s="20" t="n"/>
      <c r="F1879" s="20" t="n"/>
      <c r="G1879" s="25" t="n"/>
      <c r="H1879" s="20" t="n"/>
      <c r="I1879" s="20" t="n"/>
      <c r="J1879" s="20" t="n"/>
      <c r="K1879" s="20" t="n"/>
      <c r="L1879" s="25" t="n"/>
      <c r="M1879" s="20" t="n"/>
      <c r="N1879" s="20" t="n"/>
      <c r="O1879" s="20" t="n"/>
      <c r="P1879" s="20" t="n"/>
      <c r="Q1879" s="26" t="n"/>
      <c r="R1879" s="20" t="n"/>
      <c r="S1879" s="20" t="n"/>
    </row>
    <row r="1880">
      <c r="A1880" s="24" t="n"/>
      <c r="B1880" s="20" t="n"/>
      <c r="C1880" s="20" t="n"/>
      <c r="D1880" s="23" t="n"/>
      <c r="E1880" s="20" t="n"/>
      <c r="F1880" s="20" t="n"/>
      <c r="G1880" s="25" t="n"/>
      <c r="H1880" s="20" t="n"/>
      <c r="I1880" s="20" t="n"/>
      <c r="J1880" s="20" t="n"/>
      <c r="K1880" s="20" t="n"/>
      <c r="L1880" s="25" t="n"/>
      <c r="M1880" s="20" t="n"/>
      <c r="N1880" s="20" t="n"/>
      <c r="O1880" s="20" t="n"/>
      <c r="P1880" s="20" t="n"/>
      <c r="Q1880" s="26" t="n"/>
      <c r="R1880" s="20" t="n"/>
      <c r="S1880" s="20" t="n"/>
    </row>
    <row r="1881">
      <c r="A1881" s="24" t="n"/>
      <c r="B1881" s="20" t="n"/>
      <c r="C1881" s="20" t="n"/>
      <c r="D1881" s="23" t="n"/>
      <c r="E1881" s="20" t="n"/>
      <c r="F1881" s="20" t="n"/>
      <c r="G1881" s="25" t="n"/>
      <c r="H1881" s="20" t="n"/>
      <c r="I1881" s="20" t="n"/>
      <c r="J1881" s="20" t="n"/>
      <c r="K1881" s="20" t="n"/>
      <c r="L1881" s="25" t="n"/>
      <c r="M1881" s="20" t="n"/>
      <c r="N1881" s="20" t="n"/>
      <c r="O1881" s="20" t="n"/>
      <c r="P1881" s="20" t="n"/>
      <c r="Q1881" s="26" t="n"/>
      <c r="R1881" s="20" t="n"/>
      <c r="S1881" s="20" t="n"/>
    </row>
    <row r="1882">
      <c r="A1882" s="24" t="n"/>
      <c r="B1882" s="20" t="n"/>
      <c r="C1882" s="20" t="n"/>
      <c r="D1882" s="23" t="n"/>
      <c r="E1882" s="20" t="n"/>
      <c r="F1882" s="20" t="n"/>
      <c r="G1882" s="25" t="n"/>
      <c r="H1882" s="20" t="n"/>
      <c r="I1882" s="20" t="n"/>
      <c r="J1882" s="20" t="n"/>
      <c r="K1882" s="20" t="n"/>
      <c r="L1882" s="25" t="n"/>
      <c r="M1882" s="20" t="n"/>
      <c r="N1882" s="20" t="n"/>
      <c r="O1882" s="20" t="n"/>
      <c r="P1882" s="20" t="n"/>
      <c r="Q1882" s="26" t="n"/>
      <c r="R1882" s="20" t="n"/>
      <c r="S1882" s="20" t="n"/>
    </row>
    <row r="1883">
      <c r="A1883" s="24" t="n"/>
      <c r="B1883" s="20" t="n"/>
      <c r="C1883" s="20" t="n"/>
      <c r="D1883" s="23" t="n"/>
      <c r="E1883" s="20" t="n"/>
      <c r="F1883" s="20" t="n"/>
      <c r="G1883" s="25" t="n"/>
      <c r="H1883" s="20" t="n"/>
      <c r="I1883" s="20" t="n"/>
      <c r="J1883" s="20" t="n"/>
      <c r="K1883" s="20" t="n"/>
      <c r="L1883" s="25" t="n"/>
      <c r="M1883" s="20" t="n"/>
      <c r="N1883" s="20" t="n"/>
      <c r="O1883" s="20" t="n"/>
      <c r="P1883" s="20" t="n"/>
      <c r="Q1883" s="26" t="n"/>
      <c r="R1883" s="20" t="n"/>
      <c r="S1883" s="20" t="n"/>
    </row>
    <row r="1884">
      <c r="A1884" s="24" t="n"/>
      <c r="B1884" s="20" t="n"/>
      <c r="C1884" s="20" t="n"/>
      <c r="D1884" s="23" t="n"/>
      <c r="E1884" s="20" t="n"/>
      <c r="F1884" s="20" t="n"/>
      <c r="G1884" s="25" t="n"/>
      <c r="H1884" s="20" t="n"/>
      <c r="I1884" s="20" t="n"/>
      <c r="J1884" s="20" t="n"/>
      <c r="K1884" s="20" t="n"/>
      <c r="L1884" s="25" t="n"/>
      <c r="M1884" s="20" t="n"/>
      <c r="N1884" s="20" t="n"/>
      <c r="O1884" s="20" t="n"/>
      <c r="P1884" s="20" t="n"/>
      <c r="Q1884" s="26" t="n"/>
      <c r="R1884" s="20" t="n"/>
      <c r="S1884" s="20" t="n"/>
    </row>
    <row r="1885">
      <c r="A1885" s="24" t="n"/>
      <c r="B1885" s="20" t="n"/>
      <c r="C1885" s="20" t="n"/>
      <c r="D1885" s="23" t="n"/>
      <c r="E1885" s="20" t="n"/>
      <c r="F1885" s="20" t="n"/>
      <c r="G1885" s="25" t="n"/>
      <c r="H1885" s="20" t="n"/>
      <c r="I1885" s="20" t="n"/>
      <c r="J1885" s="20" t="n"/>
      <c r="K1885" s="20" t="n"/>
      <c r="L1885" s="25" t="n"/>
      <c r="M1885" s="20" t="n"/>
      <c r="N1885" s="20" t="n"/>
      <c r="O1885" s="20" t="n"/>
      <c r="P1885" s="20" t="n"/>
      <c r="Q1885" s="26" t="n"/>
      <c r="R1885" s="20" t="n"/>
      <c r="S1885" s="20" t="n"/>
    </row>
    <row r="1886">
      <c r="A1886" s="24" t="n"/>
      <c r="B1886" s="20" t="n"/>
      <c r="C1886" s="20" t="n"/>
      <c r="D1886" s="23" t="n"/>
      <c r="E1886" s="20" t="n"/>
      <c r="F1886" s="20" t="n"/>
      <c r="G1886" s="25" t="n"/>
      <c r="H1886" s="20" t="n"/>
      <c r="I1886" s="20" t="n"/>
      <c r="J1886" s="20" t="n"/>
      <c r="K1886" s="20" t="n"/>
      <c r="L1886" s="25" t="n"/>
      <c r="M1886" s="20" t="n"/>
      <c r="N1886" s="20" t="n"/>
      <c r="O1886" s="20" t="n"/>
      <c r="P1886" s="20" t="n"/>
      <c r="Q1886" s="26" t="n"/>
      <c r="R1886" s="20" t="n"/>
      <c r="S1886" s="20" t="n"/>
    </row>
    <row r="1887">
      <c r="A1887" s="24" t="n"/>
      <c r="B1887" s="20" t="n"/>
      <c r="C1887" s="20" t="n"/>
      <c r="D1887" s="23" t="n"/>
      <c r="E1887" s="20" t="n"/>
      <c r="F1887" s="20" t="n"/>
      <c r="G1887" s="25" t="n"/>
      <c r="H1887" s="20" t="n"/>
      <c r="I1887" s="20" t="n"/>
      <c r="J1887" s="20" t="n"/>
      <c r="K1887" s="20" t="n"/>
      <c r="L1887" s="25" t="n"/>
      <c r="M1887" s="20" t="n"/>
      <c r="N1887" s="20" t="n"/>
      <c r="O1887" s="20" t="n"/>
      <c r="P1887" s="20" t="n"/>
      <c r="Q1887" s="26" t="n"/>
      <c r="R1887" s="20" t="n"/>
      <c r="S1887" s="20" t="n"/>
    </row>
    <row r="1888">
      <c r="A1888" s="24" t="n"/>
      <c r="B1888" s="20" t="n"/>
      <c r="C1888" s="20" t="n"/>
      <c r="D1888" s="23" t="n"/>
      <c r="E1888" s="20" t="n"/>
      <c r="F1888" s="20" t="n"/>
      <c r="G1888" s="25" t="n"/>
      <c r="H1888" s="20" t="n"/>
      <c r="I1888" s="20" t="n"/>
      <c r="J1888" s="20" t="n"/>
      <c r="K1888" s="20" t="n"/>
      <c r="L1888" s="25" t="n"/>
      <c r="M1888" s="20" t="n"/>
      <c r="N1888" s="20" t="n"/>
      <c r="O1888" s="20" t="n"/>
      <c r="P1888" s="20" t="n"/>
      <c r="Q1888" s="26" t="n"/>
      <c r="R1888" s="20" t="n"/>
      <c r="S1888" s="20" t="n"/>
    </row>
    <row r="1889">
      <c r="A1889" s="24" t="n"/>
      <c r="B1889" s="20" t="n"/>
      <c r="C1889" s="20" t="n"/>
      <c r="D1889" s="23" t="n"/>
      <c r="E1889" s="20" t="n"/>
      <c r="F1889" s="20" t="n"/>
      <c r="G1889" s="25" t="n"/>
      <c r="H1889" s="20" t="n"/>
      <c r="I1889" s="20" t="n"/>
      <c r="J1889" s="20" t="n"/>
      <c r="K1889" s="20" t="n"/>
      <c r="L1889" s="25" t="n"/>
      <c r="M1889" s="20" t="n"/>
      <c r="N1889" s="20" t="n"/>
      <c r="O1889" s="20" t="n"/>
      <c r="P1889" s="20" t="n"/>
      <c r="Q1889" s="26" t="n"/>
      <c r="R1889" s="20" t="n"/>
      <c r="S1889" s="20" t="n"/>
    </row>
    <row r="1890">
      <c r="A1890" s="24" t="n"/>
      <c r="B1890" s="20" t="n"/>
      <c r="C1890" s="20" t="n"/>
      <c r="D1890" s="23" t="n"/>
      <c r="E1890" s="20" t="n"/>
      <c r="F1890" s="20" t="n"/>
      <c r="G1890" s="25" t="n"/>
      <c r="H1890" s="20" t="n"/>
      <c r="I1890" s="20" t="n"/>
      <c r="J1890" s="20" t="n"/>
      <c r="K1890" s="20" t="n"/>
      <c r="L1890" s="25" t="n"/>
      <c r="M1890" s="20" t="n"/>
      <c r="N1890" s="20" t="n"/>
      <c r="O1890" s="20" t="n"/>
      <c r="P1890" s="20" t="n"/>
      <c r="Q1890" s="26" t="n"/>
      <c r="R1890" s="20" t="n"/>
      <c r="S1890" s="20" t="n"/>
    </row>
    <row r="1891">
      <c r="A1891" s="24" t="n"/>
      <c r="B1891" s="20" t="n"/>
      <c r="C1891" s="20" t="n"/>
      <c r="D1891" s="23" t="n"/>
      <c r="E1891" s="20" t="n"/>
      <c r="F1891" s="20" t="n"/>
      <c r="G1891" s="25" t="n"/>
      <c r="H1891" s="20" t="n"/>
      <c r="I1891" s="20" t="n"/>
      <c r="J1891" s="20" t="n"/>
      <c r="K1891" s="20" t="n"/>
      <c r="L1891" s="25" t="n"/>
      <c r="M1891" s="20" t="n"/>
      <c r="N1891" s="20" t="n"/>
      <c r="O1891" s="20" t="n"/>
      <c r="P1891" s="20" t="n"/>
      <c r="Q1891" s="26" t="n"/>
      <c r="R1891" s="20" t="n"/>
      <c r="S1891" s="20" t="n"/>
    </row>
    <row r="1892">
      <c r="A1892" s="24" t="n"/>
      <c r="B1892" s="20" t="n"/>
      <c r="C1892" s="20" t="n"/>
      <c r="D1892" s="23" t="n"/>
      <c r="E1892" s="20" t="n"/>
      <c r="F1892" s="20" t="n"/>
      <c r="G1892" s="25" t="n"/>
      <c r="H1892" s="20" t="n"/>
      <c r="I1892" s="20" t="n"/>
      <c r="J1892" s="20" t="n"/>
      <c r="K1892" s="20" t="n"/>
      <c r="L1892" s="25" t="n"/>
      <c r="M1892" s="20" t="n"/>
      <c r="N1892" s="20" t="n"/>
      <c r="O1892" s="20" t="n"/>
      <c r="P1892" s="20" t="n"/>
      <c r="Q1892" s="26" t="n"/>
      <c r="R1892" s="20" t="n"/>
      <c r="S1892" s="20" t="n"/>
    </row>
    <row r="1893">
      <c r="A1893" s="24" t="n"/>
      <c r="B1893" s="20" t="n"/>
      <c r="C1893" s="20" t="n"/>
      <c r="D1893" s="23" t="n"/>
      <c r="E1893" s="20" t="n"/>
      <c r="F1893" s="20" t="n"/>
      <c r="G1893" s="25" t="n"/>
      <c r="H1893" s="20" t="n"/>
      <c r="I1893" s="20" t="n"/>
      <c r="J1893" s="20" t="n"/>
      <c r="K1893" s="20" t="n"/>
      <c r="L1893" s="25" t="n"/>
      <c r="M1893" s="20" t="n"/>
      <c r="N1893" s="20" t="n"/>
      <c r="O1893" s="20" t="n"/>
      <c r="P1893" s="20" t="n"/>
      <c r="Q1893" s="26" t="n"/>
      <c r="R1893" s="20" t="n"/>
      <c r="S1893" s="20" t="n"/>
    </row>
    <row r="1894">
      <c r="A1894" s="24" t="n"/>
      <c r="B1894" s="20" t="n"/>
      <c r="C1894" s="20" t="n"/>
      <c r="D1894" s="23" t="n"/>
      <c r="E1894" s="20" t="n"/>
      <c r="F1894" s="20" t="n"/>
      <c r="G1894" s="25" t="n"/>
      <c r="H1894" s="20" t="n"/>
      <c r="I1894" s="20" t="n"/>
      <c r="J1894" s="20" t="n"/>
      <c r="K1894" s="20" t="n"/>
      <c r="L1894" s="25" t="n"/>
      <c r="M1894" s="20" t="n"/>
      <c r="N1894" s="20" t="n"/>
      <c r="O1894" s="20" t="n"/>
      <c r="P1894" s="20" t="n"/>
      <c r="Q1894" s="26" t="n"/>
      <c r="R1894" s="20" t="n"/>
      <c r="S1894" s="20" t="n"/>
    </row>
    <row r="1895">
      <c r="A1895" s="24" t="n"/>
      <c r="B1895" s="20" t="n"/>
      <c r="C1895" s="20" t="n"/>
      <c r="D1895" s="23" t="n"/>
      <c r="E1895" s="20" t="n"/>
      <c r="F1895" s="20" t="n"/>
      <c r="G1895" s="25" t="n"/>
      <c r="H1895" s="20" t="n"/>
      <c r="I1895" s="20" t="n"/>
      <c r="J1895" s="20" t="n"/>
      <c r="K1895" s="20" t="n"/>
      <c r="L1895" s="25" t="n"/>
      <c r="M1895" s="20" t="n"/>
      <c r="N1895" s="20" t="n"/>
      <c r="O1895" s="20" t="n"/>
      <c r="P1895" s="20" t="n"/>
      <c r="Q1895" s="26" t="n"/>
      <c r="R1895" s="20" t="n"/>
      <c r="S1895" s="20" t="n"/>
    </row>
    <row r="1896">
      <c r="A1896" s="24" t="n"/>
      <c r="B1896" s="20" t="n"/>
      <c r="C1896" s="20" t="n"/>
      <c r="D1896" s="23" t="n"/>
      <c r="E1896" s="20" t="n"/>
      <c r="F1896" s="20" t="n"/>
      <c r="G1896" s="25" t="n"/>
      <c r="H1896" s="20" t="n"/>
      <c r="I1896" s="20" t="n"/>
      <c r="J1896" s="20" t="n"/>
      <c r="K1896" s="20" t="n"/>
      <c r="L1896" s="25" t="n"/>
      <c r="M1896" s="20" t="n"/>
      <c r="N1896" s="20" t="n"/>
      <c r="O1896" s="20" t="n"/>
      <c r="P1896" s="20" t="n"/>
      <c r="Q1896" s="26" t="n"/>
      <c r="R1896" s="20" t="n"/>
      <c r="S1896" s="20" t="n"/>
    </row>
    <row r="1897">
      <c r="A1897" s="24" t="n"/>
      <c r="B1897" s="20" t="n"/>
      <c r="C1897" s="20" t="n"/>
      <c r="D1897" s="23" t="n"/>
      <c r="E1897" s="20" t="n"/>
      <c r="F1897" s="20" t="n"/>
      <c r="G1897" s="25" t="n"/>
      <c r="H1897" s="20" t="n"/>
      <c r="I1897" s="20" t="n"/>
      <c r="J1897" s="20" t="n"/>
      <c r="K1897" s="20" t="n"/>
      <c r="L1897" s="25" t="n"/>
      <c r="M1897" s="20" t="n"/>
      <c r="N1897" s="20" t="n"/>
      <c r="O1897" s="20" t="n"/>
      <c r="P1897" s="20" t="n"/>
      <c r="Q1897" s="26" t="n"/>
      <c r="R1897" s="20" t="n"/>
      <c r="S1897" s="20" t="n"/>
    </row>
    <row r="1898">
      <c r="A1898" s="24" t="n"/>
      <c r="B1898" s="20" t="n"/>
      <c r="C1898" s="20" t="n"/>
      <c r="D1898" s="23" t="n"/>
      <c r="E1898" s="20" t="n"/>
      <c r="F1898" s="20" t="n"/>
      <c r="G1898" s="25" t="n"/>
      <c r="H1898" s="20" t="n"/>
      <c r="I1898" s="20" t="n"/>
      <c r="J1898" s="20" t="n"/>
      <c r="K1898" s="20" t="n"/>
      <c r="L1898" s="25" t="n"/>
      <c r="M1898" s="20" t="n"/>
      <c r="N1898" s="20" t="n"/>
      <c r="O1898" s="20" t="n"/>
      <c r="P1898" s="20" t="n"/>
      <c r="Q1898" s="26" t="n"/>
      <c r="R1898" s="20" t="n"/>
      <c r="S1898" s="20" t="n"/>
    </row>
    <row r="1899">
      <c r="A1899" s="24" t="n"/>
      <c r="B1899" s="20" t="n"/>
      <c r="C1899" s="20" t="n"/>
      <c r="D1899" s="23" t="n"/>
      <c r="E1899" s="20" t="n"/>
      <c r="F1899" s="20" t="n"/>
      <c r="G1899" s="25" t="n"/>
      <c r="H1899" s="20" t="n"/>
      <c r="I1899" s="20" t="n"/>
      <c r="J1899" s="20" t="n"/>
      <c r="K1899" s="20" t="n"/>
      <c r="L1899" s="25" t="n"/>
      <c r="M1899" s="20" t="n"/>
      <c r="N1899" s="20" t="n"/>
      <c r="O1899" s="20" t="n"/>
      <c r="P1899" s="20" t="n"/>
      <c r="Q1899" s="26" t="n"/>
      <c r="R1899" s="20" t="n"/>
      <c r="S1899" s="20" t="n"/>
    </row>
    <row r="1900">
      <c r="A1900" s="24" t="n"/>
      <c r="B1900" s="20" t="n"/>
      <c r="C1900" s="20" t="n"/>
      <c r="D1900" s="23" t="n"/>
      <c r="E1900" s="20" t="n"/>
      <c r="F1900" s="20" t="n"/>
      <c r="G1900" s="25" t="n"/>
      <c r="H1900" s="20" t="n"/>
      <c r="I1900" s="20" t="n"/>
      <c r="J1900" s="20" t="n"/>
      <c r="K1900" s="20" t="n"/>
      <c r="L1900" s="25" t="n"/>
      <c r="M1900" s="20" t="n"/>
      <c r="N1900" s="20" t="n"/>
      <c r="O1900" s="20" t="n"/>
      <c r="P1900" s="20" t="n"/>
      <c r="Q1900" s="26" t="n"/>
      <c r="R1900" s="20" t="n"/>
      <c r="S1900" s="20" t="n"/>
    </row>
    <row r="1901">
      <c r="A1901" s="24" t="n"/>
      <c r="B1901" s="20" t="n"/>
      <c r="C1901" s="20" t="n"/>
      <c r="D1901" s="23" t="n"/>
      <c r="E1901" s="20" t="n"/>
      <c r="F1901" s="20" t="n"/>
      <c r="G1901" s="25" t="n"/>
      <c r="H1901" s="20" t="n"/>
      <c r="I1901" s="20" t="n"/>
      <c r="J1901" s="20" t="n"/>
      <c r="K1901" s="20" t="n"/>
      <c r="L1901" s="25" t="n"/>
      <c r="M1901" s="20" t="n"/>
      <c r="N1901" s="20" t="n"/>
      <c r="O1901" s="20" t="n"/>
      <c r="P1901" s="20" t="n"/>
      <c r="Q1901" s="26" t="n"/>
      <c r="R1901" s="20" t="n"/>
      <c r="S1901" s="20" t="n"/>
    </row>
    <row r="1902">
      <c r="A1902" s="24" t="n"/>
      <c r="B1902" s="20" t="n"/>
      <c r="C1902" s="20" t="n"/>
      <c r="D1902" s="23" t="n"/>
      <c r="E1902" s="20" t="n"/>
      <c r="F1902" s="20" t="n"/>
      <c r="G1902" s="25" t="n"/>
      <c r="H1902" s="20" t="n"/>
      <c r="I1902" s="20" t="n"/>
      <c r="J1902" s="20" t="n"/>
      <c r="K1902" s="20" t="n"/>
      <c r="L1902" s="25" t="n"/>
      <c r="M1902" s="20" t="n"/>
      <c r="N1902" s="20" t="n"/>
      <c r="O1902" s="20" t="n"/>
      <c r="P1902" s="20" t="n"/>
      <c r="Q1902" s="26" t="n"/>
      <c r="R1902" s="20" t="n"/>
      <c r="S1902" s="20" t="n"/>
    </row>
    <row r="1903">
      <c r="A1903" s="24" t="n"/>
      <c r="B1903" s="20" t="n"/>
      <c r="C1903" s="20" t="n"/>
      <c r="D1903" s="23" t="n"/>
      <c r="E1903" s="20" t="n"/>
      <c r="F1903" s="20" t="n"/>
      <c r="G1903" s="25" t="n"/>
      <c r="H1903" s="20" t="n"/>
      <c r="I1903" s="20" t="n"/>
      <c r="J1903" s="20" t="n"/>
      <c r="K1903" s="20" t="n"/>
      <c r="L1903" s="25" t="n"/>
      <c r="M1903" s="20" t="n"/>
      <c r="N1903" s="20" t="n"/>
      <c r="O1903" s="20" t="n"/>
      <c r="P1903" s="20" t="n"/>
      <c r="Q1903" s="26" t="n"/>
      <c r="R1903" s="20" t="n"/>
      <c r="S1903" s="20" t="n"/>
    </row>
    <row r="1904">
      <c r="A1904" s="24" t="n"/>
      <c r="B1904" s="20" t="n"/>
      <c r="C1904" s="20" t="n"/>
      <c r="D1904" s="23" t="n"/>
      <c r="E1904" s="20" t="n"/>
      <c r="F1904" s="20" t="n"/>
      <c r="G1904" s="25" t="n"/>
      <c r="H1904" s="20" t="n"/>
      <c r="I1904" s="20" t="n"/>
      <c r="J1904" s="20" t="n"/>
      <c r="K1904" s="20" t="n"/>
      <c r="L1904" s="25" t="n"/>
      <c r="M1904" s="20" t="n"/>
      <c r="N1904" s="20" t="n"/>
      <c r="O1904" s="20" t="n"/>
      <c r="P1904" s="20" t="n"/>
      <c r="Q1904" s="26" t="n"/>
      <c r="R1904" s="20" t="n"/>
      <c r="S1904" s="20" t="n"/>
    </row>
    <row r="1905">
      <c r="A1905" s="24" t="n"/>
      <c r="B1905" s="20" t="n"/>
      <c r="C1905" s="20" t="n"/>
      <c r="D1905" s="23" t="n"/>
      <c r="E1905" s="20" t="n"/>
      <c r="F1905" s="20" t="n"/>
      <c r="G1905" s="25" t="n"/>
      <c r="H1905" s="20" t="n"/>
      <c r="I1905" s="20" t="n"/>
      <c r="J1905" s="20" t="n"/>
      <c r="K1905" s="20" t="n"/>
      <c r="L1905" s="25" t="n"/>
      <c r="M1905" s="20" t="n"/>
      <c r="N1905" s="20" t="n"/>
      <c r="O1905" s="20" t="n"/>
      <c r="P1905" s="20" t="n"/>
      <c r="Q1905" s="26" t="n"/>
      <c r="R1905" s="20" t="n"/>
      <c r="S1905" s="20" t="n"/>
    </row>
    <row r="1906">
      <c r="A1906" s="24" t="n"/>
      <c r="B1906" s="20" t="n"/>
      <c r="C1906" s="20" t="n"/>
      <c r="D1906" s="23" t="n"/>
      <c r="E1906" s="20" t="n"/>
      <c r="F1906" s="20" t="n"/>
      <c r="G1906" s="25" t="n"/>
      <c r="H1906" s="20" t="n"/>
      <c r="I1906" s="20" t="n"/>
      <c r="J1906" s="20" t="n"/>
      <c r="K1906" s="20" t="n"/>
      <c r="L1906" s="25" t="n"/>
      <c r="M1906" s="20" t="n"/>
      <c r="N1906" s="20" t="n"/>
      <c r="O1906" s="20" t="n"/>
      <c r="P1906" s="20" t="n"/>
      <c r="Q1906" s="26" t="n"/>
      <c r="R1906" s="20" t="n"/>
      <c r="S1906" s="20" t="n"/>
    </row>
    <row r="1907">
      <c r="A1907" s="24" t="n"/>
      <c r="B1907" s="20" t="n"/>
      <c r="C1907" s="20" t="n"/>
      <c r="D1907" s="23" t="n"/>
      <c r="E1907" s="20" t="n"/>
      <c r="F1907" s="20" t="n"/>
      <c r="G1907" s="25" t="n"/>
      <c r="H1907" s="20" t="n"/>
      <c r="I1907" s="20" t="n"/>
      <c r="J1907" s="20" t="n"/>
      <c r="K1907" s="20" t="n"/>
      <c r="L1907" s="25" t="n"/>
      <c r="M1907" s="20" t="n"/>
      <c r="N1907" s="20" t="n"/>
      <c r="O1907" s="20" t="n"/>
      <c r="P1907" s="20" t="n"/>
      <c r="Q1907" s="26" t="n"/>
      <c r="R1907" s="20" t="n"/>
      <c r="S1907" s="20" t="n"/>
    </row>
    <row r="1908">
      <c r="A1908" s="24" t="n"/>
      <c r="B1908" s="20" t="n"/>
      <c r="C1908" s="20" t="n"/>
      <c r="D1908" s="23" t="n"/>
      <c r="E1908" s="20" t="n"/>
      <c r="F1908" s="20" t="n"/>
      <c r="G1908" s="25" t="n"/>
      <c r="H1908" s="20" t="n"/>
      <c r="I1908" s="20" t="n"/>
      <c r="J1908" s="20" t="n"/>
      <c r="K1908" s="20" t="n"/>
      <c r="L1908" s="25" t="n"/>
      <c r="M1908" s="20" t="n"/>
      <c r="N1908" s="20" t="n"/>
      <c r="O1908" s="20" t="n"/>
      <c r="P1908" s="20" t="n"/>
      <c r="Q1908" s="26" t="n"/>
      <c r="R1908" s="20" t="n"/>
      <c r="S1908" s="20" t="n"/>
    </row>
    <row r="1909">
      <c r="A1909" s="24" t="n"/>
      <c r="B1909" s="20" t="n"/>
      <c r="C1909" s="20" t="n"/>
      <c r="D1909" s="23" t="n"/>
      <c r="E1909" s="20" t="n"/>
      <c r="F1909" s="20" t="n"/>
      <c r="G1909" s="25" t="n"/>
      <c r="H1909" s="20" t="n"/>
      <c r="I1909" s="20" t="n"/>
      <c r="J1909" s="20" t="n"/>
      <c r="K1909" s="20" t="n"/>
      <c r="L1909" s="25" t="n"/>
      <c r="M1909" s="20" t="n"/>
      <c r="N1909" s="20" t="n"/>
      <c r="O1909" s="20" t="n"/>
      <c r="P1909" s="20" t="n"/>
      <c r="Q1909" s="26" t="n"/>
      <c r="R1909" s="20" t="n"/>
      <c r="S1909" s="20" t="n"/>
    </row>
    <row r="1910">
      <c r="A1910" s="24" t="n"/>
      <c r="B1910" s="20" t="n"/>
      <c r="C1910" s="20" t="n"/>
      <c r="D1910" s="23" t="n"/>
      <c r="E1910" s="20" t="n"/>
      <c r="F1910" s="20" t="n"/>
      <c r="G1910" s="25" t="n"/>
      <c r="H1910" s="20" t="n"/>
      <c r="I1910" s="20" t="n"/>
      <c r="J1910" s="20" t="n"/>
      <c r="K1910" s="20" t="n"/>
      <c r="L1910" s="25" t="n"/>
      <c r="M1910" s="20" t="n"/>
      <c r="N1910" s="20" t="n"/>
      <c r="O1910" s="20" t="n"/>
      <c r="P1910" s="20" t="n"/>
      <c r="Q1910" s="26" t="n"/>
      <c r="R1910" s="20" t="n"/>
      <c r="S1910" s="20" t="n"/>
    </row>
    <row r="1911">
      <c r="A1911" s="24" t="n"/>
      <c r="B1911" s="20" t="n"/>
      <c r="C1911" s="20" t="n"/>
      <c r="D1911" s="23" t="n"/>
      <c r="E1911" s="20" t="n"/>
      <c r="F1911" s="20" t="n"/>
      <c r="G1911" s="25" t="n"/>
      <c r="H1911" s="20" t="n"/>
      <c r="I1911" s="20" t="n"/>
      <c r="J1911" s="20" t="n"/>
      <c r="K1911" s="20" t="n"/>
      <c r="L1911" s="25" t="n"/>
      <c r="M1911" s="20" t="n"/>
      <c r="N1911" s="20" t="n"/>
      <c r="O1911" s="20" t="n"/>
      <c r="P1911" s="20" t="n"/>
      <c r="Q1911" s="26" t="n"/>
      <c r="R1911" s="20" t="n"/>
      <c r="S1911" s="20" t="n"/>
    </row>
    <row r="1912">
      <c r="A1912" s="24" t="n"/>
      <c r="B1912" s="20" t="n"/>
      <c r="C1912" s="20" t="n"/>
      <c r="D1912" s="23" t="n"/>
      <c r="E1912" s="20" t="n"/>
      <c r="F1912" s="20" t="n"/>
      <c r="G1912" s="25" t="n"/>
      <c r="H1912" s="20" t="n"/>
      <c r="I1912" s="20" t="n"/>
      <c r="J1912" s="20" t="n"/>
      <c r="K1912" s="20" t="n"/>
      <c r="L1912" s="25" t="n"/>
      <c r="M1912" s="20" t="n"/>
      <c r="N1912" s="20" t="n"/>
      <c r="O1912" s="20" t="n"/>
      <c r="P1912" s="20" t="n"/>
      <c r="Q1912" s="26" t="n"/>
      <c r="R1912" s="20" t="n"/>
      <c r="S1912" s="20" t="n"/>
    </row>
    <row r="1913">
      <c r="A1913" s="24" t="n"/>
      <c r="B1913" s="20" t="n"/>
      <c r="C1913" s="20" t="n"/>
      <c r="D1913" s="23" t="n"/>
      <c r="E1913" s="20" t="n"/>
      <c r="F1913" s="20" t="n"/>
      <c r="G1913" s="25" t="n"/>
      <c r="H1913" s="20" t="n"/>
      <c r="I1913" s="20" t="n"/>
      <c r="J1913" s="20" t="n"/>
      <c r="K1913" s="20" t="n"/>
      <c r="L1913" s="25" t="n"/>
      <c r="M1913" s="20" t="n"/>
      <c r="N1913" s="20" t="n"/>
      <c r="O1913" s="20" t="n"/>
      <c r="P1913" s="20" t="n"/>
      <c r="Q1913" s="26" t="n"/>
      <c r="R1913" s="20" t="n"/>
      <c r="S1913" s="20" t="n"/>
    </row>
    <row r="1914">
      <c r="A1914" s="24" t="n"/>
      <c r="B1914" s="20" t="n"/>
      <c r="C1914" s="20" t="n"/>
      <c r="D1914" s="23" t="n"/>
      <c r="E1914" s="20" t="n"/>
      <c r="F1914" s="20" t="n"/>
      <c r="G1914" s="25" t="n"/>
      <c r="H1914" s="20" t="n"/>
      <c r="I1914" s="20" t="n"/>
      <c r="J1914" s="20" t="n"/>
      <c r="K1914" s="20" t="n"/>
      <c r="L1914" s="25" t="n"/>
      <c r="M1914" s="20" t="n"/>
      <c r="N1914" s="20" t="n"/>
      <c r="O1914" s="20" t="n"/>
      <c r="P1914" s="20" t="n"/>
      <c r="Q1914" s="26" t="n"/>
      <c r="R1914" s="20" t="n"/>
      <c r="S1914" s="20" t="n"/>
    </row>
    <row r="1915">
      <c r="A1915" s="24" t="n"/>
      <c r="B1915" s="20" t="n"/>
      <c r="C1915" s="20" t="n"/>
      <c r="D1915" s="23" t="n"/>
      <c r="E1915" s="20" t="n"/>
      <c r="F1915" s="20" t="n"/>
      <c r="G1915" s="25" t="n"/>
      <c r="H1915" s="20" t="n"/>
      <c r="I1915" s="20" t="n"/>
      <c r="J1915" s="20" t="n"/>
      <c r="K1915" s="20" t="n"/>
      <c r="L1915" s="25" t="n"/>
      <c r="M1915" s="20" t="n"/>
      <c r="N1915" s="20" t="n"/>
      <c r="O1915" s="20" t="n"/>
      <c r="P1915" s="20" t="n"/>
      <c r="Q1915" s="26" t="n"/>
      <c r="R1915" s="20" t="n"/>
      <c r="S1915" s="20" t="n"/>
    </row>
    <row r="1916">
      <c r="A1916" s="24" t="n"/>
      <c r="B1916" s="20" t="n"/>
      <c r="C1916" s="20" t="n"/>
      <c r="D1916" s="23" t="n"/>
      <c r="E1916" s="20" t="n"/>
      <c r="F1916" s="20" t="n"/>
      <c r="G1916" s="25" t="n"/>
      <c r="H1916" s="20" t="n"/>
      <c r="I1916" s="20" t="n"/>
      <c r="J1916" s="20" t="n"/>
      <c r="K1916" s="20" t="n"/>
      <c r="L1916" s="25" t="n"/>
      <c r="M1916" s="20" t="n"/>
      <c r="N1916" s="20" t="n"/>
      <c r="O1916" s="20" t="n"/>
      <c r="P1916" s="20" t="n"/>
      <c r="Q1916" s="26" t="n"/>
      <c r="R1916" s="20" t="n"/>
      <c r="S1916" s="20" t="n"/>
    </row>
    <row r="1917">
      <c r="A1917" s="24" t="n"/>
      <c r="B1917" s="20" t="n"/>
      <c r="C1917" s="20" t="n"/>
      <c r="D1917" s="23" t="n"/>
      <c r="E1917" s="20" t="n"/>
      <c r="F1917" s="20" t="n"/>
      <c r="G1917" s="25" t="n"/>
      <c r="H1917" s="20" t="n"/>
      <c r="I1917" s="20" t="n"/>
      <c r="J1917" s="20" t="n"/>
      <c r="K1917" s="20" t="n"/>
      <c r="L1917" s="25" t="n"/>
      <c r="M1917" s="20" t="n"/>
      <c r="N1917" s="20" t="n"/>
      <c r="O1917" s="20" t="n"/>
      <c r="P1917" s="20" t="n"/>
      <c r="Q1917" s="26" t="n"/>
      <c r="R1917" s="20" t="n"/>
      <c r="S1917" s="20" t="n"/>
    </row>
    <row r="1918">
      <c r="A1918" s="24" t="n"/>
      <c r="B1918" s="20" t="n"/>
      <c r="C1918" s="20" t="n"/>
      <c r="D1918" s="23" t="n"/>
      <c r="E1918" s="20" t="n"/>
      <c r="F1918" s="20" t="n"/>
      <c r="G1918" s="25" t="n"/>
      <c r="H1918" s="20" t="n"/>
      <c r="I1918" s="20" t="n"/>
      <c r="J1918" s="20" t="n"/>
      <c r="K1918" s="20" t="n"/>
      <c r="L1918" s="25" t="n"/>
      <c r="M1918" s="20" t="n"/>
      <c r="N1918" s="20" t="n"/>
      <c r="O1918" s="20" t="n"/>
      <c r="P1918" s="20" t="n"/>
      <c r="Q1918" s="26" t="n"/>
      <c r="R1918" s="20" t="n"/>
      <c r="S1918" s="20" t="n"/>
    </row>
    <row r="1919">
      <c r="A1919" s="24" t="n"/>
      <c r="B1919" s="20" t="n"/>
      <c r="C1919" s="20" t="n"/>
      <c r="D1919" s="23" t="n"/>
      <c r="E1919" s="20" t="n"/>
      <c r="F1919" s="20" t="n"/>
      <c r="G1919" s="25" t="n"/>
      <c r="H1919" s="20" t="n"/>
      <c r="I1919" s="20" t="n"/>
      <c r="J1919" s="20" t="n"/>
      <c r="K1919" s="20" t="n"/>
      <c r="L1919" s="25" t="n"/>
      <c r="M1919" s="20" t="n"/>
      <c r="N1919" s="20" t="n"/>
      <c r="O1919" s="20" t="n"/>
      <c r="P1919" s="20" t="n"/>
      <c r="Q1919" s="26" t="n"/>
      <c r="R1919" s="20" t="n"/>
      <c r="S1919" s="20" t="n"/>
    </row>
    <row r="1920">
      <c r="A1920" s="24" t="n"/>
      <c r="B1920" s="20" t="n"/>
      <c r="C1920" s="20" t="n"/>
      <c r="D1920" s="23" t="n"/>
      <c r="E1920" s="20" t="n"/>
      <c r="F1920" s="20" t="n"/>
      <c r="G1920" s="25" t="n"/>
      <c r="H1920" s="20" t="n"/>
      <c r="I1920" s="20" t="n"/>
      <c r="J1920" s="20" t="n"/>
      <c r="K1920" s="20" t="n"/>
      <c r="L1920" s="25" t="n"/>
      <c r="M1920" s="20" t="n"/>
      <c r="N1920" s="20" t="n"/>
      <c r="O1920" s="20" t="n"/>
      <c r="P1920" s="20" t="n"/>
      <c r="Q1920" s="26" t="n"/>
      <c r="R1920" s="20" t="n"/>
      <c r="S1920" s="20" t="n"/>
    </row>
    <row r="1921">
      <c r="A1921" s="24" t="n"/>
      <c r="B1921" s="20" t="n"/>
      <c r="C1921" s="20" t="n"/>
      <c r="D1921" s="23" t="n"/>
      <c r="E1921" s="20" t="n"/>
      <c r="F1921" s="20" t="n"/>
      <c r="G1921" s="25" t="n"/>
      <c r="H1921" s="20" t="n"/>
      <c r="I1921" s="20" t="n"/>
      <c r="J1921" s="20" t="n"/>
      <c r="K1921" s="20" t="n"/>
      <c r="L1921" s="25" t="n"/>
      <c r="M1921" s="20" t="n"/>
      <c r="N1921" s="20" t="n"/>
      <c r="O1921" s="20" t="n"/>
      <c r="P1921" s="20" t="n"/>
      <c r="Q1921" s="26" t="n"/>
      <c r="R1921" s="20" t="n"/>
      <c r="S1921" s="20" t="n"/>
    </row>
    <row r="1922">
      <c r="A1922" s="24" t="n"/>
      <c r="B1922" s="20" t="n"/>
      <c r="C1922" s="20" t="n"/>
      <c r="D1922" s="23" t="n"/>
      <c r="E1922" s="20" t="n"/>
      <c r="F1922" s="20" t="n"/>
      <c r="G1922" s="25" t="n"/>
      <c r="H1922" s="20" t="n"/>
      <c r="I1922" s="20" t="n"/>
      <c r="J1922" s="20" t="n"/>
      <c r="K1922" s="20" t="n"/>
      <c r="L1922" s="25" t="n"/>
      <c r="M1922" s="20" t="n"/>
      <c r="N1922" s="20" t="n"/>
      <c r="O1922" s="20" t="n"/>
      <c r="P1922" s="20" t="n"/>
      <c r="Q1922" s="26" t="n"/>
      <c r="R1922" s="20" t="n"/>
      <c r="S1922" s="20" t="n"/>
    </row>
    <row r="1923">
      <c r="A1923" s="24" t="n"/>
      <c r="B1923" s="20" t="n"/>
      <c r="C1923" s="20" t="n"/>
      <c r="D1923" s="23" t="n"/>
      <c r="E1923" s="20" t="n"/>
      <c r="F1923" s="20" t="n"/>
      <c r="G1923" s="25" t="n"/>
      <c r="H1923" s="20" t="n"/>
      <c r="I1923" s="20" t="n"/>
      <c r="J1923" s="20" t="n"/>
      <c r="K1923" s="20" t="n"/>
      <c r="L1923" s="25" t="n"/>
      <c r="M1923" s="20" t="n"/>
      <c r="N1923" s="20" t="n"/>
      <c r="O1923" s="20" t="n"/>
      <c r="P1923" s="20" t="n"/>
      <c r="Q1923" s="26" t="n"/>
      <c r="R1923" s="20" t="n"/>
      <c r="S1923" s="20" t="n"/>
    </row>
    <row r="1924">
      <c r="A1924" s="24" t="n"/>
      <c r="B1924" s="20" t="n"/>
      <c r="C1924" s="20" t="n"/>
      <c r="D1924" s="23" t="n"/>
      <c r="E1924" s="20" t="n"/>
      <c r="F1924" s="20" t="n"/>
      <c r="G1924" s="25" t="n"/>
      <c r="H1924" s="20" t="n"/>
      <c r="I1924" s="20" t="n"/>
      <c r="J1924" s="20" t="n"/>
      <c r="K1924" s="20" t="n"/>
      <c r="L1924" s="25" t="n"/>
      <c r="M1924" s="20" t="n"/>
      <c r="N1924" s="20" t="n"/>
      <c r="O1924" s="20" t="n"/>
      <c r="P1924" s="20" t="n"/>
      <c r="Q1924" s="26" t="n"/>
      <c r="R1924" s="20" t="n"/>
      <c r="S1924" s="20" t="n"/>
    </row>
    <row r="1925">
      <c r="A1925" s="24" t="n"/>
      <c r="B1925" s="20" t="n"/>
      <c r="C1925" s="20" t="n"/>
      <c r="D1925" s="23" t="n"/>
      <c r="E1925" s="20" t="n"/>
      <c r="F1925" s="20" t="n"/>
      <c r="G1925" s="25" t="n"/>
      <c r="H1925" s="20" t="n"/>
      <c r="I1925" s="20" t="n"/>
      <c r="J1925" s="20" t="n"/>
      <c r="K1925" s="20" t="n"/>
      <c r="L1925" s="25" t="n"/>
      <c r="M1925" s="20" t="n"/>
      <c r="N1925" s="20" t="n"/>
      <c r="O1925" s="20" t="n"/>
      <c r="P1925" s="20" t="n"/>
      <c r="Q1925" s="26" t="n"/>
      <c r="R1925" s="20" t="n"/>
      <c r="S1925" s="20" t="n"/>
    </row>
    <row r="1926">
      <c r="A1926" s="24" t="n"/>
      <c r="B1926" s="20" t="n"/>
      <c r="C1926" s="20" t="n"/>
      <c r="D1926" s="23" t="n"/>
      <c r="E1926" s="20" t="n"/>
      <c r="F1926" s="20" t="n"/>
      <c r="G1926" s="25" t="n"/>
      <c r="H1926" s="20" t="n"/>
      <c r="I1926" s="20" t="n"/>
      <c r="J1926" s="20" t="n"/>
      <c r="K1926" s="20" t="n"/>
      <c r="L1926" s="25" t="n"/>
      <c r="M1926" s="20" t="n"/>
      <c r="N1926" s="20" t="n"/>
      <c r="O1926" s="20" t="n"/>
      <c r="P1926" s="20" t="n"/>
      <c r="Q1926" s="26" t="n"/>
      <c r="R1926" s="20" t="n"/>
      <c r="S1926" s="20" t="n"/>
    </row>
    <row r="1927">
      <c r="A1927" s="24" t="n"/>
      <c r="B1927" s="20" t="n"/>
      <c r="C1927" s="20" t="n"/>
      <c r="D1927" s="23" t="n"/>
      <c r="E1927" s="20" t="n"/>
      <c r="F1927" s="20" t="n"/>
      <c r="G1927" s="25" t="n"/>
      <c r="H1927" s="20" t="n"/>
      <c r="I1927" s="20" t="n"/>
      <c r="J1927" s="20" t="n"/>
      <c r="K1927" s="20" t="n"/>
      <c r="L1927" s="25" t="n"/>
      <c r="M1927" s="20" t="n"/>
      <c r="N1927" s="20" t="n"/>
      <c r="O1927" s="20" t="n"/>
      <c r="P1927" s="20" t="n"/>
      <c r="Q1927" s="26" t="n"/>
      <c r="R1927" s="20" t="n"/>
      <c r="S1927" s="20" t="n"/>
    </row>
    <row r="1928">
      <c r="A1928" s="24" t="n"/>
      <c r="B1928" s="20" t="n"/>
      <c r="C1928" s="20" t="n"/>
      <c r="D1928" s="23" t="n"/>
      <c r="E1928" s="20" t="n"/>
      <c r="F1928" s="20" t="n"/>
      <c r="G1928" s="25" t="n"/>
      <c r="H1928" s="20" t="n"/>
      <c r="I1928" s="20" t="n"/>
      <c r="J1928" s="20" t="n"/>
      <c r="K1928" s="20" t="n"/>
      <c r="L1928" s="25" t="n"/>
      <c r="M1928" s="20" t="n"/>
      <c r="N1928" s="20" t="n"/>
      <c r="O1928" s="20" t="n"/>
      <c r="P1928" s="20" t="n"/>
      <c r="Q1928" s="26" t="n"/>
      <c r="R1928" s="20" t="n"/>
      <c r="S1928" s="20" t="n"/>
    </row>
    <row r="1929">
      <c r="A1929" s="24" t="n"/>
      <c r="B1929" s="20" t="n"/>
      <c r="C1929" s="20" t="n"/>
      <c r="D1929" s="23" t="n"/>
      <c r="E1929" s="20" t="n"/>
      <c r="F1929" s="20" t="n"/>
      <c r="G1929" s="25" t="n"/>
      <c r="H1929" s="20" t="n"/>
      <c r="I1929" s="20" t="n"/>
      <c r="J1929" s="20" t="n"/>
      <c r="K1929" s="20" t="n"/>
      <c r="L1929" s="25" t="n"/>
      <c r="M1929" s="20" t="n"/>
      <c r="N1929" s="20" t="n"/>
      <c r="O1929" s="20" t="n"/>
      <c r="P1929" s="20" t="n"/>
      <c r="Q1929" s="26" t="n"/>
      <c r="R1929" s="20" t="n"/>
      <c r="S1929" s="20" t="n"/>
    </row>
    <row r="1930">
      <c r="A1930" s="24" t="n"/>
      <c r="B1930" s="20" t="n"/>
      <c r="C1930" s="20" t="n"/>
      <c r="D1930" s="23" t="n"/>
      <c r="E1930" s="20" t="n"/>
      <c r="F1930" s="20" t="n"/>
      <c r="G1930" s="25" t="n"/>
      <c r="H1930" s="20" t="n"/>
      <c r="I1930" s="20" t="n"/>
      <c r="J1930" s="20" t="n"/>
      <c r="K1930" s="20" t="n"/>
      <c r="L1930" s="25" t="n"/>
      <c r="M1930" s="20" t="n"/>
      <c r="N1930" s="20" t="n"/>
      <c r="O1930" s="20" t="n"/>
      <c r="P1930" s="20" t="n"/>
      <c r="Q1930" s="26" t="n"/>
      <c r="R1930" s="20" t="n"/>
      <c r="S1930" s="20" t="n"/>
    </row>
    <row r="1931">
      <c r="A1931" s="24" t="n"/>
      <c r="B1931" s="20" t="n"/>
      <c r="C1931" s="20" t="n"/>
      <c r="D1931" s="23" t="n"/>
      <c r="E1931" s="20" t="n"/>
      <c r="F1931" s="20" t="n"/>
      <c r="G1931" s="25" t="n"/>
      <c r="H1931" s="20" t="n"/>
      <c r="I1931" s="20" t="n"/>
      <c r="J1931" s="20" t="n"/>
      <c r="K1931" s="20" t="n"/>
      <c r="L1931" s="25" t="n"/>
      <c r="M1931" s="20" t="n"/>
      <c r="N1931" s="20" t="n"/>
      <c r="O1931" s="20" t="n"/>
      <c r="P1931" s="20" t="n"/>
      <c r="Q1931" s="26" t="n"/>
      <c r="R1931" s="20" t="n"/>
      <c r="S1931" s="20" t="n"/>
    </row>
    <row r="1932">
      <c r="A1932" s="24" t="n"/>
      <c r="B1932" s="20" t="n"/>
      <c r="C1932" s="20" t="n"/>
      <c r="D1932" s="23" t="n"/>
      <c r="E1932" s="20" t="n"/>
      <c r="F1932" s="20" t="n"/>
      <c r="G1932" s="25" t="n"/>
      <c r="H1932" s="20" t="n"/>
      <c r="I1932" s="20" t="n"/>
      <c r="J1932" s="20" t="n"/>
      <c r="K1932" s="20" t="n"/>
      <c r="L1932" s="25" t="n"/>
      <c r="M1932" s="20" t="n"/>
      <c r="N1932" s="20" t="n"/>
      <c r="O1932" s="20" t="n"/>
      <c r="P1932" s="20" t="n"/>
      <c r="Q1932" s="26" t="n"/>
      <c r="R1932" s="20" t="n"/>
      <c r="S1932" s="20" t="n"/>
    </row>
    <row r="1933">
      <c r="A1933" s="24" t="n"/>
      <c r="B1933" s="20" t="n"/>
      <c r="C1933" s="20" t="n"/>
      <c r="D1933" s="23" t="n"/>
      <c r="E1933" s="20" t="n"/>
      <c r="F1933" s="20" t="n"/>
      <c r="G1933" s="25" t="n"/>
      <c r="H1933" s="20" t="n"/>
      <c r="I1933" s="20" t="n"/>
      <c r="J1933" s="20" t="n"/>
      <c r="K1933" s="20" t="n"/>
      <c r="L1933" s="25" t="n"/>
      <c r="M1933" s="20" t="n"/>
      <c r="N1933" s="20" t="n"/>
      <c r="O1933" s="20" t="n"/>
      <c r="P1933" s="20" t="n"/>
      <c r="Q1933" s="26" t="n"/>
      <c r="R1933" s="20" t="n"/>
      <c r="S1933" s="20" t="n"/>
    </row>
    <row r="1934">
      <c r="A1934" s="24" t="n"/>
      <c r="B1934" s="20" t="n"/>
      <c r="C1934" s="20" t="n"/>
      <c r="D1934" s="23" t="n"/>
      <c r="E1934" s="20" t="n"/>
      <c r="F1934" s="20" t="n"/>
      <c r="G1934" s="25" t="n"/>
      <c r="H1934" s="20" t="n"/>
      <c r="I1934" s="20" t="n"/>
      <c r="J1934" s="20" t="n"/>
      <c r="K1934" s="20" t="n"/>
      <c r="L1934" s="25" t="n"/>
      <c r="M1934" s="20" t="n"/>
      <c r="N1934" s="20" t="n"/>
      <c r="O1934" s="20" t="n"/>
      <c r="P1934" s="20" t="n"/>
      <c r="Q1934" s="26" t="n"/>
      <c r="R1934" s="20" t="n"/>
      <c r="S1934" s="20" t="n"/>
    </row>
    <row r="1935">
      <c r="A1935" s="24" t="n"/>
      <c r="B1935" s="20" t="n"/>
      <c r="C1935" s="20" t="n"/>
      <c r="D1935" s="23" t="n"/>
      <c r="E1935" s="20" t="n"/>
      <c r="F1935" s="20" t="n"/>
      <c r="G1935" s="25" t="n"/>
      <c r="H1935" s="20" t="n"/>
      <c r="I1935" s="20" t="n"/>
      <c r="J1935" s="20" t="n"/>
      <c r="K1935" s="20" t="n"/>
      <c r="L1935" s="25" t="n"/>
      <c r="M1935" s="20" t="n"/>
      <c r="N1935" s="20" t="n"/>
      <c r="O1935" s="20" t="n"/>
      <c r="P1935" s="20" t="n"/>
      <c r="Q1935" s="26" t="n"/>
      <c r="R1935" s="20" t="n"/>
      <c r="S1935" s="20" t="n"/>
    </row>
    <row r="1936">
      <c r="A1936" s="24" t="n"/>
      <c r="B1936" s="20" t="n"/>
      <c r="C1936" s="20" t="n"/>
      <c r="D1936" s="23" t="n"/>
      <c r="E1936" s="20" t="n"/>
      <c r="F1936" s="20" t="n"/>
      <c r="G1936" s="25" t="n"/>
      <c r="H1936" s="20" t="n"/>
      <c r="I1936" s="20" t="n"/>
      <c r="J1936" s="20" t="n"/>
      <c r="K1936" s="20" t="n"/>
      <c r="L1936" s="25" t="n"/>
      <c r="M1936" s="20" t="n"/>
      <c r="N1936" s="20" t="n"/>
      <c r="O1936" s="20" t="n"/>
      <c r="P1936" s="20" t="n"/>
      <c r="Q1936" s="26" t="n"/>
      <c r="R1936" s="20" t="n"/>
      <c r="S1936" s="20" t="n"/>
    </row>
    <row r="1937">
      <c r="A1937" s="24" t="n"/>
      <c r="B1937" s="20" t="n"/>
      <c r="C1937" s="20" t="n"/>
      <c r="D1937" s="23" t="n"/>
      <c r="E1937" s="20" t="n"/>
      <c r="F1937" s="20" t="n"/>
      <c r="G1937" s="25" t="n"/>
      <c r="H1937" s="20" t="n"/>
      <c r="I1937" s="20" t="n"/>
      <c r="J1937" s="20" t="n"/>
      <c r="K1937" s="20" t="n"/>
      <c r="L1937" s="25" t="n"/>
      <c r="M1937" s="20" t="n"/>
      <c r="N1937" s="20" t="n"/>
      <c r="O1937" s="20" t="n"/>
      <c r="P1937" s="20" t="n"/>
      <c r="Q1937" s="26" t="n"/>
      <c r="R1937" s="20" t="n"/>
      <c r="S1937" s="20" t="n"/>
    </row>
    <row r="1938">
      <c r="A1938" s="24" t="n"/>
      <c r="B1938" s="20" t="n"/>
      <c r="C1938" s="20" t="n"/>
      <c r="D1938" s="23" t="n"/>
      <c r="E1938" s="20" t="n"/>
      <c r="F1938" s="20" t="n"/>
      <c r="G1938" s="25" t="n"/>
      <c r="H1938" s="20" t="n"/>
      <c r="I1938" s="20" t="n"/>
      <c r="J1938" s="20" t="n"/>
      <c r="K1938" s="20" t="n"/>
      <c r="L1938" s="25" t="n"/>
      <c r="M1938" s="20" t="n"/>
      <c r="N1938" s="20" t="n"/>
      <c r="O1938" s="20" t="n"/>
      <c r="P1938" s="20" t="n"/>
      <c r="Q1938" s="26" t="n"/>
      <c r="R1938" s="20" t="n"/>
      <c r="S1938" s="20" t="n"/>
    </row>
    <row r="1939">
      <c r="A1939" s="24" t="n"/>
      <c r="B1939" s="20" t="n"/>
      <c r="C1939" s="20" t="n"/>
      <c r="D1939" s="23" t="n"/>
      <c r="E1939" s="20" t="n"/>
      <c r="F1939" s="20" t="n"/>
      <c r="G1939" s="25" t="n"/>
      <c r="H1939" s="20" t="n"/>
      <c r="I1939" s="20" t="n"/>
      <c r="J1939" s="20" t="n"/>
      <c r="K1939" s="20" t="n"/>
      <c r="L1939" s="25" t="n"/>
      <c r="M1939" s="20" t="n"/>
      <c r="N1939" s="20" t="n"/>
      <c r="O1939" s="20" t="n"/>
      <c r="P1939" s="20" t="n"/>
      <c r="Q1939" s="26" t="n"/>
      <c r="R1939" s="20" t="n"/>
      <c r="S1939" s="20" t="n"/>
    </row>
    <row r="1940">
      <c r="A1940" s="24" t="n"/>
      <c r="B1940" s="20" t="n"/>
      <c r="C1940" s="20" t="n"/>
      <c r="D1940" s="23" t="n"/>
      <c r="E1940" s="20" t="n"/>
      <c r="F1940" s="20" t="n"/>
      <c r="G1940" s="25" t="n"/>
      <c r="H1940" s="20" t="n"/>
      <c r="I1940" s="20" t="n"/>
      <c r="J1940" s="20" t="n"/>
      <c r="K1940" s="20" t="n"/>
      <c r="L1940" s="25" t="n"/>
      <c r="M1940" s="20" t="n"/>
      <c r="N1940" s="20" t="n"/>
      <c r="O1940" s="20" t="n"/>
      <c r="P1940" s="20" t="n"/>
      <c r="Q1940" s="26" t="n"/>
      <c r="R1940" s="20" t="n"/>
      <c r="S1940" s="20" t="n"/>
    </row>
    <row r="1941">
      <c r="A1941" s="24" t="n"/>
      <c r="B1941" s="20" t="n"/>
      <c r="C1941" s="20" t="n"/>
      <c r="D1941" s="23" t="n"/>
      <c r="E1941" s="20" t="n"/>
      <c r="F1941" s="20" t="n"/>
      <c r="G1941" s="25" t="n"/>
      <c r="H1941" s="20" t="n"/>
      <c r="I1941" s="20" t="n"/>
      <c r="J1941" s="20" t="n"/>
      <c r="K1941" s="20" t="n"/>
      <c r="L1941" s="25" t="n"/>
      <c r="M1941" s="20" t="n"/>
      <c r="N1941" s="20" t="n"/>
      <c r="O1941" s="20" t="n"/>
      <c r="P1941" s="20" t="n"/>
      <c r="Q1941" s="26" t="n"/>
      <c r="R1941" s="20" t="n"/>
      <c r="S1941" s="20" t="n"/>
    </row>
    <row r="1942">
      <c r="A1942" s="24" t="n"/>
      <c r="B1942" s="20" t="n"/>
      <c r="C1942" s="20" t="n"/>
      <c r="D1942" s="23" t="n"/>
      <c r="E1942" s="20" t="n"/>
      <c r="F1942" s="20" t="n"/>
      <c r="G1942" s="25" t="n"/>
      <c r="H1942" s="20" t="n"/>
      <c r="I1942" s="20" t="n"/>
      <c r="J1942" s="20" t="n"/>
      <c r="K1942" s="20" t="n"/>
      <c r="L1942" s="25" t="n"/>
      <c r="M1942" s="20" t="n"/>
      <c r="N1942" s="20" t="n"/>
      <c r="O1942" s="20" t="n"/>
      <c r="P1942" s="20" t="n"/>
      <c r="Q1942" s="26" t="n"/>
      <c r="R1942" s="20" t="n"/>
      <c r="S1942" s="20" t="n"/>
    </row>
    <row r="1943">
      <c r="A1943" s="24" t="n"/>
      <c r="B1943" s="20" t="n"/>
      <c r="C1943" s="20" t="n"/>
      <c r="D1943" s="23" t="n"/>
      <c r="E1943" s="20" t="n"/>
      <c r="F1943" s="20" t="n"/>
      <c r="G1943" s="25" t="n"/>
      <c r="H1943" s="20" t="n"/>
      <c r="I1943" s="20" t="n"/>
      <c r="J1943" s="20" t="n"/>
      <c r="K1943" s="20" t="n"/>
      <c r="L1943" s="25" t="n"/>
      <c r="M1943" s="20" t="n"/>
      <c r="N1943" s="20" t="n"/>
      <c r="O1943" s="20" t="n"/>
      <c r="P1943" s="20" t="n"/>
      <c r="Q1943" s="26" t="n"/>
      <c r="R1943" s="20" t="n"/>
      <c r="S1943" s="20" t="n"/>
    </row>
    <row r="1944">
      <c r="A1944" s="24" t="n"/>
      <c r="B1944" s="20" t="n"/>
      <c r="C1944" s="20" t="n"/>
      <c r="D1944" s="23" t="n"/>
      <c r="E1944" s="20" t="n"/>
      <c r="F1944" s="20" t="n"/>
      <c r="G1944" s="25" t="n"/>
      <c r="H1944" s="20" t="n"/>
      <c r="I1944" s="20" t="n"/>
      <c r="J1944" s="20" t="n"/>
      <c r="K1944" s="20" t="n"/>
      <c r="L1944" s="25" t="n"/>
      <c r="M1944" s="20" t="n"/>
      <c r="N1944" s="20" t="n"/>
      <c r="O1944" s="20" t="n"/>
      <c r="P1944" s="20" t="n"/>
      <c r="Q1944" s="26" t="n"/>
      <c r="R1944" s="20" t="n"/>
      <c r="S1944" s="20" t="n"/>
    </row>
    <row r="1945">
      <c r="A1945" s="24" t="n"/>
      <c r="B1945" s="20" t="n"/>
      <c r="C1945" s="20" t="n"/>
      <c r="D1945" s="23" t="n"/>
      <c r="E1945" s="20" t="n"/>
      <c r="F1945" s="20" t="n"/>
      <c r="G1945" s="25" t="n"/>
      <c r="H1945" s="20" t="n"/>
      <c r="I1945" s="20" t="n"/>
      <c r="J1945" s="20" t="n"/>
      <c r="K1945" s="20" t="n"/>
      <c r="L1945" s="25" t="n"/>
      <c r="M1945" s="20" t="n"/>
      <c r="N1945" s="20" t="n"/>
      <c r="O1945" s="20" t="n"/>
      <c r="P1945" s="20" t="n"/>
      <c r="Q1945" s="26" t="n"/>
      <c r="R1945" s="20" t="n"/>
      <c r="S1945" s="20" t="n"/>
    </row>
    <row r="1946">
      <c r="A1946" s="24" t="n"/>
      <c r="B1946" s="20" t="n"/>
      <c r="C1946" s="20" t="n"/>
      <c r="D1946" s="23" t="n"/>
      <c r="E1946" s="20" t="n"/>
      <c r="F1946" s="20" t="n"/>
      <c r="G1946" s="25" t="n"/>
      <c r="H1946" s="20" t="n"/>
      <c r="I1946" s="20" t="n"/>
      <c r="J1946" s="20" t="n"/>
      <c r="K1946" s="20" t="n"/>
      <c r="L1946" s="25" t="n"/>
      <c r="M1946" s="20" t="n"/>
      <c r="N1946" s="20" t="n"/>
      <c r="O1946" s="20" t="n"/>
      <c r="P1946" s="20" t="n"/>
      <c r="Q1946" s="26" t="n"/>
      <c r="R1946" s="20" t="n"/>
      <c r="S1946" s="20" t="n"/>
    </row>
    <row r="1947">
      <c r="A1947" s="24" t="n"/>
      <c r="B1947" s="20" t="n"/>
      <c r="C1947" s="20" t="n"/>
      <c r="D1947" s="23" t="n"/>
      <c r="E1947" s="20" t="n"/>
      <c r="F1947" s="20" t="n"/>
      <c r="G1947" s="25" t="n"/>
      <c r="H1947" s="20" t="n"/>
      <c r="I1947" s="20" t="n"/>
      <c r="J1947" s="20" t="n"/>
      <c r="K1947" s="20" t="n"/>
      <c r="L1947" s="25" t="n"/>
      <c r="M1947" s="20" t="n"/>
      <c r="N1947" s="20" t="n"/>
      <c r="O1947" s="20" t="n"/>
      <c r="P1947" s="20" t="n"/>
      <c r="Q1947" s="26" t="n"/>
      <c r="R1947" s="20" t="n"/>
      <c r="S1947" s="20" t="n"/>
    </row>
    <row r="1948">
      <c r="A1948" s="24" t="n"/>
      <c r="B1948" s="20" t="n"/>
      <c r="C1948" s="20" t="n"/>
      <c r="D1948" s="23" t="n"/>
      <c r="E1948" s="20" t="n"/>
      <c r="F1948" s="20" t="n"/>
      <c r="G1948" s="25" t="n"/>
      <c r="H1948" s="20" t="n"/>
      <c r="I1948" s="20" t="n"/>
      <c r="J1948" s="20" t="n"/>
      <c r="K1948" s="20" t="n"/>
      <c r="L1948" s="25" t="n"/>
      <c r="M1948" s="20" t="n"/>
      <c r="N1948" s="20" t="n"/>
      <c r="O1948" s="20" t="n"/>
      <c r="P1948" s="20" t="n"/>
      <c r="Q1948" s="26" t="n"/>
      <c r="R1948" s="20" t="n"/>
      <c r="S1948" s="20" t="n"/>
    </row>
    <row r="1949">
      <c r="A1949" s="24" t="n"/>
      <c r="B1949" s="20" t="n"/>
      <c r="C1949" s="20" t="n"/>
      <c r="D1949" s="23" t="n"/>
      <c r="E1949" s="20" t="n"/>
      <c r="F1949" s="20" t="n"/>
      <c r="G1949" s="25" t="n"/>
      <c r="H1949" s="20" t="n"/>
      <c r="I1949" s="20" t="n"/>
      <c r="J1949" s="20" t="n"/>
      <c r="K1949" s="20" t="n"/>
      <c r="L1949" s="25" t="n"/>
      <c r="M1949" s="20" t="n"/>
      <c r="N1949" s="20" t="n"/>
      <c r="O1949" s="20" t="n"/>
      <c r="P1949" s="20" t="n"/>
      <c r="Q1949" s="26" t="n"/>
      <c r="R1949" s="20" t="n"/>
      <c r="S1949" s="20" t="n"/>
    </row>
    <row r="1950">
      <c r="A1950" s="24" t="n"/>
      <c r="B1950" s="20" t="n"/>
      <c r="C1950" s="20" t="n"/>
      <c r="D1950" s="23" t="n"/>
      <c r="E1950" s="20" t="n"/>
      <c r="F1950" s="20" t="n"/>
      <c r="G1950" s="25" t="n"/>
      <c r="H1950" s="20" t="n"/>
      <c r="I1950" s="20" t="n"/>
      <c r="J1950" s="20" t="n"/>
      <c r="K1950" s="20" t="n"/>
      <c r="L1950" s="25" t="n"/>
      <c r="M1950" s="20" t="n"/>
      <c r="N1950" s="20" t="n"/>
      <c r="O1950" s="20" t="n"/>
      <c r="P1950" s="20" t="n"/>
      <c r="Q1950" s="26" t="n"/>
      <c r="R1950" s="20" t="n"/>
      <c r="S1950" s="20" t="n"/>
    </row>
    <row r="1951">
      <c r="A1951" s="24" t="n"/>
      <c r="B1951" s="20" t="n"/>
      <c r="C1951" s="20" t="n"/>
      <c r="D1951" s="23" t="n"/>
      <c r="E1951" s="20" t="n"/>
      <c r="F1951" s="20" t="n"/>
      <c r="G1951" s="25" t="n"/>
      <c r="H1951" s="20" t="n"/>
      <c r="I1951" s="20" t="n"/>
      <c r="J1951" s="20" t="n"/>
      <c r="K1951" s="20" t="n"/>
      <c r="L1951" s="25" t="n"/>
      <c r="M1951" s="20" t="n"/>
      <c r="N1951" s="20" t="n"/>
      <c r="O1951" s="20" t="n"/>
      <c r="P1951" s="20" t="n"/>
      <c r="Q1951" s="26" t="n"/>
      <c r="R1951" s="20" t="n"/>
      <c r="S1951" s="20" t="n"/>
    </row>
    <row r="1952">
      <c r="A1952" s="24" t="n"/>
      <c r="B1952" s="20" t="n"/>
      <c r="C1952" s="20" t="n"/>
      <c r="D1952" s="23" t="n"/>
      <c r="E1952" s="20" t="n"/>
      <c r="F1952" s="20" t="n"/>
      <c r="G1952" s="25" t="n"/>
      <c r="H1952" s="20" t="n"/>
      <c r="I1952" s="20" t="n"/>
      <c r="J1952" s="20" t="n"/>
      <c r="K1952" s="20" t="n"/>
      <c r="L1952" s="25" t="n"/>
      <c r="M1952" s="20" t="n"/>
      <c r="N1952" s="20" t="n"/>
      <c r="O1952" s="20" t="n"/>
      <c r="P1952" s="20" t="n"/>
      <c r="Q1952" s="26" t="n"/>
      <c r="R1952" s="20" t="n"/>
      <c r="S1952" s="20" t="n"/>
    </row>
    <row r="1953">
      <c r="A1953" s="24" t="n"/>
      <c r="B1953" s="20" t="n"/>
      <c r="C1953" s="20" t="n"/>
      <c r="D1953" s="23" t="n"/>
      <c r="E1953" s="20" t="n"/>
      <c r="F1953" s="20" t="n"/>
      <c r="G1953" s="25" t="n"/>
      <c r="H1953" s="20" t="n"/>
      <c r="I1953" s="20" t="n"/>
      <c r="J1953" s="20" t="n"/>
      <c r="K1953" s="20" t="n"/>
      <c r="L1953" s="25" t="n"/>
      <c r="M1953" s="20" t="n"/>
      <c r="N1953" s="20" t="n"/>
      <c r="O1953" s="20" t="n"/>
      <c r="P1953" s="20" t="n"/>
      <c r="Q1953" s="26" t="n"/>
      <c r="R1953" s="20" t="n"/>
      <c r="S1953" s="20" t="n"/>
    </row>
    <row r="1954">
      <c r="A1954" s="24" t="n"/>
      <c r="B1954" s="20" t="n"/>
      <c r="C1954" s="20" t="n"/>
      <c r="D1954" s="23" t="n"/>
      <c r="E1954" s="20" t="n"/>
      <c r="F1954" s="20" t="n"/>
      <c r="G1954" s="25" t="n"/>
      <c r="H1954" s="20" t="n"/>
      <c r="I1954" s="20" t="n"/>
      <c r="J1954" s="20" t="n"/>
      <c r="K1954" s="20" t="n"/>
      <c r="L1954" s="25" t="n"/>
      <c r="M1954" s="20" t="n"/>
      <c r="N1954" s="20" t="n"/>
      <c r="O1954" s="20" t="n"/>
      <c r="P1954" s="20" t="n"/>
      <c r="Q1954" s="26" t="n"/>
      <c r="R1954" s="20" t="n"/>
      <c r="S1954" s="20" t="n"/>
    </row>
    <row r="1955">
      <c r="A1955" s="24" t="n"/>
      <c r="B1955" s="20" t="n"/>
      <c r="C1955" s="20" t="n"/>
      <c r="D1955" s="23" t="n"/>
      <c r="E1955" s="20" t="n"/>
      <c r="F1955" s="20" t="n"/>
      <c r="G1955" s="25" t="n"/>
      <c r="H1955" s="20" t="n"/>
      <c r="I1955" s="20" t="n"/>
      <c r="J1955" s="20" t="n"/>
      <c r="K1955" s="20" t="n"/>
      <c r="L1955" s="25" t="n"/>
      <c r="M1955" s="20" t="n"/>
      <c r="N1955" s="20" t="n"/>
      <c r="O1955" s="20" t="n"/>
      <c r="P1955" s="20" t="n"/>
      <c r="Q1955" s="26" t="n"/>
      <c r="R1955" s="20" t="n"/>
      <c r="S1955" s="20" t="n"/>
    </row>
    <row r="1956">
      <c r="A1956" s="24" t="n"/>
      <c r="B1956" s="20" t="n"/>
      <c r="C1956" s="20" t="n"/>
      <c r="D1956" s="23" t="n"/>
      <c r="E1956" s="20" t="n"/>
      <c r="F1956" s="20" t="n"/>
      <c r="G1956" s="25" t="n"/>
      <c r="H1956" s="20" t="n"/>
      <c r="I1956" s="20" t="n"/>
      <c r="J1956" s="20" t="n"/>
      <c r="K1956" s="20" t="n"/>
      <c r="L1956" s="25" t="n"/>
      <c r="M1956" s="20" t="n"/>
      <c r="N1956" s="20" t="n"/>
      <c r="O1956" s="20" t="n"/>
      <c r="P1956" s="20" t="n"/>
      <c r="Q1956" s="26" t="n"/>
      <c r="R1956" s="20" t="n"/>
      <c r="S1956" s="20" t="n"/>
    </row>
    <row r="1957">
      <c r="A1957" s="24" t="n"/>
      <c r="B1957" s="20" t="n"/>
      <c r="C1957" s="20" t="n"/>
      <c r="D1957" s="23" t="n"/>
      <c r="E1957" s="20" t="n"/>
      <c r="F1957" s="20" t="n"/>
      <c r="G1957" s="25" t="n"/>
      <c r="H1957" s="20" t="n"/>
      <c r="I1957" s="20" t="n"/>
      <c r="J1957" s="20" t="n"/>
      <c r="K1957" s="20" t="n"/>
      <c r="L1957" s="25" t="n"/>
      <c r="M1957" s="20" t="n"/>
      <c r="N1957" s="20" t="n"/>
      <c r="O1957" s="20" t="n"/>
      <c r="P1957" s="20" t="n"/>
      <c r="Q1957" s="26" t="n"/>
      <c r="R1957" s="20" t="n"/>
      <c r="S1957" s="20" t="n"/>
    </row>
    <row r="1958">
      <c r="A1958" s="24" t="n"/>
      <c r="B1958" s="20" t="n"/>
      <c r="C1958" s="20" t="n"/>
      <c r="D1958" s="23" t="n"/>
      <c r="E1958" s="20" t="n"/>
      <c r="F1958" s="20" t="n"/>
      <c r="G1958" s="25" t="n"/>
      <c r="H1958" s="20" t="n"/>
      <c r="I1958" s="20" t="n"/>
      <c r="J1958" s="20" t="n"/>
      <c r="K1958" s="20" t="n"/>
      <c r="L1958" s="25" t="n"/>
      <c r="M1958" s="20" t="n"/>
      <c r="N1958" s="20" t="n"/>
      <c r="O1958" s="20" t="n"/>
      <c r="P1958" s="20" t="n"/>
      <c r="Q1958" s="26" t="n"/>
      <c r="R1958" s="20" t="n"/>
      <c r="S1958" s="20" t="n"/>
    </row>
    <row r="1959">
      <c r="A1959" s="24" t="n"/>
      <c r="B1959" s="20" t="n"/>
      <c r="C1959" s="20" t="n"/>
      <c r="D1959" s="23" t="n"/>
      <c r="E1959" s="20" t="n"/>
      <c r="F1959" s="20" t="n"/>
      <c r="G1959" s="25" t="n"/>
      <c r="H1959" s="20" t="n"/>
      <c r="I1959" s="20" t="n"/>
      <c r="J1959" s="20" t="n"/>
      <c r="K1959" s="20" t="n"/>
      <c r="L1959" s="25" t="n"/>
      <c r="M1959" s="20" t="n"/>
      <c r="N1959" s="20" t="n"/>
      <c r="O1959" s="20" t="n"/>
      <c r="P1959" s="20" t="n"/>
      <c r="Q1959" s="26" t="n"/>
      <c r="R1959" s="20" t="n"/>
      <c r="S1959" s="20" t="n"/>
    </row>
    <row r="1960">
      <c r="A1960" s="24" t="n"/>
      <c r="B1960" s="20" t="n"/>
      <c r="C1960" s="20" t="n"/>
      <c r="D1960" s="23" t="n"/>
      <c r="E1960" s="20" t="n"/>
      <c r="F1960" s="20" t="n"/>
      <c r="G1960" s="25" t="n"/>
      <c r="H1960" s="20" t="n"/>
      <c r="I1960" s="20" t="n"/>
      <c r="J1960" s="20" t="n"/>
      <c r="K1960" s="20" t="n"/>
      <c r="L1960" s="25" t="n"/>
      <c r="M1960" s="20" t="n"/>
      <c r="N1960" s="20" t="n"/>
      <c r="O1960" s="20" t="n"/>
      <c r="P1960" s="20" t="n"/>
      <c r="Q1960" s="26" t="n"/>
      <c r="R1960" s="20" t="n"/>
      <c r="S1960" s="20" t="n"/>
    </row>
    <row r="1961">
      <c r="A1961" s="24" t="n"/>
      <c r="B1961" s="20" t="n"/>
      <c r="C1961" s="20" t="n"/>
      <c r="D1961" s="23" t="n"/>
      <c r="E1961" s="20" t="n"/>
      <c r="F1961" s="20" t="n"/>
      <c r="G1961" s="25" t="n"/>
      <c r="H1961" s="20" t="n"/>
      <c r="I1961" s="20" t="n"/>
      <c r="J1961" s="20" t="n"/>
      <c r="K1961" s="20" t="n"/>
      <c r="L1961" s="25" t="n"/>
      <c r="M1961" s="20" t="n"/>
      <c r="N1961" s="20" t="n"/>
      <c r="O1961" s="20" t="n"/>
      <c r="P1961" s="20" t="n"/>
      <c r="Q1961" s="26" t="n"/>
      <c r="R1961" s="20" t="n"/>
      <c r="S1961" s="20" t="n"/>
    </row>
    <row r="1962">
      <c r="A1962" s="24" t="n"/>
      <c r="B1962" s="20" t="n"/>
      <c r="C1962" s="20" t="n"/>
      <c r="D1962" s="23" t="n"/>
      <c r="E1962" s="20" t="n"/>
      <c r="F1962" s="20" t="n"/>
      <c r="G1962" s="25" t="n"/>
      <c r="H1962" s="20" t="n"/>
      <c r="I1962" s="20" t="n"/>
      <c r="J1962" s="20" t="n"/>
      <c r="K1962" s="20" t="n"/>
      <c r="L1962" s="25" t="n"/>
      <c r="M1962" s="20" t="n"/>
      <c r="N1962" s="20" t="n"/>
      <c r="O1962" s="20" t="n"/>
      <c r="P1962" s="20" t="n"/>
      <c r="Q1962" s="26" t="n"/>
      <c r="R1962" s="20" t="n"/>
      <c r="S1962" s="20" t="n"/>
    </row>
    <row r="1963">
      <c r="A1963" s="24" t="n"/>
      <c r="B1963" s="20" t="n"/>
      <c r="C1963" s="20" t="n"/>
      <c r="D1963" s="23" t="n"/>
      <c r="E1963" s="20" t="n"/>
      <c r="F1963" s="20" t="n"/>
      <c r="G1963" s="25" t="n"/>
      <c r="H1963" s="20" t="n"/>
      <c r="I1963" s="20" t="n"/>
      <c r="J1963" s="20" t="n"/>
      <c r="K1963" s="20" t="n"/>
      <c r="L1963" s="25" t="n"/>
      <c r="M1963" s="20" t="n"/>
      <c r="N1963" s="20" t="n"/>
      <c r="O1963" s="20" t="n"/>
      <c r="P1963" s="20" t="n"/>
      <c r="Q1963" s="26" t="n"/>
      <c r="R1963" s="20" t="n"/>
      <c r="S1963" s="20" t="n"/>
    </row>
    <row r="1964">
      <c r="A1964" s="24" t="n"/>
      <c r="B1964" s="20" t="n"/>
      <c r="C1964" s="20" t="n"/>
      <c r="D1964" s="23" t="n"/>
      <c r="E1964" s="20" t="n"/>
      <c r="F1964" s="20" t="n"/>
      <c r="G1964" s="25" t="n"/>
      <c r="H1964" s="20" t="n"/>
      <c r="I1964" s="20" t="n"/>
      <c r="J1964" s="20" t="n"/>
      <c r="K1964" s="20" t="n"/>
      <c r="L1964" s="25" t="n"/>
      <c r="M1964" s="20" t="n"/>
      <c r="N1964" s="20" t="n"/>
      <c r="O1964" s="20" t="n"/>
      <c r="P1964" s="20" t="n"/>
      <c r="Q1964" s="26" t="n"/>
      <c r="R1964" s="20" t="n"/>
      <c r="S1964" s="20" t="n"/>
    </row>
    <row r="1965">
      <c r="A1965" s="24" t="n"/>
      <c r="B1965" s="20" t="n"/>
      <c r="C1965" s="20" t="n"/>
      <c r="D1965" s="23" t="n"/>
      <c r="E1965" s="20" t="n"/>
      <c r="F1965" s="20" t="n"/>
      <c r="G1965" s="25" t="n"/>
      <c r="H1965" s="20" t="n"/>
      <c r="I1965" s="20" t="n"/>
      <c r="J1965" s="20" t="n"/>
      <c r="K1965" s="20" t="n"/>
      <c r="L1965" s="25" t="n"/>
      <c r="M1965" s="20" t="n"/>
      <c r="N1965" s="20" t="n"/>
      <c r="O1965" s="20" t="n"/>
      <c r="P1965" s="20" t="n"/>
      <c r="Q1965" s="26" t="n"/>
      <c r="R1965" s="20" t="n"/>
      <c r="S1965" s="20" t="n"/>
    </row>
    <row r="1966">
      <c r="A1966" s="24" t="n"/>
      <c r="B1966" s="20" t="n"/>
      <c r="C1966" s="20" t="n"/>
      <c r="D1966" s="23" t="n"/>
      <c r="E1966" s="20" t="n"/>
      <c r="F1966" s="20" t="n"/>
      <c r="G1966" s="25" t="n"/>
      <c r="H1966" s="20" t="n"/>
      <c r="I1966" s="20" t="n"/>
      <c r="J1966" s="20" t="n"/>
      <c r="K1966" s="20" t="n"/>
      <c r="L1966" s="25" t="n"/>
      <c r="M1966" s="20" t="n"/>
      <c r="N1966" s="20" t="n"/>
      <c r="O1966" s="20" t="n"/>
      <c r="P1966" s="20" t="n"/>
      <c r="Q1966" s="26" t="n"/>
      <c r="R1966" s="20" t="n"/>
      <c r="S1966" s="20" t="n"/>
    </row>
    <row r="1967">
      <c r="A1967" s="24" t="n"/>
      <c r="B1967" s="20" t="n"/>
      <c r="C1967" s="20" t="n"/>
      <c r="D1967" s="23" t="n"/>
      <c r="E1967" s="20" t="n"/>
      <c r="F1967" s="20" t="n"/>
      <c r="G1967" s="25" t="n"/>
      <c r="H1967" s="20" t="n"/>
      <c r="I1967" s="20" t="n"/>
      <c r="J1967" s="20" t="n"/>
      <c r="K1967" s="20" t="n"/>
      <c r="L1967" s="25" t="n"/>
      <c r="M1967" s="20" t="n"/>
      <c r="N1967" s="20" t="n"/>
      <c r="O1967" s="20" t="n"/>
      <c r="P1967" s="20" t="n"/>
      <c r="Q1967" s="26" t="n"/>
      <c r="R1967" s="20" t="n"/>
      <c r="S1967" s="20" t="n"/>
    </row>
    <row r="1968">
      <c r="A1968" s="24" t="n"/>
      <c r="B1968" s="20" t="n"/>
      <c r="C1968" s="20" t="n"/>
      <c r="D1968" s="23" t="n"/>
      <c r="E1968" s="20" t="n"/>
      <c r="F1968" s="20" t="n"/>
      <c r="G1968" s="25" t="n"/>
      <c r="H1968" s="20" t="n"/>
      <c r="I1968" s="20" t="n"/>
      <c r="J1968" s="20" t="n"/>
      <c r="K1968" s="20" t="n"/>
      <c r="L1968" s="25" t="n"/>
      <c r="M1968" s="20" t="n"/>
      <c r="N1968" s="20" t="n"/>
      <c r="O1968" s="20" t="n"/>
      <c r="P1968" s="20" t="n"/>
      <c r="Q1968" s="26" t="n"/>
      <c r="R1968" s="20" t="n"/>
      <c r="S1968" s="20" t="n"/>
    </row>
    <row r="1969">
      <c r="A1969" s="24" t="n"/>
      <c r="B1969" s="20" t="n"/>
      <c r="C1969" s="20" t="n"/>
      <c r="D1969" s="23" t="n"/>
      <c r="E1969" s="20" t="n"/>
      <c r="F1969" s="20" t="n"/>
      <c r="G1969" s="25" t="n"/>
      <c r="H1969" s="20" t="n"/>
      <c r="I1969" s="20" t="n"/>
      <c r="J1969" s="20" t="n"/>
      <c r="K1969" s="20" t="n"/>
      <c r="L1969" s="25" t="n"/>
      <c r="M1969" s="20" t="n"/>
      <c r="N1969" s="20" t="n"/>
      <c r="O1969" s="20" t="n"/>
      <c r="P1969" s="20" t="n"/>
      <c r="Q1969" s="26" t="n"/>
      <c r="R1969" s="20" t="n"/>
      <c r="S1969" s="20" t="n"/>
    </row>
    <row r="1970">
      <c r="A1970" s="24" t="n"/>
      <c r="B1970" s="20" t="n"/>
      <c r="C1970" s="20" t="n"/>
      <c r="D1970" s="23" t="n"/>
      <c r="E1970" s="20" t="n"/>
      <c r="F1970" s="20" t="n"/>
      <c r="G1970" s="25" t="n"/>
      <c r="H1970" s="20" t="n"/>
      <c r="I1970" s="20" t="n"/>
      <c r="J1970" s="20" t="n"/>
      <c r="K1970" s="20" t="n"/>
      <c r="L1970" s="25" t="n"/>
      <c r="M1970" s="20" t="n"/>
      <c r="N1970" s="20" t="n"/>
      <c r="O1970" s="20" t="n"/>
      <c r="P1970" s="20" t="n"/>
      <c r="Q1970" s="26" t="n"/>
      <c r="R1970" s="20" t="n"/>
      <c r="S1970" s="20" t="n"/>
    </row>
    <row r="1971">
      <c r="A1971" s="24" t="n"/>
      <c r="B1971" s="20" t="n"/>
      <c r="C1971" s="20" t="n"/>
      <c r="D1971" s="23" t="n"/>
      <c r="E1971" s="20" t="n"/>
      <c r="F1971" s="20" t="n"/>
      <c r="G1971" s="25" t="n"/>
      <c r="H1971" s="20" t="n"/>
      <c r="I1971" s="20" t="n"/>
      <c r="J1971" s="20" t="n"/>
      <c r="K1971" s="20" t="n"/>
      <c r="L1971" s="25" t="n"/>
      <c r="M1971" s="20" t="n"/>
      <c r="N1971" s="20" t="n"/>
      <c r="O1971" s="20" t="n"/>
      <c r="P1971" s="20" t="n"/>
      <c r="Q1971" s="26" t="n"/>
      <c r="R1971" s="20" t="n"/>
      <c r="S1971" s="20" t="n"/>
    </row>
    <row r="1972">
      <c r="A1972" s="24" t="n"/>
      <c r="B1972" s="20" t="n"/>
      <c r="C1972" s="20" t="n"/>
      <c r="D1972" s="23" t="n"/>
      <c r="E1972" s="20" t="n"/>
      <c r="F1972" s="20" t="n"/>
      <c r="G1972" s="25" t="n"/>
      <c r="H1972" s="20" t="n"/>
      <c r="I1972" s="20" t="n"/>
      <c r="J1972" s="20" t="n"/>
      <c r="K1972" s="20" t="n"/>
      <c r="L1972" s="25" t="n"/>
      <c r="M1972" s="20" t="n"/>
      <c r="N1972" s="20" t="n"/>
      <c r="O1972" s="20" t="n"/>
      <c r="P1972" s="20" t="n"/>
      <c r="Q1972" s="26" t="n"/>
      <c r="R1972" s="20" t="n"/>
      <c r="S1972" s="20" t="n"/>
    </row>
    <row r="1973">
      <c r="A1973" s="24" t="n"/>
      <c r="B1973" s="20" t="n"/>
      <c r="C1973" s="20" t="n"/>
      <c r="D1973" s="23" t="n"/>
      <c r="E1973" s="20" t="n"/>
      <c r="F1973" s="20" t="n"/>
      <c r="G1973" s="25" t="n"/>
      <c r="H1973" s="20" t="n"/>
      <c r="I1973" s="20" t="n"/>
      <c r="J1973" s="20" t="n"/>
      <c r="K1973" s="20" t="n"/>
      <c r="L1973" s="25" t="n"/>
      <c r="M1973" s="20" t="n"/>
      <c r="N1973" s="20" t="n"/>
      <c r="O1973" s="20" t="n"/>
      <c r="P1973" s="20" t="n"/>
      <c r="Q1973" s="26" t="n"/>
      <c r="R1973" s="20" t="n"/>
      <c r="S1973" s="20" t="n"/>
    </row>
    <row r="1974">
      <c r="A1974" s="24" t="n"/>
      <c r="B1974" s="20" t="n"/>
      <c r="C1974" s="20" t="n"/>
      <c r="D1974" s="23" t="n"/>
      <c r="E1974" s="20" t="n"/>
      <c r="F1974" s="20" t="n"/>
      <c r="G1974" s="25" t="n"/>
      <c r="H1974" s="20" t="n"/>
      <c r="I1974" s="20" t="n"/>
      <c r="J1974" s="20" t="n"/>
      <c r="K1974" s="20" t="n"/>
      <c r="L1974" s="25" t="n"/>
      <c r="M1974" s="20" t="n"/>
      <c r="N1974" s="20" t="n"/>
      <c r="O1974" s="20" t="n"/>
      <c r="P1974" s="20" t="n"/>
      <c r="Q1974" s="26" t="n"/>
      <c r="R1974" s="20" t="n"/>
      <c r="S1974" s="20" t="n"/>
    </row>
    <row r="1975">
      <c r="A1975" s="24" t="n"/>
      <c r="B1975" s="20" t="n"/>
      <c r="C1975" s="20" t="n"/>
      <c r="D1975" s="23" t="n"/>
      <c r="E1975" s="20" t="n"/>
      <c r="F1975" s="20" t="n"/>
      <c r="G1975" s="25" t="n"/>
      <c r="H1975" s="20" t="n"/>
      <c r="I1975" s="20" t="n"/>
      <c r="J1975" s="20" t="n"/>
      <c r="K1975" s="20" t="n"/>
      <c r="L1975" s="25" t="n"/>
      <c r="M1975" s="20" t="n"/>
      <c r="N1975" s="20" t="n"/>
      <c r="O1975" s="20" t="n"/>
      <c r="P1975" s="20" t="n"/>
      <c r="Q1975" s="26" t="n"/>
      <c r="R1975" s="20" t="n"/>
      <c r="S1975" s="20" t="n"/>
    </row>
    <row r="1976">
      <c r="A1976" s="24" t="n"/>
      <c r="B1976" s="20" t="n"/>
      <c r="C1976" s="20" t="n"/>
      <c r="D1976" s="23" t="n"/>
      <c r="E1976" s="20" t="n"/>
      <c r="F1976" s="20" t="n"/>
      <c r="G1976" s="25" t="n"/>
      <c r="H1976" s="20" t="n"/>
      <c r="I1976" s="20" t="n"/>
      <c r="J1976" s="20" t="n"/>
      <c r="K1976" s="20" t="n"/>
      <c r="L1976" s="25" t="n"/>
      <c r="M1976" s="20" t="n"/>
      <c r="N1976" s="20" t="n"/>
      <c r="O1976" s="20" t="n"/>
      <c r="P1976" s="20" t="n"/>
      <c r="Q1976" s="26" t="n"/>
      <c r="R1976" s="20" t="n"/>
      <c r="S1976" s="20" t="n"/>
    </row>
    <row r="1977">
      <c r="A1977" s="24" t="n"/>
      <c r="B1977" s="20" t="n"/>
      <c r="C1977" s="20" t="n"/>
      <c r="D1977" s="23" t="n"/>
      <c r="E1977" s="20" t="n"/>
      <c r="F1977" s="20" t="n"/>
      <c r="G1977" s="25" t="n"/>
      <c r="H1977" s="20" t="n"/>
      <c r="I1977" s="20" t="n"/>
      <c r="J1977" s="20" t="n"/>
      <c r="K1977" s="20" t="n"/>
      <c r="L1977" s="25" t="n"/>
      <c r="M1977" s="20" t="n"/>
      <c r="N1977" s="20" t="n"/>
      <c r="O1977" s="20" t="n"/>
      <c r="P1977" s="20" t="n"/>
      <c r="Q1977" s="26" t="n"/>
      <c r="R1977" s="20" t="n"/>
      <c r="S1977" s="20" t="n"/>
    </row>
    <row r="1978">
      <c r="A1978" s="24" t="n"/>
      <c r="B1978" s="20" t="n"/>
      <c r="C1978" s="20" t="n"/>
      <c r="D1978" s="23" t="n"/>
      <c r="E1978" s="20" t="n"/>
      <c r="F1978" s="20" t="n"/>
      <c r="G1978" s="25" t="n"/>
      <c r="H1978" s="20" t="n"/>
      <c r="I1978" s="20" t="n"/>
      <c r="J1978" s="20" t="n"/>
      <c r="K1978" s="20" t="n"/>
      <c r="L1978" s="25" t="n"/>
      <c r="M1978" s="20" t="n"/>
      <c r="N1978" s="20" t="n"/>
      <c r="O1978" s="20" t="n"/>
      <c r="P1978" s="20" t="n"/>
      <c r="Q1978" s="26" t="n"/>
      <c r="R1978" s="20" t="n"/>
      <c r="S1978" s="20" t="n"/>
    </row>
    <row r="1979">
      <c r="A1979" s="24" t="n"/>
      <c r="B1979" s="20" t="n"/>
      <c r="C1979" s="20" t="n"/>
      <c r="D1979" s="23" t="n"/>
      <c r="E1979" s="20" t="n"/>
      <c r="F1979" s="20" t="n"/>
      <c r="G1979" s="25" t="n"/>
      <c r="H1979" s="20" t="n"/>
      <c r="I1979" s="20" t="n"/>
      <c r="J1979" s="20" t="n"/>
      <c r="K1979" s="20" t="n"/>
      <c r="L1979" s="25" t="n"/>
      <c r="M1979" s="20" t="n"/>
      <c r="N1979" s="20" t="n"/>
      <c r="O1979" s="20" t="n"/>
      <c r="P1979" s="20" t="n"/>
      <c r="Q1979" s="26" t="n"/>
      <c r="R1979" s="20" t="n"/>
      <c r="S1979" s="20" t="n"/>
    </row>
    <row r="1980">
      <c r="A1980" s="24" t="n"/>
      <c r="B1980" s="20" t="n"/>
      <c r="C1980" s="20" t="n"/>
      <c r="D1980" s="23" t="n"/>
      <c r="E1980" s="20" t="n"/>
      <c r="F1980" s="20" t="n"/>
      <c r="G1980" s="25" t="n"/>
      <c r="H1980" s="20" t="n"/>
      <c r="I1980" s="20" t="n"/>
      <c r="J1980" s="20" t="n"/>
      <c r="K1980" s="20" t="n"/>
      <c r="L1980" s="25" t="n"/>
      <c r="M1980" s="20" t="n"/>
      <c r="N1980" s="20" t="n"/>
      <c r="O1980" s="20" t="n"/>
      <c r="P1980" s="20" t="n"/>
      <c r="Q1980" s="26" t="n"/>
      <c r="R1980" s="20" t="n"/>
      <c r="S1980" s="20" t="n"/>
    </row>
    <row r="1981">
      <c r="A1981" s="24" t="n"/>
      <c r="B1981" s="20" t="n"/>
      <c r="C1981" s="20" t="n"/>
      <c r="D1981" s="23" t="n"/>
      <c r="E1981" s="20" t="n"/>
      <c r="F1981" s="20" t="n"/>
      <c r="G1981" s="25" t="n"/>
      <c r="H1981" s="20" t="n"/>
      <c r="I1981" s="20" t="n"/>
      <c r="J1981" s="20" t="n"/>
      <c r="K1981" s="20" t="n"/>
      <c r="L1981" s="25" t="n"/>
      <c r="M1981" s="20" t="n"/>
      <c r="N1981" s="20" t="n"/>
      <c r="O1981" s="20" t="n"/>
      <c r="P1981" s="20" t="n"/>
      <c r="Q1981" s="26" t="n"/>
      <c r="R1981" s="20" t="n"/>
      <c r="S1981" s="20" t="n"/>
    </row>
    <row r="1982">
      <c r="A1982" s="24" t="n"/>
      <c r="B1982" s="20" t="n"/>
      <c r="C1982" s="20" t="n"/>
      <c r="D1982" s="23" t="n"/>
      <c r="E1982" s="20" t="n"/>
      <c r="F1982" s="20" t="n"/>
      <c r="G1982" s="25" t="n"/>
      <c r="H1982" s="20" t="n"/>
      <c r="I1982" s="20" t="n"/>
      <c r="J1982" s="20" t="n"/>
      <c r="K1982" s="20" t="n"/>
      <c r="L1982" s="25" t="n"/>
      <c r="M1982" s="20" t="n"/>
      <c r="N1982" s="20" t="n"/>
      <c r="O1982" s="20" t="n"/>
      <c r="P1982" s="20" t="n"/>
      <c r="Q1982" s="26" t="n"/>
      <c r="R1982" s="20" t="n"/>
      <c r="S1982" s="20" t="n"/>
    </row>
    <row r="1983">
      <c r="A1983" s="24" t="n"/>
      <c r="B1983" s="20" t="n"/>
      <c r="C1983" s="20" t="n"/>
      <c r="D1983" s="23" t="n"/>
      <c r="E1983" s="20" t="n"/>
      <c r="F1983" s="20" t="n"/>
      <c r="G1983" s="25" t="n"/>
      <c r="H1983" s="20" t="n"/>
      <c r="I1983" s="20" t="n"/>
      <c r="J1983" s="20" t="n"/>
      <c r="K1983" s="20" t="n"/>
      <c r="L1983" s="25" t="n"/>
      <c r="M1983" s="20" t="n"/>
      <c r="N1983" s="20" t="n"/>
      <c r="O1983" s="20" t="n"/>
      <c r="P1983" s="20" t="n"/>
      <c r="Q1983" s="26" t="n"/>
      <c r="R1983" s="20" t="n"/>
      <c r="S1983" s="20" t="n"/>
    </row>
    <row r="1984">
      <c r="A1984" s="24" t="n"/>
      <c r="B1984" s="20" t="n"/>
      <c r="C1984" s="20" t="n"/>
      <c r="D1984" s="23" t="n"/>
      <c r="E1984" s="20" t="n"/>
      <c r="F1984" s="20" t="n"/>
      <c r="G1984" s="25" t="n"/>
      <c r="H1984" s="20" t="n"/>
      <c r="I1984" s="20" t="n"/>
      <c r="J1984" s="20" t="n"/>
      <c r="K1984" s="20" t="n"/>
      <c r="L1984" s="25" t="n"/>
      <c r="M1984" s="20" t="n"/>
      <c r="N1984" s="20" t="n"/>
      <c r="O1984" s="20" t="n"/>
      <c r="P1984" s="20" t="n"/>
      <c r="Q1984" s="26" t="n"/>
      <c r="R1984" s="20" t="n"/>
      <c r="S1984" s="20" t="n"/>
    </row>
    <row r="1985">
      <c r="A1985" s="24" t="n"/>
      <c r="B1985" s="20" t="n"/>
      <c r="C1985" s="20" t="n"/>
      <c r="D1985" s="23" t="n"/>
      <c r="E1985" s="20" t="n"/>
      <c r="F1985" s="20" t="n"/>
      <c r="G1985" s="25" t="n"/>
      <c r="H1985" s="20" t="n"/>
      <c r="I1985" s="20" t="n"/>
      <c r="J1985" s="20" t="n"/>
      <c r="K1985" s="20" t="n"/>
      <c r="L1985" s="25" t="n"/>
      <c r="M1985" s="20" t="n"/>
      <c r="N1985" s="20" t="n"/>
      <c r="O1985" s="20" t="n"/>
      <c r="P1985" s="20" t="n"/>
      <c r="Q1985" s="26" t="n"/>
      <c r="R1985" s="20" t="n"/>
      <c r="S1985" s="20" t="n"/>
    </row>
    <row r="1986">
      <c r="A1986" s="24" t="n"/>
      <c r="B1986" s="20" t="n"/>
      <c r="C1986" s="20" t="n"/>
      <c r="D1986" s="23" t="n"/>
      <c r="E1986" s="20" t="n"/>
      <c r="F1986" s="20" t="n"/>
      <c r="G1986" s="25" t="n"/>
      <c r="H1986" s="20" t="n"/>
      <c r="I1986" s="20" t="n"/>
      <c r="J1986" s="20" t="n"/>
      <c r="K1986" s="20" t="n"/>
      <c r="L1986" s="25" t="n"/>
      <c r="M1986" s="20" t="n"/>
      <c r="N1986" s="20" t="n"/>
      <c r="O1986" s="20" t="n"/>
      <c r="P1986" s="20" t="n"/>
      <c r="Q1986" s="26" t="n"/>
      <c r="R1986" s="20" t="n"/>
      <c r="S1986" s="20" t="n"/>
    </row>
    <row r="1987">
      <c r="A1987" s="24" t="n"/>
      <c r="B1987" s="20" t="n"/>
      <c r="C1987" s="20" t="n"/>
      <c r="D1987" s="23" t="n"/>
      <c r="E1987" s="20" t="n"/>
      <c r="F1987" s="20" t="n"/>
      <c r="G1987" s="25" t="n"/>
      <c r="H1987" s="20" t="n"/>
      <c r="I1987" s="20" t="n"/>
      <c r="J1987" s="20" t="n"/>
      <c r="K1987" s="20" t="n"/>
      <c r="L1987" s="25" t="n"/>
      <c r="M1987" s="20" t="n"/>
      <c r="N1987" s="20" t="n"/>
      <c r="O1987" s="20" t="n"/>
      <c r="P1987" s="20" t="n"/>
      <c r="Q1987" s="26" t="n"/>
      <c r="R1987" s="20" t="n"/>
      <c r="S1987" s="20" t="n"/>
    </row>
    <row r="1988">
      <c r="A1988" s="24" t="n"/>
      <c r="B1988" s="20" t="n"/>
      <c r="C1988" s="20" t="n"/>
      <c r="D1988" s="23" t="n"/>
      <c r="E1988" s="20" t="n"/>
      <c r="F1988" s="20" t="n"/>
      <c r="G1988" s="25" t="n"/>
      <c r="H1988" s="20" t="n"/>
      <c r="I1988" s="20" t="n"/>
      <c r="J1988" s="20" t="n"/>
      <c r="K1988" s="20" t="n"/>
      <c r="L1988" s="25" t="n"/>
      <c r="M1988" s="20" t="n"/>
      <c r="N1988" s="20" t="n"/>
      <c r="O1988" s="20" t="n"/>
      <c r="P1988" s="20" t="n"/>
      <c r="Q1988" s="26" t="n"/>
      <c r="R1988" s="20" t="n"/>
      <c r="S1988" s="20" t="n"/>
    </row>
    <row r="1989">
      <c r="A1989" s="24" t="n"/>
      <c r="B1989" s="20" t="n"/>
      <c r="C1989" s="20" t="n"/>
      <c r="D1989" s="23" t="n"/>
      <c r="E1989" s="20" t="n"/>
      <c r="F1989" s="20" t="n"/>
      <c r="G1989" s="25" t="n"/>
      <c r="H1989" s="20" t="n"/>
      <c r="I1989" s="20" t="n"/>
      <c r="J1989" s="20" t="n"/>
      <c r="K1989" s="20" t="n"/>
      <c r="L1989" s="25" t="n"/>
      <c r="M1989" s="20" t="n"/>
      <c r="N1989" s="20" t="n"/>
      <c r="O1989" s="20" t="n"/>
      <c r="P1989" s="20" t="n"/>
      <c r="Q1989" s="26" t="n"/>
      <c r="R1989" s="20" t="n"/>
      <c r="S1989" s="20" t="n"/>
    </row>
    <row r="1990">
      <c r="A1990" s="24" t="n"/>
      <c r="B1990" s="20" t="n"/>
      <c r="C1990" s="20" t="n"/>
      <c r="D1990" s="23" t="n"/>
      <c r="E1990" s="20" t="n"/>
      <c r="F1990" s="20" t="n"/>
      <c r="G1990" s="25" t="n"/>
      <c r="H1990" s="20" t="n"/>
      <c r="I1990" s="20" t="n"/>
      <c r="J1990" s="20" t="n"/>
      <c r="K1990" s="20" t="n"/>
      <c r="L1990" s="25" t="n"/>
      <c r="M1990" s="20" t="n"/>
      <c r="N1990" s="20" t="n"/>
      <c r="O1990" s="20" t="n"/>
      <c r="P1990" s="20" t="n"/>
      <c r="Q1990" s="26" t="n"/>
      <c r="R1990" s="20" t="n"/>
      <c r="S1990" s="20" t="n"/>
    </row>
    <row r="1991">
      <c r="A1991" s="24" t="n"/>
      <c r="B1991" s="20" t="n"/>
      <c r="C1991" s="20" t="n"/>
      <c r="D1991" s="23" t="n"/>
      <c r="E1991" s="20" t="n"/>
      <c r="F1991" s="20" t="n"/>
      <c r="G1991" s="25" t="n"/>
      <c r="H1991" s="20" t="n"/>
      <c r="I1991" s="20" t="n"/>
      <c r="J1991" s="20" t="n"/>
      <c r="K1991" s="20" t="n"/>
      <c r="L1991" s="25" t="n"/>
      <c r="M1991" s="20" t="n"/>
      <c r="N1991" s="20" t="n"/>
      <c r="O1991" s="20" t="n"/>
      <c r="P1991" s="20" t="n"/>
      <c r="Q1991" s="26" t="n"/>
      <c r="R1991" s="20" t="n"/>
      <c r="S1991" s="20" t="n"/>
    </row>
    <row r="1992">
      <c r="A1992" s="24" t="n"/>
      <c r="B1992" s="20" t="n"/>
      <c r="C1992" s="20" t="n"/>
      <c r="D1992" s="23" t="n"/>
      <c r="E1992" s="20" t="n"/>
      <c r="F1992" s="20" t="n"/>
      <c r="G1992" s="25" t="n"/>
      <c r="H1992" s="20" t="n"/>
      <c r="I1992" s="20" t="n"/>
      <c r="J1992" s="20" t="n"/>
      <c r="K1992" s="20" t="n"/>
      <c r="L1992" s="25" t="n"/>
      <c r="M1992" s="20" t="n"/>
      <c r="N1992" s="20" t="n"/>
      <c r="O1992" s="20" t="n"/>
      <c r="P1992" s="20" t="n"/>
      <c r="Q1992" s="26" t="n"/>
      <c r="R1992" s="20" t="n"/>
      <c r="S1992" s="20" t="n"/>
    </row>
    <row r="1993">
      <c r="A1993" s="24" t="n"/>
      <c r="B1993" s="20" t="n"/>
      <c r="C1993" s="20" t="n"/>
      <c r="D1993" s="23" t="n"/>
      <c r="E1993" s="20" t="n"/>
      <c r="F1993" s="20" t="n"/>
      <c r="G1993" s="25" t="n"/>
      <c r="H1993" s="20" t="n"/>
      <c r="I1993" s="20" t="n"/>
      <c r="J1993" s="20" t="n"/>
      <c r="K1993" s="20" t="n"/>
      <c r="L1993" s="25" t="n"/>
      <c r="M1993" s="20" t="n"/>
      <c r="N1993" s="20" t="n"/>
      <c r="O1993" s="20" t="n"/>
      <c r="P1993" s="20" t="n"/>
      <c r="Q1993" s="26" t="n"/>
      <c r="R1993" s="20" t="n"/>
      <c r="S1993" s="20" t="n"/>
    </row>
    <row r="1994">
      <c r="A1994" s="24" t="n"/>
      <c r="B1994" s="20" t="n"/>
      <c r="C1994" s="20" t="n"/>
      <c r="D1994" s="23" t="n"/>
      <c r="E1994" s="20" t="n"/>
      <c r="F1994" s="20" t="n"/>
      <c r="G1994" s="25" t="n"/>
      <c r="H1994" s="20" t="n"/>
      <c r="I1994" s="20" t="n"/>
      <c r="J1994" s="20" t="n"/>
      <c r="K1994" s="20" t="n"/>
      <c r="L1994" s="25" t="n"/>
      <c r="M1994" s="20" t="n"/>
      <c r="N1994" s="20" t="n"/>
      <c r="O1994" s="20" t="n"/>
      <c r="P1994" s="20" t="n"/>
      <c r="Q1994" s="26" t="n"/>
      <c r="R1994" s="20" t="n"/>
      <c r="S1994" s="20" t="n"/>
    </row>
    <row r="1995">
      <c r="A1995" s="24" t="n"/>
      <c r="B1995" s="20" t="n"/>
      <c r="C1995" s="20" t="n"/>
      <c r="D1995" s="23" t="n"/>
      <c r="E1995" s="20" t="n"/>
      <c r="F1995" s="20" t="n"/>
      <c r="G1995" s="25" t="n"/>
      <c r="H1995" s="20" t="n"/>
      <c r="I1995" s="20" t="n"/>
      <c r="J1995" s="20" t="n"/>
      <c r="K1995" s="20" t="n"/>
      <c r="L1995" s="25" t="n"/>
      <c r="M1995" s="20" t="n"/>
      <c r="N1995" s="20" t="n"/>
      <c r="O1995" s="20" t="n"/>
      <c r="P1995" s="20" t="n"/>
      <c r="Q1995" s="26" t="n"/>
      <c r="R1995" s="20" t="n"/>
      <c r="S1995" s="20" t="n"/>
    </row>
    <row r="1996">
      <c r="A1996" s="24" t="n"/>
      <c r="B1996" s="20" t="n"/>
      <c r="C1996" s="20" t="n"/>
      <c r="D1996" s="23" t="n"/>
      <c r="E1996" s="20" t="n"/>
      <c r="F1996" s="20" t="n"/>
      <c r="G1996" s="25" t="n"/>
      <c r="H1996" s="20" t="n"/>
      <c r="I1996" s="20" t="n"/>
      <c r="J1996" s="20" t="n"/>
      <c r="K1996" s="20" t="n"/>
      <c r="L1996" s="25" t="n"/>
      <c r="M1996" s="20" t="n"/>
      <c r="N1996" s="20" t="n"/>
      <c r="O1996" s="20" t="n"/>
      <c r="P1996" s="20" t="n"/>
      <c r="Q1996" s="26" t="n"/>
      <c r="R1996" s="20" t="n"/>
      <c r="S1996" s="20" t="n"/>
    </row>
    <row r="1997">
      <c r="A1997" s="24" t="n"/>
      <c r="B1997" s="20" t="n"/>
      <c r="C1997" s="20" t="n"/>
      <c r="D1997" s="23" t="n"/>
      <c r="E1997" s="20" t="n"/>
      <c r="F1997" s="20" t="n"/>
      <c r="G1997" s="25" t="n"/>
      <c r="H1997" s="20" t="n"/>
      <c r="I1997" s="20" t="n"/>
      <c r="J1997" s="20" t="n"/>
      <c r="K1997" s="20" t="n"/>
      <c r="L1997" s="25" t="n"/>
      <c r="M1997" s="20" t="n"/>
      <c r="N1997" s="20" t="n"/>
      <c r="O1997" s="20" t="n"/>
      <c r="P1997" s="20" t="n"/>
      <c r="Q1997" s="26" t="n"/>
      <c r="R1997" s="20" t="n"/>
      <c r="S1997" s="20" t="n"/>
    </row>
    <row r="1998">
      <c r="A1998" s="24" t="n"/>
      <c r="B1998" s="20" t="n"/>
      <c r="C1998" s="20" t="n"/>
      <c r="D1998" s="23" t="n"/>
      <c r="E1998" s="20" t="n"/>
      <c r="F1998" s="20" t="n"/>
      <c r="G1998" s="25" t="n"/>
      <c r="H1998" s="20" t="n"/>
      <c r="I1998" s="20" t="n"/>
      <c r="J1998" s="20" t="n"/>
      <c r="K1998" s="20" t="n"/>
      <c r="L1998" s="25" t="n"/>
      <c r="M1998" s="20" t="n"/>
      <c r="N1998" s="20" t="n"/>
      <c r="O1998" s="20" t="n"/>
      <c r="P1998" s="20" t="n"/>
      <c r="Q1998" s="26" t="n"/>
      <c r="R1998" s="20" t="n"/>
      <c r="S1998" s="20" t="n"/>
    </row>
    <row r="1999">
      <c r="A1999" s="24" t="n"/>
      <c r="B1999" s="20" t="n"/>
      <c r="C1999" s="20" t="n"/>
      <c r="D1999" s="23" t="n"/>
      <c r="E1999" s="20" t="n"/>
      <c r="F1999" s="20" t="n"/>
      <c r="G1999" s="25" t="n"/>
      <c r="H1999" s="20" t="n"/>
      <c r="I1999" s="20" t="n"/>
      <c r="J1999" s="20" t="n"/>
      <c r="K1999" s="20" t="n"/>
      <c r="L1999" s="25" t="n"/>
      <c r="M1999" s="20" t="n"/>
      <c r="N1999" s="20" t="n"/>
      <c r="O1999" s="20" t="n"/>
      <c r="P1999" s="20" t="n"/>
      <c r="Q1999" s="26" t="n"/>
      <c r="R1999" s="20" t="n"/>
      <c r="S1999" s="20" t="n"/>
    </row>
    <row r="2000">
      <c r="A2000" s="24" t="n"/>
      <c r="B2000" s="20" t="n"/>
      <c r="C2000" s="20" t="n"/>
      <c r="D2000" s="23" t="n"/>
      <c r="E2000" s="20" t="n"/>
      <c r="F2000" s="20" t="n"/>
      <c r="G2000" s="25" t="n"/>
      <c r="H2000" s="20" t="n"/>
      <c r="I2000" s="20" t="n"/>
      <c r="J2000" s="20" t="n"/>
      <c r="K2000" s="20" t="n"/>
      <c r="L2000" s="25" t="n"/>
      <c r="M2000" s="20" t="n"/>
      <c r="N2000" s="20" t="n"/>
      <c r="O2000" s="20" t="n"/>
      <c r="P2000" s="20" t="n"/>
      <c r="Q2000" s="26" t="n"/>
      <c r="R2000" s="20" t="n"/>
      <c r="S2000" s="20" t="n"/>
    </row>
    <row r="2001">
      <c r="A2001" s="24" t="n"/>
      <c r="B2001" s="20" t="n"/>
      <c r="C2001" s="20" t="n"/>
      <c r="D2001" s="23" t="n"/>
      <c r="E2001" s="20" t="n"/>
      <c r="F2001" s="20" t="n"/>
      <c r="G2001" s="25" t="n"/>
      <c r="H2001" s="20" t="n"/>
      <c r="I2001" s="20" t="n"/>
      <c r="J2001" s="20" t="n"/>
      <c r="K2001" s="20" t="n"/>
      <c r="L2001" s="25" t="n"/>
      <c r="M2001" s="20" t="n"/>
      <c r="N2001" s="20" t="n"/>
      <c r="O2001" s="20" t="n"/>
      <c r="P2001" s="20" t="n"/>
      <c r="Q2001" s="26" t="n"/>
      <c r="R2001" s="20" t="n"/>
      <c r="S2001" s="20" t="n"/>
    </row>
    <row r="2002">
      <c r="A2002" s="24" t="n"/>
      <c r="B2002" s="20" t="n"/>
      <c r="C2002" s="20" t="n"/>
      <c r="D2002" s="23" t="n"/>
      <c r="E2002" s="20" t="n"/>
      <c r="F2002" s="20" t="n"/>
      <c r="G2002" s="25" t="n"/>
      <c r="H2002" s="20" t="n"/>
      <c r="I2002" s="20" t="n"/>
      <c r="J2002" s="20" t="n"/>
      <c r="K2002" s="20" t="n"/>
      <c r="L2002" s="25" t="n"/>
      <c r="M2002" s="20" t="n"/>
      <c r="N2002" s="20" t="n"/>
      <c r="O2002" s="20" t="n"/>
      <c r="P2002" s="20" t="n"/>
      <c r="Q2002" s="26" t="n"/>
      <c r="R2002" s="20" t="n"/>
      <c r="S2002" s="20" t="n"/>
    </row>
    <row r="2003">
      <c r="A2003" s="24" t="n"/>
      <c r="B2003" s="20" t="n"/>
      <c r="C2003" s="20" t="n"/>
      <c r="D2003" s="23" t="n"/>
      <c r="E2003" s="20" t="n"/>
      <c r="F2003" s="20" t="n"/>
      <c r="G2003" s="25" t="n"/>
      <c r="H2003" s="20" t="n"/>
      <c r="I2003" s="20" t="n"/>
      <c r="J2003" s="20" t="n"/>
      <c r="K2003" s="20" t="n"/>
      <c r="L2003" s="25" t="n"/>
      <c r="M2003" s="20" t="n"/>
      <c r="N2003" s="20" t="n"/>
      <c r="O2003" s="20" t="n"/>
      <c r="P2003" s="20" t="n"/>
      <c r="Q2003" s="26" t="n"/>
      <c r="R2003" s="20" t="n"/>
      <c r="S2003" s="20" t="n"/>
    </row>
    <row r="2004">
      <c r="A2004" s="24" t="n"/>
      <c r="B2004" s="20" t="n"/>
      <c r="C2004" s="20" t="n"/>
      <c r="D2004" s="23" t="n"/>
      <c r="E2004" s="20" t="n"/>
      <c r="F2004" s="20" t="n"/>
      <c r="G2004" s="25" t="n"/>
      <c r="H2004" s="20" t="n"/>
      <c r="I2004" s="20" t="n"/>
      <c r="J2004" s="20" t="n"/>
      <c r="K2004" s="20" t="n"/>
      <c r="L2004" s="25" t="n"/>
      <c r="M2004" s="20" t="n"/>
      <c r="N2004" s="20" t="n"/>
      <c r="O2004" s="20" t="n"/>
      <c r="P2004" s="20" t="n"/>
      <c r="Q2004" s="26" t="n"/>
      <c r="R2004" s="20" t="n"/>
      <c r="S2004" s="20" t="n"/>
    </row>
    <row r="2005">
      <c r="A2005" s="24" t="n"/>
      <c r="B2005" s="20" t="n"/>
      <c r="C2005" s="20" t="n"/>
      <c r="D2005" s="23" t="n"/>
      <c r="E2005" s="20" t="n"/>
      <c r="F2005" s="20" t="n"/>
      <c r="G2005" s="25" t="n"/>
      <c r="H2005" s="20" t="n"/>
      <c r="I2005" s="20" t="n"/>
      <c r="J2005" s="20" t="n"/>
      <c r="K2005" s="20" t="n"/>
      <c r="L2005" s="25" t="n"/>
      <c r="M2005" s="20" t="n"/>
      <c r="N2005" s="20" t="n"/>
      <c r="O2005" s="20" t="n"/>
      <c r="P2005" s="20" t="n"/>
      <c r="Q2005" s="26" t="n"/>
      <c r="R2005" s="20" t="n"/>
      <c r="S2005" s="20" t="n"/>
    </row>
    <row r="2006">
      <c r="A2006" s="24" t="n"/>
      <c r="B2006" s="20" t="n"/>
      <c r="C2006" s="20" t="n"/>
      <c r="D2006" s="23" t="n"/>
      <c r="E2006" s="20" t="n"/>
      <c r="F2006" s="20" t="n"/>
      <c r="G2006" s="25" t="n"/>
      <c r="H2006" s="20" t="n"/>
      <c r="I2006" s="20" t="n"/>
      <c r="J2006" s="20" t="n"/>
      <c r="K2006" s="20" t="n"/>
      <c r="L2006" s="25" t="n"/>
      <c r="M2006" s="20" t="n"/>
      <c r="N2006" s="20" t="n"/>
      <c r="O2006" s="20" t="n"/>
      <c r="P2006" s="20" t="n"/>
      <c r="Q2006" s="26" t="n"/>
      <c r="R2006" s="20" t="n"/>
      <c r="S2006" s="20" t="n"/>
    </row>
    <row r="2007">
      <c r="A2007" s="24" t="n"/>
      <c r="B2007" s="20" t="n"/>
      <c r="C2007" s="20" t="n"/>
      <c r="D2007" s="23" t="n"/>
      <c r="E2007" s="20" t="n"/>
      <c r="F2007" s="20" t="n"/>
      <c r="G2007" s="25" t="n"/>
      <c r="H2007" s="20" t="n"/>
      <c r="I2007" s="20" t="n"/>
      <c r="J2007" s="20" t="n"/>
      <c r="K2007" s="20" t="n"/>
      <c r="L2007" s="25" t="n"/>
      <c r="M2007" s="20" t="n"/>
      <c r="N2007" s="20" t="n"/>
      <c r="O2007" s="20" t="n"/>
      <c r="P2007" s="20" t="n"/>
      <c r="Q2007" s="26" t="n"/>
      <c r="R2007" s="20" t="n"/>
      <c r="S2007" s="20" t="n"/>
    </row>
    <row r="2008">
      <c r="A2008" s="24" t="n"/>
      <c r="B2008" s="20" t="n"/>
      <c r="C2008" s="20" t="n"/>
      <c r="D2008" s="23" t="n"/>
      <c r="E2008" s="20" t="n"/>
      <c r="F2008" s="20" t="n"/>
      <c r="G2008" s="25" t="n"/>
      <c r="H2008" s="20" t="n"/>
      <c r="I2008" s="20" t="n"/>
      <c r="J2008" s="20" t="n"/>
      <c r="K2008" s="20" t="n"/>
      <c r="L2008" s="25" t="n"/>
      <c r="M2008" s="20" t="n"/>
      <c r="N2008" s="20" t="n"/>
      <c r="O2008" s="20" t="n"/>
      <c r="P2008" s="20" t="n"/>
      <c r="Q2008" s="26" t="n"/>
      <c r="R2008" s="20" t="n"/>
      <c r="S2008" s="20" t="n"/>
    </row>
    <row r="2009">
      <c r="A2009" s="24" t="n"/>
      <c r="B2009" s="20" t="n"/>
      <c r="C2009" s="20" t="n"/>
      <c r="D2009" s="23" t="n"/>
      <c r="E2009" s="20" t="n"/>
      <c r="F2009" s="20" t="n"/>
      <c r="G2009" s="25" t="n"/>
      <c r="H2009" s="20" t="n"/>
      <c r="I2009" s="20" t="n"/>
      <c r="J2009" s="20" t="n"/>
      <c r="K2009" s="20" t="n"/>
      <c r="L2009" s="25" t="n"/>
      <c r="M2009" s="20" t="n"/>
      <c r="N2009" s="20" t="n"/>
      <c r="O2009" s="20" t="n"/>
      <c r="P2009" s="20" t="n"/>
      <c r="Q2009" s="26" t="n"/>
      <c r="R2009" s="20" t="n"/>
      <c r="S2009" s="20" t="n"/>
    </row>
    <row r="2010">
      <c r="A2010" s="24" t="n"/>
      <c r="B2010" s="20" t="n"/>
      <c r="C2010" s="20" t="n"/>
      <c r="D2010" s="23" t="n"/>
      <c r="E2010" s="20" t="n"/>
      <c r="F2010" s="20" t="n"/>
      <c r="G2010" s="25" t="n"/>
      <c r="H2010" s="20" t="n"/>
      <c r="I2010" s="20" t="n"/>
      <c r="J2010" s="20" t="n"/>
      <c r="K2010" s="20" t="n"/>
      <c r="L2010" s="25" t="n"/>
      <c r="M2010" s="20" t="n"/>
      <c r="N2010" s="20" t="n"/>
      <c r="O2010" s="20" t="n"/>
      <c r="P2010" s="20" t="n"/>
      <c r="Q2010" s="26" t="n"/>
      <c r="R2010" s="20" t="n"/>
      <c r="S2010" s="20" t="n"/>
    </row>
    <row r="2011">
      <c r="A2011" s="24" t="n"/>
      <c r="B2011" s="20" t="n"/>
      <c r="C2011" s="20" t="n"/>
      <c r="D2011" s="23" t="n"/>
      <c r="E2011" s="20" t="n"/>
      <c r="F2011" s="20" t="n"/>
      <c r="G2011" s="25" t="n"/>
      <c r="H2011" s="20" t="n"/>
      <c r="I2011" s="20" t="n"/>
      <c r="J2011" s="20" t="n"/>
      <c r="K2011" s="20" t="n"/>
      <c r="L2011" s="25" t="n"/>
      <c r="M2011" s="20" t="n"/>
      <c r="N2011" s="20" t="n"/>
      <c r="O2011" s="20" t="n"/>
      <c r="P2011" s="20" t="n"/>
      <c r="Q2011" s="26" t="n"/>
      <c r="R2011" s="20" t="n"/>
      <c r="S2011" s="20" t="n"/>
    </row>
    <row r="2012">
      <c r="A2012" s="24" t="n"/>
      <c r="B2012" s="20" t="n"/>
      <c r="C2012" s="20" t="n"/>
      <c r="D2012" s="23" t="n"/>
      <c r="E2012" s="20" t="n"/>
      <c r="F2012" s="20" t="n"/>
      <c r="G2012" s="25" t="n"/>
      <c r="H2012" s="20" t="n"/>
      <c r="I2012" s="20" t="n"/>
      <c r="J2012" s="20" t="n"/>
      <c r="K2012" s="20" t="n"/>
      <c r="L2012" s="25" t="n"/>
      <c r="M2012" s="20" t="n"/>
      <c r="N2012" s="20" t="n"/>
      <c r="O2012" s="20" t="n"/>
      <c r="P2012" s="20" t="n"/>
      <c r="Q2012" s="26" t="n"/>
      <c r="R2012" s="20" t="n"/>
      <c r="S2012" s="20" t="n"/>
    </row>
    <row r="2013">
      <c r="A2013" s="24" t="n"/>
      <c r="B2013" s="20" t="n"/>
      <c r="C2013" s="20" t="n"/>
      <c r="D2013" s="23" t="n"/>
      <c r="E2013" s="20" t="n"/>
      <c r="F2013" s="20" t="n"/>
      <c r="G2013" s="25" t="n"/>
      <c r="H2013" s="20" t="n"/>
      <c r="I2013" s="20" t="n"/>
      <c r="J2013" s="20" t="n"/>
      <c r="K2013" s="20" t="n"/>
      <c r="L2013" s="25" t="n"/>
      <c r="M2013" s="20" t="n"/>
      <c r="N2013" s="20" t="n"/>
      <c r="O2013" s="20" t="n"/>
      <c r="P2013" s="20" t="n"/>
      <c r="Q2013" s="26" t="n"/>
      <c r="R2013" s="20" t="n"/>
      <c r="S2013" s="20" t="n"/>
    </row>
    <row r="2014">
      <c r="A2014" s="24" t="n"/>
      <c r="B2014" s="20" t="n"/>
      <c r="C2014" s="20" t="n"/>
      <c r="D2014" s="23" t="n"/>
      <c r="E2014" s="20" t="n"/>
      <c r="F2014" s="20" t="n"/>
      <c r="G2014" s="25" t="n"/>
      <c r="H2014" s="20" t="n"/>
      <c r="I2014" s="20" t="n"/>
      <c r="J2014" s="20" t="n"/>
      <c r="K2014" s="20" t="n"/>
      <c r="L2014" s="25" t="n"/>
      <c r="M2014" s="20" t="n"/>
      <c r="N2014" s="20" t="n"/>
      <c r="O2014" s="20" t="n"/>
      <c r="P2014" s="20" t="n"/>
      <c r="Q2014" s="26" t="n"/>
      <c r="R2014" s="20" t="n"/>
      <c r="S2014" s="20" t="n"/>
    </row>
    <row r="2015">
      <c r="A2015" s="24" t="n"/>
      <c r="B2015" s="20" t="n"/>
      <c r="C2015" s="20" t="n"/>
      <c r="D2015" s="23" t="n"/>
      <c r="E2015" s="20" t="n"/>
      <c r="F2015" s="20" t="n"/>
      <c r="G2015" s="25" t="n"/>
      <c r="H2015" s="20" t="n"/>
      <c r="I2015" s="20" t="n"/>
      <c r="J2015" s="20" t="n"/>
      <c r="K2015" s="20" t="n"/>
      <c r="L2015" s="25" t="n"/>
      <c r="M2015" s="20" t="n"/>
      <c r="N2015" s="20" t="n"/>
      <c r="O2015" s="20" t="n"/>
      <c r="P2015" s="20" t="n"/>
      <c r="Q2015" s="26" t="n"/>
      <c r="R2015" s="20" t="n"/>
      <c r="S2015" s="20" t="n"/>
    </row>
    <row r="2016">
      <c r="A2016" s="24" t="n"/>
      <c r="B2016" s="20" t="n"/>
      <c r="C2016" s="20" t="n"/>
      <c r="D2016" s="23" t="n"/>
      <c r="E2016" s="20" t="n"/>
      <c r="F2016" s="20" t="n"/>
      <c r="G2016" s="25" t="n"/>
      <c r="H2016" s="20" t="n"/>
      <c r="I2016" s="20" t="n"/>
      <c r="J2016" s="20" t="n"/>
      <c r="K2016" s="20" t="n"/>
      <c r="L2016" s="25" t="n"/>
      <c r="M2016" s="20" t="n"/>
      <c r="N2016" s="20" t="n"/>
      <c r="O2016" s="20" t="n"/>
      <c r="P2016" s="20" t="n"/>
      <c r="Q2016" s="26" t="n"/>
      <c r="R2016" s="20" t="n"/>
      <c r="S2016" s="20" t="n"/>
    </row>
    <row r="2017">
      <c r="A2017" s="24" t="n"/>
      <c r="B2017" s="20" t="n"/>
      <c r="C2017" s="20" t="n"/>
      <c r="D2017" s="23" t="n"/>
      <c r="E2017" s="20" t="n"/>
      <c r="F2017" s="20" t="n"/>
      <c r="G2017" s="25" t="n"/>
      <c r="H2017" s="20" t="n"/>
      <c r="I2017" s="20" t="n"/>
      <c r="J2017" s="20" t="n"/>
      <c r="K2017" s="20" t="n"/>
      <c r="L2017" s="25" t="n"/>
      <c r="M2017" s="20" t="n"/>
      <c r="N2017" s="20" t="n"/>
      <c r="O2017" s="20" t="n"/>
      <c r="P2017" s="20" t="n"/>
      <c r="Q2017" s="26" t="n"/>
      <c r="R2017" s="20" t="n"/>
      <c r="S2017" s="20" t="n"/>
    </row>
    <row r="2018">
      <c r="A2018" s="24" t="n"/>
      <c r="B2018" s="20" t="n"/>
      <c r="C2018" s="20" t="n"/>
      <c r="D2018" s="23" t="n"/>
      <c r="E2018" s="20" t="n"/>
      <c r="F2018" s="20" t="n"/>
      <c r="G2018" s="25" t="n"/>
      <c r="H2018" s="20" t="n"/>
      <c r="I2018" s="20" t="n"/>
      <c r="J2018" s="20" t="n"/>
      <c r="K2018" s="20" t="n"/>
      <c r="L2018" s="25" t="n"/>
      <c r="M2018" s="20" t="n"/>
      <c r="N2018" s="20" t="n"/>
      <c r="O2018" s="20" t="n"/>
      <c r="P2018" s="20" t="n"/>
      <c r="Q2018" s="26" t="n"/>
      <c r="R2018" s="20" t="n"/>
      <c r="S2018" s="20" t="n"/>
    </row>
    <row r="2019">
      <c r="A2019" s="24" t="n"/>
      <c r="B2019" s="20" t="n"/>
      <c r="C2019" s="20" t="n"/>
      <c r="D2019" s="23" t="n"/>
      <c r="E2019" s="20" t="n"/>
      <c r="F2019" s="20" t="n"/>
      <c r="G2019" s="25" t="n"/>
      <c r="H2019" s="20" t="n"/>
      <c r="I2019" s="20" t="n"/>
      <c r="J2019" s="20" t="n"/>
      <c r="K2019" s="20" t="n"/>
      <c r="L2019" s="25" t="n"/>
      <c r="M2019" s="20" t="n"/>
      <c r="N2019" s="20" t="n"/>
      <c r="O2019" s="20" t="n"/>
      <c r="P2019" s="20" t="n"/>
      <c r="Q2019" s="26" t="n"/>
      <c r="R2019" s="20" t="n"/>
      <c r="S2019" s="20" t="n"/>
    </row>
    <row r="2020">
      <c r="A2020" s="24" t="n"/>
      <c r="B2020" s="20" t="n"/>
      <c r="C2020" s="20" t="n"/>
      <c r="D2020" s="23" t="n"/>
      <c r="E2020" s="20" t="n"/>
      <c r="F2020" s="20" t="n"/>
      <c r="G2020" s="25" t="n"/>
      <c r="H2020" s="20" t="n"/>
      <c r="I2020" s="20" t="n"/>
      <c r="J2020" s="20" t="n"/>
      <c r="K2020" s="20" t="n"/>
      <c r="L2020" s="25" t="n"/>
      <c r="M2020" s="20" t="n"/>
      <c r="N2020" s="20" t="n"/>
      <c r="O2020" s="20" t="n"/>
      <c r="P2020" s="20" t="n"/>
      <c r="Q2020" s="26" t="n"/>
      <c r="R2020" s="20" t="n"/>
      <c r="S2020" s="20" t="n"/>
    </row>
    <row r="2021">
      <c r="A2021" s="24" t="n"/>
      <c r="B2021" s="20" t="n"/>
      <c r="C2021" s="20" t="n"/>
      <c r="D2021" s="23" t="n"/>
      <c r="E2021" s="20" t="n"/>
      <c r="F2021" s="20" t="n"/>
      <c r="G2021" s="25" t="n"/>
      <c r="H2021" s="20" t="n"/>
      <c r="I2021" s="20" t="n"/>
      <c r="J2021" s="20" t="n"/>
      <c r="K2021" s="20" t="n"/>
      <c r="L2021" s="25" t="n"/>
      <c r="M2021" s="20" t="n"/>
      <c r="N2021" s="20" t="n"/>
      <c r="O2021" s="20" t="n"/>
      <c r="P2021" s="20" t="n"/>
      <c r="Q2021" s="26" t="n"/>
      <c r="R2021" s="20" t="n"/>
      <c r="S2021" s="20" t="n"/>
    </row>
    <row r="2022">
      <c r="A2022" s="24" t="n"/>
      <c r="B2022" s="20" t="n"/>
      <c r="C2022" s="20" t="n"/>
      <c r="D2022" s="23" t="n"/>
      <c r="E2022" s="20" t="n"/>
      <c r="F2022" s="20" t="n"/>
      <c r="G2022" s="25" t="n"/>
      <c r="H2022" s="20" t="n"/>
      <c r="I2022" s="20" t="n"/>
      <c r="J2022" s="20" t="n"/>
      <c r="K2022" s="20" t="n"/>
      <c r="L2022" s="25" t="n"/>
      <c r="M2022" s="20" t="n"/>
      <c r="N2022" s="20" t="n"/>
      <c r="O2022" s="20" t="n"/>
      <c r="P2022" s="20" t="n"/>
      <c r="Q2022" s="26" t="n"/>
      <c r="R2022" s="20" t="n"/>
      <c r="S2022" s="20" t="n"/>
    </row>
    <row r="2023">
      <c r="A2023" s="24" t="n"/>
      <c r="B2023" s="20" t="n"/>
      <c r="C2023" s="20" t="n"/>
      <c r="D2023" s="23" t="n"/>
      <c r="E2023" s="20" t="n"/>
      <c r="F2023" s="20" t="n"/>
      <c r="G2023" s="25" t="n"/>
      <c r="H2023" s="20" t="n"/>
      <c r="I2023" s="20" t="n"/>
      <c r="J2023" s="20" t="n"/>
      <c r="K2023" s="20" t="n"/>
      <c r="L2023" s="25" t="n"/>
      <c r="M2023" s="20" t="n"/>
      <c r="N2023" s="20" t="n"/>
      <c r="O2023" s="20" t="n"/>
      <c r="P2023" s="20" t="n"/>
      <c r="Q2023" s="26" t="n"/>
      <c r="R2023" s="20" t="n"/>
      <c r="S2023" s="20" t="n"/>
    </row>
    <row r="2024">
      <c r="A2024" s="24" t="n"/>
      <c r="B2024" s="20" t="n"/>
      <c r="C2024" s="20" t="n"/>
      <c r="D2024" s="23" t="n"/>
      <c r="E2024" s="20" t="n"/>
      <c r="F2024" s="20" t="n"/>
      <c r="G2024" s="25" t="n"/>
      <c r="H2024" s="20" t="n"/>
      <c r="I2024" s="20" t="n"/>
      <c r="J2024" s="20" t="n"/>
      <c r="K2024" s="20" t="n"/>
      <c r="L2024" s="25" t="n"/>
      <c r="M2024" s="20" t="n"/>
      <c r="N2024" s="20" t="n"/>
      <c r="O2024" s="20" t="n"/>
      <c r="P2024" s="20" t="n"/>
      <c r="Q2024" s="26" t="n"/>
      <c r="R2024" s="20" t="n"/>
      <c r="S2024" s="20" t="n"/>
    </row>
    <row r="2025">
      <c r="A2025" s="24" t="n"/>
      <c r="B2025" s="20" t="n"/>
      <c r="C2025" s="20" t="n"/>
      <c r="D2025" s="23" t="n"/>
      <c r="E2025" s="20" t="n"/>
      <c r="F2025" s="20" t="n"/>
      <c r="G2025" s="25" t="n"/>
      <c r="H2025" s="20" t="n"/>
      <c r="I2025" s="20" t="n"/>
      <c r="J2025" s="20" t="n"/>
      <c r="K2025" s="20" t="n"/>
      <c r="L2025" s="25" t="n"/>
      <c r="M2025" s="20" t="n"/>
      <c r="N2025" s="20" t="n"/>
      <c r="O2025" s="20" t="n"/>
      <c r="P2025" s="20" t="n"/>
      <c r="Q2025" s="26" t="n"/>
      <c r="R2025" s="20" t="n"/>
      <c r="S2025" s="20" t="n"/>
    </row>
    <row r="2026">
      <c r="A2026" s="24" t="n"/>
      <c r="B2026" s="20" t="n"/>
      <c r="C2026" s="20" t="n"/>
      <c r="D2026" s="23" t="n"/>
      <c r="E2026" s="20" t="n"/>
      <c r="F2026" s="20" t="n"/>
      <c r="G2026" s="25" t="n"/>
      <c r="H2026" s="20" t="n"/>
      <c r="I2026" s="20" t="n"/>
      <c r="J2026" s="20" t="n"/>
      <c r="K2026" s="20" t="n"/>
      <c r="L2026" s="25" t="n"/>
      <c r="M2026" s="20" t="n"/>
      <c r="N2026" s="20" t="n"/>
      <c r="O2026" s="20" t="n"/>
      <c r="P2026" s="20" t="n"/>
      <c r="Q2026" s="26" t="n"/>
      <c r="R2026" s="20" t="n"/>
      <c r="S2026" s="20" t="n"/>
    </row>
    <row r="2027">
      <c r="A2027" s="24" t="n"/>
      <c r="B2027" s="20" t="n"/>
      <c r="C2027" s="20" t="n"/>
      <c r="D2027" s="23" t="n"/>
      <c r="E2027" s="20" t="n"/>
      <c r="F2027" s="20" t="n"/>
      <c r="G2027" s="25" t="n"/>
      <c r="H2027" s="20" t="n"/>
      <c r="I2027" s="20" t="n"/>
      <c r="J2027" s="20" t="n"/>
      <c r="K2027" s="20" t="n"/>
      <c r="L2027" s="25" t="n"/>
      <c r="M2027" s="20" t="n"/>
      <c r="N2027" s="20" t="n"/>
      <c r="O2027" s="20" t="n"/>
      <c r="P2027" s="20" t="n"/>
      <c r="Q2027" s="26" t="n"/>
      <c r="R2027" s="20" t="n"/>
      <c r="S2027" s="20" t="n"/>
    </row>
    <row r="2028">
      <c r="A2028" s="24" t="n"/>
      <c r="B2028" s="20" t="n"/>
      <c r="C2028" s="20" t="n"/>
      <c r="D2028" s="23" t="n"/>
      <c r="E2028" s="20" t="n"/>
      <c r="F2028" s="20" t="n"/>
      <c r="G2028" s="25" t="n"/>
      <c r="H2028" s="20" t="n"/>
      <c r="I2028" s="20" t="n"/>
      <c r="J2028" s="20" t="n"/>
      <c r="K2028" s="20" t="n"/>
      <c r="L2028" s="25" t="n"/>
      <c r="M2028" s="20" t="n"/>
      <c r="N2028" s="20" t="n"/>
      <c r="O2028" s="20" t="n"/>
      <c r="P2028" s="20" t="n"/>
      <c r="Q2028" s="26" t="n"/>
      <c r="R2028" s="20" t="n"/>
      <c r="S2028" s="20" t="n"/>
    </row>
    <row r="2029">
      <c r="A2029" s="24" t="n"/>
      <c r="B2029" s="20" t="n"/>
      <c r="C2029" s="20" t="n"/>
      <c r="D2029" s="23" t="n"/>
      <c r="E2029" s="20" t="n"/>
      <c r="F2029" s="20" t="n"/>
      <c r="G2029" s="25" t="n"/>
      <c r="H2029" s="20" t="n"/>
      <c r="I2029" s="20" t="n"/>
      <c r="J2029" s="20" t="n"/>
      <c r="K2029" s="20" t="n"/>
      <c r="L2029" s="25" t="n"/>
      <c r="M2029" s="20" t="n"/>
      <c r="N2029" s="20" t="n"/>
      <c r="O2029" s="20" t="n"/>
      <c r="P2029" s="20" t="n"/>
      <c r="Q2029" s="26" t="n"/>
      <c r="R2029" s="20" t="n"/>
      <c r="S2029" s="20" t="n"/>
    </row>
    <row r="2030">
      <c r="A2030" s="24" t="n"/>
      <c r="B2030" s="20" t="n"/>
      <c r="C2030" s="20" t="n"/>
      <c r="D2030" s="23" t="n"/>
      <c r="E2030" s="20" t="n"/>
      <c r="F2030" s="20" t="n"/>
      <c r="G2030" s="25" t="n"/>
      <c r="H2030" s="20" t="n"/>
      <c r="I2030" s="20" t="n"/>
      <c r="J2030" s="20" t="n"/>
      <c r="K2030" s="20" t="n"/>
      <c r="L2030" s="25" t="n"/>
      <c r="M2030" s="20" t="n"/>
      <c r="N2030" s="20" t="n"/>
      <c r="O2030" s="20" t="n"/>
      <c r="P2030" s="20" t="n"/>
      <c r="Q2030" s="26" t="n"/>
      <c r="R2030" s="20" t="n"/>
      <c r="S2030" s="20" t="n"/>
    </row>
    <row r="2031">
      <c r="A2031" s="24" t="n"/>
      <c r="B2031" s="20" t="n"/>
      <c r="C2031" s="20" t="n"/>
      <c r="D2031" s="23" t="n"/>
      <c r="E2031" s="20" t="n"/>
      <c r="F2031" s="20" t="n"/>
      <c r="G2031" s="25" t="n"/>
      <c r="H2031" s="20" t="n"/>
      <c r="I2031" s="20" t="n"/>
      <c r="J2031" s="20" t="n"/>
      <c r="K2031" s="20" t="n"/>
      <c r="L2031" s="25" t="n"/>
      <c r="M2031" s="20" t="n"/>
      <c r="N2031" s="20" t="n"/>
      <c r="O2031" s="20" t="n"/>
      <c r="P2031" s="20" t="n"/>
      <c r="Q2031" s="26" t="n"/>
      <c r="R2031" s="20" t="n"/>
      <c r="S2031" s="20" t="n"/>
    </row>
    <row r="2032">
      <c r="A2032" s="24" t="n"/>
      <c r="B2032" s="20" t="n"/>
      <c r="C2032" s="20" t="n"/>
      <c r="D2032" s="23" t="n"/>
      <c r="E2032" s="20" t="n"/>
      <c r="F2032" s="20" t="n"/>
      <c r="G2032" s="25" t="n"/>
      <c r="H2032" s="20" t="n"/>
      <c r="I2032" s="20" t="n"/>
      <c r="J2032" s="20" t="n"/>
      <c r="K2032" s="20" t="n"/>
      <c r="L2032" s="25" t="n"/>
      <c r="M2032" s="20" t="n"/>
      <c r="N2032" s="20" t="n"/>
      <c r="O2032" s="20" t="n"/>
      <c r="P2032" s="20" t="n"/>
      <c r="Q2032" s="26" t="n"/>
      <c r="R2032" s="20" t="n"/>
      <c r="S2032" s="20" t="n"/>
    </row>
    <row r="2033">
      <c r="A2033" s="24" t="n"/>
      <c r="B2033" s="20" t="n"/>
      <c r="C2033" s="20" t="n"/>
      <c r="D2033" s="23" t="n"/>
      <c r="E2033" s="20" t="n"/>
      <c r="F2033" s="20" t="n"/>
      <c r="G2033" s="25" t="n"/>
      <c r="H2033" s="20" t="n"/>
      <c r="I2033" s="20" t="n"/>
      <c r="J2033" s="20" t="n"/>
      <c r="K2033" s="20" t="n"/>
      <c r="L2033" s="25" t="n"/>
      <c r="M2033" s="20" t="n"/>
      <c r="N2033" s="20" t="n"/>
      <c r="O2033" s="20" t="n"/>
      <c r="P2033" s="20" t="n"/>
      <c r="Q2033" s="26" t="n"/>
      <c r="R2033" s="20" t="n"/>
      <c r="S2033" s="20" t="n"/>
    </row>
    <row r="2034">
      <c r="A2034" s="24" t="n"/>
      <c r="B2034" s="20" t="n"/>
      <c r="C2034" s="20" t="n"/>
      <c r="D2034" s="23" t="n"/>
      <c r="E2034" s="20" t="n"/>
      <c r="F2034" s="20" t="n"/>
      <c r="G2034" s="25" t="n"/>
      <c r="H2034" s="20" t="n"/>
      <c r="I2034" s="20" t="n"/>
      <c r="J2034" s="20" t="n"/>
      <c r="K2034" s="20" t="n"/>
      <c r="L2034" s="25" t="n"/>
      <c r="M2034" s="20" t="n"/>
      <c r="N2034" s="20" t="n"/>
      <c r="O2034" s="20" t="n"/>
      <c r="P2034" s="20" t="n"/>
      <c r="Q2034" s="26" t="n"/>
      <c r="R2034" s="20" t="n"/>
      <c r="S2034" s="20" t="n"/>
    </row>
    <row r="2035">
      <c r="A2035" s="24" t="n"/>
      <c r="B2035" s="20" t="n"/>
      <c r="C2035" s="20" t="n"/>
      <c r="D2035" s="23" t="n"/>
      <c r="E2035" s="20" t="n"/>
      <c r="F2035" s="20" t="n"/>
      <c r="G2035" s="25" t="n"/>
      <c r="H2035" s="20" t="n"/>
      <c r="I2035" s="20" t="n"/>
      <c r="J2035" s="20" t="n"/>
      <c r="K2035" s="20" t="n"/>
      <c r="L2035" s="25" t="n"/>
      <c r="M2035" s="20" t="n"/>
      <c r="N2035" s="20" t="n"/>
      <c r="O2035" s="20" t="n"/>
      <c r="P2035" s="20" t="n"/>
      <c r="Q2035" s="26" t="n"/>
      <c r="R2035" s="20" t="n"/>
      <c r="S2035" s="20" t="n"/>
    </row>
    <row r="2036">
      <c r="A2036" s="24" t="n"/>
      <c r="B2036" s="20" t="n"/>
      <c r="C2036" s="20" t="n"/>
      <c r="D2036" s="23" t="n"/>
      <c r="E2036" s="20" t="n"/>
      <c r="F2036" s="20" t="n"/>
      <c r="G2036" s="25" t="n"/>
      <c r="H2036" s="20" t="n"/>
      <c r="I2036" s="20" t="n"/>
      <c r="J2036" s="20" t="n"/>
      <c r="K2036" s="20" t="n"/>
      <c r="L2036" s="25" t="n"/>
      <c r="M2036" s="20" t="n"/>
      <c r="N2036" s="20" t="n"/>
      <c r="O2036" s="20" t="n"/>
      <c r="P2036" s="20" t="n"/>
      <c r="Q2036" s="26" t="n"/>
      <c r="R2036" s="20" t="n"/>
      <c r="S2036" s="20" t="n"/>
    </row>
    <row r="2037">
      <c r="A2037" s="24" t="n"/>
      <c r="B2037" s="20" t="n"/>
      <c r="C2037" s="20" t="n"/>
      <c r="D2037" s="23" t="n"/>
      <c r="E2037" s="20" t="n"/>
      <c r="F2037" s="20" t="n"/>
      <c r="G2037" s="25" t="n"/>
      <c r="H2037" s="20" t="n"/>
      <c r="I2037" s="20" t="n"/>
      <c r="J2037" s="20" t="n"/>
      <c r="K2037" s="20" t="n"/>
      <c r="L2037" s="25" t="n"/>
      <c r="M2037" s="20" t="n"/>
      <c r="N2037" s="20" t="n"/>
      <c r="O2037" s="20" t="n"/>
      <c r="P2037" s="20" t="n"/>
      <c r="Q2037" s="26" t="n"/>
      <c r="R2037" s="20" t="n"/>
      <c r="S2037" s="20" t="n"/>
    </row>
    <row r="2038">
      <c r="A2038" s="24" t="n"/>
      <c r="B2038" s="20" t="n"/>
      <c r="C2038" s="20" t="n"/>
      <c r="D2038" s="23" t="n"/>
      <c r="E2038" s="20" t="n"/>
      <c r="F2038" s="20" t="n"/>
      <c r="G2038" s="25" t="n"/>
      <c r="H2038" s="20" t="n"/>
      <c r="I2038" s="20" t="n"/>
      <c r="J2038" s="20" t="n"/>
      <c r="K2038" s="20" t="n"/>
      <c r="L2038" s="25" t="n"/>
      <c r="M2038" s="20" t="n"/>
      <c r="N2038" s="20" t="n"/>
      <c r="O2038" s="20" t="n"/>
      <c r="P2038" s="20" t="n"/>
      <c r="Q2038" s="26" t="n"/>
      <c r="R2038" s="20" t="n"/>
      <c r="S2038" s="20" t="n"/>
    </row>
    <row r="2039">
      <c r="A2039" s="24" t="n"/>
      <c r="B2039" s="20" t="n"/>
      <c r="C2039" s="20" t="n"/>
      <c r="D2039" s="23" t="n"/>
      <c r="E2039" s="20" t="n"/>
      <c r="F2039" s="20" t="n"/>
      <c r="G2039" s="25" t="n"/>
      <c r="H2039" s="20" t="n"/>
      <c r="I2039" s="20" t="n"/>
      <c r="J2039" s="20" t="n"/>
      <c r="K2039" s="20" t="n"/>
      <c r="L2039" s="25" t="n"/>
      <c r="M2039" s="20" t="n"/>
      <c r="N2039" s="20" t="n"/>
      <c r="O2039" s="20" t="n"/>
      <c r="P2039" s="20" t="n"/>
      <c r="Q2039" s="26" t="n"/>
      <c r="R2039" s="20" t="n"/>
      <c r="S2039" s="20" t="n"/>
    </row>
    <row r="2040">
      <c r="A2040" s="24" t="n"/>
      <c r="B2040" s="20" t="n"/>
      <c r="C2040" s="20" t="n"/>
      <c r="D2040" s="23" t="n"/>
      <c r="E2040" s="20" t="n"/>
      <c r="F2040" s="20" t="n"/>
      <c r="G2040" s="25" t="n"/>
      <c r="H2040" s="20" t="n"/>
      <c r="I2040" s="20" t="n"/>
      <c r="J2040" s="20" t="n"/>
      <c r="K2040" s="20" t="n"/>
      <c r="L2040" s="25" t="n"/>
      <c r="M2040" s="20" t="n"/>
      <c r="N2040" s="20" t="n"/>
      <c r="O2040" s="20" t="n"/>
      <c r="P2040" s="20" t="n"/>
      <c r="Q2040" s="26" t="n"/>
      <c r="R2040" s="20" t="n"/>
      <c r="S2040" s="20" t="n"/>
    </row>
    <row r="2041">
      <c r="A2041" s="24" t="n"/>
      <c r="B2041" s="20" t="n"/>
      <c r="C2041" s="20" t="n"/>
      <c r="D2041" s="23" t="n"/>
      <c r="E2041" s="20" t="n"/>
      <c r="F2041" s="20" t="n"/>
      <c r="G2041" s="25" t="n"/>
      <c r="H2041" s="20" t="n"/>
      <c r="I2041" s="20" t="n"/>
      <c r="J2041" s="20" t="n"/>
      <c r="K2041" s="20" t="n"/>
      <c r="L2041" s="25" t="n"/>
      <c r="M2041" s="20" t="n"/>
      <c r="N2041" s="20" t="n"/>
      <c r="O2041" s="20" t="n"/>
      <c r="P2041" s="20" t="n"/>
      <c r="Q2041" s="26" t="n"/>
      <c r="R2041" s="20" t="n"/>
      <c r="S2041" s="20" t="n"/>
    </row>
    <row r="2042">
      <c r="A2042" s="24" t="n"/>
      <c r="B2042" s="20" t="n"/>
      <c r="C2042" s="20" t="n"/>
      <c r="D2042" s="23" t="n"/>
      <c r="E2042" s="20" t="n"/>
      <c r="F2042" s="20" t="n"/>
      <c r="G2042" s="25" t="n"/>
      <c r="H2042" s="20" t="n"/>
      <c r="I2042" s="20" t="n"/>
      <c r="J2042" s="20" t="n"/>
      <c r="K2042" s="20" t="n"/>
      <c r="L2042" s="25" t="n"/>
      <c r="M2042" s="20" t="n"/>
      <c r="N2042" s="20" t="n"/>
      <c r="O2042" s="20" t="n"/>
      <c r="P2042" s="20" t="n"/>
      <c r="Q2042" s="26" t="n"/>
      <c r="R2042" s="20" t="n"/>
      <c r="S2042" s="20" t="n"/>
    </row>
    <row r="2043">
      <c r="A2043" s="24" t="n"/>
      <c r="B2043" s="20" t="n"/>
      <c r="C2043" s="20" t="n"/>
      <c r="D2043" s="23" t="n"/>
      <c r="E2043" s="20" t="n"/>
      <c r="F2043" s="20" t="n"/>
      <c r="G2043" s="25" t="n"/>
      <c r="H2043" s="20" t="n"/>
      <c r="I2043" s="20" t="n"/>
      <c r="J2043" s="20" t="n"/>
      <c r="K2043" s="20" t="n"/>
      <c r="L2043" s="25" t="n"/>
      <c r="M2043" s="20" t="n"/>
      <c r="N2043" s="20" t="n"/>
      <c r="O2043" s="20" t="n"/>
      <c r="P2043" s="20" t="n"/>
      <c r="Q2043" s="26" t="n"/>
      <c r="R2043" s="20" t="n"/>
      <c r="S2043" s="20" t="n"/>
    </row>
    <row r="2044">
      <c r="A2044" s="24" t="n"/>
      <c r="B2044" s="20" t="n"/>
      <c r="C2044" s="20" t="n"/>
      <c r="D2044" s="23" t="n"/>
      <c r="E2044" s="20" t="n"/>
      <c r="F2044" s="20" t="n"/>
      <c r="G2044" s="25" t="n"/>
      <c r="H2044" s="20" t="n"/>
      <c r="I2044" s="20" t="n"/>
      <c r="J2044" s="20" t="n"/>
      <c r="K2044" s="20" t="n"/>
      <c r="L2044" s="25" t="n"/>
      <c r="M2044" s="20" t="n"/>
      <c r="N2044" s="20" t="n"/>
      <c r="O2044" s="20" t="n"/>
      <c r="P2044" s="20" t="n"/>
      <c r="Q2044" s="26" t="n"/>
      <c r="R2044" s="20" t="n"/>
      <c r="S2044" s="20" t="n"/>
    </row>
    <row r="2045">
      <c r="A2045" s="24" t="n"/>
      <c r="B2045" s="20" t="n"/>
      <c r="C2045" s="20" t="n"/>
      <c r="D2045" s="23" t="n"/>
      <c r="E2045" s="20" t="n"/>
      <c r="F2045" s="20" t="n"/>
      <c r="G2045" s="25" t="n"/>
      <c r="H2045" s="20" t="n"/>
      <c r="I2045" s="20" t="n"/>
      <c r="J2045" s="20" t="n"/>
      <c r="K2045" s="20" t="n"/>
      <c r="L2045" s="25" t="n"/>
      <c r="M2045" s="20" t="n"/>
      <c r="N2045" s="20" t="n"/>
      <c r="O2045" s="20" t="n"/>
      <c r="P2045" s="20" t="n"/>
      <c r="Q2045" s="26" t="n"/>
      <c r="R2045" s="20" t="n"/>
      <c r="S2045" s="20" t="n"/>
    </row>
    <row r="2046">
      <c r="A2046" s="24" t="n"/>
      <c r="B2046" s="20" t="n"/>
      <c r="C2046" s="20" t="n"/>
      <c r="D2046" s="23" t="n"/>
      <c r="E2046" s="20" t="n"/>
      <c r="F2046" s="20" t="n"/>
      <c r="G2046" s="25" t="n"/>
      <c r="H2046" s="20" t="n"/>
      <c r="I2046" s="20" t="n"/>
      <c r="J2046" s="20" t="n"/>
      <c r="K2046" s="20" t="n"/>
      <c r="L2046" s="25" t="n"/>
      <c r="M2046" s="20" t="n"/>
      <c r="N2046" s="20" t="n"/>
      <c r="O2046" s="20" t="n"/>
      <c r="P2046" s="20" t="n"/>
      <c r="Q2046" s="26" t="n"/>
      <c r="R2046" s="20" t="n"/>
      <c r="S2046" s="20" t="n"/>
    </row>
    <row r="2047">
      <c r="A2047" s="24" t="n"/>
      <c r="B2047" s="20" t="n"/>
      <c r="C2047" s="20" t="n"/>
      <c r="D2047" s="23" t="n"/>
      <c r="E2047" s="20" t="n"/>
      <c r="F2047" s="20" t="n"/>
      <c r="G2047" s="25" t="n"/>
      <c r="H2047" s="20" t="n"/>
      <c r="I2047" s="20" t="n"/>
      <c r="J2047" s="20" t="n"/>
      <c r="K2047" s="20" t="n"/>
      <c r="L2047" s="25" t="n"/>
      <c r="M2047" s="20" t="n"/>
      <c r="N2047" s="20" t="n"/>
      <c r="O2047" s="20" t="n"/>
      <c r="P2047" s="20" t="n"/>
      <c r="Q2047" s="26" t="n"/>
      <c r="R2047" s="20" t="n"/>
      <c r="S2047" s="20" t="n"/>
    </row>
    <row r="2048">
      <c r="A2048" s="24" t="n"/>
      <c r="B2048" s="20" t="n"/>
      <c r="C2048" s="20" t="n"/>
      <c r="D2048" s="23" t="n"/>
      <c r="E2048" s="20" t="n"/>
      <c r="F2048" s="20" t="n"/>
      <c r="G2048" s="25" t="n"/>
      <c r="H2048" s="20" t="n"/>
      <c r="I2048" s="20" t="n"/>
      <c r="J2048" s="20" t="n"/>
      <c r="K2048" s="20" t="n"/>
      <c r="L2048" s="25" t="n"/>
      <c r="M2048" s="20" t="n"/>
      <c r="N2048" s="20" t="n"/>
      <c r="O2048" s="20" t="n"/>
      <c r="P2048" s="20" t="n"/>
      <c r="Q2048" s="26" t="n"/>
      <c r="R2048" s="20" t="n"/>
      <c r="S2048" s="20" t="n"/>
    </row>
    <row r="2049">
      <c r="A2049" s="24" t="n"/>
      <c r="B2049" s="20" t="n"/>
      <c r="C2049" s="20" t="n"/>
      <c r="D2049" s="23" t="n"/>
      <c r="E2049" s="20" t="n"/>
      <c r="F2049" s="20" t="n"/>
      <c r="G2049" s="25" t="n"/>
      <c r="H2049" s="20" t="n"/>
      <c r="I2049" s="20" t="n"/>
      <c r="J2049" s="20" t="n"/>
      <c r="K2049" s="20" t="n"/>
      <c r="L2049" s="25" t="n"/>
      <c r="M2049" s="20" t="n"/>
      <c r="N2049" s="20" t="n"/>
      <c r="O2049" s="20" t="n"/>
      <c r="P2049" s="20" t="n"/>
      <c r="Q2049" s="26" t="n"/>
      <c r="R2049" s="20" t="n"/>
      <c r="S2049" s="20" t="n"/>
    </row>
    <row r="2050">
      <c r="A2050" s="24" t="n"/>
      <c r="B2050" s="20" t="n"/>
      <c r="C2050" s="20" t="n"/>
      <c r="D2050" s="23" t="n"/>
      <c r="E2050" s="20" t="n"/>
      <c r="F2050" s="20" t="n"/>
      <c r="G2050" s="25" t="n"/>
      <c r="H2050" s="20" t="n"/>
      <c r="I2050" s="20" t="n"/>
      <c r="J2050" s="20" t="n"/>
      <c r="K2050" s="20" t="n"/>
      <c r="L2050" s="25" t="n"/>
      <c r="M2050" s="20" t="n"/>
      <c r="N2050" s="20" t="n"/>
      <c r="O2050" s="20" t="n"/>
      <c r="P2050" s="20" t="n"/>
      <c r="Q2050" s="26" t="n"/>
      <c r="R2050" s="20" t="n"/>
      <c r="S2050" s="20" t="n"/>
    </row>
    <row r="2051">
      <c r="A2051" s="24" t="n"/>
      <c r="B2051" s="20" t="n"/>
      <c r="C2051" s="20" t="n"/>
      <c r="D2051" s="23" t="n"/>
      <c r="E2051" s="20" t="n"/>
      <c r="F2051" s="20" t="n"/>
      <c r="G2051" s="25" t="n"/>
      <c r="H2051" s="20" t="n"/>
      <c r="I2051" s="20" t="n"/>
      <c r="J2051" s="20" t="n"/>
      <c r="K2051" s="20" t="n"/>
      <c r="L2051" s="25" t="n"/>
      <c r="M2051" s="20" t="n"/>
      <c r="N2051" s="20" t="n"/>
      <c r="O2051" s="20" t="n"/>
      <c r="P2051" s="20" t="n"/>
      <c r="Q2051" s="26" t="n"/>
      <c r="R2051" s="20" t="n"/>
      <c r="S2051" s="20" t="n"/>
    </row>
    <row r="2052">
      <c r="A2052" s="24" t="n"/>
      <c r="B2052" s="20" t="n"/>
      <c r="C2052" s="20" t="n"/>
      <c r="D2052" s="23" t="n"/>
      <c r="E2052" s="20" t="n"/>
      <c r="F2052" s="20" t="n"/>
      <c r="G2052" s="25" t="n"/>
      <c r="H2052" s="20" t="n"/>
      <c r="I2052" s="20" t="n"/>
      <c r="J2052" s="20" t="n"/>
      <c r="K2052" s="20" t="n"/>
      <c r="L2052" s="25" t="n"/>
      <c r="M2052" s="20" t="n"/>
      <c r="N2052" s="20" t="n"/>
      <c r="O2052" s="20" t="n"/>
      <c r="P2052" s="20" t="n"/>
      <c r="Q2052" s="26" t="n"/>
      <c r="R2052" s="20" t="n"/>
      <c r="S2052" s="20" t="n"/>
    </row>
    <row r="2053">
      <c r="A2053" s="24" t="n"/>
      <c r="B2053" s="20" t="n"/>
      <c r="C2053" s="20" t="n"/>
      <c r="D2053" s="23" t="n"/>
      <c r="E2053" s="20" t="n"/>
      <c r="F2053" s="20" t="n"/>
      <c r="G2053" s="25" t="n"/>
      <c r="H2053" s="20" t="n"/>
      <c r="I2053" s="20" t="n"/>
      <c r="J2053" s="20" t="n"/>
      <c r="K2053" s="20" t="n"/>
      <c r="L2053" s="25" t="n"/>
      <c r="M2053" s="20" t="n"/>
      <c r="N2053" s="20" t="n"/>
      <c r="O2053" s="20" t="n"/>
      <c r="P2053" s="20" t="n"/>
      <c r="Q2053" s="26" t="n"/>
      <c r="R2053" s="20" t="n"/>
      <c r="S2053" s="20" t="n"/>
    </row>
    <row r="2054">
      <c r="A2054" s="24" t="n"/>
      <c r="B2054" s="20" t="n"/>
      <c r="C2054" s="20" t="n"/>
      <c r="D2054" s="23" t="n"/>
      <c r="E2054" s="20" t="n"/>
      <c r="F2054" s="20" t="n"/>
      <c r="G2054" s="25" t="n"/>
      <c r="H2054" s="20" t="n"/>
      <c r="I2054" s="20" t="n"/>
      <c r="J2054" s="20" t="n"/>
      <c r="K2054" s="20" t="n"/>
      <c r="L2054" s="25" t="n"/>
      <c r="M2054" s="20" t="n"/>
      <c r="N2054" s="20" t="n"/>
      <c r="O2054" s="20" t="n"/>
      <c r="P2054" s="20" t="n"/>
      <c r="Q2054" s="26" t="n"/>
      <c r="R2054" s="20" t="n"/>
      <c r="S2054" s="20" t="n"/>
    </row>
    <row r="2055">
      <c r="A2055" s="24" t="n"/>
      <c r="B2055" s="20" t="n"/>
      <c r="C2055" s="20" t="n"/>
      <c r="D2055" s="23" t="n"/>
      <c r="E2055" s="20" t="n"/>
      <c r="F2055" s="20" t="n"/>
      <c r="G2055" s="25" t="n"/>
      <c r="H2055" s="20" t="n"/>
      <c r="I2055" s="20" t="n"/>
      <c r="J2055" s="20" t="n"/>
      <c r="K2055" s="20" t="n"/>
      <c r="L2055" s="25" t="n"/>
      <c r="M2055" s="20" t="n"/>
      <c r="N2055" s="20" t="n"/>
      <c r="O2055" s="20" t="n"/>
      <c r="P2055" s="20" t="n"/>
      <c r="Q2055" s="26" t="n"/>
      <c r="R2055" s="20" t="n"/>
      <c r="S2055" s="20" t="n"/>
    </row>
    <row r="2056">
      <c r="A2056" s="24" t="n"/>
      <c r="B2056" s="20" t="n"/>
      <c r="C2056" s="20" t="n"/>
      <c r="D2056" s="23" t="n"/>
      <c r="E2056" s="20" t="n"/>
      <c r="F2056" s="20" t="n"/>
      <c r="G2056" s="25" t="n"/>
      <c r="H2056" s="20" t="n"/>
      <c r="I2056" s="20" t="n"/>
      <c r="J2056" s="20" t="n"/>
      <c r="K2056" s="20" t="n"/>
      <c r="L2056" s="25" t="n"/>
      <c r="M2056" s="20" t="n"/>
      <c r="N2056" s="20" t="n"/>
      <c r="O2056" s="20" t="n"/>
      <c r="P2056" s="20" t="n"/>
      <c r="Q2056" s="26" t="n"/>
      <c r="R2056" s="20" t="n"/>
      <c r="S2056" s="20" t="n"/>
    </row>
    <row r="2057">
      <c r="A2057" s="24" t="n"/>
      <c r="B2057" s="20" t="n"/>
      <c r="C2057" s="20" t="n"/>
      <c r="D2057" s="23" t="n"/>
      <c r="E2057" s="20" t="n"/>
      <c r="F2057" s="20" t="n"/>
      <c r="G2057" s="25" t="n"/>
      <c r="H2057" s="20" t="n"/>
      <c r="I2057" s="20" t="n"/>
      <c r="J2057" s="20" t="n"/>
      <c r="K2057" s="20" t="n"/>
      <c r="L2057" s="25" t="n"/>
      <c r="M2057" s="20" t="n"/>
      <c r="N2057" s="20" t="n"/>
      <c r="O2057" s="20" t="n"/>
      <c r="P2057" s="20" t="n"/>
      <c r="Q2057" s="26" t="n"/>
      <c r="R2057" s="20" t="n"/>
      <c r="S2057" s="20" t="n"/>
    </row>
    <row r="2058">
      <c r="A2058" s="24" t="n"/>
      <c r="B2058" s="20" t="n"/>
      <c r="C2058" s="20" t="n"/>
      <c r="D2058" s="23" t="n"/>
      <c r="E2058" s="20" t="n"/>
      <c r="F2058" s="20" t="n"/>
      <c r="G2058" s="25" t="n"/>
      <c r="H2058" s="20" t="n"/>
      <c r="I2058" s="20" t="n"/>
      <c r="J2058" s="20" t="n"/>
      <c r="K2058" s="20" t="n"/>
      <c r="L2058" s="25" t="n"/>
      <c r="M2058" s="20" t="n"/>
      <c r="N2058" s="20" t="n"/>
      <c r="O2058" s="20" t="n"/>
      <c r="P2058" s="20" t="n"/>
      <c r="Q2058" s="26" t="n"/>
      <c r="R2058" s="20" t="n"/>
      <c r="S2058" s="20" t="n"/>
    </row>
    <row r="2059">
      <c r="A2059" s="24" t="n"/>
      <c r="B2059" s="20" t="n"/>
      <c r="C2059" s="20" t="n"/>
      <c r="D2059" s="23" t="n"/>
      <c r="E2059" s="20" t="n"/>
      <c r="F2059" s="20" t="n"/>
      <c r="G2059" s="25" t="n"/>
      <c r="H2059" s="20" t="n"/>
      <c r="I2059" s="20" t="n"/>
      <c r="J2059" s="20" t="n"/>
      <c r="K2059" s="20" t="n"/>
      <c r="L2059" s="25" t="n"/>
      <c r="M2059" s="20" t="n"/>
      <c r="N2059" s="20" t="n"/>
      <c r="O2059" s="20" t="n"/>
      <c r="P2059" s="20" t="n"/>
      <c r="Q2059" s="26" t="n"/>
      <c r="R2059" s="20" t="n"/>
      <c r="S2059" s="20" t="n"/>
    </row>
    <row r="2060">
      <c r="A2060" s="24" t="n"/>
      <c r="B2060" s="20" t="n"/>
      <c r="C2060" s="20" t="n"/>
      <c r="D2060" s="23" t="n"/>
      <c r="E2060" s="20" t="n"/>
      <c r="F2060" s="20" t="n"/>
      <c r="G2060" s="25" t="n"/>
      <c r="H2060" s="20" t="n"/>
      <c r="I2060" s="20" t="n"/>
      <c r="J2060" s="20" t="n"/>
      <c r="K2060" s="20" t="n"/>
      <c r="L2060" s="25" t="n"/>
      <c r="M2060" s="20" t="n"/>
      <c r="N2060" s="20" t="n"/>
      <c r="O2060" s="20" t="n"/>
      <c r="P2060" s="20" t="n"/>
      <c r="Q2060" s="26" t="n"/>
      <c r="R2060" s="20" t="n"/>
      <c r="S2060" s="20" t="n"/>
    </row>
    <row r="2061">
      <c r="A2061" s="24" t="n"/>
      <c r="B2061" s="20" t="n"/>
      <c r="C2061" s="20" t="n"/>
      <c r="D2061" s="23" t="n"/>
      <c r="E2061" s="20" t="n"/>
      <c r="F2061" s="20" t="n"/>
      <c r="G2061" s="25" t="n"/>
      <c r="H2061" s="20" t="n"/>
      <c r="I2061" s="20" t="n"/>
      <c r="J2061" s="20" t="n"/>
      <c r="K2061" s="20" t="n"/>
      <c r="L2061" s="25" t="n"/>
      <c r="M2061" s="20" t="n"/>
      <c r="N2061" s="20" t="n"/>
      <c r="O2061" s="20" t="n"/>
      <c r="P2061" s="20" t="n"/>
      <c r="Q2061" s="26" t="n"/>
      <c r="R2061" s="20" t="n"/>
      <c r="S2061" s="20" t="n"/>
    </row>
    <row r="2062">
      <c r="A2062" s="24" t="n"/>
      <c r="B2062" s="20" t="n"/>
      <c r="C2062" s="20" t="n"/>
      <c r="D2062" s="23" t="n"/>
      <c r="E2062" s="20" t="n"/>
      <c r="F2062" s="20" t="n"/>
      <c r="G2062" s="25" t="n"/>
      <c r="H2062" s="20" t="n"/>
      <c r="I2062" s="20" t="n"/>
      <c r="J2062" s="20" t="n"/>
      <c r="K2062" s="20" t="n"/>
      <c r="L2062" s="25" t="n"/>
      <c r="M2062" s="20" t="n"/>
      <c r="N2062" s="20" t="n"/>
      <c r="O2062" s="20" t="n"/>
      <c r="P2062" s="20" t="n"/>
      <c r="Q2062" s="26" t="n"/>
      <c r="R2062" s="20" t="n"/>
      <c r="S2062" s="20" t="n"/>
    </row>
    <row r="2063">
      <c r="A2063" s="24" t="n"/>
      <c r="B2063" s="20" t="n"/>
      <c r="C2063" s="20" t="n"/>
      <c r="D2063" s="23" t="n"/>
      <c r="E2063" s="20" t="n"/>
      <c r="F2063" s="20" t="n"/>
      <c r="G2063" s="25" t="n"/>
      <c r="H2063" s="20" t="n"/>
      <c r="I2063" s="20" t="n"/>
      <c r="J2063" s="20" t="n"/>
      <c r="K2063" s="20" t="n"/>
      <c r="L2063" s="25" t="n"/>
      <c r="M2063" s="20" t="n"/>
      <c r="N2063" s="20" t="n"/>
      <c r="O2063" s="20" t="n"/>
      <c r="P2063" s="20" t="n"/>
      <c r="Q2063" s="26" t="n"/>
      <c r="R2063" s="20" t="n"/>
      <c r="S2063" s="20" t="n"/>
    </row>
    <row r="2064">
      <c r="A2064" s="24" t="n"/>
      <c r="B2064" s="20" t="n"/>
      <c r="C2064" s="20" t="n"/>
      <c r="D2064" s="23" t="n"/>
      <c r="E2064" s="20" t="n"/>
      <c r="F2064" s="20" t="n"/>
      <c r="G2064" s="25" t="n"/>
      <c r="H2064" s="20" t="n"/>
      <c r="I2064" s="20" t="n"/>
      <c r="J2064" s="20" t="n"/>
      <c r="K2064" s="20" t="n"/>
      <c r="L2064" s="25" t="n"/>
      <c r="M2064" s="20" t="n"/>
      <c r="N2064" s="20" t="n"/>
      <c r="O2064" s="20" t="n"/>
      <c r="P2064" s="20" t="n"/>
      <c r="Q2064" s="26" t="n"/>
      <c r="R2064" s="20" t="n"/>
      <c r="S2064" s="20" t="n"/>
    </row>
    <row r="2065">
      <c r="A2065" s="24" t="n"/>
      <c r="B2065" s="20" t="n"/>
      <c r="C2065" s="20" t="n"/>
      <c r="D2065" s="23" t="n"/>
      <c r="E2065" s="20" t="n"/>
      <c r="F2065" s="20" t="n"/>
      <c r="G2065" s="25" t="n"/>
      <c r="H2065" s="20" t="n"/>
      <c r="I2065" s="20" t="n"/>
      <c r="J2065" s="20" t="n"/>
      <c r="K2065" s="20" t="n"/>
      <c r="L2065" s="25" t="n"/>
      <c r="M2065" s="20" t="n"/>
      <c r="N2065" s="20" t="n"/>
      <c r="O2065" s="20" t="n"/>
      <c r="P2065" s="20" t="n"/>
      <c r="Q2065" s="26" t="n"/>
      <c r="R2065" s="20" t="n"/>
      <c r="S2065" s="20" t="n"/>
    </row>
    <row r="2066">
      <c r="A2066" s="24" t="n"/>
      <c r="B2066" s="20" t="n"/>
      <c r="C2066" s="20" t="n"/>
      <c r="D2066" s="23" t="n"/>
      <c r="E2066" s="20" t="n"/>
      <c r="F2066" s="20" t="n"/>
      <c r="G2066" s="25" t="n"/>
      <c r="H2066" s="20" t="n"/>
      <c r="I2066" s="20" t="n"/>
      <c r="J2066" s="20" t="n"/>
      <c r="K2066" s="20" t="n"/>
      <c r="L2066" s="25" t="n"/>
      <c r="M2066" s="20" t="n"/>
      <c r="N2066" s="20" t="n"/>
      <c r="O2066" s="20" t="n"/>
      <c r="P2066" s="20" t="n"/>
      <c r="Q2066" s="26" t="n"/>
      <c r="R2066" s="20" t="n"/>
      <c r="S2066" s="20" t="n"/>
    </row>
    <row r="2067">
      <c r="A2067" s="24" t="n"/>
      <c r="B2067" s="20" t="n"/>
      <c r="C2067" s="20" t="n"/>
      <c r="D2067" s="23" t="n"/>
      <c r="E2067" s="20" t="n"/>
      <c r="F2067" s="20" t="n"/>
      <c r="G2067" s="25" t="n"/>
      <c r="H2067" s="20" t="n"/>
      <c r="I2067" s="20" t="n"/>
      <c r="J2067" s="20" t="n"/>
      <c r="K2067" s="20" t="n"/>
      <c r="L2067" s="25" t="n"/>
      <c r="M2067" s="20" t="n"/>
      <c r="N2067" s="20" t="n"/>
      <c r="O2067" s="20" t="n"/>
      <c r="P2067" s="20" t="n"/>
      <c r="Q2067" s="26" t="n"/>
      <c r="R2067" s="20" t="n"/>
      <c r="S2067" s="20" t="n"/>
    </row>
    <row r="2068">
      <c r="A2068" s="24" t="n"/>
      <c r="B2068" s="20" t="n"/>
      <c r="C2068" s="20" t="n"/>
      <c r="D2068" s="23" t="n"/>
      <c r="E2068" s="20" t="n"/>
      <c r="F2068" s="20" t="n"/>
      <c r="G2068" s="25" t="n"/>
      <c r="H2068" s="20" t="n"/>
      <c r="I2068" s="20" t="n"/>
      <c r="J2068" s="20" t="n"/>
      <c r="K2068" s="20" t="n"/>
      <c r="L2068" s="25" t="n"/>
      <c r="M2068" s="20" t="n"/>
      <c r="N2068" s="20" t="n"/>
      <c r="O2068" s="20" t="n"/>
      <c r="P2068" s="20" t="n"/>
      <c r="Q2068" s="26" t="n"/>
      <c r="R2068" s="20" t="n"/>
      <c r="S2068" s="20" t="n"/>
    </row>
    <row r="2069">
      <c r="A2069" s="24" t="n"/>
      <c r="B2069" s="20" t="n"/>
      <c r="C2069" s="20" t="n"/>
      <c r="D2069" s="23" t="n"/>
      <c r="E2069" s="20" t="n"/>
      <c r="F2069" s="20" t="n"/>
      <c r="G2069" s="25" t="n"/>
      <c r="H2069" s="20" t="n"/>
      <c r="I2069" s="20" t="n"/>
      <c r="J2069" s="20" t="n"/>
      <c r="K2069" s="20" t="n"/>
      <c r="L2069" s="25" t="n"/>
      <c r="M2069" s="20" t="n"/>
      <c r="N2069" s="20" t="n"/>
      <c r="O2069" s="20" t="n"/>
      <c r="P2069" s="20" t="n"/>
      <c r="Q2069" s="26" t="n"/>
      <c r="R2069" s="20" t="n"/>
      <c r="S2069" s="20" t="n"/>
    </row>
    <row r="2070">
      <c r="A2070" s="24" t="n"/>
      <c r="B2070" s="20" t="n"/>
      <c r="C2070" s="20" t="n"/>
      <c r="D2070" s="23" t="n"/>
      <c r="E2070" s="20" t="n"/>
      <c r="F2070" s="20" t="n"/>
      <c r="G2070" s="25" t="n"/>
      <c r="H2070" s="20" t="n"/>
      <c r="I2070" s="20" t="n"/>
      <c r="J2070" s="20" t="n"/>
      <c r="K2070" s="20" t="n"/>
      <c r="L2070" s="25" t="n"/>
      <c r="M2070" s="20" t="n"/>
      <c r="N2070" s="20" t="n"/>
      <c r="O2070" s="20" t="n"/>
      <c r="P2070" s="20" t="n"/>
      <c r="Q2070" s="26" t="n"/>
      <c r="R2070" s="20" t="n"/>
      <c r="S2070" s="20" t="n"/>
    </row>
    <row r="2071">
      <c r="A2071" s="24" t="n"/>
      <c r="B2071" s="20" t="n"/>
      <c r="C2071" s="20" t="n"/>
      <c r="D2071" s="23" t="n"/>
      <c r="E2071" s="20" t="n"/>
      <c r="F2071" s="20" t="n"/>
      <c r="G2071" s="25" t="n"/>
      <c r="H2071" s="20" t="n"/>
      <c r="I2071" s="20" t="n"/>
      <c r="J2071" s="20" t="n"/>
      <c r="K2071" s="20" t="n"/>
      <c r="L2071" s="25" t="n"/>
      <c r="M2071" s="20" t="n"/>
      <c r="N2071" s="20" t="n"/>
      <c r="O2071" s="20" t="n"/>
      <c r="P2071" s="20" t="n"/>
      <c r="Q2071" s="26" t="n"/>
      <c r="R2071" s="20" t="n"/>
      <c r="S2071" s="20" t="n"/>
    </row>
    <row r="2072">
      <c r="A2072" s="24" t="n"/>
      <c r="B2072" s="20" t="n"/>
      <c r="C2072" s="20" t="n"/>
      <c r="D2072" s="23" t="n"/>
      <c r="E2072" s="20" t="n"/>
      <c r="F2072" s="20" t="n"/>
      <c r="G2072" s="25" t="n"/>
      <c r="H2072" s="20" t="n"/>
      <c r="I2072" s="20" t="n"/>
      <c r="J2072" s="20" t="n"/>
      <c r="K2072" s="20" t="n"/>
      <c r="L2072" s="25" t="n"/>
      <c r="M2072" s="20" t="n"/>
      <c r="N2072" s="20" t="n"/>
      <c r="O2072" s="20" t="n"/>
      <c r="P2072" s="20" t="n"/>
      <c r="Q2072" s="26" t="n"/>
      <c r="R2072" s="20" t="n"/>
      <c r="S2072" s="20" t="n"/>
    </row>
    <row r="2073">
      <c r="A2073" s="24" t="n"/>
      <c r="B2073" s="20" t="n"/>
      <c r="C2073" s="20" t="n"/>
      <c r="D2073" s="23" t="n"/>
      <c r="E2073" s="20" t="n"/>
      <c r="F2073" s="20" t="n"/>
      <c r="G2073" s="25" t="n"/>
      <c r="H2073" s="20" t="n"/>
      <c r="I2073" s="20" t="n"/>
      <c r="J2073" s="20" t="n"/>
      <c r="K2073" s="20" t="n"/>
      <c r="L2073" s="25" t="n"/>
      <c r="M2073" s="20" t="n"/>
      <c r="N2073" s="20" t="n"/>
      <c r="O2073" s="20" t="n"/>
      <c r="P2073" s="20" t="n"/>
      <c r="Q2073" s="26" t="n"/>
      <c r="R2073" s="20" t="n"/>
      <c r="S2073" s="20" t="n"/>
    </row>
    <row r="2074">
      <c r="A2074" s="24" t="n"/>
      <c r="B2074" s="20" t="n"/>
      <c r="C2074" s="20" t="n"/>
      <c r="D2074" s="23" t="n"/>
      <c r="E2074" s="20" t="n"/>
      <c r="F2074" s="20" t="n"/>
      <c r="G2074" s="25" t="n"/>
      <c r="H2074" s="20" t="n"/>
      <c r="I2074" s="20" t="n"/>
      <c r="J2074" s="20" t="n"/>
      <c r="K2074" s="20" t="n"/>
      <c r="L2074" s="25" t="n"/>
      <c r="M2074" s="20" t="n"/>
      <c r="N2074" s="20" t="n"/>
      <c r="O2074" s="20" t="n"/>
      <c r="P2074" s="20" t="n"/>
      <c r="Q2074" s="26" t="n"/>
      <c r="R2074" s="20" t="n"/>
      <c r="S2074" s="20" t="n"/>
    </row>
    <row r="2075">
      <c r="A2075" s="24" t="n"/>
      <c r="B2075" s="20" t="n"/>
      <c r="C2075" s="20" t="n"/>
      <c r="D2075" s="23" t="n"/>
      <c r="E2075" s="20" t="n"/>
      <c r="F2075" s="20" t="n"/>
      <c r="G2075" s="25" t="n"/>
      <c r="H2075" s="20" t="n"/>
      <c r="I2075" s="20" t="n"/>
      <c r="J2075" s="20" t="n"/>
      <c r="K2075" s="20" t="n"/>
      <c r="L2075" s="25" t="n"/>
      <c r="M2075" s="20" t="n"/>
      <c r="N2075" s="20" t="n"/>
      <c r="O2075" s="20" t="n"/>
      <c r="P2075" s="20" t="n"/>
      <c r="Q2075" s="26" t="n"/>
      <c r="R2075" s="20" t="n"/>
      <c r="S2075" s="20" t="n"/>
    </row>
    <row r="2076">
      <c r="A2076" s="24" t="n"/>
      <c r="B2076" s="20" t="n"/>
      <c r="C2076" s="20" t="n"/>
      <c r="D2076" s="23" t="n"/>
      <c r="E2076" s="20" t="n"/>
      <c r="F2076" s="20" t="n"/>
      <c r="G2076" s="25" t="n"/>
      <c r="H2076" s="20" t="n"/>
      <c r="I2076" s="20" t="n"/>
      <c r="J2076" s="20" t="n"/>
      <c r="K2076" s="20" t="n"/>
      <c r="L2076" s="25" t="n"/>
      <c r="M2076" s="20" t="n"/>
      <c r="N2076" s="20" t="n"/>
      <c r="O2076" s="20" t="n"/>
      <c r="P2076" s="20" t="n"/>
      <c r="Q2076" s="26" t="n"/>
      <c r="R2076" s="20" t="n"/>
      <c r="S2076" s="20" t="n"/>
    </row>
    <row r="2077">
      <c r="A2077" s="24" t="n"/>
      <c r="B2077" s="20" t="n"/>
      <c r="C2077" s="20" t="n"/>
      <c r="D2077" s="23" t="n"/>
      <c r="E2077" s="20" t="n"/>
      <c r="F2077" s="20" t="n"/>
      <c r="G2077" s="25" t="n"/>
      <c r="H2077" s="20" t="n"/>
      <c r="I2077" s="20" t="n"/>
      <c r="J2077" s="20" t="n"/>
      <c r="K2077" s="20" t="n"/>
      <c r="L2077" s="25" t="n"/>
      <c r="M2077" s="20" t="n"/>
      <c r="N2077" s="20" t="n"/>
      <c r="O2077" s="20" t="n"/>
      <c r="P2077" s="20" t="n"/>
      <c r="Q2077" s="26" t="n"/>
      <c r="R2077" s="20" t="n"/>
      <c r="S2077" s="20" t="n"/>
    </row>
    <row r="2078">
      <c r="A2078" s="24" t="n"/>
      <c r="B2078" s="20" t="n"/>
      <c r="C2078" s="20" t="n"/>
      <c r="D2078" s="23" t="n"/>
      <c r="E2078" s="20" t="n"/>
      <c r="F2078" s="20" t="n"/>
      <c r="G2078" s="25" t="n"/>
      <c r="H2078" s="20" t="n"/>
      <c r="I2078" s="20" t="n"/>
      <c r="J2078" s="20" t="n"/>
      <c r="K2078" s="20" t="n"/>
      <c r="L2078" s="25" t="n"/>
      <c r="M2078" s="20" t="n"/>
      <c r="N2078" s="20" t="n"/>
      <c r="O2078" s="20" t="n"/>
      <c r="P2078" s="20" t="n"/>
      <c r="Q2078" s="26" t="n"/>
      <c r="R2078" s="20" t="n"/>
      <c r="S2078" s="20" t="n"/>
    </row>
    <row r="2079">
      <c r="A2079" s="24" t="n"/>
      <c r="B2079" s="20" t="n"/>
      <c r="C2079" s="20" t="n"/>
      <c r="D2079" s="23" t="n"/>
      <c r="E2079" s="20" t="n"/>
      <c r="F2079" s="20" t="n"/>
      <c r="G2079" s="25" t="n"/>
      <c r="H2079" s="20" t="n"/>
      <c r="I2079" s="20" t="n"/>
      <c r="J2079" s="20" t="n"/>
      <c r="K2079" s="20" t="n"/>
      <c r="L2079" s="25" t="n"/>
      <c r="M2079" s="20" t="n"/>
      <c r="N2079" s="20" t="n"/>
      <c r="O2079" s="20" t="n"/>
      <c r="P2079" s="20" t="n"/>
      <c r="Q2079" s="26" t="n"/>
      <c r="R2079" s="20" t="n"/>
      <c r="S2079" s="20" t="n"/>
    </row>
    <row r="2080">
      <c r="A2080" s="24" t="n"/>
      <c r="B2080" s="20" t="n"/>
      <c r="C2080" s="20" t="n"/>
      <c r="D2080" s="23" t="n"/>
      <c r="E2080" s="20" t="n"/>
      <c r="F2080" s="20" t="n"/>
      <c r="G2080" s="25" t="n"/>
      <c r="H2080" s="20" t="n"/>
      <c r="I2080" s="20" t="n"/>
      <c r="J2080" s="20" t="n"/>
      <c r="K2080" s="20" t="n"/>
      <c r="L2080" s="25" t="n"/>
      <c r="M2080" s="20" t="n"/>
      <c r="N2080" s="20" t="n"/>
      <c r="O2080" s="20" t="n"/>
      <c r="P2080" s="20" t="n"/>
      <c r="Q2080" s="26" t="n"/>
      <c r="R2080" s="20" t="n"/>
      <c r="S2080" s="20" t="n"/>
    </row>
    <row r="2081">
      <c r="A2081" s="24" t="n"/>
      <c r="B2081" s="20" t="n"/>
      <c r="C2081" s="20" t="n"/>
      <c r="D2081" s="23" t="n"/>
      <c r="E2081" s="20" t="n"/>
      <c r="F2081" s="20" t="n"/>
      <c r="G2081" s="25" t="n"/>
      <c r="H2081" s="20" t="n"/>
      <c r="I2081" s="20" t="n"/>
      <c r="J2081" s="20" t="n"/>
      <c r="K2081" s="20" t="n"/>
      <c r="L2081" s="25" t="n"/>
      <c r="M2081" s="20" t="n"/>
      <c r="N2081" s="20" t="n"/>
      <c r="O2081" s="20" t="n"/>
      <c r="P2081" s="20" t="n"/>
      <c r="Q2081" s="26" t="n"/>
      <c r="R2081" s="20" t="n"/>
      <c r="S2081" s="20" t="n"/>
    </row>
    <row r="2082">
      <c r="A2082" s="24" t="n"/>
      <c r="B2082" s="20" t="n"/>
      <c r="C2082" s="20" t="n"/>
      <c r="D2082" s="23" t="n"/>
      <c r="E2082" s="20" t="n"/>
      <c r="F2082" s="20" t="n"/>
      <c r="G2082" s="25" t="n"/>
      <c r="H2082" s="20" t="n"/>
      <c r="I2082" s="20" t="n"/>
      <c r="J2082" s="20" t="n"/>
      <c r="K2082" s="20" t="n"/>
      <c r="L2082" s="25" t="n"/>
      <c r="M2082" s="20" t="n"/>
      <c r="N2082" s="20" t="n"/>
      <c r="O2082" s="20" t="n"/>
      <c r="P2082" s="20" t="n"/>
      <c r="Q2082" s="26" t="n"/>
      <c r="R2082" s="20" t="n"/>
      <c r="S2082" s="20" t="n"/>
    </row>
    <row r="2083">
      <c r="A2083" s="24" t="n"/>
      <c r="B2083" s="20" t="n"/>
      <c r="C2083" s="20" t="n"/>
      <c r="D2083" s="23" t="n"/>
      <c r="E2083" s="20" t="n"/>
      <c r="F2083" s="20" t="n"/>
      <c r="G2083" s="25" t="n"/>
      <c r="H2083" s="20" t="n"/>
      <c r="I2083" s="20" t="n"/>
      <c r="J2083" s="20" t="n"/>
      <c r="K2083" s="20" t="n"/>
      <c r="L2083" s="25" t="n"/>
      <c r="M2083" s="20" t="n"/>
      <c r="N2083" s="20" t="n"/>
      <c r="O2083" s="20" t="n"/>
      <c r="P2083" s="20" t="n"/>
      <c r="Q2083" s="26" t="n"/>
      <c r="R2083" s="20" t="n"/>
      <c r="S2083" s="20" t="n"/>
    </row>
    <row r="2084">
      <c r="A2084" s="24" t="n"/>
      <c r="B2084" s="20" t="n"/>
      <c r="C2084" s="20" t="n"/>
      <c r="D2084" s="23" t="n"/>
      <c r="E2084" s="20" t="n"/>
      <c r="F2084" s="20" t="n"/>
      <c r="G2084" s="25" t="n"/>
      <c r="H2084" s="20" t="n"/>
      <c r="I2084" s="20" t="n"/>
      <c r="J2084" s="20" t="n"/>
      <c r="K2084" s="20" t="n"/>
      <c r="L2084" s="25" t="n"/>
      <c r="M2084" s="20" t="n"/>
      <c r="N2084" s="20" t="n"/>
      <c r="O2084" s="20" t="n"/>
      <c r="P2084" s="20" t="n"/>
      <c r="Q2084" s="26" t="n"/>
      <c r="R2084" s="20" t="n"/>
      <c r="S2084" s="20" t="n"/>
    </row>
    <row r="2085">
      <c r="A2085" s="24" t="n"/>
      <c r="B2085" s="20" t="n"/>
      <c r="C2085" s="20" t="n"/>
      <c r="D2085" s="23" t="n"/>
      <c r="E2085" s="20" t="n"/>
      <c r="F2085" s="20" t="n"/>
      <c r="G2085" s="25" t="n"/>
      <c r="H2085" s="20" t="n"/>
      <c r="I2085" s="20" t="n"/>
      <c r="J2085" s="20" t="n"/>
      <c r="K2085" s="20" t="n"/>
      <c r="L2085" s="25" t="n"/>
      <c r="M2085" s="20" t="n"/>
      <c r="N2085" s="20" t="n"/>
      <c r="O2085" s="20" t="n"/>
      <c r="P2085" s="20" t="n"/>
      <c r="Q2085" s="26" t="n"/>
      <c r="R2085" s="20" t="n"/>
      <c r="S2085" s="20" t="n"/>
    </row>
    <row r="2086">
      <c r="A2086" s="24" t="n"/>
      <c r="B2086" s="20" t="n"/>
      <c r="C2086" s="20" t="n"/>
      <c r="D2086" s="23" t="n"/>
      <c r="E2086" s="20" t="n"/>
      <c r="F2086" s="20" t="n"/>
      <c r="G2086" s="25" t="n"/>
      <c r="H2086" s="20" t="n"/>
      <c r="I2086" s="20" t="n"/>
      <c r="J2086" s="20" t="n"/>
      <c r="K2086" s="20" t="n"/>
      <c r="L2086" s="25" t="n"/>
      <c r="M2086" s="20" t="n"/>
      <c r="N2086" s="20" t="n"/>
      <c r="O2086" s="20" t="n"/>
      <c r="P2086" s="20" t="n"/>
      <c r="Q2086" s="26" t="n"/>
      <c r="R2086" s="20" t="n"/>
      <c r="S2086" s="20" t="n"/>
    </row>
    <row r="2087">
      <c r="A2087" s="24" t="n"/>
      <c r="B2087" s="20" t="n"/>
      <c r="C2087" s="20" t="n"/>
      <c r="D2087" s="23" t="n"/>
      <c r="E2087" s="20" t="n"/>
      <c r="F2087" s="20" t="n"/>
      <c r="G2087" s="25" t="n"/>
      <c r="H2087" s="20" t="n"/>
      <c r="I2087" s="20" t="n"/>
      <c r="J2087" s="20" t="n"/>
      <c r="K2087" s="20" t="n"/>
      <c r="L2087" s="25" t="n"/>
      <c r="M2087" s="20" t="n"/>
      <c r="N2087" s="20" t="n"/>
      <c r="O2087" s="20" t="n"/>
      <c r="P2087" s="20" t="n"/>
      <c r="Q2087" s="26" t="n"/>
      <c r="R2087" s="20" t="n"/>
      <c r="S2087" s="20" t="n"/>
    </row>
    <row r="2088">
      <c r="A2088" s="24" t="n"/>
      <c r="B2088" s="20" t="n"/>
      <c r="C2088" s="20" t="n"/>
      <c r="D2088" s="23" t="n"/>
      <c r="E2088" s="20" t="n"/>
      <c r="F2088" s="20" t="n"/>
      <c r="G2088" s="25" t="n"/>
      <c r="H2088" s="20" t="n"/>
      <c r="I2088" s="20" t="n"/>
      <c r="J2088" s="20" t="n"/>
      <c r="K2088" s="20" t="n"/>
      <c r="L2088" s="25" t="n"/>
      <c r="M2088" s="20" t="n"/>
      <c r="N2088" s="20" t="n"/>
      <c r="O2088" s="20" t="n"/>
      <c r="P2088" s="20" t="n"/>
      <c r="Q2088" s="26" t="n"/>
      <c r="R2088" s="20" t="n"/>
      <c r="S2088" s="20" t="n"/>
    </row>
    <row r="2089">
      <c r="A2089" s="24" t="n"/>
      <c r="B2089" s="20" t="n"/>
      <c r="C2089" s="20" t="n"/>
      <c r="D2089" s="23" t="n"/>
      <c r="E2089" s="20" t="n"/>
      <c r="F2089" s="20" t="n"/>
      <c r="G2089" s="25" t="n"/>
      <c r="H2089" s="20" t="n"/>
      <c r="I2089" s="20" t="n"/>
      <c r="J2089" s="20" t="n"/>
      <c r="K2089" s="20" t="n"/>
      <c r="L2089" s="25" t="n"/>
      <c r="M2089" s="20" t="n"/>
      <c r="N2089" s="20" t="n"/>
      <c r="O2089" s="20" t="n"/>
      <c r="P2089" s="20" t="n"/>
      <c r="Q2089" s="26" t="n"/>
      <c r="R2089" s="20" t="n"/>
      <c r="S2089" s="20" t="n"/>
    </row>
    <row r="2090">
      <c r="A2090" s="24" t="n"/>
      <c r="B2090" s="20" t="n"/>
      <c r="C2090" s="20" t="n"/>
      <c r="D2090" s="23" t="n"/>
      <c r="E2090" s="20" t="n"/>
      <c r="F2090" s="20" t="n"/>
      <c r="G2090" s="25" t="n"/>
      <c r="H2090" s="20" t="n"/>
      <c r="I2090" s="20" t="n"/>
      <c r="J2090" s="20" t="n"/>
      <c r="K2090" s="20" t="n"/>
      <c r="L2090" s="25" t="n"/>
      <c r="M2090" s="20" t="n"/>
      <c r="N2090" s="20" t="n"/>
      <c r="O2090" s="20" t="n"/>
      <c r="P2090" s="20" t="n"/>
      <c r="Q2090" s="26" t="n"/>
      <c r="R2090" s="20" t="n"/>
      <c r="S2090" s="20" t="n"/>
    </row>
    <row r="2091">
      <c r="A2091" s="24" t="n"/>
      <c r="B2091" s="20" t="n"/>
      <c r="C2091" s="20" t="n"/>
      <c r="D2091" s="23" t="n"/>
      <c r="E2091" s="20" t="n"/>
      <c r="F2091" s="20" t="n"/>
      <c r="G2091" s="25" t="n"/>
      <c r="H2091" s="20" t="n"/>
      <c r="I2091" s="20" t="n"/>
      <c r="J2091" s="20" t="n"/>
      <c r="K2091" s="20" t="n"/>
      <c r="L2091" s="25" t="n"/>
      <c r="M2091" s="20" t="n"/>
      <c r="N2091" s="20" t="n"/>
      <c r="O2091" s="20" t="n"/>
      <c r="P2091" s="20" t="n"/>
      <c r="Q2091" s="26" t="n"/>
      <c r="R2091" s="20" t="n"/>
      <c r="S2091" s="20" t="n"/>
    </row>
    <row r="2092">
      <c r="A2092" s="24" t="n"/>
      <c r="B2092" s="20" t="n"/>
      <c r="C2092" s="20" t="n"/>
      <c r="D2092" s="23" t="n"/>
      <c r="E2092" s="20" t="n"/>
      <c r="F2092" s="20" t="n"/>
      <c r="G2092" s="25" t="n"/>
      <c r="H2092" s="20" t="n"/>
      <c r="I2092" s="20" t="n"/>
      <c r="J2092" s="20" t="n"/>
      <c r="K2092" s="20" t="n"/>
      <c r="L2092" s="25" t="n"/>
      <c r="M2092" s="20" t="n"/>
      <c r="N2092" s="20" t="n"/>
      <c r="O2092" s="20" t="n"/>
      <c r="P2092" s="20" t="n"/>
      <c r="Q2092" s="26" t="n"/>
      <c r="R2092" s="20" t="n"/>
      <c r="S2092" s="20" t="n"/>
    </row>
    <row r="2093">
      <c r="A2093" s="24" t="n"/>
      <c r="B2093" s="20" t="n"/>
      <c r="C2093" s="20" t="n"/>
      <c r="D2093" s="23" t="n"/>
      <c r="E2093" s="20" t="n"/>
      <c r="F2093" s="20" t="n"/>
      <c r="G2093" s="25" t="n"/>
      <c r="H2093" s="20" t="n"/>
      <c r="I2093" s="20" t="n"/>
      <c r="J2093" s="20" t="n"/>
      <c r="K2093" s="20" t="n"/>
      <c r="L2093" s="25" t="n"/>
      <c r="M2093" s="20" t="n"/>
      <c r="N2093" s="20" t="n"/>
      <c r="O2093" s="20" t="n"/>
      <c r="P2093" s="20" t="n"/>
      <c r="Q2093" s="26" t="n"/>
      <c r="R2093" s="20" t="n"/>
      <c r="S2093" s="20" t="n"/>
    </row>
    <row r="2094">
      <c r="A2094" s="24" t="n"/>
      <c r="B2094" s="20" t="n"/>
      <c r="C2094" s="20" t="n"/>
      <c r="D2094" s="23" t="n"/>
      <c r="E2094" s="20" t="n"/>
      <c r="F2094" s="20" t="n"/>
      <c r="G2094" s="25" t="n"/>
      <c r="H2094" s="20" t="n"/>
      <c r="I2094" s="20" t="n"/>
      <c r="J2094" s="20" t="n"/>
      <c r="K2094" s="20" t="n"/>
      <c r="L2094" s="25" t="n"/>
      <c r="M2094" s="20" t="n"/>
      <c r="N2094" s="20" t="n"/>
      <c r="O2094" s="20" t="n"/>
      <c r="P2094" s="20" t="n"/>
      <c r="Q2094" s="26" t="n"/>
      <c r="R2094" s="20" t="n"/>
      <c r="S2094" s="20" t="n"/>
    </row>
    <row r="2095">
      <c r="A2095" s="24" t="n"/>
      <c r="B2095" s="20" t="n"/>
      <c r="C2095" s="20" t="n"/>
      <c r="D2095" s="23" t="n"/>
      <c r="E2095" s="20" t="n"/>
      <c r="F2095" s="20" t="n"/>
      <c r="G2095" s="25" t="n"/>
      <c r="H2095" s="20" t="n"/>
      <c r="I2095" s="20" t="n"/>
      <c r="J2095" s="20" t="n"/>
      <c r="K2095" s="20" t="n"/>
      <c r="L2095" s="25" t="n"/>
      <c r="M2095" s="20" t="n"/>
      <c r="N2095" s="20" t="n"/>
      <c r="O2095" s="20" t="n"/>
      <c r="P2095" s="20" t="n"/>
      <c r="Q2095" s="26" t="n"/>
      <c r="R2095" s="20" t="n"/>
      <c r="S2095" s="20" t="n"/>
    </row>
    <row r="2096">
      <c r="A2096" s="24" t="n"/>
      <c r="B2096" s="20" t="n"/>
      <c r="C2096" s="20" t="n"/>
      <c r="D2096" s="23" t="n"/>
      <c r="E2096" s="20" t="n"/>
      <c r="F2096" s="20" t="n"/>
      <c r="G2096" s="25" t="n"/>
      <c r="H2096" s="20" t="n"/>
      <c r="I2096" s="20" t="n"/>
      <c r="J2096" s="20" t="n"/>
      <c r="K2096" s="20" t="n"/>
      <c r="L2096" s="25" t="n"/>
      <c r="M2096" s="20" t="n"/>
      <c r="N2096" s="20" t="n"/>
      <c r="O2096" s="20" t="n"/>
      <c r="P2096" s="20" t="n"/>
      <c r="Q2096" s="26" t="n"/>
      <c r="R2096" s="20" t="n"/>
      <c r="S2096" s="20" t="n"/>
    </row>
    <row r="2097">
      <c r="A2097" s="24" t="n"/>
      <c r="B2097" s="20" t="n"/>
      <c r="C2097" s="20" t="n"/>
      <c r="D2097" s="23" t="n"/>
      <c r="E2097" s="20" t="n"/>
      <c r="F2097" s="20" t="n"/>
      <c r="G2097" s="25" t="n"/>
      <c r="H2097" s="20" t="n"/>
      <c r="I2097" s="20" t="n"/>
      <c r="J2097" s="20" t="n"/>
      <c r="K2097" s="20" t="n"/>
      <c r="L2097" s="25" t="n"/>
      <c r="M2097" s="20" t="n"/>
      <c r="N2097" s="20" t="n"/>
      <c r="O2097" s="20" t="n"/>
      <c r="P2097" s="20" t="n"/>
      <c r="Q2097" s="26" t="n"/>
      <c r="R2097" s="20" t="n"/>
      <c r="S2097" s="20" t="n"/>
    </row>
    <row r="2098">
      <c r="A2098" s="24" t="n"/>
      <c r="B2098" s="20" t="n"/>
      <c r="C2098" s="20" t="n"/>
      <c r="D2098" s="23" t="n"/>
      <c r="E2098" s="20" t="n"/>
      <c r="F2098" s="20" t="n"/>
      <c r="G2098" s="25" t="n"/>
      <c r="H2098" s="20" t="n"/>
      <c r="I2098" s="20" t="n"/>
      <c r="J2098" s="20" t="n"/>
      <c r="K2098" s="20" t="n"/>
      <c r="L2098" s="25" t="n"/>
      <c r="M2098" s="20" t="n"/>
      <c r="N2098" s="20" t="n"/>
      <c r="O2098" s="20" t="n"/>
      <c r="P2098" s="20" t="n"/>
      <c r="Q2098" s="26" t="n"/>
      <c r="R2098" s="20" t="n"/>
      <c r="S2098" s="20" t="n"/>
    </row>
    <row r="2099">
      <c r="A2099" s="24" t="n"/>
      <c r="B2099" s="20" t="n"/>
      <c r="C2099" s="20" t="n"/>
      <c r="D2099" s="23" t="n"/>
      <c r="E2099" s="20" t="n"/>
      <c r="F2099" s="20" t="n"/>
      <c r="G2099" s="25" t="n"/>
      <c r="H2099" s="20" t="n"/>
      <c r="I2099" s="20" t="n"/>
      <c r="J2099" s="20" t="n"/>
      <c r="K2099" s="20" t="n"/>
      <c r="L2099" s="25" t="n"/>
      <c r="M2099" s="20" t="n"/>
      <c r="N2099" s="20" t="n"/>
      <c r="O2099" s="20" t="n"/>
      <c r="P2099" s="20" t="n"/>
      <c r="Q2099" s="26" t="n"/>
      <c r="R2099" s="20" t="n"/>
      <c r="S2099" s="20" t="n"/>
    </row>
    <row r="2100">
      <c r="A2100" s="24" t="n"/>
      <c r="B2100" s="20" t="n"/>
      <c r="C2100" s="20" t="n"/>
      <c r="D2100" s="23" t="n"/>
      <c r="E2100" s="20" t="n"/>
      <c r="F2100" s="20" t="n"/>
      <c r="G2100" s="25" t="n"/>
      <c r="H2100" s="20" t="n"/>
      <c r="I2100" s="20" t="n"/>
      <c r="J2100" s="20" t="n"/>
      <c r="K2100" s="20" t="n"/>
      <c r="L2100" s="25" t="n"/>
      <c r="M2100" s="20" t="n"/>
      <c r="N2100" s="20" t="n"/>
      <c r="O2100" s="20" t="n"/>
      <c r="P2100" s="20" t="n"/>
      <c r="Q2100" s="26" t="n"/>
      <c r="R2100" s="20" t="n"/>
      <c r="S2100" s="20" t="n"/>
    </row>
    <row r="2101">
      <c r="A2101" s="24" t="n"/>
      <c r="B2101" s="20" t="n"/>
      <c r="C2101" s="20" t="n"/>
      <c r="D2101" s="23" t="n"/>
      <c r="E2101" s="20" t="n"/>
      <c r="F2101" s="20" t="n"/>
      <c r="G2101" s="25" t="n"/>
      <c r="H2101" s="20" t="n"/>
      <c r="I2101" s="20" t="n"/>
      <c r="J2101" s="20" t="n"/>
      <c r="K2101" s="20" t="n"/>
      <c r="L2101" s="25" t="n"/>
      <c r="M2101" s="20" t="n"/>
      <c r="N2101" s="20" t="n"/>
      <c r="O2101" s="20" t="n"/>
      <c r="P2101" s="20" t="n"/>
      <c r="Q2101" s="26" t="n"/>
      <c r="R2101" s="20" t="n"/>
      <c r="S2101" s="20" t="n"/>
    </row>
    <row r="2102">
      <c r="A2102" s="24" t="n"/>
      <c r="B2102" s="20" t="n"/>
      <c r="C2102" s="20" t="n"/>
      <c r="D2102" s="23" t="n"/>
      <c r="E2102" s="20" t="n"/>
      <c r="F2102" s="20" t="n"/>
      <c r="G2102" s="25" t="n"/>
      <c r="H2102" s="20" t="n"/>
      <c r="I2102" s="20" t="n"/>
      <c r="J2102" s="20" t="n"/>
      <c r="K2102" s="20" t="n"/>
      <c r="L2102" s="25" t="n"/>
      <c r="M2102" s="20" t="n"/>
      <c r="N2102" s="20" t="n"/>
      <c r="O2102" s="20" t="n"/>
      <c r="P2102" s="20" t="n"/>
      <c r="Q2102" s="26" t="n"/>
      <c r="R2102" s="20" t="n"/>
      <c r="S2102" s="20" t="n"/>
    </row>
    <row r="2103">
      <c r="A2103" s="24" t="n"/>
      <c r="B2103" s="20" t="n"/>
      <c r="C2103" s="20" t="n"/>
      <c r="D2103" s="23" t="n"/>
      <c r="E2103" s="20" t="n"/>
      <c r="F2103" s="20" t="n"/>
      <c r="G2103" s="25" t="n"/>
      <c r="H2103" s="20" t="n"/>
      <c r="I2103" s="20" t="n"/>
      <c r="J2103" s="20" t="n"/>
      <c r="K2103" s="20" t="n"/>
      <c r="L2103" s="25" t="n"/>
      <c r="M2103" s="20" t="n"/>
      <c r="N2103" s="20" t="n"/>
      <c r="O2103" s="20" t="n"/>
      <c r="P2103" s="20" t="n"/>
      <c r="Q2103" s="26" t="n"/>
      <c r="R2103" s="20" t="n"/>
      <c r="S2103" s="20" t="n"/>
    </row>
    <row r="2104">
      <c r="A2104" s="24" t="n"/>
      <c r="B2104" s="20" t="n"/>
      <c r="C2104" s="20" t="n"/>
      <c r="D2104" s="23" t="n"/>
      <c r="E2104" s="20" t="n"/>
      <c r="F2104" s="20" t="n"/>
      <c r="G2104" s="25" t="n"/>
      <c r="H2104" s="20" t="n"/>
      <c r="I2104" s="20" t="n"/>
      <c r="J2104" s="20" t="n"/>
      <c r="K2104" s="20" t="n"/>
      <c r="L2104" s="25" t="n"/>
      <c r="M2104" s="20" t="n"/>
      <c r="N2104" s="20" t="n"/>
      <c r="O2104" s="20" t="n"/>
      <c r="P2104" s="20" t="n"/>
      <c r="Q2104" s="26" t="n"/>
      <c r="R2104" s="20" t="n"/>
      <c r="S2104" s="20" t="n"/>
    </row>
    <row r="2105">
      <c r="A2105" s="24" t="n"/>
      <c r="B2105" s="20" t="n"/>
      <c r="C2105" s="20" t="n"/>
      <c r="D2105" s="23" t="n"/>
      <c r="E2105" s="20" t="n"/>
      <c r="F2105" s="20" t="n"/>
      <c r="G2105" s="25" t="n"/>
      <c r="H2105" s="20" t="n"/>
      <c r="I2105" s="20" t="n"/>
      <c r="J2105" s="20" t="n"/>
      <c r="K2105" s="20" t="n"/>
      <c r="L2105" s="25" t="n"/>
      <c r="M2105" s="20" t="n"/>
      <c r="N2105" s="20" t="n"/>
      <c r="O2105" s="20" t="n"/>
      <c r="P2105" s="20" t="n"/>
      <c r="Q2105" s="26" t="n"/>
      <c r="R2105" s="20" t="n"/>
      <c r="S2105" s="20" t="n"/>
    </row>
    <row r="2106">
      <c r="A2106" s="24" t="n"/>
      <c r="B2106" s="20" t="n"/>
      <c r="C2106" s="20" t="n"/>
      <c r="D2106" s="23" t="n"/>
      <c r="E2106" s="20" t="n"/>
      <c r="F2106" s="20" t="n"/>
      <c r="G2106" s="25" t="n"/>
      <c r="H2106" s="20" t="n"/>
      <c r="I2106" s="20" t="n"/>
      <c r="J2106" s="20" t="n"/>
      <c r="K2106" s="20" t="n"/>
      <c r="L2106" s="25" t="n"/>
      <c r="M2106" s="20" t="n"/>
      <c r="N2106" s="20" t="n"/>
      <c r="O2106" s="20" t="n"/>
      <c r="P2106" s="20" t="n"/>
      <c r="Q2106" s="26" t="n"/>
      <c r="R2106" s="20" t="n"/>
      <c r="S2106" s="20" t="n"/>
    </row>
    <row r="2107">
      <c r="A2107" s="24" t="n"/>
      <c r="B2107" s="20" t="n"/>
      <c r="C2107" s="20" t="n"/>
      <c r="D2107" s="23" t="n"/>
      <c r="E2107" s="20" t="n"/>
      <c r="F2107" s="20" t="n"/>
      <c r="G2107" s="25" t="n"/>
      <c r="H2107" s="20" t="n"/>
      <c r="I2107" s="20" t="n"/>
      <c r="J2107" s="20" t="n"/>
      <c r="K2107" s="20" t="n"/>
      <c r="L2107" s="25" t="n"/>
      <c r="M2107" s="20" t="n"/>
      <c r="N2107" s="20" t="n"/>
      <c r="O2107" s="20" t="n"/>
      <c r="P2107" s="20" t="n"/>
      <c r="Q2107" s="26" t="n"/>
      <c r="R2107" s="20" t="n"/>
      <c r="S2107" s="20" t="n"/>
    </row>
    <row r="2108">
      <c r="A2108" s="24" t="n"/>
      <c r="B2108" s="20" t="n"/>
      <c r="C2108" s="20" t="n"/>
      <c r="D2108" s="23" t="n"/>
      <c r="E2108" s="20" t="n"/>
      <c r="F2108" s="20" t="n"/>
      <c r="G2108" s="25" t="n"/>
      <c r="H2108" s="20" t="n"/>
      <c r="I2108" s="20" t="n"/>
      <c r="J2108" s="20" t="n"/>
      <c r="K2108" s="20" t="n"/>
      <c r="L2108" s="25" t="n"/>
      <c r="M2108" s="20" t="n"/>
      <c r="N2108" s="20" t="n"/>
      <c r="O2108" s="20" t="n"/>
      <c r="P2108" s="20" t="n"/>
      <c r="Q2108" s="26" t="n"/>
      <c r="R2108" s="20" t="n"/>
      <c r="S2108" s="20" t="n"/>
    </row>
    <row r="2109">
      <c r="A2109" s="24" t="n"/>
      <c r="B2109" s="20" t="n"/>
      <c r="C2109" s="20" t="n"/>
      <c r="D2109" s="23" t="n"/>
      <c r="E2109" s="20" t="n"/>
      <c r="F2109" s="20" t="n"/>
      <c r="G2109" s="25" t="n"/>
      <c r="H2109" s="20" t="n"/>
      <c r="I2109" s="20" t="n"/>
      <c r="J2109" s="20" t="n"/>
      <c r="K2109" s="20" t="n"/>
      <c r="L2109" s="25" t="n"/>
      <c r="M2109" s="20" t="n"/>
      <c r="N2109" s="20" t="n"/>
      <c r="O2109" s="20" t="n"/>
      <c r="P2109" s="20" t="n"/>
      <c r="Q2109" s="26" t="n"/>
      <c r="R2109" s="20" t="n"/>
      <c r="S2109" s="20" t="n"/>
    </row>
    <row r="2110">
      <c r="A2110" s="24" t="n"/>
      <c r="B2110" s="20" t="n"/>
      <c r="C2110" s="20" t="n"/>
      <c r="D2110" s="23" t="n"/>
      <c r="E2110" s="20" t="n"/>
      <c r="F2110" s="20" t="n"/>
      <c r="G2110" s="25" t="n"/>
      <c r="H2110" s="20" t="n"/>
      <c r="I2110" s="20" t="n"/>
      <c r="J2110" s="20" t="n"/>
      <c r="K2110" s="20" t="n"/>
      <c r="L2110" s="25" t="n"/>
      <c r="M2110" s="20" t="n"/>
      <c r="N2110" s="20" t="n"/>
      <c r="O2110" s="20" t="n"/>
      <c r="P2110" s="20" t="n"/>
      <c r="Q2110" s="26" t="n"/>
      <c r="R2110" s="20" t="n"/>
      <c r="S2110" s="20" t="n"/>
    </row>
    <row r="2111">
      <c r="A2111" s="24" t="n"/>
      <c r="B2111" s="20" t="n"/>
      <c r="C2111" s="20" t="n"/>
      <c r="D2111" s="23" t="n"/>
      <c r="E2111" s="20" t="n"/>
      <c r="F2111" s="20" t="n"/>
      <c r="G2111" s="25" t="n"/>
      <c r="H2111" s="20" t="n"/>
      <c r="I2111" s="20" t="n"/>
      <c r="J2111" s="20" t="n"/>
      <c r="K2111" s="20" t="n"/>
      <c r="L2111" s="25" t="n"/>
      <c r="M2111" s="20" t="n"/>
      <c r="N2111" s="20" t="n"/>
      <c r="O2111" s="20" t="n"/>
      <c r="P2111" s="20" t="n"/>
      <c r="Q2111" s="26" t="n"/>
      <c r="R2111" s="20" t="n"/>
      <c r="S2111" s="20" t="n"/>
    </row>
    <row r="2112">
      <c r="A2112" s="24" t="n"/>
      <c r="B2112" s="20" t="n"/>
      <c r="C2112" s="20" t="n"/>
      <c r="D2112" s="23" t="n"/>
      <c r="E2112" s="20" t="n"/>
      <c r="F2112" s="20" t="n"/>
      <c r="G2112" s="25" t="n"/>
      <c r="H2112" s="20" t="n"/>
      <c r="I2112" s="20" t="n"/>
      <c r="J2112" s="20" t="n"/>
      <c r="K2112" s="20" t="n"/>
      <c r="L2112" s="25" t="n"/>
      <c r="M2112" s="20" t="n"/>
      <c r="N2112" s="20" t="n"/>
      <c r="O2112" s="20" t="n"/>
      <c r="P2112" s="20" t="n"/>
      <c r="Q2112" s="26" t="n"/>
      <c r="R2112" s="20" t="n"/>
      <c r="S2112" s="20" t="n"/>
    </row>
    <row r="2113">
      <c r="A2113" s="24" t="n"/>
      <c r="B2113" s="20" t="n"/>
      <c r="C2113" s="20" t="n"/>
      <c r="D2113" s="23" t="n"/>
      <c r="E2113" s="20" t="n"/>
      <c r="F2113" s="20" t="n"/>
      <c r="G2113" s="25" t="n"/>
      <c r="H2113" s="20" t="n"/>
      <c r="I2113" s="20" t="n"/>
      <c r="J2113" s="20" t="n"/>
      <c r="K2113" s="20" t="n"/>
      <c r="L2113" s="25" t="n"/>
      <c r="M2113" s="20" t="n"/>
      <c r="N2113" s="20" t="n"/>
      <c r="O2113" s="20" t="n"/>
      <c r="P2113" s="20" t="n"/>
      <c r="Q2113" s="26" t="n"/>
      <c r="R2113" s="20" t="n"/>
      <c r="S2113" s="20" t="n"/>
    </row>
    <row r="2114">
      <c r="A2114" s="24" t="n"/>
      <c r="B2114" s="20" t="n"/>
      <c r="C2114" s="20" t="n"/>
      <c r="D2114" s="23" t="n"/>
      <c r="E2114" s="20" t="n"/>
      <c r="F2114" s="20" t="n"/>
      <c r="G2114" s="25" t="n"/>
      <c r="H2114" s="20" t="n"/>
      <c r="I2114" s="20" t="n"/>
      <c r="J2114" s="20" t="n"/>
      <c r="K2114" s="20" t="n"/>
      <c r="L2114" s="25" t="n"/>
      <c r="M2114" s="20" t="n"/>
      <c r="N2114" s="20" t="n"/>
      <c r="O2114" s="20" t="n"/>
      <c r="P2114" s="20" t="n"/>
      <c r="Q2114" s="26" t="n"/>
      <c r="R2114" s="20" t="n"/>
      <c r="S2114" s="20" t="n"/>
    </row>
    <row r="2115">
      <c r="A2115" s="24" t="n"/>
      <c r="B2115" s="20" t="n"/>
      <c r="C2115" s="20" t="n"/>
      <c r="D2115" s="23" t="n"/>
      <c r="E2115" s="20" t="n"/>
      <c r="F2115" s="20" t="n"/>
      <c r="G2115" s="25" t="n"/>
      <c r="H2115" s="20" t="n"/>
      <c r="I2115" s="20" t="n"/>
      <c r="J2115" s="20" t="n"/>
      <c r="K2115" s="20" t="n"/>
      <c r="L2115" s="25" t="n"/>
      <c r="M2115" s="20" t="n"/>
      <c r="N2115" s="20" t="n"/>
      <c r="O2115" s="20" t="n"/>
      <c r="P2115" s="20" t="n"/>
      <c r="Q2115" s="26" t="n"/>
      <c r="R2115" s="20" t="n"/>
      <c r="S2115" s="20" t="n"/>
    </row>
    <row r="2116">
      <c r="A2116" s="24" t="n"/>
      <c r="B2116" s="20" t="n"/>
      <c r="C2116" s="20" t="n"/>
      <c r="D2116" s="23" t="n"/>
      <c r="E2116" s="20" t="n"/>
      <c r="F2116" s="20" t="n"/>
      <c r="G2116" s="25" t="n"/>
      <c r="H2116" s="20" t="n"/>
      <c r="I2116" s="20" t="n"/>
      <c r="J2116" s="20" t="n"/>
      <c r="K2116" s="20" t="n"/>
      <c r="L2116" s="25" t="n"/>
      <c r="M2116" s="20" t="n"/>
      <c r="N2116" s="20" t="n"/>
      <c r="O2116" s="20" t="n"/>
      <c r="P2116" s="20" t="n"/>
      <c r="Q2116" s="26" t="n"/>
      <c r="R2116" s="20" t="n"/>
      <c r="S2116" s="20" t="n"/>
    </row>
    <row r="2117">
      <c r="A2117" s="24" t="n"/>
      <c r="B2117" s="20" t="n"/>
      <c r="C2117" s="20" t="n"/>
      <c r="D2117" s="23" t="n"/>
      <c r="E2117" s="20" t="n"/>
      <c r="F2117" s="20" t="n"/>
      <c r="G2117" s="25" t="n"/>
      <c r="H2117" s="20" t="n"/>
      <c r="I2117" s="20" t="n"/>
      <c r="J2117" s="20" t="n"/>
      <c r="K2117" s="20" t="n"/>
      <c r="L2117" s="25" t="n"/>
      <c r="M2117" s="20" t="n"/>
      <c r="N2117" s="20" t="n"/>
      <c r="O2117" s="20" t="n"/>
      <c r="P2117" s="20" t="n"/>
      <c r="Q2117" s="26" t="n"/>
      <c r="R2117" s="20" t="n"/>
      <c r="S2117" s="20" t="n"/>
    </row>
    <row r="2118">
      <c r="A2118" s="24" t="n"/>
      <c r="B2118" s="20" t="n"/>
      <c r="C2118" s="20" t="n"/>
      <c r="D2118" s="23" t="n"/>
      <c r="E2118" s="20" t="n"/>
      <c r="F2118" s="20" t="n"/>
      <c r="G2118" s="25" t="n"/>
      <c r="H2118" s="20" t="n"/>
      <c r="I2118" s="20" t="n"/>
      <c r="J2118" s="20" t="n"/>
      <c r="K2118" s="20" t="n"/>
      <c r="L2118" s="25" t="n"/>
      <c r="M2118" s="20" t="n"/>
      <c r="N2118" s="20" t="n"/>
      <c r="O2118" s="20" t="n"/>
      <c r="P2118" s="20" t="n"/>
      <c r="Q2118" s="26" t="n"/>
      <c r="R2118" s="20" t="n"/>
      <c r="S2118" s="20" t="n"/>
    </row>
    <row r="2119">
      <c r="A2119" s="24" t="n"/>
      <c r="B2119" s="20" t="n"/>
      <c r="C2119" s="20" t="n"/>
      <c r="D2119" s="23" t="n"/>
      <c r="E2119" s="20" t="n"/>
      <c r="F2119" s="20" t="n"/>
      <c r="G2119" s="25" t="n"/>
      <c r="H2119" s="20" t="n"/>
      <c r="I2119" s="20" t="n"/>
      <c r="J2119" s="20" t="n"/>
      <c r="K2119" s="20" t="n"/>
      <c r="L2119" s="25" t="n"/>
      <c r="M2119" s="20" t="n"/>
      <c r="N2119" s="20" t="n"/>
      <c r="O2119" s="20" t="n"/>
      <c r="P2119" s="20" t="n"/>
      <c r="Q2119" s="26" t="n"/>
      <c r="R2119" s="20" t="n"/>
      <c r="S2119" s="20" t="n"/>
    </row>
    <row r="2120">
      <c r="A2120" s="24" t="n"/>
      <c r="B2120" s="20" t="n"/>
      <c r="C2120" s="20" t="n"/>
      <c r="D2120" s="23" t="n"/>
      <c r="E2120" s="20" t="n"/>
      <c r="F2120" s="20" t="n"/>
      <c r="G2120" s="25" t="n"/>
      <c r="H2120" s="20" t="n"/>
      <c r="I2120" s="20" t="n"/>
      <c r="J2120" s="20" t="n"/>
      <c r="K2120" s="20" t="n"/>
      <c r="L2120" s="25" t="n"/>
      <c r="M2120" s="20" t="n"/>
      <c r="N2120" s="20" t="n"/>
      <c r="O2120" s="20" t="n"/>
      <c r="P2120" s="20" t="n"/>
      <c r="Q2120" s="26" t="n"/>
      <c r="R2120" s="20" t="n"/>
      <c r="S2120" s="20" t="n"/>
    </row>
    <row r="2121">
      <c r="A2121" s="24" t="n"/>
      <c r="B2121" s="20" t="n"/>
      <c r="C2121" s="20" t="n"/>
      <c r="D2121" s="23" t="n"/>
      <c r="E2121" s="20" t="n"/>
      <c r="F2121" s="20" t="n"/>
      <c r="G2121" s="25" t="n"/>
      <c r="H2121" s="20" t="n"/>
      <c r="I2121" s="20" t="n"/>
      <c r="J2121" s="20" t="n"/>
      <c r="K2121" s="20" t="n"/>
      <c r="L2121" s="25" t="n"/>
      <c r="M2121" s="20" t="n"/>
      <c r="N2121" s="20" t="n"/>
      <c r="O2121" s="20" t="n"/>
      <c r="P2121" s="20" t="n"/>
      <c r="Q2121" s="26" t="n"/>
      <c r="R2121" s="20" t="n"/>
      <c r="S2121" s="20" t="n"/>
    </row>
    <row r="2122">
      <c r="A2122" s="24" t="n"/>
      <c r="B2122" s="20" t="n"/>
      <c r="C2122" s="20" t="n"/>
      <c r="D2122" s="23" t="n"/>
      <c r="E2122" s="20" t="n"/>
      <c r="F2122" s="20" t="n"/>
      <c r="G2122" s="25" t="n"/>
      <c r="H2122" s="20" t="n"/>
      <c r="I2122" s="20" t="n"/>
      <c r="J2122" s="20" t="n"/>
      <c r="K2122" s="20" t="n"/>
      <c r="L2122" s="25" t="n"/>
      <c r="M2122" s="20" t="n"/>
      <c r="N2122" s="20" t="n"/>
      <c r="O2122" s="20" t="n"/>
      <c r="P2122" s="20" t="n"/>
      <c r="Q2122" s="26" t="n"/>
      <c r="R2122" s="20" t="n"/>
      <c r="S2122" s="20" t="n"/>
    </row>
    <row r="2123">
      <c r="A2123" s="24" t="n"/>
      <c r="B2123" s="20" t="n"/>
      <c r="C2123" s="20" t="n"/>
      <c r="D2123" s="23" t="n"/>
      <c r="E2123" s="20" t="n"/>
      <c r="F2123" s="20" t="n"/>
      <c r="G2123" s="25" t="n"/>
      <c r="H2123" s="20" t="n"/>
      <c r="I2123" s="20" t="n"/>
      <c r="J2123" s="20" t="n"/>
      <c r="K2123" s="20" t="n"/>
      <c r="L2123" s="25" t="n"/>
      <c r="M2123" s="20" t="n"/>
      <c r="N2123" s="20" t="n"/>
      <c r="O2123" s="20" t="n"/>
      <c r="P2123" s="20" t="n"/>
      <c r="Q2123" s="26" t="n"/>
      <c r="R2123" s="20" t="n"/>
      <c r="S2123" s="20" t="n"/>
    </row>
    <row r="2124">
      <c r="A2124" s="24" t="n"/>
      <c r="B2124" s="20" t="n"/>
      <c r="C2124" s="20" t="n"/>
      <c r="D2124" s="23" t="n"/>
      <c r="E2124" s="20" t="n"/>
      <c r="F2124" s="20" t="n"/>
      <c r="G2124" s="25" t="n"/>
      <c r="H2124" s="20" t="n"/>
      <c r="I2124" s="20" t="n"/>
      <c r="J2124" s="20" t="n"/>
      <c r="K2124" s="20" t="n"/>
      <c r="L2124" s="25" t="n"/>
      <c r="M2124" s="20" t="n"/>
      <c r="N2124" s="20" t="n"/>
      <c r="O2124" s="20" t="n"/>
      <c r="P2124" s="20" t="n"/>
      <c r="Q2124" s="26" t="n"/>
      <c r="R2124" s="20" t="n"/>
      <c r="S2124" s="20" t="n"/>
    </row>
    <row r="2125">
      <c r="A2125" s="24" t="n"/>
      <c r="B2125" s="20" t="n"/>
      <c r="C2125" s="20" t="n"/>
      <c r="D2125" s="23" t="n"/>
      <c r="E2125" s="20" t="n"/>
      <c r="F2125" s="20" t="n"/>
      <c r="G2125" s="25" t="n"/>
      <c r="H2125" s="20" t="n"/>
      <c r="I2125" s="20" t="n"/>
      <c r="J2125" s="20" t="n"/>
      <c r="K2125" s="20" t="n"/>
      <c r="L2125" s="25" t="n"/>
      <c r="M2125" s="20" t="n"/>
      <c r="N2125" s="20" t="n"/>
      <c r="O2125" s="20" t="n"/>
      <c r="P2125" s="20" t="n"/>
      <c r="Q2125" s="26" t="n"/>
      <c r="R2125" s="20" t="n"/>
      <c r="S2125" s="20" t="n"/>
    </row>
    <row r="2126">
      <c r="A2126" s="24" t="n"/>
      <c r="B2126" s="20" t="n"/>
      <c r="C2126" s="20" t="n"/>
      <c r="D2126" s="23" t="n"/>
      <c r="E2126" s="20" t="n"/>
      <c r="F2126" s="20" t="n"/>
      <c r="G2126" s="25" t="n"/>
      <c r="H2126" s="20" t="n"/>
      <c r="I2126" s="20" t="n"/>
      <c r="J2126" s="20" t="n"/>
      <c r="K2126" s="20" t="n"/>
      <c r="L2126" s="25" t="n"/>
      <c r="M2126" s="20" t="n"/>
      <c r="N2126" s="20" t="n"/>
      <c r="O2126" s="20" t="n"/>
      <c r="P2126" s="20" t="n"/>
      <c r="Q2126" s="26" t="n"/>
      <c r="R2126" s="20" t="n"/>
      <c r="S2126" s="20" t="n"/>
    </row>
    <row r="2127">
      <c r="A2127" s="24" t="n"/>
      <c r="B2127" s="20" t="n"/>
      <c r="C2127" s="20" t="n"/>
      <c r="D2127" s="23" t="n"/>
      <c r="E2127" s="20" t="n"/>
      <c r="F2127" s="20" t="n"/>
      <c r="G2127" s="25" t="n"/>
      <c r="H2127" s="20" t="n"/>
      <c r="I2127" s="20" t="n"/>
      <c r="J2127" s="20" t="n"/>
      <c r="K2127" s="20" t="n"/>
      <c r="L2127" s="25" t="n"/>
      <c r="M2127" s="20" t="n"/>
      <c r="N2127" s="20" t="n"/>
      <c r="O2127" s="20" t="n"/>
      <c r="P2127" s="20" t="n"/>
      <c r="Q2127" s="26" t="n"/>
      <c r="R2127" s="20" t="n"/>
      <c r="S2127" s="20" t="n"/>
    </row>
    <row r="2128">
      <c r="A2128" s="24" t="n"/>
      <c r="B2128" s="20" t="n"/>
      <c r="C2128" s="20" t="n"/>
      <c r="D2128" s="23" t="n"/>
      <c r="E2128" s="20" t="n"/>
      <c r="F2128" s="20" t="n"/>
      <c r="G2128" s="25" t="n"/>
      <c r="H2128" s="20" t="n"/>
      <c r="I2128" s="20" t="n"/>
      <c r="J2128" s="20" t="n"/>
      <c r="K2128" s="20" t="n"/>
      <c r="L2128" s="25" t="n"/>
      <c r="M2128" s="20" t="n"/>
      <c r="N2128" s="20" t="n"/>
      <c r="O2128" s="20" t="n"/>
      <c r="P2128" s="20" t="n"/>
      <c r="Q2128" s="26" t="n"/>
      <c r="R2128" s="20" t="n"/>
      <c r="S2128" s="20" t="n"/>
    </row>
    <row r="2129">
      <c r="A2129" s="24" t="n"/>
      <c r="B2129" s="20" t="n"/>
      <c r="C2129" s="20" t="n"/>
      <c r="D2129" s="23" t="n"/>
      <c r="E2129" s="20" t="n"/>
      <c r="F2129" s="20" t="n"/>
      <c r="G2129" s="25" t="n"/>
      <c r="H2129" s="20" t="n"/>
      <c r="I2129" s="20" t="n"/>
      <c r="J2129" s="20" t="n"/>
      <c r="K2129" s="20" t="n"/>
      <c r="L2129" s="25" t="n"/>
      <c r="M2129" s="20" t="n"/>
      <c r="N2129" s="20" t="n"/>
      <c r="O2129" s="20" t="n"/>
      <c r="P2129" s="20" t="n"/>
      <c r="Q2129" s="26" t="n"/>
      <c r="R2129" s="20" t="n"/>
      <c r="S2129" s="20" t="n"/>
    </row>
    <row r="2130">
      <c r="A2130" s="24" t="n"/>
      <c r="B2130" s="20" t="n"/>
      <c r="C2130" s="20" t="n"/>
      <c r="D2130" s="23" t="n"/>
      <c r="E2130" s="20" t="n"/>
      <c r="F2130" s="20" t="n"/>
      <c r="G2130" s="25" t="n"/>
      <c r="H2130" s="20" t="n"/>
      <c r="I2130" s="20" t="n"/>
      <c r="J2130" s="20" t="n"/>
      <c r="K2130" s="20" t="n"/>
      <c r="L2130" s="25" t="n"/>
      <c r="M2130" s="20" t="n"/>
      <c r="N2130" s="20" t="n"/>
      <c r="O2130" s="20" t="n"/>
      <c r="P2130" s="20" t="n"/>
      <c r="Q2130" s="26" t="n"/>
      <c r="R2130" s="20" t="n"/>
      <c r="S2130" s="20" t="n"/>
    </row>
    <row r="2131">
      <c r="A2131" s="24" t="n"/>
      <c r="B2131" s="20" t="n"/>
      <c r="C2131" s="20" t="n"/>
      <c r="D2131" s="23" t="n"/>
      <c r="E2131" s="20" t="n"/>
      <c r="F2131" s="20" t="n"/>
      <c r="G2131" s="25" t="n"/>
      <c r="H2131" s="20" t="n"/>
      <c r="I2131" s="20" t="n"/>
      <c r="J2131" s="20" t="n"/>
      <c r="K2131" s="20" t="n"/>
      <c r="L2131" s="25" t="n"/>
      <c r="M2131" s="20" t="n"/>
      <c r="N2131" s="20" t="n"/>
      <c r="O2131" s="20" t="n"/>
      <c r="P2131" s="20" t="n"/>
      <c r="Q2131" s="26" t="n"/>
      <c r="R2131" s="20" t="n"/>
      <c r="S2131" s="20" t="n"/>
    </row>
    <row r="2132">
      <c r="A2132" s="24" t="n"/>
      <c r="B2132" s="20" t="n"/>
      <c r="C2132" s="20" t="n"/>
      <c r="D2132" s="23" t="n"/>
      <c r="E2132" s="20" t="n"/>
      <c r="F2132" s="20" t="n"/>
      <c r="G2132" s="25" t="n"/>
      <c r="H2132" s="20" t="n"/>
      <c r="I2132" s="20" t="n"/>
      <c r="J2132" s="20" t="n"/>
      <c r="K2132" s="20" t="n"/>
      <c r="L2132" s="25" t="n"/>
      <c r="M2132" s="20" t="n"/>
      <c r="N2132" s="20" t="n"/>
      <c r="O2132" s="20" t="n"/>
      <c r="P2132" s="20" t="n"/>
      <c r="Q2132" s="26" t="n"/>
      <c r="R2132" s="20" t="n"/>
      <c r="S2132" s="20" t="n"/>
    </row>
    <row r="2133">
      <c r="A2133" s="24" t="n"/>
      <c r="B2133" s="20" t="n"/>
      <c r="C2133" s="20" t="n"/>
      <c r="D2133" s="23" t="n"/>
      <c r="E2133" s="20" t="n"/>
      <c r="F2133" s="20" t="n"/>
      <c r="G2133" s="25" t="n"/>
      <c r="H2133" s="20" t="n"/>
      <c r="I2133" s="20" t="n"/>
      <c r="J2133" s="20" t="n"/>
      <c r="K2133" s="20" t="n"/>
      <c r="L2133" s="25" t="n"/>
      <c r="M2133" s="20" t="n"/>
      <c r="N2133" s="20" t="n"/>
      <c r="O2133" s="20" t="n"/>
      <c r="P2133" s="20" t="n"/>
      <c r="Q2133" s="26" t="n"/>
      <c r="R2133" s="20" t="n"/>
      <c r="S2133" s="20" t="n"/>
    </row>
    <row r="2134">
      <c r="A2134" s="24" t="n"/>
      <c r="B2134" s="20" t="n"/>
      <c r="C2134" s="20" t="n"/>
      <c r="D2134" s="23" t="n"/>
      <c r="E2134" s="20" t="n"/>
      <c r="F2134" s="20" t="n"/>
      <c r="G2134" s="25" t="n"/>
      <c r="H2134" s="20" t="n"/>
      <c r="I2134" s="20" t="n"/>
      <c r="J2134" s="20" t="n"/>
      <c r="K2134" s="20" t="n"/>
      <c r="L2134" s="25" t="n"/>
      <c r="M2134" s="20" t="n"/>
      <c r="N2134" s="20" t="n"/>
      <c r="O2134" s="20" t="n"/>
      <c r="P2134" s="20" t="n"/>
      <c r="Q2134" s="26" t="n"/>
      <c r="R2134" s="20" t="n"/>
      <c r="S2134" s="20" t="n"/>
    </row>
    <row r="2135">
      <c r="A2135" s="24" t="n"/>
      <c r="B2135" s="20" t="n"/>
      <c r="C2135" s="20" t="n"/>
      <c r="D2135" s="23" t="n"/>
      <c r="E2135" s="20" t="n"/>
      <c r="F2135" s="20" t="n"/>
      <c r="G2135" s="25" t="n"/>
      <c r="H2135" s="20" t="n"/>
      <c r="I2135" s="20" t="n"/>
      <c r="J2135" s="20" t="n"/>
      <c r="K2135" s="20" t="n"/>
      <c r="L2135" s="25" t="n"/>
      <c r="M2135" s="20" t="n"/>
      <c r="N2135" s="20" t="n"/>
      <c r="O2135" s="20" t="n"/>
      <c r="P2135" s="20" t="n"/>
      <c r="Q2135" s="26" t="n"/>
      <c r="R2135" s="20" t="n"/>
      <c r="S2135" s="20" t="n"/>
    </row>
    <row r="2136">
      <c r="A2136" s="24" t="n"/>
      <c r="B2136" s="20" t="n"/>
      <c r="C2136" s="20" t="n"/>
      <c r="D2136" s="23" t="n"/>
      <c r="E2136" s="20" t="n"/>
      <c r="F2136" s="20" t="n"/>
      <c r="G2136" s="25" t="n"/>
      <c r="H2136" s="20" t="n"/>
      <c r="I2136" s="20" t="n"/>
      <c r="J2136" s="20" t="n"/>
      <c r="K2136" s="20" t="n"/>
      <c r="L2136" s="25" t="n"/>
      <c r="M2136" s="20" t="n"/>
      <c r="N2136" s="20" t="n"/>
      <c r="O2136" s="20" t="n"/>
      <c r="P2136" s="20" t="n"/>
      <c r="Q2136" s="26" t="n"/>
      <c r="R2136" s="20" t="n"/>
      <c r="S2136" s="20" t="n"/>
    </row>
    <row r="2137">
      <c r="A2137" s="24" t="n"/>
      <c r="B2137" s="20" t="n"/>
      <c r="C2137" s="20" t="n"/>
      <c r="D2137" s="23" t="n"/>
      <c r="E2137" s="20" t="n"/>
      <c r="F2137" s="20" t="n"/>
      <c r="G2137" s="25" t="n"/>
      <c r="H2137" s="20" t="n"/>
      <c r="I2137" s="20" t="n"/>
      <c r="J2137" s="20" t="n"/>
      <c r="K2137" s="20" t="n"/>
      <c r="L2137" s="25" t="n"/>
      <c r="M2137" s="20" t="n"/>
      <c r="N2137" s="20" t="n"/>
      <c r="O2137" s="20" t="n"/>
      <c r="P2137" s="20" t="n"/>
      <c r="Q2137" s="26" t="n"/>
      <c r="R2137" s="20" t="n"/>
      <c r="S2137" s="20" t="n"/>
    </row>
    <row r="2138">
      <c r="A2138" s="24" t="n"/>
      <c r="B2138" s="20" t="n"/>
      <c r="C2138" s="20" t="n"/>
      <c r="D2138" s="23" t="n"/>
      <c r="E2138" s="20" t="n"/>
      <c r="F2138" s="20" t="n"/>
      <c r="G2138" s="25" t="n"/>
      <c r="H2138" s="20" t="n"/>
      <c r="I2138" s="20" t="n"/>
      <c r="J2138" s="20" t="n"/>
      <c r="K2138" s="20" t="n"/>
      <c r="L2138" s="25" t="n"/>
      <c r="M2138" s="20" t="n"/>
      <c r="N2138" s="20" t="n"/>
      <c r="O2138" s="20" t="n"/>
      <c r="P2138" s="20" t="n"/>
      <c r="Q2138" s="26" t="n"/>
      <c r="R2138" s="20" t="n"/>
      <c r="S2138" s="20" t="n"/>
    </row>
    <row r="2139">
      <c r="A2139" s="24" t="n"/>
      <c r="B2139" s="20" t="n"/>
      <c r="C2139" s="20" t="n"/>
      <c r="D2139" s="23" t="n"/>
      <c r="E2139" s="20" t="n"/>
      <c r="F2139" s="20" t="n"/>
      <c r="G2139" s="25" t="n"/>
      <c r="H2139" s="20" t="n"/>
      <c r="I2139" s="20" t="n"/>
      <c r="J2139" s="20" t="n"/>
      <c r="K2139" s="20" t="n"/>
      <c r="L2139" s="25" t="n"/>
      <c r="M2139" s="20" t="n"/>
      <c r="N2139" s="20" t="n"/>
      <c r="O2139" s="20" t="n"/>
      <c r="P2139" s="20" t="n"/>
      <c r="Q2139" s="26" t="n"/>
      <c r="R2139" s="20" t="n"/>
      <c r="S2139" s="20" t="n"/>
    </row>
    <row r="2140">
      <c r="A2140" s="24" t="n"/>
      <c r="B2140" s="20" t="n"/>
      <c r="C2140" s="20" t="n"/>
      <c r="D2140" s="23" t="n"/>
      <c r="E2140" s="20" t="n"/>
      <c r="F2140" s="20" t="n"/>
      <c r="G2140" s="25" t="n"/>
      <c r="H2140" s="20" t="n"/>
      <c r="I2140" s="20" t="n"/>
      <c r="J2140" s="20" t="n"/>
      <c r="K2140" s="20" t="n"/>
      <c r="L2140" s="25" t="n"/>
      <c r="M2140" s="20" t="n"/>
      <c r="N2140" s="20" t="n"/>
      <c r="O2140" s="20" t="n"/>
      <c r="P2140" s="20" t="n"/>
      <c r="Q2140" s="26" t="n"/>
      <c r="R2140" s="20" t="n"/>
      <c r="S2140" s="20" t="n"/>
    </row>
    <row r="2141">
      <c r="A2141" s="24" t="n"/>
      <c r="B2141" s="20" t="n"/>
      <c r="C2141" s="20" t="n"/>
      <c r="D2141" s="23" t="n"/>
      <c r="E2141" s="20" t="n"/>
      <c r="F2141" s="20" t="n"/>
      <c r="G2141" s="25" t="n"/>
      <c r="H2141" s="20" t="n"/>
      <c r="I2141" s="20" t="n"/>
      <c r="J2141" s="20" t="n"/>
      <c r="K2141" s="20" t="n"/>
      <c r="L2141" s="25" t="n"/>
      <c r="M2141" s="20" t="n"/>
      <c r="N2141" s="20" t="n"/>
      <c r="O2141" s="20" t="n"/>
      <c r="P2141" s="20" t="n"/>
      <c r="Q2141" s="26" t="n"/>
      <c r="R2141" s="20" t="n"/>
      <c r="S2141" s="20" t="n"/>
    </row>
    <row r="2142">
      <c r="A2142" s="24" t="n"/>
      <c r="B2142" s="20" t="n"/>
      <c r="C2142" s="20" t="n"/>
      <c r="D2142" s="23" t="n"/>
      <c r="E2142" s="20" t="n"/>
      <c r="F2142" s="20" t="n"/>
      <c r="G2142" s="25" t="n"/>
      <c r="H2142" s="20" t="n"/>
      <c r="I2142" s="20" t="n"/>
      <c r="J2142" s="20" t="n"/>
      <c r="K2142" s="20" t="n"/>
      <c r="L2142" s="25" t="n"/>
      <c r="M2142" s="20" t="n"/>
      <c r="N2142" s="20" t="n"/>
      <c r="O2142" s="20" t="n"/>
      <c r="P2142" s="20" t="n"/>
      <c r="Q2142" s="26" t="n"/>
      <c r="R2142" s="20" t="n"/>
      <c r="S2142" s="20" t="n"/>
    </row>
    <row r="2143">
      <c r="A2143" s="24" t="n"/>
      <c r="B2143" s="20" t="n"/>
      <c r="C2143" s="20" t="n"/>
      <c r="D2143" s="23" t="n"/>
      <c r="E2143" s="20" t="n"/>
      <c r="F2143" s="20" t="n"/>
      <c r="G2143" s="25" t="n"/>
      <c r="H2143" s="20" t="n"/>
      <c r="I2143" s="20" t="n"/>
      <c r="J2143" s="20" t="n"/>
      <c r="K2143" s="20" t="n"/>
      <c r="L2143" s="25" t="n"/>
      <c r="M2143" s="20" t="n"/>
      <c r="N2143" s="20" t="n"/>
      <c r="O2143" s="20" t="n"/>
      <c r="P2143" s="20" t="n"/>
      <c r="Q2143" s="26" t="n"/>
      <c r="R2143" s="20" t="n"/>
      <c r="S2143" s="20" t="n"/>
    </row>
    <row r="2144">
      <c r="A2144" s="24" t="n"/>
      <c r="B2144" s="20" t="n"/>
      <c r="C2144" s="20" t="n"/>
      <c r="D2144" s="23" t="n"/>
      <c r="E2144" s="20" t="n"/>
      <c r="F2144" s="20" t="n"/>
      <c r="G2144" s="25" t="n"/>
      <c r="H2144" s="20" t="n"/>
      <c r="I2144" s="20" t="n"/>
      <c r="J2144" s="20" t="n"/>
      <c r="K2144" s="20" t="n"/>
      <c r="L2144" s="25" t="n"/>
      <c r="M2144" s="20" t="n"/>
      <c r="N2144" s="20" t="n"/>
      <c r="O2144" s="20" t="n"/>
      <c r="P2144" s="20" t="n"/>
      <c r="Q2144" s="26" t="n"/>
      <c r="R2144" s="20" t="n"/>
      <c r="S2144" s="20" t="n"/>
    </row>
    <row r="2145">
      <c r="A2145" s="24" t="n"/>
      <c r="B2145" s="20" t="n"/>
      <c r="C2145" s="20" t="n"/>
      <c r="D2145" s="23" t="n"/>
      <c r="E2145" s="20" t="n"/>
      <c r="F2145" s="20" t="n"/>
      <c r="G2145" s="25" t="n"/>
      <c r="H2145" s="20" t="n"/>
      <c r="I2145" s="20" t="n"/>
      <c r="J2145" s="20" t="n"/>
      <c r="K2145" s="20" t="n"/>
      <c r="L2145" s="25" t="n"/>
      <c r="M2145" s="20" t="n"/>
      <c r="N2145" s="20" t="n"/>
      <c r="O2145" s="20" t="n"/>
      <c r="P2145" s="20" t="n"/>
      <c r="Q2145" s="26" t="n"/>
      <c r="R2145" s="20" t="n"/>
      <c r="S2145" s="20" t="n"/>
    </row>
    <row r="2146">
      <c r="A2146" s="24" t="n"/>
      <c r="B2146" s="20" t="n"/>
      <c r="C2146" s="20" t="n"/>
      <c r="D2146" s="23" t="n"/>
      <c r="E2146" s="20" t="n"/>
      <c r="F2146" s="20" t="n"/>
      <c r="G2146" s="25" t="n"/>
      <c r="H2146" s="20" t="n"/>
      <c r="I2146" s="20" t="n"/>
      <c r="J2146" s="20" t="n"/>
      <c r="K2146" s="20" t="n"/>
      <c r="L2146" s="25" t="n"/>
      <c r="M2146" s="20" t="n"/>
      <c r="N2146" s="20" t="n"/>
      <c r="O2146" s="20" t="n"/>
      <c r="P2146" s="20" t="n"/>
      <c r="Q2146" s="26" t="n"/>
      <c r="R2146" s="20" t="n"/>
      <c r="S2146" s="20" t="n"/>
    </row>
    <row r="2147">
      <c r="A2147" s="24" t="n"/>
      <c r="B2147" s="20" t="n"/>
      <c r="C2147" s="20" t="n"/>
      <c r="D2147" s="23" t="n"/>
      <c r="E2147" s="20" t="n"/>
      <c r="F2147" s="20" t="n"/>
      <c r="G2147" s="25" t="n"/>
      <c r="H2147" s="20" t="n"/>
      <c r="I2147" s="20" t="n"/>
      <c r="J2147" s="20" t="n"/>
      <c r="K2147" s="20" t="n"/>
      <c r="L2147" s="25" t="n"/>
      <c r="M2147" s="20" t="n"/>
      <c r="N2147" s="20" t="n"/>
      <c r="O2147" s="20" t="n"/>
      <c r="P2147" s="20" t="n"/>
      <c r="Q2147" s="26" t="n"/>
      <c r="R2147" s="20" t="n"/>
      <c r="S2147" s="20" t="n"/>
    </row>
    <row r="2148">
      <c r="A2148" s="24" t="n"/>
      <c r="B2148" s="20" t="n"/>
      <c r="C2148" s="20" t="n"/>
      <c r="D2148" s="23" t="n"/>
      <c r="E2148" s="20" t="n"/>
      <c r="F2148" s="20" t="n"/>
      <c r="G2148" s="25" t="n"/>
      <c r="H2148" s="20" t="n"/>
      <c r="I2148" s="20" t="n"/>
      <c r="J2148" s="20" t="n"/>
      <c r="K2148" s="20" t="n"/>
      <c r="L2148" s="25" t="n"/>
      <c r="M2148" s="20" t="n"/>
      <c r="N2148" s="20" t="n"/>
      <c r="O2148" s="20" t="n"/>
      <c r="P2148" s="20" t="n"/>
      <c r="Q2148" s="26" t="n"/>
      <c r="R2148" s="20" t="n"/>
      <c r="S2148" s="20" t="n"/>
    </row>
    <row r="2149">
      <c r="A2149" s="24" t="n"/>
      <c r="B2149" s="20" t="n"/>
      <c r="C2149" s="20" t="n"/>
      <c r="D2149" s="23" t="n"/>
      <c r="E2149" s="20" t="n"/>
      <c r="F2149" s="20" t="n"/>
      <c r="G2149" s="25" t="n"/>
      <c r="H2149" s="20" t="n"/>
      <c r="I2149" s="20" t="n"/>
      <c r="J2149" s="20" t="n"/>
      <c r="K2149" s="20" t="n"/>
      <c r="L2149" s="25" t="n"/>
      <c r="M2149" s="20" t="n"/>
      <c r="N2149" s="20" t="n"/>
      <c r="O2149" s="20" t="n"/>
      <c r="P2149" s="20" t="n"/>
      <c r="Q2149" s="26" t="n"/>
      <c r="R2149" s="20" t="n"/>
      <c r="S2149" s="20" t="n"/>
    </row>
    <row r="2150">
      <c r="A2150" s="24" t="n"/>
      <c r="B2150" s="20" t="n"/>
      <c r="C2150" s="20" t="n"/>
      <c r="D2150" s="23" t="n"/>
      <c r="E2150" s="20" t="n"/>
      <c r="F2150" s="20" t="n"/>
      <c r="G2150" s="25" t="n"/>
      <c r="H2150" s="20" t="n"/>
      <c r="I2150" s="20" t="n"/>
      <c r="J2150" s="20" t="n"/>
      <c r="K2150" s="20" t="n"/>
      <c r="L2150" s="25" t="n"/>
      <c r="M2150" s="20" t="n"/>
      <c r="N2150" s="20" t="n"/>
      <c r="O2150" s="20" t="n"/>
      <c r="P2150" s="20" t="n"/>
      <c r="Q2150" s="26" t="n"/>
      <c r="R2150" s="20" t="n"/>
      <c r="S2150" s="20" t="n"/>
    </row>
    <row r="2151">
      <c r="A2151" s="24" t="n"/>
      <c r="B2151" s="20" t="n"/>
      <c r="C2151" s="20" t="n"/>
      <c r="D2151" s="23" t="n"/>
      <c r="E2151" s="20" t="n"/>
      <c r="F2151" s="20" t="n"/>
      <c r="G2151" s="25" t="n"/>
      <c r="H2151" s="20" t="n"/>
      <c r="I2151" s="20" t="n"/>
      <c r="J2151" s="20" t="n"/>
      <c r="K2151" s="20" t="n"/>
      <c r="L2151" s="25" t="n"/>
      <c r="M2151" s="20" t="n"/>
      <c r="N2151" s="20" t="n"/>
      <c r="O2151" s="20" t="n"/>
      <c r="P2151" s="20" t="n"/>
      <c r="Q2151" s="26" t="n"/>
      <c r="R2151" s="20" t="n"/>
      <c r="S2151" s="20" t="n"/>
    </row>
    <row r="2152">
      <c r="A2152" s="24" t="n"/>
      <c r="B2152" s="20" t="n"/>
      <c r="C2152" s="20" t="n"/>
      <c r="D2152" s="23" t="n"/>
      <c r="E2152" s="20" t="n"/>
      <c r="F2152" s="20" t="n"/>
      <c r="G2152" s="25" t="n"/>
      <c r="H2152" s="20" t="n"/>
      <c r="I2152" s="20" t="n"/>
      <c r="J2152" s="20" t="n"/>
      <c r="K2152" s="20" t="n"/>
      <c r="L2152" s="25" t="n"/>
      <c r="M2152" s="20" t="n"/>
      <c r="N2152" s="20" t="n"/>
      <c r="O2152" s="20" t="n"/>
      <c r="P2152" s="20" t="n"/>
      <c r="Q2152" s="26" t="n"/>
      <c r="R2152" s="20" t="n"/>
      <c r="S2152" s="20" t="n"/>
    </row>
    <row r="2153">
      <c r="A2153" s="24" t="n"/>
      <c r="B2153" s="20" t="n"/>
      <c r="C2153" s="20" t="n"/>
      <c r="D2153" s="23" t="n"/>
      <c r="E2153" s="20" t="n"/>
      <c r="F2153" s="20" t="n"/>
      <c r="G2153" s="25" t="n"/>
      <c r="H2153" s="20" t="n"/>
      <c r="I2153" s="20" t="n"/>
      <c r="J2153" s="20" t="n"/>
      <c r="K2153" s="20" t="n"/>
      <c r="L2153" s="25" t="n"/>
      <c r="M2153" s="20" t="n"/>
      <c r="N2153" s="20" t="n"/>
      <c r="O2153" s="20" t="n"/>
      <c r="P2153" s="20" t="n"/>
      <c r="Q2153" s="26" t="n"/>
      <c r="R2153" s="20" t="n"/>
      <c r="S2153" s="20" t="n"/>
    </row>
    <row r="2154">
      <c r="A2154" s="24" t="n"/>
      <c r="B2154" s="20" t="n"/>
      <c r="C2154" s="20" t="n"/>
      <c r="D2154" s="23" t="n"/>
      <c r="E2154" s="20" t="n"/>
      <c r="F2154" s="20" t="n"/>
      <c r="G2154" s="25" t="n"/>
      <c r="H2154" s="20" t="n"/>
      <c r="I2154" s="20" t="n"/>
      <c r="J2154" s="20" t="n"/>
      <c r="K2154" s="20" t="n"/>
      <c r="L2154" s="25" t="n"/>
      <c r="M2154" s="20" t="n"/>
      <c r="N2154" s="20" t="n"/>
      <c r="O2154" s="20" t="n"/>
      <c r="P2154" s="20" t="n"/>
      <c r="Q2154" s="26" t="n"/>
      <c r="R2154" s="20" t="n"/>
      <c r="S2154" s="20" t="n"/>
    </row>
    <row r="2155">
      <c r="A2155" s="24" t="n"/>
      <c r="B2155" s="20" t="n"/>
      <c r="C2155" s="20" t="n"/>
      <c r="D2155" s="23" t="n"/>
      <c r="E2155" s="20" t="n"/>
      <c r="F2155" s="20" t="n"/>
      <c r="G2155" s="25" t="n"/>
      <c r="H2155" s="20" t="n"/>
      <c r="I2155" s="20" t="n"/>
      <c r="J2155" s="20" t="n"/>
      <c r="K2155" s="20" t="n"/>
      <c r="L2155" s="25" t="n"/>
      <c r="M2155" s="20" t="n"/>
      <c r="N2155" s="20" t="n"/>
      <c r="O2155" s="20" t="n"/>
      <c r="P2155" s="20" t="n"/>
      <c r="Q2155" s="26" t="n"/>
      <c r="R2155" s="20" t="n"/>
      <c r="S2155" s="20" t="n"/>
    </row>
    <row r="2156">
      <c r="A2156" s="24" t="n"/>
      <c r="B2156" s="20" t="n"/>
      <c r="C2156" s="20" t="n"/>
      <c r="D2156" s="23" t="n"/>
      <c r="E2156" s="20" t="n"/>
      <c r="F2156" s="20" t="n"/>
      <c r="G2156" s="25" t="n"/>
      <c r="H2156" s="20" t="n"/>
      <c r="I2156" s="20" t="n"/>
      <c r="J2156" s="20" t="n"/>
      <c r="K2156" s="20" t="n"/>
      <c r="L2156" s="25" t="n"/>
      <c r="M2156" s="20" t="n"/>
      <c r="N2156" s="20" t="n"/>
      <c r="O2156" s="20" t="n"/>
      <c r="P2156" s="20" t="n"/>
      <c r="Q2156" s="26" t="n"/>
      <c r="R2156" s="20" t="n"/>
      <c r="S2156" s="20" t="n"/>
    </row>
    <row r="2157">
      <c r="A2157" s="24" t="n"/>
      <c r="B2157" s="20" t="n"/>
      <c r="C2157" s="20" t="n"/>
      <c r="D2157" s="23" t="n"/>
      <c r="E2157" s="20" t="n"/>
      <c r="F2157" s="20" t="n"/>
      <c r="G2157" s="25" t="n"/>
      <c r="H2157" s="20" t="n"/>
      <c r="I2157" s="20" t="n"/>
      <c r="J2157" s="20" t="n"/>
      <c r="K2157" s="20" t="n"/>
      <c r="L2157" s="25" t="n"/>
      <c r="M2157" s="20" t="n"/>
      <c r="N2157" s="20" t="n"/>
      <c r="O2157" s="20" t="n"/>
      <c r="P2157" s="20" t="n"/>
      <c r="Q2157" s="26" t="n"/>
      <c r="R2157" s="20" t="n"/>
      <c r="S2157" s="20" t="n"/>
    </row>
    <row r="2158">
      <c r="A2158" s="24" t="n"/>
      <c r="B2158" s="20" t="n"/>
      <c r="C2158" s="20" t="n"/>
      <c r="D2158" s="23" t="n"/>
      <c r="E2158" s="20" t="n"/>
      <c r="F2158" s="20" t="n"/>
      <c r="G2158" s="25" t="n"/>
      <c r="H2158" s="20" t="n"/>
      <c r="I2158" s="20" t="n"/>
      <c r="J2158" s="20" t="n"/>
      <c r="K2158" s="20" t="n"/>
      <c r="L2158" s="25" t="n"/>
      <c r="M2158" s="20" t="n"/>
      <c r="N2158" s="20" t="n"/>
      <c r="O2158" s="20" t="n"/>
      <c r="P2158" s="20" t="n"/>
      <c r="Q2158" s="26" t="n"/>
      <c r="R2158" s="20" t="n"/>
      <c r="S2158" s="20" t="n"/>
    </row>
    <row r="2159">
      <c r="A2159" s="24" t="n"/>
      <c r="B2159" s="20" t="n"/>
      <c r="C2159" s="20" t="n"/>
      <c r="D2159" s="23" t="n"/>
      <c r="E2159" s="20" t="n"/>
      <c r="F2159" s="20" t="n"/>
      <c r="G2159" s="25" t="n"/>
      <c r="H2159" s="20" t="n"/>
      <c r="I2159" s="20" t="n"/>
      <c r="J2159" s="20" t="n"/>
      <c r="K2159" s="20" t="n"/>
      <c r="L2159" s="25" t="n"/>
      <c r="M2159" s="20" t="n"/>
      <c r="N2159" s="20" t="n"/>
      <c r="O2159" s="20" t="n"/>
      <c r="P2159" s="20" t="n"/>
      <c r="Q2159" s="26" t="n"/>
      <c r="R2159" s="20" t="n"/>
      <c r="S2159" s="20" t="n"/>
    </row>
    <row r="2160">
      <c r="A2160" s="24" t="n"/>
      <c r="B2160" s="20" t="n"/>
      <c r="C2160" s="20" t="n"/>
      <c r="D2160" s="23" t="n"/>
      <c r="E2160" s="20" t="n"/>
      <c r="F2160" s="20" t="n"/>
      <c r="G2160" s="25" t="n"/>
      <c r="H2160" s="20" t="n"/>
      <c r="I2160" s="20" t="n"/>
      <c r="J2160" s="20" t="n"/>
      <c r="K2160" s="20" t="n"/>
      <c r="L2160" s="25" t="n"/>
      <c r="M2160" s="20" t="n"/>
      <c r="N2160" s="20" t="n"/>
      <c r="O2160" s="20" t="n"/>
      <c r="P2160" s="20" t="n"/>
      <c r="Q2160" s="26" t="n"/>
      <c r="R2160" s="20" t="n"/>
      <c r="S2160" s="20" t="n"/>
    </row>
    <row r="2161">
      <c r="A2161" s="24" t="n"/>
      <c r="B2161" s="20" t="n"/>
      <c r="C2161" s="20" t="n"/>
      <c r="D2161" s="23" t="n"/>
      <c r="E2161" s="20" t="n"/>
      <c r="F2161" s="20" t="n"/>
      <c r="G2161" s="25" t="n"/>
      <c r="H2161" s="20" t="n"/>
      <c r="I2161" s="20" t="n"/>
      <c r="J2161" s="20" t="n"/>
      <c r="K2161" s="20" t="n"/>
      <c r="L2161" s="25" t="n"/>
      <c r="M2161" s="20" t="n"/>
      <c r="N2161" s="20" t="n"/>
      <c r="O2161" s="20" t="n"/>
      <c r="P2161" s="20" t="n"/>
      <c r="Q2161" s="26" t="n"/>
      <c r="R2161" s="20" t="n"/>
      <c r="S2161" s="20" t="n"/>
    </row>
    <row r="2162">
      <c r="A2162" s="24" t="n"/>
      <c r="B2162" s="20" t="n"/>
      <c r="C2162" s="20" t="n"/>
      <c r="D2162" s="23" t="n"/>
      <c r="E2162" s="20" t="n"/>
      <c r="F2162" s="20" t="n"/>
      <c r="G2162" s="25" t="n"/>
      <c r="H2162" s="20" t="n"/>
      <c r="I2162" s="20" t="n"/>
      <c r="J2162" s="20" t="n"/>
      <c r="K2162" s="20" t="n"/>
      <c r="L2162" s="25" t="n"/>
      <c r="M2162" s="20" t="n"/>
      <c r="N2162" s="20" t="n"/>
      <c r="O2162" s="20" t="n"/>
      <c r="P2162" s="20" t="n"/>
      <c r="Q2162" s="26" t="n"/>
      <c r="R2162" s="20" t="n"/>
      <c r="S2162" s="20" t="n"/>
    </row>
    <row r="2163">
      <c r="A2163" s="24" t="n"/>
      <c r="B2163" s="20" t="n"/>
      <c r="C2163" s="20" t="n"/>
      <c r="D2163" s="23" t="n"/>
      <c r="E2163" s="20" t="n"/>
      <c r="F2163" s="20" t="n"/>
      <c r="G2163" s="25" t="n"/>
      <c r="H2163" s="20" t="n"/>
      <c r="I2163" s="20" t="n"/>
      <c r="J2163" s="20" t="n"/>
      <c r="K2163" s="20" t="n"/>
      <c r="L2163" s="25" t="n"/>
      <c r="M2163" s="20" t="n"/>
      <c r="N2163" s="20" t="n"/>
      <c r="O2163" s="20" t="n"/>
      <c r="P2163" s="20" t="n"/>
      <c r="Q2163" s="26" t="n"/>
      <c r="R2163" s="20" t="n"/>
      <c r="S2163" s="20" t="n"/>
    </row>
    <row r="2164">
      <c r="A2164" s="24" t="n"/>
      <c r="B2164" s="20" t="n"/>
      <c r="C2164" s="20" t="n"/>
      <c r="D2164" s="23" t="n"/>
      <c r="E2164" s="20" t="n"/>
      <c r="F2164" s="20" t="n"/>
      <c r="G2164" s="25" t="n"/>
      <c r="H2164" s="20" t="n"/>
      <c r="I2164" s="20" t="n"/>
      <c r="J2164" s="20" t="n"/>
      <c r="K2164" s="20" t="n"/>
      <c r="L2164" s="25" t="n"/>
      <c r="M2164" s="20" t="n"/>
      <c r="N2164" s="20" t="n"/>
      <c r="O2164" s="20" t="n"/>
      <c r="P2164" s="20" t="n"/>
      <c r="Q2164" s="26" t="n"/>
      <c r="R2164" s="20" t="n"/>
      <c r="S2164" s="20" t="n"/>
    </row>
    <row r="2165">
      <c r="A2165" s="24" t="n"/>
      <c r="B2165" s="20" t="n"/>
      <c r="C2165" s="20" t="n"/>
      <c r="D2165" s="23" t="n"/>
      <c r="E2165" s="20" t="n"/>
      <c r="F2165" s="20" t="n"/>
      <c r="G2165" s="25" t="n"/>
      <c r="H2165" s="20" t="n"/>
      <c r="I2165" s="20" t="n"/>
      <c r="J2165" s="20" t="n"/>
      <c r="K2165" s="20" t="n"/>
      <c r="L2165" s="25" t="n"/>
      <c r="M2165" s="20" t="n"/>
      <c r="N2165" s="20" t="n"/>
      <c r="O2165" s="20" t="n"/>
      <c r="P2165" s="20" t="n"/>
      <c r="Q2165" s="26" t="n"/>
      <c r="R2165" s="20" t="n"/>
      <c r="S2165" s="20" t="n"/>
    </row>
    <row r="2166">
      <c r="A2166" s="24" t="n"/>
      <c r="B2166" s="20" t="n"/>
      <c r="C2166" s="20" t="n"/>
      <c r="D2166" s="23" t="n"/>
      <c r="E2166" s="20" t="n"/>
      <c r="F2166" s="20" t="n"/>
      <c r="G2166" s="25" t="n"/>
      <c r="H2166" s="20" t="n"/>
      <c r="I2166" s="20" t="n"/>
      <c r="J2166" s="20" t="n"/>
      <c r="K2166" s="20" t="n"/>
      <c r="L2166" s="25" t="n"/>
      <c r="M2166" s="20" t="n"/>
      <c r="N2166" s="20" t="n"/>
      <c r="O2166" s="20" t="n"/>
      <c r="P2166" s="20" t="n"/>
      <c r="Q2166" s="26" t="n"/>
      <c r="R2166" s="20" t="n"/>
      <c r="S2166" s="20" t="n"/>
    </row>
    <row r="2167">
      <c r="A2167" s="24" t="n"/>
      <c r="B2167" s="20" t="n"/>
      <c r="C2167" s="20" t="n"/>
      <c r="D2167" s="23" t="n"/>
      <c r="E2167" s="20" t="n"/>
      <c r="F2167" s="20" t="n"/>
      <c r="G2167" s="25" t="n"/>
      <c r="H2167" s="20" t="n"/>
      <c r="I2167" s="20" t="n"/>
      <c r="J2167" s="20" t="n"/>
      <c r="K2167" s="20" t="n"/>
      <c r="L2167" s="25" t="n"/>
      <c r="M2167" s="20" t="n"/>
      <c r="N2167" s="20" t="n"/>
      <c r="O2167" s="20" t="n"/>
      <c r="P2167" s="20" t="n"/>
      <c r="Q2167" s="26" t="n"/>
      <c r="R2167" s="20" t="n"/>
      <c r="S2167" s="20" t="n"/>
    </row>
    <row r="2168">
      <c r="A2168" s="24" t="n"/>
      <c r="B2168" s="20" t="n"/>
      <c r="C2168" s="20" t="n"/>
      <c r="D2168" s="23" t="n"/>
      <c r="E2168" s="20" t="n"/>
      <c r="F2168" s="20" t="n"/>
      <c r="G2168" s="25" t="n"/>
      <c r="H2168" s="20" t="n"/>
      <c r="I2168" s="20" t="n"/>
      <c r="J2168" s="20" t="n"/>
      <c r="K2168" s="20" t="n"/>
      <c r="L2168" s="25" t="n"/>
      <c r="M2168" s="20" t="n"/>
      <c r="N2168" s="20" t="n"/>
      <c r="O2168" s="20" t="n"/>
      <c r="P2168" s="20" t="n"/>
      <c r="Q2168" s="26" t="n"/>
      <c r="R2168" s="20" t="n"/>
      <c r="S2168" s="20" t="n"/>
    </row>
    <row r="2169">
      <c r="A2169" s="24" t="n"/>
      <c r="B2169" s="20" t="n"/>
      <c r="C2169" s="20" t="n"/>
      <c r="D2169" s="23" t="n"/>
      <c r="E2169" s="20" t="n"/>
      <c r="F2169" s="20" t="n"/>
      <c r="G2169" s="25" t="n"/>
      <c r="H2169" s="20" t="n"/>
      <c r="I2169" s="20" t="n"/>
      <c r="J2169" s="20" t="n"/>
      <c r="K2169" s="20" t="n"/>
      <c r="L2169" s="25" t="n"/>
      <c r="M2169" s="20" t="n"/>
      <c r="N2169" s="20" t="n"/>
      <c r="O2169" s="20" t="n"/>
      <c r="P2169" s="20" t="n"/>
      <c r="Q2169" s="26" t="n"/>
      <c r="R2169" s="20" t="n"/>
      <c r="S2169" s="20" t="n"/>
    </row>
    <row r="2170">
      <c r="A2170" s="24" t="n"/>
      <c r="B2170" s="20" t="n"/>
      <c r="C2170" s="20" t="n"/>
      <c r="D2170" s="23" t="n"/>
      <c r="E2170" s="20" t="n"/>
      <c r="F2170" s="20" t="n"/>
      <c r="G2170" s="25" t="n"/>
      <c r="H2170" s="20" t="n"/>
      <c r="I2170" s="20" t="n"/>
      <c r="J2170" s="20" t="n"/>
      <c r="K2170" s="20" t="n"/>
      <c r="L2170" s="25" t="n"/>
      <c r="M2170" s="20" t="n"/>
      <c r="N2170" s="20" t="n"/>
      <c r="O2170" s="20" t="n"/>
      <c r="P2170" s="20" t="n"/>
      <c r="Q2170" s="26" t="n"/>
      <c r="R2170" s="20" t="n"/>
      <c r="S2170" s="20" t="n"/>
    </row>
    <row r="2171">
      <c r="A2171" s="24" t="n"/>
      <c r="B2171" s="20" t="n"/>
      <c r="C2171" s="20" t="n"/>
      <c r="D2171" s="23" t="n"/>
      <c r="E2171" s="20" t="n"/>
      <c r="F2171" s="20" t="n"/>
      <c r="G2171" s="25" t="n"/>
      <c r="H2171" s="20" t="n"/>
      <c r="I2171" s="20" t="n"/>
      <c r="J2171" s="20" t="n"/>
      <c r="K2171" s="20" t="n"/>
      <c r="L2171" s="25" t="n"/>
      <c r="M2171" s="20" t="n"/>
      <c r="N2171" s="20" t="n"/>
      <c r="O2171" s="20" t="n"/>
      <c r="P2171" s="20" t="n"/>
      <c r="Q2171" s="26" t="n"/>
      <c r="R2171" s="20" t="n"/>
      <c r="S2171" s="20" t="n"/>
    </row>
    <row r="2172">
      <c r="A2172" s="24" t="n"/>
      <c r="B2172" s="20" t="n"/>
      <c r="C2172" s="20" t="n"/>
      <c r="D2172" s="23" t="n"/>
      <c r="E2172" s="20" t="n"/>
      <c r="F2172" s="20" t="n"/>
      <c r="G2172" s="25" t="n"/>
      <c r="H2172" s="20" t="n"/>
      <c r="I2172" s="20" t="n"/>
      <c r="J2172" s="20" t="n"/>
      <c r="K2172" s="20" t="n"/>
      <c r="L2172" s="25" t="n"/>
      <c r="M2172" s="20" t="n"/>
      <c r="N2172" s="20" t="n"/>
      <c r="O2172" s="20" t="n"/>
      <c r="P2172" s="20" t="n"/>
      <c r="Q2172" s="26" t="n"/>
      <c r="R2172" s="20" t="n"/>
      <c r="S2172" s="20" t="n"/>
    </row>
    <row r="2173">
      <c r="A2173" s="24" t="n"/>
      <c r="B2173" s="20" t="n"/>
      <c r="C2173" s="20" t="n"/>
      <c r="D2173" s="23" t="n"/>
      <c r="E2173" s="20" t="n"/>
      <c r="F2173" s="20" t="n"/>
      <c r="G2173" s="25" t="n"/>
      <c r="H2173" s="20" t="n"/>
      <c r="I2173" s="20" t="n"/>
      <c r="J2173" s="20" t="n"/>
      <c r="K2173" s="20" t="n"/>
      <c r="L2173" s="25" t="n"/>
      <c r="M2173" s="20" t="n"/>
      <c r="N2173" s="20" t="n"/>
      <c r="O2173" s="20" t="n"/>
      <c r="P2173" s="20" t="n"/>
      <c r="Q2173" s="26" t="n"/>
      <c r="R2173" s="20" t="n"/>
      <c r="S2173" s="20" t="n"/>
    </row>
    <row r="2174">
      <c r="A2174" s="24" t="n"/>
      <c r="B2174" s="20" t="n"/>
      <c r="C2174" s="20" t="n"/>
      <c r="D2174" s="23" t="n"/>
      <c r="E2174" s="20" t="n"/>
      <c r="F2174" s="20" t="n"/>
      <c r="G2174" s="25" t="n"/>
      <c r="H2174" s="20" t="n"/>
      <c r="I2174" s="20" t="n"/>
      <c r="J2174" s="20" t="n"/>
      <c r="K2174" s="20" t="n"/>
      <c r="L2174" s="25" t="n"/>
      <c r="M2174" s="20" t="n"/>
      <c r="N2174" s="20" t="n"/>
      <c r="O2174" s="20" t="n"/>
      <c r="P2174" s="20" t="n"/>
      <c r="Q2174" s="26" t="n"/>
      <c r="R2174" s="20" t="n"/>
      <c r="S2174" s="20" t="n"/>
    </row>
    <row r="2175">
      <c r="A2175" s="24" t="n"/>
      <c r="B2175" s="20" t="n"/>
      <c r="C2175" s="20" t="n"/>
      <c r="D2175" s="23" t="n"/>
      <c r="E2175" s="20" t="n"/>
      <c r="F2175" s="20" t="n"/>
      <c r="G2175" s="25" t="n"/>
      <c r="H2175" s="20" t="n"/>
      <c r="I2175" s="20" t="n"/>
      <c r="J2175" s="20" t="n"/>
      <c r="K2175" s="20" t="n"/>
      <c r="L2175" s="25" t="n"/>
      <c r="M2175" s="20" t="n"/>
      <c r="N2175" s="20" t="n"/>
      <c r="O2175" s="20" t="n"/>
      <c r="P2175" s="20" t="n"/>
      <c r="Q2175" s="26" t="n"/>
      <c r="R2175" s="20" t="n"/>
      <c r="S2175" s="20" t="n"/>
    </row>
    <row r="2176">
      <c r="A2176" s="24" t="n"/>
      <c r="B2176" s="20" t="n"/>
      <c r="C2176" s="20" t="n"/>
      <c r="D2176" s="23" t="n"/>
      <c r="E2176" s="20" t="n"/>
      <c r="F2176" s="20" t="n"/>
      <c r="G2176" s="25" t="n"/>
      <c r="H2176" s="20" t="n"/>
      <c r="I2176" s="20" t="n"/>
      <c r="J2176" s="20" t="n"/>
      <c r="K2176" s="20" t="n"/>
      <c r="L2176" s="25" t="n"/>
      <c r="M2176" s="20" t="n"/>
      <c r="N2176" s="20" t="n"/>
      <c r="O2176" s="20" t="n"/>
      <c r="P2176" s="20" t="n"/>
      <c r="Q2176" s="26" t="n"/>
      <c r="R2176" s="20" t="n"/>
      <c r="S2176" s="20" t="n"/>
    </row>
    <row r="2177">
      <c r="A2177" s="24" t="n"/>
      <c r="B2177" s="20" t="n"/>
      <c r="C2177" s="20" t="n"/>
      <c r="D2177" s="23" t="n"/>
      <c r="E2177" s="20" t="n"/>
      <c r="F2177" s="20" t="n"/>
      <c r="G2177" s="25" t="n"/>
      <c r="H2177" s="20" t="n"/>
      <c r="I2177" s="20" t="n"/>
      <c r="J2177" s="20" t="n"/>
      <c r="K2177" s="20" t="n"/>
      <c r="L2177" s="25" t="n"/>
      <c r="M2177" s="20" t="n"/>
      <c r="N2177" s="20" t="n"/>
      <c r="O2177" s="20" t="n"/>
      <c r="P2177" s="20" t="n"/>
      <c r="Q2177" s="26" t="n"/>
      <c r="R2177" s="20" t="n"/>
      <c r="S2177" s="20" t="n"/>
    </row>
    <row r="2178">
      <c r="A2178" s="24" t="n"/>
      <c r="B2178" s="20" t="n"/>
      <c r="C2178" s="20" t="n"/>
      <c r="D2178" s="23" t="n"/>
      <c r="E2178" s="20" t="n"/>
      <c r="F2178" s="20" t="n"/>
      <c r="G2178" s="25" t="n"/>
      <c r="H2178" s="20" t="n"/>
      <c r="I2178" s="20" t="n"/>
      <c r="J2178" s="20" t="n"/>
      <c r="K2178" s="20" t="n"/>
      <c r="L2178" s="25" t="n"/>
      <c r="M2178" s="20" t="n"/>
      <c r="N2178" s="20" t="n"/>
      <c r="O2178" s="20" t="n"/>
      <c r="P2178" s="20" t="n"/>
      <c r="Q2178" s="26" t="n"/>
      <c r="R2178" s="20" t="n"/>
      <c r="S2178" s="20" t="n"/>
    </row>
    <row r="2179">
      <c r="A2179" s="24" t="n"/>
      <c r="B2179" s="20" t="n"/>
      <c r="C2179" s="20" t="n"/>
      <c r="D2179" s="23" t="n"/>
      <c r="E2179" s="20" t="n"/>
      <c r="F2179" s="20" t="n"/>
      <c r="G2179" s="25" t="n"/>
      <c r="H2179" s="20" t="n"/>
      <c r="I2179" s="20" t="n"/>
      <c r="J2179" s="20" t="n"/>
      <c r="K2179" s="20" t="n"/>
      <c r="L2179" s="25" t="n"/>
      <c r="M2179" s="20" t="n"/>
      <c r="N2179" s="20" t="n"/>
      <c r="O2179" s="20" t="n"/>
      <c r="P2179" s="20" t="n"/>
      <c r="Q2179" s="26" t="n"/>
      <c r="R2179" s="20" t="n"/>
      <c r="S2179" s="20" t="n"/>
    </row>
    <row r="2180">
      <c r="A2180" s="24" t="n"/>
      <c r="B2180" s="20" t="n"/>
      <c r="C2180" s="20" t="n"/>
      <c r="D2180" s="23" t="n"/>
      <c r="E2180" s="20" t="n"/>
      <c r="F2180" s="20" t="n"/>
      <c r="G2180" s="25" t="n"/>
      <c r="H2180" s="20" t="n"/>
      <c r="I2180" s="20" t="n"/>
      <c r="J2180" s="20" t="n"/>
      <c r="K2180" s="20" t="n"/>
      <c r="L2180" s="25" t="n"/>
      <c r="M2180" s="20" t="n"/>
      <c r="N2180" s="20" t="n"/>
      <c r="O2180" s="20" t="n"/>
      <c r="P2180" s="20" t="n"/>
      <c r="Q2180" s="26" t="n"/>
      <c r="R2180" s="20" t="n"/>
      <c r="S2180" s="20" t="n"/>
    </row>
    <row r="2181">
      <c r="A2181" s="24" t="n"/>
      <c r="B2181" s="20" t="n"/>
      <c r="C2181" s="20" t="n"/>
      <c r="D2181" s="23" t="n"/>
      <c r="E2181" s="20" t="n"/>
      <c r="F2181" s="20" t="n"/>
      <c r="G2181" s="25" t="n"/>
      <c r="H2181" s="20" t="n"/>
      <c r="I2181" s="20" t="n"/>
      <c r="J2181" s="20" t="n"/>
      <c r="K2181" s="20" t="n"/>
      <c r="L2181" s="25" t="n"/>
      <c r="M2181" s="20" t="n"/>
      <c r="N2181" s="20" t="n"/>
      <c r="O2181" s="20" t="n"/>
      <c r="P2181" s="20" t="n"/>
      <c r="Q2181" s="26" t="n"/>
      <c r="R2181" s="20" t="n"/>
      <c r="S2181" s="20" t="n"/>
    </row>
    <row r="2182">
      <c r="A2182" s="24" t="n"/>
      <c r="B2182" s="20" t="n"/>
      <c r="C2182" s="20" t="n"/>
      <c r="D2182" s="23" t="n"/>
      <c r="E2182" s="20" t="n"/>
      <c r="F2182" s="20" t="n"/>
      <c r="G2182" s="25" t="n"/>
      <c r="H2182" s="20" t="n"/>
      <c r="I2182" s="20" t="n"/>
      <c r="J2182" s="20" t="n"/>
      <c r="K2182" s="20" t="n"/>
      <c r="L2182" s="25" t="n"/>
      <c r="M2182" s="20" t="n"/>
      <c r="N2182" s="20" t="n"/>
      <c r="O2182" s="20" t="n"/>
      <c r="P2182" s="20" t="n"/>
      <c r="Q2182" s="26" t="n"/>
      <c r="R2182" s="20" t="n"/>
      <c r="S2182" s="20" t="n"/>
    </row>
    <row r="2183">
      <c r="A2183" s="24" t="n"/>
      <c r="B2183" s="20" t="n"/>
      <c r="C2183" s="20" t="n"/>
      <c r="D2183" s="23" t="n"/>
      <c r="E2183" s="20" t="n"/>
      <c r="F2183" s="20" t="n"/>
      <c r="G2183" s="25" t="n"/>
      <c r="H2183" s="20" t="n"/>
      <c r="I2183" s="20" t="n"/>
      <c r="J2183" s="20" t="n"/>
      <c r="K2183" s="20" t="n"/>
      <c r="L2183" s="25" t="n"/>
      <c r="M2183" s="20" t="n"/>
      <c r="N2183" s="20" t="n"/>
      <c r="O2183" s="20" t="n"/>
      <c r="P2183" s="20" t="n"/>
      <c r="Q2183" s="26" t="n"/>
      <c r="R2183" s="20" t="n"/>
      <c r="S2183" s="20" t="n"/>
    </row>
    <row r="2184">
      <c r="A2184" s="24" t="n"/>
      <c r="B2184" s="20" t="n"/>
      <c r="C2184" s="20" t="n"/>
      <c r="D2184" s="23" t="n"/>
      <c r="E2184" s="20" t="n"/>
      <c r="F2184" s="20" t="n"/>
      <c r="G2184" s="25" t="n"/>
      <c r="H2184" s="20" t="n"/>
      <c r="I2184" s="20" t="n"/>
      <c r="J2184" s="20" t="n"/>
      <c r="K2184" s="20" t="n"/>
      <c r="L2184" s="25" t="n"/>
      <c r="M2184" s="20" t="n"/>
      <c r="N2184" s="20" t="n"/>
      <c r="O2184" s="20" t="n"/>
      <c r="P2184" s="20" t="n"/>
      <c r="Q2184" s="26" t="n"/>
      <c r="R2184" s="20" t="n"/>
      <c r="S2184" s="20" t="n"/>
    </row>
    <row r="2185">
      <c r="A2185" s="24" t="n"/>
      <c r="B2185" s="20" t="n"/>
      <c r="C2185" s="20" t="n"/>
      <c r="D2185" s="23" t="n"/>
      <c r="E2185" s="20" t="n"/>
      <c r="F2185" s="20" t="n"/>
      <c r="G2185" s="25" t="n"/>
      <c r="H2185" s="20" t="n"/>
      <c r="I2185" s="20" t="n"/>
      <c r="J2185" s="20" t="n"/>
      <c r="K2185" s="20" t="n"/>
      <c r="L2185" s="25" t="n"/>
      <c r="M2185" s="20" t="n"/>
      <c r="N2185" s="20" t="n"/>
      <c r="O2185" s="20" t="n"/>
      <c r="P2185" s="20" t="n"/>
      <c r="Q2185" s="26" t="n"/>
      <c r="R2185" s="20" t="n"/>
      <c r="S2185" s="20" t="n"/>
    </row>
    <row r="2186">
      <c r="A2186" s="24" t="n"/>
      <c r="B2186" s="20" t="n"/>
      <c r="C2186" s="20" t="n"/>
      <c r="D2186" s="23" t="n"/>
      <c r="E2186" s="20" t="n"/>
      <c r="F2186" s="20" t="n"/>
      <c r="G2186" s="25" t="n"/>
      <c r="H2186" s="20" t="n"/>
      <c r="I2186" s="20" t="n"/>
      <c r="J2186" s="20" t="n"/>
      <c r="K2186" s="20" t="n"/>
      <c r="L2186" s="25" t="n"/>
      <c r="M2186" s="20" t="n"/>
      <c r="N2186" s="20" t="n"/>
      <c r="O2186" s="20" t="n"/>
      <c r="P2186" s="20" t="n"/>
      <c r="Q2186" s="26" t="n"/>
      <c r="R2186" s="20" t="n"/>
      <c r="S2186" s="20" t="n"/>
    </row>
    <row r="2187">
      <c r="A2187" s="24" t="n"/>
      <c r="B2187" s="20" t="n"/>
      <c r="C2187" s="20" t="n"/>
      <c r="D2187" s="23" t="n"/>
      <c r="E2187" s="20" t="n"/>
      <c r="F2187" s="20" t="n"/>
      <c r="G2187" s="25" t="n"/>
      <c r="H2187" s="20" t="n"/>
      <c r="I2187" s="20" t="n"/>
      <c r="J2187" s="20" t="n"/>
      <c r="K2187" s="20" t="n"/>
      <c r="L2187" s="25" t="n"/>
      <c r="M2187" s="20" t="n"/>
      <c r="N2187" s="20" t="n"/>
      <c r="O2187" s="20" t="n"/>
      <c r="P2187" s="20" t="n"/>
      <c r="Q2187" s="26" t="n"/>
      <c r="R2187" s="20" t="n"/>
      <c r="S2187" s="20" t="n"/>
    </row>
    <row r="2188">
      <c r="A2188" s="24" t="n"/>
      <c r="B2188" s="20" t="n"/>
      <c r="C2188" s="20" t="n"/>
      <c r="D2188" s="23" t="n"/>
      <c r="E2188" s="20" t="n"/>
      <c r="F2188" s="20" t="n"/>
      <c r="G2188" s="25" t="n"/>
      <c r="H2188" s="20" t="n"/>
      <c r="I2188" s="20" t="n"/>
      <c r="J2188" s="20" t="n"/>
      <c r="K2188" s="20" t="n"/>
      <c r="L2188" s="25" t="n"/>
      <c r="M2188" s="20" t="n"/>
      <c r="N2188" s="20" t="n"/>
      <c r="O2188" s="20" t="n"/>
      <c r="P2188" s="20" t="n"/>
      <c r="Q2188" s="26" t="n"/>
      <c r="R2188" s="20" t="n"/>
      <c r="S2188" s="20" t="n"/>
    </row>
    <row r="2189">
      <c r="A2189" s="24" t="n"/>
      <c r="B2189" s="20" t="n"/>
      <c r="C2189" s="20" t="n"/>
      <c r="D2189" s="23" t="n"/>
      <c r="E2189" s="20" t="n"/>
      <c r="F2189" s="20" t="n"/>
      <c r="G2189" s="25" t="n"/>
      <c r="H2189" s="20" t="n"/>
      <c r="I2189" s="20" t="n"/>
      <c r="J2189" s="20" t="n"/>
      <c r="K2189" s="20" t="n"/>
      <c r="L2189" s="25" t="n"/>
      <c r="M2189" s="20" t="n"/>
      <c r="N2189" s="20" t="n"/>
      <c r="O2189" s="20" t="n"/>
      <c r="P2189" s="20" t="n"/>
      <c r="Q2189" s="26" t="n"/>
      <c r="R2189" s="20" t="n"/>
      <c r="S2189" s="20" t="n"/>
    </row>
    <row r="2190">
      <c r="A2190" s="24" t="n"/>
      <c r="B2190" s="20" t="n"/>
      <c r="C2190" s="20" t="n"/>
      <c r="D2190" s="23" t="n"/>
      <c r="E2190" s="20" t="n"/>
      <c r="F2190" s="20" t="n"/>
      <c r="G2190" s="25" t="n"/>
      <c r="H2190" s="20" t="n"/>
      <c r="I2190" s="20" t="n"/>
      <c r="J2190" s="20" t="n"/>
      <c r="K2190" s="20" t="n"/>
      <c r="L2190" s="25" t="n"/>
      <c r="M2190" s="20" t="n"/>
      <c r="N2190" s="20" t="n"/>
      <c r="O2190" s="20" t="n"/>
      <c r="P2190" s="20" t="n"/>
      <c r="Q2190" s="26" t="n"/>
      <c r="R2190" s="20" t="n"/>
      <c r="S2190" s="20" t="n"/>
    </row>
    <row r="2191">
      <c r="A2191" s="24" t="n"/>
      <c r="B2191" s="20" t="n"/>
      <c r="C2191" s="20" t="n"/>
      <c r="D2191" s="23" t="n"/>
      <c r="E2191" s="20" t="n"/>
      <c r="F2191" s="20" t="n"/>
      <c r="G2191" s="25" t="n"/>
      <c r="H2191" s="20" t="n"/>
      <c r="I2191" s="20" t="n"/>
      <c r="J2191" s="20" t="n"/>
      <c r="K2191" s="20" t="n"/>
      <c r="L2191" s="25" t="n"/>
      <c r="M2191" s="20" t="n"/>
      <c r="N2191" s="20" t="n"/>
      <c r="O2191" s="20" t="n"/>
      <c r="P2191" s="20" t="n"/>
      <c r="Q2191" s="26" t="n"/>
      <c r="R2191" s="20" t="n"/>
      <c r="S2191" s="20" t="n"/>
    </row>
    <row r="2192">
      <c r="A2192" s="24" t="n"/>
      <c r="B2192" s="20" t="n"/>
      <c r="C2192" s="20" t="n"/>
      <c r="D2192" s="23" t="n"/>
      <c r="E2192" s="20" t="n"/>
      <c r="F2192" s="20" t="n"/>
      <c r="G2192" s="25" t="n"/>
      <c r="H2192" s="20" t="n"/>
      <c r="I2192" s="20" t="n"/>
      <c r="J2192" s="20" t="n"/>
      <c r="K2192" s="20" t="n"/>
      <c r="L2192" s="25" t="n"/>
      <c r="M2192" s="20" t="n"/>
      <c r="N2192" s="20" t="n"/>
      <c r="O2192" s="20" t="n"/>
      <c r="P2192" s="20" t="n"/>
      <c r="Q2192" s="26" t="n"/>
      <c r="R2192" s="20" t="n"/>
      <c r="S2192" s="20" t="n"/>
    </row>
    <row r="2193">
      <c r="A2193" s="24" t="n"/>
      <c r="B2193" s="20" t="n"/>
      <c r="C2193" s="20" t="n"/>
      <c r="D2193" s="23" t="n"/>
      <c r="E2193" s="20" t="n"/>
      <c r="F2193" s="20" t="n"/>
      <c r="G2193" s="25" t="n"/>
      <c r="H2193" s="20" t="n"/>
      <c r="I2193" s="20" t="n"/>
      <c r="J2193" s="20" t="n"/>
      <c r="K2193" s="20" t="n"/>
      <c r="L2193" s="25" t="n"/>
      <c r="M2193" s="20" t="n"/>
      <c r="N2193" s="20" t="n"/>
      <c r="O2193" s="20" t="n"/>
      <c r="P2193" s="20" t="n"/>
      <c r="Q2193" s="26" t="n"/>
      <c r="R2193" s="20" t="n"/>
      <c r="S2193" s="20" t="n"/>
    </row>
    <row r="2194">
      <c r="A2194" s="24" t="n"/>
      <c r="B2194" s="20" t="n"/>
      <c r="C2194" s="20" t="n"/>
      <c r="D2194" s="23" t="n"/>
      <c r="E2194" s="20" t="n"/>
      <c r="F2194" s="20" t="n"/>
      <c r="G2194" s="25" t="n"/>
      <c r="H2194" s="20" t="n"/>
      <c r="I2194" s="20" t="n"/>
      <c r="J2194" s="20" t="n"/>
      <c r="K2194" s="20" t="n"/>
      <c r="L2194" s="25" t="n"/>
      <c r="M2194" s="20" t="n"/>
      <c r="N2194" s="20" t="n"/>
      <c r="O2194" s="20" t="n"/>
      <c r="P2194" s="20" t="n"/>
      <c r="Q2194" s="26" t="n"/>
      <c r="R2194" s="20" t="n"/>
      <c r="S2194" s="20" t="n"/>
    </row>
    <row r="2195">
      <c r="A2195" s="24" t="n"/>
      <c r="B2195" s="20" t="n"/>
      <c r="C2195" s="20" t="n"/>
      <c r="D2195" s="23" t="n"/>
      <c r="E2195" s="20" t="n"/>
      <c r="F2195" s="20" t="n"/>
      <c r="G2195" s="25" t="n"/>
      <c r="H2195" s="20" t="n"/>
      <c r="I2195" s="20" t="n"/>
      <c r="J2195" s="20" t="n"/>
      <c r="K2195" s="20" t="n"/>
      <c r="L2195" s="25" t="n"/>
      <c r="M2195" s="20" t="n"/>
      <c r="N2195" s="20" t="n"/>
      <c r="O2195" s="20" t="n"/>
      <c r="P2195" s="20" t="n"/>
      <c r="Q2195" s="26" t="n"/>
      <c r="R2195" s="20" t="n"/>
      <c r="S2195" s="20" t="n"/>
    </row>
    <row r="2196">
      <c r="A2196" s="24" t="n"/>
      <c r="B2196" s="20" t="n"/>
      <c r="C2196" s="20" t="n"/>
      <c r="D2196" s="23" t="n"/>
      <c r="E2196" s="20" t="n"/>
      <c r="F2196" s="20" t="n"/>
      <c r="G2196" s="25" t="n"/>
      <c r="H2196" s="20" t="n"/>
      <c r="I2196" s="20" t="n"/>
      <c r="J2196" s="20" t="n"/>
      <c r="K2196" s="20" t="n"/>
      <c r="L2196" s="25" t="n"/>
      <c r="M2196" s="20" t="n"/>
      <c r="N2196" s="20" t="n"/>
      <c r="O2196" s="20" t="n"/>
      <c r="P2196" s="20" t="n"/>
      <c r="Q2196" s="26" t="n"/>
      <c r="R2196" s="20" t="n"/>
      <c r="S2196" s="20" t="n"/>
    </row>
    <row r="2197">
      <c r="A2197" s="24" t="n"/>
      <c r="B2197" s="20" t="n"/>
      <c r="C2197" s="20" t="n"/>
      <c r="D2197" s="23" t="n"/>
      <c r="E2197" s="20" t="n"/>
      <c r="F2197" s="20" t="n"/>
      <c r="G2197" s="25" t="n"/>
      <c r="H2197" s="20" t="n"/>
      <c r="I2197" s="20" t="n"/>
      <c r="J2197" s="20" t="n"/>
      <c r="K2197" s="20" t="n"/>
      <c r="L2197" s="25" t="n"/>
      <c r="M2197" s="20" t="n"/>
      <c r="N2197" s="20" t="n"/>
      <c r="O2197" s="20" t="n"/>
      <c r="P2197" s="20" t="n"/>
      <c r="Q2197" s="26" t="n"/>
      <c r="R2197" s="20" t="n"/>
      <c r="S2197" s="20" t="n"/>
    </row>
    <row r="2198">
      <c r="A2198" s="24" t="n"/>
      <c r="B2198" s="20" t="n"/>
      <c r="C2198" s="20" t="n"/>
      <c r="D2198" s="23" t="n"/>
      <c r="E2198" s="20" t="n"/>
      <c r="F2198" s="20" t="n"/>
      <c r="G2198" s="25" t="n"/>
      <c r="H2198" s="20" t="n"/>
      <c r="I2198" s="20" t="n"/>
      <c r="J2198" s="20" t="n"/>
      <c r="K2198" s="20" t="n"/>
      <c r="L2198" s="25" t="n"/>
      <c r="M2198" s="20" t="n"/>
      <c r="N2198" s="20" t="n"/>
      <c r="O2198" s="20" t="n"/>
      <c r="P2198" s="20" t="n"/>
      <c r="Q2198" s="26" t="n"/>
      <c r="R2198" s="20" t="n"/>
      <c r="S2198" s="20" t="n"/>
    </row>
    <row r="2199">
      <c r="A2199" s="24" t="n"/>
      <c r="B2199" s="20" t="n"/>
      <c r="C2199" s="20" t="n"/>
      <c r="D2199" s="23" t="n"/>
      <c r="E2199" s="20" t="n"/>
      <c r="F2199" s="20" t="n"/>
      <c r="G2199" s="25" t="n"/>
      <c r="H2199" s="20" t="n"/>
      <c r="I2199" s="20" t="n"/>
      <c r="J2199" s="20" t="n"/>
      <c r="K2199" s="20" t="n"/>
      <c r="L2199" s="25" t="n"/>
      <c r="M2199" s="20" t="n"/>
      <c r="N2199" s="20" t="n"/>
      <c r="O2199" s="20" t="n"/>
      <c r="P2199" s="20" t="n"/>
      <c r="Q2199" s="26" t="n"/>
      <c r="R2199" s="20" t="n"/>
      <c r="S2199" s="20" t="n"/>
    </row>
    <row r="2200">
      <c r="A2200" s="24" t="n"/>
      <c r="B2200" s="20" t="n"/>
      <c r="C2200" s="20" t="n"/>
      <c r="D2200" s="23" t="n"/>
      <c r="E2200" s="20" t="n"/>
      <c r="F2200" s="20" t="n"/>
      <c r="G2200" s="25" t="n"/>
      <c r="H2200" s="20" t="n"/>
      <c r="I2200" s="20" t="n"/>
      <c r="J2200" s="20" t="n"/>
      <c r="K2200" s="20" t="n"/>
      <c r="L2200" s="25" t="n"/>
      <c r="M2200" s="20" t="n"/>
      <c r="N2200" s="20" t="n"/>
      <c r="O2200" s="20" t="n"/>
      <c r="P2200" s="20" t="n"/>
      <c r="Q2200" s="26" t="n"/>
      <c r="R2200" s="20" t="n"/>
      <c r="S2200" s="20" t="n"/>
    </row>
    <row r="2201">
      <c r="A2201" s="24" t="n"/>
      <c r="B2201" s="20" t="n"/>
      <c r="C2201" s="20" t="n"/>
      <c r="D2201" s="23" t="n"/>
      <c r="E2201" s="20" t="n"/>
      <c r="F2201" s="20" t="n"/>
      <c r="G2201" s="25" t="n"/>
      <c r="H2201" s="20" t="n"/>
      <c r="I2201" s="20" t="n"/>
      <c r="J2201" s="20" t="n"/>
      <c r="K2201" s="20" t="n"/>
      <c r="L2201" s="25" t="n"/>
      <c r="M2201" s="20" t="n"/>
      <c r="N2201" s="20" t="n"/>
      <c r="O2201" s="20" t="n"/>
      <c r="P2201" s="20" t="n"/>
      <c r="Q2201" s="26" t="n"/>
      <c r="R2201" s="20" t="n"/>
      <c r="S2201" s="20" t="n"/>
    </row>
    <row r="2202">
      <c r="A2202" s="24" t="n"/>
      <c r="B2202" s="20" t="n"/>
      <c r="C2202" s="20" t="n"/>
      <c r="D2202" s="23" t="n"/>
      <c r="E2202" s="20" t="n"/>
      <c r="F2202" s="20" t="n"/>
      <c r="G2202" s="25" t="n"/>
      <c r="H2202" s="20" t="n"/>
      <c r="I2202" s="20" t="n"/>
      <c r="J2202" s="20" t="n"/>
      <c r="K2202" s="20" t="n"/>
      <c r="L2202" s="25" t="n"/>
      <c r="M2202" s="20" t="n"/>
      <c r="N2202" s="20" t="n"/>
      <c r="O2202" s="20" t="n"/>
      <c r="P2202" s="20" t="n"/>
      <c r="Q2202" s="26" t="n"/>
      <c r="R2202" s="20" t="n"/>
      <c r="S2202" s="20" t="n"/>
    </row>
    <row r="2203">
      <c r="A2203" s="24" t="n"/>
      <c r="B2203" s="20" t="n"/>
      <c r="C2203" s="20" t="n"/>
      <c r="D2203" s="23" t="n"/>
      <c r="E2203" s="20" t="n"/>
      <c r="F2203" s="20" t="n"/>
      <c r="G2203" s="25" t="n"/>
      <c r="H2203" s="20" t="n"/>
      <c r="I2203" s="20" t="n"/>
      <c r="J2203" s="20" t="n"/>
      <c r="K2203" s="20" t="n"/>
      <c r="L2203" s="25" t="n"/>
      <c r="M2203" s="20" t="n"/>
      <c r="N2203" s="20" t="n"/>
      <c r="O2203" s="20" t="n"/>
      <c r="P2203" s="20" t="n"/>
      <c r="Q2203" s="26" t="n"/>
      <c r="R2203" s="20" t="n"/>
      <c r="S2203" s="20" t="n"/>
    </row>
    <row r="2204">
      <c r="A2204" s="24" t="n"/>
      <c r="B2204" s="20" t="n"/>
      <c r="C2204" s="20" t="n"/>
      <c r="D2204" s="23" t="n"/>
      <c r="E2204" s="20" t="n"/>
      <c r="F2204" s="20" t="n"/>
      <c r="G2204" s="25" t="n"/>
      <c r="H2204" s="20" t="n"/>
      <c r="I2204" s="20" t="n"/>
      <c r="J2204" s="20" t="n"/>
      <c r="K2204" s="20" t="n"/>
      <c r="L2204" s="25" t="n"/>
      <c r="M2204" s="20" t="n"/>
      <c r="N2204" s="20" t="n"/>
      <c r="O2204" s="20" t="n"/>
      <c r="P2204" s="20" t="n"/>
      <c r="Q2204" s="26" t="n"/>
      <c r="R2204" s="20" t="n"/>
      <c r="S2204" s="20" t="n"/>
    </row>
    <row r="2205">
      <c r="A2205" s="24" t="n"/>
      <c r="B2205" s="20" t="n"/>
      <c r="C2205" s="20" t="n"/>
      <c r="D2205" s="23" t="n"/>
      <c r="E2205" s="20" t="n"/>
      <c r="F2205" s="20" t="n"/>
      <c r="G2205" s="25" t="n"/>
      <c r="H2205" s="20" t="n"/>
      <c r="I2205" s="20" t="n"/>
      <c r="J2205" s="20" t="n"/>
      <c r="K2205" s="20" t="n"/>
      <c r="L2205" s="25" t="n"/>
      <c r="M2205" s="20" t="n"/>
      <c r="N2205" s="20" t="n"/>
      <c r="O2205" s="20" t="n"/>
      <c r="P2205" s="20" t="n"/>
      <c r="Q2205" s="26" t="n"/>
      <c r="R2205" s="20" t="n"/>
      <c r="S2205" s="20" t="n"/>
    </row>
    <row r="2206">
      <c r="A2206" s="24" t="n"/>
      <c r="B2206" s="20" t="n"/>
      <c r="C2206" s="20" t="n"/>
      <c r="D2206" s="23" t="n"/>
      <c r="E2206" s="20" t="n"/>
      <c r="F2206" s="20" t="n"/>
      <c r="G2206" s="25" t="n"/>
      <c r="H2206" s="20" t="n"/>
      <c r="I2206" s="20" t="n"/>
      <c r="J2206" s="20" t="n"/>
      <c r="K2206" s="20" t="n"/>
      <c r="L2206" s="25" t="n"/>
      <c r="M2206" s="20" t="n"/>
      <c r="N2206" s="20" t="n"/>
      <c r="O2206" s="20" t="n"/>
      <c r="P2206" s="20" t="n"/>
      <c r="Q2206" s="26" t="n"/>
      <c r="R2206" s="20" t="n"/>
      <c r="S2206" s="20" t="n"/>
    </row>
    <row r="2207">
      <c r="A2207" s="24" t="n"/>
      <c r="B2207" s="20" t="n"/>
      <c r="C2207" s="20" t="n"/>
      <c r="D2207" s="23" t="n"/>
      <c r="E2207" s="20" t="n"/>
      <c r="F2207" s="20" t="n"/>
      <c r="G2207" s="25" t="n"/>
      <c r="H2207" s="20" t="n"/>
      <c r="I2207" s="20" t="n"/>
      <c r="J2207" s="20" t="n"/>
      <c r="K2207" s="20" t="n"/>
      <c r="L2207" s="25" t="n"/>
      <c r="M2207" s="20" t="n"/>
      <c r="N2207" s="20" t="n"/>
      <c r="O2207" s="20" t="n"/>
      <c r="P2207" s="20" t="n"/>
      <c r="Q2207" s="26" t="n"/>
      <c r="R2207" s="20" t="n"/>
      <c r="S2207" s="20" t="n"/>
    </row>
    <row r="2208">
      <c r="A2208" s="24" t="n"/>
      <c r="B2208" s="20" t="n"/>
      <c r="C2208" s="20" t="n"/>
      <c r="D2208" s="23" t="n"/>
      <c r="E2208" s="20" t="n"/>
      <c r="F2208" s="20" t="n"/>
      <c r="G2208" s="25" t="n"/>
      <c r="H2208" s="20" t="n"/>
      <c r="I2208" s="20" t="n"/>
      <c r="J2208" s="20" t="n"/>
      <c r="K2208" s="20" t="n"/>
      <c r="L2208" s="25" t="n"/>
      <c r="M2208" s="20" t="n"/>
      <c r="N2208" s="20" t="n"/>
      <c r="O2208" s="20" t="n"/>
      <c r="P2208" s="20" t="n"/>
      <c r="Q2208" s="26" t="n"/>
      <c r="R2208" s="20" t="n"/>
      <c r="S2208" s="20" t="n"/>
    </row>
    <row r="2209">
      <c r="A2209" s="24" t="n"/>
      <c r="B2209" s="20" t="n"/>
      <c r="C2209" s="20" t="n"/>
      <c r="D2209" s="23" t="n"/>
      <c r="E2209" s="20" t="n"/>
      <c r="F2209" s="20" t="n"/>
      <c r="G2209" s="25" t="n"/>
      <c r="H2209" s="20" t="n"/>
      <c r="I2209" s="20" t="n"/>
      <c r="J2209" s="20" t="n"/>
      <c r="K2209" s="20" t="n"/>
      <c r="L2209" s="25" t="n"/>
      <c r="M2209" s="20" t="n"/>
      <c r="N2209" s="20" t="n"/>
      <c r="O2209" s="20" t="n"/>
      <c r="P2209" s="20" t="n"/>
      <c r="Q2209" s="26" t="n"/>
      <c r="R2209" s="20" t="n"/>
      <c r="S2209" s="20" t="n"/>
    </row>
    <row r="2210">
      <c r="A2210" s="24" t="n"/>
      <c r="B2210" s="20" t="n"/>
      <c r="C2210" s="20" t="n"/>
      <c r="D2210" s="23" t="n"/>
      <c r="E2210" s="20" t="n"/>
      <c r="F2210" s="20" t="n"/>
      <c r="G2210" s="25" t="n"/>
      <c r="H2210" s="20" t="n"/>
      <c r="I2210" s="20" t="n"/>
      <c r="J2210" s="20" t="n"/>
      <c r="K2210" s="20" t="n"/>
      <c r="L2210" s="25" t="n"/>
      <c r="M2210" s="20" t="n"/>
      <c r="N2210" s="20" t="n"/>
      <c r="O2210" s="20" t="n"/>
      <c r="P2210" s="20" t="n"/>
      <c r="Q2210" s="26" t="n"/>
      <c r="R2210" s="20" t="n"/>
      <c r="S2210" s="20" t="n"/>
    </row>
    <row r="2211">
      <c r="A2211" s="24" t="n"/>
      <c r="B2211" s="20" t="n"/>
      <c r="C2211" s="20" t="n"/>
      <c r="D2211" s="23" t="n"/>
      <c r="E2211" s="20" t="n"/>
      <c r="F2211" s="20" t="n"/>
      <c r="G2211" s="25" t="n"/>
      <c r="H2211" s="20" t="n"/>
      <c r="I2211" s="20" t="n"/>
      <c r="J2211" s="20" t="n"/>
      <c r="K2211" s="20" t="n"/>
      <c r="L2211" s="25" t="n"/>
      <c r="M2211" s="20" t="n"/>
      <c r="N2211" s="20" t="n"/>
      <c r="O2211" s="20" t="n"/>
      <c r="P2211" s="20" t="n"/>
      <c r="Q2211" s="26" t="n"/>
      <c r="R2211" s="20" t="n"/>
      <c r="S2211" s="20" t="n"/>
    </row>
    <row r="2212">
      <c r="A2212" s="24" t="n"/>
      <c r="B2212" s="20" t="n"/>
      <c r="C2212" s="20" t="n"/>
      <c r="D2212" s="23" t="n"/>
      <c r="E2212" s="20" t="n"/>
      <c r="F2212" s="20" t="n"/>
      <c r="G2212" s="25" t="n"/>
      <c r="H2212" s="20" t="n"/>
      <c r="I2212" s="20" t="n"/>
      <c r="J2212" s="20" t="n"/>
      <c r="K2212" s="20" t="n"/>
      <c r="L2212" s="25" t="n"/>
      <c r="M2212" s="20" t="n"/>
      <c r="N2212" s="20" t="n"/>
      <c r="O2212" s="20" t="n"/>
      <c r="P2212" s="20" t="n"/>
      <c r="Q2212" s="26" t="n"/>
      <c r="R2212" s="20" t="n"/>
      <c r="S2212" s="20" t="n"/>
    </row>
    <row r="2213">
      <c r="A2213" s="24" t="n"/>
      <c r="B2213" s="20" t="n"/>
      <c r="C2213" s="20" t="n"/>
      <c r="D2213" s="23" t="n"/>
      <c r="E2213" s="20" t="n"/>
      <c r="F2213" s="20" t="n"/>
      <c r="G2213" s="25" t="n"/>
      <c r="H2213" s="20" t="n"/>
      <c r="I2213" s="20" t="n"/>
      <c r="J2213" s="20" t="n"/>
      <c r="K2213" s="20" t="n"/>
      <c r="L2213" s="25" t="n"/>
      <c r="M2213" s="20" t="n"/>
      <c r="N2213" s="20" t="n"/>
      <c r="O2213" s="20" t="n"/>
      <c r="P2213" s="20" t="n"/>
      <c r="Q2213" s="26" t="n"/>
      <c r="R2213" s="20" t="n"/>
      <c r="S2213" s="20" t="n"/>
    </row>
    <row r="2214">
      <c r="A2214" s="24" t="n"/>
      <c r="B2214" s="20" t="n"/>
      <c r="C2214" s="20" t="n"/>
      <c r="D2214" s="23" t="n"/>
      <c r="E2214" s="20" t="n"/>
      <c r="F2214" s="20" t="n"/>
      <c r="G2214" s="25" t="n"/>
      <c r="H2214" s="20" t="n"/>
      <c r="I2214" s="20" t="n"/>
      <c r="J2214" s="20" t="n"/>
      <c r="K2214" s="20" t="n"/>
      <c r="L2214" s="25" t="n"/>
      <c r="M2214" s="20" t="n"/>
      <c r="N2214" s="20" t="n"/>
      <c r="O2214" s="20" t="n"/>
      <c r="P2214" s="20" t="n"/>
      <c r="Q2214" s="26" t="n"/>
      <c r="R2214" s="20" t="n"/>
      <c r="S2214" s="20" t="n"/>
    </row>
    <row r="2215">
      <c r="A2215" s="24" t="n"/>
      <c r="B2215" s="20" t="n"/>
      <c r="C2215" s="20" t="n"/>
      <c r="D2215" s="23" t="n"/>
      <c r="E2215" s="20" t="n"/>
      <c r="F2215" s="20" t="n"/>
      <c r="G2215" s="25" t="n"/>
      <c r="H2215" s="20" t="n"/>
      <c r="I2215" s="20" t="n"/>
      <c r="J2215" s="20" t="n"/>
      <c r="K2215" s="20" t="n"/>
      <c r="L2215" s="25" t="n"/>
      <c r="M2215" s="20" t="n"/>
      <c r="N2215" s="20" t="n"/>
      <c r="O2215" s="20" t="n"/>
      <c r="P2215" s="20" t="n"/>
      <c r="Q2215" s="26" t="n"/>
      <c r="R2215" s="20" t="n"/>
      <c r="S2215" s="20" t="n"/>
    </row>
    <row r="2216">
      <c r="A2216" s="24" t="n"/>
      <c r="B2216" s="20" t="n"/>
      <c r="C2216" s="20" t="n"/>
      <c r="D2216" s="23" t="n"/>
      <c r="E2216" s="20" t="n"/>
      <c r="F2216" s="20" t="n"/>
      <c r="G2216" s="25" t="n"/>
      <c r="H2216" s="20" t="n"/>
      <c r="I2216" s="20" t="n"/>
      <c r="J2216" s="20" t="n"/>
      <c r="K2216" s="20" t="n"/>
      <c r="L2216" s="25" t="n"/>
      <c r="M2216" s="20" t="n"/>
      <c r="N2216" s="20" t="n"/>
      <c r="O2216" s="20" t="n"/>
      <c r="P2216" s="20" t="n"/>
      <c r="Q2216" s="26" t="n"/>
      <c r="R2216" s="20" t="n"/>
      <c r="S2216" s="20" t="n"/>
    </row>
    <row r="2217">
      <c r="A2217" s="24" t="n"/>
      <c r="B2217" s="20" t="n"/>
      <c r="C2217" s="20" t="n"/>
      <c r="D2217" s="23" t="n"/>
      <c r="E2217" s="20" t="n"/>
      <c r="F2217" s="20" t="n"/>
      <c r="G2217" s="25" t="n"/>
      <c r="H2217" s="20" t="n"/>
      <c r="I2217" s="20" t="n"/>
      <c r="J2217" s="20" t="n"/>
      <c r="K2217" s="20" t="n"/>
      <c r="L2217" s="25" t="n"/>
      <c r="M2217" s="20" t="n"/>
      <c r="N2217" s="20" t="n"/>
      <c r="O2217" s="20" t="n"/>
      <c r="P2217" s="20" t="n"/>
      <c r="Q2217" s="26" t="n"/>
      <c r="R2217" s="20" t="n"/>
      <c r="S2217" s="20" t="n"/>
    </row>
    <row r="2218">
      <c r="A2218" s="24" t="n"/>
      <c r="B2218" s="20" t="n"/>
      <c r="C2218" s="20" t="n"/>
      <c r="D2218" s="23" t="n"/>
      <c r="E2218" s="20" t="n"/>
      <c r="F2218" s="20" t="n"/>
      <c r="G2218" s="25" t="n"/>
      <c r="H2218" s="20" t="n"/>
      <c r="I2218" s="20" t="n"/>
      <c r="J2218" s="20" t="n"/>
      <c r="K2218" s="20" t="n"/>
      <c r="L2218" s="25" t="n"/>
      <c r="M2218" s="20" t="n"/>
      <c r="N2218" s="20" t="n"/>
      <c r="O2218" s="20" t="n"/>
      <c r="P2218" s="20" t="n"/>
      <c r="Q2218" s="26" t="n"/>
      <c r="R2218" s="20" t="n"/>
      <c r="S2218" s="20" t="n"/>
    </row>
    <row r="2219">
      <c r="A2219" s="24" t="n"/>
      <c r="B2219" s="20" t="n"/>
      <c r="C2219" s="20" t="n"/>
      <c r="D2219" s="23" t="n"/>
      <c r="E2219" s="20" t="n"/>
      <c r="F2219" s="20" t="n"/>
      <c r="G2219" s="25" t="n"/>
      <c r="H2219" s="20" t="n"/>
      <c r="I2219" s="20" t="n"/>
      <c r="J2219" s="20" t="n"/>
      <c r="K2219" s="20" t="n"/>
      <c r="L2219" s="25" t="n"/>
      <c r="M2219" s="20" t="n"/>
      <c r="N2219" s="20" t="n"/>
      <c r="O2219" s="20" t="n"/>
      <c r="P2219" s="20" t="n"/>
      <c r="Q2219" s="26" t="n"/>
      <c r="R2219" s="20" t="n"/>
      <c r="S2219" s="20" t="n"/>
    </row>
    <row r="2220">
      <c r="A2220" s="24" t="n"/>
      <c r="B2220" s="20" t="n"/>
      <c r="C2220" s="20" t="n"/>
      <c r="D2220" s="23" t="n"/>
      <c r="E2220" s="20" t="n"/>
      <c r="F2220" s="20" t="n"/>
      <c r="G2220" s="25" t="n"/>
      <c r="H2220" s="20" t="n"/>
      <c r="I2220" s="20" t="n"/>
      <c r="J2220" s="20" t="n"/>
      <c r="K2220" s="20" t="n"/>
      <c r="L2220" s="25" t="n"/>
      <c r="M2220" s="20" t="n"/>
      <c r="N2220" s="20" t="n"/>
      <c r="O2220" s="20" t="n"/>
      <c r="P2220" s="20" t="n"/>
      <c r="Q2220" s="26" t="n"/>
      <c r="R2220" s="20" t="n"/>
      <c r="S2220" s="20" t="n"/>
    </row>
    <row r="2221">
      <c r="A2221" s="24" t="n"/>
      <c r="B2221" s="20" t="n"/>
      <c r="C2221" s="20" t="n"/>
      <c r="D2221" s="23" t="n"/>
      <c r="E2221" s="20" t="n"/>
      <c r="F2221" s="20" t="n"/>
      <c r="G2221" s="25" t="n"/>
      <c r="H2221" s="20" t="n"/>
      <c r="I2221" s="20" t="n"/>
      <c r="J2221" s="20" t="n"/>
      <c r="K2221" s="20" t="n"/>
      <c r="L2221" s="25" t="n"/>
      <c r="M2221" s="20" t="n"/>
      <c r="N2221" s="20" t="n"/>
      <c r="O2221" s="20" t="n"/>
      <c r="P2221" s="20" t="n"/>
      <c r="Q2221" s="26" t="n"/>
      <c r="R2221" s="20" t="n"/>
      <c r="S2221" s="20" t="n"/>
    </row>
    <row r="2222">
      <c r="A2222" s="24" t="n"/>
      <c r="B2222" s="20" t="n"/>
      <c r="C2222" s="20" t="n"/>
      <c r="D2222" s="23" t="n"/>
      <c r="E2222" s="20" t="n"/>
      <c r="F2222" s="20" t="n"/>
      <c r="G2222" s="25" t="n"/>
      <c r="H2222" s="20" t="n"/>
      <c r="I2222" s="20" t="n"/>
      <c r="J2222" s="20" t="n"/>
      <c r="K2222" s="20" t="n"/>
      <c r="L2222" s="25" t="n"/>
      <c r="M2222" s="20" t="n"/>
      <c r="N2222" s="20" t="n"/>
      <c r="O2222" s="20" t="n"/>
      <c r="P2222" s="20" t="n"/>
      <c r="Q2222" s="26" t="n"/>
      <c r="R2222" s="20" t="n"/>
      <c r="S2222" s="20" t="n"/>
    </row>
    <row r="2223">
      <c r="A2223" s="24" t="n"/>
      <c r="B2223" s="20" t="n"/>
      <c r="C2223" s="20" t="n"/>
      <c r="D2223" s="23" t="n"/>
      <c r="E2223" s="20" t="n"/>
      <c r="F2223" s="20" t="n"/>
      <c r="G2223" s="25" t="n"/>
      <c r="H2223" s="20" t="n"/>
      <c r="I2223" s="20" t="n"/>
      <c r="J2223" s="20" t="n"/>
      <c r="K2223" s="20" t="n"/>
      <c r="L2223" s="25" t="n"/>
      <c r="M2223" s="20" t="n"/>
      <c r="N2223" s="20" t="n"/>
      <c r="O2223" s="20" t="n"/>
      <c r="P2223" s="20" t="n"/>
      <c r="Q2223" s="26" t="n"/>
      <c r="R2223" s="20" t="n"/>
      <c r="S2223" s="20" t="n"/>
    </row>
    <row r="2224">
      <c r="A2224" s="24" t="n"/>
      <c r="B2224" s="20" t="n"/>
      <c r="C2224" s="20" t="n"/>
      <c r="D2224" s="23" t="n"/>
      <c r="E2224" s="20" t="n"/>
      <c r="F2224" s="20" t="n"/>
      <c r="G2224" s="25" t="n"/>
      <c r="H2224" s="20" t="n"/>
      <c r="I2224" s="20" t="n"/>
      <c r="J2224" s="20" t="n"/>
      <c r="K2224" s="20" t="n"/>
      <c r="L2224" s="25" t="n"/>
      <c r="M2224" s="20" t="n"/>
      <c r="N2224" s="20" t="n"/>
      <c r="O2224" s="20" t="n"/>
      <c r="P2224" s="20" t="n"/>
      <c r="Q2224" s="26" t="n"/>
      <c r="R2224" s="20" t="n"/>
      <c r="S2224" s="20" t="n"/>
    </row>
    <row r="2225">
      <c r="A2225" s="24" t="n"/>
      <c r="B2225" s="20" t="n"/>
      <c r="C2225" s="20" t="n"/>
      <c r="D2225" s="23" t="n"/>
      <c r="E2225" s="20" t="n"/>
      <c r="F2225" s="20" t="n"/>
      <c r="G2225" s="25" t="n"/>
      <c r="H2225" s="20" t="n"/>
      <c r="I2225" s="20" t="n"/>
      <c r="J2225" s="20" t="n"/>
      <c r="K2225" s="20" t="n"/>
      <c r="L2225" s="25" t="n"/>
      <c r="M2225" s="20" t="n"/>
      <c r="N2225" s="20" t="n"/>
      <c r="O2225" s="20" t="n"/>
      <c r="P2225" s="20" t="n"/>
      <c r="Q2225" s="26" t="n"/>
      <c r="R2225" s="20" t="n"/>
      <c r="S2225" s="20" t="n"/>
    </row>
    <row r="2226">
      <c r="A2226" s="24" t="n"/>
      <c r="B2226" s="20" t="n"/>
      <c r="C2226" s="20" t="n"/>
      <c r="D2226" s="23" t="n"/>
      <c r="E2226" s="20" t="n"/>
      <c r="F2226" s="20" t="n"/>
      <c r="G2226" s="25" t="n"/>
      <c r="H2226" s="20" t="n"/>
      <c r="I2226" s="20" t="n"/>
      <c r="J2226" s="20" t="n"/>
      <c r="K2226" s="20" t="n"/>
      <c r="L2226" s="25" t="n"/>
      <c r="M2226" s="20" t="n"/>
      <c r="N2226" s="20" t="n"/>
      <c r="O2226" s="20" t="n"/>
      <c r="P2226" s="20" t="n"/>
      <c r="Q2226" s="26" t="n"/>
      <c r="R2226" s="20" t="n"/>
      <c r="S2226" s="20" t="n"/>
    </row>
    <row r="2227">
      <c r="A2227" s="24" t="n"/>
      <c r="B2227" s="20" t="n"/>
      <c r="C2227" s="20" t="n"/>
      <c r="D2227" s="23" t="n"/>
      <c r="E2227" s="20" t="n"/>
      <c r="F2227" s="20" t="n"/>
      <c r="G2227" s="25" t="n"/>
      <c r="H2227" s="20" t="n"/>
      <c r="I2227" s="20" t="n"/>
      <c r="J2227" s="20" t="n"/>
      <c r="K2227" s="20" t="n"/>
      <c r="L2227" s="25" t="n"/>
      <c r="M2227" s="20" t="n"/>
      <c r="N2227" s="20" t="n"/>
      <c r="O2227" s="20" t="n"/>
      <c r="P2227" s="20" t="n"/>
      <c r="Q2227" s="26" t="n"/>
      <c r="R2227" s="20" t="n"/>
      <c r="S2227" s="20" t="n"/>
    </row>
    <row r="2228">
      <c r="A2228" s="24" t="n"/>
      <c r="B2228" s="20" t="n"/>
      <c r="C2228" s="20" t="n"/>
      <c r="D2228" s="23" t="n"/>
      <c r="E2228" s="20" t="n"/>
      <c r="F2228" s="20" t="n"/>
      <c r="G2228" s="25" t="n"/>
      <c r="H2228" s="20" t="n"/>
      <c r="I2228" s="20" t="n"/>
      <c r="J2228" s="20" t="n"/>
      <c r="K2228" s="20" t="n"/>
      <c r="L2228" s="25" t="n"/>
      <c r="M2228" s="20" t="n"/>
      <c r="N2228" s="20" t="n"/>
      <c r="O2228" s="20" t="n"/>
      <c r="P2228" s="20" t="n"/>
      <c r="Q2228" s="26" t="n"/>
      <c r="R2228" s="20" t="n"/>
      <c r="S2228" s="20" t="n"/>
    </row>
    <row r="2229">
      <c r="A2229" s="24" t="n"/>
      <c r="B2229" s="20" t="n"/>
      <c r="C2229" s="20" t="n"/>
      <c r="D2229" s="23" t="n"/>
      <c r="E2229" s="20" t="n"/>
      <c r="F2229" s="20" t="n"/>
      <c r="G2229" s="25" t="n"/>
      <c r="H2229" s="20" t="n"/>
      <c r="I2229" s="20" t="n"/>
      <c r="J2229" s="20" t="n"/>
      <c r="K2229" s="20" t="n"/>
      <c r="L2229" s="25" t="n"/>
      <c r="M2229" s="20" t="n"/>
      <c r="N2229" s="20" t="n"/>
      <c r="O2229" s="20" t="n"/>
      <c r="P2229" s="20" t="n"/>
      <c r="Q2229" s="26" t="n"/>
      <c r="R2229" s="20" t="n"/>
      <c r="S2229" s="20" t="n"/>
    </row>
    <row r="2230">
      <c r="A2230" s="24" t="n"/>
      <c r="B2230" s="20" t="n"/>
      <c r="C2230" s="20" t="n"/>
      <c r="D2230" s="23" t="n"/>
      <c r="E2230" s="20" t="n"/>
      <c r="F2230" s="20" t="n"/>
      <c r="G2230" s="25" t="n"/>
      <c r="H2230" s="20" t="n"/>
      <c r="I2230" s="20" t="n"/>
      <c r="J2230" s="20" t="n"/>
      <c r="K2230" s="20" t="n"/>
      <c r="L2230" s="25" t="n"/>
      <c r="M2230" s="20" t="n"/>
      <c r="N2230" s="20" t="n"/>
      <c r="O2230" s="20" t="n"/>
      <c r="P2230" s="20" t="n"/>
      <c r="Q2230" s="26" t="n"/>
      <c r="R2230" s="20" t="n"/>
      <c r="S2230" s="20" t="n"/>
    </row>
    <row r="2231">
      <c r="A2231" s="24" t="n"/>
      <c r="B2231" s="20" t="n"/>
      <c r="C2231" s="20" t="n"/>
      <c r="D2231" s="23" t="n"/>
      <c r="E2231" s="20" t="n"/>
      <c r="F2231" s="20" t="n"/>
      <c r="G2231" s="25" t="n"/>
      <c r="H2231" s="20" t="n"/>
      <c r="I2231" s="20" t="n"/>
      <c r="J2231" s="20" t="n"/>
      <c r="K2231" s="20" t="n"/>
      <c r="L2231" s="25" t="n"/>
      <c r="M2231" s="20" t="n"/>
      <c r="N2231" s="20" t="n"/>
      <c r="O2231" s="20" t="n"/>
      <c r="P2231" s="20" t="n"/>
      <c r="Q2231" s="26" t="n"/>
      <c r="R2231" s="20" t="n"/>
      <c r="S2231" s="20" t="n"/>
    </row>
    <row r="2232">
      <c r="A2232" s="24" t="n"/>
      <c r="B2232" s="20" t="n"/>
      <c r="C2232" s="20" t="n"/>
      <c r="D2232" s="23" t="n"/>
      <c r="E2232" s="20" t="n"/>
      <c r="F2232" s="20" t="n"/>
      <c r="G2232" s="25" t="n"/>
      <c r="H2232" s="20" t="n"/>
      <c r="I2232" s="20" t="n"/>
      <c r="J2232" s="20" t="n"/>
      <c r="K2232" s="20" t="n"/>
      <c r="L2232" s="25" t="n"/>
      <c r="M2232" s="20" t="n"/>
      <c r="N2232" s="20" t="n"/>
      <c r="O2232" s="20" t="n"/>
      <c r="P2232" s="20" t="n"/>
      <c r="Q2232" s="26" t="n"/>
      <c r="R2232" s="20" t="n"/>
      <c r="S2232" s="20" t="n"/>
    </row>
    <row r="2233">
      <c r="A2233" s="24" t="n"/>
      <c r="B2233" s="20" t="n"/>
      <c r="C2233" s="20" t="n"/>
      <c r="D2233" s="23" t="n"/>
      <c r="E2233" s="20" t="n"/>
      <c r="F2233" s="20" t="n"/>
      <c r="G2233" s="25" t="n"/>
      <c r="H2233" s="20" t="n"/>
      <c r="I2233" s="20" t="n"/>
      <c r="J2233" s="20" t="n"/>
      <c r="K2233" s="20" t="n"/>
      <c r="L2233" s="25" t="n"/>
      <c r="M2233" s="20" t="n"/>
      <c r="N2233" s="20" t="n"/>
      <c r="O2233" s="20" t="n"/>
      <c r="P2233" s="20" t="n"/>
      <c r="Q2233" s="26" t="n"/>
      <c r="R2233" s="20" t="n"/>
      <c r="S2233" s="20" t="n"/>
    </row>
    <row r="2234">
      <c r="A2234" s="24" t="n"/>
      <c r="B2234" s="20" t="n"/>
      <c r="C2234" s="20" t="n"/>
      <c r="D2234" s="23" t="n"/>
      <c r="E2234" s="20" t="n"/>
      <c r="F2234" s="20" t="n"/>
      <c r="G2234" s="25" t="n"/>
      <c r="H2234" s="20" t="n"/>
      <c r="I2234" s="20" t="n"/>
      <c r="J2234" s="20" t="n"/>
      <c r="K2234" s="20" t="n"/>
      <c r="L2234" s="25" t="n"/>
      <c r="M2234" s="20" t="n"/>
      <c r="N2234" s="20" t="n"/>
      <c r="O2234" s="20" t="n"/>
      <c r="P2234" s="20" t="n"/>
      <c r="Q2234" s="26" t="n"/>
      <c r="R2234" s="20" t="n"/>
      <c r="S2234" s="20" t="n"/>
    </row>
    <row r="2235">
      <c r="A2235" s="24" t="n"/>
      <c r="B2235" s="20" t="n"/>
      <c r="C2235" s="20" t="n"/>
      <c r="D2235" s="23" t="n"/>
      <c r="E2235" s="20" t="n"/>
      <c r="F2235" s="20" t="n"/>
      <c r="G2235" s="25" t="n"/>
      <c r="H2235" s="20" t="n"/>
      <c r="I2235" s="20" t="n"/>
      <c r="J2235" s="20" t="n"/>
      <c r="K2235" s="20" t="n"/>
      <c r="L2235" s="25" t="n"/>
      <c r="M2235" s="20" t="n"/>
      <c r="N2235" s="20" t="n"/>
      <c r="O2235" s="20" t="n"/>
      <c r="P2235" s="20" t="n"/>
      <c r="Q2235" s="26" t="n"/>
      <c r="R2235" s="20" t="n"/>
      <c r="S2235" s="20" t="n"/>
    </row>
    <row r="2236">
      <c r="A2236" s="24" t="n"/>
      <c r="B2236" s="20" t="n"/>
      <c r="C2236" s="20" t="n"/>
      <c r="D2236" s="23" t="n"/>
      <c r="E2236" s="20" t="n"/>
      <c r="F2236" s="20" t="n"/>
      <c r="G2236" s="25" t="n"/>
      <c r="H2236" s="20" t="n"/>
      <c r="I2236" s="20" t="n"/>
      <c r="J2236" s="20" t="n"/>
      <c r="K2236" s="20" t="n"/>
      <c r="L2236" s="25" t="n"/>
      <c r="M2236" s="20" t="n"/>
      <c r="N2236" s="20" t="n"/>
      <c r="O2236" s="20" t="n"/>
      <c r="P2236" s="20" t="n"/>
      <c r="Q2236" s="26" t="n"/>
      <c r="R2236" s="20" t="n"/>
      <c r="S2236" s="20" t="n"/>
    </row>
    <row r="2237">
      <c r="A2237" s="24" t="n"/>
      <c r="B2237" s="20" t="n"/>
      <c r="C2237" s="20" t="n"/>
      <c r="D2237" s="23" t="n"/>
      <c r="E2237" s="20" t="n"/>
      <c r="F2237" s="20" t="n"/>
      <c r="G2237" s="25" t="n"/>
      <c r="H2237" s="20" t="n"/>
      <c r="I2237" s="20" t="n"/>
      <c r="J2237" s="20" t="n"/>
      <c r="K2237" s="20" t="n"/>
      <c r="L2237" s="25" t="n"/>
      <c r="M2237" s="20" t="n"/>
      <c r="N2237" s="20" t="n"/>
      <c r="O2237" s="20" t="n"/>
      <c r="P2237" s="20" t="n"/>
      <c r="Q2237" s="26" t="n"/>
      <c r="R2237" s="20" t="n"/>
      <c r="S2237" s="20" t="n"/>
    </row>
    <row r="2238">
      <c r="A2238" s="24" t="n"/>
      <c r="B2238" s="20" t="n"/>
      <c r="C2238" s="20" t="n"/>
      <c r="D2238" s="23" t="n"/>
      <c r="E2238" s="20" t="n"/>
      <c r="F2238" s="20" t="n"/>
      <c r="G2238" s="25" t="n"/>
      <c r="H2238" s="20" t="n"/>
      <c r="I2238" s="20" t="n"/>
      <c r="J2238" s="20" t="n"/>
      <c r="K2238" s="20" t="n"/>
      <c r="L2238" s="25" t="n"/>
      <c r="M2238" s="20" t="n"/>
      <c r="N2238" s="20" t="n"/>
      <c r="O2238" s="20" t="n"/>
      <c r="P2238" s="20" t="n"/>
      <c r="Q2238" s="26" t="n"/>
      <c r="R2238" s="20" t="n"/>
      <c r="S2238" s="20" t="n"/>
    </row>
    <row r="2239">
      <c r="A2239" s="24" t="n"/>
      <c r="B2239" s="20" t="n"/>
      <c r="C2239" s="20" t="n"/>
      <c r="D2239" s="23" t="n"/>
      <c r="E2239" s="20" t="n"/>
      <c r="F2239" s="20" t="n"/>
      <c r="G2239" s="25" t="n"/>
      <c r="H2239" s="20" t="n"/>
      <c r="I2239" s="20" t="n"/>
      <c r="J2239" s="20" t="n"/>
      <c r="K2239" s="20" t="n"/>
      <c r="L2239" s="25" t="n"/>
      <c r="M2239" s="20" t="n"/>
      <c r="N2239" s="20" t="n"/>
      <c r="O2239" s="20" t="n"/>
      <c r="P2239" s="20" t="n"/>
      <c r="Q2239" s="26" t="n"/>
      <c r="R2239" s="20" t="n"/>
      <c r="S2239" s="20" t="n"/>
    </row>
    <row r="2240">
      <c r="A2240" s="24" t="n"/>
      <c r="B2240" s="20" t="n"/>
      <c r="C2240" s="20" t="n"/>
      <c r="D2240" s="23" t="n"/>
      <c r="E2240" s="20" t="n"/>
      <c r="F2240" s="20" t="n"/>
      <c r="G2240" s="25" t="n"/>
      <c r="H2240" s="20" t="n"/>
      <c r="I2240" s="20" t="n"/>
      <c r="J2240" s="20" t="n"/>
      <c r="K2240" s="20" t="n"/>
      <c r="L2240" s="25" t="n"/>
      <c r="M2240" s="20" t="n"/>
      <c r="N2240" s="20" t="n"/>
      <c r="O2240" s="20" t="n"/>
      <c r="P2240" s="20" t="n"/>
      <c r="Q2240" s="26" t="n"/>
      <c r="R2240" s="20" t="n"/>
      <c r="S2240" s="20" t="n"/>
    </row>
    <row r="2241">
      <c r="A2241" s="24" t="n"/>
      <c r="B2241" s="20" t="n"/>
      <c r="C2241" s="20" t="n"/>
      <c r="D2241" s="23" t="n"/>
      <c r="E2241" s="20" t="n"/>
      <c r="F2241" s="20" t="n"/>
      <c r="G2241" s="25" t="n"/>
      <c r="H2241" s="20" t="n"/>
      <c r="I2241" s="20" t="n"/>
      <c r="J2241" s="20" t="n"/>
      <c r="K2241" s="20" t="n"/>
      <c r="L2241" s="25" t="n"/>
      <c r="M2241" s="20" t="n"/>
      <c r="N2241" s="20" t="n"/>
      <c r="O2241" s="20" t="n"/>
      <c r="P2241" s="20" t="n"/>
      <c r="Q2241" s="26" t="n"/>
      <c r="R2241" s="20" t="n"/>
      <c r="S2241" s="20" t="n"/>
    </row>
    <row r="2242">
      <c r="A2242" s="24" t="n"/>
      <c r="B2242" s="20" t="n"/>
      <c r="C2242" s="20" t="n"/>
      <c r="D2242" s="23" t="n"/>
      <c r="E2242" s="20" t="n"/>
      <c r="F2242" s="20" t="n"/>
      <c r="G2242" s="25" t="n"/>
      <c r="H2242" s="20" t="n"/>
      <c r="I2242" s="20" t="n"/>
      <c r="J2242" s="20" t="n"/>
      <c r="K2242" s="20" t="n"/>
      <c r="L2242" s="25" t="n"/>
      <c r="M2242" s="20" t="n"/>
      <c r="N2242" s="20" t="n"/>
      <c r="O2242" s="20" t="n"/>
      <c r="P2242" s="20" t="n"/>
      <c r="Q2242" s="26" t="n"/>
      <c r="R2242" s="20" t="n"/>
      <c r="S2242" s="20" t="n"/>
    </row>
    <row r="2243">
      <c r="A2243" s="24" t="n"/>
      <c r="B2243" s="20" t="n"/>
      <c r="C2243" s="20" t="n"/>
      <c r="D2243" s="23" t="n"/>
      <c r="E2243" s="20" t="n"/>
      <c r="F2243" s="20" t="n"/>
      <c r="G2243" s="25" t="n"/>
      <c r="H2243" s="20" t="n"/>
      <c r="I2243" s="20" t="n"/>
      <c r="J2243" s="20" t="n"/>
      <c r="K2243" s="20" t="n"/>
      <c r="L2243" s="25" t="n"/>
      <c r="M2243" s="20" t="n"/>
      <c r="N2243" s="20" t="n"/>
      <c r="O2243" s="20" t="n"/>
      <c r="P2243" s="20" t="n"/>
      <c r="Q2243" s="26" t="n"/>
      <c r="R2243" s="20" t="n"/>
      <c r="S2243" s="20" t="n"/>
    </row>
    <row r="2244">
      <c r="A2244" s="24" t="n"/>
      <c r="B2244" s="20" t="n"/>
      <c r="C2244" s="20" t="n"/>
      <c r="D2244" s="23" t="n"/>
      <c r="E2244" s="20" t="n"/>
      <c r="F2244" s="20" t="n"/>
      <c r="G2244" s="25" t="n"/>
      <c r="H2244" s="20" t="n"/>
      <c r="I2244" s="20" t="n"/>
      <c r="J2244" s="20" t="n"/>
      <c r="K2244" s="20" t="n"/>
      <c r="L2244" s="25" t="n"/>
      <c r="M2244" s="20" t="n"/>
      <c r="N2244" s="20" t="n"/>
      <c r="O2244" s="20" t="n"/>
      <c r="P2244" s="20" t="n"/>
      <c r="Q2244" s="26" t="n"/>
      <c r="R2244" s="20" t="n"/>
      <c r="S2244" s="20" t="n"/>
    </row>
    <row r="2245">
      <c r="A2245" s="24" t="n"/>
      <c r="B2245" s="20" t="n"/>
      <c r="C2245" s="20" t="n"/>
      <c r="D2245" s="23" t="n"/>
      <c r="E2245" s="20" t="n"/>
      <c r="F2245" s="20" t="n"/>
      <c r="G2245" s="25" t="n"/>
      <c r="H2245" s="20" t="n"/>
      <c r="I2245" s="20" t="n"/>
      <c r="J2245" s="20" t="n"/>
      <c r="K2245" s="20" t="n"/>
      <c r="L2245" s="25" t="n"/>
      <c r="M2245" s="20" t="n"/>
      <c r="N2245" s="20" t="n"/>
      <c r="O2245" s="20" t="n"/>
      <c r="P2245" s="20" t="n"/>
      <c r="Q2245" s="26" t="n"/>
      <c r="R2245" s="20" t="n"/>
      <c r="S2245" s="20" t="n"/>
    </row>
    <row r="2246">
      <c r="A2246" s="24" t="n"/>
      <c r="B2246" s="20" t="n"/>
      <c r="C2246" s="20" t="n"/>
      <c r="D2246" s="23" t="n"/>
      <c r="E2246" s="20" t="n"/>
      <c r="F2246" s="20" t="n"/>
      <c r="G2246" s="25" t="n"/>
      <c r="H2246" s="20" t="n"/>
      <c r="I2246" s="20" t="n"/>
      <c r="J2246" s="20" t="n"/>
      <c r="K2246" s="20" t="n"/>
      <c r="L2246" s="25" t="n"/>
      <c r="M2246" s="20" t="n"/>
      <c r="N2246" s="20" t="n"/>
      <c r="O2246" s="20" t="n"/>
      <c r="P2246" s="20" t="n"/>
      <c r="Q2246" s="26" t="n"/>
      <c r="R2246" s="20" t="n"/>
      <c r="S2246" s="20" t="n"/>
    </row>
    <row r="2247">
      <c r="A2247" s="24" t="n"/>
      <c r="B2247" s="20" t="n"/>
      <c r="C2247" s="20" t="n"/>
      <c r="D2247" s="23" t="n"/>
      <c r="E2247" s="20" t="n"/>
      <c r="F2247" s="20" t="n"/>
      <c r="G2247" s="25" t="n"/>
      <c r="H2247" s="20" t="n"/>
      <c r="I2247" s="20" t="n"/>
      <c r="J2247" s="20" t="n"/>
      <c r="K2247" s="20" t="n"/>
      <c r="L2247" s="25" t="n"/>
      <c r="M2247" s="20" t="n"/>
      <c r="N2247" s="20" t="n"/>
      <c r="O2247" s="20" t="n"/>
      <c r="P2247" s="20" t="n"/>
      <c r="Q2247" s="26" t="n"/>
      <c r="R2247" s="20" t="n"/>
      <c r="S2247" s="20" t="n"/>
    </row>
    <row r="2248">
      <c r="A2248" s="24" t="n"/>
      <c r="B2248" s="20" t="n"/>
      <c r="C2248" s="20" t="n"/>
      <c r="D2248" s="23" t="n"/>
      <c r="E2248" s="20" t="n"/>
      <c r="F2248" s="20" t="n"/>
      <c r="G2248" s="25" t="n"/>
      <c r="H2248" s="20" t="n"/>
      <c r="I2248" s="20" t="n"/>
      <c r="J2248" s="20" t="n"/>
      <c r="K2248" s="20" t="n"/>
      <c r="L2248" s="25" t="n"/>
      <c r="M2248" s="20" t="n"/>
      <c r="N2248" s="20" t="n"/>
      <c r="O2248" s="20" t="n"/>
      <c r="P2248" s="20" t="n"/>
      <c r="Q2248" s="26" t="n"/>
      <c r="R2248" s="20" t="n"/>
      <c r="S2248" s="20" t="n"/>
    </row>
    <row r="2249">
      <c r="A2249" s="24" t="n"/>
      <c r="B2249" s="20" t="n"/>
      <c r="C2249" s="20" t="n"/>
      <c r="D2249" s="23" t="n"/>
      <c r="E2249" s="20" t="n"/>
      <c r="F2249" s="20" t="n"/>
      <c r="G2249" s="25" t="n"/>
      <c r="H2249" s="20" t="n"/>
      <c r="I2249" s="20" t="n"/>
      <c r="J2249" s="20" t="n"/>
      <c r="K2249" s="20" t="n"/>
      <c r="L2249" s="25" t="n"/>
      <c r="M2249" s="20" t="n"/>
      <c r="N2249" s="20" t="n"/>
      <c r="O2249" s="20" t="n"/>
      <c r="P2249" s="20" t="n"/>
      <c r="Q2249" s="26" t="n"/>
      <c r="R2249" s="20" t="n"/>
      <c r="S2249" s="20" t="n"/>
    </row>
    <row r="2250">
      <c r="A2250" s="24" t="n"/>
      <c r="B2250" s="20" t="n"/>
      <c r="C2250" s="20" t="n"/>
      <c r="D2250" s="23" t="n"/>
      <c r="E2250" s="20" t="n"/>
      <c r="F2250" s="20" t="n"/>
      <c r="G2250" s="25" t="n"/>
      <c r="H2250" s="20" t="n"/>
      <c r="I2250" s="20" t="n"/>
      <c r="J2250" s="20" t="n"/>
      <c r="K2250" s="20" t="n"/>
      <c r="L2250" s="25" t="n"/>
      <c r="M2250" s="20" t="n"/>
      <c r="N2250" s="20" t="n"/>
      <c r="O2250" s="20" t="n"/>
      <c r="P2250" s="20" t="n"/>
      <c r="Q2250" s="26" t="n"/>
      <c r="R2250" s="20" t="n"/>
      <c r="S2250" s="20" t="n"/>
    </row>
    <row r="2251">
      <c r="A2251" s="24" t="n"/>
      <c r="B2251" s="20" t="n"/>
      <c r="C2251" s="20" t="n"/>
      <c r="D2251" s="23" t="n"/>
      <c r="E2251" s="20" t="n"/>
      <c r="F2251" s="20" t="n"/>
      <c r="G2251" s="25" t="n"/>
      <c r="H2251" s="20" t="n"/>
      <c r="I2251" s="20" t="n"/>
      <c r="J2251" s="20" t="n"/>
      <c r="K2251" s="20" t="n"/>
      <c r="L2251" s="25" t="n"/>
      <c r="M2251" s="20" t="n"/>
      <c r="N2251" s="20" t="n"/>
      <c r="O2251" s="20" t="n"/>
      <c r="P2251" s="20" t="n"/>
      <c r="Q2251" s="26" t="n"/>
      <c r="R2251" s="20" t="n"/>
      <c r="S2251" s="20" t="n"/>
    </row>
    <row r="2252">
      <c r="A2252" s="24" t="n"/>
      <c r="B2252" s="20" t="n"/>
      <c r="C2252" s="20" t="n"/>
      <c r="D2252" s="23" t="n"/>
      <c r="E2252" s="20" t="n"/>
      <c r="F2252" s="20" t="n"/>
      <c r="G2252" s="25" t="n"/>
      <c r="H2252" s="20" t="n"/>
      <c r="I2252" s="20" t="n"/>
      <c r="J2252" s="20" t="n"/>
      <c r="K2252" s="20" t="n"/>
      <c r="L2252" s="25" t="n"/>
      <c r="M2252" s="20" t="n"/>
      <c r="N2252" s="20" t="n"/>
      <c r="O2252" s="20" t="n"/>
      <c r="P2252" s="20" t="n"/>
      <c r="Q2252" s="26" t="n"/>
      <c r="R2252" s="20" t="n"/>
      <c r="S2252" s="20" t="n"/>
    </row>
    <row r="2253">
      <c r="A2253" s="24" t="n"/>
      <c r="B2253" s="20" t="n"/>
      <c r="C2253" s="20" t="n"/>
      <c r="D2253" s="23" t="n"/>
      <c r="E2253" s="20" t="n"/>
      <c r="F2253" s="20" t="n"/>
      <c r="G2253" s="25" t="n"/>
      <c r="H2253" s="20" t="n"/>
      <c r="I2253" s="20" t="n"/>
      <c r="J2253" s="20" t="n"/>
      <c r="K2253" s="20" t="n"/>
      <c r="L2253" s="25" t="n"/>
      <c r="M2253" s="20" t="n"/>
      <c r="N2253" s="20" t="n"/>
      <c r="O2253" s="20" t="n"/>
      <c r="P2253" s="20" t="n"/>
      <c r="Q2253" s="26" t="n"/>
      <c r="R2253" s="20" t="n"/>
      <c r="S2253" s="20" t="n"/>
    </row>
    <row r="2254">
      <c r="A2254" s="24" t="n"/>
      <c r="B2254" s="20" t="n"/>
      <c r="C2254" s="20" t="n"/>
      <c r="D2254" s="23" t="n"/>
      <c r="E2254" s="20" t="n"/>
      <c r="F2254" s="20" t="n"/>
      <c r="G2254" s="25" t="n"/>
      <c r="H2254" s="20" t="n"/>
      <c r="I2254" s="20" t="n"/>
      <c r="J2254" s="20" t="n"/>
      <c r="K2254" s="20" t="n"/>
      <c r="L2254" s="25" t="n"/>
      <c r="M2254" s="20" t="n"/>
      <c r="N2254" s="20" t="n"/>
      <c r="O2254" s="20" t="n"/>
      <c r="P2254" s="20" t="n"/>
      <c r="Q2254" s="26" t="n"/>
      <c r="R2254" s="20" t="n"/>
      <c r="S2254" s="20" t="n"/>
    </row>
    <row r="2255">
      <c r="A2255" s="24" t="n"/>
      <c r="B2255" s="20" t="n"/>
      <c r="C2255" s="20" t="n"/>
      <c r="D2255" s="23" t="n"/>
      <c r="E2255" s="20" t="n"/>
      <c r="F2255" s="20" t="n"/>
      <c r="G2255" s="25" t="n"/>
      <c r="H2255" s="20" t="n"/>
      <c r="I2255" s="20" t="n"/>
      <c r="J2255" s="20" t="n"/>
      <c r="K2255" s="20" t="n"/>
      <c r="L2255" s="25" t="n"/>
      <c r="M2255" s="20" t="n"/>
      <c r="N2255" s="20" t="n"/>
      <c r="O2255" s="20" t="n"/>
      <c r="P2255" s="20" t="n"/>
      <c r="Q2255" s="26" t="n"/>
      <c r="R2255" s="20" t="n"/>
      <c r="S2255" s="20" t="n"/>
    </row>
    <row r="2256">
      <c r="A2256" s="24" t="n"/>
      <c r="B2256" s="20" t="n"/>
      <c r="C2256" s="20" t="n"/>
      <c r="D2256" s="23" t="n"/>
      <c r="E2256" s="20" t="n"/>
      <c r="F2256" s="20" t="n"/>
      <c r="G2256" s="25" t="n"/>
      <c r="H2256" s="20" t="n"/>
      <c r="I2256" s="20" t="n"/>
      <c r="J2256" s="20" t="n"/>
      <c r="K2256" s="20" t="n"/>
      <c r="L2256" s="25" t="n"/>
      <c r="M2256" s="20" t="n"/>
      <c r="N2256" s="20" t="n"/>
      <c r="O2256" s="20" t="n"/>
      <c r="P2256" s="20" t="n"/>
      <c r="Q2256" s="26" t="n"/>
      <c r="R2256" s="20" t="n"/>
      <c r="S2256" s="20" t="n"/>
    </row>
    <row r="2257">
      <c r="A2257" s="24" t="n"/>
      <c r="B2257" s="20" t="n"/>
      <c r="C2257" s="20" t="n"/>
      <c r="D2257" s="23" t="n"/>
      <c r="E2257" s="20" t="n"/>
      <c r="F2257" s="20" t="n"/>
      <c r="G2257" s="25" t="n"/>
      <c r="H2257" s="20" t="n"/>
      <c r="I2257" s="20" t="n"/>
      <c r="J2257" s="20" t="n"/>
      <c r="K2257" s="20" t="n"/>
      <c r="L2257" s="25" t="n"/>
      <c r="M2257" s="20" t="n"/>
      <c r="N2257" s="20" t="n"/>
      <c r="O2257" s="20" t="n"/>
      <c r="P2257" s="20" t="n"/>
      <c r="Q2257" s="26" t="n"/>
      <c r="R2257" s="20" t="n"/>
      <c r="S2257" s="20" t="n"/>
    </row>
    <row r="2258">
      <c r="A2258" s="24" t="n"/>
      <c r="B2258" s="20" t="n"/>
      <c r="C2258" s="20" t="n"/>
      <c r="D2258" s="23" t="n"/>
      <c r="E2258" s="20" t="n"/>
      <c r="F2258" s="20" t="n"/>
      <c r="G2258" s="25" t="n"/>
      <c r="H2258" s="20" t="n"/>
      <c r="I2258" s="20" t="n"/>
      <c r="J2258" s="20" t="n"/>
      <c r="K2258" s="20" t="n"/>
      <c r="L2258" s="25" t="n"/>
      <c r="M2258" s="20" t="n"/>
      <c r="N2258" s="20" t="n"/>
      <c r="O2258" s="20" t="n"/>
      <c r="P2258" s="20" t="n"/>
      <c r="Q2258" s="26" t="n"/>
      <c r="R2258" s="20" t="n"/>
      <c r="S2258" s="20" t="n"/>
    </row>
    <row r="2259">
      <c r="A2259" s="24" t="n"/>
      <c r="B2259" s="20" t="n"/>
      <c r="C2259" s="20" t="n"/>
      <c r="D2259" s="23" t="n"/>
      <c r="E2259" s="20" t="n"/>
      <c r="F2259" s="20" t="n"/>
      <c r="G2259" s="25" t="n"/>
      <c r="H2259" s="20" t="n"/>
      <c r="I2259" s="20" t="n"/>
      <c r="J2259" s="20" t="n"/>
      <c r="K2259" s="20" t="n"/>
      <c r="L2259" s="25" t="n"/>
      <c r="M2259" s="20" t="n"/>
      <c r="N2259" s="20" t="n"/>
      <c r="O2259" s="20" t="n"/>
      <c r="P2259" s="20" t="n"/>
      <c r="Q2259" s="26" t="n"/>
      <c r="R2259" s="20" t="n"/>
      <c r="S2259" s="20" t="n"/>
    </row>
    <row r="2260">
      <c r="A2260" s="24" t="n"/>
      <c r="B2260" s="20" t="n"/>
      <c r="C2260" s="20" t="n"/>
      <c r="D2260" s="23" t="n"/>
      <c r="E2260" s="20" t="n"/>
      <c r="F2260" s="20" t="n"/>
      <c r="G2260" s="25" t="n"/>
      <c r="H2260" s="20" t="n"/>
      <c r="I2260" s="20" t="n"/>
      <c r="J2260" s="20" t="n"/>
      <c r="K2260" s="20" t="n"/>
      <c r="L2260" s="25" t="n"/>
      <c r="M2260" s="20" t="n"/>
      <c r="N2260" s="20" t="n"/>
      <c r="O2260" s="20" t="n"/>
      <c r="P2260" s="20" t="n"/>
      <c r="Q2260" s="26" t="n"/>
      <c r="R2260" s="20" t="n"/>
      <c r="S2260" s="20" t="n"/>
    </row>
    <row r="2261">
      <c r="A2261" s="24" t="n"/>
      <c r="B2261" s="20" t="n"/>
      <c r="C2261" s="20" t="n"/>
      <c r="D2261" s="23" t="n"/>
      <c r="E2261" s="20" t="n"/>
      <c r="F2261" s="20" t="n"/>
      <c r="G2261" s="25" t="n"/>
      <c r="H2261" s="20" t="n"/>
      <c r="I2261" s="20" t="n"/>
      <c r="J2261" s="20" t="n"/>
      <c r="K2261" s="20" t="n"/>
      <c r="L2261" s="25" t="n"/>
      <c r="M2261" s="20" t="n"/>
      <c r="N2261" s="20" t="n"/>
      <c r="O2261" s="20" t="n"/>
      <c r="P2261" s="20" t="n"/>
      <c r="Q2261" s="26" t="n"/>
      <c r="R2261" s="20" t="n"/>
      <c r="S2261" s="20" t="n"/>
    </row>
    <row r="2262">
      <c r="A2262" s="24" t="n"/>
      <c r="B2262" s="20" t="n"/>
      <c r="C2262" s="20" t="n"/>
      <c r="D2262" s="23" t="n"/>
      <c r="E2262" s="20" t="n"/>
      <c r="F2262" s="20" t="n"/>
      <c r="G2262" s="25" t="n"/>
      <c r="H2262" s="20" t="n"/>
      <c r="I2262" s="20" t="n"/>
      <c r="J2262" s="20" t="n"/>
      <c r="K2262" s="20" t="n"/>
      <c r="L2262" s="25" t="n"/>
      <c r="M2262" s="20" t="n"/>
      <c r="N2262" s="20" t="n"/>
      <c r="O2262" s="20" t="n"/>
      <c r="P2262" s="20" t="n"/>
      <c r="Q2262" s="26" t="n"/>
      <c r="R2262" s="20" t="n"/>
      <c r="S2262" s="20" t="n"/>
    </row>
    <row r="2263">
      <c r="A2263" s="24" t="n"/>
      <c r="B2263" s="20" t="n"/>
      <c r="C2263" s="20" t="n"/>
      <c r="D2263" s="23" t="n"/>
      <c r="E2263" s="20" t="n"/>
      <c r="F2263" s="20" t="n"/>
      <c r="G2263" s="25" t="n"/>
      <c r="H2263" s="20" t="n"/>
      <c r="I2263" s="20" t="n"/>
      <c r="J2263" s="20" t="n"/>
      <c r="K2263" s="20" t="n"/>
      <c r="L2263" s="25" t="n"/>
      <c r="M2263" s="20" t="n"/>
      <c r="N2263" s="20" t="n"/>
      <c r="O2263" s="20" t="n"/>
      <c r="P2263" s="20" t="n"/>
      <c r="Q2263" s="26" t="n"/>
      <c r="R2263" s="20" t="n"/>
      <c r="S2263" s="20" t="n"/>
    </row>
    <row r="2264">
      <c r="A2264" s="24" t="n"/>
      <c r="B2264" s="20" t="n"/>
      <c r="C2264" s="20" t="n"/>
      <c r="D2264" s="23" t="n"/>
      <c r="E2264" s="20" t="n"/>
      <c r="F2264" s="20" t="n"/>
      <c r="G2264" s="25" t="n"/>
      <c r="H2264" s="20" t="n"/>
      <c r="I2264" s="20" t="n"/>
      <c r="J2264" s="20" t="n"/>
      <c r="K2264" s="20" t="n"/>
      <c r="L2264" s="25" t="n"/>
      <c r="M2264" s="20" t="n"/>
      <c r="N2264" s="20" t="n"/>
      <c r="O2264" s="20" t="n"/>
      <c r="P2264" s="20" t="n"/>
      <c r="Q2264" s="26" t="n"/>
      <c r="R2264" s="20" t="n"/>
      <c r="S2264" s="20" t="n"/>
    </row>
    <row r="2265">
      <c r="A2265" s="24" t="n"/>
      <c r="B2265" s="20" t="n"/>
      <c r="C2265" s="20" t="n"/>
      <c r="D2265" s="23" t="n"/>
      <c r="E2265" s="20" t="n"/>
      <c r="F2265" s="20" t="n"/>
      <c r="G2265" s="25" t="n"/>
      <c r="H2265" s="20" t="n"/>
      <c r="I2265" s="20" t="n"/>
      <c r="J2265" s="20" t="n"/>
      <c r="K2265" s="20" t="n"/>
      <c r="L2265" s="25" t="n"/>
      <c r="M2265" s="20" t="n"/>
      <c r="N2265" s="20" t="n"/>
      <c r="O2265" s="20" t="n"/>
      <c r="P2265" s="20" t="n"/>
      <c r="Q2265" s="26" t="n"/>
      <c r="R2265" s="20" t="n"/>
      <c r="S2265" s="20" t="n"/>
    </row>
    <row r="2266">
      <c r="A2266" s="24" t="n"/>
      <c r="B2266" s="20" t="n"/>
      <c r="C2266" s="20" t="n"/>
      <c r="D2266" s="23" t="n"/>
      <c r="E2266" s="20" t="n"/>
      <c r="F2266" s="20" t="n"/>
      <c r="G2266" s="25" t="n"/>
      <c r="H2266" s="20" t="n"/>
      <c r="I2266" s="20" t="n"/>
      <c r="J2266" s="20" t="n"/>
      <c r="K2266" s="20" t="n"/>
      <c r="L2266" s="25" t="n"/>
      <c r="M2266" s="20" t="n"/>
      <c r="N2266" s="20" t="n"/>
      <c r="O2266" s="20" t="n"/>
      <c r="P2266" s="20" t="n"/>
      <c r="Q2266" s="26" t="n"/>
      <c r="R2266" s="20" t="n"/>
      <c r="S2266" s="20" t="n"/>
    </row>
    <row r="2267">
      <c r="A2267" s="24" t="n"/>
      <c r="B2267" s="20" t="n"/>
      <c r="C2267" s="20" t="n"/>
      <c r="D2267" s="23" t="n"/>
      <c r="E2267" s="20" t="n"/>
      <c r="F2267" s="20" t="n"/>
      <c r="G2267" s="25" t="n"/>
      <c r="H2267" s="20" t="n"/>
      <c r="I2267" s="20" t="n"/>
      <c r="J2267" s="20" t="n"/>
      <c r="K2267" s="20" t="n"/>
      <c r="L2267" s="25" t="n"/>
      <c r="M2267" s="20" t="n"/>
      <c r="N2267" s="20" t="n"/>
      <c r="O2267" s="20" t="n"/>
      <c r="P2267" s="20" t="n"/>
      <c r="Q2267" s="26" t="n"/>
      <c r="R2267" s="20" t="n"/>
      <c r="S2267" s="20" t="n"/>
    </row>
    <row r="2268">
      <c r="A2268" s="24" t="n"/>
      <c r="B2268" s="20" t="n"/>
      <c r="C2268" s="20" t="n"/>
      <c r="D2268" s="23" t="n"/>
      <c r="E2268" s="20" t="n"/>
      <c r="F2268" s="20" t="n"/>
      <c r="G2268" s="25" t="n"/>
      <c r="H2268" s="20" t="n"/>
      <c r="I2268" s="20" t="n"/>
      <c r="J2268" s="20" t="n"/>
      <c r="K2268" s="20" t="n"/>
      <c r="L2268" s="25" t="n"/>
      <c r="M2268" s="20" t="n"/>
      <c r="N2268" s="20" t="n"/>
      <c r="O2268" s="20" t="n"/>
      <c r="P2268" s="20" t="n"/>
      <c r="Q2268" s="26" t="n"/>
      <c r="R2268" s="20" t="n"/>
      <c r="S2268" s="20" t="n"/>
    </row>
    <row r="2269">
      <c r="A2269" s="24" t="n"/>
      <c r="B2269" s="20" t="n"/>
      <c r="C2269" s="20" t="n"/>
      <c r="D2269" s="23" t="n"/>
      <c r="E2269" s="20" t="n"/>
      <c r="F2269" s="20" t="n"/>
      <c r="G2269" s="25" t="n"/>
      <c r="H2269" s="20" t="n"/>
      <c r="I2269" s="20" t="n"/>
      <c r="J2269" s="20" t="n"/>
      <c r="K2269" s="20" t="n"/>
      <c r="L2269" s="25" t="n"/>
      <c r="M2269" s="20" t="n"/>
      <c r="N2269" s="20" t="n"/>
      <c r="O2269" s="20" t="n"/>
      <c r="P2269" s="20" t="n"/>
      <c r="Q2269" s="26" t="n"/>
      <c r="R2269" s="20" t="n"/>
      <c r="S2269" s="20" t="n"/>
    </row>
    <row r="2270">
      <c r="A2270" s="24" t="n"/>
      <c r="B2270" s="20" t="n"/>
      <c r="C2270" s="20" t="n"/>
      <c r="D2270" s="23" t="n"/>
      <c r="E2270" s="20" t="n"/>
      <c r="F2270" s="20" t="n"/>
      <c r="G2270" s="25" t="n"/>
      <c r="H2270" s="20" t="n"/>
      <c r="I2270" s="20" t="n"/>
      <c r="J2270" s="20" t="n"/>
      <c r="K2270" s="20" t="n"/>
      <c r="L2270" s="25" t="n"/>
      <c r="M2270" s="20" t="n"/>
      <c r="N2270" s="20" t="n"/>
      <c r="O2270" s="20" t="n"/>
      <c r="P2270" s="20" t="n"/>
      <c r="Q2270" s="26" t="n"/>
      <c r="R2270" s="20" t="n"/>
      <c r="S2270" s="20" t="n"/>
    </row>
    <row r="2271">
      <c r="A2271" s="24" t="n"/>
      <c r="B2271" s="20" t="n"/>
      <c r="C2271" s="20" t="n"/>
      <c r="D2271" s="23" t="n"/>
      <c r="E2271" s="20" t="n"/>
      <c r="F2271" s="20" t="n"/>
      <c r="G2271" s="25" t="n"/>
      <c r="H2271" s="20" t="n"/>
      <c r="I2271" s="20" t="n"/>
      <c r="J2271" s="20" t="n"/>
      <c r="K2271" s="20" t="n"/>
      <c r="L2271" s="25" t="n"/>
      <c r="M2271" s="20" t="n"/>
      <c r="N2271" s="20" t="n"/>
      <c r="O2271" s="20" t="n"/>
      <c r="P2271" s="20" t="n"/>
      <c r="Q2271" s="26" t="n"/>
      <c r="R2271" s="20" t="n"/>
      <c r="S2271" s="20" t="n"/>
    </row>
    <row r="2272">
      <c r="A2272" s="24" t="n"/>
      <c r="B2272" s="20" t="n"/>
      <c r="C2272" s="20" t="n"/>
      <c r="D2272" s="23" t="n"/>
      <c r="E2272" s="20" t="n"/>
      <c r="F2272" s="20" t="n"/>
      <c r="G2272" s="25" t="n"/>
      <c r="H2272" s="20" t="n"/>
      <c r="I2272" s="20" t="n"/>
      <c r="J2272" s="20" t="n"/>
      <c r="K2272" s="20" t="n"/>
      <c r="L2272" s="25" t="n"/>
      <c r="M2272" s="20" t="n"/>
      <c r="N2272" s="20" t="n"/>
      <c r="O2272" s="20" t="n"/>
      <c r="P2272" s="20" t="n"/>
      <c r="Q2272" s="26" t="n"/>
      <c r="R2272" s="20" t="n"/>
      <c r="S2272" s="20" t="n"/>
    </row>
    <row r="2273">
      <c r="A2273" s="24" t="n"/>
      <c r="B2273" s="20" t="n"/>
      <c r="C2273" s="20" t="n"/>
      <c r="D2273" s="23" t="n"/>
      <c r="E2273" s="20" t="n"/>
      <c r="F2273" s="20" t="n"/>
      <c r="G2273" s="25" t="n"/>
      <c r="H2273" s="20" t="n"/>
      <c r="I2273" s="20" t="n"/>
      <c r="J2273" s="20" t="n"/>
      <c r="K2273" s="20" t="n"/>
      <c r="L2273" s="25" t="n"/>
      <c r="M2273" s="20" t="n"/>
      <c r="N2273" s="20" t="n"/>
      <c r="O2273" s="20" t="n"/>
      <c r="P2273" s="20" t="n"/>
      <c r="Q2273" s="26" t="n"/>
      <c r="R2273" s="20" t="n"/>
      <c r="S2273" s="20" t="n"/>
    </row>
    <row r="2274">
      <c r="A2274" s="24" t="n"/>
      <c r="B2274" s="20" t="n"/>
      <c r="C2274" s="20" t="n"/>
      <c r="D2274" s="23" t="n"/>
      <c r="E2274" s="20" t="n"/>
      <c r="F2274" s="20" t="n"/>
      <c r="G2274" s="25" t="n"/>
      <c r="H2274" s="20" t="n"/>
      <c r="I2274" s="20" t="n"/>
      <c r="J2274" s="20" t="n"/>
      <c r="K2274" s="20" t="n"/>
      <c r="L2274" s="25" t="n"/>
      <c r="M2274" s="20" t="n"/>
      <c r="N2274" s="20" t="n"/>
      <c r="O2274" s="20" t="n"/>
      <c r="P2274" s="20" t="n"/>
      <c r="Q2274" s="26" t="n"/>
      <c r="R2274" s="20" t="n"/>
      <c r="S2274" s="20" t="n"/>
    </row>
    <row r="2275">
      <c r="A2275" s="24" t="n"/>
      <c r="B2275" s="20" t="n"/>
      <c r="C2275" s="20" t="n"/>
      <c r="D2275" s="23" t="n"/>
      <c r="E2275" s="20" t="n"/>
      <c r="F2275" s="20" t="n"/>
      <c r="G2275" s="25" t="n"/>
      <c r="H2275" s="20" t="n"/>
      <c r="I2275" s="20" t="n"/>
      <c r="J2275" s="20" t="n"/>
      <c r="K2275" s="20" t="n"/>
      <c r="L2275" s="25" t="n"/>
      <c r="M2275" s="20" t="n"/>
      <c r="N2275" s="20" t="n"/>
      <c r="O2275" s="20" t="n"/>
      <c r="P2275" s="20" t="n"/>
      <c r="Q2275" s="26" t="n"/>
      <c r="R2275" s="20" t="n"/>
      <c r="S2275" s="20" t="n"/>
    </row>
    <row r="2276">
      <c r="A2276" s="24" t="n"/>
      <c r="B2276" s="20" t="n"/>
      <c r="C2276" s="20" t="n"/>
      <c r="D2276" s="23" t="n"/>
      <c r="E2276" s="20" t="n"/>
      <c r="F2276" s="20" t="n"/>
      <c r="G2276" s="25" t="n"/>
      <c r="H2276" s="20" t="n"/>
      <c r="I2276" s="20" t="n"/>
      <c r="J2276" s="20" t="n"/>
      <c r="K2276" s="20" t="n"/>
      <c r="L2276" s="25" t="n"/>
      <c r="M2276" s="20" t="n"/>
      <c r="N2276" s="20" t="n"/>
      <c r="O2276" s="20" t="n"/>
      <c r="P2276" s="20" t="n"/>
      <c r="Q2276" s="26" t="n"/>
      <c r="R2276" s="20" t="n"/>
      <c r="S2276" s="20" t="n"/>
    </row>
    <row r="2277">
      <c r="A2277" s="24" t="n"/>
      <c r="B2277" s="20" t="n"/>
      <c r="C2277" s="20" t="n"/>
      <c r="D2277" s="23" t="n"/>
      <c r="E2277" s="20" t="n"/>
      <c r="F2277" s="20" t="n"/>
      <c r="G2277" s="25" t="n"/>
      <c r="H2277" s="20" t="n"/>
      <c r="I2277" s="20" t="n"/>
      <c r="J2277" s="20" t="n"/>
      <c r="K2277" s="20" t="n"/>
      <c r="L2277" s="25" t="n"/>
      <c r="M2277" s="20" t="n"/>
      <c r="N2277" s="20" t="n"/>
      <c r="O2277" s="20" t="n"/>
      <c r="P2277" s="20" t="n"/>
      <c r="Q2277" s="26" t="n"/>
      <c r="R2277" s="20" t="n"/>
      <c r="S2277" s="20" t="n"/>
    </row>
    <row r="2278">
      <c r="A2278" s="24" t="n"/>
      <c r="B2278" s="20" t="n"/>
      <c r="C2278" s="20" t="n"/>
      <c r="D2278" s="23" t="n"/>
      <c r="E2278" s="20" t="n"/>
      <c r="F2278" s="20" t="n"/>
      <c r="G2278" s="25" t="n"/>
      <c r="H2278" s="20" t="n"/>
      <c r="I2278" s="20" t="n"/>
      <c r="J2278" s="20" t="n"/>
      <c r="K2278" s="20" t="n"/>
      <c r="L2278" s="25" t="n"/>
      <c r="M2278" s="20" t="n"/>
      <c r="N2278" s="20" t="n"/>
      <c r="O2278" s="20" t="n"/>
      <c r="P2278" s="20" t="n"/>
      <c r="Q2278" s="26" t="n"/>
      <c r="R2278" s="20" t="n"/>
      <c r="S2278" s="20" t="n"/>
    </row>
    <row r="2279">
      <c r="A2279" s="24" t="n"/>
      <c r="B2279" s="20" t="n"/>
      <c r="C2279" s="20" t="n"/>
      <c r="D2279" s="23" t="n"/>
      <c r="E2279" s="20" t="n"/>
      <c r="F2279" s="20" t="n"/>
      <c r="G2279" s="25" t="n"/>
      <c r="H2279" s="20" t="n"/>
      <c r="I2279" s="20" t="n"/>
      <c r="J2279" s="20" t="n"/>
      <c r="K2279" s="20" t="n"/>
      <c r="L2279" s="25" t="n"/>
      <c r="M2279" s="20" t="n"/>
      <c r="N2279" s="20" t="n"/>
      <c r="O2279" s="20" t="n"/>
      <c r="P2279" s="20" t="n"/>
      <c r="Q2279" s="26" t="n"/>
      <c r="R2279" s="20" t="n"/>
      <c r="S2279" s="20" t="n"/>
    </row>
    <row r="2280">
      <c r="A2280" s="24" t="n"/>
      <c r="B2280" s="20" t="n"/>
      <c r="C2280" s="20" t="n"/>
      <c r="D2280" s="23" t="n"/>
      <c r="E2280" s="20" t="n"/>
      <c r="F2280" s="20" t="n"/>
      <c r="G2280" s="25" t="n"/>
      <c r="H2280" s="20" t="n"/>
      <c r="I2280" s="20" t="n"/>
      <c r="J2280" s="20" t="n"/>
      <c r="K2280" s="20" t="n"/>
      <c r="L2280" s="25" t="n"/>
      <c r="M2280" s="20" t="n"/>
      <c r="N2280" s="20" t="n"/>
      <c r="O2280" s="20" t="n"/>
      <c r="P2280" s="20" t="n"/>
      <c r="Q2280" s="26" t="n"/>
      <c r="R2280" s="20" t="n"/>
      <c r="S2280" s="20" t="n"/>
    </row>
    <row r="2281">
      <c r="A2281" s="24" t="n"/>
      <c r="B2281" s="20" t="n"/>
      <c r="C2281" s="20" t="n"/>
      <c r="D2281" s="23" t="n"/>
      <c r="E2281" s="20" t="n"/>
      <c r="F2281" s="20" t="n"/>
      <c r="G2281" s="25" t="n"/>
      <c r="H2281" s="20" t="n"/>
      <c r="I2281" s="20" t="n"/>
      <c r="J2281" s="20" t="n"/>
      <c r="K2281" s="20" t="n"/>
      <c r="L2281" s="25" t="n"/>
      <c r="M2281" s="20" t="n"/>
      <c r="N2281" s="20" t="n"/>
      <c r="O2281" s="20" t="n"/>
      <c r="P2281" s="20" t="n"/>
      <c r="Q2281" s="26" t="n"/>
      <c r="R2281" s="20" t="n"/>
      <c r="S2281" s="20" t="n"/>
    </row>
    <row r="2282">
      <c r="A2282" s="24" t="n"/>
      <c r="B2282" s="20" t="n"/>
      <c r="C2282" s="20" t="n"/>
      <c r="D2282" s="23" t="n"/>
      <c r="E2282" s="20" t="n"/>
      <c r="F2282" s="20" t="n"/>
      <c r="G2282" s="25" t="n"/>
      <c r="H2282" s="20" t="n"/>
      <c r="I2282" s="20" t="n"/>
      <c r="J2282" s="20" t="n"/>
      <c r="K2282" s="20" t="n"/>
      <c r="L2282" s="25" t="n"/>
      <c r="M2282" s="20" t="n"/>
      <c r="N2282" s="20" t="n"/>
      <c r="O2282" s="20" t="n"/>
      <c r="P2282" s="20" t="n"/>
      <c r="Q2282" s="26" t="n"/>
      <c r="R2282" s="20" t="n"/>
      <c r="S2282" s="20" t="n"/>
    </row>
    <row r="2283">
      <c r="A2283" s="24" t="n"/>
      <c r="B2283" s="20" t="n"/>
      <c r="C2283" s="20" t="n"/>
      <c r="D2283" s="23" t="n"/>
      <c r="E2283" s="20" t="n"/>
      <c r="F2283" s="20" t="n"/>
      <c r="G2283" s="25" t="n"/>
      <c r="H2283" s="20" t="n"/>
      <c r="I2283" s="20" t="n"/>
      <c r="J2283" s="20" t="n"/>
      <c r="K2283" s="20" t="n"/>
      <c r="L2283" s="25" t="n"/>
      <c r="M2283" s="20" t="n"/>
      <c r="N2283" s="20" t="n"/>
      <c r="O2283" s="20" t="n"/>
      <c r="P2283" s="20" t="n"/>
      <c r="Q2283" s="26" t="n"/>
      <c r="R2283" s="20" t="n"/>
      <c r="S2283" s="20" t="n"/>
    </row>
    <row r="2284">
      <c r="A2284" s="24" t="n"/>
      <c r="B2284" s="20" t="n"/>
      <c r="C2284" s="20" t="n"/>
      <c r="D2284" s="23" t="n"/>
      <c r="E2284" s="20" t="n"/>
      <c r="F2284" s="20" t="n"/>
      <c r="G2284" s="25" t="n"/>
      <c r="H2284" s="20" t="n"/>
      <c r="I2284" s="20" t="n"/>
      <c r="J2284" s="20" t="n"/>
      <c r="K2284" s="20" t="n"/>
      <c r="L2284" s="25" t="n"/>
      <c r="M2284" s="20" t="n"/>
      <c r="N2284" s="20" t="n"/>
      <c r="O2284" s="20" t="n"/>
      <c r="P2284" s="20" t="n"/>
      <c r="Q2284" s="26" t="n"/>
      <c r="R2284" s="20" t="n"/>
      <c r="S2284" s="20" t="n"/>
    </row>
    <row r="2285">
      <c r="A2285" s="24" t="n"/>
      <c r="B2285" s="20" t="n"/>
      <c r="C2285" s="20" t="n"/>
      <c r="D2285" s="23" t="n"/>
      <c r="E2285" s="20" t="n"/>
      <c r="F2285" s="20" t="n"/>
      <c r="G2285" s="25" t="n"/>
      <c r="H2285" s="20" t="n"/>
      <c r="I2285" s="20" t="n"/>
      <c r="J2285" s="20" t="n"/>
      <c r="K2285" s="20" t="n"/>
      <c r="L2285" s="25" t="n"/>
      <c r="M2285" s="20" t="n"/>
      <c r="N2285" s="20" t="n"/>
      <c r="O2285" s="20" t="n"/>
      <c r="P2285" s="20" t="n"/>
      <c r="Q2285" s="26" t="n"/>
      <c r="R2285" s="20" t="n"/>
      <c r="S2285" s="20" t="n"/>
    </row>
    <row r="2286">
      <c r="A2286" s="24" t="n"/>
      <c r="B2286" s="20" t="n"/>
      <c r="C2286" s="20" t="n"/>
      <c r="D2286" s="23" t="n"/>
      <c r="E2286" s="20" t="n"/>
      <c r="F2286" s="20" t="n"/>
      <c r="G2286" s="25" t="n"/>
      <c r="H2286" s="20" t="n"/>
      <c r="I2286" s="20" t="n"/>
      <c r="J2286" s="20" t="n"/>
      <c r="K2286" s="20" t="n"/>
      <c r="L2286" s="25" t="n"/>
      <c r="M2286" s="20" t="n"/>
      <c r="N2286" s="20" t="n"/>
      <c r="O2286" s="20" t="n"/>
      <c r="P2286" s="20" t="n"/>
      <c r="Q2286" s="26" t="n"/>
      <c r="R2286" s="20" t="n"/>
      <c r="S2286" s="20" t="n"/>
    </row>
    <row r="2287">
      <c r="A2287" s="24" t="n"/>
      <c r="B2287" s="20" t="n"/>
      <c r="C2287" s="20" t="n"/>
      <c r="D2287" s="23" t="n"/>
      <c r="E2287" s="20" t="n"/>
      <c r="F2287" s="20" t="n"/>
      <c r="G2287" s="25" t="n"/>
      <c r="H2287" s="20" t="n"/>
      <c r="I2287" s="20" t="n"/>
      <c r="J2287" s="20" t="n"/>
      <c r="K2287" s="20" t="n"/>
      <c r="L2287" s="25" t="n"/>
      <c r="M2287" s="20" t="n"/>
      <c r="N2287" s="20" t="n"/>
      <c r="O2287" s="20" t="n"/>
      <c r="P2287" s="20" t="n"/>
      <c r="Q2287" s="26" t="n"/>
      <c r="R2287" s="20" t="n"/>
      <c r="S2287" s="20" t="n"/>
    </row>
    <row r="2288">
      <c r="A2288" s="24" t="n"/>
      <c r="B2288" s="20" t="n"/>
      <c r="C2288" s="20" t="n"/>
      <c r="D2288" s="23" t="n"/>
      <c r="E2288" s="20" t="n"/>
      <c r="F2288" s="20" t="n"/>
      <c r="G2288" s="25" t="n"/>
      <c r="H2288" s="20" t="n"/>
      <c r="I2288" s="20" t="n"/>
      <c r="J2288" s="20" t="n"/>
      <c r="K2288" s="20" t="n"/>
      <c r="L2288" s="25" t="n"/>
      <c r="M2288" s="20" t="n"/>
      <c r="N2288" s="20" t="n"/>
      <c r="O2288" s="20" t="n"/>
      <c r="P2288" s="20" t="n"/>
      <c r="Q2288" s="26" t="n"/>
      <c r="R2288" s="20" t="n"/>
      <c r="S2288" s="20" t="n"/>
    </row>
    <row r="2289">
      <c r="A2289" s="24" t="n"/>
      <c r="B2289" s="20" t="n"/>
      <c r="C2289" s="20" t="n"/>
      <c r="D2289" s="23" t="n"/>
      <c r="E2289" s="20" t="n"/>
      <c r="F2289" s="20" t="n"/>
      <c r="G2289" s="25" t="n"/>
      <c r="H2289" s="20" t="n"/>
      <c r="I2289" s="20" t="n"/>
      <c r="J2289" s="20" t="n"/>
      <c r="K2289" s="20" t="n"/>
      <c r="L2289" s="25" t="n"/>
      <c r="M2289" s="20" t="n"/>
      <c r="N2289" s="20" t="n"/>
      <c r="O2289" s="20" t="n"/>
      <c r="P2289" s="20" t="n"/>
      <c r="Q2289" s="26" t="n"/>
      <c r="R2289" s="20" t="n"/>
      <c r="S2289" s="20" t="n"/>
    </row>
    <row r="2290">
      <c r="A2290" s="24" t="n"/>
      <c r="B2290" s="20" t="n"/>
      <c r="C2290" s="20" t="n"/>
      <c r="D2290" s="23" t="n"/>
      <c r="E2290" s="20" t="n"/>
      <c r="F2290" s="20" t="n"/>
      <c r="G2290" s="25" t="n"/>
      <c r="H2290" s="20" t="n"/>
      <c r="I2290" s="20" t="n"/>
      <c r="J2290" s="20" t="n"/>
      <c r="K2290" s="20" t="n"/>
      <c r="L2290" s="25" t="n"/>
      <c r="M2290" s="20" t="n"/>
      <c r="N2290" s="20" t="n"/>
      <c r="O2290" s="20" t="n"/>
      <c r="P2290" s="20" t="n"/>
      <c r="Q2290" s="26" t="n"/>
      <c r="R2290" s="20" t="n"/>
      <c r="S2290" s="20" t="n"/>
    </row>
    <row r="2291">
      <c r="A2291" s="24" t="n"/>
      <c r="B2291" s="20" t="n"/>
      <c r="C2291" s="20" t="n"/>
      <c r="D2291" s="23" t="n"/>
      <c r="E2291" s="20" t="n"/>
      <c r="F2291" s="20" t="n"/>
      <c r="G2291" s="25" t="n"/>
      <c r="H2291" s="20" t="n"/>
      <c r="I2291" s="20" t="n"/>
      <c r="J2291" s="20" t="n"/>
      <c r="K2291" s="20" t="n"/>
      <c r="L2291" s="25" t="n"/>
      <c r="M2291" s="20" t="n"/>
      <c r="N2291" s="20" t="n"/>
      <c r="O2291" s="20" t="n"/>
      <c r="P2291" s="20" t="n"/>
      <c r="Q2291" s="26" t="n"/>
      <c r="R2291" s="20" t="n"/>
      <c r="S2291" s="20" t="n"/>
    </row>
    <row r="2292">
      <c r="A2292" s="24" t="n"/>
      <c r="B2292" s="20" t="n"/>
      <c r="C2292" s="20" t="n"/>
      <c r="D2292" s="23" t="n"/>
      <c r="E2292" s="20" t="n"/>
      <c r="F2292" s="20" t="n"/>
      <c r="G2292" s="25" t="n"/>
      <c r="H2292" s="20" t="n"/>
      <c r="I2292" s="20" t="n"/>
      <c r="J2292" s="20" t="n"/>
      <c r="K2292" s="20" t="n"/>
      <c r="L2292" s="25" t="n"/>
      <c r="M2292" s="20" t="n"/>
      <c r="N2292" s="20" t="n"/>
      <c r="O2292" s="20" t="n"/>
      <c r="P2292" s="20" t="n"/>
      <c r="Q2292" s="26" t="n"/>
      <c r="R2292" s="20" t="n"/>
      <c r="S2292" s="20" t="n"/>
    </row>
    <row r="2293">
      <c r="A2293" s="24" t="n"/>
      <c r="B2293" s="20" t="n"/>
      <c r="C2293" s="20" t="n"/>
      <c r="D2293" s="23" t="n"/>
      <c r="E2293" s="20" t="n"/>
      <c r="F2293" s="20" t="n"/>
      <c r="G2293" s="25" t="n"/>
      <c r="H2293" s="20" t="n"/>
      <c r="I2293" s="20" t="n"/>
      <c r="J2293" s="20" t="n"/>
      <c r="K2293" s="20" t="n"/>
      <c r="L2293" s="25" t="n"/>
      <c r="M2293" s="20" t="n"/>
      <c r="N2293" s="20" t="n"/>
      <c r="O2293" s="20" t="n"/>
      <c r="P2293" s="20" t="n"/>
      <c r="Q2293" s="26" t="n"/>
      <c r="R2293" s="20" t="n"/>
      <c r="S2293" s="20" t="n"/>
    </row>
    <row r="2294">
      <c r="A2294" s="24" t="n"/>
      <c r="B2294" s="20" t="n"/>
      <c r="C2294" s="20" t="n"/>
      <c r="D2294" s="23" t="n"/>
      <c r="E2294" s="20" t="n"/>
      <c r="F2294" s="20" t="n"/>
      <c r="G2294" s="25" t="n"/>
      <c r="H2294" s="20" t="n"/>
      <c r="I2294" s="20" t="n"/>
      <c r="J2294" s="20" t="n"/>
      <c r="K2294" s="20" t="n"/>
      <c r="L2294" s="25" t="n"/>
      <c r="M2294" s="20" t="n"/>
      <c r="N2294" s="20" t="n"/>
      <c r="O2294" s="20" t="n"/>
      <c r="P2294" s="20" t="n"/>
      <c r="Q2294" s="26" t="n"/>
      <c r="R2294" s="20" t="n"/>
      <c r="S2294" s="20" t="n"/>
    </row>
    <row r="2295">
      <c r="A2295" s="24" t="n"/>
      <c r="B2295" s="20" t="n"/>
      <c r="C2295" s="20" t="n"/>
      <c r="D2295" s="23" t="n"/>
      <c r="E2295" s="20" t="n"/>
      <c r="F2295" s="20" t="n"/>
      <c r="G2295" s="25" t="n"/>
      <c r="H2295" s="20" t="n"/>
      <c r="I2295" s="20" t="n"/>
      <c r="J2295" s="20" t="n"/>
      <c r="K2295" s="20" t="n"/>
      <c r="L2295" s="25" t="n"/>
      <c r="M2295" s="20" t="n"/>
      <c r="N2295" s="20" t="n"/>
      <c r="O2295" s="20" t="n"/>
      <c r="P2295" s="20" t="n"/>
      <c r="Q2295" s="26" t="n"/>
      <c r="R2295" s="20" t="n"/>
      <c r="S2295" s="20" t="n"/>
    </row>
    <row r="2296">
      <c r="A2296" s="24" t="n"/>
      <c r="B2296" s="20" t="n"/>
      <c r="C2296" s="20" t="n"/>
      <c r="D2296" s="23" t="n"/>
      <c r="E2296" s="20" t="n"/>
      <c r="F2296" s="20" t="n"/>
      <c r="G2296" s="25" t="n"/>
      <c r="H2296" s="20" t="n"/>
      <c r="I2296" s="20" t="n"/>
      <c r="J2296" s="20" t="n"/>
      <c r="K2296" s="20" t="n"/>
      <c r="L2296" s="25" t="n"/>
      <c r="M2296" s="20" t="n"/>
      <c r="N2296" s="20" t="n"/>
      <c r="O2296" s="20" t="n"/>
      <c r="P2296" s="20" t="n"/>
      <c r="Q2296" s="26" t="n"/>
      <c r="R2296" s="20" t="n"/>
      <c r="S2296" s="20" t="n"/>
    </row>
    <row r="2297">
      <c r="A2297" s="24" t="n"/>
      <c r="B2297" s="20" t="n"/>
      <c r="C2297" s="20" t="n"/>
      <c r="D2297" s="23" t="n"/>
      <c r="E2297" s="20" t="n"/>
      <c r="F2297" s="20" t="n"/>
      <c r="G2297" s="25" t="n"/>
      <c r="H2297" s="20" t="n"/>
      <c r="I2297" s="20" t="n"/>
      <c r="J2297" s="20" t="n"/>
      <c r="K2297" s="20" t="n"/>
      <c r="L2297" s="25" t="n"/>
      <c r="M2297" s="20" t="n"/>
      <c r="N2297" s="20" t="n"/>
      <c r="O2297" s="20" t="n"/>
      <c r="P2297" s="20" t="n"/>
      <c r="Q2297" s="26" t="n"/>
      <c r="R2297" s="20" t="n"/>
      <c r="S2297" s="20" t="n"/>
    </row>
    <row r="2298">
      <c r="A2298" s="24" t="n"/>
      <c r="B2298" s="20" t="n"/>
      <c r="C2298" s="20" t="n"/>
      <c r="D2298" s="23" t="n"/>
      <c r="E2298" s="20" t="n"/>
      <c r="F2298" s="20" t="n"/>
      <c r="G2298" s="25" t="n"/>
      <c r="H2298" s="20" t="n"/>
      <c r="I2298" s="20" t="n"/>
      <c r="J2298" s="20" t="n"/>
      <c r="K2298" s="20" t="n"/>
      <c r="L2298" s="25" t="n"/>
      <c r="M2298" s="20" t="n"/>
      <c r="N2298" s="20" t="n"/>
      <c r="O2298" s="20" t="n"/>
      <c r="P2298" s="20" t="n"/>
      <c r="Q2298" s="26" t="n"/>
      <c r="R2298" s="20" t="n"/>
      <c r="S2298" s="20" t="n"/>
    </row>
    <row r="2299">
      <c r="A2299" s="24" t="n"/>
      <c r="B2299" s="20" t="n"/>
      <c r="C2299" s="20" t="n"/>
      <c r="D2299" s="23" t="n"/>
      <c r="E2299" s="20" t="n"/>
      <c r="F2299" s="20" t="n"/>
      <c r="G2299" s="25" t="n"/>
      <c r="H2299" s="20" t="n"/>
      <c r="I2299" s="20" t="n"/>
      <c r="J2299" s="20" t="n"/>
      <c r="K2299" s="20" t="n"/>
      <c r="L2299" s="25" t="n"/>
      <c r="M2299" s="20" t="n"/>
      <c r="N2299" s="20" t="n"/>
      <c r="O2299" s="20" t="n"/>
      <c r="P2299" s="20" t="n"/>
      <c r="Q2299" s="26" t="n"/>
      <c r="R2299" s="20" t="n"/>
      <c r="S2299" s="20" t="n"/>
    </row>
    <row r="2300">
      <c r="A2300" s="24" t="n"/>
      <c r="B2300" s="20" t="n"/>
      <c r="C2300" s="20" t="n"/>
      <c r="D2300" s="23" t="n"/>
      <c r="E2300" s="20" t="n"/>
      <c r="F2300" s="20" t="n"/>
      <c r="G2300" s="25" t="n"/>
      <c r="H2300" s="20" t="n"/>
      <c r="I2300" s="20" t="n"/>
      <c r="J2300" s="20" t="n"/>
      <c r="K2300" s="20" t="n"/>
      <c r="L2300" s="25" t="n"/>
      <c r="M2300" s="20" t="n"/>
      <c r="N2300" s="20" t="n"/>
      <c r="O2300" s="20" t="n"/>
      <c r="P2300" s="20" t="n"/>
      <c r="Q2300" s="26" t="n"/>
      <c r="R2300" s="20" t="n"/>
      <c r="S2300" s="20" t="n"/>
    </row>
    <row r="2301">
      <c r="A2301" s="24" t="n"/>
      <c r="B2301" s="20" t="n"/>
      <c r="C2301" s="20" t="n"/>
      <c r="D2301" s="23" t="n"/>
      <c r="E2301" s="20" t="n"/>
      <c r="F2301" s="20" t="n"/>
      <c r="G2301" s="25" t="n"/>
      <c r="H2301" s="20" t="n"/>
      <c r="I2301" s="20" t="n"/>
      <c r="J2301" s="20" t="n"/>
      <c r="K2301" s="20" t="n"/>
      <c r="L2301" s="25" t="n"/>
      <c r="M2301" s="20" t="n"/>
      <c r="N2301" s="20" t="n"/>
      <c r="O2301" s="20" t="n"/>
      <c r="P2301" s="20" t="n"/>
      <c r="Q2301" s="26" t="n"/>
      <c r="R2301" s="20" t="n"/>
      <c r="S2301" s="20" t="n"/>
    </row>
    <row r="2302">
      <c r="A2302" s="24" t="n"/>
      <c r="B2302" s="20" t="n"/>
      <c r="C2302" s="20" t="n"/>
      <c r="D2302" s="23" t="n"/>
      <c r="E2302" s="20" t="n"/>
      <c r="F2302" s="20" t="n"/>
      <c r="G2302" s="25" t="n"/>
      <c r="H2302" s="20" t="n"/>
      <c r="I2302" s="20" t="n"/>
      <c r="J2302" s="20" t="n"/>
      <c r="K2302" s="20" t="n"/>
      <c r="L2302" s="25" t="n"/>
      <c r="M2302" s="20" t="n"/>
      <c r="N2302" s="20" t="n"/>
      <c r="O2302" s="20" t="n"/>
      <c r="P2302" s="20" t="n"/>
      <c r="Q2302" s="26" t="n"/>
      <c r="R2302" s="20" t="n"/>
      <c r="S2302" s="20" t="n"/>
    </row>
    <row r="2303">
      <c r="A2303" s="24" t="n"/>
      <c r="B2303" s="20" t="n"/>
      <c r="C2303" s="20" t="n"/>
      <c r="D2303" s="23" t="n"/>
      <c r="E2303" s="20" t="n"/>
      <c r="F2303" s="20" t="n"/>
      <c r="G2303" s="25" t="n"/>
      <c r="H2303" s="20" t="n"/>
      <c r="I2303" s="20" t="n"/>
      <c r="J2303" s="20" t="n"/>
      <c r="K2303" s="20" t="n"/>
      <c r="L2303" s="25" t="n"/>
      <c r="M2303" s="20" t="n"/>
      <c r="N2303" s="20" t="n"/>
      <c r="O2303" s="20" t="n"/>
      <c r="P2303" s="20" t="n"/>
      <c r="Q2303" s="26" t="n"/>
      <c r="R2303" s="20" t="n"/>
      <c r="S2303" s="20" t="n"/>
    </row>
    <row r="2304">
      <c r="A2304" s="24" t="n"/>
      <c r="B2304" s="20" t="n"/>
      <c r="C2304" s="20" t="n"/>
      <c r="D2304" s="23" t="n"/>
      <c r="E2304" s="20" t="n"/>
      <c r="F2304" s="20" t="n"/>
      <c r="G2304" s="25" t="n"/>
      <c r="H2304" s="20" t="n"/>
      <c r="I2304" s="20" t="n"/>
      <c r="J2304" s="20" t="n"/>
      <c r="K2304" s="20" t="n"/>
      <c r="L2304" s="25" t="n"/>
      <c r="M2304" s="20" t="n"/>
      <c r="N2304" s="20" t="n"/>
      <c r="O2304" s="20" t="n"/>
      <c r="P2304" s="20" t="n"/>
      <c r="Q2304" s="26" t="n"/>
      <c r="R2304" s="20" t="n"/>
      <c r="S2304" s="20" t="n"/>
    </row>
    <row r="2305">
      <c r="A2305" s="24" t="n"/>
      <c r="B2305" s="20" t="n"/>
      <c r="C2305" s="20" t="n"/>
      <c r="D2305" s="23" t="n"/>
      <c r="E2305" s="20" t="n"/>
      <c r="F2305" s="20" t="n"/>
      <c r="G2305" s="25" t="n"/>
      <c r="H2305" s="20" t="n"/>
      <c r="I2305" s="20" t="n"/>
      <c r="J2305" s="20" t="n"/>
      <c r="K2305" s="20" t="n"/>
      <c r="L2305" s="25" t="n"/>
      <c r="M2305" s="20" t="n"/>
      <c r="N2305" s="20" t="n"/>
      <c r="O2305" s="20" t="n"/>
      <c r="P2305" s="20" t="n"/>
      <c r="Q2305" s="26" t="n"/>
      <c r="R2305" s="20" t="n"/>
      <c r="S2305" s="20" t="n"/>
    </row>
    <row r="2306">
      <c r="A2306" s="24" t="n"/>
      <c r="B2306" s="20" t="n"/>
      <c r="C2306" s="20" t="n"/>
      <c r="D2306" s="23" t="n"/>
      <c r="E2306" s="20" t="n"/>
      <c r="F2306" s="20" t="n"/>
      <c r="G2306" s="25" t="n"/>
      <c r="H2306" s="20" t="n"/>
      <c r="I2306" s="20" t="n"/>
      <c r="J2306" s="20" t="n"/>
      <c r="K2306" s="20" t="n"/>
      <c r="L2306" s="25" t="n"/>
      <c r="M2306" s="20" t="n"/>
      <c r="N2306" s="20" t="n"/>
      <c r="O2306" s="20" t="n"/>
      <c r="P2306" s="20" t="n"/>
      <c r="Q2306" s="26" t="n"/>
      <c r="R2306" s="20" t="n"/>
      <c r="S2306" s="20" t="n"/>
    </row>
    <row r="2307">
      <c r="A2307" s="24" t="n"/>
      <c r="B2307" s="20" t="n"/>
      <c r="C2307" s="20" t="n"/>
      <c r="D2307" s="23" t="n"/>
      <c r="E2307" s="20" t="n"/>
      <c r="F2307" s="20" t="n"/>
      <c r="G2307" s="25" t="n"/>
      <c r="H2307" s="20" t="n"/>
      <c r="I2307" s="20" t="n"/>
      <c r="J2307" s="20" t="n"/>
      <c r="K2307" s="20" t="n"/>
      <c r="L2307" s="25" t="n"/>
      <c r="M2307" s="20" t="n"/>
      <c r="N2307" s="20" t="n"/>
      <c r="O2307" s="20" t="n"/>
      <c r="P2307" s="20" t="n"/>
      <c r="Q2307" s="26" t="n"/>
      <c r="R2307" s="20" t="n"/>
      <c r="S2307" s="20" t="n"/>
    </row>
    <row r="2308">
      <c r="A2308" s="24" t="n"/>
      <c r="B2308" s="20" t="n"/>
      <c r="C2308" s="20" t="n"/>
      <c r="D2308" s="23" t="n"/>
      <c r="E2308" s="20" t="n"/>
      <c r="F2308" s="20" t="n"/>
      <c r="G2308" s="25" t="n"/>
      <c r="H2308" s="20" t="n"/>
      <c r="I2308" s="20" t="n"/>
      <c r="J2308" s="20" t="n"/>
      <c r="K2308" s="20" t="n"/>
      <c r="L2308" s="25" t="n"/>
      <c r="M2308" s="20" t="n"/>
      <c r="N2308" s="20" t="n"/>
      <c r="O2308" s="20" t="n"/>
      <c r="P2308" s="20" t="n"/>
      <c r="Q2308" s="26" t="n"/>
      <c r="R2308" s="20" t="n"/>
      <c r="S2308" s="20" t="n"/>
    </row>
    <row r="2309">
      <c r="A2309" s="24" t="n"/>
      <c r="B2309" s="20" t="n"/>
      <c r="C2309" s="20" t="n"/>
      <c r="D2309" s="23" t="n"/>
      <c r="E2309" s="20" t="n"/>
      <c r="F2309" s="20" t="n"/>
      <c r="G2309" s="25" t="n"/>
      <c r="H2309" s="20" t="n"/>
      <c r="I2309" s="20" t="n"/>
      <c r="J2309" s="20" t="n"/>
      <c r="K2309" s="20" t="n"/>
      <c r="L2309" s="25" t="n"/>
      <c r="M2309" s="20" t="n"/>
      <c r="N2309" s="20" t="n"/>
      <c r="O2309" s="20" t="n"/>
      <c r="P2309" s="20" t="n"/>
      <c r="Q2309" s="26" t="n"/>
      <c r="R2309" s="20" t="n"/>
      <c r="S2309" s="20" t="n"/>
    </row>
    <row r="2310">
      <c r="A2310" s="24" t="n"/>
      <c r="B2310" s="20" t="n"/>
      <c r="C2310" s="20" t="n"/>
      <c r="D2310" s="23" t="n"/>
      <c r="E2310" s="20" t="n"/>
      <c r="F2310" s="20" t="n"/>
      <c r="G2310" s="25" t="n"/>
      <c r="H2310" s="20" t="n"/>
      <c r="I2310" s="20" t="n"/>
      <c r="J2310" s="20" t="n"/>
      <c r="K2310" s="20" t="n"/>
      <c r="L2310" s="25" t="n"/>
      <c r="M2310" s="20" t="n"/>
      <c r="N2310" s="20" t="n"/>
      <c r="O2310" s="20" t="n"/>
      <c r="P2310" s="20" t="n"/>
      <c r="Q2310" s="26" t="n"/>
      <c r="R2310" s="20" t="n"/>
      <c r="S2310" s="20" t="n"/>
    </row>
    <row r="2311">
      <c r="A2311" s="24" t="n"/>
      <c r="B2311" s="20" t="n"/>
      <c r="C2311" s="20" t="n"/>
      <c r="D2311" s="23" t="n"/>
      <c r="E2311" s="20" t="n"/>
      <c r="F2311" s="20" t="n"/>
      <c r="G2311" s="25" t="n"/>
      <c r="H2311" s="20" t="n"/>
      <c r="I2311" s="20" t="n"/>
      <c r="J2311" s="20" t="n"/>
      <c r="K2311" s="20" t="n"/>
      <c r="L2311" s="25" t="n"/>
      <c r="M2311" s="20" t="n"/>
      <c r="N2311" s="20" t="n"/>
      <c r="O2311" s="20" t="n"/>
      <c r="P2311" s="20" t="n"/>
      <c r="Q2311" s="26" t="n"/>
      <c r="R2311" s="20" t="n"/>
      <c r="S2311" s="20" t="n"/>
    </row>
    <row r="2312">
      <c r="A2312" s="24" t="n"/>
      <c r="B2312" s="20" t="n"/>
      <c r="C2312" s="20" t="n"/>
      <c r="D2312" s="23" t="n"/>
      <c r="E2312" s="20" t="n"/>
      <c r="F2312" s="20" t="n"/>
      <c r="G2312" s="25" t="n"/>
      <c r="H2312" s="20" t="n"/>
      <c r="I2312" s="20" t="n"/>
      <c r="J2312" s="20" t="n"/>
      <c r="K2312" s="20" t="n"/>
      <c r="L2312" s="25" t="n"/>
      <c r="M2312" s="20" t="n"/>
      <c r="N2312" s="20" t="n"/>
      <c r="O2312" s="20" t="n"/>
      <c r="P2312" s="20" t="n"/>
      <c r="Q2312" s="26" t="n"/>
      <c r="R2312" s="20" t="n"/>
      <c r="S2312" s="20" t="n"/>
    </row>
    <row r="2313">
      <c r="A2313" s="24" t="n"/>
      <c r="B2313" s="20" t="n"/>
      <c r="C2313" s="20" t="n"/>
      <c r="D2313" s="23" t="n"/>
      <c r="E2313" s="20" t="n"/>
      <c r="F2313" s="20" t="n"/>
      <c r="G2313" s="25" t="n"/>
      <c r="H2313" s="20" t="n"/>
      <c r="I2313" s="20" t="n"/>
      <c r="J2313" s="20" t="n"/>
      <c r="K2313" s="20" t="n"/>
      <c r="L2313" s="25" t="n"/>
      <c r="M2313" s="20" t="n"/>
      <c r="N2313" s="20" t="n"/>
      <c r="O2313" s="20" t="n"/>
      <c r="P2313" s="20" t="n"/>
      <c r="Q2313" s="26" t="n"/>
      <c r="R2313" s="20" t="n"/>
      <c r="S2313" s="20" t="n"/>
    </row>
    <row r="2314">
      <c r="A2314" s="24" t="n"/>
      <c r="B2314" s="20" t="n"/>
      <c r="C2314" s="20" t="n"/>
      <c r="D2314" s="23" t="n"/>
      <c r="E2314" s="20" t="n"/>
      <c r="F2314" s="20" t="n"/>
      <c r="G2314" s="25" t="n"/>
      <c r="H2314" s="20" t="n"/>
      <c r="I2314" s="20" t="n"/>
      <c r="J2314" s="20" t="n"/>
      <c r="K2314" s="20" t="n"/>
      <c r="L2314" s="25" t="n"/>
      <c r="M2314" s="20" t="n"/>
      <c r="N2314" s="20" t="n"/>
      <c r="O2314" s="20" t="n"/>
      <c r="P2314" s="20" t="n"/>
      <c r="Q2314" s="26" t="n"/>
      <c r="R2314" s="20" t="n"/>
      <c r="S2314" s="20" t="n"/>
    </row>
    <row r="2315">
      <c r="A2315" s="24" t="n"/>
      <c r="B2315" s="20" t="n"/>
      <c r="C2315" s="20" t="n"/>
      <c r="D2315" s="23" t="n"/>
      <c r="E2315" s="20" t="n"/>
      <c r="F2315" s="20" t="n"/>
      <c r="G2315" s="25" t="n"/>
      <c r="H2315" s="20" t="n"/>
      <c r="I2315" s="20" t="n"/>
      <c r="J2315" s="20" t="n"/>
      <c r="K2315" s="20" t="n"/>
      <c r="L2315" s="25" t="n"/>
      <c r="M2315" s="20" t="n"/>
      <c r="N2315" s="20" t="n"/>
      <c r="O2315" s="20" t="n"/>
      <c r="P2315" s="20" t="n"/>
      <c r="Q2315" s="26" t="n"/>
      <c r="R2315" s="20" t="n"/>
      <c r="S2315" s="20" t="n"/>
    </row>
    <row r="2316">
      <c r="A2316" s="24" t="n"/>
      <c r="B2316" s="20" t="n"/>
      <c r="C2316" s="20" t="n"/>
      <c r="D2316" s="23" t="n"/>
      <c r="E2316" s="20" t="n"/>
      <c r="F2316" s="20" t="n"/>
      <c r="G2316" s="25" t="n"/>
      <c r="H2316" s="20" t="n"/>
      <c r="I2316" s="20" t="n"/>
      <c r="J2316" s="20" t="n"/>
      <c r="K2316" s="20" t="n"/>
      <c r="L2316" s="25" t="n"/>
      <c r="M2316" s="20" t="n"/>
      <c r="N2316" s="20" t="n"/>
      <c r="O2316" s="20" t="n"/>
      <c r="P2316" s="20" t="n"/>
      <c r="Q2316" s="26" t="n"/>
      <c r="R2316" s="20" t="n"/>
      <c r="S2316" s="20" t="n"/>
    </row>
    <row r="2317">
      <c r="A2317" s="24" t="n"/>
      <c r="B2317" s="20" t="n"/>
      <c r="C2317" s="20" t="n"/>
      <c r="D2317" s="23" t="n"/>
      <c r="E2317" s="20" t="n"/>
      <c r="F2317" s="20" t="n"/>
      <c r="G2317" s="25" t="n"/>
      <c r="H2317" s="20" t="n"/>
      <c r="I2317" s="20" t="n"/>
      <c r="J2317" s="20" t="n"/>
      <c r="K2317" s="20" t="n"/>
      <c r="L2317" s="25" t="n"/>
      <c r="M2317" s="20" t="n"/>
      <c r="N2317" s="20" t="n"/>
      <c r="O2317" s="20" t="n"/>
      <c r="P2317" s="20" t="n"/>
      <c r="Q2317" s="26" t="n"/>
      <c r="R2317" s="20" t="n"/>
      <c r="S2317" s="20" t="n"/>
    </row>
    <row r="2318">
      <c r="A2318" s="24" t="n"/>
      <c r="B2318" s="20" t="n"/>
      <c r="C2318" s="20" t="n"/>
      <c r="D2318" s="23" t="n"/>
      <c r="E2318" s="20" t="n"/>
      <c r="F2318" s="20" t="n"/>
      <c r="G2318" s="25" t="n"/>
      <c r="H2318" s="20" t="n"/>
      <c r="I2318" s="20" t="n"/>
      <c r="J2318" s="20" t="n"/>
      <c r="K2318" s="20" t="n"/>
      <c r="L2318" s="25" t="n"/>
      <c r="M2318" s="20" t="n"/>
      <c r="N2318" s="20" t="n"/>
      <c r="O2318" s="20" t="n"/>
      <c r="P2318" s="20" t="n"/>
      <c r="Q2318" s="26" t="n"/>
      <c r="R2318" s="20" t="n"/>
      <c r="S2318" s="20" t="n"/>
    </row>
    <row r="2319">
      <c r="A2319" s="24" t="n"/>
      <c r="B2319" s="20" t="n"/>
      <c r="C2319" s="20" t="n"/>
      <c r="D2319" s="23" t="n"/>
      <c r="E2319" s="20" t="n"/>
      <c r="F2319" s="20" t="n"/>
      <c r="G2319" s="25" t="n"/>
      <c r="H2319" s="20" t="n"/>
      <c r="I2319" s="20" t="n"/>
      <c r="J2319" s="20" t="n"/>
      <c r="K2319" s="20" t="n"/>
      <c r="L2319" s="25" t="n"/>
      <c r="M2319" s="20" t="n"/>
      <c r="N2319" s="20" t="n"/>
      <c r="O2319" s="20" t="n"/>
      <c r="P2319" s="20" t="n"/>
      <c r="Q2319" s="26" t="n"/>
      <c r="R2319" s="20" t="n"/>
      <c r="S2319" s="20" t="n"/>
    </row>
    <row r="2320">
      <c r="A2320" s="24" t="n"/>
      <c r="B2320" s="20" t="n"/>
      <c r="C2320" s="20" t="n"/>
      <c r="D2320" s="23" t="n"/>
      <c r="E2320" s="20" t="n"/>
      <c r="F2320" s="20" t="n"/>
      <c r="G2320" s="25" t="n"/>
      <c r="H2320" s="20" t="n"/>
      <c r="I2320" s="20" t="n"/>
      <c r="J2320" s="20" t="n"/>
      <c r="K2320" s="20" t="n"/>
      <c r="L2320" s="25" t="n"/>
      <c r="M2320" s="20" t="n"/>
      <c r="N2320" s="20" t="n"/>
      <c r="O2320" s="20" t="n"/>
      <c r="P2320" s="20" t="n"/>
      <c r="Q2320" s="26" t="n"/>
      <c r="R2320" s="20" t="n"/>
      <c r="S2320" s="20" t="n"/>
    </row>
    <row r="2321">
      <c r="A2321" s="24" t="n"/>
      <c r="B2321" s="20" t="n"/>
      <c r="C2321" s="20" t="n"/>
      <c r="D2321" s="23" t="n"/>
      <c r="E2321" s="20" t="n"/>
      <c r="F2321" s="20" t="n"/>
      <c r="G2321" s="25" t="n"/>
      <c r="H2321" s="20" t="n"/>
      <c r="I2321" s="20" t="n"/>
      <c r="J2321" s="20" t="n"/>
      <c r="K2321" s="20" t="n"/>
      <c r="L2321" s="25" t="n"/>
      <c r="M2321" s="20" t="n"/>
      <c r="N2321" s="20" t="n"/>
      <c r="O2321" s="20" t="n"/>
      <c r="P2321" s="20" t="n"/>
      <c r="Q2321" s="26" t="n"/>
      <c r="R2321" s="20" t="n"/>
      <c r="S2321" s="20" t="n"/>
    </row>
    <row r="2322">
      <c r="A2322" s="24" t="n"/>
      <c r="B2322" s="20" t="n"/>
      <c r="C2322" s="20" t="n"/>
      <c r="D2322" s="23" t="n"/>
      <c r="E2322" s="20" t="n"/>
      <c r="F2322" s="20" t="n"/>
      <c r="G2322" s="25" t="n"/>
      <c r="H2322" s="20" t="n"/>
      <c r="I2322" s="20" t="n"/>
      <c r="J2322" s="20" t="n"/>
      <c r="K2322" s="20" t="n"/>
      <c r="L2322" s="25" t="n"/>
      <c r="M2322" s="20" t="n"/>
      <c r="N2322" s="20" t="n"/>
      <c r="O2322" s="20" t="n"/>
      <c r="P2322" s="20" t="n"/>
      <c r="Q2322" s="26" t="n"/>
      <c r="R2322" s="20" t="n"/>
      <c r="S2322" s="20" t="n"/>
    </row>
    <row r="2323">
      <c r="A2323" s="24" t="n"/>
      <c r="B2323" s="20" t="n"/>
      <c r="C2323" s="20" t="n"/>
      <c r="D2323" s="23" t="n"/>
      <c r="E2323" s="20" t="n"/>
      <c r="F2323" s="20" t="n"/>
      <c r="G2323" s="25" t="n"/>
      <c r="H2323" s="20" t="n"/>
      <c r="I2323" s="20" t="n"/>
      <c r="J2323" s="20" t="n"/>
      <c r="K2323" s="20" t="n"/>
      <c r="L2323" s="25" t="n"/>
      <c r="M2323" s="20" t="n"/>
      <c r="N2323" s="20" t="n"/>
      <c r="O2323" s="20" t="n"/>
      <c r="P2323" s="20" t="n"/>
      <c r="Q2323" s="26" t="n"/>
      <c r="R2323" s="20" t="n"/>
      <c r="S2323" s="20" t="n"/>
    </row>
    <row r="2324">
      <c r="A2324" s="24" t="n"/>
      <c r="B2324" s="20" t="n"/>
      <c r="C2324" s="20" t="n"/>
      <c r="D2324" s="23" t="n"/>
      <c r="E2324" s="20" t="n"/>
      <c r="F2324" s="20" t="n"/>
      <c r="G2324" s="25" t="n"/>
      <c r="H2324" s="20" t="n"/>
      <c r="I2324" s="20" t="n"/>
      <c r="J2324" s="20" t="n"/>
      <c r="K2324" s="20" t="n"/>
      <c r="L2324" s="25" t="n"/>
      <c r="M2324" s="20" t="n"/>
      <c r="N2324" s="20" t="n"/>
      <c r="O2324" s="20" t="n"/>
      <c r="P2324" s="20" t="n"/>
      <c r="Q2324" s="26" t="n"/>
      <c r="R2324" s="20" t="n"/>
      <c r="S2324" s="20" t="n"/>
    </row>
    <row r="2325">
      <c r="A2325" s="24" t="n"/>
      <c r="B2325" s="20" t="n"/>
      <c r="C2325" s="20" t="n"/>
      <c r="D2325" s="23" t="n"/>
      <c r="E2325" s="20" t="n"/>
      <c r="F2325" s="20" t="n"/>
      <c r="G2325" s="25" t="n"/>
      <c r="H2325" s="20" t="n"/>
      <c r="I2325" s="20" t="n"/>
      <c r="J2325" s="20" t="n"/>
      <c r="K2325" s="20" t="n"/>
      <c r="L2325" s="25" t="n"/>
      <c r="M2325" s="20" t="n"/>
      <c r="N2325" s="20" t="n"/>
      <c r="O2325" s="20" t="n"/>
      <c r="P2325" s="20" t="n"/>
      <c r="Q2325" s="26" t="n"/>
      <c r="R2325" s="20" t="n"/>
      <c r="S2325" s="20" t="n"/>
    </row>
    <row r="2326">
      <c r="A2326" s="24" t="n"/>
      <c r="B2326" s="20" t="n"/>
      <c r="C2326" s="20" t="n"/>
      <c r="D2326" s="23" t="n"/>
      <c r="E2326" s="20" t="n"/>
      <c r="F2326" s="20" t="n"/>
      <c r="G2326" s="25" t="n"/>
      <c r="H2326" s="20" t="n"/>
      <c r="I2326" s="20" t="n"/>
      <c r="J2326" s="20" t="n"/>
      <c r="K2326" s="20" t="n"/>
      <c r="L2326" s="25" t="n"/>
      <c r="M2326" s="20" t="n"/>
      <c r="N2326" s="20" t="n"/>
      <c r="O2326" s="20" t="n"/>
      <c r="P2326" s="20" t="n"/>
      <c r="Q2326" s="26" t="n"/>
      <c r="R2326" s="20" t="n"/>
      <c r="S2326" s="20" t="n"/>
    </row>
    <row r="2327">
      <c r="A2327" s="24" t="n"/>
      <c r="B2327" s="20" t="n"/>
      <c r="C2327" s="20" t="n"/>
      <c r="D2327" s="23" t="n"/>
      <c r="E2327" s="20" t="n"/>
      <c r="F2327" s="20" t="n"/>
      <c r="G2327" s="25" t="n"/>
      <c r="H2327" s="20" t="n"/>
      <c r="I2327" s="20" t="n"/>
      <c r="J2327" s="20" t="n"/>
      <c r="K2327" s="20" t="n"/>
      <c r="L2327" s="25" t="n"/>
      <c r="M2327" s="20" t="n"/>
      <c r="N2327" s="20" t="n"/>
      <c r="O2327" s="20" t="n"/>
      <c r="P2327" s="20" t="n"/>
      <c r="Q2327" s="26" t="n"/>
      <c r="R2327" s="20" t="n"/>
      <c r="S2327" s="20" t="n"/>
    </row>
    <row r="2328">
      <c r="A2328" s="24" t="n"/>
      <c r="B2328" s="20" t="n"/>
      <c r="C2328" s="20" t="n"/>
      <c r="D2328" s="23" t="n"/>
      <c r="E2328" s="20" t="n"/>
      <c r="F2328" s="20" t="n"/>
      <c r="G2328" s="25" t="n"/>
      <c r="H2328" s="20" t="n"/>
      <c r="I2328" s="20" t="n"/>
      <c r="J2328" s="20" t="n"/>
      <c r="K2328" s="20" t="n"/>
      <c r="L2328" s="25" t="n"/>
      <c r="M2328" s="20" t="n"/>
      <c r="N2328" s="20" t="n"/>
      <c r="O2328" s="20" t="n"/>
      <c r="P2328" s="20" t="n"/>
      <c r="Q2328" s="26" t="n"/>
      <c r="R2328" s="20" t="n"/>
      <c r="S2328" s="20" t="n"/>
    </row>
    <row r="2329">
      <c r="A2329" s="24" t="n"/>
      <c r="B2329" s="20" t="n"/>
      <c r="C2329" s="20" t="n"/>
      <c r="D2329" s="23" t="n"/>
      <c r="E2329" s="20" t="n"/>
      <c r="F2329" s="20" t="n"/>
      <c r="G2329" s="25" t="n"/>
      <c r="H2329" s="20" t="n"/>
      <c r="I2329" s="20" t="n"/>
      <c r="J2329" s="20" t="n"/>
      <c r="K2329" s="20" t="n"/>
      <c r="L2329" s="25" t="n"/>
      <c r="M2329" s="20" t="n"/>
      <c r="N2329" s="20" t="n"/>
      <c r="O2329" s="20" t="n"/>
      <c r="P2329" s="20" t="n"/>
      <c r="Q2329" s="26" t="n"/>
      <c r="R2329" s="20" t="n"/>
      <c r="S2329" s="20" t="n"/>
    </row>
    <row r="2330">
      <c r="A2330" s="24" t="n"/>
      <c r="B2330" s="20" t="n"/>
      <c r="C2330" s="20" t="n"/>
      <c r="D2330" s="23" t="n"/>
      <c r="E2330" s="20" t="n"/>
      <c r="F2330" s="20" t="n"/>
      <c r="G2330" s="25" t="n"/>
      <c r="H2330" s="20" t="n"/>
      <c r="I2330" s="20" t="n"/>
      <c r="J2330" s="20" t="n"/>
      <c r="K2330" s="20" t="n"/>
      <c r="L2330" s="25" t="n"/>
      <c r="M2330" s="20" t="n"/>
      <c r="N2330" s="20" t="n"/>
      <c r="O2330" s="20" t="n"/>
      <c r="P2330" s="20" t="n"/>
      <c r="Q2330" s="26" t="n"/>
      <c r="R2330" s="20" t="n"/>
      <c r="S2330" s="20" t="n"/>
    </row>
    <row r="2331">
      <c r="A2331" s="24" t="n"/>
      <c r="B2331" s="20" t="n"/>
      <c r="C2331" s="20" t="n"/>
      <c r="D2331" s="23" t="n"/>
      <c r="E2331" s="20" t="n"/>
      <c r="F2331" s="20" t="n"/>
      <c r="G2331" s="25" t="n"/>
      <c r="H2331" s="20" t="n"/>
      <c r="I2331" s="20" t="n"/>
      <c r="J2331" s="20" t="n"/>
      <c r="K2331" s="20" t="n"/>
      <c r="L2331" s="25" t="n"/>
      <c r="M2331" s="20" t="n"/>
      <c r="N2331" s="20" t="n"/>
      <c r="O2331" s="20" t="n"/>
      <c r="P2331" s="20" t="n"/>
      <c r="Q2331" s="26" t="n"/>
      <c r="R2331" s="20" t="n"/>
      <c r="S2331" s="20" t="n"/>
    </row>
    <row r="2332">
      <c r="A2332" s="24" t="n"/>
      <c r="B2332" s="20" t="n"/>
      <c r="C2332" s="20" t="n"/>
      <c r="D2332" s="23" t="n"/>
      <c r="E2332" s="20" t="n"/>
      <c r="F2332" s="20" t="n"/>
      <c r="G2332" s="25" t="n"/>
      <c r="H2332" s="20" t="n"/>
      <c r="I2332" s="20" t="n"/>
      <c r="J2332" s="20" t="n"/>
      <c r="K2332" s="20" t="n"/>
      <c r="L2332" s="25" t="n"/>
      <c r="M2332" s="20" t="n"/>
      <c r="N2332" s="20" t="n"/>
      <c r="O2332" s="20" t="n"/>
      <c r="P2332" s="20" t="n"/>
      <c r="Q2332" s="26" t="n"/>
      <c r="R2332" s="20" t="n"/>
      <c r="S2332" s="20" t="n"/>
    </row>
    <row r="2333">
      <c r="A2333" s="24" t="n"/>
      <c r="B2333" s="20" t="n"/>
      <c r="C2333" s="20" t="n"/>
      <c r="D2333" s="23" t="n"/>
      <c r="E2333" s="20" t="n"/>
      <c r="F2333" s="20" t="n"/>
      <c r="G2333" s="25" t="n"/>
      <c r="H2333" s="20" t="n"/>
      <c r="I2333" s="20" t="n"/>
      <c r="J2333" s="20" t="n"/>
      <c r="K2333" s="20" t="n"/>
      <c r="L2333" s="25" t="n"/>
      <c r="M2333" s="20" t="n"/>
      <c r="N2333" s="20" t="n"/>
      <c r="O2333" s="20" t="n"/>
      <c r="P2333" s="20" t="n"/>
      <c r="Q2333" s="26" t="n"/>
      <c r="R2333" s="20" t="n"/>
      <c r="S2333" s="20" t="n"/>
    </row>
    <row r="2334">
      <c r="A2334" s="24" t="n"/>
      <c r="B2334" s="20" t="n"/>
      <c r="C2334" s="20" t="n"/>
      <c r="D2334" s="23" t="n"/>
      <c r="E2334" s="20" t="n"/>
      <c r="F2334" s="20" t="n"/>
      <c r="G2334" s="25" t="n"/>
      <c r="H2334" s="20" t="n"/>
      <c r="I2334" s="20" t="n"/>
      <c r="J2334" s="20" t="n"/>
      <c r="K2334" s="20" t="n"/>
      <c r="L2334" s="25" t="n"/>
      <c r="M2334" s="20" t="n"/>
      <c r="N2334" s="20" t="n"/>
      <c r="O2334" s="20" t="n"/>
      <c r="P2334" s="20" t="n"/>
      <c r="Q2334" s="26" t="n"/>
      <c r="R2334" s="20" t="n"/>
      <c r="S2334" s="20" t="n"/>
    </row>
    <row r="2335">
      <c r="A2335" s="24" t="n"/>
      <c r="B2335" s="20" t="n"/>
      <c r="C2335" s="20" t="n"/>
      <c r="D2335" s="23" t="n"/>
      <c r="E2335" s="20" t="n"/>
      <c r="F2335" s="20" t="n"/>
      <c r="G2335" s="25" t="n"/>
      <c r="H2335" s="20" t="n"/>
      <c r="I2335" s="20" t="n"/>
      <c r="J2335" s="20" t="n"/>
      <c r="K2335" s="20" t="n"/>
      <c r="L2335" s="25" t="n"/>
      <c r="M2335" s="20" t="n"/>
      <c r="N2335" s="20" t="n"/>
      <c r="O2335" s="20" t="n"/>
      <c r="P2335" s="20" t="n"/>
      <c r="Q2335" s="26" t="n"/>
      <c r="R2335" s="20" t="n"/>
      <c r="S2335" s="20" t="n"/>
    </row>
    <row r="2336">
      <c r="A2336" s="24" t="n"/>
      <c r="B2336" s="20" t="n"/>
      <c r="C2336" s="20" t="n"/>
      <c r="D2336" s="23" t="n"/>
      <c r="E2336" s="20" t="n"/>
      <c r="F2336" s="20" t="n"/>
      <c r="G2336" s="25" t="n"/>
      <c r="H2336" s="20" t="n"/>
      <c r="I2336" s="20" t="n"/>
      <c r="J2336" s="20" t="n"/>
      <c r="K2336" s="20" t="n"/>
      <c r="L2336" s="25" t="n"/>
      <c r="M2336" s="20" t="n"/>
      <c r="N2336" s="20" t="n"/>
      <c r="O2336" s="20" t="n"/>
      <c r="P2336" s="20" t="n"/>
      <c r="Q2336" s="26" t="n"/>
      <c r="R2336" s="20" t="n"/>
      <c r="S2336" s="20" t="n"/>
    </row>
    <row r="2337">
      <c r="A2337" s="24" t="n"/>
      <c r="B2337" s="20" t="n"/>
      <c r="C2337" s="20" t="n"/>
      <c r="D2337" s="23" t="n"/>
      <c r="E2337" s="20" t="n"/>
      <c r="F2337" s="20" t="n"/>
      <c r="G2337" s="25" t="n"/>
      <c r="H2337" s="20" t="n"/>
      <c r="I2337" s="20" t="n"/>
      <c r="J2337" s="20" t="n"/>
      <c r="K2337" s="20" t="n"/>
      <c r="L2337" s="25" t="n"/>
      <c r="M2337" s="20" t="n"/>
      <c r="N2337" s="20" t="n"/>
      <c r="O2337" s="20" t="n"/>
      <c r="P2337" s="20" t="n"/>
      <c r="Q2337" s="26" t="n"/>
      <c r="R2337" s="20" t="n"/>
      <c r="S2337" s="20" t="n"/>
    </row>
    <row r="2338">
      <c r="A2338" s="24" t="n"/>
      <c r="B2338" s="20" t="n"/>
      <c r="C2338" s="20" t="n"/>
      <c r="D2338" s="23" t="n"/>
      <c r="E2338" s="20" t="n"/>
      <c r="F2338" s="20" t="n"/>
      <c r="G2338" s="25" t="n"/>
      <c r="H2338" s="20" t="n"/>
      <c r="I2338" s="20" t="n"/>
      <c r="J2338" s="20" t="n"/>
      <c r="K2338" s="20" t="n"/>
      <c r="L2338" s="25" t="n"/>
      <c r="M2338" s="20" t="n"/>
      <c r="N2338" s="20" t="n"/>
      <c r="O2338" s="20" t="n"/>
      <c r="P2338" s="20" t="n"/>
      <c r="Q2338" s="26" t="n"/>
      <c r="R2338" s="20" t="n"/>
      <c r="S2338" s="20" t="n"/>
    </row>
    <row r="2339">
      <c r="A2339" s="24" t="n"/>
      <c r="B2339" s="20" t="n"/>
      <c r="C2339" s="20" t="n"/>
      <c r="D2339" s="23" t="n"/>
      <c r="E2339" s="20" t="n"/>
      <c r="F2339" s="20" t="n"/>
      <c r="G2339" s="25" t="n"/>
      <c r="H2339" s="20" t="n"/>
      <c r="I2339" s="20" t="n"/>
      <c r="J2339" s="20" t="n"/>
      <c r="K2339" s="20" t="n"/>
      <c r="L2339" s="25" t="n"/>
      <c r="M2339" s="20" t="n"/>
      <c r="N2339" s="20" t="n"/>
      <c r="O2339" s="20" t="n"/>
      <c r="P2339" s="20" t="n"/>
      <c r="Q2339" s="26" t="n"/>
      <c r="R2339" s="20" t="n"/>
      <c r="S2339" s="20" t="n"/>
    </row>
    <row r="2340">
      <c r="A2340" s="24" t="n"/>
      <c r="B2340" s="20" t="n"/>
      <c r="C2340" s="20" t="n"/>
      <c r="D2340" s="23" t="n"/>
      <c r="E2340" s="20" t="n"/>
      <c r="F2340" s="20" t="n"/>
      <c r="G2340" s="25" t="n"/>
      <c r="H2340" s="20" t="n"/>
      <c r="I2340" s="20" t="n"/>
      <c r="J2340" s="20" t="n"/>
      <c r="K2340" s="20" t="n"/>
      <c r="L2340" s="25" t="n"/>
      <c r="M2340" s="20" t="n"/>
      <c r="N2340" s="20" t="n"/>
      <c r="O2340" s="20" t="n"/>
      <c r="P2340" s="20" t="n"/>
      <c r="Q2340" s="26" t="n"/>
      <c r="R2340" s="20" t="n"/>
      <c r="S2340" s="20" t="n"/>
    </row>
    <row r="2341">
      <c r="A2341" s="24" t="n"/>
      <c r="B2341" s="20" t="n"/>
      <c r="C2341" s="20" t="n"/>
      <c r="D2341" s="23" t="n"/>
      <c r="E2341" s="20" t="n"/>
      <c r="F2341" s="20" t="n"/>
      <c r="G2341" s="25" t="n"/>
      <c r="H2341" s="20" t="n"/>
      <c r="I2341" s="20" t="n"/>
      <c r="J2341" s="20" t="n"/>
      <c r="K2341" s="20" t="n"/>
      <c r="L2341" s="25" t="n"/>
      <c r="M2341" s="20" t="n"/>
      <c r="N2341" s="20" t="n"/>
      <c r="O2341" s="20" t="n"/>
      <c r="P2341" s="20" t="n"/>
      <c r="Q2341" s="26" t="n"/>
      <c r="R2341" s="20" t="n"/>
      <c r="S2341" s="20" t="n"/>
    </row>
    <row r="2342">
      <c r="A2342" s="24" t="n"/>
      <c r="B2342" s="20" t="n"/>
      <c r="C2342" s="20" t="n"/>
      <c r="D2342" s="23" t="n"/>
      <c r="E2342" s="20" t="n"/>
      <c r="F2342" s="20" t="n"/>
      <c r="G2342" s="25" t="n"/>
      <c r="H2342" s="20" t="n"/>
      <c r="I2342" s="20" t="n"/>
      <c r="J2342" s="20" t="n"/>
      <c r="K2342" s="20" t="n"/>
      <c r="L2342" s="25" t="n"/>
      <c r="M2342" s="20" t="n"/>
      <c r="N2342" s="20" t="n"/>
      <c r="O2342" s="20" t="n"/>
      <c r="P2342" s="20" t="n"/>
      <c r="Q2342" s="26" t="n"/>
      <c r="R2342" s="20" t="n"/>
      <c r="S2342" s="20" t="n"/>
    </row>
    <row r="2343">
      <c r="A2343" s="24" t="n"/>
      <c r="B2343" s="20" t="n"/>
      <c r="C2343" s="20" t="n"/>
      <c r="D2343" s="23" t="n"/>
      <c r="E2343" s="20" t="n"/>
      <c r="F2343" s="20" t="n"/>
      <c r="G2343" s="25" t="n"/>
      <c r="H2343" s="20" t="n"/>
      <c r="I2343" s="20" t="n"/>
      <c r="J2343" s="20" t="n"/>
      <c r="K2343" s="20" t="n"/>
      <c r="L2343" s="25" t="n"/>
      <c r="M2343" s="20" t="n"/>
      <c r="N2343" s="20" t="n"/>
      <c r="O2343" s="20" t="n"/>
      <c r="P2343" s="20" t="n"/>
      <c r="Q2343" s="26" t="n"/>
      <c r="R2343" s="20" t="n"/>
      <c r="S2343" s="20" t="n"/>
    </row>
    <row r="2344">
      <c r="A2344" s="24" t="n"/>
      <c r="B2344" s="20" t="n"/>
      <c r="C2344" s="20" t="n"/>
      <c r="D2344" s="23" t="n"/>
      <c r="E2344" s="20" t="n"/>
      <c r="F2344" s="20" t="n"/>
      <c r="G2344" s="25" t="n"/>
      <c r="H2344" s="20" t="n"/>
      <c r="I2344" s="20" t="n"/>
      <c r="J2344" s="20" t="n"/>
      <c r="K2344" s="20" t="n"/>
      <c r="L2344" s="25" t="n"/>
      <c r="M2344" s="20" t="n"/>
      <c r="N2344" s="20" t="n"/>
      <c r="O2344" s="20" t="n"/>
      <c r="P2344" s="20" t="n"/>
      <c r="Q2344" s="26" t="n"/>
      <c r="R2344" s="20" t="n"/>
      <c r="S2344" s="20" t="n"/>
    </row>
    <row r="2345">
      <c r="A2345" s="24" t="n"/>
      <c r="B2345" s="20" t="n"/>
      <c r="C2345" s="20" t="n"/>
      <c r="D2345" s="23" t="n"/>
      <c r="E2345" s="20" t="n"/>
      <c r="F2345" s="20" t="n"/>
      <c r="G2345" s="25" t="n"/>
      <c r="H2345" s="20" t="n"/>
      <c r="I2345" s="20" t="n"/>
      <c r="J2345" s="20" t="n"/>
      <c r="K2345" s="20" t="n"/>
      <c r="L2345" s="25" t="n"/>
      <c r="M2345" s="20" t="n"/>
      <c r="N2345" s="20" t="n"/>
      <c r="O2345" s="20" t="n"/>
      <c r="P2345" s="20" t="n"/>
      <c r="Q2345" s="26" t="n"/>
      <c r="R2345" s="20" t="n"/>
      <c r="S2345" s="20" t="n"/>
    </row>
    <row r="2346">
      <c r="A2346" s="24" t="n"/>
      <c r="B2346" s="20" t="n"/>
      <c r="C2346" s="20" t="n"/>
      <c r="D2346" s="23" t="n"/>
      <c r="E2346" s="20" t="n"/>
      <c r="F2346" s="20" t="n"/>
      <c r="G2346" s="25" t="n"/>
      <c r="H2346" s="20" t="n"/>
      <c r="I2346" s="20" t="n"/>
      <c r="J2346" s="20" t="n"/>
      <c r="K2346" s="20" t="n"/>
      <c r="L2346" s="25" t="n"/>
      <c r="M2346" s="20" t="n"/>
      <c r="N2346" s="20" t="n"/>
      <c r="O2346" s="20" t="n"/>
      <c r="P2346" s="20" t="n"/>
      <c r="Q2346" s="26" t="n"/>
      <c r="R2346" s="20" t="n"/>
      <c r="S2346" s="20" t="n"/>
    </row>
    <row r="2347">
      <c r="A2347" s="24" t="n"/>
      <c r="B2347" s="20" t="n"/>
      <c r="C2347" s="20" t="n"/>
      <c r="D2347" s="23" t="n"/>
      <c r="E2347" s="20" t="n"/>
      <c r="F2347" s="20" t="n"/>
      <c r="G2347" s="25" t="n"/>
      <c r="H2347" s="20" t="n"/>
      <c r="I2347" s="20" t="n"/>
      <c r="J2347" s="20" t="n"/>
      <c r="K2347" s="20" t="n"/>
      <c r="L2347" s="25" t="n"/>
      <c r="M2347" s="20" t="n"/>
      <c r="N2347" s="20" t="n"/>
      <c r="O2347" s="20" t="n"/>
      <c r="P2347" s="20" t="n"/>
      <c r="Q2347" s="26" t="n"/>
      <c r="R2347" s="20" t="n"/>
      <c r="S2347" s="20" t="n"/>
    </row>
    <row r="2348">
      <c r="A2348" s="24" t="n"/>
      <c r="B2348" s="20" t="n"/>
      <c r="C2348" s="20" t="n"/>
      <c r="D2348" s="23" t="n"/>
      <c r="E2348" s="20" t="n"/>
      <c r="F2348" s="20" t="n"/>
      <c r="G2348" s="25" t="n"/>
      <c r="H2348" s="20" t="n"/>
      <c r="I2348" s="20" t="n"/>
      <c r="J2348" s="20" t="n"/>
      <c r="K2348" s="20" t="n"/>
      <c r="L2348" s="25" t="n"/>
      <c r="M2348" s="20" t="n"/>
      <c r="N2348" s="20" t="n"/>
      <c r="O2348" s="20" t="n"/>
      <c r="P2348" s="20" t="n"/>
      <c r="Q2348" s="26" t="n"/>
      <c r="R2348" s="20" t="n"/>
      <c r="S2348" s="20" t="n"/>
    </row>
    <row r="2349">
      <c r="A2349" s="24" t="n"/>
      <c r="B2349" s="20" t="n"/>
      <c r="C2349" s="20" t="n"/>
      <c r="D2349" s="23" t="n"/>
      <c r="E2349" s="20" t="n"/>
      <c r="F2349" s="20" t="n"/>
      <c r="G2349" s="25" t="n"/>
      <c r="H2349" s="20" t="n"/>
      <c r="I2349" s="20" t="n"/>
      <c r="J2349" s="20" t="n"/>
      <c r="K2349" s="20" t="n"/>
      <c r="L2349" s="25" t="n"/>
      <c r="M2349" s="20" t="n"/>
      <c r="N2349" s="20" t="n"/>
      <c r="O2349" s="20" t="n"/>
      <c r="P2349" s="20" t="n"/>
      <c r="Q2349" s="26" t="n"/>
      <c r="R2349" s="20" t="n"/>
      <c r="S2349" s="20" t="n"/>
    </row>
    <row r="2350">
      <c r="A2350" s="24" t="n"/>
      <c r="B2350" s="20" t="n"/>
      <c r="C2350" s="20" t="n"/>
      <c r="D2350" s="23" t="n"/>
      <c r="E2350" s="20" t="n"/>
      <c r="F2350" s="20" t="n"/>
      <c r="G2350" s="25" t="n"/>
      <c r="H2350" s="20" t="n"/>
      <c r="I2350" s="20" t="n"/>
      <c r="J2350" s="20" t="n"/>
      <c r="K2350" s="20" t="n"/>
      <c r="L2350" s="25" t="n"/>
      <c r="M2350" s="20" t="n"/>
      <c r="N2350" s="20" t="n"/>
      <c r="O2350" s="20" t="n"/>
      <c r="P2350" s="20" t="n"/>
      <c r="Q2350" s="26" t="n"/>
      <c r="R2350" s="20" t="n"/>
      <c r="S2350" s="20" t="n"/>
    </row>
    <row r="2351">
      <c r="A2351" s="24" t="n"/>
      <c r="B2351" s="20" t="n"/>
      <c r="C2351" s="20" t="n"/>
      <c r="D2351" s="23" t="n"/>
      <c r="E2351" s="20" t="n"/>
      <c r="F2351" s="20" t="n"/>
      <c r="G2351" s="25" t="n"/>
      <c r="H2351" s="20" t="n"/>
      <c r="I2351" s="20" t="n"/>
      <c r="J2351" s="20" t="n"/>
      <c r="K2351" s="20" t="n"/>
      <c r="L2351" s="25" t="n"/>
      <c r="M2351" s="20" t="n"/>
      <c r="N2351" s="20" t="n"/>
      <c r="O2351" s="20" t="n"/>
      <c r="P2351" s="20" t="n"/>
      <c r="Q2351" s="26" t="n"/>
      <c r="R2351" s="20" t="n"/>
      <c r="S2351" s="20" t="n"/>
    </row>
    <row r="2352">
      <c r="A2352" s="24" t="n"/>
      <c r="B2352" s="20" t="n"/>
      <c r="C2352" s="20" t="n"/>
      <c r="D2352" s="23" t="n"/>
      <c r="E2352" s="20" t="n"/>
      <c r="F2352" s="20" t="n"/>
      <c r="G2352" s="25" t="n"/>
      <c r="H2352" s="20" t="n"/>
      <c r="I2352" s="20" t="n"/>
      <c r="J2352" s="20" t="n"/>
      <c r="K2352" s="20" t="n"/>
      <c r="L2352" s="25" t="n"/>
      <c r="M2352" s="20" t="n"/>
      <c r="N2352" s="20" t="n"/>
      <c r="O2352" s="20" t="n"/>
      <c r="P2352" s="20" t="n"/>
      <c r="Q2352" s="26" t="n"/>
      <c r="R2352" s="20" t="n"/>
      <c r="S2352" s="20" t="n"/>
    </row>
    <row r="2353">
      <c r="A2353" s="24" t="n"/>
      <c r="B2353" s="20" t="n"/>
      <c r="C2353" s="20" t="n"/>
      <c r="D2353" s="23" t="n"/>
      <c r="E2353" s="20" t="n"/>
      <c r="F2353" s="20" t="n"/>
      <c r="G2353" s="25" t="n"/>
      <c r="H2353" s="20" t="n"/>
      <c r="I2353" s="20" t="n"/>
      <c r="J2353" s="20" t="n"/>
      <c r="K2353" s="20" t="n"/>
      <c r="L2353" s="25" t="n"/>
      <c r="M2353" s="20" t="n"/>
      <c r="N2353" s="20" t="n"/>
      <c r="O2353" s="20" t="n"/>
      <c r="P2353" s="20" t="n"/>
      <c r="Q2353" s="26" t="n"/>
      <c r="R2353" s="20" t="n"/>
      <c r="S2353" s="20" t="n"/>
    </row>
    <row r="2354">
      <c r="A2354" s="24" t="n"/>
      <c r="B2354" s="20" t="n"/>
      <c r="C2354" s="20" t="n"/>
      <c r="D2354" s="23" t="n"/>
      <c r="E2354" s="20" t="n"/>
      <c r="F2354" s="20" t="n"/>
      <c r="G2354" s="25" t="n"/>
      <c r="H2354" s="20" t="n"/>
      <c r="I2354" s="20" t="n"/>
      <c r="J2354" s="20" t="n"/>
      <c r="K2354" s="20" t="n"/>
      <c r="L2354" s="25" t="n"/>
      <c r="M2354" s="20" t="n"/>
      <c r="N2354" s="20" t="n"/>
      <c r="O2354" s="20" t="n"/>
      <c r="P2354" s="20" t="n"/>
      <c r="Q2354" s="26" t="n"/>
      <c r="R2354" s="20" t="n"/>
      <c r="S2354" s="20" t="n"/>
    </row>
    <row r="2355">
      <c r="A2355" s="24" t="n"/>
      <c r="B2355" s="20" t="n"/>
      <c r="C2355" s="20" t="n"/>
      <c r="D2355" s="23" t="n"/>
      <c r="E2355" s="20" t="n"/>
      <c r="F2355" s="20" t="n"/>
      <c r="G2355" s="25" t="n"/>
      <c r="H2355" s="20" t="n"/>
      <c r="I2355" s="20" t="n"/>
      <c r="J2355" s="20" t="n"/>
      <c r="K2355" s="20" t="n"/>
      <c r="L2355" s="25" t="n"/>
      <c r="M2355" s="20" t="n"/>
      <c r="N2355" s="20" t="n"/>
      <c r="O2355" s="20" t="n"/>
      <c r="P2355" s="20" t="n"/>
      <c r="Q2355" s="26" t="n"/>
      <c r="R2355" s="20" t="n"/>
      <c r="S2355" s="20" t="n"/>
    </row>
    <row r="2356">
      <c r="A2356" s="24" t="n"/>
      <c r="B2356" s="20" t="n"/>
      <c r="C2356" s="20" t="n"/>
      <c r="D2356" s="23" t="n"/>
      <c r="E2356" s="20" t="n"/>
      <c r="F2356" s="20" t="n"/>
      <c r="G2356" s="25" t="n"/>
      <c r="H2356" s="20" t="n"/>
      <c r="I2356" s="20" t="n"/>
      <c r="J2356" s="20" t="n"/>
      <c r="K2356" s="20" t="n"/>
      <c r="L2356" s="25" t="n"/>
      <c r="M2356" s="20" t="n"/>
      <c r="N2356" s="20" t="n"/>
      <c r="O2356" s="20" t="n"/>
      <c r="P2356" s="20" t="n"/>
      <c r="Q2356" s="26" t="n"/>
      <c r="R2356" s="20" t="n"/>
      <c r="S2356" s="20" t="n"/>
    </row>
    <row r="2357">
      <c r="A2357" s="24" t="n"/>
      <c r="B2357" s="20" t="n"/>
      <c r="C2357" s="20" t="n"/>
      <c r="D2357" s="23" t="n"/>
      <c r="E2357" s="20" t="n"/>
      <c r="F2357" s="20" t="n"/>
      <c r="G2357" s="25" t="n"/>
      <c r="H2357" s="20" t="n"/>
      <c r="I2357" s="20" t="n"/>
      <c r="J2357" s="20" t="n"/>
      <c r="K2357" s="20" t="n"/>
      <c r="L2357" s="25" t="n"/>
      <c r="M2357" s="20" t="n"/>
      <c r="N2357" s="20" t="n"/>
      <c r="O2357" s="20" t="n"/>
      <c r="P2357" s="20" t="n"/>
      <c r="Q2357" s="26" t="n"/>
      <c r="R2357" s="20" t="n"/>
      <c r="S2357" s="20" t="n"/>
    </row>
    <row r="2358">
      <c r="A2358" s="24" t="n"/>
      <c r="B2358" s="20" t="n"/>
      <c r="C2358" s="20" t="n"/>
      <c r="D2358" s="23" t="n"/>
      <c r="E2358" s="20" t="n"/>
      <c r="F2358" s="20" t="n"/>
      <c r="G2358" s="25" t="n"/>
      <c r="H2358" s="20" t="n"/>
      <c r="I2358" s="20" t="n"/>
      <c r="J2358" s="20" t="n"/>
      <c r="K2358" s="20" t="n"/>
      <c r="L2358" s="25" t="n"/>
      <c r="M2358" s="20" t="n"/>
      <c r="N2358" s="20" t="n"/>
      <c r="O2358" s="20" t="n"/>
      <c r="P2358" s="20" t="n"/>
      <c r="Q2358" s="26" t="n"/>
      <c r="R2358" s="20" t="n"/>
      <c r="S2358" s="20" t="n"/>
    </row>
    <row r="2359">
      <c r="A2359" s="24" t="n"/>
      <c r="B2359" s="20" t="n"/>
      <c r="C2359" s="20" t="n"/>
      <c r="D2359" s="23" t="n"/>
      <c r="E2359" s="20" t="n"/>
      <c r="F2359" s="20" t="n"/>
      <c r="G2359" s="25" t="n"/>
      <c r="H2359" s="20" t="n"/>
      <c r="I2359" s="20" t="n"/>
      <c r="J2359" s="20" t="n"/>
      <c r="K2359" s="20" t="n"/>
      <c r="L2359" s="25" t="n"/>
      <c r="M2359" s="20" t="n"/>
      <c r="N2359" s="20" t="n"/>
      <c r="O2359" s="20" t="n"/>
      <c r="P2359" s="20" t="n"/>
      <c r="Q2359" s="26" t="n"/>
      <c r="R2359" s="20" t="n"/>
      <c r="S2359" s="20" t="n"/>
    </row>
    <row r="2360">
      <c r="A2360" s="24" t="n"/>
      <c r="B2360" s="20" t="n"/>
      <c r="C2360" s="20" t="n"/>
      <c r="D2360" s="23" t="n"/>
      <c r="E2360" s="20" t="n"/>
      <c r="F2360" s="20" t="n"/>
      <c r="G2360" s="25" t="n"/>
      <c r="H2360" s="20" t="n"/>
      <c r="I2360" s="20" t="n"/>
      <c r="J2360" s="20" t="n"/>
      <c r="K2360" s="20" t="n"/>
      <c r="L2360" s="25" t="n"/>
      <c r="M2360" s="20" t="n"/>
      <c r="N2360" s="20" t="n"/>
      <c r="O2360" s="20" t="n"/>
      <c r="P2360" s="20" t="n"/>
      <c r="Q2360" s="26" t="n"/>
      <c r="R2360" s="20" t="n"/>
      <c r="S2360" s="20" t="n"/>
    </row>
    <row r="2361">
      <c r="A2361" s="24" t="n"/>
      <c r="B2361" s="20" t="n"/>
      <c r="C2361" s="20" t="n"/>
      <c r="D2361" s="23" t="n"/>
      <c r="E2361" s="20" t="n"/>
      <c r="F2361" s="20" t="n"/>
      <c r="G2361" s="25" t="n"/>
      <c r="H2361" s="20" t="n"/>
      <c r="I2361" s="20" t="n"/>
      <c r="J2361" s="20" t="n"/>
      <c r="K2361" s="20" t="n"/>
      <c r="L2361" s="25" t="n"/>
      <c r="M2361" s="20" t="n"/>
      <c r="N2361" s="20" t="n"/>
      <c r="O2361" s="20" t="n"/>
      <c r="P2361" s="20" t="n"/>
      <c r="Q2361" s="26" t="n"/>
      <c r="R2361" s="20" t="n"/>
      <c r="S2361" s="20" t="n"/>
    </row>
    <row r="2362">
      <c r="A2362" s="24" t="n"/>
      <c r="B2362" s="20" t="n"/>
      <c r="C2362" s="20" t="n"/>
      <c r="D2362" s="23" t="n"/>
      <c r="E2362" s="20" t="n"/>
      <c r="F2362" s="20" t="n"/>
      <c r="G2362" s="25" t="n"/>
      <c r="H2362" s="20" t="n"/>
      <c r="I2362" s="20" t="n"/>
      <c r="J2362" s="20" t="n"/>
      <c r="K2362" s="20" t="n"/>
      <c r="L2362" s="25" t="n"/>
      <c r="M2362" s="20" t="n"/>
      <c r="N2362" s="20" t="n"/>
      <c r="O2362" s="20" t="n"/>
      <c r="P2362" s="20" t="n"/>
      <c r="Q2362" s="26" t="n"/>
      <c r="R2362" s="20" t="n"/>
      <c r="S2362" s="20" t="n"/>
    </row>
    <row r="2363">
      <c r="A2363" s="24" t="n"/>
      <c r="B2363" s="20" t="n"/>
      <c r="C2363" s="20" t="n"/>
      <c r="D2363" s="23" t="n"/>
      <c r="E2363" s="20" t="n"/>
      <c r="F2363" s="20" t="n"/>
      <c r="G2363" s="25" t="n"/>
      <c r="H2363" s="20" t="n"/>
      <c r="I2363" s="20" t="n"/>
      <c r="J2363" s="20" t="n"/>
      <c r="K2363" s="20" t="n"/>
      <c r="L2363" s="25" t="n"/>
      <c r="M2363" s="20" t="n"/>
      <c r="N2363" s="20" t="n"/>
      <c r="O2363" s="20" t="n"/>
      <c r="P2363" s="20" t="n"/>
      <c r="Q2363" s="26" t="n"/>
      <c r="R2363" s="20" t="n"/>
      <c r="S2363" s="20" t="n"/>
    </row>
    <row r="2364">
      <c r="A2364" s="24" t="n"/>
      <c r="B2364" s="20" t="n"/>
      <c r="C2364" s="20" t="n"/>
      <c r="D2364" s="23" t="n"/>
      <c r="E2364" s="20" t="n"/>
      <c r="F2364" s="20" t="n"/>
      <c r="G2364" s="25" t="n"/>
      <c r="H2364" s="20" t="n"/>
      <c r="I2364" s="20" t="n"/>
      <c r="J2364" s="20" t="n"/>
      <c r="K2364" s="20" t="n"/>
      <c r="L2364" s="25" t="n"/>
      <c r="M2364" s="20" t="n"/>
      <c r="N2364" s="20" t="n"/>
      <c r="O2364" s="20" t="n"/>
      <c r="P2364" s="20" t="n"/>
      <c r="Q2364" s="26" t="n"/>
      <c r="R2364" s="20" t="n"/>
      <c r="S2364" s="20" t="n"/>
    </row>
    <row r="2365">
      <c r="A2365" s="24" t="n"/>
      <c r="B2365" s="20" t="n"/>
      <c r="C2365" s="20" t="n"/>
      <c r="D2365" s="23" t="n"/>
      <c r="E2365" s="20" t="n"/>
      <c r="F2365" s="20" t="n"/>
      <c r="G2365" s="25" t="n"/>
      <c r="H2365" s="20" t="n"/>
      <c r="I2365" s="20" t="n"/>
      <c r="J2365" s="20" t="n"/>
      <c r="K2365" s="20" t="n"/>
      <c r="L2365" s="25" t="n"/>
      <c r="M2365" s="20" t="n"/>
      <c r="N2365" s="20" t="n"/>
      <c r="O2365" s="20" t="n"/>
      <c r="P2365" s="20" t="n"/>
      <c r="Q2365" s="26" t="n"/>
      <c r="R2365" s="20" t="n"/>
      <c r="S2365" s="20" t="n"/>
    </row>
    <row r="2366">
      <c r="A2366" s="24" t="n"/>
      <c r="B2366" s="20" t="n"/>
      <c r="C2366" s="20" t="n"/>
      <c r="D2366" s="23" t="n"/>
      <c r="E2366" s="20" t="n"/>
      <c r="F2366" s="20" t="n"/>
      <c r="G2366" s="25" t="n"/>
      <c r="H2366" s="20" t="n"/>
      <c r="I2366" s="20" t="n"/>
      <c r="J2366" s="20" t="n"/>
      <c r="K2366" s="20" t="n"/>
      <c r="L2366" s="25" t="n"/>
      <c r="M2366" s="20" t="n"/>
      <c r="N2366" s="20" t="n"/>
      <c r="O2366" s="20" t="n"/>
      <c r="P2366" s="20" t="n"/>
      <c r="Q2366" s="26" t="n"/>
      <c r="R2366" s="20" t="n"/>
      <c r="S2366" s="20" t="n"/>
    </row>
    <row r="2367">
      <c r="A2367" s="24" t="n"/>
      <c r="B2367" s="20" t="n"/>
      <c r="C2367" s="20" t="n"/>
      <c r="D2367" s="23" t="n"/>
      <c r="E2367" s="20" t="n"/>
      <c r="F2367" s="20" t="n"/>
      <c r="G2367" s="25" t="n"/>
      <c r="H2367" s="20" t="n"/>
      <c r="I2367" s="20" t="n"/>
      <c r="J2367" s="20" t="n"/>
      <c r="K2367" s="20" t="n"/>
      <c r="L2367" s="25" t="n"/>
      <c r="M2367" s="20" t="n"/>
      <c r="N2367" s="20" t="n"/>
      <c r="O2367" s="20" t="n"/>
      <c r="P2367" s="20" t="n"/>
      <c r="Q2367" s="26" t="n"/>
      <c r="R2367" s="20" t="n"/>
      <c r="S2367" s="20" t="n"/>
    </row>
    <row r="2368">
      <c r="A2368" s="24" t="n"/>
      <c r="B2368" s="20" t="n"/>
      <c r="C2368" s="20" t="n"/>
      <c r="D2368" s="23" t="n"/>
      <c r="E2368" s="20" t="n"/>
      <c r="F2368" s="20" t="n"/>
      <c r="G2368" s="25" t="n"/>
      <c r="H2368" s="20" t="n"/>
      <c r="I2368" s="20" t="n"/>
      <c r="J2368" s="20" t="n"/>
      <c r="K2368" s="20" t="n"/>
      <c r="L2368" s="25" t="n"/>
      <c r="M2368" s="20" t="n"/>
      <c r="N2368" s="20" t="n"/>
      <c r="O2368" s="20" t="n"/>
      <c r="P2368" s="20" t="n"/>
      <c r="Q2368" s="26" t="n"/>
      <c r="R2368" s="20" t="n"/>
      <c r="S2368" s="20" t="n"/>
    </row>
    <row r="2369">
      <c r="A2369" s="24" t="n"/>
      <c r="B2369" s="20" t="n"/>
      <c r="C2369" s="20" t="n"/>
      <c r="D2369" s="23" t="n"/>
      <c r="E2369" s="20" t="n"/>
      <c r="F2369" s="20" t="n"/>
      <c r="G2369" s="25" t="n"/>
      <c r="H2369" s="20" t="n"/>
      <c r="I2369" s="20" t="n"/>
      <c r="J2369" s="20" t="n"/>
      <c r="K2369" s="20" t="n"/>
      <c r="L2369" s="25" t="n"/>
      <c r="M2369" s="20" t="n"/>
      <c r="N2369" s="20" t="n"/>
      <c r="O2369" s="20" t="n"/>
      <c r="P2369" s="20" t="n"/>
      <c r="Q2369" s="26" t="n"/>
      <c r="R2369" s="20" t="n"/>
      <c r="S2369" s="20" t="n"/>
    </row>
    <row r="2370">
      <c r="A2370" s="24" t="n"/>
      <c r="B2370" s="20" t="n"/>
      <c r="C2370" s="20" t="n"/>
      <c r="D2370" s="23" t="n"/>
      <c r="E2370" s="20" t="n"/>
      <c r="F2370" s="20" t="n"/>
      <c r="G2370" s="25" t="n"/>
      <c r="H2370" s="20" t="n"/>
      <c r="I2370" s="20" t="n"/>
      <c r="J2370" s="20" t="n"/>
      <c r="K2370" s="20" t="n"/>
      <c r="L2370" s="25" t="n"/>
      <c r="M2370" s="20" t="n"/>
      <c r="N2370" s="20" t="n"/>
      <c r="O2370" s="20" t="n"/>
      <c r="P2370" s="20" t="n"/>
      <c r="Q2370" s="26" t="n"/>
      <c r="R2370" s="20" t="n"/>
      <c r="S2370" s="20" t="n"/>
    </row>
    <row r="2371">
      <c r="A2371" s="24" t="n"/>
      <c r="B2371" s="20" t="n"/>
      <c r="C2371" s="20" t="n"/>
      <c r="D2371" s="23" t="n"/>
      <c r="E2371" s="20" t="n"/>
      <c r="F2371" s="20" t="n"/>
      <c r="G2371" s="25" t="n"/>
      <c r="H2371" s="20" t="n"/>
      <c r="I2371" s="20" t="n"/>
      <c r="J2371" s="20" t="n"/>
      <c r="K2371" s="20" t="n"/>
      <c r="L2371" s="25" t="n"/>
      <c r="M2371" s="20" t="n"/>
      <c r="N2371" s="20" t="n"/>
      <c r="O2371" s="20" t="n"/>
      <c r="P2371" s="20" t="n"/>
      <c r="Q2371" s="26" t="n"/>
      <c r="R2371" s="20" t="n"/>
      <c r="S2371" s="20" t="n"/>
    </row>
    <row r="2372">
      <c r="A2372" s="24" t="n"/>
      <c r="B2372" s="20" t="n"/>
      <c r="C2372" s="20" t="n"/>
      <c r="D2372" s="23" t="n"/>
      <c r="E2372" s="20" t="n"/>
      <c r="F2372" s="20" t="n"/>
      <c r="G2372" s="25" t="n"/>
      <c r="H2372" s="20" t="n"/>
      <c r="I2372" s="20" t="n"/>
      <c r="J2372" s="20" t="n"/>
      <c r="K2372" s="20" t="n"/>
      <c r="L2372" s="25" t="n"/>
      <c r="M2372" s="20" t="n"/>
      <c r="N2372" s="20" t="n"/>
      <c r="O2372" s="20" t="n"/>
      <c r="P2372" s="20" t="n"/>
      <c r="Q2372" s="26" t="n"/>
      <c r="R2372" s="20" t="n"/>
      <c r="S2372" s="20" t="n"/>
    </row>
    <row r="2373">
      <c r="A2373" s="24" t="n"/>
      <c r="B2373" s="20" t="n"/>
      <c r="C2373" s="20" t="n"/>
      <c r="D2373" s="23" t="n"/>
      <c r="E2373" s="20" t="n"/>
      <c r="F2373" s="20" t="n"/>
      <c r="G2373" s="25" t="n"/>
      <c r="H2373" s="20" t="n"/>
      <c r="I2373" s="20" t="n"/>
      <c r="J2373" s="20" t="n"/>
      <c r="K2373" s="20" t="n"/>
      <c r="L2373" s="25" t="n"/>
      <c r="M2373" s="20" t="n"/>
      <c r="N2373" s="20" t="n"/>
      <c r="O2373" s="20" t="n"/>
      <c r="P2373" s="20" t="n"/>
      <c r="Q2373" s="26" t="n"/>
      <c r="R2373" s="20" t="n"/>
      <c r="S2373" s="20" t="n"/>
    </row>
    <row r="2374">
      <c r="A2374" s="24" t="n"/>
      <c r="B2374" s="20" t="n"/>
      <c r="C2374" s="20" t="n"/>
      <c r="D2374" s="23" t="n"/>
      <c r="E2374" s="20" t="n"/>
      <c r="F2374" s="20" t="n"/>
      <c r="G2374" s="25" t="n"/>
      <c r="H2374" s="20" t="n"/>
      <c r="I2374" s="20" t="n"/>
      <c r="J2374" s="20" t="n"/>
      <c r="K2374" s="20" t="n"/>
      <c r="L2374" s="25" t="n"/>
      <c r="M2374" s="20" t="n"/>
      <c r="N2374" s="20" t="n"/>
      <c r="O2374" s="20" t="n"/>
      <c r="P2374" s="20" t="n"/>
      <c r="Q2374" s="26" t="n"/>
      <c r="R2374" s="20" t="n"/>
      <c r="S2374" s="20" t="n"/>
    </row>
    <row r="2375">
      <c r="A2375" s="24" t="n"/>
      <c r="B2375" s="20" t="n"/>
      <c r="C2375" s="20" t="n"/>
      <c r="D2375" s="23" t="n"/>
      <c r="E2375" s="20" t="n"/>
      <c r="F2375" s="20" t="n"/>
      <c r="G2375" s="25" t="n"/>
      <c r="H2375" s="20" t="n"/>
      <c r="I2375" s="20" t="n"/>
      <c r="J2375" s="20" t="n"/>
      <c r="K2375" s="20" t="n"/>
      <c r="L2375" s="25" t="n"/>
      <c r="M2375" s="20" t="n"/>
      <c r="N2375" s="20" t="n"/>
      <c r="O2375" s="20" t="n"/>
      <c r="P2375" s="20" t="n"/>
      <c r="Q2375" s="26" t="n"/>
      <c r="R2375" s="20" t="n"/>
      <c r="S2375" s="20" t="n"/>
    </row>
    <row r="2376">
      <c r="A2376" s="24" t="n"/>
      <c r="B2376" s="20" t="n"/>
      <c r="C2376" s="20" t="n"/>
      <c r="D2376" s="23" t="n"/>
      <c r="E2376" s="20" t="n"/>
      <c r="F2376" s="20" t="n"/>
      <c r="G2376" s="25" t="n"/>
      <c r="H2376" s="20" t="n"/>
      <c r="I2376" s="20" t="n"/>
      <c r="J2376" s="20" t="n"/>
      <c r="K2376" s="20" t="n"/>
      <c r="L2376" s="25" t="n"/>
      <c r="M2376" s="20" t="n"/>
      <c r="N2376" s="20" t="n"/>
      <c r="O2376" s="20" t="n"/>
      <c r="P2376" s="20" t="n"/>
      <c r="Q2376" s="26" t="n"/>
      <c r="R2376" s="20" t="n"/>
      <c r="S2376" s="20" t="n"/>
    </row>
    <row r="2377">
      <c r="A2377" s="24" t="n"/>
      <c r="B2377" s="20" t="n"/>
      <c r="C2377" s="20" t="n"/>
      <c r="D2377" s="23" t="n"/>
      <c r="E2377" s="20" t="n"/>
      <c r="F2377" s="20" t="n"/>
      <c r="G2377" s="25" t="n"/>
      <c r="H2377" s="20" t="n"/>
      <c r="I2377" s="20" t="n"/>
      <c r="J2377" s="20" t="n"/>
      <c r="K2377" s="20" t="n"/>
      <c r="L2377" s="25" t="n"/>
      <c r="M2377" s="20" t="n"/>
      <c r="N2377" s="20" t="n"/>
      <c r="O2377" s="20" t="n"/>
      <c r="P2377" s="20" t="n"/>
      <c r="Q2377" s="26" t="n"/>
      <c r="R2377" s="20" t="n"/>
      <c r="S2377" s="20" t="n"/>
    </row>
    <row r="2378">
      <c r="A2378" s="24" t="n"/>
      <c r="B2378" s="20" t="n"/>
      <c r="C2378" s="20" t="n"/>
      <c r="D2378" s="23" t="n"/>
      <c r="E2378" s="20" t="n"/>
      <c r="F2378" s="20" t="n"/>
      <c r="G2378" s="25" t="n"/>
      <c r="H2378" s="20" t="n"/>
      <c r="I2378" s="20" t="n"/>
      <c r="J2378" s="20" t="n"/>
      <c r="K2378" s="20" t="n"/>
      <c r="L2378" s="25" t="n"/>
      <c r="M2378" s="20" t="n"/>
      <c r="N2378" s="20" t="n"/>
      <c r="O2378" s="20" t="n"/>
      <c r="P2378" s="20" t="n"/>
      <c r="Q2378" s="26" t="n"/>
      <c r="R2378" s="20" t="n"/>
      <c r="S2378" s="20" t="n"/>
    </row>
    <row r="2379">
      <c r="A2379" s="24" t="n"/>
      <c r="B2379" s="20" t="n"/>
      <c r="C2379" s="20" t="n"/>
      <c r="D2379" s="23" t="n"/>
      <c r="E2379" s="20" t="n"/>
      <c r="F2379" s="20" t="n"/>
      <c r="G2379" s="25" t="n"/>
      <c r="H2379" s="20" t="n"/>
      <c r="I2379" s="20" t="n"/>
      <c r="J2379" s="20" t="n"/>
      <c r="K2379" s="20" t="n"/>
      <c r="L2379" s="25" t="n"/>
      <c r="M2379" s="20" t="n"/>
      <c r="N2379" s="20" t="n"/>
      <c r="O2379" s="20" t="n"/>
      <c r="P2379" s="20" t="n"/>
      <c r="Q2379" s="26" t="n"/>
      <c r="R2379" s="20" t="n"/>
      <c r="S2379" s="20" t="n"/>
    </row>
    <row r="2380">
      <c r="A2380" s="24" t="n"/>
      <c r="B2380" s="20" t="n"/>
      <c r="C2380" s="20" t="n"/>
      <c r="D2380" s="23" t="n"/>
      <c r="E2380" s="20" t="n"/>
      <c r="F2380" s="20" t="n"/>
      <c r="G2380" s="25" t="n"/>
      <c r="H2380" s="20" t="n"/>
      <c r="I2380" s="20" t="n"/>
      <c r="J2380" s="20" t="n"/>
      <c r="K2380" s="20" t="n"/>
      <c r="L2380" s="25" t="n"/>
      <c r="M2380" s="20" t="n"/>
      <c r="N2380" s="20" t="n"/>
      <c r="O2380" s="20" t="n"/>
      <c r="P2380" s="20" t="n"/>
      <c r="Q2380" s="26" t="n"/>
      <c r="R2380" s="20" t="n"/>
      <c r="S2380" s="20" t="n"/>
    </row>
    <row r="2381">
      <c r="A2381" s="24" t="n"/>
      <c r="B2381" s="20" t="n"/>
      <c r="C2381" s="20" t="n"/>
      <c r="D2381" s="23" t="n"/>
      <c r="E2381" s="20" t="n"/>
      <c r="F2381" s="20" t="n"/>
      <c r="G2381" s="25" t="n"/>
      <c r="H2381" s="20" t="n"/>
      <c r="I2381" s="20" t="n"/>
      <c r="J2381" s="20" t="n"/>
      <c r="K2381" s="20" t="n"/>
      <c r="L2381" s="25" t="n"/>
      <c r="M2381" s="20" t="n"/>
      <c r="N2381" s="20" t="n"/>
      <c r="O2381" s="20" t="n"/>
      <c r="P2381" s="20" t="n"/>
      <c r="Q2381" s="26" t="n"/>
      <c r="R2381" s="20" t="n"/>
      <c r="S2381" s="20" t="n"/>
    </row>
    <row r="2382">
      <c r="A2382" s="24" t="n"/>
      <c r="B2382" s="20" t="n"/>
      <c r="C2382" s="20" t="n"/>
      <c r="D2382" s="23" t="n"/>
      <c r="E2382" s="20" t="n"/>
      <c r="F2382" s="20" t="n"/>
      <c r="G2382" s="25" t="n"/>
      <c r="H2382" s="20" t="n"/>
      <c r="I2382" s="20" t="n"/>
      <c r="J2382" s="20" t="n"/>
      <c r="K2382" s="20" t="n"/>
      <c r="L2382" s="25" t="n"/>
      <c r="M2382" s="20" t="n"/>
      <c r="N2382" s="20" t="n"/>
      <c r="O2382" s="20" t="n"/>
      <c r="P2382" s="20" t="n"/>
      <c r="Q2382" s="26" t="n"/>
      <c r="R2382" s="20" t="n"/>
      <c r="S2382" s="20" t="n"/>
    </row>
    <row r="2383">
      <c r="A2383" s="24" t="n"/>
      <c r="B2383" s="20" t="n"/>
      <c r="C2383" s="20" t="n"/>
      <c r="D2383" s="23" t="n"/>
      <c r="E2383" s="20" t="n"/>
      <c r="F2383" s="20" t="n"/>
      <c r="G2383" s="25" t="n"/>
      <c r="H2383" s="20" t="n"/>
      <c r="I2383" s="20" t="n"/>
      <c r="J2383" s="20" t="n"/>
      <c r="K2383" s="20" t="n"/>
      <c r="L2383" s="25" t="n"/>
      <c r="M2383" s="20" t="n"/>
      <c r="N2383" s="20" t="n"/>
      <c r="O2383" s="20" t="n"/>
      <c r="P2383" s="20" t="n"/>
      <c r="Q2383" s="26" t="n"/>
      <c r="R2383" s="20" t="n"/>
      <c r="S2383" s="20" t="n"/>
    </row>
    <row r="2384">
      <c r="A2384" s="24" t="n"/>
      <c r="B2384" s="20" t="n"/>
      <c r="C2384" s="20" t="n"/>
      <c r="D2384" s="23" t="n"/>
      <c r="E2384" s="20" t="n"/>
      <c r="F2384" s="20" t="n"/>
      <c r="G2384" s="25" t="n"/>
      <c r="H2384" s="20" t="n"/>
      <c r="I2384" s="20" t="n"/>
      <c r="J2384" s="20" t="n"/>
      <c r="K2384" s="20" t="n"/>
      <c r="L2384" s="25" t="n"/>
      <c r="M2384" s="20" t="n"/>
      <c r="N2384" s="20" t="n"/>
      <c r="O2384" s="20" t="n"/>
      <c r="P2384" s="20" t="n"/>
      <c r="Q2384" s="26" t="n"/>
      <c r="R2384" s="20" t="n"/>
      <c r="S2384" s="20" t="n"/>
    </row>
    <row r="2385">
      <c r="A2385" s="24" t="n"/>
      <c r="B2385" s="20" t="n"/>
      <c r="C2385" s="20" t="n"/>
      <c r="D2385" s="23" t="n"/>
      <c r="E2385" s="20" t="n"/>
      <c r="F2385" s="20" t="n"/>
      <c r="G2385" s="25" t="n"/>
      <c r="H2385" s="20" t="n"/>
      <c r="I2385" s="20" t="n"/>
      <c r="J2385" s="20" t="n"/>
      <c r="K2385" s="20" t="n"/>
      <c r="L2385" s="25" t="n"/>
      <c r="M2385" s="20" t="n"/>
      <c r="N2385" s="20" t="n"/>
      <c r="O2385" s="20" t="n"/>
      <c r="P2385" s="20" t="n"/>
      <c r="Q2385" s="26" t="n"/>
      <c r="R2385" s="20" t="n"/>
      <c r="S2385" s="20" t="n"/>
    </row>
    <row r="2386">
      <c r="A2386" s="24" t="n"/>
      <c r="B2386" s="20" t="n"/>
      <c r="C2386" s="20" t="n"/>
      <c r="D2386" s="23" t="n"/>
      <c r="E2386" s="20" t="n"/>
      <c r="F2386" s="20" t="n"/>
      <c r="G2386" s="25" t="n"/>
      <c r="H2386" s="20" t="n"/>
      <c r="I2386" s="20" t="n"/>
      <c r="J2386" s="20" t="n"/>
      <c r="K2386" s="20" t="n"/>
      <c r="L2386" s="25" t="n"/>
      <c r="M2386" s="20" t="n"/>
      <c r="N2386" s="20" t="n"/>
      <c r="O2386" s="20" t="n"/>
      <c r="P2386" s="20" t="n"/>
      <c r="Q2386" s="26" t="n"/>
      <c r="R2386" s="20" t="n"/>
      <c r="S2386" s="20" t="n"/>
    </row>
    <row r="2387">
      <c r="A2387" s="24" t="n"/>
      <c r="B2387" s="20" t="n"/>
      <c r="C2387" s="20" t="n"/>
      <c r="D2387" s="23" t="n"/>
      <c r="E2387" s="20" t="n"/>
      <c r="F2387" s="20" t="n"/>
      <c r="G2387" s="25" t="n"/>
      <c r="H2387" s="20" t="n"/>
      <c r="I2387" s="20" t="n"/>
      <c r="J2387" s="20" t="n"/>
      <c r="K2387" s="20" t="n"/>
      <c r="L2387" s="25" t="n"/>
      <c r="M2387" s="20" t="n"/>
      <c r="N2387" s="20" t="n"/>
      <c r="O2387" s="20" t="n"/>
      <c r="P2387" s="20" t="n"/>
      <c r="Q2387" s="26" t="n"/>
      <c r="R2387" s="20" t="n"/>
      <c r="S2387" s="20" t="n"/>
    </row>
    <row r="2388">
      <c r="A2388" s="24" t="n"/>
      <c r="B2388" s="20" t="n"/>
      <c r="C2388" s="20" t="n"/>
      <c r="D2388" s="23" t="n"/>
      <c r="E2388" s="20" t="n"/>
      <c r="F2388" s="20" t="n"/>
      <c r="G2388" s="25" t="n"/>
      <c r="H2388" s="20" t="n"/>
      <c r="I2388" s="20" t="n"/>
      <c r="J2388" s="20" t="n"/>
      <c r="K2388" s="20" t="n"/>
      <c r="L2388" s="25" t="n"/>
      <c r="M2388" s="20" t="n"/>
      <c r="N2388" s="20" t="n"/>
      <c r="O2388" s="20" t="n"/>
      <c r="P2388" s="20" t="n"/>
      <c r="Q2388" s="26" t="n"/>
      <c r="R2388" s="20" t="n"/>
      <c r="S2388" s="20" t="n"/>
    </row>
    <row r="2389">
      <c r="A2389" s="24" t="n"/>
      <c r="B2389" s="20" t="n"/>
      <c r="C2389" s="20" t="n"/>
      <c r="D2389" s="23" t="n"/>
      <c r="E2389" s="20" t="n"/>
      <c r="F2389" s="20" t="n"/>
      <c r="G2389" s="25" t="n"/>
      <c r="H2389" s="20" t="n"/>
      <c r="I2389" s="20" t="n"/>
      <c r="J2389" s="20" t="n"/>
      <c r="K2389" s="20" t="n"/>
      <c r="L2389" s="25" t="n"/>
      <c r="M2389" s="20" t="n"/>
      <c r="N2389" s="20" t="n"/>
      <c r="O2389" s="20" t="n"/>
      <c r="P2389" s="20" t="n"/>
      <c r="Q2389" s="26" t="n"/>
      <c r="R2389" s="20" t="n"/>
      <c r="S2389" s="20" t="n"/>
    </row>
    <row r="2390">
      <c r="A2390" s="24" t="n"/>
      <c r="B2390" s="20" t="n"/>
      <c r="C2390" s="20" t="n"/>
      <c r="D2390" s="23" t="n"/>
      <c r="E2390" s="20" t="n"/>
      <c r="F2390" s="20" t="n"/>
      <c r="G2390" s="25" t="n"/>
      <c r="H2390" s="20" t="n"/>
      <c r="I2390" s="20" t="n"/>
      <c r="J2390" s="20" t="n"/>
      <c r="K2390" s="20" t="n"/>
      <c r="L2390" s="25" t="n"/>
      <c r="M2390" s="20" t="n"/>
      <c r="N2390" s="20" t="n"/>
      <c r="O2390" s="20" t="n"/>
      <c r="P2390" s="20" t="n"/>
      <c r="Q2390" s="26" t="n"/>
      <c r="R2390" s="20" t="n"/>
      <c r="S2390" s="20" t="n"/>
    </row>
    <row r="2391">
      <c r="A2391" s="24" t="n"/>
      <c r="B2391" s="20" t="n"/>
      <c r="C2391" s="20" t="n"/>
      <c r="D2391" s="23" t="n"/>
      <c r="E2391" s="20" t="n"/>
      <c r="F2391" s="20" t="n"/>
      <c r="G2391" s="25" t="n"/>
      <c r="H2391" s="20" t="n"/>
      <c r="I2391" s="20" t="n"/>
      <c r="J2391" s="20" t="n"/>
      <c r="K2391" s="20" t="n"/>
      <c r="L2391" s="25" t="n"/>
      <c r="M2391" s="20" t="n"/>
      <c r="N2391" s="20" t="n"/>
      <c r="O2391" s="20" t="n"/>
      <c r="P2391" s="20" t="n"/>
      <c r="Q2391" s="26" t="n"/>
      <c r="R2391" s="20" t="n"/>
      <c r="S2391" s="20" t="n"/>
    </row>
    <row r="2392">
      <c r="A2392" s="24" t="n"/>
      <c r="B2392" s="20" t="n"/>
      <c r="C2392" s="20" t="n"/>
      <c r="D2392" s="23" t="n"/>
      <c r="E2392" s="20" t="n"/>
      <c r="F2392" s="20" t="n"/>
      <c r="G2392" s="25" t="n"/>
      <c r="H2392" s="20" t="n"/>
      <c r="I2392" s="20" t="n"/>
      <c r="J2392" s="20" t="n"/>
      <c r="K2392" s="20" t="n"/>
      <c r="L2392" s="25" t="n"/>
      <c r="M2392" s="20" t="n"/>
      <c r="N2392" s="20" t="n"/>
      <c r="O2392" s="20" t="n"/>
      <c r="P2392" s="20" t="n"/>
      <c r="Q2392" s="26" t="n"/>
      <c r="R2392" s="20" t="n"/>
      <c r="S2392" s="20" t="n"/>
    </row>
    <row r="2393">
      <c r="A2393" s="24" t="n"/>
      <c r="B2393" s="20" t="n"/>
      <c r="C2393" s="20" t="n"/>
      <c r="D2393" s="23" t="n"/>
      <c r="E2393" s="20" t="n"/>
      <c r="F2393" s="20" t="n"/>
      <c r="G2393" s="25" t="n"/>
      <c r="H2393" s="20" t="n"/>
      <c r="I2393" s="20" t="n"/>
      <c r="J2393" s="20" t="n"/>
      <c r="K2393" s="20" t="n"/>
      <c r="L2393" s="25" t="n"/>
      <c r="M2393" s="20" t="n"/>
      <c r="N2393" s="20" t="n"/>
      <c r="O2393" s="20" t="n"/>
      <c r="P2393" s="20" t="n"/>
      <c r="Q2393" s="26" t="n"/>
      <c r="R2393" s="20" t="n"/>
      <c r="S2393" s="20" t="n"/>
    </row>
    <row r="2394">
      <c r="A2394" s="24" t="n"/>
      <c r="B2394" s="20" t="n"/>
      <c r="C2394" s="20" t="n"/>
      <c r="D2394" s="23" t="n"/>
      <c r="E2394" s="20" t="n"/>
      <c r="F2394" s="20" t="n"/>
      <c r="G2394" s="25" t="n"/>
      <c r="H2394" s="20" t="n"/>
      <c r="I2394" s="20" t="n"/>
      <c r="J2394" s="20" t="n"/>
      <c r="K2394" s="20" t="n"/>
      <c r="L2394" s="25" t="n"/>
      <c r="M2394" s="20" t="n"/>
      <c r="N2394" s="20" t="n"/>
      <c r="O2394" s="20" t="n"/>
      <c r="P2394" s="20" t="n"/>
      <c r="Q2394" s="26" t="n"/>
      <c r="R2394" s="20" t="n"/>
      <c r="S2394" s="20" t="n"/>
    </row>
    <row r="2395">
      <c r="A2395" s="24" t="n"/>
      <c r="B2395" s="20" t="n"/>
      <c r="C2395" s="20" t="n"/>
      <c r="D2395" s="23" t="n"/>
      <c r="E2395" s="20" t="n"/>
      <c r="F2395" s="20" t="n"/>
      <c r="G2395" s="25" t="n"/>
      <c r="H2395" s="20" t="n"/>
      <c r="I2395" s="20" t="n"/>
      <c r="J2395" s="20" t="n"/>
      <c r="K2395" s="20" t="n"/>
      <c r="L2395" s="25" t="n"/>
      <c r="M2395" s="20" t="n"/>
      <c r="N2395" s="20" t="n"/>
      <c r="O2395" s="20" t="n"/>
      <c r="P2395" s="20" t="n"/>
      <c r="Q2395" s="26" t="n"/>
      <c r="R2395" s="20" t="n"/>
      <c r="S2395" s="20" t="n"/>
    </row>
    <row r="2396">
      <c r="A2396" s="24" t="n"/>
      <c r="B2396" s="20" t="n"/>
      <c r="C2396" s="20" t="n"/>
      <c r="D2396" s="23" t="n"/>
      <c r="E2396" s="20" t="n"/>
      <c r="F2396" s="20" t="n"/>
      <c r="G2396" s="25" t="n"/>
      <c r="H2396" s="20" t="n"/>
      <c r="I2396" s="20" t="n"/>
      <c r="J2396" s="20" t="n"/>
      <c r="K2396" s="20" t="n"/>
      <c r="L2396" s="25" t="n"/>
      <c r="M2396" s="20" t="n"/>
      <c r="N2396" s="20" t="n"/>
      <c r="O2396" s="20" t="n"/>
      <c r="P2396" s="20" t="n"/>
      <c r="Q2396" s="26" t="n"/>
      <c r="R2396" s="20" t="n"/>
      <c r="S2396" s="20" t="n"/>
    </row>
    <row r="2397">
      <c r="A2397" s="24" t="n"/>
      <c r="B2397" s="20" t="n"/>
      <c r="C2397" s="20" t="n"/>
      <c r="D2397" s="23" t="n"/>
      <c r="E2397" s="20" t="n"/>
      <c r="F2397" s="20" t="n"/>
      <c r="G2397" s="25" t="n"/>
      <c r="H2397" s="20" t="n"/>
      <c r="I2397" s="20" t="n"/>
      <c r="J2397" s="20" t="n"/>
      <c r="K2397" s="20" t="n"/>
      <c r="L2397" s="25" t="n"/>
      <c r="M2397" s="20" t="n"/>
      <c r="N2397" s="20" t="n"/>
      <c r="O2397" s="20" t="n"/>
      <c r="P2397" s="20" t="n"/>
      <c r="Q2397" s="26" t="n"/>
      <c r="R2397" s="20" t="n"/>
      <c r="S2397" s="20" t="n"/>
    </row>
    <row r="2398">
      <c r="A2398" s="24" t="n"/>
      <c r="B2398" s="20" t="n"/>
      <c r="C2398" s="20" t="n"/>
      <c r="D2398" s="23" t="n"/>
      <c r="E2398" s="20" t="n"/>
      <c r="F2398" s="20" t="n"/>
      <c r="G2398" s="25" t="n"/>
      <c r="H2398" s="20" t="n"/>
      <c r="I2398" s="20" t="n"/>
      <c r="J2398" s="20" t="n"/>
      <c r="K2398" s="20" t="n"/>
      <c r="L2398" s="25" t="n"/>
      <c r="M2398" s="20" t="n"/>
      <c r="N2398" s="20" t="n"/>
      <c r="O2398" s="20" t="n"/>
      <c r="P2398" s="20" t="n"/>
      <c r="Q2398" s="26" t="n"/>
      <c r="R2398" s="20" t="n"/>
      <c r="S2398" s="20" t="n"/>
    </row>
    <row r="2399">
      <c r="A2399" s="24" t="n"/>
      <c r="B2399" s="20" t="n"/>
      <c r="C2399" s="20" t="n"/>
      <c r="D2399" s="23" t="n"/>
      <c r="E2399" s="20" t="n"/>
      <c r="F2399" s="20" t="n"/>
      <c r="G2399" s="25" t="n"/>
      <c r="H2399" s="20" t="n"/>
      <c r="I2399" s="20" t="n"/>
      <c r="J2399" s="20" t="n"/>
      <c r="K2399" s="20" t="n"/>
      <c r="L2399" s="25" t="n"/>
      <c r="M2399" s="20" t="n"/>
      <c r="N2399" s="20" t="n"/>
      <c r="O2399" s="20" t="n"/>
      <c r="P2399" s="20" t="n"/>
      <c r="Q2399" s="26" t="n"/>
      <c r="R2399" s="20" t="n"/>
      <c r="S2399" s="20" t="n"/>
    </row>
    <row r="2400">
      <c r="A2400" s="24" t="n"/>
      <c r="B2400" s="20" t="n"/>
      <c r="C2400" s="20" t="n"/>
      <c r="D2400" s="23" t="n"/>
      <c r="E2400" s="20" t="n"/>
      <c r="F2400" s="20" t="n"/>
      <c r="G2400" s="25" t="n"/>
      <c r="H2400" s="20" t="n"/>
      <c r="I2400" s="20" t="n"/>
      <c r="J2400" s="20" t="n"/>
      <c r="K2400" s="20" t="n"/>
      <c r="L2400" s="25" t="n"/>
      <c r="M2400" s="20" t="n"/>
      <c r="N2400" s="20" t="n"/>
      <c r="O2400" s="20" t="n"/>
      <c r="P2400" s="20" t="n"/>
      <c r="Q2400" s="26" t="n"/>
      <c r="R2400" s="20" t="n"/>
      <c r="S2400" s="20" t="n"/>
    </row>
    <row r="2401">
      <c r="A2401" s="24" t="n"/>
      <c r="B2401" s="20" t="n"/>
      <c r="C2401" s="20" t="n"/>
      <c r="D2401" s="23" t="n"/>
      <c r="E2401" s="20" t="n"/>
      <c r="F2401" s="20" t="n"/>
      <c r="G2401" s="25" t="n"/>
      <c r="H2401" s="20" t="n"/>
      <c r="I2401" s="20" t="n"/>
      <c r="J2401" s="20" t="n"/>
      <c r="K2401" s="20" t="n"/>
      <c r="L2401" s="25" t="n"/>
      <c r="M2401" s="20" t="n"/>
      <c r="N2401" s="20" t="n"/>
      <c r="O2401" s="20" t="n"/>
      <c r="P2401" s="20" t="n"/>
      <c r="Q2401" s="26" t="n"/>
      <c r="R2401" s="20" t="n"/>
      <c r="S2401" s="20" t="n"/>
    </row>
    <row r="2402">
      <c r="A2402" s="24" t="n"/>
      <c r="B2402" s="20" t="n"/>
      <c r="C2402" s="20" t="n"/>
      <c r="D2402" s="23" t="n"/>
      <c r="E2402" s="20" t="n"/>
      <c r="F2402" s="20" t="n"/>
      <c r="G2402" s="25" t="n"/>
      <c r="H2402" s="20" t="n"/>
      <c r="I2402" s="20" t="n"/>
      <c r="J2402" s="20" t="n"/>
      <c r="K2402" s="20" t="n"/>
      <c r="L2402" s="25" t="n"/>
      <c r="M2402" s="20" t="n"/>
      <c r="N2402" s="20" t="n"/>
      <c r="O2402" s="20" t="n"/>
      <c r="P2402" s="20" t="n"/>
      <c r="Q2402" s="26" t="n"/>
      <c r="R2402" s="20" t="n"/>
      <c r="S2402" s="20" t="n"/>
    </row>
    <row r="2403">
      <c r="A2403" s="24" t="n"/>
      <c r="B2403" s="20" t="n"/>
      <c r="C2403" s="20" t="n"/>
      <c r="D2403" s="23" t="n"/>
      <c r="E2403" s="20" t="n"/>
      <c r="F2403" s="20" t="n"/>
      <c r="G2403" s="25" t="n"/>
      <c r="H2403" s="20" t="n"/>
      <c r="I2403" s="20" t="n"/>
      <c r="J2403" s="20" t="n"/>
      <c r="K2403" s="20" t="n"/>
      <c r="L2403" s="25" t="n"/>
      <c r="M2403" s="20" t="n"/>
      <c r="N2403" s="20" t="n"/>
      <c r="O2403" s="20" t="n"/>
      <c r="P2403" s="20" t="n"/>
      <c r="Q2403" s="26" t="n"/>
      <c r="R2403" s="20" t="n"/>
      <c r="S2403" s="20" t="n"/>
    </row>
    <row r="2404">
      <c r="A2404" s="24" t="n"/>
      <c r="B2404" s="20" t="n"/>
      <c r="C2404" s="20" t="n"/>
      <c r="D2404" s="23" t="n"/>
      <c r="E2404" s="20" t="n"/>
      <c r="F2404" s="20" t="n"/>
      <c r="G2404" s="25" t="n"/>
      <c r="H2404" s="20" t="n"/>
      <c r="I2404" s="20" t="n"/>
      <c r="J2404" s="20" t="n"/>
      <c r="K2404" s="20" t="n"/>
      <c r="L2404" s="25" t="n"/>
      <c r="M2404" s="20" t="n"/>
      <c r="N2404" s="20" t="n"/>
      <c r="O2404" s="20" t="n"/>
      <c r="P2404" s="20" t="n"/>
      <c r="Q2404" s="26" t="n"/>
      <c r="R2404" s="20" t="n"/>
      <c r="S2404" s="20" t="n"/>
    </row>
    <row r="2405">
      <c r="A2405" s="24" t="n"/>
      <c r="B2405" s="20" t="n"/>
      <c r="C2405" s="20" t="n"/>
      <c r="D2405" s="23" t="n"/>
      <c r="E2405" s="20" t="n"/>
      <c r="F2405" s="20" t="n"/>
      <c r="G2405" s="25" t="n"/>
      <c r="H2405" s="20" t="n"/>
      <c r="I2405" s="20" t="n"/>
      <c r="J2405" s="20" t="n"/>
      <c r="K2405" s="20" t="n"/>
      <c r="L2405" s="25" t="n"/>
      <c r="M2405" s="20" t="n"/>
      <c r="N2405" s="20" t="n"/>
      <c r="O2405" s="20" t="n"/>
      <c r="P2405" s="20" t="n"/>
      <c r="Q2405" s="26" t="n"/>
      <c r="R2405" s="20" t="n"/>
      <c r="S2405" s="20" t="n"/>
    </row>
    <row r="2406">
      <c r="A2406" s="24" t="n"/>
      <c r="B2406" s="20" t="n"/>
      <c r="C2406" s="20" t="n"/>
      <c r="D2406" s="23" t="n"/>
      <c r="E2406" s="20" t="n"/>
      <c r="F2406" s="20" t="n"/>
      <c r="G2406" s="25" t="n"/>
      <c r="H2406" s="20" t="n"/>
      <c r="I2406" s="20" t="n"/>
      <c r="J2406" s="20" t="n"/>
      <c r="K2406" s="20" t="n"/>
      <c r="L2406" s="25" t="n"/>
      <c r="M2406" s="20" t="n"/>
      <c r="N2406" s="20" t="n"/>
      <c r="O2406" s="20" t="n"/>
      <c r="P2406" s="20" t="n"/>
      <c r="Q2406" s="26" t="n"/>
      <c r="R2406" s="20" t="n"/>
      <c r="S2406" s="20" t="n"/>
    </row>
    <row r="2407">
      <c r="A2407" s="24" t="n"/>
      <c r="B2407" s="20" t="n"/>
      <c r="C2407" s="20" t="n"/>
      <c r="D2407" s="23" t="n"/>
      <c r="E2407" s="20" t="n"/>
      <c r="F2407" s="20" t="n"/>
      <c r="G2407" s="25" t="n"/>
      <c r="H2407" s="20" t="n"/>
      <c r="I2407" s="20" t="n"/>
      <c r="J2407" s="20" t="n"/>
      <c r="K2407" s="20" t="n"/>
      <c r="L2407" s="25" t="n"/>
      <c r="M2407" s="20" t="n"/>
      <c r="N2407" s="20" t="n"/>
      <c r="O2407" s="20" t="n"/>
      <c r="P2407" s="20" t="n"/>
      <c r="Q2407" s="26" t="n"/>
      <c r="R2407" s="20" t="n"/>
      <c r="S2407" s="20" t="n"/>
    </row>
    <row r="2408">
      <c r="A2408" s="24" t="n"/>
      <c r="B2408" s="20" t="n"/>
      <c r="C2408" s="20" t="n"/>
      <c r="D2408" s="23" t="n"/>
      <c r="E2408" s="20" t="n"/>
      <c r="F2408" s="20" t="n"/>
      <c r="G2408" s="25" t="n"/>
      <c r="H2408" s="20" t="n"/>
      <c r="I2408" s="20" t="n"/>
      <c r="J2408" s="20" t="n"/>
      <c r="K2408" s="20" t="n"/>
      <c r="L2408" s="25" t="n"/>
      <c r="M2408" s="20" t="n"/>
      <c r="N2408" s="20" t="n"/>
      <c r="O2408" s="20" t="n"/>
      <c r="P2408" s="20" t="n"/>
      <c r="Q2408" s="26" t="n"/>
      <c r="R2408" s="20" t="n"/>
      <c r="S2408" s="20" t="n"/>
    </row>
    <row r="2409">
      <c r="A2409" s="24" t="n"/>
      <c r="B2409" s="20" t="n"/>
      <c r="C2409" s="20" t="n"/>
      <c r="D2409" s="23" t="n"/>
      <c r="E2409" s="20" t="n"/>
      <c r="F2409" s="20" t="n"/>
      <c r="G2409" s="25" t="n"/>
      <c r="H2409" s="20" t="n"/>
      <c r="I2409" s="20" t="n"/>
      <c r="J2409" s="20" t="n"/>
      <c r="K2409" s="20" t="n"/>
      <c r="L2409" s="25" t="n"/>
      <c r="M2409" s="20" t="n"/>
      <c r="N2409" s="20" t="n"/>
      <c r="O2409" s="20" t="n"/>
      <c r="P2409" s="20" t="n"/>
      <c r="Q2409" s="26" t="n"/>
      <c r="R2409" s="20" t="n"/>
      <c r="S2409" s="20" t="n"/>
    </row>
    <row r="2410">
      <c r="A2410" s="24" t="n"/>
      <c r="B2410" s="20" t="n"/>
      <c r="C2410" s="20" t="n"/>
      <c r="D2410" s="23" t="n"/>
      <c r="E2410" s="20" t="n"/>
      <c r="F2410" s="20" t="n"/>
      <c r="G2410" s="25" t="n"/>
      <c r="H2410" s="20" t="n"/>
      <c r="I2410" s="20" t="n"/>
      <c r="J2410" s="20" t="n"/>
      <c r="K2410" s="20" t="n"/>
      <c r="L2410" s="25" t="n"/>
      <c r="M2410" s="20" t="n"/>
      <c r="N2410" s="20" t="n"/>
      <c r="O2410" s="20" t="n"/>
      <c r="P2410" s="20" t="n"/>
      <c r="Q2410" s="26" t="n"/>
      <c r="R2410" s="20" t="n"/>
      <c r="S2410" s="20" t="n"/>
    </row>
    <row r="2411">
      <c r="A2411" s="24" t="n"/>
      <c r="B2411" s="20" t="n"/>
      <c r="C2411" s="20" t="n"/>
      <c r="D2411" s="23" t="n"/>
      <c r="E2411" s="20" t="n"/>
      <c r="F2411" s="20" t="n"/>
      <c r="G2411" s="25" t="n"/>
      <c r="H2411" s="20" t="n"/>
      <c r="I2411" s="20" t="n"/>
      <c r="J2411" s="20" t="n"/>
      <c r="K2411" s="20" t="n"/>
      <c r="L2411" s="25" t="n"/>
      <c r="M2411" s="20" t="n"/>
      <c r="N2411" s="20" t="n"/>
      <c r="O2411" s="20" t="n"/>
      <c r="P2411" s="20" t="n"/>
      <c r="Q2411" s="26" t="n"/>
      <c r="R2411" s="20" t="n"/>
      <c r="S2411" s="20" t="n"/>
    </row>
    <row r="2412">
      <c r="A2412" s="24" t="n"/>
      <c r="B2412" s="20" t="n"/>
      <c r="C2412" s="20" t="n"/>
      <c r="D2412" s="23" t="n"/>
      <c r="E2412" s="20" t="n"/>
      <c r="F2412" s="20" t="n"/>
      <c r="G2412" s="25" t="n"/>
      <c r="H2412" s="20" t="n"/>
      <c r="I2412" s="20" t="n"/>
      <c r="J2412" s="20" t="n"/>
      <c r="K2412" s="20" t="n"/>
      <c r="L2412" s="25" t="n"/>
      <c r="M2412" s="20" t="n"/>
      <c r="N2412" s="20" t="n"/>
      <c r="O2412" s="20" t="n"/>
      <c r="P2412" s="20" t="n"/>
      <c r="Q2412" s="26" t="n"/>
      <c r="R2412" s="20" t="n"/>
      <c r="S2412" s="20" t="n"/>
    </row>
    <row r="2413">
      <c r="A2413" s="24" t="n"/>
      <c r="B2413" s="20" t="n"/>
      <c r="C2413" s="20" t="n"/>
      <c r="D2413" s="23" t="n"/>
      <c r="E2413" s="20" t="n"/>
      <c r="F2413" s="20" t="n"/>
      <c r="G2413" s="25" t="n"/>
      <c r="H2413" s="20" t="n"/>
      <c r="I2413" s="20" t="n"/>
      <c r="J2413" s="20" t="n"/>
      <c r="K2413" s="20" t="n"/>
      <c r="L2413" s="25" t="n"/>
      <c r="M2413" s="20" t="n"/>
      <c r="N2413" s="20" t="n"/>
      <c r="O2413" s="20" t="n"/>
      <c r="P2413" s="20" t="n"/>
      <c r="Q2413" s="26" t="n"/>
      <c r="R2413" s="20" t="n"/>
      <c r="S2413" s="20" t="n"/>
    </row>
    <row r="2414">
      <c r="A2414" s="24" t="n"/>
      <c r="B2414" s="20" t="n"/>
      <c r="C2414" s="20" t="n"/>
      <c r="D2414" s="23" t="n"/>
      <c r="E2414" s="20" t="n"/>
      <c r="F2414" s="20" t="n"/>
      <c r="G2414" s="25" t="n"/>
      <c r="H2414" s="20" t="n"/>
      <c r="I2414" s="20" t="n"/>
      <c r="J2414" s="20" t="n"/>
      <c r="K2414" s="20" t="n"/>
      <c r="L2414" s="25" t="n"/>
      <c r="M2414" s="20" t="n"/>
      <c r="N2414" s="20" t="n"/>
      <c r="O2414" s="20" t="n"/>
      <c r="P2414" s="20" t="n"/>
      <c r="Q2414" s="26" t="n"/>
      <c r="R2414" s="20" t="n"/>
      <c r="S2414" s="20" t="n"/>
    </row>
    <row r="2415">
      <c r="A2415" s="24" t="n"/>
      <c r="B2415" s="20" t="n"/>
      <c r="C2415" s="20" t="n"/>
      <c r="D2415" s="23" t="n"/>
      <c r="E2415" s="20" t="n"/>
      <c r="F2415" s="20" t="n"/>
      <c r="G2415" s="25" t="n"/>
      <c r="H2415" s="20" t="n"/>
      <c r="I2415" s="20" t="n"/>
      <c r="J2415" s="20" t="n"/>
      <c r="K2415" s="20" t="n"/>
      <c r="L2415" s="25" t="n"/>
      <c r="M2415" s="20" t="n"/>
      <c r="N2415" s="20" t="n"/>
      <c r="O2415" s="20" t="n"/>
      <c r="P2415" s="20" t="n"/>
      <c r="Q2415" s="26" t="n"/>
      <c r="R2415" s="20" t="n"/>
      <c r="S2415" s="20" t="n"/>
    </row>
    <row r="2416">
      <c r="A2416" s="24" t="n"/>
      <c r="B2416" s="20" t="n"/>
      <c r="C2416" s="20" t="n"/>
      <c r="D2416" s="23" t="n"/>
      <c r="E2416" s="20" t="n"/>
      <c r="F2416" s="20" t="n"/>
      <c r="G2416" s="25" t="n"/>
      <c r="H2416" s="20" t="n"/>
      <c r="I2416" s="20" t="n"/>
      <c r="J2416" s="20" t="n"/>
      <c r="K2416" s="20" t="n"/>
      <c r="L2416" s="25" t="n"/>
      <c r="M2416" s="20" t="n"/>
      <c r="N2416" s="20" t="n"/>
      <c r="O2416" s="20" t="n"/>
      <c r="P2416" s="20" t="n"/>
      <c r="Q2416" s="26" t="n"/>
      <c r="R2416" s="20" t="n"/>
      <c r="S2416" s="20" t="n"/>
    </row>
    <row r="2417">
      <c r="A2417" s="24" t="n"/>
      <c r="B2417" s="20" t="n"/>
      <c r="C2417" s="20" t="n"/>
      <c r="D2417" s="23" t="n"/>
      <c r="E2417" s="20" t="n"/>
      <c r="F2417" s="20" t="n"/>
      <c r="G2417" s="25" t="n"/>
      <c r="H2417" s="20" t="n"/>
      <c r="I2417" s="20" t="n"/>
      <c r="J2417" s="20" t="n"/>
      <c r="K2417" s="20" t="n"/>
      <c r="L2417" s="25" t="n"/>
      <c r="M2417" s="20" t="n"/>
      <c r="N2417" s="20" t="n"/>
      <c r="O2417" s="20" t="n"/>
      <c r="P2417" s="20" t="n"/>
      <c r="Q2417" s="26" t="n"/>
      <c r="R2417" s="20" t="n"/>
      <c r="S2417" s="20" t="n"/>
    </row>
    <row r="2418">
      <c r="A2418" s="24" t="n"/>
      <c r="B2418" s="20" t="n"/>
      <c r="C2418" s="20" t="n"/>
      <c r="D2418" s="23" t="n"/>
      <c r="E2418" s="20" t="n"/>
      <c r="F2418" s="20" t="n"/>
      <c r="G2418" s="25" t="n"/>
      <c r="H2418" s="20" t="n"/>
      <c r="I2418" s="20" t="n"/>
      <c r="J2418" s="20" t="n"/>
      <c r="K2418" s="20" t="n"/>
      <c r="L2418" s="25" t="n"/>
      <c r="M2418" s="20" t="n"/>
      <c r="N2418" s="20" t="n"/>
      <c r="O2418" s="20" t="n"/>
      <c r="P2418" s="20" t="n"/>
      <c r="Q2418" s="26" t="n"/>
      <c r="R2418" s="20" t="n"/>
      <c r="S2418" s="20" t="n"/>
    </row>
    <row r="2419">
      <c r="A2419" s="24" t="n"/>
      <c r="B2419" s="20" t="n"/>
      <c r="C2419" s="20" t="n"/>
      <c r="D2419" s="23" t="n"/>
      <c r="E2419" s="20" t="n"/>
      <c r="F2419" s="20" t="n"/>
      <c r="G2419" s="25" t="n"/>
      <c r="H2419" s="20" t="n"/>
      <c r="I2419" s="20" t="n"/>
      <c r="J2419" s="20" t="n"/>
      <c r="K2419" s="20" t="n"/>
      <c r="L2419" s="25" t="n"/>
      <c r="M2419" s="20" t="n"/>
      <c r="N2419" s="20" t="n"/>
      <c r="O2419" s="20" t="n"/>
      <c r="P2419" s="20" t="n"/>
      <c r="Q2419" s="26" t="n"/>
      <c r="R2419" s="20" t="n"/>
      <c r="S2419" s="20" t="n"/>
    </row>
    <row r="2420">
      <c r="A2420" s="24" t="n"/>
      <c r="B2420" s="20" t="n"/>
      <c r="C2420" s="20" t="n"/>
      <c r="D2420" s="23" t="n"/>
      <c r="E2420" s="20" t="n"/>
      <c r="F2420" s="20" t="n"/>
      <c r="G2420" s="25" t="n"/>
      <c r="H2420" s="20" t="n"/>
      <c r="I2420" s="20" t="n"/>
      <c r="J2420" s="20" t="n"/>
      <c r="K2420" s="20" t="n"/>
      <c r="L2420" s="25" t="n"/>
      <c r="M2420" s="20" t="n"/>
      <c r="N2420" s="20" t="n"/>
      <c r="O2420" s="20" t="n"/>
      <c r="P2420" s="20" t="n"/>
      <c r="Q2420" s="26" t="n"/>
      <c r="R2420" s="20" t="n"/>
      <c r="S2420" s="20" t="n"/>
    </row>
    <row r="2421">
      <c r="A2421" s="24" t="n"/>
      <c r="B2421" s="20" t="n"/>
      <c r="C2421" s="20" t="n"/>
      <c r="D2421" s="23" t="n"/>
      <c r="E2421" s="20" t="n"/>
      <c r="F2421" s="20" t="n"/>
      <c r="G2421" s="25" t="n"/>
      <c r="H2421" s="20" t="n"/>
      <c r="I2421" s="20" t="n"/>
      <c r="J2421" s="20" t="n"/>
      <c r="K2421" s="20" t="n"/>
      <c r="L2421" s="25" t="n"/>
      <c r="M2421" s="20" t="n"/>
      <c r="N2421" s="20" t="n"/>
      <c r="O2421" s="20" t="n"/>
      <c r="P2421" s="20" t="n"/>
      <c r="Q2421" s="26" t="n"/>
      <c r="R2421" s="20" t="n"/>
      <c r="S2421" s="20" t="n"/>
    </row>
    <row r="2422">
      <c r="A2422" s="24" t="n"/>
      <c r="B2422" s="20" t="n"/>
      <c r="C2422" s="20" t="n"/>
      <c r="D2422" s="23" t="n"/>
      <c r="E2422" s="20" t="n"/>
      <c r="F2422" s="20" t="n"/>
      <c r="G2422" s="25" t="n"/>
      <c r="H2422" s="20" t="n"/>
      <c r="I2422" s="20" t="n"/>
      <c r="J2422" s="20" t="n"/>
      <c r="K2422" s="20" t="n"/>
      <c r="L2422" s="25" t="n"/>
      <c r="M2422" s="20" t="n"/>
      <c r="N2422" s="20" t="n"/>
      <c r="O2422" s="20" t="n"/>
      <c r="P2422" s="20" t="n"/>
      <c r="Q2422" s="26" t="n"/>
      <c r="R2422" s="20" t="n"/>
      <c r="S2422" s="20" t="n"/>
    </row>
    <row r="2423">
      <c r="A2423" s="24" t="n"/>
      <c r="B2423" s="20" t="n"/>
      <c r="C2423" s="20" t="n"/>
      <c r="D2423" s="23" t="n"/>
      <c r="E2423" s="20" t="n"/>
      <c r="F2423" s="20" t="n"/>
      <c r="G2423" s="25" t="n"/>
      <c r="H2423" s="20" t="n"/>
      <c r="I2423" s="20" t="n"/>
      <c r="J2423" s="20" t="n"/>
      <c r="K2423" s="20" t="n"/>
      <c r="L2423" s="25" t="n"/>
      <c r="M2423" s="20" t="n"/>
      <c r="N2423" s="20" t="n"/>
      <c r="O2423" s="20" t="n"/>
      <c r="P2423" s="20" t="n"/>
      <c r="Q2423" s="26" t="n"/>
      <c r="R2423" s="20" t="n"/>
      <c r="S2423" s="20" t="n"/>
    </row>
    <row r="2424">
      <c r="A2424" s="24" t="n"/>
      <c r="B2424" s="20" t="n"/>
      <c r="C2424" s="20" t="n"/>
      <c r="D2424" s="23" t="n"/>
      <c r="E2424" s="20" t="n"/>
      <c r="F2424" s="20" t="n"/>
      <c r="G2424" s="25" t="n"/>
      <c r="H2424" s="20" t="n"/>
      <c r="I2424" s="20" t="n"/>
      <c r="J2424" s="20" t="n"/>
      <c r="K2424" s="20" t="n"/>
      <c r="L2424" s="25" t="n"/>
      <c r="M2424" s="20" t="n"/>
      <c r="N2424" s="20" t="n"/>
      <c r="O2424" s="20" t="n"/>
      <c r="P2424" s="20" t="n"/>
      <c r="Q2424" s="26" t="n"/>
      <c r="R2424" s="20" t="n"/>
      <c r="S2424" s="20" t="n"/>
    </row>
    <row r="2425">
      <c r="A2425" s="24" t="n"/>
      <c r="B2425" s="20" t="n"/>
      <c r="C2425" s="20" t="n"/>
      <c r="D2425" s="23" t="n"/>
      <c r="E2425" s="20" t="n"/>
      <c r="F2425" s="20" t="n"/>
      <c r="G2425" s="25" t="n"/>
      <c r="H2425" s="20" t="n"/>
      <c r="I2425" s="20" t="n"/>
      <c r="J2425" s="20" t="n"/>
      <c r="K2425" s="20" t="n"/>
      <c r="L2425" s="25" t="n"/>
      <c r="M2425" s="20" t="n"/>
      <c r="N2425" s="20" t="n"/>
      <c r="O2425" s="20" t="n"/>
      <c r="P2425" s="20" t="n"/>
      <c r="Q2425" s="26" t="n"/>
      <c r="R2425" s="20" t="n"/>
      <c r="S2425" s="20" t="n"/>
    </row>
    <row r="2426">
      <c r="A2426" s="24" t="n"/>
      <c r="B2426" s="20" t="n"/>
      <c r="C2426" s="20" t="n"/>
      <c r="D2426" s="23" t="n"/>
      <c r="E2426" s="20" t="n"/>
      <c r="F2426" s="20" t="n"/>
      <c r="G2426" s="25" t="n"/>
      <c r="H2426" s="20" t="n"/>
      <c r="I2426" s="20" t="n"/>
      <c r="J2426" s="20" t="n"/>
      <c r="K2426" s="20" t="n"/>
      <c r="L2426" s="25" t="n"/>
      <c r="M2426" s="20" t="n"/>
      <c r="N2426" s="20" t="n"/>
      <c r="O2426" s="20" t="n"/>
      <c r="P2426" s="20" t="n"/>
      <c r="Q2426" s="26" t="n"/>
      <c r="R2426" s="20" t="n"/>
      <c r="S2426" s="20" t="n"/>
    </row>
    <row r="2427">
      <c r="A2427" s="24" t="n"/>
      <c r="B2427" s="20" t="n"/>
      <c r="C2427" s="20" t="n"/>
      <c r="D2427" s="23" t="n"/>
      <c r="E2427" s="20" t="n"/>
      <c r="F2427" s="20" t="n"/>
      <c r="G2427" s="25" t="n"/>
      <c r="H2427" s="20" t="n"/>
      <c r="I2427" s="20" t="n"/>
      <c r="J2427" s="20" t="n"/>
      <c r="K2427" s="20" t="n"/>
      <c r="L2427" s="25" t="n"/>
      <c r="M2427" s="20" t="n"/>
      <c r="N2427" s="20" t="n"/>
      <c r="O2427" s="20" t="n"/>
      <c r="P2427" s="20" t="n"/>
      <c r="Q2427" s="26" t="n"/>
      <c r="R2427" s="20" t="n"/>
      <c r="S2427" s="20" t="n"/>
    </row>
    <row r="2428">
      <c r="A2428" s="24" t="n"/>
      <c r="B2428" s="20" t="n"/>
      <c r="C2428" s="20" t="n"/>
      <c r="D2428" s="23" t="n"/>
      <c r="E2428" s="20" t="n"/>
      <c r="F2428" s="20" t="n"/>
      <c r="G2428" s="25" t="n"/>
      <c r="H2428" s="20" t="n"/>
      <c r="I2428" s="20" t="n"/>
      <c r="J2428" s="20" t="n"/>
      <c r="K2428" s="20" t="n"/>
      <c r="L2428" s="25" t="n"/>
      <c r="M2428" s="20" t="n"/>
      <c r="N2428" s="20" t="n"/>
      <c r="O2428" s="20" t="n"/>
      <c r="P2428" s="20" t="n"/>
      <c r="Q2428" s="26" t="n"/>
      <c r="R2428" s="20" t="n"/>
      <c r="S2428" s="20" t="n"/>
    </row>
    <row r="2429">
      <c r="A2429" s="24" t="n"/>
      <c r="B2429" s="20" t="n"/>
      <c r="C2429" s="20" t="n"/>
      <c r="D2429" s="23" t="n"/>
      <c r="E2429" s="20" t="n"/>
      <c r="F2429" s="20" t="n"/>
      <c r="G2429" s="25" t="n"/>
      <c r="H2429" s="20" t="n"/>
      <c r="I2429" s="20" t="n"/>
      <c r="J2429" s="20" t="n"/>
      <c r="K2429" s="20" t="n"/>
      <c r="L2429" s="25" t="n"/>
      <c r="M2429" s="20" t="n"/>
      <c r="N2429" s="20" t="n"/>
      <c r="O2429" s="20" t="n"/>
      <c r="P2429" s="20" t="n"/>
      <c r="Q2429" s="26" t="n"/>
      <c r="R2429" s="20" t="n"/>
      <c r="S2429" s="20" t="n"/>
    </row>
    <row r="2430">
      <c r="A2430" s="24" t="n"/>
      <c r="B2430" s="20" t="n"/>
      <c r="C2430" s="20" t="n"/>
      <c r="D2430" s="23" t="n"/>
      <c r="E2430" s="20" t="n"/>
      <c r="F2430" s="20" t="n"/>
      <c r="G2430" s="25" t="n"/>
      <c r="H2430" s="20" t="n"/>
      <c r="I2430" s="20" t="n"/>
      <c r="J2430" s="20" t="n"/>
      <c r="K2430" s="20" t="n"/>
      <c r="L2430" s="25" t="n"/>
      <c r="M2430" s="20" t="n"/>
      <c r="N2430" s="20" t="n"/>
      <c r="O2430" s="20" t="n"/>
      <c r="P2430" s="20" t="n"/>
      <c r="Q2430" s="26" t="n"/>
      <c r="R2430" s="20" t="n"/>
      <c r="S2430" s="20" t="n"/>
    </row>
    <row r="2431">
      <c r="A2431" s="24" t="n"/>
      <c r="B2431" s="20" t="n"/>
      <c r="C2431" s="20" t="n"/>
      <c r="D2431" s="23" t="n"/>
      <c r="E2431" s="20" t="n"/>
      <c r="F2431" s="20" t="n"/>
      <c r="G2431" s="25" t="n"/>
      <c r="H2431" s="20" t="n"/>
      <c r="I2431" s="20" t="n"/>
      <c r="J2431" s="20" t="n"/>
      <c r="K2431" s="20" t="n"/>
      <c r="L2431" s="25" t="n"/>
      <c r="M2431" s="20" t="n"/>
      <c r="N2431" s="20" t="n"/>
      <c r="O2431" s="20" t="n"/>
      <c r="P2431" s="20" t="n"/>
      <c r="Q2431" s="26" t="n"/>
      <c r="R2431" s="20" t="n"/>
      <c r="S2431" s="20" t="n"/>
    </row>
    <row r="2432">
      <c r="A2432" s="24" t="n"/>
      <c r="B2432" s="20" t="n"/>
      <c r="C2432" s="20" t="n"/>
      <c r="D2432" s="23" t="n"/>
      <c r="E2432" s="20" t="n"/>
      <c r="F2432" s="20" t="n"/>
      <c r="G2432" s="25" t="n"/>
      <c r="H2432" s="20" t="n"/>
      <c r="I2432" s="20" t="n"/>
      <c r="J2432" s="20" t="n"/>
      <c r="K2432" s="20" t="n"/>
      <c r="L2432" s="25" t="n"/>
      <c r="M2432" s="20" t="n"/>
      <c r="N2432" s="20" t="n"/>
      <c r="O2432" s="20" t="n"/>
      <c r="P2432" s="20" t="n"/>
      <c r="Q2432" s="26" t="n"/>
      <c r="R2432" s="20" t="n"/>
      <c r="S2432" s="20" t="n"/>
    </row>
    <row r="2433">
      <c r="A2433" s="24" t="n"/>
      <c r="B2433" s="20" t="n"/>
      <c r="C2433" s="20" t="n"/>
      <c r="D2433" s="23" t="n"/>
      <c r="E2433" s="20" t="n"/>
      <c r="F2433" s="20" t="n"/>
      <c r="G2433" s="25" t="n"/>
      <c r="H2433" s="20" t="n"/>
      <c r="I2433" s="20" t="n"/>
      <c r="J2433" s="20" t="n"/>
      <c r="K2433" s="20" t="n"/>
      <c r="L2433" s="25" t="n"/>
      <c r="M2433" s="20" t="n"/>
      <c r="N2433" s="20" t="n"/>
      <c r="O2433" s="20" t="n"/>
      <c r="P2433" s="20" t="n"/>
      <c r="Q2433" s="26" t="n"/>
      <c r="R2433" s="20" t="n"/>
      <c r="S2433" s="20" t="n"/>
    </row>
    <row r="2434">
      <c r="A2434" s="24" t="n"/>
      <c r="B2434" s="20" t="n"/>
      <c r="C2434" s="20" t="n"/>
      <c r="D2434" s="23" t="n"/>
      <c r="E2434" s="20" t="n"/>
      <c r="F2434" s="20" t="n"/>
      <c r="G2434" s="25" t="n"/>
      <c r="H2434" s="20" t="n"/>
      <c r="I2434" s="20" t="n"/>
      <c r="J2434" s="20" t="n"/>
      <c r="K2434" s="20" t="n"/>
      <c r="L2434" s="25" t="n"/>
      <c r="M2434" s="20" t="n"/>
      <c r="N2434" s="20" t="n"/>
      <c r="O2434" s="20" t="n"/>
      <c r="P2434" s="20" t="n"/>
      <c r="Q2434" s="26" t="n"/>
      <c r="R2434" s="20" t="n"/>
      <c r="S2434" s="20" t="n"/>
    </row>
    <row r="2435">
      <c r="A2435" s="24" t="n"/>
      <c r="B2435" s="20" t="n"/>
      <c r="C2435" s="20" t="n"/>
      <c r="D2435" s="23" t="n"/>
      <c r="E2435" s="20" t="n"/>
      <c r="F2435" s="20" t="n"/>
      <c r="G2435" s="25" t="n"/>
      <c r="H2435" s="20" t="n"/>
      <c r="I2435" s="20" t="n"/>
      <c r="J2435" s="20" t="n"/>
      <c r="K2435" s="20" t="n"/>
      <c r="L2435" s="25" t="n"/>
      <c r="M2435" s="20" t="n"/>
      <c r="N2435" s="20" t="n"/>
      <c r="O2435" s="20" t="n"/>
      <c r="P2435" s="20" t="n"/>
      <c r="Q2435" s="26" t="n"/>
      <c r="R2435" s="20" t="n"/>
      <c r="S2435" s="20" t="n"/>
    </row>
    <row r="2436">
      <c r="A2436" s="24" t="n"/>
      <c r="B2436" s="20" t="n"/>
      <c r="C2436" s="20" t="n"/>
      <c r="D2436" s="23" t="n"/>
      <c r="E2436" s="20" t="n"/>
      <c r="F2436" s="20" t="n"/>
      <c r="G2436" s="25" t="n"/>
      <c r="H2436" s="20" t="n"/>
      <c r="I2436" s="20" t="n"/>
      <c r="J2436" s="20" t="n"/>
      <c r="K2436" s="20" t="n"/>
      <c r="L2436" s="25" t="n"/>
      <c r="M2436" s="20" t="n"/>
      <c r="N2436" s="20" t="n"/>
      <c r="O2436" s="20" t="n"/>
      <c r="P2436" s="20" t="n"/>
      <c r="Q2436" s="26" t="n"/>
      <c r="R2436" s="20" t="n"/>
      <c r="S2436" s="20" t="n"/>
    </row>
    <row r="2437">
      <c r="A2437" s="24" t="n"/>
      <c r="B2437" s="20" t="n"/>
      <c r="C2437" s="20" t="n"/>
      <c r="D2437" s="23" t="n"/>
      <c r="E2437" s="20" t="n"/>
      <c r="F2437" s="20" t="n"/>
      <c r="G2437" s="25" t="n"/>
      <c r="H2437" s="20" t="n"/>
      <c r="I2437" s="20" t="n"/>
      <c r="J2437" s="20" t="n"/>
      <c r="K2437" s="20" t="n"/>
      <c r="L2437" s="25" t="n"/>
      <c r="M2437" s="20" t="n"/>
      <c r="N2437" s="20" t="n"/>
      <c r="O2437" s="20" t="n"/>
      <c r="P2437" s="20" t="n"/>
      <c r="Q2437" s="26" t="n"/>
      <c r="R2437" s="20" t="n"/>
      <c r="S2437" s="20" t="n"/>
    </row>
    <row r="2438">
      <c r="A2438" s="24" t="n"/>
      <c r="B2438" s="20" t="n"/>
      <c r="C2438" s="20" t="n"/>
      <c r="D2438" s="23" t="n"/>
      <c r="E2438" s="20" t="n"/>
      <c r="F2438" s="20" t="n"/>
      <c r="G2438" s="25" t="n"/>
      <c r="H2438" s="20" t="n"/>
      <c r="I2438" s="20" t="n"/>
      <c r="J2438" s="20" t="n"/>
      <c r="K2438" s="20" t="n"/>
      <c r="L2438" s="25" t="n"/>
      <c r="M2438" s="20" t="n"/>
      <c r="N2438" s="20" t="n"/>
      <c r="O2438" s="20" t="n"/>
      <c r="P2438" s="20" t="n"/>
      <c r="Q2438" s="26" t="n"/>
      <c r="R2438" s="20" t="n"/>
      <c r="S2438" s="20" t="n"/>
    </row>
    <row r="2439">
      <c r="A2439" s="24" t="n"/>
      <c r="B2439" s="20" t="n"/>
      <c r="C2439" s="20" t="n"/>
      <c r="D2439" s="23" t="n"/>
      <c r="E2439" s="20" t="n"/>
      <c r="F2439" s="20" t="n"/>
      <c r="G2439" s="25" t="n"/>
      <c r="H2439" s="20" t="n"/>
      <c r="I2439" s="20" t="n"/>
      <c r="J2439" s="20" t="n"/>
      <c r="K2439" s="20" t="n"/>
      <c r="L2439" s="25" t="n"/>
      <c r="M2439" s="20" t="n"/>
      <c r="N2439" s="20" t="n"/>
      <c r="O2439" s="20" t="n"/>
      <c r="P2439" s="20" t="n"/>
      <c r="Q2439" s="26" t="n"/>
      <c r="R2439" s="20" t="n"/>
      <c r="S2439" s="20" t="n"/>
    </row>
    <row r="2440">
      <c r="A2440" s="24" t="n"/>
      <c r="B2440" s="20" t="n"/>
      <c r="C2440" s="20" t="n"/>
      <c r="D2440" s="23" t="n"/>
      <c r="E2440" s="20" t="n"/>
      <c r="F2440" s="20" t="n"/>
      <c r="G2440" s="25" t="n"/>
      <c r="H2440" s="20" t="n"/>
      <c r="I2440" s="20" t="n"/>
      <c r="J2440" s="20" t="n"/>
      <c r="K2440" s="20" t="n"/>
      <c r="L2440" s="25" t="n"/>
      <c r="M2440" s="20" t="n"/>
      <c r="N2440" s="20" t="n"/>
      <c r="O2440" s="20" t="n"/>
      <c r="P2440" s="20" t="n"/>
      <c r="Q2440" s="26" t="n"/>
      <c r="R2440" s="20" t="n"/>
      <c r="S2440" s="20" t="n"/>
    </row>
    <row r="2441">
      <c r="A2441" s="24" t="n"/>
      <c r="B2441" s="20" t="n"/>
      <c r="C2441" s="20" t="n"/>
      <c r="D2441" s="23" t="n"/>
      <c r="E2441" s="20" t="n"/>
      <c r="F2441" s="20" t="n"/>
      <c r="G2441" s="25" t="n"/>
      <c r="H2441" s="20" t="n"/>
      <c r="I2441" s="20" t="n"/>
      <c r="J2441" s="20" t="n"/>
      <c r="K2441" s="20" t="n"/>
      <c r="L2441" s="25" t="n"/>
      <c r="M2441" s="20" t="n"/>
      <c r="N2441" s="20" t="n"/>
      <c r="O2441" s="20" t="n"/>
      <c r="P2441" s="20" t="n"/>
      <c r="Q2441" s="26" t="n"/>
      <c r="R2441" s="20" t="n"/>
      <c r="S2441" s="20" t="n"/>
    </row>
    <row r="2442">
      <c r="A2442" s="24" t="n"/>
      <c r="B2442" s="20" t="n"/>
      <c r="C2442" s="20" t="n"/>
      <c r="D2442" s="23" t="n"/>
      <c r="E2442" s="20" t="n"/>
      <c r="F2442" s="20" t="n"/>
      <c r="G2442" s="25" t="n"/>
      <c r="H2442" s="20" t="n"/>
      <c r="I2442" s="20" t="n"/>
      <c r="J2442" s="20" t="n"/>
      <c r="K2442" s="20" t="n"/>
      <c r="L2442" s="25" t="n"/>
      <c r="M2442" s="20" t="n"/>
      <c r="N2442" s="20" t="n"/>
      <c r="O2442" s="20" t="n"/>
      <c r="P2442" s="20" t="n"/>
      <c r="Q2442" s="26" t="n"/>
      <c r="R2442" s="20" t="n"/>
      <c r="S2442" s="20" t="n"/>
    </row>
    <row r="2443">
      <c r="A2443" s="24" t="n"/>
      <c r="B2443" s="20" t="n"/>
      <c r="C2443" s="20" t="n"/>
      <c r="D2443" s="23" t="n"/>
      <c r="E2443" s="20" t="n"/>
      <c r="F2443" s="20" t="n"/>
      <c r="G2443" s="25" t="n"/>
      <c r="H2443" s="20" t="n"/>
      <c r="I2443" s="20" t="n"/>
      <c r="J2443" s="20" t="n"/>
      <c r="K2443" s="20" t="n"/>
      <c r="L2443" s="25" t="n"/>
      <c r="M2443" s="20" t="n"/>
      <c r="N2443" s="20" t="n"/>
      <c r="O2443" s="20" t="n"/>
      <c r="P2443" s="20" t="n"/>
      <c r="Q2443" s="26" t="n"/>
      <c r="R2443" s="20" t="n"/>
      <c r="S2443" s="20" t="n"/>
    </row>
    <row r="2444">
      <c r="A2444" s="24" t="n"/>
      <c r="B2444" s="20" t="n"/>
      <c r="C2444" s="20" t="n"/>
      <c r="D2444" s="23" t="n"/>
      <c r="E2444" s="20" t="n"/>
      <c r="F2444" s="20" t="n"/>
      <c r="G2444" s="25" t="n"/>
      <c r="H2444" s="20" t="n"/>
      <c r="I2444" s="20" t="n"/>
      <c r="J2444" s="20" t="n"/>
      <c r="K2444" s="20" t="n"/>
      <c r="L2444" s="25" t="n"/>
      <c r="M2444" s="20" t="n"/>
      <c r="N2444" s="20" t="n"/>
      <c r="O2444" s="20" t="n"/>
      <c r="P2444" s="20" t="n"/>
      <c r="Q2444" s="26" t="n"/>
      <c r="R2444" s="20" t="n"/>
      <c r="S2444" s="20" t="n"/>
    </row>
    <row r="2445">
      <c r="A2445" s="24" t="n"/>
      <c r="B2445" s="20" t="n"/>
      <c r="C2445" s="20" t="n"/>
      <c r="D2445" s="23" t="n"/>
      <c r="E2445" s="20" t="n"/>
      <c r="F2445" s="20" t="n"/>
      <c r="G2445" s="25" t="n"/>
      <c r="H2445" s="20" t="n"/>
      <c r="I2445" s="20" t="n"/>
      <c r="J2445" s="20" t="n"/>
      <c r="K2445" s="20" t="n"/>
      <c r="L2445" s="25" t="n"/>
      <c r="M2445" s="20" t="n"/>
      <c r="N2445" s="20" t="n"/>
      <c r="O2445" s="20" t="n"/>
      <c r="P2445" s="20" t="n"/>
      <c r="Q2445" s="26" t="n"/>
      <c r="R2445" s="20" t="n"/>
      <c r="S2445" s="20" t="n"/>
    </row>
    <row r="2446">
      <c r="A2446" s="24" t="n"/>
      <c r="B2446" s="20" t="n"/>
      <c r="C2446" s="20" t="n"/>
      <c r="D2446" s="23" t="n"/>
      <c r="E2446" s="20" t="n"/>
      <c r="F2446" s="20" t="n"/>
      <c r="G2446" s="25" t="n"/>
      <c r="H2446" s="20" t="n"/>
      <c r="I2446" s="20" t="n"/>
      <c r="J2446" s="20" t="n"/>
      <c r="K2446" s="20" t="n"/>
      <c r="L2446" s="25" t="n"/>
      <c r="M2446" s="20" t="n"/>
      <c r="N2446" s="20" t="n"/>
      <c r="O2446" s="20" t="n"/>
      <c r="P2446" s="20" t="n"/>
      <c r="Q2446" s="26" t="n"/>
      <c r="R2446" s="20" t="n"/>
      <c r="S2446" s="20" t="n"/>
    </row>
    <row r="2447">
      <c r="A2447" s="24" t="n"/>
      <c r="B2447" s="20" t="n"/>
      <c r="C2447" s="20" t="n"/>
      <c r="D2447" s="23" t="n"/>
      <c r="E2447" s="20" t="n"/>
      <c r="F2447" s="20" t="n"/>
      <c r="G2447" s="25" t="n"/>
      <c r="H2447" s="20" t="n"/>
      <c r="I2447" s="20" t="n"/>
      <c r="J2447" s="20" t="n"/>
      <c r="K2447" s="20" t="n"/>
      <c r="L2447" s="25" t="n"/>
      <c r="M2447" s="20" t="n"/>
      <c r="N2447" s="20" t="n"/>
      <c r="O2447" s="20" t="n"/>
      <c r="P2447" s="20" t="n"/>
      <c r="Q2447" s="26" t="n"/>
      <c r="R2447" s="20" t="n"/>
      <c r="S2447" s="20" t="n"/>
    </row>
    <row r="2448">
      <c r="A2448" s="24" t="n"/>
      <c r="B2448" s="20" t="n"/>
      <c r="C2448" s="20" t="n"/>
      <c r="D2448" s="23" t="n"/>
      <c r="E2448" s="20" t="n"/>
      <c r="F2448" s="20" t="n"/>
      <c r="G2448" s="25" t="n"/>
      <c r="H2448" s="20" t="n"/>
      <c r="I2448" s="20" t="n"/>
      <c r="J2448" s="20" t="n"/>
      <c r="K2448" s="20" t="n"/>
      <c r="L2448" s="25" t="n"/>
      <c r="M2448" s="20" t="n"/>
      <c r="N2448" s="20" t="n"/>
      <c r="O2448" s="20" t="n"/>
      <c r="P2448" s="20" t="n"/>
      <c r="Q2448" s="26" t="n"/>
      <c r="R2448" s="20" t="n"/>
      <c r="S2448" s="20" t="n"/>
    </row>
    <row r="2449">
      <c r="A2449" s="24" t="n"/>
      <c r="B2449" s="20" t="n"/>
      <c r="C2449" s="20" t="n"/>
      <c r="D2449" s="23" t="n"/>
      <c r="E2449" s="20" t="n"/>
      <c r="F2449" s="20" t="n"/>
      <c r="G2449" s="25" t="n"/>
      <c r="H2449" s="20" t="n"/>
      <c r="I2449" s="20" t="n"/>
      <c r="J2449" s="20" t="n"/>
      <c r="K2449" s="20" t="n"/>
      <c r="L2449" s="25" t="n"/>
      <c r="M2449" s="20" t="n"/>
      <c r="N2449" s="20" t="n"/>
      <c r="O2449" s="20" t="n"/>
      <c r="P2449" s="20" t="n"/>
      <c r="Q2449" s="26" t="n"/>
      <c r="R2449" s="20" t="n"/>
      <c r="S2449" s="20" t="n"/>
    </row>
    <row r="2450">
      <c r="A2450" s="24" t="n"/>
      <c r="B2450" s="20" t="n"/>
      <c r="C2450" s="20" t="n"/>
      <c r="D2450" s="23" t="n"/>
      <c r="E2450" s="20" t="n"/>
      <c r="F2450" s="20" t="n"/>
      <c r="G2450" s="25" t="n"/>
      <c r="H2450" s="20" t="n"/>
      <c r="I2450" s="20" t="n"/>
      <c r="J2450" s="20" t="n"/>
      <c r="K2450" s="20" t="n"/>
      <c r="L2450" s="25" t="n"/>
      <c r="M2450" s="20" t="n"/>
      <c r="N2450" s="20" t="n"/>
      <c r="O2450" s="20" t="n"/>
      <c r="P2450" s="20" t="n"/>
      <c r="Q2450" s="26" t="n"/>
      <c r="R2450" s="20" t="n"/>
      <c r="S2450" s="20" t="n"/>
    </row>
    <row r="2451">
      <c r="A2451" s="24" t="n"/>
      <c r="B2451" s="20" t="n"/>
      <c r="C2451" s="20" t="n"/>
      <c r="D2451" s="23" t="n"/>
      <c r="E2451" s="20" t="n"/>
      <c r="F2451" s="20" t="n"/>
      <c r="G2451" s="25" t="n"/>
      <c r="H2451" s="20" t="n"/>
      <c r="I2451" s="20" t="n"/>
      <c r="J2451" s="20" t="n"/>
      <c r="K2451" s="20" t="n"/>
      <c r="L2451" s="25" t="n"/>
      <c r="M2451" s="20" t="n"/>
      <c r="N2451" s="20" t="n"/>
      <c r="O2451" s="20" t="n"/>
      <c r="P2451" s="20" t="n"/>
      <c r="Q2451" s="26" t="n"/>
      <c r="R2451" s="20" t="n"/>
      <c r="S2451" s="20" t="n"/>
    </row>
    <row r="2452">
      <c r="A2452" s="24" t="n"/>
      <c r="B2452" s="20" t="n"/>
      <c r="C2452" s="20" t="n"/>
      <c r="D2452" s="23" t="n"/>
      <c r="E2452" s="20" t="n"/>
      <c r="F2452" s="20" t="n"/>
      <c r="G2452" s="25" t="n"/>
      <c r="H2452" s="20" t="n"/>
      <c r="I2452" s="20" t="n"/>
      <c r="J2452" s="20" t="n"/>
      <c r="K2452" s="20" t="n"/>
      <c r="L2452" s="25" t="n"/>
      <c r="M2452" s="20" t="n"/>
      <c r="N2452" s="20" t="n"/>
      <c r="O2452" s="20" t="n"/>
      <c r="P2452" s="20" t="n"/>
      <c r="Q2452" s="26" t="n"/>
      <c r="R2452" s="20" t="n"/>
      <c r="S2452" s="20" t="n"/>
    </row>
    <row r="2453">
      <c r="A2453" s="24" t="n"/>
      <c r="B2453" s="20" t="n"/>
      <c r="C2453" s="20" t="n"/>
      <c r="D2453" s="23" t="n"/>
      <c r="E2453" s="20" t="n"/>
      <c r="F2453" s="20" t="n"/>
      <c r="G2453" s="25" t="n"/>
      <c r="H2453" s="20" t="n"/>
      <c r="I2453" s="20" t="n"/>
      <c r="J2453" s="20" t="n"/>
      <c r="K2453" s="20" t="n"/>
      <c r="L2453" s="25" t="n"/>
      <c r="M2453" s="20" t="n"/>
      <c r="N2453" s="20" t="n"/>
      <c r="O2453" s="20" t="n"/>
      <c r="P2453" s="20" t="n"/>
      <c r="Q2453" s="26" t="n"/>
      <c r="R2453" s="20" t="n"/>
      <c r="S2453" s="20" t="n"/>
    </row>
    <row r="2454">
      <c r="A2454" s="24" t="n"/>
      <c r="B2454" s="20" t="n"/>
      <c r="C2454" s="20" t="n"/>
      <c r="D2454" s="23" t="n"/>
      <c r="E2454" s="20" t="n"/>
      <c r="F2454" s="20" t="n"/>
      <c r="G2454" s="25" t="n"/>
      <c r="H2454" s="20" t="n"/>
      <c r="I2454" s="20" t="n"/>
      <c r="J2454" s="20" t="n"/>
      <c r="K2454" s="20" t="n"/>
      <c r="L2454" s="25" t="n"/>
      <c r="M2454" s="20" t="n"/>
      <c r="N2454" s="20" t="n"/>
      <c r="O2454" s="20" t="n"/>
      <c r="P2454" s="20" t="n"/>
      <c r="Q2454" s="26" t="n"/>
      <c r="R2454" s="20" t="n"/>
      <c r="S2454" s="20" t="n"/>
    </row>
  </sheetData>
  <conditionalFormatting sqref="B3:B1449">
    <cfRule type="expression" priority="1" dxfId="0">
      <formula>AND($A3&lt;&gt;"",$B3&gt;$C3,$B3&lt;60)</formula>
    </cfRule>
    <cfRule type="expression" priority="10" dxfId="4">
      <formula>AND($A3&lt;&gt;"",$B3&gt;$C3)</formula>
    </cfRule>
  </conditionalFormatting>
  <conditionalFormatting sqref="C3:C1449">
    <cfRule type="expression" priority="2" dxfId="0">
      <formula>AND($A3&lt;&gt;"",$C3&gt;$B3,$C3&lt;60)</formula>
    </cfRule>
    <cfRule type="expression" priority="11" dxfId="4">
      <formula>AND($A3&lt;&gt;"",$C3&gt;$B3)</formula>
    </cfRule>
  </conditionalFormatting>
  <conditionalFormatting sqref="B3:C1449">
    <cfRule type="expression" priority="3" dxfId="1">
      <formula>AND($A3&lt;&gt;"",$B3=$C3)</formula>
    </cfRule>
  </conditionalFormatting>
  <conditionalFormatting sqref="E3:E1449">
    <cfRule type="expression" priority="4" dxfId="0">
      <formula>AND($A3&lt;&gt;"",$E3&gt;$F3)</formula>
    </cfRule>
  </conditionalFormatting>
  <conditionalFormatting sqref="F3:F1449">
    <cfRule type="expression" priority="5" dxfId="0">
      <formula>AND($A3&lt;&gt;"",$F3&gt;$E3)</formula>
    </cfRule>
  </conditionalFormatting>
  <conditionalFormatting sqref="E3:F1449">
    <cfRule type="expression" priority="6" dxfId="1">
      <formula>AND($A3&lt;&gt;"",$H3=$I3)</formula>
    </cfRule>
  </conditionalFormatting>
  <conditionalFormatting sqref="G3:G1449">
    <cfRule type="expression" priority="7" dxfId="2">
      <formula>AND($A3&lt;&gt;"",$F3&gt;$E3)</formula>
    </cfRule>
    <cfRule type="expression" priority="8" dxfId="3">
      <formula>AND($A3&lt;&gt;"",$E3&gt;$F3)</formula>
    </cfRule>
    <cfRule type="expression" priority="9" dxfId="1">
      <formula>AND($A3&lt;&gt;"",$E3=$F3)</formula>
    </cfRule>
  </conditionalFormatting>
  <conditionalFormatting sqref="H3:H1449">
    <cfRule type="cellIs" priority="12" operator="greaterThanOrEqual" dxfId="4">
      <formula>2</formula>
    </cfRule>
    <cfRule type="cellIs" priority="13" operator="greaterThanOrEqual" dxfId="0">
      <formula>1</formula>
    </cfRule>
  </conditionalFormatting>
  <conditionalFormatting sqref="I3:I1449">
    <cfRule type="cellIs" priority="14" operator="greaterThanOrEqual" dxfId="4">
      <formula>2</formula>
    </cfRule>
    <cfRule type="cellIs" priority="15" operator="greaterThanOrEqual" dxfId="0">
      <formula>1</formula>
    </cfRule>
  </conditionalFormatting>
  <conditionalFormatting sqref="J3:J1449">
    <cfRule type="expression" priority="16" dxfId="1">
      <formula>AND($A3&lt;&gt;"",$J3=$K3)</formula>
    </cfRule>
    <cfRule type="expression" priority="19" dxfId="0">
      <formula>AND($A3&lt;&gt;"",$J3&gt;$K3,$J3&lt;&gt;"")</formula>
    </cfRule>
  </conditionalFormatting>
  <conditionalFormatting sqref="K3:K1449">
    <cfRule type="expression" priority="17" dxfId="1">
      <formula>AND($A3&lt;&gt;"",$J3=$K3)</formula>
    </cfRule>
    <cfRule type="expression" priority="20" dxfId="0">
      <formula>AND($A3&lt;&gt;"",$J3&lt;$K3)</formula>
    </cfRule>
  </conditionalFormatting>
  <conditionalFormatting sqref="L3:L1449">
    <cfRule type="expression" priority="18" dxfId="1">
      <formula>AND($A3&lt;&gt;"",$J3=$K3)</formula>
    </cfRule>
    <cfRule type="expression" priority="21" dxfId="3">
      <formula>AND($A3&lt;&gt;"",$J3&gt;$K3,$J3&lt;&gt;"")</formula>
    </cfRule>
    <cfRule type="expression" priority="22" dxfId="2">
      <formula>AND($A3&lt;&gt;"",$J3&lt;$K3)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2026-07-16T19:22:25Z</dcterms:created>
  <dcterms:modified xsi:type="dcterms:W3CDTF">2026-07-16T19:22:26Z</dcterms:modified>
</cp:coreProperties>
</file>